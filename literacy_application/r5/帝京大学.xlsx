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92.168.3.101\tk-ksm-fs01\企画チーム\21.数理・データサイエンス・AI教育プログラム認定制度\02_認定制度の申請\_申請提出書類一式\① 申請様式\"/>
    </mc:Choice>
  </mc:AlternateContent>
  <bookViews>
    <workbookView xWindow="0" yWindow="0" windowWidth="28800" windowHeight="12210" tabRatio="885" activeTab="4"/>
  </bookViews>
  <sheets>
    <sheet name="様式１-1　プログラムを構成する授業科目" sheetId="39" r:id="rId1"/>
    <sheet name="様式１-2　プログラムを構成する授業科目" sheetId="43" r:id="rId2"/>
    <sheet name="様式１-3　プログラムを構成する授業科目" sheetId="54" r:id="rId3"/>
    <sheet name="様式１-4　プログラムを構成する授業科目" sheetId="55" r:id="rId4"/>
    <sheet name="様式１-5　プログラムを構成する授業科目" sheetId="56" r:id="rId5"/>
    <sheet name="様式２ 履修者等数の実績" sheetId="40" r:id="rId6"/>
    <sheet name="様式３ 教育の質・履修者数を向上させるための体制・計画" sheetId="50" r:id="rId7"/>
    <sheet name="様式４　自己点検・評価" sheetId="53" r:id="rId8"/>
  </sheets>
  <definedNames>
    <definedName name="_xlnm._FilterDatabase" localSheetId="0" hidden="1">'様式１-1　プログラムを構成する授業科目'!$V$14:$V$16</definedName>
    <definedName name="_xlnm._FilterDatabase" localSheetId="1" hidden="1">'様式１-2　プログラムを構成する授業科目'!$V$14:$V$16</definedName>
    <definedName name="_xlnm._FilterDatabase" localSheetId="2" hidden="1">'様式１-3　プログラムを構成する授業科目'!$V$14:$V$16</definedName>
    <definedName name="_xlnm._FilterDatabase" localSheetId="3" hidden="1">'様式１-4　プログラムを構成する授業科目'!$V$14:$V$16</definedName>
    <definedName name="_xlnm._FilterDatabase" localSheetId="4" hidden="1">'様式１-5　プログラムを構成する授業科目'!$V$14:$V$16</definedName>
    <definedName name="_xlnm._FilterDatabase" localSheetId="5" hidden="1">'様式２ 履修者等数の実績'!#REF!</definedName>
    <definedName name="_xlnm.Print_Area" localSheetId="0">'様式１-1　プログラムを構成する授業科目'!$A$1:$S$102</definedName>
    <definedName name="_xlnm.Print_Area" localSheetId="1">'様式１-2　プログラムを構成する授業科目'!$A$1:$S$102</definedName>
    <definedName name="_xlnm.Print_Area" localSheetId="2">'様式１-3　プログラムを構成する授業科目'!$A$1:$S$102</definedName>
    <definedName name="_xlnm.Print_Area" localSheetId="3">'様式１-4　プログラムを構成する授業科目'!$A$1:$S$102</definedName>
    <definedName name="_xlnm.Print_Area" localSheetId="4">'様式１-5　プログラムを構成する授業科目'!$A$1:$S$102</definedName>
    <definedName name="_xlnm.Print_Area" localSheetId="5">'様式２ 履修者等数の実績'!$A$1:$AQ$32</definedName>
    <definedName name="_xlnm.Print_Area" localSheetId="6">'様式３ 教育の質・履修者数を向上させるための体制・計画'!$A$1:$I$120</definedName>
    <definedName name="_xlnm.Print_Area" localSheetId="7">'様式４　自己点検・評価'!$A$1:$I$22</definedName>
    <definedName name="_xlnm.Print_Titles" localSheetId="7">'様式４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7" i="53" l="1"/>
  <c r="K16" i="53"/>
  <c r="K15" i="53"/>
  <c r="J108" i="50" l="1"/>
  <c r="J94" i="50"/>
  <c r="J80" i="50"/>
  <c r="J66" i="50"/>
  <c r="J52" i="50"/>
  <c r="H2" i="50"/>
  <c r="AM2" i="40" l="1"/>
  <c r="AO32" i="40" l="1"/>
  <c r="AN32" i="40"/>
  <c r="AL32" i="40"/>
  <c r="AK32"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G32" i="40"/>
  <c r="H32" i="40"/>
  <c r="AP13" i="40"/>
  <c r="AP14" i="40"/>
  <c r="AP15" i="40"/>
  <c r="AP16" i="40"/>
  <c r="AP17" i="40"/>
  <c r="AP18" i="40"/>
  <c r="AP19" i="40"/>
  <c r="AP20" i="40"/>
  <c r="AP21" i="40"/>
  <c r="AP22" i="40"/>
  <c r="AP12" i="40"/>
  <c r="AQ12" i="40" s="1"/>
  <c r="C32" i="40"/>
  <c r="I32" i="40" l="1"/>
  <c r="F32" i="40" l="1"/>
  <c r="E32" i="40"/>
  <c r="I50" i="50" s="1"/>
  <c r="D32" i="40"/>
  <c r="AQ22" i="40"/>
  <c r="AQ21" i="40"/>
  <c r="AQ20" i="40"/>
  <c r="AQ19" i="40"/>
  <c r="AQ18" i="40"/>
  <c r="AQ17" i="40"/>
  <c r="AQ16" i="40"/>
  <c r="AQ15" i="40"/>
  <c r="AQ14" i="40"/>
  <c r="AQ13" i="40"/>
  <c r="AP32" i="40" l="1"/>
  <c r="AQ32" i="40" s="1"/>
  <c r="C49" i="50" s="1"/>
</calcChain>
</file>

<file path=xl/comments1.xml><?xml version="1.0" encoding="utf-8"?>
<comments xmlns="http://schemas.openxmlformats.org/spreadsheetml/2006/main">
  <authors>
    <author>ksm06</author>
  </authors>
  <commentList>
    <comment ref="E21" authorId="0" shapeId="0">
      <text>
        <r>
          <rPr>
            <b/>
            <sz val="9"/>
            <color indexed="81"/>
            <rFont val="MS P ゴシック"/>
            <family val="3"/>
            <charset val="128"/>
          </rPr>
          <t>ksm06:</t>
        </r>
        <r>
          <rPr>
            <sz val="9"/>
            <color indexed="81"/>
            <rFont val="MS P ゴシック"/>
            <family val="3"/>
            <charset val="128"/>
          </rPr>
          <t xml:space="preserve">
文言修正あり（赤字）</t>
        </r>
      </text>
    </comment>
  </commentList>
</comments>
</file>

<file path=xl/sharedStrings.xml><?xml version="1.0" encoding="utf-8"?>
<sst xmlns="http://schemas.openxmlformats.org/spreadsheetml/2006/main" count="891" uniqueCount="241">
  <si>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</si>
  <si>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</si>
  <si>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</si>
  <si>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</si>
  <si>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</si>
  <si>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</si>
  <si>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</si>
  <si>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</si>
  <si>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</si>
  <si>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</si>
  <si>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</si>
  <si>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</si>
  <si>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</si>
  <si>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</si>
  <si>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</si>
  <si>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</si>
  <si>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</si>
  <si>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</si>
  <si>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</si>
  <si>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</si>
  <si>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</si>
  <si>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</si>
  <si>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</si>
  <si>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</si>
  <si>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</si>
  <si>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</si>
  <si>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</si>
  <si>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</si>
  <si>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</si>
  <si>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</si>
  <si>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</si>
  <si>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</si>
  <si>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</si>
  <si>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</si>
  <si>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</si>
  <si>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</si>
  <si>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</si>
  <si>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</si>
  <si>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</si>
  <si>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</si>
  <si>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</si>
  <si>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</si>
  <si>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</si>
  <si>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</si>
  <si>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</si>
  <si>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</si>
  <si>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</si>
  <si>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</si>
  <si>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</si>
  <si>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</si>
  <si>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</si>
  <si>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</si>
  <si>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</si>
  <si>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</si>
  <si>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</si>
  <si>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</si>
  <si>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</si>
  <si>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</si>
  <si>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</si>
  <si>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</si>
  <si>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</si>
  <si>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</si>
  <si>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</si>
  <si>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</si>
  <si>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</si>
  <si>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</si>
  <si>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</si>
  <si>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</si>
  <si>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</si>
  <si>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</si>
  <si>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</si>
  <si>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</si>
  <si>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</si>
  <si>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</si>
  <si>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</si>
  <si>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</si>
  <si>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</si>
  <si>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</si>
  <si>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</si>
  <si>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</si>
  <si>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</si>
  <si>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</si>
  <si>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</si>
  <si>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</si>
  <si>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</si>
  <si>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</si>
  <si>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</si>
  <si>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</si>
  <si>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</si>
  <si>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</si>
  <si>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</si>
  <si>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</si>
  <si>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</si>
  <si>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</si>
  <si>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</si>
  <si>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</si>
  <si>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</si>
  <si>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</si>
  <si>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</si>
  <si>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</si>
  <si>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</si>
  <si>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</si>
  <si>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</si>
  <si>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</si>
  <si>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</si>
  <si>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</si>
  <si>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</si>
  <si>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</si>
  <si>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</si>
  <si>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</si>
  <si>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</si>
  <si>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</si>
  <si>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</si>
  <si>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</si>
  <si>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</si>
  <si>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</si>
  <si>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</si>
  <si>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</si>
  <si>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</si>
  <si>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</si>
  <si>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</si>
  <si>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</si>
  <si>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</si>
  <si>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</si>
  <si>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</si>
  <si>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</si>
  <si>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帝京大学</t>
    <rPh sb="0" eb="4">
      <t>テイキョウダイガク</t>
    </rPh>
    <phoneticPr fontId="1"/>
  </si>
  <si>
    <t>数理・データサイエンス・AI教育プログラム</t>
    <rPh sb="0" eb="2">
      <t>スウリ</t>
    </rPh>
    <rPh sb="14" eb="16">
      <t>キョウイク</t>
    </rPh>
    <phoneticPr fontId="1"/>
  </si>
  <si>
    <t>学部・学科によって、修了要件は相違する</t>
  </si>
  <si>
    <t>医学部</t>
    <rPh sb="0" eb="3">
      <t>イガクブ</t>
    </rPh>
    <phoneticPr fontId="1"/>
  </si>
  <si>
    <t>医療統計学</t>
    <phoneticPr fontId="1"/>
  </si>
  <si>
    <t>○</t>
  </si>
  <si>
    <t>数理・データサイエンス・AIを適切に理解し、それを活用するため、以下の能力を身に付ける
①　デジタル社会において、データサイエンス・AIが社会や専門分野の中でどのように活用されているのか説明できる。
②　データサイエンス・AIに関する様々な知識やスキルを日常生活や職業生活などにおいて使いこなすことができる。</t>
    <phoneticPr fontId="1"/>
  </si>
  <si>
    <t>データサイエンス・AI入門</t>
    <phoneticPr fontId="1"/>
  </si>
  <si>
    <t>情報処理演習</t>
  </si>
  <si>
    <t>情報処理演習</t>
    <phoneticPr fontId="1"/>
  </si>
  <si>
    <t>情報処理演習Ⅱ</t>
    <phoneticPr fontId="1"/>
  </si>
  <si>
    <t>情報処理演習Ⅰ</t>
    <phoneticPr fontId="1"/>
  </si>
  <si>
    <t>令和４</t>
    <rPh sb="0" eb="2">
      <t>レイワ</t>
    </rPh>
    <phoneticPr fontId="1"/>
  </si>
  <si>
    <t>医学部</t>
    <rPh sb="0" eb="1">
      <t>イ</t>
    </rPh>
    <rPh sb="1" eb="3">
      <t>ガクブ</t>
    </rPh>
    <phoneticPr fontId="1"/>
  </si>
  <si>
    <t>薬学部</t>
    <rPh sb="0" eb="1">
      <t>ヤク</t>
    </rPh>
    <phoneticPr fontId="1"/>
  </si>
  <si>
    <t>医療技術学部</t>
    <rPh sb="0" eb="4">
      <t>イリョウギジュツ</t>
    </rPh>
    <phoneticPr fontId="1"/>
  </si>
  <si>
    <t>経済学部</t>
    <rPh sb="0" eb="2">
      <t>ケイザイ</t>
    </rPh>
    <phoneticPr fontId="1"/>
  </si>
  <si>
    <t>法学部</t>
    <rPh sb="0" eb="1">
      <t>ホウ</t>
    </rPh>
    <rPh sb="1" eb="3">
      <t>ガクブ</t>
    </rPh>
    <phoneticPr fontId="1"/>
  </si>
  <si>
    <t>文学部</t>
    <rPh sb="0" eb="1">
      <t>ブン</t>
    </rPh>
    <phoneticPr fontId="1"/>
  </si>
  <si>
    <t>外国語学部</t>
    <rPh sb="0" eb="5">
      <t>ガイコクゴガクブ</t>
    </rPh>
    <phoneticPr fontId="1"/>
  </si>
  <si>
    <t>教育学部</t>
    <rPh sb="0" eb="4">
      <t>キョウイクガクブ</t>
    </rPh>
    <phoneticPr fontId="1"/>
  </si>
  <si>
    <t>理工学部</t>
    <rPh sb="0" eb="4">
      <t>リコウガクブ</t>
    </rPh>
    <phoneticPr fontId="1"/>
  </si>
  <si>
    <t>理工学部情報科学科通信教育課程</t>
    <rPh sb="0" eb="4">
      <t>リコウガクブ</t>
    </rPh>
    <rPh sb="4" eb="9">
      <t>ジョウホウカガクカ</t>
    </rPh>
    <rPh sb="9" eb="15">
      <t>ツウシンキョウイクカテイ</t>
    </rPh>
    <phoneticPr fontId="1"/>
  </si>
  <si>
    <t>福岡医療技術学部</t>
    <rPh sb="0" eb="2">
      <t>フクオカ</t>
    </rPh>
    <rPh sb="2" eb="4">
      <t>イリョウ</t>
    </rPh>
    <rPh sb="4" eb="6">
      <t>ギジュツ</t>
    </rPh>
    <rPh sb="6" eb="8">
      <t>ガクブ</t>
    </rPh>
    <phoneticPr fontId="1"/>
  </si>
  <si>
    <t>様式１-1</t>
    <rPh sb="0" eb="2">
      <t>ヨウシキ</t>
    </rPh>
    <phoneticPr fontId="1"/>
  </si>
  <si>
    <t>様式１-2</t>
    <rPh sb="0" eb="2">
      <t>ヨウシキ</t>
    </rPh>
    <phoneticPr fontId="1"/>
  </si>
  <si>
    <t>様式１-3</t>
    <rPh sb="0" eb="2">
      <t>ヨウシキ</t>
    </rPh>
    <phoneticPr fontId="1"/>
  </si>
  <si>
    <t>様式１-5</t>
    <rPh sb="0" eb="2">
      <t>ヨウシキ</t>
    </rPh>
    <phoneticPr fontId="1"/>
  </si>
  <si>
    <t>荒井　正之</t>
    <phoneticPr fontId="1"/>
  </si>
  <si>
    <t>理工学部長</t>
    <phoneticPr fontId="1"/>
  </si>
  <si>
    <t>数理・データサイエンス・AI教育検討ワーキンググループ</t>
    <phoneticPr fontId="1"/>
  </si>
  <si>
    <t>数理・データサイエンス・AI教育検討ワーキンググループは、全学的な組織である教育改革委員会の下に設置され、以下の事項を審議する。
（1）数理・データサイエンス・AI教育プログラムの企画・立案・実施に関すること。
（2）数理・データサイエンス・AI教育プログラムの改善に関すること。
（3）本学における数理・データサイエンス・AI教育プログラムの質保証に係る自己点検・自己評価に関すること。
（4）その他、数理・データサイエンス・AI教育の全学的な普及、整備に関すること。</t>
    <phoneticPr fontId="1"/>
  </si>
  <si>
    <t>帝京大学教育改革委員会規程
数理・データサイエンス・AI教育検討ワーキンググループ設置要項</t>
    <rPh sb="0" eb="4">
      <t>テイキョウダイガク</t>
    </rPh>
    <phoneticPr fontId="1"/>
  </si>
  <si>
    <t>前項の通り、卒業生の就職先企業等より意見を聴取する機会を設けている。ただし、現状では本プログラムの内容や手法については聴取内容に含めていないため、今後聴取項目の追加など、産業界からの意見を聴取する方法を検討する。</t>
    <rPh sb="75" eb="77">
      <t>チョウシュ</t>
    </rPh>
    <rPh sb="77" eb="79">
      <t>コウモク</t>
    </rPh>
    <phoneticPr fontId="1"/>
  </si>
  <si>
    <t>入学時のガイダンスや初年次教育科目において、本プログラムに関する概要や目的、「数理・データサイエンス・AI」に関する社会のニーズ、本プログラムを修了することによって身につく能力が現代社会の中でどのように役に立つのかなど、すべての学部・学科の学生に入学時から意識付けを行える環境を整備し、積極的な履修につなげる。なお、プログラムを構成する科目は、どの学部・学科に所属していても、1年次から履修できる科目となっており、入学時の意識づけが重要となるが、1年次に履修しなかった学生に対しても、卒業までに履修するよう、2年次以降も継続的にプログラムの周知を行う。また、令和6年度以降に向けては、上記の計画を実行しながら、令和5年度の実績に応じて、告知方法やプログラムの必修化等を検討する。</t>
    <rPh sb="22" eb="23">
      <t>ホン</t>
    </rPh>
    <rPh sb="29" eb="30">
      <t>カン</t>
    </rPh>
    <rPh sb="32" eb="34">
      <t>ガイヨウ</t>
    </rPh>
    <rPh sb="35" eb="37">
      <t>モクテキ</t>
    </rPh>
    <rPh sb="39" eb="41">
      <t>スウリ</t>
    </rPh>
    <rPh sb="55" eb="56">
      <t>カン</t>
    </rPh>
    <rPh sb="58" eb="60">
      <t>シャカイ</t>
    </rPh>
    <rPh sb="65" eb="66">
      <t>ホン</t>
    </rPh>
    <rPh sb="72" eb="74">
      <t>シュウリョウ</t>
    </rPh>
    <rPh sb="82" eb="83">
      <t>ミ</t>
    </rPh>
    <rPh sb="86" eb="88">
      <t>ノウリョク</t>
    </rPh>
    <rPh sb="89" eb="91">
      <t>ゲンダイ</t>
    </rPh>
    <rPh sb="91" eb="93">
      <t>シャカイ</t>
    </rPh>
    <rPh sb="94" eb="95">
      <t>ナカ</t>
    </rPh>
    <rPh sb="101" eb="102">
      <t>ヤク</t>
    </rPh>
    <rPh sb="103" eb="104">
      <t>タ</t>
    </rPh>
    <rPh sb="114" eb="116">
      <t>ガクブ</t>
    </rPh>
    <rPh sb="117" eb="119">
      <t>ガッカ</t>
    </rPh>
    <rPh sb="123" eb="126">
      <t>ニュウガクジ</t>
    </rPh>
    <rPh sb="130" eb="131">
      <t>ヅ</t>
    </rPh>
    <rPh sb="133" eb="134">
      <t>オコナ</t>
    </rPh>
    <rPh sb="136" eb="138">
      <t>カンキョウ</t>
    </rPh>
    <rPh sb="139" eb="141">
      <t>セイビ</t>
    </rPh>
    <rPh sb="164" eb="166">
      <t>コウセイ</t>
    </rPh>
    <rPh sb="168" eb="170">
      <t>カモク</t>
    </rPh>
    <rPh sb="174" eb="176">
      <t>ガクブ</t>
    </rPh>
    <rPh sb="177" eb="179">
      <t>ガッカ</t>
    </rPh>
    <rPh sb="180" eb="182">
      <t>ショゾク</t>
    </rPh>
    <rPh sb="189" eb="191">
      <t>ネンジ</t>
    </rPh>
    <rPh sb="193" eb="195">
      <t>リシュウ</t>
    </rPh>
    <rPh sb="198" eb="200">
      <t>カモク</t>
    </rPh>
    <rPh sb="207" eb="210">
      <t>ニュウガクジ</t>
    </rPh>
    <rPh sb="211" eb="213">
      <t>イシキ</t>
    </rPh>
    <rPh sb="216" eb="218">
      <t>ジュウヨウ</t>
    </rPh>
    <rPh sb="224" eb="226">
      <t>ネンジ</t>
    </rPh>
    <rPh sb="227" eb="229">
      <t>リシュウ</t>
    </rPh>
    <rPh sb="234" eb="236">
      <t>ガクセイ</t>
    </rPh>
    <rPh sb="237" eb="238">
      <t>タイ</t>
    </rPh>
    <rPh sb="242" eb="244">
      <t>ソツギョウ</t>
    </rPh>
    <rPh sb="247" eb="249">
      <t>リシュウ</t>
    </rPh>
    <rPh sb="255" eb="257">
      <t>ネンジ</t>
    </rPh>
    <rPh sb="257" eb="259">
      <t>イコウ</t>
    </rPh>
    <rPh sb="260" eb="263">
      <t>ケイゾクテキ</t>
    </rPh>
    <rPh sb="270" eb="272">
      <t>シュウチ</t>
    </rPh>
    <rPh sb="273" eb="274">
      <t>オコナ</t>
    </rPh>
    <rPh sb="279" eb="281">
      <t>レイワ</t>
    </rPh>
    <rPh sb="282" eb="284">
      <t>ネンド</t>
    </rPh>
    <rPh sb="284" eb="286">
      <t>イコウ</t>
    </rPh>
    <rPh sb="287" eb="288">
      <t>ム</t>
    </rPh>
    <rPh sb="292" eb="294">
      <t>ジョウキ</t>
    </rPh>
    <rPh sb="295" eb="297">
      <t>ケイカク</t>
    </rPh>
    <rPh sb="298" eb="300">
      <t>ジッコウ</t>
    </rPh>
    <rPh sb="305" eb="307">
      <t>レイワ</t>
    </rPh>
    <rPh sb="308" eb="310">
      <t>ネンド</t>
    </rPh>
    <rPh sb="311" eb="313">
      <t>ジッセキ</t>
    </rPh>
    <rPh sb="314" eb="315">
      <t>オウ</t>
    </rPh>
    <rPh sb="318" eb="320">
      <t>コクチ</t>
    </rPh>
    <rPh sb="320" eb="322">
      <t>ホウホウ</t>
    </rPh>
    <rPh sb="329" eb="332">
      <t>ヒッシュウカ</t>
    </rPh>
    <rPh sb="332" eb="333">
      <t>トウ</t>
    </rPh>
    <rPh sb="334" eb="336">
      <t>ケントウ</t>
    </rPh>
    <phoneticPr fontId="1"/>
  </si>
  <si>
    <t>本プログラムでは、すべての学部・学科において、1年次から履修できるように科目を設定しているため、入学時のガイダンスや初年次教育科目で本プログラムを積極的に履修するよう周知している。また、本学に入学を希望する学生が入学前から「数理・データサイエンス・AI」に興味・関心を持ち、入学後に本プログラムの履修を希望するように、大学ホームページ等を中心とした学外へ向けた情報発信についても、効果的なものとなるよう引き続き検討を進める。</t>
    <rPh sb="0" eb="1">
      <t>ホン</t>
    </rPh>
    <rPh sb="24" eb="26">
      <t>ネンジ</t>
    </rPh>
    <rPh sb="39" eb="41">
      <t>セッテイ</t>
    </rPh>
    <rPh sb="66" eb="67">
      <t>ホン</t>
    </rPh>
    <rPh sb="77" eb="79">
      <t>リシュウ</t>
    </rPh>
    <rPh sb="106" eb="109">
      <t>ニュウガクマエ</t>
    </rPh>
    <rPh sb="112" eb="114">
      <t>スウリ</t>
    </rPh>
    <rPh sb="128" eb="130">
      <t>キョウミ</t>
    </rPh>
    <rPh sb="131" eb="133">
      <t>カンシン</t>
    </rPh>
    <rPh sb="134" eb="135">
      <t>モ</t>
    </rPh>
    <rPh sb="137" eb="140">
      <t>ニュウガクゴ</t>
    </rPh>
    <rPh sb="141" eb="142">
      <t>ホン</t>
    </rPh>
    <rPh sb="148" eb="150">
      <t>リシュウ</t>
    </rPh>
    <rPh sb="151" eb="153">
      <t>キボウ</t>
    </rPh>
    <rPh sb="167" eb="168">
      <t>トウ</t>
    </rPh>
    <rPh sb="169" eb="171">
      <t>チュウシン</t>
    </rPh>
    <rPh sb="174" eb="176">
      <t>ガクガイ</t>
    </rPh>
    <rPh sb="177" eb="178">
      <t>ム</t>
    </rPh>
    <rPh sb="180" eb="182">
      <t>ジョウホウ</t>
    </rPh>
    <rPh sb="182" eb="184">
      <t>ハッシン</t>
    </rPh>
    <rPh sb="190" eb="193">
      <t>コウカテキ</t>
    </rPh>
    <phoneticPr fontId="1"/>
  </si>
  <si>
    <t>本プログラムの学修成果は、教務システムによる成績評価により把握することができている。文系学部および理工系学部では、S評価を得たのは10％程度以下であることは共通している。理工系学部では、どの学科もA評価の人数割合が最も高く、文系学部はA・B・Cの割合がほぼ均等であるが、成績評価のつけ方に大きな違いは見当たらない。医療系学部では、成績の分布が学科・コースによって異なるが、プログラムを構成する授業科目の必選別などの取り扱いの違いによるものと思われる。</t>
    <rPh sb="0" eb="1">
      <t>ホン</t>
    </rPh>
    <rPh sb="7" eb="11">
      <t>ガクシュウセイカ</t>
    </rPh>
    <rPh sb="13" eb="15">
      <t>キョウム</t>
    </rPh>
    <rPh sb="22" eb="26">
      <t>セイセキヒョウカ</t>
    </rPh>
    <rPh sb="29" eb="31">
      <t>ハアク</t>
    </rPh>
    <rPh sb="42" eb="44">
      <t>ブンケイ</t>
    </rPh>
    <phoneticPr fontId="1"/>
  </si>
  <si>
    <t>本プログラムの学生アンケート等を通じた学生の内容の理解度は、授業評価アンケートにより把握することができている。医療系学部では、「この授業の到達目標は達成できましたか」への回答は、「達成できた」「ほぼ達成できた」と回答した割合は40.0％～89.7％であり、中立を含めると92.9％～100％に達している。人数割合の最も多い評価はA評価で44.4％であり、学生の理解度は高いと言える。文系学部および理工系学部では、「達成できた」「ほぼ達成できた」の全体の合計で51.4%であり、中立を含めると93.0％に達する。人数割合が最も多かったA評価の割合は57.8%であり、学生の理解度の高さがうかがえる。</t>
    <phoneticPr fontId="1"/>
  </si>
  <si>
    <t>本プログラムの学生アンケート等を通じた後輩等他の学生への推奨度については、授業中に実施した授業に関するアンケートにて把握することができている。「データサイエンス・AI入門」の授業に関するアンケートにおいて、「この授業は、来年度、後輩に受講をすすめたいと思いますか」を自由記述で尋ねた。「推奨する」（例えば、「すすめます」）、「どちらでもない、受けたい人が受ければいい」（例えば、「受けたい人が受ければいいと思った」）、「推奨しない」（例えば、「思わない」）の3つに分類した結果、「推奨する」は77.5％、「どちらでもない、受けたい人が受ければいい」を合わせると90.5％となっている。</t>
    <rPh sb="19" eb="22">
      <t>コウハイナド</t>
    </rPh>
    <rPh sb="22" eb="23">
      <t>タ</t>
    </rPh>
    <rPh sb="24" eb="26">
      <t>ガクセイ</t>
    </rPh>
    <rPh sb="28" eb="31">
      <t>スイショウド</t>
    </rPh>
    <rPh sb="37" eb="40">
      <t>ジュギョウチュウ</t>
    </rPh>
    <rPh sb="41" eb="43">
      <t>ジッシ</t>
    </rPh>
    <rPh sb="45" eb="47">
      <t>ジュギョウ</t>
    </rPh>
    <rPh sb="48" eb="49">
      <t>カン</t>
    </rPh>
    <rPh sb="58" eb="60">
      <t>ハアク</t>
    </rPh>
    <phoneticPr fontId="1"/>
  </si>
  <si>
    <t>本プログラムの全学的な履修者数、履修率向上に向けた計画については、各学部において、本プログラムの意義や重要性を、ガイダンスや初年次教育科目等の関連する授業内で、積極的に発信していくとともに、全学的な教学マネジメント体制の確立を担う組織である教育改革委員会においても履修率向上に向けた方策を検討することとしている。各学部においては、教育改革委員会で検討した内容に基づき、各学部の教務委員会を中心にして履修率向上に向けた取り組みを実施していく。</t>
    <rPh sb="0" eb="1">
      <t>ホン</t>
    </rPh>
    <rPh sb="62" eb="65">
      <t>ショネンジ</t>
    </rPh>
    <rPh sb="95" eb="97">
      <t>ゼンガク</t>
    </rPh>
    <rPh sb="97" eb="98">
      <t>テキ</t>
    </rPh>
    <rPh sb="120" eb="127">
      <t>キョウイクカイカクイインカイ</t>
    </rPh>
    <rPh sb="156" eb="159">
      <t>カクガクブ</t>
    </rPh>
    <rPh sb="165" eb="167">
      <t>キョウイク</t>
    </rPh>
    <rPh sb="167" eb="169">
      <t>カイカク</t>
    </rPh>
    <rPh sb="169" eb="172">
      <t>イインカイ</t>
    </rPh>
    <rPh sb="173" eb="175">
      <t>ケントウ</t>
    </rPh>
    <rPh sb="177" eb="179">
      <t>ナイヨウ</t>
    </rPh>
    <rPh sb="180" eb="181">
      <t>モト</t>
    </rPh>
    <rPh sb="184" eb="187">
      <t>カクガクブ</t>
    </rPh>
    <rPh sb="188" eb="193">
      <t>キョウムイインカイ</t>
    </rPh>
    <rPh sb="194" eb="196">
      <t>チュウシン</t>
    </rPh>
    <rPh sb="208" eb="209">
      <t>ト</t>
    </rPh>
    <rPh sb="210" eb="211">
      <t>ク</t>
    </rPh>
    <rPh sb="213" eb="215">
      <t>ジッシ</t>
    </rPh>
    <phoneticPr fontId="1"/>
  </si>
  <si>
    <t>本プログラムは、令和４年度が開設初年度であるため、本プログラムを修了した卒業生はまだ輩出していないが、大学として毎年卒業生の就職先企業等に卒業生の評価や獲得技能に関する聴取を行っており、プログラム修了者が就職した際の活躍状況や評価を企業等に確認するための体制は整っている。</t>
    <rPh sb="0" eb="1">
      <t>ホン</t>
    </rPh>
    <rPh sb="8" eb="10">
      <t>レイワ</t>
    </rPh>
    <rPh sb="11" eb="13">
      <t>ネンド</t>
    </rPh>
    <rPh sb="56" eb="58">
      <t>マイトシ</t>
    </rPh>
    <rPh sb="116" eb="118">
      <t>キギョウ</t>
    </rPh>
    <rPh sb="118" eb="119">
      <t>トウ</t>
    </rPh>
    <phoneticPr fontId="1"/>
  </si>
  <si>
    <t>本プログラムの内容・水準を維持向上しつつ、より分かりやすい授業とするためには、授業評価アンケートを活用することが有効である。授業評価アンケートにおいて、「あなたは、この授業の到達目標を知っていますか」との設問があるが、「知らない」「あまり知らない」と答えた学生が存在している。このように回答した学生が存在することを課題として捉え、授業の到達目標が学生に対してより伝わるよう工夫することによって、学生の授業に対する「分かりやすさ」の向上が見込まれる。</t>
    <rPh sb="0" eb="1">
      <t>ホン</t>
    </rPh>
    <rPh sb="7" eb="9">
      <t>ナイヨウ</t>
    </rPh>
    <rPh sb="10" eb="12">
      <t>スイジュン</t>
    </rPh>
    <rPh sb="13" eb="17">
      <t>イジコウジョウ</t>
    </rPh>
    <rPh sb="23" eb="24">
      <t>ワ</t>
    </rPh>
    <rPh sb="29" eb="31">
      <t>ジュギョウ</t>
    </rPh>
    <rPh sb="39" eb="43">
      <t>ジュギョウヒョウカ</t>
    </rPh>
    <rPh sb="49" eb="51">
      <t>カツヨウ</t>
    </rPh>
    <rPh sb="56" eb="58">
      <t>ユウコウ</t>
    </rPh>
    <rPh sb="102" eb="104">
      <t>セツモン</t>
    </rPh>
    <rPh sb="143" eb="145">
      <t>カイトウ</t>
    </rPh>
    <rPh sb="147" eb="149">
      <t>ガクセイ</t>
    </rPh>
    <rPh sb="150" eb="152">
      <t>ソンザイ</t>
    </rPh>
    <rPh sb="162" eb="163">
      <t>トラ</t>
    </rPh>
    <rPh sb="176" eb="177">
      <t>タイ</t>
    </rPh>
    <rPh sb="200" eb="202">
      <t>ジュギョウ</t>
    </rPh>
    <rPh sb="203" eb="204">
      <t>タイ</t>
    </rPh>
    <phoneticPr fontId="1"/>
  </si>
  <si>
    <t>本プログラムでは、プログラムを構成する科目の担当教員が責任を持って、履修学生が単位を修得できるよう、授業内外でサポートをしている。授業に関する質問がある場合には、LMSを通じて行うことができる。また、本プログラムを改善・進化させるための組織である「数理・データサイエンス・AI教育検討ワーキンググループ」の構成員は医療系学部、文系学部、理工系学部のそれぞれの専任教員から選出されているため、各学部・学科の授業担当教員と連携しやすい環境となっている。そのため、各学部・学科の受講生の状況やよくある質問など、定期的に教員間で共有でき、問題が生じた場合にはすぐに「数理・データサイエンス・AI教育検討ワーキンググループ」で検討できる体制となっている。</t>
    <rPh sb="0" eb="1">
      <t>ホン</t>
    </rPh>
    <rPh sb="15" eb="17">
      <t>コウセイ</t>
    </rPh>
    <rPh sb="19" eb="21">
      <t>カモク</t>
    </rPh>
    <rPh sb="22" eb="24">
      <t>タントウ</t>
    </rPh>
    <rPh sb="24" eb="26">
      <t>キョウイン</t>
    </rPh>
    <rPh sb="27" eb="29">
      <t>セキニン</t>
    </rPh>
    <rPh sb="30" eb="31">
      <t>モ</t>
    </rPh>
    <rPh sb="34" eb="38">
      <t>リシュウガクセイ</t>
    </rPh>
    <rPh sb="39" eb="41">
      <t>タンイ</t>
    </rPh>
    <rPh sb="42" eb="44">
      <t>シュウトク</t>
    </rPh>
    <rPh sb="50" eb="53">
      <t>ジュギョウナイ</t>
    </rPh>
    <rPh sb="65" eb="67">
      <t>ジュギョウ</t>
    </rPh>
    <rPh sb="68" eb="69">
      <t>カン</t>
    </rPh>
    <rPh sb="71" eb="73">
      <t>シツモン</t>
    </rPh>
    <rPh sb="76" eb="78">
      <t>バアイ</t>
    </rPh>
    <rPh sb="88" eb="89">
      <t>オコナ</t>
    </rPh>
    <rPh sb="100" eb="101">
      <t>ホン</t>
    </rPh>
    <rPh sb="107" eb="109">
      <t>カイゼン</t>
    </rPh>
    <rPh sb="110" eb="112">
      <t>シンカ</t>
    </rPh>
    <rPh sb="118" eb="120">
      <t>ソシキ</t>
    </rPh>
    <rPh sb="153" eb="156">
      <t>コウセイイン</t>
    </rPh>
    <rPh sb="179" eb="183">
      <t>センニンキョウイン</t>
    </rPh>
    <rPh sb="185" eb="187">
      <t>センシュツ</t>
    </rPh>
    <rPh sb="195" eb="198">
      <t>カクガクブ</t>
    </rPh>
    <rPh sb="199" eb="201">
      <t>ガッカ</t>
    </rPh>
    <rPh sb="202" eb="206">
      <t>ジュギョウタントウ</t>
    </rPh>
    <rPh sb="206" eb="208">
      <t>キョウイン</t>
    </rPh>
    <rPh sb="209" eb="211">
      <t>レンケイ</t>
    </rPh>
    <rPh sb="215" eb="217">
      <t>カンキョウ</t>
    </rPh>
    <rPh sb="252" eb="255">
      <t>テイキテキ</t>
    </rPh>
    <rPh sb="265" eb="267">
      <t>モンダイ</t>
    </rPh>
    <rPh sb="268" eb="269">
      <t>ショウ</t>
    </rPh>
    <rPh sb="271" eb="273">
      <t>バアイ</t>
    </rPh>
    <rPh sb="308" eb="310">
      <t>ケントウ</t>
    </rPh>
    <rPh sb="313" eb="315">
      <t>タイセイ</t>
    </rPh>
    <phoneticPr fontId="1"/>
  </si>
  <si>
    <t>帝京大学</t>
    <rPh sb="0" eb="4">
      <t>テイキョウダイガク</t>
    </rPh>
    <phoneticPr fontId="1"/>
  </si>
  <si>
    <t>本学では全学的に学習支援システム（LMS:Learning Management System)を導入しており、すべての学部・学科の学生が利用できるため、履修学生は所属する学部・学科に関わらずLMSを通じて、いつでも担当教員に質問をすることができる。また、本プログラムを構成する科目は、専任教員が授業を担当しており、履修学生が所属するキャンパス内に研究室を構えているため、担当教員に直接質問したい場合には、オフィスアワーの時間を利用して質問をすることが可能となっている。</t>
    <rPh sb="10" eb="12">
      <t>シエン</t>
    </rPh>
    <rPh sb="60" eb="62">
      <t>ガクブ</t>
    </rPh>
    <rPh sb="63" eb="65">
      <t>ガッカ</t>
    </rPh>
    <rPh sb="66" eb="68">
      <t>ガクセイ</t>
    </rPh>
    <rPh sb="69" eb="71">
      <t>リヨウ</t>
    </rPh>
    <rPh sb="77" eb="81">
      <t>リシュウガクセイ</t>
    </rPh>
    <rPh sb="82" eb="84">
      <t>ショゾク</t>
    </rPh>
    <rPh sb="86" eb="88">
      <t>ガクブ</t>
    </rPh>
    <rPh sb="89" eb="91">
      <t>ガッカ</t>
    </rPh>
    <rPh sb="92" eb="93">
      <t>カカ</t>
    </rPh>
    <rPh sb="135" eb="137">
      <t>コウセイ</t>
    </rPh>
    <rPh sb="148" eb="150">
      <t>ジュギョウ</t>
    </rPh>
    <rPh sb="158" eb="162">
      <t>リシュウガクセイ</t>
    </rPh>
    <rPh sb="163" eb="165">
      <t>ショゾク</t>
    </rPh>
    <rPh sb="172" eb="173">
      <t>ナイ</t>
    </rPh>
    <rPh sb="174" eb="177">
      <t>ケンキュウシツ</t>
    </rPh>
    <rPh sb="178" eb="179">
      <t>カマ</t>
    </rPh>
    <rPh sb="186" eb="190">
      <t>タントウキョウイン</t>
    </rPh>
    <rPh sb="191" eb="193">
      <t>チョクセツ</t>
    </rPh>
    <rPh sb="214" eb="216">
      <t>リヨウ</t>
    </rPh>
    <rPh sb="226" eb="228">
      <t>カノウ</t>
    </rPh>
    <phoneticPr fontId="1"/>
  </si>
  <si>
    <t>座長　荒井　正之（理工学部長　教授）
　　　　大胡　惠樹（医療共通教育研究センター長　教授）
　　　　木村　友久（共通教育センター長　教授）
　　　　横山　明子（リベラルアーツセンター主任　教授）
　　　　堺　　裕　　（福岡医療技術学部理学療法学科　教授）
　　　　長谷　浩　 （経済学部経済学科　教授）
　　　　浜田　宏一（理工学部情報電子工学科　教授）
　　　　藤代　尚文（医療共通教育研究センター　講師）
　　　　信太　圭一（福岡医療技術学部診療放射線学科　講師）
　　　　守　一介　 （リベラルアーツセンター　講師）</t>
    <rPh sb="240" eb="241">
      <t>モリ</t>
    </rPh>
    <rPh sb="242" eb="244">
      <t>イチスケ</t>
    </rPh>
    <rPh sb="259" eb="261">
      <t>コウシ</t>
    </rPh>
    <phoneticPr fontId="1"/>
  </si>
  <si>
    <t>本プログラムを構成する科目においては、各学部・学科の教育課程や時間割編成を考慮し、本プログラムで身につく「数理・データサイエンス・AI」の知識や技術が専門科目にも生かせるよう、工夫している。具体的には、学部・学科の特性を鑑み、医療系学部においては、データサイエンス・AIに関する内容と関連する専門分野の内容を1つの科目の中で学べる授業内容とし、それを対面形式で実施している。文系学部および理工系学部と一部の医療系学部においては、共通のコンテンツを使用したオンデマンド形式での授業をベースに対面授業も併用し、各学部・学科の専門性に合わせた内容も授業に取り入れられるようにしている。</t>
    <rPh sb="0" eb="1">
      <t>ホン</t>
    </rPh>
    <rPh sb="7" eb="9">
      <t>コウセイ</t>
    </rPh>
    <rPh sb="11" eb="13">
      <t>カモク</t>
    </rPh>
    <rPh sb="19" eb="22">
      <t>カクガクブ</t>
    </rPh>
    <rPh sb="23" eb="25">
      <t>ガッカ</t>
    </rPh>
    <rPh sb="26" eb="30">
      <t>キョウイクカテイ</t>
    </rPh>
    <rPh sb="31" eb="34">
      <t>ジカンワリ</t>
    </rPh>
    <rPh sb="34" eb="36">
      <t>ヘンセイ</t>
    </rPh>
    <rPh sb="37" eb="39">
      <t>コウリョ</t>
    </rPh>
    <rPh sb="41" eb="42">
      <t>ホン</t>
    </rPh>
    <rPh sb="48" eb="49">
      <t>ミ</t>
    </rPh>
    <rPh sb="53" eb="55">
      <t>スウリ</t>
    </rPh>
    <rPh sb="69" eb="71">
      <t>チシキ</t>
    </rPh>
    <rPh sb="72" eb="74">
      <t>ギジュツ</t>
    </rPh>
    <rPh sb="75" eb="77">
      <t>センモン</t>
    </rPh>
    <rPh sb="77" eb="79">
      <t>カモク</t>
    </rPh>
    <rPh sb="81" eb="82">
      <t>イ</t>
    </rPh>
    <rPh sb="88" eb="90">
      <t>クフウ</t>
    </rPh>
    <rPh sb="95" eb="98">
      <t>グタイテキ</t>
    </rPh>
    <rPh sb="101" eb="103">
      <t>ガクブ</t>
    </rPh>
    <rPh sb="104" eb="106">
      <t>ガッカ</t>
    </rPh>
    <rPh sb="107" eb="109">
      <t>トクセイ</t>
    </rPh>
    <rPh sb="110" eb="111">
      <t>カンガ</t>
    </rPh>
    <rPh sb="142" eb="144">
      <t>カンレン</t>
    </rPh>
    <rPh sb="146" eb="150">
      <t>センモンブンヤ</t>
    </rPh>
    <rPh sb="151" eb="153">
      <t>ナイヨウ</t>
    </rPh>
    <rPh sb="157" eb="159">
      <t>カモク</t>
    </rPh>
    <rPh sb="160" eb="161">
      <t>ナカ</t>
    </rPh>
    <rPh sb="162" eb="163">
      <t>マナ</t>
    </rPh>
    <rPh sb="187" eb="189">
      <t>ブンケイ</t>
    </rPh>
    <rPh sb="189" eb="191">
      <t>ガクブ</t>
    </rPh>
    <rPh sb="194" eb="197">
      <t>リコウケイ</t>
    </rPh>
    <rPh sb="197" eb="199">
      <t>ガクブ</t>
    </rPh>
    <rPh sb="200" eb="202">
      <t>イチブ</t>
    </rPh>
    <rPh sb="203" eb="208">
      <t>イリョウケイガクブ</t>
    </rPh>
    <rPh sb="249" eb="251">
      <t>ヘイヨウ</t>
    </rPh>
    <rPh sb="253" eb="254">
      <t>カク</t>
    </rPh>
    <rPh sb="254" eb="256">
      <t>ガクブ</t>
    </rPh>
    <rPh sb="257" eb="259">
      <t>ガッカ</t>
    </rPh>
    <rPh sb="271" eb="273">
      <t>ジュギョウ</t>
    </rPh>
    <rPh sb="274" eb="275">
      <t>ト</t>
    </rPh>
    <phoneticPr fontId="1"/>
  </si>
  <si>
    <r>
      <t>本プログラムの履修状況・修得状況は、教務システムにより把握することができている。令和４年度の履修者数については、全学部合計で955名となっている。また、単位の修得状況については、理工学部情報科学科</t>
    </r>
    <r>
      <rPr>
        <sz val="12"/>
        <rFont val="ＭＳ Ｐゴシック"/>
        <family val="3"/>
        <charset val="128"/>
        <scheme val="minor"/>
      </rPr>
      <t>通信教育課程と医療技術学部スポーツ医療学科救命救急士コースを除いた他の学科において、80％程度以上の</t>
    </r>
    <r>
      <rPr>
        <sz val="12"/>
        <color theme="1"/>
        <rFont val="ＭＳ Ｐゴシック"/>
        <family val="3"/>
        <charset val="128"/>
        <scheme val="minor"/>
      </rPr>
      <t>単位修得率となっており、学部全体の単位修得率については、86.5％となっている。</t>
    </r>
    <rPh sb="0" eb="1">
      <t>ホン</t>
    </rPh>
    <rPh sb="76" eb="78">
      <t>タンイ</t>
    </rPh>
    <rPh sb="79" eb="83">
      <t>シュウトクジョウキョウ</t>
    </rPh>
    <rPh sb="93" eb="97">
      <t>ジョウホウカガク</t>
    </rPh>
    <rPh sb="97" eb="98">
      <t>カ</t>
    </rPh>
    <rPh sb="100" eb="102">
      <t>キョウイク</t>
    </rPh>
    <rPh sb="115" eb="119">
      <t>イリョウガッカ</t>
    </rPh>
    <rPh sb="131" eb="132">
      <t>タ</t>
    </rPh>
    <rPh sb="133" eb="135">
      <t>ガッカ</t>
    </rPh>
    <rPh sb="148" eb="150">
      <t>タンイ</t>
    </rPh>
    <rPh sb="161" eb="162">
      <t>ブ</t>
    </rPh>
    <rPh sb="162" eb="164">
      <t>ゼンタイ</t>
    </rPh>
    <rPh sb="165" eb="170">
      <t>タンイシュウトクリツ</t>
    </rPh>
    <phoneticPr fontId="1"/>
  </si>
  <si>
    <t>本プログラムは、AIの活用事例や倫理的な問題やデータを用いた実践的な内容の授業である。データサイエンスやAIが現代社会の中でどのように活用されているかを示すことで、学生の興味を引くだけではなく、学ぶ楽しさや学ぶことの意義へとつなげられ、その結果はレポートや感想の中で把握できている。</t>
    <rPh sb="0" eb="1">
      <t>ホン</t>
    </rPh>
    <rPh sb="11" eb="13">
      <t>カツヨウ</t>
    </rPh>
    <rPh sb="16" eb="19">
      <t>リンリテキ</t>
    </rPh>
    <rPh sb="20" eb="22">
      <t>モンダイ</t>
    </rPh>
    <rPh sb="32" eb="33">
      <t>テキ</t>
    </rPh>
    <rPh sb="34" eb="36">
      <t>ナイヨウ</t>
    </rPh>
    <rPh sb="37" eb="39">
      <t>ジュギョウ</t>
    </rPh>
    <rPh sb="55" eb="57">
      <t>ゲンダイ</t>
    </rPh>
    <rPh sb="57" eb="59">
      <t>シャカイ</t>
    </rPh>
    <rPh sb="60" eb="61">
      <t>ナカ</t>
    </rPh>
    <rPh sb="133" eb="135">
      <t>ハアク</t>
    </rPh>
    <phoneticPr fontId="1"/>
  </si>
  <si>
    <t>薬学部</t>
    <rPh sb="0" eb="3">
      <t>ヤクガクブ</t>
    </rPh>
    <phoneticPr fontId="1"/>
  </si>
  <si>
    <t>医療技術学部</t>
    <rPh sb="0" eb="6">
      <t>イリョウギジュツガクブ</t>
    </rPh>
    <phoneticPr fontId="1"/>
  </si>
  <si>
    <t xml:space="preserve">【令和４年度入学生以降】
薬学部においては、プログラムを構成する「医療統計学」の２単位を取得すること。
</t>
    <rPh sb="13" eb="16">
      <t>ヤクガクブ</t>
    </rPh>
    <phoneticPr fontId="1"/>
  </si>
  <si>
    <t xml:space="preserve">【令和４年度入学生以降】
医学部においては、プログラムを構成する「医療統計学」の２単位を取得すること。
</t>
    <rPh sb="13" eb="16">
      <t>イガクブ</t>
    </rPh>
    <phoneticPr fontId="1"/>
  </si>
  <si>
    <t xml:space="preserve">【令和４年度入学生以降】
視能矯正学科、看護学科、診療放射線学科、臨床検査学科、スポーツ医療学科救急救命士コースにおいては、プログラムを構成する「医療統計学」の２単位を取得すること。
スポーツ医療学科健康スポーツコース・トップアスリートコース、柔道整復学科においては、プログラムを構成する「データサイエンス・AI入門」の２単位を取得すること。
</t>
    <rPh sb="13" eb="15">
      <t>シノウ</t>
    </rPh>
    <rPh sb="15" eb="17">
      <t>キョウセイ</t>
    </rPh>
    <rPh sb="17" eb="19">
      <t>ガッカ</t>
    </rPh>
    <rPh sb="20" eb="22">
      <t>カンゴ</t>
    </rPh>
    <rPh sb="22" eb="24">
      <t>ガッカ</t>
    </rPh>
    <rPh sb="25" eb="27">
      <t>シンリョウ</t>
    </rPh>
    <rPh sb="27" eb="30">
      <t>ホウシャセン</t>
    </rPh>
    <rPh sb="30" eb="32">
      <t>ガッカ</t>
    </rPh>
    <rPh sb="33" eb="35">
      <t>リンショウ</t>
    </rPh>
    <rPh sb="35" eb="37">
      <t>ケンサ</t>
    </rPh>
    <rPh sb="37" eb="39">
      <t>ガッカ</t>
    </rPh>
    <rPh sb="44" eb="46">
      <t>イリョウ</t>
    </rPh>
    <rPh sb="46" eb="48">
      <t>ガッカ</t>
    </rPh>
    <rPh sb="48" eb="50">
      <t>キュウキュウ</t>
    </rPh>
    <rPh sb="50" eb="53">
      <t>キュウメイシ</t>
    </rPh>
    <rPh sb="100" eb="102">
      <t>ケンコウ</t>
    </rPh>
    <rPh sb="122" eb="128">
      <t>ジュウドウセイフクガッカ</t>
    </rPh>
    <phoneticPr fontId="1"/>
  </si>
  <si>
    <t>様式１-4</t>
    <rPh sb="0" eb="2">
      <t>ヨウシキ</t>
    </rPh>
    <phoneticPr fontId="1"/>
  </si>
  <si>
    <t>経済学部、法学部、文学部、外国語学部、教育学部、理工学部、理工学部情報科学科通信教育課程</t>
    <rPh sb="29" eb="33">
      <t>リコウガクブ</t>
    </rPh>
    <phoneticPr fontId="1"/>
  </si>
  <si>
    <t>【令和４年度入学生以降】
経済学部、法学部、文学部、外国語学部、教育学部、理工学部、理工学部情報科学科通信教育課程においては、プログラムを構成する「データサイエンス・AI入門」の２単位を取得すること。</t>
    <phoneticPr fontId="1"/>
  </si>
  <si>
    <t xml:space="preserve">【令和４年度入学生以降】
理学療法学科、作業療法学科においては、プログラムを構成する「医療情報処理演習Ⅰ」「医療情報処理演習Ⅱ」の各1単位、計２単位を取得すること。
看護学科、診療放射線学科においては、プログラムを構成する「情報処理演習」の1単位を取得すること。
医療技術学科においては、プログラムを構成する「情報処理演習Ⅰ」「情報処理演習Ⅱ」の各1単位、計２単位を取得すること。
</t>
    <rPh sb="83" eb="87">
      <t>カンゴガッカ</t>
    </rPh>
    <rPh sb="88" eb="95">
      <t>シンリョウホウシャセンガッカ</t>
    </rPh>
    <phoneticPr fontId="1"/>
  </si>
  <si>
    <t>医療情報処理演習Ⅱ</t>
    <phoneticPr fontId="1"/>
  </si>
  <si>
    <t>医療情報処理演習Ⅰ</t>
    <phoneticPr fontId="1"/>
  </si>
  <si>
    <t>・調査データ、実験データ、人の行動ログデータ、機械の稼働ログデータなど「医療統計学」（１回目）
・データ作成（ビッグデータとアノテーション）「医療統計学」（１回目）
・データのオープン化（オープンデータ）「医療統計学」（１回目）</t>
    <phoneticPr fontId="1"/>
  </si>
  <si>
    <t>・データ・AI活用領域の広がり(生産、消費、文化活動など)「医療統計学」（１回目）
・研究開発、調達、製造、物流、販売、マーケティング、サービスなど「医療統計学」（１回目）
・仮説検証、知識発見、原因究明、計画策定、判断支援、活動代替、新規生成など「医療統計学」（１回目）</t>
    <phoneticPr fontId="1"/>
  </si>
  <si>
    <t>・データ解析：予測、グルーピング、パターン発見、最適化、シミュレーション・データ同化など「医療統計学」（１回目）
・データ可視化：複合グラフ、2軸グラフ、多次元の可視化、関係性の可視化、地図上の可視化、挙動・軌跡の可視化、リアルタイム可視化など「医療統計学」（２回目）
・特化型AIと汎用AI、今のAIで出来ることと出来ないこと、AIとビッグデータ「医療統計学」（１回目）</t>
    <phoneticPr fontId="1"/>
  </si>
  <si>
    <t>・データサイエンスのサイクル（課題抽出と定式化、データの取得・管理・加工、探索的データ解析、データ解析と推論、結果の共有・伝達、課題解決に向けた提案）「医療統計学」（１回目）
・流通、製造、金融、サービス、インフラ、公共、ヘルスケア等におけるデータ・AI利活用事例紹介「医療統計学」（８回目）</t>
    <phoneticPr fontId="1"/>
  </si>
  <si>
    <t>・AI等を活用した新しいビジネスモデル(シェアリングエコノミー、商品のレコメンデーションなど)「医療統計学」（８回目）
・AI最新技術の活用例（深層生成モデル、敵対的生成ネットワーク、強化学習、転移学習など）「医療統計学」（１回目）</t>
    <phoneticPr fontId="1"/>
  </si>
  <si>
    <t>・データの種類（量的変数、質的変数）「医療統計学」（２回目）
・データの分布(ヒストグラム)と代表値（平均値、中央値、最頻値）「医療統計学」（２回目）
・代表値の性質の違い（実社会では平均値＝最頻値でないことが多い）「医療統計学」（２回目）
・データのばらつき（分散、標準偏差、偏差値）「医療統計学」（２回目）
・観測データに含まれる誤差の扱い「医療統計学」（２回目）
・相関と因果（相関係数、擬似相関、交絡）「医療統計学」（６回目）
・母集団と標本抽出（国勢調査、アンケート調査、全数調査、単純無作為抽出、層別抽出、多段抽出）「医療統計学」（３回目）</t>
    <phoneticPr fontId="1"/>
  </si>
  <si>
    <t>・データ表現（棒グラフ、折線グラフ、散布図、ヒートマップ）「医療統計学」（２回目）
・データの図表表現（チャート化）「医療統計学」（２回目）
・データの比較（条件をそろえた比較、処理の前後での比較、A/Bテスト)「医療統計学」（１０回目）</t>
    <phoneticPr fontId="1"/>
  </si>
  <si>
    <t>・データの集計（和、平均）「医療統計学」（３回目）
・データ解析ツール（スプレッドシート）「医療統計学」（３回目）
・表形式のデータ（csv）「医療統計学」（３回目）</t>
    <phoneticPr fontId="1"/>
  </si>
  <si>
    <t>・ELSI（Ethical, Legal and Social Issues）「医療統計学」（１回目）
・個人情報保護、EU一般データ保護規則(GDPR)、忘れられる権利、オプトアウト「医療統計学」（１回目）
・データ倫理：データのねつ造、改ざん、盗用、プライバシー保護「医療統計学」（１回目）
・AI社会原則（公平性、説明責任、透明性、人間中心の判断）「医療統計学」（１回目）
・AIサービスの責任論「医療統計学」（１回目）</t>
    <phoneticPr fontId="1"/>
  </si>
  <si>
    <t>・情報セキュリティ：機密性、完全性、可用性「医療統計学」（１回目）
・匿名加工情報、暗号化、パスワード、悪意ある情報搾取「医療統計学」（１回目）</t>
    <phoneticPr fontId="1"/>
  </si>
  <si>
    <t>・ビッグデータ、IoT、AI、ロボット「医療統計学」（１回目）
・複数技術を組み合わせたAIサービス「医療統計学」（１回目）</t>
    <phoneticPr fontId="1"/>
  </si>
  <si>
    <t>・データのオープン化（オープンデータ）「医療統計学」（１５回目）</t>
    <phoneticPr fontId="1"/>
  </si>
  <si>
    <t>・データ・AI活用領域の広がり(生産、消費、文化活動など)「医療統計学」（１回目）
・仮説検証、知識発見、原因究明、計画策定、判断支援、活動代替、新規生成など「医療統計学」（４回目）（５回目）（６回目）（７回目）（８回目）（１２回目）（１３回目）（１４回目）</t>
    <phoneticPr fontId="1"/>
  </si>
  <si>
    <t>・データ解析：予測、グルーピング、パターン発見、最適化、シミュレーション・データ同化など「医療統計学」（１回目）（３回目）（６回目）（８回目）（１１回目）（１３回目）（１４回目）
・データ可視化：複合グラフ、2軸グラフ、多次元の可視化、関係性の可視化、地図上の可視化、挙動・軌跡の可視化、リアルタイム可視化など「医療統計学」（３回目）</t>
    <phoneticPr fontId="1"/>
  </si>
  <si>
    <t>・データサイエンスのサイクル（課題抽出と定式化、データの取得・管理・加工、探索的データ解析、データ解析と推論、結果の共有・伝達、課題解決に向けた提案）「医療統計学」（１５回目）
・流通、製造、金融、サービス、インフラ、公共、ヘルスケア等におけるデータ・AI利活用事例紹介「医療統計学」（１５回目）</t>
    <phoneticPr fontId="1"/>
  </si>
  <si>
    <t>・AI最新技術の活用例（深層生成モデル、敵対的生成ネットワーク、強化学習、転移学習など）「医療統計学」（１回目）（１５回目）</t>
    <phoneticPr fontId="1"/>
  </si>
  <si>
    <t xml:space="preserve">・データの集計（和、平均）「医療統計学」（１回目）（２回目）（８回目）
・データの並び替え、ランキング「医療統計学」（２回目）（８回目）
・データ解析ツール（スプレッドシート）「医療統計学」（１０回目）
・表形式のデータ（csv）「医療統計学」（６回目）（７回目）
</t>
    <phoneticPr fontId="1"/>
  </si>
  <si>
    <t>・個人情報保護、EU一般データ保護規則(GDPR)、忘れられる権利、オプトアウト「医療統計学」（１５回目）
・データ倫理：データのねつ造、改ざん、盗用、プライバシー保護「医療統計学」（８回目）</t>
    <phoneticPr fontId="1"/>
  </si>
  <si>
    <t>・匿名加工情報、暗号化、パスワード、悪意ある情報搾取「医療統計学」（８回目）（１５回目）</t>
    <phoneticPr fontId="1"/>
  </si>
  <si>
    <t>・データ表現（棒グラフ、折線グラフ、散布図、ヒートマップ）「医療統計学」（２回目）（５回目）（６回目）（１１回目）（１３回目）
・データの図表表現（チャート化）「医療統計学」（２回目）（１２回目）
・データの比較（条件をそろえた比較、処理の前後での比較、A/Bテスト)「医療統計学」（９回目）</t>
    <phoneticPr fontId="1"/>
  </si>
  <si>
    <t>・データの種類（量的変数、質的変数）「医療統計学」（１回目）（２回目）（３回目）（４回目）（５回目）（１４回目）
・データの分布(ヒストグラム)と代表値（平均値、中央値、最頻値）「医療統計学」（１回目）（２回目）（３回目）（４回目）（５回目）
・代表値の性質の違い（実社会では平均値＝最頻値でないことが多い）「医療統計学」（２回目）（５回目）
・データのばらつき（分散、標準偏差、偏差値）「医療統計学」（２回目）（３回目）（４回目）（５回目）（９回目）（１０回目）
・観測データに含まれる誤差の扱い「医療統計学」（６回目）（９回目）（１０回目）
・打ち切りや脱落を含むデータ、層別の必要なデータ「医療統計学」（１１回目）（１３回目）
・相関と因果（相関係数、擬似相関、交絡）「医療統計学」（１回目）（２回目）（６回目）（１３回目）（１４回目）
・母集団と標本抽出（国勢調査、アンケート調査、全数調査、単純無作為抽出、層別抽出、多段抽出）「医療統計学」（３回目）（４回目）（５回目）（６回目）（７回目）（８回目）（１０回目）（１１回目）（１３回目）（１４回目）
・クロス集計表、分割表、相関係数行列、散布図行列「医療統計学」（７回目）（９回目）
・統計情報の正しい理解（誇張表現に惑わされない）「医療統計学」（１２回目）</t>
    <phoneticPr fontId="1"/>
  </si>
  <si>
    <t>・調査データ、実験データ、人の行動ログデータ、機械の稼働ログデータなど「データサイエンス・AI入門」（２回目）（３回目）
・1次データ、2次データ、データのメタ化「データサイエンス・AI入門」（２回目）（３回目）
・構造化データ、非構造化データ（文章、画像/動画、音声/音楽など）「データサイエンス・AI入門」（３回目）
・データ作成（ビッグデータとアノテーション）「データサイエンス・AI入門」（３回目）
・データのオープン化（オープンデータ）「データサイエンス・AI入門」（３回目）</t>
    <phoneticPr fontId="1"/>
  </si>
  <si>
    <t>・データ・AI活用領域の広がり(生産、消費、文化活動など)「データサイエンス・AI入門」（２回目）（８回目）
・研究開発、調達、製造、物流、販売、マーケティング、サービスなど「データサイエンス・AI入門」（２回目）
・仮説検証、知識発見、原因究明、計画策定、判断支援、活動代替、新規生成など「データサイエンス・AI入門」（２回目）</t>
    <phoneticPr fontId="1"/>
  </si>
  <si>
    <t>・データ解析：予測、グルーピング、パターン発見、最適化、シミュレーション・データ同化など「データサイエンス・AI入門」（２回目）（４回目）
・データ可視化：複合グラフ、2軸グラフ、多次元の可視化、関係性の可視化、地図上の可視化、挙動・軌跡の可視化、リアルタイム可視化など「データサイエンス・AI入門」（２回目）（４回目）
・非構造化データ処理：言語処理、画像/動画処理、音声/音楽処理など「データサイエンス・AI入門」（４回目）
・特化型AIと汎用AI、今のAIで出来ることと出来ないこと、AIとビッグデータ「データサイエンス・AI入門」（４回目）
・認識技術、ルールベース、自動化技術「データサイエンス・AI入門」（４回目）</t>
    <phoneticPr fontId="1"/>
  </si>
  <si>
    <t>・ビッグデータ、IoT、AI、ロボット「データサイエンス・AI入門」（１回目）
・データ量の増加、計算機の処理性能の向上、AIの非連続的進化「データサイエンス・AI入門」（１回目）
・第4次産業革命、Society 5.0、データ駆動型社会「データサイエンス・AI入門」（１回目）
・複数技術を組み合わせたAIサービス「データサイエンス・AI入門」（１回目）
・人間の知的活動とAIの関係性「データサイエンス・AI入門」（１回目）
・データを起点としたものの見方、人間の知的活動を起点としたものの見方「データサイエンス・AI入門」（１回目）（２回目）</t>
    <phoneticPr fontId="1"/>
  </si>
  <si>
    <t>・AI等を活用した新しいビジネスモデル(シェアリングエコノミー、商品のレコメンデーションなど)「データサイエンス・AI入門」（２回目）（５回目）
・AI最新技術の活用例（深層生成モデル、敵対的生成ネットワーク、強化学習、転移学習など）「データサイエンス・AI入門」（５回目）</t>
    <phoneticPr fontId="1"/>
  </si>
  <si>
    <t>・データサイエンスのサイクル（課題抽出と定式化、データの取得・管理・加工、探索的データ解析、データ解析と推論、結果の共有・伝達、課題解決に向けた提案）「データサイエンス・AI入門」（２回目）
・流通、製造、金融、サービス、インフラ、公共、ヘルスケア等におけるデータ・AI利活用事例紹介「データサイエンス・AI入門」（２回目）（５回目）</t>
    <phoneticPr fontId="1"/>
  </si>
  <si>
    <t>・ELSI（Ethical, Legal and Social Issues）「データサイエンス・AI入門」（６回目）
・個人情報保護、EU一般データ保護規則(GDPR)、忘れられる権利、オプトアウト「データサイエンス・AI入門」（６回目）
・データ倫理：データのねつ造、改ざん、盗用、プライバシー保護「データサイエンス・AI入門」（７回目）
・AI社会原則（公平性、説明責任、透明性、人間中心の判断）「データサイエンス・AI入門」（６回目）
・データバイアス、アルゴリズムバイアス「データサイエンス・AI入門」（６回目）
・AIサービスの責任論「データサイエンス・AI入門」（６回目）
・データ・AI活用における負の事例紹介「データサイエンス・AI入門」（８回目）</t>
    <phoneticPr fontId="1"/>
  </si>
  <si>
    <t>・情報セキュリティ：機密性、完全性、可用性「データサイエンス・AI入門」（７回目）
・匿名加工情報、暗号化、パスワード、悪意ある情報搾取「データサイエンス・AI入門」（７回目）
・情報漏洩等によるセキュリティ事故の事例紹介「データサイエンス・AI入門」（７回目）</t>
    <phoneticPr fontId="1"/>
  </si>
  <si>
    <t>・データの種類（量的変数、質的変数）「データサイエンス・AI入門」（９回目）
・データの分布(ヒストグラム)と代表値（平均値、中央値、最頻値）「データサイエンス・AI入門」（２回目）（１０回目）
・代表値の性質の違い（実社会では平均値＝最頻値でないことが多い）「データサイエンス・AI入門」（１０回目）
・データのばらつき（分散、標準偏差、偏差値）「データサイエンス・AI入門」（２回目）（１１回目）
・観測データに含まれる誤差の扱い「データサイエンス・AI入門」（１２回目）
・打ち切りや脱落を含むデータ、層別の必要なデータ「データサイエンス・AI入門」（１３回目）
・相関と因果（相関係数、擬似相関、交絡）「データサイエンス・AI入門」（２回目）（１３回目）
・母集団と標本抽出（国勢調査、アンケート調査、全数調査、単純無作為抽出、層別抽出、多段抽出）「データサイエンス・AI入門」（２回目）（１２回目）
・クロス集計表、分割表、相関係数行列、散布図行列「データサイエンス・AI入門」（１４回目）
・統計情報の正しい理解（誇張表現に惑わされない）「データサイエンス・AI入門」（２回目）（１５回目）</t>
    <phoneticPr fontId="1"/>
  </si>
  <si>
    <t>・データ表現（棒グラフ、折線グラフ、散布図、ヒートマップ）「データサイエンス・AI入門」（２回目）（１４回目）
・データの図表表現（チャート化）「データサイエンス・AI入門」（１５回目）
・不適切なグラフ表現（チャートジャンク、不必要な視覚的要素）「データサイエンス・AI入門」（１５回目）
・優れた可視化事例の紹介（可視化することによって新たな気づきがあった事例など）「データサイエンス・AI入門」（２回目）（１５回目）</t>
    <rPh sb="52" eb="54">
      <t>カイメ</t>
    </rPh>
    <phoneticPr fontId="1"/>
  </si>
  <si>
    <t>・データの集計（和、平均）「データサイエンス・AI入門」（１０回目）
・データ解析ツール（スプレッドシート）「データサイエンス・AI入門」（１０回目）（１１回目）</t>
    <phoneticPr fontId="1"/>
  </si>
  <si>
    <t>・ビッグデータ、IoT、AI、ロボット「医療統計学」（１回目）「データサイエンス・AI入門」（１回目）
・データ量の増加、計算機の処理性能の向上、AIの非連続的進化「データサイエンス・AI入門」（１回目）
・第4次産業革命、Society 5.0、データ駆動型社会「医療統計学」（１回目）「データサイエンス・AI入門」（１回目）
・複数技術を組み合わせたAIサービス「データサイエンス・AI入門」（１回目）
・人間の知的活動とAIの関係性「医療統計学」（１回目）「データサイエンス・AI入門」（１回目）
・データを起点としたものの見方、人間の知的活動を起点としたものの見方「医療統計学」（１回目）「データサイエンス・AI入門」（１回目）（２回目）</t>
    <phoneticPr fontId="1"/>
  </si>
  <si>
    <t>・AI等を活用した新しいビジネスモデル(シェアリングエコノミー、商品のレコメンデーションなど)「医療統計学」（８回目）「データサイエンス・AI入門」（２回目）（５回目）
・AI最新技術の活用例（深層生成モデル、敵対的生成ネットワーク、強化学習、転移学習など）「医療統計学」（１回目）「データサイエンス・AI入門」（５回目）</t>
    <phoneticPr fontId="1"/>
  </si>
  <si>
    <t>・調査データ、実験データ、人の行動ログデータ、機械の稼働ログデータなど「医療統計学」（１回目）「データサイエンス・AI入門」（２回目）（３回目）
・1次データ、2次データ、データのメタ化「データサイエンス・AI入門」（２回目）（３回目）
・構造化データ、非構造化データ（文章、画像/動画、音声/音楽など）「データサイエンス・AI入門」（３回目）
・データ作成（ビッグデータとアノテーション）「医療統計学」（１回目）「データサイエンス・AI入門」（３回目）
・データのオープン化（オープンデータ）「医療統計学」（１回目）「データサイエンス・AI入門」（３回目）</t>
    <phoneticPr fontId="1"/>
  </si>
  <si>
    <t>・データ・AI活用領域の広がり(生産、消費、文化活動など)「医療統計学」（１回目）「データサイエンス・AI入門」（２回目）（８回目）
・研究開発、調達、製造、物流、販売、マーケティング、サービスなど「医療統計学」（１回目）「データサイエンス・AI入門」（２回目）
・仮説検証、知識発見、原因究明、計画策定、判断支援、活動代替、新規生成など「医療統計学」（１回目）「データサイエンス・AI入門」（２回目）</t>
    <phoneticPr fontId="1"/>
  </si>
  <si>
    <t>・データ解析：予測、グルーピング、パターン発見、最適化、シミュレーション・データ同化など「医療統計学」（１回目）「データサイエンス・AI入門」（２回目）（４回目）
・データ可視化：複合グラフ、2軸グラフ、多次元の可視化、関係性の可視化、地図上の可視化、挙動・軌跡の可視化、リアルタイム可視化など「医療統計学」（２回目）「データサイエンス・AI入門」（２回目）（４回目）
・非構造化データ処理：言語処理、画像/動画処理、音声/音楽処理など「データサイエンス・AI入門」（４回目）
・特化型AIと汎用AI、今のAIで出来ることと出来ないこと、AIとビッグデータ「医療統計学」（１回目）「データサイエンス・AI入門」（４回目）
・認識技術、ルールベース、自動化技術「データサイエンス・AI入門」（４回目）</t>
    <phoneticPr fontId="1"/>
  </si>
  <si>
    <r>
      <t xml:space="preserve">・データサイエンスのサイクル（課題抽出と定式化、データの取得・管理・加工、探索的データ解析、データ解析と推論、結果の共有・伝達、課題解決に向けた提案）「医療統計学」（１回目）「データサイエンス・AI入門」（２回目）
・流通、製造、金融、サービス、インフラ、公共、ヘルスケア等におけるデータ・AI利活用事例紹介「医療統計学」（８回目）「データサイエンス・AI入門」（２回目）（５回目）
</t>
    </r>
    <r>
      <rPr>
        <strike/>
        <sz val="12"/>
        <color rgb="FFFF0000"/>
        <rFont val="ＭＳ Ｐゴシック"/>
        <family val="3"/>
        <charset val="128"/>
        <scheme val="minor"/>
      </rPr>
      <t/>
    </r>
    <phoneticPr fontId="1"/>
  </si>
  <si>
    <t>・ELSI（Ethical, Legal and Social Issues）「医療統計学」（１回目）「データサイエンス・AI入門」（６回目）
・個人情報保護、EU一般データ保護規則(GDPR)、忘れられる権利、オプトアウト「医療統計学」（１回目）「データサイエンス・AI入門」（６回目）
・データ倫理：データのねつ造、改ざん、盗用、プライバシー保護「医療統計学」（１回目）「データサイエンス・AI入門」（７回目）
・AI社会原則（公平性、説明責任、透明性、人間中心の判断）「医療統計学」（１回目）「データサイエンス・AI入門」（６回目）
・データバイアス、アルゴリズムバイアス「データサイエンス・AI入門」（６回目）
・AIサービスの責任論「医療統計学」（１回目）「データサイエンス・AI入門」（６回目）
・データ・AI活用における負の事例紹介「データサイエンス・AI入門」（８回目）</t>
    <phoneticPr fontId="1"/>
  </si>
  <si>
    <t>・情報セキュリティ：機密性、完全性、可用性「医療統計学」（１回目）「データサイエンス・AI入門」（７回目）
・匿名加工情報、暗号化、パスワード、悪意ある情報搾取「医療統計学」（１回目）「データサイエンス・AI入門」（７回目）
・情報漏洩等によるセキュリティ事故の事例紹介「データサイエンス・AI入門」（７回目）</t>
    <phoneticPr fontId="1"/>
  </si>
  <si>
    <t>・データの種類（量的変数、質的変数）「医療統計学」（２回目）「データサイエンス・AI入門」（９回目）
・データの分布(ヒストグラム)と代表値（平均値、中央値、最頻値）「医療統計学」（２回目）「データサイエンス・AI入門」（２回目）（１０回目）
・代表値の性質の違い（実社会では平均値＝最頻値でないことが多い）「医療統計学」（２回目）「データサイエンス・AI入門」（１０回目）
・データのばらつき（分散、標準偏差、偏差値）「医療統計学」（２回目）「データサイエンス・AI入門」（２回目）（１１回目）
・観測データに含まれる誤差の扱い「医療統計学」（２回目）「データサイエンス・AI入門」（１２回目）
・打ち切りや脱落を含むデータ、層別の必要なデータ「データサイエンス・AI入門」（１３回目）
・相関と因果（相関係数、擬似相関、交絡）「医療統計学」（６回目）「データサイエンス・AI入門」（２回目）（１３回目）
・母集団と標本抽出（国勢調査、アンケート調査、全数調査、単純無作為抽出、層別抽出、多段抽出）「医療統計学」（３回目）「データサイエンス・AI入門」（２回目）（１２回目）
・クロス集計表、分割表、相関係数行列、散布図行列「データサイエンス・AI入門」（１４回目）
・統計情報の正しい理解（誇張表現に惑わされない）「データサイエンス・AI入門」（２回目）（１５回目）</t>
    <phoneticPr fontId="1"/>
  </si>
  <si>
    <t>・データ表現（棒グラフ、折線グラフ、散布図、ヒートマップ）「医療統計学」（２回目）「データサイエンス・AI入門」（２回目）（１４回目）
・データの図表表現（チャート化）「医療統計学」（２回目）「データサイエンス・AI入門」（１５回目）
・データの比較（条件をそろえた比較、処理の前後での比較、A/Bテスト)「医療統計学」（１０回目）
・不適切なグラフ表現（チャートジャンク、不必要な視覚的要素）「データサイエンス・AI入門」（１５回目）
・優れた可視化事例の紹介（可視化することによって新たな気づきがあった事例など）「データサイエンス・AI入門」（２回目）（１５回目）</t>
    <phoneticPr fontId="1"/>
  </si>
  <si>
    <t>・データの集計（和、平均）「医療統計学」（３回目）「データサイエンス・AI入門」（１０回目）
・データ解析ツール（スプレッドシート）「医療統計学」（３回目）「データサイエンス・AI入門」（１０回目）（１１回目）
・表形式のデータ（csv）「医療統計学」（３回目）</t>
    <phoneticPr fontId="1"/>
  </si>
  <si>
    <t>・ビッグデータ、IoT、AI、ロボット「医療統計学」（１回目）
・第4次産業革命、Society 5.0、データ駆動型社会「医療統計学」（１回目）
・人間の知的活動とAIの関係性「医療統計学」（１回目）
・データを起点としたものの見方、人間の知的活動を起点としたものの見方「医療統計学」（１回目）</t>
    <phoneticPr fontId="1"/>
  </si>
  <si>
    <t>・AI等を活用した新しいビジネスモデル(シェアリングエコノミー、商品のレコメンデーションなど)「医療情報処理演習Ⅱ」（１回目）「情報処理演習」＜看護学科＞（４回目）「情報処理演習」＜診療放射線学科＞（１３回目）「情報処理演習Ⅱ」（１回目）
・AI最新技術の活用例（深層生成モデル、敵対的生成ネットワーク、強化学習、転移学習など）「医療情報処理演習Ⅱ」（１回目）「情報処理演習」＜看護学科＞（４回目）「情報処理演習」＜診療放射線学科＞（１３回目）「情報処理演習Ⅱ」（１回目）</t>
    <phoneticPr fontId="1"/>
  </si>
  <si>
    <t>・調査データ、実験データ、人の行動ログデータ、機械の稼働ログデータなど「医療情報処理演習Ⅱ」（２回目）「情報処理演習」＜看護学科＞（５回目）「情報処理演習」＜診療放射線学科＞（１４回目）「情報処理演習Ⅱ」（２回目）
・1次データ、2次データ、データのメタ化「医療情報処理演習Ⅱ」（２回目）「情報処理演習」＜看護学科＞（５回目）「情報処理演習」＜診療放射線学科＞（１４回目）「情報処理演習Ⅱ」（２回目）
・構造化データ、非構造化データ（文章、画像/動画、音声/音楽など）「医療情報処理演習Ⅱ」（２回目）「情報処理演習」＜看護学科＞（５回目）「情報処理演習」＜診療放射線学科＞（１４回目）「情報処理演習Ⅱ」（２回目）
・データ作成（ビッグデータとアノテーション）「医療情報処理演習Ⅱ」（２回目）「情報処理演習」＜看護学科＞（５回目）「情報処理演習」＜診療放射線学科＞（１４回目）「情報処理演習Ⅱ」（２回目）
・データのオープン化（オープンデータ）「医療情報処理演習Ⅱ」（２回目）「情報処理演習」＜看護学科＞（５回目）「情報処理演習」＜診療放射線学科＞（１４回目）「情報処理演習Ⅱ」（２回目）</t>
    <phoneticPr fontId="1"/>
  </si>
  <si>
    <t>・データ・AI活用領域の広がり(生産、消費、文化活動など)「医療情報処理演習Ⅱ」（３回目）「情報処理演習」＜看護学科＞（６回目）「情報処理演習」＜診療放射線学科＞（１５回目）「情報処理演習Ⅱ」（３回目）
・研究開発、調達、製造、物流、販売、マーケティング、サービスなど「医療情報処理演習Ⅱ」（３回目）「情報処理演習」＜看護学科＞（６回目）「情報処理演習」＜診療放射線学科＞（１５回目）「情報処理演習Ⅱ」（３回目）
・仮説検証、知識発見、原因究明、計画策定、判断支援、活動代替、新規生成など「医療情報処理演習Ⅱ」（３回目）「情報処理演習」＜看護学科＞（６回目）「情報処理演習」＜診療放射線学科＞（１５回目）「情報処理演習Ⅱ」（３回目）</t>
    <phoneticPr fontId="1"/>
  </si>
  <si>
    <t>・データ解析：予測、グルーピング、パターン発見、最適化、シミュレーション・データ同化など「医療情報処理演習Ⅱ」（３回目）「情報処理演習」＜看護学科＞（６回目）「情報処理演習」＜診療放射線学科＞（１５回目）「情報処理演習Ⅱ」（３回目）
・データ可視化：複合グラフ、2軸グラフ、多次元の可視化、関係性の可視化、地図上の可視化、挙動・軌跡の可視化、リアルタイム可視化など「医療情報処理演習Ⅱ」（３回目）「情報処理演習」＜看護学科＞（６回目）「情報処理演習」＜診療放射線学科＞（１５回目）「情報処理演習Ⅱ」（３回目）
・非構造化データ処理：言語処理、画像/動画処理、音声/音楽処理など「医療情報処理演習Ⅱ」（３回目）「情報処理演習」＜看護学科＞（６回目）「情報処理演習」＜診療放射線学科＞（１５回目）「情報処理演習Ⅱ」（３回目）
・特化型AIと汎用AI、今のAIで出来ることと出来ないこと、AIとビッグデータ「医療情報処理演習Ⅱ」（３回目）「情報処理演習」＜看護学科＞（６回目）「情報処理演習」＜診療放射線学科＞（１５回目）「情報処理演習Ⅱ」（３回目）
・認識技術、ルールベース、自動化技術「医療情報処理演習Ⅱ」（３回目）「情報処理演習」＜看護学科＞（６回目）「情報処理演習」＜診療放射線学科＞（１５回目）「情報処理演習Ⅱ」（３回目）</t>
    <phoneticPr fontId="1"/>
  </si>
  <si>
    <t>・ELSI（Ethical, Legal and Social Issues）「医療情報処理演習Ⅰ」（５回目）「情報処理演習」＜看護学科＞（３回目）「情報処理演習」＜診療放射線学科＞（１回目）「情報処理演習Ⅰ」（５回目）
・個人情報保護、EU一般データ保護規則(GDPR)、忘れられる権利、オプトアウト「医療情報処理演習Ⅰ」（５回目）「情報処理演習」＜看護学科＞（３回目）「情報処理演習」＜診療放射線学科＞（１回目）「情報処理演習Ⅰ」（５回目）
・データ倫理：データのねつ造、改ざん、盗用、プライバシー保護「医療情報処理演習Ⅰ」（５回目）「情報処理演習」＜看護学科＞（３回目）「情報処理演習」＜診療放射線学科＞（１回目）「情報処理演習Ⅰ」（５回目）
・AI社会原則（公平性、説明責任、透明性、人間中心の判断）「医療情報処理演習Ⅰ」（５回目）「情報処理演習」＜看護学科＞（３回目）「情報処理演習」＜診療放射線学科＞（１回目）「情報処理演習Ⅰ」（５回目）</t>
    <phoneticPr fontId="1"/>
  </si>
  <si>
    <t>・情報セキュリティ：機密性、完全性、可用性「医療情報処理演習Ⅰ」（５回目）「情報処理演習」＜看護学科＞（３回目）「情報処理演習」＜診療放射線学科＞（１回目）「情報処理演習Ⅰ」（５回目）
・匿名加工情報、暗号化、パスワード、悪意ある情報搾取「医療情報処理演習Ⅰ」（５回目）「情報処理演習」＜看護学科＞（３回目）「情報処理演習」＜診療放射線学科＞（１回目）「情報処理演習Ⅰ」（５回目）
・情報漏洩等によるセキュリティ事故の事例紹介「医療情報処理演習Ⅰ」（５回目）「情報処理演習」＜看護学科＞（３回目）「情報処理演習」＜診療放射線学科＞（１回目）「情報処理演習Ⅰ」（５回目）</t>
    <phoneticPr fontId="1"/>
  </si>
  <si>
    <t>・データの種類（量的変数、質的変数）「医療情報処理演習Ⅱ」（５回目）「情報処理演習」＜看護学科＞（１１回目）「情報処理演習」＜診療放射線学科＞（２回目）「情報処理演習Ⅱ」（５回目）
・データの分布(ヒストグラム)と代表値（平均値、中央値、最頻値）「医療情報処理演習Ⅱ」（５回目）「情報処理演習」＜看護学科＞（１１回目）「情報処理演習」＜診療放射線学科＞（２回目）「情報処理演習Ⅱ」（５回目）
・代表値の性質の違い（実社会では平均値＝最頻値でないことが多い）「医療情報処理演習Ⅱ」（５回目）「情報処理演習」＜看護学科＞（１１回目）「情報処理演習」＜診療放射線学科＞（２回目）「情報処理演習Ⅱ」（５回目）
・データのばらつき（分散、標準偏差、偏差値）「医療情報処理演習Ⅱ」（５回目）「情報処理演習」＜看護学科＞（１１回目）「情報処理演習」＜診療放射線学科＞（２回目）「情報処理演習Ⅱ」（５回目）
・観測データに含まれる誤差の扱い「医療情報処理演習Ⅱ」（５回目）「情報処理演習」＜看護学科＞（１１回目）「情報処理演習」＜診療放射線学科＞（２回目）「情報処理演習Ⅱ」（５回目）
・打ち切りや脱落を含むデータ、層別の必要なデータ「医療情報処理演習Ⅱ」（５回目）「情報処理演習」＜看護学科＞（１１回目）「情報処理演習」＜診療放射線学科＞（２回目）「情報処理演習Ⅱ」（５回目）
・相関と因果（相関係数、擬似相関、交絡）「医療情報処理演習Ⅱ」（５回目）「情報処理演習」＜看護学科＞（１１回目）「情報処理演習」＜診療放射線学科＞（２回目）「情報処理演習Ⅱ」（５回目）
・母集団と標本抽出（国勢調査、アンケート調査、全数調査、単純無作為抽出、層別抽出、多段抽出）「医療情報処理演習Ⅱ」（６回目）「情報処理演習」＜看護学科＞（１２回目）「情報処理演習」＜診療放射線学科＞（３回目）「情報処理演習Ⅱ」（６回目）
・クロス集計表、分割表、相関係数行列、散布図行列「医療情報処理演習Ⅱ」（１３回目）（１４回目）（１５回目）「情報処理演習」＜看護学科＞（１３回目）「情報処理演習」＜診療放射線学科＞（４回目）「情報処理演習Ⅱ」（１３回目）（１４回目）（１５回目）
・統計情報の正しい理解（誇張表現に惑わされない）「医療情報処理演習Ⅱ」（１０回目）（１１回目）「情報処理演習」＜看護学科＞（１５回目）「情報処理演習」＜診療放射線学科＞（７回目）「情報処理演習Ⅱ」（１０回目）（１１回目）</t>
    <phoneticPr fontId="1"/>
  </si>
  <si>
    <t>・データ表現（棒グラフ、折線グラフ、散布図、ヒートマップ）「医療情報処理演習Ⅱ」（４回目）「情報処理演習」＜看護学科＞（１２回目）「情報処理演習」＜診療放射線学科＞（３回目）「情報処理演習Ⅱ」（４回目）
・データの図表表現（チャート化）「医療情報処理演習Ⅱ」（４回目）「情報処理演習」＜看護学科＞（１２回目）「情報処理演習」＜診療放射線学科＞（３回目）「情報処理演習Ⅱ」（４回目）
・データの比較（条件をそろえた比較、処理の前後での比較、A/Bテスト)「医療情報処理演習Ⅱ」（４回目）「情報処理演習」＜看護学科＞（１２回目）「情報処理演習」＜診療放射線学科＞（３回目）「情報処理演習Ⅱ」（４回目）
・不適切なグラフ表現（チャートジャンク、不必要な視覚的要素）「医療情報処理演習Ⅱ」（４回目）「情報処理演習」＜看護学科＞（１２回目）「情報処理演習」＜診療放射線学科＞（３回目）「情報処理演習Ⅱ」（４回目）
・優れた可視化事例の紹介（可視化することによって新たな気づきがあった事例など）「医療情報処理演習Ⅱ」（２回目）「情報処理演習」＜看護学科＞（５回目）「情報処理演習」＜診療放射線学科＞（１４回目）「情報処理演習Ⅱ」（２回目）</t>
    <phoneticPr fontId="1"/>
  </si>
  <si>
    <t>・データの集計（和、平均）「医療情報処理演習Ⅱ」（７回目）（８回目）（９回目）「情報処理演習」＜看護学科＞（１３回目）（１４回目）「情報処理演習」＜診療放射線学科＞（４回目）（５回目）「情報処理演習Ⅱ」（７回目）（８回目）（９回目）
・データの並び替え、ランキング「医療情報処理演習Ⅱ」（７回目）「情報処理演習」＜看護学科＞（１３回目）（１４回目）「情報処理演習」＜診療放射線学科＞（４回目）「情報処理演習Ⅱ」（７回目）
・データ解析ツール（スプレッドシート）「医療情報処理演習Ⅱ」（７回目）「情報処理演習」＜看護学科＞（１３回目）（１４回目）「情報処理演習」＜診療放射線学科＞（４回目）「情報処理演習Ⅱ」（７回目）
・表形式のデータ（csv）「医療情報処理演習Ⅱ」（７回目）「情報処理演習」＜看護学科＞（１３回目）（１４回目）「情報処理演習」＜診療放射線学科＞（４回目）「情報処理演習Ⅱ」（７回目）</t>
    <phoneticPr fontId="1"/>
  </si>
  <si>
    <t>・ビッグデータ、IoT、AI、ロボット「医療情報処理演習Ⅱ」（１回目）「情報処理演習」＜看護学科＞（４回目）「情報処理演習」＜診療放射線学科＞（１３回目）「情報処理演習Ⅱ」（１回目）
・データ量の増加、計算機の処理性能の向上、AIの非連続的進化「医療情報処理演習Ⅱ」（１回目）「情報処理演習」＜看護学科＞（４回目）「情報処理演習」＜診療放射線学科＞（１３回目）「情報処理演習Ⅱ」（１回目）
・第4次産業革命、Society 5.0、データ駆動型社会「医療情報処理演習Ⅱ」（１回目）「情報処理演習」＜看護学科＞（４回目）「情報処理演習」＜診療放射線学科＞（１３回目）「情報処理演習Ⅱ」（１回目）
・複数技術を組み合わせたAIサービス「医療情報処理演習Ⅱ」（１回目）「情報処理演習」＜看護学科＞（４回目）「情報処理演習」＜診療放射線学科＞（１３回目）「情報処理演習Ⅱ」（１回目）
・人間の知的活動とAIの関係性「医療情報処理演習Ⅱ」（１回目）「情報処理演習」＜看護学科＞（４回目）「情報処理演習」＜診療放射線学科＞（１３回目）「情報処理演習Ⅱ」（１回目）</t>
    <rPh sb="32" eb="33">
      <t>カイ</t>
    </rPh>
    <rPh sb="33" eb="34">
      <t>メ</t>
    </rPh>
    <rPh sb="44" eb="48">
      <t>カンゴガッカ</t>
    </rPh>
    <phoneticPr fontId="1"/>
  </si>
  <si>
    <t>・データサイエンスのサイクル（課題抽出と定式化、データの取得・管理・加工、探索的データ解析、データ解析と推論、結果の共有・伝達、課題解決に向けた提案）「医療情報処理演習Ⅱ」（２回目）（３回目）「情報処理演習」＜看護学科＞（５回目）（６回目）「情報処理演習」＜診療放射線学科＞（１４回目）（１５回目）「情報処理演習Ⅱ」（２回目）（３回目）
・流通、製造、金融、サービス、インフラ、公共、ヘルスケア等におけるデータ・AI利活用事例紹介「医療情報処理演習Ⅱ」（２回目）「情報処理演習」＜看護学科＞（５回目）「情報処理演習」＜診療放射線学科＞（１４回目）「情報処理演習Ⅱ」（２回目）</t>
    <rPh sb="93" eb="95">
      <t>カイメ</t>
    </rPh>
    <rPh sb="146" eb="148">
      <t>カイメ</t>
    </rPh>
    <rPh sb="160" eb="162">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</si>
</sst>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9"/>
      <color indexed="81"/>
      <name val="MS P ゴシック"/>
      <family val="3"/>
      <charset val="128"/>
    </font>
    <font>
      <b/>
      <sz val="9"/>
      <color indexed="81"/>
      <name val="MS P ゴシック"/>
      <family val="3"/>
      <charset val="128"/>
    </font>
    <font>
      <strike/>
      <sz val="12"/>
      <color rgb="FFFF0000"/>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diagonalUp="1">
      <left style="dotted">
        <color auto="1"/>
      </left>
      <right style="hair">
        <color auto="1"/>
      </right>
      <top style="thin">
        <color auto="1"/>
      </top>
      <bottom/>
      <diagonal style="thin">
        <color auto="1"/>
      </diagonal>
    </border>
    <border diagonalUp="1">
      <left style="hair">
        <color auto="1"/>
      </left>
      <right style="thin">
        <color auto="1"/>
      </right>
      <top style="thin">
        <color auto="1"/>
      </top>
      <bottom/>
      <diagonal style="thin">
        <color auto="1"/>
      </diagonal>
    </border>
    <border diagonalUp="1">
      <left style="dotted">
        <color auto="1"/>
      </left>
      <right style="hair">
        <color auto="1"/>
      </right>
      <top style="hair">
        <color auto="1"/>
      </top>
      <bottom style="hair">
        <color auto="1"/>
      </bottom>
      <diagonal style="thin">
        <color auto="1"/>
      </diagonal>
    </border>
    <border diagonalUp="1">
      <left style="hair">
        <color auto="1"/>
      </left>
      <right style="thin">
        <color auto="1"/>
      </right>
      <top style="hair">
        <color auto="1"/>
      </top>
      <bottom style="hair">
        <color auto="1"/>
      </bottom>
      <diagonal style="thin">
        <color auto="1"/>
      </diagonal>
    </border>
    <border diagonalUp="1">
      <left style="dotted">
        <color auto="1"/>
      </left>
      <right/>
      <top style="thin">
        <color auto="1"/>
      </top>
      <bottom/>
      <diagonal style="thin">
        <color auto="1"/>
      </diagonal>
    </border>
    <border diagonalUp="1">
      <left style="dotted">
        <color auto="1"/>
      </left>
      <right/>
      <top style="hair">
        <color auto="1"/>
      </top>
      <bottom style="hair">
        <color auto="1"/>
      </bottom>
      <diagonal style="thin">
        <color auto="1"/>
      </diagonal>
    </border>
    <border>
      <left/>
      <right style="thin">
        <color auto="1"/>
      </right>
      <top style="hair">
        <color auto="1"/>
      </top>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4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0" fontId="2" fillId="0" borderId="0" xfId="0" applyFont="1" applyAlignment="1">
      <alignment horizontal="left" vertical="center"/>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6" xfId="0" applyFont="1" applyBorder="1" applyAlignment="1">
      <alignment horizontal="center" vertical="center" shrinkToFit="1"/>
    </xf>
    <xf numFmtId="0" fontId="2" fillId="0" borderId="0" xfId="0" applyFont="1" applyAlignment="1">
      <alignment vertical="top" wrapText="1"/>
    </xf>
    <xf numFmtId="0" fontId="9" fillId="0" borderId="11" xfId="0" applyFont="1" applyBorder="1" applyAlignment="1">
      <alignment horizontal="center" vertical="center"/>
    </xf>
    <xf numFmtId="0" fontId="9" fillId="0" borderId="50" xfId="0" applyFont="1" applyBorder="1" applyAlignment="1">
      <alignment horizontal="center" vertical="center"/>
    </xf>
    <xf numFmtId="0" fontId="9" fillId="0" borderId="51"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0" xfId="0" applyFont="1" applyAlignment="1">
      <alignment horizontal="center" vertical="center" shrinkToFit="1"/>
    </xf>
    <xf numFmtId="49" fontId="3" fillId="0" borderId="46"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7" xfId="0" applyNumberFormat="1" applyFont="1" applyBorder="1" applyAlignment="1">
      <alignment horizontal="center" vertical="center"/>
    </xf>
    <xf numFmtId="49" fontId="3" fillId="0" borderId="45" xfId="0" applyNumberFormat="1" applyFont="1" applyBorder="1" applyAlignment="1">
      <alignment horizontal="center" vertical="center"/>
    </xf>
    <xf numFmtId="49" fontId="3" fillId="0" borderId="30"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0" xfId="0" applyFont="1" applyFill="1" applyBorder="1" applyAlignment="1">
      <alignment vertical="top" wrapText="1"/>
    </xf>
    <xf numFmtId="0" fontId="3" fillId="2" borderId="41" xfId="0" applyFont="1" applyFill="1" applyBorder="1" applyAlignment="1">
      <alignment vertical="top" wrapText="1"/>
    </xf>
    <xf numFmtId="0" fontId="3" fillId="2" borderId="40"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1"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8"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2" xfId="2" applyFont="1" applyBorder="1" applyAlignment="1">
      <alignment vertical="center" shrinkToFit="1"/>
    </xf>
    <xf numFmtId="38" fontId="2" fillId="0" borderId="28"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5" xfId="2" applyFont="1" applyBorder="1" applyAlignment="1">
      <alignment vertical="center" shrinkToFit="1"/>
    </xf>
    <xf numFmtId="38" fontId="2" fillId="0" borderId="53" xfId="2" applyFont="1" applyBorder="1" applyAlignment="1">
      <alignment vertical="center" shrinkToFit="1"/>
    </xf>
    <xf numFmtId="38" fontId="2" fillId="0" borderId="30"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4" xfId="2" applyFont="1" applyBorder="1" applyAlignment="1">
      <alignment vertical="center" shrinkToFit="1"/>
    </xf>
    <xf numFmtId="38" fontId="2" fillId="0" borderId="49"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6" xfId="2" applyFont="1" applyBorder="1" applyAlignment="1">
      <alignment vertical="center" shrinkToFit="1"/>
    </xf>
    <xf numFmtId="38" fontId="2" fillId="0" borderId="31" xfId="2"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top" wrapText="1"/>
    </xf>
    <xf numFmtId="0" fontId="12" fillId="0" borderId="14" xfId="0" applyFont="1" applyBorder="1" applyAlignment="1">
      <alignment horizontal="left" vertical="center" shrinkToFit="1"/>
    </xf>
    <xf numFmtId="0" fontId="12" fillId="0" borderId="0" xfId="0" applyFont="1" applyBorder="1" applyAlignment="1">
      <alignment vertical="center" shrinkToFit="1"/>
    </xf>
    <xf numFmtId="0" fontId="12" fillId="0" borderId="15" xfId="0" applyFont="1" applyBorder="1" applyAlignment="1">
      <alignment vertical="center" shrinkToFit="1"/>
    </xf>
    <xf numFmtId="0" fontId="12" fillId="0" borderId="5" xfId="0" applyFont="1" applyBorder="1" applyAlignment="1">
      <alignment vertical="center" shrinkToFit="1"/>
    </xf>
    <xf numFmtId="0" fontId="12" fillId="0" borderId="22" xfId="0" applyFont="1" applyBorder="1" applyAlignment="1">
      <alignment horizontal="left" vertical="center" shrinkToFit="1"/>
    </xf>
    <xf numFmtId="0" fontId="12" fillId="0" borderId="20" xfId="0" applyFont="1" applyBorder="1" applyAlignment="1">
      <alignment vertical="center" shrinkToFit="1"/>
    </xf>
    <xf numFmtId="0" fontId="12" fillId="0" borderId="22" xfId="0" applyFont="1" applyBorder="1" applyAlignment="1">
      <alignment vertical="center" shrinkToFit="1"/>
    </xf>
    <xf numFmtId="0" fontId="12" fillId="0" borderId="19" xfId="0" applyFont="1" applyBorder="1" applyAlignment="1">
      <alignment vertical="center" shrinkToFit="1"/>
    </xf>
    <xf numFmtId="176" fontId="11" fillId="0" borderId="58" xfId="0" applyNumberFormat="1" applyFont="1" applyBorder="1" applyAlignment="1">
      <alignment vertical="center" shrinkToFit="1"/>
    </xf>
    <xf numFmtId="38" fontId="2" fillId="0" borderId="59" xfId="2" applyFont="1" applyBorder="1" applyAlignment="1">
      <alignment vertical="center" shrinkToFit="1"/>
    </xf>
    <xf numFmtId="176" fontId="11" fillId="0" borderId="60" xfId="0" applyNumberFormat="1" applyFont="1" applyBorder="1" applyAlignment="1">
      <alignment vertical="center" shrinkToFit="1"/>
    </xf>
    <xf numFmtId="38" fontId="2" fillId="0" borderId="61"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0" fontId="2" fillId="0" borderId="0" xfId="0" applyFont="1" applyAlignment="1">
      <alignment vertical="center" wrapTex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applyAlignment="1">
      <alignment vertical="top" wrapText="1"/>
    </xf>
    <xf numFmtId="0" fontId="2" fillId="0" borderId="0" xfId="0" applyFont="1">
      <alignment vertical="center"/>
    </xf>
    <xf numFmtId="0" fontId="2" fillId="0" borderId="0" xfId="0" applyFont="1" applyAlignment="1">
      <alignment horizontal="center" vertical="center"/>
    </xf>
    <xf numFmtId="9" fontId="2" fillId="0" borderId="15"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vertical="top" wrapText="1"/>
    </xf>
    <xf numFmtId="0" fontId="2" fillId="0" borderId="0" xfId="0" applyFont="1" applyAlignment="1">
      <alignment horizontal="center" vertical="center"/>
    </xf>
    <xf numFmtId="0" fontId="2" fillId="0" borderId="15" xfId="0" applyFont="1" applyBorder="1" applyAlignment="1">
      <alignment horizontal="center"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vertical="top" wrapText="1"/>
    </xf>
    <xf numFmtId="0" fontId="2" fillId="0" borderId="65" xfId="0" applyFont="1" applyBorder="1" applyAlignment="1">
      <alignment horizontal="center"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5"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2" xfId="0" applyFont="1" applyBorder="1" applyAlignment="1">
      <alignment vertical="center" shrinkToFit="1"/>
    </xf>
    <xf numFmtId="0" fontId="2" fillId="0" borderId="34" xfId="0" applyFont="1" applyBorder="1" applyAlignment="1">
      <alignment vertical="center" shrinkToFit="1"/>
    </xf>
    <xf numFmtId="0" fontId="2" fillId="0" borderId="33"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5"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5"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7" xfId="0" applyFont="1" applyBorder="1" applyAlignment="1">
      <alignment horizontal="left" vertical="center" shrinkToFit="1"/>
    </xf>
    <xf numFmtId="0" fontId="2" fillId="0" borderId="32" xfId="0" applyFont="1" applyBorder="1" applyAlignment="1">
      <alignment horizontal="left" vertical="center" shrinkToFit="1"/>
    </xf>
    <xf numFmtId="0" fontId="2" fillId="0" borderId="34" xfId="0" applyFont="1" applyBorder="1" applyAlignment="1">
      <alignment horizontal="left" vertical="center" shrinkToFit="1"/>
    </xf>
    <xf numFmtId="0" fontId="2" fillId="0" borderId="33" xfId="0" applyFont="1" applyBorder="1" applyAlignment="1">
      <alignment horizontal="left" vertical="center" shrinkToFit="1"/>
    </xf>
    <xf numFmtId="0" fontId="2" fillId="0" borderId="32"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3" xfId="0" applyFont="1" applyBorder="1" applyAlignment="1">
      <alignment vertical="center" wrapText="1"/>
    </xf>
    <xf numFmtId="0" fontId="3" fillId="0" borderId="44" xfId="0" applyFont="1" applyBorder="1" applyAlignment="1">
      <alignment vertical="center" wrapText="1"/>
    </xf>
    <xf numFmtId="0" fontId="3" fillId="0" borderId="29" xfId="0" applyFont="1" applyBorder="1" applyAlignment="1">
      <alignment vertical="center" wrapText="1"/>
    </xf>
    <xf numFmtId="0" fontId="2" fillId="0" borderId="32" xfId="0" applyFont="1" applyBorder="1" applyAlignment="1">
      <alignment vertical="center" wrapText="1" shrinkToFit="1"/>
    </xf>
    <xf numFmtId="0" fontId="12" fillId="0" borderId="35" xfId="0" applyFont="1" applyBorder="1" applyAlignment="1">
      <alignmen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3" xfId="0" applyFont="1" applyBorder="1" applyAlignment="1">
      <alignment horizontal="center" vertical="center" shrinkToFit="1"/>
    </xf>
    <xf numFmtId="0" fontId="12" fillId="0" borderId="35" xfId="0" applyFont="1" applyBorder="1" applyAlignment="1">
      <alignment horizontal="left" vertical="center" wrapText="1" shrinkToFit="1"/>
    </xf>
    <xf numFmtId="0" fontId="2" fillId="0" borderId="34" xfId="0" applyFont="1" applyBorder="1" applyAlignment="1">
      <alignment horizontal="left" vertical="center" wrapText="1" shrinkToFit="1"/>
    </xf>
    <xf numFmtId="0" fontId="2" fillId="0" borderId="33" xfId="0" applyFont="1" applyBorder="1" applyAlignment="1">
      <alignment horizontal="left" vertical="center" wrapText="1" shrinkToFit="1"/>
    </xf>
    <xf numFmtId="0" fontId="2" fillId="0" borderId="36" xfId="0" applyFont="1" applyBorder="1" applyAlignment="1">
      <alignment horizontal="left" vertical="center" wrapText="1" shrinkToFit="1"/>
    </xf>
    <xf numFmtId="0" fontId="2" fillId="0" borderId="37" xfId="0" applyFont="1" applyBorder="1" applyAlignment="1">
      <alignment horizontal="left" vertical="center" wrapText="1" shrinkToFit="1"/>
    </xf>
    <xf numFmtId="0" fontId="2" fillId="0" borderId="35" xfId="0" applyFont="1" applyBorder="1" applyAlignment="1">
      <alignment vertical="center" wrapText="1" shrinkToFit="1"/>
    </xf>
    <xf numFmtId="0" fontId="2" fillId="0" borderId="7" xfId="0" applyFont="1" applyBorder="1" applyAlignment="1">
      <alignment vertical="center"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5" fillId="0" borderId="32" xfId="0" applyFont="1" applyBorder="1" applyAlignment="1">
      <alignment horizontal="left" vertical="center" wrapText="1" shrinkToFit="1"/>
    </xf>
    <xf numFmtId="0" fontId="5" fillId="0" borderId="34" xfId="0" applyFont="1" applyBorder="1" applyAlignment="1">
      <alignment horizontal="left" vertical="center" shrinkToFit="1"/>
    </xf>
    <xf numFmtId="0" fontId="5" fillId="0" borderId="33" xfId="0" applyFont="1" applyBorder="1" applyAlignment="1">
      <alignment horizontal="left" vertical="center" shrinkToFit="1"/>
    </xf>
    <xf numFmtId="0" fontId="16" fillId="0" borderId="35" xfId="0" applyFont="1" applyBorder="1" applyAlignment="1">
      <alignment horizontal="left" vertical="center" wrapText="1" shrinkToFit="1"/>
    </xf>
    <xf numFmtId="0" fontId="16" fillId="0" borderId="36" xfId="0" applyFont="1" applyBorder="1" applyAlignment="1">
      <alignment horizontal="left" vertical="center" shrinkToFit="1"/>
    </xf>
    <xf numFmtId="0" fontId="16" fillId="0" borderId="37" xfId="0" applyFont="1" applyBorder="1" applyAlignment="1">
      <alignment horizontal="left" vertical="center" shrinkToFit="1"/>
    </xf>
    <xf numFmtId="0" fontId="5" fillId="0" borderId="35" xfId="0" applyFont="1" applyBorder="1" applyAlignment="1">
      <alignment horizontal="left" vertical="center" wrapText="1" shrinkToFit="1"/>
    </xf>
    <xf numFmtId="0" fontId="5" fillId="0" borderId="36" xfId="0" applyFont="1" applyBorder="1" applyAlignment="1">
      <alignment horizontal="left" vertical="center" shrinkToFit="1"/>
    </xf>
    <xf numFmtId="0" fontId="5" fillId="0" borderId="37" xfId="0" applyFont="1" applyBorder="1" applyAlignment="1">
      <alignment horizontal="left" vertical="center" shrinkToFit="1"/>
    </xf>
    <xf numFmtId="0" fontId="5" fillId="0" borderId="32" xfId="0" applyFont="1" applyBorder="1" applyAlignment="1">
      <alignment vertical="center" wrapText="1" shrinkToFit="1"/>
    </xf>
    <xf numFmtId="0" fontId="5" fillId="0" borderId="34" xfId="0" applyFont="1" applyBorder="1" applyAlignment="1">
      <alignment vertical="center" shrinkToFit="1"/>
    </xf>
    <xf numFmtId="0" fontId="5" fillId="0" borderId="33" xfId="0" applyFont="1" applyBorder="1" applyAlignment="1">
      <alignment vertical="center" shrinkToFit="1"/>
    </xf>
    <xf numFmtId="0" fontId="5" fillId="0" borderId="19" xfId="0" applyFont="1" applyBorder="1" applyAlignment="1">
      <alignment vertical="center" wrapText="1" shrinkToFit="1"/>
    </xf>
    <xf numFmtId="0" fontId="5" fillId="0" borderId="20" xfId="0" applyFont="1" applyBorder="1" applyAlignment="1">
      <alignment vertical="center" shrinkToFit="1"/>
    </xf>
    <xf numFmtId="0" fontId="5" fillId="0" borderId="18" xfId="0" applyFont="1" applyBorder="1" applyAlignment="1">
      <alignment vertical="center" shrinkToFit="1"/>
    </xf>
    <xf numFmtId="0" fontId="5" fillId="0" borderId="35" xfId="0" applyFont="1" applyBorder="1" applyAlignment="1">
      <alignment vertical="center" wrapText="1" shrinkToFit="1"/>
    </xf>
    <xf numFmtId="0" fontId="5" fillId="0" borderId="36" xfId="0" applyFont="1" applyBorder="1" applyAlignment="1">
      <alignment vertical="center" shrinkToFit="1"/>
    </xf>
    <xf numFmtId="0" fontId="5" fillId="0" borderId="37" xfId="0" applyFont="1" applyBorder="1" applyAlignment="1">
      <alignment vertical="center" shrinkToFit="1"/>
    </xf>
    <xf numFmtId="0" fontId="5" fillId="0" borderId="5" xfId="0" applyFont="1" applyBorder="1" applyAlignment="1">
      <alignment horizontal="left" vertical="center" wrapText="1" shrinkToFit="1"/>
    </xf>
    <xf numFmtId="0" fontId="5" fillId="0" borderId="0" xfId="0" applyFont="1" applyBorder="1" applyAlignment="1">
      <alignment horizontal="left" vertical="center" shrinkToFit="1"/>
    </xf>
    <xf numFmtId="0" fontId="5" fillId="0" borderId="10" xfId="0" applyFont="1" applyBorder="1" applyAlignment="1">
      <alignment horizontal="left" vertical="center" shrinkToFit="1"/>
    </xf>
    <xf numFmtId="0" fontId="5" fillId="0" borderId="16" xfId="0" applyFont="1" applyBorder="1" applyAlignment="1">
      <alignment horizontal="left" vertical="center" wrapText="1" shrinkToFit="1"/>
    </xf>
    <xf numFmtId="0" fontId="5" fillId="0" borderId="21" xfId="0" applyFont="1" applyBorder="1" applyAlignment="1">
      <alignment horizontal="left" vertical="center" shrinkToFit="1"/>
    </xf>
    <xf numFmtId="0" fontId="5" fillId="0" borderId="64" xfId="0" applyFont="1" applyBorder="1" applyAlignment="1">
      <alignment horizontal="left" vertical="center" shrinkToFit="1"/>
    </xf>
    <xf numFmtId="0" fontId="7" fillId="0" borderId="32" xfId="0" applyFont="1" applyBorder="1" applyAlignment="1">
      <alignment vertical="center" wrapText="1" shrinkToFit="1"/>
    </xf>
    <xf numFmtId="0" fontId="7" fillId="0" borderId="34" xfId="0" applyFont="1" applyBorder="1" applyAlignment="1">
      <alignment vertical="center" shrinkToFit="1"/>
    </xf>
    <xf numFmtId="0" fontId="7" fillId="0" borderId="33" xfId="0" applyFont="1" applyBorder="1" applyAlignment="1">
      <alignment vertical="center" shrinkToFit="1"/>
    </xf>
    <xf numFmtId="0" fontId="7" fillId="0" borderId="19" xfId="0" applyFont="1" applyBorder="1" applyAlignment="1">
      <alignment vertical="center" wrapText="1"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7" fillId="0" borderId="35" xfId="0" applyFont="1" applyBorder="1" applyAlignment="1">
      <alignment vertical="center" wrapText="1" shrinkToFit="1"/>
    </xf>
    <xf numFmtId="0" fontId="7" fillId="0" borderId="36" xfId="0" applyFont="1" applyBorder="1" applyAlignment="1">
      <alignment vertical="center" shrinkToFit="1"/>
    </xf>
    <xf numFmtId="0" fontId="7" fillId="0" borderId="37" xfId="0" applyFont="1" applyBorder="1" applyAlignment="1">
      <alignment vertical="center" shrinkToFit="1"/>
    </xf>
    <xf numFmtId="0" fontId="7" fillId="0" borderId="32" xfId="0" applyFont="1" applyBorder="1" applyAlignment="1">
      <alignment horizontal="left" vertical="center" wrapText="1" shrinkToFit="1"/>
    </xf>
    <xf numFmtId="0" fontId="7" fillId="0" borderId="34" xfId="0" applyFont="1" applyBorder="1" applyAlignment="1">
      <alignment horizontal="left" vertical="center" shrinkToFit="1"/>
    </xf>
    <xf numFmtId="0" fontId="7" fillId="0" borderId="33" xfId="0" applyFont="1" applyBorder="1" applyAlignment="1">
      <alignment horizontal="left" vertical="center" shrinkToFit="1"/>
    </xf>
    <xf numFmtId="0" fontId="7" fillId="0" borderId="35" xfId="0" applyFont="1" applyBorder="1" applyAlignment="1">
      <alignment horizontal="left" vertical="center" wrapText="1" shrinkToFit="1"/>
    </xf>
    <xf numFmtId="0" fontId="7" fillId="0" borderId="36" xfId="0" applyFont="1" applyBorder="1" applyAlignment="1">
      <alignment horizontal="left" vertical="center" wrapText="1" shrinkToFit="1"/>
    </xf>
    <xf numFmtId="0" fontId="7" fillId="0" borderId="37" xfId="0" applyFont="1" applyBorder="1" applyAlignment="1">
      <alignment horizontal="left" vertical="center" wrapText="1" shrinkToFit="1"/>
    </xf>
    <xf numFmtId="0" fontId="7" fillId="0" borderId="36" xfId="0" applyFont="1" applyBorder="1" applyAlignment="1">
      <alignment horizontal="left" vertical="center" shrinkToFit="1"/>
    </xf>
    <xf numFmtId="0" fontId="7" fillId="0" borderId="37" xfId="0" applyFont="1" applyBorder="1" applyAlignment="1">
      <alignment horizontal="left" vertical="center" shrinkToFit="1"/>
    </xf>
    <xf numFmtId="0" fontId="7" fillId="0" borderId="35" xfId="0" applyFont="1" applyBorder="1" applyAlignment="1">
      <alignment horizontal="left" vertical="center" wrapText="1"/>
    </xf>
    <xf numFmtId="0" fontId="7" fillId="0" borderId="36" xfId="0" applyFont="1" applyBorder="1" applyAlignment="1">
      <alignment horizontal="left" vertical="center" wrapText="1"/>
    </xf>
    <xf numFmtId="0" fontId="7" fillId="0" borderId="37" xfId="0" applyFont="1" applyBorder="1" applyAlignment="1">
      <alignment horizontal="left" vertical="center" wrapText="1"/>
    </xf>
    <xf numFmtId="0" fontId="2" fillId="0" borderId="16" xfId="0" applyFont="1" applyBorder="1" applyAlignment="1">
      <alignment vertical="center" shrinkToFit="1"/>
    </xf>
    <xf numFmtId="0" fontId="2" fillId="0" borderId="21" xfId="0" applyFont="1" applyBorder="1" applyAlignment="1">
      <alignment vertical="center" shrinkToFit="1"/>
    </xf>
    <xf numFmtId="0" fontId="2" fillId="0" borderId="64" xfId="0" applyFont="1" applyBorder="1" applyAlignment="1">
      <alignment vertical="center" shrinkToFit="1"/>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8"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8"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13" xfId="0" applyFont="1" applyBorder="1" applyAlignment="1">
      <alignment horizontal="center" vertical="center"/>
    </xf>
    <xf numFmtId="9" fontId="2" fillId="0" borderId="1" xfId="0" applyNumberFormat="1" applyFont="1" applyBorder="1" applyAlignment="1">
      <alignment horizontal="center" vertical="center" wrapText="1" shrinkToFit="1"/>
    </xf>
    <xf numFmtId="0" fontId="2" fillId="0" borderId="0" xfId="0" applyFont="1" applyAlignment="1">
      <alignment horizontal="center"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9" fontId="2" fillId="0" borderId="1" xfId="0" applyNumberFormat="1" applyFont="1" applyBorder="1" applyAlignment="1">
      <alignment horizontal="center"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7"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0" fontId="2" fillId="0" borderId="39" xfId="0" applyFont="1" applyBorder="1" applyAlignment="1">
      <alignment vertical="center" wrapTex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0" xfId="0" applyFont="1" applyBorder="1" applyAlignment="1">
      <alignment vertical="top" wrapText="1" shrinkToFit="1"/>
    </xf>
    <xf numFmtId="0" fontId="2" fillId="0" borderId="41"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57" xfId="0" applyFont="1" applyBorder="1" applyAlignment="1">
      <alignment vertical="center" wrapText="1"/>
    </xf>
    <xf numFmtId="0" fontId="2" fillId="0" borderId="37" xfId="0" applyFont="1" applyBorder="1" applyAlignment="1">
      <alignment vertical="center" wrapText="1"/>
    </xf>
    <xf numFmtId="0" fontId="2" fillId="0" borderId="35" xfId="0" applyFont="1" applyBorder="1" applyAlignment="1">
      <alignment vertical="top" wrapText="1" shrinkToFi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5">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B1" zoomScaleNormal="100" zoomScaleSheetLayoutView="100" workbookViewId="0">
      <selection activeCell="J20" sqref="J20"/>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40" t="s">
        <v>150</v>
      </c>
      <c r="S1" s="140"/>
      <c r="T1" s="2" t="s">
        <v>109</v>
      </c>
    </row>
    <row r="2" spans="1:22" ht="18.75" customHeight="1">
      <c r="B2" s="28" t="s">
        <v>108</v>
      </c>
      <c r="C2" s="133" t="s">
        <v>126</v>
      </c>
      <c r="D2" s="134"/>
      <c r="E2" s="134"/>
      <c r="F2" s="134"/>
      <c r="G2" s="134"/>
      <c r="H2" s="134"/>
      <c r="I2" s="135"/>
      <c r="J2" s="29"/>
      <c r="K2" s="5"/>
      <c r="L2" s="5"/>
      <c r="M2" s="5"/>
      <c r="N2" s="5"/>
      <c r="O2" s="5"/>
      <c r="P2" s="5"/>
      <c r="Q2" s="5"/>
      <c r="R2" s="5"/>
      <c r="S2" s="5"/>
    </row>
    <row r="3" spans="1:22" ht="18.75" customHeight="1">
      <c r="B3" s="28" t="s">
        <v>102</v>
      </c>
      <c r="C3" s="133" t="s">
        <v>127</v>
      </c>
      <c r="D3" s="134"/>
      <c r="E3" s="134"/>
      <c r="F3" s="134"/>
      <c r="G3" s="134"/>
      <c r="H3" s="134"/>
      <c r="I3" s="135"/>
      <c r="J3" s="29"/>
      <c r="K3" s="5"/>
      <c r="L3" s="5"/>
      <c r="M3" s="5"/>
      <c r="N3" s="5"/>
      <c r="O3" s="5"/>
      <c r="P3" s="5"/>
      <c r="Q3" s="5"/>
      <c r="R3" s="5"/>
      <c r="S3" s="5"/>
    </row>
    <row r="4" spans="1:22" ht="15" customHeight="1">
      <c r="K4" s="29"/>
      <c r="L4" s="31"/>
      <c r="M4" s="31"/>
      <c r="N4" s="31"/>
      <c r="O4" s="31"/>
      <c r="P4" s="31"/>
      <c r="Q4" s="31"/>
      <c r="R4" s="31"/>
      <c r="S4" s="31"/>
    </row>
    <row r="5" spans="1:22" ht="18" customHeight="1">
      <c r="A5" s="144" t="s">
        <v>38</v>
      </c>
      <c r="B5" s="144"/>
      <c r="C5" s="144"/>
      <c r="D5" s="144"/>
      <c r="E5" s="144"/>
      <c r="F5" s="144"/>
      <c r="G5" s="144"/>
      <c r="H5" s="144"/>
      <c r="I5" s="144"/>
      <c r="J5" s="144"/>
      <c r="K5" s="144"/>
      <c r="L5" s="144"/>
      <c r="M5" s="144"/>
      <c r="N5" s="144"/>
      <c r="O5" s="144"/>
      <c r="P5" s="144"/>
      <c r="Q5" s="144"/>
      <c r="R5" s="144"/>
      <c r="S5" s="144"/>
    </row>
    <row r="6" spans="1:22" ht="15" customHeight="1">
      <c r="B6" s="3"/>
      <c r="C6" s="3"/>
      <c r="D6" s="3"/>
      <c r="E6" s="3"/>
      <c r="F6" s="3"/>
      <c r="G6" s="3"/>
      <c r="H6" s="3"/>
      <c r="I6" s="3"/>
      <c r="J6" s="3"/>
      <c r="K6" s="3"/>
      <c r="L6" s="3"/>
      <c r="M6" s="3"/>
      <c r="N6" s="3"/>
      <c r="O6" s="3"/>
      <c r="P6" s="3"/>
      <c r="Q6" s="3"/>
      <c r="R6" s="3"/>
      <c r="S6" s="3"/>
    </row>
    <row r="7" spans="1:22" ht="18" customHeight="1">
      <c r="A7" s="1" t="s">
        <v>124</v>
      </c>
      <c r="C7" s="3"/>
      <c r="J7" s="32" t="s">
        <v>107</v>
      </c>
      <c r="K7" s="154" t="s">
        <v>128</v>
      </c>
      <c r="L7" s="155"/>
      <c r="M7" s="155"/>
      <c r="N7" s="155"/>
      <c r="O7" s="155"/>
      <c r="P7" s="155"/>
      <c r="Q7" s="155"/>
      <c r="R7" s="155"/>
      <c r="S7" s="156"/>
    </row>
    <row r="8" spans="1:22" ht="6" customHeight="1">
      <c r="B8" s="3"/>
      <c r="C8" s="3"/>
      <c r="D8" s="3"/>
      <c r="E8" s="3"/>
      <c r="F8" s="3"/>
      <c r="G8" s="3"/>
      <c r="H8" s="3"/>
      <c r="I8" s="3"/>
      <c r="J8" s="3"/>
      <c r="K8" s="8"/>
      <c r="L8" s="3"/>
      <c r="M8" s="3"/>
      <c r="N8" s="3"/>
      <c r="O8" s="3"/>
      <c r="P8" s="3"/>
      <c r="Q8" s="3"/>
      <c r="R8" s="3"/>
      <c r="S8" s="3"/>
    </row>
    <row r="9" spans="1:22" ht="18" customHeight="1">
      <c r="B9" s="121" t="s">
        <v>129</v>
      </c>
      <c r="C9" s="122"/>
      <c r="D9" s="122"/>
      <c r="E9" s="122"/>
      <c r="F9" s="122"/>
      <c r="G9" s="122"/>
      <c r="H9" s="122"/>
      <c r="I9" s="122"/>
      <c r="J9" s="122"/>
      <c r="K9" s="122"/>
      <c r="L9" s="122"/>
      <c r="M9" s="122"/>
      <c r="N9" s="122"/>
      <c r="O9" s="122"/>
      <c r="P9" s="122"/>
      <c r="Q9" s="122"/>
      <c r="R9" s="122"/>
      <c r="S9" s="123"/>
    </row>
    <row r="10" spans="1:22" ht="18" customHeight="1">
      <c r="B10" s="124"/>
      <c r="C10" s="125"/>
      <c r="D10" s="125"/>
      <c r="E10" s="125"/>
      <c r="F10" s="125"/>
      <c r="G10" s="125"/>
      <c r="H10" s="125"/>
      <c r="I10" s="125"/>
      <c r="J10" s="125"/>
      <c r="K10" s="125"/>
      <c r="L10" s="125"/>
      <c r="M10" s="125"/>
      <c r="N10" s="125"/>
      <c r="O10" s="125"/>
      <c r="P10" s="125"/>
      <c r="Q10" s="125"/>
      <c r="R10" s="125"/>
      <c r="S10" s="126"/>
    </row>
    <row r="11" spans="1:22" ht="6" customHeight="1">
      <c r="B11" s="3"/>
      <c r="C11" s="3"/>
      <c r="D11" s="3"/>
      <c r="E11" s="3"/>
      <c r="F11" s="3"/>
      <c r="G11" s="3"/>
      <c r="H11" s="3"/>
      <c r="I11" s="3"/>
      <c r="J11" s="3"/>
      <c r="K11" s="8"/>
      <c r="L11" s="3"/>
      <c r="M11" s="3"/>
      <c r="N11" s="3"/>
      <c r="O11" s="3"/>
      <c r="P11" s="3"/>
      <c r="Q11" s="3"/>
      <c r="R11" s="3"/>
      <c r="S11" s="3"/>
    </row>
    <row r="12" spans="1:22" ht="18" customHeight="1">
      <c r="A12" s="1" t="s">
        <v>111</v>
      </c>
      <c r="B12" s="3"/>
      <c r="C12" s="3"/>
      <c r="D12" s="29"/>
      <c r="E12" s="29"/>
      <c r="F12" s="29"/>
      <c r="G12" s="29"/>
      <c r="H12" s="29"/>
      <c r="I12" s="29"/>
      <c r="J12" s="29"/>
      <c r="K12" s="33"/>
      <c r="L12" s="33"/>
      <c r="M12" s="33"/>
      <c r="N12" s="33"/>
      <c r="O12" s="33"/>
      <c r="P12" s="33"/>
      <c r="Q12" s="33"/>
      <c r="R12" s="33"/>
      <c r="S12" s="33"/>
    </row>
    <row r="13" spans="1:22" ht="18" customHeight="1">
      <c r="B13" s="145" t="s">
        <v>178</v>
      </c>
      <c r="C13" s="146"/>
      <c r="D13" s="146"/>
      <c r="E13" s="146"/>
      <c r="F13" s="146"/>
      <c r="G13" s="146"/>
      <c r="H13" s="146"/>
      <c r="I13" s="146"/>
      <c r="J13" s="146"/>
      <c r="K13" s="146"/>
      <c r="L13" s="146"/>
      <c r="M13" s="146"/>
      <c r="N13" s="146"/>
      <c r="O13" s="146"/>
      <c r="P13" s="146"/>
      <c r="Q13" s="146"/>
      <c r="R13" s="146"/>
      <c r="S13" s="147"/>
      <c r="V13" s="1" t="s">
        <v>103</v>
      </c>
    </row>
    <row r="14" spans="1:22" ht="18" customHeight="1">
      <c r="B14" s="148"/>
      <c r="C14" s="149"/>
      <c r="D14" s="149"/>
      <c r="E14" s="149"/>
      <c r="F14" s="149"/>
      <c r="G14" s="149"/>
      <c r="H14" s="149"/>
      <c r="I14" s="149"/>
      <c r="J14" s="149"/>
      <c r="K14" s="149"/>
      <c r="L14" s="149"/>
      <c r="M14" s="149"/>
      <c r="N14" s="149"/>
      <c r="O14" s="149"/>
      <c r="P14" s="149"/>
      <c r="Q14" s="149"/>
      <c r="R14" s="149"/>
      <c r="S14" s="150"/>
      <c r="V14" s="1" t="s">
        <v>110</v>
      </c>
    </row>
    <row r="15" spans="1:22" ht="18" customHeight="1">
      <c r="B15" s="148"/>
      <c r="C15" s="149"/>
      <c r="D15" s="149"/>
      <c r="E15" s="149"/>
      <c r="F15" s="149"/>
      <c r="G15" s="149"/>
      <c r="H15" s="149"/>
      <c r="I15" s="149"/>
      <c r="J15" s="149"/>
      <c r="K15" s="149"/>
      <c r="L15" s="149"/>
      <c r="M15" s="149"/>
      <c r="N15" s="149"/>
      <c r="O15" s="149"/>
      <c r="P15" s="149"/>
      <c r="Q15" s="149"/>
      <c r="R15" s="149"/>
      <c r="S15" s="150"/>
      <c r="V15" s="1" t="s">
        <v>123</v>
      </c>
    </row>
    <row r="16" spans="1:22" ht="18" customHeight="1">
      <c r="B16" s="148"/>
      <c r="C16" s="149"/>
      <c r="D16" s="149"/>
      <c r="E16" s="149"/>
      <c r="F16" s="149"/>
      <c r="G16" s="149"/>
      <c r="H16" s="149"/>
      <c r="I16" s="149"/>
      <c r="J16" s="149"/>
      <c r="K16" s="149"/>
      <c r="L16" s="149"/>
      <c r="M16" s="149"/>
      <c r="N16" s="149"/>
      <c r="O16" s="149"/>
      <c r="P16" s="149"/>
      <c r="Q16" s="149"/>
      <c r="R16" s="149"/>
      <c r="S16" s="150"/>
      <c r="V16" s="1" t="s">
        <v>125</v>
      </c>
    </row>
    <row r="17" spans="1:19" ht="18" customHeight="1">
      <c r="B17" s="148"/>
      <c r="C17" s="149"/>
      <c r="D17" s="149"/>
      <c r="E17" s="149"/>
      <c r="F17" s="149"/>
      <c r="G17" s="149"/>
      <c r="H17" s="149"/>
      <c r="I17" s="149"/>
      <c r="J17" s="149"/>
      <c r="K17" s="149"/>
      <c r="L17" s="149"/>
      <c r="M17" s="149"/>
      <c r="N17" s="149"/>
      <c r="O17" s="149"/>
      <c r="P17" s="149"/>
      <c r="Q17" s="149"/>
      <c r="R17" s="149"/>
      <c r="S17" s="150"/>
    </row>
    <row r="18" spans="1:19" ht="18" customHeight="1">
      <c r="B18" s="151"/>
      <c r="C18" s="152"/>
      <c r="D18" s="152"/>
      <c r="E18" s="152"/>
      <c r="F18" s="152"/>
      <c r="G18" s="152"/>
      <c r="H18" s="152"/>
      <c r="I18" s="152"/>
      <c r="J18" s="152"/>
      <c r="K18" s="152"/>
      <c r="L18" s="152"/>
      <c r="M18" s="152"/>
      <c r="N18" s="152"/>
      <c r="O18" s="152"/>
      <c r="P18" s="152"/>
      <c r="Q18" s="152"/>
      <c r="R18" s="152"/>
      <c r="S18" s="153"/>
    </row>
    <row r="19" spans="1:19" ht="7.5" customHeight="1">
      <c r="B19" s="3"/>
      <c r="C19" s="3"/>
      <c r="D19" s="3"/>
      <c r="E19" s="3"/>
      <c r="F19" s="3"/>
      <c r="G19" s="3"/>
      <c r="H19" s="3"/>
      <c r="I19" s="3"/>
      <c r="J19" s="3"/>
      <c r="K19" s="3"/>
      <c r="L19" s="3"/>
      <c r="M19" s="3"/>
      <c r="N19" s="3"/>
      <c r="O19" s="3"/>
      <c r="P19" s="3"/>
      <c r="Q19" s="3"/>
      <c r="R19" s="3"/>
      <c r="S19" s="3"/>
    </row>
    <row r="20" spans="1:19" ht="19.899999999999999" customHeight="1">
      <c r="B20" s="1" t="s">
        <v>112</v>
      </c>
      <c r="C20" s="133">
        <v>2</v>
      </c>
      <c r="D20" s="135"/>
      <c r="E20" s="34" t="s">
        <v>95</v>
      </c>
      <c r="G20" s="8"/>
      <c r="H20" s="3"/>
      <c r="I20" s="3"/>
      <c r="J20" s="29" t="s">
        <v>121</v>
      </c>
      <c r="K20" s="141" t="s">
        <v>110</v>
      </c>
      <c r="L20" s="142"/>
      <c r="M20" s="142"/>
      <c r="N20" s="142"/>
      <c r="O20" s="142"/>
      <c r="P20" s="142"/>
      <c r="Q20" s="142"/>
      <c r="R20" s="142"/>
      <c r="S20" s="143"/>
    </row>
    <row r="21" spans="1:19" ht="7.5" customHeight="1">
      <c r="B21" s="3"/>
      <c r="C21" s="3"/>
      <c r="D21" s="3"/>
      <c r="E21" s="3"/>
      <c r="F21" s="3"/>
      <c r="G21" s="3"/>
      <c r="H21" s="3"/>
      <c r="I21" s="3"/>
      <c r="J21" s="3"/>
      <c r="K21" s="3"/>
      <c r="L21" s="3"/>
      <c r="M21" s="3"/>
      <c r="N21" s="3"/>
      <c r="O21" s="3"/>
      <c r="P21" s="3"/>
      <c r="Q21" s="3"/>
      <c r="R21" s="3"/>
      <c r="S21" s="3"/>
    </row>
    <row r="22" spans="1:19" ht="18" customHeight="1">
      <c r="A22" s="136" t="s">
        <v>113</v>
      </c>
      <c r="B22" s="136"/>
      <c r="C22" s="136"/>
      <c r="D22" s="136"/>
      <c r="E22" s="136"/>
      <c r="F22" s="136"/>
      <c r="G22" s="136"/>
      <c r="H22" s="136"/>
      <c r="I22" s="136"/>
      <c r="J22" s="136"/>
      <c r="K22" s="136"/>
      <c r="L22" s="136"/>
      <c r="M22" s="136"/>
      <c r="N22" s="136"/>
      <c r="O22" s="136"/>
      <c r="P22" s="136"/>
      <c r="Q22" s="136"/>
      <c r="R22" s="136"/>
      <c r="S22" s="136"/>
    </row>
    <row r="23" spans="1:19" ht="18" customHeight="1">
      <c r="A23" s="136"/>
      <c r="B23" s="136"/>
      <c r="C23" s="136"/>
      <c r="D23" s="136"/>
      <c r="E23" s="136"/>
      <c r="F23" s="136"/>
      <c r="G23" s="136"/>
      <c r="H23" s="136"/>
      <c r="I23" s="136"/>
      <c r="J23" s="136"/>
      <c r="K23" s="136"/>
      <c r="L23" s="136"/>
      <c r="M23" s="136"/>
      <c r="N23" s="136"/>
      <c r="O23" s="136"/>
      <c r="P23" s="136"/>
      <c r="Q23" s="136"/>
      <c r="R23" s="136"/>
      <c r="S23" s="136"/>
    </row>
    <row r="24" spans="1:19" ht="18" customHeight="1">
      <c r="B24" s="133" t="s">
        <v>53</v>
      </c>
      <c r="C24" s="134"/>
      <c r="D24" s="134"/>
      <c r="E24" s="135"/>
      <c r="F24" s="54" t="s">
        <v>80</v>
      </c>
      <c r="G24" s="53" t="s">
        <v>84</v>
      </c>
      <c r="H24" s="16" t="s">
        <v>56</v>
      </c>
      <c r="I24" s="16" t="s">
        <v>59</v>
      </c>
      <c r="J24" s="133" t="s">
        <v>53</v>
      </c>
      <c r="K24" s="134"/>
      <c r="L24" s="134"/>
      <c r="M24" s="134"/>
      <c r="N24" s="134"/>
      <c r="O24" s="135"/>
      <c r="P24" s="54" t="s">
        <v>80</v>
      </c>
      <c r="Q24" s="53" t="s">
        <v>84</v>
      </c>
      <c r="R24" s="16" t="s">
        <v>56</v>
      </c>
      <c r="S24" s="16" t="s">
        <v>59</v>
      </c>
    </row>
    <row r="25" spans="1:19" ht="18" customHeight="1">
      <c r="B25" s="137" t="s">
        <v>130</v>
      </c>
      <c r="C25" s="138"/>
      <c r="D25" s="138"/>
      <c r="E25" s="139"/>
      <c r="F25" s="17">
        <v>2</v>
      </c>
      <c r="G25" s="17" t="s">
        <v>131</v>
      </c>
      <c r="H25" s="17" t="s">
        <v>131</v>
      </c>
      <c r="I25" s="17" t="s">
        <v>131</v>
      </c>
      <c r="J25" s="137"/>
      <c r="K25" s="138"/>
      <c r="L25" s="138"/>
      <c r="M25" s="138"/>
      <c r="N25" s="138"/>
      <c r="O25" s="139"/>
      <c r="P25" s="17"/>
      <c r="Q25" s="17"/>
      <c r="R25" s="17"/>
      <c r="S25" s="17"/>
    </row>
    <row r="26" spans="1:19" ht="18" customHeight="1">
      <c r="B26" s="127"/>
      <c r="C26" s="128"/>
      <c r="D26" s="128"/>
      <c r="E26" s="129"/>
      <c r="F26" s="18"/>
      <c r="G26" s="18"/>
      <c r="H26" s="18"/>
      <c r="I26" s="18"/>
      <c r="J26" s="127"/>
      <c r="K26" s="128"/>
      <c r="L26" s="128"/>
      <c r="M26" s="128"/>
      <c r="N26" s="128"/>
      <c r="O26" s="129"/>
      <c r="P26" s="18"/>
      <c r="Q26" s="18"/>
      <c r="R26" s="18"/>
      <c r="S26" s="18"/>
    </row>
    <row r="27" spans="1:19" ht="18" customHeight="1">
      <c r="B27" s="127"/>
      <c r="C27" s="128"/>
      <c r="D27" s="128"/>
      <c r="E27" s="129"/>
      <c r="F27" s="18"/>
      <c r="G27" s="18"/>
      <c r="H27" s="18"/>
      <c r="I27" s="18"/>
      <c r="J27" s="127"/>
      <c r="K27" s="128"/>
      <c r="L27" s="128"/>
      <c r="M27" s="128"/>
      <c r="N27" s="128"/>
      <c r="O27" s="129"/>
      <c r="P27" s="18"/>
      <c r="Q27" s="18"/>
      <c r="R27" s="18"/>
      <c r="S27" s="18"/>
    </row>
    <row r="28" spans="1:19" ht="18" customHeight="1">
      <c r="B28" s="127"/>
      <c r="C28" s="128"/>
      <c r="D28" s="128"/>
      <c r="E28" s="129"/>
      <c r="F28" s="18"/>
      <c r="G28" s="18"/>
      <c r="H28" s="18"/>
      <c r="I28" s="18"/>
      <c r="J28" s="127"/>
      <c r="K28" s="128"/>
      <c r="L28" s="128"/>
      <c r="M28" s="128"/>
      <c r="N28" s="128"/>
      <c r="O28" s="129"/>
      <c r="P28" s="18"/>
      <c r="Q28" s="18"/>
      <c r="R28" s="18"/>
      <c r="S28" s="18"/>
    </row>
    <row r="29" spans="1:19" ht="18" customHeight="1">
      <c r="B29" s="127"/>
      <c r="C29" s="128"/>
      <c r="D29" s="128"/>
      <c r="E29" s="129"/>
      <c r="F29" s="18"/>
      <c r="G29" s="18"/>
      <c r="H29" s="18"/>
      <c r="I29" s="18"/>
      <c r="J29" s="127"/>
      <c r="K29" s="128"/>
      <c r="L29" s="128"/>
      <c r="M29" s="128"/>
      <c r="N29" s="128"/>
      <c r="O29" s="129"/>
      <c r="P29" s="18"/>
      <c r="Q29" s="18"/>
      <c r="R29" s="18"/>
      <c r="S29" s="18"/>
    </row>
    <row r="30" spans="1:19" ht="18" customHeight="1">
      <c r="A30" s="3"/>
      <c r="B30" s="127"/>
      <c r="C30" s="128"/>
      <c r="D30" s="128"/>
      <c r="E30" s="129"/>
      <c r="F30" s="18"/>
      <c r="G30" s="18"/>
      <c r="H30" s="18"/>
      <c r="I30" s="18"/>
      <c r="J30" s="127"/>
      <c r="K30" s="128"/>
      <c r="L30" s="128"/>
      <c r="M30" s="128"/>
      <c r="N30" s="128"/>
      <c r="O30" s="129"/>
      <c r="P30" s="18"/>
      <c r="Q30" s="18"/>
      <c r="R30" s="18"/>
      <c r="S30" s="18"/>
    </row>
    <row r="31" spans="1:19" ht="18" customHeight="1">
      <c r="A31" s="3"/>
      <c r="B31" s="130"/>
      <c r="C31" s="131"/>
      <c r="D31" s="131"/>
      <c r="E31" s="132"/>
      <c r="F31" s="19"/>
      <c r="G31" s="19"/>
      <c r="H31" s="20"/>
      <c r="I31" s="20"/>
      <c r="J31" s="130"/>
      <c r="K31" s="131"/>
      <c r="L31" s="131"/>
      <c r="M31" s="131"/>
      <c r="N31" s="131"/>
      <c r="O31" s="132"/>
      <c r="P31" s="19"/>
      <c r="Q31" s="19"/>
      <c r="R31" s="20"/>
      <c r="S31" s="20"/>
    </row>
    <row r="32" spans="1:19" ht="7.5" customHeight="1">
      <c r="A32" s="3"/>
      <c r="B32" s="5"/>
      <c r="C32" s="5"/>
      <c r="D32" s="3"/>
      <c r="E32" s="3"/>
      <c r="F32" s="3"/>
      <c r="G32" s="3"/>
      <c r="H32" s="5"/>
      <c r="I32" s="5"/>
      <c r="J32" s="5"/>
      <c r="K32" s="5"/>
      <c r="L32" s="5"/>
      <c r="M32" s="5"/>
      <c r="N32" s="5"/>
      <c r="O32" s="5"/>
      <c r="P32" s="5"/>
      <c r="Q32" s="5"/>
      <c r="R32" s="5"/>
      <c r="S32" s="3"/>
    </row>
    <row r="33" spans="1:19" ht="18" customHeight="1">
      <c r="A33" s="136" t="s">
        <v>114</v>
      </c>
      <c r="B33" s="136"/>
      <c r="C33" s="136"/>
      <c r="D33" s="136"/>
      <c r="E33" s="136"/>
      <c r="F33" s="136"/>
      <c r="G33" s="136"/>
      <c r="H33" s="136"/>
      <c r="I33" s="136"/>
      <c r="J33" s="136"/>
      <c r="K33" s="136"/>
      <c r="L33" s="136"/>
      <c r="M33" s="136"/>
      <c r="N33" s="136"/>
      <c r="O33" s="136"/>
      <c r="P33" s="136"/>
      <c r="Q33" s="136"/>
      <c r="R33" s="136"/>
      <c r="S33" s="136"/>
    </row>
    <row r="34" spans="1:19" ht="18" customHeight="1">
      <c r="A34" s="136"/>
      <c r="B34" s="136"/>
      <c r="C34" s="136"/>
      <c r="D34" s="136"/>
      <c r="E34" s="136"/>
      <c r="F34" s="136"/>
      <c r="G34" s="136"/>
      <c r="H34" s="136"/>
      <c r="I34" s="136"/>
      <c r="J34" s="136"/>
      <c r="K34" s="136"/>
      <c r="L34" s="136"/>
      <c r="M34" s="136"/>
      <c r="N34" s="136"/>
      <c r="O34" s="136"/>
      <c r="P34" s="136"/>
      <c r="Q34" s="136"/>
      <c r="R34" s="136"/>
      <c r="S34" s="136"/>
    </row>
    <row r="35" spans="1:19" ht="18" customHeight="1">
      <c r="B35" s="133" t="s">
        <v>53</v>
      </c>
      <c r="C35" s="134"/>
      <c r="D35" s="134"/>
      <c r="E35" s="135"/>
      <c r="F35" s="54" t="s">
        <v>80</v>
      </c>
      <c r="G35" s="53" t="s">
        <v>84</v>
      </c>
      <c r="H35" s="16" t="s">
        <v>71</v>
      </c>
      <c r="I35" s="16" t="s">
        <v>72</v>
      </c>
      <c r="J35" s="133" t="s">
        <v>53</v>
      </c>
      <c r="K35" s="134"/>
      <c r="L35" s="134"/>
      <c r="M35" s="134"/>
      <c r="N35" s="134"/>
      <c r="O35" s="135"/>
      <c r="P35" s="54" t="s">
        <v>80</v>
      </c>
      <c r="Q35" s="53" t="s">
        <v>84</v>
      </c>
      <c r="R35" s="16" t="s">
        <v>71</v>
      </c>
      <c r="S35" s="16" t="s">
        <v>72</v>
      </c>
    </row>
    <row r="36" spans="1:19" ht="18" customHeight="1">
      <c r="B36" s="137" t="s">
        <v>130</v>
      </c>
      <c r="C36" s="138"/>
      <c r="D36" s="138"/>
      <c r="E36" s="139"/>
      <c r="F36" s="17">
        <v>2</v>
      </c>
      <c r="G36" s="17" t="s">
        <v>131</v>
      </c>
      <c r="H36" s="17" t="s">
        <v>131</v>
      </c>
      <c r="I36" s="17" t="s">
        <v>131</v>
      </c>
      <c r="J36" s="137"/>
      <c r="K36" s="138"/>
      <c r="L36" s="138"/>
      <c r="M36" s="138"/>
      <c r="N36" s="138"/>
      <c r="O36" s="139"/>
      <c r="P36" s="17"/>
      <c r="Q36" s="17"/>
      <c r="R36" s="17"/>
      <c r="S36" s="17"/>
    </row>
    <row r="37" spans="1:19" ht="18" customHeight="1">
      <c r="B37" s="127"/>
      <c r="C37" s="128"/>
      <c r="D37" s="128"/>
      <c r="E37" s="129"/>
      <c r="F37" s="18"/>
      <c r="G37" s="18"/>
      <c r="H37" s="18"/>
      <c r="I37" s="18"/>
      <c r="J37" s="127"/>
      <c r="K37" s="128"/>
      <c r="L37" s="128"/>
      <c r="M37" s="128"/>
      <c r="N37" s="128"/>
      <c r="O37" s="129"/>
      <c r="P37" s="18"/>
      <c r="Q37" s="18"/>
      <c r="R37" s="18"/>
      <c r="S37" s="18"/>
    </row>
    <row r="38" spans="1:19" ht="18" customHeight="1">
      <c r="B38" s="127"/>
      <c r="C38" s="128"/>
      <c r="D38" s="128"/>
      <c r="E38" s="129"/>
      <c r="F38" s="18"/>
      <c r="G38" s="18"/>
      <c r="H38" s="18"/>
      <c r="I38" s="18"/>
      <c r="J38" s="127"/>
      <c r="K38" s="128"/>
      <c r="L38" s="128"/>
      <c r="M38" s="128"/>
      <c r="N38" s="128"/>
      <c r="O38" s="129"/>
      <c r="P38" s="18"/>
      <c r="Q38" s="18"/>
      <c r="R38" s="18"/>
      <c r="S38" s="18"/>
    </row>
    <row r="39" spans="1:19" ht="18" customHeight="1">
      <c r="B39" s="127"/>
      <c r="C39" s="128"/>
      <c r="D39" s="128"/>
      <c r="E39" s="129"/>
      <c r="F39" s="18"/>
      <c r="G39" s="18"/>
      <c r="H39" s="18"/>
      <c r="I39" s="18"/>
      <c r="J39" s="127"/>
      <c r="K39" s="128"/>
      <c r="L39" s="128"/>
      <c r="M39" s="128"/>
      <c r="N39" s="128"/>
      <c r="O39" s="129"/>
      <c r="P39" s="18"/>
      <c r="Q39" s="18"/>
      <c r="R39" s="18"/>
      <c r="S39" s="18"/>
    </row>
    <row r="40" spans="1:19" ht="18" customHeight="1">
      <c r="B40" s="127"/>
      <c r="C40" s="128"/>
      <c r="D40" s="128"/>
      <c r="E40" s="129"/>
      <c r="F40" s="18"/>
      <c r="G40" s="18"/>
      <c r="H40" s="18"/>
      <c r="I40" s="18"/>
      <c r="J40" s="127"/>
      <c r="K40" s="128"/>
      <c r="L40" s="128"/>
      <c r="M40" s="128"/>
      <c r="N40" s="128"/>
      <c r="O40" s="129"/>
      <c r="P40" s="18"/>
      <c r="Q40" s="18"/>
      <c r="R40" s="18"/>
      <c r="S40" s="18"/>
    </row>
    <row r="41" spans="1:19" ht="18" customHeight="1">
      <c r="B41" s="127"/>
      <c r="C41" s="128"/>
      <c r="D41" s="128"/>
      <c r="E41" s="129"/>
      <c r="F41" s="18"/>
      <c r="G41" s="18"/>
      <c r="H41" s="18"/>
      <c r="I41" s="18"/>
      <c r="J41" s="127"/>
      <c r="K41" s="128"/>
      <c r="L41" s="128"/>
      <c r="M41" s="128"/>
      <c r="N41" s="128"/>
      <c r="O41" s="129"/>
      <c r="P41" s="18"/>
      <c r="Q41" s="18"/>
      <c r="R41" s="18"/>
      <c r="S41" s="18"/>
    </row>
    <row r="42" spans="1:19" ht="18" customHeight="1">
      <c r="B42" s="130"/>
      <c r="C42" s="131"/>
      <c r="D42" s="131"/>
      <c r="E42" s="132"/>
      <c r="F42" s="19"/>
      <c r="G42" s="19"/>
      <c r="H42" s="20"/>
      <c r="I42" s="20"/>
      <c r="J42" s="130"/>
      <c r="K42" s="131"/>
      <c r="L42" s="131"/>
      <c r="M42" s="131"/>
      <c r="N42" s="131"/>
      <c r="O42" s="132"/>
      <c r="P42" s="19"/>
      <c r="Q42" s="19"/>
      <c r="R42" s="20"/>
      <c r="S42" s="20"/>
    </row>
    <row r="43" spans="1:19" ht="7.5" customHeight="1">
      <c r="A43" s="3"/>
      <c r="B43" s="5"/>
      <c r="C43" s="5"/>
      <c r="D43" s="3"/>
      <c r="E43" s="3"/>
      <c r="F43" s="3"/>
      <c r="G43" s="3"/>
      <c r="H43" s="5"/>
      <c r="I43" s="5"/>
      <c r="J43" s="5"/>
      <c r="K43" s="5"/>
      <c r="L43" s="5"/>
      <c r="M43" s="5"/>
      <c r="N43" s="5"/>
      <c r="O43" s="5"/>
      <c r="P43" s="5"/>
      <c r="Q43" s="5"/>
      <c r="R43" s="5"/>
      <c r="S43" s="3"/>
    </row>
    <row r="44" spans="1:19" ht="18" customHeight="1">
      <c r="A44" s="136" t="s">
        <v>115</v>
      </c>
      <c r="B44" s="136"/>
      <c r="C44" s="136"/>
      <c r="D44" s="136"/>
      <c r="E44" s="136"/>
      <c r="F44" s="136"/>
      <c r="G44" s="136"/>
      <c r="H44" s="136"/>
      <c r="I44" s="136"/>
      <c r="J44" s="136"/>
      <c r="K44" s="136"/>
      <c r="L44" s="136"/>
      <c r="M44" s="136"/>
      <c r="N44" s="136"/>
      <c r="O44" s="136"/>
      <c r="P44" s="136"/>
      <c r="Q44" s="136"/>
      <c r="R44" s="136"/>
      <c r="S44" s="136"/>
    </row>
    <row r="45" spans="1:19" ht="18" customHeight="1">
      <c r="A45" s="136"/>
      <c r="B45" s="136"/>
      <c r="C45" s="136"/>
      <c r="D45" s="136"/>
      <c r="E45" s="136"/>
      <c r="F45" s="136"/>
      <c r="G45" s="136"/>
      <c r="H45" s="136"/>
      <c r="I45" s="136"/>
      <c r="J45" s="136"/>
      <c r="K45" s="136"/>
      <c r="L45" s="136"/>
      <c r="M45" s="136"/>
      <c r="N45" s="136"/>
      <c r="O45" s="136"/>
      <c r="P45" s="136"/>
      <c r="Q45" s="136"/>
      <c r="R45" s="136"/>
      <c r="S45" s="136"/>
    </row>
    <row r="46" spans="1:19" ht="18" customHeight="1">
      <c r="B46" s="133" t="s">
        <v>53</v>
      </c>
      <c r="C46" s="134"/>
      <c r="D46" s="134"/>
      <c r="E46" s="135"/>
      <c r="F46" s="54" t="s">
        <v>80</v>
      </c>
      <c r="G46" s="53" t="s">
        <v>84</v>
      </c>
      <c r="H46" s="16" t="s">
        <v>73</v>
      </c>
      <c r="I46" s="16" t="s">
        <v>74</v>
      </c>
      <c r="J46" s="133" t="s">
        <v>53</v>
      </c>
      <c r="K46" s="134"/>
      <c r="L46" s="134"/>
      <c r="M46" s="134"/>
      <c r="N46" s="134"/>
      <c r="O46" s="135"/>
      <c r="P46" s="54" t="s">
        <v>80</v>
      </c>
      <c r="Q46" s="53" t="s">
        <v>84</v>
      </c>
      <c r="R46" s="16" t="s">
        <v>73</v>
      </c>
      <c r="S46" s="16" t="s">
        <v>74</v>
      </c>
    </row>
    <row r="47" spans="1:19" ht="18" customHeight="1">
      <c r="A47" s="3"/>
      <c r="B47" s="137" t="s">
        <v>130</v>
      </c>
      <c r="C47" s="138"/>
      <c r="D47" s="138"/>
      <c r="E47" s="139"/>
      <c r="F47" s="17">
        <v>2</v>
      </c>
      <c r="G47" s="17" t="s">
        <v>131</v>
      </c>
      <c r="H47" s="17" t="s">
        <v>131</v>
      </c>
      <c r="I47" s="17" t="s">
        <v>131</v>
      </c>
      <c r="J47" s="137"/>
      <c r="K47" s="138"/>
      <c r="L47" s="138"/>
      <c r="M47" s="138"/>
      <c r="N47" s="138"/>
      <c r="O47" s="139"/>
      <c r="P47" s="17"/>
      <c r="Q47" s="17"/>
      <c r="R47" s="17"/>
      <c r="S47" s="17"/>
    </row>
    <row r="48" spans="1:19" ht="18" customHeight="1">
      <c r="A48" s="3"/>
      <c r="B48" s="127"/>
      <c r="C48" s="128"/>
      <c r="D48" s="128"/>
      <c r="E48" s="129"/>
      <c r="F48" s="18"/>
      <c r="G48" s="18"/>
      <c r="H48" s="18"/>
      <c r="I48" s="18"/>
      <c r="J48" s="127"/>
      <c r="K48" s="128"/>
      <c r="L48" s="128"/>
      <c r="M48" s="128"/>
      <c r="N48" s="128"/>
      <c r="O48" s="129"/>
      <c r="P48" s="18"/>
      <c r="Q48" s="18"/>
      <c r="R48" s="18"/>
      <c r="S48" s="18"/>
    </row>
    <row r="49" spans="1:19" ht="18" customHeight="1">
      <c r="A49" s="3"/>
      <c r="B49" s="127"/>
      <c r="C49" s="128"/>
      <c r="D49" s="128"/>
      <c r="E49" s="129"/>
      <c r="F49" s="18"/>
      <c r="G49" s="18"/>
      <c r="H49" s="18"/>
      <c r="I49" s="18"/>
      <c r="J49" s="127"/>
      <c r="K49" s="128"/>
      <c r="L49" s="128"/>
      <c r="M49" s="128"/>
      <c r="N49" s="128"/>
      <c r="O49" s="129"/>
      <c r="P49" s="18"/>
      <c r="Q49" s="18"/>
      <c r="R49" s="18"/>
      <c r="S49" s="18"/>
    </row>
    <row r="50" spans="1:19" ht="18" customHeight="1">
      <c r="A50" s="3"/>
      <c r="B50" s="127"/>
      <c r="C50" s="128"/>
      <c r="D50" s="128"/>
      <c r="E50" s="129"/>
      <c r="F50" s="18"/>
      <c r="G50" s="18"/>
      <c r="H50" s="18"/>
      <c r="I50" s="18"/>
      <c r="J50" s="127"/>
      <c r="K50" s="128"/>
      <c r="L50" s="128"/>
      <c r="M50" s="128"/>
      <c r="N50" s="128"/>
      <c r="O50" s="129"/>
      <c r="P50" s="18"/>
      <c r="Q50" s="18"/>
      <c r="R50" s="18"/>
      <c r="S50" s="18"/>
    </row>
    <row r="51" spans="1:19" ht="18" customHeight="1">
      <c r="A51" s="3"/>
      <c r="B51" s="127"/>
      <c r="C51" s="128"/>
      <c r="D51" s="128"/>
      <c r="E51" s="129"/>
      <c r="F51" s="18"/>
      <c r="G51" s="18"/>
      <c r="H51" s="18"/>
      <c r="I51" s="18"/>
      <c r="J51" s="127"/>
      <c r="K51" s="128"/>
      <c r="L51" s="128"/>
      <c r="M51" s="128"/>
      <c r="N51" s="128"/>
      <c r="O51" s="129"/>
      <c r="P51" s="18"/>
      <c r="Q51" s="18"/>
      <c r="R51" s="18"/>
      <c r="S51" s="18"/>
    </row>
    <row r="52" spans="1:19" ht="18" customHeight="1">
      <c r="A52" s="3"/>
      <c r="B52" s="127"/>
      <c r="C52" s="128"/>
      <c r="D52" s="128"/>
      <c r="E52" s="129"/>
      <c r="F52" s="18"/>
      <c r="G52" s="18"/>
      <c r="H52" s="18"/>
      <c r="I52" s="18"/>
      <c r="J52" s="127"/>
      <c r="K52" s="128"/>
      <c r="L52" s="128"/>
      <c r="M52" s="128"/>
      <c r="N52" s="128"/>
      <c r="O52" s="129"/>
      <c r="P52" s="18"/>
      <c r="Q52" s="18"/>
      <c r="R52" s="18"/>
      <c r="S52" s="18"/>
    </row>
    <row r="53" spans="1:19" ht="18" customHeight="1">
      <c r="A53" s="3"/>
      <c r="B53" s="130"/>
      <c r="C53" s="131"/>
      <c r="D53" s="131"/>
      <c r="E53" s="132"/>
      <c r="F53" s="19"/>
      <c r="G53" s="19"/>
      <c r="H53" s="20"/>
      <c r="I53" s="20"/>
      <c r="J53" s="130"/>
      <c r="K53" s="131"/>
      <c r="L53" s="131"/>
      <c r="M53" s="131"/>
      <c r="N53" s="131"/>
      <c r="O53" s="132"/>
      <c r="P53" s="19"/>
      <c r="Q53" s="19"/>
      <c r="R53" s="20"/>
      <c r="S53" s="20"/>
    </row>
    <row r="54" spans="1:19" ht="7.5" customHeight="1">
      <c r="B54" s="12"/>
      <c r="C54" s="12"/>
      <c r="D54" s="12"/>
      <c r="E54" s="12"/>
      <c r="F54" s="12"/>
      <c r="G54" s="12"/>
      <c r="H54" s="12"/>
      <c r="I54" s="12"/>
      <c r="J54" s="12"/>
      <c r="K54" s="12"/>
      <c r="L54" s="12"/>
      <c r="M54" s="12"/>
      <c r="N54" s="12"/>
      <c r="O54" s="12"/>
      <c r="P54" s="12"/>
      <c r="Q54" s="12"/>
      <c r="R54" s="12"/>
    </row>
    <row r="55" spans="1:19" ht="18" customHeight="1">
      <c r="A55" s="136" t="s">
        <v>116</v>
      </c>
      <c r="B55" s="136"/>
      <c r="C55" s="136"/>
      <c r="D55" s="136"/>
      <c r="E55" s="136"/>
      <c r="F55" s="136"/>
      <c r="G55" s="136"/>
      <c r="H55" s="136"/>
      <c r="I55" s="136"/>
      <c r="J55" s="136"/>
      <c r="K55" s="136"/>
      <c r="L55" s="136"/>
      <c r="M55" s="136"/>
      <c r="N55" s="136"/>
      <c r="O55" s="136"/>
      <c r="P55" s="136"/>
      <c r="Q55" s="136"/>
      <c r="R55" s="136"/>
      <c r="S55" s="136"/>
    </row>
    <row r="56" spans="1:19" ht="18" customHeight="1">
      <c r="A56" s="136"/>
      <c r="B56" s="136"/>
      <c r="C56" s="136"/>
      <c r="D56" s="136"/>
      <c r="E56" s="136"/>
      <c r="F56" s="136"/>
      <c r="G56" s="136"/>
      <c r="H56" s="136"/>
      <c r="I56" s="136"/>
      <c r="J56" s="136"/>
      <c r="K56" s="136"/>
      <c r="L56" s="136"/>
      <c r="M56" s="136"/>
      <c r="N56" s="136"/>
      <c r="O56" s="136"/>
      <c r="P56" s="136"/>
      <c r="Q56" s="136"/>
      <c r="R56" s="136"/>
      <c r="S56" s="136"/>
    </row>
    <row r="57" spans="1:19" ht="18" customHeight="1">
      <c r="B57" s="133" t="s">
        <v>53</v>
      </c>
      <c r="C57" s="134"/>
      <c r="D57" s="134"/>
      <c r="E57" s="135"/>
      <c r="F57" s="54" t="s">
        <v>80</v>
      </c>
      <c r="G57" s="53" t="s">
        <v>84</v>
      </c>
      <c r="H57" s="16" t="s">
        <v>58</v>
      </c>
      <c r="I57" s="16" t="s">
        <v>60</v>
      </c>
      <c r="J57" s="133" t="s">
        <v>53</v>
      </c>
      <c r="K57" s="134"/>
      <c r="L57" s="134"/>
      <c r="M57" s="134"/>
      <c r="N57" s="134"/>
      <c r="O57" s="135"/>
      <c r="P57" s="54" t="s">
        <v>80</v>
      </c>
      <c r="Q57" s="53" t="s">
        <v>84</v>
      </c>
      <c r="R57" s="16" t="s">
        <v>58</v>
      </c>
      <c r="S57" s="16" t="s">
        <v>60</v>
      </c>
    </row>
    <row r="58" spans="1:19" ht="18" customHeight="1">
      <c r="A58" s="3"/>
      <c r="B58" s="137" t="s">
        <v>130</v>
      </c>
      <c r="C58" s="138"/>
      <c r="D58" s="138"/>
      <c r="E58" s="139"/>
      <c r="F58" s="17">
        <v>2</v>
      </c>
      <c r="G58" s="17" t="s">
        <v>131</v>
      </c>
      <c r="H58" s="17" t="s">
        <v>131</v>
      </c>
      <c r="I58" s="17" t="s">
        <v>131</v>
      </c>
      <c r="J58" s="137"/>
      <c r="K58" s="138"/>
      <c r="L58" s="138"/>
      <c r="M58" s="138"/>
      <c r="N58" s="138"/>
      <c r="O58" s="139"/>
      <c r="P58" s="17"/>
      <c r="Q58" s="17"/>
      <c r="R58" s="17"/>
      <c r="S58" s="17"/>
    </row>
    <row r="59" spans="1:19" ht="18" customHeight="1">
      <c r="A59" s="3"/>
      <c r="B59" s="127"/>
      <c r="C59" s="128"/>
      <c r="D59" s="128"/>
      <c r="E59" s="129"/>
      <c r="F59" s="18"/>
      <c r="G59" s="18"/>
      <c r="H59" s="18"/>
      <c r="I59" s="18"/>
      <c r="J59" s="127"/>
      <c r="K59" s="128"/>
      <c r="L59" s="128"/>
      <c r="M59" s="128"/>
      <c r="N59" s="128"/>
      <c r="O59" s="129"/>
      <c r="P59" s="18"/>
      <c r="Q59" s="18"/>
      <c r="R59" s="18"/>
      <c r="S59" s="18"/>
    </row>
    <row r="60" spans="1:19" ht="18" customHeight="1">
      <c r="A60" s="3"/>
      <c r="B60" s="127"/>
      <c r="C60" s="128"/>
      <c r="D60" s="128"/>
      <c r="E60" s="129"/>
      <c r="F60" s="18"/>
      <c r="G60" s="18"/>
      <c r="H60" s="18"/>
      <c r="I60" s="18"/>
      <c r="J60" s="127"/>
      <c r="K60" s="128"/>
      <c r="L60" s="128"/>
      <c r="M60" s="128"/>
      <c r="N60" s="128"/>
      <c r="O60" s="129"/>
      <c r="P60" s="18"/>
      <c r="Q60" s="18"/>
      <c r="R60" s="18"/>
      <c r="S60" s="18"/>
    </row>
    <row r="61" spans="1:19" ht="18" customHeight="1">
      <c r="A61" s="3"/>
      <c r="B61" s="127"/>
      <c r="C61" s="128"/>
      <c r="D61" s="128"/>
      <c r="E61" s="129"/>
      <c r="F61" s="18"/>
      <c r="G61" s="18"/>
      <c r="H61" s="18"/>
      <c r="I61" s="18"/>
      <c r="J61" s="127"/>
      <c r="K61" s="128"/>
      <c r="L61" s="128"/>
      <c r="M61" s="128"/>
      <c r="N61" s="128"/>
      <c r="O61" s="129"/>
      <c r="P61" s="18"/>
      <c r="Q61" s="18"/>
      <c r="R61" s="18"/>
      <c r="S61" s="18"/>
    </row>
    <row r="62" spans="1:19" ht="18" customHeight="1">
      <c r="A62" s="3"/>
      <c r="B62" s="127"/>
      <c r="C62" s="128"/>
      <c r="D62" s="128"/>
      <c r="E62" s="129"/>
      <c r="F62" s="18"/>
      <c r="G62" s="18"/>
      <c r="H62" s="18"/>
      <c r="I62" s="18"/>
      <c r="J62" s="127"/>
      <c r="K62" s="128"/>
      <c r="L62" s="128"/>
      <c r="M62" s="128"/>
      <c r="N62" s="128"/>
      <c r="O62" s="129"/>
      <c r="P62" s="18"/>
      <c r="Q62" s="18"/>
      <c r="R62" s="18"/>
      <c r="S62" s="18"/>
    </row>
    <row r="63" spans="1:19" ht="18" customHeight="1">
      <c r="A63" s="3"/>
      <c r="B63" s="127"/>
      <c r="C63" s="128"/>
      <c r="D63" s="128"/>
      <c r="E63" s="129"/>
      <c r="F63" s="18"/>
      <c r="G63" s="18"/>
      <c r="H63" s="18"/>
      <c r="I63" s="18"/>
      <c r="J63" s="127"/>
      <c r="K63" s="128"/>
      <c r="L63" s="128"/>
      <c r="M63" s="128"/>
      <c r="N63" s="128"/>
      <c r="O63" s="129"/>
      <c r="P63" s="18"/>
      <c r="Q63" s="18"/>
      <c r="R63" s="18"/>
      <c r="S63" s="18"/>
    </row>
    <row r="64" spans="1:19" ht="18" customHeight="1">
      <c r="A64" s="3"/>
      <c r="B64" s="130"/>
      <c r="C64" s="131"/>
      <c r="D64" s="131"/>
      <c r="E64" s="132"/>
      <c r="F64" s="19"/>
      <c r="G64" s="19"/>
      <c r="H64" s="20"/>
      <c r="I64" s="20"/>
      <c r="J64" s="130"/>
      <c r="K64" s="131"/>
      <c r="L64" s="131"/>
      <c r="M64" s="131"/>
      <c r="N64" s="131"/>
      <c r="O64" s="132"/>
      <c r="P64" s="19"/>
      <c r="Q64" s="19"/>
      <c r="R64" s="20"/>
      <c r="S64" s="20"/>
    </row>
    <row r="65" spans="1:19" ht="7.5" customHeight="1">
      <c r="B65" s="12"/>
      <c r="C65" s="12"/>
      <c r="D65" s="12"/>
      <c r="E65" s="12"/>
      <c r="F65" s="12"/>
      <c r="G65" s="12"/>
      <c r="H65" s="12"/>
      <c r="I65" s="12"/>
      <c r="J65" s="12"/>
      <c r="K65" s="12"/>
      <c r="L65" s="12"/>
      <c r="M65" s="12"/>
      <c r="N65" s="12"/>
      <c r="O65" s="12"/>
      <c r="P65" s="12"/>
      <c r="Q65" s="12"/>
      <c r="R65" s="12"/>
    </row>
    <row r="66" spans="1:19" ht="18" customHeight="1">
      <c r="A66" s="136" t="s">
        <v>117</v>
      </c>
      <c r="B66" s="136"/>
      <c r="C66" s="136"/>
      <c r="D66" s="136"/>
      <c r="E66" s="136"/>
      <c r="F66" s="136"/>
      <c r="G66" s="136"/>
      <c r="H66" s="136"/>
      <c r="I66" s="136"/>
      <c r="J66" s="136"/>
      <c r="K66" s="136"/>
      <c r="L66" s="136"/>
      <c r="M66" s="136"/>
      <c r="N66" s="136"/>
      <c r="O66" s="136"/>
      <c r="P66" s="136"/>
      <c r="Q66" s="136"/>
      <c r="R66" s="136"/>
      <c r="S66" s="136"/>
    </row>
    <row r="67" spans="1:19" ht="18" customHeight="1">
      <c r="A67" s="136"/>
      <c r="B67" s="136"/>
      <c r="C67" s="136"/>
      <c r="D67" s="136"/>
      <c r="E67" s="136"/>
      <c r="F67" s="136"/>
      <c r="G67" s="136"/>
      <c r="H67" s="136"/>
      <c r="I67" s="136"/>
      <c r="J67" s="136"/>
      <c r="K67" s="136"/>
      <c r="L67" s="136"/>
      <c r="M67" s="136"/>
      <c r="N67" s="136"/>
      <c r="O67" s="136"/>
      <c r="P67" s="136"/>
      <c r="Q67" s="136"/>
      <c r="R67" s="136"/>
      <c r="S67" s="136"/>
    </row>
    <row r="68" spans="1:19" ht="18" customHeight="1">
      <c r="B68" s="133" t="s">
        <v>53</v>
      </c>
      <c r="C68" s="134"/>
      <c r="D68" s="134"/>
      <c r="E68" s="54" t="s">
        <v>80</v>
      </c>
      <c r="F68" s="53" t="s">
        <v>84</v>
      </c>
      <c r="G68" s="16" t="s">
        <v>101</v>
      </c>
      <c r="H68" s="16" t="s">
        <v>75</v>
      </c>
      <c r="I68" s="16" t="s">
        <v>76</v>
      </c>
      <c r="J68" s="133" t="s">
        <v>53</v>
      </c>
      <c r="K68" s="134"/>
      <c r="L68" s="134"/>
      <c r="M68" s="134"/>
      <c r="N68" s="135"/>
      <c r="O68" s="54" t="s">
        <v>80</v>
      </c>
      <c r="P68" s="53" t="s">
        <v>84</v>
      </c>
      <c r="Q68" s="16" t="s">
        <v>101</v>
      </c>
      <c r="R68" s="16" t="s">
        <v>75</v>
      </c>
      <c r="S68" s="16" t="s">
        <v>76</v>
      </c>
    </row>
    <row r="69" spans="1:19" ht="18" customHeight="1">
      <c r="A69" s="3"/>
      <c r="B69" s="137" t="s">
        <v>130</v>
      </c>
      <c r="C69" s="138"/>
      <c r="D69" s="138"/>
      <c r="E69" s="17">
        <v>2</v>
      </c>
      <c r="F69" s="17" t="s">
        <v>131</v>
      </c>
      <c r="G69" s="17" t="s">
        <v>131</v>
      </c>
      <c r="H69" s="17" t="s">
        <v>131</v>
      </c>
      <c r="I69" s="17" t="s">
        <v>131</v>
      </c>
      <c r="J69" s="137"/>
      <c r="K69" s="138"/>
      <c r="L69" s="138"/>
      <c r="M69" s="138"/>
      <c r="N69" s="139"/>
      <c r="O69" s="17"/>
      <c r="P69" s="17"/>
      <c r="Q69" s="17"/>
      <c r="R69" s="17"/>
      <c r="S69" s="17"/>
    </row>
    <row r="70" spans="1:19" ht="18" customHeight="1">
      <c r="A70" s="3"/>
      <c r="B70" s="127"/>
      <c r="C70" s="128"/>
      <c r="D70" s="128"/>
      <c r="E70" s="18"/>
      <c r="F70" s="18"/>
      <c r="G70" s="18"/>
      <c r="H70" s="18"/>
      <c r="I70" s="18"/>
      <c r="J70" s="127"/>
      <c r="K70" s="128"/>
      <c r="L70" s="128"/>
      <c r="M70" s="128"/>
      <c r="N70" s="129"/>
      <c r="O70" s="18"/>
      <c r="P70" s="18"/>
      <c r="Q70" s="18"/>
      <c r="R70" s="18"/>
      <c r="S70" s="18"/>
    </row>
    <row r="71" spans="1:19" ht="18" customHeight="1">
      <c r="A71" s="3"/>
      <c r="B71" s="127"/>
      <c r="C71" s="128"/>
      <c r="D71" s="128"/>
      <c r="E71" s="18"/>
      <c r="F71" s="18"/>
      <c r="G71" s="18"/>
      <c r="H71" s="18"/>
      <c r="I71" s="18"/>
      <c r="J71" s="127"/>
      <c r="K71" s="128"/>
      <c r="L71" s="128"/>
      <c r="M71" s="128"/>
      <c r="N71" s="129"/>
      <c r="O71" s="18"/>
      <c r="P71" s="18"/>
      <c r="Q71" s="18"/>
      <c r="R71" s="18"/>
      <c r="S71" s="18"/>
    </row>
    <row r="72" spans="1:19" ht="18" customHeight="1">
      <c r="A72" s="3"/>
      <c r="B72" s="127"/>
      <c r="C72" s="128"/>
      <c r="D72" s="128"/>
      <c r="E72" s="18"/>
      <c r="F72" s="18"/>
      <c r="G72" s="18"/>
      <c r="H72" s="18"/>
      <c r="I72" s="18"/>
      <c r="J72" s="127"/>
      <c r="K72" s="128"/>
      <c r="L72" s="128"/>
      <c r="M72" s="128"/>
      <c r="N72" s="129"/>
      <c r="O72" s="18"/>
      <c r="P72" s="18"/>
      <c r="Q72" s="18"/>
      <c r="R72" s="18"/>
      <c r="S72" s="18"/>
    </row>
    <row r="73" spans="1:19" ht="18" customHeight="1">
      <c r="A73" s="3"/>
      <c r="B73" s="127"/>
      <c r="C73" s="128"/>
      <c r="D73" s="128"/>
      <c r="E73" s="18"/>
      <c r="F73" s="18"/>
      <c r="G73" s="18"/>
      <c r="H73" s="18"/>
      <c r="I73" s="18"/>
      <c r="J73" s="127"/>
      <c r="K73" s="128"/>
      <c r="L73" s="128"/>
      <c r="M73" s="128"/>
      <c r="N73" s="129"/>
      <c r="O73" s="18"/>
      <c r="P73" s="18"/>
      <c r="Q73" s="18"/>
      <c r="R73" s="18"/>
      <c r="S73" s="18"/>
    </row>
    <row r="74" spans="1:19" ht="18" customHeight="1">
      <c r="A74" s="3"/>
      <c r="B74" s="127"/>
      <c r="C74" s="128"/>
      <c r="D74" s="128"/>
      <c r="E74" s="18"/>
      <c r="F74" s="18"/>
      <c r="G74" s="18"/>
      <c r="H74" s="18"/>
      <c r="I74" s="18"/>
      <c r="J74" s="127"/>
      <c r="K74" s="128"/>
      <c r="L74" s="128"/>
      <c r="M74" s="128"/>
      <c r="N74" s="129"/>
      <c r="O74" s="18"/>
      <c r="P74" s="18"/>
      <c r="Q74" s="18"/>
      <c r="R74" s="18"/>
      <c r="S74" s="18"/>
    </row>
    <row r="75" spans="1:19" ht="18" customHeight="1">
      <c r="A75" s="3"/>
      <c r="B75" s="130"/>
      <c r="C75" s="131"/>
      <c r="D75" s="131"/>
      <c r="E75" s="19"/>
      <c r="F75" s="19"/>
      <c r="G75" s="20"/>
      <c r="H75" s="20"/>
      <c r="I75" s="20"/>
      <c r="J75" s="130"/>
      <c r="K75" s="131"/>
      <c r="L75" s="131"/>
      <c r="M75" s="131"/>
      <c r="N75" s="132"/>
      <c r="O75" s="19"/>
      <c r="P75" s="19"/>
      <c r="Q75" s="20"/>
      <c r="R75" s="20"/>
      <c r="S75" s="20"/>
    </row>
    <row r="76" spans="1:19" ht="7.5" customHeight="1">
      <c r="B76" s="12"/>
      <c r="C76" s="12"/>
      <c r="D76" s="12"/>
      <c r="E76" s="12"/>
      <c r="F76" s="12"/>
      <c r="G76" s="12"/>
      <c r="H76" s="12"/>
      <c r="I76" s="12"/>
      <c r="J76" s="12"/>
      <c r="K76" s="12"/>
      <c r="L76" s="12"/>
      <c r="M76" s="12"/>
      <c r="N76" s="12"/>
      <c r="O76" s="12"/>
      <c r="P76" s="12"/>
      <c r="Q76" s="12"/>
      <c r="R76" s="12"/>
    </row>
    <row r="77" spans="1:19" ht="18" customHeight="1">
      <c r="A77" s="1" t="s">
        <v>118</v>
      </c>
      <c r="H77" s="3"/>
      <c r="I77" s="3"/>
      <c r="J77" s="3"/>
      <c r="K77" s="3"/>
      <c r="L77" s="3"/>
      <c r="M77" s="3"/>
      <c r="N77" s="3"/>
      <c r="O77" s="3"/>
      <c r="P77" s="3"/>
      <c r="Q77" s="3"/>
      <c r="R77" s="3"/>
      <c r="S77" s="3"/>
    </row>
    <row r="78" spans="1:19" ht="18" customHeight="1">
      <c r="B78" s="133" t="s">
        <v>53</v>
      </c>
      <c r="C78" s="134"/>
      <c r="D78" s="134"/>
      <c r="E78" s="135"/>
      <c r="F78" s="133" t="s">
        <v>82</v>
      </c>
      <c r="G78" s="134"/>
      <c r="H78" s="134"/>
      <c r="I78" s="135"/>
      <c r="J78" s="174" t="s">
        <v>53</v>
      </c>
      <c r="K78" s="175"/>
      <c r="L78" s="175"/>
      <c r="M78" s="175"/>
      <c r="N78" s="175"/>
      <c r="O78" s="176"/>
      <c r="P78" s="133" t="s">
        <v>82</v>
      </c>
      <c r="Q78" s="134"/>
      <c r="R78" s="134"/>
      <c r="S78" s="135"/>
    </row>
    <row r="79" spans="1:19" ht="18" customHeight="1">
      <c r="A79" s="3"/>
      <c r="B79" s="137"/>
      <c r="C79" s="138"/>
      <c r="D79" s="138"/>
      <c r="E79" s="139"/>
      <c r="F79" s="184"/>
      <c r="G79" s="185"/>
      <c r="H79" s="185"/>
      <c r="I79" s="186"/>
      <c r="J79" s="137"/>
      <c r="K79" s="138"/>
      <c r="L79" s="138"/>
      <c r="M79" s="138"/>
      <c r="N79" s="138"/>
      <c r="O79" s="139"/>
      <c r="P79" s="184"/>
      <c r="Q79" s="185"/>
      <c r="R79" s="185"/>
      <c r="S79" s="186"/>
    </row>
    <row r="80" spans="1:19" ht="18" customHeight="1">
      <c r="A80" s="3"/>
      <c r="B80" s="127"/>
      <c r="C80" s="128"/>
      <c r="D80" s="128"/>
      <c r="E80" s="129"/>
      <c r="F80" s="163"/>
      <c r="G80" s="164"/>
      <c r="H80" s="164"/>
      <c r="I80" s="165"/>
      <c r="J80" s="127"/>
      <c r="K80" s="128"/>
      <c r="L80" s="128"/>
      <c r="M80" s="128"/>
      <c r="N80" s="128"/>
      <c r="O80" s="129"/>
      <c r="P80" s="163"/>
      <c r="Q80" s="164"/>
      <c r="R80" s="164"/>
      <c r="S80" s="165"/>
    </row>
    <row r="81" spans="1:19" ht="18" customHeight="1">
      <c r="A81" s="3"/>
      <c r="B81" s="127"/>
      <c r="C81" s="128"/>
      <c r="D81" s="128"/>
      <c r="E81" s="129"/>
      <c r="F81" s="163"/>
      <c r="G81" s="164"/>
      <c r="H81" s="164"/>
      <c r="I81" s="165"/>
      <c r="J81" s="127"/>
      <c r="K81" s="128"/>
      <c r="L81" s="128"/>
      <c r="M81" s="128"/>
      <c r="N81" s="128"/>
      <c r="O81" s="129"/>
      <c r="P81" s="163"/>
      <c r="Q81" s="164"/>
      <c r="R81" s="164"/>
      <c r="S81" s="165"/>
    </row>
    <row r="82" spans="1:19" ht="18" customHeight="1">
      <c r="A82" s="3"/>
      <c r="B82" s="127"/>
      <c r="C82" s="128"/>
      <c r="D82" s="128"/>
      <c r="E82" s="129"/>
      <c r="F82" s="163"/>
      <c r="G82" s="164"/>
      <c r="H82" s="164"/>
      <c r="I82" s="165"/>
      <c r="J82" s="127"/>
      <c r="K82" s="128"/>
      <c r="L82" s="128"/>
      <c r="M82" s="128"/>
      <c r="N82" s="128"/>
      <c r="O82" s="129"/>
      <c r="P82" s="163"/>
      <c r="Q82" s="164"/>
      <c r="R82" s="164"/>
      <c r="S82" s="165"/>
    </row>
    <row r="83" spans="1:19" ht="18" customHeight="1">
      <c r="A83" s="3"/>
      <c r="B83" s="127"/>
      <c r="C83" s="128"/>
      <c r="D83" s="128"/>
      <c r="E83" s="129"/>
      <c r="F83" s="163"/>
      <c r="G83" s="164"/>
      <c r="H83" s="164"/>
      <c r="I83" s="165"/>
      <c r="J83" s="127"/>
      <c r="K83" s="128"/>
      <c r="L83" s="128"/>
      <c r="M83" s="128"/>
      <c r="N83" s="128"/>
      <c r="O83" s="129"/>
      <c r="P83" s="163"/>
      <c r="Q83" s="164"/>
      <c r="R83" s="164"/>
      <c r="S83" s="165"/>
    </row>
    <row r="84" spans="1:19" ht="18" customHeight="1">
      <c r="A84" s="3"/>
      <c r="B84" s="127"/>
      <c r="C84" s="128"/>
      <c r="D84" s="128"/>
      <c r="E84" s="129"/>
      <c r="F84" s="163"/>
      <c r="G84" s="164"/>
      <c r="H84" s="164"/>
      <c r="I84" s="165"/>
      <c r="J84" s="127"/>
      <c r="K84" s="128"/>
      <c r="L84" s="128"/>
      <c r="M84" s="128"/>
      <c r="N84" s="128"/>
      <c r="O84" s="129"/>
      <c r="P84" s="163"/>
      <c r="Q84" s="164"/>
      <c r="R84" s="164"/>
      <c r="S84" s="165"/>
    </row>
    <row r="85" spans="1:19" ht="18" customHeight="1">
      <c r="A85" s="3"/>
      <c r="B85" s="130"/>
      <c r="C85" s="131"/>
      <c r="D85" s="131"/>
      <c r="E85" s="132"/>
      <c r="F85" s="160"/>
      <c r="G85" s="161"/>
      <c r="H85" s="161"/>
      <c r="I85" s="162"/>
      <c r="J85" s="130"/>
      <c r="K85" s="131"/>
      <c r="L85" s="131"/>
      <c r="M85" s="131"/>
      <c r="N85" s="131"/>
      <c r="O85" s="132"/>
      <c r="P85" s="160"/>
      <c r="Q85" s="161"/>
      <c r="R85" s="161"/>
      <c r="S85" s="162"/>
    </row>
    <row r="86" spans="1:19" ht="18" customHeight="1">
      <c r="A86" s="3"/>
      <c r="B86" s="5"/>
      <c r="C86" s="5"/>
      <c r="D86" s="5"/>
      <c r="E86" s="5"/>
      <c r="F86" s="21"/>
      <c r="G86" s="21"/>
      <c r="H86" s="21"/>
      <c r="I86" s="21"/>
      <c r="J86" s="5"/>
      <c r="K86" s="5"/>
      <c r="L86" s="5"/>
      <c r="M86" s="5"/>
      <c r="N86" s="5"/>
      <c r="O86" s="5"/>
      <c r="P86" s="21"/>
      <c r="Q86" s="21"/>
      <c r="R86" s="21"/>
      <c r="S86" s="21"/>
    </row>
    <row r="87" spans="1:19" ht="18.75" customHeight="1">
      <c r="A87" s="1" t="s">
        <v>119</v>
      </c>
    </row>
    <row r="88" spans="1:19" ht="18.75" customHeight="1">
      <c r="B88" s="182" t="s">
        <v>54</v>
      </c>
      <c r="C88" s="183"/>
      <c r="D88" s="134" t="s">
        <v>55</v>
      </c>
      <c r="E88" s="134"/>
      <c r="F88" s="134"/>
      <c r="G88" s="134"/>
      <c r="H88" s="134"/>
      <c r="I88" s="134"/>
      <c r="J88" s="134"/>
      <c r="K88" s="134"/>
      <c r="L88" s="134"/>
      <c r="M88" s="134"/>
      <c r="N88" s="134"/>
      <c r="O88" s="134"/>
      <c r="P88" s="134"/>
      <c r="Q88" s="134"/>
      <c r="R88" s="134"/>
      <c r="S88" s="135"/>
    </row>
    <row r="89" spans="1:19" ht="97.5" customHeight="1">
      <c r="B89" s="177" t="s">
        <v>61</v>
      </c>
      <c r="C89" s="22" t="s">
        <v>56</v>
      </c>
      <c r="D89" s="172" t="s">
        <v>196</v>
      </c>
      <c r="E89" s="170"/>
      <c r="F89" s="170"/>
      <c r="G89" s="170"/>
      <c r="H89" s="170"/>
      <c r="I89" s="170"/>
      <c r="J89" s="170"/>
      <c r="K89" s="170"/>
      <c r="L89" s="170"/>
      <c r="M89" s="170"/>
      <c r="N89" s="170"/>
      <c r="O89" s="170"/>
      <c r="P89" s="170"/>
      <c r="Q89" s="170"/>
      <c r="R89" s="170"/>
      <c r="S89" s="171"/>
    </row>
    <row r="90" spans="1:19" ht="97.5" customHeight="1">
      <c r="B90" s="179"/>
      <c r="C90" s="23" t="s">
        <v>77</v>
      </c>
      <c r="D90" s="166" t="s">
        <v>201</v>
      </c>
      <c r="E90" s="167"/>
      <c r="F90" s="167"/>
      <c r="G90" s="167"/>
      <c r="H90" s="167"/>
      <c r="I90" s="167"/>
      <c r="J90" s="167"/>
      <c r="K90" s="167"/>
      <c r="L90" s="167"/>
      <c r="M90" s="167"/>
      <c r="N90" s="167"/>
      <c r="O90" s="167"/>
      <c r="P90" s="167"/>
      <c r="Q90" s="167"/>
      <c r="R90" s="167"/>
      <c r="S90" s="168"/>
    </row>
    <row r="91" spans="1:19" ht="97.5" customHeight="1">
      <c r="B91" s="177" t="s">
        <v>62</v>
      </c>
      <c r="C91" s="24" t="s">
        <v>71</v>
      </c>
      <c r="D91" s="169" t="s">
        <v>197</v>
      </c>
      <c r="E91" s="170"/>
      <c r="F91" s="170"/>
      <c r="G91" s="170"/>
      <c r="H91" s="170"/>
      <c r="I91" s="170"/>
      <c r="J91" s="170"/>
      <c r="K91" s="170"/>
      <c r="L91" s="170"/>
      <c r="M91" s="170"/>
      <c r="N91" s="170"/>
      <c r="O91" s="170"/>
      <c r="P91" s="170"/>
      <c r="Q91" s="170"/>
      <c r="R91" s="170"/>
      <c r="S91" s="171"/>
    </row>
    <row r="92" spans="1:19" ht="97.5" customHeight="1">
      <c r="B92" s="178"/>
      <c r="C92" s="25" t="s">
        <v>72</v>
      </c>
      <c r="D92" s="166" t="s">
        <v>198</v>
      </c>
      <c r="E92" s="167"/>
      <c r="F92" s="167"/>
      <c r="G92" s="167"/>
      <c r="H92" s="167"/>
      <c r="I92" s="167"/>
      <c r="J92" s="167"/>
      <c r="K92" s="167"/>
      <c r="L92" s="167"/>
      <c r="M92" s="167"/>
      <c r="N92" s="167"/>
      <c r="O92" s="167"/>
      <c r="P92" s="167"/>
      <c r="Q92" s="167"/>
      <c r="R92" s="167"/>
      <c r="S92" s="168"/>
    </row>
    <row r="93" spans="1:19" ht="97.5" customHeight="1">
      <c r="B93" s="177" t="s">
        <v>63</v>
      </c>
      <c r="C93" s="24" t="s">
        <v>73</v>
      </c>
      <c r="D93" s="172" t="s">
        <v>199</v>
      </c>
      <c r="E93" s="170"/>
      <c r="F93" s="170"/>
      <c r="G93" s="170"/>
      <c r="H93" s="170"/>
      <c r="I93" s="170"/>
      <c r="J93" s="170"/>
      <c r="K93" s="170"/>
      <c r="L93" s="170"/>
      <c r="M93" s="170"/>
      <c r="N93" s="170"/>
      <c r="O93" s="170"/>
      <c r="P93" s="170"/>
      <c r="Q93" s="170"/>
      <c r="R93" s="170"/>
      <c r="S93" s="171"/>
    </row>
    <row r="94" spans="1:19" ht="97.5" customHeight="1">
      <c r="B94" s="178"/>
      <c r="C94" s="26" t="s">
        <v>74</v>
      </c>
      <c r="D94" s="166" t="s">
        <v>200</v>
      </c>
      <c r="E94" s="167"/>
      <c r="F94" s="167"/>
      <c r="G94" s="167"/>
      <c r="H94" s="167"/>
      <c r="I94" s="167"/>
      <c r="J94" s="167"/>
      <c r="K94" s="167"/>
      <c r="L94" s="167"/>
      <c r="M94" s="167"/>
      <c r="N94" s="167"/>
      <c r="O94" s="167"/>
      <c r="P94" s="167"/>
      <c r="Q94" s="167"/>
      <c r="R94" s="167"/>
      <c r="S94" s="168"/>
    </row>
    <row r="95" spans="1:19" ht="97.5" customHeight="1">
      <c r="B95" s="177" t="s">
        <v>78</v>
      </c>
      <c r="C95" s="22" t="s">
        <v>58</v>
      </c>
      <c r="D95" s="172" t="s">
        <v>203</v>
      </c>
      <c r="E95" s="170"/>
      <c r="F95" s="170"/>
      <c r="G95" s="170"/>
      <c r="H95" s="170"/>
      <c r="I95" s="170"/>
      <c r="J95" s="170"/>
      <c r="K95" s="170"/>
      <c r="L95" s="170"/>
      <c r="M95" s="170"/>
      <c r="N95" s="170"/>
      <c r="O95" s="170"/>
      <c r="P95" s="170"/>
      <c r="Q95" s="170"/>
      <c r="R95" s="170"/>
      <c r="S95" s="171"/>
    </row>
    <row r="96" spans="1:19" ht="97.5" customHeight="1">
      <c r="B96" s="178"/>
      <c r="C96" s="25" t="s">
        <v>60</v>
      </c>
      <c r="D96" s="166" t="s">
        <v>204</v>
      </c>
      <c r="E96" s="167"/>
      <c r="F96" s="167"/>
      <c r="G96" s="167"/>
      <c r="H96" s="167"/>
      <c r="I96" s="167"/>
      <c r="J96" s="167"/>
      <c r="K96" s="167"/>
      <c r="L96" s="167"/>
      <c r="M96" s="167"/>
      <c r="N96" s="167"/>
      <c r="O96" s="167"/>
      <c r="P96" s="167"/>
      <c r="Q96" s="167"/>
      <c r="R96" s="167"/>
      <c r="S96" s="168"/>
    </row>
    <row r="97" spans="1:19" ht="261.75" customHeight="1">
      <c r="B97" s="177" t="s">
        <v>79</v>
      </c>
      <c r="C97" s="24" t="s">
        <v>57</v>
      </c>
      <c r="D97" s="180" t="s">
        <v>206</v>
      </c>
      <c r="E97" s="138"/>
      <c r="F97" s="138"/>
      <c r="G97" s="138"/>
      <c r="H97" s="138"/>
      <c r="I97" s="138"/>
      <c r="J97" s="138"/>
      <c r="K97" s="138"/>
      <c r="L97" s="138"/>
      <c r="M97" s="138"/>
      <c r="N97" s="138"/>
      <c r="O97" s="138"/>
      <c r="P97" s="138"/>
      <c r="Q97" s="138"/>
      <c r="R97" s="138"/>
      <c r="S97" s="139"/>
    </row>
    <row r="98" spans="1:19" ht="97.5" customHeight="1">
      <c r="B98" s="179"/>
      <c r="C98" s="27" t="s">
        <v>75</v>
      </c>
      <c r="D98" s="173" t="s">
        <v>205</v>
      </c>
      <c r="E98" s="128"/>
      <c r="F98" s="128"/>
      <c r="G98" s="128"/>
      <c r="H98" s="128"/>
      <c r="I98" s="128"/>
      <c r="J98" s="128"/>
      <c r="K98" s="128"/>
      <c r="L98" s="128"/>
      <c r="M98" s="128"/>
      <c r="N98" s="128"/>
      <c r="O98" s="128"/>
      <c r="P98" s="128"/>
      <c r="Q98" s="128"/>
      <c r="R98" s="128"/>
      <c r="S98" s="129"/>
    </row>
    <row r="99" spans="1:19" ht="97.5" customHeight="1">
      <c r="B99" s="178"/>
      <c r="C99" s="26" t="s">
        <v>76</v>
      </c>
      <c r="D99" s="181" t="s">
        <v>202</v>
      </c>
      <c r="E99" s="131"/>
      <c r="F99" s="131"/>
      <c r="G99" s="131"/>
      <c r="H99" s="131"/>
      <c r="I99" s="131"/>
      <c r="J99" s="131"/>
      <c r="K99" s="131"/>
      <c r="L99" s="131"/>
      <c r="M99" s="131"/>
      <c r="N99" s="131"/>
      <c r="O99" s="131"/>
      <c r="P99" s="131"/>
      <c r="Q99" s="131"/>
      <c r="R99" s="131"/>
      <c r="S99" s="132"/>
    </row>
    <row r="100" spans="1:19" ht="6" customHeight="1"/>
    <row r="101" spans="1:19" ht="18.75" customHeight="1">
      <c r="A101" s="1" t="s">
        <v>120</v>
      </c>
    </row>
    <row r="102" spans="1:19" ht="81.75" customHeight="1">
      <c r="B102" s="157" t="s">
        <v>132</v>
      </c>
      <c r="C102" s="158"/>
      <c r="D102" s="158"/>
      <c r="E102" s="158"/>
      <c r="F102" s="158"/>
      <c r="G102" s="158"/>
      <c r="H102" s="158"/>
      <c r="I102" s="158"/>
      <c r="J102" s="158"/>
      <c r="K102" s="158"/>
      <c r="L102" s="158"/>
      <c r="M102" s="158"/>
      <c r="N102" s="158"/>
      <c r="O102" s="158"/>
      <c r="P102" s="158"/>
      <c r="Q102" s="158"/>
      <c r="R102" s="158"/>
      <c r="S102" s="159"/>
    </row>
    <row r="110" spans="1:19" ht="18" customHeight="1"/>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4"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B1" zoomScaleNormal="100" zoomScaleSheetLayoutView="100" workbookViewId="0">
      <selection activeCell="B1" sqref="B1"/>
    </sheetView>
  </sheetViews>
  <sheetFormatPr defaultColWidth="9" defaultRowHeight="18.75" customHeight="1"/>
  <cols>
    <col min="1" max="1" width="2.5" style="77" customWidth="1"/>
    <col min="2" max="2" width="16.5" style="77" customWidth="1"/>
    <col min="3" max="19" width="5.625" style="77" customWidth="1"/>
    <col min="20" max="20" width="9" style="77"/>
    <col min="21" max="21" width="3.625" style="77" customWidth="1"/>
    <col min="22" max="22" width="48.625" style="77" hidden="1" customWidth="1"/>
    <col min="23" max="16384" width="9" style="77"/>
  </cols>
  <sheetData>
    <row r="1" spans="1:22" ht="18.600000000000001" customHeight="1">
      <c r="R1" s="140" t="s">
        <v>151</v>
      </c>
      <c r="S1" s="140"/>
      <c r="T1" s="2" t="s">
        <v>109</v>
      </c>
    </row>
    <row r="2" spans="1:22" ht="18.75" customHeight="1">
      <c r="B2" s="76" t="s">
        <v>108</v>
      </c>
      <c r="C2" s="133" t="s">
        <v>126</v>
      </c>
      <c r="D2" s="134"/>
      <c r="E2" s="134"/>
      <c r="F2" s="134"/>
      <c r="G2" s="134"/>
      <c r="H2" s="134"/>
      <c r="I2" s="135"/>
      <c r="J2" s="75"/>
      <c r="K2" s="5"/>
      <c r="L2" s="5"/>
      <c r="M2" s="5"/>
      <c r="N2" s="5"/>
      <c r="O2" s="5"/>
      <c r="P2" s="5"/>
      <c r="Q2" s="5"/>
      <c r="R2" s="5"/>
      <c r="S2" s="5"/>
    </row>
    <row r="3" spans="1:22" ht="18.75" customHeight="1">
      <c r="B3" s="76" t="s">
        <v>102</v>
      </c>
      <c r="C3" s="133" t="s">
        <v>127</v>
      </c>
      <c r="D3" s="134"/>
      <c r="E3" s="134"/>
      <c r="F3" s="134"/>
      <c r="G3" s="134"/>
      <c r="H3" s="134"/>
      <c r="I3" s="135"/>
      <c r="J3" s="75"/>
      <c r="K3" s="5"/>
      <c r="L3" s="5"/>
      <c r="M3" s="5"/>
      <c r="N3" s="5"/>
      <c r="O3" s="5"/>
      <c r="P3" s="5"/>
      <c r="Q3" s="5"/>
      <c r="R3" s="5"/>
      <c r="S3" s="5"/>
    </row>
    <row r="4" spans="1:22" ht="15" customHeight="1">
      <c r="K4" s="75"/>
      <c r="L4" s="31"/>
      <c r="M4" s="31"/>
      <c r="N4" s="31"/>
      <c r="O4" s="31"/>
      <c r="P4" s="31"/>
      <c r="Q4" s="31"/>
      <c r="R4" s="31"/>
      <c r="S4" s="31"/>
    </row>
    <row r="5" spans="1:22" ht="18" customHeight="1">
      <c r="A5" s="144" t="s">
        <v>38</v>
      </c>
      <c r="B5" s="144"/>
      <c r="C5" s="144"/>
      <c r="D5" s="144"/>
      <c r="E5" s="144"/>
      <c r="F5" s="144"/>
      <c r="G5" s="144"/>
      <c r="H5" s="144"/>
      <c r="I5" s="144"/>
      <c r="J5" s="144"/>
      <c r="K5" s="144"/>
      <c r="L5" s="144"/>
      <c r="M5" s="144"/>
      <c r="N5" s="144"/>
      <c r="O5" s="144"/>
      <c r="P5" s="144"/>
      <c r="Q5" s="144"/>
      <c r="R5" s="144"/>
      <c r="S5" s="144"/>
    </row>
    <row r="6" spans="1:22" ht="15" customHeight="1">
      <c r="B6" s="78"/>
      <c r="C6" s="78"/>
      <c r="D6" s="78"/>
      <c r="E6" s="78"/>
      <c r="F6" s="78"/>
      <c r="G6" s="78"/>
      <c r="H6" s="78"/>
      <c r="I6" s="78"/>
      <c r="J6" s="78"/>
      <c r="K6" s="78"/>
      <c r="L6" s="78"/>
      <c r="M6" s="78"/>
      <c r="N6" s="78"/>
      <c r="O6" s="78"/>
      <c r="P6" s="78"/>
      <c r="Q6" s="78"/>
      <c r="R6" s="78"/>
      <c r="S6" s="78"/>
    </row>
    <row r="7" spans="1:22" ht="18" customHeight="1">
      <c r="A7" s="77" t="s">
        <v>124</v>
      </c>
      <c r="C7" s="78"/>
      <c r="J7" s="32" t="s">
        <v>107</v>
      </c>
      <c r="K7" s="154" t="s">
        <v>128</v>
      </c>
      <c r="L7" s="155"/>
      <c r="M7" s="155"/>
      <c r="N7" s="155"/>
      <c r="O7" s="155"/>
      <c r="P7" s="155"/>
      <c r="Q7" s="155"/>
      <c r="R7" s="155"/>
      <c r="S7" s="156"/>
    </row>
    <row r="8" spans="1:22" ht="6" customHeight="1">
      <c r="B8" s="78"/>
      <c r="C8" s="78"/>
      <c r="D8" s="78"/>
      <c r="E8" s="78"/>
      <c r="F8" s="78"/>
      <c r="G8" s="78"/>
      <c r="H8" s="78"/>
      <c r="I8" s="78"/>
      <c r="J8" s="78"/>
      <c r="K8" s="8"/>
      <c r="L8" s="78"/>
      <c r="M8" s="78"/>
      <c r="N8" s="78"/>
      <c r="O8" s="78"/>
      <c r="P8" s="78"/>
      <c r="Q8" s="78"/>
      <c r="R8" s="78"/>
      <c r="S8" s="78"/>
    </row>
    <row r="9" spans="1:22" ht="18" customHeight="1">
      <c r="B9" s="121" t="s">
        <v>175</v>
      </c>
      <c r="C9" s="122"/>
      <c r="D9" s="122"/>
      <c r="E9" s="122"/>
      <c r="F9" s="122"/>
      <c r="G9" s="122"/>
      <c r="H9" s="122"/>
      <c r="I9" s="122"/>
      <c r="J9" s="122"/>
      <c r="K9" s="122"/>
      <c r="L9" s="122"/>
      <c r="M9" s="122"/>
      <c r="N9" s="122"/>
      <c r="O9" s="122"/>
      <c r="P9" s="122"/>
      <c r="Q9" s="122"/>
      <c r="R9" s="122"/>
      <c r="S9" s="123"/>
    </row>
    <row r="10" spans="1:22" ht="18" customHeight="1">
      <c r="B10" s="124"/>
      <c r="C10" s="125"/>
      <c r="D10" s="125"/>
      <c r="E10" s="125"/>
      <c r="F10" s="125"/>
      <c r="G10" s="125"/>
      <c r="H10" s="125"/>
      <c r="I10" s="125"/>
      <c r="J10" s="125"/>
      <c r="K10" s="125"/>
      <c r="L10" s="125"/>
      <c r="M10" s="125"/>
      <c r="N10" s="125"/>
      <c r="O10" s="125"/>
      <c r="P10" s="125"/>
      <c r="Q10" s="125"/>
      <c r="R10" s="125"/>
      <c r="S10" s="126"/>
    </row>
    <row r="11" spans="1:22" ht="6" customHeight="1">
      <c r="B11" s="78"/>
      <c r="C11" s="78"/>
      <c r="D11" s="78"/>
      <c r="E11" s="78"/>
      <c r="F11" s="78"/>
      <c r="G11" s="78"/>
      <c r="H11" s="78"/>
      <c r="I11" s="78"/>
      <c r="J11" s="78"/>
      <c r="K11" s="8"/>
      <c r="L11" s="78"/>
      <c r="M11" s="78"/>
      <c r="N11" s="78"/>
      <c r="O11" s="78"/>
      <c r="P11" s="78"/>
      <c r="Q11" s="78"/>
      <c r="R11" s="78"/>
      <c r="S11" s="78"/>
    </row>
    <row r="12" spans="1:22" ht="18" customHeight="1">
      <c r="A12" s="77" t="s">
        <v>111</v>
      </c>
      <c r="B12" s="78"/>
      <c r="C12" s="78"/>
      <c r="D12" s="75"/>
      <c r="E12" s="75"/>
      <c r="F12" s="75"/>
      <c r="G12" s="75"/>
      <c r="H12" s="75"/>
      <c r="I12" s="75"/>
      <c r="J12" s="75"/>
      <c r="K12" s="33"/>
      <c r="L12" s="33"/>
      <c r="M12" s="33"/>
      <c r="N12" s="33"/>
      <c r="O12" s="33"/>
      <c r="P12" s="33"/>
      <c r="Q12" s="33"/>
      <c r="R12" s="33"/>
      <c r="S12" s="33"/>
    </row>
    <row r="13" spans="1:22" ht="18" customHeight="1">
      <c r="B13" s="145" t="s">
        <v>177</v>
      </c>
      <c r="C13" s="146"/>
      <c r="D13" s="146"/>
      <c r="E13" s="146"/>
      <c r="F13" s="146"/>
      <c r="G13" s="146"/>
      <c r="H13" s="146"/>
      <c r="I13" s="146"/>
      <c r="J13" s="146"/>
      <c r="K13" s="146"/>
      <c r="L13" s="146"/>
      <c r="M13" s="146"/>
      <c r="N13" s="146"/>
      <c r="O13" s="146"/>
      <c r="P13" s="146"/>
      <c r="Q13" s="146"/>
      <c r="R13" s="146"/>
      <c r="S13" s="147"/>
      <c r="V13" s="77" t="s">
        <v>103</v>
      </c>
    </row>
    <row r="14" spans="1:22" ht="18" customHeight="1">
      <c r="B14" s="148"/>
      <c r="C14" s="149"/>
      <c r="D14" s="149"/>
      <c r="E14" s="149"/>
      <c r="F14" s="149"/>
      <c r="G14" s="149"/>
      <c r="H14" s="149"/>
      <c r="I14" s="149"/>
      <c r="J14" s="149"/>
      <c r="K14" s="149"/>
      <c r="L14" s="149"/>
      <c r="M14" s="149"/>
      <c r="N14" s="149"/>
      <c r="O14" s="149"/>
      <c r="P14" s="149"/>
      <c r="Q14" s="149"/>
      <c r="R14" s="149"/>
      <c r="S14" s="150"/>
      <c r="V14" s="77" t="s">
        <v>110</v>
      </c>
    </row>
    <row r="15" spans="1:22" ht="18" customHeight="1">
      <c r="B15" s="148"/>
      <c r="C15" s="149"/>
      <c r="D15" s="149"/>
      <c r="E15" s="149"/>
      <c r="F15" s="149"/>
      <c r="G15" s="149"/>
      <c r="H15" s="149"/>
      <c r="I15" s="149"/>
      <c r="J15" s="149"/>
      <c r="K15" s="149"/>
      <c r="L15" s="149"/>
      <c r="M15" s="149"/>
      <c r="N15" s="149"/>
      <c r="O15" s="149"/>
      <c r="P15" s="149"/>
      <c r="Q15" s="149"/>
      <c r="R15" s="149"/>
      <c r="S15" s="150"/>
      <c r="V15" s="77" t="s">
        <v>123</v>
      </c>
    </row>
    <row r="16" spans="1:22" ht="18" customHeight="1">
      <c r="B16" s="148"/>
      <c r="C16" s="149"/>
      <c r="D16" s="149"/>
      <c r="E16" s="149"/>
      <c r="F16" s="149"/>
      <c r="G16" s="149"/>
      <c r="H16" s="149"/>
      <c r="I16" s="149"/>
      <c r="J16" s="149"/>
      <c r="K16" s="149"/>
      <c r="L16" s="149"/>
      <c r="M16" s="149"/>
      <c r="N16" s="149"/>
      <c r="O16" s="149"/>
      <c r="P16" s="149"/>
      <c r="Q16" s="149"/>
      <c r="R16" s="149"/>
      <c r="S16" s="150"/>
      <c r="V16" s="77" t="s">
        <v>125</v>
      </c>
    </row>
    <row r="17" spans="1:19" ht="18" customHeight="1">
      <c r="B17" s="148"/>
      <c r="C17" s="149"/>
      <c r="D17" s="149"/>
      <c r="E17" s="149"/>
      <c r="F17" s="149"/>
      <c r="G17" s="149"/>
      <c r="H17" s="149"/>
      <c r="I17" s="149"/>
      <c r="J17" s="149"/>
      <c r="K17" s="149"/>
      <c r="L17" s="149"/>
      <c r="M17" s="149"/>
      <c r="N17" s="149"/>
      <c r="O17" s="149"/>
      <c r="P17" s="149"/>
      <c r="Q17" s="149"/>
      <c r="R17" s="149"/>
      <c r="S17" s="150"/>
    </row>
    <row r="18" spans="1:19" ht="18" customHeight="1">
      <c r="B18" s="151"/>
      <c r="C18" s="152"/>
      <c r="D18" s="152"/>
      <c r="E18" s="152"/>
      <c r="F18" s="152"/>
      <c r="G18" s="152"/>
      <c r="H18" s="152"/>
      <c r="I18" s="152"/>
      <c r="J18" s="152"/>
      <c r="K18" s="152"/>
      <c r="L18" s="152"/>
      <c r="M18" s="152"/>
      <c r="N18" s="152"/>
      <c r="O18" s="152"/>
      <c r="P18" s="152"/>
      <c r="Q18" s="152"/>
      <c r="R18" s="152"/>
      <c r="S18" s="153"/>
    </row>
    <row r="19" spans="1:19" ht="7.5" customHeight="1">
      <c r="B19" s="78"/>
      <c r="C19" s="78"/>
      <c r="D19" s="78"/>
      <c r="E19" s="78"/>
      <c r="F19" s="78"/>
      <c r="G19" s="78"/>
      <c r="H19" s="78"/>
      <c r="I19" s="78"/>
      <c r="J19" s="78"/>
      <c r="K19" s="78"/>
      <c r="L19" s="78"/>
      <c r="M19" s="78"/>
      <c r="N19" s="78"/>
      <c r="O19" s="78"/>
      <c r="P19" s="78"/>
      <c r="Q19" s="78"/>
      <c r="R19" s="78"/>
      <c r="S19" s="78"/>
    </row>
    <row r="20" spans="1:19" ht="19.899999999999999" customHeight="1">
      <c r="B20" s="77" t="s">
        <v>112</v>
      </c>
      <c r="C20" s="133">
        <v>2</v>
      </c>
      <c r="D20" s="135"/>
      <c r="E20" s="34" t="s">
        <v>95</v>
      </c>
      <c r="G20" s="8"/>
      <c r="H20" s="78"/>
      <c r="I20" s="78"/>
      <c r="J20" s="75" t="s">
        <v>121</v>
      </c>
      <c r="K20" s="141" t="s">
        <v>125</v>
      </c>
      <c r="L20" s="142"/>
      <c r="M20" s="142"/>
      <c r="N20" s="142"/>
      <c r="O20" s="142"/>
      <c r="P20" s="142"/>
      <c r="Q20" s="142"/>
      <c r="R20" s="142"/>
      <c r="S20" s="143"/>
    </row>
    <row r="21" spans="1:19" ht="7.5" customHeight="1">
      <c r="B21" s="78"/>
      <c r="C21" s="78"/>
      <c r="D21" s="78"/>
      <c r="E21" s="78"/>
      <c r="F21" s="78"/>
      <c r="G21" s="78"/>
      <c r="H21" s="78"/>
      <c r="I21" s="78"/>
      <c r="J21" s="78"/>
      <c r="K21" s="78"/>
      <c r="L21" s="78"/>
      <c r="M21" s="78"/>
      <c r="N21" s="78"/>
      <c r="O21" s="78"/>
      <c r="P21" s="78"/>
      <c r="Q21" s="78"/>
      <c r="R21" s="78"/>
      <c r="S21" s="78"/>
    </row>
    <row r="22" spans="1:19" ht="18" customHeight="1">
      <c r="A22" s="136" t="s">
        <v>113</v>
      </c>
      <c r="B22" s="136"/>
      <c r="C22" s="136"/>
      <c r="D22" s="136"/>
      <c r="E22" s="136"/>
      <c r="F22" s="136"/>
      <c r="G22" s="136"/>
      <c r="H22" s="136"/>
      <c r="I22" s="136"/>
      <c r="J22" s="136"/>
      <c r="K22" s="136"/>
      <c r="L22" s="136"/>
      <c r="M22" s="136"/>
      <c r="N22" s="136"/>
      <c r="O22" s="136"/>
      <c r="P22" s="136"/>
      <c r="Q22" s="136"/>
      <c r="R22" s="136"/>
      <c r="S22" s="136"/>
    </row>
    <row r="23" spans="1:19" ht="18" customHeight="1">
      <c r="A23" s="136"/>
      <c r="B23" s="136"/>
      <c r="C23" s="136"/>
      <c r="D23" s="136"/>
      <c r="E23" s="136"/>
      <c r="F23" s="136"/>
      <c r="G23" s="136"/>
      <c r="H23" s="136"/>
      <c r="I23" s="136"/>
      <c r="J23" s="136"/>
      <c r="K23" s="136"/>
      <c r="L23" s="136"/>
      <c r="M23" s="136"/>
      <c r="N23" s="136"/>
      <c r="O23" s="136"/>
      <c r="P23" s="136"/>
      <c r="Q23" s="136"/>
      <c r="R23" s="136"/>
      <c r="S23" s="136"/>
    </row>
    <row r="24" spans="1:19" ht="18" customHeight="1">
      <c r="B24" s="133" t="s">
        <v>53</v>
      </c>
      <c r="C24" s="134"/>
      <c r="D24" s="134"/>
      <c r="E24" s="135"/>
      <c r="F24" s="54" t="s">
        <v>80</v>
      </c>
      <c r="G24" s="53" t="s">
        <v>84</v>
      </c>
      <c r="H24" s="16" t="s">
        <v>56</v>
      </c>
      <c r="I24" s="16" t="s">
        <v>59</v>
      </c>
      <c r="J24" s="133" t="s">
        <v>53</v>
      </c>
      <c r="K24" s="134"/>
      <c r="L24" s="134"/>
      <c r="M24" s="134"/>
      <c r="N24" s="134"/>
      <c r="O24" s="135"/>
      <c r="P24" s="54" t="s">
        <v>80</v>
      </c>
      <c r="Q24" s="53" t="s">
        <v>84</v>
      </c>
      <c r="R24" s="16" t="s">
        <v>56</v>
      </c>
      <c r="S24" s="16" t="s">
        <v>59</v>
      </c>
    </row>
    <row r="25" spans="1:19" ht="18" customHeight="1">
      <c r="B25" s="137" t="s">
        <v>130</v>
      </c>
      <c r="C25" s="138"/>
      <c r="D25" s="138"/>
      <c r="E25" s="139"/>
      <c r="F25" s="17">
        <v>2</v>
      </c>
      <c r="G25" s="17" t="s">
        <v>131</v>
      </c>
      <c r="H25" s="17" t="s">
        <v>131</v>
      </c>
      <c r="I25" s="17" t="s">
        <v>131</v>
      </c>
      <c r="J25" s="137"/>
      <c r="K25" s="138"/>
      <c r="L25" s="138"/>
      <c r="M25" s="138"/>
      <c r="N25" s="138"/>
      <c r="O25" s="139"/>
      <c r="P25" s="17"/>
      <c r="Q25" s="17"/>
      <c r="R25" s="17"/>
      <c r="S25" s="17"/>
    </row>
    <row r="26" spans="1:19" ht="18" customHeight="1">
      <c r="B26" s="127"/>
      <c r="C26" s="128"/>
      <c r="D26" s="128"/>
      <c r="E26" s="129"/>
      <c r="F26" s="18"/>
      <c r="G26" s="18"/>
      <c r="H26" s="18"/>
      <c r="I26" s="18"/>
      <c r="J26" s="127"/>
      <c r="K26" s="128"/>
      <c r="L26" s="128"/>
      <c r="M26" s="128"/>
      <c r="N26" s="128"/>
      <c r="O26" s="129"/>
      <c r="P26" s="18"/>
      <c r="Q26" s="18"/>
      <c r="R26" s="18"/>
      <c r="S26" s="18"/>
    </row>
    <row r="27" spans="1:19" ht="18" customHeight="1">
      <c r="B27" s="127"/>
      <c r="C27" s="128"/>
      <c r="D27" s="128"/>
      <c r="E27" s="129"/>
      <c r="F27" s="18"/>
      <c r="G27" s="18"/>
      <c r="H27" s="18"/>
      <c r="I27" s="18"/>
      <c r="J27" s="127"/>
      <c r="K27" s="128"/>
      <c r="L27" s="128"/>
      <c r="M27" s="128"/>
      <c r="N27" s="128"/>
      <c r="O27" s="129"/>
      <c r="P27" s="18"/>
      <c r="Q27" s="18"/>
      <c r="R27" s="18"/>
      <c r="S27" s="18"/>
    </row>
    <row r="28" spans="1:19" ht="18" customHeight="1">
      <c r="B28" s="127"/>
      <c r="C28" s="128"/>
      <c r="D28" s="128"/>
      <c r="E28" s="129"/>
      <c r="F28" s="18"/>
      <c r="G28" s="18"/>
      <c r="H28" s="18"/>
      <c r="I28" s="18"/>
      <c r="J28" s="127"/>
      <c r="K28" s="128"/>
      <c r="L28" s="128"/>
      <c r="M28" s="128"/>
      <c r="N28" s="128"/>
      <c r="O28" s="129"/>
      <c r="P28" s="18"/>
      <c r="Q28" s="18"/>
      <c r="R28" s="18"/>
      <c r="S28" s="18"/>
    </row>
    <row r="29" spans="1:19" ht="18" customHeight="1">
      <c r="B29" s="127"/>
      <c r="C29" s="128"/>
      <c r="D29" s="128"/>
      <c r="E29" s="129"/>
      <c r="F29" s="18"/>
      <c r="G29" s="18"/>
      <c r="H29" s="18"/>
      <c r="I29" s="18"/>
      <c r="J29" s="127"/>
      <c r="K29" s="128"/>
      <c r="L29" s="128"/>
      <c r="M29" s="128"/>
      <c r="N29" s="128"/>
      <c r="O29" s="129"/>
      <c r="P29" s="18"/>
      <c r="Q29" s="18"/>
      <c r="R29" s="18"/>
      <c r="S29" s="18"/>
    </row>
    <row r="30" spans="1:19" ht="18" customHeight="1">
      <c r="A30" s="78"/>
      <c r="B30" s="127"/>
      <c r="C30" s="128"/>
      <c r="D30" s="128"/>
      <c r="E30" s="129"/>
      <c r="F30" s="18"/>
      <c r="G30" s="18"/>
      <c r="H30" s="18"/>
      <c r="I30" s="18"/>
      <c r="J30" s="127"/>
      <c r="K30" s="128"/>
      <c r="L30" s="128"/>
      <c r="M30" s="128"/>
      <c r="N30" s="128"/>
      <c r="O30" s="129"/>
      <c r="P30" s="18"/>
      <c r="Q30" s="18"/>
      <c r="R30" s="18"/>
      <c r="S30" s="18"/>
    </row>
    <row r="31" spans="1:19" ht="18" customHeight="1">
      <c r="A31" s="78"/>
      <c r="B31" s="130"/>
      <c r="C31" s="131"/>
      <c r="D31" s="131"/>
      <c r="E31" s="132"/>
      <c r="F31" s="19"/>
      <c r="G31" s="19"/>
      <c r="H31" s="20"/>
      <c r="I31" s="20"/>
      <c r="J31" s="130"/>
      <c r="K31" s="131"/>
      <c r="L31" s="131"/>
      <c r="M31" s="131"/>
      <c r="N31" s="131"/>
      <c r="O31" s="132"/>
      <c r="P31" s="19"/>
      <c r="Q31" s="19"/>
      <c r="R31" s="20"/>
      <c r="S31" s="20"/>
    </row>
    <row r="32" spans="1:19" ht="7.5" customHeight="1">
      <c r="A32" s="78"/>
      <c r="B32" s="5"/>
      <c r="C32" s="5"/>
      <c r="D32" s="78"/>
      <c r="E32" s="78"/>
      <c r="F32" s="78"/>
      <c r="G32" s="78"/>
      <c r="H32" s="5"/>
      <c r="I32" s="5"/>
      <c r="J32" s="5"/>
      <c r="K32" s="5"/>
      <c r="L32" s="5"/>
      <c r="M32" s="5"/>
      <c r="N32" s="5"/>
      <c r="O32" s="5"/>
      <c r="P32" s="5"/>
      <c r="Q32" s="5"/>
      <c r="R32" s="5"/>
      <c r="S32" s="78"/>
    </row>
    <row r="33" spans="1:19" ht="18" customHeight="1">
      <c r="A33" s="136" t="s">
        <v>114</v>
      </c>
      <c r="B33" s="136"/>
      <c r="C33" s="136"/>
      <c r="D33" s="136"/>
      <c r="E33" s="136"/>
      <c r="F33" s="136"/>
      <c r="G33" s="136"/>
      <c r="H33" s="136"/>
      <c r="I33" s="136"/>
      <c r="J33" s="136"/>
      <c r="K33" s="136"/>
      <c r="L33" s="136"/>
      <c r="M33" s="136"/>
      <c r="N33" s="136"/>
      <c r="O33" s="136"/>
      <c r="P33" s="136"/>
      <c r="Q33" s="136"/>
      <c r="R33" s="136"/>
      <c r="S33" s="136"/>
    </row>
    <row r="34" spans="1:19" ht="18" customHeight="1">
      <c r="A34" s="136"/>
      <c r="B34" s="136"/>
      <c r="C34" s="136"/>
      <c r="D34" s="136"/>
      <c r="E34" s="136"/>
      <c r="F34" s="136"/>
      <c r="G34" s="136"/>
      <c r="H34" s="136"/>
      <c r="I34" s="136"/>
      <c r="J34" s="136"/>
      <c r="K34" s="136"/>
      <c r="L34" s="136"/>
      <c r="M34" s="136"/>
      <c r="N34" s="136"/>
      <c r="O34" s="136"/>
      <c r="P34" s="136"/>
      <c r="Q34" s="136"/>
      <c r="R34" s="136"/>
      <c r="S34" s="136"/>
    </row>
    <row r="35" spans="1:19" ht="18" customHeight="1">
      <c r="B35" s="133" t="s">
        <v>53</v>
      </c>
      <c r="C35" s="134"/>
      <c r="D35" s="134"/>
      <c r="E35" s="135"/>
      <c r="F35" s="54" t="s">
        <v>80</v>
      </c>
      <c r="G35" s="53" t="s">
        <v>84</v>
      </c>
      <c r="H35" s="16" t="s">
        <v>71</v>
      </c>
      <c r="I35" s="16" t="s">
        <v>72</v>
      </c>
      <c r="J35" s="133" t="s">
        <v>53</v>
      </c>
      <c r="K35" s="134"/>
      <c r="L35" s="134"/>
      <c r="M35" s="134"/>
      <c r="N35" s="134"/>
      <c r="O35" s="135"/>
      <c r="P35" s="54" t="s">
        <v>80</v>
      </c>
      <c r="Q35" s="53" t="s">
        <v>84</v>
      </c>
      <c r="R35" s="16" t="s">
        <v>71</v>
      </c>
      <c r="S35" s="16" t="s">
        <v>72</v>
      </c>
    </row>
    <row r="36" spans="1:19" ht="18" customHeight="1">
      <c r="B36" s="137" t="s">
        <v>130</v>
      </c>
      <c r="C36" s="138"/>
      <c r="D36" s="138"/>
      <c r="E36" s="139"/>
      <c r="F36" s="17">
        <v>2</v>
      </c>
      <c r="G36" s="17" t="s">
        <v>131</v>
      </c>
      <c r="H36" s="17" t="s">
        <v>131</v>
      </c>
      <c r="I36" s="17" t="s">
        <v>131</v>
      </c>
      <c r="J36" s="137"/>
      <c r="K36" s="138"/>
      <c r="L36" s="138"/>
      <c r="M36" s="138"/>
      <c r="N36" s="138"/>
      <c r="O36" s="139"/>
      <c r="P36" s="17"/>
      <c r="Q36" s="17"/>
      <c r="R36" s="17"/>
      <c r="S36" s="17"/>
    </row>
    <row r="37" spans="1:19" ht="18" customHeight="1">
      <c r="B37" s="127"/>
      <c r="C37" s="128"/>
      <c r="D37" s="128"/>
      <c r="E37" s="129"/>
      <c r="F37" s="18"/>
      <c r="G37" s="18"/>
      <c r="H37" s="18"/>
      <c r="I37" s="18"/>
      <c r="J37" s="127"/>
      <c r="K37" s="128"/>
      <c r="L37" s="128"/>
      <c r="M37" s="128"/>
      <c r="N37" s="128"/>
      <c r="O37" s="129"/>
      <c r="P37" s="18"/>
      <c r="Q37" s="18"/>
      <c r="R37" s="18"/>
      <c r="S37" s="18"/>
    </row>
    <row r="38" spans="1:19" ht="18" customHeight="1">
      <c r="B38" s="127"/>
      <c r="C38" s="128"/>
      <c r="D38" s="128"/>
      <c r="E38" s="129"/>
      <c r="F38" s="18"/>
      <c r="G38" s="18"/>
      <c r="H38" s="18"/>
      <c r="I38" s="18"/>
      <c r="J38" s="127"/>
      <c r="K38" s="128"/>
      <c r="L38" s="128"/>
      <c r="M38" s="128"/>
      <c r="N38" s="128"/>
      <c r="O38" s="129"/>
      <c r="P38" s="18"/>
      <c r="Q38" s="18"/>
      <c r="R38" s="18"/>
      <c r="S38" s="18"/>
    </row>
    <row r="39" spans="1:19" ht="18" customHeight="1">
      <c r="B39" s="127"/>
      <c r="C39" s="128"/>
      <c r="D39" s="128"/>
      <c r="E39" s="129"/>
      <c r="F39" s="18"/>
      <c r="G39" s="18"/>
      <c r="H39" s="18"/>
      <c r="I39" s="18"/>
      <c r="J39" s="127"/>
      <c r="K39" s="128"/>
      <c r="L39" s="128"/>
      <c r="M39" s="128"/>
      <c r="N39" s="128"/>
      <c r="O39" s="129"/>
      <c r="P39" s="18"/>
      <c r="Q39" s="18"/>
      <c r="R39" s="18"/>
      <c r="S39" s="18"/>
    </row>
    <row r="40" spans="1:19" ht="18" customHeight="1">
      <c r="B40" s="127"/>
      <c r="C40" s="128"/>
      <c r="D40" s="128"/>
      <c r="E40" s="129"/>
      <c r="F40" s="18"/>
      <c r="G40" s="18"/>
      <c r="H40" s="18"/>
      <c r="I40" s="18"/>
      <c r="J40" s="127"/>
      <c r="K40" s="128"/>
      <c r="L40" s="128"/>
      <c r="M40" s="128"/>
      <c r="N40" s="128"/>
      <c r="O40" s="129"/>
      <c r="P40" s="18"/>
      <c r="Q40" s="18"/>
      <c r="R40" s="18"/>
      <c r="S40" s="18"/>
    </row>
    <row r="41" spans="1:19" ht="18" customHeight="1">
      <c r="B41" s="127"/>
      <c r="C41" s="128"/>
      <c r="D41" s="128"/>
      <c r="E41" s="129"/>
      <c r="F41" s="18"/>
      <c r="G41" s="18"/>
      <c r="H41" s="18"/>
      <c r="I41" s="18"/>
      <c r="J41" s="127"/>
      <c r="K41" s="128"/>
      <c r="L41" s="128"/>
      <c r="M41" s="128"/>
      <c r="N41" s="128"/>
      <c r="O41" s="129"/>
      <c r="P41" s="18"/>
      <c r="Q41" s="18"/>
      <c r="R41" s="18"/>
      <c r="S41" s="18"/>
    </row>
    <row r="42" spans="1:19" ht="18" customHeight="1">
      <c r="B42" s="130"/>
      <c r="C42" s="131"/>
      <c r="D42" s="131"/>
      <c r="E42" s="132"/>
      <c r="F42" s="19"/>
      <c r="G42" s="19"/>
      <c r="H42" s="20"/>
      <c r="I42" s="20"/>
      <c r="J42" s="130"/>
      <c r="K42" s="131"/>
      <c r="L42" s="131"/>
      <c r="M42" s="131"/>
      <c r="N42" s="131"/>
      <c r="O42" s="132"/>
      <c r="P42" s="19"/>
      <c r="Q42" s="19"/>
      <c r="R42" s="20"/>
      <c r="S42" s="20"/>
    </row>
    <row r="43" spans="1:19" ht="7.5" customHeight="1">
      <c r="A43" s="78"/>
      <c r="B43" s="5"/>
      <c r="C43" s="5"/>
      <c r="D43" s="78"/>
      <c r="E43" s="78"/>
      <c r="F43" s="78"/>
      <c r="G43" s="78"/>
      <c r="H43" s="5"/>
      <c r="I43" s="5"/>
      <c r="J43" s="5"/>
      <c r="K43" s="5"/>
      <c r="L43" s="5"/>
      <c r="M43" s="5"/>
      <c r="N43" s="5"/>
      <c r="O43" s="5"/>
      <c r="P43" s="5"/>
      <c r="Q43" s="5"/>
      <c r="R43" s="5"/>
      <c r="S43" s="78"/>
    </row>
    <row r="44" spans="1:19" ht="18" customHeight="1">
      <c r="A44" s="136" t="s">
        <v>115</v>
      </c>
      <c r="B44" s="136"/>
      <c r="C44" s="136"/>
      <c r="D44" s="136"/>
      <c r="E44" s="136"/>
      <c r="F44" s="136"/>
      <c r="G44" s="136"/>
      <c r="H44" s="136"/>
      <c r="I44" s="136"/>
      <c r="J44" s="136"/>
      <c r="K44" s="136"/>
      <c r="L44" s="136"/>
      <c r="M44" s="136"/>
      <c r="N44" s="136"/>
      <c r="O44" s="136"/>
      <c r="P44" s="136"/>
      <c r="Q44" s="136"/>
      <c r="R44" s="136"/>
      <c r="S44" s="136"/>
    </row>
    <row r="45" spans="1:19" ht="18" customHeight="1">
      <c r="A45" s="136"/>
      <c r="B45" s="136"/>
      <c r="C45" s="136"/>
      <c r="D45" s="136"/>
      <c r="E45" s="136"/>
      <c r="F45" s="136"/>
      <c r="G45" s="136"/>
      <c r="H45" s="136"/>
      <c r="I45" s="136"/>
      <c r="J45" s="136"/>
      <c r="K45" s="136"/>
      <c r="L45" s="136"/>
      <c r="M45" s="136"/>
      <c r="N45" s="136"/>
      <c r="O45" s="136"/>
      <c r="P45" s="136"/>
      <c r="Q45" s="136"/>
      <c r="R45" s="136"/>
      <c r="S45" s="136"/>
    </row>
    <row r="46" spans="1:19" ht="18" customHeight="1">
      <c r="B46" s="133" t="s">
        <v>53</v>
      </c>
      <c r="C46" s="134"/>
      <c r="D46" s="134"/>
      <c r="E46" s="135"/>
      <c r="F46" s="54" t="s">
        <v>80</v>
      </c>
      <c r="G46" s="53" t="s">
        <v>84</v>
      </c>
      <c r="H46" s="16" t="s">
        <v>73</v>
      </c>
      <c r="I46" s="16" t="s">
        <v>74</v>
      </c>
      <c r="J46" s="133" t="s">
        <v>53</v>
      </c>
      <c r="K46" s="134"/>
      <c r="L46" s="134"/>
      <c r="M46" s="134"/>
      <c r="N46" s="134"/>
      <c r="O46" s="135"/>
      <c r="P46" s="54" t="s">
        <v>80</v>
      </c>
      <c r="Q46" s="53" t="s">
        <v>84</v>
      </c>
      <c r="R46" s="16" t="s">
        <v>73</v>
      </c>
      <c r="S46" s="16" t="s">
        <v>74</v>
      </c>
    </row>
    <row r="47" spans="1:19" ht="18" customHeight="1">
      <c r="A47" s="78"/>
      <c r="B47" s="137" t="s">
        <v>130</v>
      </c>
      <c r="C47" s="138"/>
      <c r="D47" s="138"/>
      <c r="E47" s="139"/>
      <c r="F47" s="17">
        <v>2</v>
      </c>
      <c r="G47" s="17" t="s">
        <v>131</v>
      </c>
      <c r="H47" s="17" t="s">
        <v>131</v>
      </c>
      <c r="I47" s="17" t="s">
        <v>131</v>
      </c>
      <c r="J47" s="137"/>
      <c r="K47" s="138"/>
      <c r="L47" s="138"/>
      <c r="M47" s="138"/>
      <c r="N47" s="138"/>
      <c r="O47" s="139"/>
      <c r="P47" s="17"/>
      <c r="Q47" s="17"/>
      <c r="R47" s="17"/>
      <c r="S47" s="17"/>
    </row>
    <row r="48" spans="1:19" ht="18" customHeight="1">
      <c r="A48" s="78"/>
      <c r="B48" s="127"/>
      <c r="C48" s="128"/>
      <c r="D48" s="128"/>
      <c r="E48" s="129"/>
      <c r="F48" s="18"/>
      <c r="G48" s="18"/>
      <c r="H48" s="18"/>
      <c r="I48" s="18"/>
      <c r="J48" s="127"/>
      <c r="K48" s="128"/>
      <c r="L48" s="128"/>
      <c r="M48" s="128"/>
      <c r="N48" s="128"/>
      <c r="O48" s="129"/>
      <c r="P48" s="18"/>
      <c r="Q48" s="18"/>
      <c r="R48" s="18"/>
      <c r="S48" s="18"/>
    </row>
    <row r="49" spans="1:19" ht="18" customHeight="1">
      <c r="A49" s="78"/>
      <c r="B49" s="127"/>
      <c r="C49" s="128"/>
      <c r="D49" s="128"/>
      <c r="E49" s="129"/>
      <c r="F49" s="18"/>
      <c r="G49" s="18"/>
      <c r="H49" s="18"/>
      <c r="I49" s="18"/>
      <c r="J49" s="127"/>
      <c r="K49" s="128"/>
      <c r="L49" s="128"/>
      <c r="M49" s="128"/>
      <c r="N49" s="128"/>
      <c r="O49" s="129"/>
      <c r="P49" s="18"/>
      <c r="Q49" s="18"/>
      <c r="R49" s="18"/>
      <c r="S49" s="18"/>
    </row>
    <row r="50" spans="1:19" ht="18" customHeight="1">
      <c r="A50" s="78"/>
      <c r="B50" s="127"/>
      <c r="C50" s="128"/>
      <c r="D50" s="128"/>
      <c r="E50" s="129"/>
      <c r="F50" s="18"/>
      <c r="G50" s="18"/>
      <c r="H50" s="18"/>
      <c r="I50" s="18"/>
      <c r="J50" s="127"/>
      <c r="K50" s="128"/>
      <c r="L50" s="128"/>
      <c r="M50" s="128"/>
      <c r="N50" s="128"/>
      <c r="O50" s="129"/>
      <c r="P50" s="18"/>
      <c r="Q50" s="18"/>
      <c r="R50" s="18"/>
      <c r="S50" s="18"/>
    </row>
    <row r="51" spans="1:19" ht="18" customHeight="1">
      <c r="A51" s="78"/>
      <c r="B51" s="127"/>
      <c r="C51" s="128"/>
      <c r="D51" s="128"/>
      <c r="E51" s="129"/>
      <c r="F51" s="18"/>
      <c r="G51" s="18"/>
      <c r="H51" s="18"/>
      <c r="I51" s="18"/>
      <c r="J51" s="127"/>
      <c r="K51" s="128"/>
      <c r="L51" s="128"/>
      <c r="M51" s="128"/>
      <c r="N51" s="128"/>
      <c r="O51" s="129"/>
      <c r="P51" s="18"/>
      <c r="Q51" s="18"/>
      <c r="R51" s="18"/>
      <c r="S51" s="18"/>
    </row>
    <row r="52" spans="1:19" ht="18" customHeight="1">
      <c r="A52" s="78"/>
      <c r="B52" s="127"/>
      <c r="C52" s="128"/>
      <c r="D52" s="128"/>
      <c r="E52" s="129"/>
      <c r="F52" s="18"/>
      <c r="G52" s="18"/>
      <c r="H52" s="18"/>
      <c r="I52" s="18"/>
      <c r="J52" s="127"/>
      <c r="K52" s="128"/>
      <c r="L52" s="128"/>
      <c r="M52" s="128"/>
      <c r="N52" s="128"/>
      <c r="O52" s="129"/>
      <c r="P52" s="18"/>
      <c r="Q52" s="18"/>
      <c r="R52" s="18"/>
      <c r="S52" s="18"/>
    </row>
    <row r="53" spans="1:19" ht="18" customHeight="1">
      <c r="A53" s="78"/>
      <c r="B53" s="130"/>
      <c r="C53" s="131"/>
      <c r="D53" s="131"/>
      <c r="E53" s="132"/>
      <c r="F53" s="19"/>
      <c r="G53" s="19"/>
      <c r="H53" s="20"/>
      <c r="I53" s="20"/>
      <c r="J53" s="130"/>
      <c r="K53" s="131"/>
      <c r="L53" s="131"/>
      <c r="M53" s="131"/>
      <c r="N53" s="131"/>
      <c r="O53" s="132"/>
      <c r="P53" s="19"/>
      <c r="Q53" s="19"/>
      <c r="R53" s="20"/>
      <c r="S53" s="20"/>
    </row>
    <row r="54" spans="1:19" ht="7.5" customHeight="1">
      <c r="B54" s="79"/>
      <c r="C54" s="79"/>
      <c r="D54" s="79"/>
      <c r="E54" s="79"/>
      <c r="F54" s="79"/>
      <c r="G54" s="79"/>
      <c r="H54" s="79"/>
      <c r="I54" s="79"/>
      <c r="J54" s="79"/>
      <c r="K54" s="79"/>
      <c r="L54" s="79"/>
      <c r="M54" s="79"/>
      <c r="N54" s="79"/>
      <c r="O54" s="79"/>
      <c r="P54" s="79"/>
      <c r="Q54" s="79"/>
      <c r="R54" s="79"/>
    </row>
    <row r="55" spans="1:19" ht="18" customHeight="1">
      <c r="A55" s="136" t="s">
        <v>116</v>
      </c>
      <c r="B55" s="136"/>
      <c r="C55" s="136"/>
      <c r="D55" s="136"/>
      <c r="E55" s="136"/>
      <c r="F55" s="136"/>
      <c r="G55" s="136"/>
      <c r="H55" s="136"/>
      <c r="I55" s="136"/>
      <c r="J55" s="136"/>
      <c r="K55" s="136"/>
      <c r="L55" s="136"/>
      <c r="M55" s="136"/>
      <c r="N55" s="136"/>
      <c r="O55" s="136"/>
      <c r="P55" s="136"/>
      <c r="Q55" s="136"/>
      <c r="R55" s="136"/>
      <c r="S55" s="136"/>
    </row>
    <row r="56" spans="1:19" ht="18" customHeight="1">
      <c r="A56" s="136"/>
      <c r="B56" s="136"/>
      <c r="C56" s="136"/>
      <c r="D56" s="136"/>
      <c r="E56" s="136"/>
      <c r="F56" s="136"/>
      <c r="G56" s="136"/>
      <c r="H56" s="136"/>
      <c r="I56" s="136"/>
      <c r="J56" s="136"/>
      <c r="K56" s="136"/>
      <c r="L56" s="136"/>
      <c r="M56" s="136"/>
      <c r="N56" s="136"/>
      <c r="O56" s="136"/>
      <c r="P56" s="136"/>
      <c r="Q56" s="136"/>
      <c r="R56" s="136"/>
      <c r="S56" s="136"/>
    </row>
    <row r="57" spans="1:19" ht="18" customHeight="1">
      <c r="B57" s="133" t="s">
        <v>53</v>
      </c>
      <c r="C57" s="134"/>
      <c r="D57" s="134"/>
      <c r="E57" s="135"/>
      <c r="F57" s="54" t="s">
        <v>80</v>
      </c>
      <c r="G57" s="53" t="s">
        <v>84</v>
      </c>
      <c r="H57" s="16" t="s">
        <v>58</v>
      </c>
      <c r="I57" s="16" t="s">
        <v>60</v>
      </c>
      <c r="J57" s="133" t="s">
        <v>53</v>
      </c>
      <c r="K57" s="134"/>
      <c r="L57" s="134"/>
      <c r="M57" s="134"/>
      <c r="N57" s="134"/>
      <c r="O57" s="135"/>
      <c r="P57" s="54" t="s">
        <v>80</v>
      </c>
      <c r="Q57" s="53" t="s">
        <v>84</v>
      </c>
      <c r="R57" s="16" t="s">
        <v>58</v>
      </c>
      <c r="S57" s="16" t="s">
        <v>60</v>
      </c>
    </row>
    <row r="58" spans="1:19" ht="18" customHeight="1">
      <c r="A58" s="78"/>
      <c r="B58" s="137" t="s">
        <v>130</v>
      </c>
      <c r="C58" s="138"/>
      <c r="D58" s="138"/>
      <c r="E58" s="139"/>
      <c r="F58" s="17">
        <v>2</v>
      </c>
      <c r="G58" s="17" t="s">
        <v>131</v>
      </c>
      <c r="H58" s="17" t="s">
        <v>131</v>
      </c>
      <c r="I58" s="17" t="s">
        <v>131</v>
      </c>
      <c r="J58" s="137"/>
      <c r="K58" s="138"/>
      <c r="L58" s="138"/>
      <c r="M58" s="138"/>
      <c r="N58" s="138"/>
      <c r="O58" s="139"/>
      <c r="P58" s="17"/>
      <c r="Q58" s="17"/>
      <c r="R58" s="17"/>
      <c r="S58" s="17"/>
    </row>
    <row r="59" spans="1:19" ht="18" customHeight="1">
      <c r="A59" s="78"/>
      <c r="B59" s="127"/>
      <c r="C59" s="128"/>
      <c r="D59" s="128"/>
      <c r="E59" s="129"/>
      <c r="F59" s="18"/>
      <c r="G59" s="18"/>
      <c r="H59" s="18"/>
      <c r="I59" s="18"/>
      <c r="J59" s="127"/>
      <c r="K59" s="128"/>
      <c r="L59" s="128"/>
      <c r="M59" s="128"/>
      <c r="N59" s="128"/>
      <c r="O59" s="129"/>
      <c r="P59" s="18"/>
      <c r="Q59" s="18"/>
      <c r="R59" s="18"/>
      <c r="S59" s="18"/>
    </row>
    <row r="60" spans="1:19" ht="18" customHeight="1">
      <c r="A60" s="78"/>
      <c r="B60" s="127"/>
      <c r="C60" s="128"/>
      <c r="D60" s="128"/>
      <c r="E60" s="129"/>
      <c r="F60" s="18"/>
      <c r="G60" s="18"/>
      <c r="H60" s="18"/>
      <c r="I60" s="18"/>
      <c r="J60" s="127"/>
      <c r="K60" s="128"/>
      <c r="L60" s="128"/>
      <c r="M60" s="128"/>
      <c r="N60" s="128"/>
      <c r="O60" s="129"/>
      <c r="P60" s="18"/>
      <c r="Q60" s="18"/>
      <c r="R60" s="18"/>
      <c r="S60" s="18"/>
    </row>
    <row r="61" spans="1:19" ht="18" customHeight="1">
      <c r="A61" s="78"/>
      <c r="B61" s="127"/>
      <c r="C61" s="128"/>
      <c r="D61" s="128"/>
      <c r="E61" s="129"/>
      <c r="F61" s="18"/>
      <c r="G61" s="18"/>
      <c r="H61" s="18"/>
      <c r="I61" s="18"/>
      <c r="J61" s="127"/>
      <c r="K61" s="128"/>
      <c r="L61" s="128"/>
      <c r="M61" s="128"/>
      <c r="N61" s="128"/>
      <c r="O61" s="129"/>
      <c r="P61" s="18"/>
      <c r="Q61" s="18"/>
      <c r="R61" s="18"/>
      <c r="S61" s="18"/>
    </row>
    <row r="62" spans="1:19" ht="18" customHeight="1">
      <c r="A62" s="78"/>
      <c r="B62" s="127"/>
      <c r="C62" s="128"/>
      <c r="D62" s="128"/>
      <c r="E62" s="129"/>
      <c r="F62" s="18"/>
      <c r="G62" s="18"/>
      <c r="H62" s="18"/>
      <c r="I62" s="18"/>
      <c r="J62" s="127"/>
      <c r="K62" s="128"/>
      <c r="L62" s="128"/>
      <c r="M62" s="128"/>
      <c r="N62" s="128"/>
      <c r="O62" s="129"/>
      <c r="P62" s="18"/>
      <c r="Q62" s="18"/>
      <c r="R62" s="18"/>
      <c r="S62" s="18"/>
    </row>
    <row r="63" spans="1:19" ht="18" customHeight="1">
      <c r="A63" s="78"/>
      <c r="B63" s="127"/>
      <c r="C63" s="128"/>
      <c r="D63" s="128"/>
      <c r="E63" s="129"/>
      <c r="F63" s="18"/>
      <c r="G63" s="18"/>
      <c r="H63" s="18"/>
      <c r="I63" s="18"/>
      <c r="J63" s="127"/>
      <c r="K63" s="128"/>
      <c r="L63" s="128"/>
      <c r="M63" s="128"/>
      <c r="N63" s="128"/>
      <c r="O63" s="129"/>
      <c r="P63" s="18"/>
      <c r="Q63" s="18"/>
      <c r="R63" s="18"/>
      <c r="S63" s="18"/>
    </row>
    <row r="64" spans="1:19" ht="18" customHeight="1">
      <c r="A64" s="78"/>
      <c r="B64" s="130"/>
      <c r="C64" s="131"/>
      <c r="D64" s="131"/>
      <c r="E64" s="132"/>
      <c r="F64" s="19"/>
      <c r="G64" s="19"/>
      <c r="H64" s="20"/>
      <c r="I64" s="20"/>
      <c r="J64" s="130"/>
      <c r="K64" s="131"/>
      <c r="L64" s="131"/>
      <c r="M64" s="131"/>
      <c r="N64" s="131"/>
      <c r="O64" s="132"/>
      <c r="P64" s="19"/>
      <c r="Q64" s="19"/>
      <c r="R64" s="20"/>
      <c r="S64" s="20"/>
    </row>
    <row r="65" spans="1:19" ht="7.5" customHeight="1">
      <c r="B65" s="79"/>
      <c r="C65" s="79"/>
      <c r="D65" s="79"/>
      <c r="E65" s="79"/>
      <c r="F65" s="79"/>
      <c r="G65" s="79"/>
      <c r="H65" s="79"/>
      <c r="I65" s="79"/>
      <c r="J65" s="79"/>
      <c r="K65" s="79"/>
      <c r="L65" s="79"/>
      <c r="M65" s="79"/>
      <c r="N65" s="79"/>
      <c r="O65" s="79"/>
      <c r="P65" s="79"/>
      <c r="Q65" s="79"/>
      <c r="R65" s="79"/>
    </row>
    <row r="66" spans="1:19" ht="18" customHeight="1">
      <c r="A66" s="136" t="s">
        <v>117</v>
      </c>
      <c r="B66" s="136"/>
      <c r="C66" s="136"/>
      <c r="D66" s="136"/>
      <c r="E66" s="136"/>
      <c r="F66" s="136"/>
      <c r="G66" s="136"/>
      <c r="H66" s="136"/>
      <c r="I66" s="136"/>
      <c r="J66" s="136"/>
      <c r="K66" s="136"/>
      <c r="L66" s="136"/>
      <c r="M66" s="136"/>
      <c r="N66" s="136"/>
      <c r="O66" s="136"/>
      <c r="P66" s="136"/>
      <c r="Q66" s="136"/>
      <c r="R66" s="136"/>
      <c r="S66" s="136"/>
    </row>
    <row r="67" spans="1:19" ht="18" customHeight="1">
      <c r="A67" s="136"/>
      <c r="B67" s="136"/>
      <c r="C67" s="136"/>
      <c r="D67" s="136"/>
      <c r="E67" s="136"/>
      <c r="F67" s="136"/>
      <c r="G67" s="136"/>
      <c r="H67" s="136"/>
      <c r="I67" s="136"/>
      <c r="J67" s="136"/>
      <c r="K67" s="136"/>
      <c r="L67" s="136"/>
      <c r="M67" s="136"/>
      <c r="N67" s="136"/>
      <c r="O67" s="136"/>
      <c r="P67" s="136"/>
      <c r="Q67" s="136"/>
      <c r="R67" s="136"/>
      <c r="S67" s="136"/>
    </row>
    <row r="68" spans="1:19" ht="18" customHeight="1">
      <c r="B68" s="133" t="s">
        <v>53</v>
      </c>
      <c r="C68" s="134"/>
      <c r="D68" s="134"/>
      <c r="E68" s="54" t="s">
        <v>80</v>
      </c>
      <c r="F68" s="53" t="s">
        <v>84</v>
      </c>
      <c r="G68" s="16" t="s">
        <v>101</v>
      </c>
      <c r="H68" s="16" t="s">
        <v>75</v>
      </c>
      <c r="I68" s="16" t="s">
        <v>76</v>
      </c>
      <c r="J68" s="133" t="s">
        <v>53</v>
      </c>
      <c r="K68" s="134"/>
      <c r="L68" s="134"/>
      <c r="M68" s="134"/>
      <c r="N68" s="135"/>
      <c r="O68" s="54" t="s">
        <v>80</v>
      </c>
      <c r="P68" s="53" t="s">
        <v>84</v>
      </c>
      <c r="Q68" s="16" t="s">
        <v>101</v>
      </c>
      <c r="R68" s="16" t="s">
        <v>75</v>
      </c>
      <c r="S68" s="16" t="s">
        <v>76</v>
      </c>
    </row>
    <row r="69" spans="1:19" ht="18" customHeight="1">
      <c r="A69" s="78"/>
      <c r="B69" s="137" t="s">
        <v>130</v>
      </c>
      <c r="C69" s="138"/>
      <c r="D69" s="138"/>
      <c r="E69" s="17">
        <v>2</v>
      </c>
      <c r="F69" s="17" t="s">
        <v>131</v>
      </c>
      <c r="G69" s="17" t="s">
        <v>131</v>
      </c>
      <c r="H69" s="17" t="s">
        <v>131</v>
      </c>
      <c r="I69" s="17" t="s">
        <v>131</v>
      </c>
      <c r="J69" s="137"/>
      <c r="K69" s="138"/>
      <c r="L69" s="138"/>
      <c r="M69" s="138"/>
      <c r="N69" s="139"/>
      <c r="O69" s="17"/>
      <c r="P69" s="17"/>
      <c r="Q69" s="17"/>
      <c r="R69" s="17"/>
      <c r="S69" s="17"/>
    </row>
    <row r="70" spans="1:19" ht="18" customHeight="1">
      <c r="A70" s="78"/>
      <c r="B70" s="127"/>
      <c r="C70" s="128"/>
      <c r="D70" s="128"/>
      <c r="E70" s="18"/>
      <c r="F70" s="18"/>
      <c r="G70" s="18"/>
      <c r="H70" s="18"/>
      <c r="I70" s="18"/>
      <c r="J70" s="127"/>
      <c r="K70" s="128"/>
      <c r="L70" s="128"/>
      <c r="M70" s="128"/>
      <c r="N70" s="129"/>
      <c r="O70" s="18"/>
      <c r="P70" s="18"/>
      <c r="Q70" s="18"/>
      <c r="R70" s="18"/>
      <c r="S70" s="18"/>
    </row>
    <row r="71" spans="1:19" ht="18" customHeight="1">
      <c r="A71" s="78"/>
      <c r="B71" s="127"/>
      <c r="C71" s="128"/>
      <c r="D71" s="128"/>
      <c r="E71" s="18"/>
      <c r="F71" s="18"/>
      <c r="G71" s="18"/>
      <c r="H71" s="18"/>
      <c r="I71" s="18"/>
      <c r="J71" s="127"/>
      <c r="K71" s="128"/>
      <c r="L71" s="128"/>
      <c r="M71" s="128"/>
      <c r="N71" s="129"/>
      <c r="O71" s="18"/>
      <c r="P71" s="18"/>
      <c r="Q71" s="18"/>
      <c r="R71" s="18"/>
      <c r="S71" s="18"/>
    </row>
    <row r="72" spans="1:19" ht="18" customHeight="1">
      <c r="A72" s="78"/>
      <c r="B72" s="127"/>
      <c r="C72" s="128"/>
      <c r="D72" s="128"/>
      <c r="E72" s="18"/>
      <c r="F72" s="18"/>
      <c r="G72" s="18"/>
      <c r="H72" s="18"/>
      <c r="I72" s="18"/>
      <c r="J72" s="127"/>
      <c r="K72" s="128"/>
      <c r="L72" s="128"/>
      <c r="M72" s="128"/>
      <c r="N72" s="129"/>
      <c r="O72" s="18"/>
      <c r="P72" s="18"/>
      <c r="Q72" s="18"/>
      <c r="R72" s="18"/>
      <c r="S72" s="18"/>
    </row>
    <row r="73" spans="1:19" ht="18" customHeight="1">
      <c r="A73" s="78"/>
      <c r="B73" s="127"/>
      <c r="C73" s="128"/>
      <c r="D73" s="128"/>
      <c r="E73" s="18"/>
      <c r="F73" s="18"/>
      <c r="G73" s="18"/>
      <c r="H73" s="18"/>
      <c r="I73" s="18"/>
      <c r="J73" s="127"/>
      <c r="K73" s="128"/>
      <c r="L73" s="128"/>
      <c r="M73" s="128"/>
      <c r="N73" s="129"/>
      <c r="O73" s="18"/>
      <c r="P73" s="18"/>
      <c r="Q73" s="18"/>
      <c r="R73" s="18"/>
      <c r="S73" s="18"/>
    </row>
    <row r="74" spans="1:19" ht="18" customHeight="1">
      <c r="A74" s="78"/>
      <c r="B74" s="127"/>
      <c r="C74" s="128"/>
      <c r="D74" s="128"/>
      <c r="E74" s="18"/>
      <c r="F74" s="18"/>
      <c r="G74" s="18"/>
      <c r="H74" s="18"/>
      <c r="I74" s="18"/>
      <c r="J74" s="127"/>
      <c r="K74" s="128"/>
      <c r="L74" s="128"/>
      <c r="M74" s="128"/>
      <c r="N74" s="129"/>
      <c r="O74" s="18"/>
      <c r="P74" s="18"/>
      <c r="Q74" s="18"/>
      <c r="R74" s="18"/>
      <c r="S74" s="18"/>
    </row>
    <row r="75" spans="1:19" ht="18" customHeight="1">
      <c r="A75" s="78"/>
      <c r="B75" s="130"/>
      <c r="C75" s="131"/>
      <c r="D75" s="131"/>
      <c r="E75" s="19"/>
      <c r="F75" s="19"/>
      <c r="G75" s="20"/>
      <c r="H75" s="20"/>
      <c r="I75" s="20"/>
      <c r="J75" s="130"/>
      <c r="K75" s="131"/>
      <c r="L75" s="131"/>
      <c r="M75" s="131"/>
      <c r="N75" s="132"/>
      <c r="O75" s="19"/>
      <c r="P75" s="19"/>
      <c r="Q75" s="20"/>
      <c r="R75" s="20"/>
      <c r="S75" s="20"/>
    </row>
    <row r="76" spans="1:19" ht="7.5" customHeight="1">
      <c r="B76" s="79"/>
      <c r="C76" s="79"/>
      <c r="D76" s="79"/>
      <c r="E76" s="79"/>
      <c r="F76" s="79"/>
      <c r="G76" s="79"/>
      <c r="H76" s="79"/>
      <c r="I76" s="79"/>
      <c r="J76" s="79"/>
      <c r="K76" s="79"/>
      <c r="L76" s="79"/>
      <c r="M76" s="79"/>
      <c r="N76" s="79"/>
      <c r="O76" s="79"/>
      <c r="P76" s="79"/>
      <c r="Q76" s="79"/>
      <c r="R76" s="79"/>
    </row>
    <row r="77" spans="1:19" ht="18" customHeight="1">
      <c r="A77" s="77" t="s">
        <v>118</v>
      </c>
      <c r="H77" s="78"/>
      <c r="I77" s="78"/>
      <c r="J77" s="78"/>
      <c r="K77" s="78"/>
      <c r="L77" s="78"/>
      <c r="M77" s="78"/>
      <c r="N77" s="78"/>
      <c r="O77" s="78"/>
      <c r="P77" s="78"/>
      <c r="Q77" s="78"/>
      <c r="R77" s="78"/>
      <c r="S77" s="78"/>
    </row>
    <row r="78" spans="1:19" ht="18" customHeight="1">
      <c r="B78" s="133" t="s">
        <v>53</v>
      </c>
      <c r="C78" s="134"/>
      <c r="D78" s="134"/>
      <c r="E78" s="135"/>
      <c r="F78" s="133" t="s">
        <v>82</v>
      </c>
      <c r="G78" s="134"/>
      <c r="H78" s="134"/>
      <c r="I78" s="135"/>
      <c r="J78" s="174" t="s">
        <v>53</v>
      </c>
      <c r="K78" s="175"/>
      <c r="L78" s="175"/>
      <c r="M78" s="175"/>
      <c r="N78" s="175"/>
      <c r="O78" s="176"/>
      <c r="P78" s="133" t="s">
        <v>82</v>
      </c>
      <c r="Q78" s="134"/>
      <c r="R78" s="134"/>
      <c r="S78" s="135"/>
    </row>
    <row r="79" spans="1:19" ht="18" customHeight="1">
      <c r="A79" s="78"/>
      <c r="B79" s="137"/>
      <c r="C79" s="138"/>
      <c r="D79" s="138"/>
      <c r="E79" s="139"/>
      <c r="F79" s="184"/>
      <c r="G79" s="185"/>
      <c r="H79" s="185"/>
      <c r="I79" s="186"/>
      <c r="J79" s="137"/>
      <c r="K79" s="138"/>
      <c r="L79" s="138"/>
      <c r="M79" s="138"/>
      <c r="N79" s="138"/>
      <c r="O79" s="139"/>
      <c r="P79" s="184"/>
      <c r="Q79" s="185"/>
      <c r="R79" s="185"/>
      <c r="S79" s="186"/>
    </row>
    <row r="80" spans="1:19" ht="18" customHeight="1">
      <c r="A80" s="78"/>
      <c r="B80" s="127"/>
      <c r="C80" s="128"/>
      <c r="D80" s="128"/>
      <c r="E80" s="129"/>
      <c r="F80" s="163"/>
      <c r="G80" s="164"/>
      <c r="H80" s="164"/>
      <c r="I80" s="165"/>
      <c r="J80" s="127"/>
      <c r="K80" s="128"/>
      <c r="L80" s="128"/>
      <c r="M80" s="128"/>
      <c r="N80" s="128"/>
      <c r="O80" s="129"/>
      <c r="P80" s="163"/>
      <c r="Q80" s="164"/>
      <c r="R80" s="164"/>
      <c r="S80" s="165"/>
    </row>
    <row r="81" spans="1:19" ht="18" customHeight="1">
      <c r="A81" s="78"/>
      <c r="B81" s="127"/>
      <c r="C81" s="128"/>
      <c r="D81" s="128"/>
      <c r="E81" s="129"/>
      <c r="F81" s="163"/>
      <c r="G81" s="164"/>
      <c r="H81" s="164"/>
      <c r="I81" s="165"/>
      <c r="J81" s="127"/>
      <c r="K81" s="128"/>
      <c r="L81" s="128"/>
      <c r="M81" s="128"/>
      <c r="N81" s="128"/>
      <c r="O81" s="129"/>
      <c r="P81" s="163"/>
      <c r="Q81" s="164"/>
      <c r="R81" s="164"/>
      <c r="S81" s="165"/>
    </row>
    <row r="82" spans="1:19" ht="18" customHeight="1">
      <c r="A82" s="78"/>
      <c r="B82" s="127"/>
      <c r="C82" s="128"/>
      <c r="D82" s="128"/>
      <c r="E82" s="129"/>
      <c r="F82" s="163"/>
      <c r="G82" s="164"/>
      <c r="H82" s="164"/>
      <c r="I82" s="165"/>
      <c r="J82" s="127"/>
      <c r="K82" s="128"/>
      <c r="L82" s="128"/>
      <c r="M82" s="128"/>
      <c r="N82" s="128"/>
      <c r="O82" s="129"/>
      <c r="P82" s="163"/>
      <c r="Q82" s="164"/>
      <c r="R82" s="164"/>
      <c r="S82" s="165"/>
    </row>
    <row r="83" spans="1:19" ht="18" customHeight="1">
      <c r="A83" s="78"/>
      <c r="B83" s="127"/>
      <c r="C83" s="128"/>
      <c r="D83" s="128"/>
      <c r="E83" s="129"/>
      <c r="F83" s="163"/>
      <c r="G83" s="164"/>
      <c r="H83" s="164"/>
      <c r="I83" s="165"/>
      <c r="J83" s="127"/>
      <c r="K83" s="128"/>
      <c r="L83" s="128"/>
      <c r="M83" s="128"/>
      <c r="N83" s="128"/>
      <c r="O83" s="129"/>
      <c r="P83" s="163"/>
      <c r="Q83" s="164"/>
      <c r="R83" s="164"/>
      <c r="S83" s="165"/>
    </row>
    <row r="84" spans="1:19" ht="18" customHeight="1">
      <c r="A84" s="78"/>
      <c r="B84" s="127"/>
      <c r="C84" s="128"/>
      <c r="D84" s="128"/>
      <c r="E84" s="129"/>
      <c r="F84" s="163"/>
      <c r="G84" s="164"/>
      <c r="H84" s="164"/>
      <c r="I84" s="165"/>
      <c r="J84" s="127"/>
      <c r="K84" s="128"/>
      <c r="L84" s="128"/>
      <c r="M84" s="128"/>
      <c r="N84" s="128"/>
      <c r="O84" s="129"/>
      <c r="P84" s="163"/>
      <c r="Q84" s="164"/>
      <c r="R84" s="164"/>
      <c r="S84" s="165"/>
    </row>
    <row r="85" spans="1:19" ht="18" customHeight="1">
      <c r="A85" s="78"/>
      <c r="B85" s="130"/>
      <c r="C85" s="131"/>
      <c r="D85" s="131"/>
      <c r="E85" s="132"/>
      <c r="F85" s="160"/>
      <c r="G85" s="161"/>
      <c r="H85" s="161"/>
      <c r="I85" s="162"/>
      <c r="J85" s="130"/>
      <c r="K85" s="131"/>
      <c r="L85" s="131"/>
      <c r="M85" s="131"/>
      <c r="N85" s="131"/>
      <c r="O85" s="132"/>
      <c r="P85" s="160"/>
      <c r="Q85" s="161"/>
      <c r="R85" s="161"/>
      <c r="S85" s="162"/>
    </row>
    <row r="86" spans="1:19" ht="18" customHeight="1">
      <c r="A86" s="78"/>
      <c r="B86" s="5"/>
      <c r="C86" s="5"/>
      <c r="D86" s="5"/>
      <c r="E86" s="5"/>
      <c r="F86" s="21"/>
      <c r="G86" s="21"/>
      <c r="H86" s="21"/>
      <c r="I86" s="21"/>
      <c r="J86" s="5"/>
      <c r="K86" s="5"/>
      <c r="L86" s="5"/>
      <c r="M86" s="5"/>
      <c r="N86" s="5"/>
      <c r="O86" s="5"/>
      <c r="P86" s="21"/>
      <c r="Q86" s="21"/>
      <c r="R86" s="21"/>
      <c r="S86" s="21"/>
    </row>
    <row r="87" spans="1:19" ht="18.75" customHeight="1">
      <c r="A87" s="77" t="s">
        <v>119</v>
      </c>
    </row>
    <row r="88" spans="1:19" ht="18.75" customHeight="1">
      <c r="B88" s="182" t="s">
        <v>54</v>
      </c>
      <c r="C88" s="183"/>
      <c r="D88" s="134" t="s">
        <v>55</v>
      </c>
      <c r="E88" s="134"/>
      <c r="F88" s="134"/>
      <c r="G88" s="134"/>
      <c r="H88" s="134"/>
      <c r="I88" s="134"/>
      <c r="J88" s="134"/>
      <c r="K88" s="134"/>
      <c r="L88" s="134"/>
      <c r="M88" s="134"/>
      <c r="N88" s="134"/>
      <c r="O88" s="134"/>
      <c r="P88" s="134"/>
      <c r="Q88" s="134"/>
      <c r="R88" s="134"/>
      <c r="S88" s="135"/>
    </row>
    <row r="89" spans="1:19" ht="97.5" customHeight="1">
      <c r="B89" s="177" t="s">
        <v>61</v>
      </c>
      <c r="C89" s="22" t="s">
        <v>56</v>
      </c>
      <c r="D89" s="172" t="s">
        <v>229</v>
      </c>
      <c r="E89" s="170"/>
      <c r="F89" s="170"/>
      <c r="G89" s="170"/>
      <c r="H89" s="170"/>
      <c r="I89" s="170"/>
      <c r="J89" s="170"/>
      <c r="K89" s="170"/>
      <c r="L89" s="170"/>
      <c r="M89" s="170"/>
      <c r="N89" s="170"/>
      <c r="O89" s="170"/>
      <c r="P89" s="170"/>
      <c r="Q89" s="170"/>
      <c r="R89" s="170"/>
      <c r="S89" s="171"/>
    </row>
    <row r="90" spans="1:19" ht="97.5" customHeight="1">
      <c r="B90" s="179"/>
      <c r="C90" s="23" t="s">
        <v>77</v>
      </c>
      <c r="D90" s="187" t="s">
        <v>190</v>
      </c>
      <c r="E90" s="167"/>
      <c r="F90" s="167"/>
      <c r="G90" s="167"/>
      <c r="H90" s="167"/>
      <c r="I90" s="167"/>
      <c r="J90" s="167"/>
      <c r="K90" s="167"/>
      <c r="L90" s="167"/>
      <c r="M90" s="167"/>
      <c r="N90" s="167"/>
      <c r="O90" s="167"/>
      <c r="P90" s="167"/>
      <c r="Q90" s="167"/>
      <c r="R90" s="167"/>
      <c r="S90" s="168"/>
    </row>
    <row r="91" spans="1:19" ht="97.5" customHeight="1">
      <c r="B91" s="177" t="s">
        <v>62</v>
      </c>
      <c r="C91" s="24" t="s">
        <v>71</v>
      </c>
      <c r="D91" s="172" t="s">
        <v>186</v>
      </c>
      <c r="E91" s="188"/>
      <c r="F91" s="188"/>
      <c r="G91" s="188"/>
      <c r="H91" s="188"/>
      <c r="I91" s="188"/>
      <c r="J91" s="188"/>
      <c r="K91" s="188"/>
      <c r="L91" s="188"/>
      <c r="M91" s="188"/>
      <c r="N91" s="188"/>
      <c r="O91" s="188"/>
      <c r="P91" s="188"/>
      <c r="Q91" s="188"/>
      <c r="R91" s="188"/>
      <c r="S91" s="189"/>
    </row>
    <row r="92" spans="1:19" ht="97.5" customHeight="1">
      <c r="B92" s="178"/>
      <c r="C92" s="25" t="s">
        <v>72</v>
      </c>
      <c r="D92" s="166" t="s">
        <v>187</v>
      </c>
      <c r="E92" s="190"/>
      <c r="F92" s="190"/>
      <c r="G92" s="190"/>
      <c r="H92" s="190"/>
      <c r="I92" s="190"/>
      <c r="J92" s="190"/>
      <c r="K92" s="190"/>
      <c r="L92" s="190"/>
      <c r="M92" s="190"/>
      <c r="N92" s="190"/>
      <c r="O92" s="190"/>
      <c r="P92" s="190"/>
      <c r="Q92" s="190"/>
      <c r="R92" s="190"/>
      <c r="S92" s="191"/>
    </row>
    <row r="93" spans="1:19" ht="97.5" customHeight="1">
      <c r="B93" s="177" t="s">
        <v>63</v>
      </c>
      <c r="C93" s="24" t="s">
        <v>73</v>
      </c>
      <c r="D93" s="172" t="s">
        <v>188</v>
      </c>
      <c r="E93" s="188"/>
      <c r="F93" s="188"/>
      <c r="G93" s="188"/>
      <c r="H93" s="188"/>
      <c r="I93" s="188"/>
      <c r="J93" s="188"/>
      <c r="K93" s="188"/>
      <c r="L93" s="188"/>
      <c r="M93" s="188"/>
      <c r="N93" s="188"/>
      <c r="O93" s="188"/>
      <c r="P93" s="188"/>
      <c r="Q93" s="188"/>
      <c r="R93" s="188"/>
      <c r="S93" s="189"/>
    </row>
    <row r="94" spans="1:19" ht="97.5" customHeight="1">
      <c r="B94" s="178"/>
      <c r="C94" s="26" t="s">
        <v>74</v>
      </c>
      <c r="D94" s="166" t="s">
        <v>189</v>
      </c>
      <c r="E94" s="167"/>
      <c r="F94" s="167"/>
      <c r="G94" s="167"/>
      <c r="H94" s="167"/>
      <c r="I94" s="167"/>
      <c r="J94" s="167"/>
      <c r="K94" s="167"/>
      <c r="L94" s="167"/>
      <c r="M94" s="167"/>
      <c r="N94" s="167"/>
      <c r="O94" s="167"/>
      <c r="P94" s="167"/>
      <c r="Q94" s="167"/>
      <c r="R94" s="167"/>
      <c r="S94" s="168"/>
    </row>
    <row r="95" spans="1:19" ht="97.5" customHeight="1">
      <c r="B95" s="177" t="s">
        <v>78</v>
      </c>
      <c r="C95" s="22" t="s">
        <v>58</v>
      </c>
      <c r="D95" s="172" t="s">
        <v>194</v>
      </c>
      <c r="E95" s="170"/>
      <c r="F95" s="170"/>
      <c r="G95" s="170"/>
      <c r="H95" s="170"/>
      <c r="I95" s="170"/>
      <c r="J95" s="170"/>
      <c r="K95" s="170"/>
      <c r="L95" s="170"/>
      <c r="M95" s="170"/>
      <c r="N95" s="170"/>
      <c r="O95" s="170"/>
      <c r="P95" s="170"/>
      <c r="Q95" s="170"/>
      <c r="R95" s="170"/>
      <c r="S95" s="171"/>
    </row>
    <row r="96" spans="1:19" ht="97.5" customHeight="1">
      <c r="B96" s="178"/>
      <c r="C96" s="25" t="s">
        <v>60</v>
      </c>
      <c r="D96" s="166" t="s">
        <v>195</v>
      </c>
      <c r="E96" s="167"/>
      <c r="F96" s="167"/>
      <c r="G96" s="167"/>
      <c r="H96" s="167"/>
      <c r="I96" s="167"/>
      <c r="J96" s="167"/>
      <c r="K96" s="167"/>
      <c r="L96" s="167"/>
      <c r="M96" s="167"/>
      <c r="N96" s="167"/>
      <c r="O96" s="167"/>
      <c r="P96" s="167"/>
      <c r="Q96" s="167"/>
      <c r="R96" s="167"/>
      <c r="S96" s="168"/>
    </row>
    <row r="97" spans="1:19" ht="137.25" customHeight="1">
      <c r="B97" s="177" t="s">
        <v>79</v>
      </c>
      <c r="C97" s="24" t="s">
        <v>57</v>
      </c>
      <c r="D97" s="180" t="s">
        <v>191</v>
      </c>
      <c r="E97" s="138"/>
      <c r="F97" s="138"/>
      <c r="G97" s="138"/>
      <c r="H97" s="138"/>
      <c r="I97" s="138"/>
      <c r="J97" s="138"/>
      <c r="K97" s="138"/>
      <c r="L97" s="138"/>
      <c r="M97" s="138"/>
      <c r="N97" s="138"/>
      <c r="O97" s="138"/>
      <c r="P97" s="138"/>
      <c r="Q97" s="138"/>
      <c r="R97" s="138"/>
      <c r="S97" s="139"/>
    </row>
    <row r="98" spans="1:19" ht="97.5" customHeight="1">
      <c r="B98" s="179"/>
      <c r="C98" s="27" t="s">
        <v>75</v>
      </c>
      <c r="D98" s="173" t="s">
        <v>192</v>
      </c>
      <c r="E98" s="128"/>
      <c r="F98" s="128"/>
      <c r="G98" s="128"/>
      <c r="H98" s="128"/>
      <c r="I98" s="128"/>
      <c r="J98" s="128"/>
      <c r="K98" s="128"/>
      <c r="L98" s="128"/>
      <c r="M98" s="128"/>
      <c r="N98" s="128"/>
      <c r="O98" s="128"/>
      <c r="P98" s="128"/>
      <c r="Q98" s="128"/>
      <c r="R98" s="128"/>
      <c r="S98" s="129"/>
    </row>
    <row r="99" spans="1:19" ht="97.5" customHeight="1">
      <c r="B99" s="178"/>
      <c r="C99" s="26" t="s">
        <v>76</v>
      </c>
      <c r="D99" s="192" t="s">
        <v>193</v>
      </c>
      <c r="E99" s="131"/>
      <c r="F99" s="131"/>
      <c r="G99" s="131"/>
      <c r="H99" s="131"/>
      <c r="I99" s="131"/>
      <c r="J99" s="131"/>
      <c r="K99" s="131"/>
      <c r="L99" s="131"/>
      <c r="M99" s="131"/>
      <c r="N99" s="131"/>
      <c r="O99" s="131"/>
      <c r="P99" s="131"/>
      <c r="Q99" s="131"/>
      <c r="R99" s="131"/>
      <c r="S99" s="132"/>
    </row>
    <row r="100" spans="1:19" ht="6" customHeight="1"/>
    <row r="101" spans="1:19" ht="18.75" customHeight="1">
      <c r="A101" s="77" t="s">
        <v>120</v>
      </c>
    </row>
    <row r="102" spans="1:19" ht="81.75" customHeight="1">
      <c r="B102" s="157" t="s">
        <v>132</v>
      </c>
      <c r="C102" s="158"/>
      <c r="D102" s="158"/>
      <c r="E102" s="158"/>
      <c r="F102" s="158"/>
      <c r="G102" s="158"/>
      <c r="H102" s="158"/>
      <c r="I102" s="158"/>
      <c r="J102" s="158"/>
      <c r="K102" s="158"/>
      <c r="L102" s="158"/>
      <c r="M102" s="158"/>
      <c r="N102" s="158"/>
      <c r="O102" s="158"/>
      <c r="P102" s="158"/>
      <c r="Q102" s="158"/>
      <c r="R102" s="158"/>
      <c r="S102" s="159"/>
    </row>
    <row r="110" spans="1:19" ht="18" customHeight="1"/>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zoomScaleNormal="100" zoomScaleSheetLayoutView="100" workbookViewId="0">
      <selection activeCell="B1" sqref="B1"/>
    </sheetView>
  </sheetViews>
  <sheetFormatPr defaultColWidth="9" defaultRowHeight="18.75" customHeight="1"/>
  <cols>
    <col min="1" max="1" width="2.5" style="111" customWidth="1"/>
    <col min="2" max="2" width="16.5" style="111" customWidth="1"/>
    <col min="3" max="19" width="5.625" style="111" customWidth="1"/>
    <col min="20" max="20" width="9" style="111"/>
    <col min="21" max="21" width="3.625" style="111" customWidth="1"/>
    <col min="22" max="22" width="48.625" style="111" hidden="1" customWidth="1"/>
    <col min="23" max="16384" width="9" style="111"/>
  </cols>
  <sheetData>
    <row r="1" spans="1:22" ht="18.600000000000001" customHeight="1">
      <c r="R1" s="140" t="s">
        <v>152</v>
      </c>
      <c r="S1" s="140"/>
      <c r="T1" s="2" t="s">
        <v>109</v>
      </c>
    </row>
    <row r="2" spans="1:22" ht="18.75" customHeight="1">
      <c r="B2" s="110" t="s">
        <v>108</v>
      </c>
      <c r="C2" s="133" t="s">
        <v>126</v>
      </c>
      <c r="D2" s="134"/>
      <c r="E2" s="134"/>
      <c r="F2" s="134"/>
      <c r="G2" s="134"/>
      <c r="H2" s="134"/>
      <c r="I2" s="135"/>
      <c r="J2" s="109"/>
      <c r="K2" s="5"/>
      <c r="L2" s="5"/>
      <c r="M2" s="5"/>
      <c r="N2" s="5"/>
      <c r="O2" s="5"/>
      <c r="P2" s="5"/>
      <c r="Q2" s="5"/>
      <c r="R2" s="5"/>
      <c r="S2" s="5"/>
    </row>
    <row r="3" spans="1:22" ht="18.75" customHeight="1">
      <c r="B3" s="110" t="s">
        <v>102</v>
      </c>
      <c r="C3" s="133" t="s">
        <v>127</v>
      </c>
      <c r="D3" s="134"/>
      <c r="E3" s="134"/>
      <c r="F3" s="134"/>
      <c r="G3" s="134"/>
      <c r="H3" s="134"/>
      <c r="I3" s="135"/>
      <c r="J3" s="109"/>
      <c r="K3" s="5"/>
      <c r="L3" s="5"/>
      <c r="M3" s="5"/>
      <c r="N3" s="5"/>
      <c r="O3" s="5"/>
      <c r="P3" s="5"/>
      <c r="Q3" s="5"/>
      <c r="R3" s="5"/>
      <c r="S3" s="5"/>
    </row>
    <row r="4" spans="1:22" ht="15" customHeight="1">
      <c r="K4" s="109"/>
      <c r="L4" s="31"/>
      <c r="M4" s="31"/>
      <c r="N4" s="31"/>
      <c r="O4" s="31"/>
      <c r="P4" s="31"/>
      <c r="Q4" s="31"/>
      <c r="R4" s="31"/>
      <c r="S4" s="31"/>
    </row>
    <row r="5" spans="1:22" ht="18" customHeight="1">
      <c r="A5" s="144" t="s">
        <v>38</v>
      </c>
      <c r="B5" s="144"/>
      <c r="C5" s="144"/>
      <c r="D5" s="144"/>
      <c r="E5" s="144"/>
      <c r="F5" s="144"/>
      <c r="G5" s="144"/>
      <c r="H5" s="144"/>
      <c r="I5" s="144"/>
      <c r="J5" s="144"/>
      <c r="K5" s="144"/>
      <c r="L5" s="144"/>
      <c r="M5" s="144"/>
      <c r="N5" s="144"/>
      <c r="O5" s="144"/>
      <c r="P5" s="144"/>
      <c r="Q5" s="144"/>
      <c r="R5" s="144"/>
      <c r="S5" s="144"/>
    </row>
    <row r="6" spans="1:22" ht="15" customHeight="1">
      <c r="B6" s="113"/>
      <c r="C6" s="113"/>
      <c r="D6" s="113"/>
      <c r="E6" s="113"/>
      <c r="F6" s="113"/>
      <c r="G6" s="113"/>
      <c r="H6" s="113"/>
      <c r="I6" s="113"/>
      <c r="J6" s="113"/>
      <c r="K6" s="113"/>
      <c r="L6" s="113"/>
      <c r="M6" s="113"/>
      <c r="N6" s="113"/>
      <c r="O6" s="113"/>
      <c r="P6" s="113"/>
      <c r="Q6" s="113"/>
      <c r="R6" s="113"/>
      <c r="S6" s="113"/>
    </row>
    <row r="7" spans="1:22" ht="18" customHeight="1">
      <c r="A7" s="111" t="s">
        <v>124</v>
      </c>
      <c r="C7" s="113"/>
      <c r="J7" s="32" t="s">
        <v>107</v>
      </c>
      <c r="K7" s="154" t="s">
        <v>128</v>
      </c>
      <c r="L7" s="155"/>
      <c r="M7" s="155"/>
      <c r="N7" s="155"/>
      <c r="O7" s="155"/>
      <c r="P7" s="155"/>
      <c r="Q7" s="155"/>
      <c r="R7" s="155"/>
      <c r="S7" s="156"/>
    </row>
    <row r="8" spans="1:22" ht="6" customHeight="1">
      <c r="B8" s="113"/>
      <c r="C8" s="113"/>
      <c r="D8" s="113"/>
      <c r="E8" s="113"/>
      <c r="F8" s="113"/>
      <c r="G8" s="113"/>
      <c r="H8" s="113"/>
      <c r="I8" s="113"/>
      <c r="J8" s="113"/>
      <c r="K8" s="8"/>
      <c r="L8" s="113"/>
      <c r="M8" s="113"/>
      <c r="N8" s="113"/>
      <c r="O8" s="113"/>
      <c r="P8" s="113"/>
      <c r="Q8" s="113"/>
      <c r="R8" s="113"/>
      <c r="S8" s="113"/>
    </row>
    <row r="9" spans="1:22" ht="18" customHeight="1">
      <c r="B9" s="121" t="s">
        <v>176</v>
      </c>
      <c r="C9" s="122"/>
      <c r="D9" s="122"/>
      <c r="E9" s="122"/>
      <c r="F9" s="122"/>
      <c r="G9" s="122"/>
      <c r="H9" s="122"/>
      <c r="I9" s="122"/>
      <c r="J9" s="122"/>
      <c r="K9" s="122"/>
      <c r="L9" s="122"/>
      <c r="M9" s="122"/>
      <c r="N9" s="122"/>
      <c r="O9" s="122"/>
      <c r="P9" s="122"/>
      <c r="Q9" s="122"/>
      <c r="R9" s="122"/>
      <c r="S9" s="123"/>
    </row>
    <row r="10" spans="1:22" ht="18" customHeight="1">
      <c r="B10" s="124"/>
      <c r="C10" s="125"/>
      <c r="D10" s="125"/>
      <c r="E10" s="125"/>
      <c r="F10" s="125"/>
      <c r="G10" s="125"/>
      <c r="H10" s="125"/>
      <c r="I10" s="125"/>
      <c r="J10" s="125"/>
      <c r="K10" s="125"/>
      <c r="L10" s="125"/>
      <c r="M10" s="125"/>
      <c r="N10" s="125"/>
      <c r="O10" s="125"/>
      <c r="P10" s="125"/>
      <c r="Q10" s="125"/>
      <c r="R10" s="125"/>
      <c r="S10" s="126"/>
    </row>
    <row r="11" spans="1:22" ht="6" customHeight="1">
      <c r="B11" s="113"/>
      <c r="C11" s="113"/>
      <c r="D11" s="113"/>
      <c r="E11" s="113"/>
      <c r="F11" s="113"/>
      <c r="G11" s="113"/>
      <c r="H11" s="113"/>
      <c r="I11" s="113"/>
      <c r="J11" s="113"/>
      <c r="K11" s="8"/>
      <c r="L11" s="113"/>
      <c r="M11" s="113"/>
      <c r="N11" s="113"/>
      <c r="O11" s="113"/>
      <c r="P11" s="113"/>
      <c r="Q11" s="113"/>
      <c r="R11" s="113"/>
      <c r="S11" s="113"/>
    </row>
    <row r="12" spans="1:22" ht="18" customHeight="1">
      <c r="A12" s="111" t="s">
        <v>111</v>
      </c>
      <c r="B12" s="113"/>
      <c r="C12" s="113"/>
      <c r="D12" s="109"/>
      <c r="E12" s="109"/>
      <c r="F12" s="109"/>
      <c r="G12" s="109"/>
      <c r="H12" s="109"/>
      <c r="I12" s="109"/>
      <c r="J12" s="109"/>
      <c r="K12" s="33"/>
      <c r="L12" s="33"/>
      <c r="M12" s="33"/>
      <c r="N12" s="33"/>
      <c r="O12" s="33"/>
      <c r="P12" s="33"/>
      <c r="Q12" s="33"/>
      <c r="R12" s="33"/>
      <c r="S12" s="33"/>
    </row>
    <row r="13" spans="1:22" ht="18" customHeight="1">
      <c r="B13" s="145" t="s">
        <v>179</v>
      </c>
      <c r="C13" s="146"/>
      <c r="D13" s="146"/>
      <c r="E13" s="146"/>
      <c r="F13" s="146"/>
      <c r="G13" s="146"/>
      <c r="H13" s="146"/>
      <c r="I13" s="146"/>
      <c r="J13" s="146"/>
      <c r="K13" s="146"/>
      <c r="L13" s="146"/>
      <c r="M13" s="146"/>
      <c r="N13" s="146"/>
      <c r="O13" s="146"/>
      <c r="P13" s="146"/>
      <c r="Q13" s="146"/>
      <c r="R13" s="146"/>
      <c r="S13" s="147"/>
      <c r="V13" s="111" t="s">
        <v>103</v>
      </c>
    </row>
    <row r="14" spans="1:22" ht="18" customHeight="1">
      <c r="B14" s="148"/>
      <c r="C14" s="149"/>
      <c r="D14" s="149"/>
      <c r="E14" s="149"/>
      <c r="F14" s="149"/>
      <c r="G14" s="149"/>
      <c r="H14" s="149"/>
      <c r="I14" s="149"/>
      <c r="J14" s="149"/>
      <c r="K14" s="149"/>
      <c r="L14" s="149"/>
      <c r="M14" s="149"/>
      <c r="N14" s="149"/>
      <c r="O14" s="149"/>
      <c r="P14" s="149"/>
      <c r="Q14" s="149"/>
      <c r="R14" s="149"/>
      <c r="S14" s="150"/>
      <c r="V14" s="111" t="s">
        <v>110</v>
      </c>
    </row>
    <row r="15" spans="1:22" ht="18" customHeight="1">
      <c r="B15" s="148"/>
      <c r="C15" s="149"/>
      <c r="D15" s="149"/>
      <c r="E15" s="149"/>
      <c r="F15" s="149"/>
      <c r="G15" s="149"/>
      <c r="H15" s="149"/>
      <c r="I15" s="149"/>
      <c r="J15" s="149"/>
      <c r="K15" s="149"/>
      <c r="L15" s="149"/>
      <c r="M15" s="149"/>
      <c r="N15" s="149"/>
      <c r="O15" s="149"/>
      <c r="P15" s="149"/>
      <c r="Q15" s="149"/>
      <c r="R15" s="149"/>
      <c r="S15" s="150"/>
      <c r="V15" s="111" t="s">
        <v>123</v>
      </c>
    </row>
    <row r="16" spans="1:22" ht="18" customHeight="1">
      <c r="B16" s="148"/>
      <c r="C16" s="149"/>
      <c r="D16" s="149"/>
      <c r="E16" s="149"/>
      <c r="F16" s="149"/>
      <c r="G16" s="149"/>
      <c r="H16" s="149"/>
      <c r="I16" s="149"/>
      <c r="J16" s="149"/>
      <c r="K16" s="149"/>
      <c r="L16" s="149"/>
      <c r="M16" s="149"/>
      <c r="N16" s="149"/>
      <c r="O16" s="149"/>
      <c r="P16" s="149"/>
      <c r="Q16" s="149"/>
      <c r="R16" s="149"/>
      <c r="S16" s="150"/>
      <c r="V16" s="111" t="s">
        <v>125</v>
      </c>
    </row>
    <row r="17" spans="1:19" ht="18" customHeight="1">
      <c r="B17" s="148"/>
      <c r="C17" s="149"/>
      <c r="D17" s="149"/>
      <c r="E17" s="149"/>
      <c r="F17" s="149"/>
      <c r="G17" s="149"/>
      <c r="H17" s="149"/>
      <c r="I17" s="149"/>
      <c r="J17" s="149"/>
      <c r="K17" s="149"/>
      <c r="L17" s="149"/>
      <c r="M17" s="149"/>
      <c r="N17" s="149"/>
      <c r="O17" s="149"/>
      <c r="P17" s="149"/>
      <c r="Q17" s="149"/>
      <c r="R17" s="149"/>
      <c r="S17" s="150"/>
    </row>
    <row r="18" spans="1:19" ht="18" customHeight="1">
      <c r="B18" s="151"/>
      <c r="C18" s="152"/>
      <c r="D18" s="152"/>
      <c r="E18" s="152"/>
      <c r="F18" s="152"/>
      <c r="G18" s="152"/>
      <c r="H18" s="152"/>
      <c r="I18" s="152"/>
      <c r="J18" s="152"/>
      <c r="K18" s="152"/>
      <c r="L18" s="152"/>
      <c r="M18" s="152"/>
      <c r="N18" s="152"/>
      <c r="O18" s="152"/>
      <c r="P18" s="152"/>
      <c r="Q18" s="152"/>
      <c r="R18" s="152"/>
      <c r="S18" s="153"/>
    </row>
    <row r="19" spans="1:19" ht="7.5" customHeight="1">
      <c r="B19" s="113"/>
      <c r="C19" s="113"/>
      <c r="D19" s="113"/>
      <c r="E19" s="113"/>
      <c r="F19" s="113"/>
      <c r="G19" s="113"/>
      <c r="H19" s="113"/>
      <c r="I19" s="113"/>
      <c r="J19" s="113"/>
      <c r="K19" s="113"/>
      <c r="L19" s="113"/>
      <c r="M19" s="113"/>
      <c r="N19" s="113"/>
      <c r="O19" s="113"/>
      <c r="P19" s="113"/>
      <c r="Q19" s="113"/>
      <c r="R19" s="113"/>
      <c r="S19" s="113"/>
    </row>
    <row r="20" spans="1:19" ht="19.899999999999999" customHeight="1">
      <c r="B20" s="111" t="s">
        <v>112</v>
      </c>
      <c r="C20" s="133">
        <v>2</v>
      </c>
      <c r="D20" s="135"/>
      <c r="E20" s="34" t="s">
        <v>95</v>
      </c>
      <c r="G20" s="8"/>
      <c r="H20" s="113"/>
      <c r="I20" s="113"/>
      <c r="J20" s="109" t="s">
        <v>121</v>
      </c>
      <c r="K20" s="141" t="s">
        <v>125</v>
      </c>
      <c r="L20" s="142"/>
      <c r="M20" s="142"/>
      <c r="N20" s="142"/>
      <c r="O20" s="142"/>
      <c r="P20" s="142"/>
      <c r="Q20" s="142"/>
      <c r="R20" s="142"/>
      <c r="S20" s="143"/>
    </row>
    <row r="21" spans="1:19" ht="7.5" customHeight="1">
      <c r="B21" s="113"/>
      <c r="C21" s="113"/>
      <c r="D21" s="113"/>
      <c r="E21" s="113"/>
      <c r="F21" s="113"/>
      <c r="G21" s="113"/>
      <c r="H21" s="113"/>
      <c r="I21" s="113"/>
      <c r="J21" s="113"/>
      <c r="K21" s="113"/>
      <c r="L21" s="113"/>
      <c r="M21" s="113"/>
      <c r="N21" s="113"/>
      <c r="O21" s="113"/>
      <c r="P21" s="113"/>
      <c r="Q21" s="113"/>
      <c r="R21" s="113"/>
      <c r="S21" s="113"/>
    </row>
    <row r="22" spans="1:19" ht="18" customHeight="1">
      <c r="A22" s="136" t="s">
        <v>113</v>
      </c>
      <c r="B22" s="136"/>
      <c r="C22" s="136"/>
      <c r="D22" s="136"/>
      <c r="E22" s="136"/>
      <c r="F22" s="136"/>
      <c r="G22" s="136"/>
      <c r="H22" s="136"/>
      <c r="I22" s="136"/>
      <c r="J22" s="136"/>
      <c r="K22" s="136"/>
      <c r="L22" s="136"/>
      <c r="M22" s="136"/>
      <c r="N22" s="136"/>
      <c r="O22" s="136"/>
      <c r="P22" s="136"/>
      <c r="Q22" s="136"/>
      <c r="R22" s="136"/>
      <c r="S22" s="136"/>
    </row>
    <row r="23" spans="1:19" ht="18" customHeight="1">
      <c r="A23" s="136"/>
      <c r="B23" s="136"/>
      <c r="C23" s="136"/>
      <c r="D23" s="136"/>
      <c r="E23" s="136"/>
      <c r="F23" s="136"/>
      <c r="G23" s="136"/>
      <c r="H23" s="136"/>
      <c r="I23" s="136"/>
      <c r="J23" s="136"/>
      <c r="K23" s="136"/>
      <c r="L23" s="136"/>
      <c r="M23" s="136"/>
      <c r="N23" s="136"/>
      <c r="O23" s="136"/>
      <c r="P23" s="136"/>
      <c r="Q23" s="136"/>
      <c r="R23" s="136"/>
      <c r="S23" s="136"/>
    </row>
    <row r="24" spans="1:19" ht="18" customHeight="1">
      <c r="B24" s="133" t="s">
        <v>53</v>
      </c>
      <c r="C24" s="134"/>
      <c r="D24" s="134"/>
      <c r="E24" s="135"/>
      <c r="F24" s="54" t="s">
        <v>80</v>
      </c>
      <c r="G24" s="53" t="s">
        <v>84</v>
      </c>
      <c r="H24" s="16" t="s">
        <v>56</v>
      </c>
      <c r="I24" s="16" t="s">
        <v>59</v>
      </c>
      <c r="J24" s="133" t="s">
        <v>53</v>
      </c>
      <c r="K24" s="134"/>
      <c r="L24" s="134"/>
      <c r="M24" s="134"/>
      <c r="N24" s="134"/>
      <c r="O24" s="135"/>
      <c r="P24" s="54" t="s">
        <v>80</v>
      </c>
      <c r="Q24" s="53" t="s">
        <v>84</v>
      </c>
      <c r="R24" s="16" t="s">
        <v>56</v>
      </c>
      <c r="S24" s="16" t="s">
        <v>59</v>
      </c>
    </row>
    <row r="25" spans="1:19" ht="18" customHeight="1">
      <c r="B25" s="193" t="s">
        <v>130</v>
      </c>
      <c r="C25" s="194"/>
      <c r="D25" s="194"/>
      <c r="E25" s="195"/>
      <c r="F25" s="114">
        <v>2</v>
      </c>
      <c r="G25" s="114"/>
      <c r="H25" s="114" t="s">
        <v>131</v>
      </c>
      <c r="I25" s="114" t="s">
        <v>131</v>
      </c>
      <c r="J25" s="137"/>
      <c r="K25" s="138"/>
      <c r="L25" s="138"/>
      <c r="M25" s="138"/>
      <c r="N25" s="138"/>
      <c r="O25" s="139"/>
      <c r="P25" s="17"/>
      <c r="Q25" s="17"/>
      <c r="R25" s="17"/>
      <c r="S25" s="17"/>
    </row>
    <row r="26" spans="1:19" ht="18" customHeight="1">
      <c r="B26" s="127" t="s">
        <v>133</v>
      </c>
      <c r="C26" s="128"/>
      <c r="D26" s="128"/>
      <c r="E26" s="129"/>
      <c r="F26" s="18">
        <v>2</v>
      </c>
      <c r="G26" s="18"/>
      <c r="H26" s="18" t="s">
        <v>131</v>
      </c>
      <c r="I26" s="18" t="s">
        <v>131</v>
      </c>
      <c r="J26" s="127"/>
      <c r="K26" s="128"/>
      <c r="L26" s="128"/>
      <c r="M26" s="128"/>
      <c r="N26" s="128"/>
      <c r="O26" s="129"/>
      <c r="P26" s="18"/>
      <c r="Q26" s="18"/>
      <c r="R26" s="18"/>
      <c r="S26" s="18"/>
    </row>
    <row r="27" spans="1:19" ht="18" customHeight="1">
      <c r="B27" s="127"/>
      <c r="C27" s="128"/>
      <c r="D27" s="128"/>
      <c r="E27" s="129"/>
      <c r="F27" s="18"/>
      <c r="G27" s="18"/>
      <c r="H27" s="18"/>
      <c r="I27" s="18"/>
      <c r="J27" s="127"/>
      <c r="K27" s="128"/>
      <c r="L27" s="128"/>
      <c r="M27" s="128"/>
      <c r="N27" s="128"/>
      <c r="O27" s="129"/>
      <c r="P27" s="18"/>
      <c r="Q27" s="18"/>
      <c r="R27" s="18"/>
      <c r="S27" s="18"/>
    </row>
    <row r="28" spans="1:19" ht="18" customHeight="1">
      <c r="B28" s="127"/>
      <c r="C28" s="128"/>
      <c r="D28" s="128"/>
      <c r="E28" s="129"/>
      <c r="F28" s="18"/>
      <c r="G28" s="18"/>
      <c r="H28" s="18"/>
      <c r="I28" s="18"/>
      <c r="J28" s="127"/>
      <c r="K28" s="128"/>
      <c r="L28" s="128"/>
      <c r="M28" s="128"/>
      <c r="N28" s="128"/>
      <c r="O28" s="129"/>
      <c r="P28" s="18"/>
      <c r="Q28" s="18"/>
      <c r="R28" s="18"/>
      <c r="S28" s="18"/>
    </row>
    <row r="29" spans="1:19" ht="18" customHeight="1">
      <c r="B29" s="127"/>
      <c r="C29" s="128"/>
      <c r="D29" s="128"/>
      <c r="E29" s="129"/>
      <c r="F29" s="18"/>
      <c r="G29" s="18"/>
      <c r="H29" s="18"/>
      <c r="I29" s="18"/>
      <c r="J29" s="127"/>
      <c r="K29" s="128"/>
      <c r="L29" s="128"/>
      <c r="M29" s="128"/>
      <c r="N29" s="128"/>
      <c r="O29" s="129"/>
      <c r="P29" s="18"/>
      <c r="Q29" s="18"/>
      <c r="R29" s="18"/>
      <c r="S29" s="18"/>
    </row>
    <row r="30" spans="1:19" ht="18" customHeight="1">
      <c r="A30" s="113"/>
      <c r="B30" s="127"/>
      <c r="C30" s="128"/>
      <c r="D30" s="128"/>
      <c r="E30" s="129"/>
      <c r="F30" s="18"/>
      <c r="G30" s="18"/>
      <c r="H30" s="18"/>
      <c r="I30" s="18"/>
      <c r="J30" s="127"/>
      <c r="K30" s="128"/>
      <c r="L30" s="128"/>
      <c r="M30" s="128"/>
      <c r="N30" s="128"/>
      <c r="O30" s="129"/>
      <c r="P30" s="18"/>
      <c r="Q30" s="18"/>
      <c r="R30" s="18"/>
      <c r="S30" s="18"/>
    </row>
    <row r="31" spans="1:19" ht="18" customHeight="1">
      <c r="A31" s="113"/>
      <c r="B31" s="130"/>
      <c r="C31" s="131"/>
      <c r="D31" s="131"/>
      <c r="E31" s="132"/>
      <c r="F31" s="19"/>
      <c r="G31" s="19"/>
      <c r="H31" s="20"/>
      <c r="I31" s="20"/>
      <c r="J31" s="130"/>
      <c r="K31" s="131"/>
      <c r="L31" s="131"/>
      <c r="M31" s="131"/>
      <c r="N31" s="131"/>
      <c r="O31" s="132"/>
      <c r="P31" s="19"/>
      <c r="Q31" s="19"/>
      <c r="R31" s="20"/>
      <c r="S31" s="20"/>
    </row>
    <row r="32" spans="1:19" ht="7.5" customHeight="1">
      <c r="A32" s="113"/>
      <c r="B32" s="5"/>
      <c r="C32" s="5"/>
      <c r="D32" s="113"/>
      <c r="E32" s="113"/>
      <c r="F32" s="113"/>
      <c r="G32" s="113"/>
      <c r="H32" s="5"/>
      <c r="I32" s="5"/>
      <c r="J32" s="5"/>
      <c r="K32" s="5"/>
      <c r="L32" s="5"/>
      <c r="M32" s="5"/>
      <c r="N32" s="5"/>
      <c r="O32" s="5"/>
      <c r="P32" s="5"/>
      <c r="Q32" s="5"/>
      <c r="R32" s="5"/>
      <c r="S32" s="113"/>
    </row>
    <row r="33" spans="1:19" ht="18" customHeight="1">
      <c r="A33" s="136" t="s">
        <v>114</v>
      </c>
      <c r="B33" s="136"/>
      <c r="C33" s="136"/>
      <c r="D33" s="136"/>
      <c r="E33" s="136"/>
      <c r="F33" s="136"/>
      <c r="G33" s="136"/>
      <c r="H33" s="136"/>
      <c r="I33" s="136"/>
      <c r="J33" s="136"/>
      <c r="K33" s="136"/>
      <c r="L33" s="136"/>
      <c r="M33" s="136"/>
      <c r="N33" s="136"/>
      <c r="O33" s="136"/>
      <c r="P33" s="136"/>
      <c r="Q33" s="136"/>
      <c r="R33" s="136"/>
      <c r="S33" s="136"/>
    </row>
    <row r="34" spans="1:19" ht="18" customHeight="1">
      <c r="A34" s="136"/>
      <c r="B34" s="136"/>
      <c r="C34" s="136"/>
      <c r="D34" s="136"/>
      <c r="E34" s="136"/>
      <c r="F34" s="136"/>
      <c r="G34" s="136"/>
      <c r="H34" s="136"/>
      <c r="I34" s="136"/>
      <c r="J34" s="136"/>
      <c r="K34" s="136"/>
      <c r="L34" s="136"/>
      <c r="M34" s="136"/>
      <c r="N34" s="136"/>
      <c r="O34" s="136"/>
      <c r="P34" s="136"/>
      <c r="Q34" s="136"/>
      <c r="R34" s="136"/>
      <c r="S34" s="136"/>
    </row>
    <row r="35" spans="1:19" ht="18" customHeight="1">
      <c r="B35" s="133" t="s">
        <v>53</v>
      </c>
      <c r="C35" s="134"/>
      <c r="D35" s="134"/>
      <c r="E35" s="135"/>
      <c r="F35" s="54" t="s">
        <v>80</v>
      </c>
      <c r="G35" s="53" t="s">
        <v>84</v>
      </c>
      <c r="H35" s="16" t="s">
        <v>71</v>
      </c>
      <c r="I35" s="16" t="s">
        <v>72</v>
      </c>
      <c r="J35" s="133" t="s">
        <v>53</v>
      </c>
      <c r="K35" s="134"/>
      <c r="L35" s="134"/>
      <c r="M35" s="134"/>
      <c r="N35" s="134"/>
      <c r="O35" s="135"/>
      <c r="P35" s="54" t="s">
        <v>80</v>
      </c>
      <c r="Q35" s="53" t="s">
        <v>84</v>
      </c>
      <c r="R35" s="16" t="s">
        <v>71</v>
      </c>
      <c r="S35" s="16" t="s">
        <v>72</v>
      </c>
    </row>
    <row r="36" spans="1:19" ht="18" customHeight="1">
      <c r="B36" s="137" t="s">
        <v>130</v>
      </c>
      <c r="C36" s="138"/>
      <c r="D36" s="138"/>
      <c r="E36" s="139"/>
      <c r="F36" s="17">
        <v>2</v>
      </c>
      <c r="G36" s="17"/>
      <c r="H36" s="17" t="s">
        <v>131</v>
      </c>
      <c r="I36" s="17" t="s">
        <v>131</v>
      </c>
      <c r="J36" s="137"/>
      <c r="K36" s="138"/>
      <c r="L36" s="138"/>
      <c r="M36" s="138"/>
      <c r="N36" s="138"/>
      <c r="O36" s="139"/>
      <c r="P36" s="17"/>
      <c r="Q36" s="17"/>
      <c r="R36" s="17"/>
      <c r="S36" s="17"/>
    </row>
    <row r="37" spans="1:19" ht="18" customHeight="1">
      <c r="B37" s="127" t="s">
        <v>133</v>
      </c>
      <c r="C37" s="128"/>
      <c r="D37" s="128"/>
      <c r="E37" s="129"/>
      <c r="F37" s="18">
        <v>2</v>
      </c>
      <c r="G37" s="18"/>
      <c r="H37" s="18" t="s">
        <v>131</v>
      </c>
      <c r="I37" s="18" t="s">
        <v>131</v>
      </c>
      <c r="J37" s="127"/>
      <c r="K37" s="128"/>
      <c r="L37" s="128"/>
      <c r="M37" s="128"/>
      <c r="N37" s="128"/>
      <c r="O37" s="129"/>
      <c r="P37" s="18"/>
      <c r="Q37" s="18"/>
      <c r="R37" s="18"/>
      <c r="S37" s="18"/>
    </row>
    <row r="38" spans="1:19" ht="18" customHeight="1">
      <c r="B38" s="127"/>
      <c r="C38" s="128"/>
      <c r="D38" s="128"/>
      <c r="E38" s="129"/>
      <c r="F38" s="18"/>
      <c r="G38" s="18"/>
      <c r="H38" s="18"/>
      <c r="I38" s="18"/>
      <c r="J38" s="127"/>
      <c r="K38" s="128"/>
      <c r="L38" s="128"/>
      <c r="M38" s="128"/>
      <c r="N38" s="128"/>
      <c r="O38" s="129"/>
      <c r="P38" s="18"/>
      <c r="Q38" s="18"/>
      <c r="R38" s="18"/>
      <c r="S38" s="18"/>
    </row>
    <row r="39" spans="1:19" ht="18" customHeight="1">
      <c r="B39" s="127"/>
      <c r="C39" s="128"/>
      <c r="D39" s="128"/>
      <c r="E39" s="129"/>
      <c r="F39" s="18"/>
      <c r="G39" s="18"/>
      <c r="H39" s="18"/>
      <c r="I39" s="18"/>
      <c r="J39" s="127"/>
      <c r="K39" s="128"/>
      <c r="L39" s="128"/>
      <c r="M39" s="128"/>
      <c r="N39" s="128"/>
      <c r="O39" s="129"/>
      <c r="P39" s="18"/>
      <c r="Q39" s="18"/>
      <c r="R39" s="18"/>
      <c r="S39" s="18"/>
    </row>
    <row r="40" spans="1:19" ht="18" customHeight="1">
      <c r="B40" s="127"/>
      <c r="C40" s="128"/>
      <c r="D40" s="128"/>
      <c r="E40" s="129"/>
      <c r="F40" s="18"/>
      <c r="G40" s="18"/>
      <c r="H40" s="18"/>
      <c r="I40" s="18"/>
      <c r="J40" s="127"/>
      <c r="K40" s="128"/>
      <c r="L40" s="128"/>
      <c r="M40" s="128"/>
      <c r="N40" s="128"/>
      <c r="O40" s="129"/>
      <c r="P40" s="18"/>
      <c r="Q40" s="18"/>
      <c r="R40" s="18"/>
      <c r="S40" s="18"/>
    </row>
    <row r="41" spans="1:19" ht="18" customHeight="1">
      <c r="B41" s="127"/>
      <c r="C41" s="128"/>
      <c r="D41" s="128"/>
      <c r="E41" s="129"/>
      <c r="F41" s="18"/>
      <c r="G41" s="18"/>
      <c r="H41" s="18"/>
      <c r="I41" s="18"/>
      <c r="J41" s="127"/>
      <c r="K41" s="128"/>
      <c r="L41" s="128"/>
      <c r="M41" s="128"/>
      <c r="N41" s="128"/>
      <c r="O41" s="129"/>
      <c r="P41" s="18"/>
      <c r="Q41" s="18"/>
      <c r="R41" s="18"/>
      <c r="S41" s="18"/>
    </row>
    <row r="42" spans="1:19" ht="18" customHeight="1">
      <c r="B42" s="130"/>
      <c r="C42" s="131"/>
      <c r="D42" s="131"/>
      <c r="E42" s="132"/>
      <c r="F42" s="19"/>
      <c r="G42" s="19"/>
      <c r="H42" s="20"/>
      <c r="I42" s="20"/>
      <c r="J42" s="130"/>
      <c r="K42" s="131"/>
      <c r="L42" s="131"/>
      <c r="M42" s="131"/>
      <c r="N42" s="131"/>
      <c r="O42" s="132"/>
      <c r="P42" s="19"/>
      <c r="Q42" s="19"/>
      <c r="R42" s="20"/>
      <c r="S42" s="20"/>
    </row>
    <row r="43" spans="1:19" ht="7.5" customHeight="1">
      <c r="A43" s="113"/>
      <c r="B43" s="5"/>
      <c r="C43" s="5"/>
      <c r="D43" s="113"/>
      <c r="E43" s="113"/>
      <c r="F43" s="113"/>
      <c r="G43" s="113"/>
      <c r="H43" s="5"/>
      <c r="I43" s="5"/>
      <c r="J43" s="5"/>
      <c r="K43" s="5"/>
      <c r="L43" s="5"/>
      <c r="M43" s="5"/>
      <c r="N43" s="5"/>
      <c r="O43" s="5"/>
      <c r="P43" s="5"/>
      <c r="Q43" s="5"/>
      <c r="R43" s="5"/>
      <c r="S43" s="113"/>
    </row>
    <row r="44" spans="1:19" ht="18" customHeight="1">
      <c r="A44" s="136" t="s">
        <v>115</v>
      </c>
      <c r="B44" s="136"/>
      <c r="C44" s="136"/>
      <c r="D44" s="136"/>
      <c r="E44" s="136"/>
      <c r="F44" s="136"/>
      <c r="G44" s="136"/>
      <c r="H44" s="136"/>
      <c r="I44" s="136"/>
      <c r="J44" s="136"/>
      <c r="K44" s="136"/>
      <c r="L44" s="136"/>
      <c r="M44" s="136"/>
      <c r="N44" s="136"/>
      <c r="O44" s="136"/>
      <c r="P44" s="136"/>
      <c r="Q44" s="136"/>
      <c r="R44" s="136"/>
      <c r="S44" s="136"/>
    </row>
    <row r="45" spans="1:19" ht="18" customHeight="1">
      <c r="A45" s="136"/>
      <c r="B45" s="136"/>
      <c r="C45" s="136"/>
      <c r="D45" s="136"/>
      <c r="E45" s="136"/>
      <c r="F45" s="136"/>
      <c r="G45" s="136"/>
      <c r="H45" s="136"/>
      <c r="I45" s="136"/>
      <c r="J45" s="136"/>
      <c r="K45" s="136"/>
      <c r="L45" s="136"/>
      <c r="M45" s="136"/>
      <c r="N45" s="136"/>
      <c r="O45" s="136"/>
      <c r="P45" s="136"/>
      <c r="Q45" s="136"/>
      <c r="R45" s="136"/>
      <c r="S45" s="136"/>
    </row>
    <row r="46" spans="1:19" ht="18" customHeight="1">
      <c r="B46" s="133" t="s">
        <v>53</v>
      </c>
      <c r="C46" s="134"/>
      <c r="D46" s="134"/>
      <c r="E46" s="135"/>
      <c r="F46" s="54" t="s">
        <v>80</v>
      </c>
      <c r="G46" s="53" t="s">
        <v>84</v>
      </c>
      <c r="H46" s="16" t="s">
        <v>73</v>
      </c>
      <c r="I46" s="16" t="s">
        <v>74</v>
      </c>
      <c r="J46" s="133" t="s">
        <v>53</v>
      </c>
      <c r="K46" s="134"/>
      <c r="L46" s="134"/>
      <c r="M46" s="134"/>
      <c r="N46" s="134"/>
      <c r="O46" s="135"/>
      <c r="P46" s="54" t="s">
        <v>80</v>
      </c>
      <c r="Q46" s="53" t="s">
        <v>84</v>
      </c>
      <c r="R46" s="16" t="s">
        <v>73</v>
      </c>
      <c r="S46" s="16" t="s">
        <v>74</v>
      </c>
    </row>
    <row r="47" spans="1:19" ht="18" customHeight="1">
      <c r="A47" s="113"/>
      <c r="B47" s="137" t="s">
        <v>130</v>
      </c>
      <c r="C47" s="138"/>
      <c r="D47" s="138"/>
      <c r="E47" s="139"/>
      <c r="F47" s="17">
        <v>2</v>
      </c>
      <c r="G47" s="17"/>
      <c r="H47" s="17" t="s">
        <v>131</v>
      </c>
      <c r="I47" s="17" t="s">
        <v>131</v>
      </c>
      <c r="J47" s="137"/>
      <c r="K47" s="138"/>
      <c r="L47" s="138"/>
      <c r="M47" s="138"/>
      <c r="N47" s="138"/>
      <c r="O47" s="139"/>
      <c r="P47" s="17"/>
      <c r="Q47" s="17"/>
      <c r="R47" s="17"/>
      <c r="S47" s="17"/>
    </row>
    <row r="48" spans="1:19" ht="18" customHeight="1">
      <c r="A48" s="113"/>
      <c r="B48" s="127" t="s">
        <v>133</v>
      </c>
      <c r="C48" s="128"/>
      <c r="D48" s="128"/>
      <c r="E48" s="129"/>
      <c r="F48" s="18">
        <v>2</v>
      </c>
      <c r="G48" s="18"/>
      <c r="H48" s="18" t="s">
        <v>131</v>
      </c>
      <c r="I48" s="18" t="s">
        <v>131</v>
      </c>
      <c r="J48" s="127"/>
      <c r="K48" s="128"/>
      <c r="L48" s="128"/>
      <c r="M48" s="128"/>
      <c r="N48" s="128"/>
      <c r="O48" s="129"/>
      <c r="P48" s="18"/>
      <c r="Q48" s="18"/>
      <c r="R48" s="18"/>
      <c r="S48" s="18"/>
    </row>
    <row r="49" spans="1:19" ht="18" customHeight="1">
      <c r="A49" s="113"/>
      <c r="B49" s="127"/>
      <c r="C49" s="128"/>
      <c r="D49" s="128"/>
      <c r="E49" s="129"/>
      <c r="F49" s="18"/>
      <c r="G49" s="18"/>
      <c r="H49" s="18"/>
      <c r="I49" s="18"/>
      <c r="J49" s="127"/>
      <c r="K49" s="128"/>
      <c r="L49" s="128"/>
      <c r="M49" s="128"/>
      <c r="N49" s="128"/>
      <c r="O49" s="129"/>
      <c r="P49" s="18"/>
      <c r="Q49" s="18"/>
      <c r="R49" s="18"/>
      <c r="S49" s="18"/>
    </row>
    <row r="50" spans="1:19" ht="18" customHeight="1">
      <c r="A50" s="113"/>
      <c r="B50" s="127"/>
      <c r="C50" s="128"/>
      <c r="D50" s="128"/>
      <c r="E50" s="129"/>
      <c r="F50" s="18"/>
      <c r="G50" s="18"/>
      <c r="H50" s="18"/>
      <c r="I50" s="18"/>
      <c r="J50" s="127"/>
      <c r="K50" s="128"/>
      <c r="L50" s="128"/>
      <c r="M50" s="128"/>
      <c r="N50" s="128"/>
      <c r="O50" s="129"/>
      <c r="P50" s="18"/>
      <c r="Q50" s="18"/>
      <c r="R50" s="18"/>
      <c r="S50" s="18"/>
    </row>
    <row r="51" spans="1:19" ht="18" customHeight="1">
      <c r="A51" s="113"/>
      <c r="B51" s="127"/>
      <c r="C51" s="128"/>
      <c r="D51" s="128"/>
      <c r="E51" s="129"/>
      <c r="F51" s="18"/>
      <c r="G51" s="18"/>
      <c r="H51" s="18"/>
      <c r="I51" s="18"/>
      <c r="J51" s="127"/>
      <c r="K51" s="128"/>
      <c r="L51" s="128"/>
      <c r="M51" s="128"/>
      <c r="N51" s="128"/>
      <c r="O51" s="129"/>
      <c r="P51" s="18"/>
      <c r="Q51" s="18"/>
      <c r="R51" s="18"/>
      <c r="S51" s="18"/>
    </row>
    <row r="52" spans="1:19" ht="18" customHeight="1">
      <c r="A52" s="113"/>
      <c r="B52" s="127"/>
      <c r="C52" s="128"/>
      <c r="D52" s="128"/>
      <c r="E52" s="129"/>
      <c r="F52" s="18"/>
      <c r="G52" s="18"/>
      <c r="H52" s="18"/>
      <c r="I52" s="18"/>
      <c r="J52" s="127"/>
      <c r="K52" s="128"/>
      <c r="L52" s="128"/>
      <c r="M52" s="128"/>
      <c r="N52" s="128"/>
      <c r="O52" s="129"/>
      <c r="P52" s="18"/>
      <c r="Q52" s="18"/>
      <c r="R52" s="18"/>
      <c r="S52" s="18"/>
    </row>
    <row r="53" spans="1:19" ht="18" customHeight="1">
      <c r="A53" s="113"/>
      <c r="B53" s="130"/>
      <c r="C53" s="131"/>
      <c r="D53" s="131"/>
      <c r="E53" s="132"/>
      <c r="F53" s="19"/>
      <c r="G53" s="19"/>
      <c r="H53" s="20"/>
      <c r="I53" s="20"/>
      <c r="J53" s="130"/>
      <c r="K53" s="131"/>
      <c r="L53" s="131"/>
      <c r="M53" s="131"/>
      <c r="N53" s="131"/>
      <c r="O53" s="132"/>
      <c r="P53" s="19"/>
      <c r="Q53" s="19"/>
      <c r="R53" s="20"/>
      <c r="S53" s="20"/>
    </row>
    <row r="54" spans="1:19" ht="7.5" customHeight="1">
      <c r="B54" s="112"/>
      <c r="C54" s="112"/>
      <c r="D54" s="112"/>
      <c r="E54" s="112"/>
      <c r="F54" s="112"/>
      <c r="G54" s="112"/>
      <c r="H54" s="112"/>
      <c r="I54" s="112"/>
      <c r="J54" s="112"/>
      <c r="K54" s="112"/>
      <c r="L54" s="112"/>
      <c r="M54" s="112"/>
      <c r="N54" s="112"/>
      <c r="O54" s="112"/>
      <c r="P54" s="112"/>
      <c r="Q54" s="112"/>
      <c r="R54" s="112"/>
    </row>
    <row r="55" spans="1:19" ht="18" customHeight="1">
      <c r="A55" s="136" t="s">
        <v>116</v>
      </c>
      <c r="B55" s="136"/>
      <c r="C55" s="136"/>
      <c r="D55" s="136"/>
      <c r="E55" s="136"/>
      <c r="F55" s="136"/>
      <c r="G55" s="136"/>
      <c r="H55" s="136"/>
      <c r="I55" s="136"/>
      <c r="J55" s="136"/>
      <c r="K55" s="136"/>
      <c r="L55" s="136"/>
      <c r="M55" s="136"/>
      <c r="N55" s="136"/>
      <c r="O55" s="136"/>
      <c r="P55" s="136"/>
      <c r="Q55" s="136"/>
      <c r="R55" s="136"/>
      <c r="S55" s="136"/>
    </row>
    <row r="56" spans="1:19" ht="18" customHeight="1">
      <c r="A56" s="136"/>
      <c r="B56" s="136"/>
      <c r="C56" s="136"/>
      <c r="D56" s="136"/>
      <c r="E56" s="136"/>
      <c r="F56" s="136"/>
      <c r="G56" s="136"/>
      <c r="H56" s="136"/>
      <c r="I56" s="136"/>
      <c r="J56" s="136"/>
      <c r="K56" s="136"/>
      <c r="L56" s="136"/>
      <c r="M56" s="136"/>
      <c r="N56" s="136"/>
      <c r="O56" s="136"/>
      <c r="P56" s="136"/>
      <c r="Q56" s="136"/>
      <c r="R56" s="136"/>
      <c r="S56" s="136"/>
    </row>
    <row r="57" spans="1:19" ht="18" customHeight="1">
      <c r="B57" s="133" t="s">
        <v>53</v>
      </c>
      <c r="C57" s="134"/>
      <c r="D57" s="134"/>
      <c r="E57" s="135"/>
      <c r="F57" s="54" t="s">
        <v>80</v>
      </c>
      <c r="G57" s="53" t="s">
        <v>84</v>
      </c>
      <c r="H57" s="16" t="s">
        <v>58</v>
      </c>
      <c r="I57" s="16" t="s">
        <v>60</v>
      </c>
      <c r="J57" s="133" t="s">
        <v>53</v>
      </c>
      <c r="K57" s="134"/>
      <c r="L57" s="134"/>
      <c r="M57" s="134"/>
      <c r="N57" s="134"/>
      <c r="O57" s="135"/>
      <c r="P57" s="54" t="s">
        <v>80</v>
      </c>
      <c r="Q57" s="53" t="s">
        <v>84</v>
      </c>
      <c r="R57" s="16" t="s">
        <v>58</v>
      </c>
      <c r="S57" s="16" t="s">
        <v>60</v>
      </c>
    </row>
    <row r="58" spans="1:19" ht="18" customHeight="1">
      <c r="A58" s="113"/>
      <c r="B58" s="137" t="s">
        <v>130</v>
      </c>
      <c r="C58" s="138"/>
      <c r="D58" s="138"/>
      <c r="E58" s="139"/>
      <c r="F58" s="17">
        <v>2</v>
      </c>
      <c r="G58" s="17"/>
      <c r="H58" s="17" t="s">
        <v>131</v>
      </c>
      <c r="I58" s="17" t="s">
        <v>131</v>
      </c>
      <c r="J58" s="137"/>
      <c r="K58" s="138"/>
      <c r="L58" s="138"/>
      <c r="M58" s="138"/>
      <c r="N58" s="138"/>
      <c r="O58" s="139"/>
      <c r="P58" s="17"/>
      <c r="Q58" s="17"/>
      <c r="R58" s="17"/>
      <c r="S58" s="17"/>
    </row>
    <row r="59" spans="1:19" ht="18" customHeight="1">
      <c r="A59" s="113"/>
      <c r="B59" s="127" t="s">
        <v>133</v>
      </c>
      <c r="C59" s="128"/>
      <c r="D59" s="128"/>
      <c r="E59" s="129"/>
      <c r="F59" s="18">
        <v>2</v>
      </c>
      <c r="G59" s="18"/>
      <c r="H59" s="18" t="s">
        <v>131</v>
      </c>
      <c r="I59" s="18" t="s">
        <v>131</v>
      </c>
      <c r="J59" s="127"/>
      <c r="K59" s="128"/>
      <c r="L59" s="128"/>
      <c r="M59" s="128"/>
      <c r="N59" s="128"/>
      <c r="O59" s="129"/>
      <c r="P59" s="18"/>
      <c r="Q59" s="18"/>
      <c r="R59" s="18"/>
      <c r="S59" s="18"/>
    </row>
    <row r="60" spans="1:19" ht="18" customHeight="1">
      <c r="A60" s="113"/>
      <c r="B60" s="127"/>
      <c r="C60" s="128"/>
      <c r="D60" s="128"/>
      <c r="E60" s="129"/>
      <c r="F60" s="18"/>
      <c r="G60" s="18"/>
      <c r="H60" s="18"/>
      <c r="I60" s="18"/>
      <c r="J60" s="127"/>
      <c r="K60" s="128"/>
      <c r="L60" s="128"/>
      <c r="M60" s="128"/>
      <c r="N60" s="128"/>
      <c r="O60" s="129"/>
      <c r="P60" s="18"/>
      <c r="Q60" s="18"/>
      <c r="R60" s="18"/>
      <c r="S60" s="18"/>
    </row>
    <row r="61" spans="1:19" ht="18" customHeight="1">
      <c r="A61" s="113"/>
      <c r="B61" s="127"/>
      <c r="C61" s="128"/>
      <c r="D61" s="128"/>
      <c r="E61" s="129"/>
      <c r="F61" s="18"/>
      <c r="G61" s="18"/>
      <c r="H61" s="18"/>
      <c r="I61" s="18"/>
      <c r="J61" s="127"/>
      <c r="K61" s="128"/>
      <c r="L61" s="128"/>
      <c r="M61" s="128"/>
      <c r="N61" s="128"/>
      <c r="O61" s="129"/>
      <c r="P61" s="18"/>
      <c r="Q61" s="18"/>
      <c r="R61" s="18"/>
      <c r="S61" s="18"/>
    </row>
    <row r="62" spans="1:19" ht="18" customHeight="1">
      <c r="A62" s="113"/>
      <c r="B62" s="127"/>
      <c r="C62" s="128"/>
      <c r="D62" s="128"/>
      <c r="E62" s="129"/>
      <c r="F62" s="18"/>
      <c r="G62" s="18"/>
      <c r="H62" s="18"/>
      <c r="I62" s="18"/>
      <c r="J62" s="127"/>
      <c r="K62" s="128"/>
      <c r="L62" s="128"/>
      <c r="M62" s="128"/>
      <c r="N62" s="128"/>
      <c r="O62" s="129"/>
      <c r="P62" s="18"/>
      <c r="Q62" s="18"/>
      <c r="R62" s="18"/>
      <c r="S62" s="18"/>
    </row>
    <row r="63" spans="1:19" ht="18" customHeight="1">
      <c r="A63" s="113"/>
      <c r="B63" s="127"/>
      <c r="C63" s="128"/>
      <c r="D63" s="128"/>
      <c r="E63" s="129"/>
      <c r="F63" s="18"/>
      <c r="G63" s="18"/>
      <c r="H63" s="18"/>
      <c r="I63" s="18"/>
      <c r="J63" s="127"/>
      <c r="K63" s="128"/>
      <c r="L63" s="128"/>
      <c r="M63" s="128"/>
      <c r="N63" s="128"/>
      <c r="O63" s="129"/>
      <c r="P63" s="18"/>
      <c r="Q63" s="18"/>
      <c r="R63" s="18"/>
      <c r="S63" s="18"/>
    </row>
    <row r="64" spans="1:19" ht="18" customHeight="1">
      <c r="A64" s="113"/>
      <c r="B64" s="130"/>
      <c r="C64" s="131"/>
      <c r="D64" s="131"/>
      <c r="E64" s="132"/>
      <c r="F64" s="19"/>
      <c r="G64" s="19"/>
      <c r="H64" s="20"/>
      <c r="I64" s="20"/>
      <c r="J64" s="130"/>
      <c r="K64" s="131"/>
      <c r="L64" s="131"/>
      <c r="M64" s="131"/>
      <c r="N64" s="131"/>
      <c r="O64" s="132"/>
      <c r="P64" s="19"/>
      <c r="Q64" s="19"/>
      <c r="R64" s="20"/>
      <c r="S64" s="20"/>
    </row>
    <row r="65" spans="1:19" ht="7.5" customHeight="1">
      <c r="B65" s="112"/>
      <c r="C65" s="112"/>
      <c r="D65" s="112"/>
      <c r="E65" s="112"/>
      <c r="F65" s="112"/>
      <c r="G65" s="112"/>
      <c r="H65" s="112"/>
      <c r="I65" s="112"/>
      <c r="J65" s="112"/>
      <c r="K65" s="112"/>
      <c r="L65" s="112"/>
      <c r="M65" s="112"/>
      <c r="N65" s="112"/>
      <c r="O65" s="112"/>
      <c r="P65" s="112"/>
      <c r="Q65" s="112"/>
      <c r="R65" s="112"/>
    </row>
    <row r="66" spans="1:19" ht="18" customHeight="1">
      <c r="A66" s="136" t="s">
        <v>117</v>
      </c>
      <c r="B66" s="136"/>
      <c r="C66" s="136"/>
      <c r="D66" s="136"/>
      <c r="E66" s="136"/>
      <c r="F66" s="136"/>
      <c r="G66" s="136"/>
      <c r="H66" s="136"/>
      <c r="I66" s="136"/>
      <c r="J66" s="136"/>
      <c r="K66" s="136"/>
      <c r="L66" s="136"/>
      <c r="M66" s="136"/>
      <c r="N66" s="136"/>
      <c r="O66" s="136"/>
      <c r="P66" s="136"/>
      <c r="Q66" s="136"/>
      <c r="R66" s="136"/>
      <c r="S66" s="136"/>
    </row>
    <row r="67" spans="1:19" ht="18" customHeight="1">
      <c r="A67" s="136"/>
      <c r="B67" s="136"/>
      <c r="C67" s="136"/>
      <c r="D67" s="136"/>
      <c r="E67" s="136"/>
      <c r="F67" s="136"/>
      <c r="G67" s="136"/>
      <c r="H67" s="136"/>
      <c r="I67" s="136"/>
      <c r="J67" s="136"/>
      <c r="K67" s="136"/>
      <c r="L67" s="136"/>
      <c r="M67" s="136"/>
      <c r="N67" s="136"/>
      <c r="O67" s="136"/>
      <c r="P67" s="136"/>
      <c r="Q67" s="136"/>
      <c r="R67" s="136"/>
      <c r="S67" s="136"/>
    </row>
    <row r="68" spans="1:19" ht="18" customHeight="1">
      <c r="B68" s="133" t="s">
        <v>53</v>
      </c>
      <c r="C68" s="134"/>
      <c r="D68" s="134"/>
      <c r="E68" s="54" t="s">
        <v>80</v>
      </c>
      <c r="F68" s="53" t="s">
        <v>84</v>
      </c>
      <c r="G68" s="16" t="s">
        <v>101</v>
      </c>
      <c r="H68" s="16" t="s">
        <v>75</v>
      </c>
      <c r="I68" s="16" t="s">
        <v>76</v>
      </c>
      <c r="J68" s="133" t="s">
        <v>53</v>
      </c>
      <c r="K68" s="134"/>
      <c r="L68" s="134"/>
      <c r="M68" s="134"/>
      <c r="N68" s="135"/>
      <c r="O68" s="54" t="s">
        <v>80</v>
      </c>
      <c r="P68" s="53" t="s">
        <v>84</v>
      </c>
      <c r="Q68" s="16" t="s">
        <v>101</v>
      </c>
      <c r="R68" s="16" t="s">
        <v>75</v>
      </c>
      <c r="S68" s="16" t="s">
        <v>76</v>
      </c>
    </row>
    <row r="69" spans="1:19" ht="18" customHeight="1">
      <c r="A69" s="113"/>
      <c r="B69" s="137" t="s">
        <v>130</v>
      </c>
      <c r="C69" s="138"/>
      <c r="D69" s="138"/>
      <c r="E69" s="114">
        <v>2</v>
      </c>
      <c r="F69" s="17"/>
      <c r="G69" s="17" t="s">
        <v>131</v>
      </c>
      <c r="H69" s="17" t="s">
        <v>131</v>
      </c>
      <c r="I69" s="17" t="s">
        <v>131</v>
      </c>
      <c r="J69" s="137"/>
      <c r="K69" s="138"/>
      <c r="L69" s="138"/>
      <c r="M69" s="138"/>
      <c r="N69" s="139"/>
      <c r="O69" s="17"/>
      <c r="P69" s="17"/>
      <c r="Q69" s="17"/>
      <c r="R69" s="17"/>
      <c r="S69" s="17"/>
    </row>
    <row r="70" spans="1:19" ht="18" customHeight="1">
      <c r="A70" s="113"/>
      <c r="B70" s="196" t="s">
        <v>133</v>
      </c>
      <c r="C70" s="197"/>
      <c r="D70" s="197"/>
      <c r="E70" s="18">
        <v>2</v>
      </c>
      <c r="F70" s="18"/>
      <c r="G70" s="18" t="s">
        <v>131</v>
      </c>
      <c r="H70" s="18" t="s">
        <v>131</v>
      </c>
      <c r="I70" s="18" t="s">
        <v>131</v>
      </c>
      <c r="J70" s="127"/>
      <c r="K70" s="128"/>
      <c r="L70" s="128"/>
      <c r="M70" s="128"/>
      <c r="N70" s="129"/>
      <c r="O70" s="18"/>
      <c r="P70" s="18"/>
      <c r="Q70" s="18"/>
      <c r="R70" s="18"/>
      <c r="S70" s="18"/>
    </row>
    <row r="71" spans="1:19" ht="18" customHeight="1">
      <c r="A71" s="113"/>
      <c r="B71" s="127"/>
      <c r="C71" s="128"/>
      <c r="D71" s="128"/>
      <c r="E71" s="18"/>
      <c r="F71" s="18"/>
      <c r="G71" s="18"/>
      <c r="H71" s="18"/>
      <c r="I71" s="18"/>
      <c r="J71" s="127"/>
      <c r="K71" s="128"/>
      <c r="L71" s="128"/>
      <c r="M71" s="128"/>
      <c r="N71" s="129"/>
      <c r="O71" s="18"/>
      <c r="P71" s="18"/>
      <c r="Q71" s="18"/>
      <c r="R71" s="18"/>
      <c r="S71" s="18"/>
    </row>
    <row r="72" spans="1:19" ht="18" customHeight="1">
      <c r="A72" s="113"/>
      <c r="B72" s="127"/>
      <c r="C72" s="128"/>
      <c r="D72" s="128"/>
      <c r="E72" s="18"/>
      <c r="F72" s="18"/>
      <c r="G72" s="18"/>
      <c r="H72" s="18"/>
      <c r="I72" s="18"/>
      <c r="J72" s="127"/>
      <c r="K72" s="128"/>
      <c r="L72" s="128"/>
      <c r="M72" s="128"/>
      <c r="N72" s="129"/>
      <c r="O72" s="18"/>
      <c r="P72" s="18"/>
      <c r="Q72" s="18"/>
      <c r="R72" s="18"/>
      <c r="S72" s="18"/>
    </row>
    <row r="73" spans="1:19" ht="18" customHeight="1">
      <c r="A73" s="113"/>
      <c r="B73" s="127"/>
      <c r="C73" s="128"/>
      <c r="D73" s="128"/>
      <c r="E73" s="18"/>
      <c r="F73" s="18"/>
      <c r="G73" s="18"/>
      <c r="H73" s="18"/>
      <c r="I73" s="18"/>
      <c r="J73" s="127"/>
      <c r="K73" s="128"/>
      <c r="L73" s="128"/>
      <c r="M73" s="128"/>
      <c r="N73" s="129"/>
      <c r="O73" s="18"/>
      <c r="P73" s="18"/>
      <c r="Q73" s="18"/>
      <c r="R73" s="18"/>
      <c r="S73" s="18"/>
    </row>
    <row r="74" spans="1:19" ht="18" customHeight="1">
      <c r="A74" s="113"/>
      <c r="B74" s="127"/>
      <c r="C74" s="128"/>
      <c r="D74" s="128"/>
      <c r="E74" s="18"/>
      <c r="F74" s="18"/>
      <c r="G74" s="18"/>
      <c r="H74" s="18"/>
      <c r="I74" s="18"/>
      <c r="J74" s="127"/>
      <c r="K74" s="128"/>
      <c r="L74" s="128"/>
      <c r="M74" s="128"/>
      <c r="N74" s="129"/>
      <c r="O74" s="18"/>
      <c r="P74" s="18"/>
      <c r="Q74" s="18"/>
      <c r="R74" s="18"/>
      <c r="S74" s="18"/>
    </row>
    <row r="75" spans="1:19" ht="18" customHeight="1">
      <c r="A75" s="113"/>
      <c r="B75" s="130"/>
      <c r="C75" s="131"/>
      <c r="D75" s="131"/>
      <c r="E75" s="19"/>
      <c r="F75" s="19"/>
      <c r="G75" s="20"/>
      <c r="H75" s="20"/>
      <c r="I75" s="20"/>
      <c r="J75" s="130"/>
      <c r="K75" s="131"/>
      <c r="L75" s="131"/>
      <c r="M75" s="131"/>
      <c r="N75" s="132"/>
      <c r="O75" s="19"/>
      <c r="P75" s="19"/>
      <c r="Q75" s="20"/>
      <c r="R75" s="20"/>
      <c r="S75" s="20"/>
    </row>
    <row r="76" spans="1:19" ht="7.5" customHeight="1">
      <c r="B76" s="112"/>
      <c r="C76" s="112"/>
      <c r="D76" s="112"/>
      <c r="E76" s="112"/>
      <c r="F76" s="112"/>
      <c r="G76" s="112"/>
      <c r="H76" s="112"/>
      <c r="I76" s="112"/>
      <c r="J76" s="112"/>
      <c r="K76" s="112"/>
      <c r="L76" s="112"/>
      <c r="M76" s="112"/>
      <c r="N76" s="112"/>
      <c r="O76" s="112"/>
      <c r="P76" s="112"/>
      <c r="Q76" s="112"/>
      <c r="R76" s="112"/>
    </row>
    <row r="77" spans="1:19" ht="18" customHeight="1">
      <c r="A77" s="111" t="s">
        <v>118</v>
      </c>
      <c r="H77" s="113"/>
      <c r="I77" s="113"/>
      <c r="J77" s="113"/>
      <c r="K77" s="113"/>
      <c r="L77" s="113"/>
      <c r="M77" s="113"/>
      <c r="N77" s="113"/>
      <c r="O77" s="113"/>
      <c r="P77" s="113"/>
      <c r="Q77" s="113"/>
      <c r="R77" s="113"/>
      <c r="S77" s="113"/>
    </row>
    <row r="78" spans="1:19" ht="18" customHeight="1">
      <c r="B78" s="133" t="s">
        <v>53</v>
      </c>
      <c r="C78" s="134"/>
      <c r="D78" s="134"/>
      <c r="E78" s="135"/>
      <c r="F78" s="133" t="s">
        <v>82</v>
      </c>
      <c r="G78" s="134"/>
      <c r="H78" s="134"/>
      <c r="I78" s="135"/>
      <c r="J78" s="174" t="s">
        <v>53</v>
      </c>
      <c r="K78" s="175"/>
      <c r="L78" s="175"/>
      <c r="M78" s="175"/>
      <c r="N78" s="175"/>
      <c r="O78" s="176"/>
      <c r="P78" s="133" t="s">
        <v>82</v>
      </c>
      <c r="Q78" s="134"/>
      <c r="R78" s="134"/>
      <c r="S78" s="135"/>
    </row>
    <row r="79" spans="1:19" ht="18" customHeight="1">
      <c r="A79" s="113"/>
      <c r="B79" s="137"/>
      <c r="C79" s="138"/>
      <c r="D79" s="138"/>
      <c r="E79" s="139"/>
      <c r="F79" s="184"/>
      <c r="G79" s="185"/>
      <c r="H79" s="185"/>
      <c r="I79" s="186"/>
      <c r="J79" s="137"/>
      <c r="K79" s="138"/>
      <c r="L79" s="138"/>
      <c r="M79" s="138"/>
      <c r="N79" s="138"/>
      <c r="O79" s="139"/>
      <c r="P79" s="184"/>
      <c r="Q79" s="185"/>
      <c r="R79" s="185"/>
      <c r="S79" s="186"/>
    </row>
    <row r="80" spans="1:19" ht="18" customHeight="1">
      <c r="A80" s="113"/>
      <c r="B80" s="127"/>
      <c r="C80" s="128"/>
      <c r="D80" s="128"/>
      <c r="E80" s="129"/>
      <c r="F80" s="163"/>
      <c r="G80" s="164"/>
      <c r="H80" s="164"/>
      <c r="I80" s="165"/>
      <c r="J80" s="127"/>
      <c r="K80" s="128"/>
      <c r="L80" s="128"/>
      <c r="M80" s="128"/>
      <c r="N80" s="128"/>
      <c r="O80" s="129"/>
      <c r="P80" s="163"/>
      <c r="Q80" s="164"/>
      <c r="R80" s="164"/>
      <c r="S80" s="165"/>
    </row>
    <row r="81" spans="1:19" ht="18" customHeight="1">
      <c r="A81" s="113"/>
      <c r="B81" s="127"/>
      <c r="C81" s="128"/>
      <c r="D81" s="128"/>
      <c r="E81" s="129"/>
      <c r="F81" s="163"/>
      <c r="G81" s="164"/>
      <c r="H81" s="164"/>
      <c r="I81" s="165"/>
      <c r="J81" s="127"/>
      <c r="K81" s="128"/>
      <c r="L81" s="128"/>
      <c r="M81" s="128"/>
      <c r="N81" s="128"/>
      <c r="O81" s="129"/>
      <c r="P81" s="163"/>
      <c r="Q81" s="164"/>
      <c r="R81" s="164"/>
      <c r="S81" s="165"/>
    </row>
    <row r="82" spans="1:19" ht="18" customHeight="1">
      <c r="A82" s="113"/>
      <c r="B82" s="127"/>
      <c r="C82" s="128"/>
      <c r="D82" s="128"/>
      <c r="E82" s="129"/>
      <c r="F82" s="163"/>
      <c r="G82" s="164"/>
      <c r="H82" s="164"/>
      <c r="I82" s="165"/>
      <c r="J82" s="127"/>
      <c r="K82" s="128"/>
      <c r="L82" s="128"/>
      <c r="M82" s="128"/>
      <c r="N82" s="128"/>
      <c r="O82" s="129"/>
      <c r="P82" s="163"/>
      <c r="Q82" s="164"/>
      <c r="R82" s="164"/>
      <c r="S82" s="165"/>
    </row>
    <row r="83" spans="1:19" ht="18" customHeight="1">
      <c r="A83" s="113"/>
      <c r="B83" s="127"/>
      <c r="C83" s="128"/>
      <c r="D83" s="128"/>
      <c r="E83" s="129"/>
      <c r="F83" s="163"/>
      <c r="G83" s="164"/>
      <c r="H83" s="164"/>
      <c r="I83" s="165"/>
      <c r="J83" s="127"/>
      <c r="K83" s="128"/>
      <c r="L83" s="128"/>
      <c r="M83" s="128"/>
      <c r="N83" s="128"/>
      <c r="O83" s="129"/>
      <c r="P83" s="163"/>
      <c r="Q83" s="164"/>
      <c r="R83" s="164"/>
      <c r="S83" s="165"/>
    </row>
    <row r="84" spans="1:19" ht="18" customHeight="1">
      <c r="A84" s="113"/>
      <c r="B84" s="127"/>
      <c r="C84" s="128"/>
      <c r="D84" s="128"/>
      <c r="E84" s="129"/>
      <c r="F84" s="163"/>
      <c r="G84" s="164"/>
      <c r="H84" s="164"/>
      <c r="I84" s="165"/>
      <c r="J84" s="127"/>
      <c r="K84" s="128"/>
      <c r="L84" s="128"/>
      <c r="M84" s="128"/>
      <c r="N84" s="128"/>
      <c r="O84" s="129"/>
      <c r="P84" s="163"/>
      <c r="Q84" s="164"/>
      <c r="R84" s="164"/>
      <c r="S84" s="165"/>
    </row>
    <row r="85" spans="1:19" ht="18" customHeight="1">
      <c r="A85" s="113"/>
      <c r="B85" s="130"/>
      <c r="C85" s="131"/>
      <c r="D85" s="131"/>
      <c r="E85" s="132"/>
      <c r="F85" s="160"/>
      <c r="G85" s="161"/>
      <c r="H85" s="161"/>
      <c r="I85" s="162"/>
      <c r="J85" s="130"/>
      <c r="K85" s="131"/>
      <c r="L85" s="131"/>
      <c r="M85" s="131"/>
      <c r="N85" s="131"/>
      <c r="O85" s="132"/>
      <c r="P85" s="160"/>
      <c r="Q85" s="161"/>
      <c r="R85" s="161"/>
      <c r="S85" s="162"/>
    </row>
    <row r="86" spans="1:19" ht="18" customHeight="1">
      <c r="A86" s="113"/>
      <c r="B86" s="5"/>
      <c r="C86" s="5"/>
      <c r="D86" s="5"/>
      <c r="E86" s="5"/>
      <c r="F86" s="21"/>
      <c r="G86" s="21"/>
      <c r="H86" s="21"/>
      <c r="I86" s="21"/>
      <c r="J86" s="5"/>
      <c r="K86" s="5"/>
      <c r="L86" s="5"/>
      <c r="M86" s="5"/>
      <c r="N86" s="5"/>
      <c r="O86" s="5"/>
      <c r="P86" s="21"/>
      <c r="Q86" s="21"/>
      <c r="R86" s="21"/>
      <c r="S86" s="21"/>
    </row>
    <row r="87" spans="1:19" ht="18.75" customHeight="1">
      <c r="A87" s="111" t="s">
        <v>119</v>
      </c>
    </row>
    <row r="88" spans="1:19" ht="18.75" customHeight="1">
      <c r="B88" s="182" t="s">
        <v>54</v>
      </c>
      <c r="C88" s="183"/>
      <c r="D88" s="134" t="s">
        <v>55</v>
      </c>
      <c r="E88" s="134"/>
      <c r="F88" s="134"/>
      <c r="G88" s="134"/>
      <c r="H88" s="134"/>
      <c r="I88" s="134"/>
      <c r="J88" s="134"/>
      <c r="K88" s="134"/>
      <c r="L88" s="134"/>
      <c r="M88" s="134"/>
      <c r="N88" s="134"/>
      <c r="O88" s="134"/>
      <c r="P88" s="134"/>
      <c r="Q88" s="134"/>
      <c r="R88" s="134"/>
      <c r="S88" s="135"/>
    </row>
    <row r="89" spans="1:19" ht="120.75" customHeight="1">
      <c r="B89" s="177" t="s">
        <v>61</v>
      </c>
      <c r="C89" s="22" t="s">
        <v>56</v>
      </c>
      <c r="D89" s="198" t="s">
        <v>218</v>
      </c>
      <c r="E89" s="199"/>
      <c r="F89" s="199"/>
      <c r="G89" s="199"/>
      <c r="H89" s="199"/>
      <c r="I89" s="199"/>
      <c r="J89" s="199"/>
      <c r="K89" s="199"/>
      <c r="L89" s="199"/>
      <c r="M89" s="199"/>
      <c r="N89" s="199"/>
      <c r="O89" s="199"/>
      <c r="P89" s="199"/>
      <c r="Q89" s="199"/>
      <c r="R89" s="199"/>
      <c r="S89" s="200"/>
    </row>
    <row r="90" spans="1:19" ht="81" customHeight="1">
      <c r="B90" s="179"/>
      <c r="C90" s="23" t="s">
        <v>77</v>
      </c>
      <c r="D90" s="201" t="s">
        <v>219</v>
      </c>
      <c r="E90" s="202"/>
      <c r="F90" s="202"/>
      <c r="G90" s="202"/>
      <c r="H90" s="202"/>
      <c r="I90" s="202"/>
      <c r="J90" s="202"/>
      <c r="K90" s="202"/>
      <c r="L90" s="202"/>
      <c r="M90" s="202"/>
      <c r="N90" s="202"/>
      <c r="O90" s="202"/>
      <c r="P90" s="202"/>
      <c r="Q90" s="202"/>
      <c r="R90" s="202"/>
      <c r="S90" s="203"/>
    </row>
    <row r="91" spans="1:19" ht="112.5" customHeight="1">
      <c r="B91" s="177" t="s">
        <v>62</v>
      </c>
      <c r="C91" s="24" t="s">
        <v>71</v>
      </c>
      <c r="D91" s="198" t="s">
        <v>220</v>
      </c>
      <c r="E91" s="199"/>
      <c r="F91" s="199"/>
      <c r="G91" s="199"/>
      <c r="H91" s="199"/>
      <c r="I91" s="199"/>
      <c r="J91" s="199"/>
      <c r="K91" s="199"/>
      <c r="L91" s="199"/>
      <c r="M91" s="199"/>
      <c r="N91" s="199"/>
      <c r="O91" s="199"/>
      <c r="P91" s="199"/>
      <c r="Q91" s="199"/>
      <c r="R91" s="199"/>
      <c r="S91" s="200"/>
    </row>
    <row r="92" spans="1:19" ht="117" customHeight="1">
      <c r="B92" s="178"/>
      <c r="C92" s="25" t="s">
        <v>72</v>
      </c>
      <c r="D92" s="204" t="s">
        <v>221</v>
      </c>
      <c r="E92" s="205"/>
      <c r="F92" s="205"/>
      <c r="G92" s="205"/>
      <c r="H92" s="205"/>
      <c r="I92" s="205"/>
      <c r="J92" s="205"/>
      <c r="K92" s="205"/>
      <c r="L92" s="205"/>
      <c r="M92" s="205"/>
      <c r="N92" s="205"/>
      <c r="O92" s="205"/>
      <c r="P92" s="205"/>
      <c r="Q92" s="205"/>
      <c r="R92" s="205"/>
      <c r="S92" s="206"/>
    </row>
    <row r="93" spans="1:19" ht="150.75" customHeight="1">
      <c r="B93" s="177" t="s">
        <v>63</v>
      </c>
      <c r="C93" s="24" t="s">
        <v>73</v>
      </c>
      <c r="D93" s="198" t="s">
        <v>222</v>
      </c>
      <c r="E93" s="199"/>
      <c r="F93" s="199"/>
      <c r="G93" s="199"/>
      <c r="H93" s="199"/>
      <c r="I93" s="199"/>
      <c r="J93" s="199"/>
      <c r="K93" s="199"/>
      <c r="L93" s="199"/>
      <c r="M93" s="199"/>
      <c r="N93" s="199"/>
      <c r="O93" s="199"/>
      <c r="P93" s="199"/>
      <c r="Q93" s="199"/>
      <c r="R93" s="199"/>
      <c r="S93" s="200"/>
    </row>
    <row r="94" spans="1:19" ht="97.5" customHeight="1">
      <c r="B94" s="178"/>
      <c r="C94" s="26" t="s">
        <v>74</v>
      </c>
      <c r="D94" s="204" t="s">
        <v>223</v>
      </c>
      <c r="E94" s="205"/>
      <c r="F94" s="205"/>
      <c r="G94" s="205"/>
      <c r="H94" s="205"/>
      <c r="I94" s="205"/>
      <c r="J94" s="205"/>
      <c r="K94" s="205"/>
      <c r="L94" s="205"/>
      <c r="M94" s="205"/>
      <c r="N94" s="205"/>
      <c r="O94" s="205"/>
      <c r="P94" s="205"/>
      <c r="Q94" s="205"/>
      <c r="R94" s="205"/>
      <c r="S94" s="206"/>
    </row>
    <row r="95" spans="1:19" ht="174.75" customHeight="1">
      <c r="B95" s="177" t="s">
        <v>78</v>
      </c>
      <c r="C95" s="22" t="s">
        <v>58</v>
      </c>
      <c r="D95" s="198" t="s">
        <v>224</v>
      </c>
      <c r="E95" s="199"/>
      <c r="F95" s="199"/>
      <c r="G95" s="199"/>
      <c r="H95" s="199"/>
      <c r="I95" s="199"/>
      <c r="J95" s="199"/>
      <c r="K95" s="199"/>
      <c r="L95" s="199"/>
      <c r="M95" s="199"/>
      <c r="N95" s="199"/>
      <c r="O95" s="199"/>
      <c r="P95" s="199"/>
      <c r="Q95" s="199"/>
      <c r="R95" s="199"/>
      <c r="S95" s="200"/>
    </row>
    <row r="96" spans="1:19" ht="97.5" customHeight="1">
      <c r="B96" s="178"/>
      <c r="C96" s="25" t="s">
        <v>60</v>
      </c>
      <c r="D96" s="204" t="s">
        <v>225</v>
      </c>
      <c r="E96" s="205"/>
      <c r="F96" s="205"/>
      <c r="G96" s="205"/>
      <c r="H96" s="205"/>
      <c r="I96" s="205"/>
      <c r="J96" s="205"/>
      <c r="K96" s="205"/>
      <c r="L96" s="205"/>
      <c r="M96" s="205"/>
      <c r="N96" s="205"/>
      <c r="O96" s="205"/>
      <c r="P96" s="205"/>
      <c r="Q96" s="205"/>
      <c r="R96" s="205"/>
      <c r="S96" s="206"/>
    </row>
    <row r="97" spans="1:19" ht="254.25" customHeight="1">
      <c r="B97" s="177" t="s">
        <v>79</v>
      </c>
      <c r="C97" s="24" t="s">
        <v>57</v>
      </c>
      <c r="D97" s="207" t="s">
        <v>226</v>
      </c>
      <c r="E97" s="208"/>
      <c r="F97" s="208"/>
      <c r="G97" s="208"/>
      <c r="H97" s="208"/>
      <c r="I97" s="208"/>
      <c r="J97" s="208"/>
      <c r="K97" s="208"/>
      <c r="L97" s="208"/>
      <c r="M97" s="208"/>
      <c r="N97" s="208"/>
      <c r="O97" s="208"/>
      <c r="P97" s="208"/>
      <c r="Q97" s="208"/>
      <c r="R97" s="208"/>
      <c r="S97" s="209"/>
    </row>
    <row r="98" spans="1:19" ht="127.5" customHeight="1">
      <c r="B98" s="179"/>
      <c r="C98" s="27" t="s">
        <v>75</v>
      </c>
      <c r="D98" s="210" t="s">
        <v>227</v>
      </c>
      <c r="E98" s="211"/>
      <c r="F98" s="211"/>
      <c r="G98" s="211"/>
      <c r="H98" s="211"/>
      <c r="I98" s="211"/>
      <c r="J98" s="211"/>
      <c r="K98" s="211"/>
      <c r="L98" s="211"/>
      <c r="M98" s="211"/>
      <c r="N98" s="211"/>
      <c r="O98" s="211"/>
      <c r="P98" s="211"/>
      <c r="Q98" s="211"/>
      <c r="R98" s="211"/>
      <c r="S98" s="212"/>
    </row>
    <row r="99" spans="1:19" ht="97.5" customHeight="1">
      <c r="B99" s="178"/>
      <c r="C99" s="26" t="s">
        <v>76</v>
      </c>
      <c r="D99" s="213" t="s">
        <v>228</v>
      </c>
      <c r="E99" s="214"/>
      <c r="F99" s="214"/>
      <c r="G99" s="214"/>
      <c r="H99" s="214"/>
      <c r="I99" s="214"/>
      <c r="J99" s="214"/>
      <c r="K99" s="214"/>
      <c r="L99" s="214"/>
      <c r="M99" s="214"/>
      <c r="N99" s="214"/>
      <c r="O99" s="214"/>
      <c r="P99" s="214"/>
      <c r="Q99" s="214"/>
      <c r="R99" s="214"/>
      <c r="S99" s="215"/>
    </row>
    <row r="100" spans="1:19" ht="6" customHeight="1"/>
    <row r="101" spans="1:19" ht="18.75" customHeight="1">
      <c r="A101" s="111" t="s">
        <v>120</v>
      </c>
    </row>
    <row r="102" spans="1:19" ht="81.75" customHeight="1">
      <c r="B102" s="157" t="s">
        <v>132</v>
      </c>
      <c r="C102" s="158"/>
      <c r="D102" s="158"/>
      <c r="E102" s="158"/>
      <c r="F102" s="158"/>
      <c r="G102" s="158"/>
      <c r="H102" s="158"/>
      <c r="I102" s="158"/>
      <c r="J102" s="158"/>
      <c r="K102" s="158"/>
      <c r="L102" s="158"/>
      <c r="M102" s="158"/>
      <c r="N102" s="158"/>
      <c r="O102" s="158"/>
      <c r="P102" s="158"/>
      <c r="Q102" s="158"/>
      <c r="R102" s="158"/>
      <c r="S102" s="159"/>
    </row>
    <row r="110" spans="1:19" ht="18" customHeight="1"/>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P69:S75 Q25:S31 G25:I31 Q36:S42 G36:I42 Q47:S53 G47:I53 Q58:S64 G58:I64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zoomScaleNormal="100" zoomScaleSheetLayoutView="100" workbookViewId="0">
      <selection activeCell="B9" sqref="B9:S10"/>
    </sheetView>
  </sheetViews>
  <sheetFormatPr defaultColWidth="9" defaultRowHeight="18.75" customHeight="1"/>
  <cols>
    <col min="1" max="1" width="2.5" style="118" customWidth="1"/>
    <col min="2" max="2" width="16.5" style="118" customWidth="1"/>
    <col min="3" max="19" width="5.625" style="118" customWidth="1"/>
    <col min="20" max="20" width="9" style="118"/>
    <col min="21" max="21" width="3.625" style="118" customWidth="1"/>
    <col min="22" max="22" width="48.625" style="118" hidden="1" customWidth="1"/>
    <col min="23" max="16384" width="9" style="118"/>
  </cols>
  <sheetData>
    <row r="1" spans="1:22" ht="18.600000000000001" customHeight="1">
      <c r="R1" s="140" t="s">
        <v>180</v>
      </c>
      <c r="S1" s="140"/>
      <c r="T1" s="2" t="s">
        <v>109</v>
      </c>
    </row>
    <row r="2" spans="1:22" ht="18.75" customHeight="1">
      <c r="B2" s="116" t="s">
        <v>108</v>
      </c>
      <c r="C2" s="133" t="s">
        <v>126</v>
      </c>
      <c r="D2" s="134"/>
      <c r="E2" s="134"/>
      <c r="F2" s="134"/>
      <c r="G2" s="134"/>
      <c r="H2" s="134"/>
      <c r="I2" s="135"/>
      <c r="J2" s="115"/>
      <c r="K2" s="5"/>
      <c r="L2" s="5"/>
      <c r="M2" s="5"/>
      <c r="N2" s="5"/>
      <c r="O2" s="5"/>
      <c r="P2" s="5"/>
      <c r="Q2" s="5"/>
      <c r="R2" s="5"/>
      <c r="S2" s="5"/>
    </row>
    <row r="3" spans="1:22" ht="18.75" customHeight="1">
      <c r="B3" s="116" t="s">
        <v>102</v>
      </c>
      <c r="C3" s="133" t="s">
        <v>127</v>
      </c>
      <c r="D3" s="134"/>
      <c r="E3" s="134"/>
      <c r="F3" s="134"/>
      <c r="G3" s="134"/>
      <c r="H3" s="134"/>
      <c r="I3" s="135"/>
      <c r="J3" s="115"/>
      <c r="K3" s="5"/>
      <c r="L3" s="5"/>
      <c r="M3" s="5"/>
      <c r="N3" s="5"/>
      <c r="O3" s="5"/>
      <c r="P3" s="5"/>
      <c r="Q3" s="5"/>
      <c r="R3" s="5"/>
      <c r="S3" s="5"/>
    </row>
    <row r="4" spans="1:22" ht="15" customHeight="1">
      <c r="K4" s="115"/>
      <c r="L4" s="31"/>
      <c r="M4" s="31"/>
      <c r="N4" s="31"/>
      <c r="O4" s="31"/>
      <c r="P4" s="31"/>
      <c r="Q4" s="31"/>
      <c r="R4" s="31"/>
      <c r="S4" s="31"/>
    </row>
    <row r="5" spans="1:22" ht="18" customHeight="1">
      <c r="A5" s="144" t="s">
        <v>38</v>
      </c>
      <c r="B5" s="144"/>
      <c r="C5" s="144"/>
      <c r="D5" s="144"/>
      <c r="E5" s="144"/>
      <c r="F5" s="144"/>
      <c r="G5" s="144"/>
      <c r="H5" s="144"/>
      <c r="I5" s="144"/>
      <c r="J5" s="144"/>
      <c r="K5" s="144"/>
      <c r="L5" s="144"/>
      <c r="M5" s="144"/>
      <c r="N5" s="144"/>
      <c r="O5" s="144"/>
      <c r="P5" s="144"/>
      <c r="Q5" s="144"/>
      <c r="R5" s="144"/>
      <c r="S5" s="144"/>
    </row>
    <row r="6" spans="1:22" ht="15" customHeight="1">
      <c r="B6" s="117"/>
      <c r="C6" s="117"/>
      <c r="D6" s="117"/>
      <c r="E6" s="117"/>
      <c r="F6" s="117"/>
      <c r="G6" s="117"/>
      <c r="H6" s="117"/>
      <c r="I6" s="117"/>
      <c r="J6" s="117"/>
      <c r="K6" s="117"/>
      <c r="L6" s="117"/>
      <c r="M6" s="117"/>
      <c r="N6" s="117"/>
      <c r="O6" s="117"/>
      <c r="P6" s="117"/>
      <c r="Q6" s="117"/>
      <c r="R6" s="117"/>
      <c r="S6" s="117"/>
    </row>
    <row r="7" spans="1:22" ht="18" customHeight="1">
      <c r="A7" s="118" t="s">
        <v>124</v>
      </c>
      <c r="C7" s="117"/>
      <c r="J7" s="32" t="s">
        <v>107</v>
      </c>
      <c r="K7" s="154" t="s">
        <v>128</v>
      </c>
      <c r="L7" s="155"/>
      <c r="M7" s="155"/>
      <c r="N7" s="155"/>
      <c r="O7" s="155"/>
      <c r="P7" s="155"/>
      <c r="Q7" s="155"/>
      <c r="R7" s="155"/>
      <c r="S7" s="156"/>
    </row>
    <row r="8" spans="1:22" ht="6" customHeight="1">
      <c r="B8" s="117"/>
      <c r="C8" s="117"/>
      <c r="D8" s="117"/>
      <c r="E8" s="117"/>
      <c r="F8" s="117"/>
      <c r="G8" s="117"/>
      <c r="H8" s="117"/>
      <c r="I8" s="117"/>
      <c r="J8" s="117"/>
      <c r="K8" s="8"/>
      <c r="L8" s="117"/>
      <c r="M8" s="117"/>
      <c r="N8" s="117"/>
      <c r="O8" s="117"/>
      <c r="P8" s="117"/>
      <c r="Q8" s="117"/>
      <c r="R8" s="117"/>
      <c r="S8" s="117"/>
    </row>
    <row r="9" spans="1:22" ht="18" customHeight="1">
      <c r="B9" s="121" t="s">
        <v>181</v>
      </c>
      <c r="C9" s="122"/>
      <c r="D9" s="122"/>
      <c r="E9" s="122"/>
      <c r="F9" s="122"/>
      <c r="G9" s="122"/>
      <c r="H9" s="122"/>
      <c r="I9" s="122"/>
      <c r="J9" s="122"/>
      <c r="K9" s="122"/>
      <c r="L9" s="122"/>
      <c r="M9" s="122"/>
      <c r="N9" s="122"/>
      <c r="O9" s="122"/>
      <c r="P9" s="122"/>
      <c r="Q9" s="122"/>
      <c r="R9" s="122"/>
      <c r="S9" s="123"/>
    </row>
    <row r="10" spans="1:22" ht="20.25" customHeight="1">
      <c r="B10" s="124"/>
      <c r="C10" s="125"/>
      <c r="D10" s="125"/>
      <c r="E10" s="125"/>
      <c r="F10" s="125"/>
      <c r="G10" s="125"/>
      <c r="H10" s="125"/>
      <c r="I10" s="125"/>
      <c r="J10" s="125"/>
      <c r="K10" s="125"/>
      <c r="L10" s="125"/>
      <c r="M10" s="125"/>
      <c r="N10" s="125"/>
      <c r="O10" s="125"/>
      <c r="P10" s="125"/>
      <c r="Q10" s="125"/>
      <c r="R10" s="125"/>
      <c r="S10" s="126"/>
    </row>
    <row r="11" spans="1:22" ht="6" customHeight="1">
      <c r="B11" s="117"/>
      <c r="C11" s="117"/>
      <c r="D11" s="117"/>
      <c r="E11" s="117"/>
      <c r="F11" s="117"/>
      <c r="G11" s="117"/>
      <c r="H11" s="117"/>
      <c r="I11" s="117"/>
      <c r="J11" s="117"/>
      <c r="K11" s="8"/>
      <c r="L11" s="117"/>
      <c r="M11" s="117"/>
      <c r="N11" s="117"/>
      <c r="O11" s="117"/>
      <c r="P11" s="117"/>
      <c r="Q11" s="117"/>
      <c r="R11" s="117"/>
      <c r="S11" s="117"/>
    </row>
    <row r="12" spans="1:22" ht="18" customHeight="1">
      <c r="A12" s="118" t="s">
        <v>111</v>
      </c>
      <c r="B12" s="117"/>
      <c r="C12" s="117"/>
      <c r="D12" s="115"/>
      <c r="E12" s="115"/>
      <c r="F12" s="115"/>
      <c r="G12" s="115"/>
      <c r="H12" s="115"/>
      <c r="I12" s="115"/>
      <c r="J12" s="115"/>
      <c r="K12" s="33"/>
      <c r="L12" s="33"/>
      <c r="M12" s="33"/>
      <c r="N12" s="33"/>
      <c r="O12" s="33"/>
      <c r="P12" s="33"/>
      <c r="Q12" s="33"/>
      <c r="R12" s="33"/>
      <c r="S12" s="33"/>
    </row>
    <row r="13" spans="1:22" ht="18" customHeight="1">
      <c r="B13" s="145" t="s">
        <v>182</v>
      </c>
      <c r="C13" s="146"/>
      <c r="D13" s="146"/>
      <c r="E13" s="146"/>
      <c r="F13" s="146"/>
      <c r="G13" s="146"/>
      <c r="H13" s="146"/>
      <c r="I13" s="146"/>
      <c r="J13" s="146"/>
      <c r="K13" s="146"/>
      <c r="L13" s="146"/>
      <c r="M13" s="146"/>
      <c r="N13" s="146"/>
      <c r="O13" s="146"/>
      <c r="P13" s="146"/>
      <c r="Q13" s="146"/>
      <c r="R13" s="146"/>
      <c r="S13" s="147"/>
      <c r="V13" s="118" t="s">
        <v>103</v>
      </c>
    </row>
    <row r="14" spans="1:22" ht="18" customHeight="1">
      <c r="B14" s="148"/>
      <c r="C14" s="149"/>
      <c r="D14" s="149"/>
      <c r="E14" s="149"/>
      <c r="F14" s="149"/>
      <c r="G14" s="149"/>
      <c r="H14" s="149"/>
      <c r="I14" s="149"/>
      <c r="J14" s="149"/>
      <c r="K14" s="149"/>
      <c r="L14" s="149"/>
      <c r="M14" s="149"/>
      <c r="N14" s="149"/>
      <c r="O14" s="149"/>
      <c r="P14" s="149"/>
      <c r="Q14" s="149"/>
      <c r="R14" s="149"/>
      <c r="S14" s="150"/>
      <c r="V14" s="118" t="s">
        <v>110</v>
      </c>
    </row>
    <row r="15" spans="1:22" ht="18" customHeight="1">
      <c r="B15" s="148"/>
      <c r="C15" s="149"/>
      <c r="D15" s="149"/>
      <c r="E15" s="149"/>
      <c r="F15" s="149"/>
      <c r="G15" s="149"/>
      <c r="H15" s="149"/>
      <c r="I15" s="149"/>
      <c r="J15" s="149"/>
      <c r="K15" s="149"/>
      <c r="L15" s="149"/>
      <c r="M15" s="149"/>
      <c r="N15" s="149"/>
      <c r="O15" s="149"/>
      <c r="P15" s="149"/>
      <c r="Q15" s="149"/>
      <c r="R15" s="149"/>
      <c r="S15" s="150"/>
      <c r="V15" s="118" t="s">
        <v>123</v>
      </c>
    </row>
    <row r="16" spans="1:22" ht="18" customHeight="1">
      <c r="B16" s="148"/>
      <c r="C16" s="149"/>
      <c r="D16" s="149"/>
      <c r="E16" s="149"/>
      <c r="F16" s="149"/>
      <c r="G16" s="149"/>
      <c r="H16" s="149"/>
      <c r="I16" s="149"/>
      <c r="J16" s="149"/>
      <c r="K16" s="149"/>
      <c r="L16" s="149"/>
      <c r="M16" s="149"/>
      <c r="N16" s="149"/>
      <c r="O16" s="149"/>
      <c r="P16" s="149"/>
      <c r="Q16" s="149"/>
      <c r="R16" s="149"/>
      <c r="S16" s="150"/>
      <c r="V16" s="118" t="s">
        <v>125</v>
      </c>
    </row>
    <row r="17" spans="1:19" ht="18" customHeight="1">
      <c r="B17" s="148"/>
      <c r="C17" s="149"/>
      <c r="D17" s="149"/>
      <c r="E17" s="149"/>
      <c r="F17" s="149"/>
      <c r="G17" s="149"/>
      <c r="H17" s="149"/>
      <c r="I17" s="149"/>
      <c r="J17" s="149"/>
      <c r="K17" s="149"/>
      <c r="L17" s="149"/>
      <c r="M17" s="149"/>
      <c r="N17" s="149"/>
      <c r="O17" s="149"/>
      <c r="P17" s="149"/>
      <c r="Q17" s="149"/>
      <c r="R17" s="149"/>
      <c r="S17" s="150"/>
    </row>
    <row r="18" spans="1:19" ht="18" customHeight="1">
      <c r="B18" s="151"/>
      <c r="C18" s="152"/>
      <c r="D18" s="152"/>
      <c r="E18" s="152"/>
      <c r="F18" s="152"/>
      <c r="G18" s="152"/>
      <c r="H18" s="152"/>
      <c r="I18" s="152"/>
      <c r="J18" s="152"/>
      <c r="K18" s="152"/>
      <c r="L18" s="152"/>
      <c r="M18" s="152"/>
      <c r="N18" s="152"/>
      <c r="O18" s="152"/>
      <c r="P18" s="152"/>
      <c r="Q18" s="152"/>
      <c r="R18" s="152"/>
      <c r="S18" s="153"/>
    </row>
    <row r="19" spans="1:19" ht="7.5" customHeight="1">
      <c r="B19" s="117"/>
      <c r="C19" s="117"/>
      <c r="D19" s="117"/>
      <c r="E19" s="117"/>
      <c r="F19" s="117"/>
      <c r="G19" s="117"/>
      <c r="H19" s="117"/>
      <c r="I19" s="117"/>
      <c r="J19" s="117"/>
      <c r="K19" s="117"/>
      <c r="L19" s="117"/>
      <c r="M19" s="117"/>
      <c r="N19" s="117"/>
      <c r="O19" s="117"/>
      <c r="P19" s="117"/>
      <c r="Q19" s="117"/>
      <c r="R19" s="117"/>
      <c r="S19" s="117"/>
    </row>
    <row r="20" spans="1:19" ht="19.899999999999999" customHeight="1">
      <c r="B20" s="118" t="s">
        <v>112</v>
      </c>
      <c r="C20" s="133">
        <v>2</v>
      </c>
      <c r="D20" s="135"/>
      <c r="E20" s="34" t="s">
        <v>95</v>
      </c>
      <c r="G20" s="8"/>
      <c r="H20" s="117"/>
      <c r="I20" s="117"/>
      <c r="J20" s="115" t="s">
        <v>121</v>
      </c>
      <c r="K20" s="141" t="s">
        <v>125</v>
      </c>
      <c r="L20" s="142"/>
      <c r="M20" s="142"/>
      <c r="N20" s="142"/>
      <c r="O20" s="142"/>
      <c r="P20" s="142"/>
      <c r="Q20" s="142"/>
      <c r="R20" s="142"/>
      <c r="S20" s="143"/>
    </row>
    <row r="21" spans="1:19" ht="7.5" customHeight="1">
      <c r="B21" s="117"/>
      <c r="C21" s="117"/>
      <c r="D21" s="117"/>
      <c r="E21" s="117"/>
      <c r="F21" s="117"/>
      <c r="G21" s="117"/>
      <c r="H21" s="117"/>
      <c r="I21" s="117"/>
      <c r="J21" s="117"/>
      <c r="K21" s="117"/>
      <c r="L21" s="117"/>
      <c r="M21" s="117"/>
      <c r="N21" s="117"/>
      <c r="O21" s="117"/>
      <c r="P21" s="117"/>
      <c r="Q21" s="117"/>
      <c r="R21" s="117"/>
      <c r="S21" s="117"/>
    </row>
    <row r="22" spans="1:19" ht="18" customHeight="1">
      <c r="A22" s="136" t="s">
        <v>113</v>
      </c>
      <c r="B22" s="136"/>
      <c r="C22" s="136"/>
      <c r="D22" s="136"/>
      <c r="E22" s="136"/>
      <c r="F22" s="136"/>
      <c r="G22" s="136"/>
      <c r="H22" s="136"/>
      <c r="I22" s="136"/>
      <c r="J22" s="136"/>
      <c r="K22" s="136"/>
      <c r="L22" s="136"/>
      <c r="M22" s="136"/>
      <c r="N22" s="136"/>
      <c r="O22" s="136"/>
      <c r="P22" s="136"/>
      <c r="Q22" s="136"/>
      <c r="R22" s="136"/>
      <c r="S22" s="136"/>
    </row>
    <row r="23" spans="1:19" ht="18" customHeight="1">
      <c r="A23" s="136"/>
      <c r="B23" s="136"/>
      <c r="C23" s="136"/>
      <c r="D23" s="136"/>
      <c r="E23" s="136"/>
      <c r="F23" s="136"/>
      <c r="G23" s="136"/>
      <c r="H23" s="136"/>
      <c r="I23" s="136"/>
      <c r="J23" s="136"/>
      <c r="K23" s="136"/>
      <c r="L23" s="136"/>
      <c r="M23" s="136"/>
      <c r="N23" s="136"/>
      <c r="O23" s="136"/>
      <c r="P23" s="136"/>
      <c r="Q23" s="136"/>
      <c r="R23" s="136"/>
      <c r="S23" s="136"/>
    </row>
    <row r="24" spans="1:19" ht="18" customHeight="1">
      <c r="B24" s="133" t="s">
        <v>53</v>
      </c>
      <c r="C24" s="134"/>
      <c r="D24" s="134"/>
      <c r="E24" s="135"/>
      <c r="F24" s="54" t="s">
        <v>80</v>
      </c>
      <c r="G24" s="53" t="s">
        <v>84</v>
      </c>
      <c r="H24" s="16" t="s">
        <v>56</v>
      </c>
      <c r="I24" s="16" t="s">
        <v>59</v>
      </c>
      <c r="J24" s="133" t="s">
        <v>53</v>
      </c>
      <c r="K24" s="134"/>
      <c r="L24" s="134"/>
      <c r="M24" s="134"/>
      <c r="N24" s="134"/>
      <c r="O24" s="135"/>
      <c r="P24" s="54" t="s">
        <v>80</v>
      </c>
      <c r="Q24" s="53" t="s">
        <v>84</v>
      </c>
      <c r="R24" s="16" t="s">
        <v>56</v>
      </c>
      <c r="S24" s="16" t="s">
        <v>59</v>
      </c>
    </row>
    <row r="25" spans="1:19" ht="18" customHeight="1">
      <c r="B25" s="137" t="s">
        <v>133</v>
      </c>
      <c r="C25" s="138"/>
      <c r="D25" s="138"/>
      <c r="E25" s="139"/>
      <c r="F25" s="17">
        <v>2</v>
      </c>
      <c r="G25" s="17" t="s">
        <v>131</v>
      </c>
      <c r="H25" s="17" t="s">
        <v>131</v>
      </c>
      <c r="I25" s="17" t="s">
        <v>131</v>
      </c>
      <c r="J25" s="137"/>
      <c r="K25" s="138"/>
      <c r="L25" s="138"/>
      <c r="M25" s="138"/>
      <c r="N25" s="138"/>
      <c r="O25" s="139"/>
      <c r="P25" s="17"/>
      <c r="Q25" s="17"/>
      <c r="R25" s="17"/>
      <c r="S25" s="17"/>
    </row>
    <row r="26" spans="1:19" ht="18" customHeight="1">
      <c r="B26" s="127"/>
      <c r="C26" s="128"/>
      <c r="D26" s="128"/>
      <c r="E26" s="129"/>
      <c r="F26" s="18"/>
      <c r="G26" s="18"/>
      <c r="H26" s="18"/>
      <c r="I26" s="18"/>
      <c r="J26" s="127"/>
      <c r="K26" s="128"/>
      <c r="L26" s="128"/>
      <c r="M26" s="128"/>
      <c r="N26" s="128"/>
      <c r="O26" s="129"/>
      <c r="P26" s="18"/>
      <c r="Q26" s="18"/>
      <c r="R26" s="18"/>
      <c r="S26" s="18"/>
    </row>
    <row r="27" spans="1:19" ht="18" customHeight="1">
      <c r="B27" s="127"/>
      <c r="C27" s="128"/>
      <c r="D27" s="128"/>
      <c r="E27" s="129"/>
      <c r="F27" s="18"/>
      <c r="G27" s="18"/>
      <c r="H27" s="18"/>
      <c r="I27" s="18"/>
      <c r="J27" s="127"/>
      <c r="K27" s="128"/>
      <c r="L27" s="128"/>
      <c r="M27" s="128"/>
      <c r="N27" s="128"/>
      <c r="O27" s="129"/>
      <c r="P27" s="18"/>
      <c r="Q27" s="18"/>
      <c r="R27" s="18"/>
      <c r="S27" s="18"/>
    </row>
    <row r="28" spans="1:19" ht="18" customHeight="1">
      <c r="B28" s="127"/>
      <c r="C28" s="128"/>
      <c r="D28" s="128"/>
      <c r="E28" s="129"/>
      <c r="F28" s="18"/>
      <c r="G28" s="18"/>
      <c r="H28" s="18"/>
      <c r="I28" s="18"/>
      <c r="J28" s="127"/>
      <c r="K28" s="128"/>
      <c r="L28" s="128"/>
      <c r="M28" s="128"/>
      <c r="N28" s="128"/>
      <c r="O28" s="129"/>
      <c r="P28" s="18"/>
      <c r="Q28" s="18"/>
      <c r="R28" s="18"/>
      <c r="S28" s="18"/>
    </row>
    <row r="29" spans="1:19" ht="18" customHeight="1">
      <c r="B29" s="127"/>
      <c r="C29" s="128"/>
      <c r="D29" s="128"/>
      <c r="E29" s="129"/>
      <c r="F29" s="18"/>
      <c r="G29" s="18"/>
      <c r="H29" s="18"/>
      <c r="I29" s="18"/>
      <c r="J29" s="127"/>
      <c r="K29" s="128"/>
      <c r="L29" s="128"/>
      <c r="M29" s="128"/>
      <c r="N29" s="128"/>
      <c r="O29" s="129"/>
      <c r="P29" s="18"/>
      <c r="Q29" s="18"/>
      <c r="R29" s="18"/>
      <c r="S29" s="18"/>
    </row>
    <row r="30" spans="1:19" ht="18" customHeight="1">
      <c r="A30" s="117"/>
      <c r="B30" s="127"/>
      <c r="C30" s="128"/>
      <c r="D30" s="128"/>
      <c r="E30" s="129"/>
      <c r="F30" s="18"/>
      <c r="G30" s="18"/>
      <c r="H30" s="18"/>
      <c r="I30" s="18"/>
      <c r="J30" s="127"/>
      <c r="K30" s="128"/>
      <c r="L30" s="128"/>
      <c r="M30" s="128"/>
      <c r="N30" s="128"/>
      <c r="O30" s="129"/>
      <c r="P30" s="18"/>
      <c r="Q30" s="18"/>
      <c r="R30" s="18"/>
      <c r="S30" s="18"/>
    </row>
    <row r="31" spans="1:19" ht="18" customHeight="1">
      <c r="A31" s="117"/>
      <c r="B31" s="130"/>
      <c r="C31" s="131"/>
      <c r="D31" s="131"/>
      <c r="E31" s="132"/>
      <c r="F31" s="19"/>
      <c r="G31" s="19"/>
      <c r="H31" s="20"/>
      <c r="I31" s="20"/>
      <c r="J31" s="130"/>
      <c r="K31" s="131"/>
      <c r="L31" s="131"/>
      <c r="M31" s="131"/>
      <c r="N31" s="131"/>
      <c r="O31" s="132"/>
      <c r="P31" s="19"/>
      <c r="Q31" s="19"/>
      <c r="R31" s="20"/>
      <c r="S31" s="20"/>
    </row>
    <row r="32" spans="1:19" ht="7.5" customHeight="1">
      <c r="A32" s="117"/>
      <c r="B32" s="5"/>
      <c r="C32" s="5"/>
      <c r="D32" s="117"/>
      <c r="E32" s="117"/>
      <c r="F32" s="117"/>
      <c r="G32" s="117"/>
      <c r="H32" s="5"/>
      <c r="I32" s="5"/>
      <c r="J32" s="5"/>
      <c r="K32" s="5"/>
      <c r="L32" s="5"/>
      <c r="M32" s="5"/>
      <c r="N32" s="5"/>
      <c r="O32" s="5"/>
      <c r="P32" s="5"/>
      <c r="Q32" s="5"/>
      <c r="R32" s="5"/>
      <c r="S32" s="117"/>
    </row>
    <row r="33" spans="1:19" ht="18" customHeight="1">
      <c r="A33" s="136" t="s">
        <v>114</v>
      </c>
      <c r="B33" s="136"/>
      <c r="C33" s="136"/>
      <c r="D33" s="136"/>
      <c r="E33" s="136"/>
      <c r="F33" s="136"/>
      <c r="G33" s="136"/>
      <c r="H33" s="136"/>
      <c r="I33" s="136"/>
      <c r="J33" s="136"/>
      <c r="K33" s="136"/>
      <c r="L33" s="136"/>
      <c r="M33" s="136"/>
      <c r="N33" s="136"/>
      <c r="O33" s="136"/>
      <c r="P33" s="136"/>
      <c r="Q33" s="136"/>
      <c r="R33" s="136"/>
      <c r="S33" s="136"/>
    </row>
    <row r="34" spans="1:19" ht="18" customHeight="1">
      <c r="A34" s="136"/>
      <c r="B34" s="136"/>
      <c r="C34" s="136"/>
      <c r="D34" s="136"/>
      <c r="E34" s="136"/>
      <c r="F34" s="136"/>
      <c r="G34" s="136"/>
      <c r="H34" s="136"/>
      <c r="I34" s="136"/>
      <c r="J34" s="136"/>
      <c r="K34" s="136"/>
      <c r="L34" s="136"/>
      <c r="M34" s="136"/>
      <c r="N34" s="136"/>
      <c r="O34" s="136"/>
      <c r="P34" s="136"/>
      <c r="Q34" s="136"/>
      <c r="R34" s="136"/>
      <c r="S34" s="136"/>
    </row>
    <row r="35" spans="1:19" ht="18" customHeight="1">
      <c r="B35" s="133" t="s">
        <v>53</v>
      </c>
      <c r="C35" s="134"/>
      <c r="D35" s="134"/>
      <c r="E35" s="135"/>
      <c r="F35" s="54" t="s">
        <v>80</v>
      </c>
      <c r="G35" s="53" t="s">
        <v>84</v>
      </c>
      <c r="H35" s="16" t="s">
        <v>71</v>
      </c>
      <c r="I35" s="16" t="s">
        <v>72</v>
      </c>
      <c r="J35" s="133" t="s">
        <v>53</v>
      </c>
      <c r="K35" s="134"/>
      <c r="L35" s="134"/>
      <c r="M35" s="134"/>
      <c r="N35" s="134"/>
      <c r="O35" s="135"/>
      <c r="P35" s="54" t="s">
        <v>80</v>
      </c>
      <c r="Q35" s="53" t="s">
        <v>84</v>
      </c>
      <c r="R35" s="16" t="s">
        <v>71</v>
      </c>
      <c r="S35" s="16" t="s">
        <v>72</v>
      </c>
    </row>
    <row r="36" spans="1:19" ht="18" customHeight="1">
      <c r="B36" s="137" t="s">
        <v>133</v>
      </c>
      <c r="C36" s="138"/>
      <c r="D36" s="138"/>
      <c r="E36" s="139"/>
      <c r="F36" s="17">
        <v>2</v>
      </c>
      <c r="G36" s="17" t="s">
        <v>131</v>
      </c>
      <c r="H36" s="17" t="s">
        <v>131</v>
      </c>
      <c r="I36" s="17" t="s">
        <v>131</v>
      </c>
      <c r="J36" s="137"/>
      <c r="K36" s="138"/>
      <c r="L36" s="138"/>
      <c r="M36" s="138"/>
      <c r="N36" s="138"/>
      <c r="O36" s="139"/>
      <c r="P36" s="17"/>
      <c r="Q36" s="17"/>
      <c r="R36" s="17"/>
      <c r="S36" s="17"/>
    </row>
    <row r="37" spans="1:19" ht="18" customHeight="1">
      <c r="B37" s="127"/>
      <c r="C37" s="128"/>
      <c r="D37" s="128"/>
      <c r="E37" s="129"/>
      <c r="F37" s="18"/>
      <c r="G37" s="18"/>
      <c r="H37" s="18"/>
      <c r="I37" s="18"/>
      <c r="J37" s="127"/>
      <c r="K37" s="128"/>
      <c r="L37" s="128"/>
      <c r="M37" s="128"/>
      <c r="N37" s="128"/>
      <c r="O37" s="129"/>
      <c r="P37" s="18"/>
      <c r="Q37" s="18"/>
      <c r="R37" s="18"/>
      <c r="S37" s="18"/>
    </row>
    <row r="38" spans="1:19" ht="18" customHeight="1">
      <c r="B38" s="127"/>
      <c r="C38" s="128"/>
      <c r="D38" s="128"/>
      <c r="E38" s="129"/>
      <c r="F38" s="18"/>
      <c r="G38" s="18"/>
      <c r="H38" s="18"/>
      <c r="I38" s="18"/>
      <c r="J38" s="127"/>
      <c r="K38" s="128"/>
      <c r="L38" s="128"/>
      <c r="M38" s="128"/>
      <c r="N38" s="128"/>
      <c r="O38" s="129"/>
      <c r="P38" s="18"/>
      <c r="Q38" s="18"/>
      <c r="R38" s="18"/>
      <c r="S38" s="18"/>
    </row>
    <row r="39" spans="1:19" ht="18" customHeight="1">
      <c r="B39" s="127"/>
      <c r="C39" s="128"/>
      <c r="D39" s="128"/>
      <c r="E39" s="129"/>
      <c r="F39" s="18"/>
      <c r="G39" s="18"/>
      <c r="H39" s="18"/>
      <c r="I39" s="18"/>
      <c r="J39" s="127"/>
      <c r="K39" s="128"/>
      <c r="L39" s="128"/>
      <c r="M39" s="128"/>
      <c r="N39" s="128"/>
      <c r="O39" s="129"/>
      <c r="P39" s="18"/>
      <c r="Q39" s="18"/>
      <c r="R39" s="18"/>
      <c r="S39" s="18"/>
    </row>
    <row r="40" spans="1:19" ht="18" customHeight="1">
      <c r="B40" s="127"/>
      <c r="C40" s="128"/>
      <c r="D40" s="128"/>
      <c r="E40" s="129"/>
      <c r="F40" s="18"/>
      <c r="G40" s="18"/>
      <c r="H40" s="18"/>
      <c r="I40" s="18"/>
      <c r="J40" s="127"/>
      <c r="K40" s="128"/>
      <c r="L40" s="128"/>
      <c r="M40" s="128"/>
      <c r="N40" s="128"/>
      <c r="O40" s="129"/>
      <c r="P40" s="18"/>
      <c r="Q40" s="18"/>
      <c r="R40" s="18"/>
      <c r="S40" s="18"/>
    </row>
    <row r="41" spans="1:19" ht="18" customHeight="1">
      <c r="B41" s="127"/>
      <c r="C41" s="128"/>
      <c r="D41" s="128"/>
      <c r="E41" s="129"/>
      <c r="F41" s="18"/>
      <c r="G41" s="18"/>
      <c r="H41" s="18"/>
      <c r="I41" s="18"/>
      <c r="J41" s="127"/>
      <c r="K41" s="128"/>
      <c r="L41" s="128"/>
      <c r="M41" s="128"/>
      <c r="N41" s="128"/>
      <c r="O41" s="129"/>
      <c r="P41" s="18"/>
      <c r="Q41" s="18"/>
      <c r="R41" s="18"/>
      <c r="S41" s="18"/>
    </row>
    <row r="42" spans="1:19" ht="18" customHeight="1">
      <c r="B42" s="130"/>
      <c r="C42" s="131"/>
      <c r="D42" s="131"/>
      <c r="E42" s="132"/>
      <c r="F42" s="19"/>
      <c r="G42" s="19"/>
      <c r="H42" s="20"/>
      <c r="I42" s="20"/>
      <c r="J42" s="130"/>
      <c r="K42" s="131"/>
      <c r="L42" s="131"/>
      <c r="M42" s="131"/>
      <c r="N42" s="131"/>
      <c r="O42" s="132"/>
      <c r="P42" s="19"/>
      <c r="Q42" s="19"/>
      <c r="R42" s="20"/>
      <c r="S42" s="20"/>
    </row>
    <row r="43" spans="1:19" ht="7.5" customHeight="1">
      <c r="A43" s="117"/>
      <c r="B43" s="5"/>
      <c r="C43" s="5"/>
      <c r="D43" s="117"/>
      <c r="E43" s="117"/>
      <c r="F43" s="117"/>
      <c r="G43" s="117"/>
      <c r="H43" s="5"/>
      <c r="I43" s="5"/>
      <c r="J43" s="5"/>
      <c r="K43" s="5"/>
      <c r="L43" s="5"/>
      <c r="M43" s="5"/>
      <c r="N43" s="5"/>
      <c r="O43" s="5"/>
      <c r="P43" s="5"/>
      <c r="Q43" s="5"/>
      <c r="R43" s="5"/>
      <c r="S43" s="117"/>
    </row>
    <row r="44" spans="1:19" ht="18" customHeight="1">
      <c r="A44" s="136" t="s">
        <v>115</v>
      </c>
      <c r="B44" s="136"/>
      <c r="C44" s="136"/>
      <c r="D44" s="136"/>
      <c r="E44" s="136"/>
      <c r="F44" s="136"/>
      <c r="G44" s="136"/>
      <c r="H44" s="136"/>
      <c r="I44" s="136"/>
      <c r="J44" s="136"/>
      <c r="K44" s="136"/>
      <c r="L44" s="136"/>
      <c r="M44" s="136"/>
      <c r="N44" s="136"/>
      <c r="O44" s="136"/>
      <c r="P44" s="136"/>
      <c r="Q44" s="136"/>
      <c r="R44" s="136"/>
      <c r="S44" s="136"/>
    </row>
    <row r="45" spans="1:19" ht="18" customHeight="1">
      <c r="A45" s="136"/>
      <c r="B45" s="136"/>
      <c r="C45" s="136"/>
      <c r="D45" s="136"/>
      <c r="E45" s="136"/>
      <c r="F45" s="136"/>
      <c r="G45" s="136"/>
      <c r="H45" s="136"/>
      <c r="I45" s="136"/>
      <c r="J45" s="136"/>
      <c r="K45" s="136"/>
      <c r="L45" s="136"/>
      <c r="M45" s="136"/>
      <c r="N45" s="136"/>
      <c r="O45" s="136"/>
      <c r="P45" s="136"/>
      <c r="Q45" s="136"/>
      <c r="R45" s="136"/>
      <c r="S45" s="136"/>
    </row>
    <row r="46" spans="1:19" ht="18" customHeight="1">
      <c r="B46" s="133" t="s">
        <v>53</v>
      </c>
      <c r="C46" s="134"/>
      <c r="D46" s="134"/>
      <c r="E46" s="135"/>
      <c r="F46" s="54" t="s">
        <v>80</v>
      </c>
      <c r="G46" s="53" t="s">
        <v>84</v>
      </c>
      <c r="H46" s="16" t="s">
        <v>73</v>
      </c>
      <c r="I46" s="16" t="s">
        <v>74</v>
      </c>
      <c r="J46" s="133" t="s">
        <v>53</v>
      </c>
      <c r="K46" s="134"/>
      <c r="L46" s="134"/>
      <c r="M46" s="134"/>
      <c r="N46" s="134"/>
      <c r="O46" s="135"/>
      <c r="P46" s="54" t="s">
        <v>80</v>
      </c>
      <c r="Q46" s="53" t="s">
        <v>84</v>
      </c>
      <c r="R46" s="16" t="s">
        <v>73</v>
      </c>
      <c r="S46" s="16" t="s">
        <v>74</v>
      </c>
    </row>
    <row r="47" spans="1:19" ht="18" customHeight="1">
      <c r="A47" s="117"/>
      <c r="B47" s="137" t="s">
        <v>133</v>
      </c>
      <c r="C47" s="138"/>
      <c r="D47" s="138"/>
      <c r="E47" s="139"/>
      <c r="F47" s="17">
        <v>2</v>
      </c>
      <c r="G47" s="17" t="s">
        <v>131</v>
      </c>
      <c r="H47" s="17" t="s">
        <v>131</v>
      </c>
      <c r="I47" s="17" t="s">
        <v>131</v>
      </c>
      <c r="J47" s="137"/>
      <c r="K47" s="138"/>
      <c r="L47" s="138"/>
      <c r="M47" s="138"/>
      <c r="N47" s="138"/>
      <c r="O47" s="139"/>
      <c r="P47" s="17"/>
      <c r="Q47" s="17"/>
      <c r="R47" s="17"/>
      <c r="S47" s="17"/>
    </row>
    <row r="48" spans="1:19" ht="18" customHeight="1">
      <c r="A48" s="117"/>
      <c r="B48" s="127"/>
      <c r="C48" s="128"/>
      <c r="D48" s="128"/>
      <c r="E48" s="129"/>
      <c r="F48" s="18"/>
      <c r="G48" s="18"/>
      <c r="H48" s="18"/>
      <c r="I48" s="18"/>
      <c r="J48" s="127"/>
      <c r="K48" s="128"/>
      <c r="L48" s="128"/>
      <c r="M48" s="128"/>
      <c r="N48" s="128"/>
      <c r="O48" s="129"/>
      <c r="P48" s="18"/>
      <c r="Q48" s="18"/>
      <c r="R48" s="18"/>
      <c r="S48" s="18"/>
    </row>
    <row r="49" spans="1:19" ht="18" customHeight="1">
      <c r="A49" s="117"/>
      <c r="B49" s="127"/>
      <c r="C49" s="128"/>
      <c r="D49" s="128"/>
      <c r="E49" s="129"/>
      <c r="F49" s="18"/>
      <c r="G49" s="18"/>
      <c r="H49" s="18"/>
      <c r="I49" s="18"/>
      <c r="J49" s="127"/>
      <c r="K49" s="128"/>
      <c r="L49" s="128"/>
      <c r="M49" s="128"/>
      <c r="N49" s="128"/>
      <c r="O49" s="129"/>
      <c r="P49" s="18"/>
      <c r="Q49" s="18"/>
      <c r="R49" s="18"/>
      <c r="S49" s="18"/>
    </row>
    <row r="50" spans="1:19" ht="18" customHeight="1">
      <c r="A50" s="117"/>
      <c r="B50" s="127"/>
      <c r="C50" s="128"/>
      <c r="D50" s="128"/>
      <c r="E50" s="129"/>
      <c r="F50" s="18"/>
      <c r="G50" s="18"/>
      <c r="H50" s="18"/>
      <c r="I50" s="18"/>
      <c r="J50" s="127"/>
      <c r="K50" s="128"/>
      <c r="L50" s="128"/>
      <c r="M50" s="128"/>
      <c r="N50" s="128"/>
      <c r="O50" s="129"/>
      <c r="P50" s="18"/>
      <c r="Q50" s="18"/>
      <c r="R50" s="18"/>
      <c r="S50" s="18"/>
    </row>
    <row r="51" spans="1:19" ht="18" customHeight="1">
      <c r="A51" s="117"/>
      <c r="B51" s="127"/>
      <c r="C51" s="128"/>
      <c r="D51" s="128"/>
      <c r="E51" s="129"/>
      <c r="F51" s="18"/>
      <c r="G51" s="18"/>
      <c r="H51" s="18"/>
      <c r="I51" s="18"/>
      <c r="J51" s="127"/>
      <c r="K51" s="128"/>
      <c r="L51" s="128"/>
      <c r="M51" s="128"/>
      <c r="N51" s="128"/>
      <c r="O51" s="129"/>
      <c r="P51" s="18"/>
      <c r="Q51" s="18"/>
      <c r="R51" s="18"/>
      <c r="S51" s="18"/>
    </row>
    <row r="52" spans="1:19" ht="18" customHeight="1">
      <c r="A52" s="117"/>
      <c r="B52" s="127"/>
      <c r="C52" s="128"/>
      <c r="D52" s="128"/>
      <c r="E52" s="129"/>
      <c r="F52" s="18"/>
      <c r="G52" s="18"/>
      <c r="H52" s="18"/>
      <c r="I52" s="18"/>
      <c r="J52" s="127"/>
      <c r="K52" s="128"/>
      <c r="L52" s="128"/>
      <c r="M52" s="128"/>
      <c r="N52" s="128"/>
      <c r="O52" s="129"/>
      <c r="P52" s="18"/>
      <c r="Q52" s="18"/>
      <c r="R52" s="18"/>
      <c r="S52" s="18"/>
    </row>
    <row r="53" spans="1:19" ht="18" customHeight="1">
      <c r="A53" s="117"/>
      <c r="B53" s="130"/>
      <c r="C53" s="131"/>
      <c r="D53" s="131"/>
      <c r="E53" s="132"/>
      <c r="F53" s="19"/>
      <c r="G53" s="19"/>
      <c r="H53" s="20"/>
      <c r="I53" s="20"/>
      <c r="J53" s="130"/>
      <c r="K53" s="131"/>
      <c r="L53" s="131"/>
      <c r="M53" s="131"/>
      <c r="N53" s="131"/>
      <c r="O53" s="132"/>
      <c r="P53" s="19"/>
      <c r="Q53" s="19"/>
      <c r="R53" s="20"/>
      <c r="S53" s="20"/>
    </row>
    <row r="54" spans="1:19" ht="7.5" customHeight="1">
      <c r="B54" s="119"/>
      <c r="C54" s="119"/>
      <c r="D54" s="119"/>
      <c r="E54" s="119"/>
      <c r="F54" s="119"/>
      <c r="G54" s="119"/>
      <c r="H54" s="119"/>
      <c r="I54" s="119"/>
      <c r="J54" s="119"/>
      <c r="K54" s="119"/>
      <c r="L54" s="119"/>
      <c r="M54" s="119"/>
      <c r="N54" s="119"/>
      <c r="O54" s="119"/>
      <c r="P54" s="119"/>
      <c r="Q54" s="119"/>
      <c r="R54" s="119"/>
    </row>
    <row r="55" spans="1:19" ht="18" customHeight="1">
      <c r="A55" s="136" t="s">
        <v>116</v>
      </c>
      <c r="B55" s="136"/>
      <c r="C55" s="136"/>
      <c r="D55" s="136"/>
      <c r="E55" s="136"/>
      <c r="F55" s="136"/>
      <c r="G55" s="136"/>
      <c r="H55" s="136"/>
      <c r="I55" s="136"/>
      <c r="J55" s="136"/>
      <c r="K55" s="136"/>
      <c r="L55" s="136"/>
      <c r="M55" s="136"/>
      <c r="N55" s="136"/>
      <c r="O55" s="136"/>
      <c r="P55" s="136"/>
      <c r="Q55" s="136"/>
      <c r="R55" s="136"/>
      <c r="S55" s="136"/>
    </row>
    <row r="56" spans="1:19" ht="18" customHeight="1">
      <c r="A56" s="136"/>
      <c r="B56" s="136"/>
      <c r="C56" s="136"/>
      <c r="D56" s="136"/>
      <c r="E56" s="136"/>
      <c r="F56" s="136"/>
      <c r="G56" s="136"/>
      <c r="H56" s="136"/>
      <c r="I56" s="136"/>
      <c r="J56" s="136"/>
      <c r="K56" s="136"/>
      <c r="L56" s="136"/>
      <c r="M56" s="136"/>
      <c r="N56" s="136"/>
      <c r="O56" s="136"/>
      <c r="P56" s="136"/>
      <c r="Q56" s="136"/>
      <c r="R56" s="136"/>
      <c r="S56" s="136"/>
    </row>
    <row r="57" spans="1:19" ht="18" customHeight="1">
      <c r="B57" s="133" t="s">
        <v>53</v>
      </c>
      <c r="C57" s="134"/>
      <c r="D57" s="134"/>
      <c r="E57" s="135"/>
      <c r="F57" s="54" t="s">
        <v>80</v>
      </c>
      <c r="G57" s="53" t="s">
        <v>84</v>
      </c>
      <c r="H57" s="16" t="s">
        <v>58</v>
      </c>
      <c r="I57" s="16" t="s">
        <v>60</v>
      </c>
      <c r="J57" s="133" t="s">
        <v>53</v>
      </c>
      <c r="K57" s="134"/>
      <c r="L57" s="134"/>
      <c r="M57" s="134"/>
      <c r="N57" s="134"/>
      <c r="O57" s="135"/>
      <c r="P57" s="54" t="s">
        <v>80</v>
      </c>
      <c r="Q57" s="53" t="s">
        <v>84</v>
      </c>
      <c r="R57" s="16" t="s">
        <v>58</v>
      </c>
      <c r="S57" s="16" t="s">
        <v>60</v>
      </c>
    </row>
    <row r="58" spans="1:19" ht="18" customHeight="1">
      <c r="A58" s="117"/>
      <c r="B58" s="137" t="s">
        <v>133</v>
      </c>
      <c r="C58" s="138"/>
      <c r="D58" s="138"/>
      <c r="E58" s="139"/>
      <c r="F58" s="17">
        <v>2</v>
      </c>
      <c r="G58" s="17" t="s">
        <v>131</v>
      </c>
      <c r="H58" s="17" t="s">
        <v>131</v>
      </c>
      <c r="I58" s="17" t="s">
        <v>131</v>
      </c>
      <c r="J58" s="137"/>
      <c r="K58" s="138"/>
      <c r="L58" s="138"/>
      <c r="M58" s="138"/>
      <c r="N58" s="138"/>
      <c r="O58" s="139"/>
      <c r="P58" s="17"/>
      <c r="Q58" s="17"/>
      <c r="R58" s="17"/>
      <c r="S58" s="17"/>
    </row>
    <row r="59" spans="1:19" ht="18" customHeight="1">
      <c r="A59" s="117"/>
      <c r="B59" s="127"/>
      <c r="C59" s="128"/>
      <c r="D59" s="128"/>
      <c r="E59" s="129"/>
      <c r="F59" s="18"/>
      <c r="G59" s="18"/>
      <c r="H59" s="18"/>
      <c r="I59" s="18"/>
      <c r="J59" s="127"/>
      <c r="K59" s="128"/>
      <c r="L59" s="128"/>
      <c r="M59" s="128"/>
      <c r="N59" s="128"/>
      <c r="O59" s="129"/>
      <c r="P59" s="18"/>
      <c r="Q59" s="18"/>
      <c r="R59" s="18"/>
      <c r="S59" s="18"/>
    </row>
    <row r="60" spans="1:19" ht="18" customHeight="1">
      <c r="A60" s="117"/>
      <c r="B60" s="127"/>
      <c r="C60" s="128"/>
      <c r="D60" s="128"/>
      <c r="E60" s="129"/>
      <c r="F60" s="18"/>
      <c r="G60" s="18"/>
      <c r="H60" s="18"/>
      <c r="I60" s="18"/>
      <c r="J60" s="127"/>
      <c r="K60" s="128"/>
      <c r="L60" s="128"/>
      <c r="M60" s="128"/>
      <c r="N60" s="128"/>
      <c r="O60" s="129"/>
      <c r="P60" s="18"/>
      <c r="Q60" s="18"/>
      <c r="R60" s="18"/>
      <c r="S60" s="18"/>
    </row>
    <row r="61" spans="1:19" ht="18" customHeight="1">
      <c r="A61" s="117"/>
      <c r="B61" s="127"/>
      <c r="C61" s="128"/>
      <c r="D61" s="128"/>
      <c r="E61" s="129"/>
      <c r="F61" s="18"/>
      <c r="G61" s="18"/>
      <c r="H61" s="18"/>
      <c r="I61" s="18"/>
      <c r="J61" s="127"/>
      <c r="K61" s="128"/>
      <c r="L61" s="128"/>
      <c r="M61" s="128"/>
      <c r="N61" s="128"/>
      <c r="O61" s="129"/>
      <c r="P61" s="18"/>
      <c r="Q61" s="18"/>
      <c r="R61" s="18"/>
      <c r="S61" s="18"/>
    </row>
    <row r="62" spans="1:19" ht="18" customHeight="1">
      <c r="A62" s="117"/>
      <c r="B62" s="127"/>
      <c r="C62" s="128"/>
      <c r="D62" s="128"/>
      <c r="E62" s="129"/>
      <c r="F62" s="18"/>
      <c r="G62" s="18"/>
      <c r="H62" s="18"/>
      <c r="I62" s="18"/>
      <c r="J62" s="127"/>
      <c r="K62" s="128"/>
      <c r="L62" s="128"/>
      <c r="M62" s="128"/>
      <c r="N62" s="128"/>
      <c r="O62" s="129"/>
      <c r="P62" s="18"/>
      <c r="Q62" s="18"/>
      <c r="R62" s="18"/>
      <c r="S62" s="18"/>
    </row>
    <row r="63" spans="1:19" ht="18" customHeight="1">
      <c r="A63" s="117"/>
      <c r="B63" s="127"/>
      <c r="C63" s="128"/>
      <c r="D63" s="128"/>
      <c r="E63" s="129"/>
      <c r="F63" s="18"/>
      <c r="G63" s="18"/>
      <c r="H63" s="18"/>
      <c r="I63" s="18"/>
      <c r="J63" s="127"/>
      <c r="K63" s="128"/>
      <c r="L63" s="128"/>
      <c r="M63" s="128"/>
      <c r="N63" s="128"/>
      <c r="O63" s="129"/>
      <c r="P63" s="18"/>
      <c r="Q63" s="18"/>
      <c r="R63" s="18"/>
      <c r="S63" s="18"/>
    </row>
    <row r="64" spans="1:19" ht="18" customHeight="1">
      <c r="A64" s="117"/>
      <c r="B64" s="130"/>
      <c r="C64" s="131"/>
      <c r="D64" s="131"/>
      <c r="E64" s="132"/>
      <c r="F64" s="19"/>
      <c r="G64" s="19"/>
      <c r="H64" s="20"/>
      <c r="I64" s="20"/>
      <c r="J64" s="130"/>
      <c r="K64" s="131"/>
      <c r="L64" s="131"/>
      <c r="M64" s="131"/>
      <c r="N64" s="131"/>
      <c r="O64" s="132"/>
      <c r="P64" s="19"/>
      <c r="Q64" s="19"/>
      <c r="R64" s="20"/>
      <c r="S64" s="20"/>
    </row>
    <row r="65" spans="1:19" ht="7.5" customHeight="1">
      <c r="B65" s="119"/>
      <c r="C65" s="119"/>
      <c r="D65" s="119"/>
      <c r="E65" s="119"/>
      <c r="F65" s="119"/>
      <c r="G65" s="119"/>
      <c r="H65" s="119"/>
      <c r="I65" s="119"/>
      <c r="J65" s="119"/>
      <c r="K65" s="119"/>
      <c r="L65" s="119"/>
      <c r="M65" s="119"/>
      <c r="N65" s="119"/>
      <c r="O65" s="119"/>
      <c r="P65" s="119"/>
      <c r="Q65" s="119"/>
      <c r="R65" s="119"/>
    </row>
    <row r="66" spans="1:19" ht="18" customHeight="1">
      <c r="A66" s="136" t="s">
        <v>117</v>
      </c>
      <c r="B66" s="136"/>
      <c r="C66" s="136"/>
      <c r="D66" s="136"/>
      <c r="E66" s="136"/>
      <c r="F66" s="136"/>
      <c r="G66" s="136"/>
      <c r="H66" s="136"/>
      <c r="I66" s="136"/>
      <c r="J66" s="136"/>
      <c r="K66" s="136"/>
      <c r="L66" s="136"/>
      <c r="M66" s="136"/>
      <c r="N66" s="136"/>
      <c r="O66" s="136"/>
      <c r="P66" s="136"/>
      <c r="Q66" s="136"/>
      <c r="R66" s="136"/>
      <c r="S66" s="136"/>
    </row>
    <row r="67" spans="1:19" ht="18" customHeight="1">
      <c r="A67" s="136"/>
      <c r="B67" s="136"/>
      <c r="C67" s="136"/>
      <c r="D67" s="136"/>
      <c r="E67" s="136"/>
      <c r="F67" s="136"/>
      <c r="G67" s="136"/>
      <c r="H67" s="136"/>
      <c r="I67" s="136"/>
      <c r="J67" s="136"/>
      <c r="K67" s="136"/>
      <c r="L67" s="136"/>
      <c r="M67" s="136"/>
      <c r="N67" s="136"/>
      <c r="O67" s="136"/>
      <c r="P67" s="136"/>
      <c r="Q67" s="136"/>
      <c r="R67" s="136"/>
      <c r="S67" s="136"/>
    </row>
    <row r="68" spans="1:19" ht="18" customHeight="1">
      <c r="B68" s="133" t="s">
        <v>53</v>
      </c>
      <c r="C68" s="134"/>
      <c r="D68" s="134"/>
      <c r="E68" s="54" t="s">
        <v>80</v>
      </c>
      <c r="F68" s="53" t="s">
        <v>84</v>
      </c>
      <c r="G68" s="16" t="s">
        <v>101</v>
      </c>
      <c r="H68" s="16" t="s">
        <v>75</v>
      </c>
      <c r="I68" s="16" t="s">
        <v>76</v>
      </c>
      <c r="J68" s="133" t="s">
        <v>53</v>
      </c>
      <c r="K68" s="134"/>
      <c r="L68" s="134"/>
      <c r="M68" s="134"/>
      <c r="N68" s="135"/>
      <c r="O68" s="54" t="s">
        <v>80</v>
      </c>
      <c r="P68" s="53" t="s">
        <v>84</v>
      </c>
      <c r="Q68" s="16" t="s">
        <v>101</v>
      </c>
      <c r="R68" s="16" t="s">
        <v>75</v>
      </c>
      <c r="S68" s="16" t="s">
        <v>76</v>
      </c>
    </row>
    <row r="69" spans="1:19" ht="18" customHeight="1">
      <c r="A69" s="117"/>
      <c r="B69" s="137" t="s">
        <v>133</v>
      </c>
      <c r="C69" s="138"/>
      <c r="D69" s="138"/>
      <c r="E69" s="17">
        <v>2</v>
      </c>
      <c r="F69" s="17" t="s">
        <v>131</v>
      </c>
      <c r="G69" s="17" t="s">
        <v>131</v>
      </c>
      <c r="H69" s="17" t="s">
        <v>131</v>
      </c>
      <c r="I69" s="17" t="s">
        <v>131</v>
      </c>
      <c r="J69" s="137"/>
      <c r="K69" s="138"/>
      <c r="L69" s="138"/>
      <c r="M69" s="138"/>
      <c r="N69" s="139"/>
      <c r="O69" s="17"/>
      <c r="P69" s="17"/>
      <c r="Q69" s="17"/>
      <c r="R69" s="17"/>
      <c r="S69" s="17"/>
    </row>
    <row r="70" spans="1:19" ht="18" customHeight="1">
      <c r="A70" s="117"/>
      <c r="B70" s="127"/>
      <c r="C70" s="128"/>
      <c r="D70" s="128"/>
      <c r="E70" s="18"/>
      <c r="F70" s="18"/>
      <c r="G70" s="18"/>
      <c r="H70" s="18"/>
      <c r="I70" s="18"/>
      <c r="J70" s="127"/>
      <c r="K70" s="128"/>
      <c r="L70" s="128"/>
      <c r="M70" s="128"/>
      <c r="N70" s="129"/>
      <c r="O70" s="18"/>
      <c r="P70" s="18"/>
      <c r="Q70" s="18"/>
      <c r="R70" s="18"/>
      <c r="S70" s="18"/>
    </row>
    <row r="71" spans="1:19" ht="18" customHeight="1">
      <c r="A71" s="117"/>
      <c r="B71" s="127"/>
      <c r="C71" s="128"/>
      <c r="D71" s="128"/>
      <c r="E71" s="18"/>
      <c r="F71" s="18"/>
      <c r="G71" s="18"/>
      <c r="H71" s="18"/>
      <c r="I71" s="18"/>
      <c r="J71" s="127"/>
      <c r="K71" s="128"/>
      <c r="L71" s="128"/>
      <c r="M71" s="128"/>
      <c r="N71" s="129"/>
      <c r="O71" s="18"/>
      <c r="P71" s="18"/>
      <c r="Q71" s="18"/>
      <c r="R71" s="18"/>
      <c r="S71" s="18"/>
    </row>
    <row r="72" spans="1:19" ht="18" customHeight="1">
      <c r="A72" s="117"/>
      <c r="B72" s="127"/>
      <c r="C72" s="128"/>
      <c r="D72" s="128"/>
      <c r="E72" s="18"/>
      <c r="F72" s="18"/>
      <c r="G72" s="18"/>
      <c r="H72" s="18"/>
      <c r="I72" s="18"/>
      <c r="J72" s="127"/>
      <c r="K72" s="128"/>
      <c r="L72" s="128"/>
      <c r="M72" s="128"/>
      <c r="N72" s="129"/>
      <c r="O72" s="18"/>
      <c r="P72" s="18"/>
      <c r="Q72" s="18"/>
      <c r="R72" s="18"/>
      <c r="S72" s="18"/>
    </row>
    <row r="73" spans="1:19" ht="18" customHeight="1">
      <c r="A73" s="117"/>
      <c r="B73" s="127"/>
      <c r="C73" s="128"/>
      <c r="D73" s="128"/>
      <c r="E73" s="18"/>
      <c r="F73" s="18"/>
      <c r="G73" s="18"/>
      <c r="H73" s="18"/>
      <c r="I73" s="18"/>
      <c r="J73" s="127"/>
      <c r="K73" s="128"/>
      <c r="L73" s="128"/>
      <c r="M73" s="128"/>
      <c r="N73" s="129"/>
      <c r="O73" s="18"/>
      <c r="P73" s="18"/>
      <c r="Q73" s="18"/>
      <c r="R73" s="18"/>
      <c r="S73" s="18"/>
    </row>
    <row r="74" spans="1:19" ht="18" customHeight="1">
      <c r="A74" s="117"/>
      <c r="B74" s="127"/>
      <c r="C74" s="128"/>
      <c r="D74" s="128"/>
      <c r="E74" s="18"/>
      <c r="F74" s="18"/>
      <c r="G74" s="18"/>
      <c r="H74" s="18"/>
      <c r="I74" s="18"/>
      <c r="J74" s="127"/>
      <c r="K74" s="128"/>
      <c r="L74" s="128"/>
      <c r="M74" s="128"/>
      <c r="N74" s="129"/>
      <c r="O74" s="18"/>
      <c r="P74" s="18"/>
      <c r="Q74" s="18"/>
      <c r="R74" s="18"/>
      <c r="S74" s="18"/>
    </row>
    <row r="75" spans="1:19" ht="18" customHeight="1">
      <c r="A75" s="117"/>
      <c r="B75" s="130"/>
      <c r="C75" s="131"/>
      <c r="D75" s="131"/>
      <c r="E75" s="19"/>
      <c r="F75" s="19"/>
      <c r="G75" s="20"/>
      <c r="H75" s="20"/>
      <c r="I75" s="20"/>
      <c r="J75" s="130"/>
      <c r="K75" s="131"/>
      <c r="L75" s="131"/>
      <c r="M75" s="131"/>
      <c r="N75" s="132"/>
      <c r="O75" s="19"/>
      <c r="P75" s="19"/>
      <c r="Q75" s="20"/>
      <c r="R75" s="20"/>
      <c r="S75" s="20"/>
    </row>
    <row r="76" spans="1:19" ht="7.5" customHeight="1">
      <c r="B76" s="119"/>
      <c r="C76" s="119"/>
      <c r="D76" s="119"/>
      <c r="E76" s="119"/>
      <c r="F76" s="119"/>
      <c r="G76" s="119"/>
      <c r="H76" s="119"/>
      <c r="I76" s="119"/>
      <c r="J76" s="119"/>
      <c r="K76" s="119"/>
      <c r="L76" s="119"/>
      <c r="M76" s="119"/>
      <c r="N76" s="119"/>
      <c r="O76" s="119"/>
      <c r="P76" s="119"/>
      <c r="Q76" s="119"/>
      <c r="R76" s="119"/>
    </row>
    <row r="77" spans="1:19" ht="18" customHeight="1">
      <c r="A77" s="118" t="s">
        <v>118</v>
      </c>
      <c r="H77" s="117"/>
      <c r="I77" s="117"/>
      <c r="J77" s="117"/>
      <c r="K77" s="117"/>
      <c r="L77" s="117"/>
      <c r="M77" s="117"/>
      <c r="N77" s="117"/>
      <c r="O77" s="117"/>
      <c r="P77" s="117"/>
      <c r="Q77" s="117"/>
      <c r="R77" s="117"/>
      <c r="S77" s="117"/>
    </row>
    <row r="78" spans="1:19" ht="18" customHeight="1">
      <c r="B78" s="133" t="s">
        <v>53</v>
      </c>
      <c r="C78" s="134"/>
      <c r="D78" s="134"/>
      <c r="E78" s="135"/>
      <c r="F78" s="133" t="s">
        <v>82</v>
      </c>
      <c r="G78" s="134"/>
      <c r="H78" s="134"/>
      <c r="I78" s="135"/>
      <c r="J78" s="174" t="s">
        <v>53</v>
      </c>
      <c r="K78" s="175"/>
      <c r="L78" s="175"/>
      <c r="M78" s="175"/>
      <c r="N78" s="175"/>
      <c r="O78" s="176"/>
      <c r="P78" s="133" t="s">
        <v>82</v>
      </c>
      <c r="Q78" s="134"/>
      <c r="R78" s="134"/>
      <c r="S78" s="135"/>
    </row>
    <row r="79" spans="1:19" ht="18" customHeight="1">
      <c r="A79" s="117"/>
      <c r="B79" s="137"/>
      <c r="C79" s="138"/>
      <c r="D79" s="138"/>
      <c r="E79" s="139"/>
      <c r="F79" s="184"/>
      <c r="G79" s="185"/>
      <c r="H79" s="185"/>
      <c r="I79" s="186"/>
      <c r="J79" s="137"/>
      <c r="K79" s="138"/>
      <c r="L79" s="138"/>
      <c r="M79" s="138"/>
      <c r="N79" s="138"/>
      <c r="O79" s="139"/>
      <c r="P79" s="184"/>
      <c r="Q79" s="185"/>
      <c r="R79" s="185"/>
      <c r="S79" s="186"/>
    </row>
    <row r="80" spans="1:19" ht="18" customHeight="1">
      <c r="A80" s="117"/>
      <c r="B80" s="127"/>
      <c r="C80" s="128"/>
      <c r="D80" s="128"/>
      <c r="E80" s="129"/>
      <c r="F80" s="163"/>
      <c r="G80" s="164"/>
      <c r="H80" s="164"/>
      <c r="I80" s="165"/>
      <c r="J80" s="127"/>
      <c r="K80" s="128"/>
      <c r="L80" s="128"/>
      <c r="M80" s="128"/>
      <c r="N80" s="128"/>
      <c r="O80" s="129"/>
      <c r="P80" s="163"/>
      <c r="Q80" s="164"/>
      <c r="R80" s="164"/>
      <c r="S80" s="165"/>
    </row>
    <row r="81" spans="1:19" ht="18" customHeight="1">
      <c r="A81" s="117"/>
      <c r="B81" s="127"/>
      <c r="C81" s="128"/>
      <c r="D81" s="128"/>
      <c r="E81" s="129"/>
      <c r="F81" s="163"/>
      <c r="G81" s="164"/>
      <c r="H81" s="164"/>
      <c r="I81" s="165"/>
      <c r="J81" s="127"/>
      <c r="K81" s="128"/>
      <c r="L81" s="128"/>
      <c r="M81" s="128"/>
      <c r="N81" s="128"/>
      <c r="O81" s="129"/>
      <c r="P81" s="163"/>
      <c r="Q81" s="164"/>
      <c r="R81" s="164"/>
      <c r="S81" s="165"/>
    </row>
    <row r="82" spans="1:19" ht="18" customHeight="1">
      <c r="A82" s="117"/>
      <c r="B82" s="127"/>
      <c r="C82" s="128"/>
      <c r="D82" s="128"/>
      <c r="E82" s="129"/>
      <c r="F82" s="163"/>
      <c r="G82" s="164"/>
      <c r="H82" s="164"/>
      <c r="I82" s="165"/>
      <c r="J82" s="127"/>
      <c r="K82" s="128"/>
      <c r="L82" s="128"/>
      <c r="M82" s="128"/>
      <c r="N82" s="128"/>
      <c r="O82" s="129"/>
      <c r="P82" s="163"/>
      <c r="Q82" s="164"/>
      <c r="R82" s="164"/>
      <c r="S82" s="165"/>
    </row>
    <row r="83" spans="1:19" ht="18" customHeight="1">
      <c r="A83" s="117"/>
      <c r="B83" s="127"/>
      <c r="C83" s="128"/>
      <c r="D83" s="128"/>
      <c r="E83" s="129"/>
      <c r="F83" s="163"/>
      <c r="G83" s="164"/>
      <c r="H83" s="164"/>
      <c r="I83" s="165"/>
      <c r="J83" s="127"/>
      <c r="K83" s="128"/>
      <c r="L83" s="128"/>
      <c r="M83" s="128"/>
      <c r="N83" s="128"/>
      <c r="O83" s="129"/>
      <c r="P83" s="163"/>
      <c r="Q83" s="164"/>
      <c r="R83" s="164"/>
      <c r="S83" s="165"/>
    </row>
    <row r="84" spans="1:19" ht="18" customHeight="1">
      <c r="A84" s="117"/>
      <c r="B84" s="127"/>
      <c r="C84" s="128"/>
      <c r="D84" s="128"/>
      <c r="E84" s="129"/>
      <c r="F84" s="163"/>
      <c r="G84" s="164"/>
      <c r="H84" s="164"/>
      <c r="I84" s="165"/>
      <c r="J84" s="127"/>
      <c r="K84" s="128"/>
      <c r="L84" s="128"/>
      <c r="M84" s="128"/>
      <c r="N84" s="128"/>
      <c r="O84" s="129"/>
      <c r="P84" s="163"/>
      <c r="Q84" s="164"/>
      <c r="R84" s="164"/>
      <c r="S84" s="165"/>
    </row>
    <row r="85" spans="1:19" ht="18" customHeight="1">
      <c r="A85" s="117"/>
      <c r="B85" s="130"/>
      <c r="C85" s="131"/>
      <c r="D85" s="131"/>
      <c r="E85" s="132"/>
      <c r="F85" s="160"/>
      <c r="G85" s="161"/>
      <c r="H85" s="161"/>
      <c r="I85" s="162"/>
      <c r="J85" s="130"/>
      <c r="K85" s="131"/>
      <c r="L85" s="131"/>
      <c r="M85" s="131"/>
      <c r="N85" s="131"/>
      <c r="O85" s="132"/>
      <c r="P85" s="160"/>
      <c r="Q85" s="161"/>
      <c r="R85" s="161"/>
      <c r="S85" s="162"/>
    </row>
    <row r="86" spans="1:19" ht="18" customHeight="1">
      <c r="A86" s="117"/>
      <c r="B86" s="5"/>
      <c r="C86" s="5"/>
      <c r="D86" s="5"/>
      <c r="E86" s="5"/>
      <c r="F86" s="21"/>
      <c r="G86" s="21"/>
      <c r="H86" s="21"/>
      <c r="I86" s="21"/>
      <c r="J86" s="5"/>
      <c r="K86" s="5"/>
      <c r="L86" s="5"/>
      <c r="M86" s="5"/>
      <c r="N86" s="5"/>
      <c r="O86" s="5"/>
      <c r="P86" s="21"/>
      <c r="Q86" s="21"/>
      <c r="R86" s="21"/>
      <c r="S86" s="21"/>
    </row>
    <row r="87" spans="1:19" ht="18.75" customHeight="1">
      <c r="A87" s="118" t="s">
        <v>119</v>
      </c>
    </row>
    <row r="88" spans="1:19" ht="18.75" customHeight="1">
      <c r="B88" s="182" t="s">
        <v>54</v>
      </c>
      <c r="C88" s="183"/>
      <c r="D88" s="134" t="s">
        <v>55</v>
      </c>
      <c r="E88" s="134"/>
      <c r="F88" s="134"/>
      <c r="G88" s="134"/>
      <c r="H88" s="134"/>
      <c r="I88" s="134"/>
      <c r="J88" s="134"/>
      <c r="K88" s="134"/>
      <c r="L88" s="134"/>
      <c r="M88" s="134"/>
      <c r="N88" s="134"/>
      <c r="O88" s="134"/>
      <c r="P88" s="134"/>
      <c r="Q88" s="134"/>
      <c r="R88" s="134"/>
      <c r="S88" s="135"/>
    </row>
    <row r="89" spans="1:19" ht="125.25" customHeight="1">
      <c r="B89" s="177" t="s">
        <v>61</v>
      </c>
      <c r="C89" s="22" t="s">
        <v>56</v>
      </c>
      <c r="D89" s="198" t="s">
        <v>210</v>
      </c>
      <c r="E89" s="199"/>
      <c r="F89" s="199"/>
      <c r="G89" s="199"/>
      <c r="H89" s="199"/>
      <c r="I89" s="199"/>
      <c r="J89" s="199"/>
      <c r="K89" s="199"/>
      <c r="L89" s="199"/>
      <c r="M89" s="199"/>
      <c r="N89" s="199"/>
      <c r="O89" s="199"/>
      <c r="P89" s="199"/>
      <c r="Q89" s="199"/>
      <c r="R89" s="199"/>
      <c r="S89" s="200"/>
    </row>
    <row r="90" spans="1:19" ht="97.5" customHeight="1">
      <c r="B90" s="179"/>
      <c r="C90" s="23" t="s">
        <v>77</v>
      </c>
      <c r="D90" s="204" t="s">
        <v>211</v>
      </c>
      <c r="E90" s="205"/>
      <c r="F90" s="205"/>
      <c r="G90" s="205"/>
      <c r="H90" s="205"/>
      <c r="I90" s="205"/>
      <c r="J90" s="205"/>
      <c r="K90" s="205"/>
      <c r="L90" s="205"/>
      <c r="M90" s="205"/>
      <c r="N90" s="205"/>
      <c r="O90" s="205"/>
      <c r="P90" s="205"/>
      <c r="Q90" s="205"/>
      <c r="R90" s="205"/>
      <c r="S90" s="206"/>
    </row>
    <row r="91" spans="1:19" ht="112.5" customHeight="1">
      <c r="B91" s="177" t="s">
        <v>62</v>
      </c>
      <c r="C91" s="24" t="s">
        <v>71</v>
      </c>
      <c r="D91" s="219" t="s">
        <v>207</v>
      </c>
      <c r="E91" s="220"/>
      <c r="F91" s="220"/>
      <c r="G91" s="220"/>
      <c r="H91" s="220"/>
      <c r="I91" s="220"/>
      <c r="J91" s="220"/>
      <c r="K91" s="220"/>
      <c r="L91" s="220"/>
      <c r="M91" s="220"/>
      <c r="N91" s="220"/>
      <c r="O91" s="220"/>
      <c r="P91" s="220"/>
      <c r="Q91" s="220"/>
      <c r="R91" s="220"/>
      <c r="S91" s="221"/>
    </row>
    <row r="92" spans="1:19" ht="101.25" customHeight="1">
      <c r="B92" s="178"/>
      <c r="C92" s="25" t="s">
        <v>72</v>
      </c>
      <c r="D92" s="204" t="s">
        <v>208</v>
      </c>
      <c r="E92" s="205"/>
      <c r="F92" s="205"/>
      <c r="G92" s="205"/>
      <c r="H92" s="205"/>
      <c r="I92" s="205"/>
      <c r="J92" s="205"/>
      <c r="K92" s="205"/>
      <c r="L92" s="205"/>
      <c r="M92" s="205"/>
      <c r="N92" s="205"/>
      <c r="O92" s="205"/>
      <c r="P92" s="205"/>
      <c r="Q92" s="205"/>
      <c r="R92" s="205"/>
      <c r="S92" s="206"/>
    </row>
    <row r="93" spans="1:19" ht="149.25" customHeight="1">
      <c r="B93" s="177" t="s">
        <v>63</v>
      </c>
      <c r="C93" s="24" t="s">
        <v>73</v>
      </c>
      <c r="D93" s="216" t="s">
        <v>209</v>
      </c>
      <c r="E93" s="217"/>
      <c r="F93" s="217"/>
      <c r="G93" s="217"/>
      <c r="H93" s="217"/>
      <c r="I93" s="217"/>
      <c r="J93" s="217"/>
      <c r="K93" s="217"/>
      <c r="L93" s="217"/>
      <c r="M93" s="217"/>
      <c r="N93" s="217"/>
      <c r="O93" s="217"/>
      <c r="P93" s="217"/>
      <c r="Q93" s="217"/>
      <c r="R93" s="217"/>
      <c r="S93" s="218"/>
    </row>
    <row r="94" spans="1:19" ht="95.25" customHeight="1">
      <c r="B94" s="178"/>
      <c r="C94" s="26" t="s">
        <v>74</v>
      </c>
      <c r="D94" s="204" t="s">
        <v>212</v>
      </c>
      <c r="E94" s="205"/>
      <c r="F94" s="205"/>
      <c r="G94" s="205"/>
      <c r="H94" s="205"/>
      <c r="I94" s="205"/>
      <c r="J94" s="205"/>
      <c r="K94" s="205"/>
      <c r="L94" s="205"/>
      <c r="M94" s="205"/>
      <c r="N94" s="205"/>
      <c r="O94" s="205"/>
      <c r="P94" s="205"/>
      <c r="Q94" s="205"/>
      <c r="R94" s="205"/>
      <c r="S94" s="206"/>
    </row>
    <row r="95" spans="1:19" ht="134.25" customHeight="1">
      <c r="B95" s="177" t="s">
        <v>78</v>
      </c>
      <c r="C95" s="22" t="s">
        <v>58</v>
      </c>
      <c r="D95" s="198" t="s">
        <v>213</v>
      </c>
      <c r="E95" s="199"/>
      <c r="F95" s="199"/>
      <c r="G95" s="199"/>
      <c r="H95" s="199"/>
      <c r="I95" s="199"/>
      <c r="J95" s="199"/>
      <c r="K95" s="199"/>
      <c r="L95" s="199"/>
      <c r="M95" s="199"/>
      <c r="N95" s="199"/>
      <c r="O95" s="199"/>
      <c r="P95" s="199"/>
      <c r="Q95" s="199"/>
      <c r="R95" s="199"/>
      <c r="S95" s="200"/>
    </row>
    <row r="96" spans="1:19" ht="97.5" customHeight="1">
      <c r="B96" s="178"/>
      <c r="C96" s="25" t="s">
        <v>60</v>
      </c>
      <c r="D96" s="204" t="s">
        <v>214</v>
      </c>
      <c r="E96" s="205"/>
      <c r="F96" s="205"/>
      <c r="G96" s="205"/>
      <c r="H96" s="205"/>
      <c r="I96" s="205"/>
      <c r="J96" s="205"/>
      <c r="K96" s="205"/>
      <c r="L96" s="205"/>
      <c r="M96" s="205"/>
      <c r="N96" s="205"/>
      <c r="O96" s="205"/>
      <c r="P96" s="205"/>
      <c r="Q96" s="205"/>
      <c r="R96" s="205"/>
      <c r="S96" s="206"/>
    </row>
    <row r="97" spans="1:19" ht="221.25" customHeight="1">
      <c r="B97" s="177" t="s">
        <v>79</v>
      </c>
      <c r="C97" s="24" t="s">
        <v>57</v>
      </c>
      <c r="D97" s="207" t="s">
        <v>215</v>
      </c>
      <c r="E97" s="208"/>
      <c r="F97" s="208"/>
      <c r="G97" s="208"/>
      <c r="H97" s="208"/>
      <c r="I97" s="208"/>
      <c r="J97" s="208"/>
      <c r="K97" s="208"/>
      <c r="L97" s="208"/>
      <c r="M97" s="208"/>
      <c r="N97" s="208"/>
      <c r="O97" s="208"/>
      <c r="P97" s="208"/>
      <c r="Q97" s="208"/>
      <c r="R97" s="208"/>
      <c r="S97" s="209"/>
    </row>
    <row r="98" spans="1:19" ht="111" customHeight="1">
      <c r="B98" s="179"/>
      <c r="C98" s="27" t="s">
        <v>75</v>
      </c>
      <c r="D98" s="210" t="s">
        <v>216</v>
      </c>
      <c r="E98" s="211"/>
      <c r="F98" s="211"/>
      <c r="G98" s="211"/>
      <c r="H98" s="211"/>
      <c r="I98" s="211"/>
      <c r="J98" s="211"/>
      <c r="K98" s="211"/>
      <c r="L98" s="211"/>
      <c r="M98" s="211"/>
      <c r="N98" s="211"/>
      <c r="O98" s="211"/>
      <c r="P98" s="211"/>
      <c r="Q98" s="211"/>
      <c r="R98" s="211"/>
      <c r="S98" s="212"/>
    </row>
    <row r="99" spans="1:19" ht="97.5" customHeight="1">
      <c r="B99" s="178"/>
      <c r="C99" s="26" t="s">
        <v>76</v>
      </c>
      <c r="D99" s="213" t="s">
        <v>217</v>
      </c>
      <c r="E99" s="214"/>
      <c r="F99" s="214"/>
      <c r="G99" s="214"/>
      <c r="H99" s="214"/>
      <c r="I99" s="214"/>
      <c r="J99" s="214"/>
      <c r="K99" s="214"/>
      <c r="L99" s="214"/>
      <c r="M99" s="214"/>
      <c r="N99" s="214"/>
      <c r="O99" s="214"/>
      <c r="P99" s="214"/>
      <c r="Q99" s="214"/>
      <c r="R99" s="214"/>
      <c r="S99" s="215"/>
    </row>
    <row r="100" spans="1:19" ht="6" customHeight="1"/>
    <row r="101" spans="1:19" ht="18.75" customHeight="1">
      <c r="A101" s="118" t="s">
        <v>120</v>
      </c>
    </row>
    <row r="102" spans="1:19" ht="81.75" customHeight="1">
      <c r="B102" s="157" t="s">
        <v>132</v>
      </c>
      <c r="C102" s="158"/>
      <c r="D102" s="158"/>
      <c r="E102" s="158"/>
      <c r="F102" s="158"/>
      <c r="G102" s="158"/>
      <c r="H102" s="158"/>
      <c r="I102" s="158"/>
      <c r="J102" s="158"/>
      <c r="K102" s="158"/>
      <c r="L102" s="158"/>
      <c r="M102" s="158"/>
      <c r="N102" s="158"/>
      <c r="O102" s="158"/>
      <c r="P102" s="158"/>
      <c r="Q102" s="158"/>
      <c r="R102" s="158"/>
      <c r="S102" s="159"/>
    </row>
    <row r="110" spans="1:19" ht="18" customHeight="1"/>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41" zoomScaleNormal="100" zoomScaleSheetLayoutView="100" workbookViewId="0">
      <selection activeCell="AD69" sqref="AD69"/>
    </sheetView>
  </sheetViews>
  <sheetFormatPr defaultColWidth="9" defaultRowHeight="18.75" customHeight="1"/>
  <cols>
    <col min="1" max="1" width="2.5" style="118" customWidth="1"/>
    <col min="2" max="2" width="16.5" style="118" customWidth="1"/>
    <col min="3" max="19" width="5.625" style="118" customWidth="1"/>
    <col min="20" max="20" width="9" style="118"/>
    <col min="21" max="21" width="3.625" style="118" customWidth="1"/>
    <col min="22" max="22" width="48.625" style="118" hidden="1" customWidth="1"/>
    <col min="23" max="16384" width="9" style="118"/>
  </cols>
  <sheetData>
    <row r="1" spans="1:22" ht="18.600000000000001" customHeight="1">
      <c r="R1" s="140" t="s">
        <v>153</v>
      </c>
      <c r="S1" s="140"/>
      <c r="T1" s="2" t="s">
        <v>109</v>
      </c>
    </row>
    <row r="2" spans="1:22" ht="18.75" customHeight="1">
      <c r="B2" s="116" t="s">
        <v>108</v>
      </c>
      <c r="C2" s="133" t="s">
        <v>126</v>
      </c>
      <c r="D2" s="134"/>
      <c r="E2" s="134"/>
      <c r="F2" s="134"/>
      <c r="G2" s="134"/>
      <c r="H2" s="134"/>
      <c r="I2" s="135"/>
      <c r="J2" s="115"/>
      <c r="K2" s="5"/>
      <c r="L2" s="5"/>
      <c r="M2" s="5"/>
      <c r="N2" s="5"/>
      <c r="O2" s="5"/>
      <c r="P2" s="5"/>
      <c r="Q2" s="5"/>
      <c r="R2" s="5"/>
      <c r="S2" s="5"/>
    </row>
    <row r="3" spans="1:22" ht="18.75" customHeight="1">
      <c r="B3" s="116" t="s">
        <v>102</v>
      </c>
      <c r="C3" s="133" t="s">
        <v>127</v>
      </c>
      <c r="D3" s="134"/>
      <c r="E3" s="134"/>
      <c r="F3" s="134"/>
      <c r="G3" s="134"/>
      <c r="H3" s="134"/>
      <c r="I3" s="135"/>
      <c r="J3" s="115"/>
      <c r="K3" s="5"/>
      <c r="L3" s="5"/>
      <c r="M3" s="5"/>
      <c r="N3" s="5"/>
      <c r="O3" s="5"/>
      <c r="P3" s="5"/>
      <c r="Q3" s="5"/>
      <c r="R3" s="5"/>
      <c r="S3" s="5"/>
    </row>
    <row r="4" spans="1:22" ht="15" customHeight="1">
      <c r="K4" s="115"/>
      <c r="L4" s="31"/>
      <c r="M4" s="31"/>
      <c r="N4" s="31"/>
      <c r="O4" s="31"/>
      <c r="P4" s="31"/>
      <c r="Q4" s="31"/>
      <c r="R4" s="31"/>
      <c r="S4" s="31"/>
    </row>
    <row r="5" spans="1:22" ht="18" customHeight="1">
      <c r="A5" s="144" t="s">
        <v>38</v>
      </c>
      <c r="B5" s="144"/>
      <c r="C5" s="144"/>
      <c r="D5" s="144"/>
      <c r="E5" s="144"/>
      <c r="F5" s="144"/>
      <c r="G5" s="144"/>
      <c r="H5" s="144"/>
      <c r="I5" s="144"/>
      <c r="J5" s="144"/>
      <c r="K5" s="144"/>
      <c r="L5" s="144"/>
      <c r="M5" s="144"/>
      <c r="N5" s="144"/>
      <c r="O5" s="144"/>
      <c r="P5" s="144"/>
      <c r="Q5" s="144"/>
      <c r="R5" s="144"/>
      <c r="S5" s="144"/>
    </row>
    <row r="6" spans="1:22" ht="15" customHeight="1">
      <c r="B6" s="117"/>
      <c r="C6" s="117"/>
      <c r="D6" s="117"/>
      <c r="E6" s="117"/>
      <c r="F6" s="117"/>
      <c r="G6" s="117"/>
      <c r="H6" s="117"/>
      <c r="I6" s="117"/>
      <c r="J6" s="117"/>
      <c r="K6" s="117"/>
      <c r="L6" s="117"/>
      <c r="M6" s="117"/>
      <c r="N6" s="117"/>
      <c r="O6" s="117"/>
      <c r="P6" s="117"/>
      <c r="Q6" s="117"/>
      <c r="R6" s="117"/>
      <c r="S6" s="117"/>
    </row>
    <row r="7" spans="1:22" ht="18" customHeight="1">
      <c r="A7" s="118" t="s">
        <v>124</v>
      </c>
      <c r="C7" s="117"/>
      <c r="J7" s="32" t="s">
        <v>107</v>
      </c>
      <c r="K7" s="154" t="s">
        <v>128</v>
      </c>
      <c r="L7" s="155"/>
      <c r="M7" s="155"/>
      <c r="N7" s="155"/>
      <c r="O7" s="155"/>
      <c r="P7" s="155"/>
      <c r="Q7" s="155"/>
      <c r="R7" s="155"/>
      <c r="S7" s="156"/>
    </row>
    <row r="8" spans="1:22" ht="6" customHeight="1">
      <c r="B8" s="117"/>
      <c r="C8" s="117"/>
      <c r="D8" s="117"/>
      <c r="E8" s="117"/>
      <c r="F8" s="117"/>
      <c r="G8" s="117"/>
      <c r="H8" s="117"/>
      <c r="I8" s="117"/>
      <c r="J8" s="117"/>
      <c r="K8" s="8"/>
      <c r="L8" s="117"/>
      <c r="M8" s="117"/>
      <c r="N8" s="117"/>
      <c r="O8" s="117"/>
      <c r="P8" s="117"/>
      <c r="Q8" s="117"/>
      <c r="R8" s="117"/>
      <c r="S8" s="117"/>
    </row>
    <row r="9" spans="1:22" ht="18" customHeight="1">
      <c r="B9" s="121" t="s">
        <v>149</v>
      </c>
      <c r="C9" s="122"/>
      <c r="D9" s="122"/>
      <c r="E9" s="122"/>
      <c r="F9" s="122"/>
      <c r="G9" s="122"/>
      <c r="H9" s="122"/>
      <c r="I9" s="122"/>
      <c r="J9" s="122"/>
      <c r="K9" s="122"/>
      <c r="L9" s="122"/>
      <c r="M9" s="122"/>
      <c r="N9" s="122"/>
      <c r="O9" s="122"/>
      <c r="P9" s="122"/>
      <c r="Q9" s="122"/>
      <c r="R9" s="122"/>
      <c r="S9" s="123"/>
    </row>
    <row r="10" spans="1:22" ht="18" customHeight="1">
      <c r="B10" s="124"/>
      <c r="C10" s="125"/>
      <c r="D10" s="125"/>
      <c r="E10" s="125"/>
      <c r="F10" s="125"/>
      <c r="G10" s="125"/>
      <c r="H10" s="125"/>
      <c r="I10" s="125"/>
      <c r="J10" s="125"/>
      <c r="K10" s="125"/>
      <c r="L10" s="125"/>
      <c r="M10" s="125"/>
      <c r="N10" s="125"/>
      <c r="O10" s="125"/>
      <c r="P10" s="125"/>
      <c r="Q10" s="125"/>
      <c r="R10" s="125"/>
      <c r="S10" s="126"/>
    </row>
    <row r="11" spans="1:22" ht="6" customHeight="1">
      <c r="B11" s="117"/>
      <c r="C11" s="117"/>
      <c r="D11" s="117"/>
      <c r="E11" s="117"/>
      <c r="F11" s="117"/>
      <c r="G11" s="117"/>
      <c r="H11" s="117"/>
      <c r="I11" s="117"/>
      <c r="J11" s="117"/>
      <c r="K11" s="8"/>
      <c r="L11" s="117"/>
      <c r="M11" s="117"/>
      <c r="N11" s="117"/>
      <c r="O11" s="117"/>
      <c r="P11" s="117"/>
      <c r="Q11" s="117"/>
      <c r="R11" s="117"/>
      <c r="S11" s="117"/>
    </row>
    <row r="12" spans="1:22" ht="18" customHeight="1">
      <c r="A12" s="118" t="s">
        <v>111</v>
      </c>
      <c r="B12" s="117"/>
      <c r="C12" s="117"/>
      <c r="D12" s="115"/>
      <c r="E12" s="115"/>
      <c r="F12" s="115"/>
      <c r="G12" s="115"/>
      <c r="H12" s="115"/>
      <c r="I12" s="115"/>
      <c r="J12" s="115"/>
      <c r="K12" s="33"/>
      <c r="L12" s="33"/>
      <c r="M12" s="33"/>
      <c r="N12" s="33"/>
      <c r="O12" s="33"/>
      <c r="P12" s="33"/>
      <c r="Q12" s="33"/>
      <c r="R12" s="33"/>
      <c r="S12" s="33"/>
    </row>
    <row r="13" spans="1:22" ht="18" customHeight="1">
      <c r="B13" s="145" t="s">
        <v>183</v>
      </c>
      <c r="C13" s="146"/>
      <c r="D13" s="146"/>
      <c r="E13" s="146"/>
      <c r="F13" s="146"/>
      <c r="G13" s="146"/>
      <c r="H13" s="146"/>
      <c r="I13" s="146"/>
      <c r="J13" s="146"/>
      <c r="K13" s="146"/>
      <c r="L13" s="146"/>
      <c r="M13" s="146"/>
      <c r="N13" s="146"/>
      <c r="O13" s="146"/>
      <c r="P13" s="146"/>
      <c r="Q13" s="146"/>
      <c r="R13" s="146"/>
      <c r="S13" s="147"/>
      <c r="V13" s="118" t="s">
        <v>103</v>
      </c>
    </row>
    <row r="14" spans="1:22" ht="18" customHeight="1">
      <c r="B14" s="148"/>
      <c r="C14" s="149"/>
      <c r="D14" s="149"/>
      <c r="E14" s="149"/>
      <c r="F14" s="149"/>
      <c r="G14" s="149"/>
      <c r="H14" s="149"/>
      <c r="I14" s="149"/>
      <c r="J14" s="149"/>
      <c r="K14" s="149"/>
      <c r="L14" s="149"/>
      <c r="M14" s="149"/>
      <c r="N14" s="149"/>
      <c r="O14" s="149"/>
      <c r="P14" s="149"/>
      <c r="Q14" s="149"/>
      <c r="R14" s="149"/>
      <c r="S14" s="150"/>
      <c r="V14" s="118" t="s">
        <v>110</v>
      </c>
    </row>
    <row r="15" spans="1:22" ht="18" customHeight="1">
      <c r="B15" s="148"/>
      <c r="C15" s="149"/>
      <c r="D15" s="149"/>
      <c r="E15" s="149"/>
      <c r="F15" s="149"/>
      <c r="G15" s="149"/>
      <c r="H15" s="149"/>
      <c r="I15" s="149"/>
      <c r="J15" s="149"/>
      <c r="K15" s="149"/>
      <c r="L15" s="149"/>
      <c r="M15" s="149"/>
      <c r="N15" s="149"/>
      <c r="O15" s="149"/>
      <c r="P15" s="149"/>
      <c r="Q15" s="149"/>
      <c r="R15" s="149"/>
      <c r="S15" s="150"/>
      <c r="V15" s="118" t="s">
        <v>123</v>
      </c>
    </row>
    <row r="16" spans="1:22" ht="18" customHeight="1">
      <c r="B16" s="148"/>
      <c r="C16" s="149"/>
      <c r="D16" s="149"/>
      <c r="E16" s="149"/>
      <c r="F16" s="149"/>
      <c r="G16" s="149"/>
      <c r="H16" s="149"/>
      <c r="I16" s="149"/>
      <c r="J16" s="149"/>
      <c r="K16" s="149"/>
      <c r="L16" s="149"/>
      <c r="M16" s="149"/>
      <c r="N16" s="149"/>
      <c r="O16" s="149"/>
      <c r="P16" s="149"/>
      <c r="Q16" s="149"/>
      <c r="R16" s="149"/>
      <c r="S16" s="150"/>
      <c r="V16" s="118" t="s">
        <v>125</v>
      </c>
    </row>
    <row r="17" spans="1:19" ht="18" customHeight="1">
      <c r="B17" s="148"/>
      <c r="C17" s="149"/>
      <c r="D17" s="149"/>
      <c r="E17" s="149"/>
      <c r="F17" s="149"/>
      <c r="G17" s="149"/>
      <c r="H17" s="149"/>
      <c r="I17" s="149"/>
      <c r="J17" s="149"/>
      <c r="K17" s="149"/>
      <c r="L17" s="149"/>
      <c r="M17" s="149"/>
      <c r="N17" s="149"/>
      <c r="O17" s="149"/>
      <c r="P17" s="149"/>
      <c r="Q17" s="149"/>
      <c r="R17" s="149"/>
      <c r="S17" s="150"/>
    </row>
    <row r="18" spans="1:19" ht="18" customHeight="1">
      <c r="B18" s="151"/>
      <c r="C18" s="152"/>
      <c r="D18" s="152"/>
      <c r="E18" s="152"/>
      <c r="F18" s="152"/>
      <c r="G18" s="152"/>
      <c r="H18" s="152"/>
      <c r="I18" s="152"/>
      <c r="J18" s="152"/>
      <c r="K18" s="152"/>
      <c r="L18" s="152"/>
      <c r="M18" s="152"/>
      <c r="N18" s="152"/>
      <c r="O18" s="152"/>
      <c r="P18" s="152"/>
      <c r="Q18" s="152"/>
      <c r="R18" s="152"/>
      <c r="S18" s="153"/>
    </row>
    <row r="19" spans="1:19" ht="7.5" customHeight="1">
      <c r="B19" s="117"/>
      <c r="C19" s="117"/>
      <c r="D19" s="117"/>
      <c r="E19" s="117"/>
      <c r="F19" s="117"/>
      <c r="G19" s="117"/>
      <c r="H19" s="117"/>
      <c r="I19" s="117"/>
      <c r="J19" s="117"/>
      <c r="K19" s="117"/>
      <c r="L19" s="117"/>
      <c r="M19" s="117"/>
      <c r="N19" s="117"/>
      <c r="O19" s="117"/>
      <c r="P19" s="117"/>
      <c r="Q19" s="117"/>
      <c r="R19" s="117"/>
      <c r="S19" s="117"/>
    </row>
    <row r="20" spans="1:19" ht="19.899999999999999" customHeight="1">
      <c r="B20" s="118" t="s">
        <v>112</v>
      </c>
      <c r="C20" s="133">
        <v>1</v>
      </c>
      <c r="D20" s="135"/>
      <c r="E20" s="34" t="s">
        <v>95</v>
      </c>
      <c r="G20" s="8"/>
      <c r="H20" s="117"/>
      <c r="I20" s="117"/>
      <c r="J20" s="115" t="s">
        <v>121</v>
      </c>
      <c r="K20" s="141" t="s">
        <v>110</v>
      </c>
      <c r="L20" s="142"/>
      <c r="M20" s="142"/>
      <c r="N20" s="142"/>
      <c r="O20" s="142"/>
      <c r="P20" s="142"/>
      <c r="Q20" s="142"/>
      <c r="R20" s="142"/>
      <c r="S20" s="143"/>
    </row>
    <row r="21" spans="1:19" ht="7.5" customHeight="1">
      <c r="B21" s="117"/>
      <c r="C21" s="117"/>
      <c r="D21" s="117"/>
      <c r="E21" s="117"/>
      <c r="F21" s="117"/>
      <c r="G21" s="117"/>
      <c r="H21" s="117"/>
      <c r="I21" s="117"/>
      <c r="J21" s="117"/>
      <c r="K21" s="117"/>
      <c r="L21" s="117"/>
      <c r="M21" s="117"/>
      <c r="N21" s="117"/>
      <c r="O21" s="117"/>
      <c r="P21" s="117"/>
      <c r="Q21" s="117"/>
      <c r="R21" s="117"/>
      <c r="S21" s="117"/>
    </row>
    <row r="22" spans="1:19" ht="18" customHeight="1">
      <c r="A22" s="136" t="s">
        <v>113</v>
      </c>
      <c r="B22" s="136"/>
      <c r="C22" s="136"/>
      <c r="D22" s="136"/>
      <c r="E22" s="136"/>
      <c r="F22" s="136"/>
      <c r="G22" s="136"/>
      <c r="H22" s="136"/>
      <c r="I22" s="136"/>
      <c r="J22" s="136"/>
      <c r="K22" s="136"/>
      <c r="L22" s="136"/>
      <c r="M22" s="136"/>
      <c r="N22" s="136"/>
      <c r="O22" s="136"/>
      <c r="P22" s="136"/>
      <c r="Q22" s="136"/>
      <c r="R22" s="136"/>
      <c r="S22" s="136"/>
    </row>
    <row r="23" spans="1:19" ht="18" customHeight="1">
      <c r="A23" s="136"/>
      <c r="B23" s="136"/>
      <c r="C23" s="136"/>
      <c r="D23" s="136"/>
      <c r="E23" s="136"/>
      <c r="F23" s="136"/>
      <c r="G23" s="136"/>
      <c r="H23" s="136"/>
      <c r="I23" s="136"/>
      <c r="J23" s="136"/>
      <c r="K23" s="136"/>
      <c r="L23" s="136"/>
      <c r="M23" s="136"/>
      <c r="N23" s="136"/>
      <c r="O23" s="136"/>
      <c r="P23" s="136"/>
      <c r="Q23" s="136"/>
      <c r="R23" s="136"/>
      <c r="S23" s="136"/>
    </row>
    <row r="24" spans="1:19" ht="18" customHeight="1">
      <c r="B24" s="133" t="s">
        <v>53</v>
      </c>
      <c r="C24" s="134"/>
      <c r="D24" s="134"/>
      <c r="E24" s="135"/>
      <c r="F24" s="54" t="s">
        <v>80</v>
      </c>
      <c r="G24" s="53" t="s">
        <v>84</v>
      </c>
      <c r="H24" s="16" t="s">
        <v>56</v>
      </c>
      <c r="I24" s="16" t="s">
        <v>59</v>
      </c>
      <c r="J24" s="133" t="s">
        <v>53</v>
      </c>
      <c r="K24" s="134"/>
      <c r="L24" s="134"/>
      <c r="M24" s="134"/>
      <c r="N24" s="134"/>
      <c r="O24" s="135"/>
      <c r="P24" s="54" t="s">
        <v>80</v>
      </c>
      <c r="Q24" s="53" t="s">
        <v>84</v>
      </c>
      <c r="R24" s="16" t="s">
        <v>56</v>
      </c>
      <c r="S24" s="16" t="s">
        <v>59</v>
      </c>
    </row>
    <row r="25" spans="1:19" ht="18" customHeight="1">
      <c r="B25" s="193" t="s">
        <v>184</v>
      </c>
      <c r="C25" s="194"/>
      <c r="D25" s="194"/>
      <c r="E25" s="195"/>
      <c r="F25" s="114">
        <v>1</v>
      </c>
      <c r="G25" s="114"/>
      <c r="H25" s="114" t="s">
        <v>131</v>
      </c>
      <c r="I25" s="114" t="s">
        <v>131</v>
      </c>
      <c r="J25" s="137"/>
      <c r="K25" s="138"/>
      <c r="L25" s="138"/>
      <c r="M25" s="138"/>
      <c r="N25" s="138"/>
      <c r="O25" s="139"/>
      <c r="P25" s="17"/>
      <c r="Q25" s="17"/>
      <c r="R25" s="17"/>
      <c r="S25" s="17"/>
    </row>
    <row r="26" spans="1:19" ht="18" customHeight="1">
      <c r="B26" s="242" t="s">
        <v>135</v>
      </c>
      <c r="C26" s="243"/>
      <c r="D26" s="243"/>
      <c r="E26" s="244"/>
      <c r="F26" s="120">
        <v>1</v>
      </c>
      <c r="G26" s="120"/>
      <c r="H26" s="120" t="s">
        <v>131</v>
      </c>
      <c r="I26" s="120" t="s">
        <v>131</v>
      </c>
      <c r="J26" s="127"/>
      <c r="K26" s="128"/>
      <c r="L26" s="128"/>
      <c r="M26" s="128"/>
      <c r="N26" s="128"/>
      <c r="O26" s="129"/>
      <c r="P26" s="18"/>
      <c r="Q26" s="18"/>
      <c r="R26" s="18"/>
      <c r="S26" s="18"/>
    </row>
    <row r="27" spans="1:19" ht="18" customHeight="1">
      <c r="B27" s="127" t="s">
        <v>136</v>
      </c>
      <c r="C27" s="128"/>
      <c r="D27" s="128"/>
      <c r="E27" s="129"/>
      <c r="F27" s="18">
        <v>1</v>
      </c>
      <c r="G27" s="18"/>
      <c r="H27" s="18" t="s">
        <v>131</v>
      </c>
      <c r="I27" s="18" t="s">
        <v>131</v>
      </c>
      <c r="J27" s="127"/>
      <c r="K27" s="128"/>
      <c r="L27" s="128"/>
      <c r="M27" s="128"/>
      <c r="N27" s="128"/>
      <c r="O27" s="129"/>
      <c r="P27" s="18"/>
      <c r="Q27" s="18"/>
      <c r="R27" s="18"/>
      <c r="S27" s="18"/>
    </row>
    <row r="28" spans="1:19" ht="18" customHeight="1">
      <c r="B28" s="127"/>
      <c r="C28" s="128"/>
      <c r="D28" s="128"/>
      <c r="E28" s="129"/>
      <c r="F28" s="18"/>
      <c r="G28" s="18"/>
      <c r="H28" s="18"/>
      <c r="I28" s="18"/>
      <c r="J28" s="127"/>
      <c r="K28" s="128"/>
      <c r="L28" s="128"/>
      <c r="M28" s="128"/>
      <c r="N28" s="128"/>
      <c r="O28" s="129"/>
      <c r="P28" s="18"/>
      <c r="Q28" s="18"/>
      <c r="R28" s="18"/>
      <c r="S28" s="18"/>
    </row>
    <row r="29" spans="1:19" ht="18" customHeight="1">
      <c r="B29" s="127"/>
      <c r="C29" s="128"/>
      <c r="D29" s="128"/>
      <c r="E29" s="129"/>
      <c r="F29" s="18"/>
      <c r="G29" s="18"/>
      <c r="H29" s="18"/>
      <c r="I29" s="18"/>
      <c r="J29" s="127"/>
      <c r="K29" s="128"/>
      <c r="L29" s="128"/>
      <c r="M29" s="128"/>
      <c r="N29" s="128"/>
      <c r="O29" s="129"/>
      <c r="P29" s="18"/>
      <c r="Q29" s="18"/>
      <c r="R29" s="18"/>
      <c r="S29" s="18"/>
    </row>
    <row r="30" spans="1:19" ht="18" customHeight="1">
      <c r="A30" s="117"/>
      <c r="B30" s="127"/>
      <c r="C30" s="128"/>
      <c r="D30" s="128"/>
      <c r="E30" s="129"/>
      <c r="F30" s="18"/>
      <c r="G30" s="18"/>
      <c r="H30" s="18"/>
      <c r="I30" s="18"/>
      <c r="J30" s="127"/>
      <c r="K30" s="128"/>
      <c r="L30" s="128"/>
      <c r="M30" s="128"/>
      <c r="N30" s="128"/>
      <c r="O30" s="129"/>
      <c r="P30" s="18"/>
      <c r="Q30" s="18"/>
      <c r="R30" s="18"/>
      <c r="S30" s="18"/>
    </row>
    <row r="31" spans="1:19" ht="18" customHeight="1">
      <c r="A31" s="117"/>
      <c r="B31" s="130"/>
      <c r="C31" s="131"/>
      <c r="D31" s="131"/>
      <c r="E31" s="132"/>
      <c r="F31" s="19"/>
      <c r="G31" s="19"/>
      <c r="H31" s="20"/>
      <c r="I31" s="20"/>
      <c r="J31" s="130"/>
      <c r="K31" s="131"/>
      <c r="L31" s="131"/>
      <c r="M31" s="131"/>
      <c r="N31" s="131"/>
      <c r="O31" s="132"/>
      <c r="P31" s="19"/>
      <c r="Q31" s="19"/>
      <c r="R31" s="20"/>
      <c r="S31" s="20"/>
    </row>
    <row r="32" spans="1:19" ht="7.5" customHeight="1">
      <c r="A32" s="117"/>
      <c r="B32" s="5"/>
      <c r="C32" s="5"/>
      <c r="D32" s="117"/>
      <c r="E32" s="117"/>
      <c r="F32" s="117"/>
      <c r="G32" s="117"/>
      <c r="H32" s="5"/>
      <c r="I32" s="5"/>
      <c r="J32" s="5"/>
      <c r="K32" s="5"/>
      <c r="L32" s="5"/>
      <c r="M32" s="5"/>
      <c r="N32" s="5"/>
      <c r="O32" s="5"/>
      <c r="P32" s="5"/>
      <c r="Q32" s="5"/>
      <c r="R32" s="5"/>
      <c r="S32" s="117"/>
    </row>
    <row r="33" spans="1:19" ht="18" customHeight="1">
      <c r="A33" s="136" t="s">
        <v>114</v>
      </c>
      <c r="B33" s="136"/>
      <c r="C33" s="136"/>
      <c r="D33" s="136"/>
      <c r="E33" s="136"/>
      <c r="F33" s="136"/>
      <c r="G33" s="136"/>
      <c r="H33" s="136"/>
      <c r="I33" s="136"/>
      <c r="J33" s="136"/>
      <c r="K33" s="136"/>
      <c r="L33" s="136"/>
      <c r="M33" s="136"/>
      <c r="N33" s="136"/>
      <c r="O33" s="136"/>
      <c r="P33" s="136"/>
      <c r="Q33" s="136"/>
      <c r="R33" s="136"/>
      <c r="S33" s="136"/>
    </row>
    <row r="34" spans="1:19" ht="18" customHeight="1">
      <c r="A34" s="136"/>
      <c r="B34" s="136"/>
      <c r="C34" s="136"/>
      <c r="D34" s="136"/>
      <c r="E34" s="136"/>
      <c r="F34" s="136"/>
      <c r="G34" s="136"/>
      <c r="H34" s="136"/>
      <c r="I34" s="136"/>
      <c r="J34" s="136"/>
      <c r="K34" s="136"/>
      <c r="L34" s="136"/>
      <c r="M34" s="136"/>
      <c r="N34" s="136"/>
      <c r="O34" s="136"/>
      <c r="P34" s="136"/>
      <c r="Q34" s="136"/>
      <c r="R34" s="136"/>
      <c r="S34" s="136"/>
    </row>
    <row r="35" spans="1:19" ht="18" customHeight="1">
      <c r="B35" s="133" t="s">
        <v>53</v>
      </c>
      <c r="C35" s="134"/>
      <c r="D35" s="134"/>
      <c r="E35" s="135"/>
      <c r="F35" s="54" t="s">
        <v>80</v>
      </c>
      <c r="G35" s="53" t="s">
        <v>84</v>
      </c>
      <c r="H35" s="16" t="s">
        <v>71</v>
      </c>
      <c r="I35" s="16" t="s">
        <v>72</v>
      </c>
      <c r="J35" s="133" t="s">
        <v>53</v>
      </c>
      <c r="K35" s="134"/>
      <c r="L35" s="134"/>
      <c r="M35" s="134"/>
      <c r="N35" s="134"/>
      <c r="O35" s="135"/>
      <c r="P35" s="54" t="s">
        <v>80</v>
      </c>
      <c r="Q35" s="53" t="s">
        <v>84</v>
      </c>
      <c r="R35" s="16" t="s">
        <v>71</v>
      </c>
      <c r="S35" s="16" t="s">
        <v>72</v>
      </c>
    </row>
    <row r="36" spans="1:19" ht="18" customHeight="1">
      <c r="B36" s="193" t="s">
        <v>184</v>
      </c>
      <c r="C36" s="194"/>
      <c r="D36" s="194"/>
      <c r="E36" s="195"/>
      <c r="F36" s="114">
        <v>1</v>
      </c>
      <c r="G36" s="114"/>
      <c r="H36" s="114" t="s">
        <v>131</v>
      </c>
      <c r="I36" s="114" t="s">
        <v>131</v>
      </c>
      <c r="J36" s="137"/>
      <c r="K36" s="138"/>
      <c r="L36" s="138"/>
      <c r="M36" s="138"/>
      <c r="N36" s="138"/>
      <c r="O36" s="139"/>
      <c r="P36" s="17"/>
      <c r="Q36" s="17"/>
      <c r="R36" s="17"/>
      <c r="S36" s="17"/>
    </row>
    <row r="37" spans="1:19" ht="18" customHeight="1">
      <c r="B37" s="242" t="s">
        <v>135</v>
      </c>
      <c r="C37" s="243"/>
      <c r="D37" s="243"/>
      <c r="E37" s="244"/>
      <c r="F37" s="120">
        <v>1</v>
      </c>
      <c r="G37" s="120"/>
      <c r="H37" s="120" t="s">
        <v>131</v>
      </c>
      <c r="I37" s="120" t="s">
        <v>131</v>
      </c>
      <c r="J37" s="127"/>
      <c r="K37" s="128"/>
      <c r="L37" s="128"/>
      <c r="M37" s="128"/>
      <c r="N37" s="128"/>
      <c r="O37" s="129"/>
      <c r="P37" s="18"/>
      <c r="Q37" s="18"/>
      <c r="R37" s="18"/>
      <c r="S37" s="18"/>
    </row>
    <row r="38" spans="1:19" ht="18" customHeight="1">
      <c r="B38" s="127" t="s">
        <v>136</v>
      </c>
      <c r="C38" s="128"/>
      <c r="D38" s="128"/>
      <c r="E38" s="129"/>
      <c r="F38" s="18">
        <v>1</v>
      </c>
      <c r="G38" s="18"/>
      <c r="H38" s="18" t="s">
        <v>131</v>
      </c>
      <c r="I38" s="18" t="s">
        <v>131</v>
      </c>
      <c r="J38" s="127"/>
      <c r="K38" s="128"/>
      <c r="L38" s="128"/>
      <c r="M38" s="128"/>
      <c r="N38" s="128"/>
      <c r="O38" s="129"/>
      <c r="P38" s="18"/>
      <c r="Q38" s="18"/>
      <c r="R38" s="18"/>
      <c r="S38" s="18"/>
    </row>
    <row r="39" spans="1:19" ht="18" customHeight="1">
      <c r="B39" s="127"/>
      <c r="C39" s="128"/>
      <c r="D39" s="128"/>
      <c r="E39" s="129"/>
      <c r="F39" s="18"/>
      <c r="G39" s="18"/>
      <c r="H39" s="18"/>
      <c r="I39" s="18"/>
      <c r="J39" s="127"/>
      <c r="K39" s="128"/>
      <c r="L39" s="128"/>
      <c r="M39" s="128"/>
      <c r="N39" s="128"/>
      <c r="O39" s="129"/>
      <c r="P39" s="18"/>
      <c r="Q39" s="18"/>
      <c r="R39" s="18"/>
      <c r="S39" s="18"/>
    </row>
    <row r="40" spans="1:19" ht="18" customHeight="1">
      <c r="B40" s="127"/>
      <c r="C40" s="128"/>
      <c r="D40" s="128"/>
      <c r="E40" s="129"/>
      <c r="F40" s="18"/>
      <c r="G40" s="18"/>
      <c r="H40" s="18"/>
      <c r="I40" s="18"/>
      <c r="J40" s="127"/>
      <c r="K40" s="128"/>
      <c r="L40" s="128"/>
      <c r="M40" s="128"/>
      <c r="N40" s="128"/>
      <c r="O40" s="129"/>
      <c r="P40" s="18"/>
      <c r="Q40" s="18"/>
      <c r="R40" s="18"/>
      <c r="S40" s="18"/>
    </row>
    <row r="41" spans="1:19" ht="18" customHeight="1">
      <c r="B41" s="127"/>
      <c r="C41" s="128"/>
      <c r="D41" s="128"/>
      <c r="E41" s="129"/>
      <c r="F41" s="18"/>
      <c r="G41" s="18"/>
      <c r="H41" s="18"/>
      <c r="I41" s="18"/>
      <c r="J41" s="127"/>
      <c r="K41" s="128"/>
      <c r="L41" s="128"/>
      <c r="M41" s="128"/>
      <c r="N41" s="128"/>
      <c r="O41" s="129"/>
      <c r="P41" s="18"/>
      <c r="Q41" s="18"/>
      <c r="R41" s="18"/>
      <c r="S41" s="18"/>
    </row>
    <row r="42" spans="1:19" ht="18" customHeight="1">
      <c r="B42" s="130"/>
      <c r="C42" s="131"/>
      <c r="D42" s="131"/>
      <c r="E42" s="132"/>
      <c r="F42" s="19"/>
      <c r="G42" s="19"/>
      <c r="H42" s="20"/>
      <c r="I42" s="20"/>
      <c r="J42" s="130"/>
      <c r="K42" s="131"/>
      <c r="L42" s="131"/>
      <c r="M42" s="131"/>
      <c r="N42" s="131"/>
      <c r="O42" s="132"/>
      <c r="P42" s="19"/>
      <c r="Q42" s="19"/>
      <c r="R42" s="20"/>
      <c r="S42" s="20"/>
    </row>
    <row r="43" spans="1:19" ht="7.5" customHeight="1">
      <c r="A43" s="117"/>
      <c r="B43" s="5"/>
      <c r="C43" s="5"/>
      <c r="D43" s="117"/>
      <c r="E43" s="117"/>
      <c r="F43" s="117"/>
      <c r="G43" s="117"/>
      <c r="H43" s="5"/>
      <c r="I43" s="5"/>
      <c r="J43" s="5"/>
      <c r="K43" s="5"/>
      <c r="L43" s="5"/>
      <c r="M43" s="5"/>
      <c r="N43" s="5"/>
      <c r="O43" s="5"/>
      <c r="P43" s="5"/>
      <c r="Q43" s="5"/>
      <c r="R43" s="5"/>
      <c r="S43" s="117"/>
    </row>
    <row r="44" spans="1:19" ht="18" customHeight="1">
      <c r="A44" s="136" t="s">
        <v>115</v>
      </c>
      <c r="B44" s="136"/>
      <c r="C44" s="136"/>
      <c r="D44" s="136"/>
      <c r="E44" s="136"/>
      <c r="F44" s="136"/>
      <c r="G44" s="136"/>
      <c r="H44" s="136"/>
      <c r="I44" s="136"/>
      <c r="J44" s="136"/>
      <c r="K44" s="136"/>
      <c r="L44" s="136"/>
      <c r="M44" s="136"/>
      <c r="N44" s="136"/>
      <c r="O44" s="136"/>
      <c r="P44" s="136"/>
      <c r="Q44" s="136"/>
      <c r="R44" s="136"/>
      <c r="S44" s="136"/>
    </row>
    <row r="45" spans="1:19" ht="18" customHeight="1">
      <c r="A45" s="136"/>
      <c r="B45" s="136"/>
      <c r="C45" s="136"/>
      <c r="D45" s="136"/>
      <c r="E45" s="136"/>
      <c r="F45" s="136"/>
      <c r="G45" s="136"/>
      <c r="H45" s="136"/>
      <c r="I45" s="136"/>
      <c r="J45" s="136"/>
      <c r="K45" s="136"/>
      <c r="L45" s="136"/>
      <c r="M45" s="136"/>
      <c r="N45" s="136"/>
      <c r="O45" s="136"/>
      <c r="P45" s="136"/>
      <c r="Q45" s="136"/>
      <c r="R45" s="136"/>
      <c r="S45" s="136"/>
    </row>
    <row r="46" spans="1:19" ht="18" customHeight="1">
      <c r="B46" s="133" t="s">
        <v>53</v>
      </c>
      <c r="C46" s="134"/>
      <c r="D46" s="134"/>
      <c r="E46" s="135"/>
      <c r="F46" s="54" t="s">
        <v>80</v>
      </c>
      <c r="G46" s="53" t="s">
        <v>84</v>
      </c>
      <c r="H46" s="16" t="s">
        <v>73</v>
      </c>
      <c r="I46" s="16" t="s">
        <v>74</v>
      </c>
      <c r="J46" s="133" t="s">
        <v>53</v>
      </c>
      <c r="K46" s="134"/>
      <c r="L46" s="134"/>
      <c r="M46" s="134"/>
      <c r="N46" s="134"/>
      <c r="O46" s="135"/>
      <c r="P46" s="54" t="s">
        <v>80</v>
      </c>
      <c r="Q46" s="53" t="s">
        <v>84</v>
      </c>
      <c r="R46" s="16" t="s">
        <v>73</v>
      </c>
      <c r="S46" s="16" t="s">
        <v>74</v>
      </c>
    </row>
    <row r="47" spans="1:19" ht="18" customHeight="1">
      <c r="A47" s="117"/>
      <c r="B47" s="193" t="s">
        <v>184</v>
      </c>
      <c r="C47" s="194"/>
      <c r="D47" s="194"/>
      <c r="E47" s="195"/>
      <c r="F47" s="114">
        <v>1</v>
      </c>
      <c r="G47" s="114"/>
      <c r="H47" s="114" t="s">
        <v>131</v>
      </c>
      <c r="I47" s="114" t="s">
        <v>131</v>
      </c>
      <c r="J47" s="137"/>
      <c r="K47" s="138"/>
      <c r="L47" s="138"/>
      <c r="M47" s="138"/>
      <c r="N47" s="138"/>
      <c r="O47" s="139"/>
      <c r="P47" s="17"/>
      <c r="Q47" s="17"/>
      <c r="R47" s="17"/>
      <c r="S47" s="17"/>
    </row>
    <row r="48" spans="1:19" ht="18" customHeight="1">
      <c r="A48" s="117"/>
      <c r="B48" s="242" t="s">
        <v>135</v>
      </c>
      <c r="C48" s="243"/>
      <c r="D48" s="243"/>
      <c r="E48" s="244"/>
      <c r="F48" s="120">
        <v>1</v>
      </c>
      <c r="G48" s="120"/>
      <c r="H48" s="120" t="s">
        <v>131</v>
      </c>
      <c r="I48" s="120" t="s">
        <v>131</v>
      </c>
      <c r="J48" s="127"/>
      <c r="K48" s="128"/>
      <c r="L48" s="128"/>
      <c r="M48" s="128"/>
      <c r="N48" s="128"/>
      <c r="O48" s="129"/>
      <c r="P48" s="18"/>
      <c r="Q48" s="18"/>
      <c r="R48" s="18"/>
      <c r="S48" s="18"/>
    </row>
    <row r="49" spans="1:19" ht="18" customHeight="1">
      <c r="A49" s="117"/>
      <c r="B49" s="127" t="s">
        <v>136</v>
      </c>
      <c r="C49" s="128"/>
      <c r="D49" s="128"/>
      <c r="E49" s="129"/>
      <c r="F49" s="18">
        <v>1</v>
      </c>
      <c r="G49" s="18"/>
      <c r="H49" s="18" t="s">
        <v>131</v>
      </c>
      <c r="I49" s="18" t="s">
        <v>131</v>
      </c>
      <c r="J49" s="127"/>
      <c r="K49" s="128"/>
      <c r="L49" s="128"/>
      <c r="M49" s="128"/>
      <c r="N49" s="128"/>
      <c r="O49" s="129"/>
      <c r="P49" s="18"/>
      <c r="Q49" s="18"/>
      <c r="R49" s="18"/>
      <c r="S49" s="18"/>
    </row>
    <row r="50" spans="1:19" ht="18" customHeight="1">
      <c r="A50" s="117"/>
      <c r="B50" s="127"/>
      <c r="C50" s="128"/>
      <c r="D50" s="128"/>
      <c r="E50" s="129"/>
      <c r="F50" s="18"/>
      <c r="G50" s="18"/>
      <c r="H50" s="18"/>
      <c r="I50" s="18"/>
      <c r="J50" s="127"/>
      <c r="K50" s="128"/>
      <c r="L50" s="128"/>
      <c r="M50" s="128"/>
      <c r="N50" s="128"/>
      <c r="O50" s="129"/>
      <c r="P50" s="18"/>
      <c r="Q50" s="18"/>
      <c r="R50" s="18"/>
      <c r="S50" s="18"/>
    </row>
    <row r="51" spans="1:19" ht="18" customHeight="1">
      <c r="A51" s="117"/>
      <c r="B51" s="127"/>
      <c r="C51" s="128"/>
      <c r="D51" s="128"/>
      <c r="E51" s="129"/>
      <c r="F51" s="18"/>
      <c r="G51" s="18"/>
      <c r="H51" s="18"/>
      <c r="I51" s="18"/>
      <c r="J51" s="127"/>
      <c r="K51" s="128"/>
      <c r="L51" s="128"/>
      <c r="M51" s="128"/>
      <c r="N51" s="128"/>
      <c r="O51" s="129"/>
      <c r="P51" s="18"/>
      <c r="Q51" s="18"/>
      <c r="R51" s="18"/>
      <c r="S51" s="18"/>
    </row>
    <row r="52" spans="1:19" ht="18" customHeight="1">
      <c r="A52" s="117"/>
      <c r="B52" s="127"/>
      <c r="C52" s="128"/>
      <c r="D52" s="128"/>
      <c r="E52" s="129"/>
      <c r="F52" s="18"/>
      <c r="G52" s="18"/>
      <c r="H52" s="18"/>
      <c r="I52" s="18"/>
      <c r="J52" s="127"/>
      <c r="K52" s="128"/>
      <c r="L52" s="128"/>
      <c r="M52" s="128"/>
      <c r="N52" s="128"/>
      <c r="O52" s="129"/>
      <c r="P52" s="18"/>
      <c r="Q52" s="18"/>
      <c r="R52" s="18"/>
      <c r="S52" s="18"/>
    </row>
    <row r="53" spans="1:19" ht="18" customHeight="1">
      <c r="A53" s="117"/>
      <c r="B53" s="130"/>
      <c r="C53" s="131"/>
      <c r="D53" s="131"/>
      <c r="E53" s="132"/>
      <c r="F53" s="19"/>
      <c r="G53" s="19"/>
      <c r="H53" s="20"/>
      <c r="I53" s="20"/>
      <c r="J53" s="130"/>
      <c r="K53" s="131"/>
      <c r="L53" s="131"/>
      <c r="M53" s="131"/>
      <c r="N53" s="131"/>
      <c r="O53" s="132"/>
      <c r="P53" s="19"/>
      <c r="Q53" s="19"/>
      <c r="R53" s="20"/>
      <c r="S53" s="20"/>
    </row>
    <row r="54" spans="1:19" ht="7.5" customHeight="1">
      <c r="B54" s="119"/>
      <c r="C54" s="119"/>
      <c r="D54" s="119"/>
      <c r="E54" s="119"/>
      <c r="F54" s="119"/>
      <c r="G54" s="119"/>
      <c r="H54" s="119"/>
      <c r="I54" s="119"/>
      <c r="J54" s="119"/>
      <c r="K54" s="119"/>
      <c r="L54" s="119"/>
      <c r="M54" s="119"/>
      <c r="N54" s="119"/>
      <c r="O54" s="119"/>
      <c r="P54" s="119"/>
      <c r="Q54" s="119"/>
      <c r="R54" s="119"/>
    </row>
    <row r="55" spans="1:19" ht="18" customHeight="1">
      <c r="A55" s="136" t="s">
        <v>116</v>
      </c>
      <c r="B55" s="136"/>
      <c r="C55" s="136"/>
      <c r="D55" s="136"/>
      <c r="E55" s="136"/>
      <c r="F55" s="136"/>
      <c r="G55" s="136"/>
      <c r="H55" s="136"/>
      <c r="I55" s="136"/>
      <c r="J55" s="136"/>
      <c r="K55" s="136"/>
      <c r="L55" s="136"/>
      <c r="M55" s="136"/>
      <c r="N55" s="136"/>
      <c r="O55" s="136"/>
      <c r="P55" s="136"/>
      <c r="Q55" s="136"/>
      <c r="R55" s="136"/>
      <c r="S55" s="136"/>
    </row>
    <row r="56" spans="1:19" ht="18" customHeight="1">
      <c r="A56" s="136"/>
      <c r="B56" s="136"/>
      <c r="C56" s="136"/>
      <c r="D56" s="136"/>
      <c r="E56" s="136"/>
      <c r="F56" s="136"/>
      <c r="G56" s="136"/>
      <c r="H56" s="136"/>
      <c r="I56" s="136"/>
      <c r="J56" s="136"/>
      <c r="K56" s="136"/>
      <c r="L56" s="136"/>
      <c r="M56" s="136"/>
      <c r="N56" s="136"/>
      <c r="O56" s="136"/>
      <c r="P56" s="136"/>
      <c r="Q56" s="136"/>
      <c r="R56" s="136"/>
      <c r="S56" s="136"/>
    </row>
    <row r="57" spans="1:19" ht="18" customHeight="1">
      <c r="B57" s="133" t="s">
        <v>53</v>
      </c>
      <c r="C57" s="134"/>
      <c r="D57" s="134"/>
      <c r="E57" s="135"/>
      <c r="F57" s="54" t="s">
        <v>80</v>
      </c>
      <c r="G57" s="53" t="s">
        <v>84</v>
      </c>
      <c r="H57" s="16" t="s">
        <v>58</v>
      </c>
      <c r="I57" s="16" t="s">
        <v>60</v>
      </c>
      <c r="J57" s="133" t="s">
        <v>53</v>
      </c>
      <c r="K57" s="134"/>
      <c r="L57" s="134"/>
      <c r="M57" s="134"/>
      <c r="N57" s="134"/>
      <c r="O57" s="135"/>
      <c r="P57" s="54" t="s">
        <v>80</v>
      </c>
      <c r="Q57" s="53" t="s">
        <v>84</v>
      </c>
      <c r="R57" s="16" t="s">
        <v>58</v>
      </c>
      <c r="S57" s="16" t="s">
        <v>60</v>
      </c>
    </row>
    <row r="58" spans="1:19" ht="18" customHeight="1">
      <c r="A58" s="117"/>
      <c r="B58" s="193" t="s">
        <v>185</v>
      </c>
      <c r="C58" s="194"/>
      <c r="D58" s="194"/>
      <c r="E58" s="195"/>
      <c r="F58" s="114">
        <v>1</v>
      </c>
      <c r="G58" s="114"/>
      <c r="H58" s="114" t="s">
        <v>131</v>
      </c>
      <c r="I58" s="114" t="s">
        <v>131</v>
      </c>
      <c r="J58" s="137"/>
      <c r="K58" s="138"/>
      <c r="L58" s="138"/>
      <c r="M58" s="138"/>
      <c r="N58" s="138"/>
      <c r="O58" s="139"/>
      <c r="P58" s="17"/>
      <c r="Q58" s="17"/>
      <c r="R58" s="17"/>
      <c r="S58" s="17"/>
    </row>
    <row r="59" spans="1:19" ht="18" customHeight="1">
      <c r="A59" s="117"/>
      <c r="B59" s="242" t="s">
        <v>135</v>
      </c>
      <c r="C59" s="243"/>
      <c r="D59" s="243"/>
      <c r="E59" s="244"/>
      <c r="F59" s="120">
        <v>1</v>
      </c>
      <c r="G59" s="120"/>
      <c r="H59" s="120" t="s">
        <v>131</v>
      </c>
      <c r="I59" s="120" t="s">
        <v>131</v>
      </c>
      <c r="J59" s="127"/>
      <c r="K59" s="128"/>
      <c r="L59" s="128"/>
      <c r="M59" s="128"/>
      <c r="N59" s="128"/>
      <c r="O59" s="129"/>
      <c r="P59" s="18"/>
      <c r="Q59" s="18"/>
      <c r="R59" s="18"/>
      <c r="S59" s="18"/>
    </row>
    <row r="60" spans="1:19" ht="18" customHeight="1">
      <c r="A60" s="117"/>
      <c r="B60" s="127" t="s">
        <v>137</v>
      </c>
      <c r="C60" s="128"/>
      <c r="D60" s="128"/>
      <c r="E60" s="129"/>
      <c r="F60" s="18">
        <v>1</v>
      </c>
      <c r="G60" s="18"/>
      <c r="H60" s="18" t="s">
        <v>131</v>
      </c>
      <c r="I60" s="18" t="s">
        <v>131</v>
      </c>
      <c r="J60" s="127"/>
      <c r="K60" s="128"/>
      <c r="L60" s="128"/>
      <c r="M60" s="128"/>
      <c r="N60" s="128"/>
      <c r="O60" s="129"/>
      <c r="P60" s="18"/>
      <c r="Q60" s="18"/>
      <c r="R60" s="18"/>
      <c r="S60" s="18"/>
    </row>
    <row r="61" spans="1:19" ht="18" customHeight="1">
      <c r="A61" s="117"/>
      <c r="B61" s="127"/>
      <c r="C61" s="128"/>
      <c r="D61" s="128"/>
      <c r="E61" s="129"/>
      <c r="F61" s="18"/>
      <c r="G61" s="18"/>
      <c r="H61" s="18"/>
      <c r="I61" s="18"/>
      <c r="J61" s="127"/>
      <c r="K61" s="128"/>
      <c r="L61" s="128"/>
      <c r="M61" s="128"/>
      <c r="N61" s="128"/>
      <c r="O61" s="129"/>
      <c r="P61" s="18"/>
      <c r="Q61" s="18"/>
      <c r="R61" s="18"/>
      <c r="S61" s="18"/>
    </row>
    <row r="62" spans="1:19" ht="18" customHeight="1">
      <c r="A62" s="117"/>
      <c r="B62" s="127"/>
      <c r="C62" s="128"/>
      <c r="D62" s="128"/>
      <c r="E62" s="129"/>
      <c r="F62" s="18"/>
      <c r="G62" s="18"/>
      <c r="H62" s="18"/>
      <c r="I62" s="18"/>
      <c r="J62" s="127"/>
      <c r="K62" s="128"/>
      <c r="L62" s="128"/>
      <c r="M62" s="128"/>
      <c r="N62" s="128"/>
      <c r="O62" s="129"/>
      <c r="P62" s="18"/>
      <c r="Q62" s="18"/>
      <c r="R62" s="18"/>
      <c r="S62" s="18"/>
    </row>
    <row r="63" spans="1:19" ht="18" customHeight="1">
      <c r="A63" s="117"/>
      <c r="B63" s="127"/>
      <c r="C63" s="128"/>
      <c r="D63" s="128"/>
      <c r="E63" s="129"/>
      <c r="F63" s="18"/>
      <c r="G63" s="18"/>
      <c r="H63" s="18"/>
      <c r="I63" s="18"/>
      <c r="J63" s="127"/>
      <c r="K63" s="128"/>
      <c r="L63" s="128"/>
      <c r="M63" s="128"/>
      <c r="N63" s="128"/>
      <c r="O63" s="129"/>
      <c r="P63" s="18"/>
      <c r="Q63" s="18"/>
      <c r="R63" s="18"/>
      <c r="S63" s="18"/>
    </row>
    <row r="64" spans="1:19" ht="18" customHeight="1">
      <c r="A64" s="117"/>
      <c r="B64" s="130"/>
      <c r="C64" s="131"/>
      <c r="D64" s="131"/>
      <c r="E64" s="132"/>
      <c r="F64" s="19"/>
      <c r="G64" s="19"/>
      <c r="H64" s="20"/>
      <c r="I64" s="20"/>
      <c r="J64" s="130"/>
      <c r="K64" s="131"/>
      <c r="L64" s="131"/>
      <c r="M64" s="131"/>
      <c r="N64" s="131"/>
      <c r="O64" s="132"/>
      <c r="P64" s="19"/>
      <c r="Q64" s="19"/>
      <c r="R64" s="20"/>
      <c r="S64" s="20"/>
    </row>
    <row r="65" spans="1:19" ht="7.5" customHeight="1">
      <c r="B65" s="119"/>
      <c r="C65" s="119"/>
      <c r="D65" s="119"/>
      <c r="E65" s="119"/>
      <c r="F65" s="119"/>
      <c r="G65" s="119"/>
      <c r="H65" s="119"/>
      <c r="I65" s="119"/>
      <c r="J65" s="119"/>
      <c r="K65" s="119"/>
      <c r="L65" s="119"/>
      <c r="M65" s="119"/>
      <c r="N65" s="119"/>
      <c r="O65" s="119"/>
      <c r="P65" s="119"/>
      <c r="Q65" s="119"/>
      <c r="R65" s="119"/>
    </row>
    <row r="66" spans="1:19" ht="18" customHeight="1">
      <c r="A66" s="136" t="s">
        <v>117</v>
      </c>
      <c r="B66" s="136"/>
      <c r="C66" s="136"/>
      <c r="D66" s="136"/>
      <c r="E66" s="136"/>
      <c r="F66" s="136"/>
      <c r="G66" s="136"/>
      <c r="H66" s="136"/>
      <c r="I66" s="136"/>
      <c r="J66" s="136"/>
      <c r="K66" s="136"/>
      <c r="L66" s="136"/>
      <c r="M66" s="136"/>
      <c r="N66" s="136"/>
      <c r="O66" s="136"/>
      <c r="P66" s="136"/>
      <c r="Q66" s="136"/>
      <c r="R66" s="136"/>
      <c r="S66" s="136"/>
    </row>
    <row r="67" spans="1:19" ht="18" customHeight="1">
      <c r="A67" s="136"/>
      <c r="B67" s="136"/>
      <c r="C67" s="136"/>
      <c r="D67" s="136"/>
      <c r="E67" s="136"/>
      <c r="F67" s="136"/>
      <c r="G67" s="136"/>
      <c r="H67" s="136"/>
      <c r="I67" s="136"/>
      <c r="J67" s="136"/>
      <c r="K67" s="136"/>
      <c r="L67" s="136"/>
      <c r="M67" s="136"/>
      <c r="N67" s="136"/>
      <c r="O67" s="136"/>
      <c r="P67" s="136"/>
      <c r="Q67" s="136"/>
      <c r="R67" s="136"/>
      <c r="S67" s="136"/>
    </row>
    <row r="68" spans="1:19" ht="18" customHeight="1">
      <c r="B68" s="133" t="s">
        <v>53</v>
      </c>
      <c r="C68" s="134"/>
      <c r="D68" s="134"/>
      <c r="E68" s="54" t="s">
        <v>80</v>
      </c>
      <c r="F68" s="53" t="s">
        <v>84</v>
      </c>
      <c r="G68" s="16" t="s">
        <v>101</v>
      </c>
      <c r="H68" s="16" t="s">
        <v>75</v>
      </c>
      <c r="I68" s="16" t="s">
        <v>76</v>
      </c>
      <c r="J68" s="133" t="s">
        <v>53</v>
      </c>
      <c r="K68" s="134"/>
      <c r="L68" s="134"/>
      <c r="M68" s="134"/>
      <c r="N68" s="135"/>
      <c r="O68" s="54" t="s">
        <v>80</v>
      </c>
      <c r="P68" s="53" t="s">
        <v>84</v>
      </c>
      <c r="Q68" s="16" t="s">
        <v>101</v>
      </c>
      <c r="R68" s="16" t="s">
        <v>75</v>
      </c>
      <c r="S68" s="16" t="s">
        <v>76</v>
      </c>
    </row>
    <row r="69" spans="1:19" ht="18" customHeight="1">
      <c r="A69" s="117"/>
      <c r="B69" s="193" t="s">
        <v>184</v>
      </c>
      <c r="C69" s="194"/>
      <c r="D69" s="194"/>
      <c r="E69" s="114">
        <v>1</v>
      </c>
      <c r="F69" s="114"/>
      <c r="G69" s="114" t="s">
        <v>131</v>
      </c>
      <c r="H69" s="114" t="s">
        <v>131</v>
      </c>
      <c r="I69" s="114" t="s">
        <v>131</v>
      </c>
      <c r="J69" s="137"/>
      <c r="K69" s="138"/>
      <c r="L69" s="138"/>
      <c r="M69" s="138"/>
      <c r="N69" s="139"/>
      <c r="O69" s="17"/>
      <c r="P69" s="17"/>
      <c r="Q69" s="17"/>
      <c r="R69" s="17"/>
      <c r="S69" s="17"/>
    </row>
    <row r="70" spans="1:19" ht="18" customHeight="1">
      <c r="A70" s="117"/>
      <c r="B70" s="242" t="s">
        <v>134</v>
      </c>
      <c r="C70" s="243"/>
      <c r="D70" s="243"/>
      <c r="E70" s="120">
        <v>1</v>
      </c>
      <c r="F70" s="120"/>
      <c r="G70" s="120" t="s">
        <v>131</v>
      </c>
      <c r="H70" s="120" t="s">
        <v>131</v>
      </c>
      <c r="I70" s="120" t="s">
        <v>131</v>
      </c>
      <c r="J70" s="127"/>
      <c r="K70" s="128"/>
      <c r="L70" s="128"/>
      <c r="M70" s="128"/>
      <c r="N70" s="129"/>
      <c r="O70" s="18"/>
      <c r="P70" s="18"/>
      <c r="Q70" s="18"/>
      <c r="R70" s="18"/>
      <c r="S70" s="18"/>
    </row>
    <row r="71" spans="1:19" ht="18" customHeight="1">
      <c r="A71" s="117"/>
      <c r="B71" s="127" t="s">
        <v>136</v>
      </c>
      <c r="C71" s="128"/>
      <c r="D71" s="128"/>
      <c r="E71" s="18">
        <v>1</v>
      </c>
      <c r="F71" s="18"/>
      <c r="G71" s="18" t="s">
        <v>131</v>
      </c>
      <c r="H71" s="18" t="s">
        <v>131</v>
      </c>
      <c r="I71" s="18" t="s">
        <v>131</v>
      </c>
      <c r="J71" s="127"/>
      <c r="K71" s="128"/>
      <c r="L71" s="128"/>
      <c r="M71" s="128"/>
      <c r="N71" s="129"/>
      <c r="O71" s="18"/>
      <c r="P71" s="18"/>
      <c r="Q71" s="18"/>
      <c r="R71" s="18"/>
      <c r="S71" s="18"/>
    </row>
    <row r="72" spans="1:19" ht="18" customHeight="1">
      <c r="A72" s="117"/>
      <c r="B72" s="127"/>
      <c r="C72" s="128"/>
      <c r="D72" s="128"/>
      <c r="E72" s="18"/>
      <c r="F72" s="18"/>
      <c r="G72" s="18"/>
      <c r="H72" s="18"/>
      <c r="I72" s="18"/>
      <c r="J72" s="127"/>
      <c r="K72" s="128"/>
      <c r="L72" s="128"/>
      <c r="M72" s="128"/>
      <c r="N72" s="129"/>
      <c r="O72" s="18"/>
      <c r="P72" s="18"/>
      <c r="Q72" s="18"/>
      <c r="R72" s="18"/>
      <c r="S72" s="18"/>
    </row>
    <row r="73" spans="1:19" ht="18" customHeight="1">
      <c r="A73" s="117"/>
      <c r="B73" s="127"/>
      <c r="C73" s="128"/>
      <c r="D73" s="128"/>
      <c r="E73" s="18"/>
      <c r="F73" s="18"/>
      <c r="G73" s="18"/>
      <c r="H73" s="18"/>
      <c r="I73" s="18"/>
      <c r="J73" s="127"/>
      <c r="K73" s="128"/>
      <c r="L73" s="128"/>
      <c r="M73" s="128"/>
      <c r="N73" s="129"/>
      <c r="O73" s="18"/>
      <c r="P73" s="18"/>
      <c r="Q73" s="18"/>
      <c r="R73" s="18"/>
      <c r="S73" s="18"/>
    </row>
    <row r="74" spans="1:19" ht="18" customHeight="1">
      <c r="A74" s="117"/>
      <c r="B74" s="127"/>
      <c r="C74" s="128"/>
      <c r="D74" s="128"/>
      <c r="E74" s="18"/>
      <c r="F74" s="18"/>
      <c r="G74" s="18"/>
      <c r="H74" s="18"/>
      <c r="I74" s="18"/>
      <c r="J74" s="127"/>
      <c r="K74" s="128"/>
      <c r="L74" s="128"/>
      <c r="M74" s="128"/>
      <c r="N74" s="129"/>
      <c r="O74" s="18"/>
      <c r="P74" s="18"/>
      <c r="Q74" s="18"/>
      <c r="R74" s="18"/>
      <c r="S74" s="18"/>
    </row>
    <row r="75" spans="1:19" ht="18" customHeight="1">
      <c r="A75" s="117"/>
      <c r="B75" s="130"/>
      <c r="C75" s="131"/>
      <c r="D75" s="131"/>
      <c r="E75" s="19"/>
      <c r="F75" s="19"/>
      <c r="G75" s="20"/>
      <c r="H75" s="20"/>
      <c r="I75" s="20"/>
      <c r="J75" s="130"/>
      <c r="K75" s="131"/>
      <c r="L75" s="131"/>
      <c r="M75" s="131"/>
      <c r="N75" s="132"/>
      <c r="O75" s="19"/>
      <c r="P75" s="19"/>
      <c r="Q75" s="20"/>
      <c r="R75" s="20"/>
      <c r="S75" s="20"/>
    </row>
    <row r="76" spans="1:19" ht="7.5" customHeight="1">
      <c r="B76" s="119"/>
      <c r="C76" s="119"/>
      <c r="D76" s="119"/>
      <c r="E76" s="119"/>
      <c r="F76" s="119"/>
      <c r="G76" s="119"/>
      <c r="H76" s="119"/>
      <c r="I76" s="119"/>
      <c r="J76" s="119"/>
      <c r="K76" s="119"/>
      <c r="L76" s="119"/>
      <c r="M76" s="119"/>
      <c r="N76" s="119"/>
      <c r="O76" s="119"/>
      <c r="P76" s="119"/>
      <c r="Q76" s="119"/>
      <c r="R76" s="119"/>
    </row>
    <row r="77" spans="1:19" ht="18" customHeight="1">
      <c r="A77" s="118" t="s">
        <v>118</v>
      </c>
      <c r="H77" s="117"/>
      <c r="I77" s="117"/>
      <c r="J77" s="117"/>
      <c r="K77" s="117"/>
      <c r="L77" s="117"/>
      <c r="M77" s="117"/>
      <c r="N77" s="117"/>
      <c r="O77" s="117"/>
      <c r="P77" s="117"/>
      <c r="Q77" s="117"/>
      <c r="R77" s="117"/>
      <c r="S77" s="117"/>
    </row>
    <row r="78" spans="1:19" ht="18" customHeight="1">
      <c r="B78" s="133" t="s">
        <v>53</v>
      </c>
      <c r="C78" s="134"/>
      <c r="D78" s="134"/>
      <c r="E78" s="135"/>
      <c r="F78" s="133" t="s">
        <v>82</v>
      </c>
      <c r="G78" s="134"/>
      <c r="H78" s="134"/>
      <c r="I78" s="135"/>
      <c r="J78" s="174" t="s">
        <v>53</v>
      </c>
      <c r="K78" s="175"/>
      <c r="L78" s="175"/>
      <c r="M78" s="175"/>
      <c r="N78" s="175"/>
      <c r="O78" s="176"/>
      <c r="P78" s="133" t="s">
        <v>82</v>
      </c>
      <c r="Q78" s="134"/>
      <c r="R78" s="134"/>
      <c r="S78" s="135"/>
    </row>
    <row r="79" spans="1:19" ht="18" customHeight="1">
      <c r="A79" s="117"/>
      <c r="B79" s="137"/>
      <c r="C79" s="138"/>
      <c r="D79" s="138"/>
      <c r="E79" s="139"/>
      <c r="F79" s="184"/>
      <c r="G79" s="185"/>
      <c r="H79" s="185"/>
      <c r="I79" s="186"/>
      <c r="J79" s="137"/>
      <c r="K79" s="138"/>
      <c r="L79" s="138"/>
      <c r="M79" s="138"/>
      <c r="N79" s="138"/>
      <c r="O79" s="139"/>
      <c r="P79" s="184"/>
      <c r="Q79" s="185"/>
      <c r="R79" s="185"/>
      <c r="S79" s="186"/>
    </row>
    <row r="80" spans="1:19" ht="18" customHeight="1">
      <c r="A80" s="117"/>
      <c r="B80" s="127"/>
      <c r="C80" s="128"/>
      <c r="D80" s="128"/>
      <c r="E80" s="129"/>
      <c r="F80" s="163"/>
      <c r="G80" s="164"/>
      <c r="H80" s="164"/>
      <c r="I80" s="165"/>
      <c r="J80" s="127"/>
      <c r="K80" s="128"/>
      <c r="L80" s="128"/>
      <c r="M80" s="128"/>
      <c r="N80" s="128"/>
      <c r="O80" s="129"/>
      <c r="P80" s="163"/>
      <c r="Q80" s="164"/>
      <c r="R80" s="164"/>
      <c r="S80" s="165"/>
    </row>
    <row r="81" spans="1:19" ht="18" customHeight="1">
      <c r="A81" s="117"/>
      <c r="B81" s="127"/>
      <c r="C81" s="128"/>
      <c r="D81" s="128"/>
      <c r="E81" s="129"/>
      <c r="F81" s="163"/>
      <c r="G81" s="164"/>
      <c r="H81" s="164"/>
      <c r="I81" s="165"/>
      <c r="J81" s="127"/>
      <c r="K81" s="128"/>
      <c r="L81" s="128"/>
      <c r="M81" s="128"/>
      <c r="N81" s="128"/>
      <c r="O81" s="129"/>
      <c r="P81" s="163"/>
      <c r="Q81" s="164"/>
      <c r="R81" s="164"/>
      <c r="S81" s="165"/>
    </row>
    <row r="82" spans="1:19" ht="18" customHeight="1">
      <c r="A82" s="117"/>
      <c r="B82" s="127"/>
      <c r="C82" s="128"/>
      <c r="D82" s="128"/>
      <c r="E82" s="129"/>
      <c r="F82" s="163"/>
      <c r="G82" s="164"/>
      <c r="H82" s="164"/>
      <c r="I82" s="165"/>
      <c r="J82" s="127"/>
      <c r="K82" s="128"/>
      <c r="L82" s="128"/>
      <c r="M82" s="128"/>
      <c r="N82" s="128"/>
      <c r="O82" s="129"/>
      <c r="P82" s="163"/>
      <c r="Q82" s="164"/>
      <c r="R82" s="164"/>
      <c r="S82" s="165"/>
    </row>
    <row r="83" spans="1:19" ht="18" customHeight="1">
      <c r="A83" s="117"/>
      <c r="B83" s="127"/>
      <c r="C83" s="128"/>
      <c r="D83" s="128"/>
      <c r="E83" s="129"/>
      <c r="F83" s="163"/>
      <c r="G83" s="164"/>
      <c r="H83" s="164"/>
      <c r="I83" s="165"/>
      <c r="J83" s="127"/>
      <c r="K83" s="128"/>
      <c r="L83" s="128"/>
      <c r="M83" s="128"/>
      <c r="N83" s="128"/>
      <c r="O83" s="129"/>
      <c r="P83" s="163"/>
      <c r="Q83" s="164"/>
      <c r="R83" s="164"/>
      <c r="S83" s="165"/>
    </row>
    <row r="84" spans="1:19" ht="18" customHeight="1">
      <c r="A84" s="117"/>
      <c r="B84" s="127"/>
      <c r="C84" s="128"/>
      <c r="D84" s="128"/>
      <c r="E84" s="129"/>
      <c r="F84" s="163"/>
      <c r="G84" s="164"/>
      <c r="H84" s="164"/>
      <c r="I84" s="165"/>
      <c r="J84" s="127"/>
      <c r="K84" s="128"/>
      <c r="L84" s="128"/>
      <c r="M84" s="128"/>
      <c r="N84" s="128"/>
      <c r="O84" s="129"/>
      <c r="P84" s="163"/>
      <c r="Q84" s="164"/>
      <c r="R84" s="164"/>
      <c r="S84" s="165"/>
    </row>
    <row r="85" spans="1:19" ht="18" customHeight="1">
      <c r="A85" s="117"/>
      <c r="B85" s="130"/>
      <c r="C85" s="131"/>
      <c r="D85" s="131"/>
      <c r="E85" s="132"/>
      <c r="F85" s="160"/>
      <c r="G85" s="161"/>
      <c r="H85" s="161"/>
      <c r="I85" s="162"/>
      <c r="J85" s="130"/>
      <c r="K85" s="131"/>
      <c r="L85" s="131"/>
      <c r="M85" s="131"/>
      <c r="N85" s="131"/>
      <c r="O85" s="132"/>
      <c r="P85" s="160"/>
      <c r="Q85" s="161"/>
      <c r="R85" s="161"/>
      <c r="S85" s="162"/>
    </row>
    <row r="86" spans="1:19" ht="18" customHeight="1">
      <c r="A86" s="117"/>
      <c r="B86" s="5"/>
      <c r="C86" s="5"/>
      <c r="D86" s="5"/>
      <c r="E86" s="5"/>
      <c r="F86" s="21"/>
      <c r="G86" s="21"/>
      <c r="H86" s="21"/>
      <c r="I86" s="21"/>
      <c r="J86" s="5"/>
      <c r="K86" s="5"/>
      <c r="L86" s="5"/>
      <c r="M86" s="5"/>
      <c r="N86" s="5"/>
      <c r="O86" s="5"/>
      <c r="P86" s="21"/>
      <c r="Q86" s="21"/>
      <c r="R86" s="21"/>
      <c r="S86" s="21"/>
    </row>
    <row r="87" spans="1:19" ht="18.75" customHeight="1">
      <c r="A87" s="118" t="s">
        <v>119</v>
      </c>
    </row>
    <row r="88" spans="1:19" ht="18.75" customHeight="1">
      <c r="B88" s="182" t="s">
        <v>54</v>
      </c>
      <c r="C88" s="183"/>
      <c r="D88" s="134" t="s">
        <v>55</v>
      </c>
      <c r="E88" s="134"/>
      <c r="F88" s="134"/>
      <c r="G88" s="134"/>
      <c r="H88" s="134"/>
      <c r="I88" s="134"/>
      <c r="J88" s="134"/>
      <c r="K88" s="134"/>
      <c r="L88" s="134"/>
      <c r="M88" s="134"/>
      <c r="N88" s="134"/>
      <c r="O88" s="134"/>
      <c r="P88" s="134"/>
      <c r="Q88" s="134"/>
      <c r="R88" s="134"/>
      <c r="S88" s="135"/>
    </row>
    <row r="89" spans="1:19" ht="139.5" customHeight="1">
      <c r="B89" s="177" t="s">
        <v>61</v>
      </c>
      <c r="C89" s="22" t="s">
        <v>56</v>
      </c>
      <c r="D89" s="231" t="s">
        <v>239</v>
      </c>
      <c r="E89" s="232"/>
      <c r="F89" s="232"/>
      <c r="G89" s="232"/>
      <c r="H89" s="232"/>
      <c r="I89" s="232"/>
      <c r="J89" s="232"/>
      <c r="K89" s="232"/>
      <c r="L89" s="232"/>
      <c r="M89" s="232"/>
      <c r="N89" s="232"/>
      <c r="O89" s="232"/>
      <c r="P89" s="232"/>
      <c r="Q89" s="232"/>
      <c r="R89" s="232"/>
      <c r="S89" s="233"/>
    </row>
    <row r="90" spans="1:19" ht="81.75" customHeight="1">
      <c r="B90" s="179"/>
      <c r="C90" s="23" t="s">
        <v>77</v>
      </c>
      <c r="D90" s="239" t="s">
        <v>230</v>
      </c>
      <c r="E90" s="240"/>
      <c r="F90" s="240"/>
      <c r="G90" s="240"/>
      <c r="H90" s="240"/>
      <c r="I90" s="240"/>
      <c r="J90" s="240"/>
      <c r="K90" s="240"/>
      <c r="L90" s="240"/>
      <c r="M90" s="240"/>
      <c r="N90" s="240"/>
      <c r="O90" s="240"/>
      <c r="P90" s="240"/>
      <c r="Q90" s="240"/>
      <c r="R90" s="240"/>
      <c r="S90" s="241"/>
    </row>
    <row r="91" spans="1:19" ht="147.75" customHeight="1">
      <c r="B91" s="177" t="s">
        <v>62</v>
      </c>
      <c r="C91" s="24" t="s">
        <v>71</v>
      </c>
      <c r="D91" s="231" t="s">
        <v>231</v>
      </c>
      <c r="E91" s="232"/>
      <c r="F91" s="232"/>
      <c r="G91" s="232"/>
      <c r="H91" s="232"/>
      <c r="I91" s="232"/>
      <c r="J91" s="232"/>
      <c r="K91" s="232"/>
      <c r="L91" s="232"/>
      <c r="M91" s="232"/>
      <c r="N91" s="232"/>
      <c r="O91" s="232"/>
      <c r="P91" s="232"/>
      <c r="Q91" s="232"/>
      <c r="R91" s="232"/>
      <c r="S91" s="233"/>
    </row>
    <row r="92" spans="1:19" ht="96.75" customHeight="1">
      <c r="B92" s="178"/>
      <c r="C92" s="25" t="s">
        <v>72</v>
      </c>
      <c r="D92" s="239" t="s">
        <v>232</v>
      </c>
      <c r="E92" s="240"/>
      <c r="F92" s="240"/>
      <c r="G92" s="240"/>
      <c r="H92" s="240"/>
      <c r="I92" s="240"/>
      <c r="J92" s="240"/>
      <c r="K92" s="240"/>
      <c r="L92" s="240"/>
      <c r="M92" s="240"/>
      <c r="N92" s="240"/>
      <c r="O92" s="240"/>
      <c r="P92" s="240"/>
      <c r="Q92" s="240"/>
      <c r="R92" s="240"/>
      <c r="S92" s="241"/>
    </row>
    <row r="93" spans="1:19" ht="148.5" customHeight="1">
      <c r="B93" s="177" t="s">
        <v>63</v>
      </c>
      <c r="C93" s="24" t="s">
        <v>73</v>
      </c>
      <c r="D93" s="231" t="s">
        <v>233</v>
      </c>
      <c r="E93" s="232"/>
      <c r="F93" s="232"/>
      <c r="G93" s="232"/>
      <c r="H93" s="232"/>
      <c r="I93" s="232"/>
      <c r="J93" s="232"/>
      <c r="K93" s="232"/>
      <c r="L93" s="232"/>
      <c r="M93" s="232"/>
      <c r="N93" s="232"/>
      <c r="O93" s="232"/>
      <c r="P93" s="232"/>
      <c r="Q93" s="232"/>
      <c r="R93" s="232"/>
      <c r="S93" s="233"/>
    </row>
    <row r="94" spans="1:19" ht="90" customHeight="1">
      <c r="B94" s="178"/>
      <c r="C94" s="26" t="s">
        <v>74</v>
      </c>
      <c r="D94" s="234" t="s">
        <v>240</v>
      </c>
      <c r="E94" s="235"/>
      <c r="F94" s="235"/>
      <c r="G94" s="235"/>
      <c r="H94" s="235"/>
      <c r="I94" s="235"/>
      <c r="J94" s="235"/>
      <c r="K94" s="235"/>
      <c r="L94" s="235"/>
      <c r="M94" s="235"/>
      <c r="N94" s="235"/>
      <c r="O94" s="235"/>
      <c r="P94" s="235"/>
      <c r="Q94" s="235"/>
      <c r="R94" s="235"/>
      <c r="S94" s="236"/>
    </row>
    <row r="95" spans="1:19" ht="124.5" customHeight="1">
      <c r="B95" s="177" t="s">
        <v>78</v>
      </c>
      <c r="C95" s="22" t="s">
        <v>58</v>
      </c>
      <c r="D95" s="231" t="s">
        <v>234</v>
      </c>
      <c r="E95" s="232"/>
      <c r="F95" s="232"/>
      <c r="G95" s="232"/>
      <c r="H95" s="232"/>
      <c r="I95" s="232"/>
      <c r="J95" s="232"/>
      <c r="K95" s="232"/>
      <c r="L95" s="232"/>
      <c r="M95" s="232"/>
      <c r="N95" s="232"/>
      <c r="O95" s="232"/>
      <c r="P95" s="232"/>
      <c r="Q95" s="232"/>
      <c r="R95" s="232"/>
      <c r="S95" s="233"/>
    </row>
    <row r="96" spans="1:19" ht="101.25" customHeight="1">
      <c r="B96" s="178"/>
      <c r="C96" s="25" t="s">
        <v>60</v>
      </c>
      <c r="D96" s="234" t="s">
        <v>235</v>
      </c>
      <c r="E96" s="237"/>
      <c r="F96" s="237"/>
      <c r="G96" s="237"/>
      <c r="H96" s="237"/>
      <c r="I96" s="237"/>
      <c r="J96" s="237"/>
      <c r="K96" s="237"/>
      <c r="L96" s="237"/>
      <c r="M96" s="237"/>
      <c r="N96" s="237"/>
      <c r="O96" s="237"/>
      <c r="P96" s="237"/>
      <c r="Q96" s="237"/>
      <c r="R96" s="237"/>
      <c r="S96" s="238"/>
    </row>
    <row r="97" spans="1:19" ht="336" customHeight="1">
      <c r="B97" s="177" t="s">
        <v>79</v>
      </c>
      <c r="C97" s="24" t="s">
        <v>57</v>
      </c>
      <c r="D97" s="222" t="s">
        <v>236</v>
      </c>
      <c r="E97" s="223"/>
      <c r="F97" s="223"/>
      <c r="G97" s="223"/>
      <c r="H97" s="223"/>
      <c r="I97" s="223"/>
      <c r="J97" s="223"/>
      <c r="K97" s="223"/>
      <c r="L97" s="223"/>
      <c r="M97" s="223"/>
      <c r="N97" s="223"/>
      <c r="O97" s="223"/>
      <c r="P97" s="223"/>
      <c r="Q97" s="223"/>
      <c r="R97" s="223"/>
      <c r="S97" s="224"/>
    </row>
    <row r="98" spans="1:19" ht="166.5" customHeight="1">
      <c r="B98" s="179"/>
      <c r="C98" s="27" t="s">
        <v>75</v>
      </c>
      <c r="D98" s="225" t="s">
        <v>237</v>
      </c>
      <c r="E98" s="226"/>
      <c r="F98" s="226"/>
      <c r="G98" s="226"/>
      <c r="H98" s="226"/>
      <c r="I98" s="226"/>
      <c r="J98" s="226"/>
      <c r="K98" s="226"/>
      <c r="L98" s="226"/>
      <c r="M98" s="226"/>
      <c r="N98" s="226"/>
      <c r="O98" s="226"/>
      <c r="P98" s="226"/>
      <c r="Q98" s="226"/>
      <c r="R98" s="226"/>
      <c r="S98" s="227"/>
    </row>
    <row r="99" spans="1:19" ht="117" customHeight="1">
      <c r="B99" s="178"/>
      <c r="C99" s="26" t="s">
        <v>76</v>
      </c>
      <c r="D99" s="228" t="s">
        <v>238</v>
      </c>
      <c r="E99" s="229"/>
      <c r="F99" s="229"/>
      <c r="G99" s="229"/>
      <c r="H99" s="229"/>
      <c r="I99" s="229"/>
      <c r="J99" s="229"/>
      <c r="K99" s="229"/>
      <c r="L99" s="229"/>
      <c r="M99" s="229"/>
      <c r="N99" s="229"/>
      <c r="O99" s="229"/>
      <c r="P99" s="229"/>
      <c r="Q99" s="229"/>
      <c r="R99" s="229"/>
      <c r="S99" s="230"/>
    </row>
    <row r="100" spans="1:19" ht="6" customHeight="1"/>
    <row r="101" spans="1:19" ht="18.75" customHeight="1">
      <c r="A101" s="118" t="s">
        <v>120</v>
      </c>
    </row>
    <row r="102" spans="1:19" ht="81.75" customHeight="1">
      <c r="B102" s="157" t="s">
        <v>132</v>
      </c>
      <c r="C102" s="158"/>
      <c r="D102" s="158"/>
      <c r="E102" s="158"/>
      <c r="F102" s="158"/>
      <c r="G102" s="158"/>
      <c r="H102" s="158"/>
      <c r="I102" s="158"/>
      <c r="J102" s="158"/>
      <c r="K102" s="158"/>
      <c r="L102" s="158"/>
      <c r="M102" s="158"/>
      <c r="N102" s="158"/>
      <c r="O102" s="158"/>
      <c r="P102" s="158"/>
      <c r="Q102" s="158"/>
      <c r="R102" s="158"/>
      <c r="S102" s="159"/>
    </row>
    <row r="110" spans="1:19" ht="18" customHeight="1"/>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58:I64 Q36:S42 G25:I31 Q47:S53 G36:I42 Q58:S64 G47:I53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Q27" sqref="Q27"/>
    </sheetView>
  </sheetViews>
  <sheetFormatPr defaultColWidth="9" defaultRowHeight="18.75" customHeight="1"/>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c r="AQ1" s="1" t="s">
        <v>106</v>
      </c>
    </row>
    <row r="2" spans="1:45" ht="18" customHeight="1">
      <c r="K2" s="29"/>
      <c r="Q2" s="29"/>
      <c r="W2" s="29"/>
      <c r="AC2" s="29"/>
      <c r="AI2" s="29"/>
      <c r="AL2" s="29" t="s">
        <v>108</v>
      </c>
      <c r="AM2" s="248" t="str">
        <f>'様式１-1　プログラムを構成する授業科目'!C2</f>
        <v>帝京大学</v>
      </c>
      <c r="AN2" s="248"/>
      <c r="AO2" s="248"/>
      <c r="AP2" s="248"/>
      <c r="AQ2" s="248"/>
    </row>
    <row r="3" spans="1:45" ht="18" customHeight="1">
      <c r="A3" s="144" t="s">
        <v>47</v>
      </c>
      <c r="B3" s="144"/>
      <c r="C3" s="144"/>
      <c r="D3" s="144"/>
      <c r="E3" s="144"/>
      <c r="F3" s="144"/>
      <c r="G3" s="144"/>
      <c r="H3" s="144"/>
      <c r="I3" s="144"/>
      <c r="J3" s="144"/>
      <c r="K3" s="144"/>
      <c r="L3" s="144"/>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83</v>
      </c>
      <c r="C5" s="249" t="s">
        <v>138</v>
      </c>
      <c r="D5" s="250"/>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5"/>
      <c r="AQ5" s="5"/>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251" t="s">
        <v>44</v>
      </c>
      <c r="C9" s="266" t="s">
        <v>86</v>
      </c>
      <c r="D9" s="254" t="s">
        <v>46</v>
      </c>
      <c r="E9" s="257" t="s">
        <v>39</v>
      </c>
      <c r="F9" s="247" t="s">
        <v>85</v>
      </c>
      <c r="G9" s="247"/>
      <c r="H9" s="247"/>
      <c r="I9" s="247"/>
      <c r="J9" s="247"/>
      <c r="K9" s="247"/>
      <c r="L9" s="247" t="s">
        <v>48</v>
      </c>
      <c r="M9" s="247"/>
      <c r="N9" s="247"/>
      <c r="O9" s="247"/>
      <c r="P9" s="247"/>
      <c r="Q9" s="247"/>
      <c r="R9" s="247" t="s">
        <v>49</v>
      </c>
      <c r="S9" s="247"/>
      <c r="T9" s="247"/>
      <c r="U9" s="247"/>
      <c r="V9" s="247"/>
      <c r="W9" s="247"/>
      <c r="X9" s="247" t="s">
        <v>100</v>
      </c>
      <c r="Y9" s="247"/>
      <c r="Z9" s="247"/>
      <c r="AA9" s="247"/>
      <c r="AB9" s="247"/>
      <c r="AC9" s="247"/>
      <c r="AD9" s="247" t="s">
        <v>50</v>
      </c>
      <c r="AE9" s="247"/>
      <c r="AF9" s="247"/>
      <c r="AG9" s="247"/>
      <c r="AH9" s="247"/>
      <c r="AI9" s="247"/>
      <c r="AJ9" s="247" t="s">
        <v>51</v>
      </c>
      <c r="AK9" s="247"/>
      <c r="AL9" s="247"/>
      <c r="AM9" s="247"/>
      <c r="AN9" s="247"/>
      <c r="AO9" s="247"/>
      <c r="AP9" s="260" t="s">
        <v>34</v>
      </c>
      <c r="AQ9" s="263" t="s">
        <v>31</v>
      </c>
      <c r="AS9" s="2"/>
    </row>
    <row r="10" spans="1:45" ht="16.899999999999999" customHeight="1">
      <c r="B10" s="252"/>
      <c r="C10" s="267"/>
      <c r="D10" s="255"/>
      <c r="E10" s="258"/>
      <c r="F10" s="245" t="s">
        <v>96</v>
      </c>
      <c r="G10" s="246"/>
      <c r="H10" s="246"/>
      <c r="I10" s="245" t="s">
        <v>28</v>
      </c>
      <c r="J10" s="246"/>
      <c r="K10" s="246"/>
      <c r="L10" s="245" t="s">
        <v>96</v>
      </c>
      <c r="M10" s="246"/>
      <c r="N10" s="246"/>
      <c r="O10" s="245" t="s">
        <v>28</v>
      </c>
      <c r="P10" s="246"/>
      <c r="Q10" s="246"/>
      <c r="R10" s="245" t="s">
        <v>96</v>
      </c>
      <c r="S10" s="246"/>
      <c r="T10" s="246"/>
      <c r="U10" s="245" t="s">
        <v>28</v>
      </c>
      <c r="V10" s="246"/>
      <c r="W10" s="246"/>
      <c r="X10" s="245" t="s">
        <v>96</v>
      </c>
      <c r="Y10" s="246"/>
      <c r="Z10" s="246"/>
      <c r="AA10" s="245" t="s">
        <v>28</v>
      </c>
      <c r="AB10" s="246"/>
      <c r="AC10" s="246"/>
      <c r="AD10" s="245" t="s">
        <v>96</v>
      </c>
      <c r="AE10" s="246"/>
      <c r="AF10" s="246"/>
      <c r="AG10" s="245" t="s">
        <v>28</v>
      </c>
      <c r="AH10" s="246"/>
      <c r="AI10" s="246"/>
      <c r="AJ10" s="245" t="s">
        <v>96</v>
      </c>
      <c r="AK10" s="246"/>
      <c r="AL10" s="246"/>
      <c r="AM10" s="245" t="s">
        <v>28</v>
      </c>
      <c r="AN10" s="246"/>
      <c r="AO10" s="246"/>
      <c r="AP10" s="261"/>
      <c r="AQ10" s="264"/>
      <c r="AS10" s="2"/>
    </row>
    <row r="11" spans="1:45" ht="18" customHeight="1">
      <c r="B11" s="253"/>
      <c r="C11" s="268"/>
      <c r="D11" s="256"/>
      <c r="E11" s="259"/>
      <c r="F11" s="13" t="s">
        <v>97</v>
      </c>
      <c r="G11" s="14" t="s">
        <v>98</v>
      </c>
      <c r="H11" s="15" t="s">
        <v>99</v>
      </c>
      <c r="I11" s="13" t="s">
        <v>97</v>
      </c>
      <c r="J11" s="14" t="s">
        <v>98</v>
      </c>
      <c r="K11" s="15" t="s">
        <v>99</v>
      </c>
      <c r="L11" s="13" t="s">
        <v>97</v>
      </c>
      <c r="M11" s="14" t="s">
        <v>98</v>
      </c>
      <c r="N11" s="15" t="s">
        <v>99</v>
      </c>
      <c r="O11" s="13" t="s">
        <v>97</v>
      </c>
      <c r="P11" s="14" t="s">
        <v>98</v>
      </c>
      <c r="Q11" s="15" t="s">
        <v>99</v>
      </c>
      <c r="R11" s="13" t="s">
        <v>97</v>
      </c>
      <c r="S11" s="14" t="s">
        <v>98</v>
      </c>
      <c r="T11" s="15" t="s">
        <v>99</v>
      </c>
      <c r="U11" s="13" t="s">
        <v>97</v>
      </c>
      <c r="V11" s="14" t="s">
        <v>98</v>
      </c>
      <c r="W11" s="15" t="s">
        <v>99</v>
      </c>
      <c r="X11" s="13" t="s">
        <v>97</v>
      </c>
      <c r="Y11" s="14" t="s">
        <v>98</v>
      </c>
      <c r="Z11" s="15" t="s">
        <v>99</v>
      </c>
      <c r="AA11" s="13" t="s">
        <v>97</v>
      </c>
      <c r="AB11" s="14" t="s">
        <v>98</v>
      </c>
      <c r="AC11" s="15" t="s">
        <v>99</v>
      </c>
      <c r="AD11" s="13" t="s">
        <v>97</v>
      </c>
      <c r="AE11" s="14" t="s">
        <v>98</v>
      </c>
      <c r="AF11" s="15" t="s">
        <v>99</v>
      </c>
      <c r="AG11" s="13" t="s">
        <v>97</v>
      </c>
      <c r="AH11" s="14" t="s">
        <v>98</v>
      </c>
      <c r="AI11" s="15" t="s">
        <v>99</v>
      </c>
      <c r="AJ11" s="13" t="s">
        <v>97</v>
      </c>
      <c r="AK11" s="14" t="s">
        <v>98</v>
      </c>
      <c r="AL11" s="15" t="s">
        <v>99</v>
      </c>
      <c r="AM11" s="13" t="s">
        <v>97</v>
      </c>
      <c r="AN11" s="14" t="s">
        <v>98</v>
      </c>
      <c r="AO11" s="15" t="s">
        <v>99</v>
      </c>
      <c r="AP11" s="262"/>
      <c r="AQ11" s="265"/>
      <c r="AS11" s="2"/>
    </row>
    <row r="12" spans="1:45" ht="18" customHeight="1">
      <c r="A12" s="5"/>
      <c r="B12" s="80" t="s">
        <v>139</v>
      </c>
      <c r="C12" s="81">
        <v>756</v>
      </c>
      <c r="D12" s="82">
        <v>116</v>
      </c>
      <c r="E12" s="83">
        <v>708</v>
      </c>
      <c r="F12" s="57">
        <v>116</v>
      </c>
      <c r="G12" s="88"/>
      <c r="H12" s="89"/>
      <c r="I12" s="57">
        <v>116</v>
      </c>
      <c r="J12" s="92"/>
      <c r="K12" s="89"/>
      <c r="L12" s="57">
        <f>M12+N12</f>
        <v>0</v>
      </c>
      <c r="M12" s="58"/>
      <c r="N12" s="59"/>
      <c r="O12" s="57">
        <f>P12+Q12</f>
        <v>0</v>
      </c>
      <c r="P12" s="58"/>
      <c r="Q12" s="59"/>
      <c r="R12" s="57">
        <f>S12+T12</f>
        <v>0</v>
      </c>
      <c r="S12" s="58"/>
      <c r="T12" s="59"/>
      <c r="U12" s="57">
        <f>V12+W12</f>
        <v>0</v>
      </c>
      <c r="V12" s="58"/>
      <c r="W12" s="59"/>
      <c r="X12" s="57">
        <f>Y12+Z12</f>
        <v>0</v>
      </c>
      <c r="Y12" s="58"/>
      <c r="Z12" s="59"/>
      <c r="AA12" s="57">
        <f>AB12+AC12</f>
        <v>0</v>
      </c>
      <c r="AB12" s="58"/>
      <c r="AC12" s="59"/>
      <c r="AD12" s="57">
        <f>AE12+AF12</f>
        <v>0</v>
      </c>
      <c r="AE12" s="58"/>
      <c r="AF12" s="59"/>
      <c r="AG12" s="57">
        <f>AH12+AI12</f>
        <v>0</v>
      </c>
      <c r="AH12" s="58"/>
      <c r="AI12" s="59"/>
      <c r="AJ12" s="57">
        <f>AK12+AL12</f>
        <v>0</v>
      </c>
      <c r="AK12" s="58"/>
      <c r="AL12" s="59"/>
      <c r="AM12" s="57">
        <f>AN12+AO12</f>
        <v>0</v>
      </c>
      <c r="AN12" s="58"/>
      <c r="AO12" s="59"/>
      <c r="AP12" s="56">
        <f>F12+L12+R12+X12+AD12+AJ12</f>
        <v>116</v>
      </c>
      <c r="AQ12" s="107">
        <f t="shared" ref="AQ12:AQ32" si="0">AP12/E12</f>
        <v>0.16384180790960451</v>
      </c>
    </row>
    <row r="13" spans="1:45" ht="18" customHeight="1">
      <c r="A13" s="5"/>
      <c r="B13" s="84" t="s">
        <v>140</v>
      </c>
      <c r="C13" s="85">
        <v>1885</v>
      </c>
      <c r="D13" s="86">
        <v>320</v>
      </c>
      <c r="E13" s="87">
        <v>1920</v>
      </c>
      <c r="F13" s="62">
        <v>39</v>
      </c>
      <c r="G13" s="90"/>
      <c r="H13" s="91"/>
      <c r="I13" s="63">
        <v>35</v>
      </c>
      <c r="J13" s="93"/>
      <c r="K13" s="91"/>
      <c r="L13" s="63">
        <f t="shared" ref="L13:L22" si="1">M13+N13</f>
        <v>0</v>
      </c>
      <c r="M13" s="64"/>
      <c r="N13" s="65"/>
      <c r="O13" s="63">
        <f t="shared" ref="O13:O22" si="2">P13+Q13</f>
        <v>0</v>
      </c>
      <c r="P13" s="64"/>
      <c r="Q13" s="65"/>
      <c r="R13" s="63">
        <f t="shared" ref="R13:R22" si="3">S13+T13</f>
        <v>0</v>
      </c>
      <c r="S13" s="64"/>
      <c r="T13" s="65"/>
      <c r="U13" s="63">
        <f t="shared" ref="U13:U22" si="4">V13+W13</f>
        <v>0</v>
      </c>
      <c r="V13" s="64"/>
      <c r="W13" s="65"/>
      <c r="X13" s="63">
        <f t="shared" ref="X13:X22" si="5">Y13+Z13</f>
        <v>0</v>
      </c>
      <c r="Y13" s="64"/>
      <c r="Z13" s="65"/>
      <c r="AA13" s="63">
        <f t="shared" ref="AA13:AA22" si="6">AB13+AC13</f>
        <v>0</v>
      </c>
      <c r="AB13" s="64"/>
      <c r="AC13" s="65"/>
      <c r="AD13" s="63">
        <f t="shared" ref="AD13:AD22" si="7">AE13+AF13</f>
        <v>0</v>
      </c>
      <c r="AE13" s="64"/>
      <c r="AF13" s="65"/>
      <c r="AG13" s="63">
        <f t="shared" ref="AG13:AG22" si="8">AH13+AI13</f>
        <v>0</v>
      </c>
      <c r="AH13" s="64"/>
      <c r="AI13" s="65"/>
      <c r="AJ13" s="63">
        <f t="shared" ref="AJ13:AJ22" si="9">AK13+AL13</f>
        <v>0</v>
      </c>
      <c r="AK13" s="64"/>
      <c r="AL13" s="65"/>
      <c r="AM13" s="63">
        <f t="shared" ref="AM13:AM22" si="10">AN13+AO13</f>
        <v>0</v>
      </c>
      <c r="AN13" s="64"/>
      <c r="AO13" s="65"/>
      <c r="AP13" s="61">
        <f t="shared" ref="AP13:AP22" si="11">F13+L13+R13+X13+AD13+AJ13</f>
        <v>39</v>
      </c>
      <c r="AQ13" s="7">
        <f t="shared" si="0"/>
        <v>2.0312500000000001E-2</v>
      </c>
    </row>
    <row r="14" spans="1:45" ht="18" customHeight="1">
      <c r="A14" s="5"/>
      <c r="B14" s="84" t="s">
        <v>141</v>
      </c>
      <c r="C14" s="85">
        <v>3454</v>
      </c>
      <c r="D14" s="86">
        <v>910</v>
      </c>
      <c r="E14" s="87">
        <v>3640</v>
      </c>
      <c r="F14" s="62">
        <v>51</v>
      </c>
      <c r="G14" s="90"/>
      <c r="H14" s="91"/>
      <c r="I14" s="63">
        <v>45</v>
      </c>
      <c r="J14" s="93"/>
      <c r="K14" s="91"/>
      <c r="L14" s="63">
        <f t="shared" si="1"/>
        <v>0</v>
      </c>
      <c r="M14" s="64"/>
      <c r="N14" s="65"/>
      <c r="O14" s="63">
        <f t="shared" si="2"/>
        <v>0</v>
      </c>
      <c r="P14" s="64"/>
      <c r="Q14" s="65"/>
      <c r="R14" s="63">
        <f t="shared" si="3"/>
        <v>0</v>
      </c>
      <c r="S14" s="64"/>
      <c r="T14" s="65"/>
      <c r="U14" s="63">
        <f t="shared" si="4"/>
        <v>0</v>
      </c>
      <c r="V14" s="64"/>
      <c r="W14" s="65"/>
      <c r="X14" s="63">
        <f t="shared" si="5"/>
        <v>0</v>
      </c>
      <c r="Y14" s="64"/>
      <c r="Z14" s="65"/>
      <c r="AA14" s="63">
        <f t="shared" si="6"/>
        <v>0</v>
      </c>
      <c r="AB14" s="64"/>
      <c r="AC14" s="65"/>
      <c r="AD14" s="63">
        <f t="shared" si="7"/>
        <v>0</v>
      </c>
      <c r="AE14" s="64"/>
      <c r="AF14" s="65"/>
      <c r="AG14" s="63">
        <f t="shared" si="8"/>
        <v>0</v>
      </c>
      <c r="AH14" s="64"/>
      <c r="AI14" s="65"/>
      <c r="AJ14" s="63">
        <f t="shared" si="9"/>
        <v>0</v>
      </c>
      <c r="AK14" s="64"/>
      <c r="AL14" s="65"/>
      <c r="AM14" s="63">
        <f t="shared" si="10"/>
        <v>0</v>
      </c>
      <c r="AN14" s="64"/>
      <c r="AO14" s="65"/>
      <c r="AP14" s="61">
        <f t="shared" si="11"/>
        <v>51</v>
      </c>
      <c r="AQ14" s="7">
        <f t="shared" si="0"/>
        <v>1.4010989010989012E-2</v>
      </c>
    </row>
    <row r="15" spans="1:45" ht="18" customHeight="1">
      <c r="A15" s="5"/>
      <c r="B15" s="84" t="s">
        <v>142</v>
      </c>
      <c r="C15" s="85">
        <v>6167</v>
      </c>
      <c r="D15" s="86">
        <v>1570</v>
      </c>
      <c r="E15" s="87">
        <v>6518</v>
      </c>
      <c r="F15" s="62">
        <v>39</v>
      </c>
      <c r="G15" s="90"/>
      <c r="H15" s="91"/>
      <c r="I15" s="63">
        <v>32</v>
      </c>
      <c r="J15" s="93"/>
      <c r="K15" s="91"/>
      <c r="L15" s="63">
        <f t="shared" si="1"/>
        <v>0</v>
      </c>
      <c r="M15" s="64"/>
      <c r="N15" s="65"/>
      <c r="O15" s="63">
        <f t="shared" si="2"/>
        <v>0</v>
      </c>
      <c r="P15" s="64"/>
      <c r="Q15" s="65"/>
      <c r="R15" s="63">
        <f t="shared" si="3"/>
        <v>0</v>
      </c>
      <c r="S15" s="64"/>
      <c r="T15" s="65"/>
      <c r="U15" s="63">
        <f t="shared" si="4"/>
        <v>0</v>
      </c>
      <c r="V15" s="64"/>
      <c r="W15" s="65"/>
      <c r="X15" s="63">
        <f t="shared" si="5"/>
        <v>0</v>
      </c>
      <c r="Y15" s="64"/>
      <c r="Z15" s="65"/>
      <c r="AA15" s="63">
        <f t="shared" si="6"/>
        <v>0</v>
      </c>
      <c r="AB15" s="64"/>
      <c r="AC15" s="65"/>
      <c r="AD15" s="63">
        <f t="shared" si="7"/>
        <v>0</v>
      </c>
      <c r="AE15" s="64"/>
      <c r="AF15" s="65"/>
      <c r="AG15" s="63">
        <f t="shared" si="8"/>
        <v>0</v>
      </c>
      <c r="AH15" s="64"/>
      <c r="AI15" s="65"/>
      <c r="AJ15" s="63">
        <f t="shared" si="9"/>
        <v>0</v>
      </c>
      <c r="AK15" s="64"/>
      <c r="AL15" s="65"/>
      <c r="AM15" s="63">
        <f t="shared" si="10"/>
        <v>0</v>
      </c>
      <c r="AN15" s="64"/>
      <c r="AO15" s="65"/>
      <c r="AP15" s="61">
        <f t="shared" si="11"/>
        <v>39</v>
      </c>
      <c r="AQ15" s="7">
        <f t="shared" si="0"/>
        <v>5.9834305001534209E-3</v>
      </c>
    </row>
    <row r="16" spans="1:45" ht="18" customHeight="1">
      <c r="A16" s="5"/>
      <c r="B16" s="84" t="s">
        <v>143</v>
      </c>
      <c r="C16" s="85">
        <v>1827</v>
      </c>
      <c r="D16" s="86">
        <v>475</v>
      </c>
      <c r="E16" s="87">
        <v>1936</v>
      </c>
      <c r="F16" s="62">
        <v>0</v>
      </c>
      <c r="G16" s="90"/>
      <c r="H16" s="91"/>
      <c r="I16" s="63">
        <v>0</v>
      </c>
      <c r="J16" s="93"/>
      <c r="K16" s="91"/>
      <c r="L16" s="63">
        <f t="shared" si="1"/>
        <v>0</v>
      </c>
      <c r="M16" s="64"/>
      <c r="N16" s="65"/>
      <c r="O16" s="63">
        <f t="shared" si="2"/>
        <v>0</v>
      </c>
      <c r="P16" s="64"/>
      <c r="Q16" s="65"/>
      <c r="R16" s="63">
        <f t="shared" si="3"/>
        <v>0</v>
      </c>
      <c r="S16" s="64"/>
      <c r="T16" s="65"/>
      <c r="U16" s="63">
        <f t="shared" si="4"/>
        <v>0</v>
      </c>
      <c r="V16" s="64"/>
      <c r="W16" s="65"/>
      <c r="X16" s="63">
        <f t="shared" si="5"/>
        <v>0</v>
      </c>
      <c r="Y16" s="64"/>
      <c r="Z16" s="65"/>
      <c r="AA16" s="63">
        <f t="shared" si="6"/>
        <v>0</v>
      </c>
      <c r="AB16" s="64"/>
      <c r="AC16" s="65"/>
      <c r="AD16" s="63">
        <f t="shared" si="7"/>
        <v>0</v>
      </c>
      <c r="AE16" s="64"/>
      <c r="AF16" s="65"/>
      <c r="AG16" s="63">
        <f t="shared" si="8"/>
        <v>0</v>
      </c>
      <c r="AH16" s="64"/>
      <c r="AI16" s="65"/>
      <c r="AJ16" s="63">
        <f t="shared" si="9"/>
        <v>0</v>
      </c>
      <c r="AK16" s="64"/>
      <c r="AL16" s="65"/>
      <c r="AM16" s="63">
        <f t="shared" si="10"/>
        <v>0</v>
      </c>
      <c r="AN16" s="64"/>
      <c r="AO16" s="65"/>
      <c r="AP16" s="61">
        <f t="shared" si="11"/>
        <v>0</v>
      </c>
      <c r="AQ16" s="7">
        <f t="shared" si="0"/>
        <v>0</v>
      </c>
    </row>
    <row r="17" spans="1:43" ht="18" customHeight="1">
      <c r="A17" s="5"/>
      <c r="B17" s="84" t="s">
        <v>144</v>
      </c>
      <c r="C17" s="85">
        <v>2982</v>
      </c>
      <c r="D17" s="86">
        <v>741</v>
      </c>
      <c r="E17" s="87">
        <v>3088</v>
      </c>
      <c r="F17" s="62">
        <v>1</v>
      </c>
      <c r="G17" s="90"/>
      <c r="H17" s="91"/>
      <c r="I17" s="63">
        <v>1</v>
      </c>
      <c r="J17" s="93"/>
      <c r="K17" s="91"/>
      <c r="L17" s="63">
        <f t="shared" si="1"/>
        <v>0</v>
      </c>
      <c r="M17" s="64"/>
      <c r="N17" s="65"/>
      <c r="O17" s="63">
        <f t="shared" si="2"/>
        <v>0</v>
      </c>
      <c r="P17" s="64"/>
      <c r="Q17" s="65"/>
      <c r="R17" s="63">
        <f t="shared" si="3"/>
        <v>0</v>
      </c>
      <c r="S17" s="64"/>
      <c r="T17" s="65"/>
      <c r="U17" s="63">
        <f t="shared" si="4"/>
        <v>0</v>
      </c>
      <c r="V17" s="64"/>
      <c r="W17" s="65"/>
      <c r="X17" s="63">
        <f t="shared" si="5"/>
        <v>0</v>
      </c>
      <c r="Y17" s="64"/>
      <c r="Z17" s="65"/>
      <c r="AA17" s="63">
        <f t="shared" si="6"/>
        <v>0</v>
      </c>
      <c r="AB17" s="64"/>
      <c r="AC17" s="65"/>
      <c r="AD17" s="63">
        <f t="shared" si="7"/>
        <v>0</v>
      </c>
      <c r="AE17" s="64"/>
      <c r="AF17" s="65"/>
      <c r="AG17" s="63">
        <f t="shared" si="8"/>
        <v>0</v>
      </c>
      <c r="AH17" s="64"/>
      <c r="AI17" s="65"/>
      <c r="AJ17" s="63">
        <f t="shared" si="9"/>
        <v>0</v>
      </c>
      <c r="AK17" s="64"/>
      <c r="AL17" s="65"/>
      <c r="AM17" s="63">
        <f t="shared" si="10"/>
        <v>0</v>
      </c>
      <c r="AN17" s="64"/>
      <c r="AO17" s="65"/>
      <c r="AP17" s="61">
        <f t="shared" si="11"/>
        <v>1</v>
      </c>
      <c r="AQ17" s="7">
        <f t="shared" si="0"/>
        <v>3.2383419689119172E-4</v>
      </c>
    </row>
    <row r="18" spans="1:43" ht="18" customHeight="1">
      <c r="A18" s="5"/>
      <c r="B18" s="84" t="s">
        <v>145</v>
      </c>
      <c r="C18" s="85">
        <v>1261</v>
      </c>
      <c r="D18" s="86">
        <v>400</v>
      </c>
      <c r="E18" s="87">
        <v>1322</v>
      </c>
      <c r="F18" s="62">
        <v>0</v>
      </c>
      <c r="G18" s="90"/>
      <c r="H18" s="91"/>
      <c r="I18" s="63">
        <v>0</v>
      </c>
      <c r="J18" s="93"/>
      <c r="K18" s="91"/>
      <c r="L18" s="63">
        <f t="shared" si="1"/>
        <v>0</v>
      </c>
      <c r="M18" s="64"/>
      <c r="N18" s="65"/>
      <c r="O18" s="63">
        <f t="shared" si="2"/>
        <v>0</v>
      </c>
      <c r="P18" s="64"/>
      <c r="Q18" s="65"/>
      <c r="R18" s="63">
        <f t="shared" si="3"/>
        <v>0</v>
      </c>
      <c r="S18" s="64"/>
      <c r="T18" s="65"/>
      <c r="U18" s="63">
        <f t="shared" si="4"/>
        <v>0</v>
      </c>
      <c r="V18" s="64"/>
      <c r="W18" s="65"/>
      <c r="X18" s="63">
        <f t="shared" si="5"/>
        <v>0</v>
      </c>
      <c r="Y18" s="64"/>
      <c r="Z18" s="65"/>
      <c r="AA18" s="63">
        <f t="shared" si="6"/>
        <v>0</v>
      </c>
      <c r="AB18" s="64"/>
      <c r="AC18" s="65"/>
      <c r="AD18" s="63">
        <f t="shared" si="7"/>
        <v>0</v>
      </c>
      <c r="AE18" s="64"/>
      <c r="AF18" s="65"/>
      <c r="AG18" s="63">
        <f t="shared" si="8"/>
        <v>0</v>
      </c>
      <c r="AH18" s="64"/>
      <c r="AI18" s="65"/>
      <c r="AJ18" s="63">
        <f t="shared" si="9"/>
        <v>0</v>
      </c>
      <c r="AK18" s="64"/>
      <c r="AL18" s="65"/>
      <c r="AM18" s="63">
        <f t="shared" si="10"/>
        <v>0</v>
      </c>
      <c r="AN18" s="64"/>
      <c r="AO18" s="65"/>
      <c r="AP18" s="61">
        <f t="shared" si="11"/>
        <v>0</v>
      </c>
      <c r="AQ18" s="7">
        <f t="shared" si="0"/>
        <v>0</v>
      </c>
    </row>
    <row r="19" spans="1:43" ht="18" customHeight="1">
      <c r="A19" s="5"/>
      <c r="B19" s="84" t="s">
        <v>146</v>
      </c>
      <c r="C19" s="85">
        <v>1249</v>
      </c>
      <c r="D19" s="86">
        <v>330</v>
      </c>
      <c r="E19" s="87">
        <v>1400</v>
      </c>
      <c r="F19" s="62">
        <v>0</v>
      </c>
      <c r="G19" s="90"/>
      <c r="H19" s="91"/>
      <c r="I19" s="63">
        <v>0</v>
      </c>
      <c r="J19" s="93"/>
      <c r="K19" s="91"/>
      <c r="L19" s="63">
        <f t="shared" si="1"/>
        <v>0</v>
      </c>
      <c r="M19" s="64"/>
      <c r="N19" s="65"/>
      <c r="O19" s="63">
        <f t="shared" si="2"/>
        <v>0</v>
      </c>
      <c r="P19" s="64"/>
      <c r="Q19" s="65"/>
      <c r="R19" s="63">
        <f t="shared" si="3"/>
        <v>0</v>
      </c>
      <c r="S19" s="64"/>
      <c r="T19" s="65"/>
      <c r="U19" s="63">
        <f t="shared" si="4"/>
        <v>0</v>
      </c>
      <c r="V19" s="64"/>
      <c r="W19" s="65"/>
      <c r="X19" s="63">
        <f t="shared" si="5"/>
        <v>0</v>
      </c>
      <c r="Y19" s="64"/>
      <c r="Z19" s="65"/>
      <c r="AA19" s="63">
        <f t="shared" si="6"/>
        <v>0</v>
      </c>
      <c r="AB19" s="64"/>
      <c r="AC19" s="65"/>
      <c r="AD19" s="63">
        <f t="shared" si="7"/>
        <v>0</v>
      </c>
      <c r="AE19" s="64"/>
      <c r="AF19" s="65"/>
      <c r="AG19" s="63">
        <f t="shared" si="8"/>
        <v>0</v>
      </c>
      <c r="AH19" s="64"/>
      <c r="AI19" s="65"/>
      <c r="AJ19" s="63">
        <f t="shared" si="9"/>
        <v>0</v>
      </c>
      <c r="AK19" s="64"/>
      <c r="AL19" s="65"/>
      <c r="AM19" s="63">
        <f t="shared" si="10"/>
        <v>0</v>
      </c>
      <c r="AN19" s="64"/>
      <c r="AO19" s="65"/>
      <c r="AP19" s="61">
        <f t="shared" si="11"/>
        <v>0</v>
      </c>
      <c r="AQ19" s="7">
        <f t="shared" si="0"/>
        <v>0</v>
      </c>
    </row>
    <row r="20" spans="1:43" ht="18" customHeight="1">
      <c r="A20" s="5"/>
      <c r="B20" s="84" t="s">
        <v>147</v>
      </c>
      <c r="C20" s="85">
        <v>944</v>
      </c>
      <c r="D20" s="86">
        <v>265</v>
      </c>
      <c r="E20" s="87">
        <v>1060</v>
      </c>
      <c r="F20" s="62">
        <v>260</v>
      </c>
      <c r="G20" s="90"/>
      <c r="H20" s="91"/>
      <c r="I20" s="63">
        <v>227</v>
      </c>
      <c r="J20" s="93"/>
      <c r="K20" s="91"/>
      <c r="L20" s="63">
        <f t="shared" si="1"/>
        <v>0</v>
      </c>
      <c r="M20" s="64"/>
      <c r="N20" s="65"/>
      <c r="O20" s="63">
        <f t="shared" si="2"/>
        <v>0</v>
      </c>
      <c r="P20" s="64"/>
      <c r="Q20" s="65"/>
      <c r="R20" s="63">
        <f t="shared" si="3"/>
        <v>0</v>
      </c>
      <c r="S20" s="64"/>
      <c r="T20" s="65"/>
      <c r="U20" s="63">
        <f t="shared" si="4"/>
        <v>0</v>
      </c>
      <c r="V20" s="64"/>
      <c r="W20" s="65"/>
      <c r="X20" s="63">
        <f t="shared" si="5"/>
        <v>0</v>
      </c>
      <c r="Y20" s="64"/>
      <c r="Z20" s="65"/>
      <c r="AA20" s="63">
        <f t="shared" si="6"/>
        <v>0</v>
      </c>
      <c r="AB20" s="64"/>
      <c r="AC20" s="65"/>
      <c r="AD20" s="63">
        <f t="shared" si="7"/>
        <v>0</v>
      </c>
      <c r="AE20" s="64"/>
      <c r="AF20" s="65"/>
      <c r="AG20" s="63">
        <f t="shared" si="8"/>
        <v>0</v>
      </c>
      <c r="AH20" s="64"/>
      <c r="AI20" s="65"/>
      <c r="AJ20" s="63">
        <f t="shared" si="9"/>
        <v>0</v>
      </c>
      <c r="AK20" s="64"/>
      <c r="AL20" s="65"/>
      <c r="AM20" s="63">
        <f t="shared" si="10"/>
        <v>0</v>
      </c>
      <c r="AN20" s="64"/>
      <c r="AO20" s="65"/>
      <c r="AP20" s="61">
        <f t="shared" si="11"/>
        <v>260</v>
      </c>
      <c r="AQ20" s="7">
        <f t="shared" si="0"/>
        <v>0.24528301886792453</v>
      </c>
    </row>
    <row r="21" spans="1:43" ht="18" customHeight="1">
      <c r="A21" s="5"/>
      <c r="B21" s="84" t="s">
        <v>148</v>
      </c>
      <c r="C21" s="85">
        <v>777</v>
      </c>
      <c r="D21" s="86">
        <v>200</v>
      </c>
      <c r="E21" s="87">
        <v>800</v>
      </c>
      <c r="F21" s="62">
        <v>143</v>
      </c>
      <c r="G21" s="90"/>
      <c r="H21" s="91"/>
      <c r="I21" s="63">
        <v>62</v>
      </c>
      <c r="J21" s="93"/>
      <c r="K21" s="91"/>
      <c r="L21" s="63">
        <f t="shared" si="1"/>
        <v>0</v>
      </c>
      <c r="M21" s="64"/>
      <c r="N21" s="65"/>
      <c r="O21" s="63">
        <f t="shared" si="2"/>
        <v>0</v>
      </c>
      <c r="P21" s="64"/>
      <c r="Q21" s="65"/>
      <c r="R21" s="63">
        <f t="shared" si="3"/>
        <v>0</v>
      </c>
      <c r="S21" s="64"/>
      <c r="T21" s="65"/>
      <c r="U21" s="63">
        <f t="shared" si="4"/>
        <v>0</v>
      </c>
      <c r="V21" s="64"/>
      <c r="W21" s="65"/>
      <c r="X21" s="63">
        <f t="shared" si="5"/>
        <v>0</v>
      </c>
      <c r="Y21" s="64"/>
      <c r="Z21" s="65"/>
      <c r="AA21" s="63">
        <f t="shared" si="6"/>
        <v>0</v>
      </c>
      <c r="AB21" s="64"/>
      <c r="AC21" s="65"/>
      <c r="AD21" s="63">
        <f t="shared" si="7"/>
        <v>0</v>
      </c>
      <c r="AE21" s="64"/>
      <c r="AF21" s="65"/>
      <c r="AG21" s="63">
        <f t="shared" si="8"/>
        <v>0</v>
      </c>
      <c r="AH21" s="64"/>
      <c r="AI21" s="65"/>
      <c r="AJ21" s="63">
        <f t="shared" si="9"/>
        <v>0</v>
      </c>
      <c r="AK21" s="64"/>
      <c r="AL21" s="65"/>
      <c r="AM21" s="63">
        <f t="shared" si="10"/>
        <v>0</v>
      </c>
      <c r="AN21" s="64"/>
      <c r="AO21" s="65"/>
      <c r="AP21" s="61">
        <f t="shared" si="11"/>
        <v>143</v>
      </c>
      <c r="AQ21" s="7">
        <f t="shared" si="0"/>
        <v>0.17874999999999999</v>
      </c>
    </row>
    <row r="22" spans="1:43" ht="18" customHeight="1">
      <c r="A22" s="5"/>
      <c r="B22" s="84" t="s">
        <v>149</v>
      </c>
      <c r="C22" s="85">
        <v>1240</v>
      </c>
      <c r="D22" s="86">
        <v>340</v>
      </c>
      <c r="E22" s="87">
        <v>1360</v>
      </c>
      <c r="F22" s="62">
        <v>306</v>
      </c>
      <c r="G22" s="90"/>
      <c r="H22" s="91"/>
      <c r="I22" s="63">
        <v>284</v>
      </c>
      <c r="J22" s="93"/>
      <c r="K22" s="91"/>
      <c r="L22" s="63">
        <f t="shared" si="1"/>
        <v>0</v>
      </c>
      <c r="M22" s="64"/>
      <c r="N22" s="65"/>
      <c r="O22" s="63">
        <f t="shared" si="2"/>
        <v>0</v>
      </c>
      <c r="P22" s="64"/>
      <c r="Q22" s="65"/>
      <c r="R22" s="63">
        <f t="shared" si="3"/>
        <v>0</v>
      </c>
      <c r="S22" s="64"/>
      <c r="T22" s="65"/>
      <c r="U22" s="63">
        <f t="shared" si="4"/>
        <v>0</v>
      </c>
      <c r="V22" s="64"/>
      <c r="W22" s="65"/>
      <c r="X22" s="63">
        <f t="shared" si="5"/>
        <v>0</v>
      </c>
      <c r="Y22" s="64"/>
      <c r="Z22" s="65"/>
      <c r="AA22" s="63">
        <f t="shared" si="6"/>
        <v>0</v>
      </c>
      <c r="AB22" s="64"/>
      <c r="AC22" s="65"/>
      <c r="AD22" s="63">
        <f t="shared" si="7"/>
        <v>0</v>
      </c>
      <c r="AE22" s="64"/>
      <c r="AF22" s="65"/>
      <c r="AG22" s="63">
        <f t="shared" si="8"/>
        <v>0</v>
      </c>
      <c r="AH22" s="64"/>
      <c r="AI22" s="65"/>
      <c r="AJ22" s="63">
        <f t="shared" si="9"/>
        <v>0</v>
      </c>
      <c r="AK22" s="64"/>
      <c r="AL22" s="65"/>
      <c r="AM22" s="63">
        <f t="shared" si="10"/>
        <v>0</v>
      </c>
      <c r="AN22" s="64"/>
      <c r="AO22" s="65"/>
      <c r="AP22" s="61">
        <f t="shared" si="11"/>
        <v>306</v>
      </c>
      <c r="AQ22" s="7">
        <f t="shared" si="0"/>
        <v>0.22500000000000001</v>
      </c>
    </row>
    <row r="23" spans="1:43" ht="18" customHeight="1">
      <c r="A23" s="5"/>
      <c r="B23" s="9"/>
      <c r="C23" s="60"/>
      <c r="D23" s="61"/>
      <c r="E23" s="62"/>
      <c r="F23" s="63"/>
      <c r="G23" s="64"/>
      <c r="H23" s="65"/>
      <c r="I23" s="63"/>
      <c r="J23" s="64"/>
      <c r="K23" s="65"/>
      <c r="L23" s="63"/>
      <c r="M23" s="64"/>
      <c r="N23" s="65"/>
      <c r="O23" s="63"/>
      <c r="P23" s="64"/>
      <c r="Q23" s="65"/>
      <c r="R23" s="63"/>
      <c r="S23" s="64"/>
      <c r="T23" s="65"/>
      <c r="U23" s="63"/>
      <c r="V23" s="64"/>
      <c r="W23" s="65"/>
      <c r="X23" s="63"/>
      <c r="Y23" s="64"/>
      <c r="Z23" s="65"/>
      <c r="AA23" s="63"/>
      <c r="AB23" s="64"/>
      <c r="AC23" s="65"/>
      <c r="AD23" s="63"/>
      <c r="AE23" s="64"/>
      <c r="AF23" s="65"/>
      <c r="AG23" s="63"/>
      <c r="AH23" s="64"/>
      <c r="AI23" s="65"/>
      <c r="AJ23" s="63"/>
      <c r="AK23" s="64"/>
      <c r="AL23" s="65"/>
      <c r="AM23" s="63"/>
      <c r="AN23" s="64"/>
      <c r="AO23" s="65"/>
      <c r="AP23" s="61"/>
      <c r="AQ23" s="7"/>
    </row>
    <row r="24" spans="1:43" ht="18" customHeight="1">
      <c r="A24" s="5"/>
      <c r="B24" s="9"/>
      <c r="C24" s="60"/>
      <c r="D24" s="61"/>
      <c r="E24" s="62"/>
      <c r="F24" s="63"/>
      <c r="G24" s="64"/>
      <c r="H24" s="65"/>
      <c r="I24" s="63"/>
      <c r="J24" s="64"/>
      <c r="K24" s="65"/>
      <c r="L24" s="63"/>
      <c r="M24" s="64"/>
      <c r="N24" s="65"/>
      <c r="O24" s="63"/>
      <c r="P24" s="64"/>
      <c r="Q24" s="65"/>
      <c r="R24" s="63"/>
      <c r="S24" s="64"/>
      <c r="T24" s="65"/>
      <c r="U24" s="63"/>
      <c r="V24" s="64"/>
      <c r="W24" s="65"/>
      <c r="X24" s="63"/>
      <c r="Y24" s="64"/>
      <c r="Z24" s="65"/>
      <c r="AA24" s="63"/>
      <c r="AB24" s="64"/>
      <c r="AC24" s="65"/>
      <c r="AD24" s="63"/>
      <c r="AE24" s="64"/>
      <c r="AF24" s="65"/>
      <c r="AG24" s="63"/>
      <c r="AH24" s="64"/>
      <c r="AI24" s="65"/>
      <c r="AJ24" s="63"/>
      <c r="AK24" s="64"/>
      <c r="AL24" s="65"/>
      <c r="AM24" s="63"/>
      <c r="AN24" s="64"/>
      <c r="AO24" s="65"/>
      <c r="AP24" s="61"/>
      <c r="AQ24" s="7"/>
    </row>
    <row r="25" spans="1:43" ht="18" customHeight="1">
      <c r="A25" s="5"/>
      <c r="B25" s="9"/>
      <c r="C25" s="60"/>
      <c r="D25" s="61"/>
      <c r="E25" s="62"/>
      <c r="F25" s="63"/>
      <c r="G25" s="64"/>
      <c r="H25" s="65"/>
      <c r="I25" s="63"/>
      <c r="J25" s="64"/>
      <c r="K25" s="65"/>
      <c r="L25" s="63"/>
      <c r="M25" s="64"/>
      <c r="N25" s="65"/>
      <c r="O25" s="63"/>
      <c r="P25" s="64"/>
      <c r="Q25" s="65"/>
      <c r="R25" s="63"/>
      <c r="S25" s="64"/>
      <c r="T25" s="65"/>
      <c r="U25" s="63"/>
      <c r="V25" s="64"/>
      <c r="W25" s="65"/>
      <c r="X25" s="63"/>
      <c r="Y25" s="64"/>
      <c r="Z25" s="65"/>
      <c r="AA25" s="63"/>
      <c r="AB25" s="64"/>
      <c r="AC25" s="65"/>
      <c r="AD25" s="63"/>
      <c r="AE25" s="64"/>
      <c r="AF25" s="65"/>
      <c r="AG25" s="63"/>
      <c r="AH25" s="64"/>
      <c r="AI25" s="65"/>
      <c r="AJ25" s="63"/>
      <c r="AK25" s="64"/>
      <c r="AL25" s="65"/>
      <c r="AM25" s="63"/>
      <c r="AN25" s="64"/>
      <c r="AO25" s="65"/>
      <c r="AP25" s="61"/>
      <c r="AQ25" s="7"/>
    </row>
    <row r="26" spans="1:43" ht="18" customHeight="1">
      <c r="A26" s="5"/>
      <c r="B26" s="9"/>
      <c r="C26" s="60"/>
      <c r="D26" s="61"/>
      <c r="E26" s="62"/>
      <c r="F26" s="63"/>
      <c r="G26" s="64"/>
      <c r="H26" s="65"/>
      <c r="I26" s="63"/>
      <c r="J26" s="64"/>
      <c r="K26" s="65"/>
      <c r="L26" s="63"/>
      <c r="M26" s="64"/>
      <c r="N26" s="65"/>
      <c r="O26" s="63"/>
      <c r="P26" s="64"/>
      <c r="Q26" s="65"/>
      <c r="R26" s="63"/>
      <c r="S26" s="64"/>
      <c r="T26" s="65"/>
      <c r="U26" s="63"/>
      <c r="V26" s="64"/>
      <c r="W26" s="65"/>
      <c r="X26" s="63"/>
      <c r="Y26" s="64"/>
      <c r="Z26" s="65"/>
      <c r="AA26" s="63"/>
      <c r="AB26" s="64"/>
      <c r="AC26" s="65"/>
      <c r="AD26" s="63"/>
      <c r="AE26" s="64"/>
      <c r="AF26" s="65"/>
      <c r="AG26" s="63"/>
      <c r="AH26" s="64"/>
      <c r="AI26" s="65"/>
      <c r="AJ26" s="63"/>
      <c r="AK26" s="64"/>
      <c r="AL26" s="65"/>
      <c r="AM26" s="63"/>
      <c r="AN26" s="64"/>
      <c r="AO26" s="65"/>
      <c r="AP26" s="61"/>
      <c r="AQ26" s="7"/>
    </row>
    <row r="27" spans="1:43" ht="18" customHeight="1">
      <c r="A27" s="5"/>
      <c r="B27" s="9"/>
      <c r="C27" s="60"/>
      <c r="D27" s="61"/>
      <c r="E27" s="62"/>
      <c r="F27" s="63"/>
      <c r="G27" s="64"/>
      <c r="H27" s="65"/>
      <c r="I27" s="63"/>
      <c r="J27" s="64"/>
      <c r="K27" s="65"/>
      <c r="L27" s="63"/>
      <c r="M27" s="64"/>
      <c r="N27" s="65"/>
      <c r="O27" s="63"/>
      <c r="P27" s="64"/>
      <c r="Q27" s="65"/>
      <c r="R27" s="63"/>
      <c r="S27" s="64"/>
      <c r="T27" s="65"/>
      <c r="U27" s="63"/>
      <c r="V27" s="64"/>
      <c r="W27" s="65"/>
      <c r="X27" s="63"/>
      <c r="Y27" s="64"/>
      <c r="Z27" s="65"/>
      <c r="AA27" s="63"/>
      <c r="AB27" s="64"/>
      <c r="AC27" s="65"/>
      <c r="AD27" s="63"/>
      <c r="AE27" s="64"/>
      <c r="AF27" s="65"/>
      <c r="AG27" s="63"/>
      <c r="AH27" s="64"/>
      <c r="AI27" s="65"/>
      <c r="AJ27" s="63"/>
      <c r="AK27" s="64"/>
      <c r="AL27" s="65"/>
      <c r="AM27" s="63"/>
      <c r="AN27" s="64"/>
      <c r="AO27" s="65"/>
      <c r="AP27" s="61"/>
      <c r="AQ27" s="7"/>
    </row>
    <row r="28" spans="1:43" ht="18" customHeight="1">
      <c r="A28" s="5"/>
      <c r="B28" s="9"/>
      <c r="C28" s="60"/>
      <c r="D28" s="61"/>
      <c r="E28" s="62"/>
      <c r="F28" s="63"/>
      <c r="G28" s="64"/>
      <c r="H28" s="65"/>
      <c r="I28" s="63"/>
      <c r="J28" s="64"/>
      <c r="K28" s="65"/>
      <c r="L28" s="63"/>
      <c r="M28" s="64"/>
      <c r="N28" s="65"/>
      <c r="O28" s="63"/>
      <c r="P28" s="64"/>
      <c r="Q28" s="65"/>
      <c r="R28" s="63"/>
      <c r="S28" s="64"/>
      <c r="T28" s="65"/>
      <c r="U28" s="63"/>
      <c r="V28" s="64"/>
      <c r="W28" s="65"/>
      <c r="X28" s="63"/>
      <c r="Y28" s="64"/>
      <c r="Z28" s="65"/>
      <c r="AA28" s="63"/>
      <c r="AB28" s="64"/>
      <c r="AC28" s="65"/>
      <c r="AD28" s="63"/>
      <c r="AE28" s="64"/>
      <c r="AF28" s="65"/>
      <c r="AG28" s="63"/>
      <c r="AH28" s="64"/>
      <c r="AI28" s="65"/>
      <c r="AJ28" s="63"/>
      <c r="AK28" s="64"/>
      <c r="AL28" s="65"/>
      <c r="AM28" s="63"/>
      <c r="AN28" s="64"/>
      <c r="AO28" s="65"/>
      <c r="AP28" s="61"/>
      <c r="AQ28" s="7"/>
    </row>
    <row r="29" spans="1:43" ht="18" customHeight="1">
      <c r="A29" s="5"/>
      <c r="B29" s="9"/>
      <c r="C29" s="60"/>
      <c r="D29" s="66"/>
      <c r="E29" s="62"/>
      <c r="F29" s="63"/>
      <c r="G29" s="64"/>
      <c r="H29" s="65"/>
      <c r="I29" s="63"/>
      <c r="J29" s="64"/>
      <c r="K29" s="65"/>
      <c r="L29" s="63"/>
      <c r="M29" s="64"/>
      <c r="N29" s="65"/>
      <c r="O29" s="63"/>
      <c r="P29" s="64"/>
      <c r="Q29" s="65"/>
      <c r="R29" s="63"/>
      <c r="S29" s="64"/>
      <c r="T29" s="65"/>
      <c r="U29" s="63"/>
      <c r="V29" s="64"/>
      <c r="W29" s="65"/>
      <c r="X29" s="63"/>
      <c r="Y29" s="64"/>
      <c r="Z29" s="65"/>
      <c r="AA29" s="63"/>
      <c r="AB29" s="64"/>
      <c r="AC29" s="65"/>
      <c r="AD29" s="63"/>
      <c r="AE29" s="64"/>
      <c r="AF29" s="65"/>
      <c r="AG29" s="63"/>
      <c r="AH29" s="64"/>
      <c r="AI29" s="65"/>
      <c r="AJ29" s="63"/>
      <c r="AK29" s="64"/>
      <c r="AL29" s="65"/>
      <c r="AM29" s="63"/>
      <c r="AN29" s="64"/>
      <c r="AO29" s="65"/>
      <c r="AP29" s="66"/>
      <c r="AQ29" s="7"/>
    </row>
    <row r="30" spans="1:43" ht="18" customHeight="1">
      <c r="A30" s="5"/>
      <c r="B30" s="9"/>
      <c r="C30" s="60"/>
      <c r="D30" s="66"/>
      <c r="E30" s="62"/>
      <c r="F30" s="63"/>
      <c r="G30" s="64"/>
      <c r="H30" s="65"/>
      <c r="I30" s="63"/>
      <c r="J30" s="64"/>
      <c r="K30" s="65"/>
      <c r="L30" s="63"/>
      <c r="M30" s="64"/>
      <c r="N30" s="65"/>
      <c r="O30" s="63"/>
      <c r="P30" s="64"/>
      <c r="Q30" s="65"/>
      <c r="R30" s="63"/>
      <c r="S30" s="64"/>
      <c r="T30" s="65"/>
      <c r="U30" s="63"/>
      <c r="V30" s="64"/>
      <c r="W30" s="65"/>
      <c r="X30" s="63"/>
      <c r="Y30" s="64"/>
      <c r="Z30" s="65"/>
      <c r="AA30" s="63"/>
      <c r="AB30" s="64"/>
      <c r="AC30" s="65"/>
      <c r="AD30" s="63"/>
      <c r="AE30" s="64"/>
      <c r="AF30" s="65"/>
      <c r="AG30" s="63"/>
      <c r="AH30" s="64"/>
      <c r="AI30" s="65"/>
      <c r="AJ30" s="63"/>
      <c r="AK30" s="64"/>
      <c r="AL30" s="65"/>
      <c r="AM30" s="63"/>
      <c r="AN30" s="64"/>
      <c r="AO30" s="65"/>
      <c r="AP30" s="66"/>
      <c r="AQ30" s="7"/>
    </row>
    <row r="31" spans="1:43" ht="18" customHeight="1" thickBot="1">
      <c r="A31" s="5"/>
      <c r="B31" s="10"/>
      <c r="C31" s="55"/>
      <c r="D31" s="67"/>
      <c r="E31" s="57"/>
      <c r="F31" s="57"/>
      <c r="G31" s="68"/>
      <c r="H31" s="69"/>
      <c r="I31" s="57"/>
      <c r="J31" s="68"/>
      <c r="K31" s="69"/>
      <c r="L31" s="57"/>
      <c r="M31" s="68"/>
      <c r="N31" s="69"/>
      <c r="O31" s="57"/>
      <c r="P31" s="68"/>
      <c r="Q31" s="69"/>
      <c r="R31" s="57"/>
      <c r="S31" s="68"/>
      <c r="T31" s="69"/>
      <c r="U31" s="57"/>
      <c r="V31" s="68"/>
      <c r="W31" s="69"/>
      <c r="X31" s="57"/>
      <c r="Y31" s="68"/>
      <c r="Z31" s="69"/>
      <c r="AA31" s="57"/>
      <c r="AB31" s="68"/>
      <c r="AC31" s="69"/>
      <c r="AD31" s="57"/>
      <c r="AE31" s="68"/>
      <c r="AF31" s="69"/>
      <c r="AG31" s="57"/>
      <c r="AH31" s="68"/>
      <c r="AI31" s="69"/>
      <c r="AJ31" s="57"/>
      <c r="AK31" s="68"/>
      <c r="AL31" s="69"/>
      <c r="AM31" s="57"/>
      <c r="AN31" s="68"/>
      <c r="AO31" s="69"/>
      <c r="AP31" s="67"/>
      <c r="AQ31" s="6"/>
    </row>
    <row r="32" spans="1:43" ht="18" customHeight="1" thickTop="1">
      <c r="B32" s="11" t="s">
        <v>32</v>
      </c>
      <c r="C32" s="70">
        <f t="shared" ref="C32" si="12">SUM(C12:C31)</f>
        <v>22542</v>
      </c>
      <c r="D32" s="71">
        <f t="shared" ref="D32:AP32" si="13">SUM(D12:D31)</f>
        <v>5667</v>
      </c>
      <c r="E32" s="72">
        <f t="shared" si="13"/>
        <v>23752</v>
      </c>
      <c r="F32" s="72">
        <f t="shared" si="13"/>
        <v>955</v>
      </c>
      <c r="G32" s="73">
        <f t="shared" si="13"/>
        <v>0</v>
      </c>
      <c r="H32" s="74">
        <f t="shared" si="13"/>
        <v>0</v>
      </c>
      <c r="I32" s="72">
        <f t="shared" ref="I32:N32" si="14">SUM(I12:I31)</f>
        <v>802</v>
      </c>
      <c r="J32" s="73">
        <f t="shared" si="14"/>
        <v>0</v>
      </c>
      <c r="K32" s="74">
        <f t="shared" si="14"/>
        <v>0</v>
      </c>
      <c r="L32" s="72">
        <f t="shared" si="14"/>
        <v>0</v>
      </c>
      <c r="M32" s="73">
        <f t="shared" si="14"/>
        <v>0</v>
      </c>
      <c r="N32" s="74">
        <f t="shared" si="14"/>
        <v>0</v>
      </c>
      <c r="O32" s="72">
        <f t="shared" ref="O32:T32" si="15">SUM(O12:O31)</f>
        <v>0</v>
      </c>
      <c r="P32" s="73">
        <f t="shared" si="15"/>
        <v>0</v>
      </c>
      <c r="Q32" s="74">
        <f t="shared" si="15"/>
        <v>0</v>
      </c>
      <c r="R32" s="72">
        <f t="shared" si="15"/>
        <v>0</v>
      </c>
      <c r="S32" s="73">
        <f t="shared" si="15"/>
        <v>0</v>
      </c>
      <c r="T32" s="74">
        <f t="shared" si="15"/>
        <v>0</v>
      </c>
      <c r="U32" s="72">
        <f t="shared" ref="U32:AI32" si="16">SUM(U12:U31)</f>
        <v>0</v>
      </c>
      <c r="V32" s="73">
        <f t="shared" si="16"/>
        <v>0</v>
      </c>
      <c r="W32" s="74">
        <f t="shared" si="16"/>
        <v>0</v>
      </c>
      <c r="X32" s="72">
        <f t="shared" si="16"/>
        <v>0</v>
      </c>
      <c r="Y32" s="73">
        <f t="shared" si="16"/>
        <v>0</v>
      </c>
      <c r="Z32" s="74">
        <f t="shared" si="16"/>
        <v>0</v>
      </c>
      <c r="AA32" s="72">
        <f t="shared" si="16"/>
        <v>0</v>
      </c>
      <c r="AB32" s="73">
        <f t="shared" si="16"/>
        <v>0</v>
      </c>
      <c r="AC32" s="74">
        <f t="shared" si="16"/>
        <v>0</v>
      </c>
      <c r="AD32" s="72">
        <f t="shared" si="16"/>
        <v>0</v>
      </c>
      <c r="AE32" s="73">
        <f t="shared" si="16"/>
        <v>0</v>
      </c>
      <c r="AF32" s="74">
        <f t="shared" si="16"/>
        <v>0</v>
      </c>
      <c r="AG32" s="72">
        <f t="shared" si="16"/>
        <v>0</v>
      </c>
      <c r="AH32" s="73">
        <f t="shared" si="16"/>
        <v>0</v>
      </c>
      <c r="AI32" s="74">
        <f t="shared" si="16"/>
        <v>0</v>
      </c>
      <c r="AJ32" s="72">
        <f t="shared" ref="AJ32:AO32" si="17">SUM(AJ12:AJ31)</f>
        <v>0</v>
      </c>
      <c r="AK32" s="73">
        <f t="shared" si="17"/>
        <v>0</v>
      </c>
      <c r="AL32" s="74">
        <f t="shared" si="17"/>
        <v>0</v>
      </c>
      <c r="AM32" s="72">
        <f t="shared" si="17"/>
        <v>0</v>
      </c>
      <c r="AN32" s="73">
        <f t="shared" si="17"/>
        <v>0</v>
      </c>
      <c r="AO32" s="74">
        <f t="shared" si="17"/>
        <v>0</v>
      </c>
      <c r="AP32" s="71">
        <f t="shared" si="13"/>
        <v>955</v>
      </c>
      <c r="AQ32" s="108">
        <f t="shared" si="0"/>
        <v>4.0207140451330413E-2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heetViews>
  <sheetFormatPr defaultColWidth="11.375" defaultRowHeight="18.75" customHeight="1"/>
  <cols>
    <col min="1" max="1" width="2.75" style="35" customWidth="1"/>
    <col min="2" max="2" width="16.625" style="97" customWidth="1"/>
    <col min="3" max="3" width="8.875" style="97" customWidth="1"/>
    <col min="4" max="4" width="2.25" style="97" customWidth="1"/>
    <col min="5" max="5" width="16.625" style="97" customWidth="1"/>
    <col min="6" max="6" width="4.375" style="97" customWidth="1"/>
    <col min="7" max="7" width="9" style="97" customWidth="1"/>
    <col min="8" max="8" width="16.625" style="97" customWidth="1"/>
    <col min="9" max="9" width="12.125" style="97" customWidth="1"/>
    <col min="10" max="16384" width="11.375" style="97"/>
  </cols>
  <sheetData>
    <row r="1" spans="1:9" ht="18.75" customHeight="1">
      <c r="A1" s="35" t="s">
        <v>64</v>
      </c>
      <c r="I1" s="95" t="s">
        <v>105</v>
      </c>
    </row>
    <row r="2" spans="1:9" ht="18.75" customHeight="1">
      <c r="G2" s="95" t="s">
        <v>108</v>
      </c>
      <c r="H2" s="133" t="str">
        <f>'様式１-1　プログラムを構成する授業科目'!C2</f>
        <v>帝京大学</v>
      </c>
      <c r="I2" s="135"/>
    </row>
    <row r="3" spans="1:9" ht="18.75" customHeight="1">
      <c r="G3" s="95"/>
      <c r="H3" s="8"/>
      <c r="I3" s="8"/>
    </row>
    <row r="4" spans="1:9" ht="18.600000000000001" customHeight="1">
      <c r="A4" s="144" t="s">
        <v>35</v>
      </c>
      <c r="B4" s="144"/>
      <c r="C4" s="144"/>
      <c r="D4" s="144"/>
      <c r="E4" s="144"/>
      <c r="F4" s="144"/>
      <c r="G4" s="144"/>
      <c r="H4" s="144"/>
      <c r="I4" s="144"/>
    </row>
    <row r="5" spans="1:9" ht="13.15" customHeight="1">
      <c r="B5" s="98"/>
      <c r="C5" s="98"/>
      <c r="D5" s="98"/>
      <c r="E5" s="98"/>
      <c r="F5" s="98"/>
      <c r="G5" s="98"/>
      <c r="H5" s="98"/>
      <c r="I5" s="98"/>
    </row>
    <row r="6" spans="1:9" ht="18" customHeight="1">
      <c r="A6" s="97" t="s">
        <v>0</v>
      </c>
      <c r="B6" s="8" t="s">
        <v>90</v>
      </c>
      <c r="C6" s="270" t="s">
        <v>91</v>
      </c>
      <c r="D6" s="270"/>
      <c r="E6" s="96">
        <v>1479</v>
      </c>
      <c r="F6" s="98" t="s">
        <v>1</v>
      </c>
      <c r="G6" s="98" t="s">
        <v>2</v>
      </c>
      <c r="H6" s="96">
        <v>858</v>
      </c>
      <c r="I6" s="8" t="s">
        <v>1</v>
      </c>
    </row>
    <row r="7" spans="1:9" ht="12" customHeight="1">
      <c r="C7" s="2"/>
      <c r="D7" s="2"/>
      <c r="E7" s="2"/>
      <c r="F7" s="2"/>
      <c r="G7" s="2"/>
      <c r="H7" s="2"/>
      <c r="I7" s="36"/>
    </row>
    <row r="8" spans="1:9" ht="18" customHeight="1">
      <c r="A8" s="97" t="s">
        <v>3</v>
      </c>
      <c r="B8" s="8" t="s">
        <v>92</v>
      </c>
      <c r="E8" s="98"/>
      <c r="F8" s="98"/>
      <c r="G8" s="98"/>
      <c r="H8" s="96">
        <v>24</v>
      </c>
      <c r="I8" s="8" t="s">
        <v>1</v>
      </c>
    </row>
    <row r="9" spans="1:9" ht="9" customHeight="1">
      <c r="B9" s="98"/>
      <c r="C9" s="98"/>
      <c r="D9" s="98"/>
      <c r="E9" s="98"/>
      <c r="F9" s="98"/>
      <c r="G9" s="98"/>
      <c r="H9" s="98"/>
      <c r="I9" s="98"/>
    </row>
    <row r="10" spans="1:9" ht="18" customHeight="1">
      <c r="A10" s="97" t="s">
        <v>4</v>
      </c>
      <c r="B10" s="8" t="s">
        <v>93</v>
      </c>
      <c r="C10" s="98"/>
      <c r="D10" s="98"/>
      <c r="E10" s="98"/>
      <c r="F10" s="98"/>
      <c r="G10" s="98"/>
      <c r="H10" s="98"/>
      <c r="I10" s="98"/>
    </row>
    <row r="11" spans="1:9" ht="18" customHeight="1">
      <c r="B11" s="95" t="s">
        <v>42</v>
      </c>
      <c r="C11" s="271" t="s">
        <v>154</v>
      </c>
      <c r="D11" s="272"/>
      <c r="E11" s="273"/>
      <c r="F11" s="36"/>
      <c r="G11" s="95" t="s">
        <v>10</v>
      </c>
      <c r="H11" s="271" t="s">
        <v>155</v>
      </c>
      <c r="I11" s="273"/>
    </row>
    <row r="12" spans="1:9" ht="10.15" customHeight="1">
      <c r="B12" s="95"/>
      <c r="C12" s="8"/>
      <c r="D12" s="36"/>
      <c r="E12" s="36"/>
      <c r="F12" s="36"/>
      <c r="G12" s="95"/>
      <c r="H12" s="8"/>
      <c r="I12" s="36"/>
    </row>
    <row r="13" spans="1:9" ht="18" customHeight="1">
      <c r="A13" s="97" t="s">
        <v>7</v>
      </c>
      <c r="B13" s="8" t="s">
        <v>87</v>
      </c>
      <c r="C13" s="98"/>
      <c r="D13" s="98"/>
      <c r="E13" s="98"/>
      <c r="F13" s="98"/>
      <c r="G13" s="98"/>
      <c r="H13" s="98"/>
      <c r="I13" s="98"/>
    </row>
    <row r="14" spans="1:9" ht="18" customHeight="1">
      <c r="B14" s="271" t="s">
        <v>156</v>
      </c>
      <c r="C14" s="274"/>
      <c r="D14" s="274"/>
      <c r="E14" s="274"/>
      <c r="F14" s="274"/>
      <c r="G14" s="274"/>
      <c r="H14" s="274"/>
      <c r="I14" s="275"/>
    </row>
    <row r="15" spans="1:9" ht="9" customHeight="1">
      <c r="B15" s="98"/>
      <c r="C15" s="98"/>
      <c r="D15" s="98"/>
      <c r="E15" s="98"/>
      <c r="F15" s="98"/>
      <c r="G15" s="98"/>
      <c r="H15" s="98"/>
      <c r="I15" s="98"/>
    </row>
    <row r="16" spans="1:9" ht="18" customHeight="1">
      <c r="B16" s="95" t="s">
        <v>42</v>
      </c>
      <c r="C16" s="271" t="s">
        <v>154</v>
      </c>
      <c r="D16" s="272"/>
      <c r="E16" s="273"/>
      <c r="F16" s="36"/>
      <c r="G16" s="95" t="s">
        <v>10</v>
      </c>
      <c r="H16" s="271" t="s">
        <v>155</v>
      </c>
      <c r="I16" s="273"/>
    </row>
    <row r="17" spans="1:9" ht="18" customHeight="1">
      <c r="B17" s="98"/>
      <c r="C17" s="98"/>
      <c r="D17" s="98"/>
      <c r="E17" s="98"/>
      <c r="F17" s="98"/>
      <c r="G17" s="98"/>
      <c r="H17" s="98"/>
      <c r="I17" s="98"/>
    </row>
    <row r="18" spans="1:9" ht="18.75" customHeight="1">
      <c r="A18" s="97" t="s">
        <v>5</v>
      </c>
      <c r="B18" s="97" t="s">
        <v>41</v>
      </c>
      <c r="I18" s="98"/>
    </row>
    <row r="19" spans="1:9" ht="39.75" customHeight="1">
      <c r="A19" s="97"/>
      <c r="B19" s="157" t="s">
        <v>158</v>
      </c>
      <c r="C19" s="276"/>
      <c r="D19" s="276"/>
      <c r="E19" s="276"/>
      <c r="F19" s="276"/>
      <c r="G19" s="276"/>
      <c r="H19" s="276"/>
      <c r="I19" s="277"/>
    </row>
    <row r="20" spans="1:9" ht="7.5" customHeight="1">
      <c r="B20" s="98"/>
      <c r="C20" s="98"/>
      <c r="D20" s="98"/>
      <c r="E20" s="98"/>
      <c r="F20" s="98"/>
      <c r="G20" s="98"/>
      <c r="H20" s="98"/>
      <c r="I20" s="98"/>
    </row>
    <row r="21" spans="1:9" ht="18.75" customHeight="1">
      <c r="A21" s="97" t="s">
        <v>8</v>
      </c>
      <c r="B21" s="97" t="s">
        <v>24</v>
      </c>
    </row>
    <row r="22" spans="1:9" ht="18.75" customHeight="1">
      <c r="A22" s="100"/>
      <c r="B22" s="278" t="s">
        <v>157</v>
      </c>
      <c r="C22" s="279"/>
      <c r="D22" s="279"/>
      <c r="E22" s="279"/>
      <c r="F22" s="279"/>
      <c r="G22" s="279"/>
      <c r="H22" s="279"/>
      <c r="I22" s="280"/>
    </row>
    <row r="23" spans="1:9" ht="18.75" customHeight="1">
      <c r="A23" s="100"/>
      <c r="B23" s="281"/>
      <c r="C23" s="282"/>
      <c r="D23" s="282"/>
      <c r="E23" s="282"/>
      <c r="F23" s="282"/>
      <c r="G23" s="282"/>
      <c r="H23" s="282"/>
      <c r="I23" s="283"/>
    </row>
    <row r="24" spans="1:9" ht="18.75" customHeight="1">
      <c r="A24" s="100"/>
      <c r="B24" s="281"/>
      <c r="C24" s="282"/>
      <c r="D24" s="282"/>
      <c r="E24" s="282"/>
      <c r="F24" s="282"/>
      <c r="G24" s="282"/>
      <c r="H24" s="282"/>
      <c r="I24" s="283"/>
    </row>
    <row r="25" spans="1:9" ht="18.75" customHeight="1">
      <c r="A25" s="100"/>
      <c r="B25" s="281"/>
      <c r="C25" s="282"/>
      <c r="D25" s="282"/>
      <c r="E25" s="282"/>
      <c r="F25" s="282"/>
      <c r="G25" s="282"/>
      <c r="H25" s="282"/>
      <c r="I25" s="283"/>
    </row>
    <row r="26" spans="1:9" ht="18.75" customHeight="1">
      <c r="A26" s="100"/>
      <c r="B26" s="281"/>
      <c r="C26" s="282"/>
      <c r="D26" s="282"/>
      <c r="E26" s="282"/>
      <c r="F26" s="282"/>
      <c r="G26" s="282"/>
      <c r="H26" s="282"/>
      <c r="I26" s="283"/>
    </row>
    <row r="27" spans="1:9" ht="18.75" customHeight="1">
      <c r="A27" s="100"/>
      <c r="B27" s="281"/>
      <c r="C27" s="282"/>
      <c r="D27" s="282"/>
      <c r="E27" s="282"/>
      <c r="F27" s="282"/>
      <c r="G27" s="282"/>
      <c r="H27" s="282"/>
      <c r="I27" s="283"/>
    </row>
    <row r="28" spans="1:9" ht="18.75" customHeight="1">
      <c r="A28" s="100"/>
      <c r="B28" s="281"/>
      <c r="C28" s="282"/>
      <c r="D28" s="282"/>
      <c r="E28" s="282"/>
      <c r="F28" s="282"/>
      <c r="G28" s="282"/>
      <c r="H28" s="282"/>
      <c r="I28" s="283"/>
    </row>
    <row r="29" spans="1:9" ht="18.75" customHeight="1">
      <c r="A29" s="100"/>
      <c r="B29" s="281"/>
      <c r="C29" s="282"/>
      <c r="D29" s="282"/>
      <c r="E29" s="282"/>
      <c r="F29" s="282"/>
      <c r="G29" s="282"/>
      <c r="H29" s="282"/>
      <c r="I29" s="283"/>
    </row>
    <row r="30" spans="1:9" ht="18.75" customHeight="1">
      <c r="A30" s="100"/>
      <c r="B30" s="284"/>
      <c r="C30" s="285"/>
      <c r="D30" s="285"/>
      <c r="E30" s="285"/>
      <c r="F30" s="285"/>
      <c r="G30" s="285"/>
      <c r="H30" s="285"/>
      <c r="I30" s="283"/>
    </row>
    <row r="31" spans="1:9" ht="18.75" customHeight="1">
      <c r="A31" s="100"/>
      <c r="B31" s="284"/>
      <c r="C31" s="285"/>
      <c r="D31" s="285"/>
      <c r="E31" s="285"/>
      <c r="F31" s="285"/>
      <c r="G31" s="285"/>
      <c r="H31" s="285"/>
      <c r="I31" s="283"/>
    </row>
    <row r="32" spans="1:9" ht="18.75" customHeight="1">
      <c r="A32" s="100"/>
      <c r="B32" s="286"/>
      <c r="C32" s="287"/>
      <c r="D32" s="287"/>
      <c r="E32" s="287"/>
      <c r="F32" s="287"/>
      <c r="G32" s="287"/>
      <c r="H32" s="287"/>
      <c r="I32" s="288"/>
    </row>
    <row r="33" spans="1:9" ht="7.5" customHeight="1">
      <c r="A33" s="100"/>
      <c r="B33" s="100"/>
      <c r="C33" s="100"/>
      <c r="D33" s="100"/>
      <c r="E33" s="100"/>
      <c r="F33" s="100"/>
      <c r="G33" s="100"/>
      <c r="H33" s="100"/>
      <c r="I33" s="100"/>
    </row>
    <row r="34" spans="1:9" ht="18.75" customHeight="1">
      <c r="A34" s="94" t="s">
        <v>6</v>
      </c>
      <c r="B34" s="94" t="s">
        <v>9</v>
      </c>
      <c r="C34" s="8"/>
      <c r="D34" s="94"/>
      <c r="E34" s="94"/>
      <c r="F34" s="94"/>
      <c r="G34" s="94"/>
      <c r="H34" s="94"/>
      <c r="I34" s="94"/>
    </row>
    <row r="35" spans="1:9" ht="18.75" customHeight="1">
      <c r="A35" s="100"/>
      <c r="B35" s="278" t="s">
        <v>171</v>
      </c>
      <c r="C35" s="279"/>
      <c r="D35" s="279"/>
      <c r="E35" s="279"/>
      <c r="F35" s="279"/>
      <c r="G35" s="279"/>
      <c r="H35" s="279"/>
      <c r="I35" s="280"/>
    </row>
    <row r="36" spans="1:9" ht="18.75" customHeight="1">
      <c r="A36" s="100"/>
      <c r="B36" s="284"/>
      <c r="C36" s="285"/>
      <c r="D36" s="285"/>
      <c r="E36" s="285"/>
      <c r="F36" s="285"/>
      <c r="G36" s="285"/>
      <c r="H36" s="285"/>
      <c r="I36" s="283"/>
    </row>
    <row r="37" spans="1:9" ht="18.75" customHeight="1">
      <c r="A37" s="100"/>
      <c r="B37" s="284"/>
      <c r="C37" s="285"/>
      <c r="D37" s="285"/>
      <c r="E37" s="285"/>
      <c r="F37" s="285"/>
      <c r="G37" s="285"/>
      <c r="H37" s="285"/>
      <c r="I37" s="283"/>
    </row>
    <row r="38" spans="1:9" ht="18.75" customHeight="1">
      <c r="A38" s="100"/>
      <c r="B38" s="284"/>
      <c r="C38" s="285"/>
      <c r="D38" s="285"/>
      <c r="E38" s="285"/>
      <c r="F38" s="285"/>
      <c r="G38" s="285"/>
      <c r="H38" s="285"/>
      <c r="I38" s="283"/>
    </row>
    <row r="39" spans="1:9" ht="18.75" customHeight="1">
      <c r="A39" s="100"/>
      <c r="B39" s="284"/>
      <c r="C39" s="285"/>
      <c r="D39" s="285"/>
      <c r="E39" s="285"/>
      <c r="F39" s="285"/>
      <c r="G39" s="285"/>
      <c r="H39" s="285"/>
      <c r="I39" s="283"/>
    </row>
    <row r="40" spans="1:9" ht="18.75" customHeight="1">
      <c r="A40" s="100"/>
      <c r="B40" s="284"/>
      <c r="C40" s="285"/>
      <c r="D40" s="285"/>
      <c r="E40" s="285"/>
      <c r="F40" s="285"/>
      <c r="G40" s="285"/>
      <c r="H40" s="285"/>
      <c r="I40" s="283"/>
    </row>
    <row r="41" spans="1:9" ht="18.75" customHeight="1">
      <c r="A41" s="100"/>
      <c r="B41" s="284"/>
      <c r="C41" s="285"/>
      <c r="D41" s="285"/>
      <c r="E41" s="285"/>
      <c r="F41" s="285"/>
      <c r="G41" s="285"/>
      <c r="H41" s="285"/>
      <c r="I41" s="283"/>
    </row>
    <row r="42" spans="1:9" ht="18.75" customHeight="1">
      <c r="A42" s="100"/>
      <c r="B42" s="284"/>
      <c r="C42" s="285"/>
      <c r="D42" s="285"/>
      <c r="E42" s="285"/>
      <c r="F42" s="285"/>
      <c r="G42" s="285"/>
      <c r="H42" s="285"/>
      <c r="I42" s="283"/>
    </row>
    <row r="43" spans="1:9" ht="18.75" customHeight="1">
      <c r="A43" s="100"/>
      <c r="B43" s="284"/>
      <c r="C43" s="285"/>
      <c r="D43" s="285"/>
      <c r="E43" s="285"/>
      <c r="F43" s="285"/>
      <c r="G43" s="285"/>
      <c r="H43" s="285"/>
      <c r="I43" s="283"/>
    </row>
    <row r="44" spans="1:9" ht="18.75" customHeight="1">
      <c r="A44" s="100"/>
      <c r="B44" s="284"/>
      <c r="C44" s="285"/>
      <c r="D44" s="285"/>
      <c r="E44" s="285"/>
      <c r="F44" s="285"/>
      <c r="G44" s="285"/>
      <c r="H44" s="285"/>
      <c r="I44" s="283"/>
    </row>
    <row r="45" spans="1:9" ht="18.75" customHeight="1">
      <c r="A45" s="100"/>
      <c r="B45" s="284"/>
      <c r="C45" s="285"/>
      <c r="D45" s="285"/>
      <c r="E45" s="285"/>
      <c r="F45" s="285"/>
      <c r="G45" s="285"/>
      <c r="H45" s="285"/>
      <c r="I45" s="283"/>
    </row>
    <row r="46" spans="1:9" ht="18.75" customHeight="1">
      <c r="A46" s="100"/>
      <c r="B46" s="286"/>
      <c r="C46" s="287"/>
      <c r="D46" s="287"/>
      <c r="E46" s="287"/>
      <c r="F46" s="287"/>
      <c r="G46" s="287"/>
      <c r="H46" s="287"/>
      <c r="I46" s="288"/>
    </row>
    <row r="47" spans="1:9" ht="7.5" customHeight="1">
      <c r="A47" s="4"/>
      <c r="B47" s="4"/>
      <c r="C47" s="4"/>
      <c r="D47" s="4"/>
      <c r="E47" s="4"/>
      <c r="F47" s="4"/>
      <c r="G47" s="4"/>
      <c r="H47" s="4"/>
      <c r="I47" s="4"/>
    </row>
    <row r="48" spans="1:9" ht="18.75" customHeight="1">
      <c r="A48" s="97" t="s">
        <v>30</v>
      </c>
      <c r="B48" s="97" t="s">
        <v>122</v>
      </c>
    </row>
    <row r="49" spans="1:15" s="98" customFormat="1" ht="18.75" customHeight="1">
      <c r="B49" s="37" t="s">
        <v>88</v>
      </c>
      <c r="C49" s="269">
        <f>'様式２ 履修者等数の実績'!AQ32</f>
        <v>4.0207140451330413E-2</v>
      </c>
      <c r="D49" s="269"/>
      <c r="E49" s="37" t="s">
        <v>65</v>
      </c>
      <c r="F49" s="269">
        <v>0.08</v>
      </c>
      <c r="G49" s="269"/>
      <c r="H49" s="37" t="s">
        <v>66</v>
      </c>
      <c r="I49" s="99">
        <v>0.12</v>
      </c>
      <c r="J49" s="97"/>
      <c r="M49" s="97"/>
      <c r="N49" s="38"/>
    </row>
    <row r="50" spans="1:15" s="98" customFormat="1" ht="18.75" customHeight="1">
      <c r="B50" s="39" t="s">
        <v>67</v>
      </c>
      <c r="C50" s="290">
        <v>0.16</v>
      </c>
      <c r="D50" s="290"/>
      <c r="E50" s="39" t="s">
        <v>89</v>
      </c>
      <c r="F50" s="290">
        <v>0.2</v>
      </c>
      <c r="G50" s="290"/>
      <c r="H50" s="39" t="s">
        <v>68</v>
      </c>
      <c r="I50" s="40">
        <f>'様式２ 履修者等数の実績'!E32</f>
        <v>23752</v>
      </c>
      <c r="J50" s="97"/>
      <c r="M50" s="97"/>
      <c r="N50" s="38"/>
    </row>
    <row r="51" spans="1:15" ht="18.75" customHeight="1">
      <c r="A51" s="97"/>
      <c r="B51" s="291" t="s">
        <v>69</v>
      </c>
      <c r="C51" s="292"/>
      <c r="D51" s="292"/>
      <c r="E51" s="292"/>
      <c r="F51" s="292"/>
      <c r="G51" s="292"/>
      <c r="H51" s="292"/>
      <c r="I51" s="293"/>
      <c r="N51" s="38"/>
      <c r="O51" s="98"/>
    </row>
    <row r="52" spans="1:15" ht="18.75" customHeight="1">
      <c r="A52" s="97"/>
      <c r="B52" s="294" t="s">
        <v>160</v>
      </c>
      <c r="C52" s="295"/>
      <c r="D52" s="295"/>
      <c r="E52" s="295"/>
      <c r="F52" s="295"/>
      <c r="G52" s="295"/>
      <c r="H52" s="295"/>
      <c r="I52" s="296"/>
      <c r="J52" s="97">
        <f>LEN(B52)</f>
        <v>339</v>
      </c>
      <c r="N52" s="38"/>
      <c r="O52" s="98"/>
    </row>
    <row r="53" spans="1:15" ht="18.75" customHeight="1">
      <c r="A53" s="97"/>
      <c r="B53" s="297"/>
      <c r="C53" s="298"/>
      <c r="D53" s="298"/>
      <c r="E53" s="298"/>
      <c r="F53" s="298"/>
      <c r="G53" s="298"/>
      <c r="H53" s="298"/>
      <c r="I53" s="299"/>
      <c r="N53" s="38"/>
      <c r="O53" s="98"/>
    </row>
    <row r="54" spans="1:15" ht="18.75" customHeight="1">
      <c r="A54" s="97"/>
      <c r="B54" s="297"/>
      <c r="C54" s="298"/>
      <c r="D54" s="298"/>
      <c r="E54" s="298"/>
      <c r="F54" s="298"/>
      <c r="G54" s="298"/>
      <c r="H54" s="298"/>
      <c r="I54" s="299"/>
    </row>
    <row r="55" spans="1:15" ht="18.75" customHeight="1">
      <c r="A55" s="97"/>
      <c r="B55" s="297"/>
      <c r="C55" s="298"/>
      <c r="D55" s="298"/>
      <c r="E55" s="298"/>
      <c r="F55" s="298"/>
      <c r="G55" s="298"/>
      <c r="H55" s="298"/>
      <c r="I55" s="299"/>
    </row>
    <row r="56" spans="1:15" ht="18.75" customHeight="1">
      <c r="A56" s="97"/>
      <c r="B56" s="297"/>
      <c r="C56" s="298"/>
      <c r="D56" s="298"/>
      <c r="E56" s="298"/>
      <c r="F56" s="298"/>
      <c r="G56" s="298"/>
      <c r="H56" s="298"/>
      <c r="I56" s="299"/>
    </row>
    <row r="57" spans="1:15" ht="18.75" customHeight="1">
      <c r="A57" s="97"/>
      <c r="B57" s="297"/>
      <c r="C57" s="298"/>
      <c r="D57" s="298"/>
      <c r="E57" s="298"/>
      <c r="F57" s="298"/>
      <c r="G57" s="298"/>
      <c r="H57" s="298"/>
      <c r="I57" s="299"/>
    </row>
    <row r="58" spans="1:15" ht="18.75" customHeight="1">
      <c r="A58" s="97"/>
      <c r="B58" s="297"/>
      <c r="C58" s="298"/>
      <c r="D58" s="298"/>
      <c r="E58" s="298"/>
      <c r="F58" s="298"/>
      <c r="G58" s="298"/>
      <c r="H58" s="298"/>
      <c r="I58" s="299"/>
    </row>
    <row r="59" spans="1:15" ht="18.75" customHeight="1">
      <c r="A59" s="97"/>
      <c r="B59" s="297"/>
      <c r="C59" s="298"/>
      <c r="D59" s="298"/>
      <c r="E59" s="298"/>
      <c r="F59" s="298"/>
      <c r="G59" s="298"/>
      <c r="H59" s="298"/>
      <c r="I59" s="299"/>
    </row>
    <row r="60" spans="1:15" ht="18.75" customHeight="1">
      <c r="A60" s="97"/>
      <c r="B60" s="297"/>
      <c r="C60" s="298"/>
      <c r="D60" s="298"/>
      <c r="E60" s="298"/>
      <c r="F60" s="298"/>
      <c r="G60" s="298"/>
      <c r="H60" s="298"/>
      <c r="I60" s="299"/>
    </row>
    <row r="61" spans="1:15" ht="18.75" customHeight="1">
      <c r="A61" s="97"/>
      <c r="B61" s="297"/>
      <c r="C61" s="298"/>
      <c r="D61" s="298"/>
      <c r="E61" s="298"/>
      <c r="F61" s="298"/>
      <c r="G61" s="298"/>
      <c r="H61" s="298"/>
      <c r="I61" s="299"/>
    </row>
    <row r="62" spans="1:15" ht="18.75" customHeight="1">
      <c r="A62" s="97"/>
      <c r="B62" s="297"/>
      <c r="C62" s="298"/>
      <c r="D62" s="298"/>
      <c r="E62" s="298"/>
      <c r="F62" s="298"/>
      <c r="G62" s="298"/>
      <c r="H62" s="298"/>
      <c r="I62" s="299"/>
    </row>
    <row r="63" spans="1:15" ht="18.75" customHeight="1">
      <c r="A63" s="97"/>
      <c r="B63" s="300"/>
      <c r="C63" s="301"/>
      <c r="D63" s="301"/>
      <c r="E63" s="301"/>
      <c r="F63" s="301"/>
      <c r="G63" s="301"/>
      <c r="H63" s="301"/>
      <c r="I63" s="302"/>
    </row>
    <row r="64" spans="1:15" ht="7.5" customHeight="1">
      <c r="A64" s="100"/>
      <c r="B64" s="100"/>
      <c r="C64" s="100"/>
      <c r="D64" s="100"/>
      <c r="E64" s="100"/>
      <c r="F64" s="100"/>
      <c r="G64" s="100"/>
      <c r="H64" s="100"/>
      <c r="I64" s="100"/>
    </row>
    <row r="65" spans="1:10" ht="18.75" customHeight="1">
      <c r="A65" s="94" t="s">
        <v>33</v>
      </c>
      <c r="B65" s="97" t="s">
        <v>36</v>
      </c>
      <c r="I65" s="94"/>
    </row>
    <row r="66" spans="1:10" ht="18.75" customHeight="1">
      <c r="A66" s="4"/>
      <c r="B66" s="303" t="s">
        <v>172</v>
      </c>
      <c r="C66" s="304"/>
      <c r="D66" s="304"/>
      <c r="E66" s="304"/>
      <c r="F66" s="304"/>
      <c r="G66" s="304"/>
      <c r="H66" s="304"/>
      <c r="I66" s="305"/>
      <c r="J66" s="97">
        <f>LEN(B66)</f>
        <v>289</v>
      </c>
    </row>
    <row r="67" spans="1:10" ht="18.75" customHeight="1">
      <c r="A67" s="4"/>
      <c r="B67" s="306"/>
      <c r="C67" s="307"/>
      <c r="D67" s="307"/>
      <c r="E67" s="307"/>
      <c r="F67" s="307"/>
      <c r="G67" s="307"/>
      <c r="H67" s="307"/>
      <c r="I67" s="308"/>
    </row>
    <row r="68" spans="1:10" ht="18.75" customHeight="1">
      <c r="A68" s="4"/>
      <c r="B68" s="306"/>
      <c r="C68" s="307"/>
      <c r="D68" s="307"/>
      <c r="E68" s="307"/>
      <c r="F68" s="307"/>
      <c r="G68" s="307"/>
      <c r="H68" s="307"/>
      <c r="I68" s="308"/>
    </row>
    <row r="69" spans="1:10" ht="18.75" customHeight="1">
      <c r="A69" s="4"/>
      <c r="B69" s="306"/>
      <c r="C69" s="307"/>
      <c r="D69" s="307"/>
      <c r="E69" s="307"/>
      <c r="F69" s="307"/>
      <c r="G69" s="307"/>
      <c r="H69" s="307"/>
      <c r="I69" s="308"/>
    </row>
    <row r="70" spans="1:10" ht="18.75" customHeight="1">
      <c r="A70" s="4"/>
      <c r="B70" s="306"/>
      <c r="C70" s="307"/>
      <c r="D70" s="307"/>
      <c r="E70" s="307"/>
      <c r="F70" s="307"/>
      <c r="G70" s="307"/>
      <c r="H70" s="307"/>
      <c r="I70" s="308"/>
    </row>
    <row r="71" spans="1:10" ht="18.75" customHeight="1">
      <c r="A71" s="4"/>
      <c r="B71" s="306"/>
      <c r="C71" s="307"/>
      <c r="D71" s="307"/>
      <c r="E71" s="307"/>
      <c r="F71" s="307"/>
      <c r="G71" s="307"/>
      <c r="H71" s="307"/>
      <c r="I71" s="308"/>
    </row>
    <row r="72" spans="1:10" ht="18.75" customHeight="1">
      <c r="A72" s="4"/>
      <c r="B72" s="306"/>
      <c r="C72" s="307"/>
      <c r="D72" s="307"/>
      <c r="E72" s="307"/>
      <c r="F72" s="307"/>
      <c r="G72" s="307"/>
      <c r="H72" s="307"/>
      <c r="I72" s="308"/>
    </row>
    <row r="73" spans="1:10" ht="18.75" customHeight="1">
      <c r="A73" s="4"/>
      <c r="B73" s="306"/>
      <c r="C73" s="307"/>
      <c r="D73" s="307"/>
      <c r="E73" s="307"/>
      <c r="F73" s="307"/>
      <c r="G73" s="307"/>
      <c r="H73" s="307"/>
      <c r="I73" s="308"/>
    </row>
    <row r="74" spans="1:10" ht="18.75" customHeight="1">
      <c r="A74" s="4"/>
      <c r="B74" s="306"/>
      <c r="C74" s="307"/>
      <c r="D74" s="307"/>
      <c r="E74" s="307"/>
      <c r="F74" s="307"/>
      <c r="G74" s="307"/>
      <c r="H74" s="307"/>
      <c r="I74" s="308"/>
    </row>
    <row r="75" spans="1:10" ht="18.75" customHeight="1">
      <c r="A75" s="4"/>
      <c r="B75" s="306"/>
      <c r="C75" s="307"/>
      <c r="D75" s="307"/>
      <c r="E75" s="307"/>
      <c r="F75" s="307"/>
      <c r="G75" s="307"/>
      <c r="H75" s="307"/>
      <c r="I75" s="308"/>
    </row>
    <row r="76" spans="1:10" ht="18.75" customHeight="1">
      <c r="A76" s="4"/>
      <c r="B76" s="306"/>
      <c r="C76" s="307"/>
      <c r="D76" s="307"/>
      <c r="E76" s="307"/>
      <c r="F76" s="307"/>
      <c r="G76" s="307"/>
      <c r="H76" s="307"/>
      <c r="I76" s="308"/>
    </row>
    <row r="77" spans="1:10" ht="18.75" customHeight="1">
      <c r="A77" s="4"/>
      <c r="B77" s="309"/>
      <c r="C77" s="310"/>
      <c r="D77" s="310"/>
      <c r="E77" s="310"/>
      <c r="F77" s="310"/>
      <c r="G77" s="310"/>
      <c r="H77" s="310"/>
      <c r="I77" s="311"/>
    </row>
    <row r="78" spans="1:10" ht="7.5" customHeight="1">
      <c r="A78" s="4"/>
      <c r="B78" s="4"/>
      <c r="C78" s="4"/>
      <c r="D78" s="4"/>
      <c r="E78" s="4"/>
      <c r="F78" s="4"/>
      <c r="G78" s="4"/>
      <c r="H78" s="4"/>
      <c r="I78" s="4"/>
    </row>
    <row r="79" spans="1:10" ht="18.75" customHeight="1">
      <c r="A79" s="97" t="s">
        <v>11</v>
      </c>
      <c r="B79" s="97" t="s">
        <v>40</v>
      </c>
    </row>
    <row r="80" spans="1:10" ht="18.75" customHeight="1">
      <c r="A80" s="97"/>
      <c r="B80" s="312" t="s">
        <v>161</v>
      </c>
      <c r="C80" s="304"/>
      <c r="D80" s="304"/>
      <c r="E80" s="304"/>
      <c r="F80" s="304"/>
      <c r="G80" s="304"/>
      <c r="H80" s="304"/>
      <c r="I80" s="313"/>
      <c r="J80" s="97">
        <f>LEN(B80)</f>
        <v>212</v>
      </c>
    </row>
    <row r="81" spans="1:10" ht="18.75" customHeight="1">
      <c r="A81" s="97"/>
      <c r="B81" s="314"/>
      <c r="C81" s="315"/>
      <c r="D81" s="315"/>
      <c r="E81" s="315"/>
      <c r="F81" s="315"/>
      <c r="G81" s="315"/>
      <c r="H81" s="315"/>
      <c r="I81" s="316"/>
    </row>
    <row r="82" spans="1:10" ht="18.75" customHeight="1">
      <c r="A82" s="97"/>
      <c r="B82" s="314"/>
      <c r="C82" s="315"/>
      <c r="D82" s="315"/>
      <c r="E82" s="315"/>
      <c r="F82" s="315"/>
      <c r="G82" s="315"/>
      <c r="H82" s="315"/>
      <c r="I82" s="316"/>
    </row>
    <row r="83" spans="1:10" ht="18.75" customHeight="1">
      <c r="A83" s="97"/>
      <c r="B83" s="314"/>
      <c r="C83" s="315"/>
      <c r="D83" s="315"/>
      <c r="E83" s="315"/>
      <c r="F83" s="315"/>
      <c r="G83" s="315"/>
      <c r="H83" s="315"/>
      <c r="I83" s="316"/>
    </row>
    <row r="84" spans="1:10" ht="18.75" customHeight="1">
      <c r="A84" s="97"/>
      <c r="B84" s="314"/>
      <c r="C84" s="315"/>
      <c r="D84" s="315"/>
      <c r="E84" s="315"/>
      <c r="F84" s="315"/>
      <c r="G84" s="315"/>
      <c r="H84" s="315"/>
      <c r="I84" s="316"/>
    </row>
    <row r="85" spans="1:10" ht="18.75" customHeight="1">
      <c r="A85" s="97"/>
      <c r="B85" s="314"/>
      <c r="C85" s="315"/>
      <c r="D85" s="315"/>
      <c r="E85" s="315"/>
      <c r="F85" s="315"/>
      <c r="G85" s="315"/>
      <c r="H85" s="315"/>
      <c r="I85" s="316"/>
    </row>
    <row r="86" spans="1:10" ht="18.75" customHeight="1">
      <c r="A86" s="97"/>
      <c r="B86" s="314"/>
      <c r="C86" s="315"/>
      <c r="D86" s="315"/>
      <c r="E86" s="315"/>
      <c r="F86" s="315"/>
      <c r="G86" s="315"/>
      <c r="H86" s="315"/>
      <c r="I86" s="316"/>
    </row>
    <row r="87" spans="1:10" ht="18.75" customHeight="1">
      <c r="A87" s="97"/>
      <c r="B87" s="314"/>
      <c r="C87" s="315"/>
      <c r="D87" s="315"/>
      <c r="E87" s="315"/>
      <c r="F87" s="315"/>
      <c r="G87" s="315"/>
      <c r="H87" s="315"/>
      <c r="I87" s="316"/>
    </row>
    <row r="88" spans="1:10" ht="18.75" customHeight="1">
      <c r="A88" s="97"/>
      <c r="B88" s="314"/>
      <c r="C88" s="315"/>
      <c r="D88" s="315"/>
      <c r="E88" s="315"/>
      <c r="F88" s="315"/>
      <c r="G88" s="315"/>
      <c r="H88" s="315"/>
      <c r="I88" s="316"/>
    </row>
    <row r="89" spans="1:10" ht="18.75" customHeight="1">
      <c r="A89" s="97"/>
      <c r="B89" s="314"/>
      <c r="C89" s="315"/>
      <c r="D89" s="315"/>
      <c r="E89" s="315"/>
      <c r="F89" s="315"/>
      <c r="G89" s="315"/>
      <c r="H89" s="315"/>
      <c r="I89" s="316"/>
    </row>
    <row r="90" spans="1:10" ht="18.75" customHeight="1">
      <c r="A90" s="4"/>
      <c r="B90" s="314"/>
      <c r="C90" s="315"/>
      <c r="D90" s="315"/>
      <c r="E90" s="315"/>
      <c r="F90" s="315"/>
      <c r="G90" s="315"/>
      <c r="H90" s="315"/>
      <c r="I90" s="316"/>
    </row>
    <row r="91" spans="1:10" ht="18.75" customHeight="1">
      <c r="A91" s="4"/>
      <c r="B91" s="317"/>
      <c r="C91" s="318"/>
      <c r="D91" s="318"/>
      <c r="E91" s="318"/>
      <c r="F91" s="318"/>
      <c r="G91" s="318"/>
      <c r="H91" s="318"/>
      <c r="I91" s="319"/>
    </row>
    <row r="92" spans="1:10" ht="7.5" customHeight="1">
      <c r="A92" s="4"/>
      <c r="B92" s="4"/>
      <c r="C92" s="4"/>
      <c r="D92" s="4"/>
      <c r="E92" s="4"/>
      <c r="F92" s="4"/>
      <c r="G92" s="4"/>
      <c r="H92" s="4"/>
      <c r="I92" s="4"/>
    </row>
    <row r="93" spans="1:10" ht="18.75" customHeight="1">
      <c r="A93" s="97" t="s">
        <v>43</v>
      </c>
      <c r="B93" s="97" t="s">
        <v>12</v>
      </c>
    </row>
    <row r="94" spans="1:10" ht="18.75" customHeight="1">
      <c r="A94" s="97"/>
      <c r="B94" s="278" t="s">
        <v>168</v>
      </c>
      <c r="C94" s="279"/>
      <c r="D94" s="279"/>
      <c r="E94" s="279"/>
      <c r="F94" s="279"/>
      <c r="G94" s="279"/>
      <c r="H94" s="279"/>
      <c r="I94" s="280"/>
      <c r="J94" s="97">
        <f>LEN(B94)</f>
        <v>322</v>
      </c>
    </row>
    <row r="95" spans="1:10" ht="18.75" customHeight="1">
      <c r="A95" s="97"/>
      <c r="B95" s="284"/>
      <c r="C95" s="285"/>
      <c r="D95" s="285"/>
      <c r="E95" s="285"/>
      <c r="F95" s="285"/>
      <c r="G95" s="285"/>
      <c r="H95" s="285"/>
      <c r="I95" s="283"/>
    </row>
    <row r="96" spans="1:10" ht="18.75" customHeight="1">
      <c r="A96" s="97"/>
      <c r="B96" s="284"/>
      <c r="C96" s="285"/>
      <c r="D96" s="285"/>
      <c r="E96" s="285"/>
      <c r="F96" s="285"/>
      <c r="G96" s="285"/>
      <c r="H96" s="285"/>
      <c r="I96" s="283"/>
    </row>
    <row r="97" spans="1:10" ht="18.75" customHeight="1">
      <c r="A97" s="97"/>
      <c r="B97" s="284"/>
      <c r="C97" s="285"/>
      <c r="D97" s="285"/>
      <c r="E97" s="285"/>
      <c r="F97" s="285"/>
      <c r="G97" s="285"/>
      <c r="H97" s="285"/>
      <c r="I97" s="283"/>
    </row>
    <row r="98" spans="1:10" ht="18.75" customHeight="1">
      <c r="A98" s="97"/>
      <c r="B98" s="284"/>
      <c r="C98" s="285"/>
      <c r="D98" s="285"/>
      <c r="E98" s="285"/>
      <c r="F98" s="285"/>
      <c r="G98" s="285"/>
      <c r="H98" s="285"/>
      <c r="I98" s="283"/>
    </row>
    <row r="99" spans="1:10" ht="18.75" customHeight="1">
      <c r="A99" s="97"/>
      <c r="B99" s="284"/>
      <c r="C99" s="285"/>
      <c r="D99" s="285"/>
      <c r="E99" s="285"/>
      <c r="F99" s="285"/>
      <c r="G99" s="285"/>
      <c r="H99" s="285"/>
      <c r="I99" s="283"/>
    </row>
    <row r="100" spans="1:10" ht="18.75" customHeight="1">
      <c r="A100" s="97"/>
      <c r="B100" s="284"/>
      <c r="C100" s="285"/>
      <c r="D100" s="285"/>
      <c r="E100" s="285"/>
      <c r="F100" s="285"/>
      <c r="G100" s="285"/>
      <c r="H100" s="285"/>
      <c r="I100" s="283"/>
    </row>
    <row r="101" spans="1:10" ht="18.75" customHeight="1">
      <c r="A101" s="97"/>
      <c r="B101" s="284"/>
      <c r="C101" s="285"/>
      <c r="D101" s="285"/>
      <c r="E101" s="285"/>
      <c r="F101" s="285"/>
      <c r="G101" s="285"/>
      <c r="H101" s="285"/>
      <c r="I101" s="283"/>
    </row>
    <row r="102" spans="1:10" ht="18.75" customHeight="1">
      <c r="A102" s="97"/>
      <c r="B102" s="284"/>
      <c r="C102" s="285"/>
      <c r="D102" s="285"/>
      <c r="E102" s="285"/>
      <c r="F102" s="285"/>
      <c r="G102" s="285"/>
      <c r="H102" s="285"/>
      <c r="I102" s="283"/>
    </row>
    <row r="103" spans="1:10" ht="18.75" customHeight="1">
      <c r="A103" s="97"/>
      <c r="B103" s="284"/>
      <c r="C103" s="285"/>
      <c r="D103" s="285"/>
      <c r="E103" s="285"/>
      <c r="F103" s="285"/>
      <c r="G103" s="285"/>
      <c r="H103" s="285"/>
      <c r="I103" s="283"/>
    </row>
    <row r="104" spans="1:10" ht="18.75" customHeight="1">
      <c r="A104" s="97"/>
      <c r="B104" s="284"/>
      <c r="C104" s="285"/>
      <c r="D104" s="285"/>
      <c r="E104" s="285"/>
      <c r="F104" s="285"/>
      <c r="G104" s="285"/>
      <c r="H104" s="285"/>
      <c r="I104" s="283"/>
    </row>
    <row r="105" spans="1:10" ht="18.75" customHeight="1">
      <c r="A105" s="4"/>
      <c r="B105" s="286"/>
      <c r="C105" s="287"/>
      <c r="D105" s="287"/>
      <c r="E105" s="287"/>
      <c r="F105" s="287"/>
      <c r="G105" s="287"/>
      <c r="H105" s="287"/>
      <c r="I105" s="288"/>
    </row>
    <row r="106" spans="1:10" ht="7.5" customHeight="1">
      <c r="A106" s="4"/>
      <c r="B106" s="4"/>
      <c r="C106" s="4"/>
      <c r="D106" s="4"/>
      <c r="E106" s="4"/>
      <c r="F106" s="4"/>
      <c r="G106" s="4"/>
      <c r="H106" s="4"/>
      <c r="I106" s="4"/>
    </row>
    <row r="107" spans="1:10" ht="18.75" customHeight="1">
      <c r="A107" s="97" t="s">
        <v>29</v>
      </c>
      <c r="B107" s="289" t="s">
        <v>45</v>
      </c>
      <c r="C107" s="289"/>
      <c r="D107" s="289"/>
      <c r="E107" s="289"/>
      <c r="F107" s="289"/>
      <c r="G107" s="289"/>
      <c r="H107" s="289"/>
      <c r="I107" s="289"/>
    </row>
    <row r="108" spans="1:10" ht="18.75" customHeight="1">
      <c r="A108" s="4"/>
      <c r="B108" s="278" t="s">
        <v>170</v>
      </c>
      <c r="C108" s="279"/>
      <c r="D108" s="279"/>
      <c r="E108" s="279"/>
      <c r="F108" s="279"/>
      <c r="G108" s="279"/>
      <c r="H108" s="279"/>
      <c r="I108" s="280"/>
      <c r="J108" s="97">
        <f>LEN(B108)</f>
        <v>235</v>
      </c>
    </row>
    <row r="109" spans="1:10" ht="18.75" customHeight="1">
      <c r="A109" s="4"/>
      <c r="B109" s="284"/>
      <c r="C109" s="285"/>
      <c r="D109" s="285"/>
      <c r="E109" s="285"/>
      <c r="F109" s="285"/>
      <c r="G109" s="285"/>
      <c r="H109" s="285"/>
      <c r="I109" s="283"/>
    </row>
    <row r="110" spans="1:10" ht="18.75" customHeight="1">
      <c r="A110" s="4"/>
      <c r="B110" s="284"/>
      <c r="C110" s="285"/>
      <c r="D110" s="285"/>
      <c r="E110" s="285"/>
      <c r="F110" s="285"/>
      <c r="G110" s="285"/>
      <c r="H110" s="285"/>
      <c r="I110" s="283"/>
    </row>
    <row r="111" spans="1:10" ht="18.75" customHeight="1">
      <c r="A111" s="4"/>
      <c r="B111" s="284"/>
      <c r="C111" s="285"/>
      <c r="D111" s="285"/>
      <c r="E111" s="285"/>
      <c r="F111" s="285"/>
      <c r="G111" s="285"/>
      <c r="H111" s="285"/>
      <c r="I111" s="283"/>
    </row>
    <row r="112" spans="1:10" ht="18.75" customHeight="1">
      <c r="A112" s="4"/>
      <c r="B112" s="284"/>
      <c r="C112" s="285"/>
      <c r="D112" s="285"/>
      <c r="E112" s="285"/>
      <c r="F112" s="285"/>
      <c r="G112" s="285"/>
      <c r="H112" s="285"/>
      <c r="I112" s="283"/>
    </row>
    <row r="113" spans="1:9" ht="18.75" customHeight="1">
      <c r="A113" s="4"/>
      <c r="B113" s="284"/>
      <c r="C113" s="285"/>
      <c r="D113" s="285"/>
      <c r="E113" s="285"/>
      <c r="F113" s="285"/>
      <c r="G113" s="285"/>
      <c r="H113" s="285"/>
      <c r="I113" s="283"/>
    </row>
    <row r="114" spans="1:9" ht="18.75" customHeight="1">
      <c r="A114" s="4"/>
      <c r="B114" s="284"/>
      <c r="C114" s="285"/>
      <c r="D114" s="285"/>
      <c r="E114" s="285"/>
      <c r="F114" s="285"/>
      <c r="G114" s="285"/>
      <c r="H114" s="285"/>
      <c r="I114" s="283"/>
    </row>
    <row r="115" spans="1:9" ht="18.75" customHeight="1">
      <c r="A115" s="4"/>
      <c r="B115" s="284"/>
      <c r="C115" s="285"/>
      <c r="D115" s="285"/>
      <c r="E115" s="285"/>
      <c r="F115" s="285"/>
      <c r="G115" s="285"/>
      <c r="H115" s="285"/>
      <c r="I115" s="283"/>
    </row>
    <row r="116" spans="1:9" ht="18.75" customHeight="1">
      <c r="A116" s="4"/>
      <c r="B116" s="284"/>
      <c r="C116" s="285"/>
      <c r="D116" s="285"/>
      <c r="E116" s="285"/>
      <c r="F116" s="285"/>
      <c r="G116" s="285"/>
      <c r="H116" s="285"/>
      <c r="I116" s="283"/>
    </row>
    <row r="117" spans="1:9" ht="18.75" customHeight="1">
      <c r="A117" s="4"/>
      <c r="B117" s="284"/>
      <c r="C117" s="285"/>
      <c r="D117" s="285"/>
      <c r="E117" s="285"/>
      <c r="F117" s="285"/>
      <c r="G117" s="285"/>
      <c r="H117" s="285"/>
      <c r="I117" s="283"/>
    </row>
    <row r="118" spans="1:9" ht="18.75" customHeight="1">
      <c r="A118" s="4"/>
      <c r="B118" s="284"/>
      <c r="C118" s="285"/>
      <c r="D118" s="285"/>
      <c r="E118" s="285"/>
      <c r="F118" s="285"/>
      <c r="G118" s="285"/>
      <c r="H118" s="285"/>
      <c r="I118" s="283"/>
    </row>
    <row r="119" spans="1:9" ht="18.75" customHeight="1">
      <c r="A119" s="4"/>
      <c r="B119" s="286"/>
      <c r="C119" s="287"/>
      <c r="D119" s="287"/>
      <c r="E119" s="287"/>
      <c r="F119" s="287"/>
      <c r="G119" s="287"/>
      <c r="H119" s="287"/>
      <c r="I119" s="288"/>
    </row>
    <row r="120" spans="1:9" ht="7.5" customHeight="1">
      <c r="A120" s="4"/>
      <c r="B120" s="41"/>
      <c r="C120" s="41"/>
      <c r="D120" s="41"/>
      <c r="E120" s="41"/>
      <c r="F120" s="41"/>
      <c r="G120" s="41"/>
      <c r="H120" s="41"/>
      <c r="I120" s="41"/>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42"/>
      <c r="B134" s="42"/>
      <c r="C134" s="42"/>
      <c r="D134" s="42"/>
      <c r="E134" s="42"/>
      <c r="F134" s="42"/>
      <c r="G134" s="42"/>
      <c r="H134" s="42"/>
      <c r="I134" s="42"/>
    </row>
  </sheetData>
  <mergeCells count="22">
    <mergeCell ref="B94:I105"/>
    <mergeCell ref="B107:I107"/>
    <mergeCell ref="B108:I119"/>
    <mergeCell ref="C50:D50"/>
    <mergeCell ref="F50:G50"/>
    <mergeCell ref="B51:I51"/>
    <mergeCell ref="B52:I63"/>
    <mergeCell ref="B66:I77"/>
    <mergeCell ref="B80:I91"/>
    <mergeCell ref="C49:D49"/>
    <mergeCell ref="F49:G49"/>
    <mergeCell ref="H2:I2"/>
    <mergeCell ref="A4:I4"/>
    <mergeCell ref="C6:D6"/>
    <mergeCell ref="C11:E11"/>
    <mergeCell ref="H11:I11"/>
    <mergeCell ref="B14:I14"/>
    <mergeCell ref="C16:E16"/>
    <mergeCell ref="H16:I16"/>
    <mergeCell ref="B19:I19"/>
    <mergeCell ref="B22:I32"/>
    <mergeCell ref="B35:I46"/>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30"/>
  <sheetViews>
    <sheetView showZeros="0" view="pageBreakPreview" zoomScaleNormal="100" zoomScaleSheetLayoutView="100" workbookViewId="0">
      <selection activeCell="B1" sqref="B1"/>
    </sheetView>
  </sheetViews>
  <sheetFormatPr defaultColWidth="11.375" defaultRowHeight="22.5" customHeight="1"/>
  <cols>
    <col min="1" max="3" width="2.75" style="105" customWidth="1"/>
    <col min="4" max="4" width="22.25" style="105" customWidth="1"/>
    <col min="5" max="5" width="30.75" style="105" customWidth="1"/>
    <col min="6" max="7" width="7.75" style="105" customWidth="1"/>
    <col min="8" max="9" width="30.75" style="105" customWidth="1"/>
    <col min="10" max="10" width="4.125" style="105" customWidth="1"/>
    <col min="11" max="16384" width="11.375" style="105"/>
  </cols>
  <sheetData>
    <row r="1" spans="1:11" ht="18.75" customHeight="1">
      <c r="A1" s="105" t="s">
        <v>70</v>
      </c>
      <c r="I1" s="101" t="s">
        <v>104</v>
      </c>
    </row>
    <row r="2" spans="1:11" ht="18.75" customHeight="1">
      <c r="H2" s="101" t="s">
        <v>108</v>
      </c>
      <c r="I2" s="103" t="s">
        <v>169</v>
      </c>
    </row>
    <row r="3" spans="1:11" ht="18.75" customHeight="1">
      <c r="A3" s="144" t="s">
        <v>27</v>
      </c>
      <c r="B3" s="144"/>
      <c r="C3" s="144"/>
      <c r="D3" s="144"/>
      <c r="E3" s="144"/>
      <c r="F3" s="144"/>
      <c r="G3" s="144"/>
      <c r="H3" s="144"/>
      <c r="I3" s="144"/>
    </row>
    <row r="4" spans="1:11" ht="18.75" customHeight="1">
      <c r="A4" s="102" t="s">
        <v>35</v>
      </c>
      <c r="B4" s="102"/>
      <c r="C4" s="102"/>
      <c r="D4" s="102"/>
      <c r="E4" s="102"/>
      <c r="F4" s="102"/>
      <c r="G4" s="102"/>
      <c r="H4" s="102"/>
      <c r="I4" s="102"/>
    </row>
    <row r="5" spans="1:11" ht="18.75" customHeight="1">
      <c r="A5" s="105" t="s">
        <v>0</v>
      </c>
      <c r="B5" s="8" t="s">
        <v>94</v>
      </c>
      <c r="C5" s="102"/>
      <c r="D5" s="102"/>
      <c r="E5" s="102"/>
      <c r="F5" s="102"/>
      <c r="G5" s="102"/>
      <c r="H5" s="102"/>
      <c r="I5" s="102"/>
    </row>
    <row r="6" spans="1:11" ht="26.25" customHeight="1">
      <c r="A6" s="102"/>
      <c r="B6" s="271" t="s">
        <v>156</v>
      </c>
      <c r="C6" s="342"/>
      <c r="D6" s="342"/>
      <c r="E6" s="342"/>
      <c r="F6" s="342"/>
      <c r="G6" s="342"/>
      <c r="H6" s="343"/>
      <c r="I6" s="106"/>
    </row>
    <row r="7" spans="1:11" ht="9" customHeight="1">
      <c r="A7" s="102"/>
      <c r="B7" s="8"/>
      <c r="C7" s="8"/>
      <c r="D7" s="8"/>
      <c r="E7" s="8"/>
      <c r="F7" s="8"/>
      <c r="G7" s="8"/>
      <c r="H7" s="8"/>
      <c r="I7" s="106"/>
    </row>
    <row r="8" spans="1:11" ht="18.75" customHeight="1">
      <c r="A8" s="102"/>
      <c r="B8" s="106"/>
      <c r="C8" s="106"/>
      <c r="D8" s="101" t="s">
        <v>42</v>
      </c>
      <c r="E8" s="30" t="s">
        <v>154</v>
      </c>
      <c r="F8" s="106"/>
      <c r="G8" s="101" t="s">
        <v>10</v>
      </c>
      <c r="H8" s="30" t="s">
        <v>155</v>
      </c>
      <c r="I8" s="106"/>
    </row>
    <row r="9" spans="1:11" ht="7.5" customHeight="1">
      <c r="A9" s="102"/>
      <c r="B9" s="102"/>
      <c r="C9" s="102"/>
      <c r="D9" s="102"/>
      <c r="E9" s="102"/>
      <c r="F9" s="102"/>
      <c r="G9" s="102"/>
      <c r="H9" s="102"/>
      <c r="I9" s="102"/>
    </row>
    <row r="10" spans="1:11" ht="18.75" customHeight="1">
      <c r="A10" s="105" t="s">
        <v>3</v>
      </c>
      <c r="B10" s="105" t="s">
        <v>26</v>
      </c>
      <c r="C10" s="4"/>
      <c r="D10" s="4"/>
      <c r="E10" s="4"/>
      <c r="F10" s="4"/>
      <c r="G10" s="4"/>
      <c r="H10" s="4"/>
      <c r="I10" s="4"/>
    </row>
    <row r="11" spans="1:11" ht="18.75" customHeight="1">
      <c r="B11" s="133" t="s">
        <v>23</v>
      </c>
      <c r="C11" s="134"/>
      <c r="D11" s="135"/>
      <c r="E11" s="134" t="s">
        <v>25</v>
      </c>
      <c r="F11" s="134"/>
      <c r="G11" s="134"/>
      <c r="H11" s="134"/>
      <c r="I11" s="135"/>
    </row>
    <row r="12" spans="1:11" ht="26.25" customHeight="1">
      <c r="B12" s="43" t="s">
        <v>13</v>
      </c>
      <c r="C12" s="50"/>
      <c r="D12" s="44"/>
      <c r="E12" s="51"/>
      <c r="F12" s="51"/>
      <c r="G12" s="51"/>
      <c r="H12" s="51"/>
      <c r="I12" s="44"/>
    </row>
    <row r="13" spans="1:11" ht="210.75" customHeight="1">
      <c r="B13" s="45"/>
      <c r="C13" s="335" t="s">
        <v>14</v>
      </c>
      <c r="D13" s="336"/>
      <c r="E13" s="341" t="s">
        <v>173</v>
      </c>
      <c r="F13" s="337"/>
      <c r="G13" s="337"/>
      <c r="H13" s="337"/>
      <c r="I13" s="338"/>
    </row>
    <row r="14" spans="1:11" ht="210.75" customHeight="1">
      <c r="B14" s="45"/>
      <c r="C14" s="339" t="s">
        <v>15</v>
      </c>
      <c r="D14" s="340"/>
      <c r="E14" s="341" t="s">
        <v>162</v>
      </c>
      <c r="F14" s="337"/>
      <c r="G14" s="337"/>
      <c r="H14" s="337"/>
      <c r="I14" s="338"/>
    </row>
    <row r="15" spans="1:11" ht="210.75" customHeight="1">
      <c r="B15" s="45"/>
      <c r="C15" s="335" t="s">
        <v>16</v>
      </c>
      <c r="D15" s="336"/>
      <c r="E15" s="341" t="s">
        <v>163</v>
      </c>
      <c r="F15" s="337"/>
      <c r="G15" s="337"/>
      <c r="H15" s="337"/>
      <c r="I15" s="338"/>
      <c r="K15" s="105">
        <f>LEN(E15)</f>
        <v>298</v>
      </c>
    </row>
    <row r="16" spans="1:11" ht="210.75" customHeight="1">
      <c r="B16" s="45"/>
      <c r="C16" s="335" t="s">
        <v>17</v>
      </c>
      <c r="D16" s="336"/>
      <c r="E16" s="341" t="s">
        <v>164</v>
      </c>
      <c r="F16" s="337"/>
      <c r="G16" s="337"/>
      <c r="H16" s="337"/>
      <c r="I16" s="338"/>
      <c r="K16" s="105">
        <f>LEN(E16)</f>
        <v>292</v>
      </c>
    </row>
    <row r="17" spans="2:11" ht="210.75" customHeight="1">
      <c r="B17" s="46"/>
      <c r="C17" s="330" t="s">
        <v>18</v>
      </c>
      <c r="D17" s="331"/>
      <c r="E17" s="332" t="s">
        <v>165</v>
      </c>
      <c r="F17" s="333"/>
      <c r="G17" s="333"/>
      <c r="H17" s="333"/>
      <c r="I17" s="334"/>
      <c r="K17" s="105">
        <f>LEN(E17)</f>
        <v>220</v>
      </c>
    </row>
    <row r="18" spans="2:11" ht="24" customHeight="1">
      <c r="B18" s="43" t="s">
        <v>19</v>
      </c>
      <c r="C18" s="47"/>
      <c r="D18" s="48"/>
      <c r="E18" s="49"/>
      <c r="F18" s="49"/>
      <c r="G18" s="49"/>
      <c r="H18" s="49"/>
      <c r="I18" s="52"/>
    </row>
    <row r="19" spans="2:11" ht="218.25" customHeight="1">
      <c r="B19" s="45"/>
      <c r="C19" s="335" t="s">
        <v>20</v>
      </c>
      <c r="D19" s="336"/>
      <c r="E19" s="337" t="s">
        <v>166</v>
      </c>
      <c r="F19" s="337"/>
      <c r="G19" s="337"/>
      <c r="H19" s="337"/>
      <c r="I19" s="338"/>
    </row>
    <row r="20" spans="2:11" ht="218.25" customHeight="1">
      <c r="B20" s="46"/>
      <c r="C20" s="330" t="s">
        <v>21</v>
      </c>
      <c r="D20" s="331"/>
      <c r="E20" s="333" t="s">
        <v>159</v>
      </c>
      <c r="F20" s="333"/>
      <c r="G20" s="333"/>
      <c r="H20" s="333"/>
      <c r="I20" s="334"/>
    </row>
    <row r="21" spans="2:11" ht="218.25" customHeight="1">
      <c r="B21" s="320" t="s">
        <v>22</v>
      </c>
      <c r="C21" s="321"/>
      <c r="D21" s="322"/>
      <c r="E21" s="323" t="s">
        <v>174</v>
      </c>
      <c r="F21" s="323"/>
      <c r="G21" s="323"/>
      <c r="H21" s="323"/>
      <c r="I21" s="324"/>
    </row>
    <row r="22" spans="2:11" ht="218.25" customHeight="1">
      <c r="B22" s="325" t="s">
        <v>37</v>
      </c>
      <c r="C22" s="326"/>
      <c r="D22" s="327"/>
      <c r="E22" s="328" t="s">
        <v>167</v>
      </c>
      <c r="F22" s="328"/>
      <c r="G22" s="328"/>
      <c r="H22" s="328"/>
      <c r="I22" s="329"/>
    </row>
    <row r="23" spans="2:11" ht="22.5" customHeight="1">
      <c r="B23" s="4"/>
      <c r="C23" s="4"/>
      <c r="D23" s="4"/>
      <c r="E23" s="4"/>
      <c r="F23" s="4"/>
      <c r="G23" s="4"/>
      <c r="H23" s="4"/>
      <c r="I23" s="4"/>
    </row>
    <row r="24" spans="2:11" ht="22.5" customHeight="1">
      <c r="B24" s="4"/>
      <c r="C24" s="4"/>
      <c r="D24" s="4"/>
      <c r="E24" s="4"/>
      <c r="F24" s="4"/>
      <c r="G24" s="4"/>
      <c r="H24" s="4"/>
      <c r="I24" s="4"/>
    </row>
    <row r="25" spans="2:11" ht="22.5" customHeight="1">
      <c r="B25" s="4"/>
      <c r="C25" s="4"/>
      <c r="D25" s="4"/>
      <c r="E25" s="4"/>
      <c r="F25" s="4"/>
      <c r="G25" s="4"/>
      <c r="H25" s="4"/>
      <c r="I25" s="4"/>
    </row>
    <row r="26" spans="2:11" ht="22.5" customHeight="1">
      <c r="B26" s="4"/>
      <c r="C26" s="4"/>
      <c r="D26" s="4"/>
      <c r="E26" s="4"/>
      <c r="F26" s="4"/>
      <c r="G26" s="4"/>
      <c r="H26" s="4"/>
      <c r="I26" s="4"/>
    </row>
    <row r="27" spans="2:11" ht="22.5" customHeight="1">
      <c r="B27" s="4"/>
      <c r="C27" s="4"/>
      <c r="D27" s="4"/>
      <c r="E27" s="4"/>
      <c r="F27" s="4"/>
      <c r="G27" s="4"/>
      <c r="H27" s="4"/>
      <c r="I27" s="4"/>
    </row>
    <row r="28" spans="2:11" ht="22.5" customHeight="1">
      <c r="B28" s="104"/>
      <c r="C28" s="104"/>
      <c r="D28" s="104"/>
      <c r="E28" s="104"/>
      <c r="F28" s="104"/>
      <c r="G28" s="104"/>
      <c r="H28" s="104"/>
      <c r="I28" s="104"/>
    </row>
    <row r="29" spans="2:11" ht="22.5" customHeight="1">
      <c r="B29" s="104"/>
      <c r="C29" s="104"/>
      <c r="D29" s="104"/>
      <c r="E29" s="104"/>
      <c r="F29" s="104"/>
      <c r="G29" s="104"/>
      <c r="H29" s="104"/>
      <c r="I29" s="104"/>
    </row>
    <row r="30" spans="2:11" ht="22.5" customHeight="1">
      <c r="B30" s="104"/>
      <c r="C30" s="104"/>
      <c r="D30" s="104"/>
      <c r="E30" s="104"/>
      <c r="F30" s="104"/>
      <c r="G30" s="104"/>
      <c r="H30" s="104"/>
      <c r="I30" s="104"/>
    </row>
  </sheetData>
  <mergeCells count="22">
    <mergeCell ref="A3:I3"/>
    <mergeCell ref="B6:H6"/>
    <mergeCell ref="B11:D11"/>
    <mergeCell ref="E11:I11"/>
    <mergeCell ref="C13:D13"/>
    <mergeCell ref="E13:I13"/>
    <mergeCell ref="C14:D14"/>
    <mergeCell ref="E14:I14"/>
    <mergeCell ref="C15:D15"/>
    <mergeCell ref="E15:I15"/>
    <mergeCell ref="C16:D16"/>
    <mergeCell ref="E16:I16"/>
    <mergeCell ref="B21:D21"/>
    <mergeCell ref="E21:I21"/>
    <mergeCell ref="B22:D22"/>
    <mergeCell ref="E22:I22"/>
    <mergeCell ref="C17:D17"/>
    <mergeCell ref="E17:I17"/>
    <mergeCell ref="C19:D19"/>
    <mergeCell ref="E19:I19"/>
    <mergeCell ref="C20:D20"/>
    <mergeCell ref="E20:I20"/>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9</vt:i4>
      </vt:variant>
    </vt:vector>
  </HeadingPairs>
  <TitlesOfParts>
    <vt:vector size="17" baseType="lpstr">
      <vt:lpstr>様式１-1　プログラムを構成する授業科目</vt:lpstr>
      <vt:lpstr>様式１-2　プログラムを構成する授業科目</vt:lpstr>
      <vt:lpstr>様式１-3　プログラムを構成する授業科目</vt:lpstr>
      <vt:lpstr>様式１-4　プログラムを構成する授業科目</vt:lpstr>
      <vt:lpstr>様式１-5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'様式１-3　プログラムを構成する授業科目'!Print_Area</vt:lpstr>
      <vt:lpstr>'様式１-4　プログラムを構成する授業科目'!Print_Area</vt:lpstr>
      <vt:lpstr>'様式１-5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ksm06</cp:lastModifiedBy>
  <cp:lastPrinted>2023-06-26T08:35:12Z</cp:lastPrinted>
  <dcterms:created xsi:type="dcterms:W3CDTF">2011-06-14T05:32:50Z</dcterms:created>
  <dcterms:modified xsi:type="dcterms:W3CDTF">2023-06-26T09:10:33Z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