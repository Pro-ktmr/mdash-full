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94"/>
  <workbookPr defaultThemeVersion="124226"/>
  <mc:AlternateContent xmlns:mc="http://schemas.openxmlformats.org/markup-compatibility/2006">
    <mc:Choice Requires="x15">
      <x15ac:absPath xmlns:x15ac="http://schemas.microsoft.com/office/spreadsheetml/2010/11/ac" url="\\geneve\教務課\共用\数理データサイエンスAI教育\R5年度文科申請資料\R5年度申請案内\申請資料\"/>
    </mc:Choice>
  </mc:AlternateContent>
  <xr:revisionPtr revIDLastSave="0" documentId="13_ncr:1_{14BCBA0E-AEAC-47C9-84F5-8BF8D9FFF450}" xr6:coauthVersionLast="36" xr6:coauthVersionMax="47" xr10:uidLastSave="{00000000-0000-0000-0000-000000000000}"/>
  <bookViews>
    <workbookView xWindow="0" yWindow="0" windowWidth="18405" windowHeight="9645" tabRatio="885" firstSheet="1" activeTab="4" xr2:uid="{00000000-000D-0000-FFFF-FFFF00000000}"/>
  </bookViews>
  <sheets>
    <sheet name="様式１-1　プログラムを構成する授業科目" sheetId="39" r:id="rId1"/>
    <sheet name="様式1-2" sheetId="43" r:id="rId2"/>
    <sheet name="様式1-3" sheetId="44" r:id="rId3"/>
    <sheet name="様式２ 履修者等数の実績" sheetId="40" r:id="rId4"/>
    <sheet name="様式３ 教育の質・履修者数を向上させるための体制・計画" sheetId="41" r:id="rId5"/>
    <sheet name="様式４　自己点検・評価" sheetId="42" r:id="rId6"/>
  </sheets>
  <definedNames>
    <definedName name="_xlnm._FilterDatabase" localSheetId="0" hidden="1">'様式１-1　プログラムを構成する授業科目'!$V$14:$V$16</definedName>
    <definedName name="_xlnm._FilterDatabase" localSheetId="3" hidden="1">'様式２ 履修者等数の実績'!#REF!</definedName>
    <definedName name="_xlnm.Print_Area" localSheetId="0">'様式１-1　プログラムを構成する授業科目'!$A$1:$S$96</definedName>
    <definedName name="_xlnm.Print_Area" localSheetId="3">'様式２ 履修者等数の実績'!$A$1:$AQ$32</definedName>
    <definedName name="_xlnm.Print_Area" localSheetId="4">'様式３ 教育の質・履修者数を向上させるための体制・計画'!$A$1:$I$115</definedName>
    <definedName name="_xlnm.Print_Area" localSheetId="5">'様式４　自己点検・評価'!$A$1:$I$22</definedName>
    <definedName name="_xlnm.Print_Titles" localSheetId="5">'様式４　自己点検・評価'!$11:$11</definedName>
  </definedNames>
  <calcPr calcId="191028"/>
</workbook>
</file>

<file path=xl/calcChain.xml><?xml version="1.0" encoding="utf-8"?>
<calcChain xmlns="http://schemas.openxmlformats.org/spreadsheetml/2006/main">
  <c r="E14" i="40" l="1"/>
  <c r="E13" i="40"/>
  <c r="E12" i="40"/>
  <c r="C14" i="40" l="1"/>
  <c r="C13" i="40"/>
  <c r="C12" i="40"/>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<sst xmlns="http://schemas.openxmlformats.org/spreadsheetml/2006/main" count="603" uniqueCount="207">
  <si>
    <t>様式１-1</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</si>
  <si>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</si>
  <si>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</si>
  <si>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中央学院大学</t>
    <rPh sb="0" eb="4">
      <t>チュウオウガクイン</t>
    </rPh>
    <rPh sb="4" eb="6">
      <t>ダイガク</t>
    </rPh>
    <phoneticPr fontId="1"/>
  </si>
  <si>
    <t>プログラム名</t>
    <rPh sb="5" eb="6">
      <t>メイ</t>
    </rPh>
    <phoneticPr fontId="1"/>
  </si>
  <si>
    <t>中央学院大学データサイエンス・AI入門プログラム</t>
    <phoneticPr fontId="1"/>
  </si>
  <si>
    <t>プログラムを構成する授業科目について</t>
    <phoneticPr fontId="1"/>
  </si>
  <si>
    <t>① 対象となる学部・学科名称</t>
    <phoneticPr fontId="1"/>
  </si>
  <si>
    <t>② 教育プログラムの修了要件</t>
    <phoneticPr fontId="1"/>
  </si>
  <si>
    <t>学部・学科によって、修了要件は相違する</t>
  </si>
  <si>
    <t>商学部</t>
    <rPh sb="0" eb="3">
      <t>ショウガクブ</t>
    </rPh>
    <phoneticPr fontId="1"/>
  </si>
  <si>
    <t>③ 修了要件</t>
    <phoneticPr fontId="1"/>
  </si>
  <si>
    <t>【プルダウンリスト】</t>
    <phoneticPr fontId="1"/>
  </si>
  <si>
    <t>令和４年度以前より、履修することが必須のプログラムとして実施</t>
    <rPh sb="0" eb="2">
      <t>レイワ</t>
    </rPh>
    <rPh sb="3" eb="5">
      <t>ネンド</t>
    </rPh>
    <rPh sb="5" eb="7">
      <t>イゼン</t>
    </rPh>
    <phoneticPr fontId="1"/>
  </si>
  <si>
    <t>令和７年度までに履修必須とする計画</t>
    <rPh sb="3" eb="4">
      <t>ネン</t>
    </rPh>
    <phoneticPr fontId="1"/>
  </si>
  <si>
    <t>令和８年度以降に履修必須とする計画、又は未定</t>
    <rPh sb="18" eb="19">
      <t>マタ</t>
    </rPh>
    <rPh sb="20" eb="22">
      <t>ミテイ</t>
    </rPh>
    <phoneticPr fontId="1"/>
  </si>
  <si>
    <t>必要最低単位数</t>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</si>
  <si>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</si>
  <si>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</si>
  <si>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</si>
  <si>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</si>
  <si>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</si>
  <si>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</si>
  <si>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</si>
  <si>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</si>
  <si>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データサイエンス</t>
    <phoneticPr fontId="1"/>
  </si>
  <si>
    <t>○</t>
  </si>
  <si>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</si>
  <si>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</si>
  <si>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</si>
  <si>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</si>
  <si>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</si>
  <si>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</si>
  <si>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</si>
  <si>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</si>
  <si>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</si>
  <si>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情報リテラシー</t>
    <rPh sb="0" eb="2">
      <t xml:space="preserve">ジョウホウ </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</si>
  <si>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</si>
  <si>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</si>
  <si>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</si>
  <si>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</si>
  <si>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情報処理論</t>
    <rPh sb="0" eb="2">
      <t xml:space="preserve">ジョウホウ </t>
    </rPh>
    <rPh sb="2" eb="5">
      <t xml:space="preserve">ショリロン </t>
    </rPh>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</si>
  <si>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</si>
  <si>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</si>
  <si>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4‐3データ構造とプログラミング基礎</t>
  </si>
  <si>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</si>
  <si>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</si>
  <si>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</si>
  <si>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</si>
  <si>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ビッグデータ、IoT、AI、ロボット　「データサイエンス」　（第１回）
データ量の増加、計算機の処理性能の向上　「データサイエンス」　（第１回、第２回）
第4次産業革命、Society 5.0、データ駆動型社会　「データサイエンス」　（第１回）</t>
  </si>
  <si>
    <t>1-6</t>
    <phoneticPr fontId="1"/>
  </si>
  <si>
    <t>AI等を活用した新しいビジネスモデル(商品のレコメンデーションなど)　「データサイエンス」　（第４回、第６回）
AI最新技術の活用例（深層生成モデル、敵対的生成ネットワーク、強化学習）「データサイエンス」　（第４～６回）</t>
  </si>
  <si>
    <t>（２）「社会で活用されているデータ」や「データの活用領域」は非常に広範囲であって、日常生活や社会の課題を解決する有用なツールになり得るもの</t>
    <phoneticPr fontId="1"/>
  </si>
  <si>
    <t>調査データ、実験データ、人の行動ログデータ、機械の稼働ログデータなど　「データサイエンス」　（第１回）
構造化データ、非構造化データ（文章、画像/動画、音声/音楽など）　「データサイエンス」　（第３回）
データのオープン化（オープンデータ）　「データサイエンス」　（第１１回）</t>
  </si>
  <si>
    <t>データ・AI活用領域の広がり(生産、消費、文化活動など) 「データサイエンス」　（第６回）
研究開発、製造、物流、販売、マーケティング、サービスなど　「データサイエンス」　（第７回）</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</si>
  <si>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</si>
  <si>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データ解析：予測、パターン発見、最適化など 「データサイエンス」（第４回）
データ可視化：複合グラフ、2軸グラフ、関係性の可視化など　「データサイエンス」　（第１２回、第１５回）
非構造化データ処理：言語処理、画像/動画処理　「データサイエンス」　（第６回）
特化型AIと汎用AI、今のAIで出来ることと出来ないこと、AIとビッグデータ　「データサイエンス」　（第８回）</t>
    <phoneticPr fontId="1"/>
  </si>
  <si>
    <t>データサイエンスのサイクル（課題抽出と定式化、データの取得・管理・加工、探索的データ解析、データ解析と推論、結果の共有・伝達、課題解決に向けた提案） 「データサイエンス」（第２回）
流通、製造、金融、サービス、ヘルスケア等におけるデータ・AI利活用事例紹介　「データサイエンス」（第６回、第７回）</t>
    <phoneticPr fontId="1"/>
  </si>
  <si>
    <t>（４）活用に当たっての様々な留意事項（ELSI、個人情報、データ倫理、ＡＩ社会原則等）を考慮し、情報セキュリティや情報漏洩等、データを守る上での留意事項への理解をする</t>
    <phoneticPr fontId="1"/>
  </si>
  <si>
    <t xml:space="preserve">ELSI（Ethical, Legal and Social Issues）「データサイエンス」（第９回）
個人情報保護、忘れられる権利、オプトアウト　「データサイエンス」（第１０回）
AI社会原則（公平性、説明責任、透明性、人間中心の判断）「データサイエンス」（第９回）
データバイアス、アルゴリズムバイアス「データサイエンス」（第９回、第１０回）
データ・AI活用における負の事例紹介「データサイエンス」（第９回、第１０回）
情報社会と倫理「情報リテラシー」（第２回）
個人情報保護「情報リテラシー」（第２回）
データ倫理:データのねつ造、改ざん、盗用、プライバシー保護「情報リテラシー」（第２回）
</t>
  </si>
  <si>
    <t>匿名加工情報、暗号化、パスワード、悪意ある情報搾取　「データサイエンス」（第１０回）
情報漏洩等によるセキュリティ事故の事例紹介　「データサイエンス」（第１０回）
情報社会と倫理「情報リテラシー」（第２回）
暗号化、パスワード「情報リテラシー」（第２回）</t>
  </si>
  <si>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</si>
  <si>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</si>
  <si>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データの種類（量的変数、質的変数）「データサイエンス」（第３回）
データの分布(ヒストグラム)と代表値（平均値）「データサイエンス」（第１２回）
データのばらつき（分散、標準偏差）「データサイエンス」（第１２回）
観測データに含まれる誤差の扱い「データサイエンス」（第１２回）
母集団と標本抽出（国勢調査、アンケート調査）「データサイエンス」（第１１回）
代表値(平均値、中央値、最頻値) 「情報処理論」（第６回、第１０回）</t>
  </si>
  <si>
    <t>データ表現（棒グラフ、折線グラフ、散布図）「データサイエンス」（第１５回）
不適切なグラフ表現（チャートジャンク、不必要な視覚的要素）「データサイエンス」（第１５回）
データ表現(棒グラフ、折線グラフ) 「情報処理論」（第６回、第７回、第８回、第１０回）</t>
  </si>
  <si>
    <t>データの集計（和、平均）「データサイエンス」（第１２回）
データの並び替え、ランキング　「データサイエンス」（第１２回、第１４回）
データ解析ツール（スプレッドシート）「データサイエンス」（第１２回、第１４回）
表形式のデータ（csv）「データサイエンス」（第１２回）
データの集計(和、平均) 「情報処理論」 （第３回、第４回、第５回、第８回、第９回、第１０回、第１１回、第１２回）
データの並び替え「情報処理論」（第８回、第１２回、第１３回、第１４）</t>
  </si>
  <si>
    <t>⑪ プログラムの学修成果（学生等が身に付けられる能力等）</t>
    <phoneticPr fontId="1"/>
  </si>
  <si>
    <t>様式１-2</t>
    <rPh sb="0" eb="2">
      <t>ヨウシキ</t>
    </rPh>
    <phoneticPr fontId="1"/>
  </si>
  <si>
    <t>学部・学科によって、修了要件は相違する</t>
    <phoneticPr fontId="1"/>
  </si>
  <si>
    <t>法学部</t>
    <rPh sb="0" eb="3">
      <t>ホウガクブ</t>
    </rPh>
    <phoneticPr fontId="1"/>
  </si>
  <si>
    <t>情報処理Ⅰ</t>
    <rPh sb="0" eb="4">
      <t>ジョウホウショリ</t>
    </rPh>
    <phoneticPr fontId="1"/>
  </si>
  <si>
    <t>情報処理Ⅰ</t>
    <rPh sb="0" eb="2">
      <t>ジョウホウ</t>
    </rPh>
    <rPh sb="2" eb="4">
      <t>ショリ</t>
    </rPh>
    <phoneticPr fontId="1"/>
  </si>
  <si>
    <t>ビッグデータ、IoT、AI、ロボット　「データサイエンス」　（第１回）
データ量の増加、計算機の処理性能の向上　「データサイエンス」　（第１回、第２回）
第4次産業革命、Society 5.0、データ駆動型社会　「データサイエンス」　（第１回）
第4次産業革命、Society 5.0、データ駆動型社会　「情報処理I」　（第１回、第２回）</t>
    <phoneticPr fontId="1"/>
  </si>
  <si>
    <t>AI等を活用した新しいビジネスモデル(商品のレコメンデーションなど)　「データサイエンス」　（第４回、第６回）
AI最新技術の活用例（深層生成モデル、敵対的生成ネットワーク、強化学習）「データサイエンス」　（第４～６回）</t>
    <phoneticPr fontId="1"/>
  </si>
  <si>
    <t>調査データ、実験データ、人の行動ログデータ、機械の稼働ログデータなど　「データサイエンス」　（第１回）
構造化データ、非構造化データ（文章、画像/動画、音声/音楽など）　「データサイエンス」　（第３回）
データのオープン化（オープンデータ）　「データサイエンス」　（第１１回）</t>
    <phoneticPr fontId="1"/>
  </si>
  <si>
    <t>データサイエンスのサイクル（課題抽出と定式化、データの取得・管理・加工、探索的データ解析、データ解析と推論、結果の共有・伝達、課題解決に向けた提案） 「データサイエンス」（第２回）
流通、製造、金融、サービス、ヘルスケア等におけるデータ・AI利活用事例紹介　「データサイエンス」（第６回、第７回）</t>
  </si>
  <si>
    <t xml:space="preserve">ELSI（Ethical, Legal and Social Issues）「データサイエンス」（第９回）
個人情報保護、忘れられる権利、オプトアウト　「データサイエンス」（第１０回）
AI社会原則（公平性、説明責任、透明性、人間中心の判断）「データサイエンス」（第９回）
データバイアス、アルゴリズムバイアス「データサイエンス」（第９回、第１０回）
データ・AI活用における負の事例紹介「データサイエンス」（第９回、第１０回）
</t>
  </si>
  <si>
    <t xml:space="preserve">匿名加工情報、暗号化、パスワード、悪意ある情報搾取　「データサイエンス」（第１０回）
情報漏洩等によるセキュリティ事故の事例紹介　「データサイエンス」（第１０回）
</t>
  </si>
  <si>
    <t>データの種類（量的変数、質的変数）「データサイエンス」（第３回）
データの分布(ヒストグラム)と代表値（平均値）「データサイエンス」（第１２回）
データのばらつき（分散、標準偏差）「データサイエンス」（第１２回）
観測データに含まれる誤差の扱い「データサイエンス」（第１２回）
母集団と標本抽出（国勢調査、アンケート調査）「データサイエンス」（第１１回）
データの分布(ヒストグラム)と代表値（平均値）「情報処理I」（第２１回）
データのばらつき（分散、標準偏差）「情報処理I」（第２２回）
クロス集計表 「情報処理I」（第２２回）</t>
  </si>
  <si>
    <t>データ表現（棒グラフ、折線グラフ、散布図）「データサイエンス」（第１５回）
不適切なグラフ表現（チャートジャンク、不必要な視覚的要素）「データサイエンス」（第１５回）
データ表現（棒グラフ、折線グラフ、散布図）「情報処理I」（第２０回、第２１回）
不適切なグラフ表現（チャートジャンク、不必要な視覚的要素）「情報処理I」（第２０回、第２１回）</t>
    <phoneticPr fontId="1"/>
  </si>
  <si>
    <t>データの集計（和、平均）「データサイエンス」（第１２回）
データの並び替え、ランキング　「データサイエンス」（第１２回、第１４回）
データ解析ツール（スプレッドシート）「データサイエンス」（第１２回、第１４回）
表形式のデータ（csv）「データサイエンス」（第１２回）
データの集計（和、平均）「情報処理I」（第２２～２４回）
データの並び替え、ランキング「情報処理I」（第２２～２４回）
データ解析ツール（スプレッドシート）「情報処理I」（第２２～２４回）
表形式のデータ（csv）「情報処理I」（第２２～２４回）</t>
    <phoneticPr fontId="1"/>
  </si>
  <si>
    <t>様式１-3</t>
    <rPh sb="0" eb="2">
      <t>ヨウシキ</t>
    </rPh>
    <phoneticPr fontId="1"/>
  </si>
  <si>
    <t>現代教養学部</t>
    <rPh sb="0" eb="2">
      <t>ゲンダイ</t>
    </rPh>
    <rPh sb="2" eb="4">
      <t>キョウヨウ</t>
    </rPh>
    <rPh sb="4" eb="6">
      <t>ガクブ</t>
    </rPh>
    <phoneticPr fontId="1"/>
  </si>
  <si>
    <t xml:space="preserve">本プログラムを構成する現代教養学部配当科目である、「情報リテラシー（必修：2単位）」、「情報処理論の基礎（必修：2単位）および「データサイエンス（選択必修：2単位）の合計6単位を修得すること。
</t>
    <rPh sb="0" eb="1">
      <t>ホン</t>
    </rPh>
    <rPh sb="7" eb="9">
      <t>コウセイ</t>
    </rPh>
    <rPh sb="11" eb="13">
      <t>ゲンダイ</t>
    </rPh>
    <rPh sb="13" eb="15">
      <t>キョウヨウ</t>
    </rPh>
    <rPh sb="15" eb="17">
      <t>ガクブ</t>
    </rPh>
    <rPh sb="17" eb="19">
      <t>ハイトウ</t>
    </rPh>
    <rPh sb="19" eb="21">
      <t>カモク</t>
    </rPh>
    <rPh sb="26" eb="28">
      <t>ジョウホウ</t>
    </rPh>
    <rPh sb="34" eb="36">
      <t>ヒッシュウ</t>
    </rPh>
    <rPh sb="38" eb="40">
      <t>タンイ</t>
    </rPh>
    <rPh sb="44" eb="46">
      <t>ジョウホウ</t>
    </rPh>
    <rPh sb="46" eb="48">
      <t>ショリ</t>
    </rPh>
    <rPh sb="48" eb="49">
      <t>ロン</t>
    </rPh>
    <rPh sb="50" eb="52">
      <t>キソ</t>
    </rPh>
    <rPh sb="53" eb="55">
      <t>ヒッシュウ</t>
    </rPh>
    <rPh sb="57" eb="59">
      <t>タンイ</t>
    </rPh>
    <rPh sb="73" eb="75">
      <t>センタク</t>
    </rPh>
    <rPh sb="83" eb="85">
      <t>ゴウケイ</t>
    </rPh>
    <rPh sb="86" eb="88">
      <t>タンイ</t>
    </rPh>
    <rPh sb="89" eb="91">
      <t>シュウトク</t>
    </rPh>
    <phoneticPr fontId="1"/>
  </si>
  <si>
    <t>情報リテラシー</t>
  </si>
  <si>
    <t>情報処理論の基礎</t>
  </si>
  <si>
    <t>データサイエンス</t>
  </si>
  <si>
    <r>
      <t>ビッグデータ、IoT、AI、ロボット　「データサイエンス」　（第１回）</t>
    </r>
    <r>
      <rPr>
        <sz val="12"/>
        <rFont val="ＭＳ Ｐゴシック"/>
        <family val="3"/>
        <charset val="128"/>
      </rPr>
      <t>　</t>
    </r>
    <r>
      <rPr>
        <sz val="12"/>
        <rFont val="ＭＳ Ｐゴシック"/>
        <family val="3"/>
        <charset val="128"/>
        <scheme val="minor"/>
      </rPr>
      <t xml:space="preserve">
データ量の増加、計算機の処理性能の向上　「データサイエンス」　（第１回、第２回）「情報リテラシー」　（第15回）
第4次産業革命、Society 5.0、データ駆動型社会　「データサイエンス」　（第１回）</t>
    </r>
    <phoneticPr fontId="1"/>
  </si>
  <si>
    <t>調査データ、実験データ、人の行動ログデータ、機械の稼働ログデータなど　「データサイエンス」　（第１回）
構造化データ、非構造化データ（文章、画像/動画、音声/音楽など）　「データサイエンス」　（第３回）
データのオープン化（オープンデータ）　「データサイエンス」　（第１１回）　</t>
    <phoneticPr fontId="1"/>
  </si>
  <si>
    <r>
      <rPr>
        <sz val="12"/>
        <rFont val="ＭＳ Ｐゴシック"/>
        <family val="3"/>
        <charset val="128"/>
      </rPr>
      <t>情報社会と倫理（著作権）「情報リテラシー」（第7回）</t>
    </r>
    <r>
      <rPr>
        <sz val="12"/>
        <rFont val="ＭＳ Ｐゴシック"/>
        <family val="3"/>
        <charset val="128"/>
        <scheme val="minor"/>
      </rPr>
      <t xml:space="preserve">
ELSI（Ethical, Legal and Social Issues）「データサイエンス」（第９回）
個人情報保護、忘れられる権利、オプトアウト　「データサイエンス」（第１０回）
AI社会原則（公平性、説明責任、透明性、人間中心の判断）「データサイエンス」（第９回）
データバイアス、アルゴリズムバイアス「データサイエンス」（第９回、第１０回）</t>
    </r>
    <r>
      <rPr>
        <sz val="12"/>
        <rFont val="ＭＳ Ｐゴシック"/>
        <family val="3"/>
        <charset val="128"/>
      </rPr>
      <t>「情報リテラシー」（第15回）</t>
    </r>
    <r>
      <rPr>
        <sz val="12"/>
        <rFont val="ＭＳ Ｐゴシック"/>
        <family val="3"/>
        <charset val="128"/>
        <scheme val="minor"/>
      </rPr>
      <t xml:space="preserve">
データ・AI活用における負の事例紹介「データサイエンス」（第９回、第１０回）</t>
    </r>
    <phoneticPr fontId="1"/>
  </si>
  <si>
    <t>匿名加工情報、暗号化、パスワード、悪意ある情報搾取　「データサイエンス」（第１０回）
情報漏洩等によるセキュリティ事故の事例紹介　「データサイエンス」（第１０回）</t>
    <rPh sb="59" eb="65">
      <t>トクメ</t>
    </rPh>
    <phoneticPr fontId="1"/>
  </si>
  <si>
    <t>データの種類（量的変数、質的変数）「データサイエンス」（第３回）
データの分布(ヒストグラム)と代表値（平均値）「データサイエンス」（第１２回）
データのばらつき（分散、標準偏差）「データサイエンス」（第１２回）
観測データに含まれる誤差の扱い「データサイエンス」（第１２回）
母集団と標本抽出（国勢調査、アンケート調査）「データサイエンス」（第１１回））</t>
    <rPh sb="73" eb="76">
      <t>ジョウホウ</t>
    </rPh>
    <rPh sb="84" eb="88">
      <t>ヒョウホン</t>
    </rPh>
    <phoneticPr fontId="1"/>
  </si>
  <si>
    <t>データ表現（棒グラフ、折線グラフ、円グラフ）「情報処理論の基礎」（第5回）
データ表現（棒グラフ、折線グラフ、散布図）「データサイエンス」（第１５回）
不適切なグラフ表現（チャートジャンク、不必要な視覚的要素）「データサイエンス」（第１５回）、「情報処理論の基礎」（第5回）</t>
    <rPh sb="67" eb="68">
      <t>エダイ11カ</t>
    </rPh>
    <rPh sb="73" eb="78">
      <t/>
    </rPh>
    <phoneticPr fontId="1"/>
  </si>
  <si>
    <t>データの集計（和、平均）「データサイエンス」（第１２回）
データの並び替え、ランキング　「データサイエンス」（第１２回、第１４回）
データ解析ツール（スプレッドシート）「データサイエンス」（第１２回、第１４回）
表形式のデータ（csv）「データサイエンス」（第１２回）</t>
    <phoneticPr fontId="1"/>
  </si>
  <si>
    <t>本プログラムでは、実例を通して、現代社会の発展の一つの軸となったAI・データサイエンスがどのようなものであり、その活用事例や現代社会における問題について理解を深める。履修者は本プログラムを通じてコンピュータ活用力とデータサイエンス力を高めるとともに、データを正しく扱うための情報リテラシーも向上させる。AI・データサイエンスの知識を現代教養学部の学生が身につけるべき幅広い教養の一つとして位置づけられることを理解し、社会参画や社会貢献のための問題解決能力の向上につなげる。</t>
  </si>
  <si>
    <t>様式２</t>
    <phoneticPr fontId="1"/>
  </si>
  <si>
    <t>プログラムの履修者数等の実績について</t>
    <phoneticPr fontId="1"/>
  </si>
  <si>
    <t>①プログラム開設年度</t>
    <rPh sb="6" eb="8">
      <t>カイセツ</t>
    </rPh>
    <rPh sb="8" eb="10">
      <t>ネンド</t>
    </rPh>
    <phoneticPr fontId="1"/>
  </si>
  <si>
    <t>令和4</t>
    <rPh sb="0" eb="2">
      <t>レイワ</t>
    </rPh>
    <phoneticPr fontId="1"/>
  </si>
  <si>
    <t>年度</t>
    <rPh sb="0" eb="2">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</si>
  <si>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</si>
  <si>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</si>
  <si>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</si>
  <si>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</si>
  <si>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</si>
  <si>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</si>
  <si>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</si>
  <si>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</si>
  <si>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</si>
  <si>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</si>
  <si>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</si>
  <si>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</si>
  <si>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</si>
  <si>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</si>
  <si>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</si>
  <si>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合計</t>
    <rPh sb="0" eb="2">
      <t>ゴウケイ</t>
    </rPh>
    <phoneticPr fontId="1"/>
  </si>
  <si>
    <t>男性</t>
    <rPh sb="0" eb="2">
      <t>ダンセイ</t>
    </rPh>
    <phoneticPr fontId="1"/>
  </si>
  <si>
    <t>女性</t>
    <rPh sb="0" eb="2">
      <t>ジョセイ</t>
    </rPh>
    <phoneticPr fontId="1"/>
  </si>
  <si>
    <t>商学部商学科</t>
    <rPh sb="0" eb="3">
      <t>ショウガクブ</t>
    </rPh>
    <rPh sb="3" eb="6">
      <t>ショウガクカ</t>
    </rPh>
    <phoneticPr fontId="1"/>
  </si>
  <si>
    <t>法学部法学科</t>
    <rPh sb="0" eb="3">
      <t>ホウガクブ</t>
    </rPh>
    <rPh sb="3" eb="6">
      <t>ホウガクカ</t>
    </rPh>
    <phoneticPr fontId="1"/>
  </si>
  <si>
    <t>現代教養学部</t>
    <rPh sb="0" eb="6">
      <t>ゲンダイキョウヨウガクブ</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</si>
  <si>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</si>
  <si>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</si>
  <si>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</si>
  <si>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</si>
  <si>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</si>
  <si>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</si>
  <si>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</si>
  <si>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人</t>
    <rPh sb="0" eb="1">
      <t>ニン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</si>
  <si>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</si>
  <si>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</si>
  <si>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</si>
  <si>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</si>
  <si>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</si>
  <si>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</si>
  <si>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譚　奕飛</t>
    <rPh sb="0" eb="1">
      <t>タン</t>
    </rPh>
    <rPh sb="2" eb="3">
      <t>ヤク</t>
    </rPh>
    <rPh sb="3" eb="4">
      <t>ヒ</t>
    </rPh>
    <phoneticPr fontId="1"/>
  </si>
  <si>
    <t>（役職名）</t>
    <rPh sb="1" eb="4">
      <t>ヤクショクメイ</t>
    </rPh>
    <phoneticPr fontId="1"/>
  </si>
  <si>
    <t>商学部教授</t>
    <rPh sb="0" eb="3">
      <t>ショウガクブ</t>
    </rPh>
    <rPh sb="3" eb="5">
      <t>キョウジュ</t>
    </rPh>
    <phoneticPr fontId="1"/>
  </si>
  <si>
    <t>④</t>
    <phoneticPr fontId="1"/>
  </si>
  <si>
    <t>プログラムを改善・進化させるための体制（委員会・組織等）</t>
    <phoneticPr fontId="1"/>
  </si>
  <si>
    <t>数理・データサイエンス・AI教育プログラム検討委員会</t>
  </si>
  <si>
    <t>譚　奕飛</t>
    <phoneticPr fontId="1"/>
  </si>
  <si>
    <t>⑤</t>
    <phoneticPr fontId="1"/>
  </si>
  <si>
    <t>プログラムを改善・進化させるための体制を定める規則名称</t>
  </si>
  <si>
    <t>中央学院大学委員会設置規程</t>
  </si>
  <si>
    <t>⑥</t>
    <phoneticPr fontId="1"/>
  </si>
  <si>
    <t>体制の目的</t>
    <rPh sb="0" eb="2">
      <t>タイセイ</t>
    </rPh>
    <rPh sb="3" eb="5">
      <t>モクテキ</t>
    </rPh>
    <phoneticPr fontId="1"/>
  </si>
  <si>
    <r>
      <t>本学は、「公正な社会観と倫理観の涵養」を建学の精神として掲げている。多様化していく現代社会に対応すべく、商学，法学および現代教養学の分野に関わる様々な課題を発見し、解決できる能力を養うことを目的に、数理・データサイエンス・AI教育の全学的な充実を図り、関連科目を整備を行う。</t>
    </r>
    <r>
      <rPr>
        <sz val="12"/>
        <rFont val="ＭＳ Ｐゴシック"/>
        <family val="3"/>
        <charset val="128"/>
      </rPr>
      <t>本委員会は</t>
    </r>
    <r>
      <rPr>
        <sz val="12"/>
        <rFont val="ＭＳ Ｐゴシック"/>
        <family val="3"/>
        <charset val="128"/>
        <scheme val="minor"/>
      </rPr>
      <t>各学部の情報教育担当教員を中心とした委員で構成し、庶務は教務課が担当</t>
    </r>
    <r>
      <rPr>
        <sz val="12"/>
        <rFont val="ＭＳ Ｐゴシック"/>
        <family val="3"/>
        <charset val="128"/>
      </rPr>
      <t>する。「データサイエンス力」、「コンピュータ活用力」、「専門力」を向上させることを本プログラムの教育目標とし、対象</t>
    </r>
    <r>
      <rPr>
        <sz val="12"/>
        <rFont val="ＭＳ Ｐゴシック"/>
        <family val="3"/>
        <charset val="128"/>
        <scheme val="minor"/>
      </rPr>
      <t>科目の授業内容の検討・見直しを行い</t>
    </r>
    <r>
      <rPr>
        <sz val="12"/>
        <rFont val="ＭＳ Ｐゴシック"/>
        <family val="3"/>
        <charset val="128"/>
      </rPr>
      <t>、</t>
    </r>
    <r>
      <rPr>
        <sz val="12"/>
        <rFont val="ＭＳ Ｐゴシック"/>
        <family val="3"/>
        <charset val="128"/>
        <scheme val="minor"/>
      </rPr>
      <t>履修者の興味を引き出す内容となるよう改善を行う。また、より多くの学生が本プログラムに参加できる</t>
    </r>
    <r>
      <rPr>
        <sz val="12"/>
        <rFont val="ＭＳ Ｐゴシック"/>
        <family val="3"/>
        <charset val="128"/>
      </rPr>
      <t>よう</t>
    </r>
    <r>
      <rPr>
        <sz val="12"/>
        <rFont val="ＭＳ Ｐゴシック"/>
        <family val="3"/>
        <charset val="128"/>
        <scheme val="minor"/>
      </rPr>
      <t>、効果的な運営が行える方策について検討・改善を行う。</t>
    </r>
    <rPh sb="137" eb="141">
      <t xml:space="preserve">ホンイインカイハ </t>
    </rPh>
    <rPh sb="167" eb="169">
      <t>ショム</t>
    </rPh>
    <rPh sb="170" eb="173">
      <t>キョウムカ</t>
    </rPh>
    <rPh sb="174" eb="176">
      <t>タントウ</t>
    </rPh>
    <rPh sb="188" eb="189">
      <t xml:space="preserve">リョク </t>
    </rPh>
    <rPh sb="198" eb="201">
      <t xml:space="preserve">カツヨウリョク </t>
    </rPh>
    <rPh sb="204" eb="207">
      <t xml:space="preserve">センモンリョク </t>
    </rPh>
    <rPh sb="209" eb="211">
      <t xml:space="preserve">コウジョウサセル </t>
    </rPh>
    <rPh sb="217" eb="218">
      <t>ホンプロg</t>
    </rPh>
    <rPh sb="224" eb="228">
      <t xml:space="preserve">キョウイクモクヒョウトシ </t>
    </rPh>
    <rPh sb="231" eb="233">
      <t xml:space="preserve">タイショウ </t>
    </rPh>
    <rPh sb="241" eb="243">
      <t xml:space="preserve">ケントウ </t>
    </rPh>
    <rPh sb="244" eb="246">
      <t>ミナオ</t>
    </rPh>
    <rPh sb="248" eb="249">
      <t>オコナ</t>
    </rPh>
    <rPh sb="286" eb="287">
      <t>ホン</t>
    </rPh>
    <rPh sb="320" eb="322">
      <t>カイゼン</t>
    </rPh>
    <phoneticPr fontId="1"/>
  </si>
  <si>
    <t>⑦</t>
    <phoneticPr fontId="1"/>
  </si>
  <si>
    <t>具体的な構成員</t>
    <rPh sb="0" eb="3">
      <t>グタイテキ</t>
    </rPh>
    <rPh sb="4" eb="7">
      <t>コウセイイン</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</si>
  <si>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</si>
  <si>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</si>
  <si>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令和４年度実績</t>
    <rPh sb="0" eb="2">
      <t>レイワ</t>
    </rPh>
    <rPh sb="3" eb="5">
      <t>ネンド</t>
    </rPh>
    <rPh sb="5" eb="7">
      <t>ジッセキ</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</si>
  <si>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</si>
  <si>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</si>
  <si>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</si>
  <si>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</si>
  <si>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</si>
  <si>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</si>
  <si>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</si>
  <si>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</si>
  <si>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r>
      <t>本学では、情報リテラシー（商</t>
    </r>
    <r>
      <rPr>
        <sz val="12"/>
        <rFont val="ＭＳ Ｐゴシック"/>
        <family val="3"/>
        <charset val="128"/>
      </rPr>
      <t>学部</t>
    </r>
    <r>
      <rPr>
        <sz val="12"/>
        <rFont val="ＭＳ Ｐゴシック"/>
        <family val="3"/>
        <charset val="128"/>
        <scheme val="minor"/>
      </rPr>
      <t>）、情報処理論（商</t>
    </r>
    <r>
      <rPr>
        <sz val="12"/>
        <rFont val="ＭＳ Ｐゴシック"/>
        <family val="3"/>
        <charset val="128"/>
      </rPr>
      <t>学部</t>
    </r>
    <r>
      <rPr>
        <sz val="12"/>
        <rFont val="ＭＳ Ｐゴシック"/>
        <family val="3"/>
        <charset val="128"/>
        <scheme val="minor"/>
      </rPr>
      <t>）、情報処理I（法</t>
    </r>
    <r>
      <rPr>
        <sz val="12"/>
        <rFont val="ＭＳ Ｐゴシック"/>
        <family val="3"/>
        <charset val="128"/>
      </rPr>
      <t>学部</t>
    </r>
    <r>
      <rPr>
        <sz val="12"/>
        <rFont val="ＭＳ Ｐゴシック"/>
        <family val="3"/>
        <charset val="128"/>
        <scheme val="minor"/>
      </rPr>
      <t>）、情報リテラシー</t>
    </r>
    <r>
      <rPr>
        <sz val="12"/>
        <rFont val="ＭＳ Ｐゴシック"/>
        <family val="3"/>
        <charset val="128"/>
      </rPr>
      <t>（現代教養学部）</t>
    </r>
    <r>
      <rPr>
        <sz val="12"/>
        <rFont val="ＭＳ Ｐゴシック"/>
        <family val="3"/>
        <charset val="128"/>
        <scheme val="minor"/>
      </rPr>
      <t>、情報処理論の基礎（現代教養学部）は、必修科目となっており、データサイエンスは全学共通科目として設置することで、希望する学生のすべてが受講可能なカリキュラムとなっている。令和4年度においては、対象年次が1年次のみであったことからデータサイエンスは春学期と秋学期に各1コマの開講としていた。今後は履修対象年次が増加し、希望者が増加していくことから、増コマを検討していく。また，現在はPC教室を利用していることから履修者が一般教室より制限されるが、履修者にPCを持参させ受講させる方法や、必要に応じて，非常勤教員などを教員補充についての検討を行っていく。</t>
    </r>
    <rPh sb="14" eb="16">
      <t xml:space="preserve">ガクブ </t>
    </rPh>
    <rPh sb="25" eb="27">
      <t xml:space="preserve">ガクブ </t>
    </rPh>
    <rPh sb="36" eb="38">
      <t xml:space="preserve">ガクブ </t>
    </rPh>
    <rPh sb="48" eb="54">
      <t>ゲンダイ</t>
    </rPh>
    <rPh sb="151" eb="153">
      <t>タイショウ</t>
    </rPh>
    <rPh sb="153" eb="155">
      <t>ネンジ</t>
    </rPh>
    <rPh sb="157" eb="158">
      <t>ネン</t>
    </rPh>
    <rPh sb="158" eb="159">
      <t>ジ</t>
    </rPh>
    <rPh sb="202" eb="204">
      <t>リシュウ</t>
    </rPh>
    <rPh sb="204" eb="206">
      <t>タイショウ</t>
    </rPh>
    <rPh sb="206" eb="208">
      <t>ネンジ</t>
    </rPh>
    <rPh sb="209" eb="211">
      <t>ゾウカ</t>
    </rPh>
    <rPh sb="242" eb="244">
      <t>ゲンザイ</t>
    </rPh>
    <rPh sb="247" eb="249">
      <t>キョウシツ</t>
    </rPh>
    <rPh sb="250" eb="252">
      <t>リヨウ</t>
    </rPh>
    <rPh sb="260" eb="263">
      <t>リシュウシャ</t>
    </rPh>
    <rPh sb="264" eb="266">
      <t>イッパン</t>
    </rPh>
    <rPh sb="266" eb="268">
      <t>キョウシツ</t>
    </rPh>
    <rPh sb="270" eb="272">
      <t>セイゲン</t>
    </rPh>
    <rPh sb="277" eb="280">
      <t>リシュウシャ</t>
    </rPh>
    <rPh sb="284" eb="286">
      <t>ジサン</t>
    </rPh>
    <rPh sb="293" eb="295">
      <t>ホウホウ</t>
    </rPh>
    <rPh sb="297" eb="299">
      <t>ヒツヨウ</t>
    </rPh>
    <rPh sb="300" eb="301">
      <t>オウ</t>
    </rPh>
    <rPh sb="304" eb="307">
      <t>ヒジョウキン</t>
    </rPh>
    <rPh sb="307" eb="309">
      <t>キョウイン</t>
    </rPh>
    <rPh sb="312" eb="314">
      <t>キョウイン</t>
    </rPh>
    <rPh sb="314" eb="316">
      <t>ホジュウ</t>
    </rPh>
    <rPh sb="321" eb="323">
      <t>ケントウ</t>
    </rPh>
    <rPh sb="324" eb="325">
      <t>オコナ</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</si>
  <si>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</si>
  <si>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</si>
  <si>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r>
      <rPr>
        <sz val="12"/>
        <rFont val="ＭＳ Ｐゴシック"/>
        <family val="3"/>
        <charset val="128"/>
        <scheme val="minor"/>
      </rPr>
      <t>入学直後に実施されるプライムセミナー（新入生ガイダンス）においての周知、本学ポータルサイト（CGUポータル）での周知、大学ホームページへの掲載により、広く学生に本プログラムの内容と参加意義を周知している。また、1年次のゼミ科目（プロゼミナール（商学部）、基礎演習Ⅰ（法学部）、基礎演習（現代教養学部））において履修指導を行う際にも本プログラムの内容について周知している。特に、現代教養学部においては、学生要覧に示している履修モデルに本プログラムで必要となる科目</t>
    </r>
    <r>
      <rPr>
        <sz val="12"/>
        <rFont val="ＭＳ Ｐゴシック"/>
        <family val="3"/>
        <charset val="128"/>
      </rPr>
      <t>のすべて</t>
    </r>
    <r>
      <rPr>
        <sz val="12"/>
        <rFont val="ＭＳ Ｐゴシック"/>
        <family val="3"/>
        <charset val="128"/>
        <scheme val="minor"/>
      </rPr>
      <t>が</t>
    </r>
    <r>
      <rPr>
        <sz val="12"/>
        <rFont val="ＭＳ Ｐゴシック"/>
        <family val="3"/>
        <charset val="128"/>
      </rPr>
      <t>選択必修科目として</t>
    </r>
    <r>
      <rPr>
        <sz val="12"/>
        <rFont val="ＭＳ Ｐゴシック"/>
        <family val="3"/>
        <charset val="128"/>
        <scheme val="minor"/>
      </rPr>
      <t>含まれるものとなっている。さらに「データサイエンス」のシラバスに記載されている授業計画は具体的に実施内容を記述し、学生に分かりやすいように工夫している。今後は修了者の授業評価や本プログラムに対する感想などをまとめ、履修を検討している学生の後押しとなるように取り組みを検討する。</t>
    </r>
    <rPh sb="235" eb="241">
      <t>センタクヒッs</t>
    </rPh>
    <phoneticPr fontId="1"/>
  </si>
  <si>
    <t>⑪</t>
    <phoneticPr fontId="1"/>
  </si>
  <si>
    <t>できる限り多くの学生が履修・修得できるようなサポート体制</t>
    <rPh sb="26" eb="28">
      <t>タイセイ</t>
    </rPh>
    <phoneticPr fontId="1"/>
  </si>
  <si>
    <t>本プログラムは各学部の必修科目（情報リテラシー（商学部、現代教養学部）、情報処理I（法学部）、情報処理論（商学部）、情報処理論の基礎（現代教養学部））と、1年次から全学共通科目である選択科目（データサイエンス）から構成される。情報スキル科目では、情報リテラシーと情報倫理に関する理解を深める。情報社会における諸問題を多く取り上げ、各学部の専門性に合わせた具体例を多く扱う。選択科目のデータサイエンスでは、どの学部の学生にも必要となる内容を中心に扱っている。いずれの科目も学習管理システム等を利用し、事前事後学習にも役立てられている。
本プログラムへの参加は特別な申請手続き等は不要であり、修了後には修了証を発行している。
いずれの科目においても授業評価アンケートを実施しており、授業評価をもとに、担当教員は報告書の提出が義務付けられている。本プログラムの修了に向けた改善などに活用されている。</t>
    <rPh sb="35" eb="37">
      <t xml:space="preserve">ガクブ </t>
    </rPh>
    <rPh sb="46" eb="48">
      <t xml:space="preserve">ガクブ </t>
    </rPh>
    <rPh sb="58" eb="64">
      <t>ゲn</t>
    </rPh>
    <rPh sb="73" eb="75">
      <t>ガ</t>
    </rPh>
    <rPh sb="254" eb="255">
      <t xml:space="preserve">トリアゲル </t>
    </rPh>
    <phoneticPr fontId="1"/>
  </si>
  <si>
    <t>⑫</t>
    <phoneticPr fontId="1"/>
  </si>
  <si>
    <t>授業時間内外で学習指導、質問を受け付ける具体的な仕組み</t>
    <rPh sb="20" eb="23">
      <t>グタイテキ</t>
    </rPh>
    <phoneticPr fontId="1"/>
  </si>
  <si>
    <r>
      <t>本学ポータルサイト（CGUポータル）や</t>
    </r>
    <r>
      <rPr>
        <sz val="12"/>
        <rFont val="ＭＳ Ｐゴシック"/>
        <family val="3"/>
        <charset val="128"/>
      </rPr>
      <t>学習管理システム（Microsoft TeamsやWebClass）</t>
    </r>
    <r>
      <rPr>
        <sz val="12"/>
        <rFont val="ＭＳ Ｐゴシック"/>
        <family val="3"/>
        <charset val="128"/>
        <scheme val="minor"/>
      </rPr>
      <t xml:space="preserve">により、授業資料の配布、担当教員との質疑が可能である。課題や試験は採点後、学生へ解説やコメントなどをフィードバックしている。学生はインターネットを介して、教材や課題をキャンパス内外からいつでも振り返ることができる。
各教員はオフィスアワーを設けることが義務付けられており、CGUポータルやメール等から届く質問には積極的に回答するように促されている。学生は新入生ガイダンスでこれらのシステムを利用して質問する方法の説明を受けている。
</t>
    </r>
    <r>
      <rPr>
        <sz val="12"/>
        <rFont val="ＭＳ Ｐゴシック"/>
        <family val="3"/>
        <charset val="128"/>
      </rPr>
      <t>今後はオンデマンド教材を積極的に取り入れることも検討し、事前事後学習での活用に向けて必要な体制や仕組みづくりを模索していく。</t>
    </r>
    <rPh sb="19" eb="23">
      <t>ガクシュウカンリシs</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</si>
  <si>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</si>
  <si>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</si>
  <si>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</si>
  <si>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</si>
  <si>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自己点検・評価実施委員会/数理・データサイエンス・AI教育プログラム検討委員会</t>
  </si>
  <si>
    <t>商学部教授</t>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</si>
  <si>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</si>
  <si>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</si>
  <si>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</si>
  <si>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</si>
  <si>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</si>
  <si>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</si>
  <si>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</si>
  <si>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各科目で随時に実施している授業理解度小テストや、本学教務課が学期末に実施している学生授業評価アンケートなどの分析を通して、本教育プログラム科目に関する学生の理解度や、授業満足度、教授活動の適切性に関する学生の評価を把握できる。これらの結果は数理・データサイエンス・AI教育プログラム検討委員会にフィードバックし、本教育プログラムの評価・改善に活用されている。
特に、「データサイエンス」の科目では、毎回の授業終了後に、学生のフィードバックを収集するために、授業理解度や授業の説明のわかりやすさに関するアンケートを実施している。このアンケートの結果をもとに、学生が毎回の授業内容に対する意見を把握し、次回の授業を改善することを試みている。</t>
  </si>
  <si>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</si>
  <si>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データサイエンス」科目では、第1回目と最終回の授業で、9つの質問を通じて、受講生に情報利活用能力（8つのディメンション）を自己評価させる仕組みを導入している。最初の授業と最後の授業での自己評価点を比較することで、受講生の能力の変化を分析している。結果として、2022年には9割以上の学生が、8つのディメンションすべてにおいて情報利活用能力が向上したと評価した。また、2022年の秋学期には、92.68%の受講生がこの授業を他の学生に推奨すると評価した。
情報リテラシー（商学部）、情報処理論（商学部）、情報処理I（法学部）、情報リテラシー（現代教養学部）、情報処理論の基礎（現代教養学部）は必修科目となっており、1年生は全員が修得する必要がある。そのため、他の学生や後輩学生の推奨度に関するアンケートは実施していないが、教務ガイダンスなどを通じて本教育プログラムの情報を周知するなど、学生の学習モチベーションを高める工夫をしている。また、学生授業評価アンケートなどの結果を通じて、学生の理解度や満足度、教授の活動適切性に関する評価を把握している。</t>
  </si>
  <si>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</si>
  <si>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情報リテラシー（商学部）、情報処理論（商学部）、情報処理I（法学部）、情報リテラシー（現代教養学部）、情報処理論の基礎（現代教養学部）は、必須科目となっており、本学1年生は全員が受講しなければならない。従って、この2科目は令和5年度の履修率は100%に達すると見込まれている。
「データサイエンス」は、春学期と秋学期に週1コマの授業を開講している。また、学内では、教務ガイダンスを通じた科目の紹介、大学のホームページを通じた周知など、学修へのモチベーションの向上のための工夫も行っている。これらにより、今後の受講生数の増加に応じて、授業コマ数の増加などの措置も数理・データサイエンス・AI教育プログラム検討委員会で検討されている。</t>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</si>
  <si>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</si>
  <si>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</si>
  <si>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</si>
  <si>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 xml:space="preserve">本教育プログラムは、産業界のニーズやトレンドに合わせた教育が重要であると考え、教育内容や手法、実践的な演習などに力を入れている。また、産業界と定期的な意見交換を行うことが大切と認識しており、教育プログラムを改善することに努めている。科目を担当する教員や数理・データサイエンス・AI教育プログラム検討委員会の委員の多くは、情報教育、経営情報、コンピューターサイエンス、統計解析、人工知能などの分野に専門性を持ち、IT企業やデータ解析コンサルティング企業と共同研究を行っている教員もいる。これらの研究経験から、産業界のニーズを本教育プログラムにフィードバックすることができる。
</t>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</si>
  <si>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</si>
  <si>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 xml:space="preserve">商学部、法学部、現代教養学部の学生に対して、数理・データサイエンス・AIを「学ぶ楽しさ」「学ぶことの意義」を理解させるためには、学生の専門性や専攻の特性を生かすことが重要であると考えている。そのため、理論中心の授業からはずれ、授業の中に事例をふんだんに取り入れて、実践的なアプローチを採用することを心がける。例えば、Society5.0の実現する世界をイメージしやすいように、気候、研究開発、製造、物流、販売、マーケティング、サービスなどの業界のデータ分析事例を使って、分析やモデルの作成を通じて、数理・データサイエンス・AIの実用性と楽しさを体験させることに力を入れている。その際に、初心者でも利用できるツールを使い、実践的な学びを工夫している。
また、学生の持つ専門分野との関係も考慮し、学ぶことの意義をより深く理解させるよう工夫しており、「学ぶ楽しさ」の指標として行った「興味深さ」のアンケートでは、0～10の基準においてすべての回の授業において6.5以上、最大は7.41、全授業平均6.82であり、授業全体としては評価基準の中心値以上であり、結果としては良好な値であるといえるが、より学ぶ楽しさや意義に対する理解を促すために数理・データサイエンス・AIの専門家や実務者によるセミナーや講演を通じて、学生に「学ぶことの意義」や「学ぶ楽しさ」を紹介することや、GPSなどのキャリアアセスメントツールを活用し、学生一人ひとりの特性に合ったキャリアアップデザインを提案することなどが検討事項である。
</t>
  </si>
  <si>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</si>
  <si>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本教育プログラムでは、本学の学生の特性やニーズに合った授業コンテンツの作成に力を入れている。特に、商学部、法学部、現代教養学部の文系学生に考慮し、理論的な授業ではなく、データサイエンスや人工知能が日常生活や仕事において実際に道具として、どのように上手に活用することができるかの基礎素養を修得させることを重視している。授業中にビジネスや社会に関連する実例をふんだんに取り上げ、学生の理解を深めることを心がけている。例えば、商学部や法学部の学生には、ビジネスや法律の観点からデータサイエンスやAIがどのように活用されているかを伝え、現代教養学部の学生には、社会問題の解決にデータサイエンスやAIがどのように使われているかを紹介する。これにより、学生の興味を引き出し、勉強の意欲を高めるとともに、授業の分かりやすさと質を維持することに努めている。
また、期末に実施する授業アンケートの結果を利用して、授業の質向上に努めている。特に、「データサイエンス」の科目では、毎回の授業終了後に、受講生に対して授業理解度や授業の分かりやすさに関するアンケート調査を実施している。この調査によって、学生が毎回の授業内容に対するフィードバックを把握し、次回の授業内容を改善する試みを実践している。</t>
    <phoneticPr fontId="1"/>
  </si>
  <si>
    <t>本プログラムは、実例を通して、現代社会の発展の一つの軸となったデータサイエンスとは何か、データサイエンスはどんなところで活用されているかを理解しもらい、データ分析のためのコンピュータ言語の基本的な文法とライブラリの使い方を学ぶことを目的とする。
本プログラムを通じて、受講者はデータ分析に基づいて、商学をはじめとする多分野で新たな課題を発見し、それを解決する能力を身に付けることが最も重要な成果と考えている。</t>
  </si>
  <si>
    <t>本プログラムは、実例を通して、現代社会の発展の一つの軸となったデータサイエンスとは何か、データサイエンスはどんなところで活用されているかを理解しもらい、データ分析のためのコンピュータ言語の基本的な文法とライブラリの使い方を学ぶことを目的とする。
本プログラムを通じて、受講者はデータ分析に基づいて、法学分野での新たな課題を発見し、それを解決する能力を身に付けることが最も重要な成果と考えている。</t>
  </si>
  <si>
    <t>本学では中央学院大学のポータルサイト（CGUポータル）を通じて、学生のプログラムの履修・修得状況を常に把握している。また、複数の学習管理システム（CGUポータルやWebClass、Teams等）を使用して、各授業の出席状況、課題の提出状況、講義の理解度、目標の達成状況などを把握し、必要に応じて授業内外で学生に個別指導や履修支援を行う体制を整えている。さらに、数理・データサイエンス・AI教育プログラム検討委員会では定期的にプログラムの履修・修得状況を確認・分析する体制を整えている。これらの結果を踏まえて、本教育プログラムの自己点検や改善に取り組み、学生の履修を支援することに努めている。
２０２２年度において、学生の習熟度に合わせてクラスを分けており、シラバスも一部異なる部分があるが、今後は、授業内容の統一を図っていく計画である。</t>
    <phoneticPr fontId="1"/>
  </si>
  <si>
    <t>本教育プログラムは「教養としてのデータサイエンス・AI」をコンセプトとしている。その目標は、各学部の学生がそれぞれの専門知識を持ち、課題を発見し解決する「専門力」、コンピューターを効果的に活用する「コンピューター活用力」、さらに情報処理や人工知能を活用して価値を生み出す「データサイエンス力」を育成することである。また、各科目のシラバスは授業の目標と学生が修得できる能力を明確に記載している。
学期末の授業アンケートでは、学生にシラバスに記載されている「授業の達成目標」や「就業力」の達成度について回答させ、その結果を確認・分析することで、教育の質を継続的に向上させている。「データサイエンス」の科目では、毎回の授業において行う「主観アンケート」「興味深さ、分かりやすさ、理解度アンケート」や、それらの結果から得られるポジティブ・ネガティブな評価に関して、平均などだけではなく、時系列での推移やp値による優位性の確認、散布図行列による可視化などを用いて、アンケート自体に対してデータサイエンスの手法を用いて分析することにより、学生自身が明示的に意識していない情報を授業改善に活かしている。</t>
  </si>
  <si>
    <t xml:space="preserve">本プログラムを構成する全学共通科目の「データサイエンス（選択：2単位）」および商学部設置科目である、「情報リテラシー（必修：2単位）」、「情報処理論（必修：2単位）」の合計6単位を修得すること。
</t>
    <rPh sb="11" eb="13">
      <t>ゼンガク</t>
    </rPh>
    <rPh sb="13" eb="15">
      <t>キョウツウ</t>
    </rPh>
    <rPh sb="15" eb="17">
      <t>カモク</t>
    </rPh>
    <rPh sb="39" eb="40">
      <t>ショウ</t>
    </rPh>
    <rPh sb="42" eb="44">
      <t>セッチ</t>
    </rPh>
    <phoneticPr fontId="1"/>
  </si>
  <si>
    <t xml:space="preserve">本プログラムを構成する全学共通科目の「データサイエンス（選択：2単位）」および法学部設置科目である、「情報処理Ⅰ（必修：4単位）」の合計6単位を修得すること。
</t>
    <rPh sb="39" eb="40">
      <t>ホウ</t>
    </rPh>
    <phoneticPr fontId="1"/>
  </si>
  <si>
    <t>情報リテラシー</t>
    <rPh sb="0" eb="2">
      <t>ジョウホウ</t>
    </rPh>
    <phoneticPr fontId="1"/>
  </si>
  <si>
    <t>譚 奕飛　商学部／教授（委員長）
浅井 宗海　商学部／教授（オブザーバー）
田村 謙次　商学部／准教授
小林 敬和　法学部／教授
楊 鯤昊　法学部／講師
齋藤 大輔　現代教養学部／准教授
内田 瑛　現代教養学部／助教
早坂 満　法人事務局長兼総務部長
冨田 喜恵　教務課主任</t>
    <rPh sb="5" eb="6">
      <t>ショウ</t>
    </rPh>
    <rPh sb="23" eb="24">
      <t>ショウ</t>
    </rPh>
    <phoneticPr fontId="1"/>
  </si>
  <si>
    <t xml:space="preserve">本教育プログラムは2022年度から開始されているため、現在本プログラムを修了した学生はまだ在学中であり、進路についての確認は出来ない状況である。しかし、今後、就職課が毎年実施している卒業生の進路調査を通して本教育プログラムを修了した卒業生の進路や活躍状況等を把握することは可能である。
また、本教育プログラムに含まれるいくつかの科目（情報リテラシー（商学部）、情報処理論（商学部）、情報処理I（法学部）、情報リテラシー（現代教養学部）、情報処理論の基礎（現代教養学部）は2022年度以前から開講されているもので、それらの授業の履修者については、学部を問わず情報通信業界への就職者が一定数存在する。
【業種別就職状況（2021年度）】情報通信関係への就職率：商学部10%、法学部5%、現代教養学部6%
</t>
    <rPh sb="176" eb="178">
      <t>ガクブ</t>
    </rPh>
    <rPh sb="187" eb="189">
      <t>ガクブ</t>
    </rPh>
    <rPh sb="198" eb="200">
      <t>ガクブ</t>
    </rPh>
    <rPh sb="211" eb="216">
      <t>ダイキョウヨウガクブ</t>
    </rPh>
    <phoneticPr fontId="1"/>
  </si>
  <si>
    <t xml:space="preserve">履修者数・履修率の向上を目指し、以下の目標を掲げる。
令和5年度予定　180名（6％）
令和6年度予定　210名（7％）
令和7年度予定　240名（8％）
令和8年度予定　260名（9％）
本プログラムの履修者数を伸ばすためには、選択科目である「データサイエンス」の履修者数を増加させる必要がある。令和4年度はPC教室（定員60名）で実施していたが、教室定員数を超える履修希望者がいたため、授業時間内でのPC利用を最小限に抑えたり、オンデマンド教材を利用して事前事後学習でカバーしたりするなど授業内容の見直しを行い、PC教室以外での授業が実施できるようにすることで教室定員数の多い普通教室で実施できるようにするなどの工夫を検討していく。また、将来的には希望履修者数に対応していくために「データサイエンス」の開講コマ数を増加させていく。令和4年度は各学期1コマずつの開講であったが、履修対象者の増加に伴い令和8年度までに、各学期2コマずつの開講（計4コマ）まで段階的に拡大を目指す。
</t>
    <rPh sb="55" eb="56">
      <t>メイ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</si>
</sst>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trike/>
      <sz val="12"/>
      <color theme="1"/>
      <name val="ＭＳ Ｐゴシック"/>
      <family val="2"/>
      <charset val="128"/>
      <scheme val="minor"/>
    </font>
    <font>
      <strike/>
      <sz val="12"/>
      <color rgb="FF00B050"/>
      <name val="ＭＳ Ｐゴシック"/>
      <family val="2"/>
      <charset val="128"/>
      <scheme val="minor"/>
    </font>
    <font>
      <sz val="12"/>
      <color rgb="FF0070C0"/>
      <name val="ＭＳ Ｐゴシック"/>
      <family val="3"/>
      <charset val="128"/>
      <scheme val="minor"/>
    </font>
    <font>
      <sz val="12"/>
      <name val="ＭＳ Ｐゴシック"/>
      <family val="3"/>
      <charset val="128"/>
      <scheme val="minor"/>
    </font>
    <font>
      <sz val="11"/>
      <name val="ＭＳ Ｐゴシック"/>
      <family val="3"/>
      <charset val="128"/>
      <scheme val="minor"/>
    </font>
    <font>
      <sz val="10"/>
      <name val="ＭＳ Ｐゴシック"/>
      <family val="3"/>
      <charset val="128"/>
      <scheme val="minor"/>
    </font>
    <font>
      <sz val="14"/>
      <name val="ＭＳ Ｐゴシック"/>
      <family val="3"/>
      <charset val="128"/>
      <scheme val="minor"/>
    </font>
    <font>
      <sz val="9"/>
      <name val="ＭＳ Ｐゴシック"/>
      <family val="3"/>
      <charset val="128"/>
      <scheme val="minor"/>
    </font>
    <font>
      <sz val="12"/>
      <name val="ＭＳ Ｐゴシック"/>
      <family val="3"/>
      <charset val="128"/>
    </font>
    <font>
      <sz val="12"/>
      <color rgb="FF000000"/>
      <name val="ＭＳ Ｐゴシック"/>
      <family val="3"/>
      <charset val="128"/>
    </font>
    <font>
      <sz val="12"/>
      <color theme="1"/>
      <name val="ＭＳ Ｐゴシック"/>
      <family val="3"/>
      <charset val="128"/>
    </font>
    <font>
      <sz val="12"/>
      <color rgb="FF000000"/>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thin">
        <color auto="1"/>
      </left>
      <right style="thin">
        <color auto="1"/>
      </right>
      <top style="hair">
        <color auto="1"/>
      </top>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40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11" fillId="0" borderId="23" xfId="0" applyFont="1" applyBorder="1" applyAlignment="1">
      <alignment horizontal="center" vertical="center" shrinkToFit="1"/>
    </xf>
    <xf numFmtId="0" fontId="12" fillId="0" borderId="23" xfId="0" applyFont="1" applyBorder="1" applyAlignment="1">
      <alignment horizontal="center" vertical="center" shrinkToFit="1"/>
    </xf>
    <xf numFmtId="0" fontId="14" fillId="0" borderId="0" xfId="0" applyFont="1" applyAlignment="1">
      <alignment horizontal="center" vertical="center"/>
    </xf>
    <xf numFmtId="0" fontId="14" fillId="0" borderId="0" xfId="0" applyFont="1" applyAlignment="1">
      <alignment horizontal="left" vertical="center"/>
    </xf>
    <xf numFmtId="0" fontId="14" fillId="0" borderId="0" xfId="0" applyFont="1" applyAlignment="1">
      <alignment horizontal="right" vertical="center"/>
    </xf>
    <xf numFmtId="0" fontId="15" fillId="0" borderId="0" xfId="0" applyFont="1" applyAlignment="1">
      <alignment horizontal="center" vertical="center"/>
    </xf>
    <xf numFmtId="0" fontId="14" fillId="0" borderId="14" xfId="0" applyFont="1" applyBorder="1" applyAlignment="1">
      <alignment horizontal="center" vertical="center" shrinkToFit="1"/>
    </xf>
    <xf numFmtId="0" fontId="14" fillId="0" borderId="23" xfId="0" applyFont="1" applyBorder="1" applyAlignment="1">
      <alignment horizontal="center" vertical="center" shrinkToFit="1"/>
    </xf>
    <xf numFmtId="0" fontId="14" fillId="0" borderId="0" xfId="0" applyFont="1">
      <alignment vertical="center"/>
    </xf>
    <xf numFmtId="0" fontId="15" fillId="0" borderId="0" xfId="0" applyFont="1">
      <alignment vertical="center"/>
    </xf>
    <xf numFmtId="0" fontId="14" fillId="0" borderId="1" xfId="0" applyFont="1" applyBorder="1" applyAlignment="1">
      <alignment horizontal="center" vertical="center"/>
    </xf>
    <xf numFmtId="0" fontId="14" fillId="0" borderId="0" xfId="0" applyFont="1" applyAlignment="1">
      <alignment vertical="center" shrinkToFit="1"/>
    </xf>
    <xf numFmtId="0" fontId="14" fillId="0" borderId="0" xfId="0" applyFont="1" applyAlignment="1">
      <alignment horizontal="left" vertical="center" shrinkToFit="1"/>
    </xf>
    <xf numFmtId="0" fontId="14" fillId="0" borderId="10" xfId="0" applyFont="1" applyBorder="1" applyAlignment="1">
      <alignment horizontal="right" vertical="center"/>
    </xf>
    <xf numFmtId="0" fontId="14" fillId="0" borderId="5" xfId="0" applyFont="1" applyBorder="1">
      <alignment vertical="center"/>
    </xf>
    <xf numFmtId="0" fontId="18" fillId="0" borderId="1" xfId="0" applyFont="1" applyBorder="1" applyAlignment="1">
      <alignment horizontal="center" vertical="center" shrinkToFit="1"/>
    </xf>
    <xf numFmtId="0" fontId="18" fillId="0" borderId="4" xfId="0" applyFont="1" applyBorder="1" applyAlignment="1">
      <alignment horizontal="center" vertical="center" shrinkToFit="1"/>
    </xf>
    <xf numFmtId="49" fontId="18" fillId="0" borderId="1" xfId="0" applyNumberFormat="1" applyFont="1" applyBorder="1" applyAlignment="1">
      <alignment horizontal="center" vertical="center"/>
    </xf>
    <xf numFmtId="0" fontId="14" fillId="0" borderId="60" xfId="0" applyFont="1" applyBorder="1" applyAlignment="1">
      <alignment horizontal="center" vertical="center" shrinkToFit="1"/>
    </xf>
    <xf numFmtId="0" fontId="14" fillId="0" borderId="13" xfId="0" applyFont="1" applyBorder="1" applyAlignment="1">
      <alignment horizontal="center" vertical="center" shrinkToFit="1"/>
    </xf>
    <xf numFmtId="0" fontId="14" fillId="0" borderId="40" xfId="0" applyFont="1" applyBorder="1" applyAlignment="1">
      <alignment horizontal="center" vertical="center" shrinkToFit="1"/>
    </xf>
    <xf numFmtId="0" fontId="14" fillId="0" borderId="61" xfId="0" applyFont="1" applyBorder="1" applyAlignment="1">
      <alignment horizontal="center" vertical="center" shrinkToFit="1"/>
    </xf>
    <xf numFmtId="0" fontId="14" fillId="0" borderId="0" xfId="0" applyFont="1" applyAlignment="1">
      <alignment vertical="top" wrapText="1"/>
    </xf>
    <xf numFmtId="0" fontId="14" fillId="0" borderId="0" xfId="0" applyFont="1" applyAlignment="1">
      <alignment horizontal="center" vertical="center" shrinkToFit="1"/>
    </xf>
    <xf numFmtId="49" fontId="18" fillId="0" borderId="48" xfId="0" applyNumberFormat="1" applyFont="1" applyBorder="1" applyAlignment="1">
      <alignment horizontal="center" vertical="center"/>
    </xf>
    <xf numFmtId="49" fontId="18" fillId="0" borderId="49" xfId="0" applyNumberFormat="1" applyFont="1" applyBorder="1" applyAlignment="1">
      <alignment horizontal="center" vertical="center"/>
    </xf>
    <xf numFmtId="49" fontId="18" fillId="0" borderId="44" xfId="0" applyNumberFormat="1" applyFont="1" applyBorder="1" applyAlignment="1">
      <alignment horizontal="center" vertical="center"/>
    </xf>
    <xf numFmtId="49" fontId="18" fillId="0" borderId="29" xfId="0" applyNumberFormat="1" applyFont="1" applyBorder="1" applyAlignment="1">
      <alignment horizontal="center" vertical="center"/>
    </xf>
    <xf numFmtId="49" fontId="18" fillId="0" borderId="47" xfId="0" applyNumberFormat="1" applyFont="1" applyBorder="1" applyAlignment="1">
      <alignment horizontal="center" vertical="center"/>
    </xf>
    <xf numFmtId="49" fontId="18" fillId="0" borderId="32" xfId="0" applyNumberFormat="1" applyFont="1" applyBorder="1" applyAlignment="1">
      <alignment horizontal="center" vertical="center"/>
    </xf>
    <xf numFmtId="9" fontId="2" fillId="0" borderId="1" xfId="0" applyNumberFormat="1" applyFont="1" applyBorder="1" applyAlignment="1">
      <alignment horizontal="center" vertical="center" shrinkToFit="1"/>
    </xf>
    <xf numFmtId="2" fontId="2" fillId="0" borderId="0" xfId="0" applyNumberFormat="1" applyFont="1">
      <alignment vertical="center"/>
    </xf>
    <xf numFmtId="0" fontId="2" fillId="0" borderId="0" xfId="0" applyFont="1" applyAlignment="1">
      <alignment horizontal="right" vertical="center"/>
    </xf>
    <xf numFmtId="0" fontId="2" fillId="0" borderId="0" xfId="0" applyFont="1" applyAlignment="1">
      <alignment vertical="center" wrapTex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20" fillId="0" borderId="36" xfId="0" applyFont="1" applyBorder="1" applyAlignment="1">
      <alignment vertical="center" wrapText="1"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0" fillId="0" borderId="6" xfId="0" applyFont="1" applyBorder="1" applyAlignment="1">
      <alignment vertical="center" wrapText="1"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1" fillId="0" borderId="8" xfId="0" applyFont="1" applyBorder="1" applyAlignment="1">
      <alignment horizontal="left" vertical="center" wrapText="1"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4" xfId="0" applyFont="1" applyBorder="1" applyAlignment="1">
      <alignment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2" xfId="0" applyFont="1" applyBorder="1" applyAlignment="1">
      <alignment horizontal="center" vertical="center"/>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19" fillId="0" borderId="2" xfId="0" applyFont="1" applyBorder="1" applyAlignment="1">
      <alignment vertical="center" wrapText="1" shrinkToFit="1"/>
    </xf>
    <xf numFmtId="0" fontId="14" fillId="0" borderId="3" xfId="0" applyFont="1" applyBorder="1" applyAlignment="1">
      <alignment vertical="center" wrapText="1" shrinkToFit="1"/>
    </xf>
    <xf numFmtId="0" fontId="14"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2"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0" fillId="0" borderId="38" xfId="0" applyFont="1" applyBorder="1" applyAlignment="1">
      <alignment horizontal="left" vertical="center" wrapText="1" shrinkToFit="1"/>
    </xf>
    <xf numFmtId="0" fontId="22" fillId="0" borderId="38" xfId="0" applyFont="1" applyBorder="1" applyAlignment="1">
      <alignment horizontal="left" vertical="center" shrinkToFit="1"/>
    </xf>
    <xf numFmtId="0" fontId="22" fillId="0" borderId="39" xfId="0" applyFont="1" applyBorder="1" applyAlignment="1">
      <alignment horizontal="left" vertical="center" shrinkToFit="1"/>
    </xf>
    <xf numFmtId="0" fontId="20" fillId="0" borderId="19" xfId="0" applyFont="1" applyBorder="1" applyAlignment="1">
      <alignment vertical="center" wrapText="1" shrinkToFit="1"/>
    </xf>
    <xf numFmtId="0" fontId="2" fillId="0" borderId="0" xfId="0" applyFont="1" applyAlignment="1">
      <alignment horizontal="right" vertical="center"/>
    </xf>
    <xf numFmtId="0" fontId="12" fillId="0" borderId="19" xfId="0" applyFont="1" applyBorder="1" applyAlignment="1">
      <alignment vertical="center" shrinkToFit="1"/>
    </xf>
    <xf numFmtId="0" fontId="12" fillId="0" borderId="20" xfId="0" applyFont="1" applyBorder="1" applyAlignment="1">
      <alignment vertical="center" shrinkToFit="1"/>
    </xf>
    <xf numFmtId="0" fontId="12" fillId="0" borderId="18" xfId="0" applyFont="1" applyBorder="1" applyAlignment="1">
      <alignment vertical="center"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36" xfId="0" applyFont="1" applyBorder="1" applyAlignment="1">
      <alignment vertical="center" wrapText="1" shrinkToFit="1"/>
    </xf>
    <xf numFmtId="0" fontId="2" fillId="0" borderId="19" xfId="0" applyFont="1" applyBorder="1" applyAlignment="1">
      <alignment vertical="center" wrapText="1" shrinkToFit="1"/>
    </xf>
    <xf numFmtId="0" fontId="2" fillId="0" borderId="6" xfId="0" applyFont="1" applyBorder="1" applyAlignment="1">
      <alignment vertical="center" wrapText="1" shrinkToFit="1"/>
    </xf>
    <xf numFmtId="0" fontId="2" fillId="0" borderId="8" xfId="0" applyFont="1" applyBorder="1" applyAlignment="1">
      <alignment horizontal="left" vertical="center" wrapText="1" shrinkToFit="1"/>
    </xf>
    <xf numFmtId="0" fontId="18" fillId="0" borderId="45" xfId="0" applyFont="1" applyBorder="1" applyAlignment="1">
      <alignment vertical="center" wrapText="1"/>
    </xf>
    <xf numFmtId="0" fontId="18" fillId="0" borderId="31" xfId="0" applyFont="1" applyBorder="1" applyAlignment="1">
      <alignment vertical="center" wrapText="1"/>
    </xf>
    <xf numFmtId="0" fontId="18" fillId="0" borderId="46" xfId="0" applyFont="1" applyBorder="1" applyAlignment="1">
      <alignment vertical="center" wrapText="1"/>
    </xf>
    <xf numFmtId="0" fontId="14" fillId="0" borderId="36" xfId="0" applyFont="1" applyBorder="1" applyAlignment="1">
      <alignment vertical="center" wrapText="1" shrinkToFit="1"/>
    </xf>
    <xf numFmtId="0" fontId="14" fillId="0" borderId="36" xfId="0" applyFont="1" applyBorder="1" applyAlignment="1">
      <alignment vertical="center" shrinkToFit="1"/>
    </xf>
    <xf numFmtId="0" fontId="14" fillId="0" borderId="35" xfId="0" applyFont="1" applyBorder="1" applyAlignment="1">
      <alignment vertical="center" shrinkToFit="1"/>
    </xf>
    <xf numFmtId="0" fontId="14" fillId="0" borderId="19" xfId="0" applyFont="1" applyBorder="1" applyAlignment="1">
      <alignment vertical="center" wrapText="1" shrinkToFit="1"/>
    </xf>
    <xf numFmtId="0" fontId="14" fillId="0" borderId="20" xfId="0" applyFont="1" applyBorder="1" applyAlignment="1">
      <alignment vertical="center" shrinkToFit="1"/>
    </xf>
    <xf numFmtId="0" fontId="14" fillId="0" borderId="18" xfId="0" applyFont="1" applyBorder="1" applyAlignment="1">
      <alignment vertical="center" shrinkToFit="1"/>
    </xf>
    <xf numFmtId="0" fontId="14" fillId="0" borderId="6" xfId="0" applyFont="1" applyBorder="1" applyAlignment="1">
      <alignment vertical="center" wrapText="1" shrinkToFit="1"/>
    </xf>
    <xf numFmtId="0" fontId="14" fillId="0" borderId="6" xfId="0" applyFont="1" applyBorder="1" applyAlignment="1">
      <alignment vertical="center" shrinkToFit="1"/>
    </xf>
    <xf numFmtId="0" fontId="14" fillId="0" borderId="12" xfId="0" applyFont="1" applyBorder="1" applyAlignment="1">
      <alignment vertical="center" shrinkToFit="1"/>
    </xf>
    <xf numFmtId="0" fontId="14" fillId="0" borderId="2" xfId="0" applyFont="1" applyBorder="1" applyAlignment="1">
      <alignment vertical="center" wrapText="1" shrinkToFit="1"/>
    </xf>
    <xf numFmtId="0" fontId="14" fillId="0" borderId="36" xfId="0" applyFont="1" applyBorder="1" applyAlignment="1">
      <alignment horizontal="left" vertical="center" wrapText="1" shrinkToFit="1"/>
    </xf>
    <xf numFmtId="0" fontId="14" fillId="0" borderId="36" xfId="0" applyFont="1" applyBorder="1" applyAlignment="1">
      <alignment horizontal="left" vertical="center" shrinkToFit="1"/>
    </xf>
    <xf numFmtId="0" fontId="14" fillId="0" borderId="35" xfId="0" applyFont="1" applyBorder="1" applyAlignment="1">
      <alignment horizontal="left" vertical="center" shrinkToFit="1"/>
    </xf>
    <xf numFmtId="0" fontId="14" fillId="0" borderId="6" xfId="0" applyFont="1" applyBorder="1" applyAlignment="1">
      <alignment horizontal="left" vertical="center" wrapText="1" shrinkToFit="1"/>
    </xf>
    <xf numFmtId="0" fontId="14" fillId="0" borderId="6" xfId="0" applyFont="1" applyBorder="1" applyAlignment="1">
      <alignment horizontal="left" vertical="center" shrinkToFit="1"/>
    </xf>
    <xf numFmtId="0" fontId="14" fillId="0" borderId="12" xfId="0" applyFont="1" applyBorder="1" applyAlignment="1">
      <alignment horizontal="left" vertical="center" shrinkToFit="1"/>
    </xf>
    <xf numFmtId="0" fontId="14" fillId="0" borderId="8" xfId="0" applyFont="1" applyBorder="1" applyAlignment="1">
      <alignment horizontal="left" vertical="center" wrapText="1" shrinkToFit="1"/>
    </xf>
    <xf numFmtId="0" fontId="14" fillId="0" borderId="8" xfId="0" applyFont="1" applyBorder="1" applyAlignment="1">
      <alignment horizontal="left" vertical="center" shrinkToFit="1"/>
    </xf>
    <xf numFmtId="0" fontId="14" fillId="0" borderId="9" xfId="0" applyFont="1" applyBorder="1" applyAlignment="1">
      <alignment horizontal="left" vertical="center" shrinkToFit="1"/>
    </xf>
    <xf numFmtId="0" fontId="14" fillId="0" borderId="38" xfId="0" applyFont="1" applyBorder="1" applyAlignment="1">
      <alignment horizontal="left" vertical="center" wrapText="1" shrinkToFit="1"/>
    </xf>
    <xf numFmtId="0" fontId="14" fillId="0" borderId="38" xfId="0" applyFont="1" applyBorder="1" applyAlignment="1">
      <alignment horizontal="left" vertical="center" shrinkToFit="1"/>
    </xf>
    <xf numFmtId="0" fontId="14" fillId="0" borderId="39" xfId="0" applyFont="1" applyBorder="1" applyAlignment="1">
      <alignment horizontal="left" vertical="center" shrinkToFit="1"/>
    </xf>
    <xf numFmtId="0" fontId="16" fillId="0" borderId="2" xfId="0" applyFont="1" applyBorder="1" applyAlignment="1">
      <alignment horizontal="center" vertical="center" shrinkToFit="1"/>
    </xf>
    <xf numFmtId="0" fontId="16" fillId="0" borderId="4" xfId="0" applyFont="1" applyBorder="1" applyAlignment="1">
      <alignment horizontal="center" vertical="center" shrinkToFit="1"/>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14" fillId="0" borderId="22" xfId="0" applyFont="1" applyBorder="1" applyAlignment="1">
      <alignment horizontal="left" vertical="center" wrapText="1" shrinkToFit="1"/>
    </xf>
    <xf numFmtId="0" fontId="14" fillId="0" borderId="22" xfId="0" applyFont="1" applyBorder="1" applyAlignment="1">
      <alignment horizontal="left" vertical="center" shrinkToFit="1"/>
    </xf>
    <xf numFmtId="0" fontId="14" fillId="0" borderId="21" xfId="0" applyFont="1" applyBorder="1" applyAlignment="1">
      <alignment horizontal="left" vertical="center" shrinkToFit="1"/>
    </xf>
    <xf numFmtId="0" fontId="14" fillId="0" borderId="19" xfId="0" applyFont="1" applyBorder="1" applyAlignment="1">
      <alignment vertical="center" shrinkToFit="1"/>
    </xf>
    <xf numFmtId="0" fontId="14" fillId="0" borderId="19" xfId="0" applyFont="1" applyBorder="1" applyAlignment="1">
      <alignment horizontal="center" vertical="center" shrinkToFit="1"/>
    </xf>
    <xf numFmtId="0" fontId="14" fillId="0" borderId="20" xfId="0" applyFont="1" applyBorder="1" applyAlignment="1">
      <alignment horizontal="center" vertical="center" shrinkToFit="1"/>
    </xf>
    <xf numFmtId="0" fontId="14" fillId="0" borderId="18" xfId="0" applyFont="1" applyBorder="1" applyAlignment="1">
      <alignment horizontal="center" vertical="center" shrinkToFit="1"/>
    </xf>
    <xf numFmtId="0" fontId="14" fillId="0" borderId="37" xfId="0" applyFont="1" applyBorder="1" applyAlignment="1">
      <alignment vertical="center" shrinkToFit="1"/>
    </xf>
    <xf numFmtId="0" fontId="14" fillId="0" borderId="38" xfId="0" applyFont="1" applyBorder="1" applyAlignment="1">
      <alignment vertical="center" shrinkToFit="1"/>
    </xf>
    <xf numFmtId="0" fontId="14" fillId="0" borderId="39" xfId="0" applyFont="1" applyBorder="1" applyAlignment="1">
      <alignment vertical="center" shrinkToFit="1"/>
    </xf>
    <xf numFmtId="0" fontId="14" fillId="0" borderId="37" xfId="0" applyFont="1" applyBorder="1" applyAlignment="1">
      <alignment horizontal="center" vertical="center" shrinkToFit="1"/>
    </xf>
    <xf numFmtId="0" fontId="14" fillId="0" borderId="38" xfId="0" applyFont="1" applyBorder="1" applyAlignment="1">
      <alignment horizontal="center" vertical="center" shrinkToFit="1"/>
    </xf>
    <xf numFmtId="0" fontId="14" fillId="0" borderId="39" xfId="0" applyFont="1" applyBorder="1" applyAlignment="1">
      <alignment horizontal="center" vertical="center" shrinkToFit="1"/>
    </xf>
    <xf numFmtId="0" fontId="14" fillId="0" borderId="2" xfId="0" applyFont="1" applyBorder="1" applyAlignment="1">
      <alignment horizontal="center" vertical="center"/>
    </xf>
    <xf numFmtId="0" fontId="14" fillId="0" borderId="7" xfId="0" applyFont="1" applyBorder="1" applyAlignment="1">
      <alignment horizontal="center" vertical="center"/>
    </xf>
    <xf numFmtId="0" fontId="14" fillId="0" borderId="8" xfId="0" applyFont="1" applyBorder="1" applyAlignment="1">
      <alignment horizontal="center" vertical="center"/>
    </xf>
    <xf numFmtId="0" fontId="14" fillId="0" borderId="9" xfId="0" applyFont="1" applyBorder="1" applyAlignment="1">
      <alignment horizontal="center" vertical="center"/>
    </xf>
    <xf numFmtId="0" fontId="14" fillId="0" borderId="34" xfId="0" applyFont="1" applyBorder="1" applyAlignment="1">
      <alignment vertical="center" shrinkToFit="1"/>
    </xf>
    <xf numFmtId="0" fontId="14" fillId="0" borderId="34" xfId="0" applyFont="1" applyBorder="1" applyAlignment="1">
      <alignment horizontal="center" vertical="center" shrinkToFit="1"/>
    </xf>
    <xf numFmtId="0" fontId="14" fillId="0" borderId="36" xfId="0" applyFont="1" applyBorder="1" applyAlignment="1">
      <alignment horizontal="center" vertical="center" shrinkToFit="1"/>
    </xf>
    <xf numFmtId="0" fontId="14" fillId="0" borderId="35" xfId="0" applyFont="1" applyBorder="1" applyAlignment="1">
      <alignment horizontal="center" vertical="center" shrinkToFit="1"/>
    </xf>
    <xf numFmtId="0" fontId="14" fillId="0" borderId="41" xfId="0" applyFont="1" applyBorder="1" applyAlignment="1">
      <alignment vertical="center" shrinkToFit="1"/>
    </xf>
    <xf numFmtId="0" fontId="14" fillId="0" borderId="42" xfId="0" applyFont="1" applyBorder="1" applyAlignment="1">
      <alignment vertical="center" shrinkToFit="1"/>
    </xf>
    <xf numFmtId="0" fontId="14" fillId="0" borderId="0" xfId="0" applyFont="1" applyAlignment="1">
      <alignment vertical="center" wrapText="1"/>
    </xf>
    <xf numFmtId="0" fontId="14" fillId="0" borderId="7" xfId="0" applyFont="1" applyBorder="1" applyAlignment="1">
      <alignment vertical="center" shrinkToFit="1"/>
    </xf>
    <xf numFmtId="0" fontId="14" fillId="0" borderId="8" xfId="0" applyFont="1" applyBorder="1" applyAlignment="1">
      <alignment vertical="center" shrinkToFit="1"/>
    </xf>
    <xf numFmtId="0" fontId="14" fillId="0" borderId="9" xfId="0" applyFont="1" applyBorder="1" applyAlignment="1">
      <alignment vertical="center" shrinkToFit="1"/>
    </xf>
    <xf numFmtId="0" fontId="14" fillId="0" borderId="43" xfId="0" applyFont="1" applyBorder="1" applyAlignment="1">
      <alignment vertical="center" shrinkToFit="1"/>
    </xf>
    <xf numFmtId="0" fontId="14" fillId="0" borderId="7" xfId="0" applyFont="1" applyBorder="1" applyAlignment="1">
      <alignment horizontal="left" vertical="top" wrapText="1" shrinkToFit="1"/>
    </xf>
    <xf numFmtId="0" fontId="14" fillId="0" borderId="8" xfId="0" applyFont="1" applyBorder="1" applyAlignment="1">
      <alignment horizontal="left" vertical="top" wrapText="1" shrinkToFit="1"/>
    </xf>
    <xf numFmtId="0" fontId="14" fillId="0" borderId="9" xfId="0" applyFont="1" applyBorder="1" applyAlignment="1">
      <alignment horizontal="left" vertical="top" wrapText="1" shrinkToFit="1"/>
    </xf>
    <xf numFmtId="0" fontId="14" fillId="0" borderId="5" xfId="0" applyFont="1" applyBorder="1" applyAlignment="1">
      <alignment horizontal="left" vertical="top" wrapText="1" shrinkToFit="1"/>
    </xf>
    <xf numFmtId="0" fontId="14" fillId="0" borderId="0" xfId="0" applyFont="1" applyAlignment="1">
      <alignment horizontal="left" vertical="top" wrapText="1" shrinkToFit="1"/>
    </xf>
    <xf numFmtId="0" fontId="14" fillId="0" borderId="10" xfId="0" applyFont="1" applyBorder="1" applyAlignment="1">
      <alignment horizontal="left" vertical="top" wrapText="1" shrinkToFit="1"/>
    </xf>
    <xf numFmtId="0" fontId="14" fillId="0" borderId="11" xfId="0" applyFont="1" applyBorder="1" applyAlignment="1">
      <alignment horizontal="left" vertical="top" wrapText="1" shrinkToFit="1"/>
    </xf>
    <xf numFmtId="0" fontId="14" fillId="0" borderId="6" xfId="0" applyFont="1" applyBorder="1" applyAlignment="1">
      <alignment horizontal="left" vertical="top" wrapText="1" shrinkToFit="1"/>
    </xf>
    <xf numFmtId="0" fontId="14" fillId="0" borderId="12" xfId="0" applyFont="1" applyBorder="1" applyAlignment="1">
      <alignment horizontal="left" vertical="top" wrapText="1" shrinkToFit="1"/>
    </xf>
    <xf numFmtId="0" fontId="15" fillId="0" borderId="2" xfId="0" applyFont="1" applyBorder="1" applyAlignment="1">
      <alignment horizontal="center" vertical="center" shrinkToFit="1"/>
    </xf>
    <xf numFmtId="0" fontId="15" fillId="0" borderId="3" xfId="0" applyFont="1" applyBorder="1" applyAlignment="1">
      <alignment horizontal="center" vertical="center" shrinkToFit="1"/>
    </xf>
    <xf numFmtId="0" fontId="15" fillId="0" borderId="4" xfId="0" applyFont="1" applyBorder="1" applyAlignment="1">
      <alignment horizontal="center" vertical="center" shrinkToFit="1"/>
    </xf>
    <xf numFmtId="0" fontId="14" fillId="0" borderId="0" xfId="0" applyFont="1" applyAlignment="1">
      <alignment horizontal="right"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7" fillId="0" borderId="0" xfId="0" applyFont="1" applyAlignment="1">
      <alignment horizontal="center" vertical="center"/>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5" fillId="0" borderId="4" xfId="0" applyFont="1" applyBorder="1" applyAlignment="1">
      <alignment horizontal="center" vertical="center"/>
    </xf>
    <xf numFmtId="0" fontId="14" fillId="0" borderId="7" xfId="0" applyFont="1" applyBorder="1" applyAlignment="1">
      <alignment horizontal="left" vertical="center" wrapText="1"/>
    </xf>
    <xf numFmtId="0" fontId="14" fillId="0" borderId="8" xfId="0" applyFont="1" applyBorder="1" applyAlignment="1">
      <alignment horizontal="left" vertical="center" wrapText="1"/>
    </xf>
    <xf numFmtId="0" fontId="14" fillId="0" borderId="9" xfId="0" applyFont="1" applyBorder="1" applyAlignment="1">
      <alignment horizontal="left" vertical="center" wrapText="1"/>
    </xf>
    <xf numFmtId="0" fontId="14" fillId="0" borderId="11" xfId="0" applyFont="1" applyBorder="1" applyAlignment="1">
      <alignment horizontal="left" vertical="center" wrapText="1"/>
    </xf>
    <xf numFmtId="0" fontId="14" fillId="0" borderId="6" xfId="0" applyFont="1" applyBorder="1" applyAlignment="1">
      <alignment horizontal="left" vertical="center" wrapText="1"/>
    </xf>
    <xf numFmtId="0" fontId="14" fillId="0" borderId="12"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14" fillId="0" borderId="7" xfId="0" applyFont="1" applyBorder="1" applyAlignment="1">
      <alignment vertical="top" wrapText="1" shrinkToFit="1"/>
    </xf>
    <xf numFmtId="0" fontId="14" fillId="0" borderId="8" xfId="0" applyFont="1" applyBorder="1" applyAlignment="1">
      <alignment vertical="top" wrapText="1" shrinkToFit="1"/>
    </xf>
    <xf numFmtId="0" fontId="14" fillId="0" borderId="9" xfId="0" applyFont="1" applyBorder="1" applyAlignment="1">
      <alignment vertical="top" shrinkToFit="1"/>
    </xf>
    <xf numFmtId="0" fontId="14" fillId="0" borderId="5" xfId="0" applyFont="1" applyBorder="1" applyAlignment="1">
      <alignment vertical="top" shrinkToFit="1"/>
    </xf>
    <xf numFmtId="0" fontId="14" fillId="0" borderId="0" xfId="0" applyFont="1" applyAlignment="1">
      <alignment vertical="top" shrinkToFit="1"/>
    </xf>
    <xf numFmtId="0" fontId="14" fillId="0" borderId="10" xfId="0" applyFont="1" applyBorder="1" applyAlignment="1">
      <alignment vertical="top" shrinkToFit="1"/>
    </xf>
    <xf numFmtId="0" fontId="14" fillId="0" borderId="11" xfId="0" applyFont="1" applyBorder="1" applyAlignment="1">
      <alignment vertical="top" shrinkToFit="1"/>
    </xf>
    <xf numFmtId="0" fontId="14" fillId="0" borderId="6" xfId="0" applyFont="1" applyBorder="1" applyAlignment="1">
      <alignment vertical="top" shrinkToFit="1"/>
    </xf>
    <xf numFmtId="0" fontId="14" fillId="0" borderId="12" xfId="0" applyFont="1" applyBorder="1" applyAlignment="1">
      <alignment vertical="top" shrinkToFit="1"/>
    </xf>
    <xf numFmtId="0" fontId="2" fillId="0" borderId="0" xfId="0" applyFont="1" applyAlignme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14" fillId="0" borderId="9" xfId="0" applyFont="1" applyBorder="1" applyAlignment="1">
      <alignment vertical="top" wrapText="1" shrinkToFit="1"/>
    </xf>
    <xf numFmtId="0" fontId="14" fillId="0" borderId="5" xfId="0" applyFont="1" applyBorder="1" applyAlignment="1">
      <alignment vertical="top" wrapText="1" shrinkToFit="1"/>
    </xf>
    <xf numFmtId="0" fontId="14" fillId="0" borderId="0" xfId="0" applyFont="1" applyAlignment="1">
      <alignment vertical="top" wrapText="1" shrinkToFit="1"/>
    </xf>
    <xf numFmtId="0" fontId="14" fillId="0" borderId="10" xfId="0" applyFont="1" applyBorder="1" applyAlignment="1">
      <alignment vertical="top" wrapText="1" shrinkToFit="1"/>
    </xf>
    <xf numFmtId="0" fontId="14" fillId="0" borderId="11" xfId="0" applyFont="1" applyBorder="1" applyAlignment="1">
      <alignment vertical="top" wrapText="1" shrinkToFit="1"/>
    </xf>
    <xf numFmtId="0" fontId="14" fillId="0" borderId="6" xfId="0" applyFont="1" applyBorder="1" applyAlignment="1">
      <alignment vertical="top" wrapText="1" shrinkToFit="1"/>
    </xf>
    <xf numFmtId="0" fontId="14" fillId="0" borderId="12" xfId="0" applyFont="1" applyBorder="1" applyAlignment="1">
      <alignment vertical="top" wrapText="1"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pplyAlignment="1">
      <alignment vertical="center"/>
    </xf>
    <xf numFmtId="0" fontId="5" fillId="0" borderId="4" xfId="0" applyFont="1" applyBorder="1" applyAlignment="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14"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13" fillId="0" borderId="8" xfId="0" applyFont="1" applyBorder="1" applyAlignment="1">
      <alignment vertical="top" wrapText="1"/>
    </xf>
    <xf numFmtId="0" fontId="13" fillId="0" borderId="9" xfId="0" applyFont="1" applyBorder="1" applyAlignment="1">
      <alignment vertical="top"/>
    </xf>
    <xf numFmtId="0" fontId="13" fillId="0" borderId="5" xfId="0" applyFont="1" applyBorder="1" applyAlignment="1">
      <alignment vertical="top"/>
    </xf>
    <xf numFmtId="0" fontId="13" fillId="0" borderId="0" xfId="0" applyFont="1" applyAlignment="1">
      <alignment vertical="top"/>
    </xf>
    <xf numFmtId="0" fontId="13" fillId="0" borderId="10" xfId="0" applyFont="1" applyBorder="1" applyAlignment="1">
      <alignment vertical="top"/>
    </xf>
    <xf numFmtId="0" fontId="13" fillId="0" borderId="11" xfId="0" applyFont="1" applyBorder="1" applyAlignment="1">
      <alignment vertical="top"/>
    </xf>
    <xf numFmtId="0" fontId="13" fillId="0" borderId="6" xfId="0" applyFont="1" applyBorder="1" applyAlignment="1">
      <alignment vertical="top"/>
    </xf>
    <xf numFmtId="0" fontId="13"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0" fillId="0" borderId="7" xfId="0" applyFont="1" applyBorder="1" applyAlignment="1">
      <alignment horizontal="left" vertical="top" wrapText="1"/>
    </xf>
    <xf numFmtId="0" fontId="14" fillId="0" borderId="8" xfId="0" applyFont="1" applyBorder="1" applyAlignment="1">
      <alignment horizontal="left" vertical="top" wrapText="1"/>
    </xf>
    <xf numFmtId="0" fontId="14" fillId="0" borderId="9" xfId="0" applyFont="1" applyBorder="1" applyAlignment="1">
      <alignment horizontal="left" vertical="top" wrapText="1"/>
    </xf>
    <xf numFmtId="0" fontId="14" fillId="0" borderId="5" xfId="0" applyFont="1" applyBorder="1" applyAlignment="1">
      <alignment horizontal="left" vertical="top" wrapText="1"/>
    </xf>
    <xf numFmtId="0" fontId="14" fillId="0" borderId="0" xfId="0" applyFont="1" applyAlignment="1">
      <alignment horizontal="left" vertical="top" wrapText="1"/>
    </xf>
    <xf numFmtId="0" fontId="14" fillId="0" borderId="10" xfId="0" applyFont="1" applyBorder="1" applyAlignment="1">
      <alignment horizontal="left" vertical="top" wrapText="1"/>
    </xf>
    <xf numFmtId="0" fontId="14" fillId="0" borderId="11" xfId="0" applyFont="1" applyBorder="1" applyAlignment="1">
      <alignment horizontal="left" vertical="top" wrapText="1"/>
    </xf>
    <xf numFmtId="0" fontId="14" fillId="0" borderId="6" xfId="0" applyFont="1" applyBorder="1" applyAlignment="1">
      <alignment horizontal="left" vertical="top" wrapText="1"/>
    </xf>
    <xf numFmtId="0" fontId="14" fillId="0" borderId="12" xfId="0" applyFont="1" applyBorder="1" applyAlignment="1">
      <alignment horizontal="left" vertical="top" wrapText="1"/>
    </xf>
    <xf numFmtId="0" fontId="2" fillId="0" borderId="17" xfId="0" applyFont="1" applyBorder="1" applyAlignment="1">
      <alignment vertical="center"/>
    </xf>
    <xf numFmtId="0" fontId="5" fillId="0" borderId="18" xfId="0" applyFont="1" applyBorder="1" applyAlignment="1">
      <alignment vertical="center"/>
    </xf>
    <xf numFmtId="0" fontId="19" fillId="0" borderId="19" xfId="0" applyFont="1" applyBorder="1" applyAlignment="1">
      <alignment vertical="top" wrapText="1" shrinkToFit="1"/>
    </xf>
    <xf numFmtId="0" fontId="14" fillId="0" borderId="20" xfId="0" applyFont="1" applyBorder="1" applyAlignment="1">
      <alignment vertical="top" wrapText="1" shrinkToFit="1"/>
    </xf>
    <xf numFmtId="0" fontId="14"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19" fillId="0" borderId="20"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2" fillId="0" borderId="42" xfId="0" applyFont="1" applyBorder="1" applyAlignment="1">
      <alignment vertical="top" wrapText="1" shrinkToFit="1"/>
    </xf>
    <xf numFmtId="0" fontId="22" fillId="0" borderId="43" xfId="0" applyFont="1" applyBorder="1" applyAlignment="1">
      <alignment vertical="top" wrapText="1" shrinkToFit="1"/>
    </xf>
  </cellXfs>
  <cellStyles count="3">
    <cellStyle name="パーセント" xfId="1" builtinId="5"/>
    <cellStyle name="桁区切り" xfId="2" builtinId="6"/>
    <cellStyle name="標準" xfId="0" builtinId="0"/>
  </cellStyles>
  <dxfs count="3">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04"/>
  <sheetViews>
    <sheetView showZeros="0" view="pageBreakPreview" zoomScaleNormal="100" zoomScaleSheetLayoutView="100" workbookViewId="0">
      <selection activeCell="B13" sqref="B13:S18"/>
    </sheetView>
  </sheetViews>
  <sheetFormatPr defaultColWidth="9" defaultRowHeight="18.75" customHeight="1" x14ac:dyDescent="0.15"/>
  <cols>
    <col min="1" max="1" width="2.375" style="1" customWidth="1"/>
    <col min="2" max="2" width="16.37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70" t="s">
        <v>0</v>
      </c>
      <c r="S1" s="170"/>
      <c r="T1" s="2" t="s">
        <v>1</v>
      </c>
    </row>
    <row r="2" spans="1:22" ht="18.75" customHeight="1" x14ac:dyDescent="0.15">
      <c r="B2" s="34" t="s">
        <v>2</v>
      </c>
      <c r="C2" s="141" t="s">
        <v>3</v>
      </c>
      <c r="D2" s="135"/>
      <c r="E2" s="135"/>
      <c r="F2" s="135"/>
      <c r="G2" s="135"/>
      <c r="H2" s="135"/>
      <c r="I2" s="136"/>
      <c r="J2" s="35"/>
      <c r="K2" s="6"/>
      <c r="L2" s="6"/>
      <c r="M2" s="6"/>
      <c r="N2" s="6"/>
      <c r="O2" s="6"/>
      <c r="P2" s="6"/>
      <c r="Q2" s="6"/>
      <c r="R2" s="6"/>
      <c r="S2" s="6"/>
    </row>
    <row r="3" spans="1:22" ht="18.75" customHeight="1" x14ac:dyDescent="0.15">
      <c r="B3" s="34" t="s">
        <v>4</v>
      </c>
      <c r="C3" s="177" t="s">
        <v>5</v>
      </c>
      <c r="D3" s="178"/>
      <c r="E3" s="178"/>
      <c r="F3" s="178"/>
      <c r="G3" s="178"/>
      <c r="H3" s="178"/>
      <c r="I3" s="179"/>
      <c r="J3" s="35"/>
      <c r="K3" s="6"/>
      <c r="L3" s="6"/>
      <c r="M3" s="6"/>
      <c r="N3" s="6"/>
      <c r="O3" s="6"/>
      <c r="P3" s="6"/>
      <c r="Q3" s="6"/>
      <c r="R3" s="6"/>
      <c r="S3" s="6"/>
    </row>
    <row r="4" spans="1:22" ht="15" customHeight="1" x14ac:dyDescent="0.15">
      <c r="K4" s="35"/>
      <c r="L4" s="37"/>
      <c r="M4" s="37"/>
      <c r="N4" s="37"/>
      <c r="O4" s="37"/>
      <c r="P4" s="37"/>
      <c r="Q4" s="37"/>
      <c r="R4" s="37"/>
      <c r="S4" s="37"/>
    </row>
    <row r="5" spans="1:22" ht="18" customHeight="1" x14ac:dyDescent="0.15">
      <c r="A5" s="180" t="s">
        <v>6</v>
      </c>
      <c r="B5" s="180"/>
      <c r="C5" s="180"/>
      <c r="D5" s="180"/>
      <c r="E5" s="180"/>
      <c r="F5" s="180"/>
      <c r="G5" s="180"/>
      <c r="H5" s="180"/>
      <c r="I5" s="180"/>
      <c r="J5" s="180"/>
      <c r="K5" s="180"/>
      <c r="L5" s="180"/>
      <c r="M5" s="180"/>
      <c r="N5" s="180"/>
      <c r="O5" s="180"/>
      <c r="P5" s="180"/>
      <c r="Q5" s="180"/>
      <c r="R5" s="180"/>
      <c r="S5" s="180"/>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7</v>
      </c>
      <c r="C7" s="3"/>
      <c r="J7" s="38" t="s">
        <v>8</v>
      </c>
      <c r="K7" s="190" t="s">
        <v>9</v>
      </c>
      <c r="L7" s="191"/>
      <c r="M7" s="191"/>
      <c r="N7" s="191"/>
      <c r="O7" s="191"/>
      <c r="P7" s="191"/>
      <c r="Q7" s="191"/>
      <c r="R7" s="191"/>
      <c r="S7" s="192"/>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93" t="s">
        <v>10</v>
      </c>
      <c r="C9" s="194"/>
      <c r="D9" s="194"/>
      <c r="E9" s="194"/>
      <c r="F9" s="194"/>
      <c r="G9" s="194"/>
      <c r="H9" s="194"/>
      <c r="I9" s="194"/>
      <c r="J9" s="194"/>
      <c r="K9" s="194"/>
      <c r="L9" s="194"/>
      <c r="M9" s="194"/>
      <c r="N9" s="194"/>
      <c r="O9" s="194"/>
      <c r="P9" s="194"/>
      <c r="Q9" s="194"/>
      <c r="R9" s="194"/>
      <c r="S9" s="195"/>
    </row>
    <row r="10" spans="1:22" ht="18" customHeight="1" x14ac:dyDescent="0.15">
      <c r="B10" s="196"/>
      <c r="C10" s="197"/>
      <c r="D10" s="197"/>
      <c r="E10" s="197"/>
      <c r="F10" s="197"/>
      <c r="G10" s="197"/>
      <c r="H10" s="197"/>
      <c r="I10" s="197"/>
      <c r="J10" s="197"/>
      <c r="K10" s="197"/>
      <c r="L10" s="197"/>
      <c r="M10" s="197"/>
      <c r="N10" s="197"/>
      <c r="O10" s="197"/>
      <c r="P10" s="197"/>
      <c r="Q10" s="197"/>
      <c r="R10" s="197"/>
      <c r="S10" s="198"/>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v>
      </c>
      <c r="B12" s="3"/>
      <c r="C12" s="3"/>
      <c r="D12" s="35"/>
      <c r="E12" s="35"/>
      <c r="F12" s="35"/>
      <c r="G12" s="35"/>
      <c r="H12" s="35"/>
      <c r="I12" s="35"/>
      <c r="J12" s="35"/>
      <c r="K12" s="39"/>
      <c r="L12" s="39"/>
      <c r="M12" s="39"/>
      <c r="N12" s="39"/>
      <c r="O12" s="39"/>
      <c r="P12" s="39"/>
      <c r="Q12" s="39"/>
      <c r="R12" s="39"/>
      <c r="S12" s="39"/>
    </row>
    <row r="13" spans="1:22" ht="18" customHeight="1" x14ac:dyDescent="0.15">
      <c r="B13" s="181" t="s">
        <v>201</v>
      </c>
      <c r="C13" s="182"/>
      <c r="D13" s="182"/>
      <c r="E13" s="182"/>
      <c r="F13" s="182"/>
      <c r="G13" s="182"/>
      <c r="H13" s="182"/>
      <c r="I13" s="182"/>
      <c r="J13" s="182"/>
      <c r="K13" s="182"/>
      <c r="L13" s="182"/>
      <c r="M13" s="182"/>
      <c r="N13" s="182"/>
      <c r="O13" s="182"/>
      <c r="P13" s="182"/>
      <c r="Q13" s="182"/>
      <c r="R13" s="182"/>
      <c r="S13" s="183"/>
      <c r="V13" s="1" t="s">
        <v>12</v>
      </c>
    </row>
    <row r="14" spans="1:22" ht="18" customHeight="1" x14ac:dyDescent="0.15">
      <c r="B14" s="184"/>
      <c r="C14" s="185"/>
      <c r="D14" s="185"/>
      <c r="E14" s="185"/>
      <c r="F14" s="185"/>
      <c r="G14" s="185"/>
      <c r="H14" s="185"/>
      <c r="I14" s="185"/>
      <c r="J14" s="185"/>
      <c r="K14" s="185"/>
      <c r="L14" s="185"/>
      <c r="M14" s="185"/>
      <c r="N14" s="185"/>
      <c r="O14" s="185"/>
      <c r="P14" s="185"/>
      <c r="Q14" s="185"/>
      <c r="R14" s="185"/>
      <c r="S14" s="186"/>
      <c r="V14" s="1" t="s">
        <v>13</v>
      </c>
    </row>
    <row r="15" spans="1:22" ht="18" customHeight="1" x14ac:dyDescent="0.15">
      <c r="B15" s="184"/>
      <c r="C15" s="185"/>
      <c r="D15" s="185"/>
      <c r="E15" s="185"/>
      <c r="F15" s="185"/>
      <c r="G15" s="185"/>
      <c r="H15" s="185"/>
      <c r="I15" s="185"/>
      <c r="J15" s="185"/>
      <c r="K15" s="185"/>
      <c r="L15" s="185"/>
      <c r="M15" s="185"/>
      <c r="N15" s="185"/>
      <c r="O15" s="185"/>
      <c r="P15" s="185"/>
      <c r="Q15" s="185"/>
      <c r="R15" s="185"/>
      <c r="S15" s="186"/>
      <c r="V15" s="1" t="s">
        <v>14</v>
      </c>
    </row>
    <row r="16" spans="1:22" ht="18" customHeight="1" x14ac:dyDescent="0.15">
      <c r="B16" s="184"/>
      <c r="C16" s="185"/>
      <c r="D16" s="185"/>
      <c r="E16" s="185"/>
      <c r="F16" s="185"/>
      <c r="G16" s="185"/>
      <c r="H16" s="185"/>
      <c r="I16" s="185"/>
      <c r="J16" s="185"/>
      <c r="K16" s="185"/>
      <c r="L16" s="185"/>
      <c r="M16" s="185"/>
      <c r="N16" s="185"/>
      <c r="O16" s="185"/>
      <c r="P16" s="185"/>
      <c r="Q16" s="185"/>
      <c r="R16" s="185"/>
      <c r="S16" s="186"/>
      <c r="V16" s="1" t="s">
        <v>15</v>
      </c>
    </row>
    <row r="17" spans="1:19" ht="18" customHeight="1" x14ac:dyDescent="0.15">
      <c r="B17" s="184"/>
      <c r="C17" s="185"/>
      <c r="D17" s="185"/>
      <c r="E17" s="185"/>
      <c r="F17" s="185"/>
      <c r="G17" s="185"/>
      <c r="H17" s="185"/>
      <c r="I17" s="185"/>
      <c r="J17" s="185"/>
      <c r="K17" s="185"/>
      <c r="L17" s="185"/>
      <c r="M17" s="185"/>
      <c r="N17" s="185"/>
      <c r="O17" s="185"/>
      <c r="P17" s="185"/>
      <c r="Q17" s="185"/>
      <c r="R17" s="185"/>
      <c r="S17" s="186"/>
    </row>
    <row r="18" spans="1:19" ht="49.5" customHeight="1" x14ac:dyDescent="0.15">
      <c r="B18" s="187"/>
      <c r="C18" s="188"/>
      <c r="D18" s="188"/>
      <c r="E18" s="188"/>
      <c r="F18" s="188"/>
      <c r="G18" s="188"/>
      <c r="H18" s="188"/>
      <c r="I18" s="188"/>
      <c r="J18" s="188"/>
      <c r="K18" s="188"/>
      <c r="L18" s="188"/>
      <c r="M18" s="188"/>
      <c r="N18" s="188"/>
      <c r="O18" s="188"/>
      <c r="P18" s="188"/>
      <c r="Q18" s="188"/>
      <c r="R18" s="188"/>
      <c r="S18" s="189"/>
    </row>
    <row r="19" spans="1:19" ht="7.5" customHeight="1" x14ac:dyDescent="0.15">
      <c r="B19" s="3"/>
      <c r="C19" s="3"/>
      <c r="D19" s="3"/>
      <c r="E19" s="3"/>
      <c r="F19" s="3"/>
      <c r="G19" s="3"/>
      <c r="H19" s="3"/>
      <c r="I19" s="3"/>
      <c r="J19" s="3"/>
      <c r="K19" s="3"/>
      <c r="L19" s="3"/>
      <c r="M19" s="3"/>
      <c r="N19" s="3"/>
      <c r="O19" s="3"/>
      <c r="P19" s="3"/>
      <c r="Q19" s="3"/>
      <c r="R19" s="3"/>
      <c r="S19" s="3"/>
    </row>
    <row r="20" spans="1:19" ht="20.100000000000001" customHeight="1" x14ac:dyDescent="0.15">
      <c r="B20" s="1" t="s">
        <v>16</v>
      </c>
      <c r="C20" s="141">
        <v>6</v>
      </c>
      <c r="D20" s="136"/>
      <c r="E20" s="40" t="s">
        <v>17</v>
      </c>
      <c r="G20" s="10"/>
      <c r="H20" s="3"/>
      <c r="I20" s="3"/>
      <c r="J20" s="35" t="s">
        <v>18</v>
      </c>
      <c r="K20" s="174" t="s">
        <v>15</v>
      </c>
      <c r="L20" s="175"/>
      <c r="M20" s="175"/>
      <c r="N20" s="175"/>
      <c r="O20" s="175"/>
      <c r="P20" s="175"/>
      <c r="Q20" s="175"/>
      <c r="R20" s="175"/>
      <c r="S20" s="176"/>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14" t="s">
        <v>19</v>
      </c>
      <c r="B22" s="114"/>
      <c r="C22" s="114"/>
      <c r="D22" s="114"/>
      <c r="E22" s="114"/>
      <c r="F22" s="114"/>
      <c r="G22" s="114"/>
      <c r="H22" s="114"/>
      <c r="I22" s="114"/>
      <c r="J22" s="114"/>
      <c r="K22" s="114"/>
      <c r="L22" s="114"/>
      <c r="M22" s="114"/>
      <c r="N22" s="114"/>
      <c r="O22" s="114"/>
      <c r="P22" s="114"/>
      <c r="Q22" s="114"/>
      <c r="R22" s="114"/>
      <c r="S22" s="114"/>
    </row>
    <row r="23" spans="1:19" ht="18" customHeight="1" x14ac:dyDescent="0.15">
      <c r="A23" s="114"/>
      <c r="B23" s="114"/>
      <c r="C23" s="114"/>
      <c r="D23" s="114"/>
      <c r="E23" s="114"/>
      <c r="F23" s="114"/>
      <c r="G23" s="114"/>
      <c r="H23" s="114"/>
      <c r="I23" s="114"/>
      <c r="J23" s="114"/>
      <c r="K23" s="114"/>
      <c r="L23" s="114"/>
      <c r="M23" s="114"/>
      <c r="N23" s="114"/>
      <c r="O23" s="114"/>
      <c r="P23" s="114"/>
      <c r="Q23" s="114"/>
      <c r="R23" s="114"/>
      <c r="S23" s="114"/>
    </row>
    <row r="24" spans="1:19" ht="18" customHeight="1" x14ac:dyDescent="0.15">
      <c r="B24" s="141" t="s">
        <v>20</v>
      </c>
      <c r="C24" s="135"/>
      <c r="D24" s="135"/>
      <c r="E24" s="136"/>
      <c r="F24" s="60" t="s">
        <v>21</v>
      </c>
      <c r="G24" s="59" t="s">
        <v>22</v>
      </c>
      <c r="H24" s="22" t="s">
        <v>23</v>
      </c>
      <c r="I24" s="22" t="s">
        <v>24</v>
      </c>
      <c r="J24" s="141" t="s">
        <v>20</v>
      </c>
      <c r="K24" s="135"/>
      <c r="L24" s="135"/>
      <c r="M24" s="135"/>
      <c r="N24" s="135"/>
      <c r="O24" s="136"/>
      <c r="P24" s="60" t="s">
        <v>21</v>
      </c>
      <c r="Q24" s="59" t="s">
        <v>22</v>
      </c>
      <c r="R24" s="22" t="s">
        <v>23</v>
      </c>
      <c r="S24" s="22" t="s">
        <v>24</v>
      </c>
    </row>
    <row r="25" spans="1:19" ht="18" customHeight="1" x14ac:dyDescent="0.15">
      <c r="B25" s="137" t="s">
        <v>25</v>
      </c>
      <c r="C25" s="122"/>
      <c r="D25" s="122"/>
      <c r="E25" s="123"/>
      <c r="F25" s="23">
        <v>2</v>
      </c>
      <c r="G25" s="23" t="s">
        <v>26</v>
      </c>
      <c r="H25" s="23" t="s">
        <v>26</v>
      </c>
      <c r="I25" s="23" t="s">
        <v>26</v>
      </c>
      <c r="J25" s="137"/>
      <c r="K25" s="122"/>
      <c r="L25" s="122"/>
      <c r="M25" s="122"/>
      <c r="N25" s="122"/>
      <c r="O25" s="123"/>
      <c r="P25" s="23"/>
      <c r="Q25" s="23"/>
      <c r="R25" s="23"/>
      <c r="S25" s="23"/>
    </row>
    <row r="26" spans="1:19" ht="18" customHeight="1" x14ac:dyDescent="0.15">
      <c r="B26" s="171"/>
      <c r="C26" s="172"/>
      <c r="D26" s="172"/>
      <c r="E26" s="173"/>
      <c r="F26" s="82"/>
      <c r="G26" s="82"/>
      <c r="H26" s="82"/>
      <c r="I26" s="81"/>
      <c r="J26" s="115"/>
      <c r="K26" s="116"/>
      <c r="L26" s="116"/>
      <c r="M26" s="116"/>
      <c r="N26" s="116"/>
      <c r="O26" s="117"/>
      <c r="P26" s="24"/>
      <c r="Q26" s="24"/>
      <c r="R26" s="24"/>
      <c r="S26" s="24"/>
    </row>
    <row r="27" spans="1:19" ht="18" customHeight="1" x14ac:dyDescent="0.15">
      <c r="B27" s="115"/>
      <c r="C27" s="116"/>
      <c r="D27" s="116"/>
      <c r="E27" s="117"/>
      <c r="F27" s="24"/>
      <c r="G27" s="24"/>
      <c r="H27" s="24"/>
      <c r="I27" s="24"/>
      <c r="J27" s="115"/>
      <c r="K27" s="116"/>
      <c r="L27" s="116"/>
      <c r="M27" s="116"/>
      <c r="N27" s="116"/>
      <c r="O27" s="117"/>
      <c r="P27" s="24"/>
      <c r="Q27" s="24"/>
      <c r="R27" s="24"/>
      <c r="S27" s="24"/>
    </row>
    <row r="28" spans="1:19" ht="18" customHeight="1" x14ac:dyDescent="0.15">
      <c r="B28" s="115"/>
      <c r="C28" s="116"/>
      <c r="D28" s="116"/>
      <c r="E28" s="117"/>
      <c r="F28" s="24"/>
      <c r="G28" s="24"/>
      <c r="H28" s="24"/>
      <c r="I28" s="24"/>
      <c r="J28" s="115"/>
      <c r="K28" s="116"/>
      <c r="L28" s="116"/>
      <c r="M28" s="116"/>
      <c r="N28" s="116"/>
      <c r="O28" s="117"/>
      <c r="P28" s="24"/>
      <c r="Q28" s="24"/>
      <c r="R28" s="24"/>
      <c r="S28" s="24"/>
    </row>
    <row r="29" spans="1:19" ht="18" customHeight="1" x14ac:dyDescent="0.15">
      <c r="B29" s="115"/>
      <c r="C29" s="116"/>
      <c r="D29" s="116"/>
      <c r="E29" s="117"/>
      <c r="F29" s="24"/>
      <c r="G29" s="24"/>
      <c r="H29" s="24"/>
      <c r="I29" s="24"/>
      <c r="J29" s="115"/>
      <c r="K29" s="116"/>
      <c r="L29" s="116"/>
      <c r="M29" s="116"/>
      <c r="N29" s="116"/>
      <c r="O29" s="117"/>
      <c r="P29" s="24"/>
      <c r="Q29" s="24"/>
      <c r="R29" s="24"/>
      <c r="S29" s="24"/>
    </row>
    <row r="30" spans="1:19" ht="18" customHeight="1" x14ac:dyDescent="0.15">
      <c r="A30" s="3"/>
      <c r="B30" s="115"/>
      <c r="C30" s="116"/>
      <c r="D30" s="116"/>
      <c r="E30" s="117"/>
      <c r="F30" s="24"/>
      <c r="G30" s="24"/>
      <c r="H30" s="24"/>
      <c r="I30" s="24"/>
      <c r="J30" s="115"/>
      <c r="K30" s="116"/>
      <c r="L30" s="116"/>
      <c r="M30" s="116"/>
      <c r="N30" s="116"/>
      <c r="O30" s="117"/>
      <c r="P30" s="24"/>
      <c r="Q30" s="24"/>
      <c r="R30" s="24"/>
      <c r="S30" s="24"/>
    </row>
    <row r="31" spans="1:19" ht="18" customHeight="1" x14ac:dyDescent="0.15">
      <c r="A31" s="3"/>
      <c r="B31" s="130"/>
      <c r="C31" s="131"/>
      <c r="D31" s="131"/>
      <c r="E31" s="132"/>
      <c r="F31" s="25"/>
      <c r="G31" s="25"/>
      <c r="H31" s="26"/>
      <c r="I31" s="26"/>
      <c r="J31" s="130"/>
      <c r="K31" s="131"/>
      <c r="L31" s="131"/>
      <c r="M31" s="131"/>
      <c r="N31" s="131"/>
      <c r="O31" s="132"/>
      <c r="P31" s="25"/>
      <c r="Q31" s="25"/>
      <c r="R31" s="26"/>
      <c r="S31" s="26"/>
    </row>
    <row r="32" spans="1:19" ht="24"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14" t="s">
        <v>27</v>
      </c>
      <c r="B33" s="114"/>
      <c r="C33" s="114"/>
      <c r="D33" s="114"/>
      <c r="E33" s="114"/>
      <c r="F33" s="114"/>
      <c r="G33" s="114"/>
      <c r="H33" s="114"/>
      <c r="I33" s="114"/>
      <c r="J33" s="114"/>
      <c r="K33" s="114"/>
      <c r="L33" s="114"/>
      <c r="M33" s="114"/>
      <c r="N33" s="114"/>
      <c r="O33" s="114"/>
      <c r="P33" s="114"/>
      <c r="Q33" s="114"/>
      <c r="R33" s="114"/>
      <c r="S33" s="114"/>
    </row>
    <row r="34" spans="1:19" ht="31.5" customHeight="1" x14ac:dyDescent="0.15">
      <c r="A34" s="114"/>
      <c r="B34" s="114"/>
      <c r="C34" s="114"/>
      <c r="D34" s="114"/>
      <c r="E34" s="114"/>
      <c r="F34" s="114"/>
      <c r="G34" s="114"/>
      <c r="H34" s="114"/>
      <c r="I34" s="114"/>
      <c r="J34" s="114"/>
      <c r="K34" s="114"/>
      <c r="L34" s="114"/>
      <c r="M34" s="114"/>
      <c r="N34" s="114"/>
      <c r="O34" s="114"/>
      <c r="P34" s="114"/>
      <c r="Q34" s="114"/>
      <c r="R34" s="114"/>
      <c r="S34" s="114"/>
    </row>
    <row r="35" spans="1:19" ht="18" customHeight="1" x14ac:dyDescent="0.15">
      <c r="B35" s="141" t="s">
        <v>20</v>
      </c>
      <c r="C35" s="135"/>
      <c r="D35" s="135"/>
      <c r="E35" s="136"/>
      <c r="F35" s="60" t="s">
        <v>21</v>
      </c>
      <c r="G35" s="59" t="s">
        <v>22</v>
      </c>
      <c r="H35" s="22" t="s">
        <v>28</v>
      </c>
      <c r="I35" s="22" t="s">
        <v>29</v>
      </c>
      <c r="J35" s="141" t="s">
        <v>20</v>
      </c>
      <c r="K35" s="135"/>
      <c r="L35" s="135"/>
      <c r="M35" s="135"/>
      <c r="N35" s="135"/>
      <c r="O35" s="136"/>
      <c r="P35" s="60" t="s">
        <v>21</v>
      </c>
      <c r="Q35" s="59" t="s">
        <v>22</v>
      </c>
      <c r="R35" s="22" t="s">
        <v>28</v>
      </c>
      <c r="S35" s="22" t="s">
        <v>29</v>
      </c>
    </row>
    <row r="36" spans="1:19" ht="18" customHeight="1" x14ac:dyDescent="0.15">
      <c r="B36" s="137" t="s">
        <v>25</v>
      </c>
      <c r="C36" s="122"/>
      <c r="D36" s="122"/>
      <c r="E36" s="123"/>
      <c r="F36" s="23">
        <v>2</v>
      </c>
      <c r="G36" s="23" t="s">
        <v>26</v>
      </c>
      <c r="H36" s="23" t="s">
        <v>26</v>
      </c>
      <c r="I36" s="23" t="s">
        <v>26</v>
      </c>
      <c r="J36" s="137"/>
      <c r="K36" s="122"/>
      <c r="L36" s="122"/>
      <c r="M36" s="122"/>
      <c r="N36" s="122"/>
      <c r="O36" s="123"/>
      <c r="P36" s="23"/>
      <c r="Q36" s="23"/>
      <c r="R36" s="23"/>
      <c r="S36" s="23"/>
    </row>
    <row r="37" spans="1:19" ht="18" customHeight="1" x14ac:dyDescent="0.15">
      <c r="B37" s="115"/>
      <c r="C37" s="116"/>
      <c r="D37" s="116"/>
      <c r="E37" s="117"/>
      <c r="F37" s="24"/>
      <c r="G37" s="24"/>
      <c r="H37" s="24"/>
      <c r="I37" s="24"/>
      <c r="J37" s="115"/>
      <c r="K37" s="116"/>
      <c r="L37" s="116"/>
      <c r="M37" s="116"/>
      <c r="N37" s="116"/>
      <c r="O37" s="117"/>
      <c r="P37" s="24"/>
      <c r="Q37" s="24"/>
      <c r="R37" s="24"/>
      <c r="S37" s="24"/>
    </row>
    <row r="38" spans="1:19" ht="18" customHeight="1" x14ac:dyDescent="0.15">
      <c r="B38" s="115"/>
      <c r="C38" s="116"/>
      <c r="D38" s="116"/>
      <c r="E38" s="117"/>
      <c r="F38" s="24"/>
      <c r="G38" s="24"/>
      <c r="H38" s="24"/>
      <c r="I38" s="24"/>
      <c r="J38" s="115"/>
      <c r="K38" s="116"/>
      <c r="L38" s="116"/>
      <c r="M38" s="116"/>
      <c r="N38" s="116"/>
      <c r="O38" s="117"/>
      <c r="P38" s="24"/>
      <c r="Q38" s="24"/>
      <c r="R38" s="24"/>
      <c r="S38" s="24"/>
    </row>
    <row r="39" spans="1:19" ht="18" customHeight="1" x14ac:dyDescent="0.15">
      <c r="B39" s="115"/>
      <c r="C39" s="116"/>
      <c r="D39" s="116"/>
      <c r="E39" s="117"/>
      <c r="F39" s="24"/>
      <c r="G39" s="24"/>
      <c r="H39" s="24"/>
      <c r="I39" s="24"/>
      <c r="J39" s="115"/>
      <c r="K39" s="116"/>
      <c r="L39" s="116"/>
      <c r="M39" s="116"/>
      <c r="N39" s="116"/>
      <c r="O39" s="117"/>
      <c r="P39" s="24"/>
      <c r="Q39" s="24"/>
      <c r="R39" s="24"/>
      <c r="S39" s="24"/>
    </row>
    <row r="40" spans="1:19" ht="18" customHeight="1" x14ac:dyDescent="0.15">
      <c r="B40" s="115"/>
      <c r="C40" s="116"/>
      <c r="D40" s="116"/>
      <c r="E40" s="117"/>
      <c r="F40" s="24"/>
      <c r="G40" s="24"/>
      <c r="H40" s="24"/>
      <c r="I40" s="24"/>
      <c r="J40" s="115"/>
      <c r="K40" s="116"/>
      <c r="L40" s="116"/>
      <c r="M40" s="116"/>
      <c r="N40" s="116"/>
      <c r="O40" s="117"/>
      <c r="P40" s="24"/>
      <c r="Q40" s="24"/>
      <c r="R40" s="24"/>
      <c r="S40" s="24"/>
    </row>
    <row r="41" spans="1:19" ht="18" customHeight="1" x14ac:dyDescent="0.15">
      <c r="B41" s="115"/>
      <c r="C41" s="116"/>
      <c r="D41" s="116"/>
      <c r="E41" s="117"/>
      <c r="F41" s="24"/>
      <c r="G41" s="24"/>
      <c r="H41" s="24"/>
      <c r="I41" s="24"/>
      <c r="J41" s="115"/>
      <c r="K41" s="116"/>
      <c r="L41" s="116"/>
      <c r="M41" s="116"/>
      <c r="N41" s="116"/>
      <c r="O41" s="117"/>
      <c r="P41" s="24"/>
      <c r="Q41" s="24"/>
      <c r="R41" s="24"/>
      <c r="S41" s="24"/>
    </row>
    <row r="42" spans="1:19" ht="18" customHeight="1" x14ac:dyDescent="0.15">
      <c r="B42" s="130"/>
      <c r="C42" s="131"/>
      <c r="D42" s="131"/>
      <c r="E42" s="132"/>
      <c r="F42" s="25"/>
      <c r="G42" s="25"/>
      <c r="H42" s="26"/>
      <c r="I42" s="26"/>
      <c r="J42" s="130"/>
      <c r="K42" s="131"/>
      <c r="L42" s="131"/>
      <c r="M42" s="131"/>
      <c r="N42" s="131"/>
      <c r="O42" s="132"/>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14" t="s">
        <v>30</v>
      </c>
      <c r="B44" s="114"/>
      <c r="C44" s="114"/>
      <c r="D44" s="114"/>
      <c r="E44" s="114"/>
      <c r="F44" s="114"/>
      <c r="G44" s="114"/>
      <c r="H44" s="114"/>
      <c r="I44" s="114"/>
      <c r="J44" s="114"/>
      <c r="K44" s="114"/>
      <c r="L44" s="114"/>
      <c r="M44" s="114"/>
      <c r="N44" s="114"/>
      <c r="O44" s="114"/>
      <c r="P44" s="114"/>
      <c r="Q44" s="114"/>
      <c r="R44" s="114"/>
      <c r="S44" s="114"/>
    </row>
    <row r="45" spans="1:19" ht="35.25" customHeight="1" x14ac:dyDescent="0.15">
      <c r="A45" s="114"/>
      <c r="B45" s="114"/>
      <c r="C45" s="114"/>
      <c r="D45" s="114"/>
      <c r="E45" s="114"/>
      <c r="F45" s="114"/>
      <c r="G45" s="114"/>
      <c r="H45" s="114"/>
      <c r="I45" s="114"/>
      <c r="J45" s="114"/>
      <c r="K45" s="114"/>
      <c r="L45" s="114"/>
      <c r="M45" s="114"/>
      <c r="N45" s="114"/>
      <c r="O45" s="114"/>
      <c r="P45" s="114"/>
      <c r="Q45" s="114"/>
      <c r="R45" s="114"/>
      <c r="S45" s="114"/>
    </row>
    <row r="46" spans="1:19" ht="18" customHeight="1" x14ac:dyDescent="0.15">
      <c r="B46" s="141" t="s">
        <v>20</v>
      </c>
      <c r="C46" s="135"/>
      <c r="D46" s="135"/>
      <c r="E46" s="136"/>
      <c r="F46" s="60" t="s">
        <v>21</v>
      </c>
      <c r="G46" s="59" t="s">
        <v>22</v>
      </c>
      <c r="H46" s="22" t="s">
        <v>31</v>
      </c>
      <c r="I46" s="22" t="s">
        <v>32</v>
      </c>
      <c r="J46" s="141" t="s">
        <v>20</v>
      </c>
      <c r="K46" s="135"/>
      <c r="L46" s="135"/>
      <c r="M46" s="135"/>
      <c r="N46" s="135"/>
      <c r="O46" s="136"/>
      <c r="P46" s="60" t="s">
        <v>21</v>
      </c>
      <c r="Q46" s="59" t="s">
        <v>22</v>
      </c>
      <c r="R46" s="22" t="s">
        <v>31</v>
      </c>
      <c r="S46" s="22" t="s">
        <v>32</v>
      </c>
    </row>
    <row r="47" spans="1:19" ht="18" customHeight="1" x14ac:dyDescent="0.15">
      <c r="A47" s="3"/>
      <c r="B47" s="137" t="s">
        <v>25</v>
      </c>
      <c r="C47" s="122"/>
      <c r="D47" s="122"/>
      <c r="E47" s="123"/>
      <c r="F47" s="23">
        <v>2</v>
      </c>
      <c r="G47" s="23" t="s">
        <v>26</v>
      </c>
      <c r="H47" s="23" t="s">
        <v>26</v>
      </c>
      <c r="I47" s="23" t="s">
        <v>26</v>
      </c>
      <c r="J47" s="137"/>
      <c r="K47" s="122"/>
      <c r="L47" s="122"/>
      <c r="M47" s="122"/>
      <c r="N47" s="122"/>
      <c r="O47" s="123"/>
      <c r="P47" s="23"/>
      <c r="Q47" s="23"/>
      <c r="R47" s="23"/>
      <c r="S47" s="23"/>
    </row>
    <row r="48" spans="1:19" ht="18" customHeight="1" x14ac:dyDescent="0.15">
      <c r="A48" s="3"/>
      <c r="B48" s="115"/>
      <c r="C48" s="116"/>
      <c r="D48" s="116"/>
      <c r="E48" s="117"/>
      <c r="F48" s="24"/>
      <c r="G48" s="24"/>
      <c r="H48" s="24"/>
      <c r="I48" s="24"/>
      <c r="J48" s="115"/>
      <c r="K48" s="116"/>
      <c r="L48" s="116"/>
      <c r="M48" s="116"/>
      <c r="N48" s="116"/>
      <c r="O48" s="117"/>
      <c r="P48" s="24"/>
      <c r="Q48" s="24"/>
      <c r="R48" s="24"/>
      <c r="S48" s="24"/>
    </row>
    <row r="49" spans="1:19" ht="18" customHeight="1" x14ac:dyDescent="0.15">
      <c r="A49" s="3"/>
      <c r="B49" s="115"/>
      <c r="C49" s="116"/>
      <c r="D49" s="116"/>
      <c r="E49" s="117"/>
      <c r="F49" s="24"/>
      <c r="G49" s="24"/>
      <c r="H49" s="24"/>
      <c r="I49" s="24"/>
      <c r="J49" s="115"/>
      <c r="K49" s="116"/>
      <c r="L49" s="116"/>
      <c r="M49" s="116"/>
      <c r="N49" s="116"/>
      <c r="O49" s="117"/>
      <c r="P49" s="24"/>
      <c r="Q49" s="24"/>
      <c r="R49" s="24"/>
      <c r="S49" s="24"/>
    </row>
    <row r="50" spans="1:19" ht="18" customHeight="1" x14ac:dyDescent="0.15">
      <c r="A50" s="3"/>
      <c r="B50" s="115"/>
      <c r="C50" s="116"/>
      <c r="D50" s="116"/>
      <c r="E50" s="117"/>
      <c r="F50" s="24"/>
      <c r="G50" s="24"/>
      <c r="H50" s="24"/>
      <c r="I50" s="24"/>
      <c r="J50" s="115"/>
      <c r="K50" s="116"/>
      <c r="L50" s="116"/>
      <c r="M50" s="116"/>
      <c r="N50" s="116"/>
      <c r="O50" s="117"/>
      <c r="P50" s="24"/>
      <c r="Q50" s="24"/>
      <c r="R50" s="24"/>
      <c r="S50" s="24"/>
    </row>
    <row r="51" spans="1:19" ht="18" customHeight="1" x14ac:dyDescent="0.15">
      <c r="A51" s="3"/>
      <c r="B51" s="115"/>
      <c r="C51" s="116"/>
      <c r="D51" s="116"/>
      <c r="E51" s="117"/>
      <c r="F51" s="24"/>
      <c r="G51" s="24"/>
      <c r="H51" s="24"/>
      <c r="I51" s="24"/>
      <c r="J51" s="115"/>
      <c r="K51" s="116"/>
      <c r="L51" s="116"/>
      <c r="M51" s="116"/>
      <c r="N51" s="116"/>
      <c r="O51" s="117"/>
      <c r="P51" s="24"/>
      <c r="Q51" s="24"/>
      <c r="R51" s="24"/>
      <c r="S51" s="24"/>
    </row>
    <row r="52" spans="1:19" ht="18" customHeight="1" x14ac:dyDescent="0.15">
      <c r="A52" s="3"/>
      <c r="B52" s="115"/>
      <c r="C52" s="116"/>
      <c r="D52" s="116"/>
      <c r="E52" s="117"/>
      <c r="F52" s="24"/>
      <c r="G52" s="24"/>
      <c r="H52" s="24"/>
      <c r="I52" s="24"/>
      <c r="J52" s="115"/>
      <c r="K52" s="116"/>
      <c r="L52" s="116"/>
      <c r="M52" s="116"/>
      <c r="N52" s="116"/>
      <c r="O52" s="117"/>
      <c r="P52" s="24"/>
      <c r="Q52" s="24"/>
      <c r="R52" s="24"/>
      <c r="S52" s="24"/>
    </row>
    <row r="53" spans="1:19" ht="18" customHeight="1" x14ac:dyDescent="0.15">
      <c r="A53" s="3"/>
      <c r="B53" s="130"/>
      <c r="C53" s="131"/>
      <c r="D53" s="131"/>
      <c r="E53" s="132"/>
      <c r="F53" s="25"/>
      <c r="G53" s="25"/>
      <c r="H53" s="26"/>
      <c r="I53" s="26"/>
      <c r="J53" s="130"/>
      <c r="K53" s="131"/>
      <c r="L53" s="131"/>
      <c r="M53" s="131"/>
      <c r="N53" s="131"/>
      <c r="O53" s="132"/>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14" t="s">
        <v>33</v>
      </c>
      <c r="B55" s="114"/>
      <c r="C55" s="114"/>
      <c r="D55" s="114"/>
      <c r="E55" s="114"/>
      <c r="F55" s="114"/>
      <c r="G55" s="114"/>
      <c r="H55" s="114"/>
      <c r="I55" s="114"/>
      <c r="J55" s="114"/>
      <c r="K55" s="114"/>
      <c r="L55" s="114"/>
      <c r="M55" s="114"/>
      <c r="N55" s="114"/>
      <c r="O55" s="114"/>
      <c r="P55" s="114"/>
      <c r="Q55" s="114"/>
      <c r="R55" s="114"/>
      <c r="S55" s="114"/>
    </row>
    <row r="56" spans="1:19" ht="33" customHeight="1" x14ac:dyDescent="0.15">
      <c r="A56" s="114"/>
      <c r="B56" s="114"/>
      <c r="C56" s="114"/>
      <c r="D56" s="114"/>
      <c r="E56" s="114"/>
      <c r="F56" s="114"/>
      <c r="G56" s="114"/>
      <c r="H56" s="114"/>
      <c r="I56" s="114"/>
      <c r="J56" s="114"/>
      <c r="K56" s="114"/>
      <c r="L56" s="114"/>
      <c r="M56" s="114"/>
      <c r="N56" s="114"/>
      <c r="O56" s="114"/>
      <c r="P56" s="114"/>
      <c r="Q56" s="114"/>
      <c r="R56" s="114"/>
      <c r="S56" s="114"/>
    </row>
    <row r="57" spans="1:19" ht="18" customHeight="1" x14ac:dyDescent="0.15">
      <c r="B57" s="141" t="s">
        <v>20</v>
      </c>
      <c r="C57" s="135"/>
      <c r="D57" s="135"/>
      <c r="E57" s="136"/>
      <c r="F57" s="60" t="s">
        <v>21</v>
      </c>
      <c r="G57" s="59" t="s">
        <v>22</v>
      </c>
      <c r="H57" s="22" t="s">
        <v>34</v>
      </c>
      <c r="I57" s="22" t="s">
        <v>35</v>
      </c>
      <c r="J57" s="141" t="s">
        <v>20</v>
      </c>
      <c r="K57" s="135"/>
      <c r="L57" s="135"/>
      <c r="M57" s="135"/>
      <c r="N57" s="135"/>
      <c r="O57" s="136"/>
      <c r="P57" s="60" t="s">
        <v>21</v>
      </c>
      <c r="Q57" s="59" t="s">
        <v>22</v>
      </c>
      <c r="R57" s="22" t="s">
        <v>34</v>
      </c>
      <c r="S57" s="22" t="s">
        <v>35</v>
      </c>
    </row>
    <row r="58" spans="1:19" ht="18" customHeight="1" x14ac:dyDescent="0.15">
      <c r="A58" s="3"/>
      <c r="B58" s="137" t="s">
        <v>25</v>
      </c>
      <c r="C58" s="122"/>
      <c r="D58" s="122"/>
      <c r="E58" s="123"/>
      <c r="F58" s="23">
        <v>2</v>
      </c>
      <c r="G58" s="23" t="s">
        <v>26</v>
      </c>
      <c r="H58" s="23" t="s">
        <v>26</v>
      </c>
      <c r="I58" s="23" t="s">
        <v>26</v>
      </c>
      <c r="J58" s="137"/>
      <c r="K58" s="122"/>
      <c r="L58" s="122"/>
      <c r="M58" s="122"/>
      <c r="N58" s="122"/>
      <c r="O58" s="123"/>
      <c r="P58" s="23"/>
      <c r="Q58" s="23"/>
      <c r="R58" s="23"/>
      <c r="S58" s="23"/>
    </row>
    <row r="59" spans="1:19" ht="18" customHeight="1" x14ac:dyDescent="0.15">
      <c r="A59" s="3"/>
      <c r="B59" s="115" t="s">
        <v>36</v>
      </c>
      <c r="C59" s="116"/>
      <c r="D59" s="116"/>
      <c r="E59" s="117"/>
      <c r="F59" s="24">
        <v>2</v>
      </c>
      <c r="G59" s="24" t="s">
        <v>26</v>
      </c>
      <c r="H59" s="24" t="s">
        <v>26</v>
      </c>
      <c r="I59" s="24" t="s">
        <v>26</v>
      </c>
      <c r="J59" s="115"/>
      <c r="K59" s="116"/>
      <c r="L59" s="116"/>
      <c r="M59" s="116"/>
      <c r="N59" s="116"/>
      <c r="O59" s="117"/>
      <c r="P59" s="24"/>
      <c r="Q59" s="24"/>
      <c r="R59" s="24"/>
      <c r="S59" s="24"/>
    </row>
    <row r="60" spans="1:19" ht="18" customHeight="1" x14ac:dyDescent="0.15">
      <c r="A60" s="3"/>
      <c r="B60" s="115"/>
      <c r="C60" s="116"/>
      <c r="D60" s="116"/>
      <c r="E60" s="117"/>
      <c r="F60" s="24"/>
      <c r="G60" s="24"/>
      <c r="H60" s="24"/>
      <c r="I60" s="24"/>
      <c r="J60" s="115"/>
      <c r="K60" s="116"/>
      <c r="L60" s="116"/>
      <c r="M60" s="116"/>
      <c r="N60" s="116"/>
      <c r="O60" s="117"/>
      <c r="P60" s="24"/>
      <c r="Q60" s="24"/>
      <c r="R60" s="24"/>
      <c r="S60" s="24"/>
    </row>
    <row r="61" spans="1:19" ht="18" customHeight="1" x14ac:dyDescent="0.15">
      <c r="A61" s="3"/>
      <c r="B61" s="130"/>
      <c r="C61" s="131"/>
      <c r="D61" s="131"/>
      <c r="E61" s="132"/>
      <c r="F61" s="26"/>
      <c r="G61" s="26"/>
      <c r="H61" s="26"/>
      <c r="I61" s="26"/>
      <c r="J61" s="130"/>
      <c r="K61" s="131"/>
      <c r="L61" s="131"/>
      <c r="M61" s="131"/>
      <c r="N61" s="131"/>
      <c r="O61" s="132"/>
      <c r="P61" s="26"/>
      <c r="Q61" s="26"/>
      <c r="R61" s="26"/>
      <c r="S61" s="26"/>
    </row>
    <row r="62" spans="1:19" ht="7.5" customHeight="1" x14ac:dyDescent="0.15">
      <c r="B62" s="15"/>
      <c r="C62" s="15"/>
      <c r="D62" s="15"/>
      <c r="E62" s="15"/>
      <c r="F62" s="15"/>
      <c r="G62" s="15"/>
      <c r="H62" s="15"/>
      <c r="I62" s="15"/>
      <c r="J62" s="15"/>
      <c r="K62" s="15"/>
      <c r="L62" s="15"/>
      <c r="M62" s="15"/>
      <c r="N62" s="15"/>
      <c r="O62" s="15"/>
      <c r="P62" s="15"/>
      <c r="Q62" s="15"/>
      <c r="R62" s="15"/>
    </row>
    <row r="63" spans="1:19" ht="18" customHeight="1" x14ac:dyDescent="0.15">
      <c r="A63" s="114" t="s">
        <v>37</v>
      </c>
      <c r="B63" s="114"/>
      <c r="C63" s="114"/>
      <c r="D63" s="114"/>
      <c r="E63" s="114"/>
      <c r="F63" s="114"/>
      <c r="G63" s="114"/>
      <c r="H63" s="114"/>
      <c r="I63" s="114"/>
      <c r="J63" s="114"/>
      <c r="K63" s="114"/>
      <c r="L63" s="114"/>
      <c r="M63" s="114"/>
      <c r="N63" s="114"/>
      <c r="O63" s="114"/>
      <c r="P63" s="114"/>
      <c r="Q63" s="114"/>
      <c r="R63" s="114"/>
      <c r="S63" s="114"/>
    </row>
    <row r="64" spans="1:19" ht="30.75" customHeight="1" x14ac:dyDescent="0.15">
      <c r="A64" s="114"/>
      <c r="B64" s="114"/>
      <c r="C64" s="114"/>
      <c r="D64" s="114"/>
      <c r="E64" s="114"/>
      <c r="F64" s="114"/>
      <c r="G64" s="114"/>
      <c r="H64" s="114"/>
      <c r="I64" s="114"/>
      <c r="J64" s="114"/>
      <c r="K64" s="114"/>
      <c r="L64" s="114"/>
      <c r="M64" s="114"/>
      <c r="N64" s="114"/>
      <c r="O64" s="114"/>
      <c r="P64" s="114"/>
      <c r="Q64" s="114"/>
      <c r="R64" s="114"/>
      <c r="S64" s="114"/>
    </row>
    <row r="65" spans="1:19" ht="18" customHeight="1" x14ac:dyDescent="0.15">
      <c r="B65" s="141" t="s">
        <v>20</v>
      </c>
      <c r="C65" s="135"/>
      <c r="D65" s="135"/>
      <c r="E65" s="60" t="s">
        <v>21</v>
      </c>
      <c r="F65" s="59" t="s">
        <v>22</v>
      </c>
      <c r="G65" s="22" t="s">
        <v>38</v>
      </c>
      <c r="H65" s="22" t="s">
        <v>39</v>
      </c>
      <c r="I65" s="22" t="s">
        <v>40</v>
      </c>
      <c r="J65" s="141" t="s">
        <v>20</v>
      </c>
      <c r="K65" s="135"/>
      <c r="L65" s="135"/>
      <c r="M65" s="135"/>
      <c r="N65" s="136"/>
      <c r="O65" s="60" t="s">
        <v>21</v>
      </c>
      <c r="P65" s="59" t="s">
        <v>22</v>
      </c>
      <c r="Q65" s="22" t="s">
        <v>38</v>
      </c>
      <c r="R65" s="22" t="s">
        <v>39</v>
      </c>
      <c r="S65" s="22" t="s">
        <v>40</v>
      </c>
    </row>
    <row r="66" spans="1:19" ht="18" customHeight="1" x14ac:dyDescent="0.15">
      <c r="A66" s="3"/>
      <c r="B66" s="137" t="s">
        <v>25</v>
      </c>
      <c r="C66" s="122"/>
      <c r="D66" s="122"/>
      <c r="E66" s="23">
        <v>2</v>
      </c>
      <c r="F66" s="23" t="s">
        <v>26</v>
      </c>
      <c r="G66" s="23" t="s">
        <v>26</v>
      </c>
      <c r="H66" s="23" t="s">
        <v>26</v>
      </c>
      <c r="I66" s="23" t="s">
        <v>26</v>
      </c>
      <c r="J66" s="137"/>
      <c r="K66" s="122"/>
      <c r="L66" s="122"/>
      <c r="M66" s="122"/>
      <c r="N66" s="123"/>
      <c r="O66" s="23"/>
      <c r="P66" s="23"/>
      <c r="Q66" s="23"/>
      <c r="R66" s="23"/>
      <c r="S66" s="23"/>
    </row>
    <row r="67" spans="1:19" ht="18" customHeight="1" x14ac:dyDescent="0.15">
      <c r="A67" s="3"/>
      <c r="B67" s="115" t="s">
        <v>41</v>
      </c>
      <c r="C67" s="116"/>
      <c r="D67" s="116"/>
      <c r="E67" s="24">
        <v>2</v>
      </c>
      <c r="F67" s="24" t="s">
        <v>26</v>
      </c>
      <c r="G67" s="24" t="s">
        <v>26</v>
      </c>
      <c r="H67" s="24" t="s">
        <v>26</v>
      </c>
      <c r="I67" s="24" t="s">
        <v>26</v>
      </c>
      <c r="J67" s="115"/>
      <c r="K67" s="116"/>
      <c r="L67" s="116"/>
      <c r="M67" s="116"/>
      <c r="N67" s="117"/>
      <c r="O67" s="24"/>
      <c r="P67" s="24"/>
      <c r="Q67" s="24"/>
      <c r="R67" s="24"/>
      <c r="S67" s="24"/>
    </row>
    <row r="68" spans="1:19" ht="18" customHeight="1" x14ac:dyDescent="0.15">
      <c r="A68" s="3"/>
      <c r="B68" s="115"/>
      <c r="C68" s="116"/>
      <c r="D68" s="117"/>
      <c r="E68" s="24"/>
      <c r="F68" s="24"/>
      <c r="G68" s="24"/>
      <c r="H68" s="24"/>
      <c r="I68" s="24"/>
      <c r="J68" s="115"/>
      <c r="K68" s="116"/>
      <c r="L68" s="116"/>
      <c r="M68" s="116"/>
      <c r="N68" s="117"/>
      <c r="O68" s="24"/>
      <c r="P68" s="24"/>
      <c r="Q68" s="24"/>
      <c r="R68" s="24"/>
      <c r="S68" s="24"/>
    </row>
    <row r="69" spans="1:19" ht="18" customHeight="1" x14ac:dyDescent="0.15">
      <c r="A69" s="3"/>
      <c r="B69" s="130"/>
      <c r="C69" s="131"/>
      <c r="D69" s="132"/>
      <c r="E69" s="25"/>
      <c r="F69" s="25"/>
      <c r="G69" s="26"/>
      <c r="H69" s="26"/>
      <c r="I69" s="26"/>
      <c r="J69" s="130"/>
      <c r="K69" s="131"/>
      <c r="L69" s="131"/>
      <c r="M69" s="131"/>
      <c r="N69" s="132"/>
      <c r="O69" s="25"/>
      <c r="P69" s="25"/>
      <c r="Q69" s="26"/>
      <c r="R69" s="26"/>
      <c r="S69" s="26"/>
    </row>
    <row r="70" spans="1:19" ht="14.25" x14ac:dyDescent="0.15">
      <c r="B70" s="15"/>
      <c r="C70" s="15"/>
      <c r="D70" s="15"/>
      <c r="E70" s="15"/>
      <c r="F70" s="15"/>
      <c r="G70" s="15"/>
      <c r="H70" s="15"/>
      <c r="I70" s="15"/>
      <c r="J70" s="15"/>
      <c r="K70" s="15"/>
      <c r="L70" s="15"/>
      <c r="M70" s="15"/>
      <c r="N70" s="15"/>
      <c r="O70" s="15"/>
      <c r="P70" s="15"/>
      <c r="Q70" s="15"/>
      <c r="R70" s="15"/>
    </row>
    <row r="71" spans="1:19" ht="18" customHeight="1" x14ac:dyDescent="0.15">
      <c r="A71" s="1" t="s">
        <v>42</v>
      </c>
      <c r="H71" s="3"/>
      <c r="I71" s="3"/>
      <c r="J71" s="3"/>
      <c r="K71" s="3"/>
      <c r="L71" s="3"/>
      <c r="M71" s="3"/>
      <c r="N71" s="3"/>
      <c r="O71" s="3"/>
      <c r="P71" s="3"/>
      <c r="Q71" s="3"/>
      <c r="R71" s="3"/>
      <c r="S71" s="3"/>
    </row>
    <row r="72" spans="1:19" ht="18" customHeight="1" x14ac:dyDescent="0.15">
      <c r="B72" s="141" t="s">
        <v>20</v>
      </c>
      <c r="C72" s="135"/>
      <c r="D72" s="135"/>
      <c r="E72" s="136"/>
      <c r="F72" s="141" t="s">
        <v>43</v>
      </c>
      <c r="G72" s="135"/>
      <c r="H72" s="135"/>
      <c r="I72" s="136"/>
      <c r="J72" s="145" t="s">
        <v>20</v>
      </c>
      <c r="K72" s="146"/>
      <c r="L72" s="146"/>
      <c r="M72" s="146"/>
      <c r="N72" s="146"/>
      <c r="O72" s="147"/>
      <c r="P72" s="141" t="s">
        <v>43</v>
      </c>
      <c r="Q72" s="135"/>
      <c r="R72" s="135"/>
      <c r="S72" s="136"/>
    </row>
    <row r="73" spans="1:19" ht="18" customHeight="1" x14ac:dyDescent="0.15">
      <c r="A73" s="3"/>
      <c r="B73" s="137" t="s">
        <v>25</v>
      </c>
      <c r="C73" s="122"/>
      <c r="D73" s="122"/>
      <c r="E73" s="123"/>
      <c r="F73" s="138" t="s">
        <v>44</v>
      </c>
      <c r="G73" s="139"/>
      <c r="H73" s="139"/>
      <c r="I73" s="140"/>
      <c r="J73" s="137"/>
      <c r="K73" s="122"/>
      <c r="L73" s="122"/>
      <c r="M73" s="122"/>
      <c r="N73" s="122"/>
      <c r="O73" s="123"/>
      <c r="P73" s="138"/>
      <c r="Q73" s="139"/>
      <c r="R73" s="139"/>
      <c r="S73" s="140"/>
    </row>
    <row r="74" spans="1:19" ht="18" customHeight="1" x14ac:dyDescent="0.15">
      <c r="A74" s="3"/>
      <c r="B74" s="115"/>
      <c r="C74" s="116"/>
      <c r="D74" s="116"/>
      <c r="E74" s="117"/>
      <c r="F74" s="142"/>
      <c r="G74" s="143"/>
      <c r="H74" s="143"/>
      <c r="I74" s="144"/>
      <c r="J74" s="115"/>
      <c r="K74" s="116"/>
      <c r="L74" s="116"/>
      <c r="M74" s="116"/>
      <c r="N74" s="116"/>
      <c r="O74" s="117"/>
      <c r="P74" s="142"/>
      <c r="Q74" s="143"/>
      <c r="R74" s="143"/>
      <c r="S74" s="144"/>
    </row>
    <row r="75" spans="1:19" ht="18" customHeight="1" x14ac:dyDescent="0.15">
      <c r="A75" s="3"/>
      <c r="B75" s="115"/>
      <c r="C75" s="116"/>
      <c r="D75" s="116"/>
      <c r="E75" s="117"/>
      <c r="F75" s="142"/>
      <c r="G75" s="143"/>
      <c r="H75" s="143"/>
      <c r="I75" s="144"/>
      <c r="J75" s="115"/>
      <c r="K75" s="116"/>
      <c r="L75" s="116"/>
      <c r="M75" s="116"/>
      <c r="N75" s="116"/>
      <c r="O75" s="117"/>
      <c r="P75" s="142"/>
      <c r="Q75" s="143"/>
      <c r="R75" s="143"/>
      <c r="S75" s="144"/>
    </row>
    <row r="76" spans="1:19" ht="18" customHeight="1" x14ac:dyDescent="0.15">
      <c r="A76" s="3"/>
      <c r="B76" s="115"/>
      <c r="C76" s="116"/>
      <c r="D76" s="116"/>
      <c r="E76" s="117"/>
      <c r="F76" s="142"/>
      <c r="G76" s="143"/>
      <c r="H76" s="143"/>
      <c r="I76" s="144"/>
      <c r="J76" s="115"/>
      <c r="K76" s="116"/>
      <c r="L76" s="116"/>
      <c r="M76" s="116"/>
      <c r="N76" s="116"/>
      <c r="O76" s="117"/>
      <c r="P76" s="142"/>
      <c r="Q76" s="143"/>
      <c r="R76" s="143"/>
      <c r="S76" s="144"/>
    </row>
    <row r="77" spans="1:19" ht="18" customHeight="1" x14ac:dyDescent="0.15">
      <c r="A77" s="3"/>
      <c r="B77" s="115"/>
      <c r="C77" s="116"/>
      <c r="D77" s="116"/>
      <c r="E77" s="117"/>
      <c r="F77" s="142"/>
      <c r="G77" s="143"/>
      <c r="H77" s="143"/>
      <c r="I77" s="144"/>
      <c r="J77" s="115"/>
      <c r="K77" s="116"/>
      <c r="L77" s="116"/>
      <c r="M77" s="116"/>
      <c r="N77" s="116"/>
      <c r="O77" s="117"/>
      <c r="P77" s="142"/>
      <c r="Q77" s="143"/>
      <c r="R77" s="143"/>
      <c r="S77" s="144"/>
    </row>
    <row r="78" spans="1:19" ht="18" customHeight="1" x14ac:dyDescent="0.15">
      <c r="A78" s="3"/>
      <c r="B78" s="115"/>
      <c r="C78" s="116"/>
      <c r="D78" s="116"/>
      <c r="E78" s="117"/>
      <c r="F78" s="142"/>
      <c r="G78" s="143"/>
      <c r="H78" s="143"/>
      <c r="I78" s="144"/>
      <c r="J78" s="115"/>
      <c r="K78" s="116"/>
      <c r="L78" s="116"/>
      <c r="M78" s="116"/>
      <c r="N78" s="116"/>
      <c r="O78" s="117"/>
      <c r="P78" s="142"/>
      <c r="Q78" s="143"/>
      <c r="R78" s="143"/>
      <c r="S78" s="144"/>
    </row>
    <row r="79" spans="1:19" ht="18" customHeight="1" x14ac:dyDescent="0.15">
      <c r="A79" s="3"/>
      <c r="B79" s="130"/>
      <c r="C79" s="131"/>
      <c r="D79" s="131"/>
      <c r="E79" s="132"/>
      <c r="F79" s="151"/>
      <c r="G79" s="152"/>
      <c r="H79" s="152"/>
      <c r="I79" s="153"/>
      <c r="J79" s="130"/>
      <c r="K79" s="131"/>
      <c r="L79" s="131"/>
      <c r="M79" s="131"/>
      <c r="N79" s="131"/>
      <c r="O79" s="132"/>
      <c r="P79" s="151"/>
      <c r="Q79" s="152"/>
      <c r="R79" s="152"/>
      <c r="S79" s="153"/>
    </row>
    <row r="80" spans="1:19" ht="18" customHeight="1" x14ac:dyDescent="0.15">
      <c r="A80" s="3"/>
      <c r="B80" s="6"/>
      <c r="C80" s="6"/>
      <c r="D80" s="6"/>
      <c r="E80" s="6"/>
      <c r="F80" s="27"/>
      <c r="G80" s="27"/>
      <c r="H80" s="27"/>
      <c r="I80" s="27"/>
      <c r="J80" s="6"/>
      <c r="K80" s="6"/>
      <c r="L80" s="6"/>
      <c r="M80" s="6"/>
      <c r="N80" s="6"/>
      <c r="O80" s="6"/>
      <c r="P80" s="27"/>
      <c r="Q80" s="27"/>
      <c r="R80" s="27"/>
      <c r="S80" s="27"/>
    </row>
    <row r="81" spans="1:19" ht="18.75" customHeight="1" x14ac:dyDescent="0.15">
      <c r="A81" s="1" t="s">
        <v>45</v>
      </c>
    </row>
    <row r="82" spans="1:19" ht="18.75" customHeight="1" x14ac:dyDescent="0.15">
      <c r="B82" s="133" t="s">
        <v>46</v>
      </c>
      <c r="C82" s="134"/>
      <c r="D82" s="135" t="s">
        <v>47</v>
      </c>
      <c r="E82" s="135"/>
      <c r="F82" s="135"/>
      <c r="G82" s="135"/>
      <c r="H82" s="135"/>
      <c r="I82" s="135"/>
      <c r="J82" s="135"/>
      <c r="K82" s="135"/>
      <c r="L82" s="135"/>
      <c r="M82" s="135"/>
      <c r="N82" s="135"/>
      <c r="O82" s="135"/>
      <c r="P82" s="135"/>
      <c r="Q82" s="135"/>
      <c r="R82" s="135"/>
      <c r="S82" s="136"/>
    </row>
    <row r="83" spans="1:19" ht="97.5" customHeight="1" x14ac:dyDescent="0.15">
      <c r="B83" s="118" t="s">
        <v>48</v>
      </c>
      <c r="C83" s="28" t="s">
        <v>23</v>
      </c>
      <c r="D83" s="127" t="s">
        <v>49</v>
      </c>
      <c r="E83" s="128"/>
      <c r="F83" s="128"/>
      <c r="G83" s="128"/>
      <c r="H83" s="128"/>
      <c r="I83" s="128"/>
      <c r="J83" s="128"/>
      <c r="K83" s="128"/>
      <c r="L83" s="128"/>
      <c r="M83" s="128"/>
      <c r="N83" s="128"/>
      <c r="O83" s="128"/>
      <c r="P83" s="128"/>
      <c r="Q83" s="128"/>
      <c r="R83" s="128"/>
      <c r="S83" s="129"/>
    </row>
    <row r="84" spans="1:19" ht="97.5" customHeight="1" x14ac:dyDescent="0.15">
      <c r="B84" s="119"/>
      <c r="C84" s="29" t="s">
        <v>50</v>
      </c>
      <c r="D84" s="154" t="s">
        <v>51</v>
      </c>
      <c r="E84" s="155"/>
      <c r="F84" s="155"/>
      <c r="G84" s="155"/>
      <c r="H84" s="155"/>
      <c r="I84" s="155"/>
      <c r="J84" s="155"/>
      <c r="K84" s="155"/>
      <c r="L84" s="155"/>
      <c r="M84" s="155"/>
      <c r="N84" s="155"/>
      <c r="O84" s="155"/>
      <c r="P84" s="155"/>
      <c r="Q84" s="155"/>
      <c r="R84" s="155"/>
      <c r="S84" s="156"/>
    </row>
    <row r="85" spans="1:19" ht="97.5" customHeight="1" x14ac:dyDescent="0.15">
      <c r="B85" s="118" t="s">
        <v>52</v>
      </c>
      <c r="C85" s="30" t="s">
        <v>28</v>
      </c>
      <c r="D85" s="157" t="s">
        <v>53</v>
      </c>
      <c r="E85" s="158"/>
      <c r="F85" s="158"/>
      <c r="G85" s="158"/>
      <c r="H85" s="158"/>
      <c r="I85" s="158"/>
      <c r="J85" s="158"/>
      <c r="K85" s="158"/>
      <c r="L85" s="158"/>
      <c r="M85" s="158"/>
      <c r="N85" s="158"/>
      <c r="O85" s="158"/>
      <c r="P85" s="158"/>
      <c r="Q85" s="158"/>
      <c r="R85" s="158"/>
      <c r="S85" s="159"/>
    </row>
    <row r="86" spans="1:19" ht="83.25" customHeight="1" x14ac:dyDescent="0.15">
      <c r="B86" s="120"/>
      <c r="C86" s="31" t="s">
        <v>29</v>
      </c>
      <c r="D86" s="163" t="s">
        <v>54</v>
      </c>
      <c r="E86" s="164"/>
      <c r="F86" s="164"/>
      <c r="G86" s="164"/>
      <c r="H86" s="164"/>
      <c r="I86" s="164"/>
      <c r="J86" s="164"/>
      <c r="K86" s="164"/>
      <c r="L86" s="164"/>
      <c r="M86" s="164"/>
      <c r="N86" s="164"/>
      <c r="O86" s="164"/>
      <c r="P86" s="164"/>
      <c r="Q86" s="164"/>
      <c r="R86" s="164"/>
      <c r="S86" s="165"/>
    </row>
    <row r="87" spans="1:19" ht="97.5" customHeight="1" x14ac:dyDescent="0.15">
      <c r="B87" s="118" t="s">
        <v>55</v>
      </c>
      <c r="C87" s="30" t="s">
        <v>31</v>
      </c>
      <c r="D87" s="157" t="s">
        <v>56</v>
      </c>
      <c r="E87" s="158"/>
      <c r="F87" s="158"/>
      <c r="G87" s="158"/>
      <c r="H87" s="158"/>
      <c r="I87" s="158"/>
      <c r="J87" s="158"/>
      <c r="K87" s="158"/>
      <c r="L87" s="158"/>
      <c r="M87" s="158"/>
      <c r="N87" s="158"/>
      <c r="O87" s="158"/>
      <c r="P87" s="158"/>
      <c r="Q87" s="158"/>
      <c r="R87" s="158"/>
      <c r="S87" s="159"/>
    </row>
    <row r="88" spans="1:19" ht="97.5" customHeight="1" x14ac:dyDescent="0.15">
      <c r="B88" s="120"/>
      <c r="C88" s="32" t="s">
        <v>32</v>
      </c>
      <c r="D88" s="160" t="s">
        <v>57</v>
      </c>
      <c r="E88" s="161"/>
      <c r="F88" s="161"/>
      <c r="G88" s="161"/>
      <c r="H88" s="161"/>
      <c r="I88" s="161"/>
      <c r="J88" s="161"/>
      <c r="K88" s="161"/>
      <c r="L88" s="161"/>
      <c r="M88" s="161"/>
      <c r="N88" s="161"/>
      <c r="O88" s="161"/>
      <c r="P88" s="161"/>
      <c r="Q88" s="161"/>
      <c r="R88" s="161"/>
      <c r="S88" s="162"/>
    </row>
    <row r="89" spans="1:19" ht="156.75" customHeight="1" x14ac:dyDescent="0.15">
      <c r="B89" s="118" t="s">
        <v>58</v>
      </c>
      <c r="C89" s="28" t="s">
        <v>34</v>
      </c>
      <c r="D89" s="127" t="s">
        <v>59</v>
      </c>
      <c r="E89" s="128"/>
      <c r="F89" s="128"/>
      <c r="G89" s="128"/>
      <c r="H89" s="128"/>
      <c r="I89" s="128"/>
      <c r="J89" s="128"/>
      <c r="K89" s="128"/>
      <c r="L89" s="128"/>
      <c r="M89" s="128"/>
      <c r="N89" s="128"/>
      <c r="O89" s="128"/>
      <c r="P89" s="128"/>
      <c r="Q89" s="128"/>
      <c r="R89" s="128"/>
      <c r="S89" s="129"/>
    </row>
    <row r="90" spans="1:19" ht="76.5" customHeight="1" x14ac:dyDescent="0.15">
      <c r="B90" s="120"/>
      <c r="C90" s="31" t="s">
        <v>35</v>
      </c>
      <c r="D90" s="166" t="s">
        <v>60</v>
      </c>
      <c r="E90" s="167"/>
      <c r="F90" s="167"/>
      <c r="G90" s="167"/>
      <c r="H90" s="167"/>
      <c r="I90" s="167"/>
      <c r="J90" s="167"/>
      <c r="K90" s="167"/>
      <c r="L90" s="167"/>
      <c r="M90" s="167"/>
      <c r="N90" s="167"/>
      <c r="O90" s="167"/>
      <c r="P90" s="167"/>
      <c r="Q90" s="167"/>
      <c r="R90" s="167"/>
      <c r="S90" s="168"/>
    </row>
    <row r="91" spans="1:19" ht="111.75" customHeight="1" x14ac:dyDescent="0.15">
      <c r="B91" s="118" t="s">
        <v>61</v>
      </c>
      <c r="C91" s="30" t="s">
        <v>62</v>
      </c>
      <c r="D91" s="121" t="s">
        <v>63</v>
      </c>
      <c r="E91" s="122"/>
      <c r="F91" s="122"/>
      <c r="G91" s="122"/>
      <c r="H91" s="122"/>
      <c r="I91" s="122"/>
      <c r="J91" s="122"/>
      <c r="K91" s="122"/>
      <c r="L91" s="122"/>
      <c r="M91" s="122"/>
      <c r="N91" s="122"/>
      <c r="O91" s="122"/>
      <c r="P91" s="122"/>
      <c r="Q91" s="122"/>
      <c r="R91" s="122"/>
      <c r="S91" s="123"/>
    </row>
    <row r="92" spans="1:19" ht="70.5" customHeight="1" x14ac:dyDescent="0.15">
      <c r="B92" s="119"/>
      <c r="C92" s="33" t="s">
        <v>39</v>
      </c>
      <c r="D92" s="169" t="s">
        <v>64</v>
      </c>
      <c r="E92" s="116"/>
      <c r="F92" s="116"/>
      <c r="G92" s="116"/>
      <c r="H92" s="116"/>
      <c r="I92" s="116"/>
      <c r="J92" s="116"/>
      <c r="K92" s="116"/>
      <c r="L92" s="116"/>
      <c r="M92" s="116"/>
      <c r="N92" s="116"/>
      <c r="O92" s="116"/>
      <c r="P92" s="116"/>
      <c r="Q92" s="116"/>
      <c r="R92" s="116"/>
      <c r="S92" s="117"/>
    </row>
    <row r="93" spans="1:19" ht="153" customHeight="1" x14ac:dyDescent="0.15">
      <c r="B93" s="120"/>
      <c r="C93" s="32" t="s">
        <v>40</v>
      </c>
      <c r="D93" s="124" t="s">
        <v>65</v>
      </c>
      <c r="E93" s="125"/>
      <c r="F93" s="125"/>
      <c r="G93" s="125"/>
      <c r="H93" s="125"/>
      <c r="I93" s="125"/>
      <c r="J93" s="125"/>
      <c r="K93" s="125"/>
      <c r="L93" s="125"/>
      <c r="M93" s="125"/>
      <c r="N93" s="125"/>
      <c r="O93" s="125"/>
      <c r="P93" s="125"/>
      <c r="Q93" s="125"/>
      <c r="R93" s="125"/>
      <c r="S93" s="126"/>
    </row>
    <row r="94" spans="1:19" ht="6" customHeight="1" x14ac:dyDescent="0.15"/>
    <row r="95" spans="1:19" ht="18.75" customHeight="1" x14ac:dyDescent="0.15">
      <c r="A95" s="1" t="s">
        <v>66</v>
      </c>
    </row>
    <row r="96" spans="1:19" ht="81.75" customHeight="1" x14ac:dyDescent="0.15">
      <c r="B96" s="148" t="s">
        <v>197</v>
      </c>
      <c r="C96" s="149"/>
      <c r="D96" s="149"/>
      <c r="E96" s="149"/>
      <c r="F96" s="149"/>
      <c r="G96" s="149"/>
      <c r="H96" s="149"/>
      <c r="I96" s="149"/>
      <c r="J96" s="149"/>
      <c r="K96" s="149"/>
      <c r="L96" s="149"/>
      <c r="M96" s="149"/>
      <c r="N96" s="149"/>
      <c r="O96" s="149"/>
      <c r="P96" s="149"/>
      <c r="Q96" s="149"/>
      <c r="R96" s="149"/>
      <c r="S96" s="150"/>
    </row>
    <row r="104" ht="18" customHeight="1" x14ac:dyDescent="0.15"/>
  </sheetData>
  <mergeCells count="133">
    <mergeCell ref="C3:I3"/>
    <mergeCell ref="A5:S5"/>
    <mergeCell ref="B13:S18"/>
    <mergeCell ref="A22:S23"/>
    <mergeCell ref="K7:S7"/>
    <mergeCell ref="B9:S10"/>
    <mergeCell ref="J60:O60"/>
    <mergeCell ref="J61:O61"/>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B52:E52"/>
    <mergeCell ref="B53:E53"/>
    <mergeCell ref="A33:S34"/>
    <mergeCell ref="C20:D20"/>
    <mergeCell ref="B35:E35"/>
    <mergeCell ref="B36:E36"/>
    <mergeCell ref="B37:E37"/>
    <mergeCell ref="B57:E57"/>
    <mergeCell ref="B58:E58"/>
    <mergeCell ref="B46:E46"/>
    <mergeCell ref="B47:E47"/>
    <mergeCell ref="J46:O46"/>
    <mergeCell ref="J36:O36"/>
    <mergeCell ref="J37:O37"/>
    <mergeCell ref="J38:O38"/>
    <mergeCell ref="J58:O58"/>
    <mergeCell ref="J35:O35"/>
    <mergeCell ref="D92:S92"/>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B65:D65"/>
    <mergeCell ref="J65:N65"/>
    <mergeCell ref="B50:E50"/>
    <mergeCell ref="B51:E51"/>
    <mergeCell ref="J53:O53"/>
    <mergeCell ref="B96:S96"/>
    <mergeCell ref="P79:S79"/>
    <mergeCell ref="B74:E74"/>
    <mergeCell ref="F74:I74"/>
    <mergeCell ref="J74:O74"/>
    <mergeCell ref="P74:S74"/>
    <mergeCell ref="B77:E77"/>
    <mergeCell ref="F77:I77"/>
    <mergeCell ref="J77:O77"/>
    <mergeCell ref="P77:S77"/>
    <mergeCell ref="B75:E75"/>
    <mergeCell ref="D84:S84"/>
    <mergeCell ref="D85:S85"/>
    <mergeCell ref="D88:S88"/>
    <mergeCell ref="D86:S86"/>
    <mergeCell ref="D87:S87"/>
    <mergeCell ref="B87:B88"/>
    <mergeCell ref="B83:B84"/>
    <mergeCell ref="J66:N66"/>
    <mergeCell ref="P78:S78"/>
    <mergeCell ref="B79:E79"/>
    <mergeCell ref="D90:S90"/>
    <mergeCell ref="F79:I79"/>
    <mergeCell ref="B85:B86"/>
    <mergeCell ref="J57:O57"/>
    <mergeCell ref="J67:N67"/>
    <mergeCell ref="B76:E76"/>
    <mergeCell ref="F75:I75"/>
    <mergeCell ref="F76:I76"/>
    <mergeCell ref="J75:O75"/>
    <mergeCell ref="J76:O76"/>
    <mergeCell ref="B68:D68"/>
    <mergeCell ref="B69:D69"/>
    <mergeCell ref="B78:E78"/>
    <mergeCell ref="F78:I78"/>
    <mergeCell ref="J78:O78"/>
    <mergeCell ref="F72:I72"/>
    <mergeCell ref="J72:O72"/>
    <mergeCell ref="B66:D66"/>
    <mergeCell ref="B67:D67"/>
    <mergeCell ref="B59:E59"/>
    <mergeCell ref="B60:E60"/>
    <mergeCell ref="B61:E61"/>
    <mergeCell ref="A63:S64"/>
    <mergeCell ref="A44:S45"/>
    <mergeCell ref="B48:E48"/>
    <mergeCell ref="B91:B93"/>
    <mergeCell ref="D91:S91"/>
    <mergeCell ref="D93:S93"/>
    <mergeCell ref="B89:B90"/>
    <mergeCell ref="D89:S89"/>
    <mergeCell ref="J68:N68"/>
    <mergeCell ref="B49:E49"/>
    <mergeCell ref="A55:S56"/>
    <mergeCell ref="J69:N69"/>
    <mergeCell ref="J79:O79"/>
    <mergeCell ref="B82:C82"/>
    <mergeCell ref="D82:S82"/>
    <mergeCell ref="D83:S83"/>
    <mergeCell ref="J73:O73"/>
    <mergeCell ref="P73:S73"/>
    <mergeCell ref="P72:S72"/>
    <mergeCell ref="B73:E73"/>
    <mergeCell ref="J59:O59"/>
    <mergeCell ref="B72:E72"/>
    <mergeCell ref="F73:I73"/>
    <mergeCell ref="P75:S75"/>
    <mergeCell ref="P76:S76"/>
  </mergeCells>
  <phoneticPr fontId="1"/>
  <conditionalFormatting sqref="B9:S10">
    <cfRule type="expression" dxfId="2" priority="1">
      <formula>$K$7="学部・学科によって、修了要件は相違しない"</formula>
    </cfRule>
  </conditionalFormatting>
  <dataValidations count="5">
    <dataValidation type="list" allowBlank="1" showInputMessage="1" showErrorMessage="1" sqref="G25:I31 Q25:S31 G36:I42 Q36:S42 G47:I53 Q47:S53 G58:I61 Q58:S61 P66:S69 F66:I69"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3:F80 P73:P80 G73:I74 G77:I80 Q77:S80 Q73:S74"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6" fitToHeight="0" orientation="portrait" r:id="rId1"/>
  <headerFooter>
    <oddHeader>&amp;C数理・データサイエンス・AI教育プログラム認定制度【リテラシーレベル】</oddHeader>
  </headerFooter>
  <rowBreaks count="2" manualBreakCount="2">
    <brk id="62" max="18" man="1"/>
    <brk id="88"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2D6D8-37F1-4170-99B0-C139C92504A5}">
  <sheetPr>
    <pageSetUpPr fitToPage="1"/>
  </sheetPr>
  <dimension ref="A1:V110"/>
  <sheetViews>
    <sheetView workbookViewId="0">
      <selection activeCell="D99" sqref="D99:S99"/>
    </sheetView>
  </sheetViews>
  <sheetFormatPr defaultColWidth="9" defaultRowHeight="14.25" x14ac:dyDescent="0.15"/>
  <cols>
    <col min="1" max="1" width="2.375" style="1" customWidth="1"/>
    <col min="2" max="2" width="16.37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70" t="s">
        <v>67</v>
      </c>
      <c r="S1" s="170"/>
      <c r="T1" s="2" t="s">
        <v>1</v>
      </c>
    </row>
    <row r="2" spans="1:22" ht="18.75" customHeight="1" x14ac:dyDescent="0.15">
      <c r="B2" s="34" t="s">
        <v>2</v>
      </c>
      <c r="C2" s="141" t="s">
        <v>3</v>
      </c>
      <c r="D2" s="135"/>
      <c r="E2" s="135"/>
      <c r="F2" s="135"/>
      <c r="G2" s="135"/>
      <c r="H2" s="135"/>
      <c r="I2" s="136"/>
      <c r="J2" s="113"/>
      <c r="K2" s="6"/>
      <c r="L2" s="6"/>
      <c r="M2" s="6"/>
      <c r="N2" s="6"/>
      <c r="O2" s="6"/>
      <c r="P2" s="6"/>
      <c r="Q2" s="6"/>
      <c r="R2" s="6"/>
      <c r="S2" s="6"/>
    </row>
    <row r="3" spans="1:22" ht="18.75" customHeight="1" x14ac:dyDescent="0.15">
      <c r="B3" s="34" t="s">
        <v>4</v>
      </c>
      <c r="C3" s="177" t="s">
        <v>5</v>
      </c>
      <c r="D3" s="178"/>
      <c r="E3" s="178"/>
      <c r="F3" s="178"/>
      <c r="G3" s="178"/>
      <c r="H3" s="178"/>
      <c r="I3" s="179"/>
      <c r="J3" s="113"/>
      <c r="K3" s="6"/>
      <c r="L3" s="6"/>
      <c r="M3" s="6"/>
      <c r="N3" s="6"/>
      <c r="O3" s="6"/>
      <c r="P3" s="6"/>
      <c r="Q3" s="6"/>
      <c r="R3" s="6"/>
      <c r="S3" s="6"/>
    </row>
    <row r="4" spans="1:22" ht="15" customHeight="1" x14ac:dyDescent="0.15">
      <c r="K4" s="35"/>
      <c r="L4" s="37"/>
      <c r="M4" s="37"/>
      <c r="N4" s="37"/>
      <c r="O4" s="37"/>
      <c r="P4" s="37"/>
      <c r="Q4" s="37"/>
      <c r="R4" s="37"/>
      <c r="S4" s="37"/>
    </row>
    <row r="5" spans="1:22" ht="18" customHeight="1" x14ac:dyDescent="0.15">
      <c r="A5" s="180" t="s">
        <v>6</v>
      </c>
      <c r="B5" s="180"/>
      <c r="C5" s="180"/>
      <c r="D5" s="180"/>
      <c r="E5" s="180"/>
      <c r="F5" s="180"/>
      <c r="G5" s="180"/>
      <c r="H5" s="180"/>
      <c r="I5" s="180"/>
      <c r="J5" s="180"/>
      <c r="K5" s="180"/>
      <c r="L5" s="180"/>
      <c r="M5" s="180"/>
      <c r="N5" s="180"/>
      <c r="O5" s="180"/>
      <c r="P5" s="180"/>
      <c r="Q5" s="180"/>
      <c r="R5" s="180"/>
      <c r="S5" s="180"/>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7</v>
      </c>
      <c r="C7" s="3"/>
      <c r="J7" s="38" t="s">
        <v>8</v>
      </c>
      <c r="K7" s="190" t="s">
        <v>68</v>
      </c>
      <c r="L7" s="191"/>
      <c r="M7" s="191"/>
      <c r="N7" s="191"/>
      <c r="O7" s="191"/>
      <c r="P7" s="191"/>
      <c r="Q7" s="191"/>
      <c r="R7" s="191"/>
      <c r="S7" s="192"/>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93" t="s">
        <v>69</v>
      </c>
      <c r="C9" s="194"/>
      <c r="D9" s="194"/>
      <c r="E9" s="194"/>
      <c r="F9" s="194"/>
      <c r="G9" s="194"/>
      <c r="H9" s="194"/>
      <c r="I9" s="194"/>
      <c r="J9" s="194"/>
      <c r="K9" s="194"/>
      <c r="L9" s="194"/>
      <c r="M9" s="194"/>
      <c r="N9" s="194"/>
      <c r="O9" s="194"/>
      <c r="P9" s="194"/>
      <c r="Q9" s="194"/>
      <c r="R9" s="194"/>
      <c r="S9" s="195"/>
    </row>
    <row r="10" spans="1:22" ht="18" customHeight="1" x14ac:dyDescent="0.15">
      <c r="B10" s="196"/>
      <c r="C10" s="197"/>
      <c r="D10" s="197"/>
      <c r="E10" s="197"/>
      <c r="F10" s="197"/>
      <c r="G10" s="197"/>
      <c r="H10" s="197"/>
      <c r="I10" s="197"/>
      <c r="J10" s="197"/>
      <c r="K10" s="197"/>
      <c r="L10" s="197"/>
      <c r="M10" s="197"/>
      <c r="N10" s="197"/>
      <c r="O10" s="197"/>
      <c r="P10" s="197"/>
      <c r="Q10" s="197"/>
      <c r="R10" s="197"/>
      <c r="S10" s="198"/>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v>
      </c>
      <c r="B12" s="3"/>
      <c r="C12" s="3"/>
      <c r="D12" s="35"/>
      <c r="E12" s="35"/>
      <c r="F12" s="35"/>
      <c r="G12" s="35"/>
      <c r="H12" s="35"/>
      <c r="I12" s="35"/>
      <c r="J12" s="35"/>
      <c r="K12" s="39"/>
      <c r="L12" s="39"/>
      <c r="M12" s="39"/>
      <c r="N12" s="39"/>
      <c r="O12" s="39"/>
      <c r="P12" s="39"/>
      <c r="Q12" s="39"/>
      <c r="R12" s="39"/>
      <c r="S12" s="39"/>
    </row>
    <row r="13" spans="1:22" ht="18" customHeight="1" x14ac:dyDescent="0.15">
      <c r="B13" s="181" t="s">
        <v>202</v>
      </c>
      <c r="C13" s="182"/>
      <c r="D13" s="182"/>
      <c r="E13" s="182"/>
      <c r="F13" s="182"/>
      <c r="G13" s="182"/>
      <c r="H13" s="182"/>
      <c r="I13" s="182"/>
      <c r="J13" s="182"/>
      <c r="K13" s="182"/>
      <c r="L13" s="182"/>
      <c r="M13" s="182"/>
      <c r="N13" s="182"/>
      <c r="O13" s="182"/>
      <c r="P13" s="182"/>
      <c r="Q13" s="182"/>
      <c r="R13" s="182"/>
      <c r="S13" s="183"/>
      <c r="V13" s="1" t="s">
        <v>12</v>
      </c>
    </row>
    <row r="14" spans="1:22" ht="18" customHeight="1" x14ac:dyDescent="0.15">
      <c r="B14" s="184"/>
      <c r="C14" s="185"/>
      <c r="D14" s="185"/>
      <c r="E14" s="185"/>
      <c r="F14" s="185"/>
      <c r="G14" s="185"/>
      <c r="H14" s="185"/>
      <c r="I14" s="185"/>
      <c r="J14" s="185"/>
      <c r="K14" s="185"/>
      <c r="L14" s="185"/>
      <c r="M14" s="185"/>
      <c r="N14" s="185"/>
      <c r="O14" s="185"/>
      <c r="P14" s="185"/>
      <c r="Q14" s="185"/>
      <c r="R14" s="185"/>
      <c r="S14" s="186"/>
      <c r="V14" s="1" t="s">
        <v>13</v>
      </c>
    </row>
    <row r="15" spans="1:22" ht="18" customHeight="1" x14ac:dyDescent="0.15">
      <c r="B15" s="184"/>
      <c r="C15" s="185"/>
      <c r="D15" s="185"/>
      <c r="E15" s="185"/>
      <c r="F15" s="185"/>
      <c r="G15" s="185"/>
      <c r="H15" s="185"/>
      <c r="I15" s="185"/>
      <c r="J15" s="185"/>
      <c r="K15" s="185"/>
      <c r="L15" s="185"/>
      <c r="M15" s="185"/>
      <c r="N15" s="185"/>
      <c r="O15" s="185"/>
      <c r="P15" s="185"/>
      <c r="Q15" s="185"/>
      <c r="R15" s="185"/>
      <c r="S15" s="186"/>
      <c r="V15" s="1" t="s">
        <v>14</v>
      </c>
    </row>
    <row r="16" spans="1:22" ht="18" customHeight="1" x14ac:dyDescent="0.15">
      <c r="B16" s="184"/>
      <c r="C16" s="185"/>
      <c r="D16" s="185"/>
      <c r="E16" s="185"/>
      <c r="F16" s="185"/>
      <c r="G16" s="185"/>
      <c r="H16" s="185"/>
      <c r="I16" s="185"/>
      <c r="J16" s="185"/>
      <c r="K16" s="185"/>
      <c r="L16" s="185"/>
      <c r="M16" s="185"/>
      <c r="N16" s="185"/>
      <c r="O16" s="185"/>
      <c r="P16" s="185"/>
      <c r="Q16" s="185"/>
      <c r="R16" s="185"/>
      <c r="S16" s="186"/>
      <c r="V16" s="1" t="s">
        <v>15</v>
      </c>
    </row>
    <row r="17" spans="1:19" ht="18" customHeight="1" x14ac:dyDescent="0.15">
      <c r="B17" s="184"/>
      <c r="C17" s="185"/>
      <c r="D17" s="185"/>
      <c r="E17" s="185"/>
      <c r="F17" s="185"/>
      <c r="G17" s="185"/>
      <c r="H17" s="185"/>
      <c r="I17" s="185"/>
      <c r="J17" s="185"/>
      <c r="K17" s="185"/>
      <c r="L17" s="185"/>
      <c r="M17" s="185"/>
      <c r="N17" s="185"/>
      <c r="O17" s="185"/>
      <c r="P17" s="185"/>
      <c r="Q17" s="185"/>
      <c r="R17" s="185"/>
      <c r="S17" s="186"/>
    </row>
    <row r="18" spans="1:19" ht="49.5" customHeight="1" x14ac:dyDescent="0.15">
      <c r="B18" s="187"/>
      <c r="C18" s="188"/>
      <c r="D18" s="188"/>
      <c r="E18" s="188"/>
      <c r="F18" s="188"/>
      <c r="G18" s="188"/>
      <c r="H18" s="188"/>
      <c r="I18" s="188"/>
      <c r="J18" s="188"/>
      <c r="K18" s="188"/>
      <c r="L18" s="188"/>
      <c r="M18" s="188"/>
      <c r="N18" s="188"/>
      <c r="O18" s="188"/>
      <c r="P18" s="188"/>
      <c r="Q18" s="188"/>
      <c r="R18" s="188"/>
      <c r="S18" s="189"/>
    </row>
    <row r="19" spans="1:19" ht="7.5" customHeight="1" x14ac:dyDescent="0.15">
      <c r="B19" s="3"/>
      <c r="C19" s="3"/>
      <c r="D19" s="3"/>
      <c r="E19" s="3"/>
      <c r="F19" s="3"/>
      <c r="G19" s="3"/>
      <c r="H19" s="3"/>
      <c r="I19" s="3"/>
      <c r="J19" s="3"/>
      <c r="K19" s="3"/>
      <c r="L19" s="3"/>
      <c r="M19" s="3"/>
      <c r="N19" s="3"/>
      <c r="O19" s="3"/>
      <c r="P19" s="3"/>
      <c r="Q19" s="3"/>
      <c r="R19" s="3"/>
      <c r="S19" s="3"/>
    </row>
    <row r="20" spans="1:19" ht="20.100000000000001" customHeight="1" x14ac:dyDescent="0.15">
      <c r="B20" s="1" t="s">
        <v>16</v>
      </c>
      <c r="C20" s="141">
        <v>6</v>
      </c>
      <c r="D20" s="136"/>
      <c r="E20" s="40" t="s">
        <v>17</v>
      </c>
      <c r="G20" s="10"/>
      <c r="H20" s="3"/>
      <c r="I20" s="3"/>
      <c r="J20" s="35" t="s">
        <v>18</v>
      </c>
      <c r="K20" s="174" t="s">
        <v>15</v>
      </c>
      <c r="L20" s="175"/>
      <c r="M20" s="175"/>
      <c r="N20" s="175"/>
      <c r="O20" s="175"/>
      <c r="P20" s="175"/>
      <c r="Q20" s="175"/>
      <c r="R20" s="175"/>
      <c r="S20" s="176"/>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14" t="s">
        <v>19</v>
      </c>
      <c r="B22" s="114"/>
      <c r="C22" s="114"/>
      <c r="D22" s="114"/>
      <c r="E22" s="114"/>
      <c r="F22" s="114"/>
      <c r="G22" s="114"/>
      <c r="H22" s="114"/>
      <c r="I22" s="114"/>
      <c r="J22" s="114"/>
      <c r="K22" s="114"/>
      <c r="L22" s="114"/>
      <c r="M22" s="114"/>
      <c r="N22" s="114"/>
      <c r="O22" s="114"/>
      <c r="P22" s="114"/>
      <c r="Q22" s="114"/>
      <c r="R22" s="114"/>
      <c r="S22" s="114"/>
    </row>
    <row r="23" spans="1:19" ht="18" customHeight="1" x14ac:dyDescent="0.15">
      <c r="A23" s="114"/>
      <c r="B23" s="114"/>
      <c r="C23" s="114"/>
      <c r="D23" s="114"/>
      <c r="E23" s="114"/>
      <c r="F23" s="114"/>
      <c r="G23" s="114"/>
      <c r="H23" s="114"/>
      <c r="I23" s="114"/>
      <c r="J23" s="114"/>
      <c r="K23" s="114"/>
      <c r="L23" s="114"/>
      <c r="M23" s="114"/>
      <c r="N23" s="114"/>
      <c r="O23" s="114"/>
      <c r="P23" s="114"/>
      <c r="Q23" s="114"/>
      <c r="R23" s="114"/>
      <c r="S23" s="114"/>
    </row>
    <row r="24" spans="1:19" ht="18" customHeight="1" x14ac:dyDescent="0.15">
      <c r="B24" s="141" t="s">
        <v>20</v>
      </c>
      <c r="C24" s="135"/>
      <c r="D24" s="135"/>
      <c r="E24" s="136"/>
      <c r="F24" s="60" t="s">
        <v>21</v>
      </c>
      <c r="G24" s="59" t="s">
        <v>22</v>
      </c>
      <c r="H24" s="22" t="s">
        <v>23</v>
      </c>
      <c r="I24" s="22" t="s">
        <v>24</v>
      </c>
      <c r="J24" s="141" t="s">
        <v>20</v>
      </c>
      <c r="K24" s="135"/>
      <c r="L24" s="135"/>
      <c r="M24" s="135"/>
      <c r="N24" s="135"/>
      <c r="O24" s="136"/>
      <c r="P24" s="60" t="s">
        <v>21</v>
      </c>
      <c r="Q24" s="59" t="s">
        <v>22</v>
      </c>
      <c r="R24" s="22" t="s">
        <v>23</v>
      </c>
      <c r="S24" s="22" t="s">
        <v>24</v>
      </c>
    </row>
    <row r="25" spans="1:19" ht="18" customHeight="1" x14ac:dyDescent="0.15">
      <c r="B25" s="137" t="s">
        <v>25</v>
      </c>
      <c r="C25" s="122"/>
      <c r="D25" s="122"/>
      <c r="E25" s="123"/>
      <c r="F25" s="23">
        <v>2</v>
      </c>
      <c r="G25" s="23" t="s">
        <v>26</v>
      </c>
      <c r="H25" s="23" t="s">
        <v>26</v>
      </c>
      <c r="I25" s="23" t="s">
        <v>26</v>
      </c>
      <c r="J25" s="137"/>
      <c r="K25" s="122"/>
      <c r="L25" s="122"/>
      <c r="M25" s="122"/>
      <c r="N25" s="122"/>
      <c r="O25" s="123"/>
      <c r="P25" s="23"/>
      <c r="Q25" s="23"/>
      <c r="R25" s="23"/>
      <c r="S25" s="23"/>
    </row>
    <row r="26" spans="1:19" ht="18" customHeight="1" x14ac:dyDescent="0.15">
      <c r="B26" s="115" t="s">
        <v>70</v>
      </c>
      <c r="C26" s="116"/>
      <c r="D26" s="116"/>
      <c r="E26" s="117"/>
      <c r="F26" s="24">
        <v>4</v>
      </c>
      <c r="G26" s="24" t="s">
        <v>26</v>
      </c>
      <c r="H26" s="24" t="s">
        <v>26</v>
      </c>
      <c r="I26" s="24"/>
      <c r="J26" s="115"/>
      <c r="K26" s="116"/>
      <c r="L26" s="116"/>
      <c r="M26" s="116"/>
      <c r="N26" s="116"/>
      <c r="O26" s="117"/>
      <c r="P26" s="24"/>
      <c r="Q26" s="24"/>
      <c r="R26" s="24"/>
      <c r="S26" s="24"/>
    </row>
    <row r="27" spans="1:19" ht="18" customHeight="1" x14ac:dyDescent="0.15">
      <c r="B27" s="115"/>
      <c r="C27" s="116"/>
      <c r="D27" s="116"/>
      <c r="E27" s="117"/>
      <c r="F27" s="24"/>
      <c r="G27" s="24"/>
      <c r="H27" s="24"/>
      <c r="I27" s="24"/>
      <c r="J27" s="115"/>
      <c r="K27" s="116"/>
      <c r="L27" s="116"/>
      <c r="M27" s="116"/>
      <c r="N27" s="116"/>
      <c r="O27" s="117"/>
      <c r="P27" s="24"/>
      <c r="Q27" s="24"/>
      <c r="R27" s="24"/>
      <c r="S27" s="24"/>
    </row>
    <row r="28" spans="1:19" ht="18" customHeight="1" x14ac:dyDescent="0.15">
      <c r="B28" s="115"/>
      <c r="C28" s="116"/>
      <c r="D28" s="116"/>
      <c r="E28" s="117"/>
      <c r="F28" s="24"/>
      <c r="G28" s="24"/>
      <c r="H28" s="24"/>
      <c r="I28" s="24"/>
      <c r="J28" s="115"/>
      <c r="K28" s="116"/>
      <c r="L28" s="116"/>
      <c r="M28" s="116"/>
      <c r="N28" s="116"/>
      <c r="O28" s="117"/>
      <c r="P28" s="24"/>
      <c r="Q28" s="24"/>
      <c r="R28" s="24"/>
      <c r="S28" s="24"/>
    </row>
    <row r="29" spans="1:19" ht="18" customHeight="1" x14ac:dyDescent="0.15">
      <c r="B29" s="115"/>
      <c r="C29" s="116"/>
      <c r="D29" s="116"/>
      <c r="E29" s="117"/>
      <c r="F29" s="24"/>
      <c r="G29" s="24"/>
      <c r="H29" s="24"/>
      <c r="I29" s="24"/>
      <c r="J29" s="115"/>
      <c r="K29" s="116"/>
      <c r="L29" s="116"/>
      <c r="M29" s="116"/>
      <c r="N29" s="116"/>
      <c r="O29" s="117"/>
      <c r="P29" s="24"/>
      <c r="Q29" s="24"/>
      <c r="R29" s="24"/>
      <c r="S29" s="24"/>
    </row>
    <row r="30" spans="1:19" ht="18" customHeight="1" x14ac:dyDescent="0.15">
      <c r="A30" s="3"/>
      <c r="B30" s="115"/>
      <c r="C30" s="116"/>
      <c r="D30" s="116"/>
      <c r="E30" s="117"/>
      <c r="F30" s="24"/>
      <c r="G30" s="24"/>
      <c r="H30" s="24"/>
      <c r="I30" s="24"/>
      <c r="J30" s="115"/>
      <c r="K30" s="116"/>
      <c r="L30" s="116"/>
      <c r="M30" s="116"/>
      <c r="N30" s="116"/>
      <c r="O30" s="117"/>
      <c r="P30" s="24"/>
      <c r="Q30" s="24"/>
      <c r="R30" s="24"/>
      <c r="S30" s="24"/>
    </row>
    <row r="31" spans="1:19" ht="18" customHeight="1" x14ac:dyDescent="0.15">
      <c r="A31" s="3"/>
      <c r="B31" s="130"/>
      <c r="C31" s="131"/>
      <c r="D31" s="131"/>
      <c r="E31" s="132"/>
      <c r="F31" s="25"/>
      <c r="G31" s="25"/>
      <c r="H31" s="26"/>
      <c r="I31" s="26"/>
      <c r="J31" s="130"/>
      <c r="K31" s="131"/>
      <c r="L31" s="131"/>
      <c r="M31" s="131"/>
      <c r="N31" s="131"/>
      <c r="O31" s="132"/>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14" t="s">
        <v>27</v>
      </c>
      <c r="B33" s="114"/>
      <c r="C33" s="114"/>
      <c r="D33" s="114"/>
      <c r="E33" s="114"/>
      <c r="F33" s="114"/>
      <c r="G33" s="114"/>
      <c r="H33" s="114"/>
      <c r="I33" s="114"/>
      <c r="J33" s="114"/>
      <c r="K33" s="114"/>
      <c r="L33" s="114"/>
      <c r="M33" s="114"/>
      <c r="N33" s="114"/>
      <c r="O33" s="114"/>
      <c r="P33" s="114"/>
      <c r="Q33" s="114"/>
      <c r="R33" s="114"/>
      <c r="S33" s="114"/>
    </row>
    <row r="34" spans="1:19" ht="18" customHeight="1" x14ac:dyDescent="0.15">
      <c r="A34" s="114"/>
      <c r="B34" s="114"/>
      <c r="C34" s="114"/>
      <c r="D34" s="114"/>
      <c r="E34" s="114"/>
      <c r="F34" s="114"/>
      <c r="G34" s="114"/>
      <c r="H34" s="114"/>
      <c r="I34" s="114"/>
      <c r="J34" s="114"/>
      <c r="K34" s="114"/>
      <c r="L34" s="114"/>
      <c r="M34" s="114"/>
      <c r="N34" s="114"/>
      <c r="O34" s="114"/>
      <c r="P34" s="114"/>
      <c r="Q34" s="114"/>
      <c r="R34" s="114"/>
      <c r="S34" s="114"/>
    </row>
    <row r="35" spans="1:19" ht="18" customHeight="1" x14ac:dyDescent="0.15">
      <c r="B35" s="141" t="s">
        <v>20</v>
      </c>
      <c r="C35" s="135"/>
      <c r="D35" s="135"/>
      <c r="E35" s="136"/>
      <c r="F35" s="60" t="s">
        <v>21</v>
      </c>
      <c r="G35" s="59" t="s">
        <v>22</v>
      </c>
      <c r="H35" s="22" t="s">
        <v>28</v>
      </c>
      <c r="I35" s="22" t="s">
        <v>29</v>
      </c>
      <c r="J35" s="141" t="s">
        <v>20</v>
      </c>
      <c r="K35" s="135"/>
      <c r="L35" s="135"/>
      <c r="M35" s="135"/>
      <c r="N35" s="135"/>
      <c r="O35" s="136"/>
      <c r="P35" s="60" t="s">
        <v>21</v>
      </c>
      <c r="Q35" s="59" t="s">
        <v>22</v>
      </c>
      <c r="R35" s="22" t="s">
        <v>28</v>
      </c>
      <c r="S35" s="22" t="s">
        <v>29</v>
      </c>
    </row>
    <row r="36" spans="1:19" ht="18" customHeight="1" x14ac:dyDescent="0.15">
      <c r="B36" s="137" t="s">
        <v>25</v>
      </c>
      <c r="C36" s="122"/>
      <c r="D36" s="122"/>
      <c r="E36" s="123"/>
      <c r="F36" s="23">
        <v>2</v>
      </c>
      <c r="G36" s="23" t="s">
        <v>26</v>
      </c>
      <c r="H36" s="23" t="s">
        <v>26</v>
      </c>
      <c r="I36" s="23" t="s">
        <v>26</v>
      </c>
      <c r="J36" s="137"/>
      <c r="K36" s="122"/>
      <c r="L36" s="122"/>
      <c r="M36" s="122"/>
      <c r="N36" s="122"/>
      <c r="O36" s="123"/>
      <c r="P36" s="23"/>
      <c r="Q36" s="23"/>
      <c r="R36" s="23"/>
      <c r="S36" s="23"/>
    </row>
    <row r="37" spans="1:19" ht="18" customHeight="1" x14ac:dyDescent="0.15">
      <c r="B37" s="115"/>
      <c r="C37" s="116"/>
      <c r="D37" s="116"/>
      <c r="E37" s="117"/>
      <c r="F37" s="24"/>
      <c r="G37" s="24"/>
      <c r="H37" s="24"/>
      <c r="I37" s="24"/>
      <c r="J37" s="115"/>
      <c r="K37" s="116"/>
      <c r="L37" s="116"/>
      <c r="M37" s="116"/>
      <c r="N37" s="116"/>
      <c r="O37" s="117"/>
      <c r="P37" s="24"/>
      <c r="Q37" s="24"/>
      <c r="R37" s="24"/>
      <c r="S37" s="24"/>
    </row>
    <row r="38" spans="1:19" ht="18" customHeight="1" x14ac:dyDescent="0.15">
      <c r="B38" s="115"/>
      <c r="C38" s="116"/>
      <c r="D38" s="116"/>
      <c r="E38" s="117"/>
      <c r="F38" s="24"/>
      <c r="G38" s="24"/>
      <c r="H38" s="24"/>
      <c r="I38" s="24"/>
      <c r="J38" s="115"/>
      <c r="K38" s="116"/>
      <c r="L38" s="116"/>
      <c r="M38" s="116"/>
      <c r="N38" s="116"/>
      <c r="O38" s="117"/>
      <c r="P38" s="24"/>
      <c r="Q38" s="24"/>
      <c r="R38" s="24"/>
      <c r="S38" s="24"/>
    </row>
    <row r="39" spans="1:19" ht="18" customHeight="1" x14ac:dyDescent="0.15">
      <c r="B39" s="115"/>
      <c r="C39" s="116"/>
      <c r="D39" s="116"/>
      <c r="E39" s="117"/>
      <c r="F39" s="24"/>
      <c r="G39" s="24"/>
      <c r="H39" s="24"/>
      <c r="I39" s="24"/>
      <c r="J39" s="115"/>
      <c r="K39" s="116"/>
      <c r="L39" s="116"/>
      <c r="M39" s="116"/>
      <c r="N39" s="116"/>
      <c r="O39" s="117"/>
      <c r="P39" s="24"/>
      <c r="Q39" s="24"/>
      <c r="R39" s="24"/>
      <c r="S39" s="24"/>
    </row>
    <row r="40" spans="1:19" ht="18" customHeight="1" x14ac:dyDescent="0.15">
      <c r="B40" s="115"/>
      <c r="C40" s="116"/>
      <c r="D40" s="116"/>
      <c r="E40" s="117"/>
      <c r="F40" s="24"/>
      <c r="G40" s="24"/>
      <c r="H40" s="24"/>
      <c r="I40" s="24"/>
      <c r="J40" s="115"/>
      <c r="K40" s="116"/>
      <c r="L40" s="116"/>
      <c r="M40" s="116"/>
      <c r="N40" s="116"/>
      <c r="O40" s="117"/>
      <c r="P40" s="24"/>
      <c r="Q40" s="24"/>
      <c r="R40" s="24"/>
      <c r="S40" s="24"/>
    </row>
    <row r="41" spans="1:19" ht="18" customHeight="1" x14ac:dyDescent="0.15">
      <c r="B41" s="115"/>
      <c r="C41" s="116"/>
      <c r="D41" s="116"/>
      <c r="E41" s="117"/>
      <c r="F41" s="24"/>
      <c r="G41" s="24"/>
      <c r="H41" s="24"/>
      <c r="I41" s="24"/>
      <c r="J41" s="115"/>
      <c r="K41" s="116"/>
      <c r="L41" s="116"/>
      <c r="M41" s="116"/>
      <c r="N41" s="116"/>
      <c r="O41" s="117"/>
      <c r="P41" s="24"/>
      <c r="Q41" s="24"/>
      <c r="R41" s="24"/>
      <c r="S41" s="24"/>
    </row>
    <row r="42" spans="1:19" ht="18" customHeight="1" x14ac:dyDescent="0.15">
      <c r="B42" s="130"/>
      <c r="C42" s="131"/>
      <c r="D42" s="131"/>
      <c r="E42" s="132"/>
      <c r="F42" s="25"/>
      <c r="G42" s="25"/>
      <c r="H42" s="26"/>
      <c r="I42" s="26"/>
      <c r="J42" s="130"/>
      <c r="K42" s="131"/>
      <c r="L42" s="131"/>
      <c r="M42" s="131"/>
      <c r="N42" s="131"/>
      <c r="O42" s="132"/>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14" t="s">
        <v>30</v>
      </c>
      <c r="B44" s="114"/>
      <c r="C44" s="114"/>
      <c r="D44" s="114"/>
      <c r="E44" s="114"/>
      <c r="F44" s="114"/>
      <c r="G44" s="114"/>
      <c r="H44" s="114"/>
      <c r="I44" s="114"/>
      <c r="J44" s="114"/>
      <c r="K44" s="114"/>
      <c r="L44" s="114"/>
      <c r="M44" s="114"/>
      <c r="N44" s="114"/>
      <c r="O44" s="114"/>
      <c r="P44" s="114"/>
      <c r="Q44" s="114"/>
      <c r="R44" s="114"/>
      <c r="S44" s="114"/>
    </row>
    <row r="45" spans="1:19" ht="18" customHeight="1" x14ac:dyDescent="0.15">
      <c r="A45" s="114"/>
      <c r="B45" s="114"/>
      <c r="C45" s="114"/>
      <c r="D45" s="114"/>
      <c r="E45" s="114"/>
      <c r="F45" s="114"/>
      <c r="G45" s="114"/>
      <c r="H45" s="114"/>
      <c r="I45" s="114"/>
      <c r="J45" s="114"/>
      <c r="K45" s="114"/>
      <c r="L45" s="114"/>
      <c r="M45" s="114"/>
      <c r="N45" s="114"/>
      <c r="O45" s="114"/>
      <c r="P45" s="114"/>
      <c r="Q45" s="114"/>
      <c r="R45" s="114"/>
      <c r="S45" s="114"/>
    </row>
    <row r="46" spans="1:19" ht="18" customHeight="1" x14ac:dyDescent="0.15">
      <c r="B46" s="141" t="s">
        <v>20</v>
      </c>
      <c r="C46" s="135"/>
      <c r="D46" s="135"/>
      <c r="E46" s="136"/>
      <c r="F46" s="60" t="s">
        <v>21</v>
      </c>
      <c r="G46" s="59" t="s">
        <v>22</v>
      </c>
      <c r="H46" s="22" t="s">
        <v>31</v>
      </c>
      <c r="I46" s="22" t="s">
        <v>32</v>
      </c>
      <c r="J46" s="141" t="s">
        <v>20</v>
      </c>
      <c r="K46" s="135"/>
      <c r="L46" s="135"/>
      <c r="M46" s="135"/>
      <c r="N46" s="135"/>
      <c r="O46" s="136"/>
      <c r="P46" s="60" t="s">
        <v>21</v>
      </c>
      <c r="Q46" s="59" t="s">
        <v>22</v>
      </c>
      <c r="R46" s="22" t="s">
        <v>31</v>
      </c>
      <c r="S46" s="22" t="s">
        <v>32</v>
      </c>
    </row>
    <row r="47" spans="1:19" ht="18" customHeight="1" x14ac:dyDescent="0.15">
      <c r="A47" s="3"/>
      <c r="B47" s="137" t="s">
        <v>25</v>
      </c>
      <c r="C47" s="122"/>
      <c r="D47" s="122"/>
      <c r="E47" s="123"/>
      <c r="F47" s="23">
        <v>2</v>
      </c>
      <c r="G47" s="23" t="s">
        <v>26</v>
      </c>
      <c r="H47" s="23" t="s">
        <v>26</v>
      </c>
      <c r="I47" s="23" t="s">
        <v>26</v>
      </c>
      <c r="J47" s="137"/>
      <c r="K47" s="122"/>
      <c r="L47" s="122"/>
      <c r="M47" s="122"/>
      <c r="N47" s="122"/>
      <c r="O47" s="123"/>
      <c r="P47" s="23"/>
      <c r="Q47" s="23"/>
      <c r="R47" s="23"/>
      <c r="S47" s="23"/>
    </row>
    <row r="48" spans="1:19" ht="18" customHeight="1" x14ac:dyDescent="0.15">
      <c r="A48" s="3"/>
      <c r="B48" s="115"/>
      <c r="C48" s="116"/>
      <c r="D48" s="116"/>
      <c r="E48" s="117"/>
      <c r="F48" s="24"/>
      <c r="G48" s="24"/>
      <c r="H48" s="24"/>
      <c r="I48" s="24"/>
      <c r="J48" s="115"/>
      <c r="K48" s="116"/>
      <c r="L48" s="116"/>
      <c r="M48" s="116"/>
      <c r="N48" s="116"/>
      <c r="O48" s="117"/>
      <c r="P48" s="24"/>
      <c r="Q48" s="24"/>
      <c r="R48" s="24"/>
      <c r="S48" s="24"/>
    </row>
    <row r="49" spans="1:19" ht="18" customHeight="1" x14ac:dyDescent="0.15">
      <c r="A49" s="3"/>
      <c r="B49" s="115"/>
      <c r="C49" s="116"/>
      <c r="D49" s="116"/>
      <c r="E49" s="117"/>
      <c r="F49" s="24"/>
      <c r="G49" s="24"/>
      <c r="H49" s="24"/>
      <c r="I49" s="24"/>
      <c r="J49" s="115"/>
      <c r="K49" s="116"/>
      <c r="L49" s="116"/>
      <c r="M49" s="116"/>
      <c r="N49" s="116"/>
      <c r="O49" s="117"/>
      <c r="P49" s="24"/>
      <c r="Q49" s="24"/>
      <c r="R49" s="24"/>
      <c r="S49" s="24"/>
    </row>
    <row r="50" spans="1:19" ht="18" customHeight="1" x14ac:dyDescent="0.15">
      <c r="A50" s="3"/>
      <c r="B50" s="115"/>
      <c r="C50" s="116"/>
      <c r="D50" s="116"/>
      <c r="E50" s="117"/>
      <c r="F50" s="24"/>
      <c r="G50" s="24"/>
      <c r="H50" s="24"/>
      <c r="I50" s="24"/>
      <c r="J50" s="115"/>
      <c r="K50" s="116"/>
      <c r="L50" s="116"/>
      <c r="M50" s="116"/>
      <c r="N50" s="116"/>
      <c r="O50" s="117"/>
      <c r="P50" s="24"/>
      <c r="Q50" s="24"/>
      <c r="R50" s="24"/>
      <c r="S50" s="24"/>
    </row>
    <row r="51" spans="1:19" ht="18" customHeight="1" x14ac:dyDescent="0.15">
      <c r="A51" s="3"/>
      <c r="B51" s="115"/>
      <c r="C51" s="116"/>
      <c r="D51" s="116"/>
      <c r="E51" s="117"/>
      <c r="F51" s="24"/>
      <c r="G51" s="24"/>
      <c r="H51" s="24"/>
      <c r="I51" s="24"/>
      <c r="J51" s="115"/>
      <c r="K51" s="116"/>
      <c r="L51" s="116"/>
      <c r="M51" s="116"/>
      <c r="N51" s="116"/>
      <c r="O51" s="117"/>
      <c r="P51" s="24"/>
      <c r="Q51" s="24"/>
      <c r="R51" s="24"/>
      <c r="S51" s="24"/>
    </row>
    <row r="52" spans="1:19" ht="18" customHeight="1" x14ac:dyDescent="0.15">
      <c r="A52" s="3"/>
      <c r="B52" s="115"/>
      <c r="C52" s="116"/>
      <c r="D52" s="116"/>
      <c r="E52" s="117"/>
      <c r="F52" s="24"/>
      <c r="G52" s="24"/>
      <c r="H52" s="24"/>
      <c r="I52" s="24"/>
      <c r="J52" s="115"/>
      <c r="K52" s="116"/>
      <c r="L52" s="116"/>
      <c r="M52" s="116"/>
      <c r="N52" s="116"/>
      <c r="O52" s="117"/>
      <c r="P52" s="24"/>
      <c r="Q52" s="24"/>
      <c r="R52" s="24"/>
      <c r="S52" s="24"/>
    </row>
    <row r="53" spans="1:19" ht="18" customHeight="1" x14ac:dyDescent="0.15">
      <c r="A53" s="3"/>
      <c r="B53" s="130"/>
      <c r="C53" s="131"/>
      <c r="D53" s="131"/>
      <c r="E53" s="132"/>
      <c r="F53" s="25"/>
      <c r="G53" s="25"/>
      <c r="H53" s="26"/>
      <c r="I53" s="26"/>
      <c r="J53" s="130"/>
      <c r="K53" s="131"/>
      <c r="L53" s="131"/>
      <c r="M53" s="131"/>
      <c r="N53" s="131"/>
      <c r="O53" s="132"/>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14" t="s">
        <v>33</v>
      </c>
      <c r="B55" s="114"/>
      <c r="C55" s="114"/>
      <c r="D55" s="114"/>
      <c r="E55" s="114"/>
      <c r="F55" s="114"/>
      <c r="G55" s="114"/>
      <c r="H55" s="114"/>
      <c r="I55" s="114"/>
      <c r="J55" s="114"/>
      <c r="K55" s="114"/>
      <c r="L55" s="114"/>
      <c r="M55" s="114"/>
      <c r="N55" s="114"/>
      <c r="O55" s="114"/>
      <c r="P55" s="114"/>
      <c r="Q55" s="114"/>
      <c r="R55" s="114"/>
      <c r="S55" s="114"/>
    </row>
    <row r="56" spans="1:19" ht="18" customHeight="1" x14ac:dyDescent="0.15">
      <c r="A56" s="114"/>
      <c r="B56" s="114"/>
      <c r="C56" s="114"/>
      <c r="D56" s="114"/>
      <c r="E56" s="114"/>
      <c r="F56" s="114"/>
      <c r="G56" s="114"/>
      <c r="H56" s="114"/>
      <c r="I56" s="114"/>
      <c r="J56" s="114"/>
      <c r="K56" s="114"/>
      <c r="L56" s="114"/>
      <c r="M56" s="114"/>
      <c r="N56" s="114"/>
      <c r="O56" s="114"/>
      <c r="P56" s="114"/>
      <c r="Q56" s="114"/>
      <c r="R56" s="114"/>
      <c r="S56" s="114"/>
    </row>
    <row r="57" spans="1:19" ht="18" customHeight="1" x14ac:dyDescent="0.15">
      <c r="B57" s="141" t="s">
        <v>20</v>
      </c>
      <c r="C57" s="135"/>
      <c r="D57" s="135"/>
      <c r="E57" s="136"/>
      <c r="F57" s="60" t="s">
        <v>21</v>
      </c>
      <c r="G57" s="59" t="s">
        <v>22</v>
      </c>
      <c r="H57" s="22" t="s">
        <v>34</v>
      </c>
      <c r="I57" s="22" t="s">
        <v>35</v>
      </c>
      <c r="J57" s="141" t="s">
        <v>20</v>
      </c>
      <c r="K57" s="135"/>
      <c r="L57" s="135"/>
      <c r="M57" s="135"/>
      <c r="N57" s="135"/>
      <c r="O57" s="136"/>
      <c r="P57" s="60" t="s">
        <v>21</v>
      </c>
      <c r="Q57" s="59" t="s">
        <v>22</v>
      </c>
      <c r="R57" s="22" t="s">
        <v>34</v>
      </c>
      <c r="S57" s="22" t="s">
        <v>35</v>
      </c>
    </row>
    <row r="58" spans="1:19" ht="18" customHeight="1" x14ac:dyDescent="0.15">
      <c r="A58" s="3"/>
      <c r="B58" s="137" t="s">
        <v>25</v>
      </c>
      <c r="C58" s="122"/>
      <c r="D58" s="122"/>
      <c r="E58" s="123"/>
      <c r="F58" s="23">
        <v>2</v>
      </c>
      <c r="G58" s="23" t="s">
        <v>26</v>
      </c>
      <c r="H58" s="23" t="s">
        <v>26</v>
      </c>
      <c r="I58" s="23" t="s">
        <v>26</v>
      </c>
      <c r="J58" s="137"/>
      <c r="K58" s="122"/>
      <c r="L58" s="122"/>
      <c r="M58" s="122"/>
      <c r="N58" s="122"/>
      <c r="O58" s="123"/>
      <c r="P58" s="23"/>
      <c r="Q58" s="23"/>
      <c r="R58" s="23"/>
      <c r="S58" s="23"/>
    </row>
    <row r="59" spans="1:19" ht="18" customHeight="1" x14ac:dyDescent="0.15">
      <c r="A59" s="3"/>
      <c r="B59" s="115"/>
      <c r="C59" s="116"/>
      <c r="D59" s="116"/>
      <c r="E59" s="117"/>
      <c r="F59" s="24"/>
      <c r="G59" s="24"/>
      <c r="H59" s="24"/>
      <c r="I59" s="24"/>
      <c r="J59" s="115"/>
      <c r="K59" s="116"/>
      <c r="L59" s="116"/>
      <c r="M59" s="116"/>
      <c r="N59" s="116"/>
      <c r="O59" s="117"/>
      <c r="P59" s="24"/>
      <c r="Q59" s="24"/>
      <c r="R59" s="24"/>
      <c r="S59" s="24"/>
    </row>
    <row r="60" spans="1:19" ht="18" customHeight="1" x14ac:dyDescent="0.15">
      <c r="A60" s="3"/>
      <c r="B60" s="115"/>
      <c r="C60" s="116"/>
      <c r="D60" s="116"/>
      <c r="E60" s="117"/>
      <c r="F60" s="24"/>
      <c r="G60" s="24"/>
      <c r="H60" s="24"/>
      <c r="I60" s="24"/>
      <c r="J60" s="115"/>
      <c r="K60" s="116"/>
      <c r="L60" s="116"/>
      <c r="M60" s="116"/>
      <c r="N60" s="116"/>
      <c r="O60" s="117"/>
      <c r="P60" s="24"/>
      <c r="Q60" s="24"/>
      <c r="R60" s="24"/>
      <c r="S60" s="24"/>
    </row>
    <row r="61" spans="1:19" ht="18" customHeight="1" x14ac:dyDescent="0.15">
      <c r="A61" s="3"/>
      <c r="B61" s="115"/>
      <c r="C61" s="116"/>
      <c r="D61" s="116"/>
      <c r="E61" s="117"/>
      <c r="F61" s="24"/>
      <c r="G61" s="24"/>
      <c r="H61" s="24"/>
      <c r="I61" s="24"/>
      <c r="J61" s="115"/>
      <c r="K61" s="116"/>
      <c r="L61" s="116"/>
      <c r="M61" s="116"/>
      <c r="N61" s="116"/>
      <c r="O61" s="117"/>
      <c r="P61" s="24"/>
      <c r="Q61" s="24"/>
      <c r="R61" s="24"/>
      <c r="S61" s="24"/>
    </row>
    <row r="62" spans="1:19" ht="18" customHeight="1" x14ac:dyDescent="0.15">
      <c r="A62" s="3"/>
      <c r="B62" s="115"/>
      <c r="C62" s="116"/>
      <c r="D62" s="116"/>
      <c r="E62" s="117"/>
      <c r="F62" s="24"/>
      <c r="G62" s="24"/>
      <c r="H62" s="24"/>
      <c r="I62" s="24"/>
      <c r="J62" s="115"/>
      <c r="K62" s="116"/>
      <c r="L62" s="116"/>
      <c r="M62" s="116"/>
      <c r="N62" s="116"/>
      <c r="O62" s="117"/>
      <c r="P62" s="24"/>
      <c r="Q62" s="24"/>
      <c r="R62" s="24"/>
      <c r="S62" s="24"/>
    </row>
    <row r="63" spans="1:19" ht="18" customHeight="1" x14ac:dyDescent="0.15">
      <c r="A63" s="3"/>
      <c r="B63" s="115"/>
      <c r="C63" s="116"/>
      <c r="D63" s="116"/>
      <c r="E63" s="117"/>
      <c r="F63" s="24"/>
      <c r="G63" s="24"/>
      <c r="H63" s="24"/>
      <c r="I63" s="24"/>
      <c r="J63" s="115"/>
      <c r="K63" s="116"/>
      <c r="L63" s="116"/>
      <c r="M63" s="116"/>
      <c r="N63" s="116"/>
      <c r="O63" s="117"/>
      <c r="P63" s="24"/>
      <c r="Q63" s="24"/>
      <c r="R63" s="24"/>
      <c r="S63" s="24"/>
    </row>
    <row r="64" spans="1:19" ht="18" customHeight="1" x14ac:dyDescent="0.15">
      <c r="A64" s="3"/>
      <c r="B64" s="130"/>
      <c r="C64" s="131"/>
      <c r="D64" s="131"/>
      <c r="E64" s="132"/>
      <c r="F64" s="25"/>
      <c r="G64" s="25"/>
      <c r="H64" s="26"/>
      <c r="I64" s="26"/>
      <c r="J64" s="130"/>
      <c r="K64" s="131"/>
      <c r="L64" s="131"/>
      <c r="M64" s="131"/>
      <c r="N64" s="131"/>
      <c r="O64" s="132"/>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14" t="s">
        <v>37</v>
      </c>
      <c r="B66" s="114"/>
      <c r="C66" s="114"/>
      <c r="D66" s="114"/>
      <c r="E66" s="114"/>
      <c r="F66" s="114"/>
      <c r="G66" s="114"/>
      <c r="H66" s="114"/>
      <c r="I66" s="114"/>
      <c r="J66" s="114"/>
      <c r="K66" s="114"/>
      <c r="L66" s="114"/>
      <c r="M66" s="114"/>
      <c r="N66" s="114"/>
      <c r="O66" s="114"/>
      <c r="P66" s="114"/>
      <c r="Q66" s="114"/>
      <c r="R66" s="114"/>
      <c r="S66" s="114"/>
    </row>
    <row r="67" spans="1:19" ht="18" customHeight="1" x14ac:dyDescent="0.15">
      <c r="A67" s="114"/>
      <c r="B67" s="114"/>
      <c r="C67" s="114"/>
      <c r="D67" s="114"/>
      <c r="E67" s="114"/>
      <c r="F67" s="114"/>
      <c r="G67" s="114"/>
      <c r="H67" s="114"/>
      <c r="I67" s="114"/>
      <c r="J67" s="114"/>
      <c r="K67" s="114"/>
      <c r="L67" s="114"/>
      <c r="M67" s="114"/>
      <c r="N67" s="114"/>
      <c r="O67" s="114"/>
      <c r="P67" s="114"/>
      <c r="Q67" s="114"/>
      <c r="R67" s="114"/>
      <c r="S67" s="114"/>
    </row>
    <row r="68" spans="1:19" ht="18" customHeight="1" x14ac:dyDescent="0.15">
      <c r="B68" s="141" t="s">
        <v>20</v>
      </c>
      <c r="C68" s="135"/>
      <c r="D68" s="135"/>
      <c r="E68" s="60" t="s">
        <v>21</v>
      </c>
      <c r="F68" s="59" t="s">
        <v>22</v>
      </c>
      <c r="G68" s="22" t="s">
        <v>38</v>
      </c>
      <c r="H68" s="22" t="s">
        <v>39</v>
      </c>
      <c r="I68" s="22" t="s">
        <v>40</v>
      </c>
      <c r="J68" s="141" t="s">
        <v>20</v>
      </c>
      <c r="K68" s="135"/>
      <c r="L68" s="135"/>
      <c r="M68" s="135"/>
      <c r="N68" s="136"/>
      <c r="O68" s="60" t="s">
        <v>21</v>
      </c>
      <c r="P68" s="59" t="s">
        <v>22</v>
      </c>
      <c r="Q68" s="22" t="s">
        <v>38</v>
      </c>
      <c r="R68" s="22" t="s">
        <v>39</v>
      </c>
      <c r="S68" s="22" t="s">
        <v>40</v>
      </c>
    </row>
    <row r="69" spans="1:19" ht="18" customHeight="1" x14ac:dyDescent="0.15">
      <c r="A69" s="3"/>
      <c r="B69" s="137" t="s">
        <v>25</v>
      </c>
      <c r="C69" s="122"/>
      <c r="D69" s="122"/>
      <c r="E69" s="23">
        <v>2</v>
      </c>
      <c r="F69" s="23" t="s">
        <v>26</v>
      </c>
      <c r="G69" s="23" t="s">
        <v>26</v>
      </c>
      <c r="H69" s="23" t="s">
        <v>26</v>
      </c>
      <c r="I69" s="23" t="s">
        <v>26</v>
      </c>
      <c r="J69" s="137"/>
      <c r="K69" s="122"/>
      <c r="L69" s="122"/>
      <c r="M69" s="122"/>
      <c r="N69" s="123"/>
      <c r="O69" s="23"/>
      <c r="P69" s="23"/>
      <c r="Q69" s="23"/>
      <c r="R69" s="23"/>
      <c r="S69" s="23"/>
    </row>
    <row r="70" spans="1:19" ht="18" customHeight="1" x14ac:dyDescent="0.15">
      <c r="A70" s="3"/>
      <c r="B70" s="115" t="s">
        <v>71</v>
      </c>
      <c r="C70" s="116"/>
      <c r="D70" s="116"/>
      <c r="E70" s="24">
        <v>4</v>
      </c>
      <c r="F70" s="24" t="s">
        <v>26</v>
      </c>
      <c r="G70" s="24" t="s">
        <v>26</v>
      </c>
      <c r="H70" s="24" t="s">
        <v>26</v>
      </c>
      <c r="I70" s="24" t="s">
        <v>26</v>
      </c>
      <c r="J70" s="115"/>
      <c r="K70" s="116"/>
      <c r="L70" s="116"/>
      <c r="M70" s="116"/>
      <c r="N70" s="117"/>
      <c r="O70" s="24"/>
      <c r="P70" s="24"/>
      <c r="Q70" s="24"/>
      <c r="R70" s="24"/>
      <c r="S70" s="24"/>
    </row>
    <row r="71" spans="1:19" ht="18" customHeight="1" x14ac:dyDescent="0.15">
      <c r="A71" s="3"/>
      <c r="B71" s="115"/>
      <c r="C71" s="116"/>
      <c r="D71" s="116"/>
      <c r="E71" s="24"/>
      <c r="F71" s="24"/>
      <c r="G71" s="24"/>
      <c r="H71" s="24"/>
      <c r="I71" s="24"/>
      <c r="J71" s="115"/>
      <c r="K71" s="116"/>
      <c r="L71" s="116"/>
      <c r="M71" s="116"/>
      <c r="N71" s="117"/>
      <c r="O71" s="24"/>
      <c r="P71" s="24"/>
      <c r="Q71" s="24"/>
      <c r="R71" s="24"/>
      <c r="S71" s="24"/>
    </row>
    <row r="72" spans="1:19" ht="18" customHeight="1" x14ac:dyDescent="0.15">
      <c r="A72" s="3"/>
      <c r="B72" s="115"/>
      <c r="C72" s="116"/>
      <c r="D72" s="116"/>
      <c r="E72" s="24"/>
      <c r="F72" s="24"/>
      <c r="G72" s="24"/>
      <c r="H72" s="24"/>
      <c r="I72" s="24"/>
      <c r="J72" s="115"/>
      <c r="K72" s="116"/>
      <c r="L72" s="116"/>
      <c r="M72" s="116"/>
      <c r="N72" s="117"/>
      <c r="O72" s="24"/>
      <c r="P72" s="24"/>
      <c r="Q72" s="24"/>
      <c r="R72" s="24"/>
      <c r="S72" s="24"/>
    </row>
    <row r="73" spans="1:19" ht="18" customHeight="1" x14ac:dyDescent="0.15">
      <c r="A73" s="3"/>
      <c r="B73" s="115"/>
      <c r="C73" s="116"/>
      <c r="D73" s="116"/>
      <c r="E73" s="24"/>
      <c r="F73" s="24"/>
      <c r="G73" s="24"/>
      <c r="H73" s="24"/>
      <c r="I73" s="24"/>
      <c r="J73" s="115"/>
      <c r="K73" s="116"/>
      <c r="L73" s="116"/>
      <c r="M73" s="116"/>
      <c r="N73" s="117"/>
      <c r="O73" s="24"/>
      <c r="P73" s="24"/>
      <c r="Q73" s="24"/>
      <c r="R73" s="24"/>
      <c r="S73" s="24"/>
    </row>
    <row r="74" spans="1:19" ht="18" customHeight="1" x14ac:dyDescent="0.15">
      <c r="A74" s="3"/>
      <c r="B74" s="115"/>
      <c r="C74" s="116"/>
      <c r="D74" s="116"/>
      <c r="E74" s="24"/>
      <c r="F74" s="24"/>
      <c r="G74" s="24"/>
      <c r="H74" s="24"/>
      <c r="I74" s="24"/>
      <c r="J74" s="115"/>
      <c r="K74" s="116"/>
      <c r="L74" s="116"/>
      <c r="M74" s="116"/>
      <c r="N74" s="117"/>
      <c r="O74" s="24"/>
      <c r="P74" s="24"/>
      <c r="Q74" s="24"/>
      <c r="R74" s="24"/>
      <c r="S74" s="24"/>
    </row>
    <row r="75" spans="1:19" ht="18" customHeight="1" x14ac:dyDescent="0.15">
      <c r="A75" s="3"/>
      <c r="B75" s="130"/>
      <c r="C75" s="131"/>
      <c r="D75" s="131"/>
      <c r="E75" s="25"/>
      <c r="F75" s="25"/>
      <c r="G75" s="26"/>
      <c r="H75" s="26"/>
      <c r="I75" s="26"/>
      <c r="J75" s="130"/>
      <c r="K75" s="131"/>
      <c r="L75" s="131"/>
      <c r="M75" s="131"/>
      <c r="N75" s="132"/>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42</v>
      </c>
      <c r="H77" s="3"/>
      <c r="I77" s="3"/>
      <c r="J77" s="3"/>
      <c r="K77" s="3"/>
      <c r="L77" s="3"/>
      <c r="M77" s="3"/>
      <c r="N77" s="3"/>
      <c r="O77" s="3"/>
      <c r="P77" s="3"/>
      <c r="Q77" s="3"/>
      <c r="R77" s="3"/>
      <c r="S77" s="3"/>
    </row>
    <row r="78" spans="1:19" ht="18" customHeight="1" x14ac:dyDescent="0.15">
      <c r="B78" s="141" t="s">
        <v>20</v>
      </c>
      <c r="C78" s="135"/>
      <c r="D78" s="135"/>
      <c r="E78" s="136"/>
      <c r="F78" s="141" t="s">
        <v>43</v>
      </c>
      <c r="G78" s="135"/>
      <c r="H78" s="135"/>
      <c r="I78" s="136"/>
      <c r="J78" s="145" t="s">
        <v>20</v>
      </c>
      <c r="K78" s="146"/>
      <c r="L78" s="146"/>
      <c r="M78" s="146"/>
      <c r="N78" s="146"/>
      <c r="O78" s="147"/>
      <c r="P78" s="141" t="s">
        <v>43</v>
      </c>
      <c r="Q78" s="135"/>
      <c r="R78" s="135"/>
      <c r="S78" s="136"/>
    </row>
    <row r="79" spans="1:19" ht="18" customHeight="1" x14ac:dyDescent="0.15">
      <c r="A79" s="3"/>
      <c r="B79" s="137" t="s">
        <v>25</v>
      </c>
      <c r="C79" s="122"/>
      <c r="D79" s="122"/>
      <c r="E79" s="123"/>
      <c r="F79" s="138" t="s">
        <v>44</v>
      </c>
      <c r="G79" s="139"/>
      <c r="H79" s="139"/>
      <c r="I79" s="140"/>
      <c r="J79" s="137"/>
      <c r="K79" s="122"/>
      <c r="L79" s="122"/>
      <c r="M79" s="122"/>
      <c r="N79" s="122"/>
      <c r="O79" s="123"/>
      <c r="P79" s="138"/>
      <c r="Q79" s="139"/>
      <c r="R79" s="139"/>
      <c r="S79" s="140"/>
    </row>
    <row r="80" spans="1:19" ht="18" customHeight="1" x14ac:dyDescent="0.15">
      <c r="A80" s="3"/>
      <c r="B80" s="115"/>
      <c r="C80" s="116"/>
      <c r="D80" s="116"/>
      <c r="E80" s="117"/>
      <c r="F80" s="142"/>
      <c r="G80" s="143"/>
      <c r="H80" s="143"/>
      <c r="I80" s="144"/>
      <c r="J80" s="115"/>
      <c r="K80" s="116"/>
      <c r="L80" s="116"/>
      <c r="M80" s="116"/>
      <c r="N80" s="116"/>
      <c r="O80" s="117"/>
      <c r="P80" s="142"/>
      <c r="Q80" s="143"/>
      <c r="R80" s="143"/>
      <c r="S80" s="144"/>
    </row>
    <row r="81" spans="1:19" ht="18" customHeight="1" x14ac:dyDescent="0.15">
      <c r="A81" s="3"/>
      <c r="B81" s="115"/>
      <c r="C81" s="116"/>
      <c r="D81" s="116"/>
      <c r="E81" s="117"/>
      <c r="F81" s="142"/>
      <c r="G81" s="143"/>
      <c r="H81" s="143"/>
      <c r="I81" s="144"/>
      <c r="J81" s="115"/>
      <c r="K81" s="116"/>
      <c r="L81" s="116"/>
      <c r="M81" s="116"/>
      <c r="N81" s="116"/>
      <c r="O81" s="117"/>
      <c r="P81" s="142"/>
      <c r="Q81" s="143"/>
      <c r="R81" s="143"/>
      <c r="S81" s="144"/>
    </row>
    <row r="82" spans="1:19" ht="18" customHeight="1" x14ac:dyDescent="0.15">
      <c r="A82" s="3"/>
      <c r="B82" s="115"/>
      <c r="C82" s="116"/>
      <c r="D82" s="116"/>
      <c r="E82" s="117"/>
      <c r="F82" s="142"/>
      <c r="G82" s="143"/>
      <c r="H82" s="143"/>
      <c r="I82" s="144"/>
      <c r="J82" s="115"/>
      <c r="K82" s="116"/>
      <c r="L82" s="116"/>
      <c r="M82" s="116"/>
      <c r="N82" s="116"/>
      <c r="O82" s="117"/>
      <c r="P82" s="142"/>
      <c r="Q82" s="143"/>
      <c r="R82" s="143"/>
      <c r="S82" s="144"/>
    </row>
    <row r="83" spans="1:19" ht="18" customHeight="1" x14ac:dyDescent="0.15">
      <c r="A83" s="3"/>
      <c r="B83" s="115"/>
      <c r="C83" s="116"/>
      <c r="D83" s="116"/>
      <c r="E83" s="117"/>
      <c r="F83" s="142"/>
      <c r="G83" s="143"/>
      <c r="H83" s="143"/>
      <c r="I83" s="144"/>
      <c r="J83" s="115"/>
      <c r="K83" s="116"/>
      <c r="L83" s="116"/>
      <c r="M83" s="116"/>
      <c r="N83" s="116"/>
      <c r="O83" s="117"/>
      <c r="P83" s="142"/>
      <c r="Q83" s="143"/>
      <c r="R83" s="143"/>
      <c r="S83" s="144"/>
    </row>
    <row r="84" spans="1:19" ht="18" customHeight="1" x14ac:dyDescent="0.15">
      <c r="A84" s="3"/>
      <c r="B84" s="115"/>
      <c r="C84" s="116"/>
      <c r="D84" s="116"/>
      <c r="E84" s="117"/>
      <c r="F84" s="142"/>
      <c r="G84" s="143"/>
      <c r="H84" s="143"/>
      <c r="I84" s="144"/>
      <c r="J84" s="115"/>
      <c r="K84" s="116"/>
      <c r="L84" s="116"/>
      <c r="M84" s="116"/>
      <c r="N84" s="116"/>
      <c r="O84" s="117"/>
      <c r="P84" s="142"/>
      <c r="Q84" s="143"/>
      <c r="R84" s="143"/>
      <c r="S84" s="144"/>
    </row>
    <row r="85" spans="1:19" ht="18" customHeight="1" x14ac:dyDescent="0.15">
      <c r="A85" s="3"/>
      <c r="B85" s="130"/>
      <c r="C85" s="131"/>
      <c r="D85" s="131"/>
      <c r="E85" s="132"/>
      <c r="F85" s="151"/>
      <c r="G85" s="152"/>
      <c r="H85" s="152"/>
      <c r="I85" s="153"/>
      <c r="J85" s="130"/>
      <c r="K85" s="131"/>
      <c r="L85" s="131"/>
      <c r="M85" s="131"/>
      <c r="N85" s="131"/>
      <c r="O85" s="132"/>
      <c r="P85" s="151"/>
      <c r="Q85" s="152"/>
      <c r="R85" s="152"/>
      <c r="S85" s="153"/>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45</v>
      </c>
    </row>
    <row r="88" spans="1:19" ht="18.75" customHeight="1" x14ac:dyDescent="0.15">
      <c r="B88" s="133" t="s">
        <v>46</v>
      </c>
      <c r="C88" s="134"/>
      <c r="D88" s="135" t="s">
        <v>47</v>
      </c>
      <c r="E88" s="135"/>
      <c r="F88" s="135"/>
      <c r="G88" s="135"/>
      <c r="H88" s="135"/>
      <c r="I88" s="135"/>
      <c r="J88" s="135"/>
      <c r="K88" s="135"/>
      <c r="L88" s="135"/>
      <c r="M88" s="135"/>
      <c r="N88" s="135"/>
      <c r="O88" s="135"/>
      <c r="P88" s="135"/>
      <c r="Q88" s="135"/>
      <c r="R88" s="135"/>
      <c r="S88" s="136"/>
    </row>
    <row r="89" spans="1:19" ht="97.5" customHeight="1" x14ac:dyDescent="0.15">
      <c r="B89" s="118" t="s">
        <v>48</v>
      </c>
      <c r="C89" s="28" t="s">
        <v>23</v>
      </c>
      <c r="D89" s="202" t="s">
        <v>72</v>
      </c>
      <c r="E89" s="128"/>
      <c r="F89" s="128"/>
      <c r="G89" s="128"/>
      <c r="H89" s="128"/>
      <c r="I89" s="128"/>
      <c r="J89" s="128"/>
      <c r="K89" s="128"/>
      <c r="L89" s="128"/>
      <c r="M89" s="128"/>
      <c r="N89" s="128"/>
      <c r="O89" s="128"/>
      <c r="P89" s="128"/>
      <c r="Q89" s="128"/>
      <c r="R89" s="128"/>
      <c r="S89" s="129"/>
    </row>
    <row r="90" spans="1:19" ht="97.5" customHeight="1" x14ac:dyDescent="0.15">
      <c r="B90" s="119"/>
      <c r="C90" s="29" t="s">
        <v>50</v>
      </c>
      <c r="D90" s="154" t="s">
        <v>73</v>
      </c>
      <c r="E90" s="155"/>
      <c r="F90" s="155"/>
      <c r="G90" s="155"/>
      <c r="H90" s="155"/>
      <c r="I90" s="155"/>
      <c r="J90" s="155"/>
      <c r="K90" s="155"/>
      <c r="L90" s="155"/>
      <c r="M90" s="155"/>
      <c r="N90" s="155"/>
      <c r="O90" s="155"/>
      <c r="P90" s="155"/>
      <c r="Q90" s="155"/>
      <c r="R90" s="155"/>
      <c r="S90" s="156"/>
    </row>
    <row r="91" spans="1:19" ht="97.5" customHeight="1" x14ac:dyDescent="0.15">
      <c r="B91" s="118" t="s">
        <v>52</v>
      </c>
      <c r="C91" s="30" t="s">
        <v>28</v>
      </c>
      <c r="D91" s="157" t="s">
        <v>74</v>
      </c>
      <c r="E91" s="158"/>
      <c r="F91" s="158"/>
      <c r="G91" s="158"/>
      <c r="H91" s="158"/>
      <c r="I91" s="158"/>
      <c r="J91" s="158"/>
      <c r="K91" s="158"/>
      <c r="L91" s="158"/>
      <c r="M91" s="158"/>
      <c r="N91" s="158"/>
      <c r="O91" s="158"/>
      <c r="P91" s="158"/>
      <c r="Q91" s="158"/>
      <c r="R91" s="158"/>
      <c r="S91" s="159"/>
    </row>
    <row r="92" spans="1:19" ht="97.5" customHeight="1" x14ac:dyDescent="0.15">
      <c r="B92" s="120"/>
      <c r="C92" s="31" t="s">
        <v>29</v>
      </c>
      <c r="D92" s="163" t="s">
        <v>54</v>
      </c>
      <c r="E92" s="164"/>
      <c r="F92" s="164"/>
      <c r="G92" s="164"/>
      <c r="H92" s="164"/>
      <c r="I92" s="164"/>
      <c r="J92" s="164"/>
      <c r="K92" s="164"/>
      <c r="L92" s="164"/>
      <c r="M92" s="164"/>
      <c r="N92" s="164"/>
      <c r="O92" s="164"/>
      <c r="P92" s="164"/>
      <c r="Q92" s="164"/>
      <c r="R92" s="164"/>
      <c r="S92" s="165"/>
    </row>
    <row r="93" spans="1:19" ht="97.5" customHeight="1" x14ac:dyDescent="0.15">
      <c r="B93" s="118" t="s">
        <v>55</v>
      </c>
      <c r="C93" s="30" t="s">
        <v>31</v>
      </c>
      <c r="D93" s="157" t="s">
        <v>56</v>
      </c>
      <c r="E93" s="158"/>
      <c r="F93" s="158"/>
      <c r="G93" s="158"/>
      <c r="H93" s="158"/>
      <c r="I93" s="158"/>
      <c r="J93" s="158"/>
      <c r="K93" s="158"/>
      <c r="L93" s="158"/>
      <c r="M93" s="158"/>
      <c r="N93" s="158"/>
      <c r="O93" s="158"/>
      <c r="P93" s="158"/>
      <c r="Q93" s="158"/>
      <c r="R93" s="158"/>
      <c r="S93" s="159"/>
    </row>
    <row r="94" spans="1:19" ht="97.5" customHeight="1" x14ac:dyDescent="0.15">
      <c r="B94" s="120"/>
      <c r="C94" s="32" t="s">
        <v>32</v>
      </c>
      <c r="D94" s="160" t="s">
        <v>75</v>
      </c>
      <c r="E94" s="161"/>
      <c r="F94" s="161"/>
      <c r="G94" s="161"/>
      <c r="H94" s="161"/>
      <c r="I94" s="161"/>
      <c r="J94" s="161"/>
      <c r="K94" s="161"/>
      <c r="L94" s="161"/>
      <c r="M94" s="161"/>
      <c r="N94" s="161"/>
      <c r="O94" s="161"/>
      <c r="P94" s="161"/>
      <c r="Q94" s="161"/>
      <c r="R94" s="161"/>
      <c r="S94" s="162"/>
    </row>
    <row r="95" spans="1:19" ht="236.25" customHeight="1" x14ac:dyDescent="0.15">
      <c r="B95" s="118" t="s">
        <v>58</v>
      </c>
      <c r="C95" s="28" t="s">
        <v>34</v>
      </c>
      <c r="D95" s="202" t="s">
        <v>76</v>
      </c>
      <c r="E95" s="128"/>
      <c r="F95" s="128"/>
      <c r="G95" s="128"/>
      <c r="H95" s="128"/>
      <c r="I95" s="128"/>
      <c r="J95" s="128"/>
      <c r="K95" s="128"/>
      <c r="L95" s="128"/>
      <c r="M95" s="128"/>
      <c r="N95" s="128"/>
      <c r="O95" s="128"/>
      <c r="P95" s="128"/>
      <c r="Q95" s="128"/>
      <c r="R95" s="128"/>
      <c r="S95" s="129"/>
    </row>
    <row r="96" spans="1:19" ht="97.5" customHeight="1" x14ac:dyDescent="0.15">
      <c r="B96" s="120"/>
      <c r="C96" s="31" t="s">
        <v>35</v>
      </c>
      <c r="D96" s="163" t="s">
        <v>77</v>
      </c>
      <c r="E96" s="164"/>
      <c r="F96" s="164"/>
      <c r="G96" s="164"/>
      <c r="H96" s="164"/>
      <c r="I96" s="164"/>
      <c r="J96" s="164"/>
      <c r="K96" s="164"/>
      <c r="L96" s="164"/>
      <c r="M96" s="164"/>
      <c r="N96" s="164"/>
      <c r="O96" s="164"/>
      <c r="P96" s="164"/>
      <c r="Q96" s="164"/>
      <c r="R96" s="164"/>
      <c r="S96" s="165"/>
    </row>
    <row r="97" spans="1:19" ht="160.5" customHeight="1" x14ac:dyDescent="0.15">
      <c r="B97" s="118" t="s">
        <v>61</v>
      </c>
      <c r="C97" s="30" t="s">
        <v>62</v>
      </c>
      <c r="D97" s="199" t="s">
        <v>78</v>
      </c>
      <c r="E97" s="122"/>
      <c r="F97" s="122"/>
      <c r="G97" s="122"/>
      <c r="H97" s="122"/>
      <c r="I97" s="122"/>
      <c r="J97" s="122"/>
      <c r="K97" s="122"/>
      <c r="L97" s="122"/>
      <c r="M97" s="122"/>
      <c r="N97" s="122"/>
      <c r="O97" s="122"/>
      <c r="P97" s="122"/>
      <c r="Q97" s="122"/>
      <c r="R97" s="122"/>
      <c r="S97" s="123"/>
    </row>
    <row r="98" spans="1:19" ht="183.75" customHeight="1" x14ac:dyDescent="0.15">
      <c r="B98" s="119"/>
      <c r="C98" s="33" t="s">
        <v>39</v>
      </c>
      <c r="D98" s="200" t="s">
        <v>79</v>
      </c>
      <c r="E98" s="116"/>
      <c r="F98" s="116"/>
      <c r="G98" s="116"/>
      <c r="H98" s="116"/>
      <c r="I98" s="116"/>
      <c r="J98" s="116"/>
      <c r="K98" s="116"/>
      <c r="L98" s="116"/>
      <c r="M98" s="116"/>
      <c r="N98" s="116"/>
      <c r="O98" s="116"/>
      <c r="P98" s="116"/>
      <c r="Q98" s="116"/>
      <c r="R98" s="116"/>
      <c r="S98" s="117"/>
    </row>
    <row r="99" spans="1:19" ht="198" customHeight="1" x14ac:dyDescent="0.15">
      <c r="B99" s="120"/>
      <c r="C99" s="32" t="s">
        <v>40</v>
      </c>
      <c r="D99" s="201" t="s">
        <v>80</v>
      </c>
      <c r="E99" s="125"/>
      <c r="F99" s="125"/>
      <c r="G99" s="125"/>
      <c r="H99" s="125"/>
      <c r="I99" s="125"/>
      <c r="J99" s="125"/>
      <c r="K99" s="125"/>
      <c r="L99" s="125"/>
      <c r="M99" s="125"/>
      <c r="N99" s="125"/>
      <c r="O99" s="125"/>
      <c r="P99" s="125"/>
      <c r="Q99" s="125"/>
      <c r="R99" s="125"/>
      <c r="S99" s="126"/>
    </row>
    <row r="100" spans="1:19" ht="6" customHeight="1" x14ac:dyDescent="0.15"/>
    <row r="101" spans="1:19" ht="18.75" customHeight="1" x14ac:dyDescent="0.15">
      <c r="A101" s="1" t="s">
        <v>66</v>
      </c>
    </row>
    <row r="102" spans="1:19" ht="81.75" customHeight="1" x14ac:dyDescent="0.15">
      <c r="B102" s="148" t="s">
        <v>198</v>
      </c>
      <c r="C102" s="149"/>
      <c r="D102" s="149"/>
      <c r="E102" s="149"/>
      <c r="F102" s="149"/>
      <c r="G102" s="149"/>
      <c r="H102" s="149"/>
      <c r="I102" s="149"/>
      <c r="J102" s="149"/>
      <c r="K102" s="149"/>
      <c r="L102" s="149"/>
      <c r="M102" s="149"/>
      <c r="N102" s="149"/>
      <c r="O102" s="149"/>
      <c r="P102" s="149"/>
      <c r="Q102" s="149"/>
      <c r="R102" s="149"/>
      <c r="S102" s="150"/>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K20:S20" xr:uid="{4A64341B-AF65-40E4-91CC-A7109F0676DD}">
      <formula1>$V$14:$V$16</formula1>
    </dataValidation>
    <dataValidation type="list" allowBlank="1" showInputMessage="1" showErrorMessage="1" sqref="F79:F86 P79:P86 G79:I80 G83:I86 Q83:S86 Q79:S80" xr:uid="{1340FAA9-2E0F-45BD-A4C3-2A0FA74BB413}">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258C5EE8-84E1-4A72-A2CE-C13DB1CE72BC}">
      <formula1>"学部・学科によって、修了要件は相違する,学部・学科によって、修了要件は相違しない"</formula1>
    </dataValidation>
    <dataValidation type="list" allowBlank="1" showInputMessage="1" showErrorMessage="1" sqref="S32 S43 D32:G32 D43:G43" xr:uid="{F264C715-DF70-4538-BDB7-A1129C7D6B2F}">
      <formula1>"全学開講,一部開講"</formula1>
    </dataValidation>
    <dataValidation type="list" allowBlank="1" showInputMessage="1" showErrorMessage="1" sqref="G25:I31 Q25:S31 G36:I42 Q36:S42 G47:I53 Q47:S53 G58:I64 Q58:S64 F69:I75 P69:S75" xr:uid="{45467312-03DA-4E57-A7B0-88FD0BA72AF3}">
      <formula1>"○"</formula1>
    </dataValidation>
  </dataValidations>
  <pageMargins left="0.7" right="0.7" top="0.75" bottom="0.75" header="0.3" footer="0.3"/>
  <pageSetup paperSize="9" scale="41"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A25BD-236B-4B97-8F94-45586951D46B}">
  <sheetPr>
    <pageSetUpPr fitToPage="1"/>
  </sheetPr>
  <dimension ref="A1:V110"/>
  <sheetViews>
    <sheetView topLeftCell="A98" zoomScaleNormal="100" workbookViewId="0">
      <selection activeCell="G108" sqref="G108"/>
    </sheetView>
  </sheetViews>
  <sheetFormatPr defaultColWidth="9" defaultRowHeight="14.25" x14ac:dyDescent="0.15"/>
  <cols>
    <col min="1" max="1" width="2.375" style="89" customWidth="1"/>
    <col min="2" max="2" width="16.375" style="89" customWidth="1"/>
    <col min="3" max="19" width="5.625" style="89" customWidth="1"/>
    <col min="20" max="20" width="9" style="89"/>
    <col min="21" max="21" width="3.625" style="89" customWidth="1"/>
    <col min="22" max="22" width="48.625" style="89" hidden="1" customWidth="1"/>
    <col min="23" max="16384" width="9" style="89"/>
  </cols>
  <sheetData>
    <row r="1" spans="1:22" ht="18.600000000000001" customHeight="1" x14ac:dyDescent="0.15">
      <c r="R1" s="272" t="s">
        <v>81</v>
      </c>
      <c r="S1" s="272"/>
      <c r="T1" s="90" t="s">
        <v>1</v>
      </c>
    </row>
    <row r="2" spans="1:22" ht="18.75" customHeight="1" x14ac:dyDescent="0.15">
      <c r="B2" s="91" t="s">
        <v>2</v>
      </c>
      <c r="C2" s="245" t="s">
        <v>3</v>
      </c>
      <c r="D2" s="230"/>
      <c r="E2" s="230"/>
      <c r="F2" s="230"/>
      <c r="G2" s="230"/>
      <c r="H2" s="230"/>
      <c r="I2" s="231"/>
      <c r="J2" s="85"/>
      <c r="K2" s="92"/>
      <c r="L2" s="92"/>
      <c r="M2" s="92"/>
      <c r="N2" s="92"/>
      <c r="O2" s="92"/>
      <c r="P2" s="92"/>
      <c r="Q2" s="92"/>
      <c r="R2" s="92"/>
      <c r="S2" s="92"/>
    </row>
    <row r="3" spans="1:22" ht="18.75" customHeight="1" x14ac:dyDescent="0.15">
      <c r="B3" s="91" t="s">
        <v>4</v>
      </c>
      <c r="C3" s="273" t="s">
        <v>5</v>
      </c>
      <c r="D3" s="274"/>
      <c r="E3" s="274"/>
      <c r="F3" s="274"/>
      <c r="G3" s="274"/>
      <c r="H3" s="274"/>
      <c r="I3" s="275"/>
      <c r="J3" s="85"/>
      <c r="K3" s="92"/>
      <c r="L3" s="92"/>
      <c r="M3" s="92"/>
      <c r="N3" s="92"/>
      <c r="O3" s="92"/>
      <c r="P3" s="92"/>
      <c r="Q3" s="92"/>
      <c r="R3" s="92"/>
      <c r="S3" s="92"/>
    </row>
    <row r="4" spans="1:22" ht="15" customHeight="1" x14ac:dyDescent="0.15">
      <c r="K4" s="85"/>
      <c r="L4" s="93"/>
      <c r="M4" s="93"/>
      <c r="N4" s="93"/>
      <c r="O4" s="93"/>
      <c r="P4" s="93"/>
      <c r="Q4" s="93"/>
      <c r="R4" s="93"/>
      <c r="S4" s="93"/>
    </row>
    <row r="5" spans="1:22" ht="18" customHeight="1" x14ac:dyDescent="0.15">
      <c r="A5" s="276" t="s">
        <v>6</v>
      </c>
      <c r="B5" s="276"/>
      <c r="C5" s="276"/>
      <c r="D5" s="276"/>
      <c r="E5" s="276"/>
      <c r="F5" s="276"/>
      <c r="G5" s="276"/>
      <c r="H5" s="276"/>
      <c r="I5" s="276"/>
      <c r="J5" s="276"/>
      <c r="K5" s="276"/>
      <c r="L5" s="276"/>
      <c r="M5" s="276"/>
      <c r="N5" s="276"/>
      <c r="O5" s="276"/>
      <c r="P5" s="276"/>
      <c r="Q5" s="276"/>
      <c r="R5" s="276"/>
      <c r="S5" s="276"/>
    </row>
    <row r="6" spans="1:22" ht="15" customHeight="1" x14ac:dyDescent="0.15">
      <c r="B6" s="83"/>
      <c r="C6" s="83"/>
      <c r="D6" s="83"/>
      <c r="E6" s="83"/>
      <c r="F6" s="83"/>
      <c r="G6" s="83"/>
      <c r="H6" s="83"/>
      <c r="I6" s="83"/>
      <c r="J6" s="83"/>
      <c r="K6" s="83"/>
      <c r="L6" s="83"/>
      <c r="M6" s="83"/>
      <c r="N6" s="83"/>
      <c r="O6" s="83"/>
      <c r="P6" s="83"/>
      <c r="Q6" s="83"/>
      <c r="R6" s="83"/>
      <c r="S6" s="83"/>
    </row>
    <row r="7" spans="1:22" ht="18" customHeight="1" x14ac:dyDescent="0.15">
      <c r="A7" s="89" t="s">
        <v>7</v>
      </c>
      <c r="C7" s="83"/>
      <c r="J7" s="94" t="s">
        <v>8</v>
      </c>
      <c r="K7" s="277" t="s">
        <v>9</v>
      </c>
      <c r="L7" s="278"/>
      <c r="M7" s="278"/>
      <c r="N7" s="278"/>
      <c r="O7" s="278"/>
      <c r="P7" s="278"/>
      <c r="Q7" s="278"/>
      <c r="R7" s="278"/>
      <c r="S7" s="279"/>
    </row>
    <row r="8" spans="1:22" ht="6" customHeight="1" x14ac:dyDescent="0.15">
      <c r="B8" s="83"/>
      <c r="C8" s="83"/>
      <c r="D8" s="83"/>
      <c r="E8" s="83"/>
      <c r="F8" s="83"/>
      <c r="G8" s="83"/>
      <c r="H8" s="83"/>
      <c r="I8" s="83"/>
      <c r="J8" s="83"/>
      <c r="K8" s="84"/>
      <c r="L8" s="83"/>
      <c r="M8" s="83"/>
      <c r="N8" s="83"/>
      <c r="O8" s="83"/>
      <c r="P8" s="83"/>
      <c r="Q8" s="83"/>
      <c r="R8" s="83"/>
      <c r="S8" s="83"/>
    </row>
    <row r="9" spans="1:22" ht="18" customHeight="1" x14ac:dyDescent="0.15">
      <c r="B9" s="280" t="s">
        <v>82</v>
      </c>
      <c r="C9" s="281"/>
      <c r="D9" s="281"/>
      <c r="E9" s="281"/>
      <c r="F9" s="281"/>
      <c r="G9" s="281"/>
      <c r="H9" s="281"/>
      <c r="I9" s="281"/>
      <c r="J9" s="281"/>
      <c r="K9" s="281"/>
      <c r="L9" s="281"/>
      <c r="M9" s="281"/>
      <c r="N9" s="281"/>
      <c r="O9" s="281"/>
      <c r="P9" s="281"/>
      <c r="Q9" s="281"/>
      <c r="R9" s="281"/>
      <c r="S9" s="282"/>
    </row>
    <row r="10" spans="1:22" ht="18" customHeight="1" x14ac:dyDescent="0.15">
      <c r="B10" s="283"/>
      <c r="C10" s="284"/>
      <c r="D10" s="284"/>
      <c r="E10" s="284"/>
      <c r="F10" s="284"/>
      <c r="G10" s="284"/>
      <c r="H10" s="284"/>
      <c r="I10" s="284"/>
      <c r="J10" s="284"/>
      <c r="K10" s="284"/>
      <c r="L10" s="284"/>
      <c r="M10" s="284"/>
      <c r="N10" s="284"/>
      <c r="O10" s="284"/>
      <c r="P10" s="284"/>
      <c r="Q10" s="284"/>
      <c r="R10" s="284"/>
      <c r="S10" s="285"/>
    </row>
    <row r="11" spans="1:22" ht="6" customHeight="1" x14ac:dyDescent="0.15">
      <c r="B11" s="83"/>
      <c r="C11" s="83"/>
      <c r="D11" s="83"/>
      <c r="E11" s="83"/>
      <c r="F11" s="83"/>
      <c r="G11" s="83"/>
      <c r="H11" s="83"/>
      <c r="I11" s="83"/>
      <c r="J11" s="83"/>
      <c r="K11" s="84"/>
      <c r="L11" s="83"/>
      <c r="M11" s="83"/>
      <c r="N11" s="83"/>
      <c r="O11" s="83"/>
      <c r="P11" s="83"/>
      <c r="Q11" s="83"/>
      <c r="R11" s="83"/>
      <c r="S11" s="83"/>
    </row>
    <row r="12" spans="1:22" ht="18" customHeight="1" x14ac:dyDescent="0.15">
      <c r="A12" s="89" t="s">
        <v>11</v>
      </c>
      <c r="B12" s="83"/>
      <c r="C12" s="83"/>
      <c r="D12" s="85"/>
      <c r="E12" s="85"/>
      <c r="F12" s="85"/>
      <c r="G12" s="85"/>
      <c r="H12" s="85"/>
      <c r="I12" s="85"/>
      <c r="J12" s="85"/>
      <c r="K12" s="86"/>
      <c r="L12" s="86"/>
      <c r="M12" s="86"/>
      <c r="N12" s="86"/>
      <c r="O12" s="86"/>
      <c r="P12" s="86"/>
      <c r="Q12" s="86"/>
      <c r="R12" s="86"/>
      <c r="S12" s="86"/>
    </row>
    <row r="13" spans="1:22" ht="18" customHeight="1" x14ac:dyDescent="0.15">
      <c r="B13" s="260" t="s">
        <v>83</v>
      </c>
      <c r="C13" s="261"/>
      <c r="D13" s="261"/>
      <c r="E13" s="261"/>
      <c r="F13" s="261"/>
      <c r="G13" s="261"/>
      <c r="H13" s="261"/>
      <c r="I13" s="261"/>
      <c r="J13" s="261"/>
      <c r="K13" s="261"/>
      <c r="L13" s="261"/>
      <c r="M13" s="261"/>
      <c r="N13" s="261"/>
      <c r="O13" s="261"/>
      <c r="P13" s="261"/>
      <c r="Q13" s="261"/>
      <c r="R13" s="261"/>
      <c r="S13" s="262"/>
      <c r="V13" s="89" t="s">
        <v>12</v>
      </c>
    </row>
    <row r="14" spans="1:22" ht="18" customHeight="1" x14ac:dyDescent="0.15">
      <c r="B14" s="263"/>
      <c r="C14" s="264"/>
      <c r="D14" s="264"/>
      <c r="E14" s="264"/>
      <c r="F14" s="264"/>
      <c r="G14" s="264"/>
      <c r="H14" s="264"/>
      <c r="I14" s="264"/>
      <c r="J14" s="264"/>
      <c r="K14" s="264"/>
      <c r="L14" s="264"/>
      <c r="M14" s="264"/>
      <c r="N14" s="264"/>
      <c r="O14" s="264"/>
      <c r="P14" s="264"/>
      <c r="Q14" s="264"/>
      <c r="R14" s="264"/>
      <c r="S14" s="265"/>
      <c r="V14" s="89" t="s">
        <v>13</v>
      </c>
    </row>
    <row r="15" spans="1:22" ht="18" customHeight="1" x14ac:dyDescent="0.15">
      <c r="B15" s="263"/>
      <c r="C15" s="264"/>
      <c r="D15" s="264"/>
      <c r="E15" s="264"/>
      <c r="F15" s="264"/>
      <c r="G15" s="264"/>
      <c r="H15" s="264"/>
      <c r="I15" s="264"/>
      <c r="J15" s="264"/>
      <c r="K15" s="264"/>
      <c r="L15" s="264"/>
      <c r="M15" s="264"/>
      <c r="N15" s="264"/>
      <c r="O15" s="264"/>
      <c r="P15" s="264"/>
      <c r="Q15" s="264"/>
      <c r="R15" s="264"/>
      <c r="S15" s="265"/>
      <c r="V15" s="89" t="s">
        <v>14</v>
      </c>
    </row>
    <row r="16" spans="1:22" ht="18" customHeight="1" x14ac:dyDescent="0.15">
      <c r="B16" s="263"/>
      <c r="C16" s="264"/>
      <c r="D16" s="264"/>
      <c r="E16" s="264"/>
      <c r="F16" s="264"/>
      <c r="G16" s="264"/>
      <c r="H16" s="264"/>
      <c r="I16" s="264"/>
      <c r="J16" s="264"/>
      <c r="K16" s="264"/>
      <c r="L16" s="264"/>
      <c r="M16" s="264"/>
      <c r="N16" s="264"/>
      <c r="O16" s="264"/>
      <c r="P16" s="264"/>
      <c r="Q16" s="264"/>
      <c r="R16" s="264"/>
      <c r="S16" s="265"/>
      <c r="V16" s="89" t="s">
        <v>15</v>
      </c>
    </row>
    <row r="17" spans="1:19" ht="18" customHeight="1" x14ac:dyDescent="0.15">
      <c r="B17" s="263"/>
      <c r="C17" s="264"/>
      <c r="D17" s="264"/>
      <c r="E17" s="264"/>
      <c r="F17" s="264"/>
      <c r="G17" s="264"/>
      <c r="H17" s="264"/>
      <c r="I17" s="264"/>
      <c r="J17" s="264"/>
      <c r="K17" s="264"/>
      <c r="L17" s="264"/>
      <c r="M17" s="264"/>
      <c r="N17" s="264"/>
      <c r="O17" s="264"/>
      <c r="P17" s="264"/>
      <c r="Q17" s="264"/>
      <c r="R17" s="264"/>
      <c r="S17" s="265"/>
    </row>
    <row r="18" spans="1:19" ht="49.5" customHeight="1" x14ac:dyDescent="0.15">
      <c r="B18" s="266"/>
      <c r="C18" s="267"/>
      <c r="D18" s="267"/>
      <c r="E18" s="267"/>
      <c r="F18" s="267"/>
      <c r="G18" s="267"/>
      <c r="H18" s="267"/>
      <c r="I18" s="267"/>
      <c r="J18" s="267"/>
      <c r="K18" s="267"/>
      <c r="L18" s="267"/>
      <c r="M18" s="267"/>
      <c r="N18" s="267"/>
      <c r="O18" s="267"/>
      <c r="P18" s="267"/>
      <c r="Q18" s="267"/>
      <c r="R18" s="267"/>
      <c r="S18" s="268"/>
    </row>
    <row r="19" spans="1:19" ht="7.5" customHeight="1" x14ac:dyDescent="0.15">
      <c r="B19" s="83"/>
      <c r="C19" s="83"/>
      <c r="D19" s="83"/>
      <c r="E19" s="83"/>
      <c r="F19" s="83"/>
      <c r="G19" s="83"/>
      <c r="H19" s="83"/>
      <c r="I19" s="83"/>
      <c r="J19" s="83"/>
      <c r="K19" s="83"/>
      <c r="L19" s="83"/>
      <c r="M19" s="83"/>
      <c r="N19" s="83"/>
      <c r="O19" s="83"/>
      <c r="P19" s="83"/>
      <c r="Q19" s="83"/>
      <c r="R19" s="83"/>
      <c r="S19" s="83"/>
    </row>
    <row r="20" spans="1:19" ht="20.100000000000001" customHeight="1" x14ac:dyDescent="0.15">
      <c r="B20" s="89" t="s">
        <v>16</v>
      </c>
      <c r="C20" s="245">
        <v>6</v>
      </c>
      <c r="D20" s="231"/>
      <c r="E20" s="95" t="s">
        <v>17</v>
      </c>
      <c r="G20" s="84"/>
      <c r="H20" s="83"/>
      <c r="I20" s="83"/>
      <c r="J20" s="85" t="s">
        <v>18</v>
      </c>
      <c r="K20" s="269" t="s">
        <v>15</v>
      </c>
      <c r="L20" s="270"/>
      <c r="M20" s="270"/>
      <c r="N20" s="270"/>
      <c r="O20" s="270"/>
      <c r="P20" s="270"/>
      <c r="Q20" s="270"/>
      <c r="R20" s="270"/>
      <c r="S20" s="271"/>
    </row>
    <row r="21" spans="1:19" ht="7.5" customHeight="1" x14ac:dyDescent="0.15">
      <c r="B21" s="83"/>
      <c r="C21" s="83"/>
      <c r="D21" s="83"/>
      <c r="E21" s="83"/>
      <c r="F21" s="83"/>
      <c r="G21" s="83"/>
      <c r="H21" s="83"/>
      <c r="I21" s="83"/>
      <c r="J21" s="83"/>
      <c r="K21" s="83"/>
      <c r="L21" s="83"/>
      <c r="M21" s="83"/>
      <c r="N21" s="83"/>
      <c r="O21" s="83"/>
      <c r="P21" s="83"/>
      <c r="Q21" s="83"/>
      <c r="R21" s="83"/>
      <c r="S21" s="83"/>
    </row>
    <row r="22" spans="1:19" ht="18" customHeight="1" x14ac:dyDescent="0.15">
      <c r="A22" s="255" t="s">
        <v>19</v>
      </c>
      <c r="B22" s="255"/>
      <c r="C22" s="255"/>
      <c r="D22" s="255"/>
      <c r="E22" s="255"/>
      <c r="F22" s="255"/>
      <c r="G22" s="255"/>
      <c r="H22" s="255"/>
      <c r="I22" s="255"/>
      <c r="J22" s="255"/>
      <c r="K22" s="255"/>
      <c r="L22" s="255"/>
      <c r="M22" s="255"/>
      <c r="N22" s="255"/>
      <c r="O22" s="255"/>
      <c r="P22" s="255"/>
      <c r="Q22" s="255"/>
      <c r="R22" s="255"/>
      <c r="S22" s="255"/>
    </row>
    <row r="23" spans="1:19" ht="18" customHeight="1" x14ac:dyDescent="0.15">
      <c r="A23" s="255"/>
      <c r="B23" s="255"/>
      <c r="C23" s="255"/>
      <c r="D23" s="255"/>
      <c r="E23" s="255"/>
      <c r="F23" s="255"/>
      <c r="G23" s="255"/>
      <c r="H23" s="255"/>
      <c r="I23" s="255"/>
      <c r="J23" s="255"/>
      <c r="K23" s="255"/>
      <c r="L23" s="255"/>
      <c r="M23" s="255"/>
      <c r="N23" s="255"/>
      <c r="O23" s="255"/>
      <c r="P23" s="255"/>
      <c r="Q23" s="255"/>
      <c r="R23" s="255"/>
      <c r="S23" s="255"/>
    </row>
    <row r="24" spans="1:19" ht="18" customHeight="1" x14ac:dyDescent="0.15">
      <c r="B24" s="245" t="s">
        <v>20</v>
      </c>
      <c r="C24" s="230"/>
      <c r="D24" s="230"/>
      <c r="E24" s="231"/>
      <c r="F24" s="96" t="s">
        <v>21</v>
      </c>
      <c r="G24" s="97" t="s">
        <v>22</v>
      </c>
      <c r="H24" s="98" t="s">
        <v>23</v>
      </c>
      <c r="I24" s="98" t="s">
        <v>24</v>
      </c>
      <c r="J24" s="245" t="s">
        <v>20</v>
      </c>
      <c r="K24" s="230"/>
      <c r="L24" s="230"/>
      <c r="M24" s="230"/>
      <c r="N24" s="230"/>
      <c r="O24" s="231"/>
      <c r="P24" s="96" t="s">
        <v>21</v>
      </c>
      <c r="Q24" s="97" t="s">
        <v>22</v>
      </c>
      <c r="R24" s="98" t="s">
        <v>23</v>
      </c>
      <c r="S24" s="98" t="s">
        <v>24</v>
      </c>
    </row>
    <row r="25" spans="1:19" ht="18" customHeight="1" x14ac:dyDescent="0.15">
      <c r="B25" s="249" t="s">
        <v>25</v>
      </c>
      <c r="C25" s="207"/>
      <c r="D25" s="207"/>
      <c r="E25" s="208"/>
      <c r="F25" s="87">
        <v>2</v>
      </c>
      <c r="G25" s="87" t="s">
        <v>26</v>
      </c>
      <c r="H25" s="88" t="s">
        <v>26</v>
      </c>
      <c r="I25" s="88" t="s">
        <v>26</v>
      </c>
      <c r="J25" s="249"/>
      <c r="K25" s="207"/>
      <c r="L25" s="207"/>
      <c r="M25" s="207"/>
      <c r="N25" s="207"/>
      <c r="O25" s="208"/>
      <c r="P25" s="87"/>
      <c r="Q25" s="87"/>
      <c r="R25" s="87"/>
      <c r="S25" s="87"/>
    </row>
    <row r="26" spans="1:19" ht="18" customHeight="1" x14ac:dyDescent="0.15">
      <c r="B26" s="235" t="s">
        <v>203</v>
      </c>
      <c r="C26" s="210"/>
      <c r="D26" s="210"/>
      <c r="E26" s="211"/>
      <c r="F26" s="88">
        <v>2</v>
      </c>
      <c r="G26" s="88" t="s">
        <v>26</v>
      </c>
      <c r="H26" s="88" t="s">
        <v>26</v>
      </c>
      <c r="I26" s="88"/>
      <c r="J26" s="235"/>
      <c r="K26" s="210"/>
      <c r="L26" s="210"/>
      <c r="M26" s="210"/>
      <c r="N26" s="210"/>
      <c r="O26" s="211"/>
      <c r="P26" s="88"/>
      <c r="Q26" s="88"/>
      <c r="R26" s="88"/>
      <c r="S26" s="88"/>
    </row>
    <row r="27" spans="1:19" ht="18" customHeight="1" x14ac:dyDescent="0.15">
      <c r="B27" s="253"/>
      <c r="C27" s="254"/>
      <c r="D27" s="254"/>
      <c r="E27" s="259"/>
      <c r="F27" s="99"/>
      <c r="G27" s="99"/>
      <c r="H27" s="99"/>
      <c r="I27" s="99"/>
      <c r="J27" s="235"/>
      <c r="K27" s="210"/>
      <c r="L27" s="210"/>
      <c r="M27" s="210"/>
      <c r="N27" s="210"/>
      <c r="O27" s="211"/>
      <c r="P27" s="88"/>
      <c r="Q27" s="88"/>
      <c r="R27" s="88"/>
      <c r="S27" s="88"/>
    </row>
    <row r="28" spans="1:19" ht="18" customHeight="1" x14ac:dyDescent="0.15">
      <c r="B28" s="235"/>
      <c r="C28" s="210"/>
      <c r="D28" s="210"/>
      <c r="E28" s="211"/>
      <c r="F28" s="88"/>
      <c r="G28" s="88"/>
      <c r="H28" s="88"/>
      <c r="I28" s="88"/>
      <c r="J28" s="235"/>
      <c r="K28" s="210"/>
      <c r="L28" s="210"/>
      <c r="M28" s="210"/>
      <c r="N28" s="210"/>
      <c r="O28" s="211"/>
      <c r="P28" s="88"/>
      <c r="Q28" s="88"/>
      <c r="R28" s="88"/>
      <c r="S28" s="88"/>
    </row>
    <row r="29" spans="1:19" ht="18" customHeight="1" x14ac:dyDescent="0.15">
      <c r="B29" s="235"/>
      <c r="C29" s="210"/>
      <c r="D29" s="210"/>
      <c r="E29" s="211"/>
      <c r="F29" s="88"/>
      <c r="G29" s="88"/>
      <c r="H29" s="88"/>
      <c r="I29" s="88"/>
      <c r="J29" s="235"/>
      <c r="K29" s="210"/>
      <c r="L29" s="210"/>
      <c r="M29" s="210"/>
      <c r="N29" s="210"/>
      <c r="O29" s="211"/>
      <c r="P29" s="88"/>
      <c r="Q29" s="88"/>
      <c r="R29" s="88"/>
      <c r="S29" s="88"/>
    </row>
    <row r="30" spans="1:19" ht="18" customHeight="1" x14ac:dyDescent="0.15">
      <c r="A30" s="83"/>
      <c r="B30" s="235"/>
      <c r="C30" s="210"/>
      <c r="D30" s="210"/>
      <c r="E30" s="211"/>
      <c r="F30" s="88"/>
      <c r="G30" s="88"/>
      <c r="H30" s="88"/>
      <c r="I30" s="88"/>
      <c r="J30" s="235"/>
      <c r="K30" s="210"/>
      <c r="L30" s="210"/>
      <c r="M30" s="210"/>
      <c r="N30" s="210"/>
      <c r="O30" s="211"/>
      <c r="P30" s="88"/>
      <c r="Q30" s="88"/>
      <c r="R30" s="88"/>
      <c r="S30" s="88"/>
    </row>
    <row r="31" spans="1:19" ht="18" customHeight="1" x14ac:dyDescent="0.15">
      <c r="A31" s="83"/>
      <c r="B31" s="239"/>
      <c r="C31" s="240"/>
      <c r="D31" s="240"/>
      <c r="E31" s="241"/>
      <c r="F31" s="100"/>
      <c r="G31" s="100"/>
      <c r="H31" s="101"/>
      <c r="I31" s="101"/>
      <c r="J31" s="239"/>
      <c r="K31" s="240"/>
      <c r="L31" s="240"/>
      <c r="M31" s="240"/>
      <c r="N31" s="240"/>
      <c r="O31" s="241"/>
      <c r="P31" s="100"/>
      <c r="Q31" s="100"/>
      <c r="R31" s="101"/>
      <c r="S31" s="101"/>
    </row>
    <row r="32" spans="1:19" ht="7.5" customHeight="1" x14ac:dyDescent="0.15">
      <c r="A32" s="83"/>
      <c r="B32" s="92"/>
      <c r="C32" s="92"/>
      <c r="D32" s="83"/>
      <c r="E32" s="83"/>
      <c r="F32" s="83"/>
      <c r="G32" s="83"/>
      <c r="H32" s="92"/>
      <c r="I32" s="92"/>
      <c r="J32" s="92"/>
      <c r="K32" s="92"/>
      <c r="L32" s="92"/>
      <c r="M32" s="92"/>
      <c r="N32" s="92"/>
      <c r="O32" s="92"/>
      <c r="P32" s="92"/>
      <c r="Q32" s="92"/>
      <c r="R32" s="92"/>
      <c r="S32" s="83"/>
    </row>
    <row r="33" spans="1:19" ht="18" customHeight="1" x14ac:dyDescent="0.15">
      <c r="A33" s="255" t="s">
        <v>27</v>
      </c>
      <c r="B33" s="255"/>
      <c r="C33" s="255"/>
      <c r="D33" s="255"/>
      <c r="E33" s="255"/>
      <c r="F33" s="255"/>
      <c r="G33" s="255"/>
      <c r="H33" s="255"/>
      <c r="I33" s="255"/>
      <c r="J33" s="255"/>
      <c r="K33" s="255"/>
      <c r="L33" s="255"/>
      <c r="M33" s="255"/>
      <c r="N33" s="255"/>
      <c r="O33" s="255"/>
      <c r="P33" s="255"/>
      <c r="Q33" s="255"/>
      <c r="R33" s="255"/>
      <c r="S33" s="255"/>
    </row>
    <row r="34" spans="1:19" ht="33" customHeight="1" x14ac:dyDescent="0.15">
      <c r="A34" s="255"/>
      <c r="B34" s="255"/>
      <c r="C34" s="255"/>
      <c r="D34" s="255"/>
      <c r="E34" s="255"/>
      <c r="F34" s="255"/>
      <c r="G34" s="255"/>
      <c r="H34" s="255"/>
      <c r="I34" s="255"/>
      <c r="J34" s="255"/>
      <c r="K34" s="255"/>
      <c r="L34" s="255"/>
      <c r="M34" s="255"/>
      <c r="N34" s="255"/>
      <c r="O34" s="255"/>
      <c r="P34" s="255"/>
      <c r="Q34" s="255"/>
      <c r="R34" s="255"/>
      <c r="S34" s="255"/>
    </row>
    <row r="35" spans="1:19" ht="18" customHeight="1" x14ac:dyDescent="0.15">
      <c r="B35" s="245" t="s">
        <v>20</v>
      </c>
      <c r="C35" s="230"/>
      <c r="D35" s="230"/>
      <c r="E35" s="231"/>
      <c r="F35" s="96" t="s">
        <v>21</v>
      </c>
      <c r="G35" s="97" t="s">
        <v>22</v>
      </c>
      <c r="H35" s="98" t="s">
        <v>28</v>
      </c>
      <c r="I35" s="98" t="s">
        <v>29</v>
      </c>
      <c r="J35" s="245" t="s">
        <v>20</v>
      </c>
      <c r="K35" s="230"/>
      <c r="L35" s="230"/>
      <c r="M35" s="230"/>
      <c r="N35" s="230"/>
      <c r="O35" s="231"/>
      <c r="P35" s="96" t="s">
        <v>21</v>
      </c>
      <c r="Q35" s="97" t="s">
        <v>22</v>
      </c>
      <c r="R35" s="98" t="s">
        <v>28</v>
      </c>
      <c r="S35" s="98" t="s">
        <v>29</v>
      </c>
    </row>
    <row r="36" spans="1:19" ht="18" customHeight="1" x14ac:dyDescent="0.15">
      <c r="B36" s="256" t="s">
        <v>25</v>
      </c>
      <c r="C36" s="257"/>
      <c r="D36" s="257"/>
      <c r="E36" s="258"/>
      <c r="F36" s="102">
        <v>2</v>
      </c>
      <c r="G36" s="102" t="s">
        <v>26</v>
      </c>
      <c r="H36" s="102" t="s">
        <v>26</v>
      </c>
      <c r="I36" s="102" t="s">
        <v>26</v>
      </c>
      <c r="J36" s="249"/>
      <c r="K36" s="207"/>
      <c r="L36" s="207"/>
      <c r="M36" s="207"/>
      <c r="N36" s="207"/>
      <c r="O36" s="208"/>
      <c r="P36" s="87"/>
      <c r="Q36" s="87"/>
      <c r="R36" s="87"/>
      <c r="S36" s="87"/>
    </row>
    <row r="37" spans="1:19" ht="18" customHeight="1" x14ac:dyDescent="0.15">
      <c r="B37" s="235"/>
      <c r="C37" s="210"/>
      <c r="D37" s="210"/>
      <c r="E37" s="211"/>
      <c r="F37" s="88"/>
      <c r="G37" s="88"/>
      <c r="H37" s="88"/>
      <c r="I37" s="88"/>
      <c r="J37" s="235"/>
      <c r="K37" s="210"/>
      <c r="L37" s="210"/>
      <c r="M37" s="210"/>
      <c r="N37" s="210"/>
      <c r="O37" s="211"/>
      <c r="P37" s="88"/>
      <c r="Q37" s="88"/>
      <c r="R37" s="88"/>
      <c r="S37" s="88"/>
    </row>
    <row r="38" spans="1:19" ht="18" customHeight="1" x14ac:dyDescent="0.15">
      <c r="B38" s="253"/>
      <c r="C38" s="254"/>
      <c r="D38" s="254"/>
      <c r="E38" s="259"/>
      <c r="F38" s="99"/>
      <c r="G38" s="99"/>
      <c r="H38" s="99"/>
      <c r="I38" s="99"/>
      <c r="J38" s="235"/>
      <c r="K38" s="210"/>
      <c r="L38" s="210"/>
      <c r="M38" s="210"/>
      <c r="N38" s="210"/>
      <c r="O38" s="211"/>
      <c r="P38" s="88"/>
      <c r="Q38" s="88"/>
      <c r="R38" s="88"/>
      <c r="S38" s="88"/>
    </row>
    <row r="39" spans="1:19" ht="18" customHeight="1" x14ac:dyDescent="0.15">
      <c r="B39" s="253"/>
      <c r="C39" s="254"/>
      <c r="D39" s="254"/>
      <c r="E39" s="259"/>
      <c r="F39" s="99"/>
      <c r="G39" s="99"/>
      <c r="H39" s="99"/>
      <c r="I39" s="99"/>
      <c r="J39" s="235"/>
      <c r="K39" s="210"/>
      <c r="L39" s="210"/>
      <c r="M39" s="210"/>
      <c r="N39" s="210"/>
      <c r="O39" s="211"/>
      <c r="P39" s="88"/>
      <c r="Q39" s="88"/>
      <c r="R39" s="88"/>
      <c r="S39" s="88"/>
    </row>
    <row r="40" spans="1:19" ht="18" customHeight="1" x14ac:dyDescent="0.15">
      <c r="B40" s="235"/>
      <c r="C40" s="210"/>
      <c r="D40" s="210"/>
      <c r="E40" s="211"/>
      <c r="F40" s="88"/>
      <c r="G40" s="88"/>
      <c r="H40" s="88"/>
      <c r="I40" s="88"/>
      <c r="J40" s="235"/>
      <c r="K40" s="210"/>
      <c r="L40" s="210"/>
      <c r="M40" s="210"/>
      <c r="N40" s="210"/>
      <c r="O40" s="211"/>
      <c r="P40" s="88"/>
      <c r="Q40" s="88"/>
      <c r="R40" s="88"/>
      <c r="S40" s="88"/>
    </row>
    <row r="41" spans="1:19" ht="18" customHeight="1" x14ac:dyDescent="0.15">
      <c r="B41" s="235"/>
      <c r="C41" s="210"/>
      <c r="D41" s="210"/>
      <c r="E41" s="211"/>
      <c r="F41" s="88"/>
      <c r="G41" s="88"/>
      <c r="H41" s="88"/>
      <c r="I41" s="88"/>
      <c r="J41" s="235"/>
      <c r="K41" s="210"/>
      <c r="L41" s="210"/>
      <c r="M41" s="210"/>
      <c r="N41" s="210"/>
      <c r="O41" s="211"/>
      <c r="P41" s="88"/>
      <c r="Q41" s="88"/>
      <c r="R41" s="88"/>
      <c r="S41" s="88"/>
    </row>
    <row r="42" spans="1:19" ht="18" customHeight="1" x14ac:dyDescent="0.15">
      <c r="B42" s="239"/>
      <c r="C42" s="240"/>
      <c r="D42" s="240"/>
      <c r="E42" s="241"/>
      <c r="F42" s="100"/>
      <c r="G42" s="100"/>
      <c r="H42" s="101"/>
      <c r="I42" s="101"/>
      <c r="J42" s="239"/>
      <c r="K42" s="240"/>
      <c r="L42" s="240"/>
      <c r="M42" s="240"/>
      <c r="N42" s="240"/>
      <c r="O42" s="241"/>
      <c r="P42" s="100"/>
      <c r="Q42" s="100"/>
      <c r="R42" s="101"/>
      <c r="S42" s="101"/>
    </row>
    <row r="43" spans="1:19" ht="7.5" customHeight="1" x14ac:dyDescent="0.15">
      <c r="A43" s="83"/>
      <c r="B43" s="92"/>
      <c r="C43" s="92"/>
      <c r="D43" s="83"/>
      <c r="E43" s="83"/>
      <c r="F43" s="83"/>
      <c r="G43" s="83"/>
      <c r="H43" s="92"/>
      <c r="I43" s="92"/>
      <c r="J43" s="92"/>
      <c r="K43" s="92"/>
      <c r="L43" s="92"/>
      <c r="M43" s="92"/>
      <c r="N43" s="92"/>
      <c r="O43" s="92"/>
      <c r="P43" s="92"/>
      <c r="Q43" s="92"/>
      <c r="R43" s="92"/>
      <c r="S43" s="83"/>
    </row>
    <row r="44" spans="1:19" ht="18" customHeight="1" x14ac:dyDescent="0.15">
      <c r="A44" s="255" t="s">
        <v>30</v>
      </c>
      <c r="B44" s="255"/>
      <c r="C44" s="255"/>
      <c r="D44" s="255"/>
      <c r="E44" s="255"/>
      <c r="F44" s="255"/>
      <c r="G44" s="255"/>
      <c r="H44" s="255"/>
      <c r="I44" s="255"/>
      <c r="J44" s="255"/>
      <c r="K44" s="255"/>
      <c r="L44" s="255"/>
      <c r="M44" s="255"/>
      <c r="N44" s="255"/>
      <c r="O44" s="255"/>
      <c r="P44" s="255"/>
      <c r="Q44" s="255"/>
      <c r="R44" s="255"/>
      <c r="S44" s="255"/>
    </row>
    <row r="45" spans="1:19" ht="37.5" customHeight="1" x14ac:dyDescent="0.15">
      <c r="A45" s="255"/>
      <c r="B45" s="255"/>
      <c r="C45" s="255"/>
      <c r="D45" s="255"/>
      <c r="E45" s="255"/>
      <c r="F45" s="255"/>
      <c r="G45" s="255"/>
      <c r="H45" s="255"/>
      <c r="I45" s="255"/>
      <c r="J45" s="255"/>
      <c r="K45" s="255"/>
      <c r="L45" s="255"/>
      <c r="M45" s="255"/>
      <c r="N45" s="255"/>
      <c r="O45" s="255"/>
      <c r="P45" s="255"/>
      <c r="Q45" s="255"/>
      <c r="R45" s="255"/>
      <c r="S45" s="255"/>
    </row>
    <row r="46" spans="1:19" ht="18" customHeight="1" x14ac:dyDescent="0.15">
      <c r="B46" s="245" t="s">
        <v>20</v>
      </c>
      <c r="C46" s="230"/>
      <c r="D46" s="230"/>
      <c r="E46" s="231"/>
      <c r="F46" s="96" t="s">
        <v>21</v>
      </c>
      <c r="G46" s="97" t="s">
        <v>22</v>
      </c>
      <c r="H46" s="98" t="s">
        <v>31</v>
      </c>
      <c r="I46" s="98" t="s">
        <v>32</v>
      </c>
      <c r="J46" s="245" t="s">
        <v>20</v>
      </c>
      <c r="K46" s="230"/>
      <c r="L46" s="230"/>
      <c r="M46" s="230"/>
      <c r="N46" s="230"/>
      <c r="O46" s="231"/>
      <c r="P46" s="96" t="s">
        <v>21</v>
      </c>
      <c r="Q46" s="97" t="s">
        <v>22</v>
      </c>
      <c r="R46" s="98" t="s">
        <v>31</v>
      </c>
      <c r="S46" s="98" t="s">
        <v>32</v>
      </c>
    </row>
    <row r="47" spans="1:19" ht="18" customHeight="1" x14ac:dyDescent="0.15">
      <c r="A47" s="83"/>
      <c r="B47" s="249" t="s">
        <v>25</v>
      </c>
      <c r="C47" s="207"/>
      <c r="D47" s="207"/>
      <c r="E47" s="208"/>
      <c r="F47" s="87">
        <v>2</v>
      </c>
      <c r="G47" s="87" t="s">
        <v>26</v>
      </c>
      <c r="H47" s="87" t="s">
        <v>26</v>
      </c>
      <c r="I47" s="87" t="s">
        <v>26</v>
      </c>
      <c r="J47" s="249"/>
      <c r="K47" s="207"/>
      <c r="L47" s="207"/>
      <c r="M47" s="207"/>
      <c r="N47" s="207"/>
      <c r="O47" s="208"/>
      <c r="P47" s="87"/>
      <c r="Q47" s="87"/>
      <c r="R47" s="87"/>
      <c r="S47" s="87"/>
    </row>
    <row r="48" spans="1:19" ht="18" customHeight="1" x14ac:dyDescent="0.15">
      <c r="A48" s="83"/>
      <c r="B48" s="235"/>
      <c r="C48" s="210"/>
      <c r="D48" s="210"/>
      <c r="E48" s="211"/>
      <c r="F48" s="88"/>
      <c r="G48" s="88"/>
      <c r="H48" s="88"/>
      <c r="I48" s="88"/>
      <c r="J48" s="235"/>
      <c r="K48" s="210"/>
      <c r="L48" s="210"/>
      <c r="M48" s="210"/>
      <c r="N48" s="210"/>
      <c r="O48" s="211"/>
      <c r="P48" s="88"/>
      <c r="Q48" s="88"/>
      <c r="R48" s="88"/>
      <c r="S48" s="88"/>
    </row>
    <row r="49" spans="1:19" ht="18" customHeight="1" x14ac:dyDescent="0.15">
      <c r="A49" s="83"/>
      <c r="B49" s="235"/>
      <c r="C49" s="210"/>
      <c r="D49" s="210"/>
      <c r="E49" s="211"/>
      <c r="F49" s="88"/>
      <c r="G49" s="88"/>
      <c r="H49" s="88"/>
      <c r="I49" s="88"/>
      <c r="J49" s="235"/>
      <c r="K49" s="210"/>
      <c r="L49" s="210"/>
      <c r="M49" s="210"/>
      <c r="N49" s="210"/>
      <c r="O49" s="211"/>
      <c r="P49" s="88"/>
      <c r="Q49" s="88"/>
      <c r="R49" s="88"/>
      <c r="S49" s="88"/>
    </row>
    <row r="50" spans="1:19" ht="18" customHeight="1" x14ac:dyDescent="0.15">
      <c r="A50" s="83"/>
      <c r="B50" s="235"/>
      <c r="C50" s="210"/>
      <c r="D50" s="210"/>
      <c r="E50" s="211"/>
      <c r="F50" s="88"/>
      <c r="G50" s="88"/>
      <c r="H50" s="88"/>
      <c r="I50" s="88"/>
      <c r="J50" s="235"/>
      <c r="K50" s="210"/>
      <c r="L50" s="210"/>
      <c r="M50" s="210"/>
      <c r="N50" s="210"/>
      <c r="O50" s="211"/>
      <c r="P50" s="88"/>
      <c r="Q50" s="88"/>
      <c r="R50" s="88"/>
      <c r="S50" s="88"/>
    </row>
    <row r="51" spans="1:19" ht="18" customHeight="1" x14ac:dyDescent="0.15">
      <c r="A51" s="83"/>
      <c r="B51" s="235"/>
      <c r="C51" s="210"/>
      <c r="D51" s="210"/>
      <c r="E51" s="211"/>
      <c r="F51" s="88"/>
      <c r="G51" s="88"/>
      <c r="H51" s="88"/>
      <c r="I51" s="88"/>
      <c r="J51" s="235"/>
      <c r="K51" s="210"/>
      <c r="L51" s="210"/>
      <c r="M51" s="210"/>
      <c r="N51" s="210"/>
      <c r="O51" s="211"/>
      <c r="P51" s="88"/>
      <c r="Q51" s="88"/>
      <c r="R51" s="88"/>
      <c r="S51" s="88"/>
    </row>
    <row r="52" spans="1:19" ht="18" customHeight="1" x14ac:dyDescent="0.15">
      <c r="A52" s="83"/>
      <c r="B52" s="235"/>
      <c r="C52" s="210"/>
      <c r="D52" s="210"/>
      <c r="E52" s="211"/>
      <c r="F52" s="88"/>
      <c r="G52" s="88"/>
      <c r="H52" s="88"/>
      <c r="I52" s="88"/>
      <c r="J52" s="235"/>
      <c r="K52" s="210"/>
      <c r="L52" s="210"/>
      <c r="M52" s="210"/>
      <c r="N52" s="210"/>
      <c r="O52" s="211"/>
      <c r="P52" s="88"/>
      <c r="Q52" s="88"/>
      <c r="R52" s="88"/>
      <c r="S52" s="88"/>
    </row>
    <row r="53" spans="1:19" ht="18" customHeight="1" x14ac:dyDescent="0.15">
      <c r="A53" s="83"/>
      <c r="B53" s="239"/>
      <c r="C53" s="240"/>
      <c r="D53" s="240"/>
      <c r="E53" s="241"/>
      <c r="F53" s="100"/>
      <c r="G53" s="100"/>
      <c r="H53" s="101"/>
      <c r="I53" s="101"/>
      <c r="J53" s="239"/>
      <c r="K53" s="240"/>
      <c r="L53" s="240"/>
      <c r="M53" s="240"/>
      <c r="N53" s="240"/>
      <c r="O53" s="241"/>
      <c r="P53" s="100"/>
      <c r="Q53" s="100"/>
      <c r="R53" s="101"/>
      <c r="S53" s="101"/>
    </row>
    <row r="54" spans="1:19" ht="7.5" customHeight="1" x14ac:dyDescent="0.15">
      <c r="B54" s="103"/>
      <c r="C54" s="103"/>
      <c r="D54" s="103"/>
      <c r="E54" s="103"/>
      <c r="F54" s="103"/>
      <c r="G54" s="103"/>
      <c r="H54" s="103"/>
      <c r="I54" s="103"/>
      <c r="J54" s="103"/>
      <c r="K54" s="103"/>
      <c r="L54" s="103"/>
      <c r="M54" s="103"/>
      <c r="N54" s="103"/>
      <c r="O54" s="103"/>
      <c r="P54" s="103"/>
      <c r="Q54" s="103"/>
      <c r="R54" s="103"/>
    </row>
    <row r="55" spans="1:19" ht="18" customHeight="1" x14ac:dyDescent="0.15">
      <c r="A55" s="255" t="s">
        <v>33</v>
      </c>
      <c r="B55" s="255"/>
      <c r="C55" s="255"/>
      <c r="D55" s="255"/>
      <c r="E55" s="255"/>
      <c r="F55" s="255"/>
      <c r="G55" s="255"/>
      <c r="H55" s="255"/>
      <c r="I55" s="255"/>
      <c r="J55" s="255"/>
      <c r="K55" s="255"/>
      <c r="L55" s="255"/>
      <c r="M55" s="255"/>
      <c r="N55" s="255"/>
      <c r="O55" s="255"/>
      <c r="P55" s="255"/>
      <c r="Q55" s="255"/>
      <c r="R55" s="255"/>
      <c r="S55" s="255"/>
    </row>
    <row r="56" spans="1:19" ht="33.75" customHeight="1" x14ac:dyDescent="0.15">
      <c r="A56" s="255"/>
      <c r="B56" s="255"/>
      <c r="C56" s="255"/>
      <c r="D56" s="255"/>
      <c r="E56" s="255"/>
      <c r="F56" s="255"/>
      <c r="G56" s="255"/>
      <c r="H56" s="255"/>
      <c r="I56" s="255"/>
      <c r="J56" s="255"/>
      <c r="K56" s="255"/>
      <c r="L56" s="255"/>
      <c r="M56" s="255"/>
      <c r="N56" s="255"/>
      <c r="O56" s="255"/>
      <c r="P56" s="255"/>
      <c r="Q56" s="255"/>
      <c r="R56" s="255"/>
      <c r="S56" s="255"/>
    </row>
    <row r="57" spans="1:19" ht="18" customHeight="1" x14ac:dyDescent="0.15">
      <c r="B57" s="245" t="s">
        <v>20</v>
      </c>
      <c r="C57" s="230"/>
      <c r="D57" s="230"/>
      <c r="E57" s="231"/>
      <c r="F57" s="96" t="s">
        <v>21</v>
      </c>
      <c r="G57" s="97" t="s">
        <v>22</v>
      </c>
      <c r="H57" s="98" t="s">
        <v>34</v>
      </c>
      <c r="I57" s="98" t="s">
        <v>35</v>
      </c>
      <c r="J57" s="245" t="s">
        <v>20</v>
      </c>
      <c r="K57" s="230"/>
      <c r="L57" s="230"/>
      <c r="M57" s="230"/>
      <c r="N57" s="230"/>
      <c r="O57" s="231"/>
      <c r="P57" s="96" t="s">
        <v>21</v>
      </c>
      <c r="Q57" s="97" t="s">
        <v>22</v>
      </c>
      <c r="R57" s="98" t="s">
        <v>34</v>
      </c>
      <c r="S57" s="98" t="s">
        <v>35</v>
      </c>
    </row>
    <row r="58" spans="1:19" ht="18" customHeight="1" x14ac:dyDescent="0.15">
      <c r="A58" s="83"/>
      <c r="B58" s="249" t="s">
        <v>84</v>
      </c>
      <c r="C58" s="207"/>
      <c r="D58" s="207"/>
      <c r="E58" s="208"/>
      <c r="F58" s="88">
        <v>2</v>
      </c>
      <c r="G58" s="88" t="s">
        <v>26</v>
      </c>
      <c r="H58" s="88" t="s">
        <v>26</v>
      </c>
      <c r="I58" s="88"/>
      <c r="J58" s="249"/>
      <c r="K58" s="207"/>
      <c r="L58" s="207"/>
      <c r="M58" s="207"/>
      <c r="N58" s="207"/>
      <c r="O58" s="208"/>
      <c r="P58" s="87"/>
      <c r="Q58" s="87"/>
      <c r="R58" s="87"/>
      <c r="S58" s="87"/>
    </row>
    <row r="59" spans="1:19" ht="18" customHeight="1" x14ac:dyDescent="0.15">
      <c r="A59" s="83"/>
      <c r="B59" s="235" t="s">
        <v>25</v>
      </c>
      <c r="C59" s="210"/>
      <c r="D59" s="210"/>
      <c r="E59" s="211"/>
      <c r="F59" s="88">
        <v>2</v>
      </c>
      <c r="G59" s="88" t="s">
        <v>26</v>
      </c>
      <c r="H59" s="88" t="s">
        <v>26</v>
      </c>
      <c r="I59" s="88" t="s">
        <v>26</v>
      </c>
      <c r="J59" s="235"/>
      <c r="K59" s="210"/>
      <c r="L59" s="210"/>
      <c r="M59" s="210"/>
      <c r="N59" s="210"/>
      <c r="O59" s="211"/>
      <c r="P59" s="88"/>
      <c r="Q59" s="88"/>
      <c r="R59" s="88"/>
      <c r="S59" s="88"/>
    </row>
    <row r="60" spans="1:19" ht="18" customHeight="1" x14ac:dyDescent="0.15">
      <c r="A60" s="83"/>
      <c r="B60" s="235"/>
      <c r="C60" s="210"/>
      <c r="D60" s="210"/>
      <c r="E60" s="211"/>
      <c r="F60" s="88"/>
      <c r="G60" s="88"/>
      <c r="H60" s="88"/>
      <c r="I60" s="88"/>
      <c r="J60" s="235"/>
      <c r="K60" s="210"/>
      <c r="L60" s="210"/>
      <c r="M60" s="210"/>
      <c r="N60" s="210"/>
      <c r="O60" s="211"/>
      <c r="P60" s="88"/>
      <c r="Q60" s="88"/>
      <c r="R60" s="88"/>
      <c r="S60" s="88"/>
    </row>
    <row r="61" spans="1:19" ht="18" customHeight="1" x14ac:dyDescent="0.15">
      <c r="A61" s="83"/>
      <c r="B61" s="235"/>
      <c r="C61" s="210"/>
      <c r="D61" s="210"/>
      <c r="E61" s="211"/>
      <c r="F61" s="88"/>
      <c r="G61" s="88"/>
      <c r="H61" s="88"/>
      <c r="I61" s="88"/>
      <c r="J61" s="235"/>
      <c r="K61" s="210"/>
      <c r="L61" s="210"/>
      <c r="M61" s="210"/>
      <c r="N61" s="210"/>
      <c r="O61" s="211"/>
      <c r="P61" s="88"/>
      <c r="Q61" s="88"/>
      <c r="R61" s="88"/>
      <c r="S61" s="88"/>
    </row>
    <row r="62" spans="1:19" ht="18" customHeight="1" x14ac:dyDescent="0.15">
      <c r="A62" s="83"/>
      <c r="B62" s="235"/>
      <c r="C62" s="210"/>
      <c r="D62" s="210"/>
      <c r="E62" s="211"/>
      <c r="F62" s="88"/>
      <c r="G62" s="88"/>
      <c r="H62" s="88"/>
      <c r="I62" s="88"/>
      <c r="J62" s="235"/>
      <c r="K62" s="210"/>
      <c r="L62" s="210"/>
      <c r="M62" s="210"/>
      <c r="N62" s="210"/>
      <c r="O62" s="211"/>
      <c r="P62" s="88"/>
      <c r="Q62" s="88"/>
      <c r="R62" s="88"/>
      <c r="S62" s="88"/>
    </row>
    <row r="63" spans="1:19" ht="18" customHeight="1" x14ac:dyDescent="0.15">
      <c r="A63" s="83"/>
      <c r="B63" s="235"/>
      <c r="C63" s="210"/>
      <c r="D63" s="210"/>
      <c r="E63" s="211"/>
      <c r="F63" s="88"/>
      <c r="G63" s="88"/>
      <c r="H63" s="88"/>
      <c r="I63" s="88"/>
      <c r="J63" s="235"/>
      <c r="K63" s="210"/>
      <c r="L63" s="210"/>
      <c r="M63" s="210"/>
      <c r="N63" s="210"/>
      <c r="O63" s="211"/>
      <c r="P63" s="88"/>
      <c r="Q63" s="88"/>
      <c r="R63" s="88"/>
      <c r="S63" s="88"/>
    </row>
    <row r="64" spans="1:19" ht="18" customHeight="1" x14ac:dyDescent="0.15">
      <c r="A64" s="83"/>
      <c r="B64" s="239"/>
      <c r="C64" s="240"/>
      <c r="D64" s="240"/>
      <c r="E64" s="241"/>
      <c r="F64" s="100"/>
      <c r="G64" s="100"/>
      <c r="H64" s="101"/>
      <c r="I64" s="101"/>
      <c r="J64" s="239"/>
      <c r="K64" s="240"/>
      <c r="L64" s="240"/>
      <c r="M64" s="240"/>
      <c r="N64" s="240"/>
      <c r="O64" s="241"/>
      <c r="P64" s="100"/>
      <c r="Q64" s="100"/>
      <c r="R64" s="101"/>
      <c r="S64" s="101"/>
    </row>
    <row r="65" spans="1:19" ht="7.5" customHeight="1" x14ac:dyDescent="0.15">
      <c r="B65" s="103"/>
      <c r="C65" s="103"/>
      <c r="D65" s="103"/>
      <c r="E65" s="103"/>
      <c r="F65" s="103"/>
      <c r="G65" s="103"/>
      <c r="H65" s="103"/>
      <c r="I65" s="103"/>
      <c r="J65" s="103"/>
      <c r="K65" s="103"/>
      <c r="L65" s="103"/>
      <c r="M65" s="103"/>
      <c r="N65" s="103"/>
      <c r="O65" s="103"/>
      <c r="P65" s="103"/>
      <c r="Q65" s="103"/>
      <c r="R65" s="103"/>
    </row>
    <row r="66" spans="1:19" ht="18" customHeight="1" x14ac:dyDescent="0.15">
      <c r="A66" s="255" t="s">
        <v>37</v>
      </c>
      <c r="B66" s="255"/>
      <c r="C66" s="255"/>
      <c r="D66" s="255"/>
      <c r="E66" s="255"/>
      <c r="F66" s="255"/>
      <c r="G66" s="255"/>
      <c r="H66" s="255"/>
      <c r="I66" s="255"/>
      <c r="J66" s="255"/>
      <c r="K66" s="255"/>
      <c r="L66" s="255"/>
      <c r="M66" s="255"/>
      <c r="N66" s="255"/>
      <c r="O66" s="255"/>
      <c r="P66" s="255"/>
      <c r="Q66" s="255"/>
      <c r="R66" s="255"/>
      <c r="S66" s="255"/>
    </row>
    <row r="67" spans="1:19" ht="36" customHeight="1" x14ac:dyDescent="0.15">
      <c r="A67" s="255"/>
      <c r="B67" s="255"/>
      <c r="C67" s="255"/>
      <c r="D67" s="255"/>
      <c r="E67" s="255"/>
      <c r="F67" s="255"/>
      <c r="G67" s="255"/>
      <c r="H67" s="255"/>
      <c r="I67" s="255"/>
      <c r="J67" s="255"/>
      <c r="K67" s="255"/>
      <c r="L67" s="255"/>
      <c r="M67" s="255"/>
      <c r="N67" s="255"/>
      <c r="O67" s="255"/>
      <c r="P67" s="255"/>
      <c r="Q67" s="255"/>
      <c r="R67" s="255"/>
      <c r="S67" s="255"/>
    </row>
    <row r="68" spans="1:19" ht="18" customHeight="1" x14ac:dyDescent="0.15">
      <c r="B68" s="245" t="s">
        <v>20</v>
      </c>
      <c r="C68" s="230"/>
      <c r="D68" s="230"/>
      <c r="E68" s="96" t="s">
        <v>21</v>
      </c>
      <c r="F68" s="97" t="s">
        <v>22</v>
      </c>
      <c r="G68" s="98" t="s">
        <v>38</v>
      </c>
      <c r="H68" s="98" t="s">
        <v>39</v>
      </c>
      <c r="I68" s="98" t="s">
        <v>40</v>
      </c>
      <c r="J68" s="245" t="s">
        <v>20</v>
      </c>
      <c r="K68" s="230"/>
      <c r="L68" s="230"/>
      <c r="M68" s="230"/>
      <c r="N68" s="231"/>
      <c r="O68" s="96" t="s">
        <v>21</v>
      </c>
      <c r="P68" s="97" t="s">
        <v>22</v>
      </c>
      <c r="Q68" s="98" t="s">
        <v>38</v>
      </c>
      <c r="R68" s="98" t="s">
        <v>39</v>
      </c>
      <c r="S68" s="98" t="s">
        <v>40</v>
      </c>
    </row>
    <row r="69" spans="1:19" ht="18" customHeight="1" x14ac:dyDescent="0.15">
      <c r="A69" s="83"/>
      <c r="B69" s="256" t="s">
        <v>85</v>
      </c>
      <c r="C69" s="257"/>
      <c r="D69" s="258"/>
      <c r="E69" s="102">
        <v>2</v>
      </c>
      <c r="F69" s="102" t="s">
        <v>26</v>
      </c>
      <c r="G69" s="102"/>
      <c r="H69" s="102" t="s">
        <v>26</v>
      </c>
      <c r="I69" s="102"/>
      <c r="J69" s="249"/>
      <c r="K69" s="207"/>
      <c r="L69" s="207"/>
      <c r="M69" s="207"/>
      <c r="N69" s="208"/>
      <c r="O69" s="87"/>
      <c r="P69" s="87"/>
      <c r="Q69" s="87"/>
      <c r="R69" s="87"/>
      <c r="S69" s="87"/>
    </row>
    <row r="70" spans="1:19" ht="18" customHeight="1" x14ac:dyDescent="0.15">
      <c r="A70" s="83"/>
      <c r="B70" s="235" t="s">
        <v>86</v>
      </c>
      <c r="C70" s="210"/>
      <c r="D70" s="210"/>
      <c r="E70" s="88">
        <v>2</v>
      </c>
      <c r="F70" s="88" t="s">
        <v>26</v>
      </c>
      <c r="G70" s="88" t="s">
        <v>26</v>
      </c>
      <c r="H70" s="88" t="s">
        <v>26</v>
      </c>
      <c r="I70" s="88" t="s">
        <v>26</v>
      </c>
      <c r="J70" s="235"/>
      <c r="K70" s="210"/>
      <c r="L70" s="210"/>
      <c r="M70" s="210"/>
      <c r="N70" s="211"/>
      <c r="O70" s="88"/>
      <c r="P70" s="88"/>
      <c r="Q70" s="88"/>
      <c r="R70" s="88"/>
      <c r="S70" s="88"/>
    </row>
    <row r="71" spans="1:19" ht="18" customHeight="1" x14ac:dyDescent="0.15">
      <c r="A71" s="83"/>
      <c r="B71" s="253"/>
      <c r="C71" s="254"/>
      <c r="D71" s="254"/>
      <c r="E71" s="99"/>
      <c r="F71" s="99"/>
      <c r="G71" s="99"/>
      <c r="H71" s="99"/>
      <c r="I71" s="99"/>
      <c r="J71" s="235"/>
      <c r="K71" s="210"/>
      <c r="L71" s="210"/>
      <c r="M71" s="210"/>
      <c r="N71" s="211"/>
      <c r="O71" s="88"/>
      <c r="P71" s="88"/>
      <c r="Q71" s="88"/>
      <c r="R71" s="88"/>
      <c r="S71" s="88"/>
    </row>
    <row r="72" spans="1:19" ht="18" customHeight="1" x14ac:dyDescent="0.15">
      <c r="A72" s="83"/>
      <c r="B72" s="235"/>
      <c r="C72" s="210"/>
      <c r="D72" s="211"/>
      <c r="E72" s="88"/>
      <c r="F72" s="88"/>
      <c r="G72" s="88"/>
      <c r="H72" s="88"/>
      <c r="I72" s="88"/>
      <c r="J72" s="235"/>
      <c r="K72" s="210"/>
      <c r="L72" s="210"/>
      <c r="M72" s="210"/>
      <c r="N72" s="211"/>
      <c r="O72" s="88"/>
      <c r="P72" s="88"/>
      <c r="Q72" s="88"/>
      <c r="R72" s="88"/>
      <c r="S72" s="88"/>
    </row>
    <row r="73" spans="1:19" ht="18" customHeight="1" x14ac:dyDescent="0.15">
      <c r="A73" s="83"/>
      <c r="B73" s="235"/>
      <c r="C73" s="210"/>
      <c r="D73" s="210"/>
      <c r="E73" s="88"/>
      <c r="F73" s="88"/>
      <c r="G73" s="88"/>
      <c r="H73" s="88"/>
      <c r="I73" s="88"/>
      <c r="J73" s="235"/>
      <c r="K73" s="210"/>
      <c r="L73" s="210"/>
      <c r="M73" s="210"/>
      <c r="N73" s="211"/>
      <c r="O73" s="88"/>
      <c r="P73" s="88"/>
      <c r="Q73" s="88"/>
      <c r="R73" s="88"/>
      <c r="S73" s="88"/>
    </row>
    <row r="74" spans="1:19" ht="18" customHeight="1" x14ac:dyDescent="0.15">
      <c r="A74" s="83"/>
      <c r="B74" s="235"/>
      <c r="C74" s="210"/>
      <c r="D74" s="210"/>
      <c r="E74" s="88"/>
      <c r="F74" s="88"/>
      <c r="G74" s="88"/>
      <c r="H74" s="88"/>
      <c r="I74" s="88"/>
      <c r="J74" s="235"/>
      <c r="K74" s="210"/>
      <c r="L74" s="210"/>
      <c r="M74" s="210"/>
      <c r="N74" s="211"/>
      <c r="O74" s="88"/>
      <c r="P74" s="88"/>
      <c r="Q74" s="88"/>
      <c r="R74" s="88"/>
      <c r="S74" s="88"/>
    </row>
    <row r="75" spans="1:19" ht="18" customHeight="1" x14ac:dyDescent="0.15">
      <c r="A75" s="83"/>
      <c r="B75" s="239"/>
      <c r="C75" s="240"/>
      <c r="D75" s="240"/>
      <c r="E75" s="100"/>
      <c r="F75" s="100"/>
      <c r="G75" s="101"/>
      <c r="H75" s="101"/>
      <c r="I75" s="101"/>
      <c r="J75" s="239"/>
      <c r="K75" s="240"/>
      <c r="L75" s="240"/>
      <c r="M75" s="240"/>
      <c r="N75" s="241"/>
      <c r="O75" s="100"/>
      <c r="P75" s="100"/>
      <c r="Q75" s="101"/>
      <c r="R75" s="101"/>
      <c r="S75" s="101"/>
    </row>
    <row r="76" spans="1:19" ht="7.5" customHeight="1" x14ac:dyDescent="0.15">
      <c r="B76" s="103"/>
      <c r="C76" s="103"/>
      <c r="D76" s="103"/>
      <c r="E76" s="103"/>
      <c r="F76" s="103"/>
      <c r="G76" s="103"/>
      <c r="H76" s="103"/>
      <c r="I76" s="103"/>
      <c r="J76" s="103"/>
      <c r="K76" s="103"/>
      <c r="L76" s="103"/>
      <c r="M76" s="103"/>
      <c r="N76" s="103"/>
      <c r="O76" s="103"/>
      <c r="P76" s="103"/>
      <c r="Q76" s="103"/>
      <c r="R76" s="103"/>
    </row>
    <row r="77" spans="1:19" ht="18" customHeight="1" x14ac:dyDescent="0.15">
      <c r="A77" s="89" t="s">
        <v>42</v>
      </c>
      <c r="H77" s="83"/>
      <c r="I77" s="83"/>
      <c r="J77" s="83"/>
      <c r="K77" s="83"/>
      <c r="L77" s="83"/>
      <c r="M77" s="83"/>
      <c r="N77" s="83"/>
      <c r="O77" s="83"/>
      <c r="P77" s="83"/>
      <c r="Q77" s="83"/>
      <c r="R77" s="83"/>
      <c r="S77" s="83"/>
    </row>
    <row r="78" spans="1:19" ht="18" customHeight="1" x14ac:dyDescent="0.15">
      <c r="B78" s="245" t="s">
        <v>20</v>
      </c>
      <c r="C78" s="230"/>
      <c r="D78" s="230"/>
      <c r="E78" s="231"/>
      <c r="F78" s="245" t="s">
        <v>43</v>
      </c>
      <c r="G78" s="230"/>
      <c r="H78" s="230"/>
      <c r="I78" s="231"/>
      <c r="J78" s="246" t="s">
        <v>20</v>
      </c>
      <c r="K78" s="247"/>
      <c r="L78" s="247"/>
      <c r="M78" s="247"/>
      <c r="N78" s="247"/>
      <c r="O78" s="248"/>
      <c r="P78" s="245" t="s">
        <v>43</v>
      </c>
      <c r="Q78" s="230"/>
      <c r="R78" s="230"/>
      <c r="S78" s="231"/>
    </row>
    <row r="79" spans="1:19" ht="18" customHeight="1" x14ac:dyDescent="0.15">
      <c r="A79" s="83"/>
      <c r="B79" s="249" t="s">
        <v>25</v>
      </c>
      <c r="C79" s="207"/>
      <c r="D79" s="207"/>
      <c r="E79" s="208"/>
      <c r="F79" s="250" t="s">
        <v>44</v>
      </c>
      <c r="G79" s="251"/>
      <c r="H79" s="251"/>
      <c r="I79" s="252"/>
      <c r="J79" s="249"/>
      <c r="K79" s="207"/>
      <c r="L79" s="207"/>
      <c r="M79" s="207"/>
      <c r="N79" s="207"/>
      <c r="O79" s="208"/>
      <c r="P79" s="250"/>
      <c r="Q79" s="251"/>
      <c r="R79" s="251"/>
      <c r="S79" s="252"/>
    </row>
    <row r="80" spans="1:19" ht="18" customHeight="1" x14ac:dyDescent="0.15">
      <c r="A80" s="83"/>
      <c r="B80" s="235"/>
      <c r="C80" s="210"/>
      <c r="D80" s="210"/>
      <c r="E80" s="211"/>
      <c r="F80" s="236"/>
      <c r="G80" s="237"/>
      <c r="H80" s="237"/>
      <c r="I80" s="238"/>
      <c r="J80" s="235"/>
      <c r="K80" s="210"/>
      <c r="L80" s="210"/>
      <c r="M80" s="210"/>
      <c r="N80" s="210"/>
      <c r="O80" s="211"/>
      <c r="P80" s="236"/>
      <c r="Q80" s="237"/>
      <c r="R80" s="237"/>
      <c r="S80" s="238"/>
    </row>
    <row r="81" spans="1:19" ht="18" customHeight="1" x14ac:dyDescent="0.15">
      <c r="A81" s="83"/>
      <c r="B81" s="235"/>
      <c r="C81" s="210"/>
      <c r="D81" s="210"/>
      <c r="E81" s="211"/>
      <c r="F81" s="236"/>
      <c r="G81" s="237"/>
      <c r="H81" s="237"/>
      <c r="I81" s="238"/>
      <c r="J81" s="235"/>
      <c r="K81" s="210"/>
      <c r="L81" s="210"/>
      <c r="M81" s="210"/>
      <c r="N81" s="210"/>
      <c r="O81" s="211"/>
      <c r="P81" s="236"/>
      <c r="Q81" s="237"/>
      <c r="R81" s="237"/>
      <c r="S81" s="238"/>
    </row>
    <row r="82" spans="1:19" ht="18" customHeight="1" x14ac:dyDescent="0.15">
      <c r="A82" s="83"/>
      <c r="B82" s="235"/>
      <c r="C82" s="210"/>
      <c r="D82" s="210"/>
      <c r="E82" s="211"/>
      <c r="F82" s="236"/>
      <c r="G82" s="237"/>
      <c r="H82" s="237"/>
      <c r="I82" s="238"/>
      <c r="J82" s="235"/>
      <c r="K82" s="210"/>
      <c r="L82" s="210"/>
      <c r="M82" s="210"/>
      <c r="N82" s="210"/>
      <c r="O82" s="211"/>
      <c r="P82" s="236"/>
      <c r="Q82" s="237"/>
      <c r="R82" s="237"/>
      <c r="S82" s="238"/>
    </row>
    <row r="83" spans="1:19" ht="18" customHeight="1" x14ac:dyDescent="0.15">
      <c r="A83" s="83"/>
      <c r="B83" s="235"/>
      <c r="C83" s="210"/>
      <c r="D83" s="210"/>
      <c r="E83" s="211"/>
      <c r="F83" s="236"/>
      <c r="G83" s="237"/>
      <c r="H83" s="237"/>
      <c r="I83" s="238"/>
      <c r="J83" s="235"/>
      <c r="K83" s="210"/>
      <c r="L83" s="210"/>
      <c r="M83" s="210"/>
      <c r="N83" s="210"/>
      <c r="O83" s="211"/>
      <c r="P83" s="236"/>
      <c r="Q83" s="237"/>
      <c r="R83" s="237"/>
      <c r="S83" s="238"/>
    </row>
    <row r="84" spans="1:19" ht="18" customHeight="1" x14ac:dyDescent="0.15">
      <c r="A84" s="83"/>
      <c r="B84" s="235"/>
      <c r="C84" s="210"/>
      <c r="D84" s="210"/>
      <c r="E84" s="211"/>
      <c r="F84" s="236"/>
      <c r="G84" s="237"/>
      <c r="H84" s="237"/>
      <c r="I84" s="238"/>
      <c r="J84" s="235"/>
      <c r="K84" s="210"/>
      <c r="L84" s="210"/>
      <c r="M84" s="210"/>
      <c r="N84" s="210"/>
      <c r="O84" s="211"/>
      <c r="P84" s="236"/>
      <c r="Q84" s="237"/>
      <c r="R84" s="237"/>
      <c r="S84" s="238"/>
    </row>
    <row r="85" spans="1:19" ht="18" customHeight="1" x14ac:dyDescent="0.15">
      <c r="A85" s="83"/>
      <c r="B85" s="239"/>
      <c r="C85" s="240"/>
      <c r="D85" s="240"/>
      <c r="E85" s="241"/>
      <c r="F85" s="242"/>
      <c r="G85" s="243"/>
      <c r="H85" s="243"/>
      <c r="I85" s="244"/>
      <c r="J85" s="239"/>
      <c r="K85" s="240"/>
      <c r="L85" s="240"/>
      <c r="M85" s="240"/>
      <c r="N85" s="240"/>
      <c r="O85" s="241"/>
      <c r="P85" s="242"/>
      <c r="Q85" s="243"/>
      <c r="R85" s="243"/>
      <c r="S85" s="244"/>
    </row>
    <row r="86" spans="1:19" ht="18" customHeight="1" x14ac:dyDescent="0.15">
      <c r="A86" s="83"/>
      <c r="B86" s="92"/>
      <c r="C86" s="92"/>
      <c r="D86" s="92"/>
      <c r="E86" s="92"/>
      <c r="F86" s="104"/>
      <c r="G86" s="104"/>
      <c r="H86" s="104"/>
      <c r="I86" s="104"/>
      <c r="J86" s="92"/>
      <c r="K86" s="92"/>
      <c r="L86" s="92"/>
      <c r="M86" s="92"/>
      <c r="N86" s="92"/>
      <c r="O86" s="92"/>
      <c r="P86" s="104"/>
      <c r="Q86" s="104"/>
      <c r="R86" s="104"/>
      <c r="S86" s="104"/>
    </row>
    <row r="87" spans="1:19" ht="18.75" customHeight="1" x14ac:dyDescent="0.15">
      <c r="A87" s="89" t="s">
        <v>45</v>
      </c>
    </row>
    <row r="88" spans="1:19" ht="18.75" customHeight="1" x14ac:dyDescent="0.15">
      <c r="B88" s="228" t="s">
        <v>46</v>
      </c>
      <c r="C88" s="229"/>
      <c r="D88" s="230" t="s">
        <v>47</v>
      </c>
      <c r="E88" s="230"/>
      <c r="F88" s="230"/>
      <c r="G88" s="230"/>
      <c r="H88" s="230"/>
      <c r="I88" s="230"/>
      <c r="J88" s="230"/>
      <c r="K88" s="230"/>
      <c r="L88" s="230"/>
      <c r="M88" s="230"/>
      <c r="N88" s="230"/>
      <c r="O88" s="230"/>
      <c r="P88" s="230"/>
      <c r="Q88" s="230"/>
      <c r="R88" s="230"/>
      <c r="S88" s="231"/>
    </row>
    <row r="89" spans="1:19" ht="97.5" customHeight="1" x14ac:dyDescent="0.15">
      <c r="B89" s="203" t="s">
        <v>48</v>
      </c>
      <c r="C89" s="105" t="s">
        <v>23</v>
      </c>
      <c r="D89" s="222" t="s">
        <v>87</v>
      </c>
      <c r="E89" s="223"/>
      <c r="F89" s="223"/>
      <c r="G89" s="223"/>
      <c r="H89" s="223"/>
      <c r="I89" s="223"/>
      <c r="J89" s="223"/>
      <c r="K89" s="223"/>
      <c r="L89" s="223"/>
      <c r="M89" s="223"/>
      <c r="N89" s="223"/>
      <c r="O89" s="223"/>
      <c r="P89" s="223"/>
      <c r="Q89" s="223"/>
      <c r="R89" s="223"/>
      <c r="S89" s="224"/>
    </row>
    <row r="90" spans="1:19" ht="97.5" customHeight="1" x14ac:dyDescent="0.15">
      <c r="B90" s="204"/>
      <c r="C90" s="106" t="s">
        <v>50</v>
      </c>
      <c r="D90" s="232" t="s">
        <v>73</v>
      </c>
      <c r="E90" s="233"/>
      <c r="F90" s="233"/>
      <c r="G90" s="233"/>
      <c r="H90" s="233"/>
      <c r="I90" s="233"/>
      <c r="J90" s="233"/>
      <c r="K90" s="233"/>
      <c r="L90" s="233"/>
      <c r="M90" s="233"/>
      <c r="N90" s="233"/>
      <c r="O90" s="233"/>
      <c r="P90" s="233"/>
      <c r="Q90" s="233"/>
      <c r="R90" s="233"/>
      <c r="S90" s="234"/>
    </row>
    <row r="91" spans="1:19" ht="97.5" customHeight="1" x14ac:dyDescent="0.15">
      <c r="B91" s="203" t="s">
        <v>52</v>
      </c>
      <c r="C91" s="107" t="s">
        <v>28</v>
      </c>
      <c r="D91" s="216" t="s">
        <v>88</v>
      </c>
      <c r="E91" s="217"/>
      <c r="F91" s="217"/>
      <c r="G91" s="217"/>
      <c r="H91" s="217"/>
      <c r="I91" s="217"/>
      <c r="J91" s="217"/>
      <c r="K91" s="217"/>
      <c r="L91" s="217"/>
      <c r="M91" s="217"/>
      <c r="N91" s="217"/>
      <c r="O91" s="217"/>
      <c r="P91" s="217"/>
      <c r="Q91" s="217"/>
      <c r="R91" s="217"/>
      <c r="S91" s="218"/>
    </row>
    <row r="92" spans="1:19" ht="97.5" customHeight="1" x14ac:dyDescent="0.15">
      <c r="B92" s="205"/>
      <c r="C92" s="108" t="s">
        <v>29</v>
      </c>
      <c r="D92" s="225" t="s">
        <v>54</v>
      </c>
      <c r="E92" s="226"/>
      <c r="F92" s="226"/>
      <c r="G92" s="226"/>
      <c r="H92" s="226"/>
      <c r="I92" s="226"/>
      <c r="J92" s="226"/>
      <c r="K92" s="226"/>
      <c r="L92" s="226"/>
      <c r="M92" s="226"/>
      <c r="N92" s="226"/>
      <c r="O92" s="226"/>
      <c r="P92" s="226"/>
      <c r="Q92" s="226"/>
      <c r="R92" s="226"/>
      <c r="S92" s="227"/>
    </row>
    <row r="93" spans="1:19" ht="97.5" customHeight="1" x14ac:dyDescent="0.15">
      <c r="B93" s="203" t="s">
        <v>55</v>
      </c>
      <c r="C93" s="107" t="s">
        <v>31</v>
      </c>
      <c r="D93" s="216" t="s">
        <v>56</v>
      </c>
      <c r="E93" s="217"/>
      <c r="F93" s="217"/>
      <c r="G93" s="217"/>
      <c r="H93" s="217"/>
      <c r="I93" s="217"/>
      <c r="J93" s="217"/>
      <c r="K93" s="217"/>
      <c r="L93" s="217"/>
      <c r="M93" s="217"/>
      <c r="N93" s="217"/>
      <c r="O93" s="217"/>
      <c r="P93" s="217"/>
      <c r="Q93" s="217"/>
      <c r="R93" s="217"/>
      <c r="S93" s="218"/>
    </row>
    <row r="94" spans="1:19" ht="97.5" customHeight="1" x14ac:dyDescent="0.15">
      <c r="B94" s="205"/>
      <c r="C94" s="109" t="s">
        <v>32</v>
      </c>
      <c r="D94" s="219" t="s">
        <v>57</v>
      </c>
      <c r="E94" s="220"/>
      <c r="F94" s="220"/>
      <c r="G94" s="220"/>
      <c r="H94" s="220"/>
      <c r="I94" s="220"/>
      <c r="J94" s="220"/>
      <c r="K94" s="220"/>
      <c r="L94" s="220"/>
      <c r="M94" s="220"/>
      <c r="N94" s="220"/>
      <c r="O94" s="220"/>
      <c r="P94" s="220"/>
      <c r="Q94" s="220"/>
      <c r="R94" s="220"/>
      <c r="S94" s="221"/>
    </row>
    <row r="95" spans="1:19" ht="121.5" customHeight="1" x14ac:dyDescent="0.15">
      <c r="B95" s="203" t="s">
        <v>58</v>
      </c>
      <c r="C95" s="105" t="s">
        <v>34</v>
      </c>
      <c r="D95" s="222" t="s">
        <v>89</v>
      </c>
      <c r="E95" s="223"/>
      <c r="F95" s="223"/>
      <c r="G95" s="223"/>
      <c r="H95" s="223"/>
      <c r="I95" s="223"/>
      <c r="J95" s="223"/>
      <c r="K95" s="223"/>
      <c r="L95" s="223"/>
      <c r="M95" s="223"/>
      <c r="N95" s="223"/>
      <c r="O95" s="223"/>
      <c r="P95" s="223"/>
      <c r="Q95" s="223"/>
      <c r="R95" s="223"/>
      <c r="S95" s="224"/>
    </row>
    <row r="96" spans="1:19" ht="97.5" customHeight="1" x14ac:dyDescent="0.15">
      <c r="B96" s="205"/>
      <c r="C96" s="108" t="s">
        <v>35</v>
      </c>
      <c r="D96" s="225" t="s">
        <v>90</v>
      </c>
      <c r="E96" s="226"/>
      <c r="F96" s="226"/>
      <c r="G96" s="226"/>
      <c r="H96" s="226"/>
      <c r="I96" s="226"/>
      <c r="J96" s="226"/>
      <c r="K96" s="226"/>
      <c r="L96" s="226"/>
      <c r="M96" s="226"/>
      <c r="N96" s="226"/>
      <c r="O96" s="226"/>
      <c r="P96" s="226"/>
      <c r="Q96" s="226"/>
      <c r="R96" s="226"/>
      <c r="S96" s="227"/>
    </row>
    <row r="97" spans="1:19" ht="135.75" customHeight="1" x14ac:dyDescent="0.15">
      <c r="B97" s="203" t="s">
        <v>61</v>
      </c>
      <c r="C97" s="107" t="s">
        <v>62</v>
      </c>
      <c r="D97" s="206" t="s">
        <v>91</v>
      </c>
      <c r="E97" s="207"/>
      <c r="F97" s="207"/>
      <c r="G97" s="207"/>
      <c r="H97" s="207"/>
      <c r="I97" s="207"/>
      <c r="J97" s="207"/>
      <c r="K97" s="207"/>
      <c r="L97" s="207"/>
      <c r="M97" s="207"/>
      <c r="N97" s="207"/>
      <c r="O97" s="207"/>
      <c r="P97" s="207"/>
      <c r="Q97" s="207"/>
      <c r="R97" s="207"/>
      <c r="S97" s="208"/>
    </row>
    <row r="98" spans="1:19" ht="97.5" customHeight="1" x14ac:dyDescent="0.15">
      <c r="B98" s="204"/>
      <c r="C98" s="110" t="s">
        <v>39</v>
      </c>
      <c r="D98" s="209" t="s">
        <v>92</v>
      </c>
      <c r="E98" s="210"/>
      <c r="F98" s="210"/>
      <c r="G98" s="210"/>
      <c r="H98" s="210"/>
      <c r="I98" s="210"/>
      <c r="J98" s="210"/>
      <c r="K98" s="210"/>
      <c r="L98" s="210"/>
      <c r="M98" s="210"/>
      <c r="N98" s="210"/>
      <c r="O98" s="210"/>
      <c r="P98" s="210"/>
      <c r="Q98" s="210"/>
      <c r="R98" s="210"/>
      <c r="S98" s="211"/>
    </row>
    <row r="99" spans="1:19" ht="97.5" customHeight="1" x14ac:dyDescent="0.15">
      <c r="B99" s="205"/>
      <c r="C99" s="109" t="s">
        <v>40</v>
      </c>
      <c r="D99" s="212" t="s">
        <v>93</v>
      </c>
      <c r="E99" s="213"/>
      <c r="F99" s="213"/>
      <c r="G99" s="213"/>
      <c r="H99" s="213"/>
      <c r="I99" s="213"/>
      <c r="J99" s="213"/>
      <c r="K99" s="213"/>
      <c r="L99" s="213"/>
      <c r="M99" s="213"/>
      <c r="N99" s="213"/>
      <c r="O99" s="213"/>
      <c r="P99" s="213"/>
      <c r="Q99" s="213"/>
      <c r="R99" s="213"/>
      <c r="S99" s="214"/>
    </row>
    <row r="100" spans="1:19" ht="6" customHeight="1" x14ac:dyDescent="0.15"/>
    <row r="101" spans="1:19" ht="18.75" customHeight="1" x14ac:dyDescent="0.15">
      <c r="A101" s="89" t="s">
        <v>66</v>
      </c>
    </row>
    <row r="102" spans="1:19" ht="81.75" customHeight="1" x14ac:dyDescent="0.15">
      <c r="B102" s="215" t="s">
        <v>94</v>
      </c>
      <c r="C102" s="149"/>
      <c r="D102" s="149"/>
      <c r="E102" s="149"/>
      <c r="F102" s="149"/>
      <c r="G102" s="149"/>
      <c r="H102" s="149"/>
      <c r="I102" s="149"/>
      <c r="J102" s="149"/>
      <c r="K102" s="149"/>
      <c r="L102" s="149"/>
      <c r="M102" s="149"/>
      <c r="N102" s="149"/>
      <c r="O102" s="149"/>
      <c r="P102" s="149"/>
      <c r="Q102" s="149"/>
      <c r="R102" s="149"/>
      <c r="S102" s="150"/>
    </row>
    <row r="110" spans="1:19" ht="18" customHeight="1" x14ac:dyDescent="0.15"/>
  </sheetData>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7:E27"/>
    <mergeCell ref="J25:O25"/>
    <mergeCell ref="B26:E26"/>
    <mergeCell ref="J26:O26"/>
    <mergeCell ref="J27:O27"/>
    <mergeCell ref="B25:E25"/>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K20:S20" xr:uid="{4AB12653-23EF-412C-8983-BAEB5780DA88}">
      <formula1>$V$14:$V$16</formula1>
    </dataValidation>
    <dataValidation type="list" allowBlank="1" showInputMessage="1" showErrorMessage="1" sqref="F79:F86 P79:P86 G79:I80 G83:I86 Q83:S86 Q79:S80" xr:uid="{84EC3983-0427-4CA8-833F-0EA81318EEF6}">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DA476102-3672-47E1-8342-097DA8B2A844}">
      <formula1>"学部・学科によって、修了要件は相違する,学部・学科によって、修了要件は相違しない"</formula1>
    </dataValidation>
    <dataValidation type="list" allowBlank="1" showInputMessage="1" showErrorMessage="1" sqref="S32 S43 D32:G32 D43:G43" xr:uid="{2A4848F4-9CA2-4BDB-A6E5-58DB91598735}">
      <formula1>"全学開講,一部開講"</formula1>
    </dataValidation>
    <dataValidation type="list" allowBlank="1" showInputMessage="1" showErrorMessage="1" sqref="Q25:S31 P69:S75 Q36:S42 F69:I75 Q47:S53 G47:I53 Q58:S64 G58:I64 G36:I42 G25:I31" xr:uid="{6B99A7CA-A5AD-41A5-B63E-F7E109619A99}">
      <formula1>"○"</formula1>
    </dataValidation>
  </dataValidations>
  <pageMargins left="0.7" right="0.7" top="0.75" bottom="0.75" header="0.3" footer="0.3"/>
  <pageSetup paperSize="9" scale="41"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topLeftCell="A10" zoomScaleNormal="100" zoomScaleSheetLayoutView="100" workbookViewId="0">
      <selection activeCell="E20" sqref="E20"/>
    </sheetView>
  </sheetViews>
  <sheetFormatPr defaultColWidth="9" defaultRowHeight="18.75" customHeight="1" x14ac:dyDescent="0.15"/>
  <cols>
    <col min="1" max="1" width="2.625" style="1" customWidth="1"/>
    <col min="2" max="2" width="20.625" style="1" customWidth="1"/>
    <col min="3" max="5" width="6.125" style="1" customWidth="1"/>
    <col min="6" max="42" width="4.875" style="1" customWidth="1"/>
    <col min="43" max="43" width="6.625" style="1" customWidth="1"/>
    <col min="44" max="16384" width="9" style="1"/>
  </cols>
  <sheetData>
    <row r="1" spans="1:45" ht="18" customHeight="1" x14ac:dyDescent="0.15">
      <c r="AQ1" s="1" t="s">
        <v>95</v>
      </c>
    </row>
    <row r="2" spans="1:45" ht="18" customHeight="1" x14ac:dyDescent="0.15">
      <c r="K2" s="35"/>
      <c r="Q2" s="35"/>
      <c r="W2" s="35"/>
      <c r="AC2" s="35"/>
      <c r="AI2" s="35"/>
      <c r="AL2" s="35" t="s">
        <v>2</v>
      </c>
      <c r="AM2" s="289" t="str">
        <f>'様式１-1　プログラムを構成する授業科目'!C2</f>
        <v>中央学院大学</v>
      </c>
      <c r="AN2" s="289"/>
      <c r="AO2" s="289"/>
      <c r="AP2" s="289"/>
      <c r="AQ2" s="289"/>
    </row>
    <row r="3" spans="1:45" ht="18" customHeight="1" x14ac:dyDescent="0.15">
      <c r="A3" s="180" t="s">
        <v>96</v>
      </c>
      <c r="B3" s="180"/>
      <c r="C3" s="180"/>
      <c r="D3" s="180"/>
      <c r="E3" s="180"/>
      <c r="F3" s="180"/>
      <c r="G3" s="180"/>
      <c r="H3" s="180"/>
      <c r="I3" s="180"/>
      <c r="J3" s="180"/>
      <c r="K3" s="180"/>
      <c r="L3" s="180"/>
      <c r="M3" s="180"/>
      <c r="N3" s="180"/>
      <c r="O3" s="180"/>
      <c r="P3" s="180"/>
      <c r="Q3" s="180"/>
      <c r="R3" s="180"/>
      <c r="S3" s="180"/>
      <c r="T3" s="180"/>
      <c r="U3" s="180"/>
      <c r="V3" s="180"/>
      <c r="W3" s="180"/>
      <c r="X3" s="180"/>
      <c r="Y3" s="180"/>
      <c r="Z3" s="180"/>
      <c r="AA3" s="180"/>
      <c r="AB3" s="180"/>
      <c r="AC3" s="180"/>
      <c r="AD3" s="180"/>
      <c r="AE3" s="180"/>
      <c r="AF3" s="180"/>
      <c r="AG3" s="180"/>
      <c r="AH3" s="180"/>
      <c r="AI3" s="180"/>
      <c r="AJ3" s="180"/>
      <c r="AK3" s="180"/>
      <c r="AL3" s="180"/>
      <c r="AM3" s="180"/>
      <c r="AN3" s="180"/>
      <c r="AO3" s="180"/>
      <c r="AP3" s="180"/>
      <c r="AQ3" s="180"/>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97</v>
      </c>
      <c r="C5" s="290" t="s">
        <v>98</v>
      </c>
      <c r="D5" s="291"/>
      <c r="E5" s="3" t="s">
        <v>99</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100</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292" t="s">
        <v>101</v>
      </c>
      <c r="C9" s="307" t="s">
        <v>102</v>
      </c>
      <c r="D9" s="295" t="s">
        <v>103</v>
      </c>
      <c r="E9" s="298" t="s">
        <v>104</v>
      </c>
      <c r="F9" s="286" t="s">
        <v>105</v>
      </c>
      <c r="G9" s="286"/>
      <c r="H9" s="286"/>
      <c r="I9" s="286"/>
      <c r="J9" s="286"/>
      <c r="K9" s="286"/>
      <c r="L9" s="286" t="s">
        <v>106</v>
      </c>
      <c r="M9" s="286"/>
      <c r="N9" s="286"/>
      <c r="O9" s="286"/>
      <c r="P9" s="286"/>
      <c r="Q9" s="286"/>
      <c r="R9" s="286" t="s">
        <v>107</v>
      </c>
      <c r="S9" s="286"/>
      <c r="T9" s="286"/>
      <c r="U9" s="286"/>
      <c r="V9" s="286"/>
      <c r="W9" s="286"/>
      <c r="X9" s="286" t="s">
        <v>108</v>
      </c>
      <c r="Y9" s="286"/>
      <c r="Z9" s="286"/>
      <c r="AA9" s="286"/>
      <c r="AB9" s="286"/>
      <c r="AC9" s="286"/>
      <c r="AD9" s="286" t="s">
        <v>109</v>
      </c>
      <c r="AE9" s="286"/>
      <c r="AF9" s="286"/>
      <c r="AG9" s="286"/>
      <c r="AH9" s="286"/>
      <c r="AI9" s="286"/>
      <c r="AJ9" s="286" t="s">
        <v>110</v>
      </c>
      <c r="AK9" s="286"/>
      <c r="AL9" s="286"/>
      <c r="AM9" s="286"/>
      <c r="AN9" s="286"/>
      <c r="AO9" s="286"/>
      <c r="AP9" s="301" t="s">
        <v>111</v>
      </c>
      <c r="AQ9" s="304" t="s">
        <v>112</v>
      </c>
      <c r="AS9" s="2"/>
    </row>
    <row r="10" spans="1:45" ht="17.100000000000001" customHeight="1" x14ac:dyDescent="0.15">
      <c r="B10" s="293"/>
      <c r="C10" s="308"/>
      <c r="D10" s="296"/>
      <c r="E10" s="299"/>
      <c r="F10" s="287" t="s">
        <v>113</v>
      </c>
      <c r="G10" s="288"/>
      <c r="H10" s="288"/>
      <c r="I10" s="287" t="s">
        <v>114</v>
      </c>
      <c r="J10" s="288"/>
      <c r="K10" s="288"/>
      <c r="L10" s="287" t="s">
        <v>113</v>
      </c>
      <c r="M10" s="288"/>
      <c r="N10" s="288"/>
      <c r="O10" s="287" t="s">
        <v>114</v>
      </c>
      <c r="P10" s="288"/>
      <c r="Q10" s="288"/>
      <c r="R10" s="287" t="s">
        <v>113</v>
      </c>
      <c r="S10" s="288"/>
      <c r="T10" s="288"/>
      <c r="U10" s="287" t="s">
        <v>114</v>
      </c>
      <c r="V10" s="288"/>
      <c r="W10" s="288"/>
      <c r="X10" s="287" t="s">
        <v>113</v>
      </c>
      <c r="Y10" s="288"/>
      <c r="Z10" s="288"/>
      <c r="AA10" s="287" t="s">
        <v>114</v>
      </c>
      <c r="AB10" s="288"/>
      <c r="AC10" s="288"/>
      <c r="AD10" s="287" t="s">
        <v>113</v>
      </c>
      <c r="AE10" s="288"/>
      <c r="AF10" s="288"/>
      <c r="AG10" s="287" t="s">
        <v>114</v>
      </c>
      <c r="AH10" s="288"/>
      <c r="AI10" s="288"/>
      <c r="AJ10" s="287" t="s">
        <v>113</v>
      </c>
      <c r="AK10" s="288"/>
      <c r="AL10" s="288"/>
      <c r="AM10" s="287" t="s">
        <v>114</v>
      </c>
      <c r="AN10" s="288"/>
      <c r="AO10" s="288"/>
      <c r="AP10" s="302"/>
      <c r="AQ10" s="305"/>
      <c r="AS10" s="2"/>
    </row>
    <row r="11" spans="1:45" ht="18" customHeight="1" x14ac:dyDescent="0.15">
      <c r="B11" s="294"/>
      <c r="C11" s="309"/>
      <c r="D11" s="297"/>
      <c r="E11" s="300"/>
      <c r="F11" s="17" t="s">
        <v>115</v>
      </c>
      <c r="G11" s="18" t="s">
        <v>116</v>
      </c>
      <c r="H11" s="19" t="s">
        <v>117</v>
      </c>
      <c r="I11" s="17" t="s">
        <v>115</v>
      </c>
      <c r="J11" s="18" t="s">
        <v>116</v>
      </c>
      <c r="K11" s="19" t="s">
        <v>117</v>
      </c>
      <c r="L11" s="17" t="s">
        <v>115</v>
      </c>
      <c r="M11" s="18" t="s">
        <v>116</v>
      </c>
      <c r="N11" s="19" t="s">
        <v>117</v>
      </c>
      <c r="O11" s="17" t="s">
        <v>115</v>
      </c>
      <c r="P11" s="18" t="s">
        <v>116</v>
      </c>
      <c r="Q11" s="19" t="s">
        <v>117</v>
      </c>
      <c r="R11" s="17" t="s">
        <v>115</v>
      </c>
      <c r="S11" s="18" t="s">
        <v>116</v>
      </c>
      <c r="T11" s="19" t="s">
        <v>117</v>
      </c>
      <c r="U11" s="17" t="s">
        <v>115</v>
      </c>
      <c r="V11" s="18" t="s">
        <v>116</v>
      </c>
      <c r="W11" s="19" t="s">
        <v>117</v>
      </c>
      <c r="X11" s="17" t="s">
        <v>115</v>
      </c>
      <c r="Y11" s="18" t="s">
        <v>116</v>
      </c>
      <c r="Z11" s="19" t="s">
        <v>117</v>
      </c>
      <c r="AA11" s="17" t="s">
        <v>115</v>
      </c>
      <c r="AB11" s="18" t="s">
        <v>116</v>
      </c>
      <c r="AC11" s="19" t="s">
        <v>117</v>
      </c>
      <c r="AD11" s="17" t="s">
        <v>115</v>
      </c>
      <c r="AE11" s="18" t="s">
        <v>116</v>
      </c>
      <c r="AF11" s="19" t="s">
        <v>117</v>
      </c>
      <c r="AG11" s="17" t="s">
        <v>115</v>
      </c>
      <c r="AH11" s="18" t="s">
        <v>116</v>
      </c>
      <c r="AI11" s="19" t="s">
        <v>117</v>
      </c>
      <c r="AJ11" s="17" t="s">
        <v>115</v>
      </c>
      <c r="AK11" s="18" t="s">
        <v>116</v>
      </c>
      <c r="AL11" s="19" t="s">
        <v>117</v>
      </c>
      <c r="AM11" s="17" t="s">
        <v>115</v>
      </c>
      <c r="AN11" s="18" t="s">
        <v>116</v>
      </c>
      <c r="AO11" s="19" t="s">
        <v>117</v>
      </c>
      <c r="AP11" s="303"/>
      <c r="AQ11" s="306"/>
      <c r="AS11" s="2"/>
    </row>
    <row r="12" spans="1:45" ht="18" customHeight="1" x14ac:dyDescent="0.15">
      <c r="A12" s="6"/>
      <c r="B12" s="11" t="s">
        <v>118</v>
      </c>
      <c r="C12" s="61">
        <f>1477+232</f>
        <v>1709</v>
      </c>
      <c r="D12" s="62">
        <v>360</v>
      </c>
      <c r="E12" s="63">
        <f>D12*4</f>
        <v>1440</v>
      </c>
      <c r="F12" s="63">
        <f>G12+H12</f>
        <v>92</v>
      </c>
      <c r="G12" s="64">
        <v>84</v>
      </c>
      <c r="H12" s="65">
        <v>8</v>
      </c>
      <c r="I12" s="63">
        <f>J12+K12</f>
        <v>69</v>
      </c>
      <c r="J12" s="64">
        <v>63</v>
      </c>
      <c r="K12" s="65">
        <v>6</v>
      </c>
      <c r="L12" s="63">
        <f>M12+N12</f>
        <v>0</v>
      </c>
      <c r="M12" s="64"/>
      <c r="N12" s="65"/>
      <c r="O12" s="63">
        <f>P12+Q12</f>
        <v>0</v>
      </c>
      <c r="P12" s="64"/>
      <c r="Q12" s="65"/>
      <c r="R12" s="63">
        <f>S12+T12</f>
        <v>0</v>
      </c>
      <c r="S12" s="64"/>
      <c r="T12" s="65"/>
      <c r="U12" s="63">
        <f>V12+W12</f>
        <v>0</v>
      </c>
      <c r="V12" s="64"/>
      <c r="W12" s="65"/>
      <c r="X12" s="63">
        <f>Y12+Z12</f>
        <v>0</v>
      </c>
      <c r="Y12" s="64"/>
      <c r="Z12" s="65"/>
      <c r="AA12" s="63">
        <f>AB12+AC12</f>
        <v>0</v>
      </c>
      <c r="AB12" s="64"/>
      <c r="AC12" s="65"/>
      <c r="AD12" s="63">
        <f>AE12+AF12</f>
        <v>0</v>
      </c>
      <c r="AE12" s="64"/>
      <c r="AF12" s="65"/>
      <c r="AG12" s="63">
        <f>AH12+AI12</f>
        <v>0</v>
      </c>
      <c r="AH12" s="64"/>
      <c r="AI12" s="65"/>
      <c r="AJ12" s="63">
        <f>AK12+AL12</f>
        <v>0</v>
      </c>
      <c r="AK12" s="64"/>
      <c r="AL12" s="65"/>
      <c r="AM12" s="63">
        <f>AN12+AO12</f>
        <v>0</v>
      </c>
      <c r="AN12" s="64"/>
      <c r="AO12" s="65"/>
      <c r="AP12" s="62">
        <f>F12+L12+R12+X12+AD12+AJ12</f>
        <v>92</v>
      </c>
      <c r="AQ12" s="21">
        <f t="shared" ref="AQ12:AQ32" si="0">AP12/E12</f>
        <v>6.3888888888888884E-2</v>
      </c>
    </row>
    <row r="13" spans="1:45" ht="18" customHeight="1" x14ac:dyDescent="0.15">
      <c r="A13" s="6"/>
      <c r="B13" s="12" t="s">
        <v>119</v>
      </c>
      <c r="C13" s="66">
        <f>1010+201</f>
        <v>1211</v>
      </c>
      <c r="D13" s="67">
        <v>260</v>
      </c>
      <c r="E13" s="68">
        <f>260*4</f>
        <v>1040</v>
      </c>
      <c r="F13" s="69">
        <f t="shared" ref="F13:F31" si="1">G13+H13</f>
        <v>33</v>
      </c>
      <c r="G13" s="70">
        <v>26</v>
      </c>
      <c r="H13" s="71">
        <v>7</v>
      </c>
      <c r="I13" s="69">
        <f t="shared" ref="I13:I31" si="2">J13+K13</f>
        <v>30</v>
      </c>
      <c r="J13" s="70">
        <v>24</v>
      </c>
      <c r="K13" s="71">
        <v>6</v>
      </c>
      <c r="L13" s="69">
        <f t="shared" ref="L13:L31" si="3">M13+N13</f>
        <v>0</v>
      </c>
      <c r="M13" s="70"/>
      <c r="N13" s="71"/>
      <c r="O13" s="69">
        <f t="shared" ref="O13:O31" si="4">P13+Q13</f>
        <v>0</v>
      </c>
      <c r="P13" s="70"/>
      <c r="Q13" s="71"/>
      <c r="R13" s="69">
        <f t="shared" ref="R13:R31" si="5">S13+T13</f>
        <v>0</v>
      </c>
      <c r="S13" s="70"/>
      <c r="T13" s="71"/>
      <c r="U13" s="69">
        <f t="shared" ref="U13:U31" si="6">V13+W13</f>
        <v>0</v>
      </c>
      <c r="V13" s="70"/>
      <c r="W13" s="71"/>
      <c r="X13" s="69">
        <f t="shared" ref="X13:X31" si="7">Y13+Z13</f>
        <v>0</v>
      </c>
      <c r="Y13" s="70"/>
      <c r="Z13" s="71"/>
      <c r="AA13" s="69">
        <f t="shared" ref="AA13:AA31" si="8">AB13+AC13</f>
        <v>0</v>
      </c>
      <c r="AB13" s="70"/>
      <c r="AC13" s="71"/>
      <c r="AD13" s="69">
        <f t="shared" ref="AD13:AD31" si="9">AE13+AF13</f>
        <v>0</v>
      </c>
      <c r="AE13" s="70"/>
      <c r="AF13" s="71"/>
      <c r="AG13" s="69">
        <f t="shared" ref="AG13:AG31" si="10">AH13+AI13</f>
        <v>0</v>
      </c>
      <c r="AH13" s="70"/>
      <c r="AI13" s="71"/>
      <c r="AJ13" s="69">
        <f t="shared" ref="AJ13:AJ31" si="11">AK13+AL13</f>
        <v>0</v>
      </c>
      <c r="AK13" s="70"/>
      <c r="AL13" s="71"/>
      <c r="AM13" s="69">
        <f t="shared" ref="AM13:AM31" si="12">AN13+AO13</f>
        <v>0</v>
      </c>
      <c r="AN13" s="70"/>
      <c r="AO13" s="71"/>
      <c r="AP13" s="67">
        <f t="shared" ref="AP13:AP31" si="13">F13+L13+R13+X13+AD13+AJ13</f>
        <v>33</v>
      </c>
      <c r="AQ13" s="20">
        <f t="shared" si="0"/>
        <v>3.1730769230769229E-2</v>
      </c>
    </row>
    <row r="14" spans="1:45" ht="18" customHeight="1" x14ac:dyDescent="0.15">
      <c r="A14" s="6"/>
      <c r="B14" s="12" t="s">
        <v>120</v>
      </c>
      <c r="C14" s="66">
        <f>290+89</f>
        <v>379</v>
      </c>
      <c r="D14" s="67">
        <v>100</v>
      </c>
      <c r="E14" s="68">
        <f>100*4</f>
        <v>400</v>
      </c>
      <c r="F14" s="69">
        <f t="shared" si="1"/>
        <v>15</v>
      </c>
      <c r="G14" s="70">
        <v>12</v>
      </c>
      <c r="H14" s="71">
        <v>3</v>
      </c>
      <c r="I14" s="69">
        <f t="shared" si="2"/>
        <v>11</v>
      </c>
      <c r="J14" s="70">
        <v>8</v>
      </c>
      <c r="K14" s="71">
        <v>3</v>
      </c>
      <c r="L14" s="69">
        <f t="shared" si="3"/>
        <v>0</v>
      </c>
      <c r="M14" s="70"/>
      <c r="N14" s="71"/>
      <c r="O14" s="69">
        <f t="shared" si="4"/>
        <v>0</v>
      </c>
      <c r="P14" s="70"/>
      <c r="Q14" s="71"/>
      <c r="R14" s="69">
        <f t="shared" si="5"/>
        <v>0</v>
      </c>
      <c r="S14" s="70"/>
      <c r="T14" s="71"/>
      <c r="U14" s="69">
        <f t="shared" si="6"/>
        <v>0</v>
      </c>
      <c r="V14" s="70"/>
      <c r="W14" s="71"/>
      <c r="X14" s="69">
        <f t="shared" si="7"/>
        <v>0</v>
      </c>
      <c r="Y14" s="70"/>
      <c r="Z14" s="71"/>
      <c r="AA14" s="69">
        <f t="shared" si="8"/>
        <v>0</v>
      </c>
      <c r="AB14" s="70"/>
      <c r="AC14" s="71"/>
      <c r="AD14" s="69">
        <f t="shared" si="9"/>
        <v>0</v>
      </c>
      <c r="AE14" s="70"/>
      <c r="AF14" s="71"/>
      <c r="AG14" s="69">
        <f t="shared" si="10"/>
        <v>0</v>
      </c>
      <c r="AH14" s="70"/>
      <c r="AI14" s="71"/>
      <c r="AJ14" s="69">
        <f t="shared" si="11"/>
        <v>0</v>
      </c>
      <c r="AK14" s="70"/>
      <c r="AL14" s="71"/>
      <c r="AM14" s="69">
        <f t="shared" si="12"/>
        <v>0</v>
      </c>
      <c r="AN14" s="70"/>
      <c r="AO14" s="71"/>
      <c r="AP14" s="67">
        <f t="shared" si="13"/>
        <v>15</v>
      </c>
      <c r="AQ14" s="8">
        <f t="shared" si="0"/>
        <v>3.7499999999999999E-2</v>
      </c>
    </row>
    <row r="15" spans="1:45" ht="18" customHeight="1" x14ac:dyDescent="0.15">
      <c r="A15" s="6"/>
      <c r="B15" s="12"/>
      <c r="C15" s="66"/>
      <c r="D15" s="67"/>
      <c r="E15" s="68"/>
      <c r="F15" s="69">
        <f t="shared" si="1"/>
        <v>0</v>
      </c>
      <c r="G15" s="70"/>
      <c r="H15" s="71"/>
      <c r="I15" s="69">
        <f t="shared" si="2"/>
        <v>0</v>
      </c>
      <c r="J15" s="70"/>
      <c r="K15" s="71"/>
      <c r="L15" s="69">
        <f t="shared" si="3"/>
        <v>0</v>
      </c>
      <c r="M15" s="70"/>
      <c r="N15" s="71"/>
      <c r="O15" s="69">
        <f t="shared" si="4"/>
        <v>0</v>
      </c>
      <c r="P15" s="70"/>
      <c r="Q15" s="71"/>
      <c r="R15" s="69">
        <f t="shared" si="5"/>
        <v>0</v>
      </c>
      <c r="S15" s="70"/>
      <c r="T15" s="71"/>
      <c r="U15" s="69">
        <f t="shared" si="6"/>
        <v>0</v>
      </c>
      <c r="V15" s="70"/>
      <c r="W15" s="71"/>
      <c r="X15" s="69">
        <f t="shared" si="7"/>
        <v>0</v>
      </c>
      <c r="Y15" s="70"/>
      <c r="Z15" s="71"/>
      <c r="AA15" s="69">
        <f t="shared" si="8"/>
        <v>0</v>
      </c>
      <c r="AB15" s="70"/>
      <c r="AC15" s="71"/>
      <c r="AD15" s="69">
        <f t="shared" si="9"/>
        <v>0</v>
      </c>
      <c r="AE15" s="70"/>
      <c r="AF15" s="71"/>
      <c r="AG15" s="69">
        <f t="shared" si="10"/>
        <v>0</v>
      </c>
      <c r="AH15" s="70"/>
      <c r="AI15" s="71"/>
      <c r="AJ15" s="69">
        <f t="shared" si="11"/>
        <v>0</v>
      </c>
      <c r="AK15" s="70"/>
      <c r="AL15" s="71"/>
      <c r="AM15" s="69">
        <f t="shared" si="12"/>
        <v>0</v>
      </c>
      <c r="AN15" s="70"/>
      <c r="AO15" s="71"/>
      <c r="AP15" s="67">
        <f t="shared" si="13"/>
        <v>0</v>
      </c>
      <c r="AQ15" s="8" t="e">
        <f t="shared" si="0"/>
        <v>#DIV/0!</v>
      </c>
    </row>
    <row r="16" spans="1:45" ht="18" customHeight="1" x14ac:dyDescent="0.15">
      <c r="A16" s="6"/>
      <c r="B16" s="12"/>
      <c r="C16" s="66"/>
      <c r="D16" s="67"/>
      <c r="E16" s="68"/>
      <c r="F16" s="69">
        <f t="shared" si="1"/>
        <v>0</v>
      </c>
      <c r="G16" s="70"/>
      <c r="H16" s="71"/>
      <c r="I16" s="69">
        <f t="shared" si="2"/>
        <v>0</v>
      </c>
      <c r="J16" s="70"/>
      <c r="K16" s="71"/>
      <c r="L16" s="69">
        <f t="shared" si="3"/>
        <v>0</v>
      </c>
      <c r="M16" s="70"/>
      <c r="N16" s="71"/>
      <c r="O16" s="69">
        <f t="shared" si="4"/>
        <v>0</v>
      </c>
      <c r="P16" s="70"/>
      <c r="Q16" s="71"/>
      <c r="R16" s="69">
        <f t="shared" si="5"/>
        <v>0</v>
      </c>
      <c r="S16" s="70"/>
      <c r="T16" s="71"/>
      <c r="U16" s="69">
        <f t="shared" si="6"/>
        <v>0</v>
      </c>
      <c r="V16" s="70"/>
      <c r="W16" s="71"/>
      <c r="X16" s="69">
        <f t="shared" si="7"/>
        <v>0</v>
      </c>
      <c r="Y16" s="70"/>
      <c r="Z16" s="71"/>
      <c r="AA16" s="69">
        <f t="shared" si="8"/>
        <v>0</v>
      </c>
      <c r="AB16" s="70"/>
      <c r="AC16" s="71"/>
      <c r="AD16" s="69">
        <f t="shared" si="9"/>
        <v>0</v>
      </c>
      <c r="AE16" s="70"/>
      <c r="AF16" s="71"/>
      <c r="AG16" s="69">
        <f t="shared" si="10"/>
        <v>0</v>
      </c>
      <c r="AH16" s="70"/>
      <c r="AI16" s="71"/>
      <c r="AJ16" s="69">
        <f t="shared" si="11"/>
        <v>0</v>
      </c>
      <c r="AK16" s="70"/>
      <c r="AL16" s="71"/>
      <c r="AM16" s="69">
        <f t="shared" si="12"/>
        <v>0</v>
      </c>
      <c r="AN16" s="70"/>
      <c r="AO16" s="71"/>
      <c r="AP16" s="67">
        <f t="shared" si="13"/>
        <v>0</v>
      </c>
      <c r="AQ16" s="8" t="e">
        <f t="shared" si="0"/>
        <v>#DIV/0!</v>
      </c>
    </row>
    <row r="17" spans="1:43" ht="18" customHeight="1" x14ac:dyDescent="0.15">
      <c r="A17" s="6"/>
      <c r="B17" s="12"/>
      <c r="C17" s="66"/>
      <c r="D17" s="67"/>
      <c r="E17" s="68"/>
      <c r="F17" s="69">
        <f t="shared" si="1"/>
        <v>0</v>
      </c>
      <c r="G17" s="70"/>
      <c r="H17" s="71"/>
      <c r="I17" s="69">
        <f t="shared" si="2"/>
        <v>0</v>
      </c>
      <c r="J17" s="70"/>
      <c r="K17" s="71"/>
      <c r="L17" s="69">
        <f t="shared" si="3"/>
        <v>0</v>
      </c>
      <c r="M17" s="70"/>
      <c r="N17" s="71"/>
      <c r="O17" s="69">
        <f t="shared" si="4"/>
        <v>0</v>
      </c>
      <c r="P17" s="70"/>
      <c r="Q17" s="71"/>
      <c r="R17" s="69">
        <f t="shared" si="5"/>
        <v>0</v>
      </c>
      <c r="S17" s="70"/>
      <c r="T17" s="71"/>
      <c r="U17" s="69">
        <f t="shared" si="6"/>
        <v>0</v>
      </c>
      <c r="V17" s="70"/>
      <c r="W17" s="71"/>
      <c r="X17" s="69">
        <f t="shared" si="7"/>
        <v>0</v>
      </c>
      <c r="Y17" s="70"/>
      <c r="Z17" s="71"/>
      <c r="AA17" s="69">
        <f t="shared" si="8"/>
        <v>0</v>
      </c>
      <c r="AB17" s="70"/>
      <c r="AC17" s="71"/>
      <c r="AD17" s="69">
        <f t="shared" si="9"/>
        <v>0</v>
      </c>
      <c r="AE17" s="70"/>
      <c r="AF17" s="71"/>
      <c r="AG17" s="69">
        <f t="shared" si="10"/>
        <v>0</v>
      </c>
      <c r="AH17" s="70"/>
      <c r="AI17" s="71"/>
      <c r="AJ17" s="69">
        <f t="shared" si="11"/>
        <v>0</v>
      </c>
      <c r="AK17" s="70"/>
      <c r="AL17" s="71"/>
      <c r="AM17" s="69">
        <f t="shared" si="12"/>
        <v>0</v>
      </c>
      <c r="AN17" s="70"/>
      <c r="AO17" s="71"/>
      <c r="AP17" s="67">
        <f t="shared" si="13"/>
        <v>0</v>
      </c>
      <c r="AQ17" s="8" t="e">
        <f t="shared" si="0"/>
        <v>#DIV/0!</v>
      </c>
    </row>
    <row r="18" spans="1:43" ht="18" customHeight="1" x14ac:dyDescent="0.15">
      <c r="A18" s="6"/>
      <c r="B18" s="12"/>
      <c r="C18" s="66"/>
      <c r="D18" s="67"/>
      <c r="E18" s="68"/>
      <c r="F18" s="69">
        <f t="shared" si="1"/>
        <v>0</v>
      </c>
      <c r="G18" s="70"/>
      <c r="H18" s="71"/>
      <c r="I18" s="69">
        <f t="shared" si="2"/>
        <v>0</v>
      </c>
      <c r="J18" s="70"/>
      <c r="K18" s="71"/>
      <c r="L18" s="69">
        <f t="shared" si="3"/>
        <v>0</v>
      </c>
      <c r="M18" s="70"/>
      <c r="N18" s="71"/>
      <c r="O18" s="69">
        <f t="shared" si="4"/>
        <v>0</v>
      </c>
      <c r="P18" s="70"/>
      <c r="Q18" s="71"/>
      <c r="R18" s="69">
        <f t="shared" si="5"/>
        <v>0</v>
      </c>
      <c r="S18" s="70"/>
      <c r="T18" s="71"/>
      <c r="U18" s="69">
        <f t="shared" si="6"/>
        <v>0</v>
      </c>
      <c r="V18" s="70"/>
      <c r="W18" s="71"/>
      <c r="X18" s="69">
        <f t="shared" si="7"/>
        <v>0</v>
      </c>
      <c r="Y18" s="70"/>
      <c r="Z18" s="71"/>
      <c r="AA18" s="69">
        <f t="shared" si="8"/>
        <v>0</v>
      </c>
      <c r="AB18" s="70"/>
      <c r="AC18" s="71"/>
      <c r="AD18" s="69">
        <f t="shared" si="9"/>
        <v>0</v>
      </c>
      <c r="AE18" s="70"/>
      <c r="AF18" s="71"/>
      <c r="AG18" s="69">
        <f t="shared" si="10"/>
        <v>0</v>
      </c>
      <c r="AH18" s="70"/>
      <c r="AI18" s="71"/>
      <c r="AJ18" s="69">
        <f t="shared" si="11"/>
        <v>0</v>
      </c>
      <c r="AK18" s="70"/>
      <c r="AL18" s="71"/>
      <c r="AM18" s="69">
        <f t="shared" si="12"/>
        <v>0</v>
      </c>
      <c r="AN18" s="70"/>
      <c r="AO18" s="71"/>
      <c r="AP18" s="67">
        <f t="shared" si="13"/>
        <v>0</v>
      </c>
      <c r="AQ18" s="8" t="e">
        <f t="shared" si="0"/>
        <v>#DIV/0!</v>
      </c>
    </row>
    <row r="19" spans="1:43" ht="18" customHeight="1" x14ac:dyDescent="0.15">
      <c r="A19" s="6"/>
      <c r="B19" s="12"/>
      <c r="C19" s="66"/>
      <c r="D19" s="67"/>
      <c r="E19" s="68"/>
      <c r="F19" s="69">
        <f t="shared" si="1"/>
        <v>0</v>
      </c>
      <c r="G19" s="70"/>
      <c r="H19" s="71"/>
      <c r="I19" s="69">
        <f t="shared" si="2"/>
        <v>0</v>
      </c>
      <c r="J19" s="70"/>
      <c r="K19" s="71"/>
      <c r="L19" s="69">
        <f t="shared" si="3"/>
        <v>0</v>
      </c>
      <c r="M19" s="70"/>
      <c r="N19" s="71"/>
      <c r="O19" s="69">
        <f t="shared" si="4"/>
        <v>0</v>
      </c>
      <c r="P19" s="70"/>
      <c r="Q19" s="71"/>
      <c r="R19" s="69">
        <f t="shared" si="5"/>
        <v>0</v>
      </c>
      <c r="S19" s="70"/>
      <c r="T19" s="71"/>
      <c r="U19" s="69">
        <f t="shared" si="6"/>
        <v>0</v>
      </c>
      <c r="V19" s="70"/>
      <c r="W19" s="71"/>
      <c r="X19" s="69">
        <f t="shared" si="7"/>
        <v>0</v>
      </c>
      <c r="Y19" s="70"/>
      <c r="Z19" s="71"/>
      <c r="AA19" s="69">
        <f t="shared" si="8"/>
        <v>0</v>
      </c>
      <c r="AB19" s="70"/>
      <c r="AC19" s="71"/>
      <c r="AD19" s="69">
        <f t="shared" si="9"/>
        <v>0</v>
      </c>
      <c r="AE19" s="70"/>
      <c r="AF19" s="71"/>
      <c r="AG19" s="69">
        <f t="shared" si="10"/>
        <v>0</v>
      </c>
      <c r="AH19" s="70"/>
      <c r="AI19" s="71"/>
      <c r="AJ19" s="69">
        <f t="shared" si="11"/>
        <v>0</v>
      </c>
      <c r="AK19" s="70"/>
      <c r="AL19" s="71"/>
      <c r="AM19" s="69">
        <f t="shared" si="12"/>
        <v>0</v>
      </c>
      <c r="AN19" s="70"/>
      <c r="AO19" s="71"/>
      <c r="AP19" s="67">
        <f t="shared" si="13"/>
        <v>0</v>
      </c>
      <c r="AQ19" s="8" t="e">
        <f t="shared" si="0"/>
        <v>#DIV/0!</v>
      </c>
    </row>
    <row r="20" spans="1:43" ht="18" customHeight="1" x14ac:dyDescent="0.15">
      <c r="A20" s="6"/>
      <c r="B20" s="12"/>
      <c r="C20" s="66"/>
      <c r="D20" s="67"/>
      <c r="E20" s="68"/>
      <c r="F20" s="69">
        <f t="shared" si="1"/>
        <v>0</v>
      </c>
      <c r="G20" s="70"/>
      <c r="H20" s="71"/>
      <c r="I20" s="69">
        <f t="shared" si="2"/>
        <v>0</v>
      </c>
      <c r="J20" s="70"/>
      <c r="K20" s="71"/>
      <c r="L20" s="69">
        <f t="shared" si="3"/>
        <v>0</v>
      </c>
      <c r="M20" s="70"/>
      <c r="N20" s="71"/>
      <c r="O20" s="69">
        <f t="shared" si="4"/>
        <v>0</v>
      </c>
      <c r="P20" s="70"/>
      <c r="Q20" s="71"/>
      <c r="R20" s="69">
        <f t="shared" si="5"/>
        <v>0</v>
      </c>
      <c r="S20" s="70"/>
      <c r="T20" s="71"/>
      <c r="U20" s="69">
        <f t="shared" si="6"/>
        <v>0</v>
      </c>
      <c r="V20" s="70"/>
      <c r="W20" s="71"/>
      <c r="X20" s="69">
        <f t="shared" si="7"/>
        <v>0</v>
      </c>
      <c r="Y20" s="70"/>
      <c r="Z20" s="71"/>
      <c r="AA20" s="69">
        <f t="shared" si="8"/>
        <v>0</v>
      </c>
      <c r="AB20" s="70"/>
      <c r="AC20" s="71"/>
      <c r="AD20" s="69">
        <f t="shared" si="9"/>
        <v>0</v>
      </c>
      <c r="AE20" s="70"/>
      <c r="AF20" s="71"/>
      <c r="AG20" s="69">
        <f t="shared" si="10"/>
        <v>0</v>
      </c>
      <c r="AH20" s="70"/>
      <c r="AI20" s="71"/>
      <c r="AJ20" s="69">
        <f t="shared" si="11"/>
        <v>0</v>
      </c>
      <c r="AK20" s="70"/>
      <c r="AL20" s="71"/>
      <c r="AM20" s="69">
        <f t="shared" si="12"/>
        <v>0</v>
      </c>
      <c r="AN20" s="70"/>
      <c r="AO20" s="71"/>
      <c r="AP20" s="67">
        <f t="shared" si="13"/>
        <v>0</v>
      </c>
      <c r="AQ20" s="8" t="e">
        <f t="shared" si="0"/>
        <v>#DIV/0!</v>
      </c>
    </row>
    <row r="21" spans="1:43" ht="18" customHeight="1" x14ac:dyDescent="0.15">
      <c r="A21" s="6"/>
      <c r="B21" s="12"/>
      <c r="C21" s="66"/>
      <c r="D21" s="67"/>
      <c r="E21" s="68"/>
      <c r="F21" s="69">
        <f t="shared" si="1"/>
        <v>0</v>
      </c>
      <c r="G21" s="70"/>
      <c r="H21" s="71"/>
      <c r="I21" s="69">
        <f t="shared" si="2"/>
        <v>0</v>
      </c>
      <c r="J21" s="70"/>
      <c r="K21" s="71"/>
      <c r="L21" s="69">
        <f t="shared" si="3"/>
        <v>0</v>
      </c>
      <c r="M21" s="70"/>
      <c r="N21" s="71"/>
      <c r="O21" s="69">
        <f t="shared" si="4"/>
        <v>0</v>
      </c>
      <c r="P21" s="70"/>
      <c r="Q21" s="71"/>
      <c r="R21" s="69">
        <f t="shared" si="5"/>
        <v>0</v>
      </c>
      <c r="S21" s="70"/>
      <c r="T21" s="71"/>
      <c r="U21" s="69">
        <f t="shared" si="6"/>
        <v>0</v>
      </c>
      <c r="V21" s="70"/>
      <c r="W21" s="71"/>
      <c r="X21" s="69">
        <f t="shared" si="7"/>
        <v>0</v>
      </c>
      <c r="Y21" s="70"/>
      <c r="Z21" s="71"/>
      <c r="AA21" s="69">
        <f t="shared" si="8"/>
        <v>0</v>
      </c>
      <c r="AB21" s="70"/>
      <c r="AC21" s="71"/>
      <c r="AD21" s="69">
        <f t="shared" si="9"/>
        <v>0</v>
      </c>
      <c r="AE21" s="70"/>
      <c r="AF21" s="71"/>
      <c r="AG21" s="69">
        <f t="shared" si="10"/>
        <v>0</v>
      </c>
      <c r="AH21" s="70"/>
      <c r="AI21" s="71"/>
      <c r="AJ21" s="69">
        <f t="shared" si="11"/>
        <v>0</v>
      </c>
      <c r="AK21" s="70"/>
      <c r="AL21" s="71"/>
      <c r="AM21" s="69">
        <f t="shared" si="12"/>
        <v>0</v>
      </c>
      <c r="AN21" s="70"/>
      <c r="AO21" s="71"/>
      <c r="AP21" s="67">
        <f t="shared" si="13"/>
        <v>0</v>
      </c>
      <c r="AQ21" s="8" t="e">
        <f t="shared" si="0"/>
        <v>#DIV/0!</v>
      </c>
    </row>
    <row r="22" spans="1:43" ht="18" customHeight="1" x14ac:dyDescent="0.15">
      <c r="A22" s="6"/>
      <c r="B22" s="12"/>
      <c r="C22" s="66"/>
      <c r="D22" s="67"/>
      <c r="E22" s="68"/>
      <c r="F22" s="69">
        <f t="shared" si="1"/>
        <v>0</v>
      </c>
      <c r="G22" s="70"/>
      <c r="H22" s="71"/>
      <c r="I22" s="69">
        <f t="shared" si="2"/>
        <v>0</v>
      </c>
      <c r="J22" s="70"/>
      <c r="K22" s="71"/>
      <c r="L22" s="69">
        <f t="shared" si="3"/>
        <v>0</v>
      </c>
      <c r="M22" s="70"/>
      <c r="N22" s="71"/>
      <c r="O22" s="69">
        <f t="shared" si="4"/>
        <v>0</v>
      </c>
      <c r="P22" s="70"/>
      <c r="Q22" s="71"/>
      <c r="R22" s="69">
        <f t="shared" si="5"/>
        <v>0</v>
      </c>
      <c r="S22" s="70"/>
      <c r="T22" s="71"/>
      <c r="U22" s="69">
        <f t="shared" si="6"/>
        <v>0</v>
      </c>
      <c r="V22" s="70"/>
      <c r="W22" s="71"/>
      <c r="X22" s="69">
        <f t="shared" si="7"/>
        <v>0</v>
      </c>
      <c r="Y22" s="70"/>
      <c r="Z22" s="71"/>
      <c r="AA22" s="69">
        <f t="shared" si="8"/>
        <v>0</v>
      </c>
      <c r="AB22" s="70"/>
      <c r="AC22" s="71"/>
      <c r="AD22" s="69">
        <f t="shared" si="9"/>
        <v>0</v>
      </c>
      <c r="AE22" s="70"/>
      <c r="AF22" s="71"/>
      <c r="AG22" s="69">
        <f t="shared" si="10"/>
        <v>0</v>
      </c>
      <c r="AH22" s="70"/>
      <c r="AI22" s="71"/>
      <c r="AJ22" s="69">
        <f t="shared" si="11"/>
        <v>0</v>
      </c>
      <c r="AK22" s="70"/>
      <c r="AL22" s="71"/>
      <c r="AM22" s="69">
        <f t="shared" si="12"/>
        <v>0</v>
      </c>
      <c r="AN22" s="70"/>
      <c r="AO22" s="71"/>
      <c r="AP22" s="67">
        <f t="shared" si="13"/>
        <v>0</v>
      </c>
      <c r="AQ22" s="8" t="e">
        <f t="shared" si="0"/>
        <v>#DIV/0!</v>
      </c>
    </row>
    <row r="23" spans="1:43" ht="18" customHeight="1" x14ac:dyDescent="0.15">
      <c r="A23" s="6"/>
      <c r="B23" s="12"/>
      <c r="C23" s="66"/>
      <c r="D23" s="67"/>
      <c r="E23" s="68"/>
      <c r="F23" s="69">
        <f t="shared" si="1"/>
        <v>0</v>
      </c>
      <c r="G23" s="70"/>
      <c r="H23" s="71"/>
      <c r="I23" s="69">
        <f t="shared" si="2"/>
        <v>0</v>
      </c>
      <c r="J23" s="70"/>
      <c r="K23" s="71"/>
      <c r="L23" s="69">
        <f t="shared" si="3"/>
        <v>0</v>
      </c>
      <c r="M23" s="70"/>
      <c r="N23" s="71"/>
      <c r="O23" s="69">
        <f t="shared" si="4"/>
        <v>0</v>
      </c>
      <c r="P23" s="70"/>
      <c r="Q23" s="71"/>
      <c r="R23" s="69">
        <f t="shared" si="5"/>
        <v>0</v>
      </c>
      <c r="S23" s="70"/>
      <c r="T23" s="71"/>
      <c r="U23" s="69">
        <f t="shared" si="6"/>
        <v>0</v>
      </c>
      <c r="V23" s="70"/>
      <c r="W23" s="71"/>
      <c r="X23" s="69">
        <f t="shared" si="7"/>
        <v>0</v>
      </c>
      <c r="Y23" s="70"/>
      <c r="Z23" s="71"/>
      <c r="AA23" s="69">
        <f t="shared" si="8"/>
        <v>0</v>
      </c>
      <c r="AB23" s="70"/>
      <c r="AC23" s="71"/>
      <c r="AD23" s="69">
        <f t="shared" si="9"/>
        <v>0</v>
      </c>
      <c r="AE23" s="70"/>
      <c r="AF23" s="71"/>
      <c r="AG23" s="69">
        <f t="shared" si="10"/>
        <v>0</v>
      </c>
      <c r="AH23" s="70"/>
      <c r="AI23" s="71"/>
      <c r="AJ23" s="69">
        <f t="shared" si="11"/>
        <v>0</v>
      </c>
      <c r="AK23" s="70"/>
      <c r="AL23" s="71"/>
      <c r="AM23" s="69">
        <f t="shared" si="12"/>
        <v>0</v>
      </c>
      <c r="AN23" s="70"/>
      <c r="AO23" s="71"/>
      <c r="AP23" s="67">
        <f t="shared" si="13"/>
        <v>0</v>
      </c>
      <c r="AQ23" s="8" t="e">
        <f t="shared" si="0"/>
        <v>#DIV/0!</v>
      </c>
    </row>
    <row r="24" spans="1:43" ht="18" customHeight="1" x14ac:dyDescent="0.15">
      <c r="A24" s="6"/>
      <c r="B24" s="12"/>
      <c r="C24" s="66"/>
      <c r="D24" s="67"/>
      <c r="E24" s="68"/>
      <c r="F24" s="69">
        <f t="shared" si="1"/>
        <v>0</v>
      </c>
      <c r="G24" s="70"/>
      <c r="H24" s="71"/>
      <c r="I24" s="69">
        <f t="shared" si="2"/>
        <v>0</v>
      </c>
      <c r="J24" s="70"/>
      <c r="K24" s="71"/>
      <c r="L24" s="69">
        <f t="shared" si="3"/>
        <v>0</v>
      </c>
      <c r="M24" s="70"/>
      <c r="N24" s="71"/>
      <c r="O24" s="69">
        <f t="shared" si="4"/>
        <v>0</v>
      </c>
      <c r="P24" s="70"/>
      <c r="Q24" s="71"/>
      <c r="R24" s="69">
        <f t="shared" si="5"/>
        <v>0</v>
      </c>
      <c r="S24" s="70"/>
      <c r="T24" s="71"/>
      <c r="U24" s="69">
        <f t="shared" si="6"/>
        <v>0</v>
      </c>
      <c r="V24" s="70"/>
      <c r="W24" s="71"/>
      <c r="X24" s="69">
        <f t="shared" si="7"/>
        <v>0</v>
      </c>
      <c r="Y24" s="70"/>
      <c r="Z24" s="71"/>
      <c r="AA24" s="69">
        <f t="shared" si="8"/>
        <v>0</v>
      </c>
      <c r="AB24" s="70"/>
      <c r="AC24" s="71"/>
      <c r="AD24" s="69">
        <f t="shared" si="9"/>
        <v>0</v>
      </c>
      <c r="AE24" s="70"/>
      <c r="AF24" s="71"/>
      <c r="AG24" s="69">
        <f t="shared" si="10"/>
        <v>0</v>
      </c>
      <c r="AH24" s="70"/>
      <c r="AI24" s="71"/>
      <c r="AJ24" s="69">
        <f t="shared" si="11"/>
        <v>0</v>
      </c>
      <c r="AK24" s="70"/>
      <c r="AL24" s="71"/>
      <c r="AM24" s="69">
        <f t="shared" si="12"/>
        <v>0</v>
      </c>
      <c r="AN24" s="70"/>
      <c r="AO24" s="71"/>
      <c r="AP24" s="67">
        <f t="shared" si="13"/>
        <v>0</v>
      </c>
      <c r="AQ24" s="8" t="e">
        <f t="shared" si="0"/>
        <v>#DIV/0!</v>
      </c>
    </row>
    <row r="25" spans="1:43" ht="18" customHeight="1" x14ac:dyDescent="0.15">
      <c r="A25" s="6"/>
      <c r="B25" s="12"/>
      <c r="C25" s="66"/>
      <c r="D25" s="67"/>
      <c r="E25" s="68"/>
      <c r="F25" s="69">
        <f t="shared" si="1"/>
        <v>0</v>
      </c>
      <c r="G25" s="70"/>
      <c r="H25" s="71"/>
      <c r="I25" s="69">
        <f t="shared" si="2"/>
        <v>0</v>
      </c>
      <c r="J25" s="70"/>
      <c r="K25" s="71"/>
      <c r="L25" s="69">
        <f t="shared" si="3"/>
        <v>0</v>
      </c>
      <c r="M25" s="70"/>
      <c r="N25" s="71"/>
      <c r="O25" s="69">
        <f t="shared" si="4"/>
        <v>0</v>
      </c>
      <c r="P25" s="70"/>
      <c r="Q25" s="71"/>
      <c r="R25" s="69">
        <f t="shared" si="5"/>
        <v>0</v>
      </c>
      <c r="S25" s="70"/>
      <c r="T25" s="71"/>
      <c r="U25" s="69">
        <f t="shared" si="6"/>
        <v>0</v>
      </c>
      <c r="V25" s="70"/>
      <c r="W25" s="71"/>
      <c r="X25" s="69">
        <f t="shared" si="7"/>
        <v>0</v>
      </c>
      <c r="Y25" s="70"/>
      <c r="Z25" s="71"/>
      <c r="AA25" s="69">
        <f t="shared" si="8"/>
        <v>0</v>
      </c>
      <c r="AB25" s="70"/>
      <c r="AC25" s="71"/>
      <c r="AD25" s="69">
        <f t="shared" si="9"/>
        <v>0</v>
      </c>
      <c r="AE25" s="70"/>
      <c r="AF25" s="71"/>
      <c r="AG25" s="69">
        <f t="shared" si="10"/>
        <v>0</v>
      </c>
      <c r="AH25" s="70"/>
      <c r="AI25" s="71"/>
      <c r="AJ25" s="69">
        <f t="shared" si="11"/>
        <v>0</v>
      </c>
      <c r="AK25" s="70"/>
      <c r="AL25" s="71"/>
      <c r="AM25" s="69">
        <f t="shared" si="12"/>
        <v>0</v>
      </c>
      <c r="AN25" s="70"/>
      <c r="AO25" s="71"/>
      <c r="AP25" s="67">
        <f t="shared" si="13"/>
        <v>0</v>
      </c>
      <c r="AQ25" s="8" t="e">
        <f t="shared" si="0"/>
        <v>#DIV/0!</v>
      </c>
    </row>
    <row r="26" spans="1:43" ht="18" customHeight="1" x14ac:dyDescent="0.15">
      <c r="A26" s="6"/>
      <c r="B26" s="12"/>
      <c r="C26" s="66"/>
      <c r="D26" s="67"/>
      <c r="E26" s="68"/>
      <c r="F26" s="69">
        <f t="shared" si="1"/>
        <v>0</v>
      </c>
      <c r="G26" s="70"/>
      <c r="H26" s="71"/>
      <c r="I26" s="69">
        <f t="shared" si="2"/>
        <v>0</v>
      </c>
      <c r="J26" s="70"/>
      <c r="K26" s="71"/>
      <c r="L26" s="69">
        <f t="shared" si="3"/>
        <v>0</v>
      </c>
      <c r="M26" s="70"/>
      <c r="N26" s="71"/>
      <c r="O26" s="69">
        <f t="shared" si="4"/>
        <v>0</v>
      </c>
      <c r="P26" s="70"/>
      <c r="Q26" s="71"/>
      <c r="R26" s="69">
        <f t="shared" si="5"/>
        <v>0</v>
      </c>
      <c r="S26" s="70"/>
      <c r="T26" s="71"/>
      <c r="U26" s="69">
        <f t="shared" si="6"/>
        <v>0</v>
      </c>
      <c r="V26" s="70"/>
      <c r="W26" s="71"/>
      <c r="X26" s="69">
        <f t="shared" si="7"/>
        <v>0</v>
      </c>
      <c r="Y26" s="70"/>
      <c r="Z26" s="71"/>
      <c r="AA26" s="69">
        <f t="shared" si="8"/>
        <v>0</v>
      </c>
      <c r="AB26" s="70"/>
      <c r="AC26" s="71"/>
      <c r="AD26" s="69">
        <f t="shared" si="9"/>
        <v>0</v>
      </c>
      <c r="AE26" s="70"/>
      <c r="AF26" s="71"/>
      <c r="AG26" s="69">
        <f t="shared" si="10"/>
        <v>0</v>
      </c>
      <c r="AH26" s="70"/>
      <c r="AI26" s="71"/>
      <c r="AJ26" s="69">
        <f t="shared" si="11"/>
        <v>0</v>
      </c>
      <c r="AK26" s="70"/>
      <c r="AL26" s="71"/>
      <c r="AM26" s="69">
        <f t="shared" si="12"/>
        <v>0</v>
      </c>
      <c r="AN26" s="70"/>
      <c r="AO26" s="71"/>
      <c r="AP26" s="67">
        <f t="shared" si="13"/>
        <v>0</v>
      </c>
      <c r="AQ26" s="8" t="e">
        <f t="shared" si="0"/>
        <v>#DIV/0!</v>
      </c>
    </row>
    <row r="27" spans="1:43" ht="18" customHeight="1" x14ac:dyDescent="0.15">
      <c r="A27" s="6"/>
      <c r="B27" s="12"/>
      <c r="C27" s="66"/>
      <c r="D27" s="67"/>
      <c r="E27" s="68"/>
      <c r="F27" s="69">
        <f t="shared" si="1"/>
        <v>0</v>
      </c>
      <c r="G27" s="70"/>
      <c r="H27" s="71"/>
      <c r="I27" s="69">
        <f t="shared" si="2"/>
        <v>0</v>
      </c>
      <c r="J27" s="70"/>
      <c r="K27" s="71"/>
      <c r="L27" s="69">
        <f t="shared" si="3"/>
        <v>0</v>
      </c>
      <c r="M27" s="70"/>
      <c r="N27" s="71"/>
      <c r="O27" s="69">
        <f t="shared" si="4"/>
        <v>0</v>
      </c>
      <c r="P27" s="70"/>
      <c r="Q27" s="71"/>
      <c r="R27" s="69">
        <f t="shared" si="5"/>
        <v>0</v>
      </c>
      <c r="S27" s="70"/>
      <c r="T27" s="71"/>
      <c r="U27" s="69">
        <f t="shared" si="6"/>
        <v>0</v>
      </c>
      <c r="V27" s="70"/>
      <c r="W27" s="71"/>
      <c r="X27" s="69">
        <f t="shared" si="7"/>
        <v>0</v>
      </c>
      <c r="Y27" s="70"/>
      <c r="Z27" s="71"/>
      <c r="AA27" s="69">
        <f t="shared" si="8"/>
        <v>0</v>
      </c>
      <c r="AB27" s="70"/>
      <c r="AC27" s="71"/>
      <c r="AD27" s="69">
        <f t="shared" si="9"/>
        <v>0</v>
      </c>
      <c r="AE27" s="70"/>
      <c r="AF27" s="71"/>
      <c r="AG27" s="69">
        <f t="shared" si="10"/>
        <v>0</v>
      </c>
      <c r="AH27" s="70"/>
      <c r="AI27" s="71"/>
      <c r="AJ27" s="69">
        <f t="shared" si="11"/>
        <v>0</v>
      </c>
      <c r="AK27" s="70"/>
      <c r="AL27" s="71"/>
      <c r="AM27" s="69">
        <f t="shared" si="12"/>
        <v>0</v>
      </c>
      <c r="AN27" s="70"/>
      <c r="AO27" s="71"/>
      <c r="AP27" s="67">
        <f t="shared" si="13"/>
        <v>0</v>
      </c>
      <c r="AQ27" s="8" t="e">
        <f t="shared" si="0"/>
        <v>#DIV/0!</v>
      </c>
    </row>
    <row r="28" spans="1:43" ht="18" customHeight="1" x14ac:dyDescent="0.15">
      <c r="A28" s="6"/>
      <c r="B28" s="12"/>
      <c r="C28" s="66"/>
      <c r="D28" s="67"/>
      <c r="E28" s="68"/>
      <c r="F28" s="69">
        <f t="shared" si="1"/>
        <v>0</v>
      </c>
      <c r="G28" s="70"/>
      <c r="H28" s="71"/>
      <c r="I28" s="69">
        <f t="shared" si="2"/>
        <v>0</v>
      </c>
      <c r="J28" s="70"/>
      <c r="K28" s="71"/>
      <c r="L28" s="69">
        <f t="shared" si="3"/>
        <v>0</v>
      </c>
      <c r="M28" s="70"/>
      <c r="N28" s="71"/>
      <c r="O28" s="69">
        <f t="shared" si="4"/>
        <v>0</v>
      </c>
      <c r="P28" s="70"/>
      <c r="Q28" s="71"/>
      <c r="R28" s="69">
        <f t="shared" si="5"/>
        <v>0</v>
      </c>
      <c r="S28" s="70"/>
      <c r="T28" s="71"/>
      <c r="U28" s="69">
        <f t="shared" si="6"/>
        <v>0</v>
      </c>
      <c r="V28" s="70"/>
      <c r="W28" s="71"/>
      <c r="X28" s="69">
        <f t="shared" si="7"/>
        <v>0</v>
      </c>
      <c r="Y28" s="70"/>
      <c r="Z28" s="71"/>
      <c r="AA28" s="69">
        <f t="shared" si="8"/>
        <v>0</v>
      </c>
      <c r="AB28" s="70"/>
      <c r="AC28" s="71"/>
      <c r="AD28" s="69">
        <f t="shared" si="9"/>
        <v>0</v>
      </c>
      <c r="AE28" s="70"/>
      <c r="AF28" s="71"/>
      <c r="AG28" s="69">
        <f t="shared" si="10"/>
        <v>0</v>
      </c>
      <c r="AH28" s="70"/>
      <c r="AI28" s="71"/>
      <c r="AJ28" s="69">
        <f t="shared" si="11"/>
        <v>0</v>
      </c>
      <c r="AK28" s="70"/>
      <c r="AL28" s="71"/>
      <c r="AM28" s="69">
        <f t="shared" si="12"/>
        <v>0</v>
      </c>
      <c r="AN28" s="70"/>
      <c r="AO28" s="71"/>
      <c r="AP28" s="67">
        <f t="shared" si="13"/>
        <v>0</v>
      </c>
      <c r="AQ28" s="8" t="e">
        <f t="shared" si="0"/>
        <v>#DIV/0!</v>
      </c>
    </row>
    <row r="29" spans="1:43" ht="18" customHeight="1" x14ac:dyDescent="0.15">
      <c r="A29" s="6"/>
      <c r="B29" s="12"/>
      <c r="C29" s="66"/>
      <c r="D29" s="72"/>
      <c r="E29" s="68"/>
      <c r="F29" s="69">
        <f t="shared" si="1"/>
        <v>0</v>
      </c>
      <c r="G29" s="70"/>
      <c r="H29" s="71"/>
      <c r="I29" s="69">
        <f t="shared" si="2"/>
        <v>0</v>
      </c>
      <c r="J29" s="70"/>
      <c r="K29" s="71"/>
      <c r="L29" s="69">
        <f t="shared" si="3"/>
        <v>0</v>
      </c>
      <c r="M29" s="70"/>
      <c r="N29" s="71"/>
      <c r="O29" s="69">
        <f t="shared" si="4"/>
        <v>0</v>
      </c>
      <c r="P29" s="70"/>
      <c r="Q29" s="71"/>
      <c r="R29" s="69">
        <f t="shared" si="5"/>
        <v>0</v>
      </c>
      <c r="S29" s="70"/>
      <c r="T29" s="71"/>
      <c r="U29" s="69">
        <f t="shared" si="6"/>
        <v>0</v>
      </c>
      <c r="V29" s="70"/>
      <c r="W29" s="71"/>
      <c r="X29" s="69">
        <f t="shared" si="7"/>
        <v>0</v>
      </c>
      <c r="Y29" s="70"/>
      <c r="Z29" s="71"/>
      <c r="AA29" s="69">
        <f t="shared" si="8"/>
        <v>0</v>
      </c>
      <c r="AB29" s="70"/>
      <c r="AC29" s="71"/>
      <c r="AD29" s="69">
        <f t="shared" si="9"/>
        <v>0</v>
      </c>
      <c r="AE29" s="70"/>
      <c r="AF29" s="71"/>
      <c r="AG29" s="69">
        <f t="shared" si="10"/>
        <v>0</v>
      </c>
      <c r="AH29" s="70"/>
      <c r="AI29" s="71"/>
      <c r="AJ29" s="69">
        <f t="shared" si="11"/>
        <v>0</v>
      </c>
      <c r="AK29" s="70"/>
      <c r="AL29" s="71"/>
      <c r="AM29" s="69">
        <f t="shared" si="12"/>
        <v>0</v>
      </c>
      <c r="AN29" s="70"/>
      <c r="AO29" s="71"/>
      <c r="AP29" s="72">
        <f t="shared" si="13"/>
        <v>0</v>
      </c>
      <c r="AQ29" s="8" t="e">
        <f t="shared" si="0"/>
        <v>#DIV/0!</v>
      </c>
    </row>
    <row r="30" spans="1:43" ht="18" customHeight="1" x14ac:dyDescent="0.15">
      <c r="A30" s="6"/>
      <c r="B30" s="12"/>
      <c r="C30" s="66"/>
      <c r="D30" s="72"/>
      <c r="E30" s="68"/>
      <c r="F30" s="69">
        <f t="shared" si="1"/>
        <v>0</v>
      </c>
      <c r="G30" s="70"/>
      <c r="H30" s="71"/>
      <c r="I30" s="69">
        <f t="shared" si="2"/>
        <v>0</v>
      </c>
      <c r="J30" s="70"/>
      <c r="K30" s="71"/>
      <c r="L30" s="69">
        <f t="shared" si="3"/>
        <v>0</v>
      </c>
      <c r="M30" s="70"/>
      <c r="N30" s="71"/>
      <c r="O30" s="69">
        <f t="shared" si="4"/>
        <v>0</v>
      </c>
      <c r="P30" s="70"/>
      <c r="Q30" s="71"/>
      <c r="R30" s="69">
        <f t="shared" si="5"/>
        <v>0</v>
      </c>
      <c r="S30" s="70"/>
      <c r="T30" s="71"/>
      <c r="U30" s="69">
        <f t="shared" si="6"/>
        <v>0</v>
      </c>
      <c r="V30" s="70"/>
      <c r="W30" s="71"/>
      <c r="X30" s="69">
        <f t="shared" si="7"/>
        <v>0</v>
      </c>
      <c r="Y30" s="70"/>
      <c r="Z30" s="71"/>
      <c r="AA30" s="69">
        <f t="shared" si="8"/>
        <v>0</v>
      </c>
      <c r="AB30" s="70"/>
      <c r="AC30" s="71"/>
      <c r="AD30" s="69">
        <f t="shared" si="9"/>
        <v>0</v>
      </c>
      <c r="AE30" s="70"/>
      <c r="AF30" s="71"/>
      <c r="AG30" s="69">
        <f t="shared" si="10"/>
        <v>0</v>
      </c>
      <c r="AH30" s="70"/>
      <c r="AI30" s="71"/>
      <c r="AJ30" s="69">
        <f t="shared" si="11"/>
        <v>0</v>
      </c>
      <c r="AK30" s="70"/>
      <c r="AL30" s="71"/>
      <c r="AM30" s="69">
        <f t="shared" si="12"/>
        <v>0</v>
      </c>
      <c r="AN30" s="70"/>
      <c r="AO30" s="71"/>
      <c r="AP30" s="72">
        <f t="shared" si="13"/>
        <v>0</v>
      </c>
      <c r="AQ30" s="8" t="e">
        <f t="shared" si="0"/>
        <v>#DIV/0!</v>
      </c>
    </row>
    <row r="31" spans="1:43" ht="18" customHeight="1" thickBot="1" x14ac:dyDescent="0.2">
      <c r="A31" s="6"/>
      <c r="B31" s="13"/>
      <c r="C31" s="61"/>
      <c r="D31" s="73"/>
      <c r="E31" s="63"/>
      <c r="F31" s="63">
        <f t="shared" si="1"/>
        <v>0</v>
      </c>
      <c r="G31" s="74"/>
      <c r="H31" s="75"/>
      <c r="I31" s="63">
        <f t="shared" si="2"/>
        <v>0</v>
      </c>
      <c r="J31" s="74"/>
      <c r="K31" s="75"/>
      <c r="L31" s="63">
        <f t="shared" si="3"/>
        <v>0</v>
      </c>
      <c r="M31" s="74"/>
      <c r="N31" s="75"/>
      <c r="O31" s="63">
        <f t="shared" si="4"/>
        <v>0</v>
      </c>
      <c r="P31" s="74"/>
      <c r="Q31" s="75"/>
      <c r="R31" s="63">
        <f t="shared" si="5"/>
        <v>0</v>
      </c>
      <c r="S31" s="74"/>
      <c r="T31" s="75"/>
      <c r="U31" s="63">
        <f t="shared" si="6"/>
        <v>0</v>
      </c>
      <c r="V31" s="74"/>
      <c r="W31" s="75"/>
      <c r="X31" s="63">
        <f t="shared" si="7"/>
        <v>0</v>
      </c>
      <c r="Y31" s="74"/>
      <c r="Z31" s="75"/>
      <c r="AA31" s="63">
        <f t="shared" si="8"/>
        <v>0</v>
      </c>
      <c r="AB31" s="74"/>
      <c r="AC31" s="75"/>
      <c r="AD31" s="63">
        <f t="shared" si="9"/>
        <v>0</v>
      </c>
      <c r="AE31" s="74"/>
      <c r="AF31" s="75"/>
      <c r="AG31" s="63">
        <f t="shared" si="10"/>
        <v>0</v>
      </c>
      <c r="AH31" s="74"/>
      <c r="AI31" s="75"/>
      <c r="AJ31" s="63">
        <f t="shared" si="11"/>
        <v>0</v>
      </c>
      <c r="AK31" s="74"/>
      <c r="AL31" s="75"/>
      <c r="AM31" s="63">
        <f t="shared" si="12"/>
        <v>0</v>
      </c>
      <c r="AN31" s="74"/>
      <c r="AO31" s="75"/>
      <c r="AP31" s="73">
        <f t="shared" si="13"/>
        <v>0</v>
      </c>
      <c r="AQ31" s="7" t="e">
        <f t="shared" si="0"/>
        <v>#DIV/0!</v>
      </c>
    </row>
    <row r="32" spans="1:43" ht="18" customHeight="1" thickTop="1" x14ac:dyDescent="0.15">
      <c r="B32" s="14" t="s">
        <v>121</v>
      </c>
      <c r="C32" s="76">
        <f t="shared" ref="C32" si="14">SUM(C12:C31)</f>
        <v>3299</v>
      </c>
      <c r="D32" s="77">
        <f t="shared" ref="D32:AP32" si="15">SUM(D12:D31)</f>
        <v>720</v>
      </c>
      <c r="E32" s="78">
        <f t="shared" si="15"/>
        <v>2880</v>
      </c>
      <c r="F32" s="78">
        <f t="shared" si="15"/>
        <v>140</v>
      </c>
      <c r="G32" s="79">
        <f t="shared" si="15"/>
        <v>122</v>
      </c>
      <c r="H32" s="80">
        <f t="shared" si="15"/>
        <v>18</v>
      </c>
      <c r="I32" s="78">
        <f t="shared" ref="I32:N32" si="16">SUM(I12:I31)</f>
        <v>110</v>
      </c>
      <c r="J32" s="79">
        <f t="shared" si="16"/>
        <v>95</v>
      </c>
      <c r="K32" s="80">
        <f t="shared" si="16"/>
        <v>15</v>
      </c>
      <c r="L32" s="78">
        <f t="shared" si="16"/>
        <v>0</v>
      </c>
      <c r="M32" s="79">
        <f t="shared" si="16"/>
        <v>0</v>
      </c>
      <c r="N32" s="80">
        <f t="shared" si="16"/>
        <v>0</v>
      </c>
      <c r="O32" s="78">
        <f t="shared" ref="O32:T32" si="17">SUM(O12:O31)</f>
        <v>0</v>
      </c>
      <c r="P32" s="79">
        <f t="shared" si="17"/>
        <v>0</v>
      </c>
      <c r="Q32" s="80">
        <f t="shared" si="17"/>
        <v>0</v>
      </c>
      <c r="R32" s="78">
        <f t="shared" si="17"/>
        <v>0</v>
      </c>
      <c r="S32" s="79">
        <f t="shared" si="17"/>
        <v>0</v>
      </c>
      <c r="T32" s="80">
        <f t="shared" si="17"/>
        <v>0</v>
      </c>
      <c r="U32" s="78">
        <f t="shared" ref="U32:AI32" si="18">SUM(U12:U31)</f>
        <v>0</v>
      </c>
      <c r="V32" s="79">
        <f t="shared" si="18"/>
        <v>0</v>
      </c>
      <c r="W32" s="80">
        <f t="shared" si="18"/>
        <v>0</v>
      </c>
      <c r="X32" s="78">
        <f t="shared" si="18"/>
        <v>0</v>
      </c>
      <c r="Y32" s="79">
        <f t="shared" si="18"/>
        <v>0</v>
      </c>
      <c r="Z32" s="80">
        <f t="shared" si="18"/>
        <v>0</v>
      </c>
      <c r="AA32" s="78">
        <f t="shared" si="18"/>
        <v>0</v>
      </c>
      <c r="AB32" s="79">
        <f t="shared" si="18"/>
        <v>0</v>
      </c>
      <c r="AC32" s="80">
        <f t="shared" si="18"/>
        <v>0</v>
      </c>
      <c r="AD32" s="78">
        <f t="shared" si="18"/>
        <v>0</v>
      </c>
      <c r="AE32" s="79">
        <f t="shared" si="18"/>
        <v>0</v>
      </c>
      <c r="AF32" s="80">
        <f t="shared" si="18"/>
        <v>0</v>
      </c>
      <c r="AG32" s="78">
        <f t="shared" si="18"/>
        <v>0</v>
      </c>
      <c r="AH32" s="79">
        <f t="shared" si="18"/>
        <v>0</v>
      </c>
      <c r="AI32" s="80">
        <f t="shared" si="18"/>
        <v>0</v>
      </c>
      <c r="AJ32" s="78">
        <f t="shared" ref="AJ32:AO32" si="19">SUM(AJ12:AJ31)</f>
        <v>0</v>
      </c>
      <c r="AK32" s="79">
        <f t="shared" si="19"/>
        <v>0</v>
      </c>
      <c r="AL32" s="80">
        <f t="shared" si="19"/>
        <v>0</v>
      </c>
      <c r="AM32" s="78">
        <f t="shared" si="19"/>
        <v>0</v>
      </c>
      <c r="AN32" s="79">
        <f t="shared" si="19"/>
        <v>0</v>
      </c>
      <c r="AO32" s="80">
        <f t="shared" si="19"/>
        <v>0</v>
      </c>
      <c r="AP32" s="77">
        <f t="shared" si="15"/>
        <v>140</v>
      </c>
      <c r="AQ32" s="9">
        <f t="shared" si="0"/>
        <v>4.8611111111111112E-2</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29"/>
  <sheetViews>
    <sheetView showZeros="0" tabSelected="1" view="pageBreakPreview" topLeftCell="A100" zoomScaleNormal="100" zoomScaleSheetLayoutView="100" workbookViewId="0">
      <selection activeCell="B77" sqref="B77:I86"/>
    </sheetView>
  </sheetViews>
  <sheetFormatPr defaultColWidth="11.375" defaultRowHeight="18.75" customHeight="1" x14ac:dyDescent="0.15"/>
  <cols>
    <col min="1" max="1" width="2.625" style="41"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1" t="s">
        <v>122</v>
      </c>
      <c r="I1" s="35" t="s">
        <v>123</v>
      </c>
    </row>
    <row r="2" spans="1:9" ht="18.75" customHeight="1" x14ac:dyDescent="0.15">
      <c r="G2" s="35" t="s">
        <v>2</v>
      </c>
      <c r="H2" s="141" t="str">
        <f>'様式１-1　プログラムを構成する授業科目'!C2</f>
        <v>中央学院大学</v>
      </c>
      <c r="I2" s="136"/>
    </row>
    <row r="3" spans="1:9" ht="18.75" customHeight="1" x14ac:dyDescent="0.15">
      <c r="G3" s="35"/>
      <c r="H3" s="10"/>
      <c r="I3" s="10"/>
    </row>
    <row r="4" spans="1:9" ht="18.600000000000001" customHeight="1" x14ac:dyDescent="0.15">
      <c r="A4" s="180" t="s">
        <v>124</v>
      </c>
      <c r="B4" s="180"/>
      <c r="C4" s="180"/>
      <c r="D4" s="180"/>
      <c r="E4" s="180"/>
      <c r="F4" s="180"/>
      <c r="G4" s="180"/>
      <c r="H4" s="180"/>
      <c r="I4" s="180"/>
    </row>
    <row r="5" spans="1:9" ht="13.35" customHeight="1" x14ac:dyDescent="0.15">
      <c r="B5" s="3"/>
      <c r="C5" s="3"/>
      <c r="D5" s="3"/>
      <c r="E5" s="3"/>
      <c r="F5" s="3"/>
      <c r="G5" s="3"/>
      <c r="H5" s="3"/>
      <c r="I5" s="3"/>
    </row>
    <row r="6" spans="1:9" ht="18" customHeight="1" x14ac:dyDescent="0.15">
      <c r="A6" s="1" t="s">
        <v>125</v>
      </c>
      <c r="B6" s="10" t="s">
        <v>126</v>
      </c>
      <c r="C6" s="347" t="s">
        <v>127</v>
      </c>
      <c r="D6" s="347"/>
      <c r="E6" s="34">
        <v>86</v>
      </c>
      <c r="F6" s="3" t="s">
        <v>128</v>
      </c>
      <c r="G6" s="3" t="s">
        <v>129</v>
      </c>
      <c r="H6" s="34">
        <v>129</v>
      </c>
      <c r="I6" s="10" t="s">
        <v>128</v>
      </c>
    </row>
    <row r="7" spans="1:9" ht="12" customHeight="1" x14ac:dyDescent="0.15">
      <c r="C7" s="2"/>
      <c r="D7" s="2"/>
      <c r="E7" s="2"/>
      <c r="F7" s="2"/>
      <c r="G7" s="2"/>
      <c r="H7" s="2"/>
      <c r="I7" s="42"/>
    </row>
    <row r="8" spans="1:9" ht="18" customHeight="1" x14ac:dyDescent="0.15">
      <c r="A8" s="1" t="s">
        <v>130</v>
      </c>
      <c r="B8" s="10" t="s">
        <v>131</v>
      </c>
      <c r="E8" s="3"/>
      <c r="F8" s="3"/>
      <c r="G8" s="3"/>
      <c r="H8" s="34">
        <v>10</v>
      </c>
      <c r="I8" s="10" t="s">
        <v>128</v>
      </c>
    </row>
    <row r="9" spans="1:9" ht="9" customHeight="1" x14ac:dyDescent="0.15">
      <c r="B9" s="3"/>
      <c r="C9" s="3"/>
      <c r="D9" s="3"/>
      <c r="E9" s="3"/>
      <c r="F9" s="3"/>
      <c r="G9" s="3"/>
      <c r="H9" s="3"/>
      <c r="I9" s="3"/>
    </row>
    <row r="10" spans="1:9" ht="18" customHeight="1" x14ac:dyDescent="0.15">
      <c r="A10" s="1" t="s">
        <v>132</v>
      </c>
      <c r="B10" s="10" t="s">
        <v>133</v>
      </c>
      <c r="C10" s="3"/>
      <c r="D10" s="3"/>
      <c r="E10" s="3"/>
      <c r="F10" s="3"/>
      <c r="G10" s="3"/>
      <c r="H10" s="3"/>
      <c r="I10" s="3"/>
    </row>
    <row r="11" spans="1:9" ht="18" customHeight="1" x14ac:dyDescent="0.15">
      <c r="B11" s="35" t="s">
        <v>134</v>
      </c>
      <c r="C11" s="342" t="s">
        <v>135</v>
      </c>
      <c r="D11" s="345"/>
      <c r="E11" s="346"/>
      <c r="F11" s="42"/>
      <c r="G11" s="35" t="s">
        <v>136</v>
      </c>
      <c r="H11" s="342" t="s">
        <v>137</v>
      </c>
      <c r="I11" s="346"/>
    </row>
    <row r="12" spans="1:9" ht="10.35" customHeight="1" x14ac:dyDescent="0.15">
      <c r="B12" s="35"/>
      <c r="C12" s="10"/>
      <c r="D12" s="42"/>
      <c r="E12" s="42"/>
      <c r="F12" s="42"/>
      <c r="G12" s="35"/>
      <c r="H12" s="10"/>
      <c r="I12" s="42"/>
    </row>
    <row r="13" spans="1:9" ht="18" customHeight="1" x14ac:dyDescent="0.15">
      <c r="A13" s="1" t="s">
        <v>138</v>
      </c>
      <c r="B13" s="10" t="s">
        <v>139</v>
      </c>
      <c r="C13" s="3"/>
      <c r="D13" s="3"/>
      <c r="E13" s="3"/>
      <c r="F13" s="3"/>
      <c r="G13" s="3"/>
      <c r="H13" s="3"/>
      <c r="I13" s="3"/>
    </row>
    <row r="14" spans="1:9" ht="18" customHeight="1" x14ac:dyDescent="0.15">
      <c r="B14" s="342" t="s">
        <v>140</v>
      </c>
      <c r="C14" s="343"/>
      <c r="D14" s="343"/>
      <c r="E14" s="343"/>
      <c r="F14" s="343"/>
      <c r="G14" s="343"/>
      <c r="H14" s="343"/>
      <c r="I14" s="344"/>
    </row>
    <row r="15" spans="1:9" ht="9" customHeight="1" x14ac:dyDescent="0.15">
      <c r="B15" s="3"/>
      <c r="C15" s="3"/>
      <c r="D15" s="3"/>
      <c r="E15" s="3"/>
      <c r="F15" s="3"/>
      <c r="G15" s="3"/>
      <c r="H15" s="3"/>
      <c r="I15" s="3"/>
    </row>
    <row r="16" spans="1:9" ht="18" customHeight="1" x14ac:dyDescent="0.15">
      <c r="B16" s="35" t="s">
        <v>134</v>
      </c>
      <c r="C16" s="342" t="s">
        <v>141</v>
      </c>
      <c r="D16" s="345"/>
      <c r="E16" s="346"/>
      <c r="F16" s="42"/>
      <c r="G16" s="35" t="s">
        <v>136</v>
      </c>
      <c r="H16" s="342" t="s">
        <v>137</v>
      </c>
      <c r="I16" s="346"/>
    </row>
    <row r="17" spans="1:9" ht="18" customHeight="1" x14ac:dyDescent="0.15">
      <c r="B17" s="3"/>
      <c r="C17" s="3"/>
      <c r="D17" s="3"/>
      <c r="E17" s="3"/>
      <c r="F17" s="3"/>
      <c r="G17" s="3"/>
      <c r="H17" s="3"/>
      <c r="I17" s="3"/>
    </row>
    <row r="18" spans="1:9" ht="18.75" customHeight="1" x14ac:dyDescent="0.15">
      <c r="A18" s="1" t="s">
        <v>142</v>
      </c>
      <c r="B18" s="1" t="s">
        <v>143</v>
      </c>
      <c r="I18" s="3"/>
    </row>
    <row r="19" spans="1:9" ht="18.75" customHeight="1" x14ac:dyDescent="0.15">
      <c r="A19" s="1"/>
      <c r="B19" s="320" t="s">
        <v>144</v>
      </c>
      <c r="C19" s="321"/>
      <c r="D19" s="321"/>
      <c r="E19" s="321"/>
      <c r="F19" s="321"/>
      <c r="G19" s="321"/>
      <c r="H19" s="321"/>
      <c r="I19" s="322"/>
    </row>
    <row r="20" spans="1:9" ht="7.5" customHeight="1" x14ac:dyDescent="0.15">
      <c r="B20" s="3"/>
      <c r="C20" s="3"/>
      <c r="D20" s="3"/>
      <c r="E20" s="3"/>
      <c r="F20" s="3"/>
      <c r="G20" s="3"/>
      <c r="H20" s="3"/>
      <c r="I20" s="3"/>
    </row>
    <row r="21" spans="1:9" ht="18.75" customHeight="1" x14ac:dyDescent="0.15">
      <c r="A21" s="1" t="s">
        <v>145</v>
      </c>
      <c r="B21" s="1" t="s">
        <v>146</v>
      </c>
    </row>
    <row r="22" spans="1:9" ht="18.75" customHeight="1" x14ac:dyDescent="0.15">
      <c r="A22" s="15"/>
      <c r="B22" s="310" t="s">
        <v>147</v>
      </c>
      <c r="C22" s="311"/>
      <c r="D22" s="311"/>
      <c r="E22" s="311"/>
      <c r="F22" s="311"/>
      <c r="G22" s="311"/>
      <c r="H22" s="311"/>
      <c r="I22" s="323"/>
    </row>
    <row r="23" spans="1:9" ht="18.75" customHeight="1" x14ac:dyDescent="0.15">
      <c r="A23" s="15"/>
      <c r="B23" s="324"/>
      <c r="C23" s="325"/>
      <c r="D23" s="325"/>
      <c r="E23" s="325"/>
      <c r="F23" s="325"/>
      <c r="G23" s="325"/>
      <c r="H23" s="325"/>
      <c r="I23" s="326"/>
    </row>
    <row r="24" spans="1:9" ht="18.75" customHeight="1" x14ac:dyDescent="0.15">
      <c r="A24" s="15"/>
      <c r="B24" s="324"/>
      <c r="C24" s="325"/>
      <c r="D24" s="325"/>
      <c r="E24" s="325"/>
      <c r="F24" s="325"/>
      <c r="G24" s="325"/>
      <c r="H24" s="325"/>
      <c r="I24" s="326"/>
    </row>
    <row r="25" spans="1:9" ht="18.75" customHeight="1" x14ac:dyDescent="0.15">
      <c r="A25" s="15"/>
      <c r="B25" s="324"/>
      <c r="C25" s="325"/>
      <c r="D25" s="325"/>
      <c r="E25" s="325"/>
      <c r="F25" s="325"/>
      <c r="G25" s="325"/>
      <c r="H25" s="325"/>
      <c r="I25" s="326"/>
    </row>
    <row r="26" spans="1:9" ht="18.75" customHeight="1" x14ac:dyDescent="0.15">
      <c r="A26" s="15"/>
      <c r="B26" s="324"/>
      <c r="C26" s="325"/>
      <c r="D26" s="325"/>
      <c r="E26" s="325"/>
      <c r="F26" s="325"/>
      <c r="G26" s="325"/>
      <c r="H26" s="325"/>
      <c r="I26" s="326"/>
    </row>
    <row r="27" spans="1:9" ht="18.75" customHeight="1" x14ac:dyDescent="0.15">
      <c r="A27" s="15"/>
      <c r="B27" s="324"/>
      <c r="C27" s="325"/>
      <c r="D27" s="325"/>
      <c r="E27" s="325"/>
      <c r="F27" s="325"/>
      <c r="G27" s="325"/>
      <c r="H27" s="325"/>
      <c r="I27" s="326"/>
    </row>
    <row r="28" spans="1:9" ht="18.75" customHeight="1" x14ac:dyDescent="0.15">
      <c r="A28" s="15"/>
      <c r="B28" s="324"/>
      <c r="C28" s="325"/>
      <c r="D28" s="325"/>
      <c r="E28" s="325"/>
      <c r="F28" s="325"/>
      <c r="G28" s="325"/>
      <c r="H28" s="325"/>
      <c r="I28" s="326"/>
    </row>
    <row r="29" spans="1:9" ht="18.75" customHeight="1" x14ac:dyDescent="0.15">
      <c r="A29" s="15"/>
      <c r="B29" s="324"/>
      <c r="C29" s="325"/>
      <c r="D29" s="325"/>
      <c r="E29" s="325"/>
      <c r="F29" s="325"/>
      <c r="G29" s="325"/>
      <c r="H29" s="325"/>
      <c r="I29" s="326"/>
    </row>
    <row r="30" spans="1:9" ht="18.75" customHeight="1" x14ac:dyDescent="0.15">
      <c r="A30" s="15"/>
      <c r="B30" s="324"/>
      <c r="C30" s="325"/>
      <c r="D30" s="325"/>
      <c r="E30" s="325"/>
      <c r="F30" s="325"/>
      <c r="G30" s="325"/>
      <c r="H30" s="325"/>
      <c r="I30" s="326"/>
    </row>
    <row r="31" spans="1:9" ht="18.75" customHeight="1" x14ac:dyDescent="0.15">
      <c r="A31" s="15"/>
      <c r="B31" s="324"/>
      <c r="C31" s="325"/>
      <c r="D31" s="325"/>
      <c r="E31" s="325"/>
      <c r="F31" s="325"/>
      <c r="G31" s="325"/>
      <c r="H31" s="325"/>
      <c r="I31" s="326"/>
    </row>
    <row r="32" spans="1:9" ht="18.75" customHeight="1" x14ac:dyDescent="0.15">
      <c r="A32" s="15"/>
      <c r="B32" s="327"/>
      <c r="C32" s="328"/>
      <c r="D32" s="328"/>
      <c r="E32" s="328"/>
      <c r="F32" s="328"/>
      <c r="G32" s="328"/>
      <c r="H32" s="328"/>
      <c r="I32" s="329"/>
    </row>
    <row r="33" spans="1:9" ht="7.5" customHeight="1" x14ac:dyDescent="0.15">
      <c r="A33" s="15"/>
      <c r="B33" s="15"/>
      <c r="C33" s="15"/>
      <c r="D33" s="15"/>
      <c r="E33" s="15"/>
      <c r="F33" s="15"/>
      <c r="G33" s="15"/>
      <c r="H33" s="15"/>
      <c r="I33" s="15"/>
    </row>
    <row r="34" spans="1:9" ht="18.75" customHeight="1" x14ac:dyDescent="0.15">
      <c r="A34" s="16" t="s">
        <v>148</v>
      </c>
      <c r="B34" s="16" t="s">
        <v>149</v>
      </c>
      <c r="C34" s="10"/>
      <c r="D34" s="16"/>
      <c r="E34" s="16"/>
      <c r="F34" s="16"/>
      <c r="G34" s="16"/>
      <c r="H34" s="16"/>
      <c r="I34" s="16"/>
    </row>
    <row r="35" spans="1:9" ht="18.75" customHeight="1" x14ac:dyDescent="0.15">
      <c r="A35" s="15"/>
      <c r="B35" s="330" t="s">
        <v>204</v>
      </c>
      <c r="C35" s="331"/>
      <c r="D35" s="331"/>
      <c r="E35" s="331"/>
      <c r="F35" s="331"/>
      <c r="G35" s="331"/>
      <c r="H35" s="331"/>
      <c r="I35" s="332"/>
    </row>
    <row r="36" spans="1:9" ht="18.75" customHeight="1" x14ac:dyDescent="0.15">
      <c r="A36" s="15"/>
      <c r="B36" s="333"/>
      <c r="C36" s="334"/>
      <c r="D36" s="334"/>
      <c r="E36" s="334"/>
      <c r="F36" s="334"/>
      <c r="G36" s="334"/>
      <c r="H36" s="334"/>
      <c r="I36" s="335"/>
    </row>
    <row r="37" spans="1:9" ht="18.75" customHeight="1" x14ac:dyDescent="0.15">
      <c r="A37" s="15"/>
      <c r="B37" s="333"/>
      <c r="C37" s="334"/>
      <c r="D37" s="334"/>
      <c r="E37" s="334"/>
      <c r="F37" s="334"/>
      <c r="G37" s="334"/>
      <c r="H37" s="334"/>
      <c r="I37" s="335"/>
    </row>
    <row r="38" spans="1:9" ht="18.75" customHeight="1" x14ac:dyDescent="0.15">
      <c r="A38" s="15"/>
      <c r="B38" s="333"/>
      <c r="C38" s="334"/>
      <c r="D38" s="334"/>
      <c r="E38" s="334"/>
      <c r="F38" s="334"/>
      <c r="G38" s="334"/>
      <c r="H38" s="334"/>
      <c r="I38" s="335"/>
    </row>
    <row r="39" spans="1:9" ht="18.75" customHeight="1" x14ac:dyDescent="0.15">
      <c r="A39" s="15"/>
      <c r="B39" s="333"/>
      <c r="C39" s="334"/>
      <c r="D39" s="334"/>
      <c r="E39" s="334"/>
      <c r="F39" s="334"/>
      <c r="G39" s="334"/>
      <c r="H39" s="334"/>
      <c r="I39" s="335"/>
    </row>
    <row r="40" spans="1:9" ht="18.75" customHeight="1" x14ac:dyDescent="0.15">
      <c r="A40" s="15"/>
      <c r="B40" s="333"/>
      <c r="C40" s="334"/>
      <c r="D40" s="334"/>
      <c r="E40" s="334"/>
      <c r="F40" s="334"/>
      <c r="G40" s="334"/>
      <c r="H40" s="334"/>
      <c r="I40" s="335"/>
    </row>
    <row r="41" spans="1:9" ht="18.75" customHeight="1" x14ac:dyDescent="0.15">
      <c r="A41" s="15"/>
      <c r="B41" s="333"/>
      <c r="C41" s="334"/>
      <c r="D41" s="334"/>
      <c r="E41" s="334"/>
      <c r="F41" s="334"/>
      <c r="G41" s="334"/>
      <c r="H41" s="334"/>
      <c r="I41" s="335"/>
    </row>
    <row r="42" spans="1:9" ht="18.75" customHeight="1" x14ac:dyDescent="0.15">
      <c r="A42" s="15"/>
      <c r="B42" s="333"/>
      <c r="C42" s="334"/>
      <c r="D42" s="334"/>
      <c r="E42" s="334"/>
      <c r="F42" s="334"/>
      <c r="G42" s="334"/>
      <c r="H42" s="334"/>
      <c r="I42" s="335"/>
    </row>
    <row r="43" spans="1:9" ht="18.75" customHeight="1" x14ac:dyDescent="0.15">
      <c r="A43" s="15"/>
      <c r="B43" s="333"/>
      <c r="C43" s="334"/>
      <c r="D43" s="334"/>
      <c r="E43" s="334"/>
      <c r="F43" s="334"/>
      <c r="G43" s="334"/>
      <c r="H43" s="334"/>
      <c r="I43" s="335"/>
    </row>
    <row r="44" spans="1:9" ht="18.75" customHeight="1" x14ac:dyDescent="0.15">
      <c r="A44" s="15"/>
      <c r="B44" s="333"/>
      <c r="C44" s="334"/>
      <c r="D44" s="334"/>
      <c r="E44" s="334"/>
      <c r="F44" s="334"/>
      <c r="G44" s="334"/>
      <c r="H44" s="334"/>
      <c r="I44" s="335"/>
    </row>
    <row r="45" spans="1:9" ht="18.75" customHeight="1" x14ac:dyDescent="0.15">
      <c r="A45" s="15"/>
      <c r="B45" s="333"/>
      <c r="C45" s="334"/>
      <c r="D45" s="334"/>
      <c r="E45" s="334"/>
      <c r="F45" s="334"/>
      <c r="G45" s="334"/>
      <c r="H45" s="334"/>
      <c r="I45" s="335"/>
    </row>
    <row r="46" spans="1:9" ht="18.75" customHeight="1" x14ac:dyDescent="0.15">
      <c r="A46" s="15"/>
      <c r="B46" s="336"/>
      <c r="C46" s="337"/>
      <c r="D46" s="337"/>
      <c r="E46" s="337"/>
      <c r="F46" s="337"/>
      <c r="G46" s="337"/>
      <c r="H46" s="337"/>
      <c r="I46" s="338"/>
    </row>
    <row r="47" spans="1:9" ht="7.5" customHeight="1" x14ac:dyDescent="0.15">
      <c r="A47" s="4"/>
      <c r="B47" s="4"/>
      <c r="C47" s="4"/>
      <c r="D47" s="4"/>
      <c r="E47" s="4"/>
      <c r="F47" s="4"/>
      <c r="G47" s="4"/>
      <c r="H47" s="4"/>
      <c r="I47" s="4"/>
    </row>
    <row r="48" spans="1:9" ht="18.75" customHeight="1" x14ac:dyDescent="0.15">
      <c r="A48" s="1" t="s">
        <v>150</v>
      </c>
      <c r="B48" s="1" t="s">
        <v>151</v>
      </c>
    </row>
    <row r="49" spans="1:15" s="3" customFormat="1" ht="18.75" customHeight="1" x14ac:dyDescent="0.15">
      <c r="B49" s="43" t="s">
        <v>152</v>
      </c>
      <c r="C49" s="366">
        <f>'様式２ 履修者等数の実績'!AQ32</f>
        <v>4.8611111111111112E-2</v>
      </c>
      <c r="D49" s="366"/>
      <c r="E49" s="43" t="s">
        <v>153</v>
      </c>
      <c r="F49" s="366">
        <v>0.06</v>
      </c>
      <c r="G49" s="366"/>
      <c r="H49" s="43" t="s">
        <v>154</v>
      </c>
      <c r="I49" s="111">
        <v>7.0000000000000007E-2</v>
      </c>
      <c r="J49" s="1"/>
      <c r="M49" s="1"/>
      <c r="N49" s="44"/>
    </row>
    <row r="50" spans="1:15" s="3" customFormat="1" ht="18.75" customHeight="1" x14ac:dyDescent="0.15">
      <c r="B50" s="45" t="s">
        <v>155</v>
      </c>
      <c r="C50" s="348">
        <v>0.08</v>
      </c>
      <c r="D50" s="348"/>
      <c r="E50" s="45" t="s">
        <v>156</v>
      </c>
      <c r="F50" s="348">
        <v>0.09</v>
      </c>
      <c r="G50" s="348"/>
      <c r="H50" s="45" t="s">
        <v>157</v>
      </c>
      <c r="I50" s="46">
        <f>'様式２ 履修者等数の実績'!E32</f>
        <v>2880</v>
      </c>
      <c r="J50" s="1"/>
      <c r="M50" s="1"/>
      <c r="N50" s="44"/>
    </row>
    <row r="51" spans="1:15" ht="18.75" customHeight="1" x14ac:dyDescent="0.15">
      <c r="A51" s="1"/>
      <c r="B51" s="339" t="s">
        <v>158</v>
      </c>
      <c r="C51" s="340"/>
      <c r="D51" s="340"/>
      <c r="E51" s="340"/>
      <c r="F51" s="340"/>
      <c r="G51" s="340"/>
      <c r="H51" s="340"/>
      <c r="I51" s="341"/>
      <c r="N51" s="44"/>
      <c r="O51" s="3"/>
    </row>
    <row r="52" spans="1:15" ht="24" customHeight="1" x14ac:dyDescent="0.15">
      <c r="A52" s="1"/>
      <c r="B52" s="367" t="s">
        <v>206</v>
      </c>
      <c r="C52" s="368"/>
      <c r="D52" s="368"/>
      <c r="E52" s="368"/>
      <c r="F52" s="368"/>
      <c r="G52" s="368"/>
      <c r="H52" s="368"/>
      <c r="I52" s="369"/>
      <c r="K52" s="112"/>
      <c r="N52" s="44"/>
      <c r="O52" s="3"/>
    </row>
    <row r="53" spans="1:15" ht="24" customHeight="1" x14ac:dyDescent="0.15">
      <c r="A53" s="1"/>
      <c r="B53" s="370"/>
      <c r="C53" s="371"/>
      <c r="D53" s="371"/>
      <c r="E53" s="371"/>
      <c r="F53" s="371"/>
      <c r="G53" s="371"/>
      <c r="H53" s="371"/>
      <c r="I53" s="372"/>
      <c r="N53" s="44"/>
      <c r="O53" s="3"/>
    </row>
    <row r="54" spans="1:15" ht="24" customHeight="1" x14ac:dyDescent="0.15">
      <c r="A54" s="1"/>
      <c r="B54" s="370"/>
      <c r="C54" s="371"/>
      <c r="D54" s="371"/>
      <c r="E54" s="371"/>
      <c r="F54" s="371"/>
      <c r="G54" s="371"/>
      <c r="H54" s="371"/>
      <c r="I54" s="372"/>
      <c r="K54" s="112"/>
    </row>
    <row r="55" spans="1:15" ht="24" customHeight="1" x14ac:dyDescent="0.15">
      <c r="A55" s="1"/>
      <c r="B55" s="370"/>
      <c r="C55" s="371"/>
      <c r="D55" s="371"/>
      <c r="E55" s="371"/>
      <c r="F55" s="371"/>
      <c r="G55" s="371"/>
      <c r="H55" s="371"/>
      <c r="I55" s="372"/>
    </row>
    <row r="56" spans="1:15" ht="24" customHeight="1" x14ac:dyDescent="0.15">
      <c r="A56" s="1"/>
      <c r="B56" s="370"/>
      <c r="C56" s="371"/>
      <c r="D56" s="371"/>
      <c r="E56" s="371"/>
      <c r="F56" s="371"/>
      <c r="G56" s="371"/>
      <c r="H56" s="371"/>
      <c r="I56" s="372"/>
    </row>
    <row r="57" spans="1:15" ht="24" customHeight="1" x14ac:dyDescent="0.15">
      <c r="A57" s="1"/>
      <c r="B57" s="370"/>
      <c r="C57" s="371"/>
      <c r="D57" s="371"/>
      <c r="E57" s="371"/>
      <c r="F57" s="371"/>
      <c r="G57" s="371"/>
      <c r="H57" s="371"/>
      <c r="I57" s="372"/>
    </row>
    <row r="58" spans="1:15" ht="24" customHeight="1" x14ac:dyDescent="0.15">
      <c r="A58" s="1"/>
      <c r="B58" s="370"/>
      <c r="C58" s="371"/>
      <c r="D58" s="371"/>
      <c r="E58" s="371"/>
      <c r="F58" s="371"/>
      <c r="G58" s="371"/>
      <c r="H58" s="371"/>
      <c r="I58" s="372"/>
    </row>
    <row r="59" spans="1:15" ht="24" customHeight="1" x14ac:dyDescent="0.15">
      <c r="A59" s="1"/>
      <c r="B59" s="370"/>
      <c r="C59" s="371"/>
      <c r="D59" s="371"/>
      <c r="E59" s="371"/>
      <c r="F59" s="371"/>
      <c r="G59" s="371"/>
      <c r="H59" s="371"/>
      <c r="I59" s="372"/>
    </row>
    <row r="60" spans="1:15" ht="24" customHeight="1" x14ac:dyDescent="0.15">
      <c r="A60" s="1"/>
      <c r="B60" s="370"/>
      <c r="C60" s="371"/>
      <c r="D60" s="371"/>
      <c r="E60" s="371"/>
      <c r="F60" s="371"/>
      <c r="G60" s="371"/>
      <c r="H60" s="371"/>
      <c r="I60" s="372"/>
    </row>
    <row r="61" spans="1:15" ht="24" customHeight="1" x14ac:dyDescent="0.15">
      <c r="A61" s="1"/>
      <c r="B61" s="370"/>
      <c r="C61" s="371"/>
      <c r="D61" s="371"/>
      <c r="E61" s="371"/>
      <c r="F61" s="371"/>
      <c r="G61" s="371"/>
      <c r="H61" s="371"/>
      <c r="I61" s="372"/>
    </row>
    <row r="62" spans="1:15" ht="24" customHeight="1" x14ac:dyDescent="0.15">
      <c r="A62" s="1"/>
      <c r="B62" s="370"/>
      <c r="C62" s="371"/>
      <c r="D62" s="371"/>
      <c r="E62" s="371"/>
      <c r="F62" s="371"/>
      <c r="G62" s="371"/>
      <c r="H62" s="371"/>
      <c r="I62" s="372"/>
    </row>
    <row r="63" spans="1:15" ht="24" customHeight="1" x14ac:dyDescent="0.15">
      <c r="A63" s="1"/>
      <c r="B63" s="373"/>
      <c r="C63" s="374"/>
      <c r="D63" s="374"/>
      <c r="E63" s="374"/>
      <c r="F63" s="374"/>
      <c r="G63" s="374"/>
      <c r="H63" s="374"/>
      <c r="I63" s="375"/>
    </row>
    <row r="64" spans="1:15" ht="7.5" customHeight="1" x14ac:dyDescent="0.15">
      <c r="A64" s="15"/>
      <c r="B64" s="15"/>
      <c r="C64" s="15"/>
      <c r="D64" s="15"/>
      <c r="E64" s="15"/>
      <c r="F64" s="15"/>
      <c r="G64" s="15"/>
      <c r="H64" s="15"/>
      <c r="I64" s="15"/>
    </row>
    <row r="65" spans="1:9" ht="18.75" customHeight="1" x14ac:dyDescent="0.15">
      <c r="A65" s="16" t="s">
        <v>159</v>
      </c>
      <c r="B65" s="1" t="s">
        <v>160</v>
      </c>
      <c r="I65" s="16"/>
    </row>
    <row r="66" spans="1:9" ht="18.75" customHeight="1" x14ac:dyDescent="0.15">
      <c r="A66" s="4"/>
      <c r="B66" s="349" t="s">
        <v>161</v>
      </c>
      <c r="C66" s="350"/>
      <c r="D66" s="350"/>
      <c r="E66" s="350"/>
      <c r="F66" s="350"/>
      <c r="G66" s="350"/>
      <c r="H66" s="350"/>
      <c r="I66" s="351"/>
    </row>
    <row r="67" spans="1:9" ht="18.75" customHeight="1" x14ac:dyDescent="0.15">
      <c r="A67" s="4"/>
      <c r="B67" s="352"/>
      <c r="C67" s="353"/>
      <c r="D67" s="353"/>
      <c r="E67" s="353"/>
      <c r="F67" s="353"/>
      <c r="G67" s="353"/>
      <c r="H67" s="353"/>
      <c r="I67" s="354"/>
    </row>
    <row r="68" spans="1:9" ht="18.75" customHeight="1" x14ac:dyDescent="0.15">
      <c r="A68" s="4"/>
      <c r="B68" s="352"/>
      <c r="C68" s="353"/>
      <c r="D68" s="353"/>
      <c r="E68" s="353"/>
      <c r="F68" s="353"/>
      <c r="G68" s="353"/>
      <c r="H68" s="353"/>
      <c r="I68" s="354"/>
    </row>
    <row r="69" spans="1:9" ht="18.75" customHeight="1" x14ac:dyDescent="0.15">
      <c r="A69" s="4"/>
      <c r="B69" s="352"/>
      <c r="C69" s="353"/>
      <c r="D69" s="353"/>
      <c r="E69" s="353"/>
      <c r="F69" s="353"/>
      <c r="G69" s="353"/>
      <c r="H69" s="353"/>
      <c r="I69" s="354"/>
    </row>
    <row r="70" spans="1:9" ht="18.75" customHeight="1" x14ac:dyDescent="0.15">
      <c r="A70" s="4"/>
      <c r="B70" s="352"/>
      <c r="C70" s="353"/>
      <c r="D70" s="353"/>
      <c r="E70" s="353"/>
      <c r="F70" s="353"/>
      <c r="G70" s="353"/>
      <c r="H70" s="353"/>
      <c r="I70" s="354"/>
    </row>
    <row r="71" spans="1:9" ht="18.75" customHeight="1" x14ac:dyDescent="0.15">
      <c r="A71" s="4"/>
      <c r="B71" s="352"/>
      <c r="C71" s="353"/>
      <c r="D71" s="353"/>
      <c r="E71" s="353"/>
      <c r="F71" s="353"/>
      <c r="G71" s="353"/>
      <c r="H71" s="353"/>
      <c r="I71" s="354"/>
    </row>
    <row r="72" spans="1:9" ht="18.75" customHeight="1" x14ac:dyDescent="0.15">
      <c r="A72" s="4"/>
      <c r="B72" s="352"/>
      <c r="C72" s="353"/>
      <c r="D72" s="353"/>
      <c r="E72" s="353"/>
      <c r="F72" s="353"/>
      <c r="G72" s="353"/>
      <c r="H72" s="353"/>
      <c r="I72" s="354"/>
    </row>
    <row r="73" spans="1:9" ht="18.75" customHeight="1" x14ac:dyDescent="0.15">
      <c r="A73" s="4"/>
      <c r="B73" s="352"/>
      <c r="C73" s="353"/>
      <c r="D73" s="353"/>
      <c r="E73" s="353"/>
      <c r="F73" s="353"/>
      <c r="G73" s="353"/>
      <c r="H73" s="353"/>
      <c r="I73" s="354"/>
    </row>
    <row r="74" spans="1:9" ht="18.75" customHeight="1" x14ac:dyDescent="0.15">
      <c r="A74" s="4"/>
      <c r="B74" s="355"/>
      <c r="C74" s="356"/>
      <c r="D74" s="356"/>
      <c r="E74" s="356"/>
      <c r="F74" s="356"/>
      <c r="G74" s="356"/>
      <c r="H74" s="356"/>
      <c r="I74" s="357"/>
    </row>
    <row r="75" spans="1:9" ht="7.5" customHeight="1" x14ac:dyDescent="0.15">
      <c r="A75" s="4"/>
      <c r="B75" s="4"/>
      <c r="C75" s="4"/>
      <c r="D75" s="4"/>
      <c r="E75" s="4"/>
      <c r="F75" s="4"/>
      <c r="G75" s="4"/>
      <c r="H75" s="4"/>
      <c r="I75" s="4"/>
    </row>
    <row r="76" spans="1:9" ht="18.75" customHeight="1" x14ac:dyDescent="0.15">
      <c r="A76" s="1" t="s">
        <v>162</v>
      </c>
      <c r="B76" s="1" t="s">
        <v>163</v>
      </c>
    </row>
    <row r="77" spans="1:9" ht="18.75" customHeight="1" x14ac:dyDescent="0.15">
      <c r="A77" s="1"/>
      <c r="B77" s="349" t="s">
        <v>164</v>
      </c>
      <c r="C77" s="358"/>
      <c r="D77" s="358"/>
      <c r="E77" s="358"/>
      <c r="F77" s="358"/>
      <c r="G77" s="358"/>
      <c r="H77" s="358"/>
      <c r="I77" s="359"/>
    </row>
    <row r="78" spans="1:9" ht="18.75" customHeight="1" x14ac:dyDescent="0.15">
      <c r="A78" s="1"/>
      <c r="B78" s="360"/>
      <c r="C78" s="361"/>
      <c r="D78" s="361"/>
      <c r="E78" s="361"/>
      <c r="F78" s="361"/>
      <c r="G78" s="361"/>
      <c r="H78" s="361"/>
      <c r="I78" s="362"/>
    </row>
    <row r="79" spans="1:9" ht="18.75" customHeight="1" x14ac:dyDescent="0.15">
      <c r="A79" s="1"/>
      <c r="B79" s="360"/>
      <c r="C79" s="361"/>
      <c r="D79" s="361"/>
      <c r="E79" s="361"/>
      <c r="F79" s="361"/>
      <c r="G79" s="361"/>
      <c r="H79" s="361"/>
      <c r="I79" s="362"/>
    </row>
    <row r="80" spans="1:9" ht="18.75" customHeight="1" x14ac:dyDescent="0.15">
      <c r="A80" s="1"/>
      <c r="B80" s="360"/>
      <c r="C80" s="361"/>
      <c r="D80" s="361"/>
      <c r="E80" s="361"/>
      <c r="F80" s="361"/>
      <c r="G80" s="361"/>
      <c r="H80" s="361"/>
      <c r="I80" s="362"/>
    </row>
    <row r="81" spans="1:9" ht="18.75" customHeight="1" x14ac:dyDescent="0.15">
      <c r="A81" s="1"/>
      <c r="B81" s="360"/>
      <c r="C81" s="361"/>
      <c r="D81" s="361"/>
      <c r="E81" s="361"/>
      <c r="F81" s="361"/>
      <c r="G81" s="361"/>
      <c r="H81" s="361"/>
      <c r="I81" s="362"/>
    </row>
    <row r="82" spans="1:9" ht="18.75" customHeight="1" x14ac:dyDescent="0.15">
      <c r="A82" s="1"/>
      <c r="B82" s="360"/>
      <c r="C82" s="361"/>
      <c r="D82" s="361"/>
      <c r="E82" s="361"/>
      <c r="F82" s="361"/>
      <c r="G82" s="361"/>
      <c r="H82" s="361"/>
      <c r="I82" s="362"/>
    </row>
    <row r="83" spans="1:9" ht="18.75" customHeight="1" x14ac:dyDescent="0.15">
      <c r="A83" s="1"/>
      <c r="B83" s="360"/>
      <c r="C83" s="361"/>
      <c r="D83" s="361"/>
      <c r="E83" s="361"/>
      <c r="F83" s="361"/>
      <c r="G83" s="361"/>
      <c r="H83" s="361"/>
      <c r="I83" s="362"/>
    </row>
    <row r="84" spans="1:9" ht="18.75" customHeight="1" x14ac:dyDescent="0.15">
      <c r="A84" s="1"/>
      <c r="B84" s="360"/>
      <c r="C84" s="361"/>
      <c r="D84" s="361"/>
      <c r="E84" s="361"/>
      <c r="F84" s="361"/>
      <c r="G84" s="361"/>
      <c r="H84" s="361"/>
      <c r="I84" s="362"/>
    </row>
    <row r="85" spans="1:9" ht="18.75" customHeight="1" x14ac:dyDescent="0.15">
      <c r="A85" s="4"/>
      <c r="B85" s="360"/>
      <c r="C85" s="361"/>
      <c r="D85" s="361"/>
      <c r="E85" s="361"/>
      <c r="F85" s="361"/>
      <c r="G85" s="361"/>
      <c r="H85" s="361"/>
      <c r="I85" s="362"/>
    </row>
    <row r="86" spans="1:9" ht="18.75" customHeight="1" x14ac:dyDescent="0.15">
      <c r="A86" s="4"/>
      <c r="B86" s="363"/>
      <c r="C86" s="364"/>
      <c r="D86" s="364"/>
      <c r="E86" s="364"/>
      <c r="F86" s="364"/>
      <c r="G86" s="364"/>
      <c r="H86" s="364"/>
      <c r="I86" s="365"/>
    </row>
    <row r="87" spans="1:9" ht="7.5" customHeight="1" x14ac:dyDescent="0.15">
      <c r="A87" s="4"/>
      <c r="B87" s="4"/>
      <c r="C87" s="4"/>
      <c r="D87" s="4"/>
      <c r="E87" s="4"/>
      <c r="F87" s="4"/>
      <c r="G87" s="4"/>
      <c r="H87" s="4"/>
      <c r="I87" s="4"/>
    </row>
    <row r="88" spans="1:9" ht="18.75" customHeight="1" x14ac:dyDescent="0.15">
      <c r="A88" s="1" t="s">
        <v>165</v>
      </c>
      <c r="B88" s="1" t="s">
        <v>166</v>
      </c>
    </row>
    <row r="89" spans="1:9" ht="18.75" customHeight="1" x14ac:dyDescent="0.15">
      <c r="A89" s="1"/>
      <c r="B89" s="310" t="s">
        <v>167</v>
      </c>
      <c r="C89" s="311"/>
      <c r="D89" s="311"/>
      <c r="E89" s="311"/>
      <c r="F89" s="311"/>
      <c r="G89" s="311"/>
      <c r="H89" s="311"/>
      <c r="I89" s="312"/>
    </row>
    <row r="90" spans="1:9" ht="18.75" customHeight="1" x14ac:dyDescent="0.15">
      <c r="A90" s="1"/>
      <c r="B90" s="313"/>
      <c r="C90" s="314"/>
      <c r="D90" s="314"/>
      <c r="E90" s="314"/>
      <c r="F90" s="314"/>
      <c r="G90" s="314"/>
      <c r="H90" s="314"/>
      <c r="I90" s="315"/>
    </row>
    <row r="91" spans="1:9" ht="18.75" customHeight="1" x14ac:dyDescent="0.15">
      <c r="A91" s="1"/>
      <c r="B91" s="313"/>
      <c r="C91" s="314"/>
      <c r="D91" s="314"/>
      <c r="E91" s="314"/>
      <c r="F91" s="314"/>
      <c r="G91" s="314"/>
      <c r="H91" s="314"/>
      <c r="I91" s="315"/>
    </row>
    <row r="92" spans="1:9" ht="18.75" customHeight="1" x14ac:dyDescent="0.15">
      <c r="A92" s="1"/>
      <c r="B92" s="313"/>
      <c r="C92" s="314"/>
      <c r="D92" s="314"/>
      <c r="E92" s="314"/>
      <c r="F92" s="314"/>
      <c r="G92" s="314"/>
      <c r="H92" s="314"/>
      <c r="I92" s="315"/>
    </row>
    <row r="93" spans="1:9" ht="18.75" customHeight="1" x14ac:dyDescent="0.15">
      <c r="A93" s="1"/>
      <c r="B93" s="313"/>
      <c r="C93" s="314"/>
      <c r="D93" s="314"/>
      <c r="E93" s="314"/>
      <c r="F93" s="314"/>
      <c r="G93" s="314"/>
      <c r="H93" s="314"/>
      <c r="I93" s="315"/>
    </row>
    <row r="94" spans="1:9" ht="18.75" customHeight="1" x14ac:dyDescent="0.15">
      <c r="A94" s="1"/>
      <c r="B94" s="313"/>
      <c r="C94" s="314"/>
      <c r="D94" s="314"/>
      <c r="E94" s="314"/>
      <c r="F94" s="314"/>
      <c r="G94" s="314"/>
      <c r="H94" s="314"/>
      <c r="I94" s="315"/>
    </row>
    <row r="95" spans="1:9" ht="18.75" customHeight="1" x14ac:dyDescent="0.15">
      <c r="A95" s="1"/>
      <c r="B95" s="313"/>
      <c r="C95" s="314"/>
      <c r="D95" s="314"/>
      <c r="E95" s="314"/>
      <c r="F95" s="314"/>
      <c r="G95" s="314"/>
      <c r="H95" s="314"/>
      <c r="I95" s="315"/>
    </row>
    <row r="96" spans="1:9" ht="18.75" customHeight="1" x14ac:dyDescent="0.15">
      <c r="A96" s="1"/>
      <c r="B96" s="313"/>
      <c r="C96" s="314"/>
      <c r="D96" s="314"/>
      <c r="E96" s="314"/>
      <c r="F96" s="314"/>
      <c r="G96" s="314"/>
      <c r="H96" s="314"/>
      <c r="I96" s="315"/>
    </row>
    <row r="97" spans="1:9" ht="18.75" customHeight="1" x14ac:dyDescent="0.15">
      <c r="A97" s="1"/>
      <c r="B97" s="313"/>
      <c r="C97" s="314"/>
      <c r="D97" s="314"/>
      <c r="E97" s="314"/>
      <c r="F97" s="314"/>
      <c r="G97" s="314"/>
      <c r="H97" s="314"/>
      <c r="I97" s="315"/>
    </row>
    <row r="98" spans="1:9" ht="18.75" customHeight="1" x14ac:dyDescent="0.15">
      <c r="A98" s="1"/>
      <c r="B98" s="313"/>
      <c r="C98" s="314"/>
      <c r="D98" s="314"/>
      <c r="E98" s="314"/>
      <c r="F98" s="314"/>
      <c r="G98" s="314"/>
      <c r="H98" s="314"/>
      <c r="I98" s="315"/>
    </row>
    <row r="99" spans="1:9" ht="18.75" customHeight="1" x14ac:dyDescent="0.15">
      <c r="A99" s="1"/>
      <c r="B99" s="313"/>
      <c r="C99" s="314"/>
      <c r="D99" s="314"/>
      <c r="E99" s="314"/>
      <c r="F99" s="314"/>
      <c r="G99" s="314"/>
      <c r="H99" s="314"/>
      <c r="I99" s="315"/>
    </row>
    <row r="100" spans="1:9" ht="18.75" customHeight="1" x14ac:dyDescent="0.15">
      <c r="A100" s="4"/>
      <c r="B100" s="316"/>
      <c r="C100" s="317"/>
      <c r="D100" s="317"/>
      <c r="E100" s="317"/>
      <c r="F100" s="317"/>
      <c r="G100" s="317"/>
      <c r="H100" s="317"/>
      <c r="I100" s="318"/>
    </row>
    <row r="101" spans="1:9" ht="7.5" customHeight="1" x14ac:dyDescent="0.15">
      <c r="A101" s="4"/>
      <c r="B101" s="4"/>
      <c r="C101" s="4"/>
      <c r="D101" s="4"/>
      <c r="E101" s="4"/>
      <c r="F101" s="4"/>
      <c r="G101" s="4"/>
      <c r="H101" s="4"/>
      <c r="I101" s="4"/>
    </row>
    <row r="102" spans="1:9" ht="18.75" customHeight="1" x14ac:dyDescent="0.15">
      <c r="A102" s="1" t="s">
        <v>168</v>
      </c>
      <c r="B102" s="319" t="s">
        <v>169</v>
      </c>
      <c r="C102" s="319"/>
      <c r="D102" s="319"/>
      <c r="E102" s="319"/>
      <c r="F102" s="319"/>
      <c r="G102" s="319"/>
      <c r="H102" s="319"/>
      <c r="I102" s="319"/>
    </row>
    <row r="103" spans="1:9" ht="18.75" customHeight="1" x14ac:dyDescent="0.15">
      <c r="A103" s="4"/>
      <c r="B103" s="310" t="s">
        <v>170</v>
      </c>
      <c r="C103" s="311"/>
      <c r="D103" s="311"/>
      <c r="E103" s="311"/>
      <c r="F103" s="311"/>
      <c r="G103" s="311"/>
      <c r="H103" s="311"/>
      <c r="I103" s="312"/>
    </row>
    <row r="104" spans="1:9" ht="18.75" customHeight="1" x14ac:dyDescent="0.15">
      <c r="A104" s="4"/>
      <c r="B104" s="313"/>
      <c r="C104" s="314"/>
      <c r="D104" s="314"/>
      <c r="E104" s="314"/>
      <c r="F104" s="314"/>
      <c r="G104" s="314"/>
      <c r="H104" s="314"/>
      <c r="I104" s="315"/>
    </row>
    <row r="105" spans="1:9" ht="18.75" customHeight="1" x14ac:dyDescent="0.15">
      <c r="A105" s="4"/>
      <c r="B105" s="313"/>
      <c r="C105" s="314"/>
      <c r="D105" s="314"/>
      <c r="E105" s="314"/>
      <c r="F105" s="314"/>
      <c r="G105" s="314"/>
      <c r="H105" s="314"/>
      <c r="I105" s="315"/>
    </row>
    <row r="106" spans="1:9" ht="18.75" customHeight="1" x14ac:dyDescent="0.15">
      <c r="A106" s="4"/>
      <c r="B106" s="313"/>
      <c r="C106" s="314"/>
      <c r="D106" s="314"/>
      <c r="E106" s="314"/>
      <c r="F106" s="314"/>
      <c r="G106" s="314"/>
      <c r="H106" s="314"/>
      <c r="I106" s="315"/>
    </row>
    <row r="107" spans="1:9" ht="18.75" customHeight="1" x14ac:dyDescent="0.15">
      <c r="A107" s="4"/>
      <c r="B107" s="313"/>
      <c r="C107" s="314"/>
      <c r="D107" s="314"/>
      <c r="E107" s="314"/>
      <c r="F107" s="314"/>
      <c r="G107" s="314"/>
      <c r="H107" s="314"/>
      <c r="I107" s="315"/>
    </row>
    <row r="108" spans="1:9" ht="18.75" customHeight="1" x14ac:dyDescent="0.15">
      <c r="A108" s="4"/>
      <c r="B108" s="313"/>
      <c r="C108" s="314"/>
      <c r="D108" s="314"/>
      <c r="E108" s="314"/>
      <c r="F108" s="314"/>
      <c r="G108" s="314"/>
      <c r="H108" s="314"/>
      <c r="I108" s="315"/>
    </row>
    <row r="109" spans="1:9" ht="18.75" customHeight="1" x14ac:dyDescent="0.15">
      <c r="A109" s="4"/>
      <c r="B109" s="313"/>
      <c r="C109" s="314"/>
      <c r="D109" s="314"/>
      <c r="E109" s="314"/>
      <c r="F109" s="314"/>
      <c r="G109" s="314"/>
      <c r="H109" s="314"/>
      <c r="I109" s="315"/>
    </row>
    <row r="110" spans="1:9" ht="18.75" customHeight="1" x14ac:dyDescent="0.15">
      <c r="A110" s="4"/>
      <c r="B110" s="313"/>
      <c r="C110" s="314"/>
      <c r="D110" s="314"/>
      <c r="E110" s="314"/>
      <c r="F110" s="314"/>
      <c r="G110" s="314"/>
      <c r="H110" s="314"/>
      <c r="I110" s="315"/>
    </row>
    <row r="111" spans="1:9" ht="18.75" customHeight="1" x14ac:dyDescent="0.15">
      <c r="A111" s="4"/>
      <c r="B111" s="313"/>
      <c r="C111" s="314"/>
      <c r="D111" s="314"/>
      <c r="E111" s="314"/>
      <c r="F111" s="314"/>
      <c r="G111" s="314"/>
      <c r="H111" s="314"/>
      <c r="I111" s="315"/>
    </row>
    <row r="112" spans="1:9" ht="18.75" customHeight="1" x14ac:dyDescent="0.15">
      <c r="A112" s="4"/>
      <c r="B112" s="313"/>
      <c r="C112" s="314"/>
      <c r="D112" s="314"/>
      <c r="E112" s="314"/>
      <c r="F112" s="314"/>
      <c r="G112" s="314"/>
      <c r="H112" s="314"/>
      <c r="I112" s="315"/>
    </row>
    <row r="113" spans="1:9" ht="18.75" customHeight="1" x14ac:dyDescent="0.15">
      <c r="A113" s="4"/>
      <c r="B113" s="313"/>
      <c r="C113" s="314"/>
      <c r="D113" s="314"/>
      <c r="E113" s="314"/>
      <c r="F113" s="314"/>
      <c r="G113" s="314"/>
      <c r="H113" s="314"/>
      <c r="I113" s="315"/>
    </row>
    <row r="114" spans="1:9" ht="18.75" customHeight="1" x14ac:dyDescent="0.15">
      <c r="A114" s="4"/>
      <c r="B114" s="316"/>
      <c r="C114" s="317"/>
      <c r="D114" s="317"/>
      <c r="E114" s="317"/>
      <c r="F114" s="317"/>
      <c r="G114" s="317"/>
      <c r="H114" s="317"/>
      <c r="I114" s="318"/>
    </row>
    <row r="115" spans="1:9" ht="7.5" customHeight="1" x14ac:dyDescent="0.15">
      <c r="A115" s="4"/>
      <c r="B115" s="47"/>
      <c r="C115" s="47"/>
      <c r="D115" s="47"/>
      <c r="E115" s="47"/>
      <c r="F115" s="47"/>
      <c r="G115" s="47"/>
      <c r="H115" s="47"/>
      <c r="I115" s="47"/>
    </row>
    <row r="116" spans="1:9" ht="18.75" customHeight="1" x14ac:dyDescent="0.15">
      <c r="A116" s="4"/>
      <c r="B116" s="4"/>
      <c r="C116" s="4"/>
      <c r="D116" s="4"/>
      <c r="E116" s="4"/>
      <c r="F116" s="4"/>
      <c r="G116" s="4"/>
      <c r="H116" s="4"/>
      <c r="I116" s="4"/>
    </row>
    <row r="117" spans="1:9" ht="18.75" customHeight="1" x14ac:dyDescent="0.15">
      <c r="A117" s="4"/>
      <c r="B117" s="4"/>
      <c r="C117" s="4"/>
      <c r="D117" s="4"/>
      <c r="E117" s="4"/>
      <c r="F117" s="4"/>
      <c r="G117" s="4"/>
      <c r="H117" s="4"/>
      <c r="I117" s="4"/>
    </row>
    <row r="118" spans="1:9" ht="18.75" customHeight="1" x14ac:dyDescent="0.15">
      <c r="A118" s="4"/>
      <c r="B118" s="4"/>
      <c r="C118" s="4"/>
      <c r="D118" s="4"/>
      <c r="E118" s="4"/>
      <c r="F118" s="4"/>
      <c r="G118" s="4"/>
      <c r="H118" s="4"/>
      <c r="I118" s="4"/>
    </row>
    <row r="119" spans="1:9" ht="18.75" customHeight="1" x14ac:dyDescent="0.15">
      <c r="A119" s="4"/>
      <c r="B119" s="4"/>
      <c r="C119" s="4"/>
      <c r="D119" s="4"/>
      <c r="E119" s="4"/>
      <c r="F119" s="4"/>
      <c r="G119" s="4"/>
      <c r="H119" s="4"/>
      <c r="I119" s="4"/>
    </row>
    <row r="120" spans="1:9" ht="18.75" customHeight="1" x14ac:dyDescent="0.15">
      <c r="A120" s="4"/>
      <c r="B120" s="4"/>
      <c r="C120" s="4"/>
      <c r="D120" s="4"/>
      <c r="E120" s="4"/>
      <c r="F120" s="4"/>
      <c r="G120" s="4"/>
      <c r="H120" s="4"/>
      <c r="I120" s="4"/>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4.25" x14ac:dyDescent="0.15">
      <c r="A128" s="4"/>
      <c r="B128" s="4"/>
      <c r="C128" s="4"/>
      <c r="D128" s="4"/>
      <c r="E128" s="4"/>
      <c r="F128" s="4"/>
      <c r="G128" s="4"/>
      <c r="H128" s="4"/>
      <c r="I128" s="4"/>
    </row>
    <row r="129" spans="1:9" ht="7.5" customHeight="1" x14ac:dyDescent="0.15">
      <c r="A129" s="48"/>
      <c r="B129" s="48"/>
      <c r="C129" s="48"/>
      <c r="D129" s="48"/>
      <c r="E129" s="48"/>
      <c r="F129" s="48"/>
      <c r="G129" s="48"/>
      <c r="H129" s="48"/>
      <c r="I129" s="48"/>
    </row>
  </sheetData>
  <mergeCells count="22">
    <mergeCell ref="B66:I74"/>
    <mergeCell ref="B77:I86"/>
    <mergeCell ref="C49:D49"/>
    <mergeCell ref="C50:D50"/>
    <mergeCell ref="F49:G49"/>
    <mergeCell ref="B52:I63"/>
    <mergeCell ref="B89:I100"/>
    <mergeCell ref="B102:I102"/>
    <mergeCell ref="B103:I114"/>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87"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C19" zoomScale="99" zoomScaleNormal="100" zoomScaleSheetLayoutView="100" workbookViewId="0">
      <selection activeCell="E20" sqref="E20:I20"/>
    </sheetView>
  </sheetViews>
  <sheetFormatPr defaultColWidth="11.375" defaultRowHeight="22.5" customHeight="1" x14ac:dyDescent="0.15"/>
  <cols>
    <col min="1" max="3" width="2.625" style="1" customWidth="1"/>
    <col min="4" max="4" width="22.125" style="1" customWidth="1"/>
    <col min="5" max="5" width="30.625" style="1" customWidth="1"/>
    <col min="6" max="7" width="7.625" style="1" customWidth="1"/>
    <col min="8" max="9" width="30.625" style="1" customWidth="1"/>
    <col min="10" max="10" width="4.125" style="1" customWidth="1"/>
    <col min="11" max="16384" width="11.375" style="1"/>
  </cols>
  <sheetData>
    <row r="1" spans="1:9" ht="18.75" customHeight="1" x14ac:dyDescent="0.15">
      <c r="A1" s="1" t="s">
        <v>171</v>
      </c>
      <c r="I1" s="35" t="s">
        <v>172</v>
      </c>
    </row>
    <row r="2" spans="1:9" ht="18.75" customHeight="1" x14ac:dyDescent="0.15">
      <c r="H2" s="35" t="s">
        <v>2</v>
      </c>
      <c r="I2" s="34" t="str">
        <f>'様式１-1　プログラムを構成する授業科目'!C2</f>
        <v>中央学院大学</v>
      </c>
    </row>
    <row r="3" spans="1:9" ht="18.75" customHeight="1" x14ac:dyDescent="0.15">
      <c r="A3" s="180" t="s">
        <v>173</v>
      </c>
      <c r="B3" s="180"/>
      <c r="C3" s="180"/>
      <c r="D3" s="180"/>
      <c r="E3" s="180"/>
      <c r="F3" s="180"/>
      <c r="G3" s="180"/>
      <c r="H3" s="180"/>
      <c r="I3" s="180"/>
    </row>
    <row r="4" spans="1:9" ht="18.75" customHeight="1" x14ac:dyDescent="0.15">
      <c r="A4" s="5"/>
      <c r="B4" s="5"/>
      <c r="C4" s="5"/>
      <c r="D4" s="5"/>
      <c r="E4" s="5"/>
      <c r="F4" s="5"/>
      <c r="G4" s="5"/>
      <c r="H4" s="5"/>
      <c r="I4" s="5"/>
    </row>
    <row r="5" spans="1:9" ht="18.75" customHeight="1" x14ac:dyDescent="0.15">
      <c r="A5" s="1" t="s">
        <v>125</v>
      </c>
      <c r="B5" s="10" t="s">
        <v>174</v>
      </c>
      <c r="C5" s="5"/>
      <c r="D5" s="5"/>
      <c r="E5" s="5"/>
      <c r="F5" s="5"/>
      <c r="G5" s="5"/>
      <c r="H5" s="5"/>
      <c r="I5" s="5"/>
    </row>
    <row r="6" spans="1:9" ht="26.25" customHeight="1" x14ac:dyDescent="0.15">
      <c r="A6" s="5"/>
      <c r="B6" s="342" t="s">
        <v>175</v>
      </c>
      <c r="C6" s="383"/>
      <c r="D6" s="383"/>
      <c r="E6" s="383"/>
      <c r="F6" s="383"/>
      <c r="G6" s="383"/>
      <c r="H6" s="384"/>
      <c r="I6" s="3"/>
    </row>
    <row r="7" spans="1:9" ht="9" customHeight="1" x14ac:dyDescent="0.15">
      <c r="A7" s="5"/>
      <c r="B7" s="10"/>
      <c r="C7" s="10"/>
      <c r="D7" s="10"/>
      <c r="E7" s="10"/>
      <c r="F7" s="10"/>
      <c r="G7" s="10"/>
      <c r="H7" s="10"/>
      <c r="I7" s="3"/>
    </row>
    <row r="8" spans="1:9" ht="18.75" customHeight="1" x14ac:dyDescent="0.15">
      <c r="A8" s="5"/>
      <c r="B8" s="3"/>
      <c r="C8" s="3"/>
      <c r="D8" s="35" t="s">
        <v>134</v>
      </c>
      <c r="E8" s="36" t="s">
        <v>141</v>
      </c>
      <c r="F8" s="3"/>
      <c r="G8" s="35" t="s">
        <v>136</v>
      </c>
      <c r="H8" s="36" t="s">
        <v>176</v>
      </c>
      <c r="I8" s="3"/>
    </row>
    <row r="9" spans="1:9" ht="7.5" customHeight="1" x14ac:dyDescent="0.15">
      <c r="A9" s="5"/>
      <c r="B9" s="5"/>
      <c r="C9" s="5"/>
      <c r="D9" s="5"/>
      <c r="E9" s="5"/>
      <c r="F9" s="5"/>
      <c r="G9" s="5"/>
      <c r="H9" s="5"/>
      <c r="I9" s="5"/>
    </row>
    <row r="10" spans="1:9" ht="18.75" customHeight="1" x14ac:dyDescent="0.15">
      <c r="A10" s="1" t="s">
        <v>130</v>
      </c>
      <c r="B10" s="1" t="s">
        <v>177</v>
      </c>
      <c r="C10" s="4"/>
      <c r="D10" s="4"/>
      <c r="E10" s="4"/>
      <c r="F10" s="4"/>
      <c r="G10" s="4"/>
      <c r="H10" s="4"/>
      <c r="I10" s="4"/>
    </row>
    <row r="11" spans="1:9" ht="18.75" customHeight="1" x14ac:dyDescent="0.15">
      <c r="B11" s="141" t="s">
        <v>178</v>
      </c>
      <c r="C11" s="135"/>
      <c r="D11" s="136"/>
      <c r="E11" s="135" t="s">
        <v>179</v>
      </c>
      <c r="F11" s="135"/>
      <c r="G11" s="135"/>
      <c r="H11" s="135"/>
      <c r="I11" s="136"/>
    </row>
    <row r="12" spans="1:9" ht="26.25" customHeight="1" x14ac:dyDescent="0.15">
      <c r="B12" s="49" t="s">
        <v>180</v>
      </c>
      <c r="C12" s="56"/>
      <c r="D12" s="50"/>
      <c r="E12" s="57"/>
      <c r="F12" s="57"/>
      <c r="G12" s="57"/>
      <c r="H12" s="57"/>
      <c r="I12" s="50"/>
    </row>
    <row r="13" spans="1:9" ht="210.75" customHeight="1" x14ac:dyDescent="0.15">
      <c r="B13" s="51"/>
      <c r="C13" s="381" t="s">
        <v>181</v>
      </c>
      <c r="D13" s="382"/>
      <c r="E13" s="378" t="s">
        <v>199</v>
      </c>
      <c r="F13" s="379"/>
      <c r="G13" s="379"/>
      <c r="H13" s="379"/>
      <c r="I13" s="380"/>
    </row>
    <row r="14" spans="1:9" ht="210.75" customHeight="1" x14ac:dyDescent="0.15">
      <c r="B14" s="51"/>
      <c r="C14" s="376" t="s">
        <v>182</v>
      </c>
      <c r="D14" s="377"/>
      <c r="E14" s="378" t="s">
        <v>200</v>
      </c>
      <c r="F14" s="379"/>
      <c r="G14" s="379"/>
      <c r="H14" s="379"/>
      <c r="I14" s="380"/>
    </row>
    <row r="15" spans="1:9" ht="165" customHeight="1" x14ac:dyDescent="0.15">
      <c r="B15" s="51"/>
      <c r="C15" s="381" t="s">
        <v>183</v>
      </c>
      <c r="D15" s="382"/>
      <c r="E15" s="385" t="s">
        <v>184</v>
      </c>
      <c r="F15" s="386"/>
      <c r="G15" s="386"/>
      <c r="H15" s="386"/>
      <c r="I15" s="387"/>
    </row>
    <row r="16" spans="1:9" ht="210.75" customHeight="1" x14ac:dyDescent="0.15">
      <c r="B16" s="51"/>
      <c r="C16" s="381" t="s">
        <v>185</v>
      </c>
      <c r="D16" s="382"/>
      <c r="E16" s="385" t="s">
        <v>186</v>
      </c>
      <c r="F16" s="386"/>
      <c r="G16" s="386"/>
      <c r="H16" s="386"/>
      <c r="I16" s="387"/>
    </row>
    <row r="17" spans="2:9" ht="210.75" customHeight="1" x14ac:dyDescent="0.15">
      <c r="B17" s="52"/>
      <c r="C17" s="388" t="s">
        <v>187</v>
      </c>
      <c r="D17" s="389"/>
      <c r="E17" s="390" t="s">
        <v>188</v>
      </c>
      <c r="F17" s="391"/>
      <c r="G17" s="391"/>
      <c r="H17" s="391"/>
      <c r="I17" s="392"/>
    </row>
    <row r="18" spans="2:9" ht="24" customHeight="1" x14ac:dyDescent="0.15">
      <c r="B18" s="49" t="s">
        <v>189</v>
      </c>
      <c r="C18" s="53"/>
      <c r="D18" s="54"/>
      <c r="E18" s="55"/>
      <c r="F18" s="55"/>
      <c r="G18" s="55"/>
      <c r="H18" s="55"/>
      <c r="I18" s="58"/>
    </row>
    <row r="19" spans="2:9" ht="218.25" customHeight="1" x14ac:dyDescent="0.15">
      <c r="B19" s="51"/>
      <c r="C19" s="381" t="s">
        <v>190</v>
      </c>
      <c r="D19" s="382"/>
      <c r="E19" s="396" t="s">
        <v>205</v>
      </c>
      <c r="F19" s="379"/>
      <c r="G19" s="379"/>
      <c r="H19" s="379"/>
      <c r="I19" s="380"/>
    </row>
    <row r="20" spans="2:9" ht="140.25" customHeight="1" x14ac:dyDescent="0.15">
      <c r="B20" s="52"/>
      <c r="C20" s="388" t="s">
        <v>191</v>
      </c>
      <c r="D20" s="389"/>
      <c r="E20" s="391" t="s">
        <v>192</v>
      </c>
      <c r="F20" s="391"/>
      <c r="G20" s="391"/>
      <c r="H20" s="391"/>
      <c r="I20" s="392"/>
    </row>
    <row r="21" spans="2:9" ht="218.25" customHeight="1" x14ac:dyDescent="0.15">
      <c r="B21" s="397" t="s">
        <v>193</v>
      </c>
      <c r="C21" s="398"/>
      <c r="D21" s="399"/>
      <c r="E21" s="400" t="s">
        <v>194</v>
      </c>
      <c r="F21" s="400"/>
      <c r="G21" s="400"/>
      <c r="H21" s="400"/>
      <c r="I21" s="401"/>
    </row>
    <row r="22" spans="2:9" ht="218.25" customHeight="1" x14ac:dyDescent="0.15">
      <c r="B22" s="393" t="s">
        <v>195</v>
      </c>
      <c r="C22" s="394"/>
      <c r="D22" s="395"/>
      <c r="E22" s="328" t="s">
        <v>196</v>
      </c>
      <c r="F22" s="328"/>
      <c r="G22" s="328"/>
      <c r="H22" s="328"/>
      <c r="I22" s="329"/>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8904418F0290E34A9C4145F2609273C1" ma:contentTypeVersion="2" ma:contentTypeDescription="新しいドキュメントを作成します。" ma:contentTypeScope="" ma:versionID="8dfbe3c12f964dff435e000678676fab">
  <xsd:schema xmlns:xsd="http://www.w3.org/2001/XMLSchema" xmlns:xs="http://www.w3.org/2001/XMLSchema" xmlns:p="http://schemas.microsoft.com/office/2006/metadata/properties" xmlns:ns2="6b9f225f-67d9-4f40-8d22-e41510086174" targetNamespace="http://schemas.microsoft.com/office/2006/metadata/properties" ma:root="true" ma:fieldsID="f7c20a54ec059bdf81f2318ce8ea5adf" ns2:_="">
    <xsd:import namespace="6b9f225f-67d9-4f40-8d22-e4151008617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9f225f-67d9-4f40-8d22-e415100861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E64D74-1293-4FD9-9BB0-B0A8FBD78DD0}">
  <ds:schemaRefs>
    <ds:schemaRef ds:uri="http://schemas.microsoft.com/sharepoint/v3/contenttype/forms"/>
  </ds:schemaRefs>
</ds:datastoreItem>
</file>

<file path=customXml/itemProps2.xml><?xml version="1.0" encoding="utf-8"?>
<ds:datastoreItem xmlns:ds="http://schemas.openxmlformats.org/officeDocument/2006/customXml" ds:itemID="{40D3341B-6E92-492E-8B1A-73771D0AB4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b9f225f-67d9-4f40-8d22-e415100861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5</vt:i4>
      </vt:variant>
    </vt:vector>
  </HeadingPairs>
  <TitlesOfParts>
    <vt:vector size="11" baseType="lpstr">
      <vt:lpstr>様式１-1　プログラムを構成する授業科目</vt:lpstr>
      <vt:lpstr>様式1-2</vt:lpstr>
      <vt:lpstr>様式1-3</vt:lpstr>
      <vt:lpstr>様式２ 履修者等数の実績</vt:lpstr>
      <vt:lpstr>様式３ 教育の質・履修者数を向上させるための体制・計画</vt:lpstr>
      <vt:lpstr>様式４　自己点検・評価</vt:lpstr>
      <vt:lpstr>'様式１-1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冨田　喜恵</cp:lastModifiedBy>
  <cp:revision/>
  <cp:lastPrinted>2023-06-27T00:15:46Z</cp:lastPrinted>
  <dcterms:created xsi:type="dcterms:W3CDTF">2011-06-14T05:32:50Z</dcterms:created>
  <dcterms:modified xsi:type="dcterms:W3CDTF">2023-06-27T00:16:04Z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