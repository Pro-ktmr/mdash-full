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6"/>
  <workbookPr defaultThemeVersion="124226"/>
  <mc:AlternateContent xmlns:mc="http://schemas.openxmlformats.org/markup-compatibility/2006">
    <mc:Choice Requires="x15">
      <x15ac:absPath xmlns:x15ac="http://schemas.microsoft.com/office/spreadsheetml/2010/11/ac" url="N:\数理・データサイエンス・AI教育\文科省申請後の修正\"/>
    </mc:Choice>
  </mc:AlternateContent>
  <xr:revisionPtr revIDLastSave="0" documentId="13_ncr:1_{EA617B26-FA91-41E0-963C-F0BE1E4DEE1C}" xr6:coauthVersionLast="36" xr6:coauthVersionMax="36" xr10:uidLastSave="{00000000-0000-0000-0000-000000000000}"/>
  <bookViews>
    <workbookView xWindow="0" yWindow="0" windowWidth="20745" windowHeight="11265" tabRatio="885" xr2:uid="{00000000-000D-0000-FFFF-FFFF00000000}"/>
  </bookViews>
  <sheets>
    <sheet name="様式１-１　プログラムを構成する授業科目" sheetId="39" r:id="rId1"/>
    <sheet name="様式１-２　プログラムを構成する授業科目" sheetId="48" r:id="rId2"/>
    <sheet name="様式１-３　プログラムを構成する授業科目" sheetId="47" r:id="rId3"/>
    <sheet name="様式１-４　プログラムを構成する授業科目" sheetId="46" r:id="rId4"/>
    <sheet name="様式１-５　プログラムを構成する授業科目" sheetId="45" r:id="rId5"/>
    <sheet name="様式１-６　プログラムを構成する授業科目" sheetId="43" r:id="rId6"/>
    <sheet name="様式１-7　プログラムを構成する授業科目" sheetId="44" r:id="rId7"/>
    <sheet name="様式２ 履修者等数の実績" sheetId="40" r:id="rId8"/>
    <sheet name="様式３ 教育の質・履修者数を向上させるための体制・計画" sheetId="41" r:id="rId9"/>
    <sheet name="様式４　自己点検・評価" sheetId="42" r:id="rId10"/>
  </sheets>
  <definedNames>
    <definedName name="_xlnm._FilterDatabase" localSheetId="0" hidden="1">'様式１-１　プログラムを構成する授業科目'!$V$14:$V$16</definedName>
    <definedName name="_xlnm._FilterDatabase" localSheetId="1" hidden="1">'様式１-２　プログラムを構成する授業科目'!$V$14:$V$16</definedName>
    <definedName name="_xlnm._FilterDatabase" localSheetId="2" hidden="1">'様式１-３　プログラムを構成する授業科目'!$V$14:$V$16</definedName>
    <definedName name="_xlnm._FilterDatabase" localSheetId="3" hidden="1">'様式１-４　プログラムを構成する授業科目'!$V$14:$V$16</definedName>
    <definedName name="_xlnm._FilterDatabase" localSheetId="4" hidden="1">'様式１-５　プログラムを構成する授業科目'!$V$14:$V$16</definedName>
    <definedName name="_xlnm._FilterDatabase" localSheetId="5" hidden="1">'様式１-６　プログラムを構成する授業科目'!$V$14:$V$16</definedName>
    <definedName name="_xlnm._FilterDatabase" localSheetId="6" hidden="1">'様式１-7　プログラムを構成する授業科目'!$V$14:$V$16</definedName>
    <definedName name="_xlnm._FilterDatabase" localSheetId="7" hidden="1">'様式２ 履修者等数の実績'!#REF!</definedName>
    <definedName name="_xlnm.Print_Area" localSheetId="0">'様式１-１　プログラムを構成する授業科目'!$A$1:$S$102</definedName>
    <definedName name="_xlnm.Print_Area" localSheetId="1">'様式１-２　プログラムを構成する授業科目'!$A$1:$S$102</definedName>
    <definedName name="_xlnm.Print_Area" localSheetId="2">'様式１-３　プログラムを構成する授業科目'!$A$1:$S$102</definedName>
    <definedName name="_xlnm.Print_Area" localSheetId="3">'様式１-４　プログラムを構成する授業科目'!$A$1:$S$102</definedName>
    <definedName name="_xlnm.Print_Area" localSheetId="4">'様式１-５　プログラムを構成する授業科目'!$A$1:$S$102</definedName>
    <definedName name="_xlnm.Print_Area" localSheetId="5">'様式１-６　プログラムを構成する授業科目'!$A$1:$S$102</definedName>
    <definedName name="_xlnm.Print_Area" localSheetId="6">'様式１-7　プログラムを構成する授業科目'!$A$1:$S$102</definedName>
    <definedName name="_xlnm.Print_Area" localSheetId="7">'様式２ 履修者等数の実績'!$A$1:$AQ$32</definedName>
    <definedName name="_xlnm.Print_Area" localSheetId="8">'様式３ 教育の質・履修者数を向上させるための体制・計画'!$A$1:$I$123</definedName>
    <definedName name="_xlnm.Print_Area" localSheetId="9">'様式４　自己点検・評価'!$A$1:$I$22</definedName>
    <definedName name="_xlnm.Print_Titles" localSheetId="9">'様式４　自己点検・評価'!$11:$11</definedName>
  </definedNames>
  <calcPr calcId="191029"/>
</workbook>
</file>

<file path=xl/calcChain.xml><?xml version="1.0" encoding="utf-8"?>
<calcChain xmlns="http://schemas.openxmlformats.org/spreadsheetml/2006/main">
  <c r="C49" i="41" l="1"/>
  <c r="AQ12" i="40" l="1"/>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6" i="40"/>
  <c r="AJ16" i="40"/>
  <c r="AM15" i="40"/>
  <c r="AJ15" i="40"/>
  <c r="AM14" i="40"/>
  <c r="AJ14" i="40"/>
  <c r="AM13" i="40"/>
  <c r="AJ13" i="40"/>
  <c r="AM17" i="40"/>
  <c r="AJ17" i="40"/>
  <c r="AM19" i="40"/>
  <c r="AJ19" i="40"/>
  <c r="AM18" i="40"/>
  <c r="AJ18"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6" i="40"/>
  <c r="AD16" i="40"/>
  <c r="AG15" i="40"/>
  <c r="AD15" i="40"/>
  <c r="AG14" i="40"/>
  <c r="AD14" i="40"/>
  <c r="AG13" i="40"/>
  <c r="AD13" i="40"/>
  <c r="AG17" i="40"/>
  <c r="AD17" i="40"/>
  <c r="AG19" i="40"/>
  <c r="AD19" i="40"/>
  <c r="AG18" i="40"/>
  <c r="AD18"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6" i="40"/>
  <c r="X16" i="40"/>
  <c r="AA15" i="40"/>
  <c r="X15" i="40"/>
  <c r="AA14" i="40"/>
  <c r="X14" i="40"/>
  <c r="AA13" i="40"/>
  <c r="X13" i="40"/>
  <c r="AA17" i="40"/>
  <c r="X17" i="40"/>
  <c r="AA19" i="40"/>
  <c r="X19" i="40"/>
  <c r="AA18" i="40"/>
  <c r="X18"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6" i="40"/>
  <c r="R16" i="40"/>
  <c r="U15" i="40"/>
  <c r="R15" i="40"/>
  <c r="U14" i="40"/>
  <c r="R14" i="40"/>
  <c r="U13" i="40"/>
  <c r="R13" i="40"/>
  <c r="U17" i="40"/>
  <c r="R17" i="40"/>
  <c r="U19" i="40"/>
  <c r="R19" i="40"/>
  <c r="U18" i="40"/>
  <c r="R18"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6" i="40"/>
  <c r="L16" i="40"/>
  <c r="O15" i="40"/>
  <c r="L15" i="40"/>
  <c r="O14" i="40"/>
  <c r="L14" i="40"/>
  <c r="O13" i="40"/>
  <c r="L13" i="40"/>
  <c r="O17" i="40"/>
  <c r="L17" i="40"/>
  <c r="O19" i="40"/>
  <c r="L19" i="40"/>
  <c r="O18" i="40"/>
  <c r="L18"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6" i="40"/>
  <c r="I15" i="40"/>
  <c r="I14" i="40"/>
  <c r="I13" i="40"/>
  <c r="I17" i="40"/>
  <c r="I19" i="40"/>
  <c r="I18" i="40"/>
  <c r="I12" i="40"/>
  <c r="G32" i="40"/>
  <c r="H32" i="40"/>
  <c r="AP18" i="40"/>
  <c r="AP19" i="40"/>
  <c r="AP17" i="40"/>
  <c r="AP13" i="40"/>
  <c r="AP14" i="40"/>
  <c r="AP15" i="40"/>
  <c r="AP16" i="40"/>
  <c r="AP20" i="40"/>
  <c r="AP21" i="40"/>
  <c r="F22" i="40"/>
  <c r="AP22" i="40" s="1"/>
  <c r="F23" i="40"/>
  <c r="AP23" i="40" s="1"/>
  <c r="F24" i="40"/>
  <c r="AP24" i="40" s="1"/>
  <c r="F25" i="40"/>
  <c r="AP25" i="40" s="1"/>
  <c r="F26" i="40"/>
  <c r="AP26" i="40" s="1"/>
  <c r="F27" i="40"/>
  <c r="AP27" i="40" s="1"/>
  <c r="F28" i="40"/>
  <c r="AP28" i="40" s="1"/>
  <c r="F29" i="40"/>
  <c r="AP29" i="40" s="1"/>
  <c r="F30" i="40"/>
  <c r="AP30" i="40" s="1"/>
  <c r="F31" i="40"/>
  <c r="AP31" i="40" s="1"/>
  <c r="AP12" i="40"/>
  <c r="C32" i="40"/>
  <c r="I32" i="40" l="1"/>
  <c r="F32" i="40" l="1"/>
  <c r="E32" i="40"/>
  <c r="I50" i="41" s="1"/>
  <c r="D32" i="40"/>
  <c r="AQ31" i="40"/>
  <c r="AQ30" i="40"/>
  <c r="AQ29" i="40"/>
  <c r="AQ28" i="40"/>
  <c r="AQ27" i="40"/>
  <c r="AQ26" i="40"/>
  <c r="AQ25" i="40"/>
  <c r="AQ24" i="40"/>
  <c r="AQ23" i="40"/>
  <c r="AQ22" i="40"/>
  <c r="AQ21" i="40"/>
  <c r="AQ20" i="40"/>
  <c r="AQ16" i="40"/>
  <c r="AQ15" i="40"/>
  <c r="AQ14" i="40"/>
  <c r="AQ13" i="40"/>
  <c r="AQ17" i="40"/>
  <c r="AQ19" i="40"/>
  <c r="AQ18" i="40"/>
  <c r="AP32" i="40" l="1"/>
  <c r="AQ32" i="40" s="1"/>
</calcChain>
</file>

<file path=xl/sharedStrings.xml><?xml version="1.0" encoding="utf-8"?>
<sst xmlns="http://schemas.openxmlformats.org/spreadsheetml/2006/main" count="1210" uniqueCount="289">
  <si>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</si>
  <si>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</si>
  <si>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</si>
  <si>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</si>
  <si>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</si>
  <si>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</si>
  <si>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</si>
  <si>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</si>
  <si>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</si>
  <si>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</si>
  <si>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</si>
  <si>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</si>
  <si>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</si>
  <si>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</si>
  <si>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</si>
  <si>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</si>
  <si>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</si>
  <si>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</si>
  <si>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</si>
  <si>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</si>
  <si>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</si>
  <si>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</si>
  <si>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</si>
  <si>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</si>
  <si>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</si>
  <si>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</si>
  <si>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</si>
  <si>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</si>
  <si>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</si>
  <si>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</si>
  <si>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</si>
  <si>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</si>
  <si>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</si>
  <si>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</si>
  <si>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</si>
  <si>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</si>
  <si>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</si>
  <si>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</si>
  <si>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</si>
  <si>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</si>
  <si>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</si>
  <si>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</si>
  <si>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</si>
  <si>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</si>
  <si>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</si>
  <si>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</si>
  <si>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</si>
  <si>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</si>
  <si>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</si>
  <si>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</si>
  <si>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</si>
  <si>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</si>
  <si>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</si>
  <si>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</si>
  <si>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</si>
  <si>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</si>
  <si>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</si>
  <si>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</si>
  <si>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</si>
  <si>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</si>
  <si>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</si>
  <si>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</si>
  <si>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</si>
  <si>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</si>
  <si>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</si>
  <si>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</si>
  <si>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</si>
  <si>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</si>
  <si>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</si>
  <si>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</si>
  <si>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</si>
  <si>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</si>
  <si>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</si>
  <si>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</si>
  <si>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</si>
  <si>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</si>
  <si>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</si>
  <si>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</si>
  <si>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</si>
  <si>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</si>
  <si>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</si>
  <si>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</si>
  <si>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</si>
  <si>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</si>
  <si>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</si>
  <si>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</si>
  <si>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</si>
  <si>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</si>
  <si>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</si>
  <si>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</si>
  <si>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</si>
  <si>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</si>
  <si>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</si>
  <si>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</si>
  <si>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</si>
  <si>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</si>
  <si>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</si>
  <si>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</si>
  <si>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</si>
  <si>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</si>
  <si>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</si>
  <si>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</si>
  <si>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</si>
  <si>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</si>
  <si>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</si>
  <si>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</si>
  <si>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</si>
  <si>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</si>
  <si>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</si>
  <si>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</si>
  <si>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</si>
  <si>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</si>
  <si>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</si>
  <si>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</si>
  <si>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</si>
  <si>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</si>
  <si>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</si>
  <si>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</si>
  <si>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</si>
  <si>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</si>
  <si>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</si>
  <si>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</si>
  <si>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</si>
  <si>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</si>
  <si>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</si>
  <si>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</si>
  <si>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愛知学院大学データサイエンス教育プログラム</t>
    <phoneticPr fontId="1"/>
  </si>
  <si>
    <t>愛知学院大学</t>
    <phoneticPr fontId="1"/>
  </si>
  <si>
    <t>学部・学科によって、修了要件は相違する</t>
  </si>
  <si>
    <t>プログラム構成科目である「情報科学Ⅰ・Ⅱ」及び「教養セミナーⅢ・Ⅳ」（教養教育科目・教育基幹科目）の4科目6単位を取得すること。</t>
    <rPh sb="5" eb="7">
      <t>コウセイ</t>
    </rPh>
    <rPh sb="7" eb="9">
      <t>カモク</t>
    </rPh>
    <rPh sb="13" eb="15">
      <t>ジョウホウ</t>
    </rPh>
    <rPh sb="15" eb="17">
      <t>カガク</t>
    </rPh>
    <rPh sb="21" eb="22">
      <t>オヨ</t>
    </rPh>
    <rPh sb="24" eb="26">
      <t>キョウヨウ</t>
    </rPh>
    <rPh sb="35" eb="37">
      <t>キョウヨウ</t>
    </rPh>
    <rPh sb="37" eb="39">
      <t>キョウイク</t>
    </rPh>
    <rPh sb="39" eb="41">
      <t>カモク</t>
    </rPh>
    <rPh sb="42" eb="44">
      <t>キョウイク</t>
    </rPh>
    <rPh sb="44" eb="46">
      <t>キカン</t>
    </rPh>
    <rPh sb="46" eb="48">
      <t>カモク</t>
    </rPh>
    <rPh sb="51" eb="53">
      <t>カモク</t>
    </rPh>
    <rPh sb="54" eb="56">
      <t>タンイ</t>
    </rPh>
    <rPh sb="57" eb="59">
      <t>シュトク</t>
    </rPh>
    <phoneticPr fontId="1"/>
  </si>
  <si>
    <t>情報科学Ⅰ</t>
    <rPh sb="0" eb="2">
      <t>ジョウホウ</t>
    </rPh>
    <rPh sb="2" eb="4">
      <t>カガク</t>
    </rPh>
    <phoneticPr fontId="1"/>
  </si>
  <si>
    <t>情報科学Ⅱ</t>
    <rPh sb="0" eb="2">
      <t>ジョウホウ</t>
    </rPh>
    <rPh sb="2" eb="4">
      <t>カガク</t>
    </rPh>
    <phoneticPr fontId="1"/>
  </si>
  <si>
    <t>○</t>
  </si>
  <si>
    <t>情報科学Ⅰ</t>
    <rPh sb="0" eb="5">
      <t>ジョウホウカガクイチ</t>
    </rPh>
    <phoneticPr fontId="1"/>
  </si>
  <si>
    <t>教養セミナーⅣ</t>
    <rPh sb="0" eb="2">
      <t>キョウヨウ</t>
    </rPh>
    <phoneticPr fontId="1"/>
  </si>
  <si>
    <t>教養セミナーⅢ</t>
    <rPh sb="0" eb="2">
      <t>キョウヨウ</t>
    </rPh>
    <phoneticPr fontId="1"/>
  </si>
  <si>
    <t>数理・データサイエンス・AIを実社会で使いこなすことができる基礎的な素養を身につけることができます。また、それらの知識・技能をもとに、自らの適切な判断・意思によりAI等の恩恵を享受し、これらを説明・活用できる思考力・判断力を身につけることができます。</t>
    <phoneticPr fontId="1"/>
  </si>
  <si>
    <t>様式１-１</t>
    <rPh sb="0" eb="2">
      <t>ヨウシキ</t>
    </rPh>
    <phoneticPr fontId="1"/>
  </si>
  <si>
    <t>様式１-２</t>
    <rPh sb="0" eb="2">
      <t>ヨウシキ</t>
    </rPh>
    <phoneticPr fontId="1"/>
  </si>
  <si>
    <t>歯学部</t>
    <rPh sb="0" eb="3">
      <t>シガクブ</t>
    </rPh>
    <phoneticPr fontId="1"/>
  </si>
  <si>
    <t>プログラム構成科目である「情報の科学」「社会と歯学Ⅰ」「社会と歯学Ⅱ」「社会と歯学Ⅲ」「実習：社会と歯学」（専門教育科目）の5科目7単位を取得すること。</t>
    <phoneticPr fontId="1"/>
  </si>
  <si>
    <t>情報の科学</t>
    <rPh sb="0" eb="2">
      <t>ジョウホウ</t>
    </rPh>
    <rPh sb="3" eb="5">
      <t>カガク</t>
    </rPh>
    <phoneticPr fontId="1"/>
  </si>
  <si>
    <t>社会と歯学Ⅰ</t>
    <rPh sb="0" eb="2">
      <t>シャカイ</t>
    </rPh>
    <rPh sb="3" eb="5">
      <t>シガク</t>
    </rPh>
    <phoneticPr fontId="1"/>
  </si>
  <si>
    <t>社会と歯学Ⅱ</t>
    <rPh sb="0" eb="2">
      <t>シャカイ</t>
    </rPh>
    <rPh sb="3" eb="5">
      <t>シガク</t>
    </rPh>
    <phoneticPr fontId="1"/>
  </si>
  <si>
    <t>社会と歯学Ⅲ</t>
    <rPh sb="0" eb="2">
      <t>シャカイ</t>
    </rPh>
    <rPh sb="3" eb="5">
      <t>シガク</t>
    </rPh>
    <phoneticPr fontId="1"/>
  </si>
  <si>
    <t>実習：社会と歯学</t>
    <rPh sb="0" eb="2">
      <t>ジッシュウ</t>
    </rPh>
    <rPh sb="3" eb="5">
      <t>シャカイ</t>
    </rPh>
    <rPh sb="6" eb="8">
      <t>シガク</t>
    </rPh>
    <phoneticPr fontId="1"/>
  </si>
  <si>
    <t>数理・データサイエンス・AIを実社会で使いこなすことができる基礎的な素養を身につけることができます。また、それらの知識・技能をもとに、自らの適切な判断・意思によりAI等の恩恵を享受し、これらを説明・活用できる思考力・判断力を身につけることができます。</t>
    <phoneticPr fontId="1"/>
  </si>
  <si>
    <t>様式１-３</t>
    <rPh sb="0" eb="2">
      <t>ヨウシキ</t>
    </rPh>
    <phoneticPr fontId="1"/>
  </si>
  <si>
    <t>薬学部</t>
    <rPh sb="0" eb="3">
      <t>ヤクガクブ</t>
    </rPh>
    <phoneticPr fontId="1"/>
  </si>
  <si>
    <t>プログラム構成科目である「情報処理演習」「製剤工学」「医薬品情報学」「基礎薬学演習Ⅰ」（専門教育科目）の4科目4単位を取得すること。</t>
    <phoneticPr fontId="1"/>
  </si>
  <si>
    <t>情報処理演習</t>
    <rPh sb="0" eb="2">
      <t>ジョウホウ</t>
    </rPh>
    <rPh sb="2" eb="4">
      <t>ショリ</t>
    </rPh>
    <rPh sb="4" eb="6">
      <t>エンシュウ</t>
    </rPh>
    <phoneticPr fontId="1"/>
  </si>
  <si>
    <t>製剤工学</t>
    <rPh sb="0" eb="2">
      <t>セイザイ</t>
    </rPh>
    <rPh sb="2" eb="4">
      <t>コウガク</t>
    </rPh>
    <phoneticPr fontId="1"/>
  </si>
  <si>
    <t>基礎薬学演習Ⅰ</t>
    <rPh sb="0" eb="2">
      <t>キソ</t>
    </rPh>
    <rPh sb="2" eb="4">
      <t>ヤクガク</t>
    </rPh>
    <rPh sb="4" eb="6">
      <t>エンシュウ</t>
    </rPh>
    <phoneticPr fontId="1"/>
  </si>
  <si>
    <t>医薬品情報学</t>
    <rPh sb="0" eb="3">
      <t>イヤクヒン</t>
    </rPh>
    <rPh sb="3" eb="5">
      <t>ジョウホウ</t>
    </rPh>
    <rPh sb="5" eb="6">
      <t>ガク</t>
    </rPh>
    <phoneticPr fontId="1"/>
  </si>
  <si>
    <t>様式１-４</t>
    <rPh sb="0" eb="2">
      <t>ヨウシキ</t>
    </rPh>
    <phoneticPr fontId="1"/>
  </si>
  <si>
    <t>総合政策学部</t>
    <rPh sb="0" eb="2">
      <t>ソウゴウ</t>
    </rPh>
    <rPh sb="2" eb="4">
      <t>セイサク</t>
    </rPh>
    <rPh sb="4" eb="6">
      <t>ガクブ</t>
    </rPh>
    <phoneticPr fontId="1"/>
  </si>
  <si>
    <t>プログラム構成科目である「情報リテラシーⅡ」及び「データ分析Ⅰ」（専門教育科目）の2科目4単位を取得すること。</t>
    <phoneticPr fontId="1"/>
  </si>
  <si>
    <t>情報リテラシーⅡ</t>
    <rPh sb="0" eb="2">
      <t>ジョウホウ</t>
    </rPh>
    <phoneticPr fontId="1"/>
  </si>
  <si>
    <t>データ分析Ⅰ</t>
    <rPh sb="3" eb="5">
      <t>ブンセキ</t>
    </rPh>
    <phoneticPr fontId="1"/>
  </si>
  <si>
    <t>様式１-５</t>
    <rPh sb="0" eb="2">
      <t>ヨウシキ</t>
    </rPh>
    <phoneticPr fontId="1"/>
  </si>
  <si>
    <t>経済学部</t>
    <rPh sb="0" eb="2">
      <t>ケイザイ</t>
    </rPh>
    <rPh sb="2" eb="4">
      <t>ガクブ</t>
    </rPh>
    <phoneticPr fontId="1"/>
  </si>
  <si>
    <t>プログラム構成科目である「情報リテラシーA」「情報リテラシーB」「経済情報論A」（専門教育科目）の3科目6単位を取得すること。</t>
    <phoneticPr fontId="1"/>
  </si>
  <si>
    <t>経済情報論A</t>
    <rPh sb="0" eb="2">
      <t>ケイザイ</t>
    </rPh>
    <rPh sb="2" eb="4">
      <t>ジョウホウ</t>
    </rPh>
    <rPh sb="4" eb="5">
      <t>ロン</t>
    </rPh>
    <phoneticPr fontId="1"/>
  </si>
  <si>
    <t>情報リテラシーB</t>
    <rPh sb="0" eb="2">
      <t>ジョウホウ</t>
    </rPh>
    <phoneticPr fontId="1"/>
  </si>
  <si>
    <t>情報リテラシーA</t>
    <rPh sb="0" eb="2">
      <t>ジョウホウ</t>
    </rPh>
    <phoneticPr fontId="1"/>
  </si>
  <si>
    <t>様式１-６</t>
    <rPh sb="0" eb="2">
      <t>ヨウシキ</t>
    </rPh>
    <phoneticPr fontId="1"/>
  </si>
  <si>
    <t>経営学部</t>
    <rPh sb="0" eb="2">
      <t>ケイエイ</t>
    </rPh>
    <rPh sb="2" eb="3">
      <t>ガク</t>
    </rPh>
    <rPh sb="3" eb="4">
      <t>ブ</t>
    </rPh>
    <phoneticPr fontId="1"/>
  </si>
  <si>
    <t>プログラム構成科目である「情報リテラシーⅠ」「情報リテラシーⅡ」「経営と情報Ⅰ」「経営と情報Ⅱ」「経営統計Ⅰ」「経営統計Ⅱ」（専門教育科目）の6科目10単位を取得すること。</t>
    <phoneticPr fontId="1"/>
  </si>
  <si>
    <t>経営と情報Ⅱ</t>
    <rPh sb="0" eb="2">
      <t>ケイエイ</t>
    </rPh>
    <rPh sb="3" eb="5">
      <t>ジョウホウ</t>
    </rPh>
    <phoneticPr fontId="1"/>
  </si>
  <si>
    <t>経営と情報Ⅰ</t>
    <rPh sb="0" eb="2">
      <t>ケイエイ</t>
    </rPh>
    <rPh sb="3" eb="5">
      <t>ジョウホウ</t>
    </rPh>
    <phoneticPr fontId="1"/>
  </si>
  <si>
    <t>経営統計Ⅰ</t>
    <rPh sb="0" eb="2">
      <t>ケイエイ</t>
    </rPh>
    <rPh sb="2" eb="4">
      <t>トウケイ</t>
    </rPh>
    <phoneticPr fontId="1"/>
  </si>
  <si>
    <t>経営統計Ⅱ</t>
    <rPh sb="0" eb="2">
      <t>ケイエイ</t>
    </rPh>
    <rPh sb="2" eb="4">
      <t>トウケイ</t>
    </rPh>
    <phoneticPr fontId="1"/>
  </si>
  <si>
    <t>情報リテラシーⅠ</t>
    <rPh sb="0" eb="2">
      <t>ジョウホウ</t>
    </rPh>
    <phoneticPr fontId="1"/>
  </si>
  <si>
    <t>様式１-７</t>
    <rPh sb="0" eb="2">
      <t>ヨウシキ</t>
    </rPh>
    <phoneticPr fontId="1"/>
  </si>
  <si>
    <t>商学部</t>
    <rPh sb="0" eb="2">
      <t>ショウガク</t>
    </rPh>
    <rPh sb="2" eb="3">
      <t>ブ</t>
    </rPh>
    <phoneticPr fontId="1"/>
  </si>
  <si>
    <t>情報社会論</t>
    <rPh sb="0" eb="2">
      <t>ジョウホウ</t>
    </rPh>
    <rPh sb="2" eb="4">
      <t>シャカイ</t>
    </rPh>
    <rPh sb="4" eb="5">
      <t>ロン</t>
    </rPh>
    <phoneticPr fontId="1"/>
  </si>
  <si>
    <t>情報社会論</t>
    <rPh sb="0" eb="5">
      <t>ジョウホウシャカイロン</t>
    </rPh>
    <phoneticPr fontId="1"/>
  </si>
  <si>
    <t>情報セキュリティ</t>
    <rPh sb="0" eb="2">
      <t>ジョウホウ</t>
    </rPh>
    <phoneticPr fontId="1"/>
  </si>
  <si>
    <t>プログラム構成科目である「情報リテラシーA」「情報リテラシーB」「情報社会論」「データ分析Ⅰ」「情報セキュリティ」（専門教育科目）の5科目10単位を取得すること。</t>
    <phoneticPr fontId="1"/>
  </si>
  <si>
    <t>令和4</t>
    <rPh sb="0" eb="2">
      <t>レイワ</t>
    </rPh>
    <phoneticPr fontId="1"/>
  </si>
  <si>
    <t>文学部</t>
    <rPh sb="0" eb="1">
      <t>ブン</t>
    </rPh>
    <rPh sb="1" eb="3">
      <t>ガクブ</t>
    </rPh>
    <phoneticPr fontId="1"/>
  </si>
  <si>
    <t>心理学部</t>
    <rPh sb="2" eb="4">
      <t>ガクブ</t>
    </rPh>
    <phoneticPr fontId="1"/>
  </si>
  <si>
    <t>総合政策学部</t>
    <rPh sb="4" eb="6">
      <t>ガクブ</t>
    </rPh>
    <phoneticPr fontId="1"/>
  </si>
  <si>
    <t>商学部</t>
    <rPh sb="0" eb="1">
      <t>ショウ</t>
    </rPh>
    <phoneticPr fontId="1"/>
  </si>
  <si>
    <t>経営学部</t>
    <rPh sb="0" eb="2">
      <t>ケイエイ</t>
    </rPh>
    <rPh sb="2" eb="4">
      <t>ガクブ</t>
    </rPh>
    <phoneticPr fontId="1"/>
  </si>
  <si>
    <t>経済学部</t>
    <rPh sb="0" eb="2">
      <t>ケイザイ</t>
    </rPh>
    <rPh sb="2" eb="4">
      <t>ガクブ</t>
    </rPh>
    <phoneticPr fontId="1"/>
  </si>
  <si>
    <t>法学部</t>
    <rPh sb="0" eb="1">
      <t>ホウ</t>
    </rPh>
    <phoneticPr fontId="1"/>
  </si>
  <si>
    <t>歯学部</t>
    <rPh sb="0" eb="1">
      <t>ハ</t>
    </rPh>
    <phoneticPr fontId="1"/>
  </si>
  <si>
    <t>薬学部</t>
    <rPh sb="0" eb="1">
      <t>ヤク</t>
    </rPh>
    <phoneticPr fontId="1"/>
  </si>
  <si>
    <t>心身科学部　</t>
    <rPh sb="2" eb="5">
      <t>カガクブ</t>
    </rPh>
    <phoneticPr fontId="1"/>
  </si>
  <si>
    <t>内藤　勲</t>
    <rPh sb="0" eb="2">
      <t>ナイトウ</t>
    </rPh>
    <rPh sb="3" eb="4">
      <t>イサオ</t>
    </rPh>
    <phoneticPr fontId="1"/>
  </si>
  <si>
    <t>教務部長</t>
    <rPh sb="0" eb="2">
      <t>キョウム</t>
    </rPh>
    <rPh sb="2" eb="4">
      <t>ブチョウ</t>
    </rPh>
    <phoneticPr fontId="1"/>
  </si>
  <si>
    <t>愛知学院大学データサイエンス教育プログラム委員会</t>
    <rPh sb="0" eb="2">
      <t>アイチ</t>
    </rPh>
    <rPh sb="2" eb="4">
      <t>ガクイン</t>
    </rPh>
    <rPh sb="4" eb="6">
      <t>ダイガク</t>
    </rPh>
    <rPh sb="14" eb="16">
      <t>キョウイク</t>
    </rPh>
    <rPh sb="21" eb="24">
      <t>イインカイ</t>
    </rPh>
    <phoneticPr fontId="1"/>
  </si>
  <si>
    <t>愛知学院大学データサイエンス教育プログラム委員会規程</t>
    <rPh sb="0" eb="2">
      <t>アイチ</t>
    </rPh>
    <rPh sb="2" eb="4">
      <t>ガクイン</t>
    </rPh>
    <rPh sb="4" eb="6">
      <t>ダイガク</t>
    </rPh>
    <rPh sb="14" eb="16">
      <t>キョウイク</t>
    </rPh>
    <rPh sb="21" eb="24">
      <t>イインカイ</t>
    </rPh>
    <rPh sb="24" eb="26">
      <t>キテイ</t>
    </rPh>
    <phoneticPr fontId="1"/>
  </si>
  <si>
    <t>愛知学院大学データサイエンス教育プログラム委員会</t>
    <rPh sb="0" eb="6">
      <t>アイチガクインダイガク</t>
    </rPh>
    <rPh sb="14" eb="16">
      <t>キョウイク</t>
    </rPh>
    <rPh sb="21" eb="24">
      <t>イインカイ</t>
    </rPh>
    <phoneticPr fontId="1"/>
  </si>
  <si>
    <t>総合政策学部、歯学部、薬学部は、本プログラムを必修科目のみで構成している。必修科目と選択科目で構成している商学部、経済学部と選択科目のみで構成している文学部、経営学部、法学部、心身科学部、心理学部では、教務課と連携して本プログラムの履修・修得状況のデータを共有している。なお、経営学部では、必修科目でないものの大半の学生の履修が確認されている。経営学部と心理学部では授業担当者が、受講者ごとの科目履修状況や課題への回答状況をTeamsやWebCampusを通じて把握できる環境となっている。以上のとおり、本プログラム構成科目を必修科目としている学部とそうでない学部に二分されるが、後者であっても、教務課との連携やネット環境の利用によりその履修・修得状況の把握に努めている。</t>
    <phoneticPr fontId="1"/>
  </si>
  <si>
    <t>セメスター毎に全学的に実施している「授業アンケート」において、対象分野への関心の高まりや知識・技能向上への役立ちといった項目を通じ、学生の理解度について分析し、その分析結果をもとにして学習内容に対する学生の理解度を推測している。</t>
    <phoneticPr fontId="1"/>
  </si>
  <si>
    <t>セメスター毎に全学的に実施している「授業アンケート」の回答結果に基づいて、後輩等他の学生への推奨度について推測している。このアンケートでは、「学問分野への関心」、「知識・技能などの向上」および「受講の満足度」を定量的に把握できる。これに加えて、「自由記述」欄の回答で受講生の具体的な意見を把握できる。定量的な分析だけでなく、この自由記述回答における肯定的な意見を踏まえて、推奨度を評価できる。これらの推奨度に関する分析結果をオリエンテーション等で学生に示し、未受講の学生への講義推奨に活用する。</t>
    <phoneticPr fontId="1"/>
  </si>
  <si>
    <t>総合政策学部、歯学部、薬学部では本プログラムを必修科目で構成している。特に、総合政策学部では再履修クラスを設けるなど、単位修得率の向上に向けた取り組みが行われている。必修科目と選択科目で構成している商学部・経済学部と選択科目のみで構成している文学部、経営学部、法学部、心身科学部、心理学部では、オリエンテーションや学習支援室、ホームページ等において、数理・データサイエンス・AI教育の内容についてガイダンスが行われ、より多くの学生が履修選択するように取り組んでいる。なお、商学部では、本年度オリエンテーションでの周知が行われていなかったが、次年度以降、オリエンテーションや講義内で周知し、履修者数を推進する取り組みを実施する予定である。</t>
    <phoneticPr fontId="1"/>
  </si>
  <si>
    <t>現在、すべての学部において本プログラム修了者が卒業していないため、進路、活躍状況および企業等の評価については、把握できていない。しかしながら、現在、各学部がその把握のための具体的な検討を行っている。
例えば、一部学部において、本学キャリアセンター就職課と連携した卒業生の採用状況の実態調査、同窓会を通じた在学生と卒業生の交流機会を利用したヒアリング、外部団体・協会による卒業生に対する就職実態調査、本学の近隣関係企業との交流を通じたヒアリング、卒業生調査による卒業生の進路先や活躍状況の把握等、多様な手法によって、調査結果等に基づいた点検・評価を予定している。</t>
    <phoneticPr fontId="1"/>
  </si>
  <si>
    <t>上記項目と同様、現在、本プログラム修了者が卒業していないため、実態を把握できていないが、既に各学部では具体的な検討を行っている。例えば、一部学部において、インターンシップの依頼がある企業、産学官連携講座の協力企業など、キャリアセンターと社会連携センターを通じて意見を収集すること、共同研究等提携企業および本学のシンポジウム等に参加している企業に対してアンケートを実施し、教育プログラムの手法について意見を収集すること、関連するシンポジウム等に参加している企業との意見交換を通じて、本学の取り組みの紹介と教育方法の知見を収集してプログラムの改善を行うこと等、多様な分析手法によって点検・評価を予定している。</t>
    <phoneticPr fontId="1"/>
  </si>
  <si>
    <t>「学ぶ楽しさ」「学ぶことの意義」を理解させるために、各学部や講義の特色に応じ、以下の取り組みを行っている。
①実務経験のある教員が、開発現場やビジネスで必要となる技術や知識を紹介する。
②時事やトレンドなどをもとにAIの活用を紹介し、好奇心を喚起する。
③学生アンケート等を活用し、興味関心の高いトピックを選定する。
④身近なデータサイエンスやAIに関する技術などを紹介し、学ぶ意義を高める。
⑤産業界の視点や意見をフィードバックする。
⑥将来の学びに備え、カリキュラム全体を周知する。
⑦学生が解決できない問題をフォローし、全員のプログラムの完成を目指す。
⑧目に見えて達成感を味わえる授業構成とする。</t>
    <phoneticPr fontId="1"/>
  </si>
  <si>
    <t>「分かりやすさ」の観点から、講義内容・方法の見直しを定期的に実施している。具体的には、各学部や講義の特色に応じて、以下の取り組みを行っている。
①学生アンケートや提携企業、卒業生からの意見を参考にした改善を行う。
②授業内で理解度を確認するための演習やワークを実施する。
③授業における課題や改善方法について、FD活動を通して教員間で共有、実践する。
④Teamsなどを活用し、問題を随時解消する。
⑤学習支援室を利用し、学生への相談体制を整備する。
⑥授業の各段階にて、学生が前進していることを自覚できる講義構成とする。
⑦身近な事例を交えて説明し、学生の興味関心を高める。
⑧科目間連携を高め、次の科目の理解度を高める。</t>
    <phoneticPr fontId="1"/>
  </si>
  <si>
    <t>「数理・データサイエンス・A I教育プログラム認定制度」に基づく認定プログラムの立案、実施、改善を継続的に行うため、愛知学院大学データサイエンス教育プログラム委員会を置く。
委員会は、具体的に、
(１)プログラムの立案、実施に関すること。
(２)プログラムの改善に関すること。
(３)プログラムの自己点検・評価に関すること。
(４)数理・データサイエンス・A I教育の全学的な普及、整備に関すること等について審議し、審議結果を学長及び各学部教授会に報告する。</t>
    <phoneticPr fontId="1"/>
  </si>
  <si>
    <t>・学生に対し、履修要項等の履修関係資料だけではなく、オリエンテーションや必修科目内で本プログラム認定制度について説明・周知するとともに、ポータルサイトでのメッセージ機能を用いて周知を行い、履修を促す。
　また、大学ホームページのプログラム専用ページにおいて周知するとともに、広報誌や本学専用アプリなどの媒体を通じたプログラム紹介を行い、多くの学生が情報を受け取りやすいように配慮している。
・具体的授業内容について、シラバスを通じて全学生に公開・周知し、興味を引くように努めている。
・今後は修了者による学生の声を取り上げて学修成果を発信する。</t>
    <phoneticPr fontId="1"/>
  </si>
  <si>
    <t>・必修科目等との重複開講を防ぐなど、時間割の工夫により、多くの学生が受講できるように対応する。
・文学部・法学部・心身科学部・心理学部以外の学部においては、自学部における専門科目をプログラム対応科目としているため、スムーズな履修登録が可能である。
　また、総合政策学部・歯学部・薬学部においては、必修の専門科目をプログラム対応科目としているため全学生の受講が可能となっている。
・学生からの学修上の相談や質問について、担当教員がTeamsやメール、オフィスアワーを通して受け付けることが可能で、多くの学生が修得できるよう支援を行っている。
・教員もプログラム内容について理解を深め、学生に周知するとともに、学生から相談があれば応じられるようにし、必要に応じて、科目担当者等とも連携し相談に応じられるようにする。</t>
    <rPh sb="255" eb="257">
      <t>シュウトク</t>
    </rPh>
    <phoneticPr fontId="1"/>
  </si>
  <si>
    <t xml:space="preserve">・Teamsのチャット利用、教員のメールアドレスやオフィスアワーをシラバスや授業を通して学生に伝え、授業時間外でも授業担当者が学生からの質問や指導上の連絡を受け付け、対応する仕組みを整備済である。
　必要に応じて、担当教員間で質問等の教育情報を共有して、教育改善に結びつける。
・PC教室(自習室)の開放を行い、学生がいつでも教材コンテンツにアクセスできるよう授業時間外の自学自習を促す。
</t>
    <phoneticPr fontId="1"/>
  </si>
  <si>
    <t>本プログラムを構成する全科目が学部提供科目で構成される商学部・経営学部・経済学部・総合政策学部・歯学部・薬学部の各学部では試験・課題等の成果・成績の経年的な比較や単位修得状況および講義担当者からのフィードバックをもとに学生の理解度や学修成果を把握できる。また、共通の教養教育科目により構成する文学部・法学部・心身科学部・心理学部も、教務課より提供された成績、授業アンケートデータおよび個別学生との面談機会のある学部では直接の面談結果により、学生の理解度や学修成果を把握できる。いずれの学部もその結果をデーターサイエンス教育プログラム委員会へ報告・共有し、教育プログラムの評価・改善を行う。</t>
    <rPh sb="133" eb="135">
      <t>キョウヨウ</t>
    </rPh>
    <phoneticPr fontId="1"/>
  </si>
  <si>
    <t>（１）委員長：　教務部長　内藤勲教授（経営学部）
（２）文学部　石川弓子准教授
　　 商学部　吉田聡教授
　　 経営学部　千葉賢准教授
　　 経済学部　渡邉隆俊教授
　　 法学部　山野嘉朗教授
　　 総合政策学部　中村悦大教授
　　 心身科学部　渡邉智之教授
　　 心理学部　谷伊織准教授
　　 歯学部　河合達志教授
　　 薬学部　山本浩充教授
　　 教養部　山下秀康准教授
（３）教務部事務部長　橋本秀晃
（４）教務部教務課長　花井久美子
（５）教養部長　佐々木真教授（教養部）・大学教学改革推進企画室事務長　加藤雅人</t>
    <phoneticPr fontId="1"/>
  </si>
  <si>
    <t>文学部、法学部、心身科学部、心理学部</t>
    <rPh sb="0" eb="3">
      <t>ブンガクブ</t>
    </rPh>
    <rPh sb="8" eb="10">
      <t>シンシン</t>
    </rPh>
    <rPh sb="10" eb="13">
      <t>カガクブ</t>
    </rPh>
    <rPh sb="14" eb="16">
      <t>シンリ</t>
    </rPh>
    <rPh sb="16" eb="18">
      <t>ガクブ</t>
    </rPh>
    <phoneticPr fontId="1"/>
  </si>
  <si>
    <t>（１）各年度の履修者数の目標値（履修率）
令和５年度　2927名(28％）
令和６年度　3887名（37％）
令和７年度　4699名（44％）
令和８年度　5361名（51％）
（２）目標達成に向けた具体的な方策
※総合政策学部・歯学部・薬学部においては、プログラム対応科目が必修科目であるため、全学生が履修し、年度進行に伴い、当プログラムの履修率は100％になる。
　（総合政策学部は令和7年度、歯学部・薬学部は令和9年度）
【令和5年度以降】　
・プログラムについて、学生へ配付している履修要項やポータルサイトでの案内を行い周知し、更に学期毎のオリエンテーションや履修指導において必要な履修科目や就職活動等におけるメリットを周知することにより、履修率の向上を目指す。
・前年度までの履修実績をモニタリングし、希望者や目標値の実現状況を確認し、次年度の取り組みを検討する。
・履修中の学生のモチベーションを維持・向上すべく、授業内での質疑応答のほか、オフィスアワーやメール等で相談・指導等体制を整えていく。</t>
    <rPh sb="221" eb="223">
      <t>イコウ</t>
    </rPh>
    <phoneticPr fontId="1"/>
  </si>
  <si>
    <t>1．文学部・法学部・心身科学部・心理学部においては、教養教育科目の一環として開講している「情報科学Ⅰ・Ⅱ」は1年次、「教養セミナーⅢ・Ⅳ」は2年次開講であり、希望する学生の履修計画に応じて履修出来る体制となっている。また、教室のPCの台数の関係上、受講者数制限があるが、異なる曜日・時限に同名の科目が複数開講されているため、ある程度の数の学生が受講することが可能な体制が整っている。
2．商学部・経営学部・経済学部・総合政策学部・歯学部・薬学部においては、自学部における専門科目をプログラム対応科目としているため、スムーズな履修登録が可能である。
3．総合政策学部・歯学部・薬学部においては、必修の専門科目をプログラム対応科目としているため全学生の受講が可能となっている。</t>
    <phoneticPr fontId="1"/>
  </si>
  <si>
    <t>・調査データ、実験データ「情報社会論」（5回目）
・人の行動ログデータ 「情報社会論」（9回目）</t>
    <rPh sb="1" eb="3">
      <t>チョウサ</t>
    </rPh>
    <rPh sb="7" eb="9">
      <t>ジッケン</t>
    </rPh>
    <rPh sb="26" eb="27">
      <t>ヒト</t>
    </rPh>
    <rPh sb="28" eb="30">
      <t>コウドウ</t>
    </rPh>
    <phoneticPr fontId="1"/>
  </si>
  <si>
    <t>・流通、製造、金融、サービス、インフラ、公共、ヘルスケア等におけるデータ・AI利活用事例紹介「情報社会論」（5、12回目）</t>
    <rPh sb="1" eb="3">
      <t>リュウツウ</t>
    </rPh>
    <rPh sb="4" eb="6">
      <t>セイゾウ</t>
    </rPh>
    <rPh sb="7" eb="9">
      <t>キンユウ</t>
    </rPh>
    <rPh sb="20" eb="22">
      <t>コウキョウ</t>
    </rPh>
    <rPh sb="28" eb="29">
      <t>トウ</t>
    </rPh>
    <rPh sb="39" eb="42">
      <t>リカツヨウ</t>
    </rPh>
    <rPh sb="42" eb="44">
      <t>ジレイ</t>
    </rPh>
    <rPh sb="44" eb="46">
      <t>ショウカイ</t>
    </rPh>
    <phoneticPr fontId="1"/>
  </si>
  <si>
    <t>・個人情報保護「情報リテラシーA」（2回目）
・データ倫理「情報セキュリティ」（2回目）</t>
    <rPh sb="27" eb="29">
      <t>リンリ</t>
    </rPh>
    <phoneticPr fontId="1"/>
  </si>
  <si>
    <t>・第4次産業革命、Society5.0「経営と情報Ⅱ」（14回目）</t>
    <rPh sb="30" eb="32">
      <t>カイメ</t>
    </rPh>
    <phoneticPr fontId="1"/>
  </si>
  <si>
    <t>・構造化データ「経営と情報Ⅰ」（10回目）</t>
    <rPh sb="1" eb="4">
      <t>コウゾウカ</t>
    </rPh>
    <phoneticPr fontId="1"/>
  </si>
  <si>
    <t>・認識技術、自動化技術「経営と情報Ⅰ」（14回目）
・非構造化データ処理「経営と情報Ⅱ」（10回目）
・データ可視化「経営統計Ⅰ」（3、6、11、12回目）</t>
    <rPh sb="1" eb="3">
      <t>ニンシキ</t>
    </rPh>
    <rPh sb="6" eb="9">
      <t>ジドウカ</t>
    </rPh>
    <rPh sb="9" eb="11">
      <t>ギジュツ</t>
    </rPh>
    <rPh sb="27" eb="28">
      <t>ヒ</t>
    </rPh>
    <rPh sb="28" eb="31">
      <t>コウゾウカ</t>
    </rPh>
    <rPh sb="34" eb="36">
      <t>ショリ</t>
    </rPh>
    <rPh sb="55" eb="58">
      <t>カシカ</t>
    </rPh>
    <phoneticPr fontId="1"/>
  </si>
  <si>
    <t>・データサイエンスのサイクル（データの取得・管理・加工）「経営統計Ⅰ」（2回目）
・データサイエンスのサイクル（データの取得・管理・加工）「経営統計Ⅱ」（12-15回目）
・流通、製造、金融、サービス、インフラ、公共、ヘルスケア等におけるデータ・AI利活用事例紹介「経営と情報Ⅰ」（15回目）</t>
    <rPh sb="19" eb="21">
      <t>シュトク</t>
    </rPh>
    <rPh sb="22" eb="24">
      <t>カンリ</t>
    </rPh>
    <rPh sb="25" eb="27">
      <t>カコウ</t>
    </rPh>
    <rPh sb="87" eb="89">
      <t>リュウツウ</t>
    </rPh>
    <rPh sb="90" eb="92">
      <t>セイゾウ</t>
    </rPh>
    <rPh sb="93" eb="95">
      <t>キンユウ</t>
    </rPh>
    <rPh sb="106" eb="108">
      <t>コウキョウ</t>
    </rPh>
    <rPh sb="114" eb="115">
      <t>トウ</t>
    </rPh>
    <rPh sb="125" eb="128">
      <t>リカツヨウ</t>
    </rPh>
    <rPh sb="128" eb="130">
      <t>ジレイ</t>
    </rPh>
    <rPh sb="130" eb="132">
      <t>ショウカイ</t>
    </rPh>
    <phoneticPr fontId="1"/>
  </si>
  <si>
    <t>・情報セキュリティ：機密性、完全性、可用性「経営と情報Ⅰ」（13、15回目）</t>
    <rPh sb="1" eb="3">
      <t>ジョウホウ</t>
    </rPh>
    <rPh sb="10" eb="13">
      <t>キミツセイ</t>
    </rPh>
    <rPh sb="14" eb="17">
      <t>カンゼンセイ</t>
    </rPh>
    <rPh sb="18" eb="21">
      <t>カヨウセイ</t>
    </rPh>
    <phoneticPr fontId="1"/>
  </si>
  <si>
    <t>・人間の知的活動とAIの関係性 「情報リテラシーII」（4、9、10回目）</t>
    <rPh sb="1" eb="3">
      <t>ニンゲン</t>
    </rPh>
    <rPh sb="4" eb="6">
      <t>チテキ</t>
    </rPh>
    <rPh sb="6" eb="8">
      <t>カツドウ</t>
    </rPh>
    <rPh sb="12" eb="15">
      <t>カンケイセイ</t>
    </rPh>
    <phoneticPr fontId="1"/>
  </si>
  <si>
    <t>・調査データ 「情報リテラシーII」（9回目）</t>
    <phoneticPr fontId="1"/>
  </si>
  <si>
    <t>・データ・AI活用領域の広がり（生産、消費、文化活動など）「情報の科学」（1、15回目）</t>
    <rPh sb="7" eb="9">
      <t>カツヨウ</t>
    </rPh>
    <rPh sb="12" eb="13">
      <t>ヒロ</t>
    </rPh>
    <rPh sb="16" eb="18">
      <t>セイサン</t>
    </rPh>
    <rPh sb="19" eb="21">
      <t>ショウヒ</t>
    </rPh>
    <rPh sb="22" eb="26">
      <t>ブンカカツドウ</t>
    </rPh>
    <phoneticPr fontId="1"/>
  </si>
  <si>
    <t>・流通、製造、金融、サービス、インフラ、公共、ヘルスケア等におけるデータ・AI利活用事例紹介「情報の科学」（3-5、15回目）</t>
    <rPh sb="1" eb="3">
      <t>リュウツウ</t>
    </rPh>
    <rPh sb="4" eb="6">
      <t>セイゾウ</t>
    </rPh>
    <rPh sb="7" eb="9">
      <t>キンユウ</t>
    </rPh>
    <rPh sb="20" eb="22">
      <t>コウキョウ</t>
    </rPh>
    <rPh sb="28" eb="29">
      <t>トウ</t>
    </rPh>
    <rPh sb="39" eb="42">
      <t>リカツヨウ</t>
    </rPh>
    <rPh sb="42" eb="44">
      <t>ジレイ</t>
    </rPh>
    <rPh sb="44" eb="46">
      <t>ショウカイ</t>
    </rPh>
    <phoneticPr fontId="1"/>
  </si>
  <si>
    <t>・データ可視化：地図上の可視化「データ分析Ⅰ」（13回目）
・データ解析：パターン発見「データ分析Ⅰ」（14回目）
・データ解析：予測「データ分析Ⅰ」（11-14回目）
・データ解析：予測 「データ分析Ⅰ」（11回目）</t>
    <rPh sb="4" eb="7">
      <t>カシカ</t>
    </rPh>
    <rPh sb="34" eb="36">
      <t>カイセキ</t>
    </rPh>
    <rPh sb="41" eb="43">
      <t>ハッケン</t>
    </rPh>
    <rPh sb="62" eb="64">
      <t>カイセキ</t>
    </rPh>
    <rPh sb="89" eb="91">
      <t>カイセキ</t>
    </rPh>
    <phoneticPr fontId="1"/>
  </si>
  <si>
    <t>・複数技術を組み合わせたAIサービス「情報の科学」（1回目）</t>
    <rPh sb="1" eb="3">
      <t>フクスウ</t>
    </rPh>
    <rPh sb="3" eb="5">
      <t>ギジュツ</t>
    </rPh>
    <rPh sb="6" eb="7">
      <t>ク</t>
    </rPh>
    <rPh sb="8" eb="9">
      <t>ア</t>
    </rPh>
    <phoneticPr fontId="1"/>
  </si>
  <si>
    <t>・AI最新技術の活用例「経済情報論A」（9、10、12回目）</t>
    <rPh sb="3" eb="5">
      <t>サイシン</t>
    </rPh>
    <rPh sb="28" eb="29">
      <t>メ</t>
    </rPh>
    <phoneticPr fontId="1"/>
  </si>
  <si>
    <t>・データ・AI活用領域の広がり（生産、消費、文化活動など）「情報リテラシーB」（1回目）</t>
    <rPh sb="7" eb="9">
      <t>カツヨウ</t>
    </rPh>
    <rPh sb="9" eb="11">
      <t>リョウイキ</t>
    </rPh>
    <rPh sb="12" eb="13">
      <t>ヒロ</t>
    </rPh>
    <rPh sb="16" eb="18">
      <t>セイサン</t>
    </rPh>
    <rPh sb="19" eb="21">
      <t>ショウヒ</t>
    </rPh>
    <rPh sb="22" eb="24">
      <t>ブンカ</t>
    </rPh>
    <rPh sb="24" eb="26">
      <t>カツドウ</t>
    </rPh>
    <phoneticPr fontId="1"/>
  </si>
  <si>
    <t>・データ可視化：複合グラフ「情報リテラシーB」（12回目）</t>
    <rPh sb="4" eb="7">
      <t>カシカ</t>
    </rPh>
    <rPh sb="8" eb="10">
      <t>フクゴウ</t>
    </rPh>
    <phoneticPr fontId="1"/>
  </si>
  <si>
    <t>・母集団と標本抽出、クロス集計表「情報リテラシーB」（13、14回目）</t>
    <rPh sb="1" eb="4">
      <t>ボシュウダン</t>
    </rPh>
    <rPh sb="5" eb="7">
      <t>ヒョウホン</t>
    </rPh>
    <rPh sb="7" eb="9">
      <t>チュウシュツ</t>
    </rPh>
    <rPh sb="13" eb="15">
      <t>シュウケイ</t>
    </rPh>
    <rPh sb="15" eb="16">
      <t>ヒョウ</t>
    </rPh>
    <phoneticPr fontId="1"/>
  </si>
  <si>
    <t>・データの集計（和）、データの並び替え、ランキング、データ解析ツール「情報リテラシーB」（7、8、13、14回目）</t>
    <rPh sb="5" eb="7">
      <t>シュウケイ</t>
    </rPh>
    <rPh sb="8" eb="9">
      <t>ワ</t>
    </rPh>
    <rPh sb="15" eb="16">
      <t>ナラ</t>
    </rPh>
    <rPh sb="17" eb="18">
      <t>カ</t>
    </rPh>
    <rPh sb="29" eb="31">
      <t>カイセキ</t>
    </rPh>
    <phoneticPr fontId="1"/>
  </si>
  <si>
    <t>・データ・AI活用領域の広がり（生産、消費、文化活動など）、研究開発「情報リテラシーII」（6回目）</t>
    <rPh sb="7" eb="9">
      <t>カツヨウ</t>
    </rPh>
    <rPh sb="9" eb="11">
      <t>リョウイキ</t>
    </rPh>
    <rPh sb="12" eb="13">
      <t>ヒロ</t>
    </rPh>
    <rPh sb="16" eb="18">
      <t>セイサン</t>
    </rPh>
    <rPh sb="19" eb="21">
      <t>ショウヒ</t>
    </rPh>
    <rPh sb="22" eb="24">
      <t>ブンカ</t>
    </rPh>
    <rPh sb="24" eb="26">
      <t>カツドウ</t>
    </rPh>
    <rPh sb="30" eb="32">
      <t>ケンキュウ</t>
    </rPh>
    <rPh sb="32" eb="34">
      <t>カイハツ</t>
    </rPh>
    <phoneticPr fontId="1"/>
  </si>
  <si>
    <t>・情報セキュリティ：機密性、完全性、可用性、暗号化「社会と歯学Ⅲ」（6回目）、「情報の科学」（1、5、15回目）</t>
    <rPh sb="1" eb="3">
      <t>ジョウホウセ</t>
    </rPh>
    <rPh sb="4" eb="13">
      <t>イ</t>
    </rPh>
    <rPh sb="14" eb="17">
      <t>カンゼンセイ</t>
    </rPh>
    <rPh sb="18" eb="21">
      <t>カヨウセイ</t>
    </rPh>
    <rPh sb="22" eb="25">
      <t>アンゴウカ</t>
    </rPh>
    <phoneticPr fontId="1"/>
  </si>
  <si>
    <t>・ビッグデータ、AI「情報社会論」（5回目）
・IoT「情報社会論」（12回目）</t>
    <phoneticPr fontId="1"/>
  </si>
  <si>
    <t>・AI最新技術の活用例「情報社会論」（5回目）
・AI等を活用した新しいビジネスモデル「情報社会論」（12回目）</t>
    <rPh sb="3" eb="5">
      <t>サイシン</t>
    </rPh>
    <rPh sb="5" eb="7">
      <t>ギジュツ</t>
    </rPh>
    <rPh sb="8" eb="10">
      <t>カツヨウ</t>
    </rPh>
    <rPh sb="10" eb="11">
      <t>レイ</t>
    </rPh>
    <rPh sb="27" eb="28">
      <t>トウ</t>
    </rPh>
    <rPh sb="29" eb="31">
      <t>カツヨウ</t>
    </rPh>
    <rPh sb="33" eb="34">
      <t>アタラ</t>
    </rPh>
    <phoneticPr fontId="1"/>
  </si>
  <si>
    <t>・データ・AI活用領域の広がり「情報社会論」（5、9回目）</t>
    <rPh sb="7" eb="9">
      <t>カツヨウ</t>
    </rPh>
    <rPh sb="12" eb="13">
      <t>ヒロ</t>
    </rPh>
    <phoneticPr fontId="1"/>
  </si>
  <si>
    <t>・情報セキュリティ：機密性、完全性、可用性「情報リテラシーA」（2回目）
・情報セキュリティ：機密性、完全性、可用性「情報セキュリティ」（2、11、12、13回目）
・暗号化「情報セキュリティ」（5、9回目）
・パスワード「情報セキュリティ」（14、15回目）</t>
    <rPh sb="1" eb="3">
      <t>ジョウホウ</t>
    </rPh>
    <rPh sb="10" eb="13">
      <t>キミツセイ</t>
    </rPh>
    <rPh sb="14" eb="17">
      <t>カンゼンセイ</t>
    </rPh>
    <rPh sb="18" eb="21">
      <t>カヨウセイ</t>
    </rPh>
    <rPh sb="84" eb="87">
      <t>アンゴウカ</t>
    </rPh>
    <rPh sb="112" eb="114">
      <t>ジョウホウ</t>
    </rPh>
    <rPh sb="127" eb="129">
      <t>カイメ</t>
    </rPh>
    <phoneticPr fontId="1"/>
  </si>
  <si>
    <t>・データの分布（ヒストグラム）と代表値「データ分析Ⅰ」（2、3回目）
・データのばらつき（分散、標準偏差）「データ分析Ⅰ」（4回目）
・相関と因果（相関係数）「データ分析Ⅰ」（7、8回目）
・クロス集計表「データ分析Ⅰ」（3回目）
・データの分布（ヒストグラム）と代表値（平均値、中央値）、データのばらつき（分散、標準偏差）「データ分析Ⅰ」（4回目）
・相関と因果（相関係数）「データ分析Ⅰ」（5回目）
・データのばらつき（分散、標準偏差）「データ分析Ⅰ」（7回目）
・相関と因果（相関係数）「データ分析Ⅰ」（10、11回目）</t>
    <rPh sb="5" eb="7">
      <t>ブンプ</t>
    </rPh>
    <rPh sb="16" eb="18">
      <t>ダイヒョウ</t>
    </rPh>
    <rPh sb="18" eb="19">
      <t>チ</t>
    </rPh>
    <rPh sb="71" eb="73">
      <t>インガ</t>
    </rPh>
    <rPh sb="74" eb="76">
      <t>ソウカン</t>
    </rPh>
    <rPh sb="76" eb="78">
      <t>ケイスウ</t>
    </rPh>
    <rPh sb="101" eb="102">
      <t>ヒョウ</t>
    </rPh>
    <rPh sb="121" eb="123">
      <t>ブンプ</t>
    </rPh>
    <rPh sb="132" eb="134">
      <t>ダイヒョウ</t>
    </rPh>
    <rPh sb="134" eb="135">
      <t>チ</t>
    </rPh>
    <rPh sb="177" eb="179">
      <t>ソウカン</t>
    </rPh>
    <rPh sb="180" eb="182">
      <t>インガ</t>
    </rPh>
    <rPh sb="183" eb="185">
      <t>ソウカン</t>
    </rPh>
    <rPh sb="185" eb="187">
      <t>ケイスウ</t>
    </rPh>
    <phoneticPr fontId="1"/>
  </si>
  <si>
    <t>・データ表現（棒グラフ、折線グラフ、散布図）「データ分析Ⅰ」（2、6、7、9回目）
・データ表現（棒グラフ、折線グラフ、散布図、ヒートマップ）「データ分析Ⅰ」（6、7回目）
・データの図表表現（チャート化） 「データ分析Ⅰ」（3回目）
・データ表現（棒グラフ、折線グラフ、散布図）「データ分析Ⅰ」（6、9回目）
・データ表現（棒グラフ、折線グラフ、散布図）「情報リテラシーB」（11-13回目）</t>
    <rPh sb="4" eb="6">
      <t>ヒョウゲン</t>
    </rPh>
    <rPh sb="7" eb="8">
      <t>ボウ</t>
    </rPh>
    <rPh sb="12" eb="14">
      <t>オレセン</t>
    </rPh>
    <rPh sb="18" eb="20">
      <t>サンプ</t>
    </rPh>
    <rPh sb="20" eb="21">
      <t>ズ</t>
    </rPh>
    <rPh sb="46" eb="48">
      <t>ヒョウゲン</t>
    </rPh>
    <rPh sb="92" eb="94">
      <t>ズヒョウ</t>
    </rPh>
    <rPh sb="94" eb="96">
      <t>ヒョウゲン</t>
    </rPh>
    <rPh sb="101" eb="102">
      <t>カ</t>
    </rPh>
    <phoneticPr fontId="1"/>
  </si>
  <si>
    <t>・データの集計（和、平均）、データの並び替え、ランキング「データ分析Ⅰ」（9、12回目）
・データの集計（和、平均）「データ分析Ⅰ」（2、3回目）
・データの集計（和、平均）、データの並び替え、データ解析ツール「データ分析Ⅰ」（1、2、5、14回目）
・データの集計「情報リテラシーB」（7回目）</t>
    <rPh sb="18" eb="19">
      <t>ナラ</t>
    </rPh>
    <rPh sb="20" eb="21">
      <t>カ</t>
    </rPh>
    <rPh sb="53" eb="54">
      <t>ワ</t>
    </rPh>
    <rPh sb="55" eb="57">
      <t>ヘイキン</t>
    </rPh>
    <rPh sb="79" eb="81">
      <t>シュウケイ</t>
    </rPh>
    <rPh sb="82" eb="83">
      <t>ワ</t>
    </rPh>
    <rPh sb="84" eb="86">
      <t>ヘイキン</t>
    </rPh>
    <rPh sb="92" eb="93">
      <t>ナラ</t>
    </rPh>
    <rPh sb="94" eb="95">
      <t>カ</t>
    </rPh>
    <phoneticPr fontId="1"/>
  </si>
  <si>
    <t>・AI等を活用した新しいビジネスモデル「経営と情報Ⅱ」（10回目）</t>
    <phoneticPr fontId="1"/>
  </si>
  <si>
    <t>・データ・AI活用領域の広がり「経営と情報Ⅰ」（14、15回目）
・研究開発、調達、製造、物流、販売、マーケティング、サービスなど「経営と情報Ⅱ」（4-8回目）</t>
    <rPh sb="9" eb="11">
      <t>リョウイキ</t>
    </rPh>
    <rPh sb="12" eb="13">
      <t>ヒロ</t>
    </rPh>
    <rPh sb="34" eb="36">
      <t>ケンキュウ</t>
    </rPh>
    <rPh sb="36" eb="38">
      <t>カイハツ</t>
    </rPh>
    <rPh sb="39" eb="41">
      <t>チョウタツ</t>
    </rPh>
    <rPh sb="42" eb="44">
      <t>セイゾウ</t>
    </rPh>
    <rPh sb="45" eb="47">
      <t>ブツリュウ</t>
    </rPh>
    <rPh sb="48" eb="50">
      <t>ハンバイ</t>
    </rPh>
    <rPh sb="78" eb="79">
      <t>メ</t>
    </rPh>
    <phoneticPr fontId="1"/>
  </si>
  <si>
    <t>・データ倫理「経営と情報Ⅰ」（15回目）</t>
    <rPh sb="4" eb="6">
      <t>リンリ</t>
    </rPh>
    <phoneticPr fontId="1"/>
  </si>
  <si>
    <t>・データの種類「経営統計Ⅰ」（2回目）
・クロス集計表「経営統計Ⅰ」（4、5回目）
・データの分布（ヒストグラム）と代表値（平均値、中央値、最頻値）「経営統計Ⅰ」（3、6、8回目）
・データのばらつき（分散、標準偏差）「経営統計Ⅰ」（9回目）
・相関と因果（相関係数、擬似相関）「経営統計Ⅰ」（11-13回目）
・相関と因果（相関係数、擬似相関）「経営統計Ⅱ」（10、11回目）</t>
    <rPh sb="47" eb="49">
      <t>ブンプ</t>
    </rPh>
    <rPh sb="58" eb="60">
      <t>ダイヒョウ</t>
    </rPh>
    <rPh sb="60" eb="61">
      <t>チ</t>
    </rPh>
    <rPh sb="101" eb="103">
      <t>ブンサン</t>
    </rPh>
    <rPh sb="104" eb="106">
      <t>ヒョウジュン</t>
    </rPh>
    <rPh sb="106" eb="108">
      <t>ヘンサ</t>
    </rPh>
    <rPh sb="123" eb="125">
      <t>ソウカン</t>
    </rPh>
    <rPh sb="126" eb="128">
      <t>インガ</t>
    </rPh>
    <rPh sb="129" eb="131">
      <t>ソウカン</t>
    </rPh>
    <rPh sb="131" eb="133">
      <t>ケイスウ</t>
    </rPh>
    <rPh sb="134" eb="136">
      <t>ギジ</t>
    </rPh>
    <phoneticPr fontId="1"/>
  </si>
  <si>
    <t>・データ表現（棒グラフ）「情報リテラシーⅡ」（1回目）
・データ表現（棒グラフ、円グラフ、複合グラフ）「情報リテラシーⅠ」（14、15回目）
・データ表現（棒グラフ、円グラフ、帯グラフ）「経営統計Ⅰ」（3回目）</t>
    <rPh sb="4" eb="6">
      <t>ヒョウゲン</t>
    </rPh>
    <rPh sb="7" eb="8">
      <t>ボウ</t>
    </rPh>
    <rPh sb="32" eb="34">
      <t>ヒョウゲン</t>
    </rPh>
    <rPh sb="40" eb="41">
      <t>エン</t>
    </rPh>
    <rPh sb="45" eb="47">
      <t>フクゴウ</t>
    </rPh>
    <rPh sb="75" eb="77">
      <t>ヒョウゲン</t>
    </rPh>
    <rPh sb="78" eb="79">
      <t>ボウ</t>
    </rPh>
    <rPh sb="83" eb="84">
      <t>エン</t>
    </rPh>
    <rPh sb="88" eb="89">
      <t>オビ</t>
    </rPh>
    <phoneticPr fontId="1"/>
  </si>
  <si>
    <t>・データ解析ツール「情報リテラシーⅠ」（14、15回目）
・データの並び替え、ランキング「情報リテラシーⅡ」（3回目）
・データの集計「経営統計Ⅰ」（2、4-6回目）
・データの集計「経営統計Ⅱ」（10回目）</t>
    <rPh sb="4" eb="6">
      <t>カイセキ</t>
    </rPh>
    <rPh sb="34" eb="35">
      <t>ナラ</t>
    </rPh>
    <rPh sb="36" eb="37">
      <t>カ</t>
    </rPh>
    <rPh sb="65" eb="67">
      <t>シュウケイ</t>
    </rPh>
    <rPh sb="89" eb="91">
      <t>シュウケイ</t>
    </rPh>
    <phoneticPr fontId="1"/>
  </si>
  <si>
    <t>・調査データ、人の行動ログデータ「情報リテラシーB」（1回目）</t>
    <rPh sb="1" eb="3">
      <t>チョウサ</t>
    </rPh>
    <rPh sb="7" eb="8">
      <t>ヒト</t>
    </rPh>
    <rPh sb="9" eb="11">
      <t>コウドウ</t>
    </rPh>
    <phoneticPr fontId="1"/>
  </si>
  <si>
    <t>・データサイエンスのサイクル（データの取得・管理・加工）「情報リテラシーB」（13、14回目）</t>
    <rPh sb="19" eb="21">
      <t>シュトク</t>
    </rPh>
    <rPh sb="22" eb="24">
      <t>カンリ</t>
    </rPh>
    <rPh sb="25" eb="27">
      <t>カコウ</t>
    </rPh>
    <phoneticPr fontId="1"/>
  </si>
  <si>
    <t>・暗号化、パスワード、情報漏洩等によるセキュリティ事故の事例紹介「情報リテラシーA」（3、13回目）</t>
    <rPh sb="1" eb="4">
      <t>アンゴウカ</t>
    </rPh>
    <rPh sb="11" eb="13">
      <t>ジョウホウ</t>
    </rPh>
    <rPh sb="13" eb="15">
      <t>ロウエイ</t>
    </rPh>
    <rPh sb="15" eb="16">
      <t>トウ</t>
    </rPh>
    <rPh sb="25" eb="27">
      <t>ジコ</t>
    </rPh>
    <rPh sb="28" eb="30">
      <t>ジレイ</t>
    </rPh>
    <rPh sb="30" eb="32">
      <t>ショウカイ</t>
    </rPh>
    <phoneticPr fontId="1"/>
  </si>
  <si>
    <t>・データ表現（棒グラフ、折線グラフ、円グラフ）「情報リテラシーB」（11回目）</t>
    <rPh sb="4" eb="6">
      <t>ヒョウゲン</t>
    </rPh>
    <rPh sb="7" eb="8">
      <t>ボウ</t>
    </rPh>
    <rPh sb="12" eb="14">
      <t>オレセン</t>
    </rPh>
    <rPh sb="18" eb="19">
      <t>エン</t>
    </rPh>
    <phoneticPr fontId="1"/>
  </si>
  <si>
    <t>・データ倫理：盗用、プライバシー保護、忘れられる権利、オプトアウト、データバイアス、アルゴリズムバイアス「情報リテラシーA」（4-7、9、10、12回目）</t>
    <rPh sb="4" eb="6">
      <t>リンリ</t>
    </rPh>
    <rPh sb="7" eb="9">
      <t>トウヨウ</t>
    </rPh>
    <phoneticPr fontId="1"/>
  </si>
  <si>
    <t>・ビッグデータ、IoT、AI「経済情報論A」（2-4、9、11、13回目）</t>
    <phoneticPr fontId="1"/>
  </si>
  <si>
    <t>・AI等を活用した新しいビジネスモデル、AI最新技術の活用例「情報リテラシーII」（13、14回目）</t>
    <rPh sb="22" eb="24">
      <t>サイシン</t>
    </rPh>
    <rPh sb="24" eb="26">
      <t>ギジュツ</t>
    </rPh>
    <rPh sb="27" eb="29">
      <t>カツヨウ</t>
    </rPh>
    <rPh sb="29" eb="30">
      <t>レイ</t>
    </rPh>
    <phoneticPr fontId="1"/>
  </si>
  <si>
    <t>・データサイエンスのサイクル（課題解決に向けた提案）、流通、製造、金融、サービス、インフラ、公共、ヘルスケア等におけるデータ・AI利活用事例紹介 「情報リテラシーII」（13回目）</t>
    <rPh sb="15" eb="17">
      <t>カダイ</t>
    </rPh>
    <rPh sb="17" eb="19">
      <t>カイケツ</t>
    </rPh>
    <rPh sb="20" eb="21">
      <t>ム</t>
    </rPh>
    <rPh sb="23" eb="25">
      <t>テイアン</t>
    </rPh>
    <rPh sb="27" eb="29">
      <t>リュウツウ</t>
    </rPh>
    <rPh sb="30" eb="32">
      <t>セイゾウ</t>
    </rPh>
    <rPh sb="33" eb="35">
      <t>キンユウ</t>
    </rPh>
    <rPh sb="46" eb="48">
      <t>コウキョウ</t>
    </rPh>
    <rPh sb="54" eb="55">
      <t>トウ</t>
    </rPh>
    <rPh sb="65" eb="68">
      <t>リカツヨウ</t>
    </rPh>
    <rPh sb="68" eb="70">
      <t>ジレイ</t>
    </rPh>
    <rPh sb="70" eb="72">
      <t>ショウカイ</t>
    </rPh>
    <phoneticPr fontId="1"/>
  </si>
  <si>
    <t>・プライバシー保護、個人情報保護、AI社会原則、AIサービスの責任論 「情報リテラシーII」（10、14回目）</t>
    <rPh sb="7" eb="9">
      <t>ホゴ</t>
    </rPh>
    <rPh sb="19" eb="21">
      <t>シャカイ</t>
    </rPh>
    <rPh sb="21" eb="23">
      <t>ゲンソク</t>
    </rPh>
    <rPh sb="31" eb="33">
      <t>セキニン</t>
    </rPh>
    <rPh sb="33" eb="34">
      <t>ロン</t>
    </rPh>
    <phoneticPr fontId="1"/>
  </si>
  <si>
    <t>・情報セキュリティ：機密性、完全性、可用性「情報リテラシーII」（10回目）</t>
    <rPh sb="1" eb="3">
      <t>ジョウホウ</t>
    </rPh>
    <rPh sb="10" eb="13">
      <t>キミツセイ</t>
    </rPh>
    <rPh sb="14" eb="17">
      <t>カンゼンセイ</t>
    </rPh>
    <rPh sb="18" eb="21">
      <t>カヨウセイ</t>
    </rPh>
    <phoneticPr fontId="1"/>
  </si>
  <si>
    <t>・AI最新技術の活用例「情報の科学」（1回目）</t>
    <rPh sb="3" eb="5">
      <t>サイシン</t>
    </rPh>
    <rPh sb="5" eb="7">
      <t>ギジュツ</t>
    </rPh>
    <rPh sb="8" eb="10">
      <t>カツヨウ</t>
    </rPh>
    <rPh sb="10" eb="11">
      <t>レイ</t>
    </rPh>
    <phoneticPr fontId="1"/>
  </si>
  <si>
    <r>
      <t>・調査データ、実験データ、人の行動ログデータ「社会と歯学Ⅰ」（4、10回目）「社会と歯学Ⅱ（春）」（14回目）「社会と歯学Ⅲ」（15回目）
・構造化データ</t>
    </r>
    <r>
      <rPr>
        <sz val="12"/>
        <rFont val="ＭＳ Ｐゴシック"/>
        <family val="3"/>
        <charset val="128"/>
        <scheme val="minor"/>
      </rPr>
      <t>、非構造化データ</t>
    </r>
    <r>
      <rPr>
        <sz val="12"/>
        <color theme="1"/>
        <rFont val="ＭＳ Ｐゴシック"/>
        <family val="3"/>
        <charset val="128"/>
        <scheme val="minor"/>
      </rPr>
      <t>「情報の科学」（1、5、15回目）</t>
    </r>
    <rPh sb="1" eb="3">
      <t>チョウサ</t>
    </rPh>
    <rPh sb="7" eb="9">
      <t>ジッケン</t>
    </rPh>
    <rPh sb="13" eb="14">
      <t>ヒト</t>
    </rPh>
    <rPh sb="15" eb="17">
      <t>コウドウ</t>
    </rPh>
    <rPh sb="73" eb="74">
      <t>カ</t>
    </rPh>
    <rPh sb="78" eb="79">
      <t>ヒ</t>
    </rPh>
    <rPh sb="79" eb="82">
      <t>コウゾウカ</t>
    </rPh>
    <phoneticPr fontId="1"/>
  </si>
  <si>
    <r>
      <t>・非構造化データ処理：言語処理</t>
    </r>
    <r>
      <rPr>
        <sz val="12"/>
        <rFont val="ＭＳ Ｐゴシック"/>
        <family val="3"/>
        <charset val="128"/>
        <scheme val="minor"/>
      </rPr>
      <t>、画像/動画処理</t>
    </r>
    <r>
      <rPr>
        <sz val="12"/>
        <color theme="1"/>
        <rFont val="ＭＳ Ｐゴシック"/>
        <family val="3"/>
        <charset val="128"/>
        <scheme val="minor"/>
      </rPr>
      <t>「情報の科学」（3-11、14、15回目）</t>
    </r>
    <rPh sb="1" eb="2">
      <t>ヒ</t>
    </rPh>
    <rPh sb="2" eb="5">
      <t>コウゾウカ</t>
    </rPh>
    <rPh sb="8" eb="10">
      <t>ショリ</t>
    </rPh>
    <rPh sb="11" eb="13">
      <t>ゲンゴ</t>
    </rPh>
    <rPh sb="13" eb="15">
      <t>ショリ</t>
    </rPh>
    <rPh sb="16" eb="18">
      <t>ガゾウ</t>
    </rPh>
    <rPh sb="19" eb="21">
      <t>ドウガ</t>
    </rPh>
    <rPh sb="21" eb="23">
      <t>ショリ</t>
    </rPh>
    <phoneticPr fontId="1"/>
  </si>
  <si>
    <t>・個人情報保護、データ倫理、AI社会原則、AIサービスの責任論「社会と歯学Ⅲ」（6回目）、「情報の科学」（1、5、15回目）</t>
    <rPh sb="1" eb="3">
      <t>コジン</t>
    </rPh>
    <rPh sb="3" eb="5">
      <t>ジョウホウ</t>
    </rPh>
    <rPh sb="5" eb="7">
      <t>ホゴ</t>
    </rPh>
    <rPh sb="11" eb="13">
      <t>リンリ</t>
    </rPh>
    <rPh sb="16" eb="20">
      <t>シャカイゲンソク</t>
    </rPh>
    <rPh sb="28" eb="30">
      <t>セキニン</t>
    </rPh>
    <rPh sb="30" eb="31">
      <t>ロン</t>
    </rPh>
    <phoneticPr fontId="1"/>
  </si>
  <si>
    <t>・データの種類、データの分布（ヒストグラム）と代表値、データのばらつき、母集団と標本抽出「社会と歯学Ⅰ」（2回目）「社会と歯学Ⅱ（春）」（11回目）「実習：社会と歯学」（3回目）
・クロス集計表「情報の科学」（3、4回目）</t>
    <rPh sb="94" eb="96">
      <t>シュウケイ</t>
    </rPh>
    <rPh sb="96" eb="97">
      <t>ヒョウ</t>
    </rPh>
    <phoneticPr fontId="1"/>
  </si>
  <si>
    <t>・データ表現（棒グラフ、折線グラフ、散布図）「社会と歯学Ⅱ（春）」（12回目）「情報の科学」（3、4回目）</t>
    <rPh sb="4" eb="6">
      <t>ヒョウゲン</t>
    </rPh>
    <rPh sb="7" eb="8">
      <t>ボウ</t>
    </rPh>
    <rPh sb="12" eb="14">
      <t>オレセン</t>
    </rPh>
    <rPh sb="18" eb="20">
      <t>サンプ</t>
    </rPh>
    <rPh sb="20" eb="21">
      <t>ズ</t>
    </rPh>
    <phoneticPr fontId="1"/>
  </si>
  <si>
    <t>・今のAIで出来ることと出来ないこと、自動化技術「情報リテラシーII」（5回目） 
・特化型AIと汎用AI 「情報リテラシーII」（6回目）</t>
    <rPh sb="1" eb="2">
      <t>イマ</t>
    </rPh>
    <rPh sb="6" eb="8">
      <t>デキ</t>
    </rPh>
    <rPh sb="12" eb="14">
      <t>デキ</t>
    </rPh>
    <phoneticPr fontId="1"/>
  </si>
  <si>
    <t>・データの集計、データの並び替え、データ解析ツール「実習：社会と歯学」（3回目）
・データの集計、表形式のデータ「情報の科学」（3、4、6−14回目）</t>
    <rPh sb="5" eb="7">
      <t>シュウケイ</t>
    </rPh>
    <rPh sb="12" eb="13">
      <t>ナラ</t>
    </rPh>
    <rPh sb="14" eb="15">
      <t>カ</t>
    </rPh>
    <rPh sb="20" eb="22">
      <t>カイセキ</t>
    </rPh>
    <rPh sb="46" eb="48">
      <t>シュウケイ</t>
    </rPh>
    <rPh sb="49" eb="52">
      <t>ヒョウケイシキ</t>
    </rPh>
    <phoneticPr fontId="1"/>
  </si>
  <si>
    <r>
      <t>・ビッ</t>
    </r>
    <r>
      <rPr>
        <sz val="12"/>
        <rFont val="ＭＳ Ｐゴシック"/>
        <family val="3"/>
        <charset val="128"/>
        <scheme val="minor"/>
      </rPr>
      <t>グ</t>
    </r>
    <r>
      <rPr>
        <sz val="12"/>
        <color theme="1"/>
        <rFont val="ＭＳ Ｐゴシック"/>
        <family val="3"/>
        <charset val="128"/>
        <scheme val="minor"/>
      </rPr>
      <t>データ、第4次産業革命、データ駆動型社会「情報科学Ⅰ」（6回目）
・ビッグデータ、AI、第4次産業革命「情報科学Ⅰ」（2-4回目）
・ビッグデータ、計算機の処理性能の向上「情報科学Ⅰ」（1回目）
・ビッグデータ「情報科学Ⅰ」（2回目）
・人間の知的活動とAIの関係性「情報科学Ⅰ」（1回目）</t>
    </r>
    <phoneticPr fontId="1"/>
  </si>
  <si>
    <t>・AI等を活用した新しいビジネスモデル「情報科学Ⅱ」（2回目）
・AI最新技術の活用例「情報科学Ⅱ」（4回目）
・AI等を活用した新しいビジネスモデル「情報科学Ⅰ」（12回目）
・AI最新技術の活用例（強化学習）「情報科学Ⅱ」（2回目）
・AI等を活用した新しいビジネスモデル「情報科学Ⅱ」（1回目）
・AI最新技術の活用例（強化学習）「情報科学Ⅱ」（2回目）</t>
    <rPh sb="59" eb="60">
      <t>トウ</t>
    </rPh>
    <rPh sb="61" eb="63">
      <t>カツヨウ</t>
    </rPh>
    <rPh sb="65" eb="66">
      <t>アタラ</t>
    </rPh>
    <rPh sb="101" eb="103">
      <t>キョウカ</t>
    </rPh>
    <rPh sb="103" eb="105">
      <t>ガクシュウ</t>
    </rPh>
    <rPh sb="163" eb="165">
      <t>キョウカ</t>
    </rPh>
    <rPh sb="165" eb="167">
      <t>ガクシュウ</t>
    </rPh>
    <phoneticPr fontId="1"/>
  </si>
  <si>
    <t>・構造化データ「情報科学Ⅰ」（1回目）
・データのメタ化「情報科学Ⅰ」（2回目）
・調査データ、人の行動ログデータ、機械の稼働ログデータ、構造化データ、非構造化データ「情報科学Ⅰ」（7回目）
・構造化データ、非構造化データ「情報科学Ⅰ」（7回目）
・調査データ、実験データ、構造化データ、非構造化データ「情報科学Ⅰ」（1回目）</t>
    <rPh sb="27" eb="28">
      <t>カ</t>
    </rPh>
    <rPh sb="48" eb="49">
      <t>ヒト</t>
    </rPh>
    <phoneticPr fontId="1"/>
  </si>
  <si>
    <t>・データ・AI活用領域の広がり（生産、消費、文化活動など）、仮説検証「情報科学Ⅰ」（7回目）
・データ・AI活用領域の広がり「情報科学Ⅰ」（13回目）
・データ・AI活用領域の広がり（生産、消費、文化活動など）、仮説検証、知識発見、原因究明「情報科学Ⅰ」（2回目）
・データ・AI活用領域の広がり「情報科学Ⅰ」（5回目）
・データ・AI活用領域の広がり（生産、消費、文化活動など）「情報科学Ⅰ」（3回目）</t>
    <phoneticPr fontId="1"/>
  </si>
  <si>
    <t>・データ解析：予測、グルーピング、パターン発見、データ可視化、非構造化データ処理、今のAIで出来ることと出来ないこと「情報科学Ⅱ」（1回目）
・データ可視化「情報科学Ⅱ」（2回目）
・データ解析、データ可視化「情報科学Ⅰ」（6、10回目）
・データ解析：予測、グルーピング、パターン発見、データ可視化：複合グラフ、2軸グラフ「情報科学Ⅱ」（1回目）
・データ解析：最適化「情報科学Ⅱ」（7、8回目）
・データ可視化：複合グラフ、2軸グラフ「情報科学Ⅱ」（9回目）</t>
    <rPh sb="27" eb="30">
      <t>カシカ</t>
    </rPh>
    <rPh sb="31" eb="32">
      <t>ヒ</t>
    </rPh>
    <rPh sb="32" eb="35">
      <t>コウゾウカ</t>
    </rPh>
    <rPh sb="38" eb="40">
      <t>ショリ</t>
    </rPh>
    <rPh sb="179" eb="181">
      <t>カイセキ</t>
    </rPh>
    <rPh sb="208" eb="210">
      <t>フクゴウ</t>
    </rPh>
    <rPh sb="215" eb="216">
      <t>ジク</t>
    </rPh>
    <phoneticPr fontId="1"/>
  </si>
  <si>
    <t>・データサイエンスのサイクル（データ解析と推論）、流通、製造、金融、サービス、インフラ、公共、ヘルスケア等におけるデータ・AI利活用事例紹介「情報科学Ⅱ」（1回目）
・データサイエンスのサイクル（課題抽出と定式化）「情報科学Ⅱ」（7、8回目）
・データサイエンスのサイクル「情報科学Ⅱ」（2回目）
・流通、製造、金融、サービス、インフラ、公共、ヘルスケア等におけるデータ・AI利活用事例紹介「情報科学Ⅱ」（1回目）
・データサイエンスのサイクル（データの取得・管理・加工）「情報科学Ⅱ」（3回目）</t>
    <rPh sb="25" eb="27">
      <t>リュウツウ</t>
    </rPh>
    <rPh sb="28" eb="30">
      <t>セイゾウ</t>
    </rPh>
    <rPh sb="31" eb="33">
      <t>キンユウ</t>
    </rPh>
    <rPh sb="44" eb="46">
      <t>コウキョウ</t>
    </rPh>
    <rPh sb="52" eb="53">
      <t>トウ</t>
    </rPh>
    <phoneticPr fontId="1"/>
  </si>
  <si>
    <t>・データ倫理：データのねつ造、改ざん、盗用、プライバシー保護「教養セミナーⅣ」（1回目）</t>
    <rPh sb="4" eb="6">
      <t>リンリ</t>
    </rPh>
    <rPh sb="13" eb="14">
      <t>ゾウ</t>
    </rPh>
    <rPh sb="15" eb="16">
      <t>カイ</t>
    </rPh>
    <rPh sb="19" eb="21">
      <t>トウヨウ</t>
    </rPh>
    <rPh sb="28" eb="30">
      <t>ホゴ</t>
    </rPh>
    <phoneticPr fontId="1"/>
  </si>
  <si>
    <t>・情報セキュリティ：機密性、完全性、可用性「教養セミナーⅣ」（1回目）</t>
    <rPh sb="1" eb="3">
      <t>ジョウホウ</t>
    </rPh>
    <rPh sb="10" eb="12">
      <t>キミツ</t>
    </rPh>
    <rPh sb="12" eb="13">
      <t>セイ</t>
    </rPh>
    <rPh sb="14" eb="17">
      <t>カンゼンセイ</t>
    </rPh>
    <rPh sb="18" eb="21">
      <t>カヨウセイ</t>
    </rPh>
    <phoneticPr fontId="1"/>
  </si>
  <si>
    <t>・データのばらつき（分散、標準偏差、偏差値）、観測データに含まれる誤差の扱い、打ち切りや脱落を含むデータ、層別の必要なデータ、相関と因果（相関係数、擬似相関、交絡）「情報科学Ⅱ」（6-9回目）
・データの分布（ヒストグラム）と代表値（平均値、中央値、最頻値）、相関と因果（相関係数、擬似相関、交絡）、クロス集計表、分割表、相関係数行列、散布図行列「教養セミナーⅢ」（4、5、7、8、10、11回目）</t>
    <rPh sb="23" eb="25">
      <t>カンソク</t>
    </rPh>
    <rPh sb="29" eb="30">
      <t>フク</t>
    </rPh>
    <rPh sb="36" eb="37">
      <t>アツカ</t>
    </rPh>
    <rPh sb="155" eb="156">
      <t>ヒョウ</t>
    </rPh>
    <phoneticPr fontId="1"/>
  </si>
  <si>
    <t>・データ表現（棒グラフ、円グラフ、帯グラフ）「情報科学Ⅱ」（12、13回目）
・データ表現「情報科学Ⅱ」（10-12回目）
・データ表現「教養セミナーⅢ」（4、5、7、8、10、11回目）</t>
    <rPh sb="12" eb="13">
      <t>エン</t>
    </rPh>
    <rPh sb="17" eb="18">
      <t>オビ</t>
    </rPh>
    <rPh sb="43" eb="45">
      <t>ヒョウゲン</t>
    </rPh>
    <rPh sb="66" eb="68">
      <t>ヒョウゲン</t>
    </rPh>
    <phoneticPr fontId="1"/>
  </si>
  <si>
    <t>・データ解析ツール「情報科学Ⅱ」（13回目）
・データの集計（平均）「教養セミナーⅢ」（6回目）</t>
    <rPh sb="28" eb="30">
      <t>シュウケイ</t>
    </rPh>
    <rPh sb="31" eb="33">
      <t>ヘイキン</t>
    </rPh>
    <phoneticPr fontId="1"/>
  </si>
  <si>
    <t>・データの種類「データ分析I」（6-8回目）
・データの分布（ヒストグラム）と代表値「データ分析I」（11、12回目）
・クロス集計表「データ分析I」（13回目）</t>
    <rPh sb="5" eb="7">
      <t>シュルイ</t>
    </rPh>
    <rPh sb="28" eb="30">
      <t>ブンプ</t>
    </rPh>
    <rPh sb="39" eb="41">
      <t>ダイヒョウ</t>
    </rPh>
    <rPh sb="41" eb="42">
      <t>チ</t>
    </rPh>
    <phoneticPr fontId="1"/>
  </si>
  <si>
    <t>・データ表現、データの図表表現「データ分析I」（2-5、7-8回目）</t>
    <rPh sb="4" eb="6">
      <t>ヒョウゲン</t>
    </rPh>
    <rPh sb="11" eb="13">
      <t>ズヒョウ</t>
    </rPh>
    <rPh sb="13" eb="15">
      <t>ヒョウゲン</t>
    </rPh>
    <phoneticPr fontId="1"/>
  </si>
  <si>
    <t>・データの集計、データの並び替え、ランキング「データ分析I」（2、3回目）</t>
    <rPh sb="5" eb="7">
      <t>シュウケイ</t>
    </rPh>
    <rPh sb="12" eb="13">
      <t>ナラ</t>
    </rPh>
    <rPh sb="14" eb="15">
      <t>カ</t>
    </rPh>
    <phoneticPr fontId="1"/>
  </si>
  <si>
    <r>
      <t>・ビッグデータ</t>
    </r>
    <r>
      <rPr>
        <sz val="12"/>
        <rFont val="ＭＳ Ｐゴシック"/>
        <family val="3"/>
        <charset val="128"/>
        <scheme val="minor"/>
      </rPr>
      <t>、AI</t>
    </r>
    <r>
      <rPr>
        <sz val="12"/>
        <color theme="1"/>
        <rFont val="ＭＳ Ｐゴシック"/>
        <family val="3"/>
        <charset val="128"/>
        <scheme val="minor"/>
      </rPr>
      <t>「情報処理演習」（1回目）
・ビッグデータ、AI、Society 5.0、データ駆動型社会、</t>
    </r>
    <r>
      <rPr>
        <sz val="12"/>
        <rFont val="ＭＳ Ｐゴシック"/>
        <family val="3"/>
        <charset val="128"/>
        <scheme val="minor"/>
      </rPr>
      <t>データ爆発、AIの非連続的進化、</t>
    </r>
    <r>
      <rPr>
        <sz val="12"/>
        <color theme="1"/>
        <rFont val="ＭＳ Ｐゴシック"/>
        <family val="3"/>
        <charset val="128"/>
        <scheme val="minor"/>
      </rPr>
      <t>人間の知的活動とAI の関係性「情報処理演習」（7回目）</t>
    </r>
    <rPh sb="59" eb="61">
      <t>バクハツ</t>
    </rPh>
    <rPh sb="72" eb="74">
      <t>ニンゲン</t>
    </rPh>
    <rPh sb="75" eb="77">
      <t>チテキ</t>
    </rPh>
    <rPh sb="77" eb="79">
      <t>カツドウ</t>
    </rPh>
    <phoneticPr fontId="1"/>
  </si>
  <si>
    <t>・AI等を活用した新しいビジネスモデル、AI最新技術の活用例「製剤工学」（13回目）</t>
    <rPh sb="3" eb="4">
      <t>トウ</t>
    </rPh>
    <rPh sb="9" eb="10">
      <t>アタラ</t>
    </rPh>
    <phoneticPr fontId="1"/>
  </si>
  <si>
    <t>・1次データ、2次データ、データのオープン化（オープンデータ）、構造化データ、非構造化データ「情報処理演習」（8回目）
・データのメタ化、データ作成（ビッグデータとアノテーション）、データのオープン化（オープンデータ）「情報処理演習」（10回目）</t>
    <phoneticPr fontId="1"/>
  </si>
  <si>
    <t>・仮説検証、知識発見、原因究明、計画策定、判断支援「情報処理演習」（9回目）
・研究開発「製剤工学」（1回目）
・知識発見、原因究明「製剤工学」（13回目）</t>
    <rPh sb="8" eb="10">
      <t>ハッケン</t>
    </rPh>
    <phoneticPr fontId="1"/>
  </si>
  <si>
    <r>
      <t>・データ可視化：複合グラフ、2 軸グラフ「医薬品情報学」（4回目）
・</t>
    </r>
    <r>
      <rPr>
        <sz val="12"/>
        <rFont val="ＭＳ Ｐゴシック"/>
        <family val="3"/>
        <charset val="128"/>
        <scheme val="minor"/>
      </rPr>
      <t>データ解析、</t>
    </r>
    <r>
      <rPr>
        <sz val="12"/>
        <color theme="1"/>
        <rFont val="ＭＳ Ｐゴシック"/>
        <family val="3"/>
        <charset val="128"/>
        <scheme val="minor"/>
      </rPr>
      <t>AIとビッグデータ「医薬品情報学」（11回目）
・データ可視化：挙動、軌跡の可視化、非構造化データ処理、認識技術、自動化技術「製剤工学」（13回目）</t>
    </r>
    <rPh sb="4" eb="7">
      <t>カシカ</t>
    </rPh>
    <rPh sb="38" eb="40">
      <t>カイセキ</t>
    </rPh>
    <phoneticPr fontId="1"/>
  </si>
  <si>
    <r>
      <t>・データサイエンスのサイクル（課題抽出と定式化、データの取得・管理・加工、探索的データ解析、データ解析と推論、結果の共有・伝達、課題解決</t>
    </r>
    <r>
      <rPr>
        <sz val="12"/>
        <rFont val="ＭＳ Ｐゴシック"/>
        <family val="3"/>
        <charset val="128"/>
        <scheme val="minor"/>
      </rPr>
      <t>に向けた</t>
    </r>
    <r>
      <rPr>
        <sz val="12"/>
        <color theme="1"/>
        <rFont val="ＭＳ Ｐゴシック"/>
        <family val="3"/>
        <charset val="128"/>
        <scheme val="minor"/>
      </rPr>
      <t>提案）「情報処理演習」（11、12回目）
・流通、製造、金融、サービス、インフラ、公共、ヘルスケア等におけるデータ・AI利活用事例紹介「製剤工学」（13回目）</t>
    </r>
    <rPh sb="94" eb="96">
      <t>リュウツウ</t>
    </rPh>
    <rPh sb="97" eb="99">
      <t>セイゾウ</t>
    </rPh>
    <rPh sb="100" eb="102">
      <t>キンユウ</t>
    </rPh>
    <rPh sb="113" eb="115">
      <t>コウキョウ</t>
    </rPh>
    <rPh sb="121" eb="122">
      <t>トウ</t>
    </rPh>
    <rPh sb="132" eb="135">
      <t>リカツヨウ</t>
    </rPh>
    <rPh sb="135" eb="137">
      <t>ジレイ</t>
    </rPh>
    <rPh sb="137" eb="139">
      <t>ショウカイ</t>
    </rPh>
    <phoneticPr fontId="1"/>
  </si>
  <si>
    <t>・データ・AI活用における負の事例紹介「基礎薬学演習Ⅰ」（1回目）
・AI 社会原則、AI サービスの責任論、データ・AI活用における負の事例紹介「製剤工学」（13回目）</t>
    <rPh sb="7" eb="9">
      <t>カツヨウ</t>
    </rPh>
    <rPh sb="13" eb="14">
      <t>フ</t>
    </rPh>
    <rPh sb="15" eb="17">
      <t>ジレイ</t>
    </rPh>
    <rPh sb="17" eb="19">
      <t>ショウカイ</t>
    </rPh>
    <rPh sb="61" eb="63">
      <t>カツヨウ</t>
    </rPh>
    <rPh sb="71" eb="73">
      <t>ショウカイ</t>
    </rPh>
    <phoneticPr fontId="1"/>
  </si>
  <si>
    <t>・情報セキュリティ：機密性、完全性、可用性「基礎薬学演習Ⅰ」（3回目)「製剤工学」（12回目）</t>
    <rPh sb="1" eb="3">
      <t>ジョウホウセ</t>
    </rPh>
    <rPh sb="4" eb="13">
      <t>イ</t>
    </rPh>
    <rPh sb="14" eb="17">
      <t>カンゼンセイ</t>
    </rPh>
    <rPh sb="18" eb="21">
      <t>カヨウセイ</t>
    </rPh>
    <phoneticPr fontId="1"/>
  </si>
  <si>
    <t>・母集団と標本抽出、統計情報の正しい理解「医薬品情報学」（5回目）
・データの種類、データの分布（ヒストグラム）と代表値、データのばらつき「医薬品情報学」（6回目）
・相関と因果（交絡）、観測データに含まれる誤差の扱い、打ち切りや脱落を含むデータ、クロス集計表「医薬品情報学」（7回目）</t>
    <rPh sb="84" eb="86">
      <t>ソウカン</t>
    </rPh>
    <rPh sb="87" eb="89">
      <t>インガ</t>
    </rPh>
    <rPh sb="94" eb="96">
      <t>カンソク</t>
    </rPh>
    <rPh sb="100" eb="101">
      <t>フク</t>
    </rPh>
    <rPh sb="118" eb="119">
      <t>フク</t>
    </rPh>
    <rPh sb="129" eb="130">
      <t>ヒョウ</t>
    </rPh>
    <phoneticPr fontId="1"/>
  </si>
  <si>
    <t>・データ表現「基礎薬学演習Ⅰ」（3回目）
・データ表現、データの図表表現、データの比較、不適切なグラフ表現「情報処理演習」（3-6回目）
・データ表現「医薬品情報学」（8回目）
・データ表現、データの図表表現「製剤工学」（12回目）</t>
    <rPh sb="4" eb="6">
      <t>ヒョウゲン</t>
    </rPh>
    <phoneticPr fontId="1"/>
  </si>
  <si>
    <t>・データの集計「基礎薬学演習Ⅰ」（3回目）
・データの集計、データの並び替え、ランキング、データ解析ツール、表形式のデータ「情報処理演習」（2回目）
・データの集計「医薬品情報学」（9回目）
・データの集計「製剤工学」（12回目）</t>
    <rPh sb="5" eb="7">
      <t>シュウケイ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</si>
</sst>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diagonalUp="1">
      <left style="dotted">
        <color auto="1"/>
      </left>
      <right/>
      <top style="thin">
        <color auto="1"/>
      </top>
      <bottom style="hair">
        <color auto="1"/>
      </bottom>
      <diagonal style="dotted">
        <color auto="1"/>
      </diagonal>
    </border>
    <border diagonalUp="1">
      <left style="hair">
        <color auto="1"/>
      </left>
      <right style="thin">
        <color auto="1"/>
      </right>
      <top style="thin">
        <color auto="1"/>
      </top>
      <bottom style="hair">
        <color auto="1"/>
      </bottom>
      <diagonal style="dotted">
        <color auto="1"/>
      </diagonal>
    </border>
    <border diagonalUp="1">
      <left style="dotted">
        <color auto="1"/>
      </left>
      <right/>
      <top style="hair">
        <color auto="1"/>
      </top>
      <bottom style="hair">
        <color auto="1"/>
      </bottom>
      <diagonal style="dotted">
        <color auto="1"/>
      </diagonal>
    </border>
    <border diagonalUp="1">
      <left style="hair">
        <color auto="1"/>
      </left>
      <right style="thin">
        <color auto="1"/>
      </right>
      <top style="hair">
        <color auto="1"/>
      </top>
      <bottom style="hair">
        <color auto="1"/>
      </bottom>
      <diagonal style="dotted">
        <color auto="1"/>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1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20" xfId="0" applyFont="1" applyBorder="1" applyAlignment="1">
      <alignment vertical="center" shrinkToFit="1"/>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lignment vertical="center"/>
    </xf>
    <xf numFmtId="0" fontId="2" fillId="0" borderId="0" xfId="0" applyFont="1" applyAlignment="1">
      <alignment horizontal="center" vertical="center"/>
    </xf>
    <xf numFmtId="0" fontId="2" fillId="0" borderId="0" xfId="0" applyFont="1" applyAlignment="1">
      <alignment vertical="top" wrapText="1"/>
    </xf>
    <xf numFmtId="0" fontId="2" fillId="0" borderId="0" xfId="0" applyFont="1">
      <alignment vertical="center"/>
    </xf>
    <xf numFmtId="0" fontId="2" fillId="0" borderId="0" xfId="0" applyFont="1" applyAlignment="1">
      <alignment horizontal="center" vertical="center"/>
    </xf>
    <xf numFmtId="0" fontId="2" fillId="0" borderId="23" xfId="0" applyFont="1" applyBorder="1" applyAlignment="1">
      <alignment horizontal="left" vertical="center" wrapText="1" shrinkToFit="1"/>
    </xf>
    <xf numFmtId="38" fontId="2" fillId="0" borderId="61" xfId="2" applyFont="1" applyBorder="1" applyAlignment="1">
      <alignment vertical="center" shrinkToFit="1"/>
    </xf>
    <xf numFmtId="38" fontId="2" fillId="0" borderId="62" xfId="2" applyFont="1" applyBorder="1" applyAlignment="1">
      <alignment vertical="center" shrinkToFit="1"/>
    </xf>
    <xf numFmtId="38" fontId="2" fillId="0" borderId="63" xfId="2" applyFont="1" applyBorder="1" applyAlignment="1">
      <alignment vertical="center" shrinkToFit="1"/>
    </xf>
    <xf numFmtId="38" fontId="2" fillId="0" borderId="64" xfId="2" applyFont="1" applyBorder="1" applyAlignment="1">
      <alignment vertical="center" shrinkToFit="1"/>
    </xf>
    <xf numFmtId="3" fontId="2" fillId="0" borderId="1" xfId="0" applyNumberFormat="1" applyFont="1" applyBorder="1" applyAlignment="1">
      <alignment horizontal="center" vertical="center"/>
    </xf>
    <xf numFmtId="38" fontId="2" fillId="0" borderId="50" xfId="2" applyNumberFormat="1" applyFont="1" applyBorder="1" applyAlignment="1">
      <alignment vertical="center" shrinkToFit="1"/>
    </xf>
    <xf numFmtId="38" fontId="2" fillId="0" borderId="23" xfId="2" applyNumberFormat="1" applyFont="1" applyBorder="1" applyAlignment="1">
      <alignment vertical="center" shrinkToFit="1"/>
    </xf>
    <xf numFmtId="38" fontId="2" fillId="0" borderId="5" xfId="0" applyNumberFormat="1" applyFont="1" applyBorder="1" applyAlignment="1">
      <alignment vertical="center" shrinkToFit="1"/>
    </xf>
    <xf numFmtId="38" fontId="2" fillId="0" borderId="19" xfId="0" applyNumberFormat="1" applyFont="1" applyBorder="1" applyAlignment="1">
      <alignment vertical="center" shrinkToFit="1"/>
    </xf>
    <xf numFmtId="9" fontId="2" fillId="0" borderId="15" xfId="0" applyNumberFormat="1" applyFont="1" applyBorder="1" applyAlignment="1">
      <alignment vertical="center" shrinkToFit="1"/>
    </xf>
    <xf numFmtId="0" fontId="2" fillId="0" borderId="0" xfId="0" applyFont="1">
      <alignment vertical="center"/>
    </xf>
    <xf numFmtId="0" fontId="2" fillId="0" borderId="0" xfId="0" applyFont="1" applyAlignment="1">
      <alignment horizontal="center" vertical="center"/>
    </xf>
    <xf numFmtId="9" fontId="2" fillId="0" borderId="1" xfId="0" applyNumberFormat="1" applyFont="1" applyFill="1" applyBorder="1" applyAlignment="1">
      <alignment horizontal="center"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11" fillId="0" borderId="36" xfId="0" applyFont="1" applyBorder="1" applyAlignment="1">
      <alignment vertical="center" wrapText="1" shrinkToFit="1"/>
    </xf>
    <xf numFmtId="0" fontId="11" fillId="0" borderId="36" xfId="0" applyFont="1" applyBorder="1" applyAlignment="1">
      <alignment vertical="center" shrinkToFit="1"/>
    </xf>
    <xf numFmtId="0" fontId="11" fillId="0" borderId="35" xfId="0" applyFont="1" applyBorder="1" applyAlignment="1">
      <alignment vertical="center"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8" xfId="0" applyFont="1" applyBorder="1" applyAlignment="1">
      <alignment horizontal="left" vertical="center" wrapText="1"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11" fillId="0" borderId="38" xfId="0" applyFont="1" applyBorder="1" applyAlignment="1">
      <alignment horizontal="left" vertical="center" wrapText="1" shrinkToFit="1"/>
    </xf>
    <xf numFmtId="0" fontId="11" fillId="0" borderId="38" xfId="0" applyFont="1" applyBorder="1" applyAlignment="1">
      <alignment horizontal="left" vertical="center" shrinkToFit="1"/>
    </xf>
    <xf numFmtId="0" fontId="11" fillId="0" borderId="39" xfId="0" applyFont="1" applyBorder="1" applyAlignment="1">
      <alignment horizontal="left" vertical="center" shrinkToFit="1"/>
    </xf>
    <xf numFmtId="0" fontId="11" fillId="0" borderId="36" xfId="0" applyFont="1" applyBorder="1" applyAlignment="1">
      <alignment horizontal="left" vertical="center" wrapText="1" shrinkToFit="1"/>
    </xf>
    <xf numFmtId="0" fontId="11" fillId="0" borderId="36" xfId="0" applyFont="1" applyBorder="1" applyAlignment="1">
      <alignment horizontal="left" vertical="center" shrinkToFit="1"/>
    </xf>
    <xf numFmtId="0" fontId="11" fillId="0" borderId="35" xfId="0" applyFont="1" applyBorder="1" applyAlignment="1">
      <alignment horizontal="left" vertical="center"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11" fillId="0" borderId="19" xfId="0" applyFont="1" applyBorder="1" applyAlignment="1">
      <alignment vertical="center" wrapText="1"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36" xfId="0" applyFont="1" applyBorder="1" applyAlignment="1">
      <alignment vertical="center" wrapText="1" shrinkToFit="1"/>
    </xf>
    <xf numFmtId="0" fontId="2" fillId="0" borderId="35" xfId="0" applyFont="1" applyBorder="1" applyAlignment="1">
      <alignment vertical="center" wrapText="1" shrinkToFit="1"/>
    </xf>
    <xf numFmtId="0" fontId="11" fillId="0" borderId="20" xfId="0" applyFont="1" applyBorder="1" applyAlignment="1">
      <alignment vertical="center" wrapText="1" shrinkToFit="1"/>
    </xf>
    <xf numFmtId="0" fontId="11" fillId="0" borderId="18" xfId="0" applyFont="1" applyBorder="1" applyAlignment="1">
      <alignment vertical="center" wrapText="1" shrinkToFit="1"/>
    </xf>
    <xf numFmtId="0" fontId="11" fillId="0" borderId="6" xfId="0" applyFont="1" applyBorder="1" applyAlignment="1">
      <alignment vertical="center" wrapText="1" shrinkToFit="1"/>
    </xf>
    <xf numFmtId="0" fontId="11" fillId="0" borderId="12" xfId="0" applyFont="1" applyBorder="1" applyAlignment="1">
      <alignment vertical="center" wrapText="1" shrinkToFit="1"/>
    </xf>
    <xf numFmtId="0" fontId="2" fillId="0" borderId="35" xfId="0" applyFont="1" applyBorder="1" applyAlignment="1">
      <alignment horizontal="left" vertical="center" wrapText="1" shrinkToFit="1"/>
    </xf>
    <xf numFmtId="0" fontId="2" fillId="0" borderId="12" xfId="0" applyFont="1" applyBorder="1" applyAlignment="1">
      <alignment horizontal="left" vertical="center" wrapText="1" shrinkToFit="1"/>
    </xf>
    <xf numFmtId="0" fontId="2" fillId="0" borderId="9" xfId="0" applyFont="1" applyBorder="1" applyAlignment="1">
      <alignment horizontal="left" vertical="center" wrapText="1" shrinkToFit="1"/>
    </xf>
    <xf numFmtId="0" fontId="11" fillId="0" borderId="39" xfId="0" applyFont="1" applyBorder="1" applyAlignment="1">
      <alignment horizontal="left" vertical="center" wrapText="1" shrinkToFit="1"/>
    </xf>
    <xf numFmtId="0" fontId="11" fillId="0" borderId="8" xfId="0" applyFont="1" applyBorder="1" applyAlignment="1">
      <alignment horizontal="left" vertical="center" wrapText="1" shrinkToFit="1"/>
    </xf>
    <xf numFmtId="0" fontId="11" fillId="0" borderId="9" xfId="0" applyFont="1" applyBorder="1" applyAlignment="1">
      <alignment horizontal="left" vertical="center" wrapText="1" shrinkToFit="1"/>
    </xf>
    <xf numFmtId="0" fontId="2" fillId="0" borderId="21" xfId="0" applyFont="1" applyBorder="1" applyAlignment="1">
      <alignment horizontal="left" vertical="center" wrapText="1" shrinkToFit="1"/>
    </xf>
    <xf numFmtId="0" fontId="11" fillId="0" borderId="35" xfId="0" applyFont="1" applyBorder="1" applyAlignment="1">
      <alignment vertical="center" wrapText="1" shrinkToFit="1"/>
    </xf>
    <xf numFmtId="0" fontId="2" fillId="0" borderId="12" xfId="0" applyFont="1" applyBorder="1" applyAlignment="1">
      <alignment vertical="center" wrapText="1" shrinkToFit="1"/>
    </xf>
    <xf numFmtId="0" fontId="2" fillId="0" borderId="38" xfId="0" applyFont="1" applyBorder="1" applyAlignment="1">
      <alignment horizontal="left" vertical="center" wrapText="1" shrinkToFit="1"/>
    </xf>
    <xf numFmtId="0" fontId="2" fillId="0" borderId="39" xfId="0" applyFont="1" applyBorder="1" applyAlignment="1">
      <alignment horizontal="left" vertical="center" wrapText="1" shrinkToFit="1"/>
    </xf>
    <xf numFmtId="0" fontId="11" fillId="0" borderId="22" xfId="0" applyFont="1" applyBorder="1" applyAlignment="1">
      <alignment horizontal="left" vertical="center" wrapText="1" shrinkToFit="1"/>
    </xf>
    <xf numFmtId="0" fontId="11" fillId="0" borderId="21" xfId="0" applyFont="1" applyBorder="1" applyAlignment="1">
      <alignment horizontal="left" vertical="center" wrapText="1" shrinkToFit="1"/>
    </xf>
    <xf numFmtId="0" fontId="2" fillId="0" borderId="19" xfId="0" applyFont="1" applyBorder="1" applyAlignment="1">
      <alignment vertical="center" wrapText="1" shrinkToFit="1"/>
    </xf>
    <xf numFmtId="0" fontId="2" fillId="0" borderId="20" xfId="0" applyFont="1" applyBorder="1" applyAlignment="1">
      <alignment vertical="center" wrapText="1" shrinkToFit="1"/>
    </xf>
    <xf numFmtId="0" fontId="2" fillId="0" borderId="18" xfId="0" applyFont="1" applyBorder="1" applyAlignment="1">
      <alignment vertical="center" wrapText="1" shrinkToFit="1"/>
    </xf>
    <xf numFmtId="0" fontId="11" fillId="0" borderId="6" xfId="0" applyFont="1" applyBorder="1" applyAlignment="1">
      <alignment horizontal="left" vertical="center" wrapText="1" shrinkToFit="1"/>
    </xf>
    <xf numFmtId="0" fontId="11" fillId="0" borderId="12" xfId="0" applyFont="1" applyBorder="1" applyAlignment="1">
      <alignment horizontal="left" vertical="center" wrapText="1" shrinkToFi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Fill="1" applyBorder="1" applyAlignment="1">
      <alignment horizontal="center" vertical="center" wrapText="1" shrinkToFit="1"/>
    </xf>
    <xf numFmtId="0" fontId="2" fillId="0" borderId="7" xfId="0" applyFont="1" applyFill="1" applyBorder="1" applyAlignment="1">
      <alignment horizontal="left" vertical="top" wrapText="1"/>
    </xf>
    <xf numFmtId="0" fontId="2" fillId="0" borderId="8" xfId="0" applyFont="1" applyFill="1" applyBorder="1" applyAlignment="1">
      <alignment horizontal="left" vertical="top" wrapText="1"/>
    </xf>
    <xf numFmtId="0" fontId="2" fillId="0" borderId="9" xfId="0"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0" xfId="0" applyFont="1" applyFill="1" applyBorder="1" applyAlignment="1">
      <alignment horizontal="left" vertical="top" wrapText="1"/>
    </xf>
    <xf numFmtId="0" fontId="2" fillId="0" borderId="10" xfId="0" applyFont="1" applyFill="1" applyBorder="1" applyAlignment="1">
      <alignment horizontal="left" vertical="top" wrapText="1"/>
    </xf>
    <xf numFmtId="0" fontId="2" fillId="0" borderId="11" xfId="0" applyFont="1" applyFill="1" applyBorder="1" applyAlignment="1">
      <alignment horizontal="left" vertical="top" wrapText="1"/>
    </xf>
    <xf numFmtId="0" fontId="2" fillId="0" borderId="6" xfId="0" applyFont="1" applyFill="1" applyBorder="1" applyAlignment="1">
      <alignment horizontal="left" vertical="top" wrapText="1"/>
    </xf>
    <xf numFmtId="0" fontId="2" fillId="0" borderId="12" xfId="0" applyFont="1" applyFill="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7">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zoomScale="90" zoomScaleNormal="90" zoomScaleSheetLayoutView="90" workbookViewId="0">
      <selection activeCell="D89" sqref="D89:S89"/>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64" t="s">
        <v>137</v>
      </c>
      <c r="S1" s="164"/>
      <c r="T1" s="2" t="s">
        <v>109</v>
      </c>
    </row>
    <row r="2" spans="1:22" ht="18.75" customHeight="1" x14ac:dyDescent="0.15">
      <c r="B2" s="33" t="s">
        <v>108</v>
      </c>
      <c r="C2" s="168" t="s">
        <v>127</v>
      </c>
      <c r="D2" s="109"/>
      <c r="E2" s="109"/>
      <c r="F2" s="109"/>
      <c r="G2" s="109"/>
      <c r="H2" s="109"/>
      <c r="I2" s="110"/>
      <c r="J2" s="34"/>
      <c r="K2" s="6"/>
      <c r="L2" s="6"/>
      <c r="M2" s="6"/>
      <c r="N2" s="6"/>
      <c r="O2" s="6"/>
      <c r="P2" s="6"/>
      <c r="Q2" s="6"/>
      <c r="R2" s="6"/>
      <c r="S2" s="6"/>
    </row>
    <row r="3" spans="1:22" ht="18.75" customHeight="1" x14ac:dyDescent="0.15">
      <c r="B3" s="33" t="s">
        <v>102</v>
      </c>
      <c r="C3" s="168" t="s">
        <v>126</v>
      </c>
      <c r="D3" s="169"/>
      <c r="E3" s="169"/>
      <c r="F3" s="169"/>
      <c r="G3" s="169"/>
      <c r="H3" s="169"/>
      <c r="I3" s="170"/>
      <c r="J3" s="34"/>
      <c r="K3" s="6"/>
      <c r="L3" s="6"/>
      <c r="M3" s="6"/>
      <c r="N3" s="6"/>
      <c r="O3" s="6"/>
      <c r="P3" s="6"/>
      <c r="Q3" s="6"/>
      <c r="R3" s="6"/>
      <c r="S3" s="6"/>
    </row>
    <row r="4" spans="1:22" ht="15" customHeight="1" x14ac:dyDescent="0.15">
      <c r="K4" s="34"/>
      <c r="L4" s="36"/>
      <c r="M4" s="36"/>
      <c r="N4" s="36"/>
      <c r="O4" s="36"/>
      <c r="P4" s="36"/>
      <c r="Q4" s="36"/>
      <c r="R4" s="36"/>
      <c r="S4" s="36"/>
    </row>
    <row r="5" spans="1:22" ht="18" customHeight="1" x14ac:dyDescent="0.15">
      <c r="A5" s="171" t="s">
        <v>38</v>
      </c>
      <c r="B5" s="171"/>
      <c r="C5" s="171"/>
      <c r="D5" s="171"/>
      <c r="E5" s="171"/>
      <c r="F5" s="171"/>
      <c r="G5" s="171"/>
      <c r="H5" s="171"/>
      <c r="I5" s="171"/>
      <c r="J5" s="171"/>
      <c r="K5" s="171"/>
      <c r="L5" s="171"/>
      <c r="M5" s="171"/>
      <c r="N5" s="171"/>
      <c r="O5" s="171"/>
      <c r="P5" s="171"/>
      <c r="Q5" s="171"/>
      <c r="R5" s="171"/>
      <c r="S5" s="171"/>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7" t="s">
        <v>107</v>
      </c>
      <c r="K7" s="168" t="s">
        <v>128</v>
      </c>
      <c r="L7" s="169"/>
      <c r="M7" s="169"/>
      <c r="N7" s="169"/>
      <c r="O7" s="169"/>
      <c r="P7" s="169"/>
      <c r="Q7" s="169"/>
      <c r="R7" s="169"/>
      <c r="S7" s="170"/>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81" t="s">
        <v>209</v>
      </c>
      <c r="C9" s="182"/>
      <c r="D9" s="182"/>
      <c r="E9" s="182"/>
      <c r="F9" s="182"/>
      <c r="G9" s="182"/>
      <c r="H9" s="182"/>
      <c r="I9" s="182"/>
      <c r="J9" s="182"/>
      <c r="K9" s="182"/>
      <c r="L9" s="182"/>
      <c r="M9" s="182"/>
      <c r="N9" s="182"/>
      <c r="O9" s="182"/>
      <c r="P9" s="182"/>
      <c r="Q9" s="182"/>
      <c r="R9" s="182"/>
      <c r="S9" s="183"/>
    </row>
    <row r="10" spans="1:22" ht="18" customHeight="1" x14ac:dyDescent="0.15">
      <c r="B10" s="184"/>
      <c r="C10" s="185"/>
      <c r="D10" s="185"/>
      <c r="E10" s="185"/>
      <c r="F10" s="185"/>
      <c r="G10" s="185"/>
      <c r="H10" s="185"/>
      <c r="I10" s="185"/>
      <c r="J10" s="185"/>
      <c r="K10" s="185"/>
      <c r="L10" s="185"/>
      <c r="M10" s="185"/>
      <c r="N10" s="185"/>
      <c r="O10" s="185"/>
      <c r="P10" s="185"/>
      <c r="Q10" s="185"/>
      <c r="R10" s="185"/>
      <c r="S10" s="186"/>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111</v>
      </c>
      <c r="B12" s="3"/>
      <c r="C12" s="3"/>
      <c r="D12" s="34"/>
      <c r="E12" s="34"/>
      <c r="F12" s="34"/>
      <c r="G12" s="34"/>
      <c r="H12" s="34"/>
      <c r="I12" s="34"/>
      <c r="J12" s="34"/>
      <c r="K12" s="38"/>
      <c r="L12" s="38"/>
      <c r="M12" s="38"/>
      <c r="N12" s="38"/>
      <c r="O12" s="38"/>
      <c r="P12" s="38"/>
      <c r="Q12" s="38"/>
      <c r="R12" s="38"/>
      <c r="S12" s="38"/>
    </row>
    <row r="13" spans="1:22" ht="18" customHeight="1" x14ac:dyDescent="0.15">
      <c r="B13" s="172" t="s">
        <v>129</v>
      </c>
      <c r="C13" s="173"/>
      <c r="D13" s="173"/>
      <c r="E13" s="173"/>
      <c r="F13" s="173"/>
      <c r="G13" s="173"/>
      <c r="H13" s="173"/>
      <c r="I13" s="173"/>
      <c r="J13" s="173"/>
      <c r="K13" s="173"/>
      <c r="L13" s="173"/>
      <c r="M13" s="173"/>
      <c r="N13" s="173"/>
      <c r="O13" s="173"/>
      <c r="P13" s="173"/>
      <c r="Q13" s="173"/>
      <c r="R13" s="173"/>
      <c r="S13" s="174"/>
      <c r="V13" s="1" t="s">
        <v>103</v>
      </c>
    </row>
    <row r="14" spans="1:22" ht="18" customHeight="1" x14ac:dyDescent="0.15">
      <c r="B14" s="175"/>
      <c r="C14" s="176"/>
      <c r="D14" s="176"/>
      <c r="E14" s="176"/>
      <c r="F14" s="176"/>
      <c r="G14" s="176"/>
      <c r="H14" s="176"/>
      <c r="I14" s="176"/>
      <c r="J14" s="176"/>
      <c r="K14" s="176"/>
      <c r="L14" s="176"/>
      <c r="M14" s="176"/>
      <c r="N14" s="176"/>
      <c r="O14" s="176"/>
      <c r="P14" s="176"/>
      <c r="Q14" s="176"/>
      <c r="R14" s="176"/>
      <c r="S14" s="177"/>
      <c r="V14" s="1" t="s">
        <v>110</v>
      </c>
    </row>
    <row r="15" spans="1:22" ht="18" customHeight="1" x14ac:dyDescent="0.15">
      <c r="B15" s="175"/>
      <c r="C15" s="176"/>
      <c r="D15" s="176"/>
      <c r="E15" s="176"/>
      <c r="F15" s="176"/>
      <c r="G15" s="176"/>
      <c r="H15" s="176"/>
      <c r="I15" s="176"/>
      <c r="J15" s="176"/>
      <c r="K15" s="176"/>
      <c r="L15" s="176"/>
      <c r="M15" s="176"/>
      <c r="N15" s="176"/>
      <c r="O15" s="176"/>
      <c r="P15" s="176"/>
      <c r="Q15" s="176"/>
      <c r="R15" s="176"/>
      <c r="S15" s="177"/>
      <c r="V15" s="1" t="s">
        <v>123</v>
      </c>
    </row>
    <row r="16" spans="1:22" ht="18" customHeight="1" x14ac:dyDescent="0.15">
      <c r="B16" s="175"/>
      <c r="C16" s="176"/>
      <c r="D16" s="176"/>
      <c r="E16" s="176"/>
      <c r="F16" s="176"/>
      <c r="G16" s="176"/>
      <c r="H16" s="176"/>
      <c r="I16" s="176"/>
      <c r="J16" s="176"/>
      <c r="K16" s="176"/>
      <c r="L16" s="176"/>
      <c r="M16" s="176"/>
      <c r="N16" s="176"/>
      <c r="O16" s="176"/>
      <c r="P16" s="176"/>
      <c r="Q16" s="176"/>
      <c r="R16" s="176"/>
      <c r="S16" s="177"/>
      <c r="V16" s="1" t="s">
        <v>125</v>
      </c>
    </row>
    <row r="17" spans="1:19" ht="18" customHeight="1" x14ac:dyDescent="0.15">
      <c r="B17" s="175"/>
      <c r="C17" s="176"/>
      <c r="D17" s="176"/>
      <c r="E17" s="176"/>
      <c r="F17" s="176"/>
      <c r="G17" s="176"/>
      <c r="H17" s="176"/>
      <c r="I17" s="176"/>
      <c r="J17" s="176"/>
      <c r="K17" s="176"/>
      <c r="L17" s="176"/>
      <c r="M17" s="176"/>
      <c r="N17" s="176"/>
      <c r="O17" s="176"/>
      <c r="P17" s="176"/>
      <c r="Q17" s="176"/>
      <c r="R17" s="176"/>
      <c r="S17" s="177"/>
    </row>
    <row r="18" spans="1:19" ht="18" customHeight="1" x14ac:dyDescent="0.15">
      <c r="B18" s="178"/>
      <c r="C18" s="179"/>
      <c r="D18" s="179"/>
      <c r="E18" s="179"/>
      <c r="F18" s="179"/>
      <c r="G18" s="179"/>
      <c r="H18" s="179"/>
      <c r="I18" s="179"/>
      <c r="J18" s="179"/>
      <c r="K18" s="179"/>
      <c r="L18" s="179"/>
      <c r="M18" s="179"/>
      <c r="N18" s="179"/>
      <c r="O18" s="179"/>
      <c r="P18" s="179"/>
      <c r="Q18" s="179"/>
      <c r="R18" s="179"/>
      <c r="S18" s="180"/>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108">
        <v>6</v>
      </c>
      <c r="D20" s="110"/>
      <c r="E20" s="39" t="s">
        <v>95</v>
      </c>
      <c r="G20" s="10"/>
      <c r="H20" s="3"/>
      <c r="I20" s="3"/>
      <c r="J20" s="34" t="s">
        <v>121</v>
      </c>
      <c r="K20" s="165" t="s">
        <v>125</v>
      </c>
      <c r="L20" s="166"/>
      <c r="M20" s="166"/>
      <c r="N20" s="166"/>
      <c r="O20" s="166"/>
      <c r="P20" s="166"/>
      <c r="Q20" s="166"/>
      <c r="R20" s="166"/>
      <c r="S20" s="167"/>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14" t="s">
        <v>113</v>
      </c>
      <c r="B22" s="114"/>
      <c r="C22" s="114"/>
      <c r="D22" s="114"/>
      <c r="E22" s="114"/>
      <c r="F22" s="114"/>
      <c r="G22" s="114"/>
      <c r="H22" s="114"/>
      <c r="I22" s="114"/>
      <c r="J22" s="114"/>
      <c r="K22" s="114"/>
      <c r="L22" s="114"/>
      <c r="M22" s="114"/>
      <c r="N22" s="114"/>
      <c r="O22" s="114"/>
      <c r="P22" s="114"/>
      <c r="Q22" s="114"/>
      <c r="R22" s="114"/>
      <c r="S22" s="114"/>
    </row>
    <row r="23" spans="1:19" ht="18" customHeight="1" x14ac:dyDescent="0.15">
      <c r="A23" s="114"/>
      <c r="B23" s="114"/>
      <c r="C23" s="114"/>
      <c r="D23" s="114"/>
      <c r="E23" s="114"/>
      <c r="F23" s="114"/>
      <c r="G23" s="114"/>
      <c r="H23" s="114"/>
      <c r="I23" s="114"/>
      <c r="J23" s="114"/>
      <c r="K23" s="114"/>
      <c r="L23" s="114"/>
      <c r="M23" s="114"/>
      <c r="N23" s="114"/>
      <c r="O23" s="114"/>
      <c r="P23" s="114"/>
      <c r="Q23" s="114"/>
      <c r="R23" s="114"/>
      <c r="S23" s="114"/>
    </row>
    <row r="24" spans="1:19" ht="18" customHeight="1" x14ac:dyDescent="0.15">
      <c r="B24" s="108" t="s">
        <v>53</v>
      </c>
      <c r="C24" s="109"/>
      <c r="D24" s="109"/>
      <c r="E24" s="110"/>
      <c r="F24" s="59" t="s">
        <v>80</v>
      </c>
      <c r="G24" s="58" t="s">
        <v>84</v>
      </c>
      <c r="H24" s="21" t="s">
        <v>56</v>
      </c>
      <c r="I24" s="21" t="s">
        <v>59</v>
      </c>
      <c r="J24" s="108" t="s">
        <v>53</v>
      </c>
      <c r="K24" s="109"/>
      <c r="L24" s="109"/>
      <c r="M24" s="109"/>
      <c r="N24" s="109"/>
      <c r="O24" s="110"/>
      <c r="P24" s="59" t="s">
        <v>80</v>
      </c>
      <c r="Q24" s="58" t="s">
        <v>84</v>
      </c>
      <c r="R24" s="21" t="s">
        <v>56</v>
      </c>
      <c r="S24" s="21" t="s">
        <v>59</v>
      </c>
    </row>
    <row r="25" spans="1:19" ht="18" customHeight="1" x14ac:dyDescent="0.15">
      <c r="B25" s="102" t="s">
        <v>130</v>
      </c>
      <c r="C25" s="103"/>
      <c r="D25" s="103"/>
      <c r="E25" s="104"/>
      <c r="F25" s="22">
        <v>2</v>
      </c>
      <c r="G25" s="22" t="s">
        <v>132</v>
      </c>
      <c r="H25" s="22" t="s">
        <v>132</v>
      </c>
      <c r="I25" s="22"/>
      <c r="J25" s="102"/>
      <c r="K25" s="103"/>
      <c r="L25" s="103"/>
      <c r="M25" s="103"/>
      <c r="N25" s="103"/>
      <c r="O25" s="104"/>
      <c r="P25" s="22"/>
      <c r="Q25" s="22"/>
      <c r="R25" s="22"/>
      <c r="S25" s="22"/>
    </row>
    <row r="26" spans="1:19" ht="18" customHeight="1" x14ac:dyDescent="0.15">
      <c r="B26" s="105" t="s">
        <v>131</v>
      </c>
      <c r="C26" s="106"/>
      <c r="D26" s="106"/>
      <c r="E26" s="107"/>
      <c r="F26" s="23">
        <v>2</v>
      </c>
      <c r="G26" s="23" t="s">
        <v>132</v>
      </c>
      <c r="H26" s="23"/>
      <c r="I26" s="23" t="s">
        <v>132</v>
      </c>
      <c r="J26" s="105"/>
      <c r="K26" s="106"/>
      <c r="L26" s="106"/>
      <c r="M26" s="106"/>
      <c r="N26" s="106"/>
      <c r="O26" s="107"/>
      <c r="P26" s="23"/>
      <c r="Q26" s="23"/>
      <c r="R26" s="23"/>
      <c r="S26" s="23"/>
    </row>
    <row r="27" spans="1:19" ht="18" customHeight="1" x14ac:dyDescent="0.15">
      <c r="B27" s="105"/>
      <c r="C27" s="106"/>
      <c r="D27" s="106"/>
      <c r="E27" s="107"/>
      <c r="F27" s="23"/>
      <c r="G27" s="23"/>
      <c r="H27" s="23"/>
      <c r="I27" s="23"/>
      <c r="J27" s="105"/>
      <c r="K27" s="106"/>
      <c r="L27" s="106"/>
      <c r="M27" s="106"/>
      <c r="N27" s="106"/>
      <c r="O27" s="107"/>
      <c r="P27" s="23"/>
      <c r="Q27" s="23"/>
      <c r="R27" s="23"/>
      <c r="S27" s="23"/>
    </row>
    <row r="28" spans="1:19" ht="18" customHeight="1" x14ac:dyDescent="0.15">
      <c r="B28" s="105"/>
      <c r="C28" s="106"/>
      <c r="D28" s="106"/>
      <c r="E28" s="107"/>
      <c r="F28" s="23"/>
      <c r="G28" s="23"/>
      <c r="H28" s="23"/>
      <c r="I28" s="23"/>
      <c r="J28" s="105"/>
      <c r="K28" s="106"/>
      <c r="L28" s="106"/>
      <c r="M28" s="106"/>
      <c r="N28" s="106"/>
      <c r="O28" s="107"/>
      <c r="P28" s="23"/>
      <c r="Q28" s="23"/>
      <c r="R28" s="23"/>
      <c r="S28" s="23"/>
    </row>
    <row r="29" spans="1:19" ht="18" customHeight="1" x14ac:dyDescent="0.15">
      <c r="B29" s="105"/>
      <c r="C29" s="106"/>
      <c r="D29" s="106"/>
      <c r="E29" s="107"/>
      <c r="F29" s="23"/>
      <c r="G29" s="23"/>
      <c r="H29" s="23"/>
      <c r="I29" s="23"/>
      <c r="J29" s="105"/>
      <c r="K29" s="106"/>
      <c r="L29" s="106"/>
      <c r="M29" s="106"/>
      <c r="N29" s="106"/>
      <c r="O29" s="107"/>
      <c r="P29" s="23"/>
      <c r="Q29" s="23"/>
      <c r="R29" s="23"/>
      <c r="S29" s="23"/>
    </row>
    <row r="30" spans="1:19" ht="18" customHeight="1" x14ac:dyDescent="0.15">
      <c r="A30" s="3"/>
      <c r="B30" s="105"/>
      <c r="C30" s="106"/>
      <c r="D30" s="106"/>
      <c r="E30" s="107"/>
      <c r="F30" s="23"/>
      <c r="G30" s="23"/>
      <c r="H30" s="23"/>
      <c r="I30" s="23"/>
      <c r="J30" s="105"/>
      <c r="K30" s="106"/>
      <c r="L30" s="106"/>
      <c r="M30" s="106"/>
      <c r="N30" s="106"/>
      <c r="O30" s="107"/>
      <c r="P30" s="23"/>
      <c r="Q30" s="23"/>
      <c r="R30" s="23"/>
      <c r="S30" s="23"/>
    </row>
    <row r="31" spans="1:19" ht="18" customHeight="1" x14ac:dyDescent="0.15">
      <c r="A31" s="3"/>
      <c r="B31" s="111"/>
      <c r="C31" s="112"/>
      <c r="D31" s="112"/>
      <c r="E31" s="113"/>
      <c r="F31" s="24"/>
      <c r="G31" s="24"/>
      <c r="H31" s="25"/>
      <c r="I31" s="25"/>
      <c r="J31" s="111"/>
      <c r="K31" s="112"/>
      <c r="L31" s="112"/>
      <c r="M31" s="112"/>
      <c r="N31" s="112"/>
      <c r="O31" s="113"/>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14" t="s">
        <v>114</v>
      </c>
      <c r="B33" s="114"/>
      <c r="C33" s="114"/>
      <c r="D33" s="114"/>
      <c r="E33" s="114"/>
      <c r="F33" s="114"/>
      <c r="G33" s="114"/>
      <c r="H33" s="114"/>
      <c r="I33" s="114"/>
      <c r="J33" s="114"/>
      <c r="K33" s="114"/>
      <c r="L33" s="114"/>
      <c r="M33" s="114"/>
      <c r="N33" s="114"/>
      <c r="O33" s="114"/>
      <c r="P33" s="114"/>
      <c r="Q33" s="114"/>
      <c r="R33" s="114"/>
      <c r="S33" s="114"/>
    </row>
    <row r="34" spans="1:19" ht="18" customHeight="1" x14ac:dyDescent="0.15">
      <c r="A34" s="114"/>
      <c r="B34" s="114"/>
      <c r="C34" s="114"/>
      <c r="D34" s="114"/>
      <c r="E34" s="114"/>
      <c r="F34" s="114"/>
      <c r="G34" s="114"/>
      <c r="H34" s="114"/>
      <c r="I34" s="114"/>
      <c r="J34" s="114"/>
      <c r="K34" s="114"/>
      <c r="L34" s="114"/>
      <c r="M34" s="114"/>
      <c r="N34" s="114"/>
      <c r="O34" s="114"/>
      <c r="P34" s="114"/>
      <c r="Q34" s="114"/>
      <c r="R34" s="114"/>
      <c r="S34" s="114"/>
    </row>
    <row r="35" spans="1:19" ht="18" customHeight="1" x14ac:dyDescent="0.15">
      <c r="B35" s="108" t="s">
        <v>53</v>
      </c>
      <c r="C35" s="109"/>
      <c r="D35" s="109"/>
      <c r="E35" s="110"/>
      <c r="F35" s="59" t="s">
        <v>80</v>
      </c>
      <c r="G35" s="58" t="s">
        <v>84</v>
      </c>
      <c r="H35" s="21" t="s">
        <v>71</v>
      </c>
      <c r="I35" s="21" t="s">
        <v>72</v>
      </c>
      <c r="J35" s="108" t="s">
        <v>53</v>
      </c>
      <c r="K35" s="109"/>
      <c r="L35" s="109"/>
      <c r="M35" s="109"/>
      <c r="N35" s="109"/>
      <c r="O35" s="110"/>
      <c r="P35" s="59" t="s">
        <v>80</v>
      </c>
      <c r="Q35" s="58" t="s">
        <v>84</v>
      </c>
      <c r="R35" s="21" t="s">
        <v>71</v>
      </c>
      <c r="S35" s="21" t="s">
        <v>72</v>
      </c>
    </row>
    <row r="36" spans="1:19" ht="18" customHeight="1" x14ac:dyDescent="0.15">
      <c r="B36" s="102" t="s">
        <v>133</v>
      </c>
      <c r="C36" s="103"/>
      <c r="D36" s="103"/>
      <c r="E36" s="104"/>
      <c r="F36" s="22">
        <v>2</v>
      </c>
      <c r="G36" s="22" t="s">
        <v>132</v>
      </c>
      <c r="H36" s="22" t="s">
        <v>132</v>
      </c>
      <c r="I36" s="22" t="s">
        <v>132</v>
      </c>
      <c r="J36" s="102"/>
      <c r="K36" s="103"/>
      <c r="L36" s="103"/>
      <c r="M36" s="103"/>
      <c r="N36" s="103"/>
      <c r="O36" s="104"/>
      <c r="P36" s="22"/>
      <c r="Q36" s="22"/>
      <c r="R36" s="22"/>
      <c r="S36" s="22"/>
    </row>
    <row r="37" spans="1:19" ht="18" customHeight="1" x14ac:dyDescent="0.15">
      <c r="B37" s="105"/>
      <c r="C37" s="106"/>
      <c r="D37" s="106"/>
      <c r="E37" s="107"/>
      <c r="F37" s="23"/>
      <c r="G37" s="23"/>
      <c r="H37" s="23"/>
      <c r="I37" s="23"/>
      <c r="J37" s="105"/>
      <c r="K37" s="106"/>
      <c r="L37" s="106"/>
      <c r="M37" s="106"/>
      <c r="N37" s="106"/>
      <c r="O37" s="107"/>
      <c r="P37" s="23"/>
      <c r="Q37" s="23"/>
      <c r="R37" s="23"/>
      <c r="S37" s="23"/>
    </row>
    <row r="38" spans="1:19" ht="18" customHeight="1" x14ac:dyDescent="0.15">
      <c r="B38" s="105"/>
      <c r="C38" s="106"/>
      <c r="D38" s="106"/>
      <c r="E38" s="107"/>
      <c r="F38" s="23"/>
      <c r="G38" s="23"/>
      <c r="H38" s="23"/>
      <c r="I38" s="23"/>
      <c r="J38" s="105"/>
      <c r="K38" s="106"/>
      <c r="L38" s="106"/>
      <c r="M38" s="106"/>
      <c r="N38" s="106"/>
      <c r="O38" s="107"/>
      <c r="P38" s="23"/>
      <c r="Q38" s="23"/>
      <c r="R38" s="23"/>
      <c r="S38" s="23"/>
    </row>
    <row r="39" spans="1:19" ht="18" customHeight="1" x14ac:dyDescent="0.15">
      <c r="B39" s="105"/>
      <c r="C39" s="106"/>
      <c r="D39" s="106"/>
      <c r="E39" s="107"/>
      <c r="F39" s="23"/>
      <c r="G39" s="23"/>
      <c r="H39" s="23"/>
      <c r="I39" s="23"/>
      <c r="J39" s="105"/>
      <c r="K39" s="106"/>
      <c r="L39" s="106"/>
      <c r="M39" s="106"/>
      <c r="N39" s="106"/>
      <c r="O39" s="107"/>
      <c r="P39" s="23"/>
      <c r="Q39" s="23"/>
      <c r="R39" s="23"/>
      <c r="S39" s="23"/>
    </row>
    <row r="40" spans="1:19" ht="18" customHeight="1" x14ac:dyDescent="0.15">
      <c r="B40" s="105"/>
      <c r="C40" s="106"/>
      <c r="D40" s="106"/>
      <c r="E40" s="107"/>
      <c r="F40" s="23"/>
      <c r="G40" s="23"/>
      <c r="H40" s="23"/>
      <c r="I40" s="23"/>
      <c r="J40" s="105"/>
      <c r="K40" s="106"/>
      <c r="L40" s="106"/>
      <c r="M40" s="106"/>
      <c r="N40" s="106"/>
      <c r="O40" s="107"/>
      <c r="P40" s="23"/>
      <c r="Q40" s="23"/>
      <c r="R40" s="23"/>
      <c r="S40" s="23"/>
    </row>
    <row r="41" spans="1:19" ht="18" customHeight="1" x14ac:dyDescent="0.15">
      <c r="B41" s="105"/>
      <c r="C41" s="106"/>
      <c r="D41" s="106"/>
      <c r="E41" s="107"/>
      <c r="F41" s="23"/>
      <c r="G41" s="23"/>
      <c r="H41" s="23"/>
      <c r="I41" s="23"/>
      <c r="J41" s="105"/>
      <c r="K41" s="106"/>
      <c r="L41" s="106"/>
      <c r="M41" s="106"/>
      <c r="N41" s="106"/>
      <c r="O41" s="107"/>
      <c r="P41" s="23"/>
      <c r="Q41" s="23"/>
      <c r="R41" s="23"/>
      <c r="S41" s="23"/>
    </row>
    <row r="42" spans="1:19" ht="18" customHeight="1" x14ac:dyDescent="0.15">
      <c r="B42" s="111"/>
      <c r="C42" s="112"/>
      <c r="D42" s="112"/>
      <c r="E42" s="113"/>
      <c r="F42" s="24"/>
      <c r="G42" s="24"/>
      <c r="H42" s="25"/>
      <c r="I42" s="25"/>
      <c r="J42" s="111"/>
      <c r="K42" s="112"/>
      <c r="L42" s="112"/>
      <c r="M42" s="112"/>
      <c r="N42" s="112"/>
      <c r="O42" s="113"/>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14" t="s">
        <v>115</v>
      </c>
      <c r="B44" s="114"/>
      <c r="C44" s="114"/>
      <c r="D44" s="114"/>
      <c r="E44" s="114"/>
      <c r="F44" s="114"/>
      <c r="G44" s="114"/>
      <c r="H44" s="114"/>
      <c r="I44" s="114"/>
      <c r="J44" s="114"/>
      <c r="K44" s="114"/>
      <c r="L44" s="114"/>
      <c r="M44" s="114"/>
      <c r="N44" s="114"/>
      <c r="O44" s="114"/>
      <c r="P44" s="114"/>
      <c r="Q44" s="114"/>
      <c r="R44" s="114"/>
      <c r="S44" s="114"/>
    </row>
    <row r="45" spans="1:19" ht="18" customHeight="1" x14ac:dyDescent="0.15">
      <c r="A45" s="114"/>
      <c r="B45" s="114"/>
      <c r="C45" s="114"/>
      <c r="D45" s="114"/>
      <c r="E45" s="114"/>
      <c r="F45" s="114"/>
      <c r="G45" s="114"/>
      <c r="H45" s="114"/>
      <c r="I45" s="114"/>
      <c r="J45" s="114"/>
      <c r="K45" s="114"/>
      <c r="L45" s="114"/>
      <c r="M45" s="114"/>
      <c r="N45" s="114"/>
      <c r="O45" s="114"/>
      <c r="P45" s="114"/>
      <c r="Q45" s="114"/>
      <c r="R45" s="114"/>
      <c r="S45" s="114"/>
    </row>
    <row r="46" spans="1:19" ht="18" customHeight="1" x14ac:dyDescent="0.15">
      <c r="B46" s="108" t="s">
        <v>53</v>
      </c>
      <c r="C46" s="109"/>
      <c r="D46" s="109"/>
      <c r="E46" s="110"/>
      <c r="F46" s="59" t="s">
        <v>80</v>
      </c>
      <c r="G46" s="58" t="s">
        <v>84</v>
      </c>
      <c r="H46" s="21" t="s">
        <v>73</v>
      </c>
      <c r="I46" s="21" t="s">
        <v>74</v>
      </c>
      <c r="J46" s="108" t="s">
        <v>53</v>
      </c>
      <c r="K46" s="109"/>
      <c r="L46" s="109"/>
      <c r="M46" s="109"/>
      <c r="N46" s="109"/>
      <c r="O46" s="110"/>
      <c r="P46" s="59" t="s">
        <v>80</v>
      </c>
      <c r="Q46" s="58" t="s">
        <v>84</v>
      </c>
      <c r="R46" s="21" t="s">
        <v>73</v>
      </c>
      <c r="S46" s="21" t="s">
        <v>74</v>
      </c>
    </row>
    <row r="47" spans="1:19" ht="18" customHeight="1" x14ac:dyDescent="0.15">
      <c r="A47" s="3"/>
      <c r="B47" s="102" t="s">
        <v>131</v>
      </c>
      <c r="C47" s="103"/>
      <c r="D47" s="103"/>
      <c r="E47" s="104"/>
      <c r="F47" s="22">
        <v>2</v>
      </c>
      <c r="G47" s="22" t="s">
        <v>132</v>
      </c>
      <c r="H47" s="22" t="s">
        <v>132</v>
      </c>
      <c r="I47" s="22" t="s">
        <v>132</v>
      </c>
      <c r="J47" s="102"/>
      <c r="K47" s="103"/>
      <c r="L47" s="103"/>
      <c r="M47" s="103"/>
      <c r="N47" s="103"/>
      <c r="O47" s="104"/>
      <c r="P47" s="22"/>
      <c r="Q47" s="22"/>
      <c r="R47" s="22"/>
      <c r="S47" s="22"/>
    </row>
    <row r="48" spans="1:19" ht="18" customHeight="1" x14ac:dyDescent="0.15">
      <c r="A48" s="3"/>
      <c r="B48" s="105"/>
      <c r="C48" s="106"/>
      <c r="D48" s="106"/>
      <c r="E48" s="107"/>
      <c r="F48" s="23"/>
      <c r="G48" s="23"/>
      <c r="H48" s="23"/>
      <c r="I48" s="23"/>
      <c r="J48" s="105"/>
      <c r="K48" s="106"/>
      <c r="L48" s="106"/>
      <c r="M48" s="106"/>
      <c r="N48" s="106"/>
      <c r="O48" s="107"/>
      <c r="P48" s="23"/>
      <c r="Q48" s="23"/>
      <c r="R48" s="23"/>
      <c r="S48" s="23"/>
    </row>
    <row r="49" spans="1:19" ht="18" customHeight="1" x14ac:dyDescent="0.15">
      <c r="A49" s="3"/>
      <c r="B49" s="105"/>
      <c r="C49" s="106"/>
      <c r="D49" s="106"/>
      <c r="E49" s="107"/>
      <c r="F49" s="23"/>
      <c r="G49" s="23"/>
      <c r="H49" s="23"/>
      <c r="I49" s="23"/>
      <c r="J49" s="105"/>
      <c r="K49" s="106"/>
      <c r="L49" s="106"/>
      <c r="M49" s="106"/>
      <c r="N49" s="106"/>
      <c r="O49" s="107"/>
      <c r="P49" s="23"/>
      <c r="Q49" s="23"/>
      <c r="R49" s="23"/>
      <c r="S49" s="23"/>
    </row>
    <row r="50" spans="1:19" ht="18" customHeight="1" x14ac:dyDescent="0.15">
      <c r="A50" s="3"/>
      <c r="B50" s="105"/>
      <c r="C50" s="106"/>
      <c r="D50" s="106"/>
      <c r="E50" s="107"/>
      <c r="F50" s="23"/>
      <c r="G50" s="23"/>
      <c r="H50" s="23"/>
      <c r="I50" s="23"/>
      <c r="J50" s="105"/>
      <c r="K50" s="106"/>
      <c r="L50" s="106"/>
      <c r="M50" s="106"/>
      <c r="N50" s="106"/>
      <c r="O50" s="107"/>
      <c r="P50" s="23"/>
      <c r="Q50" s="23"/>
      <c r="R50" s="23"/>
      <c r="S50" s="23"/>
    </row>
    <row r="51" spans="1:19" ht="18" customHeight="1" x14ac:dyDescent="0.15">
      <c r="A51" s="3"/>
      <c r="B51" s="105"/>
      <c r="C51" s="106"/>
      <c r="D51" s="106"/>
      <c r="E51" s="107"/>
      <c r="F51" s="23"/>
      <c r="G51" s="23"/>
      <c r="H51" s="23"/>
      <c r="I51" s="23"/>
      <c r="J51" s="105"/>
      <c r="K51" s="106"/>
      <c r="L51" s="106"/>
      <c r="M51" s="106"/>
      <c r="N51" s="106"/>
      <c r="O51" s="107"/>
      <c r="P51" s="23"/>
      <c r="Q51" s="23"/>
      <c r="R51" s="23"/>
      <c r="S51" s="23"/>
    </row>
    <row r="52" spans="1:19" ht="18" customHeight="1" x14ac:dyDescent="0.15">
      <c r="A52" s="3"/>
      <c r="B52" s="105"/>
      <c r="C52" s="106"/>
      <c r="D52" s="106"/>
      <c r="E52" s="107"/>
      <c r="F52" s="23"/>
      <c r="G52" s="23"/>
      <c r="H52" s="23"/>
      <c r="I52" s="23"/>
      <c r="J52" s="105"/>
      <c r="K52" s="106"/>
      <c r="L52" s="106"/>
      <c r="M52" s="106"/>
      <c r="N52" s="106"/>
      <c r="O52" s="107"/>
      <c r="P52" s="23"/>
      <c r="Q52" s="23"/>
      <c r="R52" s="23"/>
      <c r="S52" s="23"/>
    </row>
    <row r="53" spans="1:19" ht="18" customHeight="1" x14ac:dyDescent="0.15">
      <c r="A53" s="3"/>
      <c r="B53" s="111"/>
      <c r="C53" s="112"/>
      <c r="D53" s="112"/>
      <c r="E53" s="113"/>
      <c r="F53" s="24"/>
      <c r="G53" s="24"/>
      <c r="H53" s="25"/>
      <c r="I53" s="25"/>
      <c r="J53" s="111"/>
      <c r="K53" s="112"/>
      <c r="L53" s="112"/>
      <c r="M53" s="112"/>
      <c r="N53" s="112"/>
      <c r="O53" s="113"/>
      <c r="P53" s="24"/>
      <c r="Q53" s="24"/>
      <c r="R53" s="25"/>
      <c r="S53" s="25"/>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14" t="s">
        <v>116</v>
      </c>
      <c r="B55" s="114"/>
      <c r="C55" s="114"/>
      <c r="D55" s="114"/>
      <c r="E55" s="114"/>
      <c r="F55" s="114"/>
      <c r="G55" s="114"/>
      <c r="H55" s="114"/>
      <c r="I55" s="114"/>
      <c r="J55" s="114"/>
      <c r="K55" s="114"/>
      <c r="L55" s="114"/>
      <c r="M55" s="114"/>
      <c r="N55" s="114"/>
      <c r="O55" s="114"/>
      <c r="P55" s="114"/>
      <c r="Q55" s="114"/>
      <c r="R55" s="114"/>
      <c r="S55" s="114"/>
    </row>
    <row r="56" spans="1:19" ht="18" customHeight="1" x14ac:dyDescent="0.15">
      <c r="A56" s="114"/>
      <c r="B56" s="114"/>
      <c r="C56" s="114"/>
      <c r="D56" s="114"/>
      <c r="E56" s="114"/>
      <c r="F56" s="114"/>
      <c r="G56" s="114"/>
      <c r="H56" s="114"/>
      <c r="I56" s="114"/>
      <c r="J56" s="114"/>
      <c r="K56" s="114"/>
      <c r="L56" s="114"/>
      <c r="M56" s="114"/>
      <c r="N56" s="114"/>
      <c r="O56" s="114"/>
      <c r="P56" s="114"/>
      <c r="Q56" s="114"/>
      <c r="R56" s="114"/>
      <c r="S56" s="114"/>
    </row>
    <row r="57" spans="1:19" ht="18" customHeight="1" x14ac:dyDescent="0.15">
      <c r="B57" s="108" t="s">
        <v>53</v>
      </c>
      <c r="C57" s="109"/>
      <c r="D57" s="109"/>
      <c r="E57" s="110"/>
      <c r="F57" s="59" t="s">
        <v>80</v>
      </c>
      <c r="G57" s="58" t="s">
        <v>84</v>
      </c>
      <c r="H57" s="21" t="s">
        <v>58</v>
      </c>
      <c r="I57" s="21" t="s">
        <v>60</v>
      </c>
      <c r="J57" s="108" t="s">
        <v>53</v>
      </c>
      <c r="K57" s="109"/>
      <c r="L57" s="109"/>
      <c r="M57" s="109"/>
      <c r="N57" s="109"/>
      <c r="O57" s="110"/>
      <c r="P57" s="59" t="s">
        <v>80</v>
      </c>
      <c r="Q57" s="58" t="s">
        <v>84</v>
      </c>
      <c r="R57" s="21" t="s">
        <v>58</v>
      </c>
      <c r="S57" s="21" t="s">
        <v>60</v>
      </c>
    </row>
    <row r="58" spans="1:19" ht="18" customHeight="1" x14ac:dyDescent="0.15">
      <c r="A58" s="3"/>
      <c r="B58" s="102" t="s">
        <v>134</v>
      </c>
      <c r="C58" s="103"/>
      <c r="D58" s="103"/>
      <c r="E58" s="104"/>
      <c r="F58" s="22">
        <v>1</v>
      </c>
      <c r="G58" s="22" t="s">
        <v>132</v>
      </c>
      <c r="H58" s="22" t="s">
        <v>132</v>
      </c>
      <c r="I58" s="22" t="s">
        <v>132</v>
      </c>
      <c r="J58" s="102"/>
      <c r="K58" s="103"/>
      <c r="L58" s="103"/>
      <c r="M58" s="103"/>
      <c r="N58" s="103"/>
      <c r="O58" s="104"/>
      <c r="P58" s="22"/>
      <c r="Q58" s="22"/>
      <c r="R58" s="22"/>
      <c r="S58" s="22"/>
    </row>
    <row r="59" spans="1:19" ht="18" customHeight="1" x14ac:dyDescent="0.15">
      <c r="A59" s="3"/>
      <c r="B59" s="105"/>
      <c r="C59" s="106"/>
      <c r="D59" s="106"/>
      <c r="E59" s="107"/>
      <c r="F59" s="23"/>
      <c r="G59" s="23"/>
      <c r="H59" s="23"/>
      <c r="I59" s="23"/>
      <c r="J59" s="105"/>
      <c r="K59" s="106"/>
      <c r="L59" s="106"/>
      <c r="M59" s="106"/>
      <c r="N59" s="106"/>
      <c r="O59" s="107"/>
      <c r="P59" s="23"/>
      <c r="Q59" s="23"/>
      <c r="R59" s="23"/>
      <c r="S59" s="23"/>
    </row>
    <row r="60" spans="1:19" ht="18" customHeight="1" x14ac:dyDescent="0.15">
      <c r="A60" s="3"/>
      <c r="B60" s="105"/>
      <c r="C60" s="106"/>
      <c r="D60" s="106"/>
      <c r="E60" s="107"/>
      <c r="F60" s="23"/>
      <c r="G60" s="23"/>
      <c r="H60" s="23"/>
      <c r="I60" s="23"/>
      <c r="J60" s="105"/>
      <c r="K60" s="106"/>
      <c r="L60" s="106"/>
      <c r="M60" s="106"/>
      <c r="N60" s="106"/>
      <c r="O60" s="107"/>
      <c r="P60" s="23"/>
      <c r="Q60" s="23"/>
      <c r="R60" s="23"/>
      <c r="S60" s="23"/>
    </row>
    <row r="61" spans="1:19" ht="18" customHeight="1" x14ac:dyDescent="0.15">
      <c r="A61" s="3"/>
      <c r="B61" s="105"/>
      <c r="C61" s="106"/>
      <c r="D61" s="106"/>
      <c r="E61" s="107"/>
      <c r="F61" s="23"/>
      <c r="G61" s="23"/>
      <c r="H61" s="23"/>
      <c r="I61" s="23"/>
      <c r="J61" s="105"/>
      <c r="K61" s="106"/>
      <c r="L61" s="106"/>
      <c r="M61" s="106"/>
      <c r="N61" s="106"/>
      <c r="O61" s="107"/>
      <c r="P61" s="23"/>
      <c r="Q61" s="23"/>
      <c r="R61" s="23"/>
      <c r="S61" s="23"/>
    </row>
    <row r="62" spans="1:19" ht="18" customHeight="1" x14ac:dyDescent="0.15">
      <c r="A62" s="3"/>
      <c r="B62" s="105"/>
      <c r="C62" s="106"/>
      <c r="D62" s="106"/>
      <c r="E62" s="107"/>
      <c r="F62" s="23"/>
      <c r="G62" s="23"/>
      <c r="H62" s="23"/>
      <c r="I62" s="23"/>
      <c r="J62" s="105"/>
      <c r="K62" s="106"/>
      <c r="L62" s="106"/>
      <c r="M62" s="106"/>
      <c r="N62" s="106"/>
      <c r="O62" s="107"/>
      <c r="P62" s="23"/>
      <c r="Q62" s="23"/>
      <c r="R62" s="23"/>
      <c r="S62" s="23"/>
    </row>
    <row r="63" spans="1:19" ht="18" customHeight="1" x14ac:dyDescent="0.15">
      <c r="A63" s="3"/>
      <c r="B63" s="105"/>
      <c r="C63" s="106"/>
      <c r="D63" s="106"/>
      <c r="E63" s="107"/>
      <c r="F63" s="23"/>
      <c r="G63" s="23"/>
      <c r="H63" s="23"/>
      <c r="I63" s="23"/>
      <c r="J63" s="105"/>
      <c r="K63" s="106"/>
      <c r="L63" s="106"/>
      <c r="M63" s="106"/>
      <c r="N63" s="106"/>
      <c r="O63" s="107"/>
      <c r="P63" s="23"/>
      <c r="Q63" s="23"/>
      <c r="R63" s="23"/>
      <c r="S63" s="23"/>
    </row>
    <row r="64" spans="1:19" ht="18" customHeight="1" x14ac:dyDescent="0.15">
      <c r="A64" s="3"/>
      <c r="B64" s="111"/>
      <c r="C64" s="112"/>
      <c r="D64" s="112"/>
      <c r="E64" s="113"/>
      <c r="F64" s="24"/>
      <c r="G64" s="24"/>
      <c r="H64" s="25"/>
      <c r="I64" s="25"/>
      <c r="J64" s="111"/>
      <c r="K64" s="112"/>
      <c r="L64" s="112"/>
      <c r="M64" s="112"/>
      <c r="N64" s="112"/>
      <c r="O64" s="113"/>
      <c r="P64" s="24"/>
      <c r="Q64" s="24"/>
      <c r="R64" s="25"/>
      <c r="S64" s="25"/>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14" t="s">
        <v>117</v>
      </c>
      <c r="B66" s="114"/>
      <c r="C66" s="114"/>
      <c r="D66" s="114"/>
      <c r="E66" s="114"/>
      <c r="F66" s="114"/>
      <c r="G66" s="114"/>
      <c r="H66" s="114"/>
      <c r="I66" s="114"/>
      <c r="J66" s="114"/>
      <c r="K66" s="114"/>
      <c r="L66" s="114"/>
      <c r="M66" s="114"/>
      <c r="N66" s="114"/>
      <c r="O66" s="114"/>
      <c r="P66" s="114"/>
      <c r="Q66" s="114"/>
      <c r="R66" s="114"/>
      <c r="S66" s="114"/>
    </row>
    <row r="67" spans="1:19" ht="18" customHeight="1" x14ac:dyDescent="0.15">
      <c r="A67" s="114"/>
      <c r="B67" s="114"/>
      <c r="C67" s="114"/>
      <c r="D67" s="114"/>
      <c r="E67" s="114"/>
      <c r="F67" s="114"/>
      <c r="G67" s="114"/>
      <c r="H67" s="114"/>
      <c r="I67" s="114"/>
      <c r="J67" s="114"/>
      <c r="K67" s="114"/>
      <c r="L67" s="114"/>
      <c r="M67" s="114"/>
      <c r="N67" s="114"/>
      <c r="O67" s="114"/>
      <c r="P67" s="114"/>
      <c r="Q67" s="114"/>
      <c r="R67" s="114"/>
      <c r="S67" s="114"/>
    </row>
    <row r="68" spans="1:19" ht="18" customHeight="1" x14ac:dyDescent="0.15">
      <c r="B68" s="108" t="s">
        <v>53</v>
      </c>
      <c r="C68" s="109"/>
      <c r="D68" s="109"/>
      <c r="E68" s="59" t="s">
        <v>80</v>
      </c>
      <c r="F68" s="58" t="s">
        <v>84</v>
      </c>
      <c r="G68" s="21" t="s">
        <v>101</v>
      </c>
      <c r="H68" s="21" t="s">
        <v>75</v>
      </c>
      <c r="I68" s="21" t="s">
        <v>76</v>
      </c>
      <c r="J68" s="108" t="s">
        <v>53</v>
      </c>
      <c r="K68" s="109"/>
      <c r="L68" s="109"/>
      <c r="M68" s="109"/>
      <c r="N68" s="110"/>
      <c r="O68" s="59" t="s">
        <v>80</v>
      </c>
      <c r="P68" s="58" t="s">
        <v>84</v>
      </c>
      <c r="Q68" s="21" t="s">
        <v>101</v>
      </c>
      <c r="R68" s="21" t="s">
        <v>75</v>
      </c>
      <c r="S68" s="21" t="s">
        <v>76</v>
      </c>
    </row>
    <row r="69" spans="1:19" ht="18" customHeight="1" x14ac:dyDescent="0.15">
      <c r="A69" s="3"/>
      <c r="B69" s="102" t="s">
        <v>135</v>
      </c>
      <c r="C69" s="103"/>
      <c r="D69" s="103"/>
      <c r="E69" s="22">
        <v>1</v>
      </c>
      <c r="F69" s="22" t="s">
        <v>132</v>
      </c>
      <c r="G69" s="22" t="s">
        <v>132</v>
      </c>
      <c r="H69" s="22" t="s">
        <v>132</v>
      </c>
      <c r="I69" s="22" t="s">
        <v>132</v>
      </c>
      <c r="J69" s="102"/>
      <c r="K69" s="103"/>
      <c r="L69" s="103"/>
      <c r="M69" s="103"/>
      <c r="N69" s="104"/>
      <c r="O69" s="22"/>
      <c r="P69" s="22"/>
      <c r="Q69" s="22"/>
      <c r="R69" s="22"/>
      <c r="S69" s="22"/>
    </row>
    <row r="70" spans="1:19" ht="18" customHeight="1" x14ac:dyDescent="0.15">
      <c r="A70" s="3"/>
      <c r="B70" s="105"/>
      <c r="C70" s="106"/>
      <c r="D70" s="106"/>
      <c r="E70" s="23"/>
      <c r="F70" s="23"/>
      <c r="G70" s="23"/>
      <c r="H70" s="23"/>
      <c r="I70" s="23"/>
      <c r="J70" s="105"/>
      <c r="K70" s="106"/>
      <c r="L70" s="106"/>
      <c r="M70" s="106"/>
      <c r="N70" s="107"/>
      <c r="O70" s="23"/>
      <c r="P70" s="23"/>
      <c r="Q70" s="23"/>
      <c r="R70" s="23"/>
      <c r="S70" s="23"/>
    </row>
    <row r="71" spans="1:19" ht="18" customHeight="1" x14ac:dyDescent="0.15">
      <c r="A71" s="3"/>
      <c r="B71" s="105"/>
      <c r="C71" s="106"/>
      <c r="D71" s="106"/>
      <c r="E71" s="23"/>
      <c r="F71" s="23"/>
      <c r="G71" s="23"/>
      <c r="H71" s="23"/>
      <c r="I71" s="23"/>
      <c r="J71" s="105"/>
      <c r="K71" s="106"/>
      <c r="L71" s="106"/>
      <c r="M71" s="106"/>
      <c r="N71" s="107"/>
      <c r="O71" s="23"/>
      <c r="P71" s="23"/>
      <c r="Q71" s="23"/>
      <c r="R71" s="23"/>
      <c r="S71" s="23"/>
    </row>
    <row r="72" spans="1:19" ht="18" customHeight="1" x14ac:dyDescent="0.15">
      <c r="A72" s="3"/>
      <c r="B72" s="105"/>
      <c r="C72" s="106"/>
      <c r="D72" s="106"/>
      <c r="E72" s="23"/>
      <c r="F72" s="23"/>
      <c r="G72" s="23"/>
      <c r="H72" s="23"/>
      <c r="I72" s="23"/>
      <c r="J72" s="105"/>
      <c r="K72" s="106"/>
      <c r="L72" s="106"/>
      <c r="M72" s="106"/>
      <c r="N72" s="107"/>
      <c r="O72" s="23"/>
      <c r="P72" s="23"/>
      <c r="Q72" s="23"/>
      <c r="R72" s="23"/>
      <c r="S72" s="23"/>
    </row>
    <row r="73" spans="1:19" ht="18" customHeight="1" x14ac:dyDescent="0.15">
      <c r="A73" s="3"/>
      <c r="B73" s="105"/>
      <c r="C73" s="106"/>
      <c r="D73" s="106"/>
      <c r="E73" s="23"/>
      <c r="F73" s="23"/>
      <c r="G73" s="23"/>
      <c r="H73" s="23"/>
      <c r="I73" s="23"/>
      <c r="J73" s="105"/>
      <c r="K73" s="106"/>
      <c r="L73" s="106"/>
      <c r="M73" s="106"/>
      <c r="N73" s="107"/>
      <c r="O73" s="23"/>
      <c r="P73" s="23"/>
      <c r="Q73" s="23"/>
      <c r="R73" s="23"/>
      <c r="S73" s="23"/>
    </row>
    <row r="74" spans="1:19" ht="18" customHeight="1" x14ac:dyDescent="0.15">
      <c r="A74" s="3"/>
      <c r="B74" s="105"/>
      <c r="C74" s="106"/>
      <c r="D74" s="106"/>
      <c r="E74" s="23"/>
      <c r="F74" s="23"/>
      <c r="G74" s="23"/>
      <c r="H74" s="23"/>
      <c r="I74" s="23"/>
      <c r="J74" s="105"/>
      <c r="K74" s="106"/>
      <c r="L74" s="106"/>
      <c r="M74" s="106"/>
      <c r="N74" s="107"/>
      <c r="O74" s="23"/>
      <c r="P74" s="23"/>
      <c r="Q74" s="23"/>
      <c r="R74" s="23"/>
      <c r="S74" s="23"/>
    </row>
    <row r="75" spans="1:19" ht="18" customHeight="1" x14ac:dyDescent="0.15">
      <c r="A75" s="3"/>
      <c r="B75" s="111"/>
      <c r="C75" s="112"/>
      <c r="D75" s="112"/>
      <c r="E75" s="24"/>
      <c r="F75" s="24"/>
      <c r="G75" s="25"/>
      <c r="H75" s="25"/>
      <c r="I75" s="25"/>
      <c r="J75" s="111"/>
      <c r="K75" s="112"/>
      <c r="L75" s="112"/>
      <c r="M75" s="112"/>
      <c r="N75" s="113"/>
      <c r="O75" s="24"/>
      <c r="P75" s="24"/>
      <c r="Q75" s="25"/>
      <c r="R75" s="25"/>
      <c r="S75" s="25"/>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118</v>
      </c>
      <c r="H77" s="3"/>
      <c r="I77" s="3"/>
      <c r="J77" s="3"/>
      <c r="K77" s="3"/>
      <c r="L77" s="3"/>
      <c r="M77" s="3"/>
      <c r="N77" s="3"/>
      <c r="O77" s="3"/>
      <c r="P77" s="3"/>
      <c r="Q77" s="3"/>
      <c r="R77" s="3"/>
      <c r="S77" s="3"/>
    </row>
    <row r="78" spans="1:19" ht="18" customHeight="1" x14ac:dyDescent="0.15">
      <c r="B78" s="108" t="s">
        <v>53</v>
      </c>
      <c r="C78" s="109"/>
      <c r="D78" s="109"/>
      <c r="E78" s="110"/>
      <c r="F78" s="108" t="s">
        <v>82</v>
      </c>
      <c r="G78" s="109"/>
      <c r="H78" s="109"/>
      <c r="I78" s="110"/>
      <c r="J78" s="135" t="s">
        <v>53</v>
      </c>
      <c r="K78" s="136"/>
      <c r="L78" s="136"/>
      <c r="M78" s="136"/>
      <c r="N78" s="136"/>
      <c r="O78" s="137"/>
      <c r="P78" s="108" t="s">
        <v>82</v>
      </c>
      <c r="Q78" s="109"/>
      <c r="R78" s="109"/>
      <c r="S78" s="110"/>
    </row>
    <row r="79" spans="1:19" ht="18" customHeight="1" x14ac:dyDescent="0.15">
      <c r="A79" s="3"/>
      <c r="B79" s="102"/>
      <c r="C79" s="103"/>
      <c r="D79" s="103"/>
      <c r="E79" s="104"/>
      <c r="F79" s="129"/>
      <c r="G79" s="130"/>
      <c r="H79" s="130"/>
      <c r="I79" s="131"/>
      <c r="J79" s="102"/>
      <c r="K79" s="103"/>
      <c r="L79" s="103"/>
      <c r="M79" s="103"/>
      <c r="N79" s="103"/>
      <c r="O79" s="104"/>
      <c r="P79" s="129"/>
      <c r="Q79" s="130"/>
      <c r="R79" s="130"/>
      <c r="S79" s="131"/>
    </row>
    <row r="80" spans="1:19" ht="18" customHeight="1" x14ac:dyDescent="0.15">
      <c r="A80" s="3"/>
      <c r="B80" s="105"/>
      <c r="C80" s="106"/>
      <c r="D80" s="106"/>
      <c r="E80" s="107"/>
      <c r="F80" s="132"/>
      <c r="G80" s="133"/>
      <c r="H80" s="133"/>
      <c r="I80" s="134"/>
      <c r="J80" s="105"/>
      <c r="K80" s="106"/>
      <c r="L80" s="106"/>
      <c r="M80" s="106"/>
      <c r="N80" s="106"/>
      <c r="O80" s="107"/>
      <c r="P80" s="132"/>
      <c r="Q80" s="133"/>
      <c r="R80" s="133"/>
      <c r="S80" s="134"/>
    </row>
    <row r="81" spans="1:19" ht="18" customHeight="1" x14ac:dyDescent="0.15">
      <c r="A81" s="3"/>
      <c r="B81" s="105"/>
      <c r="C81" s="106"/>
      <c r="D81" s="106"/>
      <c r="E81" s="107"/>
      <c r="F81" s="132"/>
      <c r="G81" s="133"/>
      <c r="H81" s="133"/>
      <c r="I81" s="134"/>
      <c r="J81" s="105"/>
      <c r="K81" s="106"/>
      <c r="L81" s="106"/>
      <c r="M81" s="106"/>
      <c r="N81" s="106"/>
      <c r="O81" s="107"/>
      <c r="P81" s="132"/>
      <c r="Q81" s="133"/>
      <c r="R81" s="133"/>
      <c r="S81" s="134"/>
    </row>
    <row r="82" spans="1:19" ht="18" customHeight="1" x14ac:dyDescent="0.15">
      <c r="A82" s="3"/>
      <c r="B82" s="105"/>
      <c r="C82" s="106"/>
      <c r="D82" s="106"/>
      <c r="E82" s="107"/>
      <c r="F82" s="132"/>
      <c r="G82" s="133"/>
      <c r="H82" s="133"/>
      <c r="I82" s="134"/>
      <c r="J82" s="105"/>
      <c r="K82" s="106"/>
      <c r="L82" s="106"/>
      <c r="M82" s="106"/>
      <c r="N82" s="106"/>
      <c r="O82" s="107"/>
      <c r="P82" s="132"/>
      <c r="Q82" s="133"/>
      <c r="R82" s="133"/>
      <c r="S82" s="134"/>
    </row>
    <row r="83" spans="1:19" ht="18" customHeight="1" x14ac:dyDescent="0.15">
      <c r="A83" s="3"/>
      <c r="B83" s="105"/>
      <c r="C83" s="106"/>
      <c r="D83" s="106"/>
      <c r="E83" s="107"/>
      <c r="F83" s="132"/>
      <c r="G83" s="133"/>
      <c r="H83" s="133"/>
      <c r="I83" s="134"/>
      <c r="J83" s="105"/>
      <c r="K83" s="106"/>
      <c r="L83" s="106"/>
      <c r="M83" s="106"/>
      <c r="N83" s="106"/>
      <c r="O83" s="107"/>
      <c r="P83" s="132"/>
      <c r="Q83" s="133"/>
      <c r="R83" s="133"/>
      <c r="S83" s="134"/>
    </row>
    <row r="84" spans="1:19" ht="18" customHeight="1" x14ac:dyDescent="0.15">
      <c r="A84" s="3"/>
      <c r="B84" s="105"/>
      <c r="C84" s="106"/>
      <c r="D84" s="106"/>
      <c r="E84" s="107"/>
      <c r="F84" s="132"/>
      <c r="G84" s="133"/>
      <c r="H84" s="133"/>
      <c r="I84" s="134"/>
      <c r="J84" s="105"/>
      <c r="K84" s="106"/>
      <c r="L84" s="106"/>
      <c r="M84" s="106"/>
      <c r="N84" s="106"/>
      <c r="O84" s="107"/>
      <c r="P84" s="132"/>
      <c r="Q84" s="133"/>
      <c r="R84" s="133"/>
      <c r="S84" s="134"/>
    </row>
    <row r="85" spans="1:19" ht="18" customHeight="1" x14ac:dyDescent="0.15">
      <c r="A85" s="3"/>
      <c r="B85" s="111"/>
      <c r="C85" s="112"/>
      <c r="D85" s="112"/>
      <c r="E85" s="113"/>
      <c r="F85" s="141"/>
      <c r="G85" s="142"/>
      <c r="H85" s="142"/>
      <c r="I85" s="143"/>
      <c r="J85" s="111"/>
      <c r="K85" s="112"/>
      <c r="L85" s="112"/>
      <c r="M85" s="112"/>
      <c r="N85" s="112"/>
      <c r="O85" s="113"/>
      <c r="P85" s="141"/>
      <c r="Q85" s="142"/>
      <c r="R85" s="142"/>
      <c r="S85" s="143"/>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119</v>
      </c>
    </row>
    <row r="88" spans="1:19" ht="18.75" customHeight="1" x14ac:dyDescent="0.15">
      <c r="B88" s="126" t="s">
        <v>54</v>
      </c>
      <c r="C88" s="127"/>
      <c r="D88" s="109" t="s">
        <v>55</v>
      </c>
      <c r="E88" s="109"/>
      <c r="F88" s="109"/>
      <c r="G88" s="109"/>
      <c r="H88" s="109"/>
      <c r="I88" s="109"/>
      <c r="J88" s="109"/>
      <c r="K88" s="109"/>
      <c r="L88" s="109"/>
      <c r="M88" s="109"/>
      <c r="N88" s="109"/>
      <c r="O88" s="109"/>
      <c r="P88" s="109"/>
      <c r="Q88" s="109"/>
      <c r="R88" s="109"/>
      <c r="S88" s="110"/>
    </row>
    <row r="89" spans="1:19" ht="109.5" customHeight="1" x14ac:dyDescent="0.15">
      <c r="B89" s="115" t="s">
        <v>61</v>
      </c>
      <c r="C89" s="27" t="s">
        <v>56</v>
      </c>
      <c r="D89" s="128" t="s">
        <v>264</v>
      </c>
      <c r="E89" s="124"/>
      <c r="F89" s="124"/>
      <c r="G89" s="124"/>
      <c r="H89" s="124"/>
      <c r="I89" s="124"/>
      <c r="J89" s="124"/>
      <c r="K89" s="124"/>
      <c r="L89" s="124"/>
      <c r="M89" s="124"/>
      <c r="N89" s="124"/>
      <c r="O89" s="124"/>
      <c r="P89" s="124"/>
      <c r="Q89" s="124"/>
      <c r="R89" s="124"/>
      <c r="S89" s="125"/>
    </row>
    <row r="90" spans="1:19" ht="135.75" customHeight="1" x14ac:dyDescent="0.15">
      <c r="B90" s="116"/>
      <c r="C90" s="28" t="s">
        <v>77</v>
      </c>
      <c r="D90" s="144" t="s">
        <v>265</v>
      </c>
      <c r="E90" s="145"/>
      <c r="F90" s="145"/>
      <c r="G90" s="145"/>
      <c r="H90" s="145"/>
      <c r="I90" s="145"/>
      <c r="J90" s="145"/>
      <c r="K90" s="145"/>
      <c r="L90" s="145"/>
      <c r="M90" s="145"/>
      <c r="N90" s="145"/>
      <c r="O90" s="145"/>
      <c r="P90" s="145"/>
      <c r="Q90" s="145"/>
      <c r="R90" s="145"/>
      <c r="S90" s="146"/>
    </row>
    <row r="91" spans="1:19" ht="121.5" customHeight="1" x14ac:dyDescent="0.15">
      <c r="B91" s="115" t="s">
        <v>62</v>
      </c>
      <c r="C91" s="29" t="s">
        <v>71</v>
      </c>
      <c r="D91" s="147" t="s">
        <v>266</v>
      </c>
      <c r="E91" s="148"/>
      <c r="F91" s="148"/>
      <c r="G91" s="148"/>
      <c r="H91" s="148"/>
      <c r="I91" s="148"/>
      <c r="J91" s="148"/>
      <c r="K91" s="148"/>
      <c r="L91" s="148"/>
      <c r="M91" s="148"/>
      <c r="N91" s="148"/>
      <c r="O91" s="148"/>
      <c r="P91" s="148"/>
      <c r="Q91" s="148"/>
      <c r="R91" s="148"/>
      <c r="S91" s="149"/>
    </row>
    <row r="92" spans="1:19" ht="151.5" customHeight="1" x14ac:dyDescent="0.15">
      <c r="B92" s="117"/>
      <c r="C92" s="30" t="s">
        <v>72</v>
      </c>
      <c r="D92" s="153" t="s">
        <v>267</v>
      </c>
      <c r="E92" s="154"/>
      <c r="F92" s="154"/>
      <c r="G92" s="154"/>
      <c r="H92" s="154"/>
      <c r="I92" s="154"/>
      <c r="J92" s="154"/>
      <c r="K92" s="154"/>
      <c r="L92" s="154"/>
      <c r="M92" s="154"/>
      <c r="N92" s="154"/>
      <c r="O92" s="154"/>
      <c r="P92" s="154"/>
      <c r="Q92" s="154"/>
      <c r="R92" s="154"/>
      <c r="S92" s="155"/>
    </row>
    <row r="93" spans="1:19" ht="150.75" customHeight="1" x14ac:dyDescent="0.15">
      <c r="B93" s="115" t="s">
        <v>63</v>
      </c>
      <c r="C93" s="29" t="s">
        <v>73</v>
      </c>
      <c r="D93" s="156" t="s">
        <v>268</v>
      </c>
      <c r="E93" s="157"/>
      <c r="F93" s="157"/>
      <c r="G93" s="157"/>
      <c r="H93" s="157"/>
      <c r="I93" s="157"/>
      <c r="J93" s="157"/>
      <c r="K93" s="157"/>
      <c r="L93" s="157"/>
      <c r="M93" s="157"/>
      <c r="N93" s="157"/>
      <c r="O93" s="157"/>
      <c r="P93" s="157"/>
      <c r="Q93" s="157"/>
      <c r="R93" s="157"/>
      <c r="S93" s="158"/>
    </row>
    <row r="94" spans="1:19" ht="126" customHeight="1" x14ac:dyDescent="0.15">
      <c r="B94" s="117"/>
      <c r="C94" s="31" t="s">
        <v>74</v>
      </c>
      <c r="D94" s="150" t="s">
        <v>269</v>
      </c>
      <c r="E94" s="151"/>
      <c r="F94" s="151"/>
      <c r="G94" s="151"/>
      <c r="H94" s="151"/>
      <c r="I94" s="151"/>
      <c r="J94" s="151"/>
      <c r="K94" s="151"/>
      <c r="L94" s="151"/>
      <c r="M94" s="151"/>
      <c r="N94" s="151"/>
      <c r="O94" s="151"/>
      <c r="P94" s="151"/>
      <c r="Q94" s="151"/>
      <c r="R94" s="151"/>
      <c r="S94" s="152"/>
    </row>
    <row r="95" spans="1:19" ht="97.5" customHeight="1" x14ac:dyDescent="0.15">
      <c r="B95" s="115" t="s">
        <v>78</v>
      </c>
      <c r="C95" s="27" t="s">
        <v>58</v>
      </c>
      <c r="D95" s="124" t="s">
        <v>270</v>
      </c>
      <c r="E95" s="124"/>
      <c r="F95" s="124"/>
      <c r="G95" s="124"/>
      <c r="H95" s="124"/>
      <c r="I95" s="124"/>
      <c r="J95" s="124"/>
      <c r="K95" s="124"/>
      <c r="L95" s="124"/>
      <c r="M95" s="124"/>
      <c r="N95" s="124"/>
      <c r="O95" s="124"/>
      <c r="P95" s="124"/>
      <c r="Q95" s="124"/>
      <c r="R95" s="124"/>
      <c r="S95" s="125"/>
    </row>
    <row r="96" spans="1:19" ht="97.5" customHeight="1" x14ac:dyDescent="0.15">
      <c r="B96" s="117"/>
      <c r="C96" s="30" t="s">
        <v>60</v>
      </c>
      <c r="D96" s="159" t="s">
        <v>271</v>
      </c>
      <c r="E96" s="159"/>
      <c r="F96" s="159"/>
      <c r="G96" s="159"/>
      <c r="H96" s="159"/>
      <c r="I96" s="159"/>
      <c r="J96" s="159"/>
      <c r="K96" s="159"/>
      <c r="L96" s="159"/>
      <c r="M96" s="159"/>
      <c r="N96" s="159"/>
      <c r="O96" s="159"/>
      <c r="P96" s="159"/>
      <c r="Q96" s="159"/>
      <c r="R96" s="159"/>
      <c r="S96" s="160"/>
    </row>
    <row r="97" spans="1:19" ht="171" customHeight="1" x14ac:dyDescent="0.15">
      <c r="B97" s="115" t="s">
        <v>79</v>
      </c>
      <c r="C97" s="29" t="s">
        <v>57</v>
      </c>
      <c r="D97" s="118" t="s">
        <v>272</v>
      </c>
      <c r="E97" s="119"/>
      <c r="F97" s="119"/>
      <c r="G97" s="119"/>
      <c r="H97" s="119"/>
      <c r="I97" s="119"/>
      <c r="J97" s="119"/>
      <c r="K97" s="119"/>
      <c r="L97" s="119"/>
      <c r="M97" s="119"/>
      <c r="N97" s="119"/>
      <c r="O97" s="119"/>
      <c r="P97" s="119"/>
      <c r="Q97" s="119"/>
      <c r="R97" s="119"/>
      <c r="S97" s="120"/>
    </row>
    <row r="98" spans="1:19" ht="97.5" customHeight="1" x14ac:dyDescent="0.15">
      <c r="B98" s="116"/>
      <c r="C98" s="32" t="s">
        <v>75</v>
      </c>
      <c r="D98" s="161" t="s">
        <v>273</v>
      </c>
      <c r="E98" s="162"/>
      <c r="F98" s="162"/>
      <c r="G98" s="162"/>
      <c r="H98" s="162"/>
      <c r="I98" s="162"/>
      <c r="J98" s="162"/>
      <c r="K98" s="162"/>
      <c r="L98" s="162"/>
      <c r="M98" s="162"/>
      <c r="N98" s="162"/>
      <c r="O98" s="162"/>
      <c r="P98" s="162"/>
      <c r="Q98" s="162"/>
      <c r="R98" s="162"/>
      <c r="S98" s="163"/>
    </row>
    <row r="99" spans="1:19" ht="97.5" customHeight="1" x14ac:dyDescent="0.15">
      <c r="B99" s="117"/>
      <c r="C99" s="31" t="s">
        <v>76</v>
      </c>
      <c r="D99" s="121" t="s">
        <v>274</v>
      </c>
      <c r="E99" s="122"/>
      <c r="F99" s="122"/>
      <c r="G99" s="122"/>
      <c r="H99" s="122"/>
      <c r="I99" s="122"/>
      <c r="J99" s="122"/>
      <c r="K99" s="122"/>
      <c r="L99" s="122"/>
      <c r="M99" s="122"/>
      <c r="N99" s="122"/>
      <c r="O99" s="122"/>
      <c r="P99" s="122"/>
      <c r="Q99" s="122"/>
      <c r="R99" s="122"/>
      <c r="S99" s="123"/>
    </row>
    <row r="100" spans="1:19" ht="6" customHeight="1" x14ac:dyDescent="0.15"/>
    <row r="101" spans="1:19" ht="18.75" customHeight="1" x14ac:dyDescent="0.15">
      <c r="A101" s="1" t="s">
        <v>120</v>
      </c>
    </row>
    <row r="102" spans="1:19" ht="81.75" customHeight="1" x14ac:dyDescent="0.15">
      <c r="B102" s="138" t="s">
        <v>136</v>
      </c>
      <c r="C102" s="139"/>
      <c r="D102" s="139"/>
      <c r="E102" s="139"/>
      <c r="F102" s="139"/>
      <c r="G102" s="139"/>
      <c r="H102" s="139"/>
      <c r="I102" s="139"/>
      <c r="J102" s="139"/>
      <c r="K102" s="139"/>
      <c r="L102" s="139"/>
      <c r="M102" s="139"/>
      <c r="N102" s="139"/>
      <c r="O102" s="139"/>
      <c r="P102" s="139"/>
      <c r="Q102" s="139"/>
      <c r="R102" s="139"/>
      <c r="S102" s="140"/>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6"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cellComments="asDisplayed" r:id="rId1"/>
  <headerFooter>
    <oddHeader>&amp;C数理・データサイエンス・AI教育プログラム認定制度【リテラシーレベル】</oddHeader>
  </headerFooter>
  <rowBreaks count="2" manualBreakCount="2">
    <brk id="65" max="18" man="1"/>
    <brk id="92"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02C43-C857-4252-BB0E-95035CE2D272}">
  <sheetPr>
    <pageSetUpPr fitToPage="1"/>
  </sheetPr>
  <dimension ref="A1:V110"/>
  <sheetViews>
    <sheetView showZeros="0" zoomScale="90" zoomScaleNormal="90" zoomScaleSheetLayoutView="90" workbookViewId="0">
      <selection activeCell="D89" sqref="D89:S89"/>
    </sheetView>
  </sheetViews>
  <sheetFormatPr defaultColWidth="9" defaultRowHeight="18.75" customHeight="1" x14ac:dyDescent="0.15"/>
  <cols>
    <col min="1" max="1" width="2.5" style="83" customWidth="1"/>
    <col min="2" max="2" width="16.5" style="83" customWidth="1"/>
    <col min="3" max="19" width="5.625" style="83" customWidth="1"/>
    <col min="20" max="20" width="9" style="83"/>
    <col min="21" max="21" width="3.625" style="83" customWidth="1"/>
    <col min="22" max="22" width="48.625" style="83" hidden="1" customWidth="1"/>
    <col min="23" max="16384" width="9" style="83"/>
  </cols>
  <sheetData>
    <row r="1" spans="1:22" ht="18.600000000000001" customHeight="1" x14ac:dyDescent="0.15">
      <c r="R1" s="164" t="s">
        <v>138</v>
      </c>
      <c r="S1" s="164"/>
      <c r="T1" s="2" t="s">
        <v>109</v>
      </c>
    </row>
    <row r="2" spans="1:22" ht="18.75" customHeight="1" x14ac:dyDescent="0.15">
      <c r="B2" s="82" t="s">
        <v>108</v>
      </c>
      <c r="C2" s="168" t="s">
        <v>127</v>
      </c>
      <c r="D2" s="109"/>
      <c r="E2" s="109"/>
      <c r="F2" s="109"/>
      <c r="G2" s="109"/>
      <c r="H2" s="109"/>
      <c r="I2" s="110"/>
      <c r="J2" s="81"/>
      <c r="K2" s="6"/>
      <c r="L2" s="6"/>
      <c r="M2" s="6"/>
      <c r="N2" s="6"/>
      <c r="O2" s="6"/>
      <c r="P2" s="6"/>
      <c r="Q2" s="6"/>
      <c r="R2" s="6"/>
      <c r="S2" s="6"/>
    </row>
    <row r="3" spans="1:22" ht="18.75" customHeight="1" x14ac:dyDescent="0.15">
      <c r="B3" s="82" t="s">
        <v>102</v>
      </c>
      <c r="C3" s="168" t="s">
        <v>126</v>
      </c>
      <c r="D3" s="169"/>
      <c r="E3" s="169"/>
      <c r="F3" s="169"/>
      <c r="G3" s="169"/>
      <c r="H3" s="169"/>
      <c r="I3" s="170"/>
      <c r="J3" s="81"/>
      <c r="K3" s="6"/>
      <c r="L3" s="6"/>
      <c r="M3" s="6"/>
      <c r="N3" s="6"/>
      <c r="O3" s="6"/>
      <c r="P3" s="6"/>
      <c r="Q3" s="6"/>
      <c r="R3" s="6"/>
      <c r="S3" s="6"/>
    </row>
    <row r="4" spans="1:22" ht="15" customHeight="1" x14ac:dyDescent="0.15">
      <c r="K4" s="81"/>
      <c r="L4" s="36"/>
      <c r="M4" s="36"/>
      <c r="N4" s="36"/>
      <c r="O4" s="36"/>
      <c r="P4" s="36"/>
      <c r="Q4" s="36"/>
      <c r="R4" s="36"/>
      <c r="S4" s="36"/>
    </row>
    <row r="5" spans="1:22" ht="18" customHeight="1" x14ac:dyDescent="0.15">
      <c r="A5" s="171" t="s">
        <v>38</v>
      </c>
      <c r="B5" s="171"/>
      <c r="C5" s="171"/>
      <c r="D5" s="171"/>
      <c r="E5" s="171"/>
      <c r="F5" s="171"/>
      <c r="G5" s="171"/>
      <c r="H5" s="171"/>
      <c r="I5" s="171"/>
      <c r="J5" s="171"/>
      <c r="K5" s="171"/>
      <c r="L5" s="171"/>
      <c r="M5" s="171"/>
      <c r="N5" s="171"/>
      <c r="O5" s="171"/>
      <c r="P5" s="171"/>
      <c r="Q5" s="171"/>
      <c r="R5" s="171"/>
      <c r="S5" s="171"/>
    </row>
    <row r="6" spans="1:22" ht="15" customHeight="1" x14ac:dyDescent="0.15">
      <c r="B6" s="84"/>
      <c r="C6" s="84"/>
      <c r="D6" s="84"/>
      <c r="E6" s="84"/>
      <c r="F6" s="84"/>
      <c r="G6" s="84"/>
      <c r="H6" s="84"/>
      <c r="I6" s="84"/>
      <c r="J6" s="84"/>
      <c r="K6" s="84"/>
      <c r="L6" s="84"/>
      <c r="M6" s="84"/>
      <c r="N6" s="84"/>
      <c r="O6" s="84"/>
      <c r="P6" s="84"/>
      <c r="Q6" s="84"/>
      <c r="R6" s="84"/>
      <c r="S6" s="84"/>
    </row>
    <row r="7" spans="1:22" ht="18" customHeight="1" x14ac:dyDescent="0.15">
      <c r="A7" s="83" t="s">
        <v>124</v>
      </c>
      <c r="C7" s="84"/>
      <c r="J7" s="37" t="s">
        <v>107</v>
      </c>
      <c r="K7" s="168" t="s">
        <v>128</v>
      </c>
      <c r="L7" s="169"/>
      <c r="M7" s="169"/>
      <c r="N7" s="169"/>
      <c r="O7" s="169"/>
      <c r="P7" s="169"/>
      <c r="Q7" s="169"/>
      <c r="R7" s="169"/>
      <c r="S7" s="170"/>
    </row>
    <row r="8" spans="1:22" ht="6" customHeight="1" x14ac:dyDescent="0.15">
      <c r="B8" s="84"/>
      <c r="C8" s="84"/>
      <c r="D8" s="84"/>
      <c r="E8" s="84"/>
      <c r="F8" s="84"/>
      <c r="G8" s="84"/>
      <c r="H8" s="84"/>
      <c r="I8" s="84"/>
      <c r="J8" s="84"/>
      <c r="K8" s="10"/>
      <c r="L8" s="84"/>
      <c r="M8" s="84"/>
      <c r="N8" s="84"/>
      <c r="O8" s="84"/>
      <c r="P8" s="84"/>
      <c r="Q8" s="84"/>
      <c r="R8" s="84"/>
      <c r="S8" s="84"/>
    </row>
    <row r="9" spans="1:22" ht="18" customHeight="1" x14ac:dyDescent="0.15">
      <c r="B9" s="181" t="s">
        <v>174</v>
      </c>
      <c r="C9" s="182"/>
      <c r="D9" s="182"/>
      <c r="E9" s="182"/>
      <c r="F9" s="182"/>
      <c r="G9" s="182"/>
      <c r="H9" s="182"/>
      <c r="I9" s="182"/>
      <c r="J9" s="182"/>
      <c r="K9" s="182"/>
      <c r="L9" s="182"/>
      <c r="M9" s="182"/>
      <c r="N9" s="182"/>
      <c r="O9" s="182"/>
      <c r="P9" s="182"/>
      <c r="Q9" s="182"/>
      <c r="R9" s="182"/>
      <c r="S9" s="183"/>
    </row>
    <row r="10" spans="1:22" ht="18" customHeight="1" x14ac:dyDescent="0.15">
      <c r="B10" s="184"/>
      <c r="C10" s="185"/>
      <c r="D10" s="185"/>
      <c r="E10" s="185"/>
      <c r="F10" s="185"/>
      <c r="G10" s="185"/>
      <c r="H10" s="185"/>
      <c r="I10" s="185"/>
      <c r="J10" s="185"/>
      <c r="K10" s="185"/>
      <c r="L10" s="185"/>
      <c r="M10" s="185"/>
      <c r="N10" s="185"/>
      <c r="O10" s="185"/>
      <c r="P10" s="185"/>
      <c r="Q10" s="185"/>
      <c r="R10" s="185"/>
      <c r="S10" s="186"/>
    </row>
    <row r="11" spans="1:22" ht="6" customHeight="1" x14ac:dyDescent="0.15">
      <c r="B11" s="84"/>
      <c r="C11" s="84"/>
      <c r="D11" s="84"/>
      <c r="E11" s="84"/>
      <c r="F11" s="84"/>
      <c r="G11" s="84"/>
      <c r="H11" s="84"/>
      <c r="I11" s="84"/>
      <c r="J11" s="84"/>
      <c r="K11" s="10"/>
      <c r="L11" s="84"/>
      <c r="M11" s="84"/>
      <c r="N11" s="84"/>
      <c r="O11" s="84"/>
      <c r="P11" s="84"/>
      <c r="Q11" s="84"/>
      <c r="R11" s="84"/>
      <c r="S11" s="84"/>
    </row>
    <row r="12" spans="1:22" ht="18" customHeight="1" x14ac:dyDescent="0.15">
      <c r="A12" s="83" t="s">
        <v>111</v>
      </c>
      <c r="B12" s="84"/>
      <c r="C12" s="84"/>
      <c r="D12" s="81"/>
      <c r="E12" s="81"/>
      <c r="F12" s="81"/>
      <c r="G12" s="81"/>
      <c r="H12" s="81"/>
      <c r="I12" s="81"/>
      <c r="J12" s="81"/>
      <c r="K12" s="38"/>
      <c r="L12" s="38"/>
      <c r="M12" s="38"/>
      <c r="N12" s="38"/>
      <c r="O12" s="38"/>
      <c r="P12" s="38"/>
      <c r="Q12" s="38"/>
      <c r="R12" s="38"/>
      <c r="S12" s="38"/>
    </row>
    <row r="13" spans="1:22" ht="18" customHeight="1" x14ac:dyDescent="0.15">
      <c r="B13" s="172" t="s">
        <v>178</v>
      </c>
      <c r="C13" s="173"/>
      <c r="D13" s="173"/>
      <c r="E13" s="173"/>
      <c r="F13" s="173"/>
      <c r="G13" s="173"/>
      <c r="H13" s="173"/>
      <c r="I13" s="173"/>
      <c r="J13" s="173"/>
      <c r="K13" s="173"/>
      <c r="L13" s="173"/>
      <c r="M13" s="173"/>
      <c r="N13" s="173"/>
      <c r="O13" s="173"/>
      <c r="P13" s="173"/>
      <c r="Q13" s="173"/>
      <c r="R13" s="173"/>
      <c r="S13" s="174"/>
      <c r="V13" s="83" t="s">
        <v>103</v>
      </c>
    </row>
    <row r="14" spans="1:22" ht="18" customHeight="1" x14ac:dyDescent="0.15">
      <c r="B14" s="175"/>
      <c r="C14" s="176"/>
      <c r="D14" s="176"/>
      <c r="E14" s="176"/>
      <c r="F14" s="176"/>
      <c r="G14" s="176"/>
      <c r="H14" s="176"/>
      <c r="I14" s="176"/>
      <c r="J14" s="176"/>
      <c r="K14" s="176"/>
      <c r="L14" s="176"/>
      <c r="M14" s="176"/>
      <c r="N14" s="176"/>
      <c r="O14" s="176"/>
      <c r="P14" s="176"/>
      <c r="Q14" s="176"/>
      <c r="R14" s="176"/>
      <c r="S14" s="177"/>
      <c r="V14" s="83" t="s">
        <v>110</v>
      </c>
    </row>
    <row r="15" spans="1:22" ht="18" customHeight="1" x14ac:dyDescent="0.15">
      <c r="B15" s="175"/>
      <c r="C15" s="176"/>
      <c r="D15" s="176"/>
      <c r="E15" s="176"/>
      <c r="F15" s="176"/>
      <c r="G15" s="176"/>
      <c r="H15" s="176"/>
      <c r="I15" s="176"/>
      <c r="J15" s="176"/>
      <c r="K15" s="176"/>
      <c r="L15" s="176"/>
      <c r="M15" s="176"/>
      <c r="N15" s="176"/>
      <c r="O15" s="176"/>
      <c r="P15" s="176"/>
      <c r="Q15" s="176"/>
      <c r="R15" s="176"/>
      <c r="S15" s="177"/>
      <c r="V15" s="83" t="s">
        <v>123</v>
      </c>
    </row>
    <row r="16" spans="1:22" ht="18" customHeight="1" x14ac:dyDescent="0.15">
      <c r="B16" s="175"/>
      <c r="C16" s="176"/>
      <c r="D16" s="176"/>
      <c r="E16" s="176"/>
      <c r="F16" s="176"/>
      <c r="G16" s="176"/>
      <c r="H16" s="176"/>
      <c r="I16" s="176"/>
      <c r="J16" s="176"/>
      <c r="K16" s="176"/>
      <c r="L16" s="176"/>
      <c r="M16" s="176"/>
      <c r="N16" s="176"/>
      <c r="O16" s="176"/>
      <c r="P16" s="176"/>
      <c r="Q16" s="176"/>
      <c r="R16" s="176"/>
      <c r="S16" s="177"/>
      <c r="V16" s="83" t="s">
        <v>125</v>
      </c>
    </row>
    <row r="17" spans="1:19" ht="18" customHeight="1" x14ac:dyDescent="0.15">
      <c r="B17" s="175"/>
      <c r="C17" s="176"/>
      <c r="D17" s="176"/>
      <c r="E17" s="176"/>
      <c r="F17" s="176"/>
      <c r="G17" s="176"/>
      <c r="H17" s="176"/>
      <c r="I17" s="176"/>
      <c r="J17" s="176"/>
      <c r="K17" s="176"/>
      <c r="L17" s="176"/>
      <c r="M17" s="176"/>
      <c r="N17" s="176"/>
      <c r="O17" s="176"/>
      <c r="P17" s="176"/>
      <c r="Q17" s="176"/>
      <c r="R17" s="176"/>
      <c r="S17" s="177"/>
    </row>
    <row r="18" spans="1:19" ht="18" customHeight="1" x14ac:dyDescent="0.15">
      <c r="B18" s="178"/>
      <c r="C18" s="179"/>
      <c r="D18" s="179"/>
      <c r="E18" s="179"/>
      <c r="F18" s="179"/>
      <c r="G18" s="179"/>
      <c r="H18" s="179"/>
      <c r="I18" s="179"/>
      <c r="J18" s="179"/>
      <c r="K18" s="179"/>
      <c r="L18" s="179"/>
      <c r="M18" s="179"/>
      <c r="N18" s="179"/>
      <c r="O18" s="179"/>
      <c r="P18" s="179"/>
      <c r="Q18" s="179"/>
      <c r="R18" s="179"/>
      <c r="S18" s="180"/>
    </row>
    <row r="19" spans="1:19" ht="7.5" customHeight="1" x14ac:dyDescent="0.15">
      <c r="B19" s="84"/>
      <c r="C19" s="84"/>
      <c r="D19" s="84"/>
      <c r="E19" s="84"/>
      <c r="F19" s="84"/>
      <c r="G19" s="84"/>
      <c r="H19" s="84"/>
      <c r="I19" s="84"/>
      <c r="J19" s="84"/>
      <c r="K19" s="84"/>
      <c r="L19" s="84"/>
      <c r="M19" s="84"/>
      <c r="N19" s="84"/>
      <c r="O19" s="84"/>
      <c r="P19" s="84"/>
      <c r="Q19" s="84"/>
      <c r="R19" s="84"/>
      <c r="S19" s="84"/>
    </row>
    <row r="20" spans="1:19" ht="19.899999999999999" customHeight="1" x14ac:dyDescent="0.15">
      <c r="B20" s="83" t="s">
        <v>112</v>
      </c>
      <c r="C20" s="108">
        <v>10</v>
      </c>
      <c r="D20" s="110"/>
      <c r="E20" s="39" t="s">
        <v>95</v>
      </c>
      <c r="G20" s="10"/>
      <c r="H20" s="84"/>
      <c r="I20" s="84"/>
      <c r="J20" s="81" t="s">
        <v>121</v>
      </c>
      <c r="K20" s="165" t="s">
        <v>125</v>
      </c>
      <c r="L20" s="166"/>
      <c r="M20" s="166"/>
      <c r="N20" s="166"/>
      <c r="O20" s="166"/>
      <c r="P20" s="166"/>
      <c r="Q20" s="166"/>
      <c r="R20" s="166"/>
      <c r="S20" s="167"/>
    </row>
    <row r="21" spans="1:19" ht="7.5" customHeight="1" x14ac:dyDescent="0.15">
      <c r="B21" s="84"/>
      <c r="C21" s="84"/>
      <c r="D21" s="84"/>
      <c r="E21" s="84"/>
      <c r="F21" s="84"/>
      <c r="G21" s="84"/>
      <c r="H21" s="84"/>
      <c r="I21" s="84"/>
      <c r="J21" s="84"/>
      <c r="K21" s="84"/>
      <c r="L21" s="84"/>
      <c r="M21" s="84"/>
      <c r="N21" s="84"/>
      <c r="O21" s="84"/>
      <c r="P21" s="84"/>
      <c r="Q21" s="84"/>
      <c r="R21" s="84"/>
      <c r="S21" s="84"/>
    </row>
    <row r="22" spans="1:19" ht="18" customHeight="1" x14ac:dyDescent="0.15">
      <c r="A22" s="114" t="s">
        <v>113</v>
      </c>
      <c r="B22" s="114"/>
      <c r="C22" s="114"/>
      <c r="D22" s="114"/>
      <c r="E22" s="114"/>
      <c r="F22" s="114"/>
      <c r="G22" s="114"/>
      <c r="H22" s="114"/>
      <c r="I22" s="114"/>
      <c r="J22" s="114"/>
      <c r="K22" s="114"/>
      <c r="L22" s="114"/>
      <c r="M22" s="114"/>
      <c r="N22" s="114"/>
      <c r="O22" s="114"/>
      <c r="P22" s="114"/>
      <c r="Q22" s="114"/>
      <c r="R22" s="114"/>
      <c r="S22" s="114"/>
    </row>
    <row r="23" spans="1:19" ht="18" customHeight="1" x14ac:dyDescent="0.15">
      <c r="A23" s="114"/>
      <c r="B23" s="114"/>
      <c r="C23" s="114"/>
      <c r="D23" s="114"/>
      <c r="E23" s="114"/>
      <c r="F23" s="114"/>
      <c r="G23" s="114"/>
      <c r="H23" s="114"/>
      <c r="I23" s="114"/>
      <c r="J23" s="114"/>
      <c r="K23" s="114"/>
      <c r="L23" s="114"/>
      <c r="M23" s="114"/>
      <c r="N23" s="114"/>
      <c r="O23" s="114"/>
      <c r="P23" s="114"/>
      <c r="Q23" s="114"/>
      <c r="R23" s="114"/>
      <c r="S23" s="114"/>
    </row>
    <row r="24" spans="1:19" ht="18" customHeight="1" x14ac:dyDescent="0.15">
      <c r="B24" s="108" t="s">
        <v>53</v>
      </c>
      <c r="C24" s="109"/>
      <c r="D24" s="109"/>
      <c r="E24" s="110"/>
      <c r="F24" s="59" t="s">
        <v>80</v>
      </c>
      <c r="G24" s="58" t="s">
        <v>84</v>
      </c>
      <c r="H24" s="21" t="s">
        <v>56</v>
      </c>
      <c r="I24" s="21" t="s">
        <v>59</v>
      </c>
      <c r="J24" s="108" t="s">
        <v>53</v>
      </c>
      <c r="K24" s="109"/>
      <c r="L24" s="109"/>
      <c r="M24" s="109"/>
      <c r="N24" s="109"/>
      <c r="O24" s="110"/>
      <c r="P24" s="59" t="s">
        <v>80</v>
      </c>
      <c r="Q24" s="58" t="s">
        <v>84</v>
      </c>
      <c r="R24" s="21" t="s">
        <v>56</v>
      </c>
      <c r="S24" s="21" t="s">
        <v>59</v>
      </c>
    </row>
    <row r="25" spans="1:19" ht="18" customHeight="1" x14ac:dyDescent="0.15">
      <c r="B25" s="102" t="s">
        <v>175</v>
      </c>
      <c r="C25" s="103"/>
      <c r="D25" s="103"/>
      <c r="E25" s="104"/>
      <c r="F25" s="22">
        <v>2</v>
      </c>
      <c r="G25" s="22" t="s">
        <v>132</v>
      </c>
      <c r="H25" s="22" t="s">
        <v>132</v>
      </c>
      <c r="I25" s="22" t="s">
        <v>132</v>
      </c>
      <c r="J25" s="102"/>
      <c r="K25" s="103"/>
      <c r="L25" s="103"/>
      <c r="M25" s="103"/>
      <c r="N25" s="103"/>
      <c r="O25" s="104"/>
      <c r="P25" s="22"/>
      <c r="Q25" s="22"/>
      <c r="R25" s="22"/>
      <c r="S25" s="22"/>
    </row>
    <row r="26" spans="1:19" ht="18" customHeight="1" x14ac:dyDescent="0.15">
      <c r="B26" s="105"/>
      <c r="C26" s="106"/>
      <c r="D26" s="106"/>
      <c r="E26" s="107"/>
      <c r="F26" s="23"/>
      <c r="G26" s="23"/>
      <c r="H26" s="23"/>
      <c r="I26" s="23"/>
      <c r="J26" s="105"/>
      <c r="K26" s="106"/>
      <c r="L26" s="106"/>
      <c r="M26" s="106"/>
      <c r="N26" s="106"/>
      <c r="O26" s="107"/>
      <c r="P26" s="23"/>
      <c r="Q26" s="23"/>
      <c r="R26" s="23"/>
      <c r="S26" s="23"/>
    </row>
    <row r="27" spans="1:19" ht="18" customHeight="1" x14ac:dyDescent="0.15">
      <c r="B27" s="105"/>
      <c r="C27" s="106"/>
      <c r="D27" s="106"/>
      <c r="E27" s="107"/>
      <c r="F27" s="23"/>
      <c r="G27" s="23"/>
      <c r="H27" s="23"/>
      <c r="I27" s="23"/>
      <c r="J27" s="105"/>
      <c r="K27" s="106"/>
      <c r="L27" s="106"/>
      <c r="M27" s="106"/>
      <c r="N27" s="106"/>
      <c r="O27" s="107"/>
      <c r="P27" s="23"/>
      <c r="Q27" s="23"/>
      <c r="R27" s="23"/>
      <c r="S27" s="23"/>
    </row>
    <row r="28" spans="1:19" ht="18" customHeight="1" x14ac:dyDescent="0.15">
      <c r="B28" s="105"/>
      <c r="C28" s="106"/>
      <c r="D28" s="106"/>
      <c r="E28" s="107"/>
      <c r="F28" s="23"/>
      <c r="G28" s="23"/>
      <c r="H28" s="23"/>
      <c r="I28" s="23"/>
      <c r="J28" s="105"/>
      <c r="K28" s="106"/>
      <c r="L28" s="106"/>
      <c r="M28" s="106"/>
      <c r="N28" s="106"/>
      <c r="O28" s="107"/>
      <c r="P28" s="23"/>
      <c r="Q28" s="23"/>
      <c r="R28" s="23"/>
      <c r="S28" s="23"/>
    </row>
    <row r="29" spans="1:19" ht="18" customHeight="1" x14ac:dyDescent="0.15">
      <c r="B29" s="105"/>
      <c r="C29" s="106"/>
      <c r="D29" s="106"/>
      <c r="E29" s="107"/>
      <c r="F29" s="23"/>
      <c r="G29" s="23"/>
      <c r="H29" s="23"/>
      <c r="I29" s="23"/>
      <c r="J29" s="105"/>
      <c r="K29" s="106"/>
      <c r="L29" s="106"/>
      <c r="M29" s="106"/>
      <c r="N29" s="106"/>
      <c r="O29" s="107"/>
      <c r="P29" s="23"/>
      <c r="Q29" s="23"/>
      <c r="R29" s="23"/>
      <c r="S29" s="23"/>
    </row>
    <row r="30" spans="1:19" ht="18" customHeight="1" x14ac:dyDescent="0.15">
      <c r="A30" s="84"/>
      <c r="B30" s="105"/>
      <c r="C30" s="106"/>
      <c r="D30" s="106"/>
      <c r="E30" s="107"/>
      <c r="F30" s="23"/>
      <c r="G30" s="23"/>
      <c r="H30" s="23"/>
      <c r="I30" s="23"/>
      <c r="J30" s="105"/>
      <c r="K30" s="106"/>
      <c r="L30" s="106"/>
      <c r="M30" s="106"/>
      <c r="N30" s="106"/>
      <c r="O30" s="107"/>
      <c r="P30" s="23"/>
      <c r="Q30" s="23"/>
      <c r="R30" s="23"/>
      <c r="S30" s="23"/>
    </row>
    <row r="31" spans="1:19" ht="18" customHeight="1" x14ac:dyDescent="0.15">
      <c r="A31" s="84"/>
      <c r="B31" s="111"/>
      <c r="C31" s="112"/>
      <c r="D31" s="112"/>
      <c r="E31" s="113"/>
      <c r="F31" s="24"/>
      <c r="G31" s="24"/>
      <c r="H31" s="25"/>
      <c r="I31" s="25"/>
      <c r="J31" s="111"/>
      <c r="K31" s="112"/>
      <c r="L31" s="112"/>
      <c r="M31" s="112"/>
      <c r="N31" s="112"/>
      <c r="O31" s="113"/>
      <c r="P31" s="24"/>
      <c r="Q31" s="24"/>
      <c r="R31" s="25"/>
      <c r="S31" s="25"/>
    </row>
    <row r="32" spans="1:19" ht="7.5" customHeight="1" x14ac:dyDescent="0.15">
      <c r="A32" s="84"/>
      <c r="B32" s="6"/>
      <c r="C32" s="6"/>
      <c r="D32" s="84"/>
      <c r="E32" s="84"/>
      <c r="F32" s="84"/>
      <c r="G32" s="84"/>
      <c r="H32" s="6"/>
      <c r="I32" s="6"/>
      <c r="J32" s="6"/>
      <c r="K32" s="6"/>
      <c r="L32" s="6"/>
      <c r="M32" s="6"/>
      <c r="N32" s="6"/>
      <c r="O32" s="6"/>
      <c r="P32" s="6"/>
      <c r="Q32" s="6"/>
      <c r="R32" s="6"/>
      <c r="S32" s="84"/>
    </row>
    <row r="33" spans="1:19" ht="18" customHeight="1" x14ac:dyDescent="0.15">
      <c r="A33" s="114" t="s">
        <v>114</v>
      </c>
      <c r="B33" s="114"/>
      <c r="C33" s="114"/>
      <c r="D33" s="114"/>
      <c r="E33" s="114"/>
      <c r="F33" s="114"/>
      <c r="G33" s="114"/>
      <c r="H33" s="114"/>
      <c r="I33" s="114"/>
      <c r="J33" s="114"/>
      <c r="K33" s="114"/>
      <c r="L33" s="114"/>
      <c r="M33" s="114"/>
      <c r="N33" s="114"/>
      <c r="O33" s="114"/>
      <c r="P33" s="114"/>
      <c r="Q33" s="114"/>
      <c r="R33" s="114"/>
      <c r="S33" s="114"/>
    </row>
    <row r="34" spans="1:19" ht="18" customHeight="1" x14ac:dyDescent="0.15">
      <c r="A34" s="114"/>
      <c r="B34" s="114"/>
      <c r="C34" s="114"/>
      <c r="D34" s="114"/>
      <c r="E34" s="114"/>
      <c r="F34" s="114"/>
      <c r="G34" s="114"/>
      <c r="H34" s="114"/>
      <c r="I34" s="114"/>
      <c r="J34" s="114"/>
      <c r="K34" s="114"/>
      <c r="L34" s="114"/>
      <c r="M34" s="114"/>
      <c r="N34" s="114"/>
      <c r="O34" s="114"/>
      <c r="P34" s="114"/>
      <c r="Q34" s="114"/>
      <c r="R34" s="114"/>
      <c r="S34" s="114"/>
    </row>
    <row r="35" spans="1:19" ht="18" customHeight="1" x14ac:dyDescent="0.15">
      <c r="B35" s="108" t="s">
        <v>53</v>
      </c>
      <c r="C35" s="109"/>
      <c r="D35" s="109"/>
      <c r="E35" s="110"/>
      <c r="F35" s="59" t="s">
        <v>80</v>
      </c>
      <c r="G35" s="58" t="s">
        <v>84</v>
      </c>
      <c r="H35" s="21" t="s">
        <v>71</v>
      </c>
      <c r="I35" s="21" t="s">
        <v>72</v>
      </c>
      <c r="J35" s="108" t="s">
        <v>53</v>
      </c>
      <c r="K35" s="109"/>
      <c r="L35" s="109"/>
      <c r="M35" s="109"/>
      <c r="N35" s="109"/>
      <c r="O35" s="110"/>
      <c r="P35" s="59" t="s">
        <v>80</v>
      </c>
      <c r="Q35" s="58" t="s">
        <v>84</v>
      </c>
      <c r="R35" s="21" t="s">
        <v>71</v>
      </c>
      <c r="S35" s="21" t="s">
        <v>72</v>
      </c>
    </row>
    <row r="36" spans="1:19" ht="18" customHeight="1" x14ac:dyDescent="0.15">
      <c r="B36" s="102" t="s">
        <v>175</v>
      </c>
      <c r="C36" s="103"/>
      <c r="D36" s="103"/>
      <c r="E36" s="104"/>
      <c r="F36" s="22">
        <v>2</v>
      </c>
      <c r="G36" s="22" t="s">
        <v>132</v>
      </c>
      <c r="H36" s="22" t="s">
        <v>132</v>
      </c>
      <c r="I36" s="22" t="s">
        <v>132</v>
      </c>
      <c r="J36" s="102"/>
      <c r="K36" s="103"/>
      <c r="L36" s="103"/>
      <c r="M36" s="103"/>
      <c r="N36" s="103"/>
      <c r="O36" s="104"/>
      <c r="P36" s="22"/>
      <c r="Q36" s="22"/>
      <c r="R36" s="22"/>
      <c r="S36" s="22"/>
    </row>
    <row r="37" spans="1:19" ht="18" customHeight="1" x14ac:dyDescent="0.15">
      <c r="B37" s="105"/>
      <c r="C37" s="106"/>
      <c r="D37" s="106"/>
      <c r="E37" s="107"/>
      <c r="F37" s="23"/>
      <c r="G37" s="23"/>
      <c r="H37" s="23"/>
      <c r="I37" s="23"/>
      <c r="J37" s="105"/>
      <c r="K37" s="106"/>
      <c r="L37" s="106"/>
      <c r="M37" s="106"/>
      <c r="N37" s="106"/>
      <c r="O37" s="107"/>
      <c r="P37" s="23"/>
      <c r="Q37" s="23"/>
      <c r="R37" s="23"/>
      <c r="S37" s="23"/>
    </row>
    <row r="38" spans="1:19" ht="18" customHeight="1" x14ac:dyDescent="0.15">
      <c r="B38" s="105"/>
      <c r="C38" s="106"/>
      <c r="D38" s="106"/>
      <c r="E38" s="107"/>
      <c r="F38" s="23"/>
      <c r="G38" s="23"/>
      <c r="H38" s="23"/>
      <c r="I38" s="23"/>
      <c r="J38" s="105"/>
      <c r="K38" s="106"/>
      <c r="L38" s="106"/>
      <c r="M38" s="106"/>
      <c r="N38" s="106"/>
      <c r="O38" s="107"/>
      <c r="P38" s="23"/>
      <c r="Q38" s="23"/>
      <c r="R38" s="23"/>
      <c r="S38" s="23"/>
    </row>
    <row r="39" spans="1:19" ht="18" customHeight="1" x14ac:dyDescent="0.15">
      <c r="B39" s="105"/>
      <c r="C39" s="106"/>
      <c r="D39" s="106"/>
      <c r="E39" s="107"/>
      <c r="F39" s="23"/>
      <c r="G39" s="23"/>
      <c r="H39" s="23"/>
      <c r="I39" s="23"/>
      <c r="J39" s="105"/>
      <c r="K39" s="106"/>
      <c r="L39" s="106"/>
      <c r="M39" s="106"/>
      <c r="N39" s="106"/>
      <c r="O39" s="107"/>
      <c r="P39" s="23"/>
      <c r="Q39" s="23"/>
      <c r="R39" s="23"/>
      <c r="S39" s="23"/>
    </row>
    <row r="40" spans="1:19" ht="18" customHeight="1" x14ac:dyDescent="0.15">
      <c r="B40" s="105"/>
      <c r="C40" s="106"/>
      <c r="D40" s="106"/>
      <c r="E40" s="107"/>
      <c r="F40" s="23"/>
      <c r="G40" s="23"/>
      <c r="H40" s="23"/>
      <c r="I40" s="23"/>
      <c r="J40" s="105"/>
      <c r="K40" s="106"/>
      <c r="L40" s="106"/>
      <c r="M40" s="106"/>
      <c r="N40" s="106"/>
      <c r="O40" s="107"/>
      <c r="P40" s="23"/>
      <c r="Q40" s="23"/>
      <c r="R40" s="23"/>
      <c r="S40" s="23"/>
    </row>
    <row r="41" spans="1:19" ht="18" customHeight="1" x14ac:dyDescent="0.15">
      <c r="B41" s="105"/>
      <c r="C41" s="106"/>
      <c r="D41" s="106"/>
      <c r="E41" s="107"/>
      <c r="F41" s="23"/>
      <c r="G41" s="23"/>
      <c r="H41" s="23"/>
      <c r="I41" s="23"/>
      <c r="J41" s="105"/>
      <c r="K41" s="106"/>
      <c r="L41" s="106"/>
      <c r="M41" s="106"/>
      <c r="N41" s="106"/>
      <c r="O41" s="107"/>
      <c r="P41" s="23"/>
      <c r="Q41" s="23"/>
      <c r="R41" s="23"/>
      <c r="S41" s="23"/>
    </row>
    <row r="42" spans="1:19" ht="18" customHeight="1" x14ac:dyDescent="0.15">
      <c r="B42" s="111"/>
      <c r="C42" s="112"/>
      <c r="D42" s="112"/>
      <c r="E42" s="113"/>
      <c r="F42" s="24"/>
      <c r="G42" s="24"/>
      <c r="H42" s="25"/>
      <c r="I42" s="25"/>
      <c r="J42" s="111"/>
      <c r="K42" s="112"/>
      <c r="L42" s="112"/>
      <c r="M42" s="112"/>
      <c r="N42" s="112"/>
      <c r="O42" s="113"/>
      <c r="P42" s="24"/>
      <c r="Q42" s="24"/>
      <c r="R42" s="25"/>
      <c r="S42" s="25"/>
    </row>
    <row r="43" spans="1:19" ht="7.5" customHeight="1" x14ac:dyDescent="0.15">
      <c r="A43" s="84"/>
      <c r="B43" s="6"/>
      <c r="C43" s="6"/>
      <c r="D43" s="84"/>
      <c r="E43" s="84"/>
      <c r="F43" s="84"/>
      <c r="G43" s="84"/>
      <c r="H43" s="6"/>
      <c r="I43" s="6"/>
      <c r="J43" s="6"/>
      <c r="K43" s="6"/>
      <c r="L43" s="6"/>
      <c r="M43" s="6"/>
      <c r="N43" s="6"/>
      <c r="O43" s="6"/>
      <c r="P43" s="6"/>
      <c r="Q43" s="6"/>
      <c r="R43" s="6"/>
      <c r="S43" s="84"/>
    </row>
    <row r="44" spans="1:19" ht="18" customHeight="1" x14ac:dyDescent="0.15">
      <c r="A44" s="114" t="s">
        <v>115</v>
      </c>
      <c r="B44" s="114"/>
      <c r="C44" s="114"/>
      <c r="D44" s="114"/>
      <c r="E44" s="114"/>
      <c r="F44" s="114"/>
      <c r="G44" s="114"/>
      <c r="H44" s="114"/>
      <c r="I44" s="114"/>
      <c r="J44" s="114"/>
      <c r="K44" s="114"/>
      <c r="L44" s="114"/>
      <c r="M44" s="114"/>
      <c r="N44" s="114"/>
      <c r="O44" s="114"/>
      <c r="P44" s="114"/>
      <c r="Q44" s="114"/>
      <c r="R44" s="114"/>
      <c r="S44" s="114"/>
    </row>
    <row r="45" spans="1:19" ht="18" customHeight="1" x14ac:dyDescent="0.15">
      <c r="A45" s="114"/>
      <c r="B45" s="114"/>
      <c r="C45" s="114"/>
      <c r="D45" s="114"/>
      <c r="E45" s="114"/>
      <c r="F45" s="114"/>
      <c r="G45" s="114"/>
      <c r="H45" s="114"/>
      <c r="I45" s="114"/>
      <c r="J45" s="114"/>
      <c r="K45" s="114"/>
      <c r="L45" s="114"/>
      <c r="M45" s="114"/>
      <c r="N45" s="114"/>
      <c r="O45" s="114"/>
      <c r="P45" s="114"/>
      <c r="Q45" s="114"/>
      <c r="R45" s="114"/>
      <c r="S45" s="114"/>
    </row>
    <row r="46" spans="1:19" ht="18" customHeight="1" x14ac:dyDescent="0.15">
      <c r="B46" s="108" t="s">
        <v>53</v>
      </c>
      <c r="C46" s="109"/>
      <c r="D46" s="109"/>
      <c r="E46" s="110"/>
      <c r="F46" s="59" t="s">
        <v>80</v>
      </c>
      <c r="G46" s="58" t="s">
        <v>84</v>
      </c>
      <c r="H46" s="21" t="s">
        <v>73</v>
      </c>
      <c r="I46" s="21" t="s">
        <v>74</v>
      </c>
      <c r="J46" s="108" t="s">
        <v>53</v>
      </c>
      <c r="K46" s="109"/>
      <c r="L46" s="109"/>
      <c r="M46" s="109"/>
      <c r="N46" s="109"/>
      <c r="O46" s="110"/>
      <c r="P46" s="59" t="s">
        <v>80</v>
      </c>
      <c r="Q46" s="58" t="s">
        <v>84</v>
      </c>
      <c r="R46" s="21" t="s">
        <v>73</v>
      </c>
      <c r="S46" s="21" t="s">
        <v>74</v>
      </c>
    </row>
    <row r="47" spans="1:19" ht="18" customHeight="1" x14ac:dyDescent="0.15">
      <c r="A47" s="84"/>
      <c r="B47" s="102" t="s">
        <v>158</v>
      </c>
      <c r="C47" s="103"/>
      <c r="D47" s="103"/>
      <c r="E47" s="104"/>
      <c r="F47" s="22">
        <v>2</v>
      </c>
      <c r="G47" s="22" t="s">
        <v>132</v>
      </c>
      <c r="H47" s="22" t="s">
        <v>132</v>
      </c>
      <c r="I47" s="22"/>
      <c r="J47" s="102"/>
      <c r="K47" s="103"/>
      <c r="L47" s="103"/>
      <c r="M47" s="103"/>
      <c r="N47" s="103"/>
      <c r="O47" s="104"/>
      <c r="P47" s="22"/>
      <c r="Q47" s="22"/>
      <c r="R47" s="22"/>
      <c r="S47" s="22"/>
    </row>
    <row r="48" spans="1:19" ht="18" customHeight="1" x14ac:dyDescent="0.15">
      <c r="A48" s="84"/>
      <c r="B48" s="105" t="s">
        <v>176</v>
      </c>
      <c r="C48" s="106"/>
      <c r="D48" s="106"/>
      <c r="E48" s="107"/>
      <c r="F48" s="23">
        <v>2</v>
      </c>
      <c r="G48" s="23" t="s">
        <v>132</v>
      </c>
      <c r="H48" s="23"/>
      <c r="I48" s="23" t="s">
        <v>132</v>
      </c>
      <c r="J48" s="105"/>
      <c r="K48" s="106"/>
      <c r="L48" s="106"/>
      <c r="M48" s="106"/>
      <c r="N48" s="106"/>
      <c r="O48" s="107"/>
      <c r="P48" s="23"/>
      <c r="Q48" s="23"/>
      <c r="R48" s="23"/>
      <c r="S48" s="23"/>
    </row>
    <row r="49" spans="1:19" ht="18" customHeight="1" x14ac:dyDescent="0.15">
      <c r="A49" s="84"/>
      <c r="B49" s="105"/>
      <c r="C49" s="106"/>
      <c r="D49" s="106"/>
      <c r="E49" s="107"/>
      <c r="F49" s="23"/>
      <c r="G49" s="23"/>
      <c r="H49" s="23"/>
      <c r="I49" s="23"/>
      <c r="J49" s="105"/>
      <c r="K49" s="106"/>
      <c r="L49" s="106"/>
      <c r="M49" s="106"/>
      <c r="N49" s="106"/>
      <c r="O49" s="107"/>
      <c r="P49" s="23"/>
      <c r="Q49" s="23"/>
      <c r="R49" s="23"/>
      <c r="S49" s="23"/>
    </row>
    <row r="50" spans="1:19" ht="18" customHeight="1" x14ac:dyDescent="0.15">
      <c r="A50" s="84"/>
      <c r="B50" s="105"/>
      <c r="C50" s="106"/>
      <c r="D50" s="106"/>
      <c r="E50" s="107"/>
      <c r="F50" s="23"/>
      <c r="G50" s="23"/>
      <c r="H50" s="23"/>
      <c r="I50" s="23"/>
      <c r="J50" s="105"/>
      <c r="K50" s="106"/>
      <c r="L50" s="106"/>
      <c r="M50" s="106"/>
      <c r="N50" s="106"/>
      <c r="O50" s="107"/>
      <c r="P50" s="23"/>
      <c r="Q50" s="23"/>
      <c r="R50" s="23"/>
      <c r="S50" s="23"/>
    </row>
    <row r="51" spans="1:19" ht="18" customHeight="1" x14ac:dyDescent="0.15">
      <c r="A51" s="84"/>
      <c r="B51" s="105"/>
      <c r="C51" s="106"/>
      <c r="D51" s="106"/>
      <c r="E51" s="107"/>
      <c r="F51" s="23"/>
      <c r="G51" s="23"/>
      <c r="H51" s="23"/>
      <c r="I51" s="23"/>
      <c r="J51" s="105"/>
      <c r="K51" s="106"/>
      <c r="L51" s="106"/>
      <c r="M51" s="106"/>
      <c r="N51" s="106"/>
      <c r="O51" s="107"/>
      <c r="P51" s="23"/>
      <c r="Q51" s="23"/>
      <c r="R51" s="23"/>
      <c r="S51" s="23"/>
    </row>
    <row r="52" spans="1:19" ht="18" customHeight="1" x14ac:dyDescent="0.15">
      <c r="A52" s="84"/>
      <c r="B52" s="105"/>
      <c r="C52" s="106"/>
      <c r="D52" s="106"/>
      <c r="E52" s="107"/>
      <c r="F52" s="23"/>
      <c r="G52" s="23"/>
      <c r="H52" s="23"/>
      <c r="I52" s="23"/>
      <c r="J52" s="105"/>
      <c r="K52" s="106"/>
      <c r="L52" s="106"/>
      <c r="M52" s="106"/>
      <c r="N52" s="106"/>
      <c r="O52" s="107"/>
      <c r="P52" s="23"/>
      <c r="Q52" s="23"/>
      <c r="R52" s="23"/>
      <c r="S52" s="23"/>
    </row>
    <row r="53" spans="1:19" ht="18" customHeight="1" x14ac:dyDescent="0.15">
      <c r="A53" s="84"/>
      <c r="B53" s="111"/>
      <c r="C53" s="112"/>
      <c r="D53" s="112"/>
      <c r="E53" s="113"/>
      <c r="F53" s="24"/>
      <c r="G53" s="24"/>
      <c r="H53" s="25"/>
      <c r="I53" s="25"/>
      <c r="J53" s="111"/>
      <c r="K53" s="112"/>
      <c r="L53" s="112"/>
      <c r="M53" s="112"/>
      <c r="N53" s="112"/>
      <c r="O53" s="113"/>
      <c r="P53" s="24"/>
      <c r="Q53" s="24"/>
      <c r="R53" s="25"/>
      <c r="S53" s="25"/>
    </row>
    <row r="54" spans="1:19" ht="7.5" customHeight="1" x14ac:dyDescent="0.15">
      <c r="B54" s="85"/>
      <c r="C54" s="85"/>
      <c r="D54" s="85"/>
      <c r="E54" s="85"/>
      <c r="F54" s="85"/>
      <c r="G54" s="85"/>
      <c r="H54" s="85"/>
      <c r="I54" s="85"/>
      <c r="J54" s="85"/>
      <c r="K54" s="85"/>
      <c r="L54" s="85"/>
      <c r="M54" s="85"/>
      <c r="N54" s="85"/>
      <c r="O54" s="85"/>
      <c r="P54" s="85"/>
      <c r="Q54" s="85"/>
      <c r="R54" s="85"/>
    </row>
    <row r="55" spans="1:19" ht="18" customHeight="1" x14ac:dyDescent="0.15">
      <c r="A55" s="114" t="s">
        <v>116</v>
      </c>
      <c r="B55" s="114"/>
      <c r="C55" s="114"/>
      <c r="D55" s="114"/>
      <c r="E55" s="114"/>
      <c r="F55" s="114"/>
      <c r="G55" s="114"/>
      <c r="H55" s="114"/>
      <c r="I55" s="114"/>
      <c r="J55" s="114"/>
      <c r="K55" s="114"/>
      <c r="L55" s="114"/>
      <c r="M55" s="114"/>
      <c r="N55" s="114"/>
      <c r="O55" s="114"/>
      <c r="P55" s="114"/>
      <c r="Q55" s="114"/>
      <c r="R55" s="114"/>
      <c r="S55" s="114"/>
    </row>
    <row r="56" spans="1:19" ht="18" customHeight="1" x14ac:dyDescent="0.15">
      <c r="A56" s="114"/>
      <c r="B56" s="114"/>
      <c r="C56" s="114"/>
      <c r="D56" s="114"/>
      <c r="E56" s="114"/>
      <c r="F56" s="114"/>
      <c r="G56" s="114"/>
      <c r="H56" s="114"/>
      <c r="I56" s="114"/>
      <c r="J56" s="114"/>
      <c r="K56" s="114"/>
      <c r="L56" s="114"/>
      <c r="M56" s="114"/>
      <c r="N56" s="114"/>
      <c r="O56" s="114"/>
      <c r="P56" s="114"/>
      <c r="Q56" s="114"/>
      <c r="R56" s="114"/>
      <c r="S56" s="114"/>
    </row>
    <row r="57" spans="1:19" ht="18" customHeight="1" x14ac:dyDescent="0.15">
      <c r="B57" s="108" t="s">
        <v>53</v>
      </c>
      <c r="C57" s="109"/>
      <c r="D57" s="109"/>
      <c r="E57" s="110"/>
      <c r="F57" s="59" t="s">
        <v>80</v>
      </c>
      <c r="G57" s="58" t="s">
        <v>84</v>
      </c>
      <c r="H57" s="21" t="s">
        <v>58</v>
      </c>
      <c r="I57" s="21" t="s">
        <v>60</v>
      </c>
      <c r="J57" s="108" t="s">
        <v>53</v>
      </c>
      <c r="K57" s="109"/>
      <c r="L57" s="109"/>
      <c r="M57" s="109"/>
      <c r="N57" s="109"/>
      <c r="O57" s="110"/>
      <c r="P57" s="59" t="s">
        <v>80</v>
      </c>
      <c r="Q57" s="58" t="s">
        <v>84</v>
      </c>
      <c r="R57" s="21" t="s">
        <v>58</v>
      </c>
      <c r="S57" s="21" t="s">
        <v>60</v>
      </c>
    </row>
    <row r="58" spans="1:19" ht="18" customHeight="1" x14ac:dyDescent="0.15">
      <c r="A58" s="84"/>
      <c r="B58" s="102" t="s">
        <v>164</v>
      </c>
      <c r="C58" s="103"/>
      <c r="D58" s="103"/>
      <c r="E58" s="104"/>
      <c r="F58" s="22">
        <v>2</v>
      </c>
      <c r="G58" s="22" t="s">
        <v>132</v>
      </c>
      <c r="H58" s="22" t="s">
        <v>132</v>
      </c>
      <c r="I58" s="22" t="s">
        <v>132</v>
      </c>
      <c r="J58" s="102"/>
      <c r="K58" s="103"/>
      <c r="L58" s="103"/>
      <c r="M58" s="103"/>
      <c r="N58" s="103"/>
      <c r="O58" s="104"/>
      <c r="P58" s="22"/>
      <c r="Q58" s="22"/>
      <c r="R58" s="22"/>
      <c r="S58" s="22"/>
    </row>
    <row r="59" spans="1:19" ht="18" customHeight="1" x14ac:dyDescent="0.15">
      <c r="A59" s="84"/>
      <c r="B59" s="105" t="s">
        <v>177</v>
      </c>
      <c r="C59" s="106"/>
      <c r="D59" s="106"/>
      <c r="E59" s="107"/>
      <c r="F59" s="23">
        <v>2</v>
      </c>
      <c r="G59" s="23" t="s">
        <v>132</v>
      </c>
      <c r="H59" s="23" t="s">
        <v>132</v>
      </c>
      <c r="I59" s="23" t="s">
        <v>132</v>
      </c>
      <c r="J59" s="105"/>
      <c r="K59" s="106"/>
      <c r="L59" s="106"/>
      <c r="M59" s="106"/>
      <c r="N59" s="106"/>
      <c r="O59" s="107"/>
      <c r="P59" s="23"/>
      <c r="Q59" s="23"/>
      <c r="R59" s="23"/>
      <c r="S59" s="23"/>
    </row>
    <row r="60" spans="1:19" ht="18" customHeight="1" x14ac:dyDescent="0.15">
      <c r="A60" s="84"/>
      <c r="B60" s="105"/>
      <c r="C60" s="106"/>
      <c r="D60" s="106"/>
      <c r="E60" s="107"/>
      <c r="F60" s="23"/>
      <c r="G60" s="23"/>
      <c r="H60" s="23"/>
      <c r="I60" s="23"/>
      <c r="J60" s="105"/>
      <c r="K60" s="106"/>
      <c r="L60" s="106"/>
      <c r="M60" s="106"/>
      <c r="N60" s="106"/>
      <c r="O60" s="107"/>
      <c r="P60" s="23"/>
      <c r="Q60" s="23"/>
      <c r="R60" s="23"/>
      <c r="S60" s="23"/>
    </row>
    <row r="61" spans="1:19" ht="18" customHeight="1" x14ac:dyDescent="0.15">
      <c r="A61" s="84"/>
      <c r="B61" s="105"/>
      <c r="C61" s="106"/>
      <c r="D61" s="106"/>
      <c r="E61" s="107"/>
      <c r="F61" s="23"/>
      <c r="G61" s="23"/>
      <c r="H61" s="23"/>
      <c r="I61" s="23"/>
      <c r="J61" s="105"/>
      <c r="K61" s="106"/>
      <c r="L61" s="106"/>
      <c r="M61" s="106"/>
      <c r="N61" s="106"/>
      <c r="O61" s="107"/>
      <c r="P61" s="23"/>
      <c r="Q61" s="23"/>
      <c r="R61" s="23"/>
      <c r="S61" s="23"/>
    </row>
    <row r="62" spans="1:19" ht="18" customHeight="1" x14ac:dyDescent="0.15">
      <c r="A62" s="84"/>
      <c r="B62" s="105"/>
      <c r="C62" s="106"/>
      <c r="D62" s="106"/>
      <c r="E62" s="107"/>
      <c r="F62" s="23"/>
      <c r="G62" s="23"/>
      <c r="H62" s="23"/>
      <c r="I62" s="23"/>
      <c r="J62" s="105"/>
      <c r="K62" s="106"/>
      <c r="L62" s="106"/>
      <c r="M62" s="106"/>
      <c r="N62" s="106"/>
      <c r="O62" s="107"/>
      <c r="P62" s="23"/>
      <c r="Q62" s="23"/>
      <c r="R62" s="23"/>
      <c r="S62" s="23"/>
    </row>
    <row r="63" spans="1:19" ht="18" customHeight="1" x14ac:dyDescent="0.15">
      <c r="A63" s="84"/>
      <c r="B63" s="105"/>
      <c r="C63" s="106"/>
      <c r="D63" s="106"/>
      <c r="E63" s="107"/>
      <c r="F63" s="23"/>
      <c r="G63" s="23"/>
      <c r="H63" s="23"/>
      <c r="I63" s="23"/>
      <c r="J63" s="105"/>
      <c r="K63" s="106"/>
      <c r="L63" s="106"/>
      <c r="M63" s="106"/>
      <c r="N63" s="106"/>
      <c r="O63" s="107"/>
      <c r="P63" s="23"/>
      <c r="Q63" s="23"/>
      <c r="R63" s="23"/>
      <c r="S63" s="23"/>
    </row>
    <row r="64" spans="1:19" ht="18" customHeight="1" x14ac:dyDescent="0.15">
      <c r="A64" s="84"/>
      <c r="B64" s="111"/>
      <c r="C64" s="112"/>
      <c r="D64" s="112"/>
      <c r="E64" s="113"/>
      <c r="F64" s="24"/>
      <c r="G64" s="24"/>
      <c r="H64" s="25"/>
      <c r="I64" s="25"/>
      <c r="J64" s="111"/>
      <c r="K64" s="112"/>
      <c r="L64" s="112"/>
      <c r="M64" s="112"/>
      <c r="N64" s="112"/>
      <c r="O64" s="113"/>
      <c r="P64" s="24"/>
      <c r="Q64" s="24"/>
      <c r="R64" s="25"/>
      <c r="S64" s="25"/>
    </row>
    <row r="65" spans="1:19" ht="7.5" customHeight="1" x14ac:dyDescent="0.15">
      <c r="B65" s="85"/>
      <c r="C65" s="85"/>
      <c r="D65" s="85"/>
      <c r="E65" s="85"/>
      <c r="F65" s="85"/>
      <c r="G65" s="85"/>
      <c r="H65" s="85"/>
      <c r="I65" s="85"/>
      <c r="J65" s="85"/>
      <c r="K65" s="85"/>
      <c r="L65" s="85"/>
      <c r="M65" s="85"/>
      <c r="N65" s="85"/>
      <c r="O65" s="85"/>
      <c r="P65" s="85"/>
      <c r="Q65" s="85"/>
      <c r="R65" s="85"/>
    </row>
    <row r="66" spans="1:19" ht="18" customHeight="1" x14ac:dyDescent="0.15">
      <c r="A66" s="114" t="s">
        <v>117</v>
      </c>
      <c r="B66" s="114"/>
      <c r="C66" s="114"/>
      <c r="D66" s="114"/>
      <c r="E66" s="114"/>
      <c r="F66" s="114"/>
      <c r="G66" s="114"/>
      <c r="H66" s="114"/>
      <c r="I66" s="114"/>
      <c r="J66" s="114"/>
      <c r="K66" s="114"/>
      <c r="L66" s="114"/>
      <c r="M66" s="114"/>
      <c r="N66" s="114"/>
      <c r="O66" s="114"/>
      <c r="P66" s="114"/>
      <c r="Q66" s="114"/>
      <c r="R66" s="114"/>
      <c r="S66" s="114"/>
    </row>
    <row r="67" spans="1:19" ht="18" customHeight="1" x14ac:dyDescent="0.15">
      <c r="A67" s="114"/>
      <c r="B67" s="114"/>
      <c r="C67" s="114"/>
      <c r="D67" s="114"/>
      <c r="E67" s="114"/>
      <c r="F67" s="114"/>
      <c r="G67" s="114"/>
      <c r="H67" s="114"/>
      <c r="I67" s="114"/>
      <c r="J67" s="114"/>
      <c r="K67" s="114"/>
      <c r="L67" s="114"/>
      <c r="M67" s="114"/>
      <c r="N67" s="114"/>
      <c r="O67" s="114"/>
      <c r="P67" s="114"/>
      <c r="Q67" s="114"/>
      <c r="R67" s="114"/>
      <c r="S67" s="114"/>
    </row>
    <row r="68" spans="1:19" ht="18" customHeight="1" x14ac:dyDescent="0.15">
      <c r="B68" s="108" t="s">
        <v>53</v>
      </c>
      <c r="C68" s="109"/>
      <c r="D68" s="109"/>
      <c r="E68" s="59" t="s">
        <v>80</v>
      </c>
      <c r="F68" s="58" t="s">
        <v>84</v>
      </c>
      <c r="G68" s="21" t="s">
        <v>101</v>
      </c>
      <c r="H68" s="21" t="s">
        <v>75</v>
      </c>
      <c r="I68" s="21" t="s">
        <v>76</v>
      </c>
      <c r="J68" s="108" t="s">
        <v>53</v>
      </c>
      <c r="K68" s="109"/>
      <c r="L68" s="109"/>
      <c r="M68" s="109"/>
      <c r="N68" s="110"/>
      <c r="O68" s="59" t="s">
        <v>80</v>
      </c>
      <c r="P68" s="58" t="s">
        <v>84</v>
      </c>
      <c r="Q68" s="21" t="s">
        <v>101</v>
      </c>
      <c r="R68" s="21" t="s">
        <v>75</v>
      </c>
      <c r="S68" s="21" t="s">
        <v>76</v>
      </c>
    </row>
    <row r="69" spans="1:19" ht="18" customHeight="1" x14ac:dyDescent="0.15">
      <c r="A69" s="84"/>
      <c r="B69" s="102" t="s">
        <v>158</v>
      </c>
      <c r="C69" s="103"/>
      <c r="D69" s="103"/>
      <c r="E69" s="22">
        <v>2</v>
      </c>
      <c r="F69" s="22" t="s">
        <v>132</v>
      </c>
      <c r="G69" s="22" t="s">
        <v>132</v>
      </c>
      <c r="H69" s="22" t="s">
        <v>132</v>
      </c>
      <c r="I69" s="22" t="s">
        <v>132</v>
      </c>
      <c r="J69" s="102"/>
      <c r="K69" s="103"/>
      <c r="L69" s="103"/>
      <c r="M69" s="103"/>
      <c r="N69" s="104"/>
      <c r="O69" s="22"/>
      <c r="P69" s="22"/>
      <c r="Q69" s="22"/>
      <c r="R69" s="22"/>
      <c r="S69" s="22"/>
    </row>
    <row r="70" spans="1:19" ht="18" customHeight="1" x14ac:dyDescent="0.15">
      <c r="A70" s="84"/>
      <c r="B70" s="105" t="s">
        <v>163</v>
      </c>
      <c r="C70" s="106"/>
      <c r="D70" s="106"/>
      <c r="E70" s="23">
        <v>2</v>
      </c>
      <c r="F70" s="23" t="s">
        <v>132</v>
      </c>
      <c r="G70" s="23"/>
      <c r="H70" s="23" t="s">
        <v>132</v>
      </c>
      <c r="I70" s="23" t="s">
        <v>132</v>
      </c>
      <c r="J70" s="105"/>
      <c r="K70" s="106"/>
      <c r="L70" s="106"/>
      <c r="M70" s="106"/>
      <c r="N70" s="107"/>
      <c r="O70" s="23"/>
      <c r="P70" s="23"/>
      <c r="Q70" s="23"/>
      <c r="R70" s="23"/>
      <c r="S70" s="23"/>
    </row>
    <row r="71" spans="1:19" ht="18" customHeight="1" x14ac:dyDescent="0.15">
      <c r="A71" s="84"/>
      <c r="B71" s="105"/>
      <c r="C71" s="106"/>
      <c r="D71" s="106"/>
      <c r="E71" s="23"/>
      <c r="F71" s="23"/>
      <c r="G71" s="23"/>
      <c r="H71" s="23"/>
      <c r="I71" s="23"/>
      <c r="J71" s="105"/>
      <c r="K71" s="106"/>
      <c r="L71" s="106"/>
      <c r="M71" s="106"/>
      <c r="N71" s="107"/>
      <c r="O71" s="23"/>
      <c r="P71" s="23"/>
      <c r="Q71" s="23"/>
      <c r="R71" s="23"/>
      <c r="S71" s="23"/>
    </row>
    <row r="72" spans="1:19" ht="18" customHeight="1" x14ac:dyDescent="0.15">
      <c r="A72" s="84"/>
      <c r="B72" s="105"/>
      <c r="C72" s="106"/>
      <c r="D72" s="106"/>
      <c r="E72" s="23"/>
      <c r="F72" s="23"/>
      <c r="G72" s="23"/>
      <c r="H72" s="23"/>
      <c r="I72" s="23"/>
      <c r="J72" s="105"/>
      <c r="K72" s="106"/>
      <c r="L72" s="106"/>
      <c r="M72" s="106"/>
      <c r="N72" s="107"/>
      <c r="O72" s="23"/>
      <c r="P72" s="23"/>
      <c r="Q72" s="23"/>
      <c r="R72" s="23"/>
      <c r="S72" s="23"/>
    </row>
    <row r="73" spans="1:19" ht="18" customHeight="1" x14ac:dyDescent="0.15">
      <c r="A73" s="84"/>
      <c r="B73" s="105"/>
      <c r="C73" s="106"/>
      <c r="D73" s="106"/>
      <c r="E73" s="23"/>
      <c r="F73" s="23"/>
      <c r="G73" s="23"/>
      <c r="H73" s="23"/>
      <c r="I73" s="23"/>
      <c r="J73" s="105"/>
      <c r="K73" s="106"/>
      <c r="L73" s="106"/>
      <c r="M73" s="106"/>
      <c r="N73" s="107"/>
      <c r="O73" s="23"/>
      <c r="P73" s="23"/>
      <c r="Q73" s="23"/>
      <c r="R73" s="23"/>
      <c r="S73" s="23"/>
    </row>
    <row r="74" spans="1:19" ht="18" customHeight="1" x14ac:dyDescent="0.15">
      <c r="A74" s="84"/>
      <c r="B74" s="105"/>
      <c r="C74" s="106"/>
      <c r="D74" s="106"/>
      <c r="E74" s="23"/>
      <c r="F74" s="23"/>
      <c r="G74" s="23"/>
      <c r="H74" s="23"/>
      <c r="I74" s="23"/>
      <c r="J74" s="105"/>
      <c r="K74" s="106"/>
      <c r="L74" s="106"/>
      <c r="M74" s="106"/>
      <c r="N74" s="107"/>
      <c r="O74" s="23"/>
      <c r="P74" s="23"/>
      <c r="Q74" s="23"/>
      <c r="R74" s="23"/>
      <c r="S74" s="23"/>
    </row>
    <row r="75" spans="1:19" ht="18" customHeight="1" x14ac:dyDescent="0.15">
      <c r="A75" s="84"/>
      <c r="B75" s="111"/>
      <c r="C75" s="112"/>
      <c r="D75" s="112"/>
      <c r="E75" s="24"/>
      <c r="F75" s="24"/>
      <c r="G75" s="25"/>
      <c r="H75" s="25"/>
      <c r="I75" s="25"/>
      <c r="J75" s="111"/>
      <c r="K75" s="112"/>
      <c r="L75" s="112"/>
      <c r="M75" s="112"/>
      <c r="N75" s="113"/>
      <c r="O75" s="24"/>
      <c r="P75" s="24"/>
      <c r="Q75" s="25"/>
      <c r="R75" s="25"/>
      <c r="S75" s="25"/>
    </row>
    <row r="76" spans="1:19" ht="7.5" customHeight="1" x14ac:dyDescent="0.15">
      <c r="B76" s="85"/>
      <c r="C76" s="85"/>
      <c r="D76" s="85"/>
      <c r="E76" s="85"/>
      <c r="F76" s="85"/>
      <c r="G76" s="85"/>
      <c r="H76" s="85"/>
      <c r="I76" s="85"/>
      <c r="J76" s="85"/>
      <c r="K76" s="85"/>
      <c r="L76" s="85"/>
      <c r="M76" s="85"/>
      <c r="N76" s="85"/>
      <c r="O76" s="85"/>
      <c r="P76" s="85"/>
      <c r="Q76" s="85"/>
      <c r="R76" s="85"/>
    </row>
    <row r="77" spans="1:19" ht="18" customHeight="1" x14ac:dyDescent="0.15">
      <c r="A77" s="83" t="s">
        <v>118</v>
      </c>
      <c r="H77" s="84"/>
      <c r="I77" s="84"/>
      <c r="J77" s="84"/>
      <c r="K77" s="84"/>
      <c r="L77" s="84"/>
      <c r="M77" s="84"/>
      <c r="N77" s="84"/>
      <c r="O77" s="84"/>
      <c r="P77" s="84"/>
      <c r="Q77" s="84"/>
      <c r="R77" s="84"/>
      <c r="S77" s="84"/>
    </row>
    <row r="78" spans="1:19" ht="18" customHeight="1" x14ac:dyDescent="0.15">
      <c r="B78" s="108" t="s">
        <v>53</v>
      </c>
      <c r="C78" s="109"/>
      <c r="D78" s="109"/>
      <c r="E78" s="110"/>
      <c r="F78" s="108" t="s">
        <v>82</v>
      </c>
      <c r="G78" s="109"/>
      <c r="H78" s="109"/>
      <c r="I78" s="110"/>
      <c r="J78" s="135" t="s">
        <v>53</v>
      </c>
      <c r="K78" s="136"/>
      <c r="L78" s="136"/>
      <c r="M78" s="136"/>
      <c r="N78" s="136"/>
      <c r="O78" s="137"/>
      <c r="P78" s="108" t="s">
        <v>82</v>
      </c>
      <c r="Q78" s="109"/>
      <c r="R78" s="109"/>
      <c r="S78" s="110"/>
    </row>
    <row r="79" spans="1:19" ht="18" customHeight="1" x14ac:dyDescent="0.15">
      <c r="A79" s="84"/>
      <c r="B79" s="102"/>
      <c r="C79" s="103"/>
      <c r="D79" s="103"/>
      <c r="E79" s="104"/>
      <c r="F79" s="129"/>
      <c r="G79" s="130"/>
      <c r="H79" s="130"/>
      <c r="I79" s="131"/>
      <c r="J79" s="102"/>
      <c r="K79" s="103"/>
      <c r="L79" s="103"/>
      <c r="M79" s="103"/>
      <c r="N79" s="103"/>
      <c r="O79" s="104"/>
      <c r="P79" s="129"/>
      <c r="Q79" s="130"/>
      <c r="R79" s="130"/>
      <c r="S79" s="131"/>
    </row>
    <row r="80" spans="1:19" ht="18" customHeight="1" x14ac:dyDescent="0.15">
      <c r="A80" s="84"/>
      <c r="B80" s="105"/>
      <c r="C80" s="106"/>
      <c r="D80" s="106"/>
      <c r="E80" s="107"/>
      <c r="F80" s="132"/>
      <c r="G80" s="133"/>
      <c r="H80" s="133"/>
      <c r="I80" s="134"/>
      <c r="J80" s="105"/>
      <c r="K80" s="106"/>
      <c r="L80" s="106"/>
      <c r="M80" s="106"/>
      <c r="N80" s="106"/>
      <c r="O80" s="107"/>
      <c r="P80" s="132"/>
      <c r="Q80" s="133"/>
      <c r="R80" s="133"/>
      <c r="S80" s="134"/>
    </row>
    <row r="81" spans="1:19" ht="18" customHeight="1" x14ac:dyDescent="0.15">
      <c r="A81" s="84"/>
      <c r="B81" s="105"/>
      <c r="C81" s="106"/>
      <c r="D81" s="106"/>
      <c r="E81" s="107"/>
      <c r="F81" s="132"/>
      <c r="G81" s="133"/>
      <c r="H81" s="133"/>
      <c r="I81" s="134"/>
      <c r="J81" s="105"/>
      <c r="K81" s="106"/>
      <c r="L81" s="106"/>
      <c r="M81" s="106"/>
      <c r="N81" s="106"/>
      <c r="O81" s="107"/>
      <c r="P81" s="132"/>
      <c r="Q81" s="133"/>
      <c r="R81" s="133"/>
      <c r="S81" s="134"/>
    </row>
    <row r="82" spans="1:19" ht="18" customHeight="1" x14ac:dyDescent="0.15">
      <c r="A82" s="84"/>
      <c r="B82" s="105"/>
      <c r="C82" s="106"/>
      <c r="D82" s="106"/>
      <c r="E82" s="107"/>
      <c r="F82" s="132"/>
      <c r="G82" s="133"/>
      <c r="H82" s="133"/>
      <c r="I82" s="134"/>
      <c r="J82" s="105"/>
      <c r="K82" s="106"/>
      <c r="L82" s="106"/>
      <c r="M82" s="106"/>
      <c r="N82" s="106"/>
      <c r="O82" s="107"/>
      <c r="P82" s="132"/>
      <c r="Q82" s="133"/>
      <c r="R82" s="133"/>
      <c r="S82" s="134"/>
    </row>
    <row r="83" spans="1:19" ht="18" customHeight="1" x14ac:dyDescent="0.15">
      <c r="A83" s="84"/>
      <c r="B83" s="105"/>
      <c r="C83" s="106"/>
      <c r="D83" s="106"/>
      <c r="E83" s="107"/>
      <c r="F83" s="132"/>
      <c r="G83" s="133"/>
      <c r="H83" s="133"/>
      <c r="I83" s="134"/>
      <c r="J83" s="105"/>
      <c r="K83" s="106"/>
      <c r="L83" s="106"/>
      <c r="M83" s="106"/>
      <c r="N83" s="106"/>
      <c r="O83" s="107"/>
      <c r="P83" s="132"/>
      <c r="Q83" s="133"/>
      <c r="R83" s="133"/>
      <c r="S83" s="134"/>
    </row>
    <row r="84" spans="1:19" ht="18" customHeight="1" x14ac:dyDescent="0.15">
      <c r="A84" s="84"/>
      <c r="B84" s="105"/>
      <c r="C84" s="106"/>
      <c r="D84" s="106"/>
      <c r="E84" s="107"/>
      <c r="F84" s="132"/>
      <c r="G84" s="133"/>
      <c r="H84" s="133"/>
      <c r="I84" s="134"/>
      <c r="J84" s="105"/>
      <c r="K84" s="106"/>
      <c r="L84" s="106"/>
      <c r="M84" s="106"/>
      <c r="N84" s="106"/>
      <c r="O84" s="107"/>
      <c r="P84" s="132"/>
      <c r="Q84" s="133"/>
      <c r="R84" s="133"/>
      <c r="S84" s="134"/>
    </row>
    <row r="85" spans="1:19" ht="18" customHeight="1" x14ac:dyDescent="0.15">
      <c r="A85" s="84"/>
      <c r="B85" s="111"/>
      <c r="C85" s="112"/>
      <c r="D85" s="112"/>
      <c r="E85" s="113"/>
      <c r="F85" s="141"/>
      <c r="G85" s="142"/>
      <c r="H85" s="142"/>
      <c r="I85" s="143"/>
      <c r="J85" s="111"/>
      <c r="K85" s="112"/>
      <c r="L85" s="112"/>
      <c r="M85" s="112"/>
      <c r="N85" s="112"/>
      <c r="O85" s="113"/>
      <c r="P85" s="141"/>
      <c r="Q85" s="142"/>
      <c r="R85" s="142"/>
      <c r="S85" s="143"/>
    </row>
    <row r="86" spans="1:19" ht="18" customHeight="1" x14ac:dyDescent="0.15">
      <c r="A86" s="84"/>
      <c r="B86" s="6"/>
      <c r="C86" s="6"/>
      <c r="D86" s="6"/>
      <c r="E86" s="6"/>
      <c r="F86" s="26"/>
      <c r="G86" s="26"/>
      <c r="H86" s="26"/>
      <c r="I86" s="26"/>
      <c r="J86" s="6"/>
      <c r="K86" s="6"/>
      <c r="L86" s="6"/>
      <c r="M86" s="6"/>
      <c r="N86" s="6"/>
      <c r="O86" s="6"/>
      <c r="P86" s="26"/>
      <c r="Q86" s="26"/>
      <c r="R86" s="26"/>
      <c r="S86" s="26"/>
    </row>
    <row r="87" spans="1:19" ht="18.75" customHeight="1" x14ac:dyDescent="0.15">
      <c r="A87" s="83" t="s">
        <v>119</v>
      </c>
    </row>
    <row r="88" spans="1:19" ht="18.75" customHeight="1" x14ac:dyDescent="0.15">
      <c r="B88" s="126" t="s">
        <v>54</v>
      </c>
      <c r="C88" s="127"/>
      <c r="D88" s="109" t="s">
        <v>55</v>
      </c>
      <c r="E88" s="109"/>
      <c r="F88" s="109"/>
      <c r="G88" s="109"/>
      <c r="H88" s="109"/>
      <c r="I88" s="109"/>
      <c r="J88" s="109"/>
      <c r="K88" s="109"/>
      <c r="L88" s="109"/>
      <c r="M88" s="109"/>
      <c r="N88" s="109"/>
      <c r="O88" s="109"/>
      <c r="P88" s="109"/>
      <c r="Q88" s="109"/>
      <c r="R88" s="109"/>
      <c r="S88" s="110"/>
    </row>
    <row r="89" spans="1:19" ht="97.5" customHeight="1" x14ac:dyDescent="0.15">
      <c r="B89" s="115" t="s">
        <v>61</v>
      </c>
      <c r="C89" s="27" t="s">
        <v>56</v>
      </c>
      <c r="D89" s="197" t="s">
        <v>233</v>
      </c>
      <c r="E89" s="197"/>
      <c r="F89" s="197"/>
      <c r="G89" s="197"/>
      <c r="H89" s="197"/>
      <c r="I89" s="197"/>
      <c r="J89" s="197"/>
      <c r="K89" s="197"/>
      <c r="L89" s="197"/>
      <c r="M89" s="197"/>
      <c r="N89" s="197"/>
      <c r="O89" s="197"/>
      <c r="P89" s="197"/>
      <c r="Q89" s="197"/>
      <c r="R89" s="197"/>
      <c r="S89" s="198"/>
    </row>
    <row r="90" spans="1:19" ht="97.5" customHeight="1" x14ac:dyDescent="0.15">
      <c r="B90" s="116"/>
      <c r="C90" s="28" t="s">
        <v>77</v>
      </c>
      <c r="D90" s="144" t="s">
        <v>234</v>
      </c>
      <c r="E90" s="144"/>
      <c r="F90" s="144"/>
      <c r="G90" s="144"/>
      <c r="H90" s="144"/>
      <c r="I90" s="144"/>
      <c r="J90" s="144"/>
      <c r="K90" s="144"/>
      <c r="L90" s="144"/>
      <c r="M90" s="144"/>
      <c r="N90" s="144"/>
      <c r="O90" s="144"/>
      <c r="P90" s="144"/>
      <c r="Q90" s="144"/>
      <c r="R90" s="144"/>
      <c r="S90" s="199"/>
    </row>
    <row r="91" spans="1:19" ht="97.5" customHeight="1" x14ac:dyDescent="0.15">
      <c r="B91" s="115" t="s">
        <v>62</v>
      </c>
      <c r="C91" s="29" t="s">
        <v>71</v>
      </c>
      <c r="D91" s="147" t="s">
        <v>212</v>
      </c>
      <c r="E91" s="147"/>
      <c r="F91" s="147"/>
      <c r="G91" s="147"/>
      <c r="H91" s="147"/>
      <c r="I91" s="147"/>
      <c r="J91" s="147"/>
      <c r="K91" s="147"/>
      <c r="L91" s="147"/>
      <c r="M91" s="147"/>
      <c r="N91" s="147"/>
      <c r="O91" s="147"/>
      <c r="P91" s="147"/>
      <c r="Q91" s="147"/>
      <c r="R91" s="147"/>
      <c r="S91" s="193"/>
    </row>
    <row r="92" spans="1:19" ht="97.5" customHeight="1" x14ac:dyDescent="0.15">
      <c r="B92" s="117"/>
      <c r="C92" s="30" t="s">
        <v>72</v>
      </c>
      <c r="D92" s="153" t="s">
        <v>235</v>
      </c>
      <c r="E92" s="153"/>
      <c r="F92" s="153"/>
      <c r="G92" s="153"/>
      <c r="H92" s="153"/>
      <c r="I92" s="153"/>
      <c r="J92" s="153"/>
      <c r="K92" s="153"/>
      <c r="L92" s="153"/>
      <c r="M92" s="153"/>
      <c r="N92" s="153"/>
      <c r="O92" s="153"/>
      <c r="P92" s="153"/>
      <c r="Q92" s="153"/>
      <c r="R92" s="153"/>
      <c r="S92" s="196"/>
    </row>
    <row r="93" spans="1:19" ht="125.25" customHeight="1" x14ac:dyDescent="0.15">
      <c r="B93" s="115" t="s">
        <v>63</v>
      </c>
      <c r="C93" s="29" t="s">
        <v>73</v>
      </c>
      <c r="D93" s="147" t="s">
        <v>224</v>
      </c>
      <c r="E93" s="147"/>
      <c r="F93" s="147"/>
      <c r="G93" s="147"/>
      <c r="H93" s="147"/>
      <c r="I93" s="147"/>
      <c r="J93" s="147"/>
      <c r="K93" s="147"/>
      <c r="L93" s="147"/>
      <c r="M93" s="147"/>
      <c r="N93" s="147"/>
      <c r="O93" s="147"/>
      <c r="P93" s="147"/>
      <c r="Q93" s="147"/>
      <c r="R93" s="147"/>
      <c r="S93" s="193"/>
    </row>
    <row r="94" spans="1:19" ht="97.5" customHeight="1" x14ac:dyDescent="0.15">
      <c r="B94" s="117"/>
      <c r="C94" s="31" t="s">
        <v>74</v>
      </c>
      <c r="D94" s="150" t="s">
        <v>213</v>
      </c>
      <c r="E94" s="150"/>
      <c r="F94" s="150"/>
      <c r="G94" s="150"/>
      <c r="H94" s="150"/>
      <c r="I94" s="150"/>
      <c r="J94" s="150"/>
      <c r="K94" s="150"/>
      <c r="L94" s="150"/>
      <c r="M94" s="150"/>
      <c r="N94" s="150"/>
      <c r="O94" s="150"/>
      <c r="P94" s="150"/>
      <c r="Q94" s="150"/>
      <c r="R94" s="150"/>
      <c r="S94" s="194"/>
    </row>
    <row r="95" spans="1:19" ht="72.75" customHeight="1" x14ac:dyDescent="0.15">
      <c r="B95" s="115" t="s">
        <v>78</v>
      </c>
      <c r="C95" s="27" t="s">
        <v>58</v>
      </c>
      <c r="D95" s="128" t="s">
        <v>214</v>
      </c>
      <c r="E95" s="128"/>
      <c r="F95" s="128"/>
      <c r="G95" s="128"/>
      <c r="H95" s="128"/>
      <c r="I95" s="128"/>
      <c r="J95" s="128"/>
      <c r="K95" s="128"/>
      <c r="L95" s="128"/>
      <c r="M95" s="128"/>
      <c r="N95" s="128"/>
      <c r="O95" s="128"/>
      <c r="P95" s="128"/>
      <c r="Q95" s="128"/>
      <c r="R95" s="128"/>
      <c r="S95" s="195"/>
    </row>
    <row r="96" spans="1:19" ht="111.75" customHeight="1" x14ac:dyDescent="0.15">
      <c r="B96" s="117"/>
      <c r="C96" s="30" t="s">
        <v>60</v>
      </c>
      <c r="D96" s="153" t="s">
        <v>236</v>
      </c>
      <c r="E96" s="153"/>
      <c r="F96" s="153"/>
      <c r="G96" s="153"/>
      <c r="H96" s="153"/>
      <c r="I96" s="153"/>
      <c r="J96" s="153"/>
      <c r="K96" s="153"/>
      <c r="L96" s="153"/>
      <c r="M96" s="153"/>
      <c r="N96" s="153"/>
      <c r="O96" s="153"/>
      <c r="P96" s="153"/>
      <c r="Q96" s="153"/>
      <c r="R96" s="153"/>
      <c r="S96" s="196"/>
    </row>
    <row r="97" spans="1:19" ht="180.75" customHeight="1" x14ac:dyDescent="0.15">
      <c r="B97" s="115" t="s">
        <v>79</v>
      </c>
      <c r="C97" s="29" t="s">
        <v>57</v>
      </c>
      <c r="D97" s="187" t="s">
        <v>237</v>
      </c>
      <c r="E97" s="187"/>
      <c r="F97" s="187"/>
      <c r="G97" s="187"/>
      <c r="H97" s="187"/>
      <c r="I97" s="187"/>
      <c r="J97" s="187"/>
      <c r="K97" s="187"/>
      <c r="L97" s="187"/>
      <c r="M97" s="187"/>
      <c r="N97" s="187"/>
      <c r="O97" s="187"/>
      <c r="P97" s="187"/>
      <c r="Q97" s="187"/>
      <c r="R97" s="187"/>
      <c r="S97" s="188"/>
    </row>
    <row r="98" spans="1:19" ht="135" customHeight="1" x14ac:dyDescent="0.15">
      <c r="B98" s="116"/>
      <c r="C98" s="32" t="s">
        <v>75</v>
      </c>
      <c r="D98" s="161" t="s">
        <v>238</v>
      </c>
      <c r="E98" s="189"/>
      <c r="F98" s="189"/>
      <c r="G98" s="189"/>
      <c r="H98" s="189"/>
      <c r="I98" s="189"/>
      <c r="J98" s="189"/>
      <c r="K98" s="189"/>
      <c r="L98" s="189"/>
      <c r="M98" s="189"/>
      <c r="N98" s="189"/>
      <c r="O98" s="189"/>
      <c r="P98" s="189"/>
      <c r="Q98" s="189"/>
      <c r="R98" s="189"/>
      <c r="S98" s="190"/>
    </row>
    <row r="99" spans="1:19" ht="154.5" customHeight="1" x14ac:dyDescent="0.15">
      <c r="B99" s="117"/>
      <c r="C99" s="31" t="s">
        <v>76</v>
      </c>
      <c r="D99" s="191" t="s">
        <v>239</v>
      </c>
      <c r="E99" s="191"/>
      <c r="F99" s="191"/>
      <c r="G99" s="191"/>
      <c r="H99" s="191"/>
      <c r="I99" s="191"/>
      <c r="J99" s="191"/>
      <c r="K99" s="191"/>
      <c r="L99" s="191"/>
      <c r="M99" s="191"/>
      <c r="N99" s="191"/>
      <c r="O99" s="191"/>
      <c r="P99" s="191"/>
      <c r="Q99" s="191"/>
      <c r="R99" s="191"/>
      <c r="S99" s="192"/>
    </row>
    <row r="100" spans="1:19" ht="6" customHeight="1" x14ac:dyDescent="0.15"/>
    <row r="101" spans="1:19" ht="18.75" customHeight="1" x14ac:dyDescent="0.15">
      <c r="A101" s="83" t="s">
        <v>120</v>
      </c>
    </row>
    <row r="102" spans="1:19" ht="81.75" customHeight="1" x14ac:dyDescent="0.15">
      <c r="B102" s="138" t="s">
        <v>146</v>
      </c>
      <c r="C102" s="139"/>
      <c r="D102" s="139"/>
      <c r="E102" s="139"/>
      <c r="F102" s="139"/>
      <c r="G102" s="139"/>
      <c r="H102" s="139"/>
      <c r="I102" s="139"/>
      <c r="J102" s="139"/>
      <c r="K102" s="139"/>
      <c r="L102" s="139"/>
      <c r="M102" s="139"/>
      <c r="N102" s="139"/>
      <c r="O102" s="139"/>
      <c r="P102" s="139"/>
      <c r="Q102" s="139"/>
      <c r="R102" s="139"/>
      <c r="S102" s="140"/>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5" priority="1">
      <formula>$K$7="学部・学科によって、修了要件は相違しない"</formula>
    </cfRule>
  </conditionalFormatting>
  <dataValidations count="5">
    <dataValidation type="list" allowBlank="1" showInputMessage="1" showErrorMessage="1" sqref="G25:I31 Q25:S31 P69:S75 Q36:S42 G47:I53 Q47:S53 G36:I42 Q58:S64 F69:I75 G58:I64" xr:uid="{E90A863F-D9CD-475F-A0E2-9A39446D6949}">
      <formula1>"○"</formula1>
    </dataValidation>
    <dataValidation type="list" allowBlank="1" showInputMessage="1" showErrorMessage="1" sqref="S32 S43 D32:G32 D43:G43" xr:uid="{BD36E6FF-0498-4423-813F-7D88C4314684}">
      <formula1>"全学開講,一部開講"</formula1>
    </dataValidation>
    <dataValidation type="list" allowBlank="1" showInputMessage="1" showErrorMessage="1" sqref="K7 K12" xr:uid="{08EFF909-1D56-4108-8D6C-4D68D81401C6}">
      <formula1>"学部・学科によって、修了要件は相違する,学部・学科によって、修了要件は相違しない"</formula1>
    </dataValidation>
    <dataValidation type="list" allowBlank="1" showInputMessage="1" showErrorMessage="1" sqref="F79:F86 P79:P86 G79:I80 G83:I86 Q83:S86 Q79:S80" xr:uid="{23C03414-C52C-4D26-86B1-CFC262369E5D}">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491C4DB8-0278-41DA-AD42-269893C39BE2}">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F04E3-DB2F-4F56-A155-A4BEF3683A13}">
  <sheetPr>
    <pageSetUpPr fitToPage="1"/>
  </sheetPr>
  <dimension ref="A1:V110"/>
  <sheetViews>
    <sheetView showZeros="0" zoomScale="90" zoomScaleNormal="90" zoomScaleSheetLayoutView="90" workbookViewId="0">
      <selection activeCell="D89" sqref="D89:S89"/>
    </sheetView>
  </sheetViews>
  <sheetFormatPr defaultColWidth="9" defaultRowHeight="18.75" customHeight="1" x14ac:dyDescent="0.15"/>
  <cols>
    <col min="1" max="1" width="2.5" style="83" customWidth="1"/>
    <col min="2" max="2" width="16.5" style="83" customWidth="1"/>
    <col min="3" max="19" width="5.625" style="83" customWidth="1"/>
    <col min="20" max="20" width="9" style="83"/>
    <col min="21" max="21" width="3.625" style="83" customWidth="1"/>
    <col min="22" max="22" width="48.625" style="83" hidden="1" customWidth="1"/>
    <col min="23" max="16384" width="9" style="83"/>
  </cols>
  <sheetData>
    <row r="1" spans="1:22" ht="18.600000000000001" customHeight="1" x14ac:dyDescent="0.15">
      <c r="R1" s="164" t="s">
        <v>147</v>
      </c>
      <c r="S1" s="164"/>
      <c r="T1" s="2" t="s">
        <v>109</v>
      </c>
    </row>
    <row r="2" spans="1:22" ht="18.75" customHeight="1" x14ac:dyDescent="0.15">
      <c r="B2" s="82" t="s">
        <v>108</v>
      </c>
      <c r="C2" s="168" t="s">
        <v>127</v>
      </c>
      <c r="D2" s="109"/>
      <c r="E2" s="109"/>
      <c r="F2" s="109"/>
      <c r="G2" s="109"/>
      <c r="H2" s="109"/>
      <c r="I2" s="110"/>
      <c r="J2" s="81"/>
      <c r="K2" s="6"/>
      <c r="L2" s="6"/>
      <c r="M2" s="6"/>
      <c r="N2" s="6"/>
      <c r="O2" s="6"/>
      <c r="P2" s="6"/>
      <c r="Q2" s="6"/>
      <c r="R2" s="6"/>
      <c r="S2" s="6"/>
    </row>
    <row r="3" spans="1:22" ht="18.75" customHeight="1" x14ac:dyDescent="0.15">
      <c r="B3" s="82" t="s">
        <v>102</v>
      </c>
      <c r="C3" s="168" t="s">
        <v>126</v>
      </c>
      <c r="D3" s="169"/>
      <c r="E3" s="169"/>
      <c r="F3" s="169"/>
      <c r="G3" s="169"/>
      <c r="H3" s="169"/>
      <c r="I3" s="170"/>
      <c r="J3" s="81"/>
      <c r="K3" s="6"/>
      <c r="L3" s="6"/>
      <c r="M3" s="6"/>
      <c r="N3" s="6"/>
      <c r="O3" s="6"/>
      <c r="P3" s="6"/>
      <c r="Q3" s="6"/>
      <c r="R3" s="6"/>
      <c r="S3" s="6"/>
    </row>
    <row r="4" spans="1:22" ht="15" customHeight="1" x14ac:dyDescent="0.15">
      <c r="K4" s="81"/>
      <c r="L4" s="36"/>
      <c r="M4" s="36"/>
      <c r="N4" s="36"/>
      <c r="O4" s="36"/>
      <c r="P4" s="36"/>
      <c r="Q4" s="36"/>
      <c r="R4" s="36"/>
      <c r="S4" s="36"/>
    </row>
    <row r="5" spans="1:22" ht="18" customHeight="1" x14ac:dyDescent="0.15">
      <c r="A5" s="171" t="s">
        <v>38</v>
      </c>
      <c r="B5" s="171"/>
      <c r="C5" s="171"/>
      <c r="D5" s="171"/>
      <c r="E5" s="171"/>
      <c r="F5" s="171"/>
      <c r="G5" s="171"/>
      <c r="H5" s="171"/>
      <c r="I5" s="171"/>
      <c r="J5" s="171"/>
      <c r="K5" s="171"/>
      <c r="L5" s="171"/>
      <c r="M5" s="171"/>
      <c r="N5" s="171"/>
      <c r="O5" s="171"/>
      <c r="P5" s="171"/>
      <c r="Q5" s="171"/>
      <c r="R5" s="171"/>
      <c r="S5" s="171"/>
    </row>
    <row r="6" spans="1:22" ht="15" customHeight="1" x14ac:dyDescent="0.15">
      <c r="B6" s="84"/>
      <c r="C6" s="84"/>
      <c r="D6" s="84"/>
      <c r="E6" s="84"/>
      <c r="F6" s="84"/>
      <c r="G6" s="84"/>
      <c r="H6" s="84"/>
      <c r="I6" s="84"/>
      <c r="J6" s="84"/>
      <c r="K6" s="84"/>
      <c r="L6" s="84"/>
      <c r="M6" s="84"/>
      <c r="N6" s="84"/>
      <c r="O6" s="84"/>
      <c r="P6" s="84"/>
      <c r="Q6" s="84"/>
      <c r="R6" s="84"/>
      <c r="S6" s="84"/>
    </row>
    <row r="7" spans="1:22" ht="18" customHeight="1" x14ac:dyDescent="0.15">
      <c r="A7" s="83" t="s">
        <v>124</v>
      </c>
      <c r="C7" s="84"/>
      <c r="J7" s="37" t="s">
        <v>107</v>
      </c>
      <c r="K7" s="168" t="s">
        <v>128</v>
      </c>
      <c r="L7" s="169"/>
      <c r="M7" s="169"/>
      <c r="N7" s="169"/>
      <c r="O7" s="169"/>
      <c r="P7" s="169"/>
      <c r="Q7" s="169"/>
      <c r="R7" s="169"/>
      <c r="S7" s="170"/>
    </row>
    <row r="8" spans="1:22" ht="6" customHeight="1" x14ac:dyDescent="0.15">
      <c r="B8" s="84"/>
      <c r="C8" s="84"/>
      <c r="D8" s="84"/>
      <c r="E8" s="84"/>
      <c r="F8" s="84"/>
      <c r="G8" s="84"/>
      <c r="H8" s="84"/>
      <c r="I8" s="84"/>
      <c r="J8" s="84"/>
      <c r="K8" s="10"/>
      <c r="L8" s="84"/>
      <c r="M8" s="84"/>
      <c r="N8" s="84"/>
      <c r="O8" s="84"/>
      <c r="P8" s="84"/>
      <c r="Q8" s="84"/>
      <c r="R8" s="84"/>
      <c r="S8" s="84"/>
    </row>
    <row r="9" spans="1:22" ht="18" customHeight="1" x14ac:dyDescent="0.15">
      <c r="B9" s="181" t="s">
        <v>166</v>
      </c>
      <c r="C9" s="182"/>
      <c r="D9" s="182"/>
      <c r="E9" s="182"/>
      <c r="F9" s="182"/>
      <c r="G9" s="182"/>
      <c r="H9" s="182"/>
      <c r="I9" s="182"/>
      <c r="J9" s="182"/>
      <c r="K9" s="182"/>
      <c r="L9" s="182"/>
      <c r="M9" s="182"/>
      <c r="N9" s="182"/>
      <c r="O9" s="182"/>
      <c r="P9" s="182"/>
      <c r="Q9" s="182"/>
      <c r="R9" s="182"/>
      <c r="S9" s="183"/>
    </row>
    <row r="10" spans="1:22" ht="18" customHeight="1" x14ac:dyDescent="0.15">
      <c r="B10" s="184"/>
      <c r="C10" s="185"/>
      <c r="D10" s="185"/>
      <c r="E10" s="185"/>
      <c r="F10" s="185"/>
      <c r="G10" s="185"/>
      <c r="H10" s="185"/>
      <c r="I10" s="185"/>
      <c r="J10" s="185"/>
      <c r="K10" s="185"/>
      <c r="L10" s="185"/>
      <c r="M10" s="185"/>
      <c r="N10" s="185"/>
      <c r="O10" s="185"/>
      <c r="P10" s="185"/>
      <c r="Q10" s="185"/>
      <c r="R10" s="185"/>
      <c r="S10" s="186"/>
    </row>
    <row r="11" spans="1:22" ht="6" customHeight="1" x14ac:dyDescent="0.15">
      <c r="B11" s="84"/>
      <c r="C11" s="84"/>
      <c r="D11" s="84"/>
      <c r="E11" s="84"/>
      <c r="F11" s="84"/>
      <c r="G11" s="84"/>
      <c r="H11" s="84"/>
      <c r="I11" s="84"/>
      <c r="J11" s="84"/>
      <c r="K11" s="10"/>
      <c r="L11" s="84"/>
      <c r="M11" s="84"/>
      <c r="N11" s="84"/>
      <c r="O11" s="84"/>
      <c r="P11" s="84"/>
      <c r="Q11" s="84"/>
      <c r="R11" s="84"/>
      <c r="S11" s="84"/>
    </row>
    <row r="12" spans="1:22" ht="18" customHeight="1" x14ac:dyDescent="0.15">
      <c r="A12" s="83" t="s">
        <v>111</v>
      </c>
      <c r="B12" s="84"/>
      <c r="C12" s="84"/>
      <c r="D12" s="81"/>
      <c r="E12" s="81"/>
      <c r="F12" s="81"/>
      <c r="G12" s="81"/>
      <c r="H12" s="81"/>
      <c r="I12" s="81"/>
      <c r="J12" s="81"/>
      <c r="K12" s="38"/>
      <c r="L12" s="38"/>
      <c r="M12" s="38"/>
      <c r="N12" s="38"/>
      <c r="O12" s="38"/>
      <c r="P12" s="38"/>
      <c r="Q12" s="38"/>
      <c r="R12" s="38"/>
      <c r="S12" s="38"/>
    </row>
    <row r="13" spans="1:22" ht="18" customHeight="1" x14ac:dyDescent="0.15">
      <c r="B13" s="172" t="s">
        <v>167</v>
      </c>
      <c r="C13" s="173"/>
      <c r="D13" s="173"/>
      <c r="E13" s="173"/>
      <c r="F13" s="173"/>
      <c r="G13" s="173"/>
      <c r="H13" s="173"/>
      <c r="I13" s="173"/>
      <c r="J13" s="173"/>
      <c r="K13" s="173"/>
      <c r="L13" s="173"/>
      <c r="M13" s="173"/>
      <c r="N13" s="173"/>
      <c r="O13" s="173"/>
      <c r="P13" s="173"/>
      <c r="Q13" s="173"/>
      <c r="R13" s="173"/>
      <c r="S13" s="174"/>
      <c r="V13" s="83" t="s">
        <v>103</v>
      </c>
    </row>
    <row r="14" spans="1:22" ht="18" customHeight="1" x14ac:dyDescent="0.15">
      <c r="B14" s="175"/>
      <c r="C14" s="176"/>
      <c r="D14" s="176"/>
      <c r="E14" s="176"/>
      <c r="F14" s="176"/>
      <c r="G14" s="176"/>
      <c r="H14" s="176"/>
      <c r="I14" s="176"/>
      <c r="J14" s="176"/>
      <c r="K14" s="176"/>
      <c r="L14" s="176"/>
      <c r="M14" s="176"/>
      <c r="N14" s="176"/>
      <c r="O14" s="176"/>
      <c r="P14" s="176"/>
      <c r="Q14" s="176"/>
      <c r="R14" s="176"/>
      <c r="S14" s="177"/>
      <c r="V14" s="83" t="s">
        <v>110</v>
      </c>
    </row>
    <row r="15" spans="1:22" ht="18" customHeight="1" x14ac:dyDescent="0.15">
      <c r="B15" s="175"/>
      <c r="C15" s="176"/>
      <c r="D15" s="176"/>
      <c r="E15" s="176"/>
      <c r="F15" s="176"/>
      <c r="G15" s="176"/>
      <c r="H15" s="176"/>
      <c r="I15" s="176"/>
      <c r="J15" s="176"/>
      <c r="K15" s="176"/>
      <c r="L15" s="176"/>
      <c r="M15" s="176"/>
      <c r="N15" s="176"/>
      <c r="O15" s="176"/>
      <c r="P15" s="176"/>
      <c r="Q15" s="176"/>
      <c r="R15" s="176"/>
      <c r="S15" s="177"/>
      <c r="V15" s="83" t="s">
        <v>123</v>
      </c>
    </row>
    <row r="16" spans="1:22" ht="18" customHeight="1" x14ac:dyDescent="0.15">
      <c r="B16" s="175"/>
      <c r="C16" s="176"/>
      <c r="D16" s="176"/>
      <c r="E16" s="176"/>
      <c r="F16" s="176"/>
      <c r="G16" s="176"/>
      <c r="H16" s="176"/>
      <c r="I16" s="176"/>
      <c r="J16" s="176"/>
      <c r="K16" s="176"/>
      <c r="L16" s="176"/>
      <c r="M16" s="176"/>
      <c r="N16" s="176"/>
      <c r="O16" s="176"/>
      <c r="P16" s="176"/>
      <c r="Q16" s="176"/>
      <c r="R16" s="176"/>
      <c r="S16" s="177"/>
      <c r="V16" s="83" t="s">
        <v>125</v>
      </c>
    </row>
    <row r="17" spans="1:19" ht="18" customHeight="1" x14ac:dyDescent="0.15">
      <c r="B17" s="175"/>
      <c r="C17" s="176"/>
      <c r="D17" s="176"/>
      <c r="E17" s="176"/>
      <c r="F17" s="176"/>
      <c r="G17" s="176"/>
      <c r="H17" s="176"/>
      <c r="I17" s="176"/>
      <c r="J17" s="176"/>
      <c r="K17" s="176"/>
      <c r="L17" s="176"/>
      <c r="M17" s="176"/>
      <c r="N17" s="176"/>
      <c r="O17" s="176"/>
      <c r="P17" s="176"/>
      <c r="Q17" s="176"/>
      <c r="R17" s="176"/>
      <c r="S17" s="177"/>
    </row>
    <row r="18" spans="1:19" ht="18" customHeight="1" x14ac:dyDescent="0.15">
      <c r="B18" s="178"/>
      <c r="C18" s="179"/>
      <c r="D18" s="179"/>
      <c r="E18" s="179"/>
      <c r="F18" s="179"/>
      <c r="G18" s="179"/>
      <c r="H18" s="179"/>
      <c r="I18" s="179"/>
      <c r="J18" s="179"/>
      <c r="K18" s="179"/>
      <c r="L18" s="179"/>
      <c r="M18" s="179"/>
      <c r="N18" s="179"/>
      <c r="O18" s="179"/>
      <c r="P18" s="179"/>
      <c r="Q18" s="179"/>
      <c r="R18" s="179"/>
      <c r="S18" s="180"/>
    </row>
    <row r="19" spans="1:19" ht="7.5" customHeight="1" x14ac:dyDescent="0.15">
      <c r="B19" s="84"/>
      <c r="C19" s="84"/>
      <c r="D19" s="84"/>
      <c r="E19" s="84"/>
      <c r="F19" s="84"/>
      <c r="G19" s="84"/>
      <c r="H19" s="84"/>
      <c r="I19" s="84"/>
      <c r="J19" s="84"/>
      <c r="K19" s="84"/>
      <c r="L19" s="84"/>
      <c r="M19" s="84"/>
      <c r="N19" s="84"/>
      <c r="O19" s="84"/>
      <c r="P19" s="84"/>
      <c r="Q19" s="84"/>
      <c r="R19" s="84"/>
      <c r="S19" s="84"/>
    </row>
    <row r="20" spans="1:19" ht="19.899999999999999" customHeight="1" x14ac:dyDescent="0.15">
      <c r="B20" s="83" t="s">
        <v>112</v>
      </c>
      <c r="C20" s="108">
        <v>10</v>
      </c>
      <c r="D20" s="110"/>
      <c r="E20" s="39" t="s">
        <v>95</v>
      </c>
      <c r="G20" s="10"/>
      <c r="H20" s="84"/>
      <c r="I20" s="84"/>
      <c r="J20" s="81" t="s">
        <v>121</v>
      </c>
      <c r="K20" s="165" t="s">
        <v>125</v>
      </c>
      <c r="L20" s="166"/>
      <c r="M20" s="166"/>
      <c r="N20" s="166"/>
      <c r="O20" s="166"/>
      <c r="P20" s="166"/>
      <c r="Q20" s="166"/>
      <c r="R20" s="166"/>
      <c r="S20" s="167"/>
    </row>
    <row r="21" spans="1:19" ht="7.5" customHeight="1" x14ac:dyDescent="0.15">
      <c r="B21" s="84"/>
      <c r="C21" s="84"/>
      <c r="D21" s="84"/>
      <c r="E21" s="84"/>
      <c r="F21" s="84"/>
      <c r="G21" s="84"/>
      <c r="H21" s="84"/>
      <c r="I21" s="84"/>
      <c r="J21" s="84"/>
      <c r="K21" s="84"/>
      <c r="L21" s="84"/>
      <c r="M21" s="84"/>
      <c r="N21" s="84"/>
      <c r="O21" s="84"/>
      <c r="P21" s="84"/>
      <c r="Q21" s="84"/>
      <c r="R21" s="84"/>
      <c r="S21" s="84"/>
    </row>
    <row r="22" spans="1:19" ht="18" customHeight="1" x14ac:dyDescent="0.15">
      <c r="A22" s="114" t="s">
        <v>113</v>
      </c>
      <c r="B22" s="114"/>
      <c r="C22" s="114"/>
      <c r="D22" s="114"/>
      <c r="E22" s="114"/>
      <c r="F22" s="114"/>
      <c r="G22" s="114"/>
      <c r="H22" s="114"/>
      <c r="I22" s="114"/>
      <c r="J22" s="114"/>
      <c r="K22" s="114"/>
      <c r="L22" s="114"/>
      <c r="M22" s="114"/>
      <c r="N22" s="114"/>
      <c r="O22" s="114"/>
      <c r="P22" s="114"/>
      <c r="Q22" s="114"/>
      <c r="R22" s="114"/>
      <c r="S22" s="114"/>
    </row>
    <row r="23" spans="1:19" ht="18" customHeight="1" x14ac:dyDescent="0.15">
      <c r="A23" s="114"/>
      <c r="B23" s="114"/>
      <c r="C23" s="114"/>
      <c r="D23" s="114"/>
      <c r="E23" s="114"/>
      <c r="F23" s="114"/>
      <c r="G23" s="114"/>
      <c r="H23" s="114"/>
      <c r="I23" s="114"/>
      <c r="J23" s="114"/>
      <c r="K23" s="114"/>
      <c r="L23" s="114"/>
      <c r="M23" s="114"/>
      <c r="N23" s="114"/>
      <c r="O23" s="114"/>
      <c r="P23" s="114"/>
      <c r="Q23" s="114"/>
      <c r="R23" s="114"/>
      <c r="S23" s="114"/>
    </row>
    <row r="24" spans="1:19" ht="18" customHeight="1" x14ac:dyDescent="0.15">
      <c r="B24" s="108" t="s">
        <v>53</v>
      </c>
      <c r="C24" s="109"/>
      <c r="D24" s="109"/>
      <c r="E24" s="110"/>
      <c r="F24" s="59" t="s">
        <v>80</v>
      </c>
      <c r="G24" s="58" t="s">
        <v>84</v>
      </c>
      <c r="H24" s="21" t="s">
        <v>56</v>
      </c>
      <c r="I24" s="21" t="s">
        <v>59</v>
      </c>
      <c r="J24" s="108" t="s">
        <v>53</v>
      </c>
      <c r="K24" s="109"/>
      <c r="L24" s="109"/>
      <c r="M24" s="109"/>
      <c r="N24" s="109"/>
      <c r="O24" s="110"/>
      <c r="P24" s="59" t="s">
        <v>80</v>
      </c>
      <c r="Q24" s="58" t="s">
        <v>84</v>
      </c>
      <c r="R24" s="21" t="s">
        <v>56</v>
      </c>
      <c r="S24" s="21" t="s">
        <v>59</v>
      </c>
    </row>
    <row r="25" spans="1:19" ht="18" customHeight="1" x14ac:dyDescent="0.15">
      <c r="B25" s="102" t="s">
        <v>168</v>
      </c>
      <c r="C25" s="103"/>
      <c r="D25" s="103"/>
      <c r="E25" s="104"/>
      <c r="F25" s="22">
        <v>2</v>
      </c>
      <c r="G25" s="22" t="s">
        <v>132</v>
      </c>
      <c r="H25" s="22" t="s">
        <v>132</v>
      </c>
      <c r="I25" s="22" t="s">
        <v>132</v>
      </c>
      <c r="J25" s="102"/>
      <c r="K25" s="103"/>
      <c r="L25" s="103"/>
      <c r="M25" s="103"/>
      <c r="N25" s="103"/>
      <c r="O25" s="104"/>
      <c r="P25" s="22"/>
      <c r="Q25" s="22"/>
      <c r="R25" s="22"/>
      <c r="S25" s="22"/>
    </row>
    <row r="26" spans="1:19" ht="18" customHeight="1" x14ac:dyDescent="0.15">
      <c r="B26" s="105"/>
      <c r="C26" s="106"/>
      <c r="D26" s="106"/>
      <c r="E26" s="107"/>
      <c r="F26" s="23"/>
      <c r="G26" s="23"/>
      <c r="H26" s="23"/>
      <c r="I26" s="23"/>
      <c r="J26" s="105"/>
      <c r="K26" s="106"/>
      <c r="L26" s="106"/>
      <c r="M26" s="106"/>
      <c r="N26" s="106"/>
      <c r="O26" s="107"/>
      <c r="P26" s="23"/>
      <c r="Q26" s="23"/>
      <c r="R26" s="23"/>
      <c r="S26" s="23"/>
    </row>
    <row r="27" spans="1:19" ht="18" customHeight="1" x14ac:dyDescent="0.15">
      <c r="B27" s="105"/>
      <c r="C27" s="106"/>
      <c r="D27" s="106"/>
      <c r="E27" s="107"/>
      <c r="F27" s="23"/>
      <c r="G27" s="23"/>
      <c r="H27" s="23"/>
      <c r="I27" s="23"/>
      <c r="J27" s="105"/>
      <c r="K27" s="106"/>
      <c r="L27" s="106"/>
      <c r="M27" s="106"/>
      <c r="N27" s="106"/>
      <c r="O27" s="107"/>
      <c r="P27" s="23"/>
      <c r="Q27" s="23"/>
      <c r="R27" s="23"/>
      <c r="S27" s="23"/>
    </row>
    <row r="28" spans="1:19" ht="18" customHeight="1" x14ac:dyDescent="0.15">
      <c r="B28" s="105"/>
      <c r="C28" s="106"/>
      <c r="D28" s="106"/>
      <c r="E28" s="107"/>
      <c r="F28" s="23"/>
      <c r="G28" s="23"/>
      <c r="H28" s="23"/>
      <c r="I28" s="23"/>
      <c r="J28" s="105"/>
      <c r="K28" s="106"/>
      <c r="L28" s="106"/>
      <c r="M28" s="106"/>
      <c r="N28" s="106"/>
      <c r="O28" s="107"/>
      <c r="P28" s="23"/>
      <c r="Q28" s="23"/>
      <c r="R28" s="23"/>
      <c r="S28" s="23"/>
    </row>
    <row r="29" spans="1:19" ht="18" customHeight="1" x14ac:dyDescent="0.15">
      <c r="B29" s="105"/>
      <c r="C29" s="106"/>
      <c r="D29" s="106"/>
      <c r="E29" s="107"/>
      <c r="F29" s="23"/>
      <c r="G29" s="23"/>
      <c r="H29" s="23"/>
      <c r="I29" s="23"/>
      <c r="J29" s="105"/>
      <c r="K29" s="106"/>
      <c r="L29" s="106"/>
      <c r="M29" s="106"/>
      <c r="N29" s="106"/>
      <c r="O29" s="107"/>
      <c r="P29" s="23"/>
      <c r="Q29" s="23"/>
      <c r="R29" s="23"/>
      <c r="S29" s="23"/>
    </row>
    <row r="30" spans="1:19" ht="18" customHeight="1" x14ac:dyDescent="0.15">
      <c r="A30" s="84"/>
      <c r="B30" s="105"/>
      <c r="C30" s="106"/>
      <c r="D30" s="106"/>
      <c r="E30" s="107"/>
      <c r="F30" s="23"/>
      <c r="G30" s="23"/>
      <c r="H30" s="23"/>
      <c r="I30" s="23"/>
      <c r="J30" s="105"/>
      <c r="K30" s="106"/>
      <c r="L30" s="106"/>
      <c r="M30" s="106"/>
      <c r="N30" s="106"/>
      <c r="O30" s="107"/>
      <c r="P30" s="23"/>
      <c r="Q30" s="23"/>
      <c r="R30" s="23"/>
      <c r="S30" s="23"/>
    </row>
    <row r="31" spans="1:19" ht="18" customHeight="1" x14ac:dyDescent="0.15">
      <c r="A31" s="84"/>
      <c r="B31" s="111"/>
      <c r="C31" s="112"/>
      <c r="D31" s="112"/>
      <c r="E31" s="113"/>
      <c r="F31" s="24"/>
      <c r="G31" s="24"/>
      <c r="H31" s="25"/>
      <c r="I31" s="25"/>
      <c r="J31" s="111"/>
      <c r="K31" s="112"/>
      <c r="L31" s="112"/>
      <c r="M31" s="112"/>
      <c r="N31" s="112"/>
      <c r="O31" s="113"/>
      <c r="P31" s="24"/>
      <c r="Q31" s="24"/>
      <c r="R31" s="25"/>
      <c r="S31" s="25"/>
    </row>
    <row r="32" spans="1:19" ht="7.5" customHeight="1" x14ac:dyDescent="0.15">
      <c r="A32" s="84"/>
      <c r="B32" s="6"/>
      <c r="C32" s="6"/>
      <c r="D32" s="84"/>
      <c r="E32" s="84"/>
      <c r="F32" s="84"/>
      <c r="G32" s="84"/>
      <c r="H32" s="6"/>
      <c r="I32" s="6"/>
      <c r="J32" s="6"/>
      <c r="K32" s="6"/>
      <c r="L32" s="6"/>
      <c r="M32" s="6"/>
      <c r="N32" s="6"/>
      <c r="O32" s="6"/>
      <c r="P32" s="6"/>
      <c r="Q32" s="6"/>
      <c r="R32" s="6"/>
      <c r="S32" s="84"/>
    </row>
    <row r="33" spans="1:19" ht="18" customHeight="1" x14ac:dyDescent="0.15">
      <c r="A33" s="114" t="s">
        <v>114</v>
      </c>
      <c r="B33" s="114"/>
      <c r="C33" s="114"/>
      <c r="D33" s="114"/>
      <c r="E33" s="114"/>
      <c r="F33" s="114"/>
      <c r="G33" s="114"/>
      <c r="H33" s="114"/>
      <c r="I33" s="114"/>
      <c r="J33" s="114"/>
      <c r="K33" s="114"/>
      <c r="L33" s="114"/>
      <c r="M33" s="114"/>
      <c r="N33" s="114"/>
      <c r="O33" s="114"/>
      <c r="P33" s="114"/>
      <c r="Q33" s="114"/>
      <c r="R33" s="114"/>
      <c r="S33" s="114"/>
    </row>
    <row r="34" spans="1:19" ht="18" customHeight="1" x14ac:dyDescent="0.15">
      <c r="A34" s="114"/>
      <c r="B34" s="114"/>
      <c r="C34" s="114"/>
      <c r="D34" s="114"/>
      <c r="E34" s="114"/>
      <c r="F34" s="114"/>
      <c r="G34" s="114"/>
      <c r="H34" s="114"/>
      <c r="I34" s="114"/>
      <c r="J34" s="114"/>
      <c r="K34" s="114"/>
      <c r="L34" s="114"/>
      <c r="M34" s="114"/>
      <c r="N34" s="114"/>
      <c r="O34" s="114"/>
      <c r="P34" s="114"/>
      <c r="Q34" s="114"/>
      <c r="R34" s="114"/>
      <c r="S34" s="114"/>
    </row>
    <row r="35" spans="1:19" ht="18" customHeight="1" x14ac:dyDescent="0.15">
      <c r="B35" s="108" t="s">
        <v>53</v>
      </c>
      <c r="C35" s="109"/>
      <c r="D35" s="109"/>
      <c r="E35" s="110"/>
      <c r="F35" s="59" t="s">
        <v>80</v>
      </c>
      <c r="G35" s="58" t="s">
        <v>84</v>
      </c>
      <c r="H35" s="21" t="s">
        <v>71</v>
      </c>
      <c r="I35" s="21" t="s">
        <v>72</v>
      </c>
      <c r="J35" s="108" t="s">
        <v>53</v>
      </c>
      <c r="K35" s="109"/>
      <c r="L35" s="109"/>
      <c r="M35" s="109"/>
      <c r="N35" s="109"/>
      <c r="O35" s="110"/>
      <c r="P35" s="59" t="s">
        <v>80</v>
      </c>
      <c r="Q35" s="58" t="s">
        <v>84</v>
      </c>
      <c r="R35" s="21" t="s">
        <v>71</v>
      </c>
      <c r="S35" s="21" t="s">
        <v>72</v>
      </c>
    </row>
    <row r="36" spans="1:19" ht="18" customHeight="1" x14ac:dyDescent="0.15">
      <c r="B36" s="102" t="s">
        <v>169</v>
      </c>
      <c r="C36" s="103"/>
      <c r="D36" s="103"/>
      <c r="E36" s="104"/>
      <c r="F36" s="22">
        <v>2</v>
      </c>
      <c r="G36" s="22" t="s">
        <v>132</v>
      </c>
      <c r="H36" s="22" t="s">
        <v>132</v>
      </c>
      <c r="I36" s="22" t="s">
        <v>132</v>
      </c>
      <c r="J36" s="102"/>
      <c r="K36" s="103"/>
      <c r="L36" s="103"/>
      <c r="M36" s="103"/>
      <c r="N36" s="103"/>
      <c r="O36" s="104"/>
      <c r="P36" s="22"/>
      <c r="Q36" s="22"/>
      <c r="R36" s="22"/>
      <c r="S36" s="22"/>
    </row>
    <row r="37" spans="1:19" ht="18" customHeight="1" x14ac:dyDescent="0.15">
      <c r="B37" s="105" t="s">
        <v>168</v>
      </c>
      <c r="C37" s="106"/>
      <c r="D37" s="106"/>
      <c r="E37" s="107"/>
      <c r="F37" s="23">
        <v>2</v>
      </c>
      <c r="G37" s="23" t="s">
        <v>132</v>
      </c>
      <c r="H37" s="23"/>
      <c r="I37" s="23" t="s">
        <v>132</v>
      </c>
      <c r="J37" s="105"/>
      <c r="K37" s="106"/>
      <c r="L37" s="106"/>
      <c r="M37" s="106"/>
      <c r="N37" s="106"/>
      <c r="O37" s="107"/>
      <c r="P37" s="23"/>
      <c r="Q37" s="23"/>
      <c r="R37" s="23"/>
      <c r="S37" s="23"/>
    </row>
    <row r="38" spans="1:19" ht="18" customHeight="1" x14ac:dyDescent="0.15">
      <c r="B38" s="105"/>
      <c r="C38" s="106"/>
      <c r="D38" s="106"/>
      <c r="E38" s="107"/>
      <c r="F38" s="23"/>
      <c r="G38" s="23"/>
      <c r="H38" s="23"/>
      <c r="I38" s="23"/>
      <c r="J38" s="105"/>
      <c r="K38" s="106"/>
      <c r="L38" s="106"/>
      <c r="M38" s="106"/>
      <c r="N38" s="106"/>
      <c r="O38" s="107"/>
      <c r="P38" s="23"/>
      <c r="Q38" s="23"/>
      <c r="R38" s="23"/>
      <c r="S38" s="23"/>
    </row>
    <row r="39" spans="1:19" ht="18" customHeight="1" x14ac:dyDescent="0.15">
      <c r="B39" s="105"/>
      <c r="C39" s="106"/>
      <c r="D39" s="106"/>
      <c r="E39" s="107"/>
      <c r="F39" s="23"/>
      <c r="G39" s="23"/>
      <c r="H39" s="23"/>
      <c r="I39" s="23"/>
      <c r="J39" s="105"/>
      <c r="K39" s="106"/>
      <c r="L39" s="106"/>
      <c r="M39" s="106"/>
      <c r="N39" s="106"/>
      <c r="O39" s="107"/>
      <c r="P39" s="23"/>
      <c r="Q39" s="23"/>
      <c r="R39" s="23"/>
      <c r="S39" s="23"/>
    </row>
    <row r="40" spans="1:19" ht="18" customHeight="1" x14ac:dyDescent="0.15">
      <c r="B40" s="105"/>
      <c r="C40" s="106"/>
      <c r="D40" s="106"/>
      <c r="E40" s="107"/>
      <c r="F40" s="23"/>
      <c r="G40" s="23"/>
      <c r="H40" s="23"/>
      <c r="I40" s="23"/>
      <c r="J40" s="105"/>
      <c r="K40" s="106"/>
      <c r="L40" s="106"/>
      <c r="M40" s="106"/>
      <c r="N40" s="106"/>
      <c r="O40" s="107"/>
      <c r="P40" s="23"/>
      <c r="Q40" s="23"/>
      <c r="R40" s="23"/>
      <c r="S40" s="23"/>
    </row>
    <row r="41" spans="1:19" ht="18" customHeight="1" x14ac:dyDescent="0.15">
      <c r="B41" s="105"/>
      <c r="C41" s="106"/>
      <c r="D41" s="106"/>
      <c r="E41" s="107"/>
      <c r="F41" s="23"/>
      <c r="G41" s="23"/>
      <c r="H41" s="23"/>
      <c r="I41" s="23"/>
      <c r="J41" s="105"/>
      <c r="K41" s="106"/>
      <c r="L41" s="106"/>
      <c r="M41" s="106"/>
      <c r="N41" s="106"/>
      <c r="O41" s="107"/>
      <c r="P41" s="23"/>
      <c r="Q41" s="23"/>
      <c r="R41" s="23"/>
      <c r="S41" s="23"/>
    </row>
    <row r="42" spans="1:19" ht="18" customHeight="1" x14ac:dyDescent="0.15">
      <c r="B42" s="111"/>
      <c r="C42" s="112"/>
      <c r="D42" s="112"/>
      <c r="E42" s="113"/>
      <c r="F42" s="24"/>
      <c r="G42" s="24"/>
      <c r="H42" s="25"/>
      <c r="I42" s="25"/>
      <c r="J42" s="111"/>
      <c r="K42" s="112"/>
      <c r="L42" s="112"/>
      <c r="M42" s="112"/>
      <c r="N42" s="112"/>
      <c r="O42" s="113"/>
      <c r="P42" s="24"/>
      <c r="Q42" s="24"/>
      <c r="R42" s="25"/>
      <c r="S42" s="25"/>
    </row>
    <row r="43" spans="1:19" ht="7.5" customHeight="1" x14ac:dyDescent="0.15">
      <c r="A43" s="84"/>
      <c r="B43" s="6"/>
      <c r="C43" s="6"/>
      <c r="D43" s="84"/>
      <c r="E43" s="84"/>
      <c r="F43" s="84"/>
      <c r="G43" s="84"/>
      <c r="H43" s="6"/>
      <c r="I43" s="6"/>
      <c r="J43" s="6"/>
      <c r="K43" s="6"/>
      <c r="L43" s="6"/>
      <c r="M43" s="6"/>
      <c r="N43" s="6"/>
      <c r="O43" s="6"/>
      <c r="P43" s="6"/>
      <c r="Q43" s="6"/>
      <c r="R43" s="6"/>
      <c r="S43" s="84"/>
    </row>
    <row r="44" spans="1:19" ht="18" customHeight="1" x14ac:dyDescent="0.15">
      <c r="A44" s="114" t="s">
        <v>115</v>
      </c>
      <c r="B44" s="114"/>
      <c r="C44" s="114"/>
      <c r="D44" s="114"/>
      <c r="E44" s="114"/>
      <c r="F44" s="114"/>
      <c r="G44" s="114"/>
      <c r="H44" s="114"/>
      <c r="I44" s="114"/>
      <c r="J44" s="114"/>
      <c r="K44" s="114"/>
      <c r="L44" s="114"/>
      <c r="M44" s="114"/>
      <c r="N44" s="114"/>
      <c r="O44" s="114"/>
      <c r="P44" s="114"/>
      <c r="Q44" s="114"/>
      <c r="R44" s="114"/>
      <c r="S44" s="114"/>
    </row>
    <row r="45" spans="1:19" ht="18" customHeight="1" x14ac:dyDescent="0.15">
      <c r="A45" s="114"/>
      <c r="B45" s="114"/>
      <c r="C45" s="114"/>
      <c r="D45" s="114"/>
      <c r="E45" s="114"/>
      <c r="F45" s="114"/>
      <c r="G45" s="114"/>
      <c r="H45" s="114"/>
      <c r="I45" s="114"/>
      <c r="J45" s="114"/>
      <c r="K45" s="114"/>
      <c r="L45" s="114"/>
      <c r="M45" s="114"/>
      <c r="N45" s="114"/>
      <c r="O45" s="114"/>
      <c r="P45" s="114"/>
      <c r="Q45" s="114"/>
      <c r="R45" s="114"/>
      <c r="S45" s="114"/>
    </row>
    <row r="46" spans="1:19" ht="18" customHeight="1" x14ac:dyDescent="0.15">
      <c r="B46" s="108" t="s">
        <v>53</v>
      </c>
      <c r="C46" s="109"/>
      <c r="D46" s="109"/>
      <c r="E46" s="110"/>
      <c r="F46" s="59" t="s">
        <v>80</v>
      </c>
      <c r="G46" s="58" t="s">
        <v>84</v>
      </c>
      <c r="H46" s="21" t="s">
        <v>73</v>
      </c>
      <c r="I46" s="21" t="s">
        <v>74</v>
      </c>
      <c r="J46" s="108" t="s">
        <v>53</v>
      </c>
      <c r="K46" s="109"/>
      <c r="L46" s="109"/>
      <c r="M46" s="109"/>
      <c r="N46" s="109"/>
      <c r="O46" s="110"/>
      <c r="P46" s="59" t="s">
        <v>80</v>
      </c>
      <c r="Q46" s="58" t="s">
        <v>84</v>
      </c>
      <c r="R46" s="21" t="s">
        <v>73</v>
      </c>
      <c r="S46" s="21" t="s">
        <v>74</v>
      </c>
    </row>
    <row r="47" spans="1:19" ht="18" customHeight="1" x14ac:dyDescent="0.15">
      <c r="A47" s="84"/>
      <c r="B47" s="102" t="s">
        <v>169</v>
      </c>
      <c r="C47" s="103"/>
      <c r="D47" s="103"/>
      <c r="E47" s="104"/>
      <c r="F47" s="22">
        <v>2</v>
      </c>
      <c r="G47" s="22" t="s">
        <v>132</v>
      </c>
      <c r="H47" s="22" t="s">
        <v>132</v>
      </c>
      <c r="I47" s="22" t="s">
        <v>132</v>
      </c>
      <c r="J47" s="102"/>
      <c r="K47" s="103"/>
      <c r="L47" s="103"/>
      <c r="M47" s="103"/>
      <c r="N47" s="103"/>
      <c r="O47" s="104"/>
      <c r="P47" s="22"/>
      <c r="Q47" s="22"/>
      <c r="R47" s="22"/>
      <c r="S47" s="22"/>
    </row>
    <row r="48" spans="1:19" ht="18" customHeight="1" x14ac:dyDescent="0.15">
      <c r="A48" s="84"/>
      <c r="B48" s="105" t="s">
        <v>168</v>
      </c>
      <c r="C48" s="106"/>
      <c r="D48" s="106"/>
      <c r="E48" s="107"/>
      <c r="F48" s="23">
        <v>2</v>
      </c>
      <c r="G48" s="23" t="s">
        <v>132</v>
      </c>
      <c r="H48" s="23" t="s">
        <v>132</v>
      </c>
      <c r="I48" s="23"/>
      <c r="J48" s="105"/>
      <c r="K48" s="106"/>
      <c r="L48" s="106"/>
      <c r="M48" s="106"/>
      <c r="N48" s="106"/>
      <c r="O48" s="107"/>
      <c r="P48" s="23"/>
      <c r="Q48" s="23"/>
      <c r="R48" s="23"/>
      <c r="S48" s="23"/>
    </row>
    <row r="49" spans="1:19" ht="18" customHeight="1" x14ac:dyDescent="0.15">
      <c r="A49" s="84"/>
      <c r="B49" s="105" t="s">
        <v>170</v>
      </c>
      <c r="C49" s="106"/>
      <c r="D49" s="106"/>
      <c r="E49" s="107"/>
      <c r="F49" s="23">
        <v>2</v>
      </c>
      <c r="G49" s="23" t="s">
        <v>132</v>
      </c>
      <c r="H49" s="23" t="s">
        <v>132</v>
      </c>
      <c r="I49" s="23" t="s">
        <v>132</v>
      </c>
      <c r="J49" s="105"/>
      <c r="K49" s="106"/>
      <c r="L49" s="106"/>
      <c r="M49" s="106"/>
      <c r="N49" s="106"/>
      <c r="O49" s="107"/>
      <c r="P49" s="23"/>
      <c r="Q49" s="23"/>
      <c r="R49" s="23"/>
      <c r="S49" s="23"/>
    </row>
    <row r="50" spans="1:19" ht="18" customHeight="1" x14ac:dyDescent="0.15">
      <c r="A50" s="84"/>
      <c r="B50" s="105" t="s">
        <v>171</v>
      </c>
      <c r="C50" s="106"/>
      <c r="D50" s="106"/>
      <c r="E50" s="107"/>
      <c r="F50" s="23">
        <v>2</v>
      </c>
      <c r="G50" s="23" t="s">
        <v>132</v>
      </c>
      <c r="H50" s="23"/>
      <c r="I50" s="23" t="s">
        <v>132</v>
      </c>
      <c r="J50" s="105"/>
      <c r="K50" s="106"/>
      <c r="L50" s="106"/>
      <c r="M50" s="106"/>
      <c r="N50" s="106"/>
      <c r="O50" s="107"/>
      <c r="P50" s="23"/>
      <c r="Q50" s="23"/>
      <c r="R50" s="23"/>
      <c r="S50" s="23"/>
    </row>
    <row r="51" spans="1:19" ht="18" customHeight="1" x14ac:dyDescent="0.15">
      <c r="A51" s="84"/>
      <c r="B51" s="105"/>
      <c r="C51" s="106"/>
      <c r="D51" s="106"/>
      <c r="E51" s="107"/>
      <c r="F51" s="23"/>
      <c r="G51" s="23"/>
      <c r="H51" s="23"/>
      <c r="I51" s="23"/>
      <c r="J51" s="105"/>
      <c r="K51" s="106"/>
      <c r="L51" s="106"/>
      <c r="M51" s="106"/>
      <c r="N51" s="106"/>
      <c r="O51" s="107"/>
      <c r="P51" s="23"/>
      <c r="Q51" s="23"/>
      <c r="R51" s="23"/>
      <c r="S51" s="23"/>
    </row>
    <row r="52" spans="1:19" ht="18" customHeight="1" x14ac:dyDescent="0.15">
      <c r="A52" s="84"/>
      <c r="B52" s="105"/>
      <c r="C52" s="106"/>
      <c r="D52" s="106"/>
      <c r="E52" s="107"/>
      <c r="F52" s="23"/>
      <c r="G52" s="23"/>
      <c r="H52" s="23"/>
      <c r="I52" s="23"/>
      <c r="J52" s="105"/>
      <c r="K52" s="106"/>
      <c r="L52" s="106"/>
      <c r="M52" s="106"/>
      <c r="N52" s="106"/>
      <c r="O52" s="107"/>
      <c r="P52" s="23"/>
      <c r="Q52" s="23"/>
      <c r="R52" s="23"/>
      <c r="S52" s="23"/>
    </row>
    <row r="53" spans="1:19" ht="18" customHeight="1" x14ac:dyDescent="0.15">
      <c r="A53" s="84"/>
      <c r="B53" s="111"/>
      <c r="C53" s="112"/>
      <c r="D53" s="112"/>
      <c r="E53" s="113"/>
      <c r="F53" s="24"/>
      <c r="G53" s="24"/>
      <c r="H53" s="25"/>
      <c r="I53" s="25"/>
      <c r="J53" s="111"/>
      <c r="K53" s="112"/>
      <c r="L53" s="112"/>
      <c r="M53" s="112"/>
      <c r="N53" s="112"/>
      <c r="O53" s="113"/>
      <c r="P53" s="24"/>
      <c r="Q53" s="24"/>
      <c r="R53" s="25"/>
      <c r="S53" s="25"/>
    </row>
    <row r="54" spans="1:19" ht="7.5" customHeight="1" x14ac:dyDescent="0.15">
      <c r="B54" s="85"/>
      <c r="C54" s="85"/>
      <c r="D54" s="85"/>
      <c r="E54" s="85"/>
      <c r="F54" s="85"/>
      <c r="G54" s="85"/>
      <c r="H54" s="85"/>
      <c r="I54" s="85"/>
      <c r="J54" s="85"/>
      <c r="K54" s="85"/>
      <c r="L54" s="85"/>
      <c r="M54" s="85"/>
      <c r="N54" s="85"/>
      <c r="O54" s="85"/>
      <c r="P54" s="85"/>
      <c r="Q54" s="85"/>
      <c r="R54" s="85"/>
    </row>
    <row r="55" spans="1:19" ht="18" customHeight="1" x14ac:dyDescent="0.15">
      <c r="A55" s="114" t="s">
        <v>116</v>
      </c>
      <c r="B55" s="114"/>
      <c r="C55" s="114"/>
      <c r="D55" s="114"/>
      <c r="E55" s="114"/>
      <c r="F55" s="114"/>
      <c r="G55" s="114"/>
      <c r="H55" s="114"/>
      <c r="I55" s="114"/>
      <c r="J55" s="114"/>
      <c r="K55" s="114"/>
      <c r="L55" s="114"/>
      <c r="M55" s="114"/>
      <c r="N55" s="114"/>
      <c r="O55" s="114"/>
      <c r="P55" s="114"/>
      <c r="Q55" s="114"/>
      <c r="R55" s="114"/>
      <c r="S55" s="114"/>
    </row>
    <row r="56" spans="1:19" ht="18" customHeight="1" x14ac:dyDescent="0.15">
      <c r="A56" s="114"/>
      <c r="B56" s="114"/>
      <c r="C56" s="114"/>
      <c r="D56" s="114"/>
      <c r="E56" s="114"/>
      <c r="F56" s="114"/>
      <c r="G56" s="114"/>
      <c r="H56" s="114"/>
      <c r="I56" s="114"/>
      <c r="J56" s="114"/>
      <c r="K56" s="114"/>
      <c r="L56" s="114"/>
      <c r="M56" s="114"/>
      <c r="N56" s="114"/>
      <c r="O56" s="114"/>
      <c r="P56" s="114"/>
      <c r="Q56" s="114"/>
      <c r="R56" s="114"/>
      <c r="S56" s="114"/>
    </row>
    <row r="57" spans="1:19" ht="18" customHeight="1" x14ac:dyDescent="0.15">
      <c r="B57" s="108" t="s">
        <v>53</v>
      </c>
      <c r="C57" s="109"/>
      <c r="D57" s="109"/>
      <c r="E57" s="110"/>
      <c r="F57" s="59" t="s">
        <v>80</v>
      </c>
      <c r="G57" s="58" t="s">
        <v>84</v>
      </c>
      <c r="H57" s="21" t="s">
        <v>58</v>
      </c>
      <c r="I57" s="21" t="s">
        <v>60</v>
      </c>
      <c r="J57" s="108" t="s">
        <v>53</v>
      </c>
      <c r="K57" s="109"/>
      <c r="L57" s="109"/>
      <c r="M57" s="109"/>
      <c r="N57" s="109"/>
      <c r="O57" s="110"/>
      <c r="P57" s="59" t="s">
        <v>80</v>
      </c>
      <c r="Q57" s="58" t="s">
        <v>84</v>
      </c>
      <c r="R57" s="21" t="s">
        <v>58</v>
      </c>
      <c r="S57" s="21" t="s">
        <v>60</v>
      </c>
    </row>
    <row r="58" spans="1:19" ht="18" customHeight="1" x14ac:dyDescent="0.15">
      <c r="A58" s="84"/>
      <c r="B58" s="102" t="s">
        <v>169</v>
      </c>
      <c r="C58" s="103"/>
      <c r="D58" s="103"/>
      <c r="E58" s="104"/>
      <c r="F58" s="22">
        <v>2</v>
      </c>
      <c r="G58" s="22" t="s">
        <v>132</v>
      </c>
      <c r="H58" s="22" t="s">
        <v>132</v>
      </c>
      <c r="I58" s="22" t="s">
        <v>132</v>
      </c>
      <c r="J58" s="102"/>
      <c r="K58" s="103"/>
      <c r="L58" s="103"/>
      <c r="M58" s="103"/>
      <c r="N58" s="103"/>
      <c r="O58" s="104"/>
      <c r="P58" s="22"/>
      <c r="Q58" s="22"/>
      <c r="R58" s="22"/>
      <c r="S58" s="22"/>
    </row>
    <row r="59" spans="1:19" ht="18" customHeight="1" x14ac:dyDescent="0.15">
      <c r="A59" s="84"/>
      <c r="B59" s="105"/>
      <c r="C59" s="106"/>
      <c r="D59" s="106"/>
      <c r="E59" s="107"/>
      <c r="F59" s="23"/>
      <c r="G59" s="23"/>
      <c r="H59" s="23"/>
      <c r="I59" s="23"/>
      <c r="J59" s="105"/>
      <c r="K59" s="106"/>
      <c r="L59" s="106"/>
      <c r="M59" s="106"/>
      <c r="N59" s="106"/>
      <c r="O59" s="107"/>
      <c r="P59" s="23"/>
      <c r="Q59" s="23"/>
      <c r="R59" s="23"/>
      <c r="S59" s="23"/>
    </row>
    <row r="60" spans="1:19" ht="18" customHeight="1" x14ac:dyDescent="0.15">
      <c r="A60" s="84"/>
      <c r="B60" s="105"/>
      <c r="C60" s="106"/>
      <c r="D60" s="106"/>
      <c r="E60" s="107"/>
      <c r="F60" s="23"/>
      <c r="G60" s="23"/>
      <c r="H60" s="23"/>
      <c r="I60" s="23"/>
      <c r="J60" s="105"/>
      <c r="K60" s="106"/>
      <c r="L60" s="106"/>
      <c r="M60" s="106"/>
      <c r="N60" s="106"/>
      <c r="O60" s="107"/>
      <c r="P60" s="23"/>
      <c r="Q60" s="23"/>
      <c r="R60" s="23"/>
      <c r="S60" s="23"/>
    </row>
    <row r="61" spans="1:19" ht="18" customHeight="1" x14ac:dyDescent="0.15">
      <c r="A61" s="84"/>
      <c r="B61" s="105"/>
      <c r="C61" s="106"/>
      <c r="D61" s="106"/>
      <c r="E61" s="107"/>
      <c r="F61" s="23"/>
      <c r="G61" s="23"/>
      <c r="H61" s="23"/>
      <c r="I61" s="23"/>
      <c r="J61" s="105"/>
      <c r="K61" s="106"/>
      <c r="L61" s="106"/>
      <c r="M61" s="106"/>
      <c r="N61" s="106"/>
      <c r="O61" s="107"/>
      <c r="P61" s="23"/>
      <c r="Q61" s="23"/>
      <c r="R61" s="23"/>
      <c r="S61" s="23"/>
    </row>
    <row r="62" spans="1:19" ht="18" customHeight="1" x14ac:dyDescent="0.15">
      <c r="A62" s="84"/>
      <c r="B62" s="105"/>
      <c r="C62" s="106"/>
      <c r="D62" s="106"/>
      <c r="E62" s="107"/>
      <c r="F62" s="23"/>
      <c r="G62" s="23"/>
      <c r="H62" s="23"/>
      <c r="I62" s="23"/>
      <c r="J62" s="105"/>
      <c r="K62" s="106"/>
      <c r="L62" s="106"/>
      <c r="M62" s="106"/>
      <c r="N62" s="106"/>
      <c r="O62" s="107"/>
      <c r="P62" s="23"/>
      <c r="Q62" s="23"/>
      <c r="R62" s="23"/>
      <c r="S62" s="23"/>
    </row>
    <row r="63" spans="1:19" ht="18" customHeight="1" x14ac:dyDescent="0.15">
      <c r="A63" s="84"/>
      <c r="B63" s="105"/>
      <c r="C63" s="106"/>
      <c r="D63" s="106"/>
      <c r="E63" s="107"/>
      <c r="F63" s="23"/>
      <c r="G63" s="23"/>
      <c r="H63" s="23"/>
      <c r="I63" s="23"/>
      <c r="J63" s="105"/>
      <c r="K63" s="106"/>
      <c r="L63" s="106"/>
      <c r="M63" s="106"/>
      <c r="N63" s="106"/>
      <c r="O63" s="107"/>
      <c r="P63" s="23"/>
      <c r="Q63" s="23"/>
      <c r="R63" s="23"/>
      <c r="S63" s="23"/>
    </row>
    <row r="64" spans="1:19" ht="18" customHeight="1" x14ac:dyDescent="0.15">
      <c r="A64" s="84"/>
      <c r="B64" s="111"/>
      <c r="C64" s="112"/>
      <c r="D64" s="112"/>
      <c r="E64" s="113"/>
      <c r="F64" s="24"/>
      <c r="G64" s="24"/>
      <c r="H64" s="25"/>
      <c r="I64" s="25"/>
      <c r="J64" s="111"/>
      <c r="K64" s="112"/>
      <c r="L64" s="112"/>
      <c r="M64" s="112"/>
      <c r="N64" s="112"/>
      <c r="O64" s="113"/>
      <c r="P64" s="24"/>
      <c r="Q64" s="24"/>
      <c r="R64" s="25"/>
      <c r="S64" s="25"/>
    </row>
    <row r="65" spans="1:19" ht="7.5" customHeight="1" x14ac:dyDescent="0.15">
      <c r="B65" s="85"/>
      <c r="C65" s="85"/>
      <c r="D65" s="85"/>
      <c r="E65" s="85"/>
      <c r="F65" s="85"/>
      <c r="G65" s="85"/>
      <c r="H65" s="85"/>
      <c r="I65" s="85"/>
      <c r="J65" s="85"/>
      <c r="K65" s="85"/>
      <c r="L65" s="85"/>
      <c r="M65" s="85"/>
      <c r="N65" s="85"/>
      <c r="O65" s="85"/>
      <c r="P65" s="85"/>
      <c r="Q65" s="85"/>
      <c r="R65" s="85"/>
    </row>
    <row r="66" spans="1:19" ht="18" customHeight="1" x14ac:dyDescent="0.15">
      <c r="A66" s="114" t="s">
        <v>117</v>
      </c>
      <c r="B66" s="114"/>
      <c r="C66" s="114"/>
      <c r="D66" s="114"/>
      <c r="E66" s="114"/>
      <c r="F66" s="114"/>
      <c r="G66" s="114"/>
      <c r="H66" s="114"/>
      <c r="I66" s="114"/>
      <c r="J66" s="114"/>
      <c r="K66" s="114"/>
      <c r="L66" s="114"/>
      <c r="M66" s="114"/>
      <c r="N66" s="114"/>
      <c r="O66" s="114"/>
      <c r="P66" s="114"/>
      <c r="Q66" s="114"/>
      <c r="R66" s="114"/>
      <c r="S66" s="114"/>
    </row>
    <row r="67" spans="1:19" ht="18" customHeight="1" x14ac:dyDescent="0.15">
      <c r="A67" s="114"/>
      <c r="B67" s="114"/>
      <c r="C67" s="114"/>
      <c r="D67" s="114"/>
      <c r="E67" s="114"/>
      <c r="F67" s="114"/>
      <c r="G67" s="114"/>
      <c r="H67" s="114"/>
      <c r="I67" s="114"/>
      <c r="J67" s="114"/>
      <c r="K67" s="114"/>
      <c r="L67" s="114"/>
      <c r="M67" s="114"/>
      <c r="N67" s="114"/>
      <c r="O67" s="114"/>
      <c r="P67" s="114"/>
      <c r="Q67" s="114"/>
      <c r="R67" s="114"/>
      <c r="S67" s="114"/>
    </row>
    <row r="68" spans="1:19" ht="18" customHeight="1" x14ac:dyDescent="0.15">
      <c r="B68" s="108" t="s">
        <v>53</v>
      </c>
      <c r="C68" s="109"/>
      <c r="D68" s="109"/>
      <c r="E68" s="59" t="s">
        <v>80</v>
      </c>
      <c r="F68" s="58" t="s">
        <v>84</v>
      </c>
      <c r="G68" s="21" t="s">
        <v>101</v>
      </c>
      <c r="H68" s="21" t="s">
        <v>75</v>
      </c>
      <c r="I68" s="21" t="s">
        <v>76</v>
      </c>
      <c r="J68" s="108" t="s">
        <v>53</v>
      </c>
      <c r="K68" s="109"/>
      <c r="L68" s="109"/>
      <c r="M68" s="109"/>
      <c r="N68" s="110"/>
      <c r="O68" s="59" t="s">
        <v>80</v>
      </c>
      <c r="P68" s="58" t="s">
        <v>84</v>
      </c>
      <c r="Q68" s="21" t="s">
        <v>101</v>
      </c>
      <c r="R68" s="21" t="s">
        <v>75</v>
      </c>
      <c r="S68" s="21" t="s">
        <v>76</v>
      </c>
    </row>
    <row r="69" spans="1:19" ht="18" customHeight="1" x14ac:dyDescent="0.15">
      <c r="A69" s="84"/>
      <c r="B69" s="102" t="s">
        <v>170</v>
      </c>
      <c r="C69" s="103"/>
      <c r="D69" s="103"/>
      <c r="E69" s="22">
        <v>2</v>
      </c>
      <c r="F69" s="22" t="s">
        <v>132</v>
      </c>
      <c r="G69" s="22" t="s">
        <v>132</v>
      </c>
      <c r="H69" s="22" t="s">
        <v>132</v>
      </c>
      <c r="I69" s="22" t="s">
        <v>132</v>
      </c>
      <c r="J69" s="102"/>
      <c r="K69" s="103"/>
      <c r="L69" s="103"/>
      <c r="M69" s="103"/>
      <c r="N69" s="104"/>
      <c r="O69" s="22"/>
      <c r="P69" s="22"/>
      <c r="Q69" s="22"/>
      <c r="R69" s="22"/>
      <c r="S69" s="22"/>
    </row>
    <row r="70" spans="1:19" ht="18" customHeight="1" x14ac:dyDescent="0.15">
      <c r="A70" s="84"/>
      <c r="B70" s="105" t="s">
        <v>171</v>
      </c>
      <c r="C70" s="106"/>
      <c r="D70" s="106"/>
      <c r="E70" s="23">
        <v>2</v>
      </c>
      <c r="F70" s="23" t="s">
        <v>132</v>
      </c>
      <c r="G70" s="23" t="s">
        <v>132</v>
      </c>
      <c r="H70" s="23"/>
      <c r="I70" s="23" t="s">
        <v>132</v>
      </c>
      <c r="J70" s="105"/>
      <c r="K70" s="106"/>
      <c r="L70" s="106"/>
      <c r="M70" s="106"/>
      <c r="N70" s="107"/>
      <c r="O70" s="23"/>
      <c r="P70" s="23"/>
      <c r="Q70" s="23"/>
      <c r="R70" s="23"/>
      <c r="S70" s="23"/>
    </row>
    <row r="71" spans="1:19" ht="18" customHeight="1" x14ac:dyDescent="0.15">
      <c r="A71" s="84"/>
      <c r="B71" s="105" t="s">
        <v>172</v>
      </c>
      <c r="C71" s="106"/>
      <c r="D71" s="106"/>
      <c r="E71" s="23">
        <v>1</v>
      </c>
      <c r="F71" s="23" t="s">
        <v>132</v>
      </c>
      <c r="G71" s="23"/>
      <c r="H71" s="23" t="s">
        <v>132</v>
      </c>
      <c r="I71" s="23" t="s">
        <v>132</v>
      </c>
      <c r="J71" s="105"/>
      <c r="K71" s="106"/>
      <c r="L71" s="106"/>
      <c r="M71" s="106"/>
      <c r="N71" s="107"/>
      <c r="O71" s="23"/>
      <c r="P71" s="23"/>
      <c r="Q71" s="23"/>
      <c r="R71" s="23"/>
      <c r="S71" s="23"/>
    </row>
    <row r="72" spans="1:19" ht="18" customHeight="1" x14ac:dyDescent="0.15">
      <c r="A72" s="84"/>
      <c r="B72" s="105" t="s">
        <v>157</v>
      </c>
      <c r="C72" s="106"/>
      <c r="D72" s="106"/>
      <c r="E72" s="23">
        <v>1</v>
      </c>
      <c r="F72" s="23" t="s">
        <v>132</v>
      </c>
      <c r="G72" s="23"/>
      <c r="H72" s="23" t="s">
        <v>132</v>
      </c>
      <c r="I72" s="23" t="s">
        <v>132</v>
      </c>
      <c r="J72" s="105"/>
      <c r="K72" s="106"/>
      <c r="L72" s="106"/>
      <c r="M72" s="106"/>
      <c r="N72" s="107"/>
      <c r="O72" s="23"/>
      <c r="P72" s="23"/>
      <c r="Q72" s="23"/>
      <c r="R72" s="23"/>
      <c r="S72" s="23"/>
    </row>
    <row r="73" spans="1:19" ht="18" customHeight="1" x14ac:dyDescent="0.15">
      <c r="A73" s="84"/>
      <c r="B73" s="105"/>
      <c r="C73" s="106"/>
      <c r="D73" s="106"/>
      <c r="E73" s="23"/>
      <c r="F73" s="23"/>
      <c r="G73" s="23"/>
      <c r="H73" s="23"/>
      <c r="I73" s="23"/>
      <c r="J73" s="105"/>
      <c r="K73" s="106"/>
      <c r="L73" s="106"/>
      <c r="M73" s="106"/>
      <c r="N73" s="107"/>
      <c r="O73" s="23"/>
      <c r="P73" s="23"/>
      <c r="Q73" s="23"/>
      <c r="R73" s="23"/>
      <c r="S73" s="23"/>
    </row>
    <row r="74" spans="1:19" ht="18" customHeight="1" x14ac:dyDescent="0.15">
      <c r="A74" s="84"/>
      <c r="B74" s="105"/>
      <c r="C74" s="106"/>
      <c r="D74" s="106"/>
      <c r="E74" s="23"/>
      <c r="F74" s="23"/>
      <c r="G74" s="23"/>
      <c r="H74" s="23"/>
      <c r="I74" s="23"/>
      <c r="J74" s="105"/>
      <c r="K74" s="106"/>
      <c r="L74" s="106"/>
      <c r="M74" s="106"/>
      <c r="N74" s="107"/>
      <c r="O74" s="23"/>
      <c r="P74" s="23"/>
      <c r="Q74" s="23"/>
      <c r="R74" s="23"/>
      <c r="S74" s="23"/>
    </row>
    <row r="75" spans="1:19" ht="18" customHeight="1" x14ac:dyDescent="0.15">
      <c r="A75" s="84"/>
      <c r="B75" s="111"/>
      <c r="C75" s="112"/>
      <c r="D75" s="112"/>
      <c r="E75" s="24"/>
      <c r="F75" s="24"/>
      <c r="G75" s="25"/>
      <c r="H75" s="25"/>
      <c r="I75" s="25"/>
      <c r="J75" s="111"/>
      <c r="K75" s="112"/>
      <c r="L75" s="112"/>
      <c r="M75" s="112"/>
      <c r="N75" s="113"/>
      <c r="O75" s="24"/>
      <c r="P75" s="24"/>
      <c r="Q75" s="25"/>
      <c r="R75" s="25"/>
      <c r="S75" s="25"/>
    </row>
    <row r="76" spans="1:19" ht="7.5" customHeight="1" x14ac:dyDescent="0.15">
      <c r="B76" s="85"/>
      <c r="C76" s="85"/>
      <c r="D76" s="85"/>
      <c r="E76" s="85"/>
      <c r="F76" s="85"/>
      <c r="G76" s="85"/>
      <c r="H76" s="85"/>
      <c r="I76" s="85"/>
      <c r="J76" s="85"/>
      <c r="K76" s="85"/>
      <c r="L76" s="85"/>
      <c r="M76" s="85"/>
      <c r="N76" s="85"/>
      <c r="O76" s="85"/>
      <c r="P76" s="85"/>
      <c r="Q76" s="85"/>
      <c r="R76" s="85"/>
    </row>
    <row r="77" spans="1:19" ht="18" customHeight="1" x14ac:dyDescent="0.15">
      <c r="A77" s="83" t="s">
        <v>118</v>
      </c>
      <c r="H77" s="84"/>
      <c r="I77" s="84"/>
      <c r="J77" s="84"/>
      <c r="K77" s="84"/>
      <c r="L77" s="84"/>
      <c r="M77" s="84"/>
      <c r="N77" s="84"/>
      <c r="O77" s="84"/>
      <c r="P77" s="84"/>
      <c r="Q77" s="84"/>
      <c r="R77" s="84"/>
      <c r="S77" s="84"/>
    </row>
    <row r="78" spans="1:19" ht="18" customHeight="1" x14ac:dyDescent="0.15">
      <c r="B78" s="108" t="s">
        <v>53</v>
      </c>
      <c r="C78" s="109"/>
      <c r="D78" s="109"/>
      <c r="E78" s="110"/>
      <c r="F78" s="108" t="s">
        <v>82</v>
      </c>
      <c r="G78" s="109"/>
      <c r="H78" s="109"/>
      <c r="I78" s="110"/>
      <c r="J78" s="135" t="s">
        <v>53</v>
      </c>
      <c r="K78" s="136"/>
      <c r="L78" s="136"/>
      <c r="M78" s="136"/>
      <c r="N78" s="136"/>
      <c r="O78" s="137"/>
      <c r="P78" s="108" t="s">
        <v>82</v>
      </c>
      <c r="Q78" s="109"/>
      <c r="R78" s="109"/>
      <c r="S78" s="110"/>
    </row>
    <row r="79" spans="1:19" ht="18" customHeight="1" x14ac:dyDescent="0.15">
      <c r="A79" s="84"/>
      <c r="B79" s="102"/>
      <c r="C79" s="103"/>
      <c r="D79" s="103"/>
      <c r="E79" s="104"/>
      <c r="F79" s="129"/>
      <c r="G79" s="130"/>
      <c r="H79" s="130"/>
      <c r="I79" s="131"/>
      <c r="J79" s="102"/>
      <c r="K79" s="103"/>
      <c r="L79" s="103"/>
      <c r="M79" s="103"/>
      <c r="N79" s="103"/>
      <c r="O79" s="104"/>
      <c r="P79" s="129"/>
      <c r="Q79" s="130"/>
      <c r="R79" s="130"/>
      <c r="S79" s="131"/>
    </row>
    <row r="80" spans="1:19" ht="18" customHeight="1" x14ac:dyDescent="0.15">
      <c r="A80" s="84"/>
      <c r="B80" s="105"/>
      <c r="C80" s="106"/>
      <c r="D80" s="106"/>
      <c r="E80" s="107"/>
      <c r="F80" s="132"/>
      <c r="G80" s="133"/>
      <c r="H80" s="133"/>
      <c r="I80" s="134"/>
      <c r="J80" s="105"/>
      <c r="K80" s="106"/>
      <c r="L80" s="106"/>
      <c r="M80" s="106"/>
      <c r="N80" s="106"/>
      <c r="O80" s="107"/>
      <c r="P80" s="132"/>
      <c r="Q80" s="133"/>
      <c r="R80" s="133"/>
      <c r="S80" s="134"/>
    </row>
    <row r="81" spans="1:19" ht="18" customHeight="1" x14ac:dyDescent="0.15">
      <c r="A81" s="84"/>
      <c r="B81" s="105"/>
      <c r="C81" s="106"/>
      <c r="D81" s="106"/>
      <c r="E81" s="107"/>
      <c r="F81" s="132"/>
      <c r="G81" s="133"/>
      <c r="H81" s="133"/>
      <c r="I81" s="134"/>
      <c r="J81" s="105"/>
      <c r="K81" s="106"/>
      <c r="L81" s="106"/>
      <c r="M81" s="106"/>
      <c r="N81" s="106"/>
      <c r="O81" s="107"/>
      <c r="P81" s="132"/>
      <c r="Q81" s="133"/>
      <c r="R81" s="133"/>
      <c r="S81" s="134"/>
    </row>
    <row r="82" spans="1:19" ht="18" customHeight="1" x14ac:dyDescent="0.15">
      <c r="A82" s="84"/>
      <c r="B82" s="105"/>
      <c r="C82" s="106"/>
      <c r="D82" s="106"/>
      <c r="E82" s="107"/>
      <c r="F82" s="132"/>
      <c r="G82" s="133"/>
      <c r="H82" s="133"/>
      <c r="I82" s="134"/>
      <c r="J82" s="105"/>
      <c r="K82" s="106"/>
      <c r="L82" s="106"/>
      <c r="M82" s="106"/>
      <c r="N82" s="106"/>
      <c r="O82" s="107"/>
      <c r="P82" s="132"/>
      <c r="Q82" s="133"/>
      <c r="R82" s="133"/>
      <c r="S82" s="134"/>
    </row>
    <row r="83" spans="1:19" ht="18" customHeight="1" x14ac:dyDescent="0.15">
      <c r="A83" s="84"/>
      <c r="B83" s="105"/>
      <c r="C83" s="106"/>
      <c r="D83" s="106"/>
      <c r="E83" s="107"/>
      <c r="F83" s="132"/>
      <c r="G83" s="133"/>
      <c r="H83" s="133"/>
      <c r="I83" s="134"/>
      <c r="J83" s="105"/>
      <c r="K83" s="106"/>
      <c r="L83" s="106"/>
      <c r="M83" s="106"/>
      <c r="N83" s="106"/>
      <c r="O83" s="107"/>
      <c r="P83" s="132"/>
      <c r="Q83" s="133"/>
      <c r="R83" s="133"/>
      <c r="S83" s="134"/>
    </row>
    <row r="84" spans="1:19" ht="18" customHeight="1" x14ac:dyDescent="0.15">
      <c r="A84" s="84"/>
      <c r="B84" s="105"/>
      <c r="C84" s="106"/>
      <c r="D84" s="106"/>
      <c r="E84" s="107"/>
      <c r="F84" s="132"/>
      <c r="G84" s="133"/>
      <c r="H84" s="133"/>
      <c r="I84" s="134"/>
      <c r="J84" s="105"/>
      <c r="K84" s="106"/>
      <c r="L84" s="106"/>
      <c r="M84" s="106"/>
      <c r="N84" s="106"/>
      <c r="O84" s="107"/>
      <c r="P84" s="132"/>
      <c r="Q84" s="133"/>
      <c r="R84" s="133"/>
      <c r="S84" s="134"/>
    </row>
    <row r="85" spans="1:19" ht="18" customHeight="1" x14ac:dyDescent="0.15">
      <c r="A85" s="84"/>
      <c r="B85" s="111"/>
      <c r="C85" s="112"/>
      <c r="D85" s="112"/>
      <c r="E85" s="113"/>
      <c r="F85" s="141"/>
      <c r="G85" s="142"/>
      <c r="H85" s="142"/>
      <c r="I85" s="143"/>
      <c r="J85" s="111"/>
      <c r="K85" s="112"/>
      <c r="L85" s="112"/>
      <c r="M85" s="112"/>
      <c r="N85" s="112"/>
      <c r="O85" s="113"/>
      <c r="P85" s="141"/>
      <c r="Q85" s="142"/>
      <c r="R85" s="142"/>
      <c r="S85" s="143"/>
    </row>
    <row r="86" spans="1:19" ht="18" customHeight="1" x14ac:dyDescent="0.15">
      <c r="A86" s="84"/>
      <c r="B86" s="6"/>
      <c r="C86" s="6"/>
      <c r="D86" s="6"/>
      <c r="E86" s="6"/>
      <c r="F86" s="26"/>
      <c r="G86" s="26"/>
      <c r="H86" s="26"/>
      <c r="I86" s="26"/>
      <c r="J86" s="6"/>
      <c r="K86" s="6"/>
      <c r="L86" s="6"/>
      <c r="M86" s="6"/>
      <c r="N86" s="6"/>
      <c r="O86" s="6"/>
      <c r="P86" s="26"/>
      <c r="Q86" s="26"/>
      <c r="R86" s="26"/>
      <c r="S86" s="26"/>
    </row>
    <row r="87" spans="1:19" ht="18.75" customHeight="1" x14ac:dyDescent="0.15">
      <c r="A87" s="83" t="s">
        <v>119</v>
      </c>
    </row>
    <row r="88" spans="1:19" ht="18.75" customHeight="1" x14ac:dyDescent="0.15">
      <c r="B88" s="126" t="s">
        <v>54</v>
      </c>
      <c r="C88" s="127"/>
      <c r="D88" s="109" t="s">
        <v>55</v>
      </c>
      <c r="E88" s="109"/>
      <c r="F88" s="109"/>
      <c r="G88" s="109"/>
      <c r="H88" s="109"/>
      <c r="I88" s="109"/>
      <c r="J88" s="109"/>
      <c r="K88" s="109"/>
      <c r="L88" s="109"/>
      <c r="M88" s="109"/>
      <c r="N88" s="109"/>
      <c r="O88" s="109"/>
      <c r="P88" s="109"/>
      <c r="Q88" s="109"/>
      <c r="R88" s="109"/>
      <c r="S88" s="110"/>
    </row>
    <row r="89" spans="1:19" ht="97.5" customHeight="1" x14ac:dyDescent="0.15">
      <c r="B89" s="115" t="s">
        <v>61</v>
      </c>
      <c r="C89" s="27" t="s">
        <v>56</v>
      </c>
      <c r="D89" s="128" t="s">
        <v>215</v>
      </c>
      <c r="E89" s="128"/>
      <c r="F89" s="128"/>
      <c r="G89" s="128"/>
      <c r="H89" s="128"/>
      <c r="I89" s="128"/>
      <c r="J89" s="128"/>
      <c r="K89" s="128"/>
      <c r="L89" s="128"/>
      <c r="M89" s="128"/>
      <c r="N89" s="128"/>
      <c r="O89" s="128"/>
      <c r="P89" s="128"/>
      <c r="Q89" s="128"/>
      <c r="R89" s="128"/>
      <c r="S89" s="195"/>
    </row>
    <row r="90" spans="1:19" ht="97.5" customHeight="1" x14ac:dyDescent="0.15">
      <c r="B90" s="116"/>
      <c r="C90" s="28" t="s">
        <v>77</v>
      </c>
      <c r="D90" s="204" t="s">
        <v>240</v>
      </c>
      <c r="E90" s="204"/>
      <c r="F90" s="204"/>
      <c r="G90" s="204"/>
      <c r="H90" s="204"/>
      <c r="I90" s="204"/>
      <c r="J90" s="204"/>
      <c r="K90" s="204"/>
      <c r="L90" s="204"/>
      <c r="M90" s="204"/>
      <c r="N90" s="204"/>
      <c r="O90" s="204"/>
      <c r="P90" s="204"/>
      <c r="Q90" s="204"/>
      <c r="R90" s="204"/>
      <c r="S90" s="205"/>
    </row>
    <row r="91" spans="1:19" ht="97.5" customHeight="1" x14ac:dyDescent="0.15">
      <c r="B91" s="115" t="s">
        <v>62</v>
      </c>
      <c r="C91" s="29" t="s">
        <v>71</v>
      </c>
      <c r="D91" s="147" t="s">
        <v>216</v>
      </c>
      <c r="E91" s="147"/>
      <c r="F91" s="147"/>
      <c r="G91" s="147"/>
      <c r="H91" s="147"/>
      <c r="I91" s="147"/>
      <c r="J91" s="147"/>
      <c r="K91" s="147"/>
      <c r="L91" s="147"/>
      <c r="M91" s="147"/>
      <c r="N91" s="147"/>
      <c r="O91" s="147"/>
      <c r="P91" s="147"/>
      <c r="Q91" s="147"/>
      <c r="R91" s="147"/>
      <c r="S91" s="193"/>
    </row>
    <row r="92" spans="1:19" ht="97.5" customHeight="1" x14ac:dyDescent="0.15">
      <c r="B92" s="117"/>
      <c r="C92" s="30" t="s">
        <v>72</v>
      </c>
      <c r="D92" s="202" t="s">
        <v>241</v>
      </c>
      <c r="E92" s="202"/>
      <c r="F92" s="202"/>
      <c r="G92" s="202"/>
      <c r="H92" s="202"/>
      <c r="I92" s="202"/>
      <c r="J92" s="202"/>
      <c r="K92" s="202"/>
      <c r="L92" s="202"/>
      <c r="M92" s="202"/>
      <c r="N92" s="202"/>
      <c r="O92" s="202"/>
      <c r="P92" s="202"/>
      <c r="Q92" s="202"/>
      <c r="R92" s="202"/>
      <c r="S92" s="203"/>
    </row>
    <row r="93" spans="1:19" ht="97.5" customHeight="1" x14ac:dyDescent="0.15">
      <c r="B93" s="115" t="s">
        <v>63</v>
      </c>
      <c r="C93" s="29" t="s">
        <v>73</v>
      </c>
      <c r="D93" s="147" t="s">
        <v>217</v>
      </c>
      <c r="E93" s="147"/>
      <c r="F93" s="147"/>
      <c r="G93" s="147"/>
      <c r="H93" s="147"/>
      <c r="I93" s="147"/>
      <c r="J93" s="147"/>
      <c r="K93" s="147"/>
      <c r="L93" s="147"/>
      <c r="M93" s="147"/>
      <c r="N93" s="147"/>
      <c r="O93" s="147"/>
      <c r="P93" s="147"/>
      <c r="Q93" s="147"/>
      <c r="R93" s="147"/>
      <c r="S93" s="193"/>
    </row>
    <row r="94" spans="1:19" ht="97.5" customHeight="1" x14ac:dyDescent="0.15">
      <c r="B94" s="117"/>
      <c r="C94" s="31" t="s">
        <v>74</v>
      </c>
      <c r="D94" s="150" t="s">
        <v>218</v>
      </c>
      <c r="E94" s="150"/>
      <c r="F94" s="150"/>
      <c r="G94" s="150"/>
      <c r="H94" s="150"/>
      <c r="I94" s="150"/>
      <c r="J94" s="150"/>
      <c r="K94" s="150"/>
      <c r="L94" s="150"/>
      <c r="M94" s="150"/>
      <c r="N94" s="150"/>
      <c r="O94" s="150"/>
      <c r="P94" s="150"/>
      <c r="Q94" s="150"/>
      <c r="R94" s="150"/>
      <c r="S94" s="194"/>
    </row>
    <row r="95" spans="1:19" ht="97.5" customHeight="1" x14ac:dyDescent="0.15">
      <c r="B95" s="115" t="s">
        <v>78</v>
      </c>
      <c r="C95" s="27" t="s">
        <v>58</v>
      </c>
      <c r="D95" s="197" t="s">
        <v>242</v>
      </c>
      <c r="E95" s="197"/>
      <c r="F95" s="197"/>
      <c r="G95" s="197"/>
      <c r="H95" s="197"/>
      <c r="I95" s="197"/>
      <c r="J95" s="197"/>
      <c r="K95" s="197"/>
      <c r="L95" s="197"/>
      <c r="M95" s="197"/>
      <c r="N95" s="197"/>
      <c r="O95" s="197"/>
      <c r="P95" s="197"/>
      <c r="Q95" s="197"/>
      <c r="R95" s="197"/>
      <c r="S95" s="198"/>
    </row>
    <row r="96" spans="1:19" ht="97.5" customHeight="1" x14ac:dyDescent="0.15">
      <c r="B96" s="117"/>
      <c r="C96" s="30" t="s">
        <v>60</v>
      </c>
      <c r="D96" s="202" t="s">
        <v>219</v>
      </c>
      <c r="E96" s="202"/>
      <c r="F96" s="202"/>
      <c r="G96" s="202"/>
      <c r="H96" s="202"/>
      <c r="I96" s="202"/>
      <c r="J96" s="202"/>
      <c r="K96" s="202"/>
      <c r="L96" s="202"/>
      <c r="M96" s="202"/>
      <c r="N96" s="202"/>
      <c r="O96" s="202"/>
      <c r="P96" s="202"/>
      <c r="Q96" s="202"/>
      <c r="R96" s="202"/>
      <c r="S96" s="203"/>
    </row>
    <row r="97" spans="1:19" ht="115.5" customHeight="1" x14ac:dyDescent="0.15">
      <c r="B97" s="115" t="s">
        <v>79</v>
      </c>
      <c r="C97" s="29" t="s">
        <v>57</v>
      </c>
      <c r="D97" s="118" t="s">
        <v>243</v>
      </c>
      <c r="E97" s="118"/>
      <c r="F97" s="118"/>
      <c r="G97" s="118"/>
      <c r="H97" s="118"/>
      <c r="I97" s="118"/>
      <c r="J97" s="118"/>
      <c r="K97" s="118"/>
      <c r="L97" s="118"/>
      <c r="M97" s="118"/>
      <c r="N97" s="118"/>
      <c r="O97" s="118"/>
      <c r="P97" s="118"/>
      <c r="Q97" s="118"/>
      <c r="R97" s="118"/>
      <c r="S97" s="200"/>
    </row>
    <row r="98" spans="1:19" ht="97.5" customHeight="1" x14ac:dyDescent="0.15">
      <c r="B98" s="116"/>
      <c r="C98" s="32" t="s">
        <v>75</v>
      </c>
      <c r="D98" s="161" t="s">
        <v>244</v>
      </c>
      <c r="E98" s="189"/>
      <c r="F98" s="189"/>
      <c r="G98" s="189"/>
      <c r="H98" s="189"/>
      <c r="I98" s="189"/>
      <c r="J98" s="189"/>
      <c r="K98" s="189"/>
      <c r="L98" s="189"/>
      <c r="M98" s="189"/>
      <c r="N98" s="189"/>
      <c r="O98" s="189"/>
      <c r="P98" s="189"/>
      <c r="Q98" s="189"/>
      <c r="R98" s="189"/>
      <c r="S98" s="190"/>
    </row>
    <row r="99" spans="1:19" ht="97.5" customHeight="1" x14ac:dyDescent="0.15">
      <c r="B99" s="117"/>
      <c r="C99" s="31" t="s">
        <v>76</v>
      </c>
      <c r="D99" s="121" t="s">
        <v>245</v>
      </c>
      <c r="E99" s="121"/>
      <c r="F99" s="121"/>
      <c r="G99" s="121"/>
      <c r="H99" s="121"/>
      <c r="I99" s="121"/>
      <c r="J99" s="121"/>
      <c r="K99" s="121"/>
      <c r="L99" s="121"/>
      <c r="M99" s="121"/>
      <c r="N99" s="121"/>
      <c r="O99" s="121"/>
      <c r="P99" s="121"/>
      <c r="Q99" s="121"/>
      <c r="R99" s="121"/>
      <c r="S99" s="201"/>
    </row>
    <row r="100" spans="1:19" ht="6" customHeight="1" x14ac:dyDescent="0.15"/>
    <row r="101" spans="1:19" ht="18.75" customHeight="1" x14ac:dyDescent="0.15">
      <c r="A101" s="83" t="s">
        <v>120</v>
      </c>
    </row>
    <row r="102" spans="1:19" ht="81.75" customHeight="1" x14ac:dyDescent="0.15">
      <c r="B102" s="138" t="s">
        <v>146</v>
      </c>
      <c r="C102" s="139"/>
      <c r="D102" s="139"/>
      <c r="E102" s="139"/>
      <c r="F102" s="139"/>
      <c r="G102" s="139"/>
      <c r="H102" s="139"/>
      <c r="I102" s="139"/>
      <c r="J102" s="139"/>
      <c r="K102" s="139"/>
      <c r="L102" s="139"/>
      <c r="M102" s="139"/>
      <c r="N102" s="139"/>
      <c r="O102" s="139"/>
      <c r="P102" s="139"/>
      <c r="Q102" s="139"/>
      <c r="R102" s="139"/>
      <c r="S102" s="140"/>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4" priority="1">
      <formula>$K$7="学部・学科によって、修了要件は相違しない"</formula>
    </cfRule>
  </conditionalFormatting>
  <dataValidations count="5">
    <dataValidation type="list" allowBlank="1" showInputMessage="1" showErrorMessage="1" sqref="K20:S20" xr:uid="{DFEC5E64-4E11-4427-AE2F-EE9243F11D26}">
      <formula1>$V$14:$V$16</formula1>
    </dataValidation>
    <dataValidation type="list" allowBlank="1" showInputMessage="1" showErrorMessage="1" sqref="F79:F86 P79:P86 G79:I80 G83:I86 Q83:S86 Q79:S80" xr:uid="{2361DC94-8A01-4FF0-9BB9-153D01A897FF}">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3C37135D-FE25-4124-881E-060B4097C265}">
      <formula1>"学部・学科によって、修了要件は相違する,学部・学科によって、修了要件は相違しない"</formula1>
    </dataValidation>
    <dataValidation type="list" allowBlank="1" showInputMessage="1" showErrorMessage="1" sqref="S32 S43 D32:G32 D43:G43" xr:uid="{629484AF-AD12-4546-B572-2663D425F234}">
      <formula1>"全学開講,一部開講"</formula1>
    </dataValidation>
    <dataValidation type="list" allowBlank="1" showInputMessage="1" showErrorMessage="1" sqref="G25:I31 Q25:S31 G36:I42 Q36:S42 P69:S75 Q47:S53 G47:I53 Q58:S64 F69:I75 G58:I64" xr:uid="{2566A026-3C8B-40A4-8C72-AABD767DDD31}">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429D4-9C25-4280-B1B2-522F2D9531FF}">
  <sheetPr>
    <pageSetUpPr fitToPage="1"/>
  </sheetPr>
  <dimension ref="A1:V110"/>
  <sheetViews>
    <sheetView showZeros="0" view="pageBreakPreview" zoomScale="90" zoomScaleNormal="100" zoomScaleSheetLayoutView="90" workbookViewId="0">
      <selection activeCell="D89" sqref="D89:S89"/>
    </sheetView>
  </sheetViews>
  <sheetFormatPr defaultColWidth="9" defaultRowHeight="18.75" customHeight="1" x14ac:dyDescent="0.15"/>
  <cols>
    <col min="1" max="1" width="2.5" style="83" customWidth="1"/>
    <col min="2" max="2" width="16.5" style="83" customWidth="1"/>
    <col min="3" max="19" width="5.625" style="83" customWidth="1"/>
    <col min="20" max="20" width="9" style="83"/>
    <col min="21" max="21" width="3.625" style="83" customWidth="1"/>
    <col min="22" max="22" width="48.625" style="83" hidden="1" customWidth="1"/>
    <col min="23" max="16384" width="9" style="83"/>
  </cols>
  <sheetData>
    <row r="1" spans="1:22" ht="18.600000000000001" customHeight="1" x14ac:dyDescent="0.15">
      <c r="R1" s="164" t="s">
        <v>154</v>
      </c>
      <c r="S1" s="164"/>
      <c r="T1" s="2" t="s">
        <v>109</v>
      </c>
    </row>
    <row r="2" spans="1:22" ht="18.75" customHeight="1" x14ac:dyDescent="0.15">
      <c r="B2" s="82" t="s">
        <v>108</v>
      </c>
      <c r="C2" s="168" t="s">
        <v>127</v>
      </c>
      <c r="D2" s="109"/>
      <c r="E2" s="109"/>
      <c r="F2" s="109"/>
      <c r="G2" s="109"/>
      <c r="H2" s="109"/>
      <c r="I2" s="110"/>
      <c r="J2" s="81"/>
      <c r="K2" s="6"/>
      <c r="L2" s="6"/>
      <c r="M2" s="6"/>
      <c r="N2" s="6"/>
      <c r="O2" s="6"/>
      <c r="P2" s="6"/>
      <c r="Q2" s="6"/>
      <c r="R2" s="6"/>
      <c r="S2" s="6"/>
    </row>
    <row r="3" spans="1:22" ht="18.75" customHeight="1" x14ac:dyDescent="0.15">
      <c r="B3" s="82" t="s">
        <v>102</v>
      </c>
      <c r="C3" s="168" t="s">
        <v>126</v>
      </c>
      <c r="D3" s="169"/>
      <c r="E3" s="169"/>
      <c r="F3" s="169"/>
      <c r="G3" s="169"/>
      <c r="H3" s="169"/>
      <c r="I3" s="170"/>
      <c r="J3" s="81"/>
      <c r="K3" s="6"/>
      <c r="L3" s="6"/>
      <c r="M3" s="6"/>
      <c r="N3" s="6"/>
      <c r="O3" s="6"/>
      <c r="P3" s="6"/>
      <c r="Q3" s="6"/>
      <c r="R3" s="6"/>
      <c r="S3" s="6"/>
    </row>
    <row r="4" spans="1:22" ht="15" customHeight="1" x14ac:dyDescent="0.15">
      <c r="K4" s="81"/>
      <c r="L4" s="36"/>
      <c r="M4" s="36"/>
      <c r="N4" s="36"/>
      <c r="O4" s="36"/>
      <c r="P4" s="36"/>
      <c r="Q4" s="36"/>
      <c r="R4" s="36"/>
      <c r="S4" s="36"/>
    </row>
    <row r="5" spans="1:22" ht="18" customHeight="1" x14ac:dyDescent="0.15">
      <c r="A5" s="171" t="s">
        <v>38</v>
      </c>
      <c r="B5" s="171"/>
      <c r="C5" s="171"/>
      <c r="D5" s="171"/>
      <c r="E5" s="171"/>
      <c r="F5" s="171"/>
      <c r="G5" s="171"/>
      <c r="H5" s="171"/>
      <c r="I5" s="171"/>
      <c r="J5" s="171"/>
      <c r="K5" s="171"/>
      <c r="L5" s="171"/>
      <c r="M5" s="171"/>
      <c r="N5" s="171"/>
      <c r="O5" s="171"/>
      <c r="P5" s="171"/>
      <c r="Q5" s="171"/>
      <c r="R5" s="171"/>
      <c r="S5" s="171"/>
    </row>
    <row r="6" spans="1:22" ht="15" customHeight="1" x14ac:dyDescent="0.15">
      <c r="B6" s="84"/>
      <c r="C6" s="84"/>
      <c r="D6" s="84"/>
      <c r="E6" s="84"/>
      <c r="F6" s="84"/>
      <c r="G6" s="84"/>
      <c r="H6" s="84"/>
      <c r="I6" s="84"/>
      <c r="J6" s="84"/>
      <c r="K6" s="84"/>
      <c r="L6" s="84"/>
      <c r="M6" s="84"/>
      <c r="N6" s="84"/>
      <c r="O6" s="84"/>
      <c r="P6" s="84"/>
      <c r="Q6" s="84"/>
      <c r="R6" s="84"/>
      <c r="S6" s="84"/>
    </row>
    <row r="7" spans="1:22" ht="18" customHeight="1" x14ac:dyDescent="0.15">
      <c r="A7" s="83" t="s">
        <v>124</v>
      </c>
      <c r="C7" s="84"/>
      <c r="J7" s="37" t="s">
        <v>107</v>
      </c>
      <c r="K7" s="168" t="s">
        <v>128</v>
      </c>
      <c r="L7" s="169"/>
      <c r="M7" s="169"/>
      <c r="N7" s="169"/>
      <c r="O7" s="169"/>
      <c r="P7" s="169"/>
      <c r="Q7" s="169"/>
      <c r="R7" s="169"/>
      <c r="S7" s="170"/>
    </row>
    <row r="8" spans="1:22" ht="6" customHeight="1" x14ac:dyDescent="0.15">
      <c r="B8" s="84"/>
      <c r="C8" s="84"/>
      <c r="D8" s="84"/>
      <c r="E8" s="84"/>
      <c r="F8" s="84"/>
      <c r="G8" s="84"/>
      <c r="H8" s="84"/>
      <c r="I8" s="84"/>
      <c r="J8" s="84"/>
      <c r="K8" s="10"/>
      <c r="L8" s="84"/>
      <c r="M8" s="84"/>
      <c r="N8" s="84"/>
      <c r="O8" s="84"/>
      <c r="P8" s="84"/>
      <c r="Q8" s="84"/>
      <c r="R8" s="84"/>
      <c r="S8" s="84"/>
    </row>
    <row r="9" spans="1:22" ht="18" customHeight="1" x14ac:dyDescent="0.15">
      <c r="B9" s="181" t="s">
        <v>160</v>
      </c>
      <c r="C9" s="182"/>
      <c r="D9" s="182"/>
      <c r="E9" s="182"/>
      <c r="F9" s="182"/>
      <c r="G9" s="182"/>
      <c r="H9" s="182"/>
      <c r="I9" s="182"/>
      <c r="J9" s="182"/>
      <c r="K9" s="182"/>
      <c r="L9" s="182"/>
      <c r="M9" s="182"/>
      <c r="N9" s="182"/>
      <c r="O9" s="182"/>
      <c r="P9" s="182"/>
      <c r="Q9" s="182"/>
      <c r="R9" s="182"/>
      <c r="S9" s="183"/>
    </row>
    <row r="10" spans="1:22" ht="18" customHeight="1" x14ac:dyDescent="0.15">
      <c r="B10" s="184"/>
      <c r="C10" s="185"/>
      <c r="D10" s="185"/>
      <c r="E10" s="185"/>
      <c r="F10" s="185"/>
      <c r="G10" s="185"/>
      <c r="H10" s="185"/>
      <c r="I10" s="185"/>
      <c r="J10" s="185"/>
      <c r="K10" s="185"/>
      <c r="L10" s="185"/>
      <c r="M10" s="185"/>
      <c r="N10" s="185"/>
      <c r="O10" s="185"/>
      <c r="P10" s="185"/>
      <c r="Q10" s="185"/>
      <c r="R10" s="185"/>
      <c r="S10" s="186"/>
    </row>
    <row r="11" spans="1:22" ht="6" customHeight="1" x14ac:dyDescent="0.15">
      <c r="B11" s="84"/>
      <c r="C11" s="84"/>
      <c r="D11" s="84"/>
      <c r="E11" s="84"/>
      <c r="F11" s="84"/>
      <c r="G11" s="84"/>
      <c r="H11" s="84"/>
      <c r="I11" s="84"/>
      <c r="J11" s="84"/>
      <c r="K11" s="10"/>
      <c r="L11" s="84"/>
      <c r="M11" s="84"/>
      <c r="N11" s="84"/>
      <c r="O11" s="84"/>
      <c r="P11" s="84"/>
      <c r="Q11" s="84"/>
      <c r="R11" s="84"/>
      <c r="S11" s="84"/>
    </row>
    <row r="12" spans="1:22" ht="18" customHeight="1" x14ac:dyDescent="0.15">
      <c r="A12" s="83" t="s">
        <v>111</v>
      </c>
      <c r="B12" s="84"/>
      <c r="C12" s="84"/>
      <c r="D12" s="81"/>
      <c r="E12" s="81"/>
      <c r="F12" s="81"/>
      <c r="G12" s="81"/>
      <c r="H12" s="81"/>
      <c r="I12" s="81"/>
      <c r="J12" s="81"/>
      <c r="K12" s="38"/>
      <c r="L12" s="38"/>
      <c r="M12" s="38"/>
      <c r="N12" s="38"/>
      <c r="O12" s="38"/>
      <c r="P12" s="38"/>
      <c r="Q12" s="38"/>
      <c r="R12" s="38"/>
      <c r="S12" s="38"/>
    </row>
    <row r="13" spans="1:22" ht="18" customHeight="1" x14ac:dyDescent="0.15">
      <c r="B13" s="172" t="s">
        <v>161</v>
      </c>
      <c r="C13" s="173"/>
      <c r="D13" s="173"/>
      <c r="E13" s="173"/>
      <c r="F13" s="173"/>
      <c r="G13" s="173"/>
      <c r="H13" s="173"/>
      <c r="I13" s="173"/>
      <c r="J13" s="173"/>
      <c r="K13" s="173"/>
      <c r="L13" s="173"/>
      <c r="M13" s="173"/>
      <c r="N13" s="173"/>
      <c r="O13" s="173"/>
      <c r="P13" s="173"/>
      <c r="Q13" s="173"/>
      <c r="R13" s="173"/>
      <c r="S13" s="174"/>
      <c r="V13" s="83" t="s">
        <v>103</v>
      </c>
    </row>
    <row r="14" spans="1:22" ht="18" customHeight="1" x14ac:dyDescent="0.15">
      <c r="B14" s="175"/>
      <c r="C14" s="176"/>
      <c r="D14" s="176"/>
      <c r="E14" s="176"/>
      <c r="F14" s="176"/>
      <c r="G14" s="176"/>
      <c r="H14" s="176"/>
      <c r="I14" s="176"/>
      <c r="J14" s="176"/>
      <c r="K14" s="176"/>
      <c r="L14" s="176"/>
      <c r="M14" s="176"/>
      <c r="N14" s="176"/>
      <c r="O14" s="176"/>
      <c r="P14" s="176"/>
      <c r="Q14" s="176"/>
      <c r="R14" s="176"/>
      <c r="S14" s="177"/>
      <c r="V14" s="83" t="s">
        <v>110</v>
      </c>
    </row>
    <row r="15" spans="1:22" ht="18" customHeight="1" x14ac:dyDescent="0.15">
      <c r="B15" s="175"/>
      <c r="C15" s="176"/>
      <c r="D15" s="176"/>
      <c r="E15" s="176"/>
      <c r="F15" s="176"/>
      <c r="G15" s="176"/>
      <c r="H15" s="176"/>
      <c r="I15" s="176"/>
      <c r="J15" s="176"/>
      <c r="K15" s="176"/>
      <c r="L15" s="176"/>
      <c r="M15" s="176"/>
      <c r="N15" s="176"/>
      <c r="O15" s="176"/>
      <c r="P15" s="176"/>
      <c r="Q15" s="176"/>
      <c r="R15" s="176"/>
      <c r="S15" s="177"/>
      <c r="V15" s="83" t="s">
        <v>123</v>
      </c>
    </row>
    <row r="16" spans="1:22" ht="18" customHeight="1" x14ac:dyDescent="0.15">
      <c r="B16" s="175"/>
      <c r="C16" s="176"/>
      <c r="D16" s="176"/>
      <c r="E16" s="176"/>
      <c r="F16" s="176"/>
      <c r="G16" s="176"/>
      <c r="H16" s="176"/>
      <c r="I16" s="176"/>
      <c r="J16" s="176"/>
      <c r="K16" s="176"/>
      <c r="L16" s="176"/>
      <c r="M16" s="176"/>
      <c r="N16" s="176"/>
      <c r="O16" s="176"/>
      <c r="P16" s="176"/>
      <c r="Q16" s="176"/>
      <c r="R16" s="176"/>
      <c r="S16" s="177"/>
      <c r="V16" s="83" t="s">
        <v>125</v>
      </c>
    </row>
    <row r="17" spans="1:19" ht="18" customHeight="1" x14ac:dyDescent="0.15">
      <c r="B17" s="175"/>
      <c r="C17" s="176"/>
      <c r="D17" s="176"/>
      <c r="E17" s="176"/>
      <c r="F17" s="176"/>
      <c r="G17" s="176"/>
      <c r="H17" s="176"/>
      <c r="I17" s="176"/>
      <c r="J17" s="176"/>
      <c r="K17" s="176"/>
      <c r="L17" s="176"/>
      <c r="M17" s="176"/>
      <c r="N17" s="176"/>
      <c r="O17" s="176"/>
      <c r="P17" s="176"/>
      <c r="Q17" s="176"/>
      <c r="R17" s="176"/>
      <c r="S17" s="177"/>
    </row>
    <row r="18" spans="1:19" ht="18" customHeight="1" x14ac:dyDescent="0.15">
      <c r="B18" s="178"/>
      <c r="C18" s="179"/>
      <c r="D18" s="179"/>
      <c r="E18" s="179"/>
      <c r="F18" s="179"/>
      <c r="G18" s="179"/>
      <c r="H18" s="179"/>
      <c r="I18" s="179"/>
      <c r="J18" s="179"/>
      <c r="K18" s="179"/>
      <c r="L18" s="179"/>
      <c r="M18" s="179"/>
      <c r="N18" s="179"/>
      <c r="O18" s="179"/>
      <c r="P18" s="179"/>
      <c r="Q18" s="179"/>
      <c r="R18" s="179"/>
      <c r="S18" s="180"/>
    </row>
    <row r="19" spans="1:19" ht="7.5" customHeight="1" x14ac:dyDescent="0.15">
      <c r="B19" s="84"/>
      <c r="C19" s="84"/>
      <c r="D19" s="84"/>
      <c r="E19" s="84"/>
      <c r="F19" s="84"/>
      <c r="G19" s="84"/>
      <c r="H19" s="84"/>
      <c r="I19" s="84"/>
      <c r="J19" s="84"/>
      <c r="K19" s="84"/>
      <c r="L19" s="84"/>
      <c r="M19" s="84"/>
      <c r="N19" s="84"/>
      <c r="O19" s="84"/>
      <c r="P19" s="84"/>
      <c r="Q19" s="84"/>
      <c r="R19" s="84"/>
      <c r="S19" s="84"/>
    </row>
    <row r="20" spans="1:19" ht="19.899999999999999" customHeight="1" x14ac:dyDescent="0.15">
      <c r="B20" s="83" t="s">
        <v>112</v>
      </c>
      <c r="C20" s="108">
        <v>6</v>
      </c>
      <c r="D20" s="110"/>
      <c r="E20" s="39" t="s">
        <v>95</v>
      </c>
      <c r="G20" s="10"/>
      <c r="H20" s="84"/>
      <c r="I20" s="84"/>
      <c r="J20" s="81" t="s">
        <v>121</v>
      </c>
      <c r="K20" s="165" t="s">
        <v>125</v>
      </c>
      <c r="L20" s="166"/>
      <c r="M20" s="166"/>
      <c r="N20" s="166"/>
      <c r="O20" s="166"/>
      <c r="P20" s="166"/>
      <c r="Q20" s="166"/>
      <c r="R20" s="166"/>
      <c r="S20" s="167"/>
    </row>
    <row r="21" spans="1:19" ht="7.5" customHeight="1" x14ac:dyDescent="0.15">
      <c r="B21" s="84"/>
      <c r="C21" s="84"/>
      <c r="D21" s="84"/>
      <c r="E21" s="84"/>
      <c r="F21" s="84"/>
      <c r="G21" s="84"/>
      <c r="H21" s="84"/>
      <c r="I21" s="84"/>
      <c r="J21" s="84"/>
      <c r="K21" s="84"/>
      <c r="L21" s="84"/>
      <c r="M21" s="84"/>
      <c r="N21" s="84"/>
      <c r="O21" s="84"/>
      <c r="P21" s="84"/>
      <c r="Q21" s="84"/>
      <c r="R21" s="84"/>
      <c r="S21" s="84"/>
    </row>
    <row r="22" spans="1:19" ht="18" customHeight="1" x14ac:dyDescent="0.15">
      <c r="A22" s="114" t="s">
        <v>113</v>
      </c>
      <c r="B22" s="114"/>
      <c r="C22" s="114"/>
      <c r="D22" s="114"/>
      <c r="E22" s="114"/>
      <c r="F22" s="114"/>
      <c r="G22" s="114"/>
      <c r="H22" s="114"/>
      <c r="I22" s="114"/>
      <c r="J22" s="114"/>
      <c r="K22" s="114"/>
      <c r="L22" s="114"/>
      <c r="M22" s="114"/>
      <c r="N22" s="114"/>
      <c r="O22" s="114"/>
      <c r="P22" s="114"/>
      <c r="Q22" s="114"/>
      <c r="R22" s="114"/>
      <c r="S22" s="114"/>
    </row>
    <row r="23" spans="1:19" ht="18" customHeight="1" x14ac:dyDescent="0.15">
      <c r="A23" s="114"/>
      <c r="B23" s="114"/>
      <c r="C23" s="114"/>
      <c r="D23" s="114"/>
      <c r="E23" s="114"/>
      <c r="F23" s="114"/>
      <c r="G23" s="114"/>
      <c r="H23" s="114"/>
      <c r="I23" s="114"/>
      <c r="J23" s="114"/>
      <c r="K23" s="114"/>
      <c r="L23" s="114"/>
      <c r="M23" s="114"/>
      <c r="N23" s="114"/>
      <c r="O23" s="114"/>
      <c r="P23" s="114"/>
      <c r="Q23" s="114"/>
      <c r="R23" s="114"/>
      <c r="S23" s="114"/>
    </row>
    <row r="24" spans="1:19" ht="18" customHeight="1" x14ac:dyDescent="0.15">
      <c r="B24" s="108" t="s">
        <v>53</v>
      </c>
      <c r="C24" s="109"/>
      <c r="D24" s="109"/>
      <c r="E24" s="110"/>
      <c r="F24" s="59" t="s">
        <v>80</v>
      </c>
      <c r="G24" s="58" t="s">
        <v>84</v>
      </c>
      <c r="H24" s="21" t="s">
        <v>56</v>
      </c>
      <c r="I24" s="21" t="s">
        <v>59</v>
      </c>
      <c r="J24" s="108" t="s">
        <v>53</v>
      </c>
      <c r="K24" s="109"/>
      <c r="L24" s="109"/>
      <c r="M24" s="109"/>
      <c r="N24" s="109"/>
      <c r="O24" s="110"/>
      <c r="P24" s="59" t="s">
        <v>80</v>
      </c>
      <c r="Q24" s="58" t="s">
        <v>84</v>
      </c>
      <c r="R24" s="21" t="s">
        <v>56</v>
      </c>
      <c r="S24" s="21" t="s">
        <v>59</v>
      </c>
    </row>
    <row r="25" spans="1:19" ht="18" customHeight="1" x14ac:dyDescent="0.15">
      <c r="B25" s="102" t="s">
        <v>162</v>
      </c>
      <c r="C25" s="103"/>
      <c r="D25" s="103"/>
      <c r="E25" s="104"/>
      <c r="F25" s="22">
        <v>2</v>
      </c>
      <c r="G25" s="22" t="s">
        <v>132</v>
      </c>
      <c r="H25" s="22" t="s">
        <v>132</v>
      </c>
      <c r="I25" s="22" t="s">
        <v>132</v>
      </c>
      <c r="J25" s="102"/>
      <c r="K25" s="103"/>
      <c r="L25" s="103"/>
      <c r="M25" s="103"/>
      <c r="N25" s="103"/>
      <c r="O25" s="104"/>
      <c r="P25" s="22"/>
      <c r="Q25" s="22"/>
      <c r="R25" s="22"/>
      <c r="S25" s="22"/>
    </row>
    <row r="26" spans="1:19" ht="18" customHeight="1" x14ac:dyDescent="0.15">
      <c r="B26" s="105"/>
      <c r="C26" s="106"/>
      <c r="D26" s="106"/>
      <c r="E26" s="107"/>
      <c r="F26" s="23"/>
      <c r="G26" s="23"/>
      <c r="H26" s="23"/>
      <c r="I26" s="23"/>
      <c r="J26" s="105"/>
      <c r="K26" s="106"/>
      <c r="L26" s="106"/>
      <c r="M26" s="106"/>
      <c r="N26" s="106"/>
      <c r="O26" s="107"/>
      <c r="P26" s="23"/>
      <c r="Q26" s="23"/>
      <c r="R26" s="23"/>
      <c r="S26" s="23"/>
    </row>
    <row r="27" spans="1:19" ht="18" customHeight="1" x14ac:dyDescent="0.15">
      <c r="B27" s="105"/>
      <c r="C27" s="106"/>
      <c r="D27" s="106"/>
      <c r="E27" s="107"/>
      <c r="F27" s="23"/>
      <c r="G27" s="23"/>
      <c r="H27" s="23"/>
      <c r="I27" s="23"/>
      <c r="J27" s="105"/>
      <c r="K27" s="106"/>
      <c r="L27" s="106"/>
      <c r="M27" s="106"/>
      <c r="N27" s="106"/>
      <c r="O27" s="107"/>
      <c r="P27" s="23"/>
      <c r="Q27" s="23"/>
      <c r="R27" s="23"/>
      <c r="S27" s="23"/>
    </row>
    <row r="28" spans="1:19" ht="18" customHeight="1" x14ac:dyDescent="0.15">
      <c r="B28" s="105"/>
      <c r="C28" s="106"/>
      <c r="D28" s="106"/>
      <c r="E28" s="107"/>
      <c r="F28" s="23"/>
      <c r="G28" s="23"/>
      <c r="H28" s="23"/>
      <c r="I28" s="23"/>
      <c r="J28" s="105"/>
      <c r="K28" s="106"/>
      <c r="L28" s="106"/>
      <c r="M28" s="106"/>
      <c r="N28" s="106"/>
      <c r="O28" s="107"/>
      <c r="P28" s="23"/>
      <c r="Q28" s="23"/>
      <c r="R28" s="23"/>
      <c r="S28" s="23"/>
    </row>
    <row r="29" spans="1:19" ht="18" customHeight="1" x14ac:dyDescent="0.15">
      <c r="B29" s="105"/>
      <c r="C29" s="106"/>
      <c r="D29" s="106"/>
      <c r="E29" s="107"/>
      <c r="F29" s="23"/>
      <c r="G29" s="23"/>
      <c r="H29" s="23"/>
      <c r="I29" s="23"/>
      <c r="J29" s="105"/>
      <c r="K29" s="106"/>
      <c r="L29" s="106"/>
      <c r="M29" s="106"/>
      <c r="N29" s="106"/>
      <c r="O29" s="107"/>
      <c r="P29" s="23"/>
      <c r="Q29" s="23"/>
      <c r="R29" s="23"/>
      <c r="S29" s="23"/>
    </row>
    <row r="30" spans="1:19" ht="18" customHeight="1" x14ac:dyDescent="0.15">
      <c r="A30" s="84"/>
      <c r="B30" s="105"/>
      <c r="C30" s="106"/>
      <c r="D30" s="106"/>
      <c r="E30" s="107"/>
      <c r="F30" s="23"/>
      <c r="G30" s="23"/>
      <c r="H30" s="23"/>
      <c r="I30" s="23"/>
      <c r="J30" s="105"/>
      <c r="K30" s="106"/>
      <c r="L30" s="106"/>
      <c r="M30" s="106"/>
      <c r="N30" s="106"/>
      <c r="O30" s="107"/>
      <c r="P30" s="23"/>
      <c r="Q30" s="23"/>
      <c r="R30" s="23"/>
      <c r="S30" s="23"/>
    </row>
    <row r="31" spans="1:19" ht="18" customHeight="1" x14ac:dyDescent="0.15">
      <c r="A31" s="84"/>
      <c r="B31" s="111"/>
      <c r="C31" s="112"/>
      <c r="D31" s="112"/>
      <c r="E31" s="113"/>
      <c r="F31" s="24"/>
      <c r="G31" s="24"/>
      <c r="H31" s="25"/>
      <c r="I31" s="25"/>
      <c r="J31" s="111"/>
      <c r="K31" s="112"/>
      <c r="L31" s="112"/>
      <c r="M31" s="112"/>
      <c r="N31" s="112"/>
      <c r="O31" s="113"/>
      <c r="P31" s="24"/>
      <c r="Q31" s="24"/>
      <c r="R31" s="25"/>
      <c r="S31" s="25"/>
    </row>
    <row r="32" spans="1:19" ht="7.5" customHeight="1" x14ac:dyDescent="0.15">
      <c r="A32" s="84"/>
      <c r="B32" s="6"/>
      <c r="C32" s="6"/>
      <c r="D32" s="84"/>
      <c r="E32" s="84"/>
      <c r="F32" s="84"/>
      <c r="G32" s="84"/>
      <c r="H32" s="6"/>
      <c r="I32" s="6"/>
      <c r="J32" s="6"/>
      <c r="K32" s="6"/>
      <c r="L32" s="6"/>
      <c r="M32" s="6"/>
      <c r="N32" s="6"/>
      <c r="O32" s="6"/>
      <c r="P32" s="6"/>
      <c r="Q32" s="6"/>
      <c r="R32" s="6"/>
      <c r="S32" s="84"/>
    </row>
    <row r="33" spans="1:19" ht="18" customHeight="1" x14ac:dyDescent="0.15">
      <c r="A33" s="114" t="s">
        <v>114</v>
      </c>
      <c r="B33" s="114"/>
      <c r="C33" s="114"/>
      <c r="D33" s="114"/>
      <c r="E33" s="114"/>
      <c r="F33" s="114"/>
      <c r="G33" s="114"/>
      <c r="H33" s="114"/>
      <c r="I33" s="114"/>
      <c r="J33" s="114"/>
      <c r="K33" s="114"/>
      <c r="L33" s="114"/>
      <c r="M33" s="114"/>
      <c r="N33" s="114"/>
      <c r="O33" s="114"/>
      <c r="P33" s="114"/>
      <c r="Q33" s="114"/>
      <c r="R33" s="114"/>
      <c r="S33" s="114"/>
    </row>
    <row r="34" spans="1:19" ht="18" customHeight="1" x14ac:dyDescent="0.15">
      <c r="A34" s="114"/>
      <c r="B34" s="114"/>
      <c r="C34" s="114"/>
      <c r="D34" s="114"/>
      <c r="E34" s="114"/>
      <c r="F34" s="114"/>
      <c r="G34" s="114"/>
      <c r="H34" s="114"/>
      <c r="I34" s="114"/>
      <c r="J34" s="114"/>
      <c r="K34" s="114"/>
      <c r="L34" s="114"/>
      <c r="M34" s="114"/>
      <c r="N34" s="114"/>
      <c r="O34" s="114"/>
      <c r="P34" s="114"/>
      <c r="Q34" s="114"/>
      <c r="R34" s="114"/>
      <c r="S34" s="114"/>
    </row>
    <row r="35" spans="1:19" ht="18" customHeight="1" x14ac:dyDescent="0.15">
      <c r="B35" s="108" t="s">
        <v>53</v>
      </c>
      <c r="C35" s="109"/>
      <c r="D35" s="109"/>
      <c r="E35" s="110"/>
      <c r="F35" s="59" t="s">
        <v>80</v>
      </c>
      <c r="G35" s="58" t="s">
        <v>84</v>
      </c>
      <c r="H35" s="21" t="s">
        <v>71</v>
      </c>
      <c r="I35" s="21" t="s">
        <v>72</v>
      </c>
      <c r="J35" s="108" t="s">
        <v>53</v>
      </c>
      <c r="K35" s="109"/>
      <c r="L35" s="109"/>
      <c r="M35" s="109"/>
      <c r="N35" s="109"/>
      <c r="O35" s="110"/>
      <c r="P35" s="59" t="s">
        <v>80</v>
      </c>
      <c r="Q35" s="58" t="s">
        <v>84</v>
      </c>
      <c r="R35" s="21" t="s">
        <v>71</v>
      </c>
      <c r="S35" s="21" t="s">
        <v>72</v>
      </c>
    </row>
    <row r="36" spans="1:19" ht="18" customHeight="1" x14ac:dyDescent="0.15">
      <c r="B36" s="102" t="s">
        <v>163</v>
      </c>
      <c r="C36" s="103"/>
      <c r="D36" s="103"/>
      <c r="E36" s="104"/>
      <c r="F36" s="22">
        <v>2</v>
      </c>
      <c r="G36" s="22" t="s">
        <v>132</v>
      </c>
      <c r="H36" s="22" t="s">
        <v>132</v>
      </c>
      <c r="I36" s="22" t="s">
        <v>132</v>
      </c>
      <c r="J36" s="102"/>
      <c r="K36" s="103"/>
      <c r="L36" s="103"/>
      <c r="M36" s="103"/>
      <c r="N36" s="103"/>
      <c r="O36" s="104"/>
      <c r="P36" s="22"/>
      <c r="Q36" s="22"/>
      <c r="R36" s="22"/>
      <c r="S36" s="22"/>
    </row>
    <row r="37" spans="1:19" ht="18" customHeight="1" x14ac:dyDescent="0.15">
      <c r="B37" s="105"/>
      <c r="C37" s="106"/>
      <c r="D37" s="106"/>
      <c r="E37" s="107"/>
      <c r="F37" s="23"/>
      <c r="G37" s="23"/>
      <c r="H37" s="23"/>
      <c r="I37" s="23"/>
      <c r="J37" s="105"/>
      <c r="K37" s="106"/>
      <c r="L37" s="106"/>
      <c r="M37" s="106"/>
      <c r="N37" s="106"/>
      <c r="O37" s="107"/>
      <c r="P37" s="23"/>
      <c r="Q37" s="23"/>
      <c r="R37" s="23"/>
      <c r="S37" s="23"/>
    </row>
    <row r="38" spans="1:19" ht="18" customHeight="1" x14ac:dyDescent="0.15">
      <c r="B38" s="105"/>
      <c r="C38" s="106"/>
      <c r="D38" s="106"/>
      <c r="E38" s="107"/>
      <c r="F38" s="23"/>
      <c r="G38" s="23"/>
      <c r="H38" s="23"/>
      <c r="I38" s="23"/>
      <c r="J38" s="105"/>
      <c r="K38" s="106"/>
      <c r="L38" s="106"/>
      <c r="M38" s="106"/>
      <c r="N38" s="106"/>
      <c r="O38" s="107"/>
      <c r="P38" s="23"/>
      <c r="Q38" s="23"/>
      <c r="R38" s="23"/>
      <c r="S38" s="23"/>
    </row>
    <row r="39" spans="1:19" ht="18" customHeight="1" x14ac:dyDescent="0.15">
      <c r="B39" s="105"/>
      <c r="C39" s="106"/>
      <c r="D39" s="106"/>
      <c r="E39" s="107"/>
      <c r="F39" s="23"/>
      <c r="G39" s="23"/>
      <c r="H39" s="23"/>
      <c r="I39" s="23"/>
      <c r="J39" s="105"/>
      <c r="K39" s="106"/>
      <c r="L39" s="106"/>
      <c r="M39" s="106"/>
      <c r="N39" s="106"/>
      <c r="O39" s="107"/>
      <c r="P39" s="23"/>
      <c r="Q39" s="23"/>
      <c r="R39" s="23"/>
      <c r="S39" s="23"/>
    </row>
    <row r="40" spans="1:19" ht="18" customHeight="1" x14ac:dyDescent="0.15">
      <c r="B40" s="105"/>
      <c r="C40" s="106"/>
      <c r="D40" s="106"/>
      <c r="E40" s="107"/>
      <c r="F40" s="23"/>
      <c r="G40" s="23"/>
      <c r="H40" s="23"/>
      <c r="I40" s="23"/>
      <c r="J40" s="105"/>
      <c r="K40" s="106"/>
      <c r="L40" s="106"/>
      <c r="M40" s="106"/>
      <c r="N40" s="106"/>
      <c r="O40" s="107"/>
      <c r="P40" s="23"/>
      <c r="Q40" s="23"/>
      <c r="R40" s="23"/>
      <c r="S40" s="23"/>
    </row>
    <row r="41" spans="1:19" ht="18" customHeight="1" x14ac:dyDescent="0.15">
      <c r="B41" s="105"/>
      <c r="C41" s="106"/>
      <c r="D41" s="106"/>
      <c r="E41" s="107"/>
      <c r="F41" s="23"/>
      <c r="G41" s="23"/>
      <c r="H41" s="23"/>
      <c r="I41" s="23"/>
      <c r="J41" s="105"/>
      <c r="K41" s="106"/>
      <c r="L41" s="106"/>
      <c r="M41" s="106"/>
      <c r="N41" s="106"/>
      <c r="O41" s="107"/>
      <c r="P41" s="23"/>
      <c r="Q41" s="23"/>
      <c r="R41" s="23"/>
      <c r="S41" s="23"/>
    </row>
    <row r="42" spans="1:19" ht="18" customHeight="1" x14ac:dyDescent="0.15">
      <c r="B42" s="111"/>
      <c r="C42" s="112"/>
      <c r="D42" s="112"/>
      <c r="E42" s="113"/>
      <c r="F42" s="24"/>
      <c r="G42" s="24"/>
      <c r="H42" s="25"/>
      <c r="I42" s="25"/>
      <c r="J42" s="111"/>
      <c r="K42" s="112"/>
      <c r="L42" s="112"/>
      <c r="M42" s="112"/>
      <c r="N42" s="112"/>
      <c r="O42" s="113"/>
      <c r="P42" s="24"/>
      <c r="Q42" s="24"/>
      <c r="R42" s="25"/>
      <c r="S42" s="25"/>
    </row>
    <row r="43" spans="1:19" ht="7.5" customHeight="1" x14ac:dyDescent="0.15">
      <c r="A43" s="84"/>
      <c r="B43" s="6"/>
      <c r="C43" s="6"/>
      <c r="D43" s="84"/>
      <c r="E43" s="84"/>
      <c r="F43" s="84"/>
      <c r="G43" s="84"/>
      <c r="H43" s="6"/>
      <c r="I43" s="6"/>
      <c r="J43" s="6"/>
      <c r="K43" s="6"/>
      <c r="L43" s="6"/>
      <c r="M43" s="6"/>
      <c r="N43" s="6"/>
      <c r="O43" s="6"/>
      <c r="P43" s="6"/>
      <c r="Q43" s="6"/>
      <c r="R43" s="6"/>
      <c r="S43" s="84"/>
    </row>
    <row r="44" spans="1:19" ht="18" customHeight="1" x14ac:dyDescent="0.15">
      <c r="A44" s="114" t="s">
        <v>115</v>
      </c>
      <c r="B44" s="114"/>
      <c r="C44" s="114"/>
      <c r="D44" s="114"/>
      <c r="E44" s="114"/>
      <c r="F44" s="114"/>
      <c r="G44" s="114"/>
      <c r="H44" s="114"/>
      <c r="I44" s="114"/>
      <c r="J44" s="114"/>
      <c r="K44" s="114"/>
      <c r="L44" s="114"/>
      <c r="M44" s="114"/>
      <c r="N44" s="114"/>
      <c r="O44" s="114"/>
      <c r="P44" s="114"/>
      <c r="Q44" s="114"/>
      <c r="R44" s="114"/>
      <c r="S44" s="114"/>
    </row>
    <row r="45" spans="1:19" ht="18" customHeight="1" x14ac:dyDescent="0.15">
      <c r="A45" s="114"/>
      <c r="B45" s="114"/>
      <c r="C45" s="114"/>
      <c r="D45" s="114"/>
      <c r="E45" s="114"/>
      <c r="F45" s="114"/>
      <c r="G45" s="114"/>
      <c r="H45" s="114"/>
      <c r="I45" s="114"/>
      <c r="J45" s="114"/>
      <c r="K45" s="114"/>
      <c r="L45" s="114"/>
      <c r="M45" s="114"/>
      <c r="N45" s="114"/>
      <c r="O45" s="114"/>
      <c r="P45" s="114"/>
      <c r="Q45" s="114"/>
      <c r="R45" s="114"/>
      <c r="S45" s="114"/>
    </row>
    <row r="46" spans="1:19" ht="18" customHeight="1" x14ac:dyDescent="0.15">
      <c r="B46" s="108" t="s">
        <v>53</v>
      </c>
      <c r="C46" s="109"/>
      <c r="D46" s="109"/>
      <c r="E46" s="110"/>
      <c r="F46" s="59" t="s">
        <v>80</v>
      </c>
      <c r="G46" s="58" t="s">
        <v>84</v>
      </c>
      <c r="H46" s="21" t="s">
        <v>73</v>
      </c>
      <c r="I46" s="21" t="s">
        <v>74</v>
      </c>
      <c r="J46" s="108" t="s">
        <v>53</v>
      </c>
      <c r="K46" s="109"/>
      <c r="L46" s="109"/>
      <c r="M46" s="109"/>
      <c r="N46" s="109"/>
      <c r="O46" s="110"/>
      <c r="P46" s="59" t="s">
        <v>80</v>
      </c>
      <c r="Q46" s="58" t="s">
        <v>84</v>
      </c>
      <c r="R46" s="21" t="s">
        <v>73</v>
      </c>
      <c r="S46" s="21" t="s">
        <v>74</v>
      </c>
    </row>
    <row r="47" spans="1:19" ht="18" customHeight="1" x14ac:dyDescent="0.15">
      <c r="A47" s="84"/>
      <c r="B47" s="102" t="s">
        <v>163</v>
      </c>
      <c r="C47" s="103"/>
      <c r="D47" s="103"/>
      <c r="E47" s="104"/>
      <c r="F47" s="22">
        <v>2</v>
      </c>
      <c r="G47" s="22" t="s">
        <v>132</v>
      </c>
      <c r="H47" s="22" t="s">
        <v>132</v>
      </c>
      <c r="I47" s="22" t="s">
        <v>132</v>
      </c>
      <c r="J47" s="102"/>
      <c r="K47" s="103"/>
      <c r="L47" s="103"/>
      <c r="M47" s="103"/>
      <c r="N47" s="103"/>
      <c r="O47" s="104"/>
      <c r="P47" s="22"/>
      <c r="Q47" s="22"/>
      <c r="R47" s="22"/>
      <c r="S47" s="22"/>
    </row>
    <row r="48" spans="1:19" ht="18" customHeight="1" x14ac:dyDescent="0.15">
      <c r="A48" s="84"/>
      <c r="B48" s="105"/>
      <c r="C48" s="106"/>
      <c r="D48" s="106"/>
      <c r="E48" s="107"/>
      <c r="F48" s="23"/>
      <c r="G48" s="23"/>
      <c r="H48" s="23"/>
      <c r="I48" s="23"/>
      <c r="J48" s="105"/>
      <c r="K48" s="106"/>
      <c r="L48" s="106"/>
      <c r="M48" s="106"/>
      <c r="N48" s="106"/>
      <c r="O48" s="107"/>
      <c r="P48" s="23"/>
      <c r="Q48" s="23"/>
      <c r="R48" s="23"/>
      <c r="S48" s="23"/>
    </row>
    <row r="49" spans="1:19" ht="18" customHeight="1" x14ac:dyDescent="0.15">
      <c r="A49" s="84"/>
      <c r="B49" s="105"/>
      <c r="C49" s="106"/>
      <c r="D49" s="106"/>
      <c r="E49" s="107"/>
      <c r="F49" s="23"/>
      <c r="G49" s="23"/>
      <c r="H49" s="23"/>
      <c r="I49" s="23"/>
      <c r="J49" s="105"/>
      <c r="K49" s="106"/>
      <c r="L49" s="106"/>
      <c r="M49" s="106"/>
      <c r="N49" s="106"/>
      <c r="O49" s="107"/>
      <c r="P49" s="23"/>
      <c r="Q49" s="23"/>
      <c r="R49" s="23"/>
      <c r="S49" s="23"/>
    </row>
    <row r="50" spans="1:19" ht="18" customHeight="1" x14ac:dyDescent="0.15">
      <c r="A50" s="84"/>
      <c r="B50" s="105"/>
      <c r="C50" s="106"/>
      <c r="D50" s="106"/>
      <c r="E50" s="107"/>
      <c r="F50" s="23"/>
      <c r="G50" s="23"/>
      <c r="H50" s="23"/>
      <c r="I50" s="23"/>
      <c r="J50" s="105"/>
      <c r="K50" s="106"/>
      <c r="L50" s="106"/>
      <c r="M50" s="106"/>
      <c r="N50" s="106"/>
      <c r="O50" s="107"/>
      <c r="P50" s="23"/>
      <c r="Q50" s="23"/>
      <c r="R50" s="23"/>
      <c r="S50" s="23"/>
    </row>
    <row r="51" spans="1:19" ht="18" customHeight="1" x14ac:dyDescent="0.15">
      <c r="A51" s="84"/>
      <c r="B51" s="105"/>
      <c r="C51" s="106"/>
      <c r="D51" s="106"/>
      <c r="E51" s="107"/>
      <c r="F51" s="23"/>
      <c r="G51" s="23"/>
      <c r="H51" s="23"/>
      <c r="I51" s="23"/>
      <c r="J51" s="105"/>
      <c r="K51" s="106"/>
      <c r="L51" s="106"/>
      <c r="M51" s="106"/>
      <c r="N51" s="106"/>
      <c r="O51" s="107"/>
      <c r="P51" s="23"/>
      <c r="Q51" s="23"/>
      <c r="R51" s="23"/>
      <c r="S51" s="23"/>
    </row>
    <row r="52" spans="1:19" ht="18" customHeight="1" x14ac:dyDescent="0.15">
      <c r="A52" s="84"/>
      <c r="B52" s="105"/>
      <c r="C52" s="106"/>
      <c r="D52" s="106"/>
      <c r="E52" s="107"/>
      <c r="F52" s="23"/>
      <c r="G52" s="23"/>
      <c r="H52" s="23"/>
      <c r="I52" s="23"/>
      <c r="J52" s="105"/>
      <c r="K52" s="106"/>
      <c r="L52" s="106"/>
      <c r="M52" s="106"/>
      <c r="N52" s="106"/>
      <c r="O52" s="107"/>
      <c r="P52" s="23"/>
      <c r="Q52" s="23"/>
      <c r="R52" s="23"/>
      <c r="S52" s="23"/>
    </row>
    <row r="53" spans="1:19" ht="18" customHeight="1" x14ac:dyDescent="0.15">
      <c r="A53" s="84"/>
      <c r="B53" s="111"/>
      <c r="C53" s="112"/>
      <c r="D53" s="112"/>
      <c r="E53" s="113"/>
      <c r="F53" s="24"/>
      <c r="G53" s="24"/>
      <c r="H53" s="25"/>
      <c r="I53" s="25"/>
      <c r="J53" s="111"/>
      <c r="K53" s="112"/>
      <c r="L53" s="112"/>
      <c r="M53" s="112"/>
      <c r="N53" s="112"/>
      <c r="O53" s="113"/>
      <c r="P53" s="24"/>
      <c r="Q53" s="24"/>
      <c r="R53" s="25"/>
      <c r="S53" s="25"/>
    </row>
    <row r="54" spans="1:19" ht="7.5" customHeight="1" x14ac:dyDescent="0.15">
      <c r="B54" s="85"/>
      <c r="C54" s="85"/>
      <c r="D54" s="85"/>
      <c r="E54" s="85"/>
      <c r="F54" s="85"/>
      <c r="G54" s="85"/>
      <c r="H54" s="85"/>
      <c r="I54" s="85"/>
      <c r="J54" s="85"/>
      <c r="K54" s="85"/>
      <c r="L54" s="85"/>
      <c r="M54" s="85"/>
      <c r="N54" s="85"/>
      <c r="O54" s="85"/>
      <c r="P54" s="85"/>
      <c r="Q54" s="85"/>
      <c r="R54" s="85"/>
    </row>
    <row r="55" spans="1:19" ht="18" customHeight="1" x14ac:dyDescent="0.15">
      <c r="A55" s="114" t="s">
        <v>116</v>
      </c>
      <c r="B55" s="114"/>
      <c r="C55" s="114"/>
      <c r="D55" s="114"/>
      <c r="E55" s="114"/>
      <c r="F55" s="114"/>
      <c r="G55" s="114"/>
      <c r="H55" s="114"/>
      <c r="I55" s="114"/>
      <c r="J55" s="114"/>
      <c r="K55" s="114"/>
      <c r="L55" s="114"/>
      <c r="M55" s="114"/>
      <c r="N55" s="114"/>
      <c r="O55" s="114"/>
      <c r="P55" s="114"/>
      <c r="Q55" s="114"/>
      <c r="R55" s="114"/>
      <c r="S55" s="114"/>
    </row>
    <row r="56" spans="1:19" ht="18" customHeight="1" x14ac:dyDescent="0.15">
      <c r="A56" s="114"/>
      <c r="B56" s="114"/>
      <c r="C56" s="114"/>
      <c r="D56" s="114"/>
      <c r="E56" s="114"/>
      <c r="F56" s="114"/>
      <c r="G56" s="114"/>
      <c r="H56" s="114"/>
      <c r="I56" s="114"/>
      <c r="J56" s="114"/>
      <c r="K56" s="114"/>
      <c r="L56" s="114"/>
      <c r="M56" s="114"/>
      <c r="N56" s="114"/>
      <c r="O56" s="114"/>
      <c r="P56" s="114"/>
      <c r="Q56" s="114"/>
      <c r="R56" s="114"/>
      <c r="S56" s="114"/>
    </row>
    <row r="57" spans="1:19" ht="18" customHeight="1" x14ac:dyDescent="0.15">
      <c r="B57" s="108" t="s">
        <v>53</v>
      </c>
      <c r="C57" s="109"/>
      <c r="D57" s="109"/>
      <c r="E57" s="110"/>
      <c r="F57" s="59" t="s">
        <v>80</v>
      </c>
      <c r="G57" s="58" t="s">
        <v>84</v>
      </c>
      <c r="H57" s="21" t="s">
        <v>58</v>
      </c>
      <c r="I57" s="21" t="s">
        <v>60</v>
      </c>
      <c r="J57" s="108" t="s">
        <v>53</v>
      </c>
      <c r="K57" s="109"/>
      <c r="L57" s="109"/>
      <c r="M57" s="109"/>
      <c r="N57" s="109"/>
      <c r="O57" s="110"/>
      <c r="P57" s="59" t="s">
        <v>80</v>
      </c>
      <c r="Q57" s="58" t="s">
        <v>84</v>
      </c>
      <c r="R57" s="21" t="s">
        <v>58</v>
      </c>
      <c r="S57" s="21" t="s">
        <v>60</v>
      </c>
    </row>
    <row r="58" spans="1:19" ht="18" customHeight="1" x14ac:dyDescent="0.15">
      <c r="A58" s="84"/>
      <c r="B58" s="102" t="s">
        <v>164</v>
      </c>
      <c r="C58" s="103"/>
      <c r="D58" s="103"/>
      <c r="E58" s="104"/>
      <c r="F58" s="22">
        <v>2</v>
      </c>
      <c r="G58" s="22" t="s">
        <v>132</v>
      </c>
      <c r="H58" s="22" t="s">
        <v>132</v>
      </c>
      <c r="I58" s="22" t="s">
        <v>132</v>
      </c>
      <c r="J58" s="102"/>
      <c r="K58" s="103"/>
      <c r="L58" s="103"/>
      <c r="M58" s="103"/>
      <c r="N58" s="103"/>
      <c r="O58" s="104"/>
      <c r="P58" s="22"/>
      <c r="Q58" s="22"/>
      <c r="R58" s="22"/>
      <c r="S58" s="22"/>
    </row>
    <row r="59" spans="1:19" ht="18" customHeight="1" x14ac:dyDescent="0.15">
      <c r="A59" s="84"/>
      <c r="B59" s="105"/>
      <c r="C59" s="106"/>
      <c r="D59" s="106"/>
      <c r="E59" s="107"/>
      <c r="F59" s="23"/>
      <c r="G59" s="23"/>
      <c r="H59" s="23"/>
      <c r="I59" s="23"/>
      <c r="J59" s="105"/>
      <c r="K59" s="106"/>
      <c r="L59" s="106"/>
      <c r="M59" s="106"/>
      <c r="N59" s="106"/>
      <c r="O59" s="107"/>
      <c r="P59" s="23"/>
      <c r="Q59" s="23"/>
      <c r="R59" s="23"/>
      <c r="S59" s="23"/>
    </row>
    <row r="60" spans="1:19" ht="18" customHeight="1" x14ac:dyDescent="0.15">
      <c r="A60" s="84"/>
      <c r="B60" s="105"/>
      <c r="C60" s="106"/>
      <c r="D60" s="106"/>
      <c r="E60" s="107"/>
      <c r="F60" s="23"/>
      <c r="G60" s="23"/>
      <c r="H60" s="23"/>
      <c r="I60" s="23"/>
      <c r="J60" s="105"/>
      <c r="K60" s="106"/>
      <c r="L60" s="106"/>
      <c r="M60" s="106"/>
      <c r="N60" s="106"/>
      <c r="O60" s="107"/>
      <c r="P60" s="23"/>
      <c r="Q60" s="23"/>
      <c r="R60" s="23"/>
      <c r="S60" s="23"/>
    </row>
    <row r="61" spans="1:19" ht="18" customHeight="1" x14ac:dyDescent="0.15">
      <c r="A61" s="84"/>
      <c r="B61" s="105"/>
      <c r="C61" s="106"/>
      <c r="D61" s="106"/>
      <c r="E61" s="107"/>
      <c r="F61" s="23"/>
      <c r="G61" s="23"/>
      <c r="H61" s="23"/>
      <c r="I61" s="23"/>
      <c r="J61" s="105"/>
      <c r="K61" s="106"/>
      <c r="L61" s="106"/>
      <c r="M61" s="106"/>
      <c r="N61" s="106"/>
      <c r="O61" s="107"/>
      <c r="P61" s="23"/>
      <c r="Q61" s="23"/>
      <c r="R61" s="23"/>
      <c r="S61" s="23"/>
    </row>
    <row r="62" spans="1:19" ht="18" customHeight="1" x14ac:dyDescent="0.15">
      <c r="A62" s="84"/>
      <c r="B62" s="105"/>
      <c r="C62" s="106"/>
      <c r="D62" s="106"/>
      <c r="E62" s="107"/>
      <c r="F62" s="23"/>
      <c r="G62" s="23"/>
      <c r="H62" s="23"/>
      <c r="I62" s="23"/>
      <c r="J62" s="105"/>
      <c r="K62" s="106"/>
      <c r="L62" s="106"/>
      <c r="M62" s="106"/>
      <c r="N62" s="106"/>
      <c r="O62" s="107"/>
      <c r="P62" s="23"/>
      <c r="Q62" s="23"/>
      <c r="R62" s="23"/>
      <c r="S62" s="23"/>
    </row>
    <row r="63" spans="1:19" ht="18" customHeight="1" x14ac:dyDescent="0.15">
      <c r="A63" s="84"/>
      <c r="B63" s="105"/>
      <c r="C63" s="106"/>
      <c r="D63" s="106"/>
      <c r="E63" s="107"/>
      <c r="F63" s="23"/>
      <c r="G63" s="23"/>
      <c r="H63" s="23"/>
      <c r="I63" s="23"/>
      <c r="J63" s="105"/>
      <c r="K63" s="106"/>
      <c r="L63" s="106"/>
      <c r="M63" s="106"/>
      <c r="N63" s="106"/>
      <c r="O63" s="107"/>
      <c r="P63" s="23"/>
      <c r="Q63" s="23"/>
      <c r="R63" s="23"/>
      <c r="S63" s="23"/>
    </row>
    <row r="64" spans="1:19" ht="18" customHeight="1" x14ac:dyDescent="0.15">
      <c r="A64" s="84"/>
      <c r="B64" s="111"/>
      <c r="C64" s="112"/>
      <c r="D64" s="112"/>
      <c r="E64" s="113"/>
      <c r="F64" s="24"/>
      <c r="G64" s="24"/>
      <c r="H64" s="25"/>
      <c r="I64" s="25"/>
      <c r="J64" s="111"/>
      <c r="K64" s="112"/>
      <c r="L64" s="112"/>
      <c r="M64" s="112"/>
      <c r="N64" s="112"/>
      <c r="O64" s="113"/>
      <c r="P64" s="24"/>
      <c r="Q64" s="24"/>
      <c r="R64" s="25"/>
      <c r="S64" s="25"/>
    </row>
    <row r="65" spans="1:19" ht="7.5" customHeight="1" x14ac:dyDescent="0.15">
      <c r="B65" s="85"/>
      <c r="C65" s="85"/>
      <c r="D65" s="85"/>
      <c r="E65" s="85"/>
      <c r="F65" s="85"/>
      <c r="G65" s="85"/>
      <c r="H65" s="85"/>
      <c r="I65" s="85"/>
      <c r="J65" s="85"/>
      <c r="K65" s="85"/>
      <c r="L65" s="85"/>
      <c r="M65" s="85"/>
      <c r="N65" s="85"/>
      <c r="O65" s="85"/>
      <c r="P65" s="85"/>
      <c r="Q65" s="85"/>
      <c r="R65" s="85"/>
    </row>
    <row r="66" spans="1:19" ht="18" customHeight="1" x14ac:dyDescent="0.15">
      <c r="A66" s="114" t="s">
        <v>117</v>
      </c>
      <c r="B66" s="114"/>
      <c r="C66" s="114"/>
      <c r="D66" s="114"/>
      <c r="E66" s="114"/>
      <c r="F66" s="114"/>
      <c r="G66" s="114"/>
      <c r="H66" s="114"/>
      <c r="I66" s="114"/>
      <c r="J66" s="114"/>
      <c r="K66" s="114"/>
      <c r="L66" s="114"/>
      <c r="M66" s="114"/>
      <c r="N66" s="114"/>
      <c r="O66" s="114"/>
      <c r="P66" s="114"/>
      <c r="Q66" s="114"/>
      <c r="R66" s="114"/>
      <c r="S66" s="114"/>
    </row>
    <row r="67" spans="1:19" ht="18" customHeight="1" x14ac:dyDescent="0.15">
      <c r="A67" s="114"/>
      <c r="B67" s="114"/>
      <c r="C67" s="114"/>
      <c r="D67" s="114"/>
      <c r="E67" s="114"/>
      <c r="F67" s="114"/>
      <c r="G67" s="114"/>
      <c r="H67" s="114"/>
      <c r="I67" s="114"/>
      <c r="J67" s="114"/>
      <c r="K67" s="114"/>
      <c r="L67" s="114"/>
      <c r="M67" s="114"/>
      <c r="N67" s="114"/>
      <c r="O67" s="114"/>
      <c r="P67" s="114"/>
      <c r="Q67" s="114"/>
      <c r="R67" s="114"/>
      <c r="S67" s="114"/>
    </row>
    <row r="68" spans="1:19" ht="18" customHeight="1" x14ac:dyDescent="0.15">
      <c r="B68" s="108" t="s">
        <v>53</v>
      </c>
      <c r="C68" s="109"/>
      <c r="D68" s="109"/>
      <c r="E68" s="59" t="s">
        <v>80</v>
      </c>
      <c r="F68" s="58" t="s">
        <v>84</v>
      </c>
      <c r="G68" s="21" t="s">
        <v>101</v>
      </c>
      <c r="H68" s="21" t="s">
        <v>75</v>
      </c>
      <c r="I68" s="21" t="s">
        <v>76</v>
      </c>
      <c r="J68" s="108" t="s">
        <v>53</v>
      </c>
      <c r="K68" s="109"/>
      <c r="L68" s="109"/>
      <c r="M68" s="109"/>
      <c r="N68" s="110"/>
      <c r="O68" s="59" t="s">
        <v>80</v>
      </c>
      <c r="P68" s="58" t="s">
        <v>84</v>
      </c>
      <c r="Q68" s="21" t="s">
        <v>101</v>
      </c>
      <c r="R68" s="21" t="s">
        <v>75</v>
      </c>
      <c r="S68" s="21" t="s">
        <v>76</v>
      </c>
    </row>
    <row r="69" spans="1:19" ht="18" customHeight="1" x14ac:dyDescent="0.15">
      <c r="A69" s="84"/>
      <c r="B69" s="102" t="s">
        <v>163</v>
      </c>
      <c r="C69" s="103"/>
      <c r="D69" s="104"/>
      <c r="E69" s="22">
        <v>2</v>
      </c>
      <c r="F69" s="22" t="s">
        <v>132</v>
      </c>
      <c r="G69" s="22" t="s">
        <v>132</v>
      </c>
      <c r="H69" s="22" t="s">
        <v>132</v>
      </c>
      <c r="I69" s="22" t="s">
        <v>132</v>
      </c>
      <c r="J69" s="102"/>
      <c r="K69" s="103"/>
      <c r="L69" s="103"/>
      <c r="M69" s="103"/>
      <c r="N69" s="104"/>
      <c r="O69" s="22"/>
      <c r="P69" s="22"/>
      <c r="Q69" s="22"/>
      <c r="R69" s="22"/>
      <c r="S69" s="22"/>
    </row>
    <row r="70" spans="1:19" ht="18" customHeight="1" x14ac:dyDescent="0.15">
      <c r="A70" s="84"/>
      <c r="B70" s="105"/>
      <c r="C70" s="106"/>
      <c r="D70" s="106"/>
      <c r="E70" s="23"/>
      <c r="F70" s="23"/>
      <c r="G70" s="23"/>
      <c r="H70" s="23"/>
      <c r="I70" s="23"/>
      <c r="J70" s="105"/>
      <c r="K70" s="106"/>
      <c r="L70" s="106"/>
      <c r="M70" s="106"/>
      <c r="N70" s="107"/>
      <c r="O70" s="23"/>
      <c r="P70" s="23"/>
      <c r="Q70" s="23"/>
      <c r="R70" s="23"/>
      <c r="S70" s="23"/>
    </row>
    <row r="71" spans="1:19" ht="18" customHeight="1" x14ac:dyDescent="0.15">
      <c r="A71" s="84"/>
      <c r="B71" s="105"/>
      <c r="C71" s="106"/>
      <c r="D71" s="106"/>
      <c r="E71" s="23"/>
      <c r="F71" s="23"/>
      <c r="G71" s="23"/>
      <c r="H71" s="23"/>
      <c r="I71" s="23"/>
      <c r="J71" s="105"/>
      <c r="K71" s="106"/>
      <c r="L71" s="106"/>
      <c r="M71" s="106"/>
      <c r="N71" s="107"/>
      <c r="O71" s="23"/>
      <c r="P71" s="23"/>
      <c r="Q71" s="23"/>
      <c r="R71" s="23"/>
      <c r="S71" s="23"/>
    </row>
    <row r="72" spans="1:19" ht="18" customHeight="1" x14ac:dyDescent="0.15">
      <c r="A72" s="84"/>
      <c r="B72" s="105"/>
      <c r="C72" s="106"/>
      <c r="D72" s="106"/>
      <c r="E72" s="23"/>
      <c r="F72" s="23"/>
      <c r="G72" s="23"/>
      <c r="H72" s="23"/>
      <c r="I72" s="23"/>
      <c r="J72" s="105"/>
      <c r="K72" s="106"/>
      <c r="L72" s="106"/>
      <c r="M72" s="106"/>
      <c r="N72" s="107"/>
      <c r="O72" s="23"/>
      <c r="P72" s="23"/>
      <c r="Q72" s="23"/>
      <c r="R72" s="23"/>
      <c r="S72" s="23"/>
    </row>
    <row r="73" spans="1:19" ht="18" customHeight="1" x14ac:dyDescent="0.15">
      <c r="A73" s="84"/>
      <c r="B73" s="105"/>
      <c r="C73" s="106"/>
      <c r="D73" s="106"/>
      <c r="E73" s="23"/>
      <c r="F73" s="23"/>
      <c r="G73" s="23"/>
      <c r="H73" s="23"/>
      <c r="I73" s="23"/>
      <c r="J73" s="105"/>
      <c r="K73" s="106"/>
      <c r="L73" s="106"/>
      <c r="M73" s="106"/>
      <c r="N73" s="107"/>
      <c r="O73" s="23"/>
      <c r="P73" s="23"/>
      <c r="Q73" s="23"/>
      <c r="R73" s="23"/>
      <c r="S73" s="23"/>
    </row>
    <row r="74" spans="1:19" ht="18" customHeight="1" x14ac:dyDescent="0.15">
      <c r="A74" s="84"/>
      <c r="B74" s="105"/>
      <c r="C74" s="106"/>
      <c r="D74" s="106"/>
      <c r="E74" s="23"/>
      <c r="F74" s="23"/>
      <c r="G74" s="23"/>
      <c r="H74" s="23"/>
      <c r="I74" s="23"/>
      <c r="J74" s="105"/>
      <c r="K74" s="106"/>
      <c r="L74" s="106"/>
      <c r="M74" s="106"/>
      <c r="N74" s="107"/>
      <c r="O74" s="23"/>
      <c r="P74" s="23"/>
      <c r="Q74" s="23"/>
      <c r="R74" s="23"/>
      <c r="S74" s="23"/>
    </row>
    <row r="75" spans="1:19" ht="18" customHeight="1" x14ac:dyDescent="0.15">
      <c r="A75" s="84"/>
      <c r="B75" s="111"/>
      <c r="C75" s="112"/>
      <c r="D75" s="112"/>
      <c r="E75" s="24"/>
      <c r="F75" s="24"/>
      <c r="G75" s="25"/>
      <c r="H75" s="25"/>
      <c r="I75" s="25"/>
      <c r="J75" s="111"/>
      <c r="K75" s="112"/>
      <c r="L75" s="112"/>
      <c r="M75" s="112"/>
      <c r="N75" s="113"/>
      <c r="O75" s="24"/>
      <c r="P75" s="24"/>
      <c r="Q75" s="25"/>
      <c r="R75" s="25"/>
      <c r="S75" s="25"/>
    </row>
    <row r="76" spans="1:19" ht="7.5" customHeight="1" x14ac:dyDescent="0.15">
      <c r="B76" s="85"/>
      <c r="C76" s="85"/>
      <c r="D76" s="85"/>
      <c r="E76" s="85"/>
      <c r="F76" s="85"/>
      <c r="G76" s="85"/>
      <c r="H76" s="85"/>
      <c r="I76" s="85"/>
      <c r="J76" s="85"/>
      <c r="K76" s="85"/>
      <c r="L76" s="85"/>
      <c r="M76" s="85"/>
      <c r="N76" s="85"/>
      <c r="O76" s="85"/>
      <c r="P76" s="85"/>
      <c r="Q76" s="85"/>
      <c r="R76" s="85"/>
    </row>
    <row r="77" spans="1:19" ht="18" customHeight="1" x14ac:dyDescent="0.15">
      <c r="A77" s="83" t="s">
        <v>118</v>
      </c>
      <c r="H77" s="84"/>
      <c r="I77" s="84"/>
      <c r="J77" s="84"/>
      <c r="K77" s="84"/>
      <c r="L77" s="84"/>
      <c r="M77" s="84"/>
      <c r="N77" s="84"/>
      <c r="O77" s="84"/>
      <c r="P77" s="84"/>
      <c r="Q77" s="84"/>
      <c r="R77" s="84"/>
      <c r="S77" s="84"/>
    </row>
    <row r="78" spans="1:19" ht="18" customHeight="1" x14ac:dyDescent="0.15">
      <c r="B78" s="108" t="s">
        <v>53</v>
      </c>
      <c r="C78" s="109"/>
      <c r="D78" s="109"/>
      <c r="E78" s="110"/>
      <c r="F78" s="108" t="s">
        <v>82</v>
      </c>
      <c r="G78" s="109"/>
      <c r="H78" s="109"/>
      <c r="I78" s="110"/>
      <c r="J78" s="135" t="s">
        <v>53</v>
      </c>
      <c r="K78" s="136"/>
      <c r="L78" s="136"/>
      <c r="M78" s="136"/>
      <c r="N78" s="136"/>
      <c r="O78" s="137"/>
      <c r="P78" s="108" t="s">
        <v>82</v>
      </c>
      <c r="Q78" s="109"/>
      <c r="R78" s="109"/>
      <c r="S78" s="110"/>
    </row>
    <row r="79" spans="1:19" ht="18" customHeight="1" x14ac:dyDescent="0.15">
      <c r="A79" s="84"/>
      <c r="B79" s="102"/>
      <c r="C79" s="103"/>
      <c r="D79" s="103"/>
      <c r="E79" s="104"/>
      <c r="F79" s="129"/>
      <c r="G79" s="130"/>
      <c r="H79" s="130"/>
      <c r="I79" s="131"/>
      <c r="J79" s="102"/>
      <c r="K79" s="103"/>
      <c r="L79" s="103"/>
      <c r="M79" s="103"/>
      <c r="N79" s="103"/>
      <c r="O79" s="104"/>
      <c r="P79" s="129"/>
      <c r="Q79" s="130"/>
      <c r="R79" s="130"/>
      <c r="S79" s="131"/>
    </row>
    <row r="80" spans="1:19" ht="18" customHeight="1" x14ac:dyDescent="0.15">
      <c r="A80" s="84"/>
      <c r="B80" s="105"/>
      <c r="C80" s="106"/>
      <c r="D80" s="106"/>
      <c r="E80" s="107"/>
      <c r="F80" s="132"/>
      <c r="G80" s="133"/>
      <c r="H80" s="133"/>
      <c r="I80" s="134"/>
      <c r="J80" s="105"/>
      <c r="K80" s="106"/>
      <c r="L80" s="106"/>
      <c r="M80" s="106"/>
      <c r="N80" s="106"/>
      <c r="O80" s="107"/>
      <c r="P80" s="132"/>
      <c r="Q80" s="133"/>
      <c r="R80" s="133"/>
      <c r="S80" s="134"/>
    </row>
    <row r="81" spans="1:19" ht="18" customHeight="1" x14ac:dyDescent="0.15">
      <c r="A81" s="84"/>
      <c r="B81" s="105"/>
      <c r="C81" s="106"/>
      <c r="D81" s="106"/>
      <c r="E81" s="107"/>
      <c r="F81" s="132"/>
      <c r="G81" s="133"/>
      <c r="H81" s="133"/>
      <c r="I81" s="134"/>
      <c r="J81" s="105"/>
      <c r="K81" s="106"/>
      <c r="L81" s="106"/>
      <c r="M81" s="106"/>
      <c r="N81" s="106"/>
      <c r="O81" s="107"/>
      <c r="P81" s="132"/>
      <c r="Q81" s="133"/>
      <c r="R81" s="133"/>
      <c r="S81" s="134"/>
    </row>
    <row r="82" spans="1:19" ht="18" customHeight="1" x14ac:dyDescent="0.15">
      <c r="A82" s="84"/>
      <c r="B82" s="105"/>
      <c r="C82" s="106"/>
      <c r="D82" s="106"/>
      <c r="E82" s="107"/>
      <c r="F82" s="132"/>
      <c r="G82" s="133"/>
      <c r="H82" s="133"/>
      <c r="I82" s="134"/>
      <c r="J82" s="105"/>
      <c r="K82" s="106"/>
      <c r="L82" s="106"/>
      <c r="M82" s="106"/>
      <c r="N82" s="106"/>
      <c r="O82" s="107"/>
      <c r="P82" s="132"/>
      <c r="Q82" s="133"/>
      <c r="R82" s="133"/>
      <c r="S82" s="134"/>
    </row>
    <row r="83" spans="1:19" ht="18" customHeight="1" x14ac:dyDescent="0.15">
      <c r="A83" s="84"/>
      <c r="B83" s="105"/>
      <c r="C83" s="106"/>
      <c r="D83" s="106"/>
      <c r="E83" s="107"/>
      <c r="F83" s="132"/>
      <c r="G83" s="133"/>
      <c r="H83" s="133"/>
      <c r="I83" s="134"/>
      <c r="J83" s="105"/>
      <c r="K83" s="106"/>
      <c r="L83" s="106"/>
      <c r="M83" s="106"/>
      <c r="N83" s="106"/>
      <c r="O83" s="107"/>
      <c r="P83" s="132"/>
      <c r="Q83" s="133"/>
      <c r="R83" s="133"/>
      <c r="S83" s="134"/>
    </row>
    <row r="84" spans="1:19" ht="18" customHeight="1" x14ac:dyDescent="0.15">
      <c r="A84" s="84"/>
      <c r="B84" s="105"/>
      <c r="C84" s="106"/>
      <c r="D84" s="106"/>
      <c r="E84" s="107"/>
      <c r="F84" s="132"/>
      <c r="G84" s="133"/>
      <c r="H84" s="133"/>
      <c r="I84" s="134"/>
      <c r="J84" s="105"/>
      <c r="K84" s="106"/>
      <c r="L84" s="106"/>
      <c r="M84" s="106"/>
      <c r="N84" s="106"/>
      <c r="O84" s="107"/>
      <c r="P84" s="132"/>
      <c r="Q84" s="133"/>
      <c r="R84" s="133"/>
      <c r="S84" s="134"/>
    </row>
    <row r="85" spans="1:19" ht="18" customHeight="1" x14ac:dyDescent="0.15">
      <c r="A85" s="84"/>
      <c r="B85" s="111"/>
      <c r="C85" s="112"/>
      <c r="D85" s="112"/>
      <c r="E85" s="113"/>
      <c r="F85" s="141"/>
      <c r="G85" s="142"/>
      <c r="H85" s="142"/>
      <c r="I85" s="143"/>
      <c r="J85" s="111"/>
      <c r="K85" s="112"/>
      <c r="L85" s="112"/>
      <c r="M85" s="112"/>
      <c r="N85" s="112"/>
      <c r="O85" s="113"/>
      <c r="P85" s="141"/>
      <c r="Q85" s="142"/>
      <c r="R85" s="142"/>
      <c r="S85" s="143"/>
    </row>
    <row r="86" spans="1:19" ht="18" customHeight="1" x14ac:dyDescent="0.15">
      <c r="A86" s="84"/>
      <c r="B86" s="6"/>
      <c r="C86" s="6"/>
      <c r="D86" s="6"/>
      <c r="E86" s="6"/>
      <c r="F86" s="26"/>
      <c r="G86" s="26"/>
      <c r="H86" s="26"/>
      <c r="I86" s="26"/>
      <c r="J86" s="6"/>
      <c r="K86" s="6"/>
      <c r="L86" s="6"/>
      <c r="M86" s="6"/>
      <c r="N86" s="6"/>
      <c r="O86" s="6"/>
      <c r="P86" s="26"/>
      <c r="Q86" s="26"/>
      <c r="R86" s="26"/>
      <c r="S86" s="26"/>
    </row>
    <row r="87" spans="1:19" ht="18.75" customHeight="1" x14ac:dyDescent="0.15">
      <c r="A87" s="83" t="s">
        <v>119</v>
      </c>
    </row>
    <row r="88" spans="1:19" ht="18.75" customHeight="1" x14ac:dyDescent="0.15">
      <c r="B88" s="126" t="s">
        <v>54</v>
      </c>
      <c r="C88" s="127"/>
      <c r="D88" s="109" t="s">
        <v>55</v>
      </c>
      <c r="E88" s="109"/>
      <c r="F88" s="109"/>
      <c r="G88" s="109"/>
      <c r="H88" s="109"/>
      <c r="I88" s="109"/>
      <c r="J88" s="109"/>
      <c r="K88" s="109"/>
      <c r="L88" s="109"/>
      <c r="M88" s="109"/>
      <c r="N88" s="109"/>
      <c r="O88" s="109"/>
      <c r="P88" s="109"/>
      <c r="Q88" s="109"/>
      <c r="R88" s="109"/>
      <c r="S88" s="110"/>
    </row>
    <row r="89" spans="1:19" ht="106.5" customHeight="1" x14ac:dyDescent="0.15">
      <c r="B89" s="115" t="s">
        <v>61</v>
      </c>
      <c r="C89" s="27" t="s">
        <v>56</v>
      </c>
      <c r="D89" s="197" t="s">
        <v>251</v>
      </c>
      <c r="E89" s="197"/>
      <c r="F89" s="197"/>
      <c r="G89" s="197"/>
      <c r="H89" s="197"/>
      <c r="I89" s="197"/>
      <c r="J89" s="197"/>
      <c r="K89" s="197"/>
      <c r="L89" s="197"/>
      <c r="M89" s="197"/>
      <c r="N89" s="197"/>
      <c r="O89" s="197"/>
      <c r="P89" s="197"/>
      <c r="Q89" s="197"/>
      <c r="R89" s="197"/>
      <c r="S89" s="198"/>
    </row>
    <row r="90" spans="1:19" ht="110.25" customHeight="1" x14ac:dyDescent="0.15">
      <c r="B90" s="116"/>
      <c r="C90" s="28" t="s">
        <v>77</v>
      </c>
      <c r="D90" s="144" t="s">
        <v>226</v>
      </c>
      <c r="E90" s="144"/>
      <c r="F90" s="144"/>
      <c r="G90" s="144"/>
      <c r="H90" s="144"/>
      <c r="I90" s="144"/>
      <c r="J90" s="144"/>
      <c r="K90" s="144"/>
      <c r="L90" s="144"/>
      <c r="M90" s="144"/>
      <c r="N90" s="144"/>
      <c r="O90" s="144"/>
      <c r="P90" s="144"/>
      <c r="Q90" s="144"/>
      <c r="R90" s="144"/>
      <c r="S90" s="199"/>
    </row>
    <row r="91" spans="1:19" ht="97.5" customHeight="1" x14ac:dyDescent="0.15">
      <c r="B91" s="115" t="s">
        <v>62</v>
      </c>
      <c r="C91" s="29" t="s">
        <v>71</v>
      </c>
      <c r="D91" s="147" t="s">
        <v>246</v>
      </c>
      <c r="E91" s="147"/>
      <c r="F91" s="147"/>
      <c r="G91" s="147"/>
      <c r="H91" s="147"/>
      <c r="I91" s="147"/>
      <c r="J91" s="147"/>
      <c r="K91" s="147"/>
      <c r="L91" s="147"/>
      <c r="M91" s="147"/>
      <c r="N91" s="147"/>
      <c r="O91" s="147"/>
      <c r="P91" s="147"/>
      <c r="Q91" s="147"/>
      <c r="R91" s="147"/>
      <c r="S91" s="193"/>
    </row>
    <row r="92" spans="1:19" ht="122.25" customHeight="1" x14ac:dyDescent="0.15">
      <c r="B92" s="117"/>
      <c r="C92" s="30" t="s">
        <v>72</v>
      </c>
      <c r="D92" s="202" t="s">
        <v>227</v>
      </c>
      <c r="E92" s="202"/>
      <c r="F92" s="202"/>
      <c r="G92" s="202"/>
      <c r="H92" s="202"/>
      <c r="I92" s="202"/>
      <c r="J92" s="202"/>
      <c r="K92" s="202"/>
      <c r="L92" s="202"/>
      <c r="M92" s="202"/>
      <c r="N92" s="202"/>
      <c r="O92" s="202"/>
      <c r="P92" s="202"/>
      <c r="Q92" s="202"/>
      <c r="R92" s="202"/>
      <c r="S92" s="203"/>
    </row>
    <row r="93" spans="1:19" ht="110.25" customHeight="1" x14ac:dyDescent="0.15">
      <c r="B93" s="115" t="s">
        <v>63</v>
      </c>
      <c r="C93" s="29" t="s">
        <v>73</v>
      </c>
      <c r="D93" s="147" t="s">
        <v>228</v>
      </c>
      <c r="E93" s="147"/>
      <c r="F93" s="147"/>
      <c r="G93" s="147"/>
      <c r="H93" s="147"/>
      <c r="I93" s="147"/>
      <c r="J93" s="147"/>
      <c r="K93" s="147"/>
      <c r="L93" s="147"/>
      <c r="M93" s="147"/>
      <c r="N93" s="147"/>
      <c r="O93" s="147"/>
      <c r="P93" s="147"/>
      <c r="Q93" s="147"/>
      <c r="R93" s="147"/>
      <c r="S93" s="193"/>
    </row>
    <row r="94" spans="1:19" ht="103.5" customHeight="1" x14ac:dyDescent="0.15">
      <c r="B94" s="117"/>
      <c r="C94" s="31" t="s">
        <v>74</v>
      </c>
      <c r="D94" s="150" t="s">
        <v>247</v>
      </c>
      <c r="E94" s="150"/>
      <c r="F94" s="150"/>
      <c r="G94" s="150"/>
      <c r="H94" s="150"/>
      <c r="I94" s="150"/>
      <c r="J94" s="150"/>
      <c r="K94" s="150"/>
      <c r="L94" s="150"/>
      <c r="M94" s="150"/>
      <c r="N94" s="150"/>
      <c r="O94" s="150"/>
      <c r="P94" s="150"/>
      <c r="Q94" s="150"/>
      <c r="R94" s="150"/>
      <c r="S94" s="194"/>
    </row>
    <row r="95" spans="1:19" ht="114" customHeight="1" x14ac:dyDescent="0.15">
      <c r="B95" s="115" t="s">
        <v>78</v>
      </c>
      <c r="C95" s="27" t="s">
        <v>58</v>
      </c>
      <c r="D95" s="197" t="s">
        <v>250</v>
      </c>
      <c r="E95" s="197"/>
      <c r="F95" s="197"/>
      <c r="G95" s="197"/>
      <c r="H95" s="197"/>
      <c r="I95" s="197"/>
      <c r="J95" s="197"/>
      <c r="K95" s="197"/>
      <c r="L95" s="197"/>
      <c r="M95" s="197"/>
      <c r="N95" s="197"/>
      <c r="O95" s="197"/>
      <c r="P95" s="197"/>
      <c r="Q95" s="197"/>
      <c r="R95" s="197"/>
      <c r="S95" s="198"/>
    </row>
    <row r="96" spans="1:19" ht="123" customHeight="1" x14ac:dyDescent="0.15">
      <c r="B96" s="117"/>
      <c r="C96" s="30" t="s">
        <v>60</v>
      </c>
      <c r="D96" s="153" t="s">
        <v>248</v>
      </c>
      <c r="E96" s="153"/>
      <c r="F96" s="153"/>
      <c r="G96" s="153"/>
      <c r="H96" s="153"/>
      <c r="I96" s="153"/>
      <c r="J96" s="153"/>
      <c r="K96" s="153"/>
      <c r="L96" s="153"/>
      <c r="M96" s="153"/>
      <c r="N96" s="153"/>
      <c r="O96" s="153"/>
      <c r="P96" s="153"/>
      <c r="Q96" s="153"/>
      <c r="R96" s="153"/>
      <c r="S96" s="196"/>
    </row>
    <row r="97" spans="1:19" ht="97.5" customHeight="1" x14ac:dyDescent="0.15">
      <c r="B97" s="115" t="s">
        <v>79</v>
      </c>
      <c r="C97" s="29" t="s">
        <v>57</v>
      </c>
      <c r="D97" s="187" t="s">
        <v>229</v>
      </c>
      <c r="E97" s="187"/>
      <c r="F97" s="187"/>
      <c r="G97" s="187"/>
      <c r="H97" s="187"/>
      <c r="I97" s="187"/>
      <c r="J97" s="187"/>
      <c r="K97" s="187"/>
      <c r="L97" s="187"/>
      <c r="M97" s="187"/>
      <c r="N97" s="187"/>
      <c r="O97" s="187"/>
      <c r="P97" s="187"/>
      <c r="Q97" s="187"/>
      <c r="R97" s="187"/>
      <c r="S97" s="188"/>
    </row>
    <row r="98" spans="1:19" ht="97.5" customHeight="1" x14ac:dyDescent="0.15">
      <c r="B98" s="116"/>
      <c r="C98" s="32" t="s">
        <v>75</v>
      </c>
      <c r="D98" s="161" t="s">
        <v>249</v>
      </c>
      <c r="E98" s="189"/>
      <c r="F98" s="189"/>
      <c r="G98" s="189"/>
      <c r="H98" s="189"/>
      <c r="I98" s="189"/>
      <c r="J98" s="189"/>
      <c r="K98" s="189"/>
      <c r="L98" s="189"/>
      <c r="M98" s="189"/>
      <c r="N98" s="189"/>
      <c r="O98" s="189"/>
      <c r="P98" s="189"/>
      <c r="Q98" s="189"/>
      <c r="R98" s="189"/>
      <c r="S98" s="190"/>
    </row>
    <row r="99" spans="1:19" ht="97.5" customHeight="1" x14ac:dyDescent="0.15">
      <c r="B99" s="117"/>
      <c r="C99" s="31" t="s">
        <v>76</v>
      </c>
      <c r="D99" s="121" t="s">
        <v>230</v>
      </c>
      <c r="E99" s="121"/>
      <c r="F99" s="121"/>
      <c r="G99" s="121"/>
      <c r="H99" s="121"/>
      <c r="I99" s="121"/>
      <c r="J99" s="121"/>
      <c r="K99" s="121"/>
      <c r="L99" s="121"/>
      <c r="M99" s="121"/>
      <c r="N99" s="121"/>
      <c r="O99" s="121"/>
      <c r="P99" s="121"/>
      <c r="Q99" s="121"/>
      <c r="R99" s="121"/>
      <c r="S99" s="201"/>
    </row>
    <row r="100" spans="1:19" ht="6" customHeight="1" x14ac:dyDescent="0.15"/>
    <row r="101" spans="1:19" ht="18.75" customHeight="1" x14ac:dyDescent="0.15">
      <c r="A101" s="83" t="s">
        <v>120</v>
      </c>
    </row>
    <row r="102" spans="1:19" ht="81.75" customHeight="1" x14ac:dyDescent="0.15">
      <c r="B102" s="138" t="s">
        <v>146</v>
      </c>
      <c r="C102" s="139"/>
      <c r="D102" s="139"/>
      <c r="E102" s="139"/>
      <c r="F102" s="139"/>
      <c r="G102" s="139"/>
      <c r="H102" s="139"/>
      <c r="I102" s="139"/>
      <c r="J102" s="139"/>
      <c r="K102" s="139"/>
      <c r="L102" s="139"/>
      <c r="M102" s="139"/>
      <c r="N102" s="139"/>
      <c r="O102" s="139"/>
      <c r="P102" s="139"/>
      <c r="Q102" s="139"/>
      <c r="R102" s="139"/>
      <c r="S102" s="140"/>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3" priority="1">
      <formula>$K$7="学部・学科によって、修了要件は相違しない"</formula>
    </cfRule>
  </conditionalFormatting>
  <dataValidations count="5">
    <dataValidation type="list" allowBlank="1" showInputMessage="1" showErrorMessage="1" sqref="G25:I31 Q25:S31 G36:I42 Q36:S42 P69:S75 Q47:S53 G58:I64 Q58:S64 G47:I53 F69:I75" xr:uid="{88CEDC6C-9999-4422-8AA2-DEA463366FC5}">
      <formula1>"○"</formula1>
    </dataValidation>
    <dataValidation type="list" allowBlank="1" showInputMessage="1" showErrorMessage="1" sqref="S32 S43 D32:G32 D43:G43" xr:uid="{35C86D26-BEB8-40B5-8505-46E19EB0E665}">
      <formula1>"全学開講,一部開講"</formula1>
    </dataValidation>
    <dataValidation type="list" allowBlank="1" showInputMessage="1" showErrorMessage="1" sqref="K7 K12" xr:uid="{BFEE01BA-5C0B-4AFF-8C63-237C0B32D9D7}">
      <formula1>"学部・学科によって、修了要件は相違する,学部・学科によって、修了要件は相違しない"</formula1>
    </dataValidation>
    <dataValidation type="list" allowBlank="1" showInputMessage="1" showErrorMessage="1" sqref="F79:F86 P79:P86 G79:I80 G83:I86 Q83:S86 Q79:S80" xr:uid="{58FC6889-89E5-405E-B010-C77F936200DE}">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24E17493-B81F-4EF4-AF93-72A7A7D99BC8}">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3DBDE-4FDD-4937-9CBE-BB37082E93FB}">
  <sheetPr>
    <pageSetUpPr fitToPage="1"/>
  </sheetPr>
  <dimension ref="A1:V110"/>
  <sheetViews>
    <sheetView showZeros="0" view="pageBreakPreview" zoomScale="90" zoomScaleNormal="100" zoomScaleSheetLayoutView="90" workbookViewId="0">
      <selection activeCell="D89" sqref="D89:S89"/>
    </sheetView>
  </sheetViews>
  <sheetFormatPr defaultColWidth="9" defaultRowHeight="18.75" customHeight="1" x14ac:dyDescent="0.15"/>
  <cols>
    <col min="1" max="1" width="2.5" style="83" customWidth="1"/>
    <col min="2" max="2" width="16.5" style="83" customWidth="1"/>
    <col min="3" max="19" width="5.625" style="83" customWidth="1"/>
    <col min="20" max="20" width="9" style="83"/>
    <col min="21" max="21" width="3.625" style="83" customWidth="1"/>
    <col min="22" max="22" width="48.625" style="83" hidden="1" customWidth="1"/>
    <col min="23" max="16384" width="9" style="83"/>
  </cols>
  <sheetData>
    <row r="1" spans="1:22" ht="18.600000000000001" customHeight="1" x14ac:dyDescent="0.15">
      <c r="R1" s="164" t="s">
        <v>159</v>
      </c>
      <c r="S1" s="164"/>
      <c r="T1" s="2" t="s">
        <v>109</v>
      </c>
    </row>
    <row r="2" spans="1:22" ht="18.75" customHeight="1" x14ac:dyDescent="0.15">
      <c r="B2" s="82" t="s">
        <v>108</v>
      </c>
      <c r="C2" s="168" t="s">
        <v>127</v>
      </c>
      <c r="D2" s="109"/>
      <c r="E2" s="109"/>
      <c r="F2" s="109"/>
      <c r="G2" s="109"/>
      <c r="H2" s="109"/>
      <c r="I2" s="110"/>
      <c r="J2" s="81"/>
      <c r="K2" s="6"/>
      <c r="L2" s="6"/>
      <c r="M2" s="6"/>
      <c r="N2" s="6"/>
      <c r="O2" s="6"/>
      <c r="P2" s="6"/>
      <c r="Q2" s="6"/>
      <c r="R2" s="6"/>
      <c r="S2" s="6"/>
    </row>
    <row r="3" spans="1:22" ht="18.75" customHeight="1" x14ac:dyDescent="0.15">
      <c r="B3" s="82" t="s">
        <v>102</v>
      </c>
      <c r="C3" s="168" t="s">
        <v>126</v>
      </c>
      <c r="D3" s="169"/>
      <c r="E3" s="169"/>
      <c r="F3" s="169"/>
      <c r="G3" s="169"/>
      <c r="H3" s="169"/>
      <c r="I3" s="170"/>
      <c r="J3" s="81"/>
      <c r="K3" s="6"/>
      <c r="L3" s="6"/>
      <c r="M3" s="6"/>
      <c r="N3" s="6"/>
      <c r="O3" s="6"/>
      <c r="P3" s="6"/>
      <c r="Q3" s="6"/>
      <c r="R3" s="6"/>
      <c r="S3" s="6"/>
    </row>
    <row r="4" spans="1:22" ht="15" customHeight="1" x14ac:dyDescent="0.15">
      <c r="K4" s="81"/>
      <c r="L4" s="36"/>
      <c r="M4" s="36"/>
      <c r="N4" s="36"/>
      <c r="O4" s="36"/>
      <c r="P4" s="36"/>
      <c r="Q4" s="36"/>
      <c r="R4" s="36"/>
      <c r="S4" s="36"/>
    </row>
    <row r="5" spans="1:22" ht="18" customHeight="1" x14ac:dyDescent="0.15">
      <c r="A5" s="171" t="s">
        <v>38</v>
      </c>
      <c r="B5" s="171"/>
      <c r="C5" s="171"/>
      <c r="D5" s="171"/>
      <c r="E5" s="171"/>
      <c r="F5" s="171"/>
      <c r="G5" s="171"/>
      <c r="H5" s="171"/>
      <c r="I5" s="171"/>
      <c r="J5" s="171"/>
      <c r="K5" s="171"/>
      <c r="L5" s="171"/>
      <c r="M5" s="171"/>
      <c r="N5" s="171"/>
      <c r="O5" s="171"/>
      <c r="P5" s="171"/>
      <c r="Q5" s="171"/>
      <c r="R5" s="171"/>
      <c r="S5" s="171"/>
    </row>
    <row r="6" spans="1:22" ht="15" customHeight="1" x14ac:dyDescent="0.15">
      <c r="B6" s="84"/>
      <c r="C6" s="84"/>
      <c r="D6" s="84"/>
      <c r="E6" s="84"/>
      <c r="F6" s="84"/>
      <c r="G6" s="84"/>
      <c r="H6" s="84"/>
      <c r="I6" s="84"/>
      <c r="J6" s="84"/>
      <c r="K6" s="84"/>
      <c r="L6" s="84"/>
      <c r="M6" s="84"/>
      <c r="N6" s="84"/>
      <c r="O6" s="84"/>
      <c r="P6" s="84"/>
      <c r="Q6" s="84"/>
      <c r="R6" s="84"/>
      <c r="S6" s="84"/>
    </row>
    <row r="7" spans="1:22" ht="18" customHeight="1" x14ac:dyDescent="0.15">
      <c r="A7" s="83" t="s">
        <v>124</v>
      </c>
      <c r="C7" s="84"/>
      <c r="J7" s="37" t="s">
        <v>107</v>
      </c>
      <c r="K7" s="168" t="s">
        <v>128</v>
      </c>
      <c r="L7" s="169"/>
      <c r="M7" s="169"/>
      <c r="N7" s="169"/>
      <c r="O7" s="169"/>
      <c r="P7" s="169"/>
      <c r="Q7" s="169"/>
      <c r="R7" s="169"/>
      <c r="S7" s="170"/>
    </row>
    <row r="8" spans="1:22" ht="6" customHeight="1" x14ac:dyDescent="0.15">
      <c r="B8" s="84"/>
      <c r="C8" s="84"/>
      <c r="D8" s="84"/>
      <c r="E8" s="84"/>
      <c r="F8" s="84"/>
      <c r="G8" s="84"/>
      <c r="H8" s="84"/>
      <c r="I8" s="84"/>
      <c r="J8" s="84"/>
      <c r="K8" s="10"/>
      <c r="L8" s="84"/>
      <c r="M8" s="84"/>
      <c r="N8" s="84"/>
      <c r="O8" s="84"/>
      <c r="P8" s="84"/>
      <c r="Q8" s="84"/>
      <c r="R8" s="84"/>
      <c r="S8" s="84"/>
    </row>
    <row r="9" spans="1:22" ht="18" customHeight="1" x14ac:dyDescent="0.15">
      <c r="B9" s="181" t="s">
        <v>155</v>
      </c>
      <c r="C9" s="182"/>
      <c r="D9" s="182"/>
      <c r="E9" s="182"/>
      <c r="F9" s="182"/>
      <c r="G9" s="182"/>
      <c r="H9" s="182"/>
      <c r="I9" s="182"/>
      <c r="J9" s="182"/>
      <c r="K9" s="182"/>
      <c r="L9" s="182"/>
      <c r="M9" s="182"/>
      <c r="N9" s="182"/>
      <c r="O9" s="182"/>
      <c r="P9" s="182"/>
      <c r="Q9" s="182"/>
      <c r="R9" s="182"/>
      <c r="S9" s="183"/>
    </row>
    <row r="10" spans="1:22" ht="18" customHeight="1" x14ac:dyDescent="0.15">
      <c r="B10" s="184"/>
      <c r="C10" s="185"/>
      <c r="D10" s="185"/>
      <c r="E10" s="185"/>
      <c r="F10" s="185"/>
      <c r="G10" s="185"/>
      <c r="H10" s="185"/>
      <c r="I10" s="185"/>
      <c r="J10" s="185"/>
      <c r="K10" s="185"/>
      <c r="L10" s="185"/>
      <c r="M10" s="185"/>
      <c r="N10" s="185"/>
      <c r="O10" s="185"/>
      <c r="P10" s="185"/>
      <c r="Q10" s="185"/>
      <c r="R10" s="185"/>
      <c r="S10" s="186"/>
    </row>
    <row r="11" spans="1:22" ht="6" customHeight="1" x14ac:dyDescent="0.15">
      <c r="B11" s="84"/>
      <c r="C11" s="84"/>
      <c r="D11" s="84"/>
      <c r="E11" s="84"/>
      <c r="F11" s="84"/>
      <c r="G11" s="84"/>
      <c r="H11" s="84"/>
      <c r="I11" s="84"/>
      <c r="J11" s="84"/>
      <c r="K11" s="10"/>
      <c r="L11" s="84"/>
      <c r="M11" s="84"/>
      <c r="N11" s="84"/>
      <c r="O11" s="84"/>
      <c r="P11" s="84"/>
      <c r="Q11" s="84"/>
      <c r="R11" s="84"/>
      <c r="S11" s="84"/>
    </row>
    <row r="12" spans="1:22" ht="18" customHeight="1" x14ac:dyDescent="0.15">
      <c r="A12" s="83" t="s">
        <v>111</v>
      </c>
      <c r="B12" s="84"/>
      <c r="C12" s="84"/>
      <c r="D12" s="81"/>
      <c r="E12" s="81"/>
      <c r="F12" s="81"/>
      <c r="G12" s="81"/>
      <c r="H12" s="81"/>
      <c r="I12" s="81"/>
      <c r="J12" s="81"/>
      <c r="K12" s="38"/>
      <c r="L12" s="38"/>
      <c r="M12" s="38"/>
      <c r="N12" s="38"/>
      <c r="O12" s="38"/>
      <c r="P12" s="38"/>
      <c r="Q12" s="38"/>
      <c r="R12" s="38"/>
      <c r="S12" s="38"/>
    </row>
    <row r="13" spans="1:22" ht="18" customHeight="1" x14ac:dyDescent="0.15">
      <c r="B13" s="172" t="s">
        <v>156</v>
      </c>
      <c r="C13" s="173"/>
      <c r="D13" s="173"/>
      <c r="E13" s="173"/>
      <c r="F13" s="173"/>
      <c r="G13" s="173"/>
      <c r="H13" s="173"/>
      <c r="I13" s="173"/>
      <c r="J13" s="173"/>
      <c r="K13" s="173"/>
      <c r="L13" s="173"/>
      <c r="M13" s="173"/>
      <c r="N13" s="173"/>
      <c r="O13" s="173"/>
      <c r="P13" s="173"/>
      <c r="Q13" s="173"/>
      <c r="R13" s="173"/>
      <c r="S13" s="174"/>
      <c r="V13" s="83" t="s">
        <v>103</v>
      </c>
    </row>
    <row r="14" spans="1:22" ht="18" customHeight="1" x14ac:dyDescent="0.15">
      <c r="B14" s="175"/>
      <c r="C14" s="176"/>
      <c r="D14" s="176"/>
      <c r="E14" s="176"/>
      <c r="F14" s="176"/>
      <c r="G14" s="176"/>
      <c r="H14" s="176"/>
      <c r="I14" s="176"/>
      <c r="J14" s="176"/>
      <c r="K14" s="176"/>
      <c r="L14" s="176"/>
      <c r="M14" s="176"/>
      <c r="N14" s="176"/>
      <c r="O14" s="176"/>
      <c r="P14" s="176"/>
      <c r="Q14" s="176"/>
      <c r="R14" s="176"/>
      <c r="S14" s="177"/>
      <c r="V14" s="83" t="s">
        <v>110</v>
      </c>
    </row>
    <row r="15" spans="1:22" ht="18" customHeight="1" x14ac:dyDescent="0.15">
      <c r="B15" s="175"/>
      <c r="C15" s="176"/>
      <c r="D15" s="176"/>
      <c r="E15" s="176"/>
      <c r="F15" s="176"/>
      <c r="G15" s="176"/>
      <c r="H15" s="176"/>
      <c r="I15" s="176"/>
      <c r="J15" s="176"/>
      <c r="K15" s="176"/>
      <c r="L15" s="176"/>
      <c r="M15" s="176"/>
      <c r="N15" s="176"/>
      <c r="O15" s="176"/>
      <c r="P15" s="176"/>
      <c r="Q15" s="176"/>
      <c r="R15" s="176"/>
      <c r="S15" s="177"/>
      <c r="V15" s="83" t="s">
        <v>123</v>
      </c>
    </row>
    <row r="16" spans="1:22" ht="18" customHeight="1" x14ac:dyDescent="0.15">
      <c r="B16" s="175"/>
      <c r="C16" s="176"/>
      <c r="D16" s="176"/>
      <c r="E16" s="176"/>
      <c r="F16" s="176"/>
      <c r="G16" s="176"/>
      <c r="H16" s="176"/>
      <c r="I16" s="176"/>
      <c r="J16" s="176"/>
      <c r="K16" s="176"/>
      <c r="L16" s="176"/>
      <c r="M16" s="176"/>
      <c r="N16" s="176"/>
      <c r="O16" s="176"/>
      <c r="P16" s="176"/>
      <c r="Q16" s="176"/>
      <c r="R16" s="176"/>
      <c r="S16" s="177"/>
      <c r="V16" s="83" t="s">
        <v>125</v>
      </c>
    </row>
    <row r="17" spans="1:19" ht="18" customHeight="1" x14ac:dyDescent="0.15">
      <c r="B17" s="175"/>
      <c r="C17" s="176"/>
      <c r="D17" s="176"/>
      <c r="E17" s="176"/>
      <c r="F17" s="176"/>
      <c r="G17" s="176"/>
      <c r="H17" s="176"/>
      <c r="I17" s="176"/>
      <c r="J17" s="176"/>
      <c r="K17" s="176"/>
      <c r="L17" s="176"/>
      <c r="M17" s="176"/>
      <c r="N17" s="176"/>
      <c r="O17" s="176"/>
      <c r="P17" s="176"/>
      <c r="Q17" s="176"/>
      <c r="R17" s="176"/>
      <c r="S17" s="177"/>
    </row>
    <row r="18" spans="1:19" ht="18" customHeight="1" x14ac:dyDescent="0.15">
      <c r="B18" s="178"/>
      <c r="C18" s="179"/>
      <c r="D18" s="179"/>
      <c r="E18" s="179"/>
      <c r="F18" s="179"/>
      <c r="G18" s="179"/>
      <c r="H18" s="179"/>
      <c r="I18" s="179"/>
      <c r="J18" s="179"/>
      <c r="K18" s="179"/>
      <c r="L18" s="179"/>
      <c r="M18" s="179"/>
      <c r="N18" s="179"/>
      <c r="O18" s="179"/>
      <c r="P18" s="179"/>
      <c r="Q18" s="179"/>
      <c r="R18" s="179"/>
      <c r="S18" s="180"/>
    </row>
    <row r="19" spans="1:19" ht="7.5" customHeight="1" x14ac:dyDescent="0.15">
      <c r="B19" s="84"/>
      <c r="C19" s="84"/>
      <c r="D19" s="84"/>
      <c r="E19" s="84"/>
      <c r="F19" s="84"/>
      <c r="G19" s="84"/>
      <c r="H19" s="84"/>
      <c r="I19" s="84"/>
      <c r="J19" s="84"/>
      <c r="K19" s="84"/>
      <c r="L19" s="84"/>
      <c r="M19" s="84"/>
      <c r="N19" s="84"/>
      <c r="O19" s="84"/>
      <c r="P19" s="84"/>
      <c r="Q19" s="84"/>
      <c r="R19" s="84"/>
      <c r="S19" s="84"/>
    </row>
    <row r="20" spans="1:19" ht="19.899999999999999" customHeight="1" x14ac:dyDescent="0.15">
      <c r="B20" s="83" t="s">
        <v>112</v>
      </c>
      <c r="C20" s="108">
        <v>4</v>
      </c>
      <c r="D20" s="110"/>
      <c r="E20" s="39" t="s">
        <v>95</v>
      </c>
      <c r="G20" s="10"/>
      <c r="H20" s="84"/>
      <c r="I20" s="84"/>
      <c r="J20" s="81" t="s">
        <v>121</v>
      </c>
      <c r="K20" s="165" t="s">
        <v>110</v>
      </c>
      <c r="L20" s="166"/>
      <c r="M20" s="166"/>
      <c r="N20" s="166"/>
      <c r="O20" s="166"/>
      <c r="P20" s="166"/>
      <c r="Q20" s="166"/>
      <c r="R20" s="166"/>
      <c r="S20" s="167"/>
    </row>
    <row r="21" spans="1:19" ht="7.5" customHeight="1" x14ac:dyDescent="0.15">
      <c r="B21" s="84"/>
      <c r="C21" s="84"/>
      <c r="D21" s="84"/>
      <c r="E21" s="84"/>
      <c r="F21" s="84"/>
      <c r="G21" s="84"/>
      <c r="H21" s="84"/>
      <c r="I21" s="84"/>
      <c r="J21" s="84"/>
      <c r="K21" s="84"/>
      <c r="L21" s="84"/>
      <c r="M21" s="84"/>
      <c r="N21" s="84"/>
      <c r="O21" s="84"/>
      <c r="P21" s="84"/>
      <c r="Q21" s="84"/>
      <c r="R21" s="84"/>
      <c r="S21" s="84"/>
    </row>
    <row r="22" spans="1:19" ht="18" customHeight="1" x14ac:dyDescent="0.15">
      <c r="A22" s="114" t="s">
        <v>113</v>
      </c>
      <c r="B22" s="114"/>
      <c r="C22" s="114"/>
      <c r="D22" s="114"/>
      <c r="E22" s="114"/>
      <c r="F22" s="114"/>
      <c r="G22" s="114"/>
      <c r="H22" s="114"/>
      <c r="I22" s="114"/>
      <c r="J22" s="114"/>
      <c r="K22" s="114"/>
      <c r="L22" s="114"/>
      <c r="M22" s="114"/>
      <c r="N22" s="114"/>
      <c r="O22" s="114"/>
      <c r="P22" s="114"/>
      <c r="Q22" s="114"/>
      <c r="R22" s="114"/>
      <c r="S22" s="114"/>
    </row>
    <row r="23" spans="1:19" ht="18" customHeight="1" x14ac:dyDescent="0.15">
      <c r="A23" s="114"/>
      <c r="B23" s="114"/>
      <c r="C23" s="114"/>
      <c r="D23" s="114"/>
      <c r="E23" s="114"/>
      <c r="F23" s="114"/>
      <c r="G23" s="114"/>
      <c r="H23" s="114"/>
      <c r="I23" s="114"/>
      <c r="J23" s="114"/>
      <c r="K23" s="114"/>
      <c r="L23" s="114"/>
      <c r="M23" s="114"/>
      <c r="N23" s="114"/>
      <c r="O23" s="114"/>
      <c r="P23" s="114"/>
      <c r="Q23" s="114"/>
      <c r="R23" s="114"/>
      <c r="S23" s="114"/>
    </row>
    <row r="24" spans="1:19" ht="18" customHeight="1" x14ac:dyDescent="0.15">
      <c r="B24" s="108" t="s">
        <v>53</v>
      </c>
      <c r="C24" s="109"/>
      <c r="D24" s="109"/>
      <c r="E24" s="110"/>
      <c r="F24" s="59" t="s">
        <v>80</v>
      </c>
      <c r="G24" s="58" t="s">
        <v>84</v>
      </c>
      <c r="H24" s="21" t="s">
        <v>56</v>
      </c>
      <c r="I24" s="21" t="s">
        <v>59</v>
      </c>
      <c r="J24" s="108" t="s">
        <v>53</v>
      </c>
      <c r="K24" s="109"/>
      <c r="L24" s="109"/>
      <c r="M24" s="109"/>
      <c r="N24" s="109"/>
      <c r="O24" s="110"/>
      <c r="P24" s="59" t="s">
        <v>80</v>
      </c>
      <c r="Q24" s="58" t="s">
        <v>84</v>
      </c>
      <c r="R24" s="21" t="s">
        <v>56</v>
      </c>
      <c r="S24" s="21" t="s">
        <v>59</v>
      </c>
    </row>
    <row r="25" spans="1:19" ht="18" customHeight="1" x14ac:dyDescent="0.15">
      <c r="B25" s="102" t="s">
        <v>157</v>
      </c>
      <c r="C25" s="103"/>
      <c r="D25" s="103"/>
      <c r="E25" s="104"/>
      <c r="F25" s="22">
        <v>2</v>
      </c>
      <c r="G25" s="22" t="s">
        <v>132</v>
      </c>
      <c r="H25" s="22" t="s">
        <v>132</v>
      </c>
      <c r="I25" s="22" t="s">
        <v>132</v>
      </c>
      <c r="J25" s="102"/>
      <c r="K25" s="103"/>
      <c r="L25" s="103"/>
      <c r="M25" s="103"/>
      <c r="N25" s="103"/>
      <c r="O25" s="104"/>
      <c r="P25" s="22"/>
      <c r="Q25" s="22"/>
      <c r="R25" s="22"/>
      <c r="S25" s="22"/>
    </row>
    <row r="26" spans="1:19" ht="18" customHeight="1" x14ac:dyDescent="0.15">
      <c r="B26" s="105"/>
      <c r="C26" s="106"/>
      <c r="D26" s="106"/>
      <c r="E26" s="107"/>
      <c r="F26" s="23"/>
      <c r="G26" s="23"/>
      <c r="H26" s="23"/>
      <c r="I26" s="23"/>
      <c r="J26" s="105"/>
      <c r="K26" s="106"/>
      <c r="L26" s="106"/>
      <c r="M26" s="106"/>
      <c r="N26" s="106"/>
      <c r="O26" s="107"/>
      <c r="P26" s="23"/>
      <c r="Q26" s="23"/>
      <c r="R26" s="23"/>
      <c r="S26" s="23"/>
    </row>
    <row r="27" spans="1:19" ht="18" customHeight="1" x14ac:dyDescent="0.15">
      <c r="B27" s="105"/>
      <c r="C27" s="106"/>
      <c r="D27" s="106"/>
      <c r="E27" s="107"/>
      <c r="F27" s="23"/>
      <c r="G27" s="23"/>
      <c r="H27" s="23"/>
      <c r="I27" s="23"/>
      <c r="J27" s="105"/>
      <c r="K27" s="106"/>
      <c r="L27" s="106"/>
      <c r="M27" s="106"/>
      <c r="N27" s="106"/>
      <c r="O27" s="107"/>
      <c r="P27" s="23"/>
      <c r="Q27" s="23"/>
      <c r="R27" s="23"/>
      <c r="S27" s="23"/>
    </row>
    <row r="28" spans="1:19" ht="18" customHeight="1" x14ac:dyDescent="0.15">
      <c r="B28" s="105"/>
      <c r="C28" s="106"/>
      <c r="D28" s="106"/>
      <c r="E28" s="107"/>
      <c r="F28" s="23"/>
      <c r="G28" s="23"/>
      <c r="H28" s="23"/>
      <c r="I28" s="23"/>
      <c r="J28" s="105"/>
      <c r="K28" s="106"/>
      <c r="L28" s="106"/>
      <c r="M28" s="106"/>
      <c r="N28" s="106"/>
      <c r="O28" s="107"/>
      <c r="P28" s="23"/>
      <c r="Q28" s="23"/>
      <c r="R28" s="23"/>
      <c r="S28" s="23"/>
    </row>
    <row r="29" spans="1:19" ht="18" customHeight="1" x14ac:dyDescent="0.15">
      <c r="B29" s="105"/>
      <c r="C29" s="106"/>
      <c r="D29" s="106"/>
      <c r="E29" s="107"/>
      <c r="F29" s="23"/>
      <c r="G29" s="23"/>
      <c r="H29" s="23"/>
      <c r="I29" s="23"/>
      <c r="J29" s="105"/>
      <c r="K29" s="106"/>
      <c r="L29" s="106"/>
      <c r="M29" s="106"/>
      <c r="N29" s="106"/>
      <c r="O29" s="107"/>
      <c r="P29" s="23"/>
      <c r="Q29" s="23"/>
      <c r="R29" s="23"/>
      <c r="S29" s="23"/>
    </row>
    <row r="30" spans="1:19" ht="18" customHeight="1" x14ac:dyDescent="0.15">
      <c r="A30" s="84"/>
      <c r="B30" s="105"/>
      <c r="C30" s="106"/>
      <c r="D30" s="106"/>
      <c r="E30" s="107"/>
      <c r="F30" s="23"/>
      <c r="G30" s="23"/>
      <c r="H30" s="23"/>
      <c r="I30" s="23"/>
      <c r="J30" s="105"/>
      <c r="K30" s="106"/>
      <c r="L30" s="106"/>
      <c r="M30" s="106"/>
      <c r="N30" s="106"/>
      <c r="O30" s="107"/>
      <c r="P30" s="23"/>
      <c r="Q30" s="23"/>
      <c r="R30" s="23"/>
      <c r="S30" s="23"/>
    </row>
    <row r="31" spans="1:19" ht="18" customHeight="1" x14ac:dyDescent="0.15">
      <c r="A31" s="84"/>
      <c r="B31" s="111"/>
      <c r="C31" s="112"/>
      <c r="D31" s="112"/>
      <c r="E31" s="113"/>
      <c r="F31" s="24"/>
      <c r="G31" s="24"/>
      <c r="H31" s="25"/>
      <c r="I31" s="25"/>
      <c r="J31" s="111"/>
      <c r="K31" s="112"/>
      <c r="L31" s="112"/>
      <c r="M31" s="112"/>
      <c r="N31" s="112"/>
      <c r="O31" s="113"/>
      <c r="P31" s="24"/>
      <c r="Q31" s="24"/>
      <c r="R31" s="25"/>
      <c r="S31" s="25"/>
    </row>
    <row r="32" spans="1:19" ht="7.5" customHeight="1" x14ac:dyDescent="0.15">
      <c r="A32" s="84"/>
      <c r="B32" s="6"/>
      <c r="C32" s="6"/>
      <c r="D32" s="84"/>
      <c r="E32" s="84"/>
      <c r="F32" s="84"/>
      <c r="G32" s="84"/>
      <c r="H32" s="6"/>
      <c r="I32" s="6"/>
      <c r="J32" s="6"/>
      <c r="K32" s="6"/>
      <c r="L32" s="6"/>
      <c r="M32" s="6"/>
      <c r="N32" s="6"/>
      <c r="O32" s="6"/>
      <c r="P32" s="6"/>
      <c r="Q32" s="6"/>
      <c r="R32" s="6"/>
      <c r="S32" s="84"/>
    </row>
    <row r="33" spans="1:19" ht="18" customHeight="1" x14ac:dyDescent="0.15">
      <c r="A33" s="114" t="s">
        <v>114</v>
      </c>
      <c r="B33" s="114"/>
      <c r="C33" s="114"/>
      <c r="D33" s="114"/>
      <c r="E33" s="114"/>
      <c r="F33" s="114"/>
      <c r="G33" s="114"/>
      <c r="H33" s="114"/>
      <c r="I33" s="114"/>
      <c r="J33" s="114"/>
      <c r="K33" s="114"/>
      <c r="L33" s="114"/>
      <c r="M33" s="114"/>
      <c r="N33" s="114"/>
      <c r="O33" s="114"/>
      <c r="P33" s="114"/>
      <c r="Q33" s="114"/>
      <c r="R33" s="114"/>
      <c r="S33" s="114"/>
    </row>
    <row r="34" spans="1:19" ht="18" customHeight="1" x14ac:dyDescent="0.15">
      <c r="A34" s="114"/>
      <c r="B34" s="114"/>
      <c r="C34" s="114"/>
      <c r="D34" s="114"/>
      <c r="E34" s="114"/>
      <c r="F34" s="114"/>
      <c r="G34" s="114"/>
      <c r="H34" s="114"/>
      <c r="I34" s="114"/>
      <c r="J34" s="114"/>
      <c r="K34" s="114"/>
      <c r="L34" s="114"/>
      <c r="M34" s="114"/>
      <c r="N34" s="114"/>
      <c r="O34" s="114"/>
      <c r="P34" s="114"/>
      <c r="Q34" s="114"/>
      <c r="R34" s="114"/>
      <c r="S34" s="114"/>
    </row>
    <row r="35" spans="1:19" ht="18" customHeight="1" x14ac:dyDescent="0.15">
      <c r="B35" s="108" t="s">
        <v>53</v>
      </c>
      <c r="C35" s="109"/>
      <c r="D35" s="109"/>
      <c r="E35" s="110"/>
      <c r="F35" s="59" t="s">
        <v>80</v>
      </c>
      <c r="G35" s="58" t="s">
        <v>84</v>
      </c>
      <c r="H35" s="21" t="s">
        <v>71</v>
      </c>
      <c r="I35" s="21" t="s">
        <v>72</v>
      </c>
      <c r="J35" s="108" t="s">
        <v>53</v>
      </c>
      <c r="K35" s="109"/>
      <c r="L35" s="109"/>
      <c r="M35" s="109"/>
      <c r="N35" s="109"/>
      <c r="O35" s="110"/>
      <c r="P35" s="59" t="s">
        <v>80</v>
      </c>
      <c r="Q35" s="58" t="s">
        <v>84</v>
      </c>
      <c r="R35" s="21" t="s">
        <v>71</v>
      </c>
      <c r="S35" s="21" t="s">
        <v>72</v>
      </c>
    </row>
    <row r="36" spans="1:19" ht="18" customHeight="1" x14ac:dyDescent="0.15">
      <c r="B36" s="102" t="s">
        <v>157</v>
      </c>
      <c r="C36" s="103"/>
      <c r="D36" s="103"/>
      <c r="E36" s="104"/>
      <c r="F36" s="22">
        <v>2</v>
      </c>
      <c r="G36" s="22" t="s">
        <v>132</v>
      </c>
      <c r="H36" s="22" t="s">
        <v>132</v>
      </c>
      <c r="I36" s="22" t="s">
        <v>132</v>
      </c>
      <c r="J36" s="102"/>
      <c r="K36" s="103"/>
      <c r="L36" s="103"/>
      <c r="M36" s="103"/>
      <c r="N36" s="103"/>
      <c r="O36" s="104"/>
      <c r="P36" s="22"/>
      <c r="Q36" s="22"/>
      <c r="R36" s="22"/>
      <c r="S36" s="22"/>
    </row>
    <row r="37" spans="1:19" ht="18" customHeight="1" x14ac:dyDescent="0.15">
      <c r="B37" s="105"/>
      <c r="C37" s="106"/>
      <c r="D37" s="106"/>
      <c r="E37" s="107"/>
      <c r="F37" s="23"/>
      <c r="G37" s="23"/>
      <c r="H37" s="23"/>
      <c r="I37" s="23"/>
      <c r="J37" s="105"/>
      <c r="K37" s="106"/>
      <c r="L37" s="106"/>
      <c r="M37" s="106"/>
      <c r="N37" s="106"/>
      <c r="O37" s="107"/>
      <c r="P37" s="23"/>
      <c r="Q37" s="23"/>
      <c r="R37" s="23"/>
      <c r="S37" s="23"/>
    </row>
    <row r="38" spans="1:19" ht="18" customHeight="1" x14ac:dyDescent="0.15">
      <c r="B38" s="105"/>
      <c r="C38" s="106"/>
      <c r="D38" s="106"/>
      <c r="E38" s="107"/>
      <c r="F38" s="23"/>
      <c r="G38" s="23"/>
      <c r="H38" s="23"/>
      <c r="I38" s="23"/>
      <c r="J38" s="105"/>
      <c r="K38" s="106"/>
      <c r="L38" s="106"/>
      <c r="M38" s="106"/>
      <c r="N38" s="106"/>
      <c r="O38" s="107"/>
      <c r="P38" s="23"/>
      <c r="Q38" s="23"/>
      <c r="R38" s="23"/>
      <c r="S38" s="23"/>
    </row>
    <row r="39" spans="1:19" ht="18" customHeight="1" x14ac:dyDescent="0.15">
      <c r="B39" s="105"/>
      <c r="C39" s="106"/>
      <c r="D39" s="106"/>
      <c r="E39" s="107"/>
      <c r="F39" s="23"/>
      <c r="G39" s="23"/>
      <c r="H39" s="23"/>
      <c r="I39" s="23"/>
      <c r="J39" s="105"/>
      <c r="K39" s="106"/>
      <c r="L39" s="106"/>
      <c r="M39" s="106"/>
      <c r="N39" s="106"/>
      <c r="O39" s="107"/>
      <c r="P39" s="23"/>
      <c r="Q39" s="23"/>
      <c r="R39" s="23"/>
      <c r="S39" s="23"/>
    </row>
    <row r="40" spans="1:19" ht="18" customHeight="1" x14ac:dyDescent="0.15">
      <c r="B40" s="105"/>
      <c r="C40" s="106"/>
      <c r="D40" s="106"/>
      <c r="E40" s="107"/>
      <c r="F40" s="23"/>
      <c r="G40" s="23"/>
      <c r="H40" s="23"/>
      <c r="I40" s="23"/>
      <c r="J40" s="105"/>
      <c r="K40" s="106"/>
      <c r="L40" s="106"/>
      <c r="M40" s="106"/>
      <c r="N40" s="106"/>
      <c r="O40" s="107"/>
      <c r="P40" s="23"/>
      <c r="Q40" s="23"/>
      <c r="R40" s="23"/>
      <c r="S40" s="23"/>
    </row>
    <row r="41" spans="1:19" ht="18" customHeight="1" x14ac:dyDescent="0.15">
      <c r="B41" s="105"/>
      <c r="C41" s="106"/>
      <c r="D41" s="106"/>
      <c r="E41" s="107"/>
      <c r="F41" s="23"/>
      <c r="G41" s="23"/>
      <c r="H41" s="23"/>
      <c r="I41" s="23"/>
      <c r="J41" s="105"/>
      <c r="K41" s="106"/>
      <c r="L41" s="106"/>
      <c r="M41" s="106"/>
      <c r="N41" s="106"/>
      <c r="O41" s="107"/>
      <c r="P41" s="23"/>
      <c r="Q41" s="23"/>
      <c r="R41" s="23"/>
      <c r="S41" s="23"/>
    </row>
    <row r="42" spans="1:19" ht="18" customHeight="1" x14ac:dyDescent="0.15">
      <c r="B42" s="111"/>
      <c r="C42" s="112"/>
      <c r="D42" s="112"/>
      <c r="E42" s="113"/>
      <c r="F42" s="24"/>
      <c r="G42" s="24"/>
      <c r="H42" s="25"/>
      <c r="I42" s="25"/>
      <c r="J42" s="111"/>
      <c r="K42" s="112"/>
      <c r="L42" s="112"/>
      <c r="M42" s="112"/>
      <c r="N42" s="112"/>
      <c r="O42" s="113"/>
      <c r="P42" s="24"/>
      <c r="Q42" s="24"/>
      <c r="R42" s="25"/>
      <c r="S42" s="25"/>
    </row>
    <row r="43" spans="1:19" ht="7.5" customHeight="1" x14ac:dyDescent="0.15">
      <c r="A43" s="84"/>
      <c r="B43" s="6"/>
      <c r="C43" s="6"/>
      <c r="D43" s="84"/>
      <c r="E43" s="84"/>
      <c r="F43" s="84"/>
      <c r="G43" s="84"/>
      <c r="H43" s="6"/>
      <c r="I43" s="6"/>
      <c r="J43" s="6"/>
      <c r="K43" s="6"/>
      <c r="L43" s="6"/>
      <c r="M43" s="6"/>
      <c r="N43" s="6"/>
      <c r="O43" s="6"/>
      <c r="P43" s="6"/>
      <c r="Q43" s="6"/>
      <c r="R43" s="6"/>
      <c r="S43" s="84"/>
    </row>
    <row r="44" spans="1:19" ht="18" customHeight="1" x14ac:dyDescent="0.15">
      <c r="A44" s="114" t="s">
        <v>115</v>
      </c>
      <c r="B44" s="114"/>
      <c r="C44" s="114"/>
      <c r="D44" s="114"/>
      <c r="E44" s="114"/>
      <c r="F44" s="114"/>
      <c r="G44" s="114"/>
      <c r="H44" s="114"/>
      <c r="I44" s="114"/>
      <c r="J44" s="114"/>
      <c r="K44" s="114"/>
      <c r="L44" s="114"/>
      <c r="M44" s="114"/>
      <c r="N44" s="114"/>
      <c r="O44" s="114"/>
      <c r="P44" s="114"/>
      <c r="Q44" s="114"/>
      <c r="R44" s="114"/>
      <c r="S44" s="114"/>
    </row>
    <row r="45" spans="1:19" ht="18" customHeight="1" x14ac:dyDescent="0.15">
      <c r="A45" s="114"/>
      <c r="B45" s="114"/>
      <c r="C45" s="114"/>
      <c r="D45" s="114"/>
      <c r="E45" s="114"/>
      <c r="F45" s="114"/>
      <c r="G45" s="114"/>
      <c r="H45" s="114"/>
      <c r="I45" s="114"/>
      <c r="J45" s="114"/>
      <c r="K45" s="114"/>
      <c r="L45" s="114"/>
      <c r="M45" s="114"/>
      <c r="N45" s="114"/>
      <c r="O45" s="114"/>
      <c r="P45" s="114"/>
      <c r="Q45" s="114"/>
      <c r="R45" s="114"/>
      <c r="S45" s="114"/>
    </row>
    <row r="46" spans="1:19" ht="18" customHeight="1" x14ac:dyDescent="0.15">
      <c r="B46" s="108" t="s">
        <v>53</v>
      </c>
      <c r="C46" s="109"/>
      <c r="D46" s="109"/>
      <c r="E46" s="110"/>
      <c r="F46" s="59" t="s">
        <v>80</v>
      </c>
      <c r="G46" s="58" t="s">
        <v>84</v>
      </c>
      <c r="H46" s="21" t="s">
        <v>73</v>
      </c>
      <c r="I46" s="21" t="s">
        <v>74</v>
      </c>
      <c r="J46" s="108" t="s">
        <v>53</v>
      </c>
      <c r="K46" s="109"/>
      <c r="L46" s="109"/>
      <c r="M46" s="109"/>
      <c r="N46" s="109"/>
      <c r="O46" s="110"/>
      <c r="P46" s="59" t="s">
        <v>80</v>
      </c>
      <c r="Q46" s="58" t="s">
        <v>84</v>
      </c>
      <c r="R46" s="21" t="s">
        <v>73</v>
      </c>
      <c r="S46" s="21" t="s">
        <v>74</v>
      </c>
    </row>
    <row r="47" spans="1:19" ht="18" customHeight="1" x14ac:dyDescent="0.15">
      <c r="A47" s="84"/>
      <c r="B47" s="102" t="s">
        <v>157</v>
      </c>
      <c r="C47" s="103"/>
      <c r="D47" s="103"/>
      <c r="E47" s="104"/>
      <c r="F47" s="22">
        <v>2</v>
      </c>
      <c r="G47" s="22" t="s">
        <v>132</v>
      </c>
      <c r="H47" s="22" t="s">
        <v>132</v>
      </c>
      <c r="I47" s="22" t="s">
        <v>132</v>
      </c>
      <c r="J47" s="102"/>
      <c r="K47" s="103"/>
      <c r="L47" s="103"/>
      <c r="M47" s="103"/>
      <c r="N47" s="103"/>
      <c r="O47" s="104"/>
      <c r="P47" s="22"/>
      <c r="Q47" s="22"/>
      <c r="R47" s="22"/>
      <c r="S47" s="22"/>
    </row>
    <row r="48" spans="1:19" ht="18" customHeight="1" x14ac:dyDescent="0.15">
      <c r="A48" s="84"/>
      <c r="B48" s="105"/>
      <c r="C48" s="106"/>
      <c r="D48" s="106"/>
      <c r="E48" s="107"/>
      <c r="F48" s="23"/>
      <c r="G48" s="23"/>
      <c r="H48" s="23"/>
      <c r="I48" s="23"/>
      <c r="J48" s="105"/>
      <c r="K48" s="106"/>
      <c r="L48" s="106"/>
      <c r="M48" s="106"/>
      <c r="N48" s="106"/>
      <c r="O48" s="107"/>
      <c r="P48" s="23"/>
      <c r="Q48" s="23"/>
      <c r="R48" s="23"/>
      <c r="S48" s="23"/>
    </row>
    <row r="49" spans="1:19" ht="18" customHeight="1" x14ac:dyDescent="0.15">
      <c r="A49" s="84"/>
      <c r="B49" s="105"/>
      <c r="C49" s="106"/>
      <c r="D49" s="106"/>
      <c r="E49" s="107"/>
      <c r="F49" s="23"/>
      <c r="G49" s="23"/>
      <c r="H49" s="23"/>
      <c r="I49" s="23"/>
      <c r="J49" s="105"/>
      <c r="K49" s="106"/>
      <c r="L49" s="106"/>
      <c r="M49" s="106"/>
      <c r="N49" s="106"/>
      <c r="O49" s="107"/>
      <c r="P49" s="23"/>
      <c r="Q49" s="23"/>
      <c r="R49" s="23"/>
      <c r="S49" s="23"/>
    </row>
    <row r="50" spans="1:19" ht="18" customHeight="1" x14ac:dyDescent="0.15">
      <c r="A50" s="84"/>
      <c r="B50" s="105"/>
      <c r="C50" s="106"/>
      <c r="D50" s="106"/>
      <c r="E50" s="107"/>
      <c r="F50" s="23"/>
      <c r="G50" s="23"/>
      <c r="H50" s="23"/>
      <c r="I50" s="23"/>
      <c r="J50" s="105"/>
      <c r="K50" s="106"/>
      <c r="L50" s="106"/>
      <c r="M50" s="106"/>
      <c r="N50" s="106"/>
      <c r="O50" s="107"/>
      <c r="P50" s="23"/>
      <c r="Q50" s="23"/>
      <c r="R50" s="23"/>
      <c r="S50" s="23"/>
    </row>
    <row r="51" spans="1:19" ht="18" customHeight="1" x14ac:dyDescent="0.15">
      <c r="A51" s="84"/>
      <c r="B51" s="105"/>
      <c r="C51" s="106"/>
      <c r="D51" s="106"/>
      <c r="E51" s="107"/>
      <c r="F51" s="23"/>
      <c r="G51" s="23"/>
      <c r="H51" s="23"/>
      <c r="I51" s="23"/>
      <c r="J51" s="105"/>
      <c r="K51" s="106"/>
      <c r="L51" s="106"/>
      <c r="M51" s="106"/>
      <c r="N51" s="106"/>
      <c r="O51" s="107"/>
      <c r="P51" s="23"/>
      <c r="Q51" s="23"/>
      <c r="R51" s="23"/>
      <c r="S51" s="23"/>
    </row>
    <row r="52" spans="1:19" ht="18" customHeight="1" x14ac:dyDescent="0.15">
      <c r="A52" s="84"/>
      <c r="B52" s="105"/>
      <c r="C52" s="106"/>
      <c r="D52" s="106"/>
      <c r="E52" s="107"/>
      <c r="F52" s="23"/>
      <c r="G52" s="23"/>
      <c r="H52" s="23"/>
      <c r="I52" s="23"/>
      <c r="J52" s="105"/>
      <c r="K52" s="106"/>
      <c r="L52" s="106"/>
      <c r="M52" s="106"/>
      <c r="N52" s="106"/>
      <c r="O52" s="107"/>
      <c r="P52" s="23"/>
      <c r="Q52" s="23"/>
      <c r="R52" s="23"/>
      <c r="S52" s="23"/>
    </row>
    <row r="53" spans="1:19" ht="18" customHeight="1" x14ac:dyDescent="0.15">
      <c r="A53" s="84"/>
      <c r="B53" s="111"/>
      <c r="C53" s="112"/>
      <c r="D53" s="112"/>
      <c r="E53" s="113"/>
      <c r="F53" s="24"/>
      <c r="G53" s="24"/>
      <c r="H53" s="25"/>
      <c r="I53" s="25"/>
      <c r="J53" s="111"/>
      <c r="K53" s="112"/>
      <c r="L53" s="112"/>
      <c r="M53" s="112"/>
      <c r="N53" s="112"/>
      <c r="O53" s="113"/>
      <c r="P53" s="24"/>
      <c r="Q53" s="24"/>
      <c r="R53" s="25"/>
      <c r="S53" s="25"/>
    </row>
    <row r="54" spans="1:19" ht="7.5" customHeight="1" x14ac:dyDescent="0.15">
      <c r="B54" s="85"/>
      <c r="C54" s="85"/>
      <c r="D54" s="85"/>
      <c r="E54" s="85"/>
      <c r="F54" s="85"/>
      <c r="G54" s="85"/>
      <c r="H54" s="85"/>
      <c r="I54" s="85"/>
      <c r="J54" s="85"/>
      <c r="K54" s="85"/>
      <c r="L54" s="85"/>
      <c r="M54" s="85"/>
      <c r="N54" s="85"/>
      <c r="O54" s="85"/>
      <c r="P54" s="85"/>
      <c r="Q54" s="85"/>
      <c r="R54" s="85"/>
    </row>
    <row r="55" spans="1:19" ht="18" customHeight="1" x14ac:dyDescent="0.15">
      <c r="A55" s="114" t="s">
        <v>116</v>
      </c>
      <c r="B55" s="114"/>
      <c r="C55" s="114"/>
      <c r="D55" s="114"/>
      <c r="E55" s="114"/>
      <c r="F55" s="114"/>
      <c r="G55" s="114"/>
      <c r="H55" s="114"/>
      <c r="I55" s="114"/>
      <c r="J55" s="114"/>
      <c r="K55" s="114"/>
      <c r="L55" s="114"/>
      <c r="M55" s="114"/>
      <c r="N55" s="114"/>
      <c r="O55" s="114"/>
      <c r="P55" s="114"/>
      <c r="Q55" s="114"/>
      <c r="R55" s="114"/>
      <c r="S55" s="114"/>
    </row>
    <row r="56" spans="1:19" ht="18" customHeight="1" x14ac:dyDescent="0.15">
      <c r="A56" s="114"/>
      <c r="B56" s="114"/>
      <c r="C56" s="114"/>
      <c r="D56" s="114"/>
      <c r="E56" s="114"/>
      <c r="F56" s="114"/>
      <c r="G56" s="114"/>
      <c r="H56" s="114"/>
      <c r="I56" s="114"/>
      <c r="J56" s="114"/>
      <c r="K56" s="114"/>
      <c r="L56" s="114"/>
      <c r="M56" s="114"/>
      <c r="N56" s="114"/>
      <c r="O56" s="114"/>
      <c r="P56" s="114"/>
      <c r="Q56" s="114"/>
      <c r="R56" s="114"/>
      <c r="S56" s="114"/>
    </row>
    <row r="57" spans="1:19" ht="18" customHeight="1" x14ac:dyDescent="0.15">
      <c r="B57" s="108" t="s">
        <v>53</v>
      </c>
      <c r="C57" s="109"/>
      <c r="D57" s="109"/>
      <c r="E57" s="110"/>
      <c r="F57" s="59" t="s">
        <v>80</v>
      </c>
      <c r="G57" s="58" t="s">
        <v>84</v>
      </c>
      <c r="H57" s="21" t="s">
        <v>58</v>
      </c>
      <c r="I57" s="21" t="s">
        <v>60</v>
      </c>
      <c r="J57" s="108" t="s">
        <v>53</v>
      </c>
      <c r="K57" s="109"/>
      <c r="L57" s="109"/>
      <c r="M57" s="109"/>
      <c r="N57" s="109"/>
      <c r="O57" s="110"/>
      <c r="P57" s="59" t="s">
        <v>80</v>
      </c>
      <c r="Q57" s="58" t="s">
        <v>84</v>
      </c>
      <c r="R57" s="21" t="s">
        <v>58</v>
      </c>
      <c r="S57" s="21" t="s">
        <v>60</v>
      </c>
    </row>
    <row r="58" spans="1:19" ht="18" customHeight="1" x14ac:dyDescent="0.15">
      <c r="A58" s="84"/>
      <c r="B58" s="102" t="s">
        <v>157</v>
      </c>
      <c r="C58" s="103"/>
      <c r="D58" s="103"/>
      <c r="E58" s="104"/>
      <c r="F58" s="22">
        <v>2</v>
      </c>
      <c r="G58" s="22" t="s">
        <v>132</v>
      </c>
      <c r="H58" s="22" t="s">
        <v>132</v>
      </c>
      <c r="I58" s="22" t="s">
        <v>132</v>
      </c>
      <c r="J58" s="102"/>
      <c r="K58" s="103"/>
      <c r="L58" s="103"/>
      <c r="M58" s="103"/>
      <c r="N58" s="103"/>
      <c r="O58" s="104"/>
      <c r="P58" s="22"/>
      <c r="Q58" s="22"/>
      <c r="R58" s="22"/>
      <c r="S58" s="22"/>
    </row>
    <row r="59" spans="1:19" ht="18" customHeight="1" x14ac:dyDescent="0.15">
      <c r="A59" s="84"/>
      <c r="B59" s="105"/>
      <c r="C59" s="106"/>
      <c r="D59" s="106"/>
      <c r="E59" s="107"/>
      <c r="F59" s="23"/>
      <c r="G59" s="23"/>
      <c r="H59" s="23"/>
      <c r="I59" s="23"/>
      <c r="J59" s="105"/>
      <c r="K59" s="106"/>
      <c r="L59" s="106"/>
      <c r="M59" s="106"/>
      <c r="N59" s="106"/>
      <c r="O59" s="107"/>
      <c r="P59" s="23"/>
      <c r="Q59" s="23"/>
      <c r="R59" s="23"/>
      <c r="S59" s="23"/>
    </row>
    <row r="60" spans="1:19" ht="18" customHeight="1" x14ac:dyDescent="0.15">
      <c r="A60" s="84"/>
      <c r="B60" s="105"/>
      <c r="C60" s="106"/>
      <c r="D60" s="106"/>
      <c r="E60" s="107"/>
      <c r="F60" s="23"/>
      <c r="G60" s="23"/>
      <c r="H60" s="23"/>
      <c r="I60" s="23"/>
      <c r="J60" s="105"/>
      <c r="K60" s="106"/>
      <c r="L60" s="106"/>
      <c r="M60" s="106"/>
      <c r="N60" s="106"/>
      <c r="O60" s="107"/>
      <c r="P60" s="23"/>
      <c r="Q60" s="23"/>
      <c r="R60" s="23"/>
      <c r="S60" s="23"/>
    </row>
    <row r="61" spans="1:19" ht="18" customHeight="1" x14ac:dyDescent="0.15">
      <c r="A61" s="84"/>
      <c r="B61" s="105"/>
      <c r="C61" s="106"/>
      <c r="D61" s="106"/>
      <c r="E61" s="107"/>
      <c r="F61" s="23"/>
      <c r="G61" s="23"/>
      <c r="H61" s="23"/>
      <c r="I61" s="23"/>
      <c r="J61" s="105"/>
      <c r="K61" s="106"/>
      <c r="L61" s="106"/>
      <c r="M61" s="106"/>
      <c r="N61" s="106"/>
      <c r="O61" s="107"/>
      <c r="P61" s="23"/>
      <c r="Q61" s="23"/>
      <c r="R61" s="23"/>
      <c r="S61" s="23"/>
    </row>
    <row r="62" spans="1:19" ht="18" customHeight="1" x14ac:dyDescent="0.15">
      <c r="A62" s="84"/>
      <c r="B62" s="105"/>
      <c r="C62" s="106"/>
      <c r="D62" s="106"/>
      <c r="E62" s="107"/>
      <c r="F62" s="23"/>
      <c r="G62" s="23"/>
      <c r="H62" s="23"/>
      <c r="I62" s="23"/>
      <c r="J62" s="105"/>
      <c r="K62" s="106"/>
      <c r="L62" s="106"/>
      <c r="M62" s="106"/>
      <c r="N62" s="106"/>
      <c r="O62" s="107"/>
      <c r="P62" s="23"/>
      <c r="Q62" s="23"/>
      <c r="R62" s="23"/>
      <c r="S62" s="23"/>
    </row>
    <row r="63" spans="1:19" ht="18" customHeight="1" x14ac:dyDescent="0.15">
      <c r="A63" s="84"/>
      <c r="B63" s="105"/>
      <c r="C63" s="106"/>
      <c r="D63" s="106"/>
      <c r="E63" s="107"/>
      <c r="F63" s="23"/>
      <c r="G63" s="23"/>
      <c r="H63" s="23"/>
      <c r="I63" s="23"/>
      <c r="J63" s="105"/>
      <c r="K63" s="106"/>
      <c r="L63" s="106"/>
      <c r="M63" s="106"/>
      <c r="N63" s="106"/>
      <c r="O63" s="107"/>
      <c r="P63" s="23"/>
      <c r="Q63" s="23"/>
      <c r="R63" s="23"/>
      <c r="S63" s="23"/>
    </row>
    <row r="64" spans="1:19" ht="18" customHeight="1" x14ac:dyDescent="0.15">
      <c r="A64" s="84"/>
      <c r="B64" s="111"/>
      <c r="C64" s="112"/>
      <c r="D64" s="112"/>
      <c r="E64" s="113"/>
      <c r="F64" s="24"/>
      <c r="G64" s="24"/>
      <c r="H64" s="25"/>
      <c r="I64" s="25"/>
      <c r="J64" s="111"/>
      <c r="K64" s="112"/>
      <c r="L64" s="112"/>
      <c r="M64" s="112"/>
      <c r="N64" s="112"/>
      <c r="O64" s="113"/>
      <c r="P64" s="24"/>
      <c r="Q64" s="24"/>
      <c r="R64" s="25"/>
      <c r="S64" s="25"/>
    </row>
    <row r="65" spans="1:19" ht="7.5" customHeight="1" x14ac:dyDescent="0.15">
      <c r="B65" s="85"/>
      <c r="C65" s="85"/>
      <c r="D65" s="85"/>
      <c r="E65" s="85"/>
      <c r="F65" s="85"/>
      <c r="G65" s="85"/>
      <c r="H65" s="85"/>
      <c r="I65" s="85"/>
      <c r="J65" s="85"/>
      <c r="K65" s="85"/>
      <c r="L65" s="85"/>
      <c r="M65" s="85"/>
      <c r="N65" s="85"/>
      <c r="O65" s="85"/>
      <c r="P65" s="85"/>
      <c r="Q65" s="85"/>
      <c r="R65" s="85"/>
    </row>
    <row r="66" spans="1:19" ht="18" customHeight="1" x14ac:dyDescent="0.15">
      <c r="A66" s="114" t="s">
        <v>117</v>
      </c>
      <c r="B66" s="114"/>
      <c r="C66" s="114"/>
      <c r="D66" s="114"/>
      <c r="E66" s="114"/>
      <c r="F66" s="114"/>
      <c r="G66" s="114"/>
      <c r="H66" s="114"/>
      <c r="I66" s="114"/>
      <c r="J66" s="114"/>
      <c r="K66" s="114"/>
      <c r="L66" s="114"/>
      <c r="M66" s="114"/>
      <c r="N66" s="114"/>
      <c r="O66" s="114"/>
      <c r="P66" s="114"/>
      <c r="Q66" s="114"/>
      <c r="R66" s="114"/>
      <c r="S66" s="114"/>
    </row>
    <row r="67" spans="1:19" ht="18" customHeight="1" x14ac:dyDescent="0.15">
      <c r="A67" s="114"/>
      <c r="B67" s="114"/>
      <c r="C67" s="114"/>
      <c r="D67" s="114"/>
      <c r="E67" s="114"/>
      <c r="F67" s="114"/>
      <c r="G67" s="114"/>
      <c r="H67" s="114"/>
      <c r="I67" s="114"/>
      <c r="J67" s="114"/>
      <c r="K67" s="114"/>
      <c r="L67" s="114"/>
      <c r="M67" s="114"/>
      <c r="N67" s="114"/>
      <c r="O67" s="114"/>
      <c r="P67" s="114"/>
      <c r="Q67" s="114"/>
      <c r="R67" s="114"/>
      <c r="S67" s="114"/>
    </row>
    <row r="68" spans="1:19" ht="18" customHeight="1" x14ac:dyDescent="0.15">
      <c r="B68" s="108" t="s">
        <v>53</v>
      </c>
      <c r="C68" s="109"/>
      <c r="D68" s="109"/>
      <c r="E68" s="59" t="s">
        <v>80</v>
      </c>
      <c r="F68" s="58" t="s">
        <v>84</v>
      </c>
      <c r="G68" s="21" t="s">
        <v>101</v>
      </c>
      <c r="H68" s="21" t="s">
        <v>75</v>
      </c>
      <c r="I68" s="21" t="s">
        <v>76</v>
      </c>
      <c r="J68" s="108" t="s">
        <v>53</v>
      </c>
      <c r="K68" s="109"/>
      <c r="L68" s="109"/>
      <c r="M68" s="109"/>
      <c r="N68" s="110"/>
      <c r="O68" s="59" t="s">
        <v>80</v>
      </c>
      <c r="P68" s="58" t="s">
        <v>84</v>
      </c>
      <c r="Q68" s="21" t="s">
        <v>101</v>
      </c>
      <c r="R68" s="21" t="s">
        <v>75</v>
      </c>
      <c r="S68" s="21" t="s">
        <v>76</v>
      </c>
    </row>
    <row r="69" spans="1:19" ht="18" customHeight="1" x14ac:dyDescent="0.15">
      <c r="A69" s="84"/>
      <c r="B69" s="102" t="s">
        <v>158</v>
      </c>
      <c r="C69" s="103"/>
      <c r="D69" s="103"/>
      <c r="E69" s="22">
        <v>2</v>
      </c>
      <c r="F69" s="22" t="s">
        <v>132</v>
      </c>
      <c r="G69" s="22" t="s">
        <v>132</v>
      </c>
      <c r="H69" s="22" t="s">
        <v>132</v>
      </c>
      <c r="I69" s="22" t="s">
        <v>132</v>
      </c>
      <c r="J69" s="102"/>
      <c r="K69" s="103"/>
      <c r="L69" s="103"/>
      <c r="M69" s="103"/>
      <c r="N69" s="104"/>
      <c r="O69" s="22"/>
      <c r="P69" s="22"/>
      <c r="Q69" s="22"/>
      <c r="R69" s="22"/>
      <c r="S69" s="22"/>
    </row>
    <row r="70" spans="1:19" ht="18" customHeight="1" x14ac:dyDescent="0.15">
      <c r="A70" s="84"/>
      <c r="B70" s="105"/>
      <c r="C70" s="106"/>
      <c r="D70" s="106"/>
      <c r="E70" s="23"/>
      <c r="F70" s="23"/>
      <c r="G70" s="23"/>
      <c r="H70" s="23"/>
      <c r="I70" s="23"/>
      <c r="J70" s="105"/>
      <c r="K70" s="106"/>
      <c r="L70" s="106"/>
      <c r="M70" s="106"/>
      <c r="N70" s="107"/>
      <c r="O70" s="23"/>
      <c r="P70" s="23"/>
      <c r="Q70" s="23"/>
      <c r="R70" s="23"/>
      <c r="S70" s="23"/>
    </row>
    <row r="71" spans="1:19" ht="18" customHeight="1" x14ac:dyDescent="0.15">
      <c r="A71" s="84"/>
      <c r="B71" s="105"/>
      <c r="C71" s="106"/>
      <c r="D71" s="106"/>
      <c r="E71" s="23"/>
      <c r="F71" s="23"/>
      <c r="G71" s="23"/>
      <c r="H71" s="23"/>
      <c r="I71" s="23"/>
      <c r="J71" s="105"/>
      <c r="K71" s="106"/>
      <c r="L71" s="106"/>
      <c r="M71" s="106"/>
      <c r="N71" s="107"/>
      <c r="O71" s="23"/>
      <c r="P71" s="23"/>
      <c r="Q71" s="23"/>
      <c r="R71" s="23"/>
      <c r="S71" s="23"/>
    </row>
    <row r="72" spans="1:19" ht="18" customHeight="1" x14ac:dyDescent="0.15">
      <c r="A72" s="84"/>
      <c r="B72" s="105"/>
      <c r="C72" s="106"/>
      <c r="D72" s="106"/>
      <c r="E72" s="23"/>
      <c r="F72" s="23"/>
      <c r="G72" s="23"/>
      <c r="H72" s="23"/>
      <c r="I72" s="23"/>
      <c r="J72" s="105"/>
      <c r="K72" s="106"/>
      <c r="L72" s="106"/>
      <c r="M72" s="106"/>
      <c r="N72" s="107"/>
      <c r="O72" s="23"/>
      <c r="P72" s="23"/>
      <c r="Q72" s="23"/>
      <c r="R72" s="23"/>
      <c r="S72" s="23"/>
    </row>
    <row r="73" spans="1:19" ht="18" customHeight="1" x14ac:dyDescent="0.15">
      <c r="A73" s="84"/>
      <c r="B73" s="105"/>
      <c r="C73" s="106"/>
      <c r="D73" s="106"/>
      <c r="E73" s="23"/>
      <c r="F73" s="23"/>
      <c r="G73" s="23"/>
      <c r="H73" s="23"/>
      <c r="I73" s="23"/>
      <c r="J73" s="105"/>
      <c r="K73" s="106"/>
      <c r="L73" s="106"/>
      <c r="M73" s="106"/>
      <c r="N73" s="107"/>
      <c r="O73" s="23"/>
      <c r="P73" s="23"/>
      <c r="Q73" s="23"/>
      <c r="R73" s="23"/>
      <c r="S73" s="23"/>
    </row>
    <row r="74" spans="1:19" ht="18" customHeight="1" x14ac:dyDescent="0.15">
      <c r="A74" s="84"/>
      <c r="B74" s="105"/>
      <c r="C74" s="106"/>
      <c r="D74" s="106"/>
      <c r="E74" s="23"/>
      <c r="F74" s="23"/>
      <c r="G74" s="23"/>
      <c r="H74" s="23"/>
      <c r="I74" s="23"/>
      <c r="J74" s="105"/>
      <c r="K74" s="106"/>
      <c r="L74" s="106"/>
      <c r="M74" s="106"/>
      <c r="N74" s="107"/>
      <c r="O74" s="23"/>
      <c r="P74" s="23"/>
      <c r="Q74" s="23"/>
      <c r="R74" s="23"/>
      <c r="S74" s="23"/>
    </row>
    <row r="75" spans="1:19" ht="18" customHeight="1" x14ac:dyDescent="0.15">
      <c r="A75" s="84"/>
      <c r="B75" s="111"/>
      <c r="C75" s="112"/>
      <c r="D75" s="112"/>
      <c r="E75" s="24"/>
      <c r="F75" s="24"/>
      <c r="G75" s="25"/>
      <c r="H75" s="25"/>
      <c r="I75" s="25"/>
      <c r="J75" s="111"/>
      <c r="K75" s="112"/>
      <c r="L75" s="112"/>
      <c r="M75" s="112"/>
      <c r="N75" s="113"/>
      <c r="O75" s="24"/>
      <c r="P75" s="24"/>
      <c r="Q75" s="25"/>
      <c r="R75" s="25"/>
      <c r="S75" s="25"/>
    </row>
    <row r="76" spans="1:19" ht="7.5" customHeight="1" x14ac:dyDescent="0.15">
      <c r="B76" s="85"/>
      <c r="C76" s="85"/>
      <c r="D76" s="85"/>
      <c r="E76" s="85"/>
      <c r="F76" s="85"/>
      <c r="G76" s="85"/>
      <c r="H76" s="85"/>
      <c r="I76" s="85"/>
      <c r="J76" s="85"/>
      <c r="K76" s="85"/>
      <c r="L76" s="85"/>
      <c r="M76" s="85"/>
      <c r="N76" s="85"/>
      <c r="O76" s="85"/>
      <c r="P76" s="85"/>
      <c r="Q76" s="85"/>
      <c r="R76" s="85"/>
    </row>
    <row r="77" spans="1:19" ht="18" customHeight="1" x14ac:dyDescent="0.15">
      <c r="A77" s="83" t="s">
        <v>118</v>
      </c>
      <c r="H77" s="84"/>
      <c r="I77" s="84"/>
      <c r="J77" s="84"/>
      <c r="K77" s="84"/>
      <c r="L77" s="84"/>
      <c r="M77" s="84"/>
      <c r="N77" s="84"/>
      <c r="O77" s="84"/>
      <c r="P77" s="84"/>
      <c r="Q77" s="84"/>
      <c r="R77" s="84"/>
      <c r="S77" s="84"/>
    </row>
    <row r="78" spans="1:19" ht="18" customHeight="1" x14ac:dyDescent="0.15">
      <c r="B78" s="108" t="s">
        <v>53</v>
      </c>
      <c r="C78" s="109"/>
      <c r="D78" s="109"/>
      <c r="E78" s="110"/>
      <c r="F78" s="108" t="s">
        <v>82</v>
      </c>
      <c r="G78" s="109"/>
      <c r="H78" s="109"/>
      <c r="I78" s="110"/>
      <c r="J78" s="135" t="s">
        <v>53</v>
      </c>
      <c r="K78" s="136"/>
      <c r="L78" s="136"/>
      <c r="M78" s="136"/>
      <c r="N78" s="136"/>
      <c r="O78" s="137"/>
      <c r="P78" s="108" t="s">
        <v>82</v>
      </c>
      <c r="Q78" s="109"/>
      <c r="R78" s="109"/>
      <c r="S78" s="110"/>
    </row>
    <row r="79" spans="1:19" ht="18" customHeight="1" x14ac:dyDescent="0.15">
      <c r="A79" s="84"/>
      <c r="B79" s="102"/>
      <c r="C79" s="103"/>
      <c r="D79" s="103"/>
      <c r="E79" s="104"/>
      <c r="F79" s="129"/>
      <c r="G79" s="130"/>
      <c r="H79" s="130"/>
      <c r="I79" s="131"/>
      <c r="J79" s="102"/>
      <c r="K79" s="103"/>
      <c r="L79" s="103"/>
      <c r="M79" s="103"/>
      <c r="N79" s="103"/>
      <c r="O79" s="104"/>
      <c r="P79" s="129"/>
      <c r="Q79" s="130"/>
      <c r="R79" s="130"/>
      <c r="S79" s="131"/>
    </row>
    <row r="80" spans="1:19" ht="18" customHeight="1" x14ac:dyDescent="0.15">
      <c r="A80" s="84"/>
      <c r="B80" s="105"/>
      <c r="C80" s="106"/>
      <c r="D80" s="106"/>
      <c r="E80" s="107"/>
      <c r="F80" s="132"/>
      <c r="G80" s="133"/>
      <c r="H80" s="133"/>
      <c r="I80" s="134"/>
      <c r="J80" s="105"/>
      <c r="K80" s="106"/>
      <c r="L80" s="106"/>
      <c r="M80" s="106"/>
      <c r="N80" s="106"/>
      <c r="O80" s="107"/>
      <c r="P80" s="132"/>
      <c r="Q80" s="133"/>
      <c r="R80" s="133"/>
      <c r="S80" s="134"/>
    </row>
    <row r="81" spans="1:19" ht="18" customHeight="1" x14ac:dyDescent="0.15">
      <c r="A81" s="84"/>
      <c r="B81" s="105"/>
      <c r="C81" s="106"/>
      <c r="D81" s="106"/>
      <c r="E81" s="107"/>
      <c r="F81" s="132"/>
      <c r="G81" s="133"/>
      <c r="H81" s="133"/>
      <c r="I81" s="134"/>
      <c r="J81" s="105"/>
      <c r="K81" s="106"/>
      <c r="L81" s="106"/>
      <c r="M81" s="106"/>
      <c r="N81" s="106"/>
      <c r="O81" s="107"/>
      <c r="P81" s="132"/>
      <c r="Q81" s="133"/>
      <c r="R81" s="133"/>
      <c r="S81" s="134"/>
    </row>
    <row r="82" spans="1:19" ht="18" customHeight="1" x14ac:dyDescent="0.15">
      <c r="A82" s="84"/>
      <c r="B82" s="105"/>
      <c r="C82" s="106"/>
      <c r="D82" s="106"/>
      <c r="E82" s="107"/>
      <c r="F82" s="132"/>
      <c r="G82" s="133"/>
      <c r="H82" s="133"/>
      <c r="I82" s="134"/>
      <c r="J82" s="105"/>
      <c r="K82" s="106"/>
      <c r="L82" s="106"/>
      <c r="M82" s="106"/>
      <c r="N82" s="106"/>
      <c r="O82" s="107"/>
      <c r="P82" s="132"/>
      <c r="Q82" s="133"/>
      <c r="R82" s="133"/>
      <c r="S82" s="134"/>
    </row>
    <row r="83" spans="1:19" ht="18" customHeight="1" x14ac:dyDescent="0.15">
      <c r="A83" s="84"/>
      <c r="B83" s="105"/>
      <c r="C83" s="106"/>
      <c r="D83" s="106"/>
      <c r="E83" s="107"/>
      <c r="F83" s="132"/>
      <c r="G83" s="133"/>
      <c r="H83" s="133"/>
      <c r="I83" s="134"/>
      <c r="J83" s="105"/>
      <c r="K83" s="106"/>
      <c r="L83" s="106"/>
      <c r="M83" s="106"/>
      <c r="N83" s="106"/>
      <c r="O83" s="107"/>
      <c r="P83" s="132"/>
      <c r="Q83" s="133"/>
      <c r="R83" s="133"/>
      <c r="S83" s="134"/>
    </row>
    <row r="84" spans="1:19" ht="18" customHeight="1" x14ac:dyDescent="0.15">
      <c r="A84" s="84"/>
      <c r="B84" s="105"/>
      <c r="C84" s="106"/>
      <c r="D84" s="106"/>
      <c r="E84" s="107"/>
      <c r="F84" s="132"/>
      <c r="G84" s="133"/>
      <c r="H84" s="133"/>
      <c r="I84" s="134"/>
      <c r="J84" s="105"/>
      <c r="K84" s="106"/>
      <c r="L84" s="106"/>
      <c r="M84" s="106"/>
      <c r="N84" s="106"/>
      <c r="O84" s="107"/>
      <c r="P84" s="132"/>
      <c r="Q84" s="133"/>
      <c r="R84" s="133"/>
      <c r="S84" s="134"/>
    </row>
    <row r="85" spans="1:19" ht="18" customHeight="1" x14ac:dyDescent="0.15">
      <c r="A85" s="84"/>
      <c r="B85" s="111"/>
      <c r="C85" s="112"/>
      <c r="D85" s="112"/>
      <c r="E85" s="113"/>
      <c r="F85" s="141"/>
      <c r="G85" s="142"/>
      <c r="H85" s="142"/>
      <c r="I85" s="143"/>
      <c r="J85" s="111"/>
      <c r="K85" s="112"/>
      <c r="L85" s="112"/>
      <c r="M85" s="112"/>
      <c r="N85" s="112"/>
      <c r="O85" s="113"/>
      <c r="P85" s="141"/>
      <c r="Q85" s="142"/>
      <c r="R85" s="142"/>
      <c r="S85" s="143"/>
    </row>
    <row r="86" spans="1:19" ht="18" customHeight="1" x14ac:dyDescent="0.15">
      <c r="A86" s="84"/>
      <c r="B86" s="6"/>
      <c r="C86" s="6"/>
      <c r="D86" s="6"/>
      <c r="E86" s="6"/>
      <c r="F86" s="26"/>
      <c r="G86" s="26"/>
      <c r="H86" s="26"/>
      <c r="I86" s="26"/>
      <c r="J86" s="6"/>
      <c r="K86" s="6"/>
      <c r="L86" s="6"/>
      <c r="M86" s="6"/>
      <c r="N86" s="6"/>
      <c r="O86" s="6"/>
      <c r="P86" s="26"/>
      <c r="Q86" s="26"/>
      <c r="R86" s="26"/>
      <c r="S86" s="26"/>
    </row>
    <row r="87" spans="1:19" ht="18.75" customHeight="1" x14ac:dyDescent="0.15">
      <c r="A87" s="83" t="s">
        <v>119</v>
      </c>
    </row>
    <row r="88" spans="1:19" ht="18.75" customHeight="1" x14ac:dyDescent="0.15">
      <c r="B88" s="126" t="s">
        <v>54</v>
      </c>
      <c r="C88" s="127"/>
      <c r="D88" s="109" t="s">
        <v>55</v>
      </c>
      <c r="E88" s="109"/>
      <c r="F88" s="109"/>
      <c r="G88" s="109"/>
      <c r="H88" s="109"/>
      <c r="I88" s="109"/>
      <c r="J88" s="109"/>
      <c r="K88" s="109"/>
      <c r="L88" s="109"/>
      <c r="M88" s="109"/>
      <c r="N88" s="109"/>
      <c r="O88" s="109"/>
      <c r="P88" s="109"/>
      <c r="Q88" s="109"/>
      <c r="R88" s="109"/>
      <c r="S88" s="110"/>
    </row>
    <row r="89" spans="1:19" ht="118.5" customHeight="1" x14ac:dyDescent="0.15">
      <c r="B89" s="115" t="s">
        <v>61</v>
      </c>
      <c r="C89" s="27" t="s">
        <v>56</v>
      </c>
      <c r="D89" s="128" t="s">
        <v>220</v>
      </c>
      <c r="E89" s="128"/>
      <c r="F89" s="128"/>
      <c r="G89" s="128"/>
      <c r="H89" s="128"/>
      <c r="I89" s="128"/>
      <c r="J89" s="128"/>
      <c r="K89" s="128"/>
      <c r="L89" s="128"/>
      <c r="M89" s="128"/>
      <c r="N89" s="128"/>
      <c r="O89" s="128"/>
      <c r="P89" s="128"/>
      <c r="Q89" s="128"/>
      <c r="R89" s="128"/>
      <c r="S89" s="195"/>
    </row>
    <row r="90" spans="1:19" ht="97.5" customHeight="1" x14ac:dyDescent="0.15">
      <c r="B90" s="116"/>
      <c r="C90" s="28" t="s">
        <v>77</v>
      </c>
      <c r="D90" s="204" t="s">
        <v>252</v>
      </c>
      <c r="E90" s="204"/>
      <c r="F90" s="204"/>
      <c r="G90" s="204"/>
      <c r="H90" s="204"/>
      <c r="I90" s="204"/>
      <c r="J90" s="204"/>
      <c r="K90" s="204"/>
      <c r="L90" s="204"/>
      <c r="M90" s="204"/>
      <c r="N90" s="204"/>
      <c r="O90" s="204"/>
      <c r="P90" s="204"/>
      <c r="Q90" s="204"/>
      <c r="R90" s="204"/>
      <c r="S90" s="205"/>
    </row>
    <row r="91" spans="1:19" ht="97.5" customHeight="1" x14ac:dyDescent="0.15">
      <c r="B91" s="115" t="s">
        <v>62</v>
      </c>
      <c r="C91" s="29" t="s">
        <v>71</v>
      </c>
      <c r="D91" s="147" t="s">
        <v>221</v>
      </c>
      <c r="E91" s="147"/>
      <c r="F91" s="147"/>
      <c r="G91" s="147"/>
      <c r="H91" s="147"/>
      <c r="I91" s="147"/>
      <c r="J91" s="147"/>
      <c r="K91" s="147"/>
      <c r="L91" s="147"/>
      <c r="M91" s="147"/>
      <c r="N91" s="147"/>
      <c r="O91" s="147"/>
      <c r="P91" s="147"/>
      <c r="Q91" s="147"/>
      <c r="R91" s="147"/>
      <c r="S91" s="193"/>
    </row>
    <row r="92" spans="1:19" ht="97.5" customHeight="1" x14ac:dyDescent="0.15">
      <c r="B92" s="117"/>
      <c r="C92" s="30" t="s">
        <v>72</v>
      </c>
      <c r="D92" s="202" t="s">
        <v>231</v>
      </c>
      <c r="E92" s="202"/>
      <c r="F92" s="202"/>
      <c r="G92" s="202"/>
      <c r="H92" s="202"/>
      <c r="I92" s="202"/>
      <c r="J92" s="202"/>
      <c r="K92" s="202"/>
      <c r="L92" s="202"/>
      <c r="M92" s="202"/>
      <c r="N92" s="202"/>
      <c r="O92" s="202"/>
      <c r="P92" s="202"/>
      <c r="Q92" s="202"/>
      <c r="R92" s="202"/>
      <c r="S92" s="203"/>
    </row>
    <row r="93" spans="1:19" ht="97.5" customHeight="1" x14ac:dyDescent="0.15">
      <c r="B93" s="115" t="s">
        <v>63</v>
      </c>
      <c r="C93" s="29" t="s">
        <v>73</v>
      </c>
      <c r="D93" s="147" t="s">
        <v>262</v>
      </c>
      <c r="E93" s="147"/>
      <c r="F93" s="147"/>
      <c r="G93" s="147"/>
      <c r="H93" s="147"/>
      <c r="I93" s="147"/>
      <c r="J93" s="147"/>
      <c r="K93" s="147"/>
      <c r="L93" s="147"/>
      <c r="M93" s="147"/>
      <c r="N93" s="147"/>
      <c r="O93" s="147"/>
      <c r="P93" s="147"/>
      <c r="Q93" s="147"/>
      <c r="R93" s="147"/>
      <c r="S93" s="193"/>
    </row>
    <row r="94" spans="1:19" ht="97.5" customHeight="1" x14ac:dyDescent="0.15">
      <c r="B94" s="117"/>
      <c r="C94" s="31" t="s">
        <v>74</v>
      </c>
      <c r="D94" s="209" t="s">
        <v>253</v>
      </c>
      <c r="E94" s="209"/>
      <c r="F94" s="209"/>
      <c r="G94" s="209"/>
      <c r="H94" s="209"/>
      <c r="I94" s="209"/>
      <c r="J94" s="209"/>
      <c r="K94" s="209"/>
      <c r="L94" s="209"/>
      <c r="M94" s="209"/>
      <c r="N94" s="209"/>
      <c r="O94" s="209"/>
      <c r="P94" s="209"/>
      <c r="Q94" s="209"/>
      <c r="R94" s="209"/>
      <c r="S94" s="210"/>
    </row>
    <row r="95" spans="1:19" ht="97.5" customHeight="1" x14ac:dyDescent="0.15">
      <c r="B95" s="115" t="s">
        <v>78</v>
      </c>
      <c r="C95" s="27" t="s">
        <v>58</v>
      </c>
      <c r="D95" s="128" t="s">
        <v>254</v>
      </c>
      <c r="E95" s="128"/>
      <c r="F95" s="128"/>
      <c r="G95" s="128"/>
      <c r="H95" s="128"/>
      <c r="I95" s="128"/>
      <c r="J95" s="128"/>
      <c r="K95" s="128"/>
      <c r="L95" s="128"/>
      <c r="M95" s="128"/>
      <c r="N95" s="128"/>
      <c r="O95" s="128"/>
      <c r="P95" s="128"/>
      <c r="Q95" s="128"/>
      <c r="R95" s="128"/>
      <c r="S95" s="195"/>
    </row>
    <row r="96" spans="1:19" ht="97.5" customHeight="1" x14ac:dyDescent="0.15">
      <c r="B96" s="117"/>
      <c r="C96" s="30" t="s">
        <v>60</v>
      </c>
      <c r="D96" s="202" t="s">
        <v>255</v>
      </c>
      <c r="E96" s="202"/>
      <c r="F96" s="202"/>
      <c r="G96" s="202"/>
      <c r="H96" s="202"/>
      <c r="I96" s="202"/>
      <c r="J96" s="202"/>
      <c r="K96" s="202"/>
      <c r="L96" s="202"/>
      <c r="M96" s="202"/>
      <c r="N96" s="202"/>
      <c r="O96" s="202"/>
      <c r="P96" s="202"/>
      <c r="Q96" s="202"/>
      <c r="R96" s="202"/>
      <c r="S96" s="203"/>
    </row>
    <row r="97" spans="1:19" ht="97.5" customHeight="1" x14ac:dyDescent="0.15">
      <c r="B97" s="115" t="s">
        <v>79</v>
      </c>
      <c r="C97" s="29" t="s">
        <v>57</v>
      </c>
      <c r="D97" s="187" t="s">
        <v>275</v>
      </c>
      <c r="E97" s="187"/>
      <c r="F97" s="187"/>
      <c r="G97" s="187"/>
      <c r="H97" s="187"/>
      <c r="I97" s="187"/>
      <c r="J97" s="187"/>
      <c r="K97" s="187"/>
      <c r="L97" s="187"/>
      <c r="M97" s="187"/>
      <c r="N97" s="187"/>
      <c r="O97" s="187"/>
      <c r="P97" s="187"/>
      <c r="Q97" s="187"/>
      <c r="R97" s="187"/>
      <c r="S97" s="188"/>
    </row>
    <row r="98" spans="1:19" ht="97.5" customHeight="1" x14ac:dyDescent="0.15">
      <c r="B98" s="116"/>
      <c r="C98" s="32" t="s">
        <v>75</v>
      </c>
      <c r="D98" s="206" t="s">
        <v>276</v>
      </c>
      <c r="E98" s="207"/>
      <c r="F98" s="207"/>
      <c r="G98" s="207"/>
      <c r="H98" s="207"/>
      <c r="I98" s="207"/>
      <c r="J98" s="207"/>
      <c r="K98" s="207"/>
      <c r="L98" s="207"/>
      <c r="M98" s="207"/>
      <c r="N98" s="207"/>
      <c r="O98" s="207"/>
      <c r="P98" s="207"/>
      <c r="Q98" s="207"/>
      <c r="R98" s="207"/>
      <c r="S98" s="208"/>
    </row>
    <row r="99" spans="1:19" ht="97.5" customHeight="1" x14ac:dyDescent="0.15">
      <c r="B99" s="117"/>
      <c r="C99" s="31" t="s">
        <v>76</v>
      </c>
      <c r="D99" s="121" t="s">
        <v>277</v>
      </c>
      <c r="E99" s="121"/>
      <c r="F99" s="121"/>
      <c r="G99" s="121"/>
      <c r="H99" s="121"/>
      <c r="I99" s="121"/>
      <c r="J99" s="121"/>
      <c r="K99" s="121"/>
      <c r="L99" s="121"/>
      <c r="M99" s="121"/>
      <c r="N99" s="121"/>
      <c r="O99" s="121"/>
      <c r="P99" s="121"/>
      <c r="Q99" s="121"/>
      <c r="R99" s="121"/>
      <c r="S99" s="201"/>
    </row>
    <row r="100" spans="1:19" ht="6" customHeight="1" x14ac:dyDescent="0.15"/>
    <row r="101" spans="1:19" ht="18.75" customHeight="1" x14ac:dyDescent="0.15">
      <c r="A101" s="83" t="s">
        <v>120</v>
      </c>
    </row>
    <row r="102" spans="1:19" ht="81.75" customHeight="1" x14ac:dyDescent="0.15">
      <c r="B102" s="138" t="s">
        <v>146</v>
      </c>
      <c r="C102" s="139"/>
      <c r="D102" s="139"/>
      <c r="E102" s="139"/>
      <c r="F102" s="139"/>
      <c r="G102" s="139"/>
      <c r="H102" s="139"/>
      <c r="I102" s="139"/>
      <c r="J102" s="139"/>
      <c r="K102" s="139"/>
      <c r="L102" s="139"/>
      <c r="M102" s="139"/>
      <c r="N102" s="139"/>
      <c r="O102" s="139"/>
      <c r="P102" s="139"/>
      <c r="Q102" s="139"/>
      <c r="R102" s="139"/>
      <c r="S102" s="140"/>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K20:S20" xr:uid="{9A18A235-F7C1-45A4-B19A-FBD1FD180C73}">
      <formula1>$V$14:$V$16</formula1>
    </dataValidation>
    <dataValidation type="list" allowBlank="1" showInputMessage="1" showErrorMessage="1" sqref="F79:F86 P79:P86 G79:I80 G83:I86 Q83:S86 Q79:S80" xr:uid="{9EC7835E-6CB2-48CA-8780-DCD897A6DD4F}">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C8BC98A1-B3E3-4AA1-B992-6E15BC6BF8DA}">
      <formula1>"学部・学科によって、修了要件は相違する,学部・学科によって、修了要件は相違しない"</formula1>
    </dataValidation>
    <dataValidation type="list" allowBlank="1" showInputMessage="1" showErrorMessage="1" sqref="S32 S43 D32:G32 D43:G43" xr:uid="{3CECE62A-FD0C-4D5C-9E92-D9B3687FADF7}">
      <formula1>"全学開講,一部開講"</formula1>
    </dataValidation>
    <dataValidation type="list" allowBlank="1" showInputMessage="1" showErrorMessage="1" sqref="G25:I31 Q25:S31 P69:S75 Q36:S42 G36:I42 Q47:S53 G47:I53 Q58:S64 F69:I75 G58:I64" xr:uid="{A80A54D7-A182-4738-BB7D-6DF6536320F4}">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E804D-AACD-49FE-B3E7-D743294B57BE}">
  <sheetPr>
    <pageSetUpPr fitToPage="1"/>
  </sheetPr>
  <dimension ref="A1:V110"/>
  <sheetViews>
    <sheetView showZeros="0" view="pageBreakPreview" zoomScale="90" zoomScaleNormal="100" zoomScaleSheetLayoutView="90" workbookViewId="0">
      <selection activeCell="D89" sqref="D89:S89"/>
    </sheetView>
  </sheetViews>
  <sheetFormatPr defaultColWidth="9" defaultRowHeight="18.75" customHeight="1" x14ac:dyDescent="0.15"/>
  <cols>
    <col min="1" max="1" width="2.5" style="83" customWidth="1"/>
    <col min="2" max="2" width="16.5" style="83" customWidth="1"/>
    <col min="3" max="19" width="5.625" style="83" customWidth="1"/>
    <col min="20" max="20" width="9" style="83"/>
    <col min="21" max="21" width="3.625" style="83" customWidth="1"/>
    <col min="22" max="22" width="48.625" style="83" hidden="1" customWidth="1"/>
    <col min="23" max="16384" width="9" style="83"/>
  </cols>
  <sheetData>
    <row r="1" spans="1:22" ht="18.600000000000001" customHeight="1" x14ac:dyDescent="0.15">
      <c r="R1" s="164" t="s">
        <v>165</v>
      </c>
      <c r="S1" s="164"/>
      <c r="T1" s="2" t="s">
        <v>109</v>
      </c>
    </row>
    <row r="2" spans="1:22" ht="18.75" customHeight="1" x14ac:dyDescent="0.15">
      <c r="B2" s="82" t="s">
        <v>108</v>
      </c>
      <c r="C2" s="168" t="s">
        <v>127</v>
      </c>
      <c r="D2" s="109"/>
      <c r="E2" s="109"/>
      <c r="F2" s="109"/>
      <c r="G2" s="109"/>
      <c r="H2" s="109"/>
      <c r="I2" s="110"/>
      <c r="J2" s="81"/>
      <c r="K2" s="6"/>
      <c r="L2" s="6"/>
      <c r="M2" s="6"/>
      <c r="N2" s="6"/>
      <c r="O2" s="6"/>
      <c r="P2" s="6"/>
      <c r="Q2" s="6"/>
      <c r="R2" s="6"/>
      <c r="S2" s="6"/>
    </row>
    <row r="3" spans="1:22" ht="18.75" customHeight="1" x14ac:dyDescent="0.15">
      <c r="B3" s="82" t="s">
        <v>102</v>
      </c>
      <c r="C3" s="168" t="s">
        <v>126</v>
      </c>
      <c r="D3" s="169"/>
      <c r="E3" s="169"/>
      <c r="F3" s="169"/>
      <c r="G3" s="169"/>
      <c r="H3" s="169"/>
      <c r="I3" s="170"/>
      <c r="J3" s="81"/>
      <c r="K3" s="6"/>
      <c r="L3" s="6"/>
      <c r="M3" s="6"/>
      <c r="N3" s="6"/>
      <c r="O3" s="6"/>
      <c r="P3" s="6"/>
      <c r="Q3" s="6"/>
      <c r="R3" s="6"/>
      <c r="S3" s="6"/>
    </row>
    <row r="4" spans="1:22" ht="15" customHeight="1" x14ac:dyDescent="0.15">
      <c r="K4" s="81"/>
      <c r="L4" s="36"/>
      <c r="M4" s="36"/>
      <c r="N4" s="36"/>
      <c r="O4" s="36"/>
      <c r="P4" s="36"/>
      <c r="Q4" s="36"/>
      <c r="R4" s="36"/>
      <c r="S4" s="36"/>
    </row>
    <row r="5" spans="1:22" ht="18" customHeight="1" x14ac:dyDescent="0.15">
      <c r="A5" s="171" t="s">
        <v>38</v>
      </c>
      <c r="B5" s="171"/>
      <c r="C5" s="171"/>
      <c r="D5" s="171"/>
      <c r="E5" s="171"/>
      <c r="F5" s="171"/>
      <c r="G5" s="171"/>
      <c r="H5" s="171"/>
      <c r="I5" s="171"/>
      <c r="J5" s="171"/>
      <c r="K5" s="171"/>
      <c r="L5" s="171"/>
      <c r="M5" s="171"/>
      <c r="N5" s="171"/>
      <c r="O5" s="171"/>
      <c r="P5" s="171"/>
      <c r="Q5" s="171"/>
      <c r="R5" s="171"/>
      <c r="S5" s="171"/>
    </row>
    <row r="6" spans="1:22" ht="15" customHeight="1" x14ac:dyDescent="0.15">
      <c r="B6" s="84"/>
      <c r="C6" s="84"/>
      <c r="D6" s="84"/>
      <c r="E6" s="84"/>
      <c r="F6" s="84"/>
      <c r="G6" s="84"/>
      <c r="H6" s="84"/>
      <c r="I6" s="84"/>
      <c r="J6" s="84"/>
      <c r="K6" s="84"/>
      <c r="L6" s="84"/>
      <c r="M6" s="84"/>
      <c r="N6" s="84"/>
      <c r="O6" s="84"/>
      <c r="P6" s="84"/>
      <c r="Q6" s="84"/>
      <c r="R6" s="84"/>
      <c r="S6" s="84"/>
    </row>
    <row r="7" spans="1:22" ht="18" customHeight="1" x14ac:dyDescent="0.15">
      <c r="A7" s="83" t="s">
        <v>124</v>
      </c>
      <c r="C7" s="84"/>
      <c r="J7" s="37" t="s">
        <v>107</v>
      </c>
      <c r="K7" s="168" t="s">
        <v>128</v>
      </c>
      <c r="L7" s="169"/>
      <c r="M7" s="169"/>
      <c r="N7" s="169"/>
      <c r="O7" s="169"/>
      <c r="P7" s="169"/>
      <c r="Q7" s="169"/>
      <c r="R7" s="169"/>
      <c r="S7" s="170"/>
    </row>
    <row r="8" spans="1:22" ht="6" customHeight="1" x14ac:dyDescent="0.15">
      <c r="B8" s="84"/>
      <c r="C8" s="84"/>
      <c r="D8" s="84"/>
      <c r="E8" s="84"/>
      <c r="F8" s="84"/>
      <c r="G8" s="84"/>
      <c r="H8" s="84"/>
      <c r="I8" s="84"/>
      <c r="J8" s="84"/>
      <c r="K8" s="10"/>
      <c r="L8" s="84"/>
      <c r="M8" s="84"/>
      <c r="N8" s="84"/>
      <c r="O8" s="84"/>
      <c r="P8" s="84"/>
      <c r="Q8" s="84"/>
      <c r="R8" s="84"/>
      <c r="S8" s="84"/>
    </row>
    <row r="9" spans="1:22" ht="18" customHeight="1" x14ac:dyDescent="0.15">
      <c r="B9" s="181" t="s">
        <v>139</v>
      </c>
      <c r="C9" s="182"/>
      <c r="D9" s="182"/>
      <c r="E9" s="182"/>
      <c r="F9" s="182"/>
      <c r="G9" s="182"/>
      <c r="H9" s="182"/>
      <c r="I9" s="182"/>
      <c r="J9" s="182"/>
      <c r="K9" s="182"/>
      <c r="L9" s="182"/>
      <c r="M9" s="182"/>
      <c r="N9" s="182"/>
      <c r="O9" s="182"/>
      <c r="P9" s="182"/>
      <c r="Q9" s="182"/>
      <c r="R9" s="182"/>
      <c r="S9" s="183"/>
    </row>
    <row r="10" spans="1:22" ht="18" customHeight="1" x14ac:dyDescent="0.15">
      <c r="B10" s="184"/>
      <c r="C10" s="185"/>
      <c r="D10" s="185"/>
      <c r="E10" s="185"/>
      <c r="F10" s="185"/>
      <c r="G10" s="185"/>
      <c r="H10" s="185"/>
      <c r="I10" s="185"/>
      <c r="J10" s="185"/>
      <c r="K10" s="185"/>
      <c r="L10" s="185"/>
      <c r="M10" s="185"/>
      <c r="N10" s="185"/>
      <c r="O10" s="185"/>
      <c r="P10" s="185"/>
      <c r="Q10" s="185"/>
      <c r="R10" s="185"/>
      <c r="S10" s="186"/>
    </row>
    <row r="11" spans="1:22" ht="6" customHeight="1" x14ac:dyDescent="0.15">
      <c r="B11" s="84"/>
      <c r="C11" s="84"/>
      <c r="D11" s="84"/>
      <c r="E11" s="84"/>
      <c r="F11" s="84"/>
      <c r="G11" s="84"/>
      <c r="H11" s="84"/>
      <c r="I11" s="84"/>
      <c r="J11" s="84"/>
      <c r="K11" s="10"/>
      <c r="L11" s="84"/>
      <c r="M11" s="84"/>
      <c r="N11" s="84"/>
      <c r="O11" s="84"/>
      <c r="P11" s="84"/>
      <c r="Q11" s="84"/>
      <c r="R11" s="84"/>
      <c r="S11" s="84"/>
    </row>
    <row r="12" spans="1:22" ht="18" customHeight="1" x14ac:dyDescent="0.15">
      <c r="A12" s="83" t="s">
        <v>111</v>
      </c>
      <c r="B12" s="84"/>
      <c r="C12" s="84"/>
      <c r="D12" s="81"/>
      <c r="E12" s="81"/>
      <c r="F12" s="81"/>
      <c r="G12" s="81"/>
      <c r="H12" s="81"/>
      <c r="I12" s="81"/>
      <c r="J12" s="81"/>
      <c r="K12" s="38"/>
      <c r="L12" s="38"/>
      <c r="M12" s="38"/>
      <c r="N12" s="38"/>
      <c r="O12" s="38"/>
      <c r="P12" s="38"/>
      <c r="Q12" s="38"/>
      <c r="R12" s="38"/>
      <c r="S12" s="38"/>
    </row>
    <row r="13" spans="1:22" ht="18" customHeight="1" x14ac:dyDescent="0.15">
      <c r="B13" s="172" t="s">
        <v>140</v>
      </c>
      <c r="C13" s="173"/>
      <c r="D13" s="173"/>
      <c r="E13" s="173"/>
      <c r="F13" s="173"/>
      <c r="G13" s="173"/>
      <c r="H13" s="173"/>
      <c r="I13" s="173"/>
      <c r="J13" s="173"/>
      <c r="K13" s="173"/>
      <c r="L13" s="173"/>
      <c r="M13" s="173"/>
      <c r="N13" s="173"/>
      <c r="O13" s="173"/>
      <c r="P13" s="173"/>
      <c r="Q13" s="173"/>
      <c r="R13" s="173"/>
      <c r="S13" s="174"/>
      <c r="V13" s="83" t="s">
        <v>103</v>
      </c>
    </row>
    <row r="14" spans="1:22" ht="18" customHeight="1" x14ac:dyDescent="0.15">
      <c r="B14" s="175"/>
      <c r="C14" s="176"/>
      <c r="D14" s="176"/>
      <c r="E14" s="176"/>
      <c r="F14" s="176"/>
      <c r="G14" s="176"/>
      <c r="H14" s="176"/>
      <c r="I14" s="176"/>
      <c r="J14" s="176"/>
      <c r="K14" s="176"/>
      <c r="L14" s="176"/>
      <c r="M14" s="176"/>
      <c r="N14" s="176"/>
      <c r="O14" s="176"/>
      <c r="P14" s="176"/>
      <c r="Q14" s="176"/>
      <c r="R14" s="176"/>
      <c r="S14" s="177"/>
      <c r="V14" s="83" t="s">
        <v>110</v>
      </c>
    </row>
    <row r="15" spans="1:22" ht="18" customHeight="1" x14ac:dyDescent="0.15">
      <c r="B15" s="175"/>
      <c r="C15" s="176"/>
      <c r="D15" s="176"/>
      <c r="E15" s="176"/>
      <c r="F15" s="176"/>
      <c r="G15" s="176"/>
      <c r="H15" s="176"/>
      <c r="I15" s="176"/>
      <c r="J15" s="176"/>
      <c r="K15" s="176"/>
      <c r="L15" s="176"/>
      <c r="M15" s="176"/>
      <c r="N15" s="176"/>
      <c r="O15" s="176"/>
      <c r="P15" s="176"/>
      <c r="Q15" s="176"/>
      <c r="R15" s="176"/>
      <c r="S15" s="177"/>
      <c r="V15" s="83" t="s">
        <v>123</v>
      </c>
    </row>
    <row r="16" spans="1:22" ht="18" customHeight="1" x14ac:dyDescent="0.15">
      <c r="B16" s="175"/>
      <c r="C16" s="176"/>
      <c r="D16" s="176"/>
      <c r="E16" s="176"/>
      <c r="F16" s="176"/>
      <c r="G16" s="176"/>
      <c r="H16" s="176"/>
      <c r="I16" s="176"/>
      <c r="J16" s="176"/>
      <c r="K16" s="176"/>
      <c r="L16" s="176"/>
      <c r="M16" s="176"/>
      <c r="N16" s="176"/>
      <c r="O16" s="176"/>
      <c r="P16" s="176"/>
      <c r="Q16" s="176"/>
      <c r="R16" s="176"/>
      <c r="S16" s="177"/>
      <c r="V16" s="83" t="s">
        <v>125</v>
      </c>
    </row>
    <row r="17" spans="1:19" ht="18" customHeight="1" x14ac:dyDescent="0.15">
      <c r="B17" s="175"/>
      <c r="C17" s="176"/>
      <c r="D17" s="176"/>
      <c r="E17" s="176"/>
      <c r="F17" s="176"/>
      <c r="G17" s="176"/>
      <c r="H17" s="176"/>
      <c r="I17" s="176"/>
      <c r="J17" s="176"/>
      <c r="K17" s="176"/>
      <c r="L17" s="176"/>
      <c r="M17" s="176"/>
      <c r="N17" s="176"/>
      <c r="O17" s="176"/>
      <c r="P17" s="176"/>
      <c r="Q17" s="176"/>
      <c r="R17" s="176"/>
      <c r="S17" s="177"/>
    </row>
    <row r="18" spans="1:19" ht="18" customHeight="1" x14ac:dyDescent="0.15">
      <c r="B18" s="178"/>
      <c r="C18" s="179"/>
      <c r="D18" s="179"/>
      <c r="E18" s="179"/>
      <c r="F18" s="179"/>
      <c r="G18" s="179"/>
      <c r="H18" s="179"/>
      <c r="I18" s="179"/>
      <c r="J18" s="179"/>
      <c r="K18" s="179"/>
      <c r="L18" s="179"/>
      <c r="M18" s="179"/>
      <c r="N18" s="179"/>
      <c r="O18" s="179"/>
      <c r="P18" s="179"/>
      <c r="Q18" s="179"/>
      <c r="R18" s="179"/>
      <c r="S18" s="180"/>
    </row>
    <row r="19" spans="1:19" ht="7.5" customHeight="1" x14ac:dyDescent="0.15">
      <c r="B19" s="84"/>
      <c r="C19" s="84"/>
      <c r="D19" s="84"/>
      <c r="E19" s="84"/>
      <c r="F19" s="84"/>
      <c r="G19" s="84"/>
      <c r="H19" s="84"/>
      <c r="I19" s="84"/>
      <c r="J19" s="84"/>
      <c r="K19" s="84"/>
      <c r="L19" s="84"/>
      <c r="M19" s="84"/>
      <c r="N19" s="84"/>
      <c r="O19" s="84"/>
      <c r="P19" s="84"/>
      <c r="Q19" s="84"/>
      <c r="R19" s="84"/>
      <c r="S19" s="84"/>
    </row>
    <row r="20" spans="1:19" ht="19.899999999999999" customHeight="1" x14ac:dyDescent="0.15">
      <c r="B20" s="83" t="s">
        <v>112</v>
      </c>
      <c r="C20" s="108">
        <v>7</v>
      </c>
      <c r="D20" s="110"/>
      <c r="E20" s="39" t="s">
        <v>95</v>
      </c>
      <c r="G20" s="10"/>
      <c r="H20" s="84"/>
      <c r="I20" s="84"/>
      <c r="J20" s="81" t="s">
        <v>121</v>
      </c>
      <c r="K20" s="165" t="s">
        <v>110</v>
      </c>
      <c r="L20" s="166"/>
      <c r="M20" s="166"/>
      <c r="N20" s="166"/>
      <c r="O20" s="166"/>
      <c r="P20" s="166"/>
      <c r="Q20" s="166"/>
      <c r="R20" s="166"/>
      <c r="S20" s="167"/>
    </row>
    <row r="21" spans="1:19" ht="7.5" customHeight="1" x14ac:dyDescent="0.15">
      <c r="B21" s="84"/>
      <c r="C21" s="84"/>
      <c r="D21" s="84"/>
      <c r="E21" s="84"/>
      <c r="F21" s="84"/>
      <c r="G21" s="84"/>
      <c r="H21" s="84"/>
      <c r="I21" s="84"/>
      <c r="J21" s="84"/>
      <c r="K21" s="84"/>
      <c r="L21" s="84"/>
      <c r="M21" s="84"/>
      <c r="N21" s="84"/>
      <c r="O21" s="84"/>
      <c r="P21" s="84"/>
      <c r="Q21" s="84"/>
      <c r="R21" s="84"/>
      <c r="S21" s="84"/>
    </row>
    <row r="22" spans="1:19" ht="18" customHeight="1" x14ac:dyDescent="0.15">
      <c r="A22" s="114" t="s">
        <v>113</v>
      </c>
      <c r="B22" s="114"/>
      <c r="C22" s="114"/>
      <c r="D22" s="114"/>
      <c r="E22" s="114"/>
      <c r="F22" s="114"/>
      <c r="G22" s="114"/>
      <c r="H22" s="114"/>
      <c r="I22" s="114"/>
      <c r="J22" s="114"/>
      <c r="K22" s="114"/>
      <c r="L22" s="114"/>
      <c r="M22" s="114"/>
      <c r="N22" s="114"/>
      <c r="O22" s="114"/>
      <c r="P22" s="114"/>
      <c r="Q22" s="114"/>
      <c r="R22" s="114"/>
      <c r="S22" s="114"/>
    </row>
    <row r="23" spans="1:19" ht="18" customHeight="1" x14ac:dyDescent="0.15">
      <c r="A23" s="114"/>
      <c r="B23" s="114"/>
      <c r="C23" s="114"/>
      <c r="D23" s="114"/>
      <c r="E23" s="114"/>
      <c r="F23" s="114"/>
      <c r="G23" s="114"/>
      <c r="H23" s="114"/>
      <c r="I23" s="114"/>
      <c r="J23" s="114"/>
      <c r="K23" s="114"/>
      <c r="L23" s="114"/>
      <c r="M23" s="114"/>
      <c r="N23" s="114"/>
      <c r="O23" s="114"/>
      <c r="P23" s="114"/>
      <c r="Q23" s="114"/>
      <c r="R23" s="114"/>
      <c r="S23" s="114"/>
    </row>
    <row r="24" spans="1:19" ht="18" customHeight="1" x14ac:dyDescent="0.15">
      <c r="B24" s="108" t="s">
        <v>53</v>
      </c>
      <c r="C24" s="109"/>
      <c r="D24" s="109"/>
      <c r="E24" s="110"/>
      <c r="F24" s="59" t="s">
        <v>80</v>
      </c>
      <c r="G24" s="58" t="s">
        <v>84</v>
      </c>
      <c r="H24" s="21" t="s">
        <v>56</v>
      </c>
      <c r="I24" s="21" t="s">
        <v>59</v>
      </c>
      <c r="J24" s="108" t="s">
        <v>53</v>
      </c>
      <c r="K24" s="109"/>
      <c r="L24" s="109"/>
      <c r="M24" s="109"/>
      <c r="N24" s="109"/>
      <c r="O24" s="110"/>
      <c r="P24" s="59" t="s">
        <v>80</v>
      </c>
      <c r="Q24" s="58" t="s">
        <v>84</v>
      </c>
      <c r="R24" s="21" t="s">
        <v>56</v>
      </c>
      <c r="S24" s="21" t="s">
        <v>59</v>
      </c>
    </row>
    <row r="25" spans="1:19" ht="18" customHeight="1" x14ac:dyDescent="0.15">
      <c r="B25" s="102" t="s">
        <v>141</v>
      </c>
      <c r="C25" s="103"/>
      <c r="D25" s="103"/>
      <c r="E25" s="104"/>
      <c r="F25" s="22">
        <v>1</v>
      </c>
      <c r="G25" s="22" t="s">
        <v>132</v>
      </c>
      <c r="H25" s="22" t="s">
        <v>132</v>
      </c>
      <c r="I25" s="22" t="s">
        <v>132</v>
      </c>
      <c r="J25" s="102"/>
      <c r="K25" s="103"/>
      <c r="L25" s="103"/>
      <c r="M25" s="103"/>
      <c r="N25" s="103"/>
      <c r="O25" s="104"/>
      <c r="P25" s="22"/>
      <c r="Q25" s="22"/>
      <c r="R25" s="22"/>
      <c r="S25" s="22"/>
    </row>
    <row r="26" spans="1:19" ht="18" customHeight="1" x14ac:dyDescent="0.15">
      <c r="B26" s="105"/>
      <c r="C26" s="106"/>
      <c r="D26" s="106"/>
      <c r="E26" s="107"/>
      <c r="F26" s="23"/>
      <c r="G26" s="23"/>
      <c r="H26" s="23"/>
      <c r="I26" s="23"/>
      <c r="J26" s="105"/>
      <c r="K26" s="106"/>
      <c r="L26" s="106"/>
      <c r="M26" s="106"/>
      <c r="N26" s="106"/>
      <c r="O26" s="107"/>
      <c r="P26" s="23"/>
      <c r="Q26" s="23"/>
      <c r="R26" s="23"/>
      <c r="S26" s="23"/>
    </row>
    <row r="27" spans="1:19" ht="18" customHeight="1" x14ac:dyDescent="0.15">
      <c r="B27" s="105"/>
      <c r="C27" s="106"/>
      <c r="D27" s="106"/>
      <c r="E27" s="107"/>
      <c r="F27" s="23"/>
      <c r="G27" s="23"/>
      <c r="H27" s="23"/>
      <c r="I27" s="23"/>
      <c r="J27" s="105"/>
      <c r="K27" s="106"/>
      <c r="L27" s="106"/>
      <c r="M27" s="106"/>
      <c r="N27" s="106"/>
      <c r="O27" s="107"/>
      <c r="P27" s="23"/>
      <c r="Q27" s="23"/>
      <c r="R27" s="23"/>
      <c r="S27" s="23"/>
    </row>
    <row r="28" spans="1:19" ht="18" customHeight="1" x14ac:dyDescent="0.15">
      <c r="B28" s="105"/>
      <c r="C28" s="106"/>
      <c r="D28" s="106"/>
      <c r="E28" s="107"/>
      <c r="F28" s="23"/>
      <c r="G28" s="23"/>
      <c r="H28" s="23"/>
      <c r="I28" s="23"/>
      <c r="J28" s="105"/>
      <c r="K28" s="106"/>
      <c r="L28" s="106"/>
      <c r="M28" s="106"/>
      <c r="N28" s="106"/>
      <c r="O28" s="107"/>
      <c r="P28" s="23"/>
      <c r="Q28" s="23"/>
      <c r="R28" s="23"/>
      <c r="S28" s="23"/>
    </row>
    <row r="29" spans="1:19" ht="18" customHeight="1" x14ac:dyDescent="0.15">
      <c r="B29" s="105"/>
      <c r="C29" s="106"/>
      <c r="D29" s="106"/>
      <c r="E29" s="107"/>
      <c r="F29" s="23"/>
      <c r="G29" s="23"/>
      <c r="H29" s="23"/>
      <c r="I29" s="23"/>
      <c r="J29" s="105"/>
      <c r="K29" s="106"/>
      <c r="L29" s="106"/>
      <c r="M29" s="106"/>
      <c r="N29" s="106"/>
      <c r="O29" s="107"/>
      <c r="P29" s="23"/>
      <c r="Q29" s="23"/>
      <c r="R29" s="23"/>
      <c r="S29" s="23"/>
    </row>
    <row r="30" spans="1:19" ht="18" customHeight="1" x14ac:dyDescent="0.15">
      <c r="A30" s="84"/>
      <c r="B30" s="105"/>
      <c r="C30" s="106"/>
      <c r="D30" s="106"/>
      <c r="E30" s="107"/>
      <c r="F30" s="23"/>
      <c r="G30" s="23"/>
      <c r="H30" s="23"/>
      <c r="I30" s="23"/>
      <c r="J30" s="105"/>
      <c r="K30" s="106"/>
      <c r="L30" s="106"/>
      <c r="M30" s="106"/>
      <c r="N30" s="106"/>
      <c r="O30" s="107"/>
      <c r="P30" s="23"/>
      <c r="Q30" s="23"/>
      <c r="R30" s="23"/>
      <c r="S30" s="23"/>
    </row>
    <row r="31" spans="1:19" ht="18" customHeight="1" x14ac:dyDescent="0.15">
      <c r="A31" s="84"/>
      <c r="B31" s="111"/>
      <c r="C31" s="112"/>
      <c r="D31" s="112"/>
      <c r="E31" s="113"/>
      <c r="F31" s="24"/>
      <c r="G31" s="24"/>
      <c r="H31" s="25"/>
      <c r="I31" s="25"/>
      <c r="J31" s="111"/>
      <c r="K31" s="112"/>
      <c r="L31" s="112"/>
      <c r="M31" s="112"/>
      <c r="N31" s="112"/>
      <c r="O31" s="113"/>
      <c r="P31" s="24"/>
      <c r="Q31" s="24"/>
      <c r="R31" s="25"/>
      <c r="S31" s="25"/>
    </row>
    <row r="32" spans="1:19" ht="7.5" customHeight="1" x14ac:dyDescent="0.15">
      <c r="A32" s="84"/>
      <c r="B32" s="6"/>
      <c r="C32" s="6"/>
      <c r="D32" s="84"/>
      <c r="E32" s="84"/>
      <c r="F32" s="84"/>
      <c r="G32" s="84"/>
      <c r="H32" s="6"/>
      <c r="I32" s="6"/>
      <c r="J32" s="6"/>
      <c r="K32" s="6"/>
      <c r="L32" s="6"/>
      <c r="M32" s="6"/>
      <c r="N32" s="6"/>
      <c r="O32" s="6"/>
      <c r="P32" s="6"/>
      <c r="Q32" s="6"/>
      <c r="R32" s="6"/>
      <c r="S32" s="84"/>
    </row>
    <row r="33" spans="1:19" ht="18" customHeight="1" x14ac:dyDescent="0.15">
      <c r="A33" s="114" t="s">
        <v>114</v>
      </c>
      <c r="B33" s="114"/>
      <c r="C33" s="114"/>
      <c r="D33" s="114"/>
      <c r="E33" s="114"/>
      <c r="F33" s="114"/>
      <c r="G33" s="114"/>
      <c r="H33" s="114"/>
      <c r="I33" s="114"/>
      <c r="J33" s="114"/>
      <c r="K33" s="114"/>
      <c r="L33" s="114"/>
      <c r="M33" s="114"/>
      <c r="N33" s="114"/>
      <c r="O33" s="114"/>
      <c r="P33" s="114"/>
      <c r="Q33" s="114"/>
      <c r="R33" s="114"/>
      <c r="S33" s="114"/>
    </row>
    <row r="34" spans="1:19" ht="18" customHeight="1" x14ac:dyDescent="0.15">
      <c r="A34" s="114"/>
      <c r="B34" s="114"/>
      <c r="C34" s="114"/>
      <c r="D34" s="114"/>
      <c r="E34" s="114"/>
      <c r="F34" s="114"/>
      <c r="G34" s="114"/>
      <c r="H34" s="114"/>
      <c r="I34" s="114"/>
      <c r="J34" s="114"/>
      <c r="K34" s="114"/>
      <c r="L34" s="114"/>
      <c r="M34" s="114"/>
      <c r="N34" s="114"/>
      <c r="O34" s="114"/>
      <c r="P34" s="114"/>
      <c r="Q34" s="114"/>
      <c r="R34" s="114"/>
      <c r="S34" s="114"/>
    </row>
    <row r="35" spans="1:19" ht="18" customHeight="1" x14ac:dyDescent="0.15">
      <c r="B35" s="108" t="s">
        <v>53</v>
      </c>
      <c r="C35" s="109"/>
      <c r="D35" s="109"/>
      <c r="E35" s="110"/>
      <c r="F35" s="59" t="s">
        <v>80</v>
      </c>
      <c r="G35" s="58" t="s">
        <v>84</v>
      </c>
      <c r="H35" s="21" t="s">
        <v>71</v>
      </c>
      <c r="I35" s="21" t="s">
        <v>72</v>
      </c>
      <c r="J35" s="108" t="s">
        <v>53</v>
      </c>
      <c r="K35" s="109"/>
      <c r="L35" s="109"/>
      <c r="M35" s="109"/>
      <c r="N35" s="109"/>
      <c r="O35" s="110"/>
      <c r="P35" s="59" t="s">
        <v>80</v>
      </c>
      <c r="Q35" s="58" t="s">
        <v>84</v>
      </c>
      <c r="R35" s="21" t="s">
        <v>71</v>
      </c>
      <c r="S35" s="21" t="s">
        <v>72</v>
      </c>
    </row>
    <row r="36" spans="1:19" ht="18" customHeight="1" x14ac:dyDescent="0.15">
      <c r="B36" s="102" t="s">
        <v>141</v>
      </c>
      <c r="C36" s="103"/>
      <c r="D36" s="103"/>
      <c r="E36" s="104"/>
      <c r="F36" s="22">
        <v>1</v>
      </c>
      <c r="G36" s="22" t="s">
        <v>132</v>
      </c>
      <c r="H36" s="22" t="s">
        <v>132</v>
      </c>
      <c r="I36" s="22" t="s">
        <v>132</v>
      </c>
      <c r="J36" s="102"/>
      <c r="K36" s="103"/>
      <c r="L36" s="103"/>
      <c r="M36" s="103"/>
      <c r="N36" s="103"/>
      <c r="O36" s="104"/>
      <c r="P36" s="22"/>
      <c r="Q36" s="22"/>
      <c r="R36" s="22"/>
      <c r="S36" s="22"/>
    </row>
    <row r="37" spans="1:19" ht="18" customHeight="1" x14ac:dyDescent="0.15">
      <c r="B37" s="105" t="s">
        <v>142</v>
      </c>
      <c r="C37" s="106"/>
      <c r="D37" s="106"/>
      <c r="E37" s="107"/>
      <c r="F37" s="23">
        <v>1</v>
      </c>
      <c r="G37" s="23" t="s">
        <v>132</v>
      </c>
      <c r="H37" s="23" t="s">
        <v>132</v>
      </c>
      <c r="I37" s="23"/>
      <c r="J37" s="105"/>
      <c r="K37" s="106"/>
      <c r="L37" s="106"/>
      <c r="M37" s="106"/>
      <c r="N37" s="106"/>
      <c r="O37" s="107"/>
      <c r="P37" s="23"/>
      <c r="Q37" s="23"/>
      <c r="R37" s="23"/>
      <c r="S37" s="23"/>
    </row>
    <row r="38" spans="1:19" ht="18" customHeight="1" x14ac:dyDescent="0.15">
      <c r="B38" s="105" t="s">
        <v>143</v>
      </c>
      <c r="C38" s="106"/>
      <c r="D38" s="106"/>
      <c r="E38" s="107"/>
      <c r="F38" s="23">
        <v>2</v>
      </c>
      <c r="G38" s="23" t="s">
        <v>132</v>
      </c>
      <c r="H38" s="23" t="s">
        <v>132</v>
      </c>
      <c r="I38" s="23"/>
      <c r="J38" s="105"/>
      <c r="K38" s="106"/>
      <c r="L38" s="106"/>
      <c r="M38" s="106"/>
      <c r="N38" s="106"/>
      <c r="O38" s="107"/>
      <c r="P38" s="23"/>
      <c r="Q38" s="23"/>
      <c r="R38" s="23"/>
      <c r="S38" s="23"/>
    </row>
    <row r="39" spans="1:19" ht="18" customHeight="1" x14ac:dyDescent="0.15">
      <c r="B39" s="105" t="s">
        <v>144</v>
      </c>
      <c r="C39" s="106"/>
      <c r="D39" s="106"/>
      <c r="E39" s="107"/>
      <c r="F39" s="23">
        <v>1</v>
      </c>
      <c r="G39" s="23" t="s">
        <v>132</v>
      </c>
      <c r="H39" s="23" t="s">
        <v>132</v>
      </c>
      <c r="I39" s="23"/>
      <c r="J39" s="105"/>
      <c r="K39" s="106"/>
      <c r="L39" s="106"/>
      <c r="M39" s="106"/>
      <c r="N39" s="106"/>
      <c r="O39" s="107"/>
      <c r="P39" s="23"/>
      <c r="Q39" s="23"/>
      <c r="R39" s="23"/>
      <c r="S39" s="23"/>
    </row>
    <row r="40" spans="1:19" ht="18" customHeight="1" x14ac:dyDescent="0.15">
      <c r="B40" s="105"/>
      <c r="C40" s="106"/>
      <c r="D40" s="106"/>
      <c r="E40" s="107"/>
      <c r="F40" s="23"/>
      <c r="G40" s="23"/>
      <c r="H40" s="23"/>
      <c r="I40" s="23"/>
      <c r="J40" s="105"/>
      <c r="K40" s="106"/>
      <c r="L40" s="106"/>
      <c r="M40" s="106"/>
      <c r="N40" s="106"/>
      <c r="O40" s="107"/>
      <c r="P40" s="23"/>
      <c r="Q40" s="23"/>
      <c r="R40" s="23"/>
      <c r="S40" s="23"/>
    </row>
    <row r="41" spans="1:19" ht="18" customHeight="1" x14ac:dyDescent="0.15">
      <c r="B41" s="105"/>
      <c r="C41" s="106"/>
      <c r="D41" s="106"/>
      <c r="E41" s="107"/>
      <c r="F41" s="23"/>
      <c r="G41" s="23"/>
      <c r="H41" s="23"/>
      <c r="I41" s="23"/>
      <c r="J41" s="105"/>
      <c r="K41" s="106"/>
      <c r="L41" s="106"/>
      <c r="M41" s="106"/>
      <c r="N41" s="106"/>
      <c r="O41" s="107"/>
      <c r="P41" s="23"/>
      <c r="Q41" s="23"/>
      <c r="R41" s="23"/>
      <c r="S41" s="23"/>
    </row>
    <row r="42" spans="1:19" ht="18" customHeight="1" x14ac:dyDescent="0.15">
      <c r="B42" s="111"/>
      <c r="C42" s="112"/>
      <c r="D42" s="112"/>
      <c r="E42" s="113"/>
      <c r="F42" s="24"/>
      <c r="G42" s="24"/>
      <c r="H42" s="25"/>
      <c r="I42" s="25"/>
      <c r="J42" s="111"/>
      <c r="K42" s="112"/>
      <c r="L42" s="112"/>
      <c r="M42" s="112"/>
      <c r="N42" s="112"/>
      <c r="O42" s="113"/>
      <c r="P42" s="24"/>
      <c r="Q42" s="24"/>
      <c r="R42" s="25"/>
      <c r="S42" s="25"/>
    </row>
    <row r="43" spans="1:19" ht="7.5" customHeight="1" x14ac:dyDescent="0.15">
      <c r="A43" s="84"/>
      <c r="B43" s="6"/>
      <c r="C43" s="6"/>
      <c r="D43" s="84"/>
      <c r="E43" s="84"/>
      <c r="F43" s="84"/>
      <c r="G43" s="84"/>
      <c r="H43" s="6"/>
      <c r="I43" s="6"/>
      <c r="J43" s="6"/>
      <c r="K43" s="6"/>
      <c r="L43" s="6"/>
      <c r="M43" s="6"/>
      <c r="N43" s="6"/>
      <c r="O43" s="6"/>
      <c r="P43" s="6"/>
      <c r="Q43" s="6"/>
      <c r="R43" s="6"/>
      <c r="S43" s="84"/>
    </row>
    <row r="44" spans="1:19" ht="18" customHeight="1" x14ac:dyDescent="0.15">
      <c r="A44" s="114" t="s">
        <v>115</v>
      </c>
      <c r="B44" s="114"/>
      <c r="C44" s="114"/>
      <c r="D44" s="114"/>
      <c r="E44" s="114"/>
      <c r="F44" s="114"/>
      <c r="G44" s="114"/>
      <c r="H44" s="114"/>
      <c r="I44" s="114"/>
      <c r="J44" s="114"/>
      <c r="K44" s="114"/>
      <c r="L44" s="114"/>
      <c r="M44" s="114"/>
      <c r="N44" s="114"/>
      <c r="O44" s="114"/>
      <c r="P44" s="114"/>
      <c r="Q44" s="114"/>
      <c r="R44" s="114"/>
      <c r="S44" s="114"/>
    </row>
    <row r="45" spans="1:19" ht="18" customHeight="1" x14ac:dyDescent="0.15">
      <c r="A45" s="114"/>
      <c r="B45" s="114"/>
      <c r="C45" s="114"/>
      <c r="D45" s="114"/>
      <c r="E45" s="114"/>
      <c r="F45" s="114"/>
      <c r="G45" s="114"/>
      <c r="H45" s="114"/>
      <c r="I45" s="114"/>
      <c r="J45" s="114"/>
      <c r="K45" s="114"/>
      <c r="L45" s="114"/>
      <c r="M45" s="114"/>
      <c r="N45" s="114"/>
      <c r="O45" s="114"/>
      <c r="P45" s="114"/>
      <c r="Q45" s="114"/>
      <c r="R45" s="114"/>
      <c r="S45" s="114"/>
    </row>
    <row r="46" spans="1:19" ht="18" customHeight="1" x14ac:dyDescent="0.15">
      <c r="B46" s="108" t="s">
        <v>53</v>
      </c>
      <c r="C46" s="109"/>
      <c r="D46" s="109"/>
      <c r="E46" s="110"/>
      <c r="F46" s="59" t="s">
        <v>80</v>
      </c>
      <c r="G46" s="58" t="s">
        <v>84</v>
      </c>
      <c r="H46" s="21" t="s">
        <v>73</v>
      </c>
      <c r="I46" s="21" t="s">
        <v>74</v>
      </c>
      <c r="J46" s="108" t="s">
        <v>53</v>
      </c>
      <c r="K46" s="109"/>
      <c r="L46" s="109"/>
      <c r="M46" s="109"/>
      <c r="N46" s="109"/>
      <c r="O46" s="110"/>
      <c r="P46" s="59" t="s">
        <v>80</v>
      </c>
      <c r="Q46" s="58" t="s">
        <v>84</v>
      </c>
      <c r="R46" s="21" t="s">
        <v>73</v>
      </c>
      <c r="S46" s="21" t="s">
        <v>74</v>
      </c>
    </row>
    <row r="47" spans="1:19" ht="18" customHeight="1" x14ac:dyDescent="0.15">
      <c r="A47" s="84"/>
      <c r="B47" s="102" t="s">
        <v>141</v>
      </c>
      <c r="C47" s="103"/>
      <c r="D47" s="103"/>
      <c r="E47" s="104"/>
      <c r="F47" s="22">
        <v>1</v>
      </c>
      <c r="G47" s="22" t="s">
        <v>132</v>
      </c>
      <c r="H47" s="22" t="s">
        <v>132</v>
      </c>
      <c r="I47" s="22" t="s">
        <v>132</v>
      </c>
      <c r="J47" s="102"/>
      <c r="K47" s="103"/>
      <c r="L47" s="103"/>
      <c r="M47" s="103"/>
      <c r="N47" s="103"/>
      <c r="O47" s="104"/>
      <c r="P47" s="22"/>
      <c r="Q47" s="22"/>
      <c r="R47" s="22"/>
      <c r="S47" s="22"/>
    </row>
    <row r="48" spans="1:19" ht="18" customHeight="1" x14ac:dyDescent="0.15">
      <c r="A48" s="84"/>
      <c r="B48" s="105"/>
      <c r="C48" s="106"/>
      <c r="D48" s="106"/>
      <c r="E48" s="107"/>
      <c r="F48" s="23"/>
      <c r="G48" s="23"/>
      <c r="H48" s="23"/>
      <c r="I48" s="23"/>
      <c r="J48" s="105"/>
      <c r="K48" s="106"/>
      <c r="L48" s="106"/>
      <c r="M48" s="106"/>
      <c r="N48" s="106"/>
      <c r="O48" s="107"/>
      <c r="P48" s="23"/>
      <c r="Q48" s="23"/>
      <c r="R48" s="23"/>
      <c r="S48" s="23"/>
    </row>
    <row r="49" spans="1:19" ht="18" customHeight="1" x14ac:dyDescent="0.15">
      <c r="A49" s="84"/>
      <c r="B49" s="105"/>
      <c r="C49" s="106"/>
      <c r="D49" s="106"/>
      <c r="E49" s="107"/>
      <c r="F49" s="23"/>
      <c r="G49" s="23"/>
      <c r="H49" s="23"/>
      <c r="I49" s="23"/>
      <c r="J49" s="105"/>
      <c r="K49" s="106"/>
      <c r="L49" s="106"/>
      <c r="M49" s="106"/>
      <c r="N49" s="106"/>
      <c r="O49" s="107"/>
      <c r="P49" s="23"/>
      <c r="Q49" s="23"/>
      <c r="R49" s="23"/>
      <c r="S49" s="23"/>
    </row>
    <row r="50" spans="1:19" ht="18" customHeight="1" x14ac:dyDescent="0.15">
      <c r="A50" s="84"/>
      <c r="B50" s="105"/>
      <c r="C50" s="106"/>
      <c r="D50" s="106"/>
      <c r="E50" s="107"/>
      <c r="F50" s="23"/>
      <c r="G50" s="23"/>
      <c r="H50" s="23"/>
      <c r="I50" s="23"/>
      <c r="J50" s="105"/>
      <c r="K50" s="106"/>
      <c r="L50" s="106"/>
      <c r="M50" s="106"/>
      <c r="N50" s="106"/>
      <c r="O50" s="107"/>
      <c r="P50" s="23"/>
      <c r="Q50" s="23"/>
      <c r="R50" s="23"/>
      <c r="S50" s="23"/>
    </row>
    <row r="51" spans="1:19" ht="18" customHeight="1" x14ac:dyDescent="0.15">
      <c r="A51" s="84"/>
      <c r="B51" s="105"/>
      <c r="C51" s="106"/>
      <c r="D51" s="106"/>
      <c r="E51" s="107"/>
      <c r="F51" s="23"/>
      <c r="G51" s="23"/>
      <c r="H51" s="23"/>
      <c r="I51" s="23"/>
      <c r="J51" s="105"/>
      <c r="K51" s="106"/>
      <c r="L51" s="106"/>
      <c r="M51" s="106"/>
      <c r="N51" s="106"/>
      <c r="O51" s="107"/>
      <c r="P51" s="23"/>
      <c r="Q51" s="23"/>
      <c r="R51" s="23"/>
      <c r="S51" s="23"/>
    </row>
    <row r="52" spans="1:19" ht="18" customHeight="1" x14ac:dyDescent="0.15">
      <c r="A52" s="84"/>
      <c r="B52" s="105"/>
      <c r="C52" s="106"/>
      <c r="D52" s="106"/>
      <c r="E52" s="107"/>
      <c r="F52" s="23"/>
      <c r="G52" s="23"/>
      <c r="H52" s="23"/>
      <c r="I52" s="23"/>
      <c r="J52" s="105"/>
      <c r="K52" s="106"/>
      <c r="L52" s="106"/>
      <c r="M52" s="106"/>
      <c r="N52" s="106"/>
      <c r="O52" s="107"/>
      <c r="P52" s="23"/>
      <c r="Q52" s="23"/>
      <c r="R52" s="23"/>
      <c r="S52" s="23"/>
    </row>
    <row r="53" spans="1:19" ht="18" customHeight="1" x14ac:dyDescent="0.15">
      <c r="A53" s="84"/>
      <c r="B53" s="111"/>
      <c r="C53" s="112"/>
      <c r="D53" s="112"/>
      <c r="E53" s="113"/>
      <c r="F53" s="24"/>
      <c r="G53" s="24"/>
      <c r="H53" s="25"/>
      <c r="I53" s="25"/>
      <c r="J53" s="111"/>
      <c r="K53" s="112"/>
      <c r="L53" s="112"/>
      <c r="M53" s="112"/>
      <c r="N53" s="112"/>
      <c r="O53" s="113"/>
      <c r="P53" s="24"/>
      <c r="Q53" s="24"/>
      <c r="R53" s="25"/>
      <c r="S53" s="25"/>
    </row>
    <row r="54" spans="1:19" ht="7.5" customHeight="1" x14ac:dyDescent="0.15">
      <c r="B54" s="85"/>
      <c r="C54" s="85"/>
      <c r="D54" s="85"/>
      <c r="E54" s="85"/>
      <c r="F54" s="85"/>
      <c r="G54" s="85"/>
      <c r="H54" s="85"/>
      <c r="I54" s="85"/>
      <c r="J54" s="85"/>
      <c r="K54" s="85"/>
      <c r="L54" s="85"/>
      <c r="M54" s="85"/>
      <c r="N54" s="85"/>
      <c r="O54" s="85"/>
      <c r="P54" s="85"/>
      <c r="Q54" s="85"/>
      <c r="R54" s="85"/>
    </row>
    <row r="55" spans="1:19" ht="18" customHeight="1" x14ac:dyDescent="0.15">
      <c r="A55" s="114" t="s">
        <v>116</v>
      </c>
      <c r="B55" s="114"/>
      <c r="C55" s="114"/>
      <c r="D55" s="114"/>
      <c r="E55" s="114"/>
      <c r="F55" s="114"/>
      <c r="G55" s="114"/>
      <c r="H55" s="114"/>
      <c r="I55" s="114"/>
      <c r="J55" s="114"/>
      <c r="K55" s="114"/>
      <c r="L55" s="114"/>
      <c r="M55" s="114"/>
      <c r="N55" s="114"/>
      <c r="O55" s="114"/>
      <c r="P55" s="114"/>
      <c r="Q55" s="114"/>
      <c r="R55" s="114"/>
      <c r="S55" s="114"/>
    </row>
    <row r="56" spans="1:19" ht="18" customHeight="1" x14ac:dyDescent="0.15">
      <c r="A56" s="114"/>
      <c r="B56" s="114"/>
      <c r="C56" s="114"/>
      <c r="D56" s="114"/>
      <c r="E56" s="114"/>
      <c r="F56" s="114"/>
      <c r="G56" s="114"/>
      <c r="H56" s="114"/>
      <c r="I56" s="114"/>
      <c r="J56" s="114"/>
      <c r="K56" s="114"/>
      <c r="L56" s="114"/>
      <c r="M56" s="114"/>
      <c r="N56" s="114"/>
      <c r="O56" s="114"/>
      <c r="P56" s="114"/>
      <c r="Q56" s="114"/>
      <c r="R56" s="114"/>
      <c r="S56" s="114"/>
    </row>
    <row r="57" spans="1:19" ht="18" customHeight="1" x14ac:dyDescent="0.15">
      <c r="B57" s="108" t="s">
        <v>53</v>
      </c>
      <c r="C57" s="109"/>
      <c r="D57" s="109"/>
      <c r="E57" s="110"/>
      <c r="F57" s="59" t="s">
        <v>80</v>
      </c>
      <c r="G57" s="58" t="s">
        <v>84</v>
      </c>
      <c r="H57" s="21" t="s">
        <v>58</v>
      </c>
      <c r="I57" s="21" t="s">
        <v>60</v>
      </c>
      <c r="J57" s="108" t="s">
        <v>53</v>
      </c>
      <c r="K57" s="109"/>
      <c r="L57" s="109"/>
      <c r="M57" s="109"/>
      <c r="N57" s="109"/>
      <c r="O57" s="110"/>
      <c r="P57" s="59" t="s">
        <v>80</v>
      </c>
      <c r="Q57" s="58" t="s">
        <v>84</v>
      </c>
      <c r="R57" s="21" t="s">
        <v>58</v>
      </c>
      <c r="S57" s="21" t="s">
        <v>60</v>
      </c>
    </row>
    <row r="58" spans="1:19" ht="18" customHeight="1" x14ac:dyDescent="0.15">
      <c r="A58" s="84"/>
      <c r="B58" s="102" t="s">
        <v>141</v>
      </c>
      <c r="C58" s="103"/>
      <c r="D58" s="103"/>
      <c r="E58" s="104"/>
      <c r="F58" s="22">
        <v>1</v>
      </c>
      <c r="G58" s="22" t="s">
        <v>132</v>
      </c>
      <c r="H58" s="22" t="s">
        <v>132</v>
      </c>
      <c r="I58" s="22" t="s">
        <v>132</v>
      </c>
      <c r="J58" s="102"/>
      <c r="K58" s="103"/>
      <c r="L58" s="103"/>
      <c r="M58" s="103"/>
      <c r="N58" s="103"/>
      <c r="O58" s="104"/>
      <c r="P58" s="22"/>
      <c r="Q58" s="22"/>
      <c r="R58" s="22"/>
      <c r="S58" s="22"/>
    </row>
    <row r="59" spans="1:19" ht="18" customHeight="1" x14ac:dyDescent="0.15">
      <c r="A59" s="84"/>
      <c r="B59" s="105" t="s">
        <v>144</v>
      </c>
      <c r="C59" s="106"/>
      <c r="D59" s="106"/>
      <c r="E59" s="107"/>
      <c r="F59" s="23">
        <v>1</v>
      </c>
      <c r="G59" s="23" t="s">
        <v>132</v>
      </c>
      <c r="H59" s="23" t="s">
        <v>132</v>
      </c>
      <c r="I59" s="23" t="s">
        <v>132</v>
      </c>
      <c r="J59" s="105"/>
      <c r="K59" s="106"/>
      <c r="L59" s="106"/>
      <c r="M59" s="106"/>
      <c r="N59" s="106"/>
      <c r="O59" s="107"/>
      <c r="P59" s="23"/>
      <c r="Q59" s="23"/>
      <c r="R59" s="23"/>
      <c r="S59" s="23"/>
    </row>
    <row r="60" spans="1:19" ht="18" customHeight="1" x14ac:dyDescent="0.15">
      <c r="A60" s="84"/>
      <c r="B60" s="105"/>
      <c r="C60" s="106"/>
      <c r="D60" s="106"/>
      <c r="E60" s="107"/>
      <c r="F60" s="23"/>
      <c r="G60" s="23"/>
      <c r="H60" s="23"/>
      <c r="I60" s="23"/>
      <c r="J60" s="105"/>
      <c r="K60" s="106"/>
      <c r="L60" s="106"/>
      <c r="M60" s="106"/>
      <c r="N60" s="106"/>
      <c r="O60" s="107"/>
      <c r="P60" s="23"/>
      <c r="Q60" s="23"/>
      <c r="R60" s="23"/>
      <c r="S60" s="23"/>
    </row>
    <row r="61" spans="1:19" ht="18" customHeight="1" x14ac:dyDescent="0.15">
      <c r="A61" s="84"/>
      <c r="B61" s="105"/>
      <c r="C61" s="106"/>
      <c r="D61" s="106"/>
      <c r="E61" s="107"/>
      <c r="F61" s="23"/>
      <c r="G61" s="23"/>
      <c r="H61" s="23"/>
      <c r="I61" s="23"/>
      <c r="J61" s="105"/>
      <c r="K61" s="106"/>
      <c r="L61" s="106"/>
      <c r="M61" s="106"/>
      <c r="N61" s="106"/>
      <c r="O61" s="107"/>
      <c r="P61" s="23"/>
      <c r="Q61" s="23"/>
      <c r="R61" s="23"/>
      <c r="S61" s="23"/>
    </row>
    <row r="62" spans="1:19" ht="18" customHeight="1" x14ac:dyDescent="0.15">
      <c r="A62" s="84"/>
      <c r="B62" s="105"/>
      <c r="C62" s="106"/>
      <c r="D62" s="106"/>
      <c r="E62" s="107"/>
      <c r="F62" s="23"/>
      <c r="G62" s="23"/>
      <c r="H62" s="23"/>
      <c r="I62" s="23"/>
      <c r="J62" s="105"/>
      <c r="K62" s="106"/>
      <c r="L62" s="106"/>
      <c r="M62" s="106"/>
      <c r="N62" s="106"/>
      <c r="O62" s="107"/>
      <c r="P62" s="23"/>
      <c r="Q62" s="23"/>
      <c r="R62" s="23"/>
      <c r="S62" s="23"/>
    </row>
    <row r="63" spans="1:19" ht="18" customHeight="1" x14ac:dyDescent="0.15">
      <c r="A63" s="84"/>
      <c r="B63" s="105"/>
      <c r="C63" s="106"/>
      <c r="D63" s="106"/>
      <c r="E63" s="107"/>
      <c r="F63" s="23"/>
      <c r="G63" s="23"/>
      <c r="H63" s="23"/>
      <c r="I63" s="23"/>
      <c r="J63" s="105"/>
      <c r="K63" s="106"/>
      <c r="L63" s="106"/>
      <c r="M63" s="106"/>
      <c r="N63" s="106"/>
      <c r="O63" s="107"/>
      <c r="P63" s="23"/>
      <c r="Q63" s="23"/>
      <c r="R63" s="23"/>
      <c r="S63" s="23"/>
    </row>
    <row r="64" spans="1:19" ht="18" customHeight="1" x14ac:dyDescent="0.15">
      <c r="A64" s="84"/>
      <c r="B64" s="111"/>
      <c r="C64" s="112"/>
      <c r="D64" s="112"/>
      <c r="E64" s="113"/>
      <c r="F64" s="24"/>
      <c r="G64" s="24"/>
      <c r="H64" s="25"/>
      <c r="I64" s="25"/>
      <c r="J64" s="111"/>
      <c r="K64" s="112"/>
      <c r="L64" s="112"/>
      <c r="M64" s="112"/>
      <c r="N64" s="112"/>
      <c r="O64" s="113"/>
      <c r="P64" s="24"/>
      <c r="Q64" s="24"/>
      <c r="R64" s="25"/>
      <c r="S64" s="25"/>
    </row>
    <row r="65" spans="1:19" ht="7.5" customHeight="1" x14ac:dyDescent="0.15">
      <c r="B65" s="85"/>
      <c r="C65" s="85"/>
      <c r="D65" s="85"/>
      <c r="E65" s="85"/>
      <c r="F65" s="85"/>
      <c r="G65" s="85"/>
      <c r="H65" s="85"/>
      <c r="I65" s="85"/>
      <c r="J65" s="85"/>
      <c r="K65" s="85"/>
      <c r="L65" s="85"/>
      <c r="M65" s="85"/>
      <c r="N65" s="85"/>
      <c r="O65" s="85"/>
      <c r="P65" s="85"/>
      <c r="Q65" s="85"/>
      <c r="R65" s="85"/>
    </row>
    <row r="66" spans="1:19" ht="18" customHeight="1" x14ac:dyDescent="0.15">
      <c r="A66" s="114" t="s">
        <v>117</v>
      </c>
      <c r="B66" s="114"/>
      <c r="C66" s="114"/>
      <c r="D66" s="114"/>
      <c r="E66" s="114"/>
      <c r="F66" s="114"/>
      <c r="G66" s="114"/>
      <c r="H66" s="114"/>
      <c r="I66" s="114"/>
      <c r="J66" s="114"/>
      <c r="K66" s="114"/>
      <c r="L66" s="114"/>
      <c r="M66" s="114"/>
      <c r="N66" s="114"/>
      <c r="O66" s="114"/>
      <c r="P66" s="114"/>
      <c r="Q66" s="114"/>
      <c r="R66" s="114"/>
      <c r="S66" s="114"/>
    </row>
    <row r="67" spans="1:19" ht="18" customHeight="1" x14ac:dyDescent="0.15">
      <c r="A67" s="114"/>
      <c r="B67" s="114"/>
      <c r="C67" s="114"/>
      <c r="D67" s="114"/>
      <c r="E67" s="114"/>
      <c r="F67" s="114"/>
      <c r="G67" s="114"/>
      <c r="H67" s="114"/>
      <c r="I67" s="114"/>
      <c r="J67" s="114"/>
      <c r="K67" s="114"/>
      <c r="L67" s="114"/>
      <c r="M67" s="114"/>
      <c r="N67" s="114"/>
      <c r="O67" s="114"/>
      <c r="P67" s="114"/>
      <c r="Q67" s="114"/>
      <c r="R67" s="114"/>
      <c r="S67" s="114"/>
    </row>
    <row r="68" spans="1:19" ht="18" customHeight="1" x14ac:dyDescent="0.15">
      <c r="B68" s="108" t="s">
        <v>53</v>
      </c>
      <c r="C68" s="109"/>
      <c r="D68" s="109"/>
      <c r="E68" s="59" t="s">
        <v>80</v>
      </c>
      <c r="F68" s="58" t="s">
        <v>84</v>
      </c>
      <c r="G68" s="21" t="s">
        <v>101</v>
      </c>
      <c r="H68" s="21" t="s">
        <v>75</v>
      </c>
      <c r="I68" s="21" t="s">
        <v>76</v>
      </c>
      <c r="J68" s="108" t="s">
        <v>53</v>
      </c>
      <c r="K68" s="109"/>
      <c r="L68" s="109"/>
      <c r="M68" s="109"/>
      <c r="N68" s="110"/>
      <c r="O68" s="59" t="s">
        <v>80</v>
      </c>
      <c r="P68" s="58" t="s">
        <v>84</v>
      </c>
      <c r="Q68" s="21" t="s">
        <v>101</v>
      </c>
      <c r="R68" s="21" t="s">
        <v>75</v>
      </c>
      <c r="S68" s="21" t="s">
        <v>76</v>
      </c>
    </row>
    <row r="69" spans="1:19" ht="18" customHeight="1" x14ac:dyDescent="0.15">
      <c r="A69" s="84"/>
      <c r="B69" s="102" t="s">
        <v>141</v>
      </c>
      <c r="C69" s="103"/>
      <c r="D69" s="103"/>
      <c r="E69" s="22">
        <v>1</v>
      </c>
      <c r="F69" s="22" t="s">
        <v>132</v>
      </c>
      <c r="G69" s="22" t="s">
        <v>132</v>
      </c>
      <c r="H69" s="22" t="s">
        <v>132</v>
      </c>
      <c r="I69" s="22" t="s">
        <v>132</v>
      </c>
      <c r="J69" s="102"/>
      <c r="K69" s="103"/>
      <c r="L69" s="103"/>
      <c r="M69" s="103"/>
      <c r="N69" s="104"/>
      <c r="O69" s="22"/>
      <c r="P69" s="22"/>
      <c r="Q69" s="22"/>
      <c r="R69" s="22"/>
      <c r="S69" s="22"/>
    </row>
    <row r="70" spans="1:19" ht="18" customHeight="1" x14ac:dyDescent="0.15">
      <c r="A70" s="84"/>
      <c r="B70" s="105" t="s">
        <v>145</v>
      </c>
      <c r="C70" s="106"/>
      <c r="D70" s="106"/>
      <c r="E70" s="23">
        <v>2</v>
      </c>
      <c r="F70" s="23" t="s">
        <v>132</v>
      </c>
      <c r="G70" s="23" t="s">
        <v>132</v>
      </c>
      <c r="H70" s="23"/>
      <c r="I70" s="23" t="s">
        <v>132</v>
      </c>
      <c r="J70" s="105"/>
      <c r="K70" s="106"/>
      <c r="L70" s="106"/>
      <c r="M70" s="106"/>
      <c r="N70" s="107"/>
      <c r="O70" s="23"/>
      <c r="P70" s="23"/>
      <c r="Q70" s="23"/>
      <c r="R70" s="23"/>
      <c r="S70" s="23"/>
    </row>
    <row r="71" spans="1:19" ht="18" customHeight="1" x14ac:dyDescent="0.15">
      <c r="A71" s="84"/>
      <c r="B71" s="105" t="s">
        <v>142</v>
      </c>
      <c r="C71" s="106"/>
      <c r="D71" s="106"/>
      <c r="E71" s="23">
        <v>1</v>
      </c>
      <c r="F71" s="23" t="s">
        <v>132</v>
      </c>
      <c r="G71" s="23" t="s">
        <v>132</v>
      </c>
      <c r="H71" s="23"/>
      <c r="I71" s="23"/>
      <c r="J71" s="105"/>
      <c r="K71" s="106"/>
      <c r="L71" s="106"/>
      <c r="M71" s="106"/>
      <c r="N71" s="107"/>
      <c r="O71" s="23"/>
      <c r="P71" s="23"/>
      <c r="Q71" s="23"/>
      <c r="R71" s="23"/>
      <c r="S71" s="23"/>
    </row>
    <row r="72" spans="1:19" ht="18" customHeight="1" x14ac:dyDescent="0.15">
      <c r="A72" s="84"/>
      <c r="B72" s="105" t="s">
        <v>143</v>
      </c>
      <c r="C72" s="106"/>
      <c r="D72" s="106"/>
      <c r="E72" s="23">
        <v>2</v>
      </c>
      <c r="F72" s="23" t="s">
        <v>132</v>
      </c>
      <c r="G72" s="23" t="s">
        <v>132</v>
      </c>
      <c r="H72" s="23" t="s">
        <v>132</v>
      </c>
      <c r="I72" s="23"/>
      <c r="J72" s="105"/>
      <c r="K72" s="106"/>
      <c r="L72" s="106"/>
      <c r="M72" s="106"/>
      <c r="N72" s="107"/>
      <c r="O72" s="23"/>
      <c r="P72" s="23"/>
      <c r="Q72" s="23"/>
      <c r="R72" s="23"/>
      <c r="S72" s="23"/>
    </row>
    <row r="73" spans="1:19" ht="18" customHeight="1" x14ac:dyDescent="0.15">
      <c r="A73" s="84"/>
      <c r="B73" s="105"/>
      <c r="C73" s="106"/>
      <c r="D73" s="106"/>
      <c r="E73" s="23"/>
      <c r="F73" s="23"/>
      <c r="G73" s="23"/>
      <c r="H73" s="23"/>
      <c r="I73" s="23"/>
      <c r="J73" s="105"/>
      <c r="K73" s="106"/>
      <c r="L73" s="106"/>
      <c r="M73" s="106"/>
      <c r="N73" s="107"/>
      <c r="O73" s="23"/>
      <c r="P73" s="23"/>
      <c r="Q73" s="23"/>
      <c r="R73" s="23"/>
      <c r="S73" s="23"/>
    </row>
    <row r="74" spans="1:19" ht="18" customHeight="1" x14ac:dyDescent="0.15">
      <c r="A74" s="84"/>
      <c r="B74" s="105"/>
      <c r="C74" s="106"/>
      <c r="D74" s="106"/>
      <c r="E74" s="23"/>
      <c r="F74" s="23"/>
      <c r="G74" s="23"/>
      <c r="H74" s="23"/>
      <c r="I74" s="23"/>
      <c r="J74" s="105"/>
      <c r="K74" s="106"/>
      <c r="L74" s="106"/>
      <c r="M74" s="106"/>
      <c r="N74" s="107"/>
      <c r="O74" s="23"/>
      <c r="P74" s="23"/>
      <c r="Q74" s="23"/>
      <c r="R74" s="23"/>
      <c r="S74" s="23"/>
    </row>
    <row r="75" spans="1:19" ht="18" customHeight="1" x14ac:dyDescent="0.15">
      <c r="A75" s="84"/>
      <c r="B75" s="111"/>
      <c r="C75" s="112"/>
      <c r="D75" s="112"/>
      <c r="E75" s="24"/>
      <c r="F75" s="24"/>
      <c r="G75" s="25"/>
      <c r="H75" s="25"/>
      <c r="I75" s="25"/>
      <c r="J75" s="111"/>
      <c r="K75" s="112"/>
      <c r="L75" s="112"/>
      <c r="M75" s="112"/>
      <c r="N75" s="113"/>
      <c r="O75" s="24"/>
      <c r="P75" s="24"/>
      <c r="Q75" s="25"/>
      <c r="R75" s="25"/>
      <c r="S75" s="25"/>
    </row>
    <row r="76" spans="1:19" ht="7.5" customHeight="1" x14ac:dyDescent="0.15">
      <c r="B76" s="85"/>
      <c r="C76" s="85"/>
      <c r="D76" s="85"/>
      <c r="E76" s="85"/>
      <c r="F76" s="85"/>
      <c r="G76" s="85"/>
      <c r="H76" s="85"/>
      <c r="I76" s="85"/>
      <c r="J76" s="85"/>
      <c r="K76" s="85"/>
      <c r="L76" s="85"/>
      <c r="M76" s="85"/>
      <c r="N76" s="85"/>
      <c r="O76" s="85"/>
      <c r="P76" s="85"/>
      <c r="Q76" s="85"/>
      <c r="R76" s="85"/>
    </row>
    <row r="77" spans="1:19" ht="18" customHeight="1" x14ac:dyDescent="0.15">
      <c r="A77" s="83" t="s">
        <v>118</v>
      </c>
      <c r="H77" s="84"/>
      <c r="I77" s="84"/>
      <c r="J77" s="84"/>
      <c r="K77" s="84"/>
      <c r="L77" s="84"/>
      <c r="M77" s="84"/>
      <c r="N77" s="84"/>
      <c r="O77" s="84"/>
      <c r="P77" s="84"/>
      <c r="Q77" s="84"/>
      <c r="R77" s="84"/>
      <c r="S77" s="84"/>
    </row>
    <row r="78" spans="1:19" ht="18" customHeight="1" x14ac:dyDescent="0.15">
      <c r="B78" s="108" t="s">
        <v>53</v>
      </c>
      <c r="C78" s="109"/>
      <c r="D78" s="109"/>
      <c r="E78" s="110"/>
      <c r="F78" s="108" t="s">
        <v>82</v>
      </c>
      <c r="G78" s="109"/>
      <c r="H78" s="109"/>
      <c r="I78" s="110"/>
      <c r="J78" s="135" t="s">
        <v>53</v>
      </c>
      <c r="K78" s="136"/>
      <c r="L78" s="136"/>
      <c r="M78" s="136"/>
      <c r="N78" s="136"/>
      <c r="O78" s="137"/>
      <c r="P78" s="108" t="s">
        <v>82</v>
      </c>
      <c r="Q78" s="109"/>
      <c r="R78" s="109"/>
      <c r="S78" s="110"/>
    </row>
    <row r="79" spans="1:19" ht="18" customHeight="1" x14ac:dyDescent="0.15">
      <c r="A79" s="84"/>
      <c r="B79" s="102"/>
      <c r="C79" s="103"/>
      <c r="D79" s="103"/>
      <c r="E79" s="104"/>
      <c r="F79" s="129"/>
      <c r="G79" s="130"/>
      <c r="H79" s="130"/>
      <c r="I79" s="131"/>
      <c r="J79" s="102"/>
      <c r="K79" s="103"/>
      <c r="L79" s="103"/>
      <c r="M79" s="103"/>
      <c r="N79" s="103"/>
      <c r="O79" s="104"/>
      <c r="P79" s="129"/>
      <c r="Q79" s="130"/>
      <c r="R79" s="130"/>
      <c r="S79" s="131"/>
    </row>
    <row r="80" spans="1:19" ht="18" customHeight="1" x14ac:dyDescent="0.15">
      <c r="A80" s="84"/>
      <c r="B80" s="105"/>
      <c r="C80" s="106"/>
      <c r="D80" s="106"/>
      <c r="E80" s="107"/>
      <c r="F80" s="132"/>
      <c r="G80" s="133"/>
      <c r="H80" s="133"/>
      <c r="I80" s="134"/>
      <c r="J80" s="105"/>
      <c r="K80" s="106"/>
      <c r="L80" s="106"/>
      <c r="M80" s="106"/>
      <c r="N80" s="106"/>
      <c r="O80" s="107"/>
      <c r="P80" s="132"/>
      <c r="Q80" s="133"/>
      <c r="R80" s="133"/>
      <c r="S80" s="134"/>
    </row>
    <row r="81" spans="1:19" ht="18" customHeight="1" x14ac:dyDescent="0.15">
      <c r="A81" s="84"/>
      <c r="B81" s="105"/>
      <c r="C81" s="106"/>
      <c r="D81" s="106"/>
      <c r="E81" s="107"/>
      <c r="F81" s="132"/>
      <c r="G81" s="133"/>
      <c r="H81" s="133"/>
      <c r="I81" s="134"/>
      <c r="J81" s="105"/>
      <c r="K81" s="106"/>
      <c r="L81" s="106"/>
      <c r="M81" s="106"/>
      <c r="N81" s="106"/>
      <c r="O81" s="107"/>
      <c r="P81" s="132"/>
      <c r="Q81" s="133"/>
      <c r="R81" s="133"/>
      <c r="S81" s="134"/>
    </row>
    <row r="82" spans="1:19" ht="18" customHeight="1" x14ac:dyDescent="0.15">
      <c r="A82" s="84"/>
      <c r="B82" s="105"/>
      <c r="C82" s="106"/>
      <c r="D82" s="106"/>
      <c r="E82" s="107"/>
      <c r="F82" s="132"/>
      <c r="G82" s="133"/>
      <c r="H82" s="133"/>
      <c r="I82" s="134"/>
      <c r="J82" s="105"/>
      <c r="K82" s="106"/>
      <c r="L82" s="106"/>
      <c r="M82" s="106"/>
      <c r="N82" s="106"/>
      <c r="O82" s="107"/>
      <c r="P82" s="132"/>
      <c r="Q82" s="133"/>
      <c r="R82" s="133"/>
      <c r="S82" s="134"/>
    </row>
    <row r="83" spans="1:19" ht="18" customHeight="1" x14ac:dyDescent="0.15">
      <c r="A83" s="84"/>
      <c r="B83" s="105"/>
      <c r="C83" s="106"/>
      <c r="D83" s="106"/>
      <c r="E83" s="107"/>
      <c r="F83" s="132"/>
      <c r="G83" s="133"/>
      <c r="H83" s="133"/>
      <c r="I83" s="134"/>
      <c r="J83" s="105"/>
      <c r="K83" s="106"/>
      <c r="L83" s="106"/>
      <c r="M83" s="106"/>
      <c r="N83" s="106"/>
      <c r="O83" s="107"/>
      <c r="P83" s="132"/>
      <c r="Q83" s="133"/>
      <c r="R83" s="133"/>
      <c r="S83" s="134"/>
    </row>
    <row r="84" spans="1:19" ht="18" customHeight="1" x14ac:dyDescent="0.15">
      <c r="A84" s="84"/>
      <c r="B84" s="105"/>
      <c r="C84" s="106"/>
      <c r="D84" s="106"/>
      <c r="E84" s="107"/>
      <c r="F84" s="132"/>
      <c r="G84" s="133"/>
      <c r="H84" s="133"/>
      <c r="I84" s="134"/>
      <c r="J84" s="105"/>
      <c r="K84" s="106"/>
      <c r="L84" s="106"/>
      <c r="M84" s="106"/>
      <c r="N84" s="106"/>
      <c r="O84" s="107"/>
      <c r="P84" s="132"/>
      <c r="Q84" s="133"/>
      <c r="R84" s="133"/>
      <c r="S84" s="134"/>
    </row>
    <row r="85" spans="1:19" ht="18" customHeight="1" x14ac:dyDescent="0.15">
      <c r="A85" s="84"/>
      <c r="B85" s="111"/>
      <c r="C85" s="112"/>
      <c r="D85" s="112"/>
      <c r="E85" s="113"/>
      <c r="F85" s="141"/>
      <c r="G85" s="142"/>
      <c r="H85" s="142"/>
      <c r="I85" s="143"/>
      <c r="J85" s="111"/>
      <c r="K85" s="112"/>
      <c r="L85" s="112"/>
      <c r="M85" s="112"/>
      <c r="N85" s="112"/>
      <c r="O85" s="113"/>
      <c r="P85" s="141"/>
      <c r="Q85" s="142"/>
      <c r="R85" s="142"/>
      <c r="S85" s="143"/>
    </row>
    <row r="86" spans="1:19" ht="18" customHeight="1" x14ac:dyDescent="0.15">
      <c r="A86" s="84"/>
      <c r="B86" s="6"/>
      <c r="C86" s="6"/>
      <c r="D86" s="6"/>
      <c r="E86" s="6"/>
      <c r="F86" s="26"/>
      <c r="G86" s="26"/>
      <c r="H86" s="26"/>
      <c r="I86" s="26"/>
      <c r="J86" s="6"/>
      <c r="K86" s="6"/>
      <c r="L86" s="6"/>
      <c r="M86" s="6"/>
      <c r="N86" s="6"/>
      <c r="O86" s="6"/>
      <c r="P86" s="26"/>
      <c r="Q86" s="26"/>
      <c r="R86" s="26"/>
      <c r="S86" s="26"/>
    </row>
    <row r="87" spans="1:19" ht="18.75" customHeight="1" x14ac:dyDescent="0.15">
      <c r="A87" s="83" t="s">
        <v>119</v>
      </c>
    </row>
    <row r="88" spans="1:19" ht="18.75" customHeight="1" x14ac:dyDescent="0.15">
      <c r="B88" s="126" t="s">
        <v>54</v>
      </c>
      <c r="C88" s="127"/>
      <c r="D88" s="109" t="s">
        <v>55</v>
      </c>
      <c r="E88" s="109"/>
      <c r="F88" s="109"/>
      <c r="G88" s="109"/>
      <c r="H88" s="109"/>
      <c r="I88" s="109"/>
      <c r="J88" s="109"/>
      <c r="K88" s="109"/>
      <c r="L88" s="109"/>
      <c r="M88" s="109"/>
      <c r="N88" s="109"/>
      <c r="O88" s="109"/>
      <c r="P88" s="109"/>
      <c r="Q88" s="109"/>
      <c r="R88" s="109"/>
      <c r="S88" s="110"/>
    </row>
    <row r="89" spans="1:19" ht="97.5" customHeight="1" x14ac:dyDescent="0.15">
      <c r="B89" s="115" t="s">
        <v>61</v>
      </c>
      <c r="C89" s="27" t="s">
        <v>56</v>
      </c>
      <c r="D89" s="128" t="s">
        <v>225</v>
      </c>
      <c r="E89" s="128"/>
      <c r="F89" s="128"/>
      <c r="G89" s="128"/>
      <c r="H89" s="128"/>
      <c r="I89" s="128"/>
      <c r="J89" s="128"/>
      <c r="K89" s="128"/>
      <c r="L89" s="128"/>
      <c r="M89" s="128"/>
      <c r="N89" s="128"/>
      <c r="O89" s="128"/>
      <c r="P89" s="128"/>
      <c r="Q89" s="128"/>
      <c r="R89" s="128"/>
      <c r="S89" s="195"/>
    </row>
    <row r="90" spans="1:19" ht="97.5" customHeight="1" x14ac:dyDescent="0.15">
      <c r="B90" s="116"/>
      <c r="C90" s="28" t="s">
        <v>77</v>
      </c>
      <c r="D90" s="144" t="s">
        <v>256</v>
      </c>
      <c r="E90" s="144"/>
      <c r="F90" s="144"/>
      <c r="G90" s="144"/>
      <c r="H90" s="144"/>
      <c r="I90" s="144"/>
      <c r="J90" s="144"/>
      <c r="K90" s="144"/>
      <c r="L90" s="144"/>
      <c r="M90" s="144"/>
      <c r="N90" s="144"/>
      <c r="O90" s="144"/>
      <c r="P90" s="144"/>
      <c r="Q90" s="144"/>
      <c r="R90" s="144"/>
      <c r="S90" s="199"/>
    </row>
    <row r="91" spans="1:19" ht="100.5" customHeight="1" x14ac:dyDescent="0.15">
      <c r="B91" s="115" t="s">
        <v>62</v>
      </c>
      <c r="C91" s="29" t="s">
        <v>71</v>
      </c>
      <c r="D91" s="147" t="s">
        <v>257</v>
      </c>
      <c r="E91" s="147"/>
      <c r="F91" s="147"/>
      <c r="G91" s="147"/>
      <c r="H91" s="147"/>
      <c r="I91" s="147"/>
      <c r="J91" s="147"/>
      <c r="K91" s="147"/>
      <c r="L91" s="147"/>
      <c r="M91" s="147"/>
      <c r="N91" s="147"/>
      <c r="O91" s="147"/>
      <c r="P91" s="147"/>
      <c r="Q91" s="147"/>
      <c r="R91" s="147"/>
      <c r="S91" s="193"/>
    </row>
    <row r="92" spans="1:19" ht="97.5" customHeight="1" x14ac:dyDescent="0.15">
      <c r="B92" s="117"/>
      <c r="C92" s="30" t="s">
        <v>72</v>
      </c>
      <c r="D92" s="202" t="s">
        <v>222</v>
      </c>
      <c r="E92" s="202"/>
      <c r="F92" s="202"/>
      <c r="G92" s="202"/>
      <c r="H92" s="202"/>
      <c r="I92" s="202"/>
      <c r="J92" s="202"/>
      <c r="K92" s="202"/>
      <c r="L92" s="202"/>
      <c r="M92" s="202"/>
      <c r="N92" s="202"/>
      <c r="O92" s="202"/>
      <c r="P92" s="202"/>
      <c r="Q92" s="202"/>
      <c r="R92" s="202"/>
      <c r="S92" s="203"/>
    </row>
    <row r="93" spans="1:19" ht="97.5" customHeight="1" x14ac:dyDescent="0.15">
      <c r="B93" s="115" t="s">
        <v>63</v>
      </c>
      <c r="C93" s="29" t="s">
        <v>73</v>
      </c>
      <c r="D93" s="147" t="s">
        <v>258</v>
      </c>
      <c r="E93" s="147"/>
      <c r="F93" s="147"/>
      <c r="G93" s="147"/>
      <c r="H93" s="147"/>
      <c r="I93" s="147"/>
      <c r="J93" s="147"/>
      <c r="K93" s="147"/>
      <c r="L93" s="147"/>
      <c r="M93" s="147"/>
      <c r="N93" s="147"/>
      <c r="O93" s="147"/>
      <c r="P93" s="147"/>
      <c r="Q93" s="147"/>
      <c r="R93" s="147"/>
      <c r="S93" s="193"/>
    </row>
    <row r="94" spans="1:19" ht="97.5" customHeight="1" x14ac:dyDescent="0.15">
      <c r="B94" s="117"/>
      <c r="C94" s="31" t="s">
        <v>74</v>
      </c>
      <c r="D94" s="150" t="s">
        <v>223</v>
      </c>
      <c r="E94" s="150"/>
      <c r="F94" s="150"/>
      <c r="G94" s="150"/>
      <c r="H94" s="150"/>
      <c r="I94" s="150"/>
      <c r="J94" s="150"/>
      <c r="K94" s="150"/>
      <c r="L94" s="150"/>
      <c r="M94" s="150"/>
      <c r="N94" s="150"/>
      <c r="O94" s="150"/>
      <c r="P94" s="150"/>
      <c r="Q94" s="150"/>
      <c r="R94" s="150"/>
      <c r="S94" s="194"/>
    </row>
    <row r="95" spans="1:19" ht="97.5" customHeight="1" x14ac:dyDescent="0.15">
      <c r="B95" s="115" t="s">
        <v>78</v>
      </c>
      <c r="C95" s="27" t="s">
        <v>58</v>
      </c>
      <c r="D95" s="197" t="s">
        <v>259</v>
      </c>
      <c r="E95" s="197"/>
      <c r="F95" s="197"/>
      <c r="G95" s="197"/>
      <c r="H95" s="197"/>
      <c r="I95" s="197"/>
      <c r="J95" s="197"/>
      <c r="K95" s="197"/>
      <c r="L95" s="197"/>
      <c r="M95" s="197"/>
      <c r="N95" s="197"/>
      <c r="O95" s="197"/>
      <c r="P95" s="197"/>
      <c r="Q95" s="197"/>
      <c r="R95" s="197"/>
      <c r="S95" s="198"/>
    </row>
    <row r="96" spans="1:19" ht="97.5" customHeight="1" x14ac:dyDescent="0.15">
      <c r="B96" s="117"/>
      <c r="C96" s="30" t="s">
        <v>60</v>
      </c>
      <c r="D96" s="202" t="s">
        <v>232</v>
      </c>
      <c r="E96" s="202"/>
      <c r="F96" s="202"/>
      <c r="G96" s="202"/>
      <c r="H96" s="202"/>
      <c r="I96" s="202"/>
      <c r="J96" s="202"/>
      <c r="K96" s="202"/>
      <c r="L96" s="202"/>
      <c r="M96" s="202"/>
      <c r="N96" s="202"/>
      <c r="O96" s="202"/>
      <c r="P96" s="202"/>
      <c r="Q96" s="202"/>
      <c r="R96" s="202"/>
      <c r="S96" s="203"/>
    </row>
    <row r="97" spans="1:19" ht="110.25" customHeight="1" x14ac:dyDescent="0.15">
      <c r="B97" s="115" t="s">
        <v>79</v>
      </c>
      <c r="C97" s="29" t="s">
        <v>57</v>
      </c>
      <c r="D97" s="187" t="s">
        <v>260</v>
      </c>
      <c r="E97" s="187"/>
      <c r="F97" s="187"/>
      <c r="G97" s="187"/>
      <c r="H97" s="187"/>
      <c r="I97" s="187"/>
      <c r="J97" s="187"/>
      <c r="K97" s="187"/>
      <c r="L97" s="187"/>
      <c r="M97" s="187"/>
      <c r="N97" s="187"/>
      <c r="O97" s="187"/>
      <c r="P97" s="187"/>
      <c r="Q97" s="187"/>
      <c r="R97" s="187"/>
      <c r="S97" s="188"/>
    </row>
    <row r="98" spans="1:19" ht="97.5" customHeight="1" x14ac:dyDescent="0.15">
      <c r="B98" s="116"/>
      <c r="C98" s="32" t="s">
        <v>75</v>
      </c>
      <c r="D98" s="206" t="s">
        <v>261</v>
      </c>
      <c r="E98" s="207"/>
      <c r="F98" s="207"/>
      <c r="G98" s="207"/>
      <c r="H98" s="207"/>
      <c r="I98" s="207"/>
      <c r="J98" s="207"/>
      <c r="K98" s="207"/>
      <c r="L98" s="207"/>
      <c r="M98" s="207"/>
      <c r="N98" s="207"/>
      <c r="O98" s="207"/>
      <c r="P98" s="207"/>
      <c r="Q98" s="207"/>
      <c r="R98" s="207"/>
      <c r="S98" s="208"/>
    </row>
    <row r="99" spans="1:19" ht="120.75" customHeight="1" x14ac:dyDescent="0.15">
      <c r="B99" s="117"/>
      <c r="C99" s="31" t="s">
        <v>76</v>
      </c>
      <c r="D99" s="121" t="s">
        <v>263</v>
      </c>
      <c r="E99" s="121"/>
      <c r="F99" s="121"/>
      <c r="G99" s="121"/>
      <c r="H99" s="121"/>
      <c r="I99" s="121"/>
      <c r="J99" s="121"/>
      <c r="K99" s="121"/>
      <c r="L99" s="121"/>
      <c r="M99" s="121"/>
      <c r="N99" s="121"/>
      <c r="O99" s="121"/>
      <c r="P99" s="121"/>
      <c r="Q99" s="121"/>
      <c r="R99" s="121"/>
      <c r="S99" s="201"/>
    </row>
    <row r="100" spans="1:19" ht="6" customHeight="1" x14ac:dyDescent="0.15"/>
    <row r="101" spans="1:19" ht="18.75" customHeight="1" x14ac:dyDescent="0.15">
      <c r="A101" s="83" t="s">
        <v>120</v>
      </c>
    </row>
    <row r="102" spans="1:19" ht="81.75" customHeight="1" x14ac:dyDescent="0.15">
      <c r="B102" s="138" t="s">
        <v>146</v>
      </c>
      <c r="C102" s="139"/>
      <c r="D102" s="139"/>
      <c r="E102" s="139"/>
      <c r="F102" s="139"/>
      <c r="G102" s="139"/>
      <c r="H102" s="139"/>
      <c r="I102" s="139"/>
      <c r="J102" s="139"/>
      <c r="K102" s="139"/>
      <c r="L102" s="139"/>
      <c r="M102" s="139"/>
      <c r="N102" s="139"/>
      <c r="O102" s="139"/>
      <c r="P102" s="139"/>
      <c r="Q102" s="139"/>
      <c r="R102" s="139"/>
      <c r="S102" s="140"/>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K20:S20" xr:uid="{A7BFA852-7804-45BC-92FA-7DDBD4049BBC}">
      <formula1>$V$14:$V$16</formula1>
    </dataValidation>
    <dataValidation type="list" allowBlank="1" showInputMessage="1" showErrorMessage="1" sqref="F79:F86 P79:P86 G79:I80 G83:I86 Q83:S86 Q79:S80" xr:uid="{51B5347A-945C-42EB-98C7-8C73B7BF9A9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F041C15B-905D-4DBB-8D23-AD2CED169D51}">
      <formula1>"学部・学科によって、修了要件は相違する,学部・学科によって、修了要件は相違しない"</formula1>
    </dataValidation>
    <dataValidation type="list" allowBlank="1" showInputMessage="1" showErrorMessage="1" sqref="S32 S43 D32:G32 D43:G43" xr:uid="{A5AB2340-54E8-456F-BC3F-71E4A1202350}">
      <formula1>"全学開講,一部開講"</formula1>
    </dataValidation>
    <dataValidation type="list" allowBlank="1" showInputMessage="1" showErrorMessage="1" sqref="G25:I31 Q25:S31 G36:I42 Q36:S42 P69:S75 Q47:S53 G47:I53 Q58:S64 F69:I75 G58:I64" xr:uid="{7FF9753C-A79E-4868-A6DF-6C976C1D048F}">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76452-0E5D-4196-8188-E7FC702B8D7E}">
  <sheetPr>
    <pageSetUpPr fitToPage="1"/>
  </sheetPr>
  <dimension ref="A1:V110"/>
  <sheetViews>
    <sheetView showZeros="0" zoomScale="90" zoomScaleNormal="90" zoomScaleSheetLayoutView="90" workbookViewId="0">
      <selection activeCell="U90" sqref="U90"/>
    </sheetView>
  </sheetViews>
  <sheetFormatPr defaultColWidth="9" defaultRowHeight="18.75" customHeight="1" x14ac:dyDescent="0.15"/>
  <cols>
    <col min="1" max="1" width="2.5" style="83" customWidth="1"/>
    <col min="2" max="2" width="16.5" style="83" customWidth="1"/>
    <col min="3" max="19" width="5.625" style="83" customWidth="1"/>
    <col min="20" max="20" width="9" style="83"/>
    <col min="21" max="21" width="3.625" style="83" customWidth="1"/>
    <col min="22" max="22" width="48.625" style="83" hidden="1" customWidth="1"/>
    <col min="23" max="16384" width="9" style="83"/>
  </cols>
  <sheetData>
    <row r="1" spans="1:22" ht="18.600000000000001" customHeight="1" x14ac:dyDescent="0.15">
      <c r="R1" s="164" t="s">
        <v>173</v>
      </c>
      <c r="S1" s="164"/>
      <c r="T1" s="2" t="s">
        <v>109</v>
      </c>
    </row>
    <row r="2" spans="1:22" ht="18.75" customHeight="1" x14ac:dyDescent="0.15">
      <c r="B2" s="82" t="s">
        <v>108</v>
      </c>
      <c r="C2" s="168" t="s">
        <v>127</v>
      </c>
      <c r="D2" s="109"/>
      <c r="E2" s="109"/>
      <c r="F2" s="109"/>
      <c r="G2" s="109"/>
      <c r="H2" s="109"/>
      <c r="I2" s="110"/>
      <c r="J2" s="81"/>
      <c r="K2" s="6"/>
      <c r="L2" s="6"/>
      <c r="M2" s="6"/>
      <c r="N2" s="6"/>
      <c r="O2" s="6"/>
      <c r="P2" s="6"/>
      <c r="Q2" s="6"/>
      <c r="R2" s="6"/>
      <c r="S2" s="6"/>
    </row>
    <row r="3" spans="1:22" ht="18.75" customHeight="1" x14ac:dyDescent="0.15">
      <c r="B3" s="82" t="s">
        <v>102</v>
      </c>
      <c r="C3" s="168" t="s">
        <v>126</v>
      </c>
      <c r="D3" s="169"/>
      <c r="E3" s="169"/>
      <c r="F3" s="169"/>
      <c r="G3" s="169"/>
      <c r="H3" s="169"/>
      <c r="I3" s="170"/>
      <c r="J3" s="81"/>
      <c r="K3" s="6"/>
      <c r="L3" s="6"/>
      <c r="M3" s="6"/>
      <c r="N3" s="6"/>
      <c r="O3" s="6"/>
      <c r="P3" s="6"/>
      <c r="Q3" s="6"/>
      <c r="R3" s="6"/>
      <c r="S3" s="6"/>
    </row>
    <row r="4" spans="1:22" ht="15" customHeight="1" x14ac:dyDescent="0.15">
      <c r="K4" s="81"/>
      <c r="L4" s="36"/>
      <c r="M4" s="36"/>
      <c r="N4" s="36"/>
      <c r="O4" s="36"/>
      <c r="P4" s="36"/>
      <c r="Q4" s="36"/>
      <c r="R4" s="36"/>
      <c r="S4" s="36"/>
    </row>
    <row r="5" spans="1:22" ht="18" customHeight="1" x14ac:dyDescent="0.15">
      <c r="A5" s="171" t="s">
        <v>38</v>
      </c>
      <c r="B5" s="171"/>
      <c r="C5" s="171"/>
      <c r="D5" s="171"/>
      <c r="E5" s="171"/>
      <c r="F5" s="171"/>
      <c r="G5" s="171"/>
      <c r="H5" s="171"/>
      <c r="I5" s="171"/>
      <c r="J5" s="171"/>
      <c r="K5" s="171"/>
      <c r="L5" s="171"/>
      <c r="M5" s="171"/>
      <c r="N5" s="171"/>
      <c r="O5" s="171"/>
      <c r="P5" s="171"/>
      <c r="Q5" s="171"/>
      <c r="R5" s="171"/>
      <c r="S5" s="171"/>
    </row>
    <row r="6" spans="1:22" ht="15" customHeight="1" x14ac:dyDescent="0.15">
      <c r="B6" s="84"/>
      <c r="C6" s="84"/>
      <c r="D6" s="84"/>
      <c r="E6" s="84"/>
      <c r="F6" s="84"/>
      <c r="G6" s="84"/>
      <c r="H6" s="84"/>
      <c r="I6" s="84"/>
      <c r="J6" s="84"/>
      <c r="K6" s="84"/>
      <c r="L6" s="84"/>
      <c r="M6" s="84"/>
      <c r="N6" s="84"/>
      <c r="O6" s="84"/>
      <c r="P6" s="84"/>
      <c r="Q6" s="84"/>
      <c r="R6" s="84"/>
      <c r="S6" s="84"/>
    </row>
    <row r="7" spans="1:22" ht="18" customHeight="1" x14ac:dyDescent="0.15">
      <c r="A7" s="83" t="s">
        <v>124</v>
      </c>
      <c r="C7" s="84"/>
      <c r="J7" s="37" t="s">
        <v>107</v>
      </c>
      <c r="K7" s="168" t="s">
        <v>128</v>
      </c>
      <c r="L7" s="169"/>
      <c r="M7" s="169"/>
      <c r="N7" s="169"/>
      <c r="O7" s="169"/>
      <c r="P7" s="169"/>
      <c r="Q7" s="169"/>
      <c r="R7" s="169"/>
      <c r="S7" s="170"/>
    </row>
    <row r="8" spans="1:22" ht="6" customHeight="1" x14ac:dyDescent="0.15">
      <c r="B8" s="84"/>
      <c r="C8" s="84"/>
      <c r="D8" s="84"/>
      <c r="E8" s="84"/>
      <c r="F8" s="84"/>
      <c r="G8" s="84"/>
      <c r="H8" s="84"/>
      <c r="I8" s="84"/>
      <c r="J8" s="84"/>
      <c r="K8" s="10"/>
      <c r="L8" s="84"/>
      <c r="M8" s="84"/>
      <c r="N8" s="84"/>
      <c r="O8" s="84"/>
      <c r="P8" s="84"/>
      <c r="Q8" s="84"/>
      <c r="R8" s="84"/>
      <c r="S8" s="84"/>
    </row>
    <row r="9" spans="1:22" ht="18" customHeight="1" x14ac:dyDescent="0.15">
      <c r="B9" s="181" t="s">
        <v>148</v>
      </c>
      <c r="C9" s="182"/>
      <c r="D9" s="182"/>
      <c r="E9" s="182"/>
      <c r="F9" s="182"/>
      <c r="G9" s="182"/>
      <c r="H9" s="182"/>
      <c r="I9" s="182"/>
      <c r="J9" s="182"/>
      <c r="K9" s="182"/>
      <c r="L9" s="182"/>
      <c r="M9" s="182"/>
      <c r="N9" s="182"/>
      <c r="O9" s="182"/>
      <c r="P9" s="182"/>
      <c r="Q9" s="182"/>
      <c r="R9" s="182"/>
      <c r="S9" s="183"/>
    </row>
    <row r="10" spans="1:22" ht="18" customHeight="1" x14ac:dyDescent="0.15">
      <c r="B10" s="184"/>
      <c r="C10" s="185"/>
      <c r="D10" s="185"/>
      <c r="E10" s="185"/>
      <c r="F10" s="185"/>
      <c r="G10" s="185"/>
      <c r="H10" s="185"/>
      <c r="I10" s="185"/>
      <c r="J10" s="185"/>
      <c r="K10" s="185"/>
      <c r="L10" s="185"/>
      <c r="M10" s="185"/>
      <c r="N10" s="185"/>
      <c r="O10" s="185"/>
      <c r="P10" s="185"/>
      <c r="Q10" s="185"/>
      <c r="R10" s="185"/>
      <c r="S10" s="186"/>
    </row>
    <row r="11" spans="1:22" ht="6" customHeight="1" x14ac:dyDescent="0.15">
      <c r="B11" s="84"/>
      <c r="C11" s="84"/>
      <c r="D11" s="84"/>
      <c r="E11" s="84"/>
      <c r="F11" s="84"/>
      <c r="G11" s="84"/>
      <c r="H11" s="84"/>
      <c r="I11" s="84"/>
      <c r="J11" s="84"/>
      <c r="K11" s="10"/>
      <c r="L11" s="84"/>
      <c r="M11" s="84"/>
      <c r="N11" s="84"/>
      <c r="O11" s="84"/>
      <c r="P11" s="84"/>
      <c r="Q11" s="84"/>
      <c r="R11" s="84"/>
      <c r="S11" s="84"/>
    </row>
    <row r="12" spans="1:22" ht="18" customHeight="1" x14ac:dyDescent="0.15">
      <c r="A12" s="83" t="s">
        <v>111</v>
      </c>
      <c r="B12" s="84"/>
      <c r="C12" s="84"/>
      <c r="D12" s="81"/>
      <c r="E12" s="81"/>
      <c r="F12" s="81"/>
      <c r="G12" s="81"/>
      <c r="H12" s="81"/>
      <c r="I12" s="81"/>
      <c r="J12" s="81"/>
      <c r="K12" s="38"/>
      <c r="L12" s="38"/>
      <c r="M12" s="38"/>
      <c r="N12" s="38"/>
      <c r="O12" s="38"/>
      <c r="P12" s="38"/>
      <c r="Q12" s="38"/>
      <c r="R12" s="38"/>
      <c r="S12" s="38"/>
    </row>
    <row r="13" spans="1:22" ht="18" customHeight="1" x14ac:dyDescent="0.15">
      <c r="B13" s="172" t="s">
        <v>149</v>
      </c>
      <c r="C13" s="173"/>
      <c r="D13" s="173"/>
      <c r="E13" s="173"/>
      <c r="F13" s="173"/>
      <c r="G13" s="173"/>
      <c r="H13" s="173"/>
      <c r="I13" s="173"/>
      <c r="J13" s="173"/>
      <c r="K13" s="173"/>
      <c r="L13" s="173"/>
      <c r="M13" s="173"/>
      <c r="N13" s="173"/>
      <c r="O13" s="173"/>
      <c r="P13" s="173"/>
      <c r="Q13" s="173"/>
      <c r="R13" s="173"/>
      <c r="S13" s="174"/>
      <c r="V13" s="83" t="s">
        <v>103</v>
      </c>
    </row>
    <row r="14" spans="1:22" ht="18" customHeight="1" x14ac:dyDescent="0.15">
      <c r="B14" s="175"/>
      <c r="C14" s="176"/>
      <c r="D14" s="176"/>
      <c r="E14" s="176"/>
      <c r="F14" s="176"/>
      <c r="G14" s="176"/>
      <c r="H14" s="176"/>
      <c r="I14" s="176"/>
      <c r="J14" s="176"/>
      <c r="K14" s="176"/>
      <c r="L14" s="176"/>
      <c r="M14" s="176"/>
      <c r="N14" s="176"/>
      <c r="O14" s="176"/>
      <c r="P14" s="176"/>
      <c r="Q14" s="176"/>
      <c r="R14" s="176"/>
      <c r="S14" s="177"/>
      <c r="V14" s="83" t="s">
        <v>110</v>
      </c>
    </row>
    <row r="15" spans="1:22" ht="18" customHeight="1" x14ac:dyDescent="0.15">
      <c r="B15" s="175"/>
      <c r="C15" s="176"/>
      <c r="D15" s="176"/>
      <c r="E15" s="176"/>
      <c r="F15" s="176"/>
      <c r="G15" s="176"/>
      <c r="H15" s="176"/>
      <c r="I15" s="176"/>
      <c r="J15" s="176"/>
      <c r="K15" s="176"/>
      <c r="L15" s="176"/>
      <c r="M15" s="176"/>
      <c r="N15" s="176"/>
      <c r="O15" s="176"/>
      <c r="P15" s="176"/>
      <c r="Q15" s="176"/>
      <c r="R15" s="176"/>
      <c r="S15" s="177"/>
      <c r="V15" s="83" t="s">
        <v>123</v>
      </c>
    </row>
    <row r="16" spans="1:22" ht="18" customHeight="1" x14ac:dyDescent="0.15">
      <c r="B16" s="175"/>
      <c r="C16" s="176"/>
      <c r="D16" s="176"/>
      <c r="E16" s="176"/>
      <c r="F16" s="176"/>
      <c r="G16" s="176"/>
      <c r="H16" s="176"/>
      <c r="I16" s="176"/>
      <c r="J16" s="176"/>
      <c r="K16" s="176"/>
      <c r="L16" s="176"/>
      <c r="M16" s="176"/>
      <c r="N16" s="176"/>
      <c r="O16" s="176"/>
      <c r="P16" s="176"/>
      <c r="Q16" s="176"/>
      <c r="R16" s="176"/>
      <c r="S16" s="177"/>
      <c r="V16" s="83" t="s">
        <v>125</v>
      </c>
    </row>
    <row r="17" spans="1:19" ht="18" customHeight="1" x14ac:dyDescent="0.15">
      <c r="B17" s="175"/>
      <c r="C17" s="176"/>
      <c r="D17" s="176"/>
      <c r="E17" s="176"/>
      <c r="F17" s="176"/>
      <c r="G17" s="176"/>
      <c r="H17" s="176"/>
      <c r="I17" s="176"/>
      <c r="J17" s="176"/>
      <c r="K17" s="176"/>
      <c r="L17" s="176"/>
      <c r="M17" s="176"/>
      <c r="N17" s="176"/>
      <c r="O17" s="176"/>
      <c r="P17" s="176"/>
      <c r="Q17" s="176"/>
      <c r="R17" s="176"/>
      <c r="S17" s="177"/>
    </row>
    <row r="18" spans="1:19" ht="18" customHeight="1" x14ac:dyDescent="0.15">
      <c r="B18" s="178"/>
      <c r="C18" s="179"/>
      <c r="D18" s="179"/>
      <c r="E18" s="179"/>
      <c r="F18" s="179"/>
      <c r="G18" s="179"/>
      <c r="H18" s="179"/>
      <c r="I18" s="179"/>
      <c r="J18" s="179"/>
      <c r="K18" s="179"/>
      <c r="L18" s="179"/>
      <c r="M18" s="179"/>
      <c r="N18" s="179"/>
      <c r="O18" s="179"/>
      <c r="P18" s="179"/>
      <c r="Q18" s="179"/>
      <c r="R18" s="179"/>
      <c r="S18" s="180"/>
    </row>
    <row r="19" spans="1:19" ht="7.5" customHeight="1" x14ac:dyDescent="0.15">
      <c r="B19" s="84"/>
      <c r="C19" s="84"/>
      <c r="D19" s="84"/>
      <c r="E19" s="84"/>
      <c r="F19" s="84"/>
      <c r="G19" s="84"/>
      <c r="H19" s="84"/>
      <c r="I19" s="84"/>
      <c r="J19" s="84"/>
      <c r="K19" s="84"/>
      <c r="L19" s="84"/>
      <c r="M19" s="84"/>
      <c r="N19" s="84"/>
      <c r="O19" s="84"/>
      <c r="P19" s="84"/>
      <c r="Q19" s="84"/>
      <c r="R19" s="84"/>
      <c r="S19" s="84"/>
    </row>
    <row r="20" spans="1:19" ht="19.899999999999999" customHeight="1" x14ac:dyDescent="0.15">
      <c r="B20" s="83" t="s">
        <v>112</v>
      </c>
      <c r="C20" s="108">
        <v>4</v>
      </c>
      <c r="D20" s="110"/>
      <c r="E20" s="39" t="s">
        <v>95</v>
      </c>
      <c r="G20" s="10"/>
      <c r="H20" s="84"/>
      <c r="I20" s="84"/>
      <c r="J20" s="81" t="s">
        <v>121</v>
      </c>
      <c r="K20" s="165" t="s">
        <v>110</v>
      </c>
      <c r="L20" s="166"/>
      <c r="M20" s="166"/>
      <c r="N20" s="166"/>
      <c r="O20" s="166"/>
      <c r="P20" s="166"/>
      <c r="Q20" s="166"/>
      <c r="R20" s="166"/>
      <c r="S20" s="167"/>
    </row>
    <row r="21" spans="1:19" ht="7.5" customHeight="1" x14ac:dyDescent="0.15">
      <c r="B21" s="84"/>
      <c r="C21" s="84"/>
      <c r="D21" s="84"/>
      <c r="E21" s="84"/>
      <c r="F21" s="84"/>
      <c r="G21" s="84"/>
      <c r="H21" s="84"/>
      <c r="I21" s="84"/>
      <c r="J21" s="84"/>
      <c r="K21" s="84"/>
      <c r="L21" s="84"/>
      <c r="M21" s="84"/>
      <c r="N21" s="84"/>
      <c r="O21" s="84"/>
      <c r="P21" s="84"/>
      <c r="Q21" s="84"/>
      <c r="R21" s="84"/>
      <c r="S21" s="84"/>
    </row>
    <row r="22" spans="1:19" ht="18" customHeight="1" x14ac:dyDescent="0.15">
      <c r="A22" s="114" t="s">
        <v>113</v>
      </c>
      <c r="B22" s="114"/>
      <c r="C22" s="114"/>
      <c r="D22" s="114"/>
      <c r="E22" s="114"/>
      <c r="F22" s="114"/>
      <c r="G22" s="114"/>
      <c r="H22" s="114"/>
      <c r="I22" s="114"/>
      <c r="J22" s="114"/>
      <c r="K22" s="114"/>
      <c r="L22" s="114"/>
      <c r="M22" s="114"/>
      <c r="N22" s="114"/>
      <c r="O22" s="114"/>
      <c r="P22" s="114"/>
      <c r="Q22" s="114"/>
      <c r="R22" s="114"/>
      <c r="S22" s="114"/>
    </row>
    <row r="23" spans="1:19" ht="18" customHeight="1" x14ac:dyDescent="0.15">
      <c r="A23" s="114"/>
      <c r="B23" s="114"/>
      <c r="C23" s="114"/>
      <c r="D23" s="114"/>
      <c r="E23" s="114"/>
      <c r="F23" s="114"/>
      <c r="G23" s="114"/>
      <c r="H23" s="114"/>
      <c r="I23" s="114"/>
      <c r="J23" s="114"/>
      <c r="K23" s="114"/>
      <c r="L23" s="114"/>
      <c r="M23" s="114"/>
      <c r="N23" s="114"/>
      <c r="O23" s="114"/>
      <c r="P23" s="114"/>
      <c r="Q23" s="114"/>
      <c r="R23" s="114"/>
      <c r="S23" s="114"/>
    </row>
    <row r="24" spans="1:19" ht="18" customHeight="1" x14ac:dyDescent="0.15">
      <c r="B24" s="108" t="s">
        <v>53</v>
      </c>
      <c r="C24" s="109"/>
      <c r="D24" s="109"/>
      <c r="E24" s="110"/>
      <c r="F24" s="59" t="s">
        <v>80</v>
      </c>
      <c r="G24" s="58" t="s">
        <v>84</v>
      </c>
      <c r="H24" s="21" t="s">
        <v>56</v>
      </c>
      <c r="I24" s="21" t="s">
        <v>59</v>
      </c>
      <c r="J24" s="108" t="s">
        <v>53</v>
      </c>
      <c r="K24" s="109"/>
      <c r="L24" s="109"/>
      <c r="M24" s="109"/>
      <c r="N24" s="109"/>
      <c r="O24" s="110"/>
      <c r="P24" s="59" t="s">
        <v>80</v>
      </c>
      <c r="Q24" s="58" t="s">
        <v>84</v>
      </c>
      <c r="R24" s="21" t="s">
        <v>56</v>
      </c>
      <c r="S24" s="21" t="s">
        <v>59</v>
      </c>
    </row>
    <row r="25" spans="1:19" ht="18" customHeight="1" x14ac:dyDescent="0.15">
      <c r="B25" s="102" t="s">
        <v>150</v>
      </c>
      <c r="C25" s="103"/>
      <c r="D25" s="103"/>
      <c r="E25" s="104"/>
      <c r="F25" s="22">
        <v>1</v>
      </c>
      <c r="G25" s="22" t="s">
        <v>132</v>
      </c>
      <c r="H25" s="22" t="s">
        <v>132</v>
      </c>
      <c r="I25" s="22"/>
      <c r="J25" s="102"/>
      <c r="K25" s="103"/>
      <c r="L25" s="103"/>
      <c r="M25" s="103"/>
      <c r="N25" s="103"/>
      <c r="O25" s="104"/>
      <c r="P25" s="22"/>
      <c r="Q25" s="22"/>
      <c r="R25" s="22"/>
      <c r="S25" s="22"/>
    </row>
    <row r="26" spans="1:19" ht="18" customHeight="1" x14ac:dyDescent="0.15">
      <c r="B26" s="105" t="s">
        <v>151</v>
      </c>
      <c r="C26" s="106"/>
      <c r="D26" s="106"/>
      <c r="E26" s="107"/>
      <c r="F26" s="23">
        <v>1</v>
      </c>
      <c r="G26" s="23" t="s">
        <v>132</v>
      </c>
      <c r="H26" s="23"/>
      <c r="I26" s="23" t="s">
        <v>132</v>
      </c>
      <c r="J26" s="105"/>
      <c r="K26" s="106"/>
      <c r="L26" s="106"/>
      <c r="M26" s="106"/>
      <c r="N26" s="106"/>
      <c r="O26" s="107"/>
      <c r="P26" s="23"/>
      <c r="Q26" s="23"/>
      <c r="R26" s="23"/>
      <c r="S26" s="23"/>
    </row>
    <row r="27" spans="1:19" ht="18" customHeight="1" x14ac:dyDescent="0.15">
      <c r="B27" s="105"/>
      <c r="C27" s="106"/>
      <c r="D27" s="106"/>
      <c r="E27" s="107"/>
      <c r="F27" s="23"/>
      <c r="G27" s="23"/>
      <c r="H27" s="23"/>
      <c r="I27" s="23"/>
      <c r="J27" s="105"/>
      <c r="K27" s="106"/>
      <c r="L27" s="106"/>
      <c r="M27" s="106"/>
      <c r="N27" s="106"/>
      <c r="O27" s="107"/>
      <c r="P27" s="23"/>
      <c r="Q27" s="23"/>
      <c r="R27" s="23"/>
      <c r="S27" s="23"/>
    </row>
    <row r="28" spans="1:19" ht="18" customHeight="1" x14ac:dyDescent="0.15">
      <c r="B28" s="105"/>
      <c r="C28" s="106"/>
      <c r="D28" s="106"/>
      <c r="E28" s="107"/>
      <c r="F28" s="23"/>
      <c r="G28" s="23"/>
      <c r="H28" s="23"/>
      <c r="I28" s="23"/>
      <c r="J28" s="105"/>
      <c r="K28" s="106"/>
      <c r="L28" s="106"/>
      <c r="M28" s="106"/>
      <c r="N28" s="106"/>
      <c r="O28" s="107"/>
      <c r="P28" s="23"/>
      <c r="Q28" s="23"/>
      <c r="R28" s="23"/>
      <c r="S28" s="23"/>
    </row>
    <row r="29" spans="1:19" ht="18" customHeight="1" x14ac:dyDescent="0.15">
      <c r="B29" s="105"/>
      <c r="C29" s="106"/>
      <c r="D29" s="106"/>
      <c r="E29" s="107"/>
      <c r="F29" s="23"/>
      <c r="G29" s="23"/>
      <c r="H29" s="23"/>
      <c r="I29" s="23"/>
      <c r="J29" s="105"/>
      <c r="K29" s="106"/>
      <c r="L29" s="106"/>
      <c r="M29" s="106"/>
      <c r="N29" s="106"/>
      <c r="O29" s="107"/>
      <c r="P29" s="23"/>
      <c r="Q29" s="23"/>
      <c r="R29" s="23"/>
      <c r="S29" s="23"/>
    </row>
    <row r="30" spans="1:19" ht="18" customHeight="1" x14ac:dyDescent="0.15">
      <c r="A30" s="84"/>
      <c r="B30" s="105"/>
      <c r="C30" s="106"/>
      <c r="D30" s="106"/>
      <c r="E30" s="107"/>
      <c r="F30" s="23"/>
      <c r="G30" s="23"/>
      <c r="H30" s="23"/>
      <c r="I30" s="23"/>
      <c r="J30" s="105"/>
      <c r="K30" s="106"/>
      <c r="L30" s="106"/>
      <c r="M30" s="106"/>
      <c r="N30" s="106"/>
      <c r="O30" s="107"/>
      <c r="P30" s="23"/>
      <c r="Q30" s="23"/>
      <c r="R30" s="23"/>
      <c r="S30" s="23"/>
    </row>
    <row r="31" spans="1:19" ht="18" customHeight="1" x14ac:dyDescent="0.15">
      <c r="A31" s="84"/>
      <c r="B31" s="111"/>
      <c r="C31" s="112"/>
      <c r="D31" s="112"/>
      <c r="E31" s="113"/>
      <c r="F31" s="24"/>
      <c r="G31" s="24"/>
      <c r="H31" s="25"/>
      <c r="I31" s="25"/>
      <c r="J31" s="111"/>
      <c r="K31" s="112"/>
      <c r="L31" s="112"/>
      <c r="M31" s="112"/>
      <c r="N31" s="112"/>
      <c r="O31" s="113"/>
      <c r="P31" s="24"/>
      <c r="Q31" s="24"/>
      <c r="R31" s="25"/>
      <c r="S31" s="25"/>
    </row>
    <row r="32" spans="1:19" ht="7.5" customHeight="1" x14ac:dyDescent="0.15">
      <c r="A32" s="84"/>
      <c r="B32" s="6"/>
      <c r="C32" s="6"/>
      <c r="D32" s="84"/>
      <c r="E32" s="84"/>
      <c r="F32" s="84"/>
      <c r="G32" s="84"/>
      <c r="H32" s="6"/>
      <c r="I32" s="6"/>
      <c r="J32" s="6"/>
      <c r="K32" s="6"/>
      <c r="L32" s="6"/>
      <c r="M32" s="6"/>
      <c r="N32" s="6"/>
      <c r="O32" s="6"/>
      <c r="P32" s="6"/>
      <c r="Q32" s="6"/>
      <c r="R32" s="6"/>
      <c r="S32" s="84"/>
    </row>
    <row r="33" spans="1:19" ht="18" customHeight="1" x14ac:dyDescent="0.15">
      <c r="A33" s="114" t="s">
        <v>114</v>
      </c>
      <c r="B33" s="114"/>
      <c r="C33" s="114"/>
      <c r="D33" s="114"/>
      <c r="E33" s="114"/>
      <c r="F33" s="114"/>
      <c r="G33" s="114"/>
      <c r="H33" s="114"/>
      <c r="I33" s="114"/>
      <c r="J33" s="114"/>
      <c r="K33" s="114"/>
      <c r="L33" s="114"/>
      <c r="M33" s="114"/>
      <c r="N33" s="114"/>
      <c r="O33" s="114"/>
      <c r="P33" s="114"/>
      <c r="Q33" s="114"/>
      <c r="R33" s="114"/>
      <c r="S33" s="114"/>
    </row>
    <row r="34" spans="1:19" ht="18" customHeight="1" x14ac:dyDescent="0.15">
      <c r="A34" s="114"/>
      <c r="B34" s="114"/>
      <c r="C34" s="114"/>
      <c r="D34" s="114"/>
      <c r="E34" s="114"/>
      <c r="F34" s="114"/>
      <c r="G34" s="114"/>
      <c r="H34" s="114"/>
      <c r="I34" s="114"/>
      <c r="J34" s="114"/>
      <c r="K34" s="114"/>
      <c r="L34" s="114"/>
      <c r="M34" s="114"/>
      <c r="N34" s="114"/>
      <c r="O34" s="114"/>
      <c r="P34" s="114"/>
      <c r="Q34" s="114"/>
      <c r="R34" s="114"/>
      <c r="S34" s="114"/>
    </row>
    <row r="35" spans="1:19" ht="18" customHeight="1" x14ac:dyDescent="0.15">
      <c r="B35" s="108" t="s">
        <v>53</v>
      </c>
      <c r="C35" s="109"/>
      <c r="D35" s="109"/>
      <c r="E35" s="110"/>
      <c r="F35" s="59" t="s">
        <v>80</v>
      </c>
      <c r="G35" s="58" t="s">
        <v>84</v>
      </c>
      <c r="H35" s="21" t="s">
        <v>71</v>
      </c>
      <c r="I35" s="21" t="s">
        <v>72</v>
      </c>
      <c r="J35" s="108" t="s">
        <v>53</v>
      </c>
      <c r="K35" s="109"/>
      <c r="L35" s="109"/>
      <c r="M35" s="109"/>
      <c r="N35" s="109"/>
      <c r="O35" s="110"/>
      <c r="P35" s="59" t="s">
        <v>80</v>
      </c>
      <c r="Q35" s="58" t="s">
        <v>84</v>
      </c>
      <c r="R35" s="21" t="s">
        <v>71</v>
      </c>
      <c r="S35" s="21" t="s">
        <v>72</v>
      </c>
    </row>
    <row r="36" spans="1:19" ht="18" customHeight="1" x14ac:dyDescent="0.15">
      <c r="B36" s="102" t="s">
        <v>150</v>
      </c>
      <c r="C36" s="103"/>
      <c r="D36" s="103"/>
      <c r="E36" s="104"/>
      <c r="F36" s="22">
        <v>1</v>
      </c>
      <c r="G36" s="22" t="s">
        <v>132</v>
      </c>
      <c r="H36" s="22" t="s">
        <v>132</v>
      </c>
      <c r="I36" s="22" t="s">
        <v>132</v>
      </c>
      <c r="J36" s="102"/>
      <c r="K36" s="103"/>
      <c r="L36" s="103"/>
      <c r="M36" s="103"/>
      <c r="N36" s="103"/>
      <c r="O36" s="104"/>
      <c r="P36" s="22"/>
      <c r="Q36" s="22"/>
      <c r="R36" s="22"/>
      <c r="S36" s="22"/>
    </row>
    <row r="37" spans="1:19" ht="18" customHeight="1" x14ac:dyDescent="0.15">
      <c r="B37" s="105" t="s">
        <v>151</v>
      </c>
      <c r="C37" s="106"/>
      <c r="D37" s="106"/>
      <c r="E37" s="107"/>
      <c r="F37" s="23">
        <v>1</v>
      </c>
      <c r="G37" s="23" t="s">
        <v>132</v>
      </c>
      <c r="H37" s="23"/>
      <c r="I37" s="23" t="s">
        <v>132</v>
      </c>
      <c r="J37" s="105"/>
      <c r="K37" s="106"/>
      <c r="L37" s="106"/>
      <c r="M37" s="106"/>
      <c r="N37" s="106"/>
      <c r="O37" s="107"/>
      <c r="P37" s="23"/>
      <c r="Q37" s="23"/>
      <c r="R37" s="23"/>
      <c r="S37" s="23"/>
    </row>
    <row r="38" spans="1:19" ht="18" customHeight="1" x14ac:dyDescent="0.15">
      <c r="B38" s="105"/>
      <c r="C38" s="106"/>
      <c r="D38" s="106"/>
      <c r="E38" s="107"/>
      <c r="F38" s="23"/>
      <c r="G38" s="23"/>
      <c r="H38" s="23"/>
      <c r="I38" s="23"/>
      <c r="J38" s="105"/>
      <c r="K38" s="106"/>
      <c r="L38" s="106"/>
      <c r="M38" s="106"/>
      <c r="N38" s="106"/>
      <c r="O38" s="107"/>
      <c r="P38" s="23"/>
      <c r="Q38" s="23"/>
      <c r="R38" s="23"/>
      <c r="S38" s="23"/>
    </row>
    <row r="39" spans="1:19" ht="18" customHeight="1" x14ac:dyDescent="0.15">
      <c r="B39" s="105"/>
      <c r="C39" s="106"/>
      <c r="D39" s="106"/>
      <c r="E39" s="107"/>
      <c r="F39" s="23"/>
      <c r="G39" s="23"/>
      <c r="H39" s="23"/>
      <c r="I39" s="23"/>
      <c r="J39" s="105"/>
      <c r="K39" s="106"/>
      <c r="L39" s="106"/>
      <c r="M39" s="106"/>
      <c r="N39" s="106"/>
      <c r="O39" s="107"/>
      <c r="P39" s="23"/>
      <c r="Q39" s="23"/>
      <c r="R39" s="23"/>
      <c r="S39" s="23"/>
    </row>
    <row r="40" spans="1:19" ht="18" customHeight="1" x14ac:dyDescent="0.15">
      <c r="B40" s="105"/>
      <c r="C40" s="106"/>
      <c r="D40" s="106"/>
      <c r="E40" s="107"/>
      <c r="F40" s="23"/>
      <c r="G40" s="23"/>
      <c r="H40" s="23"/>
      <c r="I40" s="23"/>
      <c r="J40" s="105"/>
      <c r="K40" s="106"/>
      <c r="L40" s="106"/>
      <c r="M40" s="106"/>
      <c r="N40" s="106"/>
      <c r="O40" s="107"/>
      <c r="P40" s="23"/>
      <c r="Q40" s="23"/>
      <c r="R40" s="23"/>
      <c r="S40" s="23"/>
    </row>
    <row r="41" spans="1:19" ht="18" customHeight="1" x14ac:dyDescent="0.15">
      <c r="B41" s="105"/>
      <c r="C41" s="106"/>
      <c r="D41" s="106"/>
      <c r="E41" s="107"/>
      <c r="F41" s="23"/>
      <c r="G41" s="23"/>
      <c r="H41" s="23"/>
      <c r="I41" s="23"/>
      <c r="J41" s="105"/>
      <c r="K41" s="106"/>
      <c r="L41" s="106"/>
      <c r="M41" s="106"/>
      <c r="N41" s="106"/>
      <c r="O41" s="107"/>
      <c r="P41" s="23"/>
      <c r="Q41" s="23"/>
      <c r="R41" s="23"/>
      <c r="S41" s="23"/>
    </row>
    <row r="42" spans="1:19" ht="18" customHeight="1" x14ac:dyDescent="0.15">
      <c r="B42" s="111"/>
      <c r="C42" s="112"/>
      <c r="D42" s="112"/>
      <c r="E42" s="113"/>
      <c r="F42" s="24"/>
      <c r="G42" s="24"/>
      <c r="H42" s="25"/>
      <c r="I42" s="25"/>
      <c r="J42" s="111"/>
      <c r="K42" s="112"/>
      <c r="L42" s="112"/>
      <c r="M42" s="112"/>
      <c r="N42" s="112"/>
      <c r="O42" s="113"/>
      <c r="P42" s="24"/>
      <c r="Q42" s="24"/>
      <c r="R42" s="25"/>
      <c r="S42" s="25"/>
    </row>
    <row r="43" spans="1:19" ht="7.5" customHeight="1" x14ac:dyDescent="0.15">
      <c r="A43" s="84"/>
      <c r="B43" s="6"/>
      <c r="C43" s="6"/>
      <c r="D43" s="84"/>
      <c r="E43" s="84"/>
      <c r="F43" s="84"/>
      <c r="G43" s="84"/>
      <c r="H43" s="6"/>
      <c r="I43" s="6"/>
      <c r="J43" s="6"/>
      <c r="K43" s="6"/>
      <c r="L43" s="6"/>
      <c r="M43" s="6"/>
      <c r="N43" s="6"/>
      <c r="O43" s="6"/>
      <c r="P43" s="6"/>
      <c r="Q43" s="6"/>
      <c r="R43" s="6"/>
      <c r="S43" s="84"/>
    </row>
    <row r="44" spans="1:19" ht="18" customHeight="1" x14ac:dyDescent="0.15">
      <c r="A44" s="114" t="s">
        <v>115</v>
      </c>
      <c r="B44" s="114"/>
      <c r="C44" s="114"/>
      <c r="D44" s="114"/>
      <c r="E44" s="114"/>
      <c r="F44" s="114"/>
      <c r="G44" s="114"/>
      <c r="H44" s="114"/>
      <c r="I44" s="114"/>
      <c r="J44" s="114"/>
      <c r="K44" s="114"/>
      <c r="L44" s="114"/>
      <c r="M44" s="114"/>
      <c r="N44" s="114"/>
      <c r="O44" s="114"/>
      <c r="P44" s="114"/>
      <c r="Q44" s="114"/>
      <c r="R44" s="114"/>
      <c r="S44" s="114"/>
    </row>
    <row r="45" spans="1:19" ht="18" customHeight="1" x14ac:dyDescent="0.15">
      <c r="A45" s="114"/>
      <c r="B45" s="114"/>
      <c r="C45" s="114"/>
      <c r="D45" s="114"/>
      <c r="E45" s="114"/>
      <c r="F45" s="114"/>
      <c r="G45" s="114"/>
      <c r="H45" s="114"/>
      <c r="I45" s="114"/>
      <c r="J45" s="114"/>
      <c r="K45" s="114"/>
      <c r="L45" s="114"/>
      <c r="M45" s="114"/>
      <c r="N45" s="114"/>
      <c r="O45" s="114"/>
      <c r="P45" s="114"/>
      <c r="Q45" s="114"/>
      <c r="R45" s="114"/>
      <c r="S45" s="114"/>
    </row>
    <row r="46" spans="1:19" ht="18" customHeight="1" x14ac:dyDescent="0.15">
      <c r="B46" s="108" t="s">
        <v>53</v>
      </c>
      <c r="C46" s="109"/>
      <c r="D46" s="109"/>
      <c r="E46" s="110"/>
      <c r="F46" s="59" t="s">
        <v>80</v>
      </c>
      <c r="G46" s="58" t="s">
        <v>84</v>
      </c>
      <c r="H46" s="21" t="s">
        <v>73</v>
      </c>
      <c r="I46" s="21" t="s">
        <v>74</v>
      </c>
      <c r="J46" s="108" t="s">
        <v>53</v>
      </c>
      <c r="K46" s="109"/>
      <c r="L46" s="109"/>
      <c r="M46" s="109"/>
      <c r="N46" s="109"/>
      <c r="O46" s="110"/>
      <c r="P46" s="59" t="s">
        <v>80</v>
      </c>
      <c r="Q46" s="58" t="s">
        <v>84</v>
      </c>
      <c r="R46" s="21" t="s">
        <v>73</v>
      </c>
      <c r="S46" s="21" t="s">
        <v>74</v>
      </c>
    </row>
    <row r="47" spans="1:19" ht="18" customHeight="1" x14ac:dyDescent="0.15">
      <c r="A47" s="84"/>
      <c r="B47" s="102" t="s">
        <v>150</v>
      </c>
      <c r="C47" s="103"/>
      <c r="D47" s="103"/>
      <c r="E47" s="104"/>
      <c r="F47" s="22">
        <v>1</v>
      </c>
      <c r="G47" s="22" t="s">
        <v>132</v>
      </c>
      <c r="H47" s="22"/>
      <c r="I47" s="22" t="s">
        <v>132</v>
      </c>
      <c r="J47" s="102"/>
      <c r="K47" s="103"/>
      <c r="L47" s="103"/>
      <c r="M47" s="103"/>
      <c r="N47" s="103"/>
      <c r="O47" s="104"/>
      <c r="P47" s="22"/>
      <c r="Q47" s="22"/>
      <c r="R47" s="22"/>
      <c r="S47" s="22"/>
    </row>
    <row r="48" spans="1:19" ht="18" customHeight="1" x14ac:dyDescent="0.15">
      <c r="A48" s="84"/>
      <c r="B48" s="105" t="s">
        <v>151</v>
      </c>
      <c r="C48" s="106"/>
      <c r="D48" s="106"/>
      <c r="E48" s="107"/>
      <c r="F48" s="23">
        <v>1</v>
      </c>
      <c r="G48" s="23" t="s">
        <v>132</v>
      </c>
      <c r="H48" s="23" t="s">
        <v>132</v>
      </c>
      <c r="I48" s="23" t="s">
        <v>132</v>
      </c>
      <c r="J48" s="105"/>
      <c r="K48" s="106"/>
      <c r="L48" s="106"/>
      <c r="M48" s="106"/>
      <c r="N48" s="106"/>
      <c r="O48" s="107"/>
      <c r="P48" s="23"/>
      <c r="Q48" s="23"/>
      <c r="R48" s="23"/>
      <c r="S48" s="23"/>
    </row>
    <row r="49" spans="1:19" ht="18" customHeight="1" x14ac:dyDescent="0.15">
      <c r="A49" s="84"/>
      <c r="B49" s="105" t="s">
        <v>153</v>
      </c>
      <c r="C49" s="106"/>
      <c r="D49" s="106"/>
      <c r="E49" s="107"/>
      <c r="F49" s="23">
        <v>1</v>
      </c>
      <c r="G49" s="23" t="s">
        <v>132</v>
      </c>
      <c r="H49" s="23" t="s">
        <v>132</v>
      </c>
      <c r="I49" s="23"/>
      <c r="J49" s="105"/>
      <c r="K49" s="106"/>
      <c r="L49" s="106"/>
      <c r="M49" s="106"/>
      <c r="N49" s="106"/>
      <c r="O49" s="107"/>
      <c r="P49" s="23"/>
      <c r="Q49" s="23"/>
      <c r="R49" s="23"/>
      <c r="S49" s="23"/>
    </row>
    <row r="50" spans="1:19" ht="18" customHeight="1" x14ac:dyDescent="0.15">
      <c r="A50" s="84"/>
      <c r="B50" s="105"/>
      <c r="C50" s="106"/>
      <c r="D50" s="106"/>
      <c r="E50" s="107"/>
      <c r="F50" s="23"/>
      <c r="G50" s="23"/>
      <c r="H50" s="23"/>
      <c r="I50" s="23"/>
      <c r="J50" s="105"/>
      <c r="K50" s="106"/>
      <c r="L50" s="106"/>
      <c r="M50" s="106"/>
      <c r="N50" s="106"/>
      <c r="O50" s="107"/>
      <c r="P50" s="23"/>
      <c r="Q50" s="23"/>
      <c r="R50" s="23"/>
      <c r="S50" s="23"/>
    </row>
    <row r="51" spans="1:19" ht="18" customHeight="1" x14ac:dyDescent="0.15">
      <c r="A51" s="84"/>
      <c r="B51" s="105"/>
      <c r="C51" s="106"/>
      <c r="D51" s="106"/>
      <c r="E51" s="107"/>
      <c r="F51" s="23"/>
      <c r="G51" s="23"/>
      <c r="H51" s="23"/>
      <c r="I51" s="23"/>
      <c r="J51" s="105"/>
      <c r="K51" s="106"/>
      <c r="L51" s="106"/>
      <c r="M51" s="106"/>
      <c r="N51" s="106"/>
      <c r="O51" s="107"/>
      <c r="P51" s="23"/>
      <c r="Q51" s="23"/>
      <c r="R51" s="23"/>
      <c r="S51" s="23"/>
    </row>
    <row r="52" spans="1:19" ht="18" customHeight="1" x14ac:dyDescent="0.15">
      <c r="A52" s="84"/>
      <c r="B52" s="105"/>
      <c r="C52" s="106"/>
      <c r="D52" s="106"/>
      <c r="E52" s="107"/>
      <c r="F52" s="23"/>
      <c r="G52" s="23"/>
      <c r="H52" s="23"/>
      <c r="I52" s="23"/>
      <c r="J52" s="105"/>
      <c r="K52" s="106"/>
      <c r="L52" s="106"/>
      <c r="M52" s="106"/>
      <c r="N52" s="106"/>
      <c r="O52" s="107"/>
      <c r="P52" s="23"/>
      <c r="Q52" s="23"/>
      <c r="R52" s="23"/>
      <c r="S52" s="23"/>
    </row>
    <row r="53" spans="1:19" ht="18" customHeight="1" x14ac:dyDescent="0.15">
      <c r="A53" s="84"/>
      <c r="B53" s="111"/>
      <c r="C53" s="112"/>
      <c r="D53" s="112"/>
      <c r="E53" s="113"/>
      <c r="F53" s="24"/>
      <c r="G53" s="24"/>
      <c r="H53" s="25"/>
      <c r="I53" s="25"/>
      <c r="J53" s="111"/>
      <c r="K53" s="112"/>
      <c r="L53" s="112"/>
      <c r="M53" s="112"/>
      <c r="N53" s="112"/>
      <c r="O53" s="113"/>
      <c r="P53" s="24"/>
      <c r="Q53" s="24"/>
      <c r="R53" s="25"/>
      <c r="S53" s="25"/>
    </row>
    <row r="54" spans="1:19" ht="7.5" customHeight="1" x14ac:dyDescent="0.15">
      <c r="B54" s="85"/>
      <c r="C54" s="85"/>
      <c r="D54" s="85"/>
      <c r="E54" s="85"/>
      <c r="F54" s="85"/>
      <c r="G54" s="85"/>
      <c r="H54" s="85"/>
      <c r="I54" s="85"/>
      <c r="J54" s="85"/>
      <c r="K54" s="85"/>
      <c r="L54" s="85"/>
      <c r="M54" s="85"/>
      <c r="N54" s="85"/>
      <c r="O54" s="85"/>
      <c r="P54" s="85"/>
      <c r="Q54" s="85"/>
      <c r="R54" s="85"/>
    </row>
    <row r="55" spans="1:19" ht="18" customHeight="1" x14ac:dyDescent="0.15">
      <c r="A55" s="114" t="s">
        <v>116</v>
      </c>
      <c r="B55" s="114"/>
      <c r="C55" s="114"/>
      <c r="D55" s="114"/>
      <c r="E55" s="114"/>
      <c r="F55" s="114"/>
      <c r="G55" s="114"/>
      <c r="H55" s="114"/>
      <c r="I55" s="114"/>
      <c r="J55" s="114"/>
      <c r="K55" s="114"/>
      <c r="L55" s="114"/>
      <c r="M55" s="114"/>
      <c r="N55" s="114"/>
      <c r="O55" s="114"/>
      <c r="P55" s="114"/>
      <c r="Q55" s="114"/>
      <c r="R55" s="114"/>
      <c r="S55" s="114"/>
    </row>
    <row r="56" spans="1:19" ht="18" customHeight="1" x14ac:dyDescent="0.15">
      <c r="A56" s="114"/>
      <c r="B56" s="114"/>
      <c r="C56" s="114"/>
      <c r="D56" s="114"/>
      <c r="E56" s="114"/>
      <c r="F56" s="114"/>
      <c r="G56" s="114"/>
      <c r="H56" s="114"/>
      <c r="I56" s="114"/>
      <c r="J56" s="114"/>
      <c r="K56" s="114"/>
      <c r="L56" s="114"/>
      <c r="M56" s="114"/>
      <c r="N56" s="114"/>
      <c r="O56" s="114"/>
      <c r="P56" s="114"/>
      <c r="Q56" s="114"/>
      <c r="R56" s="114"/>
      <c r="S56" s="114"/>
    </row>
    <row r="57" spans="1:19" ht="18" customHeight="1" x14ac:dyDescent="0.15">
      <c r="B57" s="108" t="s">
        <v>53</v>
      </c>
      <c r="C57" s="109"/>
      <c r="D57" s="109"/>
      <c r="E57" s="110"/>
      <c r="F57" s="59" t="s">
        <v>80</v>
      </c>
      <c r="G57" s="58" t="s">
        <v>84</v>
      </c>
      <c r="H57" s="21" t="s">
        <v>58</v>
      </c>
      <c r="I57" s="21" t="s">
        <v>60</v>
      </c>
      <c r="J57" s="108" t="s">
        <v>53</v>
      </c>
      <c r="K57" s="109"/>
      <c r="L57" s="109"/>
      <c r="M57" s="109"/>
      <c r="N57" s="109"/>
      <c r="O57" s="110"/>
      <c r="P57" s="59" t="s">
        <v>80</v>
      </c>
      <c r="Q57" s="58" t="s">
        <v>84</v>
      </c>
      <c r="R57" s="21" t="s">
        <v>58</v>
      </c>
      <c r="S57" s="21" t="s">
        <v>60</v>
      </c>
    </row>
    <row r="58" spans="1:19" ht="18" customHeight="1" x14ac:dyDescent="0.15">
      <c r="A58" s="84"/>
      <c r="B58" s="102" t="s">
        <v>152</v>
      </c>
      <c r="C58" s="103"/>
      <c r="D58" s="103"/>
      <c r="E58" s="104"/>
      <c r="F58" s="22">
        <v>1</v>
      </c>
      <c r="G58" s="22" t="s">
        <v>132</v>
      </c>
      <c r="H58" s="22" t="s">
        <v>132</v>
      </c>
      <c r="I58" s="22" t="s">
        <v>132</v>
      </c>
      <c r="J58" s="102"/>
      <c r="K58" s="103"/>
      <c r="L58" s="103"/>
      <c r="M58" s="103"/>
      <c r="N58" s="103"/>
      <c r="O58" s="104"/>
      <c r="P58" s="22"/>
      <c r="Q58" s="22"/>
      <c r="R58" s="22"/>
      <c r="S58" s="22"/>
    </row>
    <row r="59" spans="1:19" ht="18" customHeight="1" x14ac:dyDescent="0.15">
      <c r="A59" s="84"/>
      <c r="B59" s="105" t="s">
        <v>151</v>
      </c>
      <c r="C59" s="106"/>
      <c r="D59" s="106"/>
      <c r="E59" s="107"/>
      <c r="F59" s="23">
        <v>1</v>
      </c>
      <c r="G59" s="23" t="s">
        <v>132</v>
      </c>
      <c r="H59" s="23" t="s">
        <v>132</v>
      </c>
      <c r="I59" s="23" t="s">
        <v>132</v>
      </c>
      <c r="J59" s="105"/>
      <c r="K59" s="106"/>
      <c r="L59" s="106"/>
      <c r="M59" s="106"/>
      <c r="N59" s="106"/>
      <c r="O59" s="107"/>
      <c r="P59" s="23"/>
      <c r="Q59" s="23"/>
      <c r="R59" s="23"/>
      <c r="S59" s="23"/>
    </row>
    <row r="60" spans="1:19" ht="18" customHeight="1" x14ac:dyDescent="0.15">
      <c r="A60" s="84"/>
      <c r="B60" s="105"/>
      <c r="C60" s="106"/>
      <c r="D60" s="106"/>
      <c r="E60" s="107"/>
      <c r="F60" s="23"/>
      <c r="G60" s="23"/>
      <c r="H60" s="23"/>
      <c r="I60" s="23"/>
      <c r="J60" s="105"/>
      <c r="K60" s="106"/>
      <c r="L60" s="106"/>
      <c r="M60" s="106"/>
      <c r="N60" s="106"/>
      <c r="O60" s="107"/>
      <c r="P60" s="23"/>
      <c r="Q60" s="23"/>
      <c r="R60" s="23"/>
      <c r="S60" s="23"/>
    </row>
    <row r="61" spans="1:19" ht="18" customHeight="1" x14ac:dyDescent="0.15">
      <c r="A61" s="84"/>
      <c r="B61" s="105"/>
      <c r="C61" s="106"/>
      <c r="D61" s="106"/>
      <c r="E61" s="107"/>
      <c r="F61" s="23"/>
      <c r="G61" s="23"/>
      <c r="H61" s="23"/>
      <c r="I61" s="23"/>
      <c r="J61" s="105"/>
      <c r="K61" s="106"/>
      <c r="L61" s="106"/>
      <c r="M61" s="106"/>
      <c r="N61" s="106"/>
      <c r="O61" s="107"/>
      <c r="P61" s="23"/>
      <c r="Q61" s="23"/>
      <c r="R61" s="23"/>
      <c r="S61" s="23"/>
    </row>
    <row r="62" spans="1:19" ht="18" customHeight="1" x14ac:dyDescent="0.15">
      <c r="A62" s="84"/>
      <c r="B62" s="105"/>
      <c r="C62" s="106"/>
      <c r="D62" s="106"/>
      <c r="E62" s="107"/>
      <c r="F62" s="23"/>
      <c r="G62" s="23"/>
      <c r="H62" s="23"/>
      <c r="I62" s="23"/>
      <c r="J62" s="105"/>
      <c r="K62" s="106"/>
      <c r="L62" s="106"/>
      <c r="M62" s="106"/>
      <c r="N62" s="106"/>
      <c r="O62" s="107"/>
      <c r="P62" s="23"/>
      <c r="Q62" s="23"/>
      <c r="R62" s="23"/>
      <c r="S62" s="23"/>
    </row>
    <row r="63" spans="1:19" ht="18" customHeight="1" x14ac:dyDescent="0.15">
      <c r="A63" s="84"/>
      <c r="B63" s="105"/>
      <c r="C63" s="106"/>
      <c r="D63" s="106"/>
      <c r="E63" s="107"/>
      <c r="F63" s="23"/>
      <c r="G63" s="23"/>
      <c r="H63" s="23"/>
      <c r="I63" s="23"/>
      <c r="J63" s="105"/>
      <c r="K63" s="106"/>
      <c r="L63" s="106"/>
      <c r="M63" s="106"/>
      <c r="N63" s="106"/>
      <c r="O63" s="107"/>
      <c r="P63" s="23"/>
      <c r="Q63" s="23"/>
      <c r="R63" s="23"/>
      <c r="S63" s="23"/>
    </row>
    <row r="64" spans="1:19" ht="18" customHeight="1" x14ac:dyDescent="0.15">
      <c r="A64" s="84"/>
      <c r="B64" s="111"/>
      <c r="C64" s="112"/>
      <c r="D64" s="112"/>
      <c r="E64" s="113"/>
      <c r="F64" s="24"/>
      <c r="G64" s="24"/>
      <c r="H64" s="25"/>
      <c r="I64" s="25"/>
      <c r="J64" s="111"/>
      <c r="K64" s="112"/>
      <c r="L64" s="112"/>
      <c r="M64" s="112"/>
      <c r="N64" s="112"/>
      <c r="O64" s="113"/>
      <c r="P64" s="24"/>
      <c r="Q64" s="24"/>
      <c r="R64" s="25"/>
      <c r="S64" s="25"/>
    </row>
    <row r="65" spans="1:19" ht="7.5" customHeight="1" x14ac:dyDescent="0.15">
      <c r="B65" s="85"/>
      <c r="C65" s="85"/>
      <c r="D65" s="85"/>
      <c r="E65" s="85"/>
      <c r="F65" s="85"/>
      <c r="G65" s="85"/>
      <c r="H65" s="85"/>
      <c r="I65" s="85"/>
      <c r="J65" s="85"/>
      <c r="K65" s="85"/>
      <c r="L65" s="85"/>
      <c r="M65" s="85"/>
      <c r="N65" s="85"/>
      <c r="O65" s="85"/>
      <c r="P65" s="85"/>
      <c r="Q65" s="85"/>
      <c r="R65" s="85"/>
    </row>
    <row r="66" spans="1:19" ht="18" customHeight="1" x14ac:dyDescent="0.15">
      <c r="A66" s="114" t="s">
        <v>117</v>
      </c>
      <c r="B66" s="114"/>
      <c r="C66" s="114"/>
      <c r="D66" s="114"/>
      <c r="E66" s="114"/>
      <c r="F66" s="114"/>
      <c r="G66" s="114"/>
      <c r="H66" s="114"/>
      <c r="I66" s="114"/>
      <c r="J66" s="114"/>
      <c r="K66" s="114"/>
      <c r="L66" s="114"/>
      <c r="M66" s="114"/>
      <c r="N66" s="114"/>
      <c r="O66" s="114"/>
      <c r="P66" s="114"/>
      <c r="Q66" s="114"/>
      <c r="R66" s="114"/>
      <c r="S66" s="114"/>
    </row>
    <row r="67" spans="1:19" ht="18" customHeight="1" x14ac:dyDescent="0.15">
      <c r="A67" s="114"/>
      <c r="B67" s="114"/>
      <c r="C67" s="114"/>
      <c r="D67" s="114"/>
      <c r="E67" s="114"/>
      <c r="F67" s="114"/>
      <c r="G67" s="114"/>
      <c r="H67" s="114"/>
      <c r="I67" s="114"/>
      <c r="J67" s="114"/>
      <c r="K67" s="114"/>
      <c r="L67" s="114"/>
      <c r="M67" s="114"/>
      <c r="N67" s="114"/>
      <c r="O67" s="114"/>
      <c r="P67" s="114"/>
      <c r="Q67" s="114"/>
      <c r="R67" s="114"/>
      <c r="S67" s="114"/>
    </row>
    <row r="68" spans="1:19" ht="18" customHeight="1" x14ac:dyDescent="0.15">
      <c r="B68" s="108" t="s">
        <v>53</v>
      </c>
      <c r="C68" s="109"/>
      <c r="D68" s="109"/>
      <c r="E68" s="59" t="s">
        <v>80</v>
      </c>
      <c r="F68" s="58" t="s">
        <v>84</v>
      </c>
      <c r="G68" s="21" t="s">
        <v>101</v>
      </c>
      <c r="H68" s="21" t="s">
        <v>75</v>
      </c>
      <c r="I68" s="21" t="s">
        <v>76</v>
      </c>
      <c r="J68" s="108" t="s">
        <v>53</v>
      </c>
      <c r="K68" s="109"/>
      <c r="L68" s="109"/>
      <c r="M68" s="109"/>
      <c r="N68" s="110"/>
      <c r="O68" s="59" t="s">
        <v>80</v>
      </c>
      <c r="P68" s="58" t="s">
        <v>84</v>
      </c>
      <c r="Q68" s="21" t="s">
        <v>101</v>
      </c>
      <c r="R68" s="21" t="s">
        <v>75</v>
      </c>
      <c r="S68" s="21" t="s">
        <v>76</v>
      </c>
    </row>
    <row r="69" spans="1:19" ht="18" customHeight="1" x14ac:dyDescent="0.15">
      <c r="A69" s="84"/>
      <c r="B69" s="102" t="s">
        <v>153</v>
      </c>
      <c r="C69" s="103"/>
      <c r="D69" s="103"/>
      <c r="E69" s="22">
        <v>1</v>
      </c>
      <c r="F69" s="22" t="s">
        <v>132</v>
      </c>
      <c r="G69" s="22" t="s">
        <v>132</v>
      </c>
      <c r="H69" s="22" t="s">
        <v>132</v>
      </c>
      <c r="I69" s="22" t="s">
        <v>132</v>
      </c>
      <c r="J69" s="102"/>
      <c r="K69" s="103"/>
      <c r="L69" s="103"/>
      <c r="M69" s="103"/>
      <c r="N69" s="104"/>
      <c r="O69" s="22"/>
      <c r="P69" s="22"/>
      <c r="Q69" s="22"/>
      <c r="R69" s="22"/>
      <c r="S69" s="22"/>
    </row>
    <row r="70" spans="1:19" ht="18" customHeight="1" x14ac:dyDescent="0.15">
      <c r="A70" s="84"/>
      <c r="B70" s="105" t="s">
        <v>152</v>
      </c>
      <c r="C70" s="106"/>
      <c r="D70" s="106"/>
      <c r="E70" s="23">
        <v>1</v>
      </c>
      <c r="F70" s="23" t="s">
        <v>132</v>
      </c>
      <c r="G70" s="23"/>
      <c r="H70" s="23" t="s">
        <v>132</v>
      </c>
      <c r="I70" s="23" t="s">
        <v>132</v>
      </c>
      <c r="J70" s="105"/>
      <c r="K70" s="106"/>
      <c r="L70" s="106"/>
      <c r="M70" s="106"/>
      <c r="N70" s="107"/>
      <c r="O70" s="23"/>
      <c r="P70" s="23"/>
      <c r="Q70" s="23"/>
      <c r="R70" s="23"/>
      <c r="S70" s="23"/>
    </row>
    <row r="71" spans="1:19" ht="18" customHeight="1" x14ac:dyDescent="0.15">
      <c r="A71" s="84"/>
      <c r="B71" s="105" t="s">
        <v>150</v>
      </c>
      <c r="C71" s="106"/>
      <c r="D71" s="106"/>
      <c r="E71" s="23">
        <v>1</v>
      </c>
      <c r="F71" s="23" t="s">
        <v>132</v>
      </c>
      <c r="G71" s="23"/>
      <c r="H71" s="23" t="s">
        <v>132</v>
      </c>
      <c r="I71" s="23" t="s">
        <v>132</v>
      </c>
      <c r="J71" s="105"/>
      <c r="K71" s="106"/>
      <c r="L71" s="106"/>
      <c r="M71" s="106"/>
      <c r="N71" s="107"/>
      <c r="O71" s="23"/>
      <c r="P71" s="23"/>
      <c r="Q71" s="23"/>
      <c r="R71" s="23"/>
      <c r="S71" s="23"/>
    </row>
    <row r="72" spans="1:19" ht="18" customHeight="1" x14ac:dyDescent="0.15">
      <c r="A72" s="84"/>
      <c r="B72" s="105" t="s">
        <v>151</v>
      </c>
      <c r="C72" s="106"/>
      <c r="D72" s="106"/>
      <c r="E72" s="23">
        <v>1</v>
      </c>
      <c r="F72" s="23" t="s">
        <v>132</v>
      </c>
      <c r="G72" s="23"/>
      <c r="H72" s="23" t="s">
        <v>132</v>
      </c>
      <c r="I72" s="23" t="s">
        <v>132</v>
      </c>
      <c r="J72" s="105"/>
      <c r="K72" s="106"/>
      <c r="L72" s="106"/>
      <c r="M72" s="106"/>
      <c r="N72" s="107"/>
      <c r="O72" s="23"/>
      <c r="P72" s="23"/>
      <c r="Q72" s="23"/>
      <c r="R72" s="23"/>
      <c r="S72" s="23"/>
    </row>
    <row r="73" spans="1:19" ht="18" customHeight="1" x14ac:dyDescent="0.15">
      <c r="A73" s="84"/>
      <c r="B73" s="105"/>
      <c r="C73" s="106"/>
      <c r="D73" s="106"/>
      <c r="E73" s="23"/>
      <c r="F73" s="23"/>
      <c r="G73" s="23"/>
      <c r="H73" s="23"/>
      <c r="I73" s="23"/>
      <c r="J73" s="105"/>
      <c r="K73" s="106"/>
      <c r="L73" s="106"/>
      <c r="M73" s="106"/>
      <c r="N73" s="107"/>
      <c r="O73" s="23"/>
      <c r="P73" s="23"/>
      <c r="Q73" s="23"/>
      <c r="R73" s="23"/>
      <c r="S73" s="23"/>
    </row>
    <row r="74" spans="1:19" ht="18" customHeight="1" x14ac:dyDescent="0.15">
      <c r="A74" s="84"/>
      <c r="B74" s="105"/>
      <c r="C74" s="106"/>
      <c r="D74" s="106"/>
      <c r="E74" s="23"/>
      <c r="F74" s="23"/>
      <c r="G74" s="23"/>
      <c r="H74" s="23"/>
      <c r="I74" s="23"/>
      <c r="J74" s="105"/>
      <c r="K74" s="106"/>
      <c r="L74" s="106"/>
      <c r="M74" s="106"/>
      <c r="N74" s="107"/>
      <c r="O74" s="23"/>
      <c r="P74" s="23"/>
      <c r="Q74" s="23"/>
      <c r="R74" s="23"/>
      <c r="S74" s="23"/>
    </row>
    <row r="75" spans="1:19" ht="18" customHeight="1" x14ac:dyDescent="0.15">
      <c r="A75" s="84"/>
      <c r="B75" s="111"/>
      <c r="C75" s="112"/>
      <c r="D75" s="112"/>
      <c r="E75" s="24"/>
      <c r="F75" s="24"/>
      <c r="G75" s="25"/>
      <c r="H75" s="25"/>
      <c r="I75" s="25"/>
      <c r="J75" s="111"/>
      <c r="K75" s="112"/>
      <c r="L75" s="112"/>
      <c r="M75" s="112"/>
      <c r="N75" s="113"/>
      <c r="O75" s="24"/>
      <c r="P75" s="24"/>
      <c r="Q75" s="25"/>
      <c r="R75" s="25"/>
      <c r="S75" s="25"/>
    </row>
    <row r="76" spans="1:19" ht="7.5" customHeight="1" x14ac:dyDescent="0.15">
      <c r="B76" s="85"/>
      <c r="C76" s="85"/>
      <c r="D76" s="85"/>
      <c r="E76" s="85"/>
      <c r="F76" s="85"/>
      <c r="G76" s="85"/>
      <c r="H76" s="85"/>
      <c r="I76" s="85"/>
      <c r="J76" s="85"/>
      <c r="K76" s="85"/>
      <c r="L76" s="85"/>
      <c r="M76" s="85"/>
      <c r="N76" s="85"/>
      <c r="O76" s="85"/>
      <c r="P76" s="85"/>
      <c r="Q76" s="85"/>
      <c r="R76" s="85"/>
    </row>
    <row r="77" spans="1:19" ht="18" customHeight="1" x14ac:dyDescent="0.15">
      <c r="A77" s="83" t="s">
        <v>118</v>
      </c>
      <c r="H77" s="84"/>
      <c r="I77" s="84"/>
      <c r="J77" s="84"/>
      <c r="K77" s="84"/>
      <c r="L77" s="84"/>
      <c r="M77" s="84"/>
      <c r="N77" s="84"/>
      <c r="O77" s="84"/>
      <c r="P77" s="84"/>
      <c r="Q77" s="84"/>
      <c r="R77" s="84"/>
      <c r="S77" s="84"/>
    </row>
    <row r="78" spans="1:19" ht="18" customHeight="1" x14ac:dyDescent="0.15">
      <c r="B78" s="108" t="s">
        <v>53</v>
      </c>
      <c r="C78" s="109"/>
      <c r="D78" s="109"/>
      <c r="E78" s="110"/>
      <c r="F78" s="108" t="s">
        <v>82</v>
      </c>
      <c r="G78" s="109"/>
      <c r="H78" s="109"/>
      <c r="I78" s="110"/>
      <c r="J78" s="135" t="s">
        <v>53</v>
      </c>
      <c r="K78" s="136"/>
      <c r="L78" s="136"/>
      <c r="M78" s="136"/>
      <c r="N78" s="136"/>
      <c r="O78" s="137"/>
      <c r="P78" s="108" t="s">
        <v>82</v>
      </c>
      <c r="Q78" s="109"/>
      <c r="R78" s="109"/>
      <c r="S78" s="110"/>
    </row>
    <row r="79" spans="1:19" ht="18" customHeight="1" x14ac:dyDescent="0.15">
      <c r="A79" s="84"/>
      <c r="B79" s="102"/>
      <c r="C79" s="103"/>
      <c r="D79" s="103"/>
      <c r="E79" s="104"/>
      <c r="F79" s="129"/>
      <c r="G79" s="130"/>
      <c r="H79" s="130"/>
      <c r="I79" s="131"/>
      <c r="J79" s="102"/>
      <c r="K79" s="103"/>
      <c r="L79" s="103"/>
      <c r="M79" s="103"/>
      <c r="N79" s="103"/>
      <c r="O79" s="104"/>
      <c r="P79" s="129"/>
      <c r="Q79" s="130"/>
      <c r="R79" s="130"/>
      <c r="S79" s="131"/>
    </row>
    <row r="80" spans="1:19" ht="18" customHeight="1" x14ac:dyDescent="0.15">
      <c r="A80" s="84"/>
      <c r="B80" s="105"/>
      <c r="C80" s="106"/>
      <c r="D80" s="106"/>
      <c r="E80" s="107"/>
      <c r="F80" s="132"/>
      <c r="G80" s="133"/>
      <c r="H80" s="133"/>
      <c r="I80" s="134"/>
      <c r="J80" s="105"/>
      <c r="K80" s="106"/>
      <c r="L80" s="106"/>
      <c r="M80" s="106"/>
      <c r="N80" s="106"/>
      <c r="O80" s="107"/>
      <c r="P80" s="132"/>
      <c r="Q80" s="133"/>
      <c r="R80" s="133"/>
      <c r="S80" s="134"/>
    </row>
    <row r="81" spans="1:19" ht="18" customHeight="1" x14ac:dyDescent="0.15">
      <c r="A81" s="84"/>
      <c r="B81" s="105"/>
      <c r="C81" s="106"/>
      <c r="D81" s="106"/>
      <c r="E81" s="107"/>
      <c r="F81" s="132"/>
      <c r="G81" s="133"/>
      <c r="H81" s="133"/>
      <c r="I81" s="134"/>
      <c r="J81" s="105"/>
      <c r="K81" s="106"/>
      <c r="L81" s="106"/>
      <c r="M81" s="106"/>
      <c r="N81" s="106"/>
      <c r="O81" s="107"/>
      <c r="P81" s="132"/>
      <c r="Q81" s="133"/>
      <c r="R81" s="133"/>
      <c r="S81" s="134"/>
    </row>
    <row r="82" spans="1:19" ht="18" customHeight="1" x14ac:dyDescent="0.15">
      <c r="A82" s="84"/>
      <c r="B82" s="105"/>
      <c r="C82" s="106"/>
      <c r="D82" s="106"/>
      <c r="E82" s="107"/>
      <c r="F82" s="132"/>
      <c r="G82" s="133"/>
      <c r="H82" s="133"/>
      <c r="I82" s="134"/>
      <c r="J82" s="105"/>
      <c r="K82" s="106"/>
      <c r="L82" s="106"/>
      <c r="M82" s="106"/>
      <c r="N82" s="106"/>
      <c r="O82" s="107"/>
      <c r="P82" s="132"/>
      <c r="Q82" s="133"/>
      <c r="R82" s="133"/>
      <c r="S82" s="134"/>
    </row>
    <row r="83" spans="1:19" ht="18" customHeight="1" x14ac:dyDescent="0.15">
      <c r="A83" s="84"/>
      <c r="B83" s="105"/>
      <c r="C83" s="106"/>
      <c r="D83" s="106"/>
      <c r="E83" s="107"/>
      <c r="F83" s="132"/>
      <c r="G83" s="133"/>
      <c r="H83" s="133"/>
      <c r="I83" s="134"/>
      <c r="J83" s="105"/>
      <c r="K83" s="106"/>
      <c r="L83" s="106"/>
      <c r="M83" s="106"/>
      <c r="N83" s="106"/>
      <c r="O83" s="107"/>
      <c r="P83" s="132"/>
      <c r="Q83" s="133"/>
      <c r="R83" s="133"/>
      <c r="S83" s="134"/>
    </row>
    <row r="84" spans="1:19" ht="18" customHeight="1" x14ac:dyDescent="0.15">
      <c r="A84" s="84"/>
      <c r="B84" s="105"/>
      <c r="C84" s="106"/>
      <c r="D84" s="106"/>
      <c r="E84" s="107"/>
      <c r="F84" s="132"/>
      <c r="G84" s="133"/>
      <c r="H84" s="133"/>
      <c r="I84" s="134"/>
      <c r="J84" s="105"/>
      <c r="K84" s="106"/>
      <c r="L84" s="106"/>
      <c r="M84" s="106"/>
      <c r="N84" s="106"/>
      <c r="O84" s="107"/>
      <c r="P84" s="132"/>
      <c r="Q84" s="133"/>
      <c r="R84" s="133"/>
      <c r="S84" s="134"/>
    </row>
    <row r="85" spans="1:19" ht="18" customHeight="1" x14ac:dyDescent="0.15">
      <c r="A85" s="84"/>
      <c r="B85" s="111"/>
      <c r="C85" s="112"/>
      <c r="D85" s="112"/>
      <c r="E85" s="113"/>
      <c r="F85" s="141"/>
      <c r="G85" s="142"/>
      <c r="H85" s="142"/>
      <c r="I85" s="143"/>
      <c r="J85" s="111"/>
      <c r="K85" s="112"/>
      <c r="L85" s="112"/>
      <c r="M85" s="112"/>
      <c r="N85" s="112"/>
      <c r="O85" s="113"/>
      <c r="P85" s="141"/>
      <c r="Q85" s="142"/>
      <c r="R85" s="142"/>
      <c r="S85" s="143"/>
    </row>
    <row r="86" spans="1:19" ht="18" customHeight="1" x14ac:dyDescent="0.15">
      <c r="A86" s="84"/>
      <c r="B86" s="6"/>
      <c r="C86" s="6"/>
      <c r="D86" s="6"/>
      <c r="E86" s="6"/>
      <c r="F86" s="26"/>
      <c r="G86" s="26"/>
      <c r="H86" s="26"/>
      <c r="I86" s="26"/>
      <c r="J86" s="6"/>
      <c r="K86" s="6"/>
      <c r="L86" s="6"/>
      <c r="M86" s="6"/>
      <c r="N86" s="6"/>
      <c r="O86" s="6"/>
      <c r="P86" s="26"/>
      <c r="Q86" s="26"/>
      <c r="R86" s="26"/>
      <c r="S86" s="26"/>
    </row>
    <row r="87" spans="1:19" ht="18.75" customHeight="1" x14ac:dyDescent="0.15">
      <c r="A87" s="83" t="s">
        <v>119</v>
      </c>
    </row>
    <row r="88" spans="1:19" ht="18.75" customHeight="1" x14ac:dyDescent="0.15">
      <c r="B88" s="126" t="s">
        <v>54</v>
      </c>
      <c r="C88" s="127"/>
      <c r="D88" s="109" t="s">
        <v>55</v>
      </c>
      <c r="E88" s="109"/>
      <c r="F88" s="109"/>
      <c r="G88" s="109"/>
      <c r="H88" s="109"/>
      <c r="I88" s="109"/>
      <c r="J88" s="109"/>
      <c r="K88" s="109"/>
      <c r="L88" s="109"/>
      <c r="M88" s="109"/>
      <c r="N88" s="109"/>
      <c r="O88" s="109"/>
      <c r="P88" s="109"/>
      <c r="Q88" s="109"/>
      <c r="R88" s="109"/>
      <c r="S88" s="110"/>
    </row>
    <row r="89" spans="1:19" ht="97.5" customHeight="1" x14ac:dyDescent="0.15">
      <c r="B89" s="115" t="s">
        <v>61</v>
      </c>
      <c r="C89" s="27" t="s">
        <v>56</v>
      </c>
      <c r="D89" s="128" t="s">
        <v>278</v>
      </c>
      <c r="E89" s="128"/>
      <c r="F89" s="128"/>
      <c r="G89" s="128"/>
      <c r="H89" s="128"/>
      <c r="I89" s="128"/>
      <c r="J89" s="128"/>
      <c r="K89" s="128"/>
      <c r="L89" s="128"/>
      <c r="M89" s="128"/>
      <c r="N89" s="128"/>
      <c r="O89" s="128"/>
      <c r="P89" s="128"/>
      <c r="Q89" s="128"/>
      <c r="R89" s="128"/>
      <c r="S89" s="195"/>
    </row>
    <row r="90" spans="1:19" ht="97.5" customHeight="1" x14ac:dyDescent="0.15">
      <c r="B90" s="116"/>
      <c r="C90" s="28" t="s">
        <v>77</v>
      </c>
      <c r="D90" s="144" t="s">
        <v>279</v>
      </c>
      <c r="E90" s="144"/>
      <c r="F90" s="144"/>
      <c r="G90" s="144"/>
      <c r="H90" s="144"/>
      <c r="I90" s="144"/>
      <c r="J90" s="144"/>
      <c r="K90" s="144"/>
      <c r="L90" s="144"/>
      <c r="M90" s="144"/>
      <c r="N90" s="144"/>
      <c r="O90" s="144"/>
      <c r="P90" s="144"/>
      <c r="Q90" s="144"/>
      <c r="R90" s="144"/>
      <c r="S90" s="199"/>
    </row>
    <row r="91" spans="1:19" ht="97.5" customHeight="1" x14ac:dyDescent="0.15">
      <c r="B91" s="115" t="s">
        <v>62</v>
      </c>
      <c r="C91" s="29" t="s">
        <v>71</v>
      </c>
      <c r="D91" s="147" t="s">
        <v>280</v>
      </c>
      <c r="E91" s="147"/>
      <c r="F91" s="147"/>
      <c r="G91" s="147"/>
      <c r="H91" s="147"/>
      <c r="I91" s="147"/>
      <c r="J91" s="147"/>
      <c r="K91" s="147"/>
      <c r="L91" s="147"/>
      <c r="M91" s="147"/>
      <c r="N91" s="147"/>
      <c r="O91" s="147"/>
      <c r="P91" s="147"/>
      <c r="Q91" s="147"/>
      <c r="R91" s="147"/>
      <c r="S91" s="193"/>
    </row>
    <row r="92" spans="1:19" ht="97.5" customHeight="1" x14ac:dyDescent="0.15">
      <c r="B92" s="117"/>
      <c r="C92" s="30" t="s">
        <v>72</v>
      </c>
      <c r="D92" s="153" t="s">
        <v>281</v>
      </c>
      <c r="E92" s="153"/>
      <c r="F92" s="153"/>
      <c r="G92" s="153"/>
      <c r="H92" s="153"/>
      <c r="I92" s="153"/>
      <c r="J92" s="153"/>
      <c r="K92" s="153"/>
      <c r="L92" s="153"/>
      <c r="M92" s="153"/>
      <c r="N92" s="153"/>
      <c r="O92" s="153"/>
      <c r="P92" s="153"/>
      <c r="Q92" s="153"/>
      <c r="R92" s="153"/>
      <c r="S92" s="196"/>
    </row>
    <row r="93" spans="1:19" ht="130.5" customHeight="1" x14ac:dyDescent="0.15">
      <c r="B93" s="115" t="s">
        <v>63</v>
      </c>
      <c r="C93" s="29" t="s">
        <v>73</v>
      </c>
      <c r="D93" s="147" t="s">
        <v>282</v>
      </c>
      <c r="E93" s="147"/>
      <c r="F93" s="147"/>
      <c r="G93" s="147"/>
      <c r="H93" s="147"/>
      <c r="I93" s="147"/>
      <c r="J93" s="147"/>
      <c r="K93" s="147"/>
      <c r="L93" s="147"/>
      <c r="M93" s="147"/>
      <c r="N93" s="147"/>
      <c r="O93" s="147"/>
      <c r="P93" s="147"/>
      <c r="Q93" s="147"/>
      <c r="R93" s="147"/>
      <c r="S93" s="193"/>
    </row>
    <row r="94" spans="1:19" ht="97.5" customHeight="1" x14ac:dyDescent="0.15">
      <c r="B94" s="117"/>
      <c r="C94" s="31" t="s">
        <v>74</v>
      </c>
      <c r="D94" s="150" t="s">
        <v>283</v>
      </c>
      <c r="E94" s="150"/>
      <c r="F94" s="150"/>
      <c r="G94" s="150"/>
      <c r="H94" s="150"/>
      <c r="I94" s="150"/>
      <c r="J94" s="150"/>
      <c r="K94" s="150"/>
      <c r="L94" s="150"/>
      <c r="M94" s="150"/>
      <c r="N94" s="150"/>
      <c r="O94" s="150"/>
      <c r="P94" s="150"/>
      <c r="Q94" s="150"/>
      <c r="R94" s="150"/>
      <c r="S94" s="194"/>
    </row>
    <row r="95" spans="1:19" ht="97.5" customHeight="1" x14ac:dyDescent="0.15">
      <c r="B95" s="115" t="s">
        <v>78</v>
      </c>
      <c r="C95" s="27" t="s">
        <v>58</v>
      </c>
      <c r="D95" s="128" t="s">
        <v>284</v>
      </c>
      <c r="E95" s="128"/>
      <c r="F95" s="128"/>
      <c r="G95" s="128"/>
      <c r="H95" s="128"/>
      <c r="I95" s="128"/>
      <c r="J95" s="128"/>
      <c r="K95" s="128"/>
      <c r="L95" s="128"/>
      <c r="M95" s="128"/>
      <c r="N95" s="128"/>
      <c r="O95" s="128"/>
      <c r="P95" s="128"/>
      <c r="Q95" s="128"/>
      <c r="R95" s="128"/>
      <c r="S95" s="195"/>
    </row>
    <row r="96" spans="1:19" ht="97.5" customHeight="1" x14ac:dyDescent="0.15">
      <c r="B96" s="117"/>
      <c r="C96" s="30" t="s">
        <v>60</v>
      </c>
      <c r="D96" s="202" t="s">
        <v>285</v>
      </c>
      <c r="E96" s="202"/>
      <c r="F96" s="202"/>
      <c r="G96" s="202"/>
      <c r="H96" s="202"/>
      <c r="I96" s="202"/>
      <c r="J96" s="202"/>
      <c r="K96" s="202"/>
      <c r="L96" s="202"/>
      <c r="M96" s="202"/>
      <c r="N96" s="202"/>
      <c r="O96" s="202"/>
      <c r="P96" s="202"/>
      <c r="Q96" s="202"/>
      <c r="R96" s="202"/>
      <c r="S96" s="203"/>
    </row>
    <row r="97" spans="1:19" ht="145.5" customHeight="1" x14ac:dyDescent="0.15">
      <c r="B97" s="115" t="s">
        <v>79</v>
      </c>
      <c r="C97" s="29" t="s">
        <v>57</v>
      </c>
      <c r="D97" s="187" t="s">
        <v>286</v>
      </c>
      <c r="E97" s="187"/>
      <c r="F97" s="187"/>
      <c r="G97" s="187"/>
      <c r="H97" s="187"/>
      <c r="I97" s="187"/>
      <c r="J97" s="187"/>
      <c r="K97" s="187"/>
      <c r="L97" s="187"/>
      <c r="M97" s="187"/>
      <c r="N97" s="187"/>
      <c r="O97" s="187"/>
      <c r="P97" s="187"/>
      <c r="Q97" s="187"/>
      <c r="R97" s="187"/>
      <c r="S97" s="188"/>
    </row>
    <row r="98" spans="1:19" ht="195" customHeight="1" x14ac:dyDescent="0.15">
      <c r="B98" s="116"/>
      <c r="C98" s="32" t="s">
        <v>75</v>
      </c>
      <c r="D98" s="206" t="s">
        <v>287</v>
      </c>
      <c r="E98" s="207"/>
      <c r="F98" s="207"/>
      <c r="G98" s="207"/>
      <c r="H98" s="207"/>
      <c r="I98" s="207"/>
      <c r="J98" s="207"/>
      <c r="K98" s="207"/>
      <c r="L98" s="207"/>
      <c r="M98" s="207"/>
      <c r="N98" s="207"/>
      <c r="O98" s="207"/>
      <c r="P98" s="207"/>
      <c r="Q98" s="207"/>
      <c r="R98" s="207"/>
      <c r="S98" s="208"/>
    </row>
    <row r="99" spans="1:19" ht="150.75" customHeight="1" x14ac:dyDescent="0.15">
      <c r="B99" s="117"/>
      <c r="C99" s="31" t="s">
        <v>76</v>
      </c>
      <c r="D99" s="121" t="s">
        <v>288</v>
      </c>
      <c r="E99" s="121"/>
      <c r="F99" s="121"/>
      <c r="G99" s="121"/>
      <c r="H99" s="121"/>
      <c r="I99" s="121"/>
      <c r="J99" s="121"/>
      <c r="K99" s="121"/>
      <c r="L99" s="121"/>
      <c r="M99" s="121"/>
      <c r="N99" s="121"/>
      <c r="O99" s="121"/>
      <c r="P99" s="121"/>
      <c r="Q99" s="121"/>
      <c r="R99" s="121"/>
      <c r="S99" s="201"/>
    </row>
    <row r="100" spans="1:19" ht="6" customHeight="1" x14ac:dyDescent="0.15"/>
    <row r="101" spans="1:19" ht="18.75" customHeight="1" x14ac:dyDescent="0.15">
      <c r="A101" s="83" t="s">
        <v>120</v>
      </c>
    </row>
    <row r="102" spans="1:19" ht="81.75" customHeight="1" x14ac:dyDescent="0.15">
      <c r="B102" s="138" t="s">
        <v>146</v>
      </c>
      <c r="C102" s="139"/>
      <c r="D102" s="139"/>
      <c r="E102" s="139"/>
      <c r="F102" s="139"/>
      <c r="G102" s="139"/>
      <c r="H102" s="139"/>
      <c r="I102" s="139"/>
      <c r="J102" s="139"/>
      <c r="K102" s="139"/>
      <c r="L102" s="139"/>
      <c r="M102" s="139"/>
      <c r="N102" s="139"/>
      <c r="O102" s="139"/>
      <c r="P102" s="139"/>
      <c r="Q102" s="139"/>
      <c r="R102" s="139"/>
      <c r="S102" s="140"/>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P69:S75 Q36:S42 G36:I42 Q47:S53 G58:I64 Q58:S64 F69:I75 G47:I53" xr:uid="{D4395872-5547-4872-A2A3-9AA1BE061AFD}">
      <formula1>"○"</formula1>
    </dataValidation>
    <dataValidation type="list" allowBlank="1" showInputMessage="1" showErrorMessage="1" sqref="S32 S43 D32:G32 D43:G43" xr:uid="{0CA1A366-CB7F-44C3-AA1C-9910E051268B}">
      <formula1>"全学開講,一部開講"</formula1>
    </dataValidation>
    <dataValidation type="list" allowBlank="1" showInputMessage="1" showErrorMessage="1" sqref="K7 K12" xr:uid="{6236EF24-EB68-440E-A948-209218FCC70D}">
      <formula1>"学部・学科によって、修了要件は相違する,学部・学科によって、修了要件は相違しない"</formula1>
    </dataValidation>
    <dataValidation type="list" allowBlank="1" showInputMessage="1" showErrorMessage="1" sqref="F79:F86 P79:P86 G79:I80 G83:I86 Q83:S86 Q79:S80" xr:uid="{9A84C1B8-51D4-4405-B2F8-1B7FD994BEB4}">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02085DDF-CCAB-4C89-B170-B4E2BB26420E}">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C5" sqref="C5:D5"/>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106</v>
      </c>
    </row>
    <row r="2" spans="1:45" ht="18" customHeight="1" x14ac:dyDescent="0.15">
      <c r="K2" s="34"/>
      <c r="Q2" s="34"/>
      <c r="W2" s="34"/>
      <c r="AC2" s="34"/>
      <c r="AI2" s="34"/>
      <c r="AL2" s="34" t="s">
        <v>108</v>
      </c>
      <c r="AM2" s="214" t="str">
        <f>'様式１-１　プログラムを構成する授業科目'!C2</f>
        <v>愛知学院大学</v>
      </c>
      <c r="AN2" s="214"/>
      <c r="AO2" s="214"/>
      <c r="AP2" s="214"/>
      <c r="AQ2" s="214"/>
    </row>
    <row r="3" spans="1:45" ht="18" customHeight="1" x14ac:dyDescent="0.15">
      <c r="A3" s="171" t="s">
        <v>47</v>
      </c>
      <c r="B3" s="171"/>
      <c r="C3" s="171"/>
      <c r="D3" s="171"/>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83</v>
      </c>
      <c r="C5" s="215" t="s">
        <v>179</v>
      </c>
      <c r="D5" s="216"/>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217" t="s">
        <v>44</v>
      </c>
      <c r="C9" s="232" t="s">
        <v>86</v>
      </c>
      <c r="D9" s="220" t="s">
        <v>46</v>
      </c>
      <c r="E9" s="223" t="s">
        <v>39</v>
      </c>
      <c r="F9" s="211" t="s">
        <v>85</v>
      </c>
      <c r="G9" s="211"/>
      <c r="H9" s="211"/>
      <c r="I9" s="211"/>
      <c r="J9" s="211"/>
      <c r="K9" s="211"/>
      <c r="L9" s="211" t="s">
        <v>48</v>
      </c>
      <c r="M9" s="211"/>
      <c r="N9" s="211"/>
      <c r="O9" s="211"/>
      <c r="P9" s="211"/>
      <c r="Q9" s="211"/>
      <c r="R9" s="211" t="s">
        <v>49</v>
      </c>
      <c r="S9" s="211"/>
      <c r="T9" s="211"/>
      <c r="U9" s="211"/>
      <c r="V9" s="211"/>
      <c r="W9" s="211"/>
      <c r="X9" s="211" t="s">
        <v>100</v>
      </c>
      <c r="Y9" s="211"/>
      <c r="Z9" s="211"/>
      <c r="AA9" s="211"/>
      <c r="AB9" s="211"/>
      <c r="AC9" s="211"/>
      <c r="AD9" s="211" t="s">
        <v>50</v>
      </c>
      <c r="AE9" s="211"/>
      <c r="AF9" s="211"/>
      <c r="AG9" s="211"/>
      <c r="AH9" s="211"/>
      <c r="AI9" s="211"/>
      <c r="AJ9" s="211" t="s">
        <v>51</v>
      </c>
      <c r="AK9" s="211"/>
      <c r="AL9" s="211"/>
      <c r="AM9" s="211"/>
      <c r="AN9" s="211"/>
      <c r="AO9" s="211"/>
      <c r="AP9" s="226" t="s">
        <v>34</v>
      </c>
      <c r="AQ9" s="229" t="s">
        <v>31</v>
      </c>
      <c r="AS9" s="2"/>
    </row>
    <row r="10" spans="1:45" ht="16.899999999999999" customHeight="1" x14ac:dyDescent="0.15">
      <c r="B10" s="218"/>
      <c r="C10" s="233"/>
      <c r="D10" s="221"/>
      <c r="E10" s="224"/>
      <c r="F10" s="212" t="s">
        <v>96</v>
      </c>
      <c r="G10" s="213"/>
      <c r="H10" s="213"/>
      <c r="I10" s="212" t="s">
        <v>28</v>
      </c>
      <c r="J10" s="213"/>
      <c r="K10" s="213"/>
      <c r="L10" s="212" t="s">
        <v>96</v>
      </c>
      <c r="M10" s="213"/>
      <c r="N10" s="213"/>
      <c r="O10" s="212" t="s">
        <v>28</v>
      </c>
      <c r="P10" s="213"/>
      <c r="Q10" s="213"/>
      <c r="R10" s="212" t="s">
        <v>96</v>
      </c>
      <c r="S10" s="213"/>
      <c r="T10" s="213"/>
      <c r="U10" s="212" t="s">
        <v>28</v>
      </c>
      <c r="V10" s="213"/>
      <c r="W10" s="213"/>
      <c r="X10" s="212" t="s">
        <v>96</v>
      </c>
      <c r="Y10" s="213"/>
      <c r="Z10" s="213"/>
      <c r="AA10" s="212" t="s">
        <v>28</v>
      </c>
      <c r="AB10" s="213"/>
      <c r="AC10" s="213"/>
      <c r="AD10" s="212" t="s">
        <v>96</v>
      </c>
      <c r="AE10" s="213"/>
      <c r="AF10" s="213"/>
      <c r="AG10" s="212" t="s">
        <v>28</v>
      </c>
      <c r="AH10" s="213"/>
      <c r="AI10" s="213"/>
      <c r="AJ10" s="212" t="s">
        <v>96</v>
      </c>
      <c r="AK10" s="213"/>
      <c r="AL10" s="213"/>
      <c r="AM10" s="212" t="s">
        <v>28</v>
      </c>
      <c r="AN10" s="213"/>
      <c r="AO10" s="213"/>
      <c r="AP10" s="227"/>
      <c r="AQ10" s="230"/>
      <c r="AS10" s="2"/>
    </row>
    <row r="11" spans="1:45" ht="18" customHeight="1" x14ac:dyDescent="0.15">
      <c r="B11" s="219"/>
      <c r="C11" s="234"/>
      <c r="D11" s="222"/>
      <c r="E11" s="225"/>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228"/>
      <c r="AQ11" s="231"/>
      <c r="AS11" s="2"/>
    </row>
    <row r="12" spans="1:45" ht="18" customHeight="1" x14ac:dyDescent="0.15">
      <c r="A12" s="6"/>
      <c r="B12" s="11" t="s">
        <v>180</v>
      </c>
      <c r="C12" s="94">
        <v>2187</v>
      </c>
      <c r="D12" s="6">
        <v>530</v>
      </c>
      <c r="E12" s="96">
        <v>2145</v>
      </c>
      <c r="F12" s="62">
        <v>326</v>
      </c>
      <c r="G12" s="89"/>
      <c r="H12" s="90"/>
      <c r="I12" s="62">
        <f t="shared" ref="I12:I17" si="0">J12+K12</f>
        <v>0</v>
      </c>
      <c r="J12" s="89"/>
      <c r="K12" s="90"/>
      <c r="L12" s="62">
        <f t="shared" ref="L12:L17" si="1">M12+N12</f>
        <v>0</v>
      </c>
      <c r="M12" s="63"/>
      <c r="N12" s="64"/>
      <c r="O12" s="62">
        <f t="shared" ref="O12:O17" si="2">P12+Q12</f>
        <v>0</v>
      </c>
      <c r="P12" s="63"/>
      <c r="Q12" s="64"/>
      <c r="R12" s="62">
        <f t="shared" ref="R12:R17" si="3">S12+T12</f>
        <v>0</v>
      </c>
      <c r="S12" s="63"/>
      <c r="T12" s="64"/>
      <c r="U12" s="62">
        <f t="shared" ref="U12:U17" si="4">V12+W12</f>
        <v>0</v>
      </c>
      <c r="V12" s="63"/>
      <c r="W12" s="64"/>
      <c r="X12" s="62">
        <f t="shared" ref="X12:X17" si="5">Y12+Z12</f>
        <v>0</v>
      </c>
      <c r="Y12" s="63"/>
      <c r="Z12" s="64"/>
      <c r="AA12" s="62">
        <f t="shared" ref="AA12:AA17" si="6">AB12+AC12</f>
        <v>0</v>
      </c>
      <c r="AB12" s="63"/>
      <c r="AC12" s="64"/>
      <c r="AD12" s="62">
        <f t="shared" ref="AD12:AD17" si="7">AE12+AF12</f>
        <v>0</v>
      </c>
      <c r="AE12" s="63"/>
      <c r="AF12" s="64"/>
      <c r="AG12" s="62">
        <f t="shared" ref="AG12:AG17" si="8">AH12+AI12</f>
        <v>0</v>
      </c>
      <c r="AH12" s="63"/>
      <c r="AI12" s="64"/>
      <c r="AJ12" s="62">
        <f t="shared" ref="AJ12:AJ17" si="9">AK12+AL12</f>
        <v>0</v>
      </c>
      <c r="AK12" s="63"/>
      <c r="AL12" s="64"/>
      <c r="AM12" s="62">
        <f t="shared" ref="AM12:AM17" si="10">AN12+AO12</f>
        <v>0</v>
      </c>
      <c r="AN12" s="63"/>
      <c r="AO12" s="64"/>
      <c r="AP12" s="61">
        <f t="shared" ref="AP12:AP17" si="11">F12+L12+R12+X12+AD12+AJ12</f>
        <v>326</v>
      </c>
      <c r="AQ12" s="98">
        <f t="shared" ref="AQ12:AQ17" si="12">AP12/E12</f>
        <v>0.15198135198135199</v>
      </c>
    </row>
    <row r="13" spans="1:45" ht="18" customHeight="1" x14ac:dyDescent="0.15">
      <c r="A13" s="6"/>
      <c r="B13" s="12" t="s">
        <v>183</v>
      </c>
      <c r="C13" s="95">
        <v>1029</v>
      </c>
      <c r="D13" s="80">
        <v>250</v>
      </c>
      <c r="E13" s="97">
        <v>1005</v>
      </c>
      <c r="F13" s="68">
        <v>216</v>
      </c>
      <c r="G13" s="91"/>
      <c r="H13" s="92"/>
      <c r="I13" s="68">
        <f t="shared" si="0"/>
        <v>0</v>
      </c>
      <c r="J13" s="91"/>
      <c r="K13" s="92"/>
      <c r="L13" s="68">
        <f t="shared" si="1"/>
        <v>0</v>
      </c>
      <c r="M13" s="69"/>
      <c r="N13" s="70"/>
      <c r="O13" s="68">
        <f t="shared" si="2"/>
        <v>0</v>
      </c>
      <c r="P13" s="69"/>
      <c r="Q13" s="70"/>
      <c r="R13" s="68">
        <f t="shared" si="3"/>
        <v>0</v>
      </c>
      <c r="S13" s="69"/>
      <c r="T13" s="70"/>
      <c r="U13" s="68">
        <f t="shared" si="4"/>
        <v>0</v>
      </c>
      <c r="V13" s="69"/>
      <c r="W13" s="70"/>
      <c r="X13" s="68">
        <f t="shared" si="5"/>
        <v>0</v>
      </c>
      <c r="Y13" s="69"/>
      <c r="Z13" s="70"/>
      <c r="AA13" s="68">
        <f t="shared" si="6"/>
        <v>0</v>
      </c>
      <c r="AB13" s="69"/>
      <c r="AC13" s="70"/>
      <c r="AD13" s="68">
        <f t="shared" si="7"/>
        <v>0</v>
      </c>
      <c r="AE13" s="69"/>
      <c r="AF13" s="70"/>
      <c r="AG13" s="68">
        <f t="shared" si="8"/>
        <v>0</v>
      </c>
      <c r="AH13" s="69"/>
      <c r="AI13" s="70"/>
      <c r="AJ13" s="68">
        <f t="shared" si="9"/>
        <v>0</v>
      </c>
      <c r="AK13" s="69"/>
      <c r="AL13" s="70"/>
      <c r="AM13" s="68">
        <f t="shared" si="10"/>
        <v>0</v>
      </c>
      <c r="AN13" s="69"/>
      <c r="AO13" s="70"/>
      <c r="AP13" s="66">
        <f t="shared" si="11"/>
        <v>216</v>
      </c>
      <c r="AQ13" s="8">
        <f t="shared" si="12"/>
        <v>0.21492537313432836</v>
      </c>
    </row>
    <row r="14" spans="1:45" ht="18" customHeight="1" x14ac:dyDescent="0.15">
      <c r="A14" s="6"/>
      <c r="B14" s="12" t="s">
        <v>184</v>
      </c>
      <c r="C14" s="95">
        <v>1235</v>
      </c>
      <c r="D14" s="80">
        <v>290</v>
      </c>
      <c r="E14" s="97">
        <v>1165</v>
      </c>
      <c r="F14" s="68">
        <v>302</v>
      </c>
      <c r="G14" s="91"/>
      <c r="H14" s="92"/>
      <c r="I14" s="68">
        <f t="shared" si="0"/>
        <v>0</v>
      </c>
      <c r="J14" s="91"/>
      <c r="K14" s="92"/>
      <c r="L14" s="68">
        <f t="shared" si="1"/>
        <v>0</v>
      </c>
      <c r="M14" s="69"/>
      <c r="N14" s="70"/>
      <c r="O14" s="68">
        <f t="shared" si="2"/>
        <v>0</v>
      </c>
      <c r="P14" s="69"/>
      <c r="Q14" s="70"/>
      <c r="R14" s="68">
        <f t="shared" si="3"/>
        <v>0</v>
      </c>
      <c r="S14" s="69"/>
      <c r="T14" s="70"/>
      <c r="U14" s="68">
        <f t="shared" si="4"/>
        <v>0</v>
      </c>
      <c r="V14" s="69"/>
      <c r="W14" s="70"/>
      <c r="X14" s="68">
        <f t="shared" si="5"/>
        <v>0</v>
      </c>
      <c r="Y14" s="69"/>
      <c r="Z14" s="70"/>
      <c r="AA14" s="68">
        <f t="shared" si="6"/>
        <v>0</v>
      </c>
      <c r="AB14" s="69"/>
      <c r="AC14" s="70"/>
      <c r="AD14" s="68">
        <f t="shared" si="7"/>
        <v>0</v>
      </c>
      <c r="AE14" s="69"/>
      <c r="AF14" s="70"/>
      <c r="AG14" s="68">
        <f t="shared" si="8"/>
        <v>0</v>
      </c>
      <c r="AH14" s="69"/>
      <c r="AI14" s="70"/>
      <c r="AJ14" s="68">
        <f t="shared" si="9"/>
        <v>0</v>
      </c>
      <c r="AK14" s="69"/>
      <c r="AL14" s="70"/>
      <c r="AM14" s="68">
        <f t="shared" si="10"/>
        <v>0</v>
      </c>
      <c r="AN14" s="69"/>
      <c r="AO14" s="70"/>
      <c r="AP14" s="66">
        <f t="shared" si="11"/>
        <v>302</v>
      </c>
      <c r="AQ14" s="8">
        <f t="shared" si="12"/>
        <v>0.2592274678111588</v>
      </c>
    </row>
    <row r="15" spans="1:45" ht="18" customHeight="1" x14ac:dyDescent="0.15">
      <c r="A15" s="6"/>
      <c r="B15" s="12" t="s">
        <v>185</v>
      </c>
      <c r="C15" s="95">
        <v>1075</v>
      </c>
      <c r="D15" s="80">
        <v>250</v>
      </c>
      <c r="E15" s="97">
        <v>1005</v>
      </c>
      <c r="F15" s="68">
        <v>264</v>
      </c>
      <c r="G15" s="91"/>
      <c r="H15" s="92"/>
      <c r="I15" s="68">
        <f t="shared" si="0"/>
        <v>0</v>
      </c>
      <c r="J15" s="91"/>
      <c r="K15" s="92"/>
      <c r="L15" s="68">
        <f t="shared" si="1"/>
        <v>0</v>
      </c>
      <c r="M15" s="69"/>
      <c r="N15" s="70"/>
      <c r="O15" s="68">
        <f t="shared" si="2"/>
        <v>0</v>
      </c>
      <c r="P15" s="69"/>
      <c r="Q15" s="70"/>
      <c r="R15" s="68">
        <f t="shared" si="3"/>
        <v>0</v>
      </c>
      <c r="S15" s="69"/>
      <c r="T15" s="70"/>
      <c r="U15" s="68">
        <f t="shared" si="4"/>
        <v>0</v>
      </c>
      <c r="V15" s="69"/>
      <c r="W15" s="70"/>
      <c r="X15" s="68">
        <f t="shared" si="5"/>
        <v>0</v>
      </c>
      <c r="Y15" s="69"/>
      <c r="Z15" s="70"/>
      <c r="AA15" s="68">
        <f t="shared" si="6"/>
        <v>0</v>
      </c>
      <c r="AB15" s="69"/>
      <c r="AC15" s="70"/>
      <c r="AD15" s="68">
        <f t="shared" si="7"/>
        <v>0</v>
      </c>
      <c r="AE15" s="69"/>
      <c r="AF15" s="70"/>
      <c r="AG15" s="68">
        <f t="shared" si="8"/>
        <v>0</v>
      </c>
      <c r="AH15" s="69"/>
      <c r="AI15" s="70"/>
      <c r="AJ15" s="68">
        <f t="shared" si="9"/>
        <v>0</v>
      </c>
      <c r="AK15" s="69"/>
      <c r="AL15" s="70"/>
      <c r="AM15" s="68">
        <f t="shared" si="10"/>
        <v>0</v>
      </c>
      <c r="AN15" s="69"/>
      <c r="AO15" s="70"/>
      <c r="AP15" s="66">
        <f t="shared" si="11"/>
        <v>264</v>
      </c>
      <c r="AQ15" s="8">
        <f t="shared" si="12"/>
        <v>0.2626865671641791</v>
      </c>
    </row>
    <row r="16" spans="1:45" ht="18" customHeight="1" x14ac:dyDescent="0.15">
      <c r="A16" s="6"/>
      <c r="B16" s="12" t="s">
        <v>186</v>
      </c>
      <c r="C16" s="95">
        <v>1253</v>
      </c>
      <c r="D16" s="80">
        <v>295</v>
      </c>
      <c r="E16" s="97">
        <v>1190</v>
      </c>
      <c r="F16" s="68">
        <v>71</v>
      </c>
      <c r="G16" s="91"/>
      <c r="H16" s="92"/>
      <c r="I16" s="68">
        <f t="shared" si="0"/>
        <v>0</v>
      </c>
      <c r="J16" s="91"/>
      <c r="K16" s="92"/>
      <c r="L16" s="68">
        <f t="shared" si="1"/>
        <v>0</v>
      </c>
      <c r="M16" s="69"/>
      <c r="N16" s="70"/>
      <c r="O16" s="68">
        <f t="shared" si="2"/>
        <v>0</v>
      </c>
      <c r="P16" s="69"/>
      <c r="Q16" s="70"/>
      <c r="R16" s="68">
        <f t="shared" si="3"/>
        <v>0</v>
      </c>
      <c r="S16" s="69"/>
      <c r="T16" s="70"/>
      <c r="U16" s="68">
        <f t="shared" si="4"/>
        <v>0</v>
      </c>
      <c r="V16" s="69"/>
      <c r="W16" s="70"/>
      <c r="X16" s="68">
        <f t="shared" si="5"/>
        <v>0</v>
      </c>
      <c r="Y16" s="69"/>
      <c r="Z16" s="70"/>
      <c r="AA16" s="68">
        <f t="shared" si="6"/>
        <v>0</v>
      </c>
      <c r="AB16" s="69"/>
      <c r="AC16" s="70"/>
      <c r="AD16" s="68">
        <f t="shared" si="7"/>
        <v>0</v>
      </c>
      <c r="AE16" s="69"/>
      <c r="AF16" s="70"/>
      <c r="AG16" s="68">
        <f t="shared" si="8"/>
        <v>0</v>
      </c>
      <c r="AH16" s="69"/>
      <c r="AI16" s="70"/>
      <c r="AJ16" s="68">
        <f t="shared" si="9"/>
        <v>0</v>
      </c>
      <c r="AK16" s="69"/>
      <c r="AL16" s="70"/>
      <c r="AM16" s="68">
        <f t="shared" si="10"/>
        <v>0</v>
      </c>
      <c r="AN16" s="69"/>
      <c r="AO16" s="70"/>
      <c r="AP16" s="66">
        <f t="shared" si="11"/>
        <v>71</v>
      </c>
      <c r="AQ16" s="8">
        <f t="shared" si="12"/>
        <v>5.9663865546218491E-2</v>
      </c>
    </row>
    <row r="17" spans="1:43" ht="18" customHeight="1" x14ac:dyDescent="0.15">
      <c r="A17" s="6"/>
      <c r="B17" s="12" t="s">
        <v>182</v>
      </c>
      <c r="C17" s="95">
        <v>873</v>
      </c>
      <c r="D17" s="80">
        <v>210</v>
      </c>
      <c r="E17" s="97">
        <v>845</v>
      </c>
      <c r="F17" s="68">
        <v>219</v>
      </c>
      <c r="G17" s="91"/>
      <c r="H17" s="92"/>
      <c r="I17" s="68">
        <f t="shared" si="0"/>
        <v>0</v>
      </c>
      <c r="J17" s="91"/>
      <c r="K17" s="92"/>
      <c r="L17" s="68">
        <f t="shared" si="1"/>
        <v>0</v>
      </c>
      <c r="M17" s="69"/>
      <c r="N17" s="70"/>
      <c r="O17" s="68">
        <f t="shared" si="2"/>
        <v>0</v>
      </c>
      <c r="P17" s="69"/>
      <c r="Q17" s="70"/>
      <c r="R17" s="68">
        <f t="shared" si="3"/>
        <v>0</v>
      </c>
      <c r="S17" s="69"/>
      <c r="T17" s="70"/>
      <c r="U17" s="68">
        <f t="shared" si="4"/>
        <v>0</v>
      </c>
      <c r="V17" s="69"/>
      <c r="W17" s="70"/>
      <c r="X17" s="68">
        <f t="shared" si="5"/>
        <v>0</v>
      </c>
      <c r="Y17" s="69"/>
      <c r="Z17" s="70"/>
      <c r="AA17" s="68">
        <f t="shared" si="6"/>
        <v>0</v>
      </c>
      <c r="AB17" s="69"/>
      <c r="AC17" s="70"/>
      <c r="AD17" s="68">
        <f t="shared" si="7"/>
        <v>0</v>
      </c>
      <c r="AE17" s="69"/>
      <c r="AF17" s="70"/>
      <c r="AG17" s="68">
        <f t="shared" si="8"/>
        <v>0</v>
      </c>
      <c r="AH17" s="69"/>
      <c r="AI17" s="70"/>
      <c r="AJ17" s="68">
        <f t="shared" si="9"/>
        <v>0</v>
      </c>
      <c r="AK17" s="69"/>
      <c r="AL17" s="70"/>
      <c r="AM17" s="68">
        <f t="shared" si="10"/>
        <v>0</v>
      </c>
      <c r="AN17" s="69"/>
      <c r="AO17" s="70"/>
      <c r="AP17" s="66">
        <f t="shared" si="11"/>
        <v>219</v>
      </c>
      <c r="AQ17" s="8">
        <f t="shared" si="12"/>
        <v>0.25917159763313607</v>
      </c>
    </row>
    <row r="18" spans="1:43" ht="18" customHeight="1" x14ac:dyDescent="0.15">
      <c r="A18" s="6"/>
      <c r="B18" s="88" t="s">
        <v>189</v>
      </c>
      <c r="C18" s="95">
        <v>1532</v>
      </c>
      <c r="D18" s="80">
        <v>260</v>
      </c>
      <c r="E18" s="97">
        <v>1470</v>
      </c>
      <c r="F18" s="68">
        <v>235</v>
      </c>
      <c r="G18" s="91"/>
      <c r="H18" s="92"/>
      <c r="I18" s="68">
        <f t="shared" ref="I18:I31" si="13">J18+K18</f>
        <v>0</v>
      </c>
      <c r="J18" s="91"/>
      <c r="K18" s="92"/>
      <c r="L18" s="68">
        <f t="shared" ref="L18:L31" si="14">M18+N18</f>
        <v>0</v>
      </c>
      <c r="M18" s="69"/>
      <c r="N18" s="70"/>
      <c r="O18" s="68">
        <f t="shared" ref="O18:O31" si="15">P18+Q18</f>
        <v>0</v>
      </c>
      <c r="P18" s="69"/>
      <c r="Q18" s="70"/>
      <c r="R18" s="68">
        <f t="shared" ref="R18:R31" si="16">S18+T18</f>
        <v>0</v>
      </c>
      <c r="S18" s="69"/>
      <c r="T18" s="70"/>
      <c r="U18" s="68">
        <f t="shared" ref="U18:U31" si="17">V18+W18</f>
        <v>0</v>
      </c>
      <c r="V18" s="69"/>
      <c r="W18" s="70"/>
      <c r="X18" s="68">
        <f t="shared" ref="X18:X31" si="18">Y18+Z18</f>
        <v>0</v>
      </c>
      <c r="Y18" s="69"/>
      <c r="Z18" s="70"/>
      <c r="AA18" s="68">
        <f t="shared" ref="AA18:AA31" si="19">AB18+AC18</f>
        <v>0</v>
      </c>
      <c r="AB18" s="69"/>
      <c r="AC18" s="70"/>
      <c r="AD18" s="68">
        <f t="shared" ref="AD18:AD31" si="20">AE18+AF18</f>
        <v>0</v>
      </c>
      <c r="AE18" s="69"/>
      <c r="AF18" s="70"/>
      <c r="AG18" s="68">
        <f t="shared" ref="AG18:AG31" si="21">AH18+AI18</f>
        <v>0</v>
      </c>
      <c r="AH18" s="69"/>
      <c r="AI18" s="70"/>
      <c r="AJ18" s="68">
        <f t="shared" ref="AJ18:AJ31" si="22">AK18+AL18</f>
        <v>0</v>
      </c>
      <c r="AK18" s="69"/>
      <c r="AL18" s="70"/>
      <c r="AM18" s="68">
        <f t="shared" ref="AM18:AM31" si="23">AN18+AO18</f>
        <v>0</v>
      </c>
      <c r="AN18" s="69"/>
      <c r="AO18" s="70"/>
      <c r="AP18" s="66">
        <f t="shared" ref="AP18:AP31" si="24">F18+L18+R18+X18+AD18+AJ18</f>
        <v>235</v>
      </c>
      <c r="AQ18" s="20">
        <f t="shared" ref="AQ18:AQ32" si="25">AP18/E18</f>
        <v>0.1598639455782313</v>
      </c>
    </row>
    <row r="19" spans="1:43" ht="18" customHeight="1" x14ac:dyDescent="0.15">
      <c r="A19" s="6"/>
      <c r="B19" s="12" t="s">
        <v>181</v>
      </c>
      <c r="C19" s="95">
        <v>180</v>
      </c>
      <c r="D19" s="80">
        <v>160</v>
      </c>
      <c r="E19" s="97">
        <v>160</v>
      </c>
      <c r="F19" s="68">
        <v>112</v>
      </c>
      <c r="G19" s="91"/>
      <c r="H19" s="92"/>
      <c r="I19" s="68">
        <f t="shared" si="13"/>
        <v>0</v>
      </c>
      <c r="J19" s="91"/>
      <c r="K19" s="92"/>
      <c r="L19" s="68">
        <f t="shared" si="14"/>
        <v>0</v>
      </c>
      <c r="M19" s="69"/>
      <c r="N19" s="70"/>
      <c r="O19" s="68">
        <f t="shared" si="15"/>
        <v>0</v>
      </c>
      <c r="P19" s="69"/>
      <c r="Q19" s="70"/>
      <c r="R19" s="68">
        <f t="shared" si="16"/>
        <v>0</v>
      </c>
      <c r="S19" s="69"/>
      <c r="T19" s="70"/>
      <c r="U19" s="68">
        <f t="shared" si="17"/>
        <v>0</v>
      </c>
      <c r="V19" s="69"/>
      <c r="W19" s="70"/>
      <c r="X19" s="68">
        <f t="shared" si="18"/>
        <v>0</v>
      </c>
      <c r="Y19" s="69"/>
      <c r="Z19" s="70"/>
      <c r="AA19" s="68">
        <f t="shared" si="19"/>
        <v>0</v>
      </c>
      <c r="AB19" s="69"/>
      <c r="AC19" s="70"/>
      <c r="AD19" s="68">
        <f t="shared" si="20"/>
        <v>0</v>
      </c>
      <c r="AE19" s="69"/>
      <c r="AF19" s="70"/>
      <c r="AG19" s="68">
        <f t="shared" si="21"/>
        <v>0</v>
      </c>
      <c r="AH19" s="69"/>
      <c r="AI19" s="70"/>
      <c r="AJ19" s="68">
        <f t="shared" si="22"/>
        <v>0</v>
      </c>
      <c r="AK19" s="69"/>
      <c r="AL19" s="70"/>
      <c r="AM19" s="68">
        <f t="shared" si="23"/>
        <v>0</v>
      </c>
      <c r="AN19" s="69"/>
      <c r="AO19" s="70"/>
      <c r="AP19" s="66">
        <f t="shared" si="24"/>
        <v>112</v>
      </c>
      <c r="AQ19" s="8">
        <f t="shared" si="25"/>
        <v>0.7</v>
      </c>
    </row>
    <row r="20" spans="1:43" ht="18" customHeight="1" x14ac:dyDescent="0.15">
      <c r="A20" s="6"/>
      <c r="B20" s="12" t="s">
        <v>187</v>
      </c>
      <c r="C20" s="95">
        <v>724</v>
      </c>
      <c r="D20" s="80">
        <v>125</v>
      </c>
      <c r="E20" s="97">
        <v>750</v>
      </c>
      <c r="F20" s="68">
        <v>89</v>
      </c>
      <c r="G20" s="91"/>
      <c r="H20" s="92"/>
      <c r="I20" s="68">
        <f t="shared" si="13"/>
        <v>0</v>
      </c>
      <c r="J20" s="91"/>
      <c r="K20" s="92"/>
      <c r="L20" s="68">
        <f t="shared" si="14"/>
        <v>0</v>
      </c>
      <c r="M20" s="69"/>
      <c r="N20" s="70"/>
      <c r="O20" s="68">
        <f t="shared" si="15"/>
        <v>0</v>
      </c>
      <c r="P20" s="69"/>
      <c r="Q20" s="70"/>
      <c r="R20" s="68">
        <f t="shared" si="16"/>
        <v>0</v>
      </c>
      <c r="S20" s="69"/>
      <c r="T20" s="70"/>
      <c r="U20" s="68">
        <f t="shared" si="17"/>
        <v>0</v>
      </c>
      <c r="V20" s="69"/>
      <c r="W20" s="70"/>
      <c r="X20" s="68">
        <f t="shared" si="18"/>
        <v>0</v>
      </c>
      <c r="Y20" s="69"/>
      <c r="Z20" s="70"/>
      <c r="AA20" s="68">
        <f t="shared" si="19"/>
        <v>0</v>
      </c>
      <c r="AB20" s="69"/>
      <c r="AC20" s="70"/>
      <c r="AD20" s="68">
        <f t="shared" si="20"/>
        <v>0</v>
      </c>
      <c r="AE20" s="69"/>
      <c r="AF20" s="70"/>
      <c r="AG20" s="68">
        <f t="shared" si="21"/>
        <v>0</v>
      </c>
      <c r="AH20" s="69"/>
      <c r="AI20" s="70"/>
      <c r="AJ20" s="68">
        <f t="shared" si="22"/>
        <v>0</v>
      </c>
      <c r="AK20" s="69"/>
      <c r="AL20" s="70"/>
      <c r="AM20" s="68">
        <f t="shared" si="23"/>
        <v>0</v>
      </c>
      <c r="AN20" s="69"/>
      <c r="AO20" s="70"/>
      <c r="AP20" s="66">
        <f t="shared" si="24"/>
        <v>89</v>
      </c>
      <c r="AQ20" s="8">
        <f t="shared" si="25"/>
        <v>0.11866666666666667</v>
      </c>
    </row>
    <row r="21" spans="1:43" ht="18" customHeight="1" x14ac:dyDescent="0.15">
      <c r="A21" s="6"/>
      <c r="B21" s="12" t="s">
        <v>188</v>
      </c>
      <c r="C21" s="95">
        <v>874</v>
      </c>
      <c r="D21" s="80">
        <v>145</v>
      </c>
      <c r="E21" s="97">
        <v>870</v>
      </c>
      <c r="F21" s="68">
        <v>166</v>
      </c>
      <c r="G21" s="91"/>
      <c r="H21" s="92"/>
      <c r="I21" s="68">
        <f t="shared" si="13"/>
        <v>0</v>
      </c>
      <c r="J21" s="91"/>
      <c r="K21" s="92"/>
      <c r="L21" s="68">
        <f t="shared" si="14"/>
        <v>0</v>
      </c>
      <c r="M21" s="69"/>
      <c r="N21" s="70"/>
      <c r="O21" s="68">
        <f t="shared" si="15"/>
        <v>0</v>
      </c>
      <c r="P21" s="69"/>
      <c r="Q21" s="70"/>
      <c r="R21" s="68">
        <f t="shared" si="16"/>
        <v>0</v>
      </c>
      <c r="S21" s="69"/>
      <c r="T21" s="70"/>
      <c r="U21" s="68">
        <f t="shared" si="17"/>
        <v>0</v>
      </c>
      <c r="V21" s="69"/>
      <c r="W21" s="70"/>
      <c r="X21" s="68">
        <f t="shared" si="18"/>
        <v>0</v>
      </c>
      <c r="Y21" s="69"/>
      <c r="Z21" s="70"/>
      <c r="AA21" s="68">
        <f t="shared" si="19"/>
        <v>0</v>
      </c>
      <c r="AB21" s="69"/>
      <c r="AC21" s="70"/>
      <c r="AD21" s="68">
        <f t="shared" si="20"/>
        <v>0</v>
      </c>
      <c r="AE21" s="69"/>
      <c r="AF21" s="70"/>
      <c r="AG21" s="68">
        <f t="shared" si="21"/>
        <v>0</v>
      </c>
      <c r="AH21" s="69"/>
      <c r="AI21" s="70"/>
      <c r="AJ21" s="68">
        <f t="shared" si="22"/>
        <v>0</v>
      </c>
      <c r="AK21" s="69"/>
      <c r="AL21" s="70"/>
      <c r="AM21" s="68">
        <f t="shared" si="23"/>
        <v>0</v>
      </c>
      <c r="AN21" s="69"/>
      <c r="AO21" s="70"/>
      <c r="AP21" s="66">
        <f t="shared" si="24"/>
        <v>166</v>
      </c>
      <c r="AQ21" s="8">
        <f t="shared" si="25"/>
        <v>0.19080459770114944</v>
      </c>
    </row>
    <row r="22" spans="1:43" ht="18" customHeight="1" x14ac:dyDescent="0.15">
      <c r="A22" s="6"/>
      <c r="B22" s="12"/>
      <c r="C22" s="65"/>
      <c r="D22" s="66"/>
      <c r="E22" s="67"/>
      <c r="F22" s="68">
        <f t="shared" ref="F22:F31" si="26">G22+H22</f>
        <v>0</v>
      </c>
      <c r="G22" s="69"/>
      <c r="H22" s="70"/>
      <c r="I22" s="68">
        <f t="shared" si="13"/>
        <v>0</v>
      </c>
      <c r="J22" s="69"/>
      <c r="K22" s="70"/>
      <c r="L22" s="68">
        <f t="shared" si="14"/>
        <v>0</v>
      </c>
      <c r="M22" s="69"/>
      <c r="N22" s="70"/>
      <c r="O22" s="68">
        <f t="shared" si="15"/>
        <v>0</v>
      </c>
      <c r="P22" s="69"/>
      <c r="Q22" s="70"/>
      <c r="R22" s="68">
        <f t="shared" si="16"/>
        <v>0</v>
      </c>
      <c r="S22" s="69"/>
      <c r="T22" s="70"/>
      <c r="U22" s="68">
        <f t="shared" si="17"/>
        <v>0</v>
      </c>
      <c r="V22" s="69"/>
      <c r="W22" s="70"/>
      <c r="X22" s="68">
        <f t="shared" si="18"/>
        <v>0</v>
      </c>
      <c r="Y22" s="69"/>
      <c r="Z22" s="70"/>
      <c r="AA22" s="68">
        <f t="shared" si="19"/>
        <v>0</v>
      </c>
      <c r="AB22" s="69"/>
      <c r="AC22" s="70"/>
      <c r="AD22" s="68">
        <f t="shared" si="20"/>
        <v>0</v>
      </c>
      <c r="AE22" s="69"/>
      <c r="AF22" s="70"/>
      <c r="AG22" s="68">
        <f t="shared" si="21"/>
        <v>0</v>
      </c>
      <c r="AH22" s="69"/>
      <c r="AI22" s="70"/>
      <c r="AJ22" s="68">
        <f t="shared" si="22"/>
        <v>0</v>
      </c>
      <c r="AK22" s="69"/>
      <c r="AL22" s="70"/>
      <c r="AM22" s="68">
        <f t="shared" si="23"/>
        <v>0</v>
      </c>
      <c r="AN22" s="69"/>
      <c r="AO22" s="70"/>
      <c r="AP22" s="66">
        <f t="shared" si="24"/>
        <v>0</v>
      </c>
      <c r="AQ22" s="8" t="e">
        <f t="shared" si="25"/>
        <v>#DIV/0!</v>
      </c>
    </row>
    <row r="23" spans="1:43" ht="18" customHeight="1" x14ac:dyDescent="0.15">
      <c r="A23" s="6"/>
      <c r="B23" s="12"/>
      <c r="C23" s="65"/>
      <c r="D23" s="66"/>
      <c r="E23" s="67"/>
      <c r="F23" s="68">
        <f t="shared" si="26"/>
        <v>0</v>
      </c>
      <c r="G23" s="69"/>
      <c r="H23" s="70"/>
      <c r="I23" s="68">
        <f t="shared" si="13"/>
        <v>0</v>
      </c>
      <c r="J23" s="69"/>
      <c r="K23" s="70"/>
      <c r="L23" s="68">
        <f t="shared" si="14"/>
        <v>0</v>
      </c>
      <c r="M23" s="69"/>
      <c r="N23" s="70"/>
      <c r="O23" s="68">
        <f t="shared" si="15"/>
        <v>0</v>
      </c>
      <c r="P23" s="69"/>
      <c r="Q23" s="70"/>
      <c r="R23" s="68">
        <f t="shared" si="16"/>
        <v>0</v>
      </c>
      <c r="S23" s="69"/>
      <c r="T23" s="70"/>
      <c r="U23" s="68">
        <f t="shared" si="17"/>
        <v>0</v>
      </c>
      <c r="V23" s="69"/>
      <c r="W23" s="70"/>
      <c r="X23" s="68">
        <f t="shared" si="18"/>
        <v>0</v>
      </c>
      <c r="Y23" s="69"/>
      <c r="Z23" s="70"/>
      <c r="AA23" s="68">
        <f t="shared" si="19"/>
        <v>0</v>
      </c>
      <c r="AB23" s="69"/>
      <c r="AC23" s="70"/>
      <c r="AD23" s="68">
        <f t="shared" si="20"/>
        <v>0</v>
      </c>
      <c r="AE23" s="69"/>
      <c r="AF23" s="70"/>
      <c r="AG23" s="68">
        <f t="shared" si="21"/>
        <v>0</v>
      </c>
      <c r="AH23" s="69"/>
      <c r="AI23" s="70"/>
      <c r="AJ23" s="68">
        <f t="shared" si="22"/>
        <v>0</v>
      </c>
      <c r="AK23" s="69"/>
      <c r="AL23" s="70"/>
      <c r="AM23" s="68">
        <f t="shared" si="23"/>
        <v>0</v>
      </c>
      <c r="AN23" s="69"/>
      <c r="AO23" s="70"/>
      <c r="AP23" s="66">
        <f t="shared" si="24"/>
        <v>0</v>
      </c>
      <c r="AQ23" s="8" t="e">
        <f t="shared" si="25"/>
        <v>#DIV/0!</v>
      </c>
    </row>
    <row r="24" spans="1:43" ht="18" customHeight="1" x14ac:dyDescent="0.15">
      <c r="A24" s="6"/>
      <c r="B24" s="12"/>
      <c r="C24" s="65"/>
      <c r="D24" s="66"/>
      <c r="E24" s="67"/>
      <c r="F24" s="68">
        <f t="shared" si="26"/>
        <v>0</v>
      </c>
      <c r="G24" s="69"/>
      <c r="H24" s="70"/>
      <c r="I24" s="68">
        <f t="shared" si="13"/>
        <v>0</v>
      </c>
      <c r="J24" s="69"/>
      <c r="K24" s="70"/>
      <c r="L24" s="68">
        <f t="shared" si="14"/>
        <v>0</v>
      </c>
      <c r="M24" s="69"/>
      <c r="N24" s="70"/>
      <c r="O24" s="68">
        <f t="shared" si="15"/>
        <v>0</v>
      </c>
      <c r="P24" s="69"/>
      <c r="Q24" s="70"/>
      <c r="R24" s="68">
        <f t="shared" si="16"/>
        <v>0</v>
      </c>
      <c r="S24" s="69"/>
      <c r="T24" s="70"/>
      <c r="U24" s="68">
        <f t="shared" si="17"/>
        <v>0</v>
      </c>
      <c r="V24" s="69"/>
      <c r="W24" s="70"/>
      <c r="X24" s="68">
        <f t="shared" si="18"/>
        <v>0</v>
      </c>
      <c r="Y24" s="69"/>
      <c r="Z24" s="70"/>
      <c r="AA24" s="68">
        <f t="shared" si="19"/>
        <v>0</v>
      </c>
      <c r="AB24" s="69"/>
      <c r="AC24" s="70"/>
      <c r="AD24" s="68">
        <f t="shared" si="20"/>
        <v>0</v>
      </c>
      <c r="AE24" s="69"/>
      <c r="AF24" s="70"/>
      <c r="AG24" s="68">
        <f t="shared" si="21"/>
        <v>0</v>
      </c>
      <c r="AH24" s="69"/>
      <c r="AI24" s="70"/>
      <c r="AJ24" s="68">
        <f t="shared" si="22"/>
        <v>0</v>
      </c>
      <c r="AK24" s="69"/>
      <c r="AL24" s="70"/>
      <c r="AM24" s="68">
        <f t="shared" si="23"/>
        <v>0</v>
      </c>
      <c r="AN24" s="69"/>
      <c r="AO24" s="70"/>
      <c r="AP24" s="66">
        <f t="shared" si="24"/>
        <v>0</v>
      </c>
      <c r="AQ24" s="8" t="e">
        <f t="shared" si="25"/>
        <v>#DIV/0!</v>
      </c>
    </row>
    <row r="25" spans="1:43" ht="18" customHeight="1" x14ac:dyDescent="0.15">
      <c r="A25" s="6"/>
      <c r="B25" s="12"/>
      <c r="C25" s="65"/>
      <c r="D25" s="66"/>
      <c r="E25" s="67"/>
      <c r="F25" s="68">
        <f t="shared" si="26"/>
        <v>0</v>
      </c>
      <c r="G25" s="69"/>
      <c r="H25" s="70"/>
      <c r="I25" s="68">
        <f t="shared" si="13"/>
        <v>0</v>
      </c>
      <c r="J25" s="69"/>
      <c r="K25" s="70"/>
      <c r="L25" s="68">
        <f t="shared" si="14"/>
        <v>0</v>
      </c>
      <c r="M25" s="69"/>
      <c r="N25" s="70"/>
      <c r="O25" s="68">
        <f t="shared" si="15"/>
        <v>0</v>
      </c>
      <c r="P25" s="69"/>
      <c r="Q25" s="70"/>
      <c r="R25" s="68">
        <f t="shared" si="16"/>
        <v>0</v>
      </c>
      <c r="S25" s="69"/>
      <c r="T25" s="70"/>
      <c r="U25" s="68">
        <f t="shared" si="17"/>
        <v>0</v>
      </c>
      <c r="V25" s="69"/>
      <c r="W25" s="70"/>
      <c r="X25" s="68">
        <f t="shared" si="18"/>
        <v>0</v>
      </c>
      <c r="Y25" s="69"/>
      <c r="Z25" s="70"/>
      <c r="AA25" s="68">
        <f t="shared" si="19"/>
        <v>0</v>
      </c>
      <c r="AB25" s="69"/>
      <c r="AC25" s="70"/>
      <c r="AD25" s="68">
        <f t="shared" si="20"/>
        <v>0</v>
      </c>
      <c r="AE25" s="69"/>
      <c r="AF25" s="70"/>
      <c r="AG25" s="68">
        <f t="shared" si="21"/>
        <v>0</v>
      </c>
      <c r="AH25" s="69"/>
      <c r="AI25" s="70"/>
      <c r="AJ25" s="68">
        <f t="shared" si="22"/>
        <v>0</v>
      </c>
      <c r="AK25" s="69"/>
      <c r="AL25" s="70"/>
      <c r="AM25" s="68">
        <f t="shared" si="23"/>
        <v>0</v>
      </c>
      <c r="AN25" s="69"/>
      <c r="AO25" s="70"/>
      <c r="AP25" s="66">
        <f t="shared" si="24"/>
        <v>0</v>
      </c>
      <c r="AQ25" s="8" t="e">
        <f t="shared" si="25"/>
        <v>#DIV/0!</v>
      </c>
    </row>
    <row r="26" spans="1:43" ht="18" customHeight="1" x14ac:dyDescent="0.15">
      <c r="A26" s="6"/>
      <c r="B26" s="12"/>
      <c r="C26" s="65"/>
      <c r="D26" s="66"/>
      <c r="E26" s="67"/>
      <c r="F26" s="68">
        <f t="shared" si="26"/>
        <v>0</v>
      </c>
      <c r="G26" s="69"/>
      <c r="H26" s="70"/>
      <c r="I26" s="68">
        <f t="shared" si="13"/>
        <v>0</v>
      </c>
      <c r="J26" s="69"/>
      <c r="K26" s="70"/>
      <c r="L26" s="68">
        <f t="shared" si="14"/>
        <v>0</v>
      </c>
      <c r="M26" s="69"/>
      <c r="N26" s="70"/>
      <c r="O26" s="68">
        <f t="shared" si="15"/>
        <v>0</v>
      </c>
      <c r="P26" s="69"/>
      <c r="Q26" s="70"/>
      <c r="R26" s="68">
        <f t="shared" si="16"/>
        <v>0</v>
      </c>
      <c r="S26" s="69"/>
      <c r="T26" s="70"/>
      <c r="U26" s="68">
        <f t="shared" si="17"/>
        <v>0</v>
      </c>
      <c r="V26" s="69"/>
      <c r="W26" s="70"/>
      <c r="X26" s="68">
        <f t="shared" si="18"/>
        <v>0</v>
      </c>
      <c r="Y26" s="69"/>
      <c r="Z26" s="70"/>
      <c r="AA26" s="68">
        <f t="shared" si="19"/>
        <v>0</v>
      </c>
      <c r="AB26" s="69"/>
      <c r="AC26" s="70"/>
      <c r="AD26" s="68">
        <f t="shared" si="20"/>
        <v>0</v>
      </c>
      <c r="AE26" s="69"/>
      <c r="AF26" s="70"/>
      <c r="AG26" s="68">
        <f t="shared" si="21"/>
        <v>0</v>
      </c>
      <c r="AH26" s="69"/>
      <c r="AI26" s="70"/>
      <c r="AJ26" s="68">
        <f t="shared" si="22"/>
        <v>0</v>
      </c>
      <c r="AK26" s="69"/>
      <c r="AL26" s="70"/>
      <c r="AM26" s="68">
        <f t="shared" si="23"/>
        <v>0</v>
      </c>
      <c r="AN26" s="69"/>
      <c r="AO26" s="70"/>
      <c r="AP26" s="66">
        <f t="shared" si="24"/>
        <v>0</v>
      </c>
      <c r="AQ26" s="8" t="e">
        <f t="shared" si="25"/>
        <v>#DIV/0!</v>
      </c>
    </row>
    <row r="27" spans="1:43" ht="18" customHeight="1" x14ac:dyDescent="0.15">
      <c r="A27" s="6"/>
      <c r="B27" s="12"/>
      <c r="C27" s="65"/>
      <c r="D27" s="66"/>
      <c r="E27" s="67"/>
      <c r="F27" s="68">
        <f t="shared" si="26"/>
        <v>0</v>
      </c>
      <c r="G27" s="69"/>
      <c r="H27" s="70"/>
      <c r="I27" s="68">
        <f t="shared" si="13"/>
        <v>0</v>
      </c>
      <c r="J27" s="69"/>
      <c r="K27" s="70"/>
      <c r="L27" s="68">
        <f t="shared" si="14"/>
        <v>0</v>
      </c>
      <c r="M27" s="69"/>
      <c r="N27" s="70"/>
      <c r="O27" s="68">
        <f t="shared" si="15"/>
        <v>0</v>
      </c>
      <c r="P27" s="69"/>
      <c r="Q27" s="70"/>
      <c r="R27" s="68">
        <f t="shared" si="16"/>
        <v>0</v>
      </c>
      <c r="S27" s="69"/>
      <c r="T27" s="70"/>
      <c r="U27" s="68">
        <f t="shared" si="17"/>
        <v>0</v>
      </c>
      <c r="V27" s="69"/>
      <c r="W27" s="70"/>
      <c r="X27" s="68">
        <f t="shared" si="18"/>
        <v>0</v>
      </c>
      <c r="Y27" s="69"/>
      <c r="Z27" s="70"/>
      <c r="AA27" s="68">
        <f t="shared" si="19"/>
        <v>0</v>
      </c>
      <c r="AB27" s="69"/>
      <c r="AC27" s="70"/>
      <c r="AD27" s="68">
        <f t="shared" si="20"/>
        <v>0</v>
      </c>
      <c r="AE27" s="69"/>
      <c r="AF27" s="70"/>
      <c r="AG27" s="68">
        <f t="shared" si="21"/>
        <v>0</v>
      </c>
      <c r="AH27" s="69"/>
      <c r="AI27" s="70"/>
      <c r="AJ27" s="68">
        <f t="shared" si="22"/>
        <v>0</v>
      </c>
      <c r="AK27" s="69"/>
      <c r="AL27" s="70"/>
      <c r="AM27" s="68">
        <f t="shared" si="23"/>
        <v>0</v>
      </c>
      <c r="AN27" s="69"/>
      <c r="AO27" s="70"/>
      <c r="AP27" s="66">
        <f t="shared" si="24"/>
        <v>0</v>
      </c>
      <c r="AQ27" s="8" t="e">
        <f t="shared" si="25"/>
        <v>#DIV/0!</v>
      </c>
    </row>
    <row r="28" spans="1:43" ht="18" customHeight="1" x14ac:dyDescent="0.15">
      <c r="A28" s="6"/>
      <c r="B28" s="12"/>
      <c r="C28" s="65"/>
      <c r="D28" s="66"/>
      <c r="E28" s="67"/>
      <c r="F28" s="68">
        <f t="shared" si="26"/>
        <v>0</v>
      </c>
      <c r="G28" s="69"/>
      <c r="H28" s="70"/>
      <c r="I28" s="68">
        <f t="shared" si="13"/>
        <v>0</v>
      </c>
      <c r="J28" s="69"/>
      <c r="K28" s="70"/>
      <c r="L28" s="68">
        <f t="shared" si="14"/>
        <v>0</v>
      </c>
      <c r="M28" s="69"/>
      <c r="N28" s="70"/>
      <c r="O28" s="68">
        <f t="shared" si="15"/>
        <v>0</v>
      </c>
      <c r="P28" s="69"/>
      <c r="Q28" s="70"/>
      <c r="R28" s="68">
        <f t="shared" si="16"/>
        <v>0</v>
      </c>
      <c r="S28" s="69"/>
      <c r="T28" s="70"/>
      <c r="U28" s="68">
        <f t="shared" si="17"/>
        <v>0</v>
      </c>
      <c r="V28" s="69"/>
      <c r="W28" s="70"/>
      <c r="X28" s="68">
        <f t="shared" si="18"/>
        <v>0</v>
      </c>
      <c r="Y28" s="69"/>
      <c r="Z28" s="70"/>
      <c r="AA28" s="68">
        <f t="shared" si="19"/>
        <v>0</v>
      </c>
      <c r="AB28" s="69"/>
      <c r="AC28" s="70"/>
      <c r="AD28" s="68">
        <f t="shared" si="20"/>
        <v>0</v>
      </c>
      <c r="AE28" s="69"/>
      <c r="AF28" s="70"/>
      <c r="AG28" s="68">
        <f t="shared" si="21"/>
        <v>0</v>
      </c>
      <c r="AH28" s="69"/>
      <c r="AI28" s="70"/>
      <c r="AJ28" s="68">
        <f t="shared" si="22"/>
        <v>0</v>
      </c>
      <c r="AK28" s="69"/>
      <c r="AL28" s="70"/>
      <c r="AM28" s="68">
        <f t="shared" si="23"/>
        <v>0</v>
      </c>
      <c r="AN28" s="69"/>
      <c r="AO28" s="70"/>
      <c r="AP28" s="66">
        <f t="shared" si="24"/>
        <v>0</v>
      </c>
      <c r="AQ28" s="8" t="e">
        <f t="shared" si="25"/>
        <v>#DIV/0!</v>
      </c>
    </row>
    <row r="29" spans="1:43" ht="18" customHeight="1" x14ac:dyDescent="0.15">
      <c r="A29" s="6"/>
      <c r="B29" s="12"/>
      <c r="C29" s="65"/>
      <c r="D29" s="71"/>
      <c r="E29" s="67"/>
      <c r="F29" s="68">
        <f t="shared" si="26"/>
        <v>0</v>
      </c>
      <c r="G29" s="69"/>
      <c r="H29" s="70"/>
      <c r="I29" s="68">
        <f t="shared" si="13"/>
        <v>0</v>
      </c>
      <c r="J29" s="69"/>
      <c r="K29" s="70"/>
      <c r="L29" s="68">
        <f t="shared" si="14"/>
        <v>0</v>
      </c>
      <c r="M29" s="69"/>
      <c r="N29" s="70"/>
      <c r="O29" s="68">
        <f t="shared" si="15"/>
        <v>0</v>
      </c>
      <c r="P29" s="69"/>
      <c r="Q29" s="70"/>
      <c r="R29" s="68">
        <f t="shared" si="16"/>
        <v>0</v>
      </c>
      <c r="S29" s="69"/>
      <c r="T29" s="70"/>
      <c r="U29" s="68">
        <f t="shared" si="17"/>
        <v>0</v>
      </c>
      <c r="V29" s="69"/>
      <c r="W29" s="70"/>
      <c r="X29" s="68">
        <f t="shared" si="18"/>
        <v>0</v>
      </c>
      <c r="Y29" s="69"/>
      <c r="Z29" s="70"/>
      <c r="AA29" s="68">
        <f t="shared" si="19"/>
        <v>0</v>
      </c>
      <c r="AB29" s="69"/>
      <c r="AC29" s="70"/>
      <c r="AD29" s="68">
        <f t="shared" si="20"/>
        <v>0</v>
      </c>
      <c r="AE29" s="69"/>
      <c r="AF29" s="70"/>
      <c r="AG29" s="68">
        <f t="shared" si="21"/>
        <v>0</v>
      </c>
      <c r="AH29" s="69"/>
      <c r="AI29" s="70"/>
      <c r="AJ29" s="68">
        <f t="shared" si="22"/>
        <v>0</v>
      </c>
      <c r="AK29" s="69"/>
      <c r="AL29" s="70"/>
      <c r="AM29" s="68">
        <f t="shared" si="23"/>
        <v>0</v>
      </c>
      <c r="AN29" s="69"/>
      <c r="AO29" s="70"/>
      <c r="AP29" s="71">
        <f t="shared" si="24"/>
        <v>0</v>
      </c>
      <c r="AQ29" s="8" t="e">
        <f t="shared" si="25"/>
        <v>#DIV/0!</v>
      </c>
    </row>
    <row r="30" spans="1:43" ht="18" customHeight="1" x14ac:dyDescent="0.15">
      <c r="A30" s="6"/>
      <c r="B30" s="12"/>
      <c r="C30" s="65"/>
      <c r="D30" s="71"/>
      <c r="E30" s="67"/>
      <c r="F30" s="68">
        <f t="shared" si="26"/>
        <v>0</v>
      </c>
      <c r="G30" s="69"/>
      <c r="H30" s="70"/>
      <c r="I30" s="68">
        <f t="shared" si="13"/>
        <v>0</v>
      </c>
      <c r="J30" s="69"/>
      <c r="K30" s="70"/>
      <c r="L30" s="68">
        <f t="shared" si="14"/>
        <v>0</v>
      </c>
      <c r="M30" s="69"/>
      <c r="N30" s="70"/>
      <c r="O30" s="68">
        <f t="shared" si="15"/>
        <v>0</v>
      </c>
      <c r="P30" s="69"/>
      <c r="Q30" s="70"/>
      <c r="R30" s="68">
        <f t="shared" si="16"/>
        <v>0</v>
      </c>
      <c r="S30" s="69"/>
      <c r="T30" s="70"/>
      <c r="U30" s="68">
        <f t="shared" si="17"/>
        <v>0</v>
      </c>
      <c r="V30" s="69"/>
      <c r="W30" s="70"/>
      <c r="X30" s="68">
        <f t="shared" si="18"/>
        <v>0</v>
      </c>
      <c r="Y30" s="69"/>
      <c r="Z30" s="70"/>
      <c r="AA30" s="68">
        <f t="shared" si="19"/>
        <v>0</v>
      </c>
      <c r="AB30" s="69"/>
      <c r="AC30" s="70"/>
      <c r="AD30" s="68">
        <f t="shared" si="20"/>
        <v>0</v>
      </c>
      <c r="AE30" s="69"/>
      <c r="AF30" s="70"/>
      <c r="AG30" s="68">
        <f t="shared" si="21"/>
        <v>0</v>
      </c>
      <c r="AH30" s="69"/>
      <c r="AI30" s="70"/>
      <c r="AJ30" s="68">
        <f t="shared" si="22"/>
        <v>0</v>
      </c>
      <c r="AK30" s="69"/>
      <c r="AL30" s="70"/>
      <c r="AM30" s="68">
        <f t="shared" si="23"/>
        <v>0</v>
      </c>
      <c r="AN30" s="69"/>
      <c r="AO30" s="70"/>
      <c r="AP30" s="71">
        <f t="shared" si="24"/>
        <v>0</v>
      </c>
      <c r="AQ30" s="8" t="e">
        <f t="shared" si="25"/>
        <v>#DIV/0!</v>
      </c>
    </row>
    <row r="31" spans="1:43" ht="18" customHeight="1" thickBot="1" x14ac:dyDescent="0.2">
      <c r="A31" s="6"/>
      <c r="B31" s="13"/>
      <c r="C31" s="60"/>
      <c r="D31" s="72"/>
      <c r="E31" s="62"/>
      <c r="F31" s="62">
        <f t="shared" si="26"/>
        <v>0</v>
      </c>
      <c r="G31" s="73"/>
      <c r="H31" s="74"/>
      <c r="I31" s="62">
        <f t="shared" si="13"/>
        <v>0</v>
      </c>
      <c r="J31" s="73"/>
      <c r="K31" s="74"/>
      <c r="L31" s="62">
        <f t="shared" si="14"/>
        <v>0</v>
      </c>
      <c r="M31" s="73"/>
      <c r="N31" s="74"/>
      <c r="O31" s="62">
        <f t="shared" si="15"/>
        <v>0</v>
      </c>
      <c r="P31" s="73"/>
      <c r="Q31" s="74"/>
      <c r="R31" s="62">
        <f t="shared" si="16"/>
        <v>0</v>
      </c>
      <c r="S31" s="73"/>
      <c r="T31" s="74"/>
      <c r="U31" s="62">
        <f t="shared" si="17"/>
        <v>0</v>
      </c>
      <c r="V31" s="73"/>
      <c r="W31" s="74"/>
      <c r="X31" s="62">
        <f t="shared" si="18"/>
        <v>0</v>
      </c>
      <c r="Y31" s="73"/>
      <c r="Z31" s="74"/>
      <c r="AA31" s="62">
        <f t="shared" si="19"/>
        <v>0</v>
      </c>
      <c r="AB31" s="73"/>
      <c r="AC31" s="74"/>
      <c r="AD31" s="62">
        <f t="shared" si="20"/>
        <v>0</v>
      </c>
      <c r="AE31" s="73"/>
      <c r="AF31" s="74"/>
      <c r="AG31" s="62">
        <f t="shared" si="21"/>
        <v>0</v>
      </c>
      <c r="AH31" s="73"/>
      <c r="AI31" s="74"/>
      <c r="AJ31" s="62">
        <f t="shared" si="22"/>
        <v>0</v>
      </c>
      <c r="AK31" s="73"/>
      <c r="AL31" s="74"/>
      <c r="AM31" s="62">
        <f t="shared" si="23"/>
        <v>0</v>
      </c>
      <c r="AN31" s="73"/>
      <c r="AO31" s="74"/>
      <c r="AP31" s="72">
        <f t="shared" si="24"/>
        <v>0</v>
      </c>
      <c r="AQ31" s="7" t="e">
        <f t="shared" si="25"/>
        <v>#DIV/0!</v>
      </c>
    </row>
    <row r="32" spans="1:43" ht="18" customHeight="1" thickTop="1" x14ac:dyDescent="0.15">
      <c r="B32" s="14" t="s">
        <v>32</v>
      </c>
      <c r="C32" s="75">
        <f t="shared" ref="C32:AI32" si="27">SUM(C12:C31)</f>
        <v>10962</v>
      </c>
      <c r="D32" s="76">
        <f t="shared" si="27"/>
        <v>2515</v>
      </c>
      <c r="E32" s="77">
        <f t="shared" si="27"/>
        <v>10605</v>
      </c>
      <c r="F32" s="77">
        <f t="shared" si="27"/>
        <v>2000</v>
      </c>
      <c r="G32" s="78">
        <f t="shared" si="27"/>
        <v>0</v>
      </c>
      <c r="H32" s="79">
        <f t="shared" si="27"/>
        <v>0</v>
      </c>
      <c r="I32" s="77">
        <f t="shared" si="27"/>
        <v>0</v>
      </c>
      <c r="J32" s="78">
        <f t="shared" si="27"/>
        <v>0</v>
      </c>
      <c r="K32" s="79">
        <f t="shared" si="27"/>
        <v>0</v>
      </c>
      <c r="L32" s="77">
        <f t="shared" si="27"/>
        <v>0</v>
      </c>
      <c r="M32" s="78">
        <f t="shared" si="27"/>
        <v>0</v>
      </c>
      <c r="N32" s="79">
        <f t="shared" si="27"/>
        <v>0</v>
      </c>
      <c r="O32" s="77">
        <f t="shared" si="27"/>
        <v>0</v>
      </c>
      <c r="P32" s="78">
        <f t="shared" si="27"/>
        <v>0</v>
      </c>
      <c r="Q32" s="79">
        <f t="shared" si="27"/>
        <v>0</v>
      </c>
      <c r="R32" s="77">
        <f t="shared" si="27"/>
        <v>0</v>
      </c>
      <c r="S32" s="78">
        <f t="shared" si="27"/>
        <v>0</v>
      </c>
      <c r="T32" s="79">
        <f t="shared" si="27"/>
        <v>0</v>
      </c>
      <c r="U32" s="77">
        <f t="shared" si="27"/>
        <v>0</v>
      </c>
      <c r="V32" s="78">
        <f t="shared" si="27"/>
        <v>0</v>
      </c>
      <c r="W32" s="79">
        <f t="shared" si="27"/>
        <v>0</v>
      </c>
      <c r="X32" s="77">
        <f t="shared" si="27"/>
        <v>0</v>
      </c>
      <c r="Y32" s="78">
        <f t="shared" si="27"/>
        <v>0</v>
      </c>
      <c r="Z32" s="79">
        <f t="shared" si="27"/>
        <v>0</v>
      </c>
      <c r="AA32" s="77">
        <f t="shared" si="27"/>
        <v>0</v>
      </c>
      <c r="AB32" s="78">
        <f t="shared" si="27"/>
        <v>0</v>
      </c>
      <c r="AC32" s="79">
        <f t="shared" si="27"/>
        <v>0</v>
      </c>
      <c r="AD32" s="77">
        <f t="shared" si="27"/>
        <v>0</v>
      </c>
      <c r="AE32" s="78">
        <f t="shared" si="27"/>
        <v>0</v>
      </c>
      <c r="AF32" s="79">
        <f t="shared" si="27"/>
        <v>0</v>
      </c>
      <c r="AG32" s="77">
        <f t="shared" si="27"/>
        <v>0</v>
      </c>
      <c r="AH32" s="78">
        <f t="shared" si="27"/>
        <v>0</v>
      </c>
      <c r="AI32" s="79">
        <f t="shared" si="27"/>
        <v>0</v>
      </c>
      <c r="AJ32" s="77">
        <f t="shared" ref="AJ32:AO32" si="28">SUM(AJ12:AJ31)</f>
        <v>0</v>
      </c>
      <c r="AK32" s="78">
        <f t="shared" si="28"/>
        <v>0</v>
      </c>
      <c r="AL32" s="79">
        <f t="shared" si="28"/>
        <v>0</v>
      </c>
      <c r="AM32" s="77">
        <f t="shared" si="28"/>
        <v>0</v>
      </c>
      <c r="AN32" s="78">
        <f t="shared" si="28"/>
        <v>0</v>
      </c>
      <c r="AO32" s="79">
        <f t="shared" si="28"/>
        <v>0</v>
      </c>
      <c r="AP32" s="76">
        <f>SUM(AP12:AP31)</f>
        <v>2000</v>
      </c>
      <c r="AQ32" s="9">
        <f t="shared" si="25"/>
        <v>0.18859028760018859</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7"/>
  <sheetViews>
    <sheetView showZeros="0" view="pageBreakPreview" zoomScale="90" zoomScaleNormal="100" zoomScaleSheetLayoutView="90" workbookViewId="0">
      <selection activeCell="B3" sqref="B3"/>
    </sheetView>
  </sheetViews>
  <sheetFormatPr defaultColWidth="11.375" defaultRowHeight="18.75" customHeight="1" x14ac:dyDescent="0.15"/>
  <cols>
    <col min="1" max="1" width="2.75" style="4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0" t="s">
        <v>64</v>
      </c>
      <c r="I1" s="34" t="s">
        <v>105</v>
      </c>
    </row>
    <row r="2" spans="1:9" ht="18.75" customHeight="1" x14ac:dyDescent="0.15">
      <c r="G2" s="34" t="s">
        <v>108</v>
      </c>
      <c r="H2" s="108" t="str">
        <f>'様式１-１　プログラムを構成する授業科目'!C2</f>
        <v>愛知学院大学</v>
      </c>
      <c r="I2" s="110"/>
    </row>
    <row r="3" spans="1:9" ht="18.75" customHeight="1" x14ac:dyDescent="0.15">
      <c r="G3" s="34"/>
      <c r="H3" s="10"/>
      <c r="I3" s="10"/>
    </row>
    <row r="4" spans="1:9" ht="18.600000000000001" customHeight="1" x14ac:dyDescent="0.15">
      <c r="A4" s="171" t="s">
        <v>35</v>
      </c>
      <c r="B4" s="171"/>
      <c r="C4" s="171"/>
      <c r="D4" s="171"/>
      <c r="E4" s="171"/>
      <c r="F4" s="171"/>
      <c r="G4" s="171"/>
      <c r="H4" s="171"/>
      <c r="I4" s="171"/>
    </row>
    <row r="5" spans="1:9" ht="13.15" customHeight="1" x14ac:dyDescent="0.15">
      <c r="B5" s="3"/>
      <c r="C5" s="3"/>
      <c r="D5" s="3"/>
      <c r="E5" s="3"/>
      <c r="F5" s="3"/>
      <c r="G5" s="3"/>
      <c r="H5" s="3"/>
      <c r="I5" s="3"/>
    </row>
    <row r="6" spans="1:9" ht="18" customHeight="1" x14ac:dyDescent="0.15">
      <c r="A6" s="1" t="s">
        <v>0</v>
      </c>
      <c r="B6" s="10" t="s">
        <v>90</v>
      </c>
      <c r="C6" s="258" t="s">
        <v>91</v>
      </c>
      <c r="D6" s="258"/>
      <c r="E6" s="33">
        <v>465</v>
      </c>
      <c r="F6" s="3" t="s">
        <v>1</v>
      </c>
      <c r="G6" s="3" t="s">
        <v>2</v>
      </c>
      <c r="H6" s="93">
        <v>1367</v>
      </c>
      <c r="I6" s="10" t="s">
        <v>1</v>
      </c>
    </row>
    <row r="7" spans="1:9" ht="12" customHeight="1" x14ac:dyDescent="0.15">
      <c r="C7" s="2"/>
      <c r="D7" s="2"/>
      <c r="E7" s="2"/>
      <c r="F7" s="2"/>
      <c r="G7" s="2"/>
      <c r="H7" s="2"/>
      <c r="I7" s="41"/>
    </row>
    <row r="8" spans="1:9" ht="18" customHeight="1" x14ac:dyDescent="0.15">
      <c r="A8" s="1" t="s">
        <v>3</v>
      </c>
      <c r="B8" s="10" t="s">
        <v>92</v>
      </c>
      <c r="E8" s="3"/>
      <c r="F8" s="3"/>
      <c r="G8" s="3"/>
      <c r="H8" s="33">
        <v>51</v>
      </c>
      <c r="I8" s="10" t="s">
        <v>1</v>
      </c>
    </row>
    <row r="9" spans="1:9" ht="9" customHeight="1" x14ac:dyDescent="0.15">
      <c r="B9" s="3"/>
      <c r="C9" s="3"/>
      <c r="D9" s="3"/>
      <c r="E9" s="3"/>
      <c r="F9" s="3"/>
      <c r="G9" s="3"/>
      <c r="H9" s="3"/>
      <c r="I9" s="3"/>
    </row>
    <row r="10" spans="1:9" ht="18" customHeight="1" x14ac:dyDescent="0.15">
      <c r="A10" s="1" t="s">
        <v>4</v>
      </c>
      <c r="B10" s="10" t="s">
        <v>93</v>
      </c>
      <c r="C10" s="3"/>
      <c r="D10" s="3"/>
      <c r="E10" s="3"/>
      <c r="F10" s="3"/>
      <c r="G10" s="3"/>
      <c r="H10" s="3"/>
      <c r="I10" s="3"/>
    </row>
    <row r="11" spans="1:9" ht="18" customHeight="1" x14ac:dyDescent="0.15">
      <c r="B11" s="34" t="s">
        <v>42</v>
      </c>
      <c r="C11" s="253" t="s">
        <v>190</v>
      </c>
      <c r="D11" s="256"/>
      <c r="E11" s="257"/>
      <c r="F11" s="41"/>
      <c r="G11" s="34" t="s">
        <v>10</v>
      </c>
      <c r="H11" s="253" t="s">
        <v>191</v>
      </c>
      <c r="I11" s="257"/>
    </row>
    <row r="12" spans="1:9" ht="10.15" customHeight="1" x14ac:dyDescent="0.15">
      <c r="B12" s="34"/>
      <c r="C12" s="10"/>
      <c r="D12" s="41"/>
      <c r="E12" s="41"/>
      <c r="F12" s="41"/>
      <c r="G12" s="34"/>
      <c r="H12" s="10"/>
      <c r="I12" s="41"/>
    </row>
    <row r="13" spans="1:9" ht="18" customHeight="1" x14ac:dyDescent="0.15">
      <c r="A13" s="1" t="s">
        <v>7</v>
      </c>
      <c r="B13" s="10" t="s">
        <v>87</v>
      </c>
      <c r="C13" s="3"/>
      <c r="D13" s="3"/>
      <c r="E13" s="3"/>
      <c r="F13" s="3"/>
      <c r="G13" s="3"/>
      <c r="H13" s="3"/>
      <c r="I13" s="3"/>
    </row>
    <row r="14" spans="1:9" ht="18" customHeight="1" x14ac:dyDescent="0.15">
      <c r="B14" s="253" t="s">
        <v>192</v>
      </c>
      <c r="C14" s="254"/>
      <c r="D14" s="254"/>
      <c r="E14" s="254"/>
      <c r="F14" s="254"/>
      <c r="G14" s="254"/>
      <c r="H14" s="254"/>
      <c r="I14" s="255"/>
    </row>
    <row r="15" spans="1:9" ht="9" customHeight="1" x14ac:dyDescent="0.15">
      <c r="B15" s="3"/>
      <c r="C15" s="3"/>
      <c r="D15" s="3"/>
      <c r="E15" s="3"/>
      <c r="F15" s="3"/>
      <c r="G15" s="3"/>
      <c r="H15" s="3"/>
      <c r="I15" s="3"/>
    </row>
    <row r="16" spans="1:9" ht="18" customHeight="1" x14ac:dyDescent="0.15">
      <c r="B16" s="34" t="s">
        <v>42</v>
      </c>
      <c r="C16" s="253" t="s">
        <v>190</v>
      </c>
      <c r="D16" s="256"/>
      <c r="E16" s="257"/>
      <c r="F16" s="41"/>
      <c r="G16" s="34" t="s">
        <v>10</v>
      </c>
      <c r="H16" s="253" t="s">
        <v>191</v>
      </c>
      <c r="I16" s="257"/>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45" t="s">
        <v>193</v>
      </c>
      <c r="C19" s="246"/>
      <c r="D19" s="246"/>
      <c r="E19" s="246"/>
      <c r="F19" s="246"/>
      <c r="G19" s="246"/>
      <c r="H19" s="246"/>
      <c r="I19" s="247"/>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5"/>
      <c r="B22" s="235" t="s">
        <v>203</v>
      </c>
      <c r="C22" s="236"/>
      <c r="D22" s="236"/>
      <c r="E22" s="236"/>
      <c r="F22" s="236"/>
      <c r="G22" s="236"/>
      <c r="H22" s="236"/>
      <c r="I22" s="237"/>
    </row>
    <row r="23" spans="1:9" ht="18.75" customHeight="1" x14ac:dyDescent="0.15">
      <c r="A23" s="15"/>
      <c r="B23" s="248"/>
      <c r="C23" s="249"/>
      <c r="D23" s="249"/>
      <c r="E23" s="249"/>
      <c r="F23" s="249"/>
      <c r="G23" s="249"/>
      <c r="H23" s="249"/>
      <c r="I23" s="240"/>
    </row>
    <row r="24" spans="1:9" ht="18.75" customHeight="1" x14ac:dyDescent="0.15">
      <c r="A24" s="15"/>
      <c r="B24" s="248"/>
      <c r="C24" s="249"/>
      <c r="D24" s="249"/>
      <c r="E24" s="249"/>
      <c r="F24" s="249"/>
      <c r="G24" s="249"/>
      <c r="H24" s="249"/>
      <c r="I24" s="240"/>
    </row>
    <row r="25" spans="1:9" ht="18.75" customHeight="1" x14ac:dyDescent="0.15">
      <c r="A25" s="15"/>
      <c r="B25" s="248"/>
      <c r="C25" s="249"/>
      <c r="D25" s="249"/>
      <c r="E25" s="249"/>
      <c r="F25" s="249"/>
      <c r="G25" s="249"/>
      <c r="H25" s="249"/>
      <c r="I25" s="240"/>
    </row>
    <row r="26" spans="1:9" ht="18.75" customHeight="1" x14ac:dyDescent="0.15">
      <c r="A26" s="15"/>
      <c r="B26" s="248"/>
      <c r="C26" s="249"/>
      <c r="D26" s="249"/>
      <c r="E26" s="249"/>
      <c r="F26" s="249"/>
      <c r="G26" s="249"/>
      <c r="H26" s="249"/>
      <c r="I26" s="240"/>
    </row>
    <row r="27" spans="1:9" ht="18.75" customHeight="1" x14ac:dyDescent="0.15">
      <c r="A27" s="15"/>
      <c r="B27" s="248"/>
      <c r="C27" s="249"/>
      <c r="D27" s="249"/>
      <c r="E27" s="249"/>
      <c r="F27" s="249"/>
      <c r="G27" s="249"/>
      <c r="H27" s="249"/>
      <c r="I27" s="240"/>
    </row>
    <row r="28" spans="1:9" ht="18.75" customHeight="1" x14ac:dyDescent="0.15">
      <c r="A28" s="15"/>
      <c r="B28" s="248"/>
      <c r="C28" s="249"/>
      <c r="D28" s="249"/>
      <c r="E28" s="249"/>
      <c r="F28" s="249"/>
      <c r="G28" s="249"/>
      <c r="H28" s="249"/>
      <c r="I28" s="240"/>
    </row>
    <row r="29" spans="1:9" ht="18.75" customHeight="1" x14ac:dyDescent="0.15">
      <c r="A29" s="15"/>
      <c r="B29" s="248"/>
      <c r="C29" s="249"/>
      <c r="D29" s="249"/>
      <c r="E29" s="249"/>
      <c r="F29" s="249"/>
      <c r="G29" s="249"/>
      <c r="H29" s="249"/>
      <c r="I29" s="240"/>
    </row>
    <row r="30" spans="1:9" ht="18.75" customHeight="1" x14ac:dyDescent="0.15">
      <c r="A30" s="15"/>
      <c r="B30" s="238"/>
      <c r="C30" s="239"/>
      <c r="D30" s="239"/>
      <c r="E30" s="239"/>
      <c r="F30" s="239"/>
      <c r="G30" s="239"/>
      <c r="H30" s="239"/>
      <c r="I30" s="240"/>
    </row>
    <row r="31" spans="1:9" ht="18.75" customHeight="1" x14ac:dyDescent="0.15">
      <c r="A31" s="15"/>
      <c r="B31" s="238"/>
      <c r="C31" s="239"/>
      <c r="D31" s="239"/>
      <c r="E31" s="239"/>
      <c r="F31" s="239"/>
      <c r="G31" s="239"/>
      <c r="H31" s="239"/>
      <c r="I31" s="240"/>
    </row>
    <row r="32" spans="1:9" ht="18.75" customHeight="1" x14ac:dyDescent="0.15">
      <c r="A32" s="15"/>
      <c r="B32" s="241"/>
      <c r="C32" s="242"/>
      <c r="D32" s="242"/>
      <c r="E32" s="242"/>
      <c r="F32" s="242"/>
      <c r="G32" s="242"/>
      <c r="H32" s="242"/>
      <c r="I32" s="243"/>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35" t="s">
        <v>208</v>
      </c>
      <c r="C35" s="236"/>
      <c r="D35" s="236"/>
      <c r="E35" s="236"/>
      <c r="F35" s="236"/>
      <c r="G35" s="236"/>
      <c r="H35" s="236"/>
      <c r="I35" s="237"/>
    </row>
    <row r="36" spans="1:9" ht="18.75" customHeight="1" x14ac:dyDescent="0.15">
      <c r="A36" s="15"/>
      <c r="B36" s="238"/>
      <c r="C36" s="239"/>
      <c r="D36" s="239"/>
      <c r="E36" s="239"/>
      <c r="F36" s="239"/>
      <c r="G36" s="239"/>
      <c r="H36" s="239"/>
      <c r="I36" s="240"/>
    </row>
    <row r="37" spans="1:9" ht="18.75" customHeight="1" x14ac:dyDescent="0.15">
      <c r="A37" s="15"/>
      <c r="B37" s="238"/>
      <c r="C37" s="239"/>
      <c r="D37" s="239"/>
      <c r="E37" s="239"/>
      <c r="F37" s="239"/>
      <c r="G37" s="239"/>
      <c r="H37" s="239"/>
      <c r="I37" s="240"/>
    </row>
    <row r="38" spans="1:9" ht="18.75" customHeight="1" x14ac:dyDescent="0.15">
      <c r="A38" s="15"/>
      <c r="B38" s="238"/>
      <c r="C38" s="239"/>
      <c r="D38" s="239"/>
      <c r="E38" s="239"/>
      <c r="F38" s="239"/>
      <c r="G38" s="239"/>
      <c r="H38" s="239"/>
      <c r="I38" s="240"/>
    </row>
    <row r="39" spans="1:9" ht="18.75" customHeight="1" x14ac:dyDescent="0.15">
      <c r="A39" s="15"/>
      <c r="B39" s="238"/>
      <c r="C39" s="239"/>
      <c r="D39" s="239"/>
      <c r="E39" s="239"/>
      <c r="F39" s="239"/>
      <c r="G39" s="239"/>
      <c r="H39" s="239"/>
      <c r="I39" s="240"/>
    </row>
    <row r="40" spans="1:9" ht="18.75" customHeight="1" x14ac:dyDescent="0.15">
      <c r="A40" s="15"/>
      <c r="B40" s="238"/>
      <c r="C40" s="239"/>
      <c r="D40" s="239"/>
      <c r="E40" s="239"/>
      <c r="F40" s="239"/>
      <c r="G40" s="239"/>
      <c r="H40" s="239"/>
      <c r="I40" s="240"/>
    </row>
    <row r="41" spans="1:9" ht="18.75" customHeight="1" x14ac:dyDescent="0.15">
      <c r="A41" s="15"/>
      <c r="B41" s="238"/>
      <c r="C41" s="239"/>
      <c r="D41" s="239"/>
      <c r="E41" s="239"/>
      <c r="F41" s="239"/>
      <c r="G41" s="239"/>
      <c r="H41" s="239"/>
      <c r="I41" s="240"/>
    </row>
    <row r="42" spans="1:9" ht="18.75" customHeight="1" x14ac:dyDescent="0.15">
      <c r="A42" s="15"/>
      <c r="B42" s="238"/>
      <c r="C42" s="239"/>
      <c r="D42" s="239"/>
      <c r="E42" s="239"/>
      <c r="F42" s="239"/>
      <c r="G42" s="239"/>
      <c r="H42" s="239"/>
      <c r="I42" s="240"/>
    </row>
    <row r="43" spans="1:9" ht="18.75" customHeight="1" x14ac:dyDescent="0.15">
      <c r="A43" s="15"/>
      <c r="B43" s="238"/>
      <c r="C43" s="239"/>
      <c r="D43" s="239"/>
      <c r="E43" s="239"/>
      <c r="F43" s="239"/>
      <c r="G43" s="239"/>
      <c r="H43" s="239"/>
      <c r="I43" s="240"/>
    </row>
    <row r="44" spans="1:9" ht="18.75" customHeight="1" x14ac:dyDescent="0.15">
      <c r="A44" s="15"/>
      <c r="B44" s="238"/>
      <c r="C44" s="239"/>
      <c r="D44" s="239"/>
      <c r="E44" s="239"/>
      <c r="F44" s="239"/>
      <c r="G44" s="239"/>
      <c r="H44" s="239"/>
      <c r="I44" s="240"/>
    </row>
    <row r="45" spans="1:9" ht="18.75" customHeight="1" x14ac:dyDescent="0.15">
      <c r="A45" s="15"/>
      <c r="B45" s="238"/>
      <c r="C45" s="239"/>
      <c r="D45" s="239"/>
      <c r="E45" s="239"/>
      <c r="F45" s="239"/>
      <c r="G45" s="239"/>
      <c r="H45" s="239"/>
      <c r="I45" s="240"/>
    </row>
    <row r="46" spans="1:9" ht="18.75" customHeight="1" x14ac:dyDescent="0.15">
      <c r="A46" s="15"/>
      <c r="B46" s="241"/>
      <c r="C46" s="242"/>
      <c r="D46" s="242"/>
      <c r="E46" s="242"/>
      <c r="F46" s="242"/>
      <c r="G46" s="242"/>
      <c r="H46" s="242"/>
      <c r="I46" s="243"/>
    </row>
    <row r="47" spans="1:9" ht="7.5" customHeight="1" x14ac:dyDescent="0.15">
      <c r="A47" s="4"/>
      <c r="B47" s="4"/>
      <c r="C47" s="4"/>
      <c r="D47" s="4"/>
      <c r="E47" s="4"/>
      <c r="F47" s="4"/>
      <c r="G47" s="4"/>
      <c r="H47" s="4"/>
      <c r="I47" s="4"/>
    </row>
    <row r="48" spans="1:9" ht="18.75" customHeight="1" x14ac:dyDescent="0.15">
      <c r="A48" s="1" t="s">
        <v>30</v>
      </c>
      <c r="B48" s="1" t="s">
        <v>122</v>
      </c>
    </row>
    <row r="49" spans="1:15" s="3" customFormat="1" ht="18.75" customHeight="1" x14ac:dyDescent="0.15">
      <c r="B49" s="42" t="s">
        <v>88</v>
      </c>
      <c r="C49" s="276">
        <f>'様式２ 履修者等数の実績'!AQ32</f>
        <v>0.18859028760018859</v>
      </c>
      <c r="D49" s="276"/>
      <c r="E49" s="42" t="s">
        <v>65</v>
      </c>
      <c r="F49" s="277">
        <v>0.28000000000000003</v>
      </c>
      <c r="G49" s="277"/>
      <c r="H49" s="42" t="s">
        <v>66</v>
      </c>
      <c r="I49" s="101">
        <v>0.37</v>
      </c>
      <c r="J49" s="1"/>
      <c r="M49" s="1"/>
      <c r="N49" s="43"/>
    </row>
    <row r="50" spans="1:15" s="3" customFormat="1" ht="18.75" customHeight="1" x14ac:dyDescent="0.15">
      <c r="B50" s="44" t="s">
        <v>67</v>
      </c>
      <c r="C50" s="259">
        <v>0.44</v>
      </c>
      <c r="D50" s="259"/>
      <c r="E50" s="44" t="s">
        <v>89</v>
      </c>
      <c r="F50" s="259">
        <v>0.51</v>
      </c>
      <c r="G50" s="259"/>
      <c r="H50" s="44" t="s">
        <v>68</v>
      </c>
      <c r="I50" s="45">
        <f>'様式２ 履修者等数の実績'!E32</f>
        <v>10605</v>
      </c>
      <c r="J50" s="1"/>
      <c r="M50" s="1"/>
      <c r="N50" s="43"/>
    </row>
    <row r="51" spans="1:15" ht="18.75" customHeight="1" x14ac:dyDescent="0.15">
      <c r="A51" s="1"/>
      <c r="B51" s="250" t="s">
        <v>69</v>
      </c>
      <c r="C51" s="251"/>
      <c r="D51" s="251"/>
      <c r="E51" s="251"/>
      <c r="F51" s="251"/>
      <c r="G51" s="251"/>
      <c r="H51" s="251"/>
      <c r="I51" s="252"/>
      <c r="N51" s="43"/>
      <c r="O51" s="3"/>
    </row>
    <row r="52" spans="1:15" ht="18.75" customHeight="1" x14ac:dyDescent="0.15">
      <c r="A52" s="1"/>
      <c r="B52" s="278" t="s">
        <v>210</v>
      </c>
      <c r="C52" s="279"/>
      <c r="D52" s="279"/>
      <c r="E52" s="279"/>
      <c r="F52" s="279"/>
      <c r="G52" s="279"/>
      <c r="H52" s="279"/>
      <c r="I52" s="280"/>
      <c r="N52" s="43"/>
      <c r="O52" s="3"/>
    </row>
    <row r="53" spans="1:15" s="83" customFormat="1" ht="18.75" customHeight="1" x14ac:dyDescent="0.15">
      <c r="B53" s="281"/>
      <c r="C53" s="282"/>
      <c r="D53" s="282"/>
      <c r="E53" s="282"/>
      <c r="F53" s="282"/>
      <c r="G53" s="282"/>
      <c r="H53" s="282"/>
      <c r="I53" s="283"/>
      <c r="N53" s="43"/>
      <c r="O53" s="84"/>
    </row>
    <row r="54" spans="1:15" s="86" customFormat="1" ht="18.75" customHeight="1" x14ac:dyDescent="0.15">
      <c r="B54" s="281"/>
      <c r="C54" s="282"/>
      <c r="D54" s="282"/>
      <c r="E54" s="282"/>
      <c r="F54" s="282"/>
      <c r="G54" s="282"/>
      <c r="H54" s="282"/>
      <c r="I54" s="283"/>
      <c r="N54" s="43"/>
      <c r="O54" s="87"/>
    </row>
    <row r="55" spans="1:15" s="86" customFormat="1" ht="18.75" customHeight="1" x14ac:dyDescent="0.15">
      <c r="B55" s="281"/>
      <c r="C55" s="282"/>
      <c r="D55" s="282"/>
      <c r="E55" s="282"/>
      <c r="F55" s="282"/>
      <c r="G55" s="282"/>
      <c r="H55" s="282"/>
      <c r="I55" s="283"/>
      <c r="N55" s="43"/>
      <c r="O55" s="87"/>
    </row>
    <row r="56" spans="1:15" s="86" customFormat="1" ht="18.75" customHeight="1" x14ac:dyDescent="0.15">
      <c r="B56" s="281"/>
      <c r="C56" s="282"/>
      <c r="D56" s="282"/>
      <c r="E56" s="282"/>
      <c r="F56" s="282"/>
      <c r="G56" s="282"/>
      <c r="H56" s="282"/>
      <c r="I56" s="283"/>
      <c r="N56" s="43"/>
      <c r="O56" s="87"/>
    </row>
    <row r="57" spans="1:15" s="86" customFormat="1" ht="18.75" customHeight="1" x14ac:dyDescent="0.15">
      <c r="B57" s="281"/>
      <c r="C57" s="282"/>
      <c r="D57" s="282"/>
      <c r="E57" s="282"/>
      <c r="F57" s="282"/>
      <c r="G57" s="282"/>
      <c r="H57" s="282"/>
      <c r="I57" s="283"/>
      <c r="N57" s="43"/>
      <c r="O57" s="87"/>
    </row>
    <row r="58" spans="1:15" s="86" customFormat="1" ht="18.75" customHeight="1" x14ac:dyDescent="0.15">
      <c r="B58" s="281"/>
      <c r="C58" s="282"/>
      <c r="D58" s="282"/>
      <c r="E58" s="282"/>
      <c r="F58" s="282"/>
      <c r="G58" s="282"/>
      <c r="H58" s="282"/>
      <c r="I58" s="283"/>
      <c r="N58" s="43"/>
      <c r="O58" s="87"/>
    </row>
    <row r="59" spans="1:15" s="86" customFormat="1" ht="18.75" customHeight="1" x14ac:dyDescent="0.15">
      <c r="B59" s="281"/>
      <c r="C59" s="282"/>
      <c r="D59" s="282"/>
      <c r="E59" s="282"/>
      <c r="F59" s="282"/>
      <c r="G59" s="282"/>
      <c r="H59" s="282"/>
      <c r="I59" s="283"/>
      <c r="N59" s="43"/>
      <c r="O59" s="87"/>
    </row>
    <row r="60" spans="1:15" s="86" customFormat="1" ht="18.75" customHeight="1" x14ac:dyDescent="0.15">
      <c r="B60" s="281"/>
      <c r="C60" s="282"/>
      <c r="D60" s="282"/>
      <c r="E60" s="282"/>
      <c r="F60" s="282"/>
      <c r="G60" s="282"/>
      <c r="H60" s="282"/>
      <c r="I60" s="283"/>
      <c r="N60" s="43"/>
      <c r="O60" s="87"/>
    </row>
    <row r="61" spans="1:15" s="86" customFormat="1" ht="18.75" customHeight="1" x14ac:dyDescent="0.15">
      <c r="B61" s="281"/>
      <c r="C61" s="282"/>
      <c r="D61" s="282"/>
      <c r="E61" s="282"/>
      <c r="F61" s="282"/>
      <c r="G61" s="282"/>
      <c r="H61" s="282"/>
      <c r="I61" s="283"/>
      <c r="N61" s="43"/>
      <c r="O61" s="87"/>
    </row>
    <row r="62" spans="1:15" s="86" customFormat="1" ht="18.75" customHeight="1" x14ac:dyDescent="0.15">
      <c r="B62" s="281"/>
      <c r="C62" s="282"/>
      <c r="D62" s="282"/>
      <c r="E62" s="282"/>
      <c r="F62" s="282"/>
      <c r="G62" s="282"/>
      <c r="H62" s="282"/>
      <c r="I62" s="283"/>
      <c r="N62" s="43"/>
      <c r="O62" s="87"/>
    </row>
    <row r="63" spans="1:15" s="86" customFormat="1" ht="18.75" customHeight="1" x14ac:dyDescent="0.15">
      <c r="B63" s="281"/>
      <c r="C63" s="282"/>
      <c r="D63" s="282"/>
      <c r="E63" s="282"/>
      <c r="F63" s="282"/>
      <c r="G63" s="282"/>
      <c r="H63" s="282"/>
      <c r="I63" s="283"/>
      <c r="N63" s="43"/>
      <c r="O63" s="87"/>
    </row>
    <row r="64" spans="1:15" s="86" customFormat="1" ht="18.75" customHeight="1" x14ac:dyDescent="0.15">
      <c r="B64" s="281"/>
      <c r="C64" s="282"/>
      <c r="D64" s="282"/>
      <c r="E64" s="282"/>
      <c r="F64" s="282"/>
      <c r="G64" s="282"/>
      <c r="H64" s="282"/>
      <c r="I64" s="283"/>
      <c r="N64" s="43"/>
      <c r="O64" s="87"/>
    </row>
    <row r="65" spans="1:15" s="99" customFormat="1" ht="18.75" customHeight="1" x14ac:dyDescent="0.15">
      <c r="B65" s="281"/>
      <c r="C65" s="282"/>
      <c r="D65" s="282"/>
      <c r="E65" s="282"/>
      <c r="F65" s="282"/>
      <c r="G65" s="282"/>
      <c r="H65" s="282"/>
      <c r="I65" s="283"/>
      <c r="N65" s="43"/>
      <c r="O65" s="100"/>
    </row>
    <row r="66" spans="1:15" s="86" customFormat="1" ht="18.75" customHeight="1" x14ac:dyDescent="0.15">
      <c r="B66" s="284"/>
      <c r="C66" s="285"/>
      <c r="D66" s="285"/>
      <c r="E66" s="285"/>
      <c r="F66" s="285"/>
      <c r="G66" s="285"/>
      <c r="H66" s="285"/>
      <c r="I66" s="286"/>
      <c r="N66" s="43"/>
      <c r="O66" s="87"/>
    </row>
    <row r="67" spans="1:15" ht="7.5" customHeight="1" x14ac:dyDescent="0.15">
      <c r="A67" s="15"/>
      <c r="B67" s="15"/>
      <c r="C67" s="15"/>
      <c r="D67" s="15"/>
      <c r="E67" s="15"/>
      <c r="F67" s="15"/>
      <c r="G67" s="15"/>
      <c r="H67" s="15"/>
      <c r="I67" s="15"/>
    </row>
    <row r="68" spans="1:15" ht="18.75" customHeight="1" x14ac:dyDescent="0.15">
      <c r="A68" s="16" t="s">
        <v>33</v>
      </c>
      <c r="B68" s="1" t="s">
        <v>36</v>
      </c>
      <c r="I68" s="16"/>
    </row>
    <row r="69" spans="1:15" ht="18.75" customHeight="1" x14ac:dyDescent="0.15">
      <c r="A69" s="4"/>
      <c r="B69" s="260" t="s">
        <v>211</v>
      </c>
      <c r="C69" s="261"/>
      <c r="D69" s="261"/>
      <c r="E69" s="261"/>
      <c r="F69" s="261"/>
      <c r="G69" s="261"/>
      <c r="H69" s="261"/>
      <c r="I69" s="262"/>
    </row>
    <row r="70" spans="1:15" ht="18.75" customHeight="1" x14ac:dyDescent="0.15">
      <c r="A70" s="4"/>
      <c r="B70" s="263"/>
      <c r="C70" s="264"/>
      <c r="D70" s="264"/>
      <c r="E70" s="264"/>
      <c r="F70" s="264"/>
      <c r="G70" s="264"/>
      <c r="H70" s="264"/>
      <c r="I70" s="265"/>
    </row>
    <row r="71" spans="1:15" ht="18.75" customHeight="1" x14ac:dyDescent="0.15">
      <c r="A71" s="4"/>
      <c r="B71" s="263"/>
      <c r="C71" s="264"/>
      <c r="D71" s="264"/>
      <c r="E71" s="264"/>
      <c r="F71" s="264"/>
      <c r="G71" s="264"/>
      <c r="H71" s="264"/>
      <c r="I71" s="265"/>
    </row>
    <row r="72" spans="1:15" ht="18.75" customHeight="1" x14ac:dyDescent="0.15">
      <c r="A72" s="4"/>
      <c r="B72" s="263"/>
      <c r="C72" s="264"/>
      <c r="D72" s="264"/>
      <c r="E72" s="264"/>
      <c r="F72" s="264"/>
      <c r="G72" s="264"/>
      <c r="H72" s="264"/>
      <c r="I72" s="265"/>
    </row>
    <row r="73" spans="1:15" ht="18.75" customHeight="1" x14ac:dyDescent="0.15">
      <c r="A73" s="4"/>
      <c r="B73" s="263"/>
      <c r="C73" s="264"/>
      <c r="D73" s="264"/>
      <c r="E73" s="264"/>
      <c r="F73" s="264"/>
      <c r="G73" s="264"/>
      <c r="H73" s="264"/>
      <c r="I73" s="265"/>
    </row>
    <row r="74" spans="1:15" ht="18.75" customHeight="1" x14ac:dyDescent="0.15">
      <c r="A74" s="4"/>
      <c r="B74" s="263"/>
      <c r="C74" s="264"/>
      <c r="D74" s="264"/>
      <c r="E74" s="264"/>
      <c r="F74" s="264"/>
      <c r="G74" s="264"/>
      <c r="H74" s="264"/>
      <c r="I74" s="265"/>
    </row>
    <row r="75" spans="1:15" ht="18.75" customHeight="1" x14ac:dyDescent="0.15">
      <c r="A75" s="4"/>
      <c r="B75" s="263"/>
      <c r="C75" s="264"/>
      <c r="D75" s="264"/>
      <c r="E75" s="264"/>
      <c r="F75" s="264"/>
      <c r="G75" s="264"/>
      <c r="H75" s="264"/>
      <c r="I75" s="265"/>
    </row>
    <row r="76" spans="1:15" ht="18.75" customHeight="1" x14ac:dyDescent="0.15">
      <c r="A76" s="4"/>
      <c r="B76" s="263"/>
      <c r="C76" s="264"/>
      <c r="D76" s="264"/>
      <c r="E76" s="264"/>
      <c r="F76" s="264"/>
      <c r="G76" s="264"/>
      <c r="H76" s="264"/>
      <c r="I76" s="265"/>
    </row>
    <row r="77" spans="1:15" ht="18.75" customHeight="1" x14ac:dyDescent="0.15">
      <c r="A77" s="4"/>
      <c r="B77" s="263"/>
      <c r="C77" s="264"/>
      <c r="D77" s="264"/>
      <c r="E77" s="264"/>
      <c r="F77" s="264"/>
      <c r="G77" s="264"/>
      <c r="H77" s="264"/>
      <c r="I77" s="265"/>
    </row>
    <row r="78" spans="1:15" ht="18.75" customHeight="1" x14ac:dyDescent="0.15">
      <c r="A78" s="4"/>
      <c r="B78" s="263"/>
      <c r="C78" s="264"/>
      <c r="D78" s="264"/>
      <c r="E78" s="264"/>
      <c r="F78" s="264"/>
      <c r="G78" s="264"/>
      <c r="H78" s="264"/>
      <c r="I78" s="265"/>
    </row>
    <row r="79" spans="1:15" ht="18.75" customHeight="1" x14ac:dyDescent="0.15">
      <c r="A79" s="4"/>
      <c r="B79" s="263"/>
      <c r="C79" s="264"/>
      <c r="D79" s="264"/>
      <c r="E79" s="264"/>
      <c r="F79" s="264"/>
      <c r="G79" s="264"/>
      <c r="H79" s="264"/>
      <c r="I79" s="265"/>
    </row>
    <row r="80" spans="1:15" ht="18.75" customHeight="1" x14ac:dyDescent="0.15">
      <c r="A80" s="4"/>
      <c r="B80" s="266"/>
      <c r="C80" s="267"/>
      <c r="D80" s="267"/>
      <c r="E80" s="267"/>
      <c r="F80" s="267"/>
      <c r="G80" s="267"/>
      <c r="H80" s="267"/>
      <c r="I80" s="268"/>
    </row>
    <row r="81" spans="1:9" ht="7.5" customHeight="1" x14ac:dyDescent="0.15">
      <c r="A81" s="4"/>
      <c r="B81" s="4"/>
      <c r="C81" s="4"/>
      <c r="D81" s="4"/>
      <c r="E81" s="4"/>
      <c r="F81" s="4"/>
      <c r="G81" s="4"/>
      <c r="H81" s="4"/>
      <c r="I81" s="4"/>
    </row>
    <row r="82" spans="1:9" ht="18.75" customHeight="1" x14ac:dyDescent="0.15">
      <c r="A82" s="1" t="s">
        <v>11</v>
      </c>
      <c r="B82" s="1" t="s">
        <v>40</v>
      </c>
    </row>
    <row r="83" spans="1:9" ht="18.75" customHeight="1" x14ac:dyDescent="0.15">
      <c r="A83" s="1"/>
      <c r="B83" s="260" t="s">
        <v>204</v>
      </c>
      <c r="C83" s="261"/>
      <c r="D83" s="261"/>
      <c r="E83" s="261"/>
      <c r="F83" s="261"/>
      <c r="G83" s="261"/>
      <c r="H83" s="261"/>
      <c r="I83" s="269"/>
    </row>
    <row r="84" spans="1:9" ht="18.75" customHeight="1" x14ac:dyDescent="0.15">
      <c r="A84" s="1"/>
      <c r="B84" s="270"/>
      <c r="C84" s="271"/>
      <c r="D84" s="271"/>
      <c r="E84" s="271"/>
      <c r="F84" s="271"/>
      <c r="G84" s="271"/>
      <c r="H84" s="271"/>
      <c r="I84" s="272"/>
    </row>
    <row r="85" spans="1:9" ht="18.75" customHeight="1" x14ac:dyDescent="0.15">
      <c r="A85" s="1"/>
      <c r="B85" s="270"/>
      <c r="C85" s="271"/>
      <c r="D85" s="271"/>
      <c r="E85" s="271"/>
      <c r="F85" s="271"/>
      <c r="G85" s="271"/>
      <c r="H85" s="271"/>
      <c r="I85" s="272"/>
    </row>
    <row r="86" spans="1:9" ht="18.75" customHeight="1" x14ac:dyDescent="0.15">
      <c r="A86" s="1"/>
      <c r="B86" s="270"/>
      <c r="C86" s="271"/>
      <c r="D86" s="271"/>
      <c r="E86" s="271"/>
      <c r="F86" s="271"/>
      <c r="G86" s="271"/>
      <c r="H86" s="271"/>
      <c r="I86" s="272"/>
    </row>
    <row r="87" spans="1:9" ht="18.75" customHeight="1" x14ac:dyDescent="0.15">
      <c r="A87" s="1"/>
      <c r="B87" s="270"/>
      <c r="C87" s="271"/>
      <c r="D87" s="271"/>
      <c r="E87" s="271"/>
      <c r="F87" s="271"/>
      <c r="G87" s="271"/>
      <c r="H87" s="271"/>
      <c r="I87" s="272"/>
    </row>
    <row r="88" spans="1:9" ht="18.75" customHeight="1" x14ac:dyDescent="0.15">
      <c r="A88" s="1"/>
      <c r="B88" s="270"/>
      <c r="C88" s="271"/>
      <c r="D88" s="271"/>
      <c r="E88" s="271"/>
      <c r="F88" s="271"/>
      <c r="G88" s="271"/>
      <c r="H88" s="271"/>
      <c r="I88" s="272"/>
    </row>
    <row r="89" spans="1:9" ht="18.75" customHeight="1" x14ac:dyDescent="0.15">
      <c r="A89" s="1"/>
      <c r="B89" s="270"/>
      <c r="C89" s="271"/>
      <c r="D89" s="271"/>
      <c r="E89" s="271"/>
      <c r="F89" s="271"/>
      <c r="G89" s="271"/>
      <c r="H89" s="271"/>
      <c r="I89" s="272"/>
    </row>
    <row r="90" spans="1:9" ht="18.75" customHeight="1" x14ac:dyDescent="0.15">
      <c r="A90" s="1"/>
      <c r="B90" s="270"/>
      <c r="C90" s="271"/>
      <c r="D90" s="271"/>
      <c r="E90" s="271"/>
      <c r="F90" s="271"/>
      <c r="G90" s="271"/>
      <c r="H90" s="271"/>
      <c r="I90" s="272"/>
    </row>
    <row r="91" spans="1:9" ht="18.75" customHeight="1" x14ac:dyDescent="0.15">
      <c r="A91" s="1"/>
      <c r="B91" s="270"/>
      <c r="C91" s="271"/>
      <c r="D91" s="271"/>
      <c r="E91" s="271"/>
      <c r="F91" s="271"/>
      <c r="G91" s="271"/>
      <c r="H91" s="271"/>
      <c r="I91" s="272"/>
    </row>
    <row r="92" spans="1:9" ht="18.75" customHeight="1" x14ac:dyDescent="0.15">
      <c r="A92" s="1"/>
      <c r="B92" s="270"/>
      <c r="C92" s="271"/>
      <c r="D92" s="271"/>
      <c r="E92" s="271"/>
      <c r="F92" s="271"/>
      <c r="G92" s="271"/>
      <c r="H92" s="271"/>
      <c r="I92" s="272"/>
    </row>
    <row r="93" spans="1:9" ht="18.75" customHeight="1" x14ac:dyDescent="0.15">
      <c r="A93" s="4"/>
      <c r="B93" s="270"/>
      <c r="C93" s="271"/>
      <c r="D93" s="271"/>
      <c r="E93" s="271"/>
      <c r="F93" s="271"/>
      <c r="G93" s="271"/>
      <c r="H93" s="271"/>
      <c r="I93" s="272"/>
    </row>
    <row r="94" spans="1:9" ht="18.75" customHeight="1" x14ac:dyDescent="0.15">
      <c r="A94" s="4"/>
      <c r="B94" s="273"/>
      <c r="C94" s="274"/>
      <c r="D94" s="274"/>
      <c r="E94" s="274"/>
      <c r="F94" s="274"/>
      <c r="G94" s="274"/>
      <c r="H94" s="274"/>
      <c r="I94" s="275"/>
    </row>
    <row r="95" spans="1:9" ht="7.5" customHeight="1" x14ac:dyDescent="0.15">
      <c r="A95" s="4"/>
      <c r="B95" s="4"/>
      <c r="C95" s="4"/>
      <c r="D95" s="4"/>
      <c r="E95" s="4"/>
      <c r="F95" s="4"/>
      <c r="G95" s="4"/>
      <c r="H95" s="4"/>
      <c r="I95" s="4"/>
    </row>
    <row r="96" spans="1:9" ht="18.75" customHeight="1" x14ac:dyDescent="0.15">
      <c r="A96" s="1" t="s">
        <v>43</v>
      </c>
      <c r="B96" s="1" t="s">
        <v>12</v>
      </c>
    </row>
    <row r="97" spans="1:9" ht="18.75" customHeight="1" x14ac:dyDescent="0.15">
      <c r="A97" s="1"/>
      <c r="B97" s="235" t="s">
        <v>205</v>
      </c>
      <c r="C97" s="236"/>
      <c r="D97" s="236"/>
      <c r="E97" s="236"/>
      <c r="F97" s="236"/>
      <c r="G97" s="236"/>
      <c r="H97" s="236"/>
      <c r="I97" s="237"/>
    </row>
    <row r="98" spans="1:9" ht="18.75" customHeight="1" x14ac:dyDescent="0.15">
      <c r="A98" s="1"/>
      <c r="B98" s="238"/>
      <c r="C98" s="239"/>
      <c r="D98" s="239"/>
      <c r="E98" s="239"/>
      <c r="F98" s="239"/>
      <c r="G98" s="239"/>
      <c r="H98" s="239"/>
      <c r="I98" s="240"/>
    </row>
    <row r="99" spans="1:9" ht="18.75" customHeight="1" x14ac:dyDescent="0.15">
      <c r="A99" s="1"/>
      <c r="B99" s="238"/>
      <c r="C99" s="239"/>
      <c r="D99" s="239"/>
      <c r="E99" s="239"/>
      <c r="F99" s="239"/>
      <c r="G99" s="239"/>
      <c r="H99" s="239"/>
      <c r="I99" s="240"/>
    </row>
    <row r="100" spans="1:9" ht="18.75" customHeight="1" x14ac:dyDescent="0.15">
      <c r="A100" s="1"/>
      <c r="B100" s="238"/>
      <c r="C100" s="239"/>
      <c r="D100" s="239"/>
      <c r="E100" s="239"/>
      <c r="F100" s="239"/>
      <c r="G100" s="239"/>
      <c r="H100" s="239"/>
      <c r="I100" s="240"/>
    </row>
    <row r="101" spans="1:9" ht="18.75" customHeight="1" x14ac:dyDescent="0.15">
      <c r="A101" s="1"/>
      <c r="B101" s="238"/>
      <c r="C101" s="239"/>
      <c r="D101" s="239"/>
      <c r="E101" s="239"/>
      <c r="F101" s="239"/>
      <c r="G101" s="239"/>
      <c r="H101" s="239"/>
      <c r="I101" s="240"/>
    </row>
    <row r="102" spans="1:9" ht="18.75" customHeight="1" x14ac:dyDescent="0.15">
      <c r="A102" s="1"/>
      <c r="B102" s="238"/>
      <c r="C102" s="239"/>
      <c r="D102" s="239"/>
      <c r="E102" s="239"/>
      <c r="F102" s="239"/>
      <c r="G102" s="239"/>
      <c r="H102" s="239"/>
      <c r="I102" s="240"/>
    </row>
    <row r="103" spans="1:9" ht="18.75" customHeight="1" x14ac:dyDescent="0.15">
      <c r="A103" s="1"/>
      <c r="B103" s="238"/>
      <c r="C103" s="239"/>
      <c r="D103" s="239"/>
      <c r="E103" s="239"/>
      <c r="F103" s="239"/>
      <c r="G103" s="239"/>
      <c r="H103" s="239"/>
      <c r="I103" s="240"/>
    </row>
    <row r="104" spans="1:9" ht="18.75" customHeight="1" x14ac:dyDescent="0.15">
      <c r="A104" s="1"/>
      <c r="B104" s="238"/>
      <c r="C104" s="239"/>
      <c r="D104" s="239"/>
      <c r="E104" s="239"/>
      <c r="F104" s="239"/>
      <c r="G104" s="239"/>
      <c r="H104" s="239"/>
      <c r="I104" s="240"/>
    </row>
    <row r="105" spans="1:9" ht="18.75" customHeight="1" x14ac:dyDescent="0.15">
      <c r="A105" s="1"/>
      <c r="B105" s="238"/>
      <c r="C105" s="239"/>
      <c r="D105" s="239"/>
      <c r="E105" s="239"/>
      <c r="F105" s="239"/>
      <c r="G105" s="239"/>
      <c r="H105" s="239"/>
      <c r="I105" s="240"/>
    </row>
    <row r="106" spans="1:9" ht="18.75" customHeight="1" x14ac:dyDescent="0.15">
      <c r="A106" s="1"/>
      <c r="B106" s="238"/>
      <c r="C106" s="239"/>
      <c r="D106" s="239"/>
      <c r="E106" s="239"/>
      <c r="F106" s="239"/>
      <c r="G106" s="239"/>
      <c r="H106" s="239"/>
      <c r="I106" s="240"/>
    </row>
    <row r="107" spans="1:9" ht="18.75" customHeight="1" x14ac:dyDescent="0.15">
      <c r="A107" s="1"/>
      <c r="B107" s="238"/>
      <c r="C107" s="239"/>
      <c r="D107" s="239"/>
      <c r="E107" s="239"/>
      <c r="F107" s="239"/>
      <c r="G107" s="239"/>
      <c r="H107" s="239"/>
      <c r="I107" s="240"/>
    </row>
    <row r="108" spans="1:9" ht="18.75" customHeight="1" x14ac:dyDescent="0.15">
      <c r="A108" s="4"/>
      <c r="B108" s="241"/>
      <c r="C108" s="242"/>
      <c r="D108" s="242"/>
      <c r="E108" s="242"/>
      <c r="F108" s="242"/>
      <c r="G108" s="242"/>
      <c r="H108" s="242"/>
      <c r="I108" s="243"/>
    </row>
    <row r="109" spans="1:9" ht="7.5" customHeight="1" x14ac:dyDescent="0.15">
      <c r="A109" s="4"/>
      <c r="B109" s="4"/>
      <c r="C109" s="4"/>
      <c r="D109" s="4"/>
      <c r="E109" s="4"/>
      <c r="F109" s="4"/>
      <c r="G109" s="4"/>
      <c r="H109" s="4"/>
      <c r="I109" s="4"/>
    </row>
    <row r="110" spans="1:9" ht="18.75" customHeight="1" x14ac:dyDescent="0.15">
      <c r="A110" s="1" t="s">
        <v>29</v>
      </c>
      <c r="B110" s="244" t="s">
        <v>45</v>
      </c>
      <c r="C110" s="244"/>
      <c r="D110" s="244"/>
      <c r="E110" s="244"/>
      <c r="F110" s="244"/>
      <c r="G110" s="244"/>
      <c r="H110" s="244"/>
      <c r="I110" s="244"/>
    </row>
    <row r="111" spans="1:9" ht="18.75" customHeight="1" x14ac:dyDescent="0.15">
      <c r="A111" s="4"/>
      <c r="B111" s="235" t="s">
        <v>206</v>
      </c>
      <c r="C111" s="236"/>
      <c r="D111" s="236"/>
      <c r="E111" s="236"/>
      <c r="F111" s="236"/>
      <c r="G111" s="236"/>
      <c r="H111" s="236"/>
      <c r="I111" s="237"/>
    </row>
    <row r="112" spans="1:9" ht="18.75" customHeight="1" x14ac:dyDescent="0.15">
      <c r="A112" s="4"/>
      <c r="B112" s="238"/>
      <c r="C112" s="239"/>
      <c r="D112" s="239"/>
      <c r="E112" s="239"/>
      <c r="F112" s="239"/>
      <c r="G112" s="239"/>
      <c r="H112" s="239"/>
      <c r="I112" s="240"/>
    </row>
    <row r="113" spans="1:9" ht="18.75" customHeight="1" x14ac:dyDescent="0.15">
      <c r="A113" s="4"/>
      <c r="B113" s="238"/>
      <c r="C113" s="239"/>
      <c r="D113" s="239"/>
      <c r="E113" s="239"/>
      <c r="F113" s="239"/>
      <c r="G113" s="239"/>
      <c r="H113" s="239"/>
      <c r="I113" s="240"/>
    </row>
    <row r="114" spans="1:9" ht="18.75" customHeight="1" x14ac:dyDescent="0.15">
      <c r="A114" s="4"/>
      <c r="B114" s="238"/>
      <c r="C114" s="239"/>
      <c r="D114" s="239"/>
      <c r="E114" s="239"/>
      <c r="F114" s="239"/>
      <c r="G114" s="239"/>
      <c r="H114" s="239"/>
      <c r="I114" s="240"/>
    </row>
    <row r="115" spans="1:9" ht="18.75" customHeight="1" x14ac:dyDescent="0.15">
      <c r="A115" s="4"/>
      <c r="B115" s="238"/>
      <c r="C115" s="239"/>
      <c r="D115" s="239"/>
      <c r="E115" s="239"/>
      <c r="F115" s="239"/>
      <c r="G115" s="239"/>
      <c r="H115" s="239"/>
      <c r="I115" s="240"/>
    </row>
    <row r="116" spans="1:9" ht="18.75" customHeight="1" x14ac:dyDescent="0.15">
      <c r="A116" s="4"/>
      <c r="B116" s="238"/>
      <c r="C116" s="239"/>
      <c r="D116" s="239"/>
      <c r="E116" s="239"/>
      <c r="F116" s="239"/>
      <c r="G116" s="239"/>
      <c r="H116" s="239"/>
      <c r="I116" s="240"/>
    </row>
    <row r="117" spans="1:9" ht="18.75" customHeight="1" x14ac:dyDescent="0.15">
      <c r="A117" s="4"/>
      <c r="B117" s="238"/>
      <c r="C117" s="239"/>
      <c r="D117" s="239"/>
      <c r="E117" s="239"/>
      <c r="F117" s="239"/>
      <c r="G117" s="239"/>
      <c r="H117" s="239"/>
      <c r="I117" s="240"/>
    </row>
    <row r="118" spans="1:9" ht="18.75" customHeight="1" x14ac:dyDescent="0.15">
      <c r="A118" s="4"/>
      <c r="B118" s="238"/>
      <c r="C118" s="239"/>
      <c r="D118" s="239"/>
      <c r="E118" s="239"/>
      <c r="F118" s="239"/>
      <c r="G118" s="239"/>
      <c r="H118" s="239"/>
      <c r="I118" s="240"/>
    </row>
    <row r="119" spans="1:9" ht="18.75" customHeight="1" x14ac:dyDescent="0.15">
      <c r="A119" s="4"/>
      <c r="B119" s="238"/>
      <c r="C119" s="239"/>
      <c r="D119" s="239"/>
      <c r="E119" s="239"/>
      <c r="F119" s="239"/>
      <c r="G119" s="239"/>
      <c r="H119" s="239"/>
      <c r="I119" s="240"/>
    </row>
    <row r="120" spans="1:9" ht="18.75" customHeight="1" x14ac:dyDescent="0.15">
      <c r="A120" s="4"/>
      <c r="B120" s="238"/>
      <c r="C120" s="239"/>
      <c r="D120" s="239"/>
      <c r="E120" s="239"/>
      <c r="F120" s="239"/>
      <c r="G120" s="239"/>
      <c r="H120" s="239"/>
      <c r="I120" s="240"/>
    </row>
    <row r="121" spans="1:9" ht="18.75" customHeight="1" x14ac:dyDescent="0.15">
      <c r="A121" s="4"/>
      <c r="B121" s="238"/>
      <c r="C121" s="239"/>
      <c r="D121" s="239"/>
      <c r="E121" s="239"/>
      <c r="F121" s="239"/>
      <c r="G121" s="239"/>
      <c r="H121" s="239"/>
      <c r="I121" s="240"/>
    </row>
    <row r="122" spans="1:9" ht="18.75" customHeight="1" x14ac:dyDescent="0.15">
      <c r="A122" s="4"/>
      <c r="B122" s="241"/>
      <c r="C122" s="242"/>
      <c r="D122" s="242"/>
      <c r="E122" s="242"/>
      <c r="F122" s="242"/>
      <c r="G122" s="242"/>
      <c r="H122" s="242"/>
      <c r="I122" s="243"/>
    </row>
    <row r="123" spans="1:9" ht="7.5" customHeight="1" x14ac:dyDescent="0.15">
      <c r="A123" s="4"/>
      <c r="B123" s="46"/>
      <c r="C123" s="46"/>
      <c r="D123" s="46"/>
      <c r="E123" s="46"/>
      <c r="F123" s="46"/>
      <c r="G123" s="46"/>
      <c r="H123" s="46"/>
      <c r="I123" s="46"/>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8.75" customHeight="1" x14ac:dyDescent="0.15">
      <c r="A133" s="4"/>
      <c r="B133" s="4"/>
      <c r="C133" s="4"/>
      <c r="D133" s="4"/>
      <c r="E133" s="4"/>
      <c r="F133" s="4"/>
      <c r="G133" s="4"/>
      <c r="H133" s="4"/>
      <c r="I133" s="4"/>
    </row>
    <row r="134" spans="1:9" ht="18.75" customHeight="1" x14ac:dyDescent="0.15">
      <c r="A134" s="4"/>
      <c r="B134" s="4"/>
      <c r="C134" s="4"/>
      <c r="D134" s="4"/>
      <c r="E134" s="4"/>
      <c r="F134" s="4"/>
      <c r="G134" s="4"/>
      <c r="H134" s="4"/>
      <c r="I134" s="4"/>
    </row>
    <row r="135" spans="1:9" ht="18.75" customHeight="1" x14ac:dyDescent="0.15">
      <c r="A135" s="4"/>
      <c r="B135" s="4"/>
      <c r="C135" s="4"/>
      <c r="D135" s="4"/>
      <c r="E135" s="4"/>
      <c r="F135" s="4"/>
      <c r="G135" s="4"/>
      <c r="H135" s="4"/>
      <c r="I135" s="4"/>
    </row>
    <row r="136" spans="1:9" ht="14.25" x14ac:dyDescent="0.15">
      <c r="A136" s="4"/>
      <c r="B136" s="4"/>
      <c r="C136" s="4"/>
      <c r="D136" s="4"/>
      <c r="E136" s="4"/>
      <c r="F136" s="4"/>
      <c r="G136" s="4"/>
      <c r="H136" s="4"/>
      <c r="I136" s="4"/>
    </row>
    <row r="137" spans="1:9" ht="7.5" customHeight="1" x14ac:dyDescent="0.15">
      <c r="A137" s="47"/>
      <c r="B137" s="47"/>
      <c r="C137" s="47"/>
      <c r="D137" s="47"/>
      <c r="E137" s="47"/>
      <c r="F137" s="47"/>
      <c r="G137" s="47"/>
      <c r="H137" s="47"/>
      <c r="I137" s="47"/>
    </row>
  </sheetData>
  <mergeCells count="22">
    <mergeCell ref="B69:I80"/>
    <mergeCell ref="B83:I94"/>
    <mergeCell ref="C49:D49"/>
    <mergeCell ref="C50:D50"/>
    <mergeCell ref="F49:G49"/>
    <mergeCell ref="B52:I66"/>
    <mergeCell ref="B97:I108"/>
    <mergeCell ref="B110:I110"/>
    <mergeCell ref="B111:I122"/>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81"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B6" sqref="B6:H6"/>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70</v>
      </c>
      <c r="I1" s="34" t="s">
        <v>104</v>
      </c>
    </row>
    <row r="2" spans="1:9" ht="18.75" customHeight="1" x14ac:dyDescent="0.15">
      <c r="H2" s="34" t="s">
        <v>108</v>
      </c>
      <c r="I2" s="33" t="str">
        <f>'様式１-１　プログラムを構成する授業科目'!C2</f>
        <v>愛知学院大学</v>
      </c>
    </row>
    <row r="3" spans="1:9" ht="18.75" customHeight="1" x14ac:dyDescent="0.15">
      <c r="A3" s="171" t="s">
        <v>27</v>
      </c>
      <c r="B3" s="171"/>
      <c r="C3" s="171"/>
      <c r="D3" s="171"/>
      <c r="E3" s="171"/>
      <c r="F3" s="171"/>
      <c r="G3" s="171"/>
      <c r="H3" s="171"/>
      <c r="I3" s="171"/>
    </row>
    <row r="4" spans="1:9" ht="18.75" customHeight="1" x14ac:dyDescent="0.15">
      <c r="A4" s="5"/>
      <c r="B4" s="5"/>
      <c r="C4" s="5"/>
      <c r="D4" s="5"/>
      <c r="E4" s="5"/>
      <c r="F4" s="5"/>
      <c r="G4" s="5"/>
      <c r="H4" s="5"/>
      <c r="I4" s="5"/>
    </row>
    <row r="5" spans="1:9" ht="18.75" customHeight="1" x14ac:dyDescent="0.15">
      <c r="A5" s="1" t="s">
        <v>0</v>
      </c>
      <c r="B5" s="10" t="s">
        <v>94</v>
      </c>
      <c r="C5" s="5"/>
      <c r="D5" s="5"/>
      <c r="E5" s="5"/>
      <c r="F5" s="5"/>
      <c r="G5" s="5"/>
      <c r="H5" s="5"/>
      <c r="I5" s="5"/>
    </row>
    <row r="6" spans="1:9" ht="26.25" customHeight="1" x14ac:dyDescent="0.15">
      <c r="A6" s="5"/>
      <c r="B6" s="253" t="s">
        <v>194</v>
      </c>
      <c r="C6" s="294"/>
      <c r="D6" s="294"/>
      <c r="E6" s="294"/>
      <c r="F6" s="294"/>
      <c r="G6" s="294"/>
      <c r="H6" s="295"/>
      <c r="I6" s="3"/>
    </row>
    <row r="7" spans="1:9" ht="9" customHeight="1" x14ac:dyDescent="0.15">
      <c r="A7" s="5"/>
      <c r="B7" s="10"/>
      <c r="C7" s="10"/>
      <c r="D7" s="10"/>
      <c r="E7" s="10"/>
      <c r="F7" s="10"/>
      <c r="G7" s="10"/>
      <c r="H7" s="10"/>
      <c r="I7" s="3"/>
    </row>
    <row r="8" spans="1:9" ht="18.75" customHeight="1" x14ac:dyDescent="0.15">
      <c r="A8" s="5"/>
      <c r="B8" s="3"/>
      <c r="C8" s="3"/>
      <c r="D8" s="34" t="s">
        <v>42</v>
      </c>
      <c r="E8" s="35" t="s">
        <v>190</v>
      </c>
      <c r="F8" s="3"/>
      <c r="G8" s="34" t="s">
        <v>10</v>
      </c>
      <c r="H8" s="35" t="s">
        <v>191</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108" t="s">
        <v>23</v>
      </c>
      <c r="C11" s="109"/>
      <c r="D11" s="110"/>
      <c r="E11" s="109" t="s">
        <v>25</v>
      </c>
      <c r="F11" s="109"/>
      <c r="G11" s="109"/>
      <c r="H11" s="109"/>
      <c r="I11" s="110"/>
    </row>
    <row r="12" spans="1:9" ht="26.25" customHeight="1" x14ac:dyDescent="0.15">
      <c r="B12" s="48" t="s">
        <v>13</v>
      </c>
      <c r="C12" s="55"/>
      <c r="D12" s="49"/>
      <c r="E12" s="56"/>
      <c r="F12" s="56"/>
      <c r="G12" s="56"/>
      <c r="H12" s="56"/>
      <c r="I12" s="49"/>
    </row>
    <row r="13" spans="1:9" ht="210.75" customHeight="1" x14ac:dyDescent="0.15">
      <c r="B13" s="50"/>
      <c r="C13" s="292" t="s">
        <v>14</v>
      </c>
      <c r="D13" s="293"/>
      <c r="E13" s="289" t="s">
        <v>195</v>
      </c>
      <c r="F13" s="290"/>
      <c r="G13" s="290"/>
      <c r="H13" s="290"/>
      <c r="I13" s="291"/>
    </row>
    <row r="14" spans="1:9" ht="210.75" customHeight="1" x14ac:dyDescent="0.15">
      <c r="B14" s="50"/>
      <c r="C14" s="287" t="s">
        <v>15</v>
      </c>
      <c r="D14" s="288"/>
      <c r="E14" s="289" t="s">
        <v>207</v>
      </c>
      <c r="F14" s="290"/>
      <c r="G14" s="290"/>
      <c r="H14" s="290"/>
      <c r="I14" s="291"/>
    </row>
    <row r="15" spans="1:9" ht="210.75" customHeight="1" x14ac:dyDescent="0.15">
      <c r="B15" s="50"/>
      <c r="C15" s="292" t="s">
        <v>16</v>
      </c>
      <c r="D15" s="293"/>
      <c r="E15" s="289" t="s">
        <v>196</v>
      </c>
      <c r="F15" s="290"/>
      <c r="G15" s="290"/>
      <c r="H15" s="290"/>
      <c r="I15" s="291"/>
    </row>
    <row r="16" spans="1:9" ht="210.75" customHeight="1" x14ac:dyDescent="0.15">
      <c r="B16" s="50"/>
      <c r="C16" s="292" t="s">
        <v>17</v>
      </c>
      <c r="D16" s="293"/>
      <c r="E16" s="289" t="s">
        <v>197</v>
      </c>
      <c r="F16" s="290"/>
      <c r="G16" s="290"/>
      <c r="H16" s="290"/>
      <c r="I16" s="291"/>
    </row>
    <row r="17" spans="2:9" ht="210.75" customHeight="1" x14ac:dyDescent="0.15">
      <c r="B17" s="51"/>
      <c r="C17" s="296" t="s">
        <v>18</v>
      </c>
      <c r="D17" s="297"/>
      <c r="E17" s="298" t="s">
        <v>198</v>
      </c>
      <c r="F17" s="299"/>
      <c r="G17" s="299"/>
      <c r="H17" s="299"/>
      <c r="I17" s="300"/>
    </row>
    <row r="18" spans="2:9" ht="24" customHeight="1" x14ac:dyDescent="0.15">
      <c r="B18" s="48" t="s">
        <v>19</v>
      </c>
      <c r="C18" s="52"/>
      <c r="D18" s="53"/>
      <c r="E18" s="54"/>
      <c r="F18" s="54"/>
      <c r="G18" s="54"/>
      <c r="H18" s="54"/>
      <c r="I18" s="57"/>
    </row>
    <row r="19" spans="2:9" ht="218.25" customHeight="1" x14ac:dyDescent="0.15">
      <c r="B19" s="50"/>
      <c r="C19" s="292" t="s">
        <v>20</v>
      </c>
      <c r="D19" s="293"/>
      <c r="E19" s="290" t="s">
        <v>199</v>
      </c>
      <c r="F19" s="290"/>
      <c r="G19" s="290"/>
      <c r="H19" s="290"/>
      <c r="I19" s="291"/>
    </row>
    <row r="20" spans="2:9" ht="218.25" customHeight="1" x14ac:dyDescent="0.15">
      <c r="B20" s="51"/>
      <c r="C20" s="296" t="s">
        <v>21</v>
      </c>
      <c r="D20" s="297"/>
      <c r="E20" s="299" t="s">
        <v>200</v>
      </c>
      <c r="F20" s="299"/>
      <c r="G20" s="299"/>
      <c r="H20" s="299"/>
      <c r="I20" s="300"/>
    </row>
    <row r="21" spans="2:9" ht="218.25" customHeight="1" x14ac:dyDescent="0.15">
      <c r="B21" s="306" t="s">
        <v>22</v>
      </c>
      <c r="C21" s="307"/>
      <c r="D21" s="308"/>
      <c r="E21" s="309" t="s">
        <v>201</v>
      </c>
      <c r="F21" s="309"/>
      <c r="G21" s="309"/>
      <c r="H21" s="309"/>
      <c r="I21" s="310"/>
    </row>
    <row r="22" spans="2:9" ht="218.25" customHeight="1" x14ac:dyDescent="0.15">
      <c r="B22" s="301" t="s">
        <v>37</v>
      </c>
      <c r="C22" s="302"/>
      <c r="D22" s="303"/>
      <c r="E22" s="304" t="s">
        <v>202</v>
      </c>
      <c r="F22" s="304"/>
      <c r="G22" s="304"/>
      <c r="H22" s="304"/>
      <c r="I22" s="305"/>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11</vt:i4>
      </vt:variant>
    </vt:vector>
  </HeadingPairs>
  <TitlesOfParts>
    <vt:vector size="21" baseType="lpstr">
      <vt:lpstr>様式１-１　プログラムを構成する授業科目</vt:lpstr>
      <vt:lpstr>様式１-２　プログラムを構成する授業科目</vt:lpstr>
      <vt:lpstr>様式１-３　プログラムを構成する授業科目</vt:lpstr>
      <vt:lpstr>様式１-４　プログラムを構成する授業科目</vt:lpstr>
      <vt:lpstr>様式１-５　プログラムを構成する授業科目</vt:lpstr>
      <vt:lpstr>様式１-６　プログラムを構成する授業科目</vt:lpstr>
      <vt:lpstr>様式１-7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'様式１-３　プログラムを構成する授業科目'!Print_Area</vt:lpstr>
      <vt:lpstr>'様式１-４　プログラムを構成する授業科目'!Print_Area</vt:lpstr>
      <vt:lpstr>'様式１-５　プログラムを構成する授業科目'!Print_Area</vt:lpstr>
      <vt:lpstr>'様式１-６　プログラムを構成する授業科目'!Print_Area</vt:lpstr>
      <vt:lpstr>'様式１-7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Administrator</cp:lastModifiedBy>
  <cp:lastPrinted>2023-06-28T05:22:54Z</cp:lastPrinted>
  <dcterms:created xsi:type="dcterms:W3CDTF">2011-06-14T05:32:50Z</dcterms:created>
  <dcterms:modified xsi:type="dcterms:W3CDTF">2023-06-28T07:38:25Z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