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defaultThemeVersion="124226"/>
  <mc:AlternateContent xmlns:mc="http://schemas.openxmlformats.org/markup-compatibility/2006">
    <mc:Choice Requires="x15">
      <x15ac:absPath xmlns:x15ac="http://schemas.microsoft.com/office/spreadsheetml/2010/11/ac" url="Y:\教職員共通\データサイエンス\申請書関連\申請書類置き場\修正関連0718\"/>
    </mc:Choice>
  </mc:AlternateContent>
  <xr:revisionPtr revIDLastSave="0" documentId="13_ncr:1_{D1046D84-C8C4-4103-83B5-3EDC519F80C4}" xr6:coauthVersionLast="47" xr6:coauthVersionMax="47" xr10:uidLastSave="{00000000-0000-0000-0000-000000000000}"/>
  <bookViews>
    <workbookView xWindow="-120" yWindow="-120" windowWidth="20730" windowHeight="11160" tabRatio="885" activeTab="1" xr2:uid="{00000000-000D-0000-FFFF-FFFF00000000}"/>
  </bookViews>
  <sheets>
    <sheet name="様式１-1　プログラムを構成する授業科目" sheetId="39" r:id="rId1"/>
    <sheet name="様式１-２　プログラムを構成する授業科目" sheetId="44" r:id="rId2"/>
    <sheet name="様式２ 履修者等数の実績" sheetId="40" r:id="rId3"/>
    <sheet name="様式３ 教育の質・履修者数を向上させるための体制・計画" sheetId="41" r:id="rId4"/>
    <sheet name="様式４　自己点検・評価" sheetId="42" r:id="rId5"/>
  </sheets>
  <definedNames>
    <definedName name="_xlnm._FilterDatabase" localSheetId="0" hidden="1">'様式１-1　プログラムを構成する授業科目'!$V$14:$V$16</definedName>
    <definedName name="_xlnm._FilterDatabase" localSheetId="1" hidden="1">'様式１-２　プログラムを構成する授業科目'!$V$14:$V$16</definedName>
    <definedName name="_xlnm._FilterDatabase" localSheetId="2" hidden="1">'様式２ 履修者等数の実績'!#REF!</definedName>
    <definedName name="_xlnm.Print_Area" localSheetId="0">'様式１-1　プログラムを構成する授業科目'!$A$1:$S$102</definedName>
    <definedName name="_xlnm.Print_Area" localSheetId="1">'様式１-２　プログラムを構成する授業科目'!$A$1:$S$102</definedName>
    <definedName name="_xlnm.Print_Area" localSheetId="2">'様式２ 履修者等数の実績'!$A$1:$AQ$32</definedName>
    <definedName name="_xlnm.Print_Area" localSheetId="3">'様式３ 教育の質・履修者数を向上させるための体制・計画'!$A$1:$I$120</definedName>
    <definedName name="_xlnm.Print_Area" localSheetId="4">'様式４　自己点検・評価'!$A$1:$I$22</definedName>
    <definedName name="_xlnm.Print_Titles" localSheetId="4">'様式４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<sst xmlns="http://schemas.openxmlformats.org/spreadsheetml/2006/main" count="553" uniqueCount="208">
  <si>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</si>
  <si>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</si>
  <si>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</si>
  <si>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</si>
  <si>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</si>
  <si>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</si>
  <si>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</si>
  <si>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</si>
  <si>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</si>
  <si>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</si>
  <si>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</si>
  <si>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</si>
  <si>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</si>
  <si>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</si>
  <si>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</si>
  <si>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</si>
  <si>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</si>
  <si>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</si>
  <si>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</si>
  <si>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</si>
  <si>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</si>
  <si>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</si>
  <si>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</si>
  <si>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</si>
  <si>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</si>
  <si>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</si>
  <si>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</si>
  <si>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</si>
  <si>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</si>
  <si>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</si>
  <si>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</si>
  <si>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</si>
  <si>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</si>
  <si>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</si>
  <si>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</si>
  <si>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</si>
  <si>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</si>
  <si>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</si>
  <si>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</si>
  <si>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</si>
  <si>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</si>
  <si>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</si>
  <si>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</si>
  <si>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</si>
  <si>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</si>
  <si>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</si>
  <si>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</si>
  <si>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</si>
  <si>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</si>
  <si>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</si>
  <si>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</si>
  <si>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</si>
  <si>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</si>
  <si>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</si>
  <si>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</si>
  <si>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</si>
  <si>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</si>
  <si>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</si>
  <si>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</si>
  <si>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</si>
  <si>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</si>
  <si>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</si>
  <si>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</si>
  <si>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</si>
  <si>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</si>
  <si>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</si>
  <si>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</si>
  <si>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</si>
  <si>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</si>
  <si>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</si>
  <si>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</si>
  <si>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</si>
  <si>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</si>
  <si>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</si>
  <si>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</si>
  <si>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</si>
  <si>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</si>
  <si>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</si>
  <si>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</si>
  <si>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</si>
  <si>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</si>
  <si>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</si>
  <si>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</si>
  <si>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</si>
  <si>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</si>
  <si>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</si>
  <si>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</si>
  <si>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</si>
  <si>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</si>
  <si>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</si>
  <si>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</si>
  <si>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</si>
  <si>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</si>
  <si>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</si>
  <si>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</si>
  <si>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</si>
  <si>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</si>
  <si>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</si>
  <si>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</si>
  <si>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</si>
  <si>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</si>
  <si>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</si>
  <si>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</si>
  <si>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</si>
  <si>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</si>
  <si>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</si>
  <si>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</si>
  <si>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</si>
  <si>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</si>
  <si>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</si>
  <si>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</si>
  <si>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</si>
  <si>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</si>
  <si>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</si>
  <si>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</si>
  <si>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</si>
  <si>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</si>
  <si>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</si>
  <si>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</si>
  <si>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</si>
  <si>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</si>
  <si>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</si>
  <si>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</si>
  <si>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</si>
  <si>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</si>
  <si>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</si>
  <si>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様式１−１</t>
    <rPh sb="0" eb="2">
      <t>ヨウシキ</t>
    </rPh>
    <phoneticPr fontId="1"/>
  </si>
  <si>
    <t>様式１−２</t>
    <rPh sb="0" eb="2">
      <t>ヨウシキ</t>
    </rPh>
    <phoneticPr fontId="1"/>
  </si>
  <si>
    <t>函館短期大学</t>
    <rPh sb="0" eb="2">
      <t xml:space="preserve">ハコダテ </t>
    </rPh>
    <rPh sb="2" eb="6">
      <t xml:space="preserve">タンキダイガク </t>
    </rPh>
    <phoneticPr fontId="1"/>
  </si>
  <si>
    <t>栄養士・保育士のためのICT・数理・データサイエンス・AI教育プログラム</t>
    <phoneticPr fontId="1"/>
  </si>
  <si>
    <t>学部・学科によって、修了要件は相違する</t>
  </si>
  <si>
    <t>食物栄養学科</t>
    <rPh sb="0" eb="6">
      <t xml:space="preserve">ショクモツエイヨウガッカ </t>
    </rPh>
    <phoneticPr fontId="1"/>
  </si>
  <si>
    <t>○</t>
  </si>
  <si>
    <t>データサイエンス入門</t>
    <phoneticPr fontId="1"/>
  </si>
  <si>
    <t>情報機器の操作II</t>
    <phoneticPr fontId="1"/>
  </si>
  <si>
    <t>コンピュータリテラシーP</t>
    <phoneticPr fontId="1"/>
  </si>
  <si>
    <t>コンピュータリテラシーE</t>
    <phoneticPr fontId="1"/>
  </si>
  <si>
    <t>○</t>
    <phoneticPr fontId="1"/>
  </si>
  <si>
    <t>データサイエンス入門</t>
    <rPh sb="8" eb="10">
      <t xml:space="preserve">ニュウモン </t>
    </rPh>
    <phoneticPr fontId="1"/>
  </si>
  <si>
    <t>コンピュータリテラシーW</t>
    <phoneticPr fontId="1"/>
  </si>
  <si>
    <t>4-1統計および数理基礎</t>
  </si>
  <si>
    <t>4‐2アルゴリズム基礎</t>
  </si>
  <si>
    <t>4‐3データ構造とプログラミング基礎</t>
  </si>
  <si>
    <t>4‐7データハンドリング</t>
  </si>
  <si>
    <t>4‐9データ活用実践（教師なし学習）</t>
  </si>
  <si>
    <t>保育学科</t>
    <rPh sb="0" eb="4">
      <t xml:space="preserve">ホイクガッカ </t>
    </rPh>
    <phoneticPr fontId="1"/>
  </si>
  <si>
    <t>保育・教職実践演習</t>
    <rPh sb="0" eb="2">
      <t xml:space="preserve">ホイク </t>
    </rPh>
    <rPh sb="3" eb="5">
      <t xml:space="preserve">キョウショク </t>
    </rPh>
    <rPh sb="5" eb="9">
      <t xml:space="preserve">ジッセンエンシュウ </t>
    </rPh>
    <phoneticPr fontId="1"/>
  </si>
  <si>
    <t>保育・教職実践演習</t>
    <phoneticPr fontId="1"/>
  </si>
  <si>
    <t>本プログラムを通して学生が身につける能力等を以下に示す。
・Society5.0について説明することができる。
・データサイエンスの概念、および最新の動向について説明することができる。
・データ解析を行うことができる。
・ICTを適切に活用することができる。
・種々のAIを適切に活用することができる。
・機械学習について説明できる。
・プログラミング言語を用いた初歩的な統計解析技術を理解する。
・実データの分析を通して組織等の課題解決に求められる素養を身につける。
・上記の知識や技術を保育士の現場に有効活用できる。</t>
    <rPh sb="0" eb="1">
      <t xml:space="preserve">ホンプログラム </t>
    </rPh>
    <rPh sb="7" eb="8">
      <t xml:space="preserve">トオシテ </t>
    </rPh>
    <rPh sb="10" eb="12">
      <t xml:space="preserve">ガクセイガ </t>
    </rPh>
    <rPh sb="13" eb="14">
      <t xml:space="preserve">ミニツケル </t>
    </rPh>
    <rPh sb="18" eb="20">
      <t xml:space="preserve">ノウリョク </t>
    </rPh>
    <rPh sb="20" eb="21">
      <t xml:space="preserve">トウハ </t>
    </rPh>
    <rPh sb="22" eb="24">
      <t xml:space="preserve">イカ </t>
    </rPh>
    <rPh sb="25" eb="26">
      <t xml:space="preserve">シメス </t>
    </rPh>
    <rPh sb="245" eb="247">
      <t xml:space="preserve">ホイク </t>
    </rPh>
    <phoneticPr fontId="1"/>
  </si>
  <si>
    <t>保育学科</t>
    <rPh sb="0" eb="2">
      <t xml:space="preserve">ホイク </t>
    </rPh>
    <rPh sb="2" eb="4">
      <t xml:space="preserve">ガッカ </t>
    </rPh>
    <phoneticPr fontId="1"/>
  </si>
  <si>
    <t>澤辺　桃子</t>
    <rPh sb="0" eb="1">
      <t xml:space="preserve">サワ </t>
    </rPh>
    <rPh sb="1" eb="2">
      <t xml:space="preserve">ヘン </t>
    </rPh>
    <rPh sb="3" eb="5">
      <t xml:space="preserve">モモコ </t>
    </rPh>
    <phoneticPr fontId="1"/>
  </si>
  <si>
    <t>学長</t>
    <rPh sb="0" eb="2">
      <t xml:space="preserve">ガクチョウ </t>
    </rPh>
    <phoneticPr fontId="1"/>
  </si>
  <si>
    <t>函館短期大学　栄養士・保育士のためのICT・数理・データサイエンス・AI教育プログラム規程</t>
    <phoneticPr fontId="1"/>
  </si>
  <si>
    <t>　令和４年度では、本プログラムの運用を開始し、授業アンケートによる講義内容の改善を実施した。
　令和５年度では、本プログラム内容をSNS等さまざまな手段で周知し、さらに、履修登録前に本プログラムの全学説明を実施し、履修者増を目指す。また、授業アンケーをもとに、学生が本プログラム関連科目を履修しやすい時間割を検討する。
　令和６年度では、本プログラム修了生の就職先を中心としたヒアリングを行い、現場のニーズを捉えた教育プログラムの充実化を実施する。また、本プログラム必修科目である「データサイエンス入門」の卒業必修科目化のための学則等の変更を実施する。
　令和７−８年度では、本プログラム修了生の就職先を中心としたヒアリングを引き続き実施し、現場のニーズを捉えた教育プログラムの充実化を図るとともに、本プログラム選択科目必修化を進め、履修率100%を達成する。</t>
    <phoneticPr fontId="1"/>
  </si>
  <si>
    <t>　本学のプログラムでは、食物栄養学科および保育学科の共通科目に全学共通科目である「情報機器の操作I」、「情報機器の操作II」、「データサイエンス入門」をプログラム必修科目として設置しており、学科に関係なく本プログラムを希望する者に対してプログラムを受講できるようにしている。また、本プログラム選択科目である「コンピュータリテラシーW」、「コンピュータリテラシーE」、「コンピュータリテラシーP」においても共通科目として、全学生が等しく本プログラムを受講できるよう設計されている。</t>
    <rPh sb="124" eb="126">
      <t xml:space="preserve">ジュコウ </t>
    </rPh>
    <phoneticPr fontId="1"/>
  </si>
  <si>
    <t>　本教育プログラムに関する説明を入学時全体オリエンテーションで行っている。また、プログラム内容に関する説明資料を学生一人一人に配布するとともに、学生用掲示板にもプログラム案内ポスターを設置し学生周知に努めている。また、学生の履修登録作業には教員および教務担当事務員が立ち会い、プログラム受講を迷っている学生への補足説明などを実施し、できる限り多くの学生が取得できるようなサポート体制を敷いている。さらに、夏季休暇明けの後期授業前オリエンテーションにおいても再度本教育プログラムの説明を実施し、学期途中からの追加履修登録を促している。</t>
    <rPh sb="2" eb="4">
      <t xml:space="preserve">キョウイク </t>
    </rPh>
    <rPh sb="85" eb="87">
      <t xml:space="preserve">アンナイ </t>
    </rPh>
    <rPh sb="95" eb="97">
      <t xml:space="preserve">ガクセイ </t>
    </rPh>
    <rPh sb="231" eb="233">
      <t xml:space="preserve">キョウイク </t>
    </rPh>
    <rPh sb="253" eb="255">
      <t xml:space="preserve">ツイカ </t>
    </rPh>
    <phoneticPr fontId="1"/>
  </si>
  <si>
    <t>自己点検・評価委員会</t>
    <rPh sb="0" eb="4">
      <t xml:space="preserve">ジコテンケン </t>
    </rPh>
    <rPh sb="5" eb="7">
      <t xml:space="preserve">ヒョウカ </t>
    </rPh>
    <rPh sb="7" eb="10">
      <t xml:space="preserve">イインカイ </t>
    </rPh>
    <phoneticPr fontId="1"/>
  </si>
  <si>
    <t>澤辺　桃子</t>
    <rPh sb="1" eb="2">
      <t xml:space="preserve">ヘン </t>
    </rPh>
    <rPh sb="3" eb="5">
      <t xml:space="preserve">モモコ </t>
    </rPh>
    <phoneticPr fontId="1"/>
  </si>
  <si>
    <t>　学生には小テスト、期末考査、課題等を課し、各講義科目で設定されるルーブリックにしたがって評価された結果に基づいて学修成果の把握を行っている。また、授業アンケートにおける「授業の内容に興味・関心を持つことができましたか」、「この授業は全体として満足できるものでしたか」の項目、および、自由意見記載欄のコメントをIR委員会が分析することで、評点には表れてこない学生の学修成果度を把握している。</t>
    <rPh sb="22" eb="23">
      <t xml:space="preserve">カク </t>
    </rPh>
    <rPh sb="23" eb="27">
      <t xml:space="preserve">コウギカモク </t>
    </rPh>
    <rPh sb="28" eb="30">
      <t xml:space="preserve">セッテイサレル </t>
    </rPh>
    <rPh sb="53" eb="54">
      <t xml:space="preserve">モトヅイテル </t>
    </rPh>
    <rPh sb="169" eb="171">
      <t xml:space="preserve">ヒョウテン </t>
    </rPh>
    <phoneticPr fontId="1"/>
  </si>
  <si>
    <t>　授業アンケートにおける「教員の説明のしかたや話し方がわかりやすいものでしたか」、「授業の進めかた板書やスライドはみやすい（わかりやすい）ものでしたか」、「授業の内容に興味・関心を持つことができましたか」、「授業内容が理解しやすいようにくふうされていましたか」、「この授業は全体として満足できるものでしたか」の結果を基にして学生の内容理解度を把握するようになっている。</t>
    <phoneticPr fontId="1"/>
  </si>
  <si>
    <t>　プログラム受講者からは、「受けないのが勿体ない」、「エクセルパワポもデータサイエンスの3人の先生から教わりたいです」、「プログラミングに興味があったので、授業内容も楽しく意欲的に取り組むことができました。」「プログラミングやデータと聞くと難しいイメージで、実際むずかしかったのですが、それぞれの先生が噛み砕いて分かりやすく説明をしてくださったので、ためになる授業でした。」、などの肯定的なコメントが寄せられており、プログラム受講者の他学生への推奨度は高い結果が得られている。</t>
    <phoneticPr fontId="1"/>
  </si>
  <si>
    <t xml:space="preserve">　履修者増を目指した時間割、周知方法の改善を実施している。また、プログラム面での改善として、プログラム必修科目「データサイエンス入門」の全学生必修化のための学則等の見直しを検討している。さらに、履修率の増加を目指し、選択科目「コンピュータリテラシーP/E/W」の必修化を検討している。
</t>
    <rPh sb="37" eb="38">
      <t xml:space="preserve">メン </t>
    </rPh>
    <rPh sb="40" eb="42">
      <t xml:space="preserve">カイゼン </t>
    </rPh>
    <rPh sb="51" eb="53">
      <t xml:space="preserve">ヒッシュウ </t>
    </rPh>
    <rPh sb="53" eb="55">
      <t xml:space="preserve">カモクノ </t>
    </rPh>
    <rPh sb="64" eb="66">
      <t xml:space="preserve">ニュウモン </t>
    </rPh>
    <rPh sb="71" eb="73">
      <t xml:space="preserve">ヒッシュウ </t>
    </rPh>
    <rPh sb="73" eb="74">
      <t xml:space="preserve">カ </t>
    </rPh>
    <rPh sb="86" eb="88">
      <t xml:space="preserve">ケントウシテイル </t>
    </rPh>
    <rPh sb="97" eb="100">
      <t xml:space="preserve">リシュウリツ </t>
    </rPh>
    <rPh sb="101" eb="103">
      <t xml:space="preserve">ゾウカ </t>
    </rPh>
    <rPh sb="104" eb="106">
      <t xml:space="preserve">メザシ </t>
    </rPh>
    <rPh sb="108" eb="112">
      <t xml:space="preserve">センタクカモク </t>
    </rPh>
    <rPh sb="131" eb="133">
      <t xml:space="preserve">ヒッシュウ </t>
    </rPh>
    <rPh sb="133" eb="134">
      <t xml:space="preserve">カ ケントウシテイル </t>
    </rPh>
    <phoneticPr fontId="1"/>
  </si>
  <si>
    <t>　本プログラムは令和４度が開始年度である。開始年度のプログラム修了者は５名で、進路の内訳は、保育士３名、栄養士１名、事務員１名となっている。修了者の全てが就業開始年度にあたるため、活躍状況や企業等の評価は得られていない。今後、本プログラム修了生の就業先へのヒヤリング等の実施を進めていく予定である。</t>
    <phoneticPr fontId="1"/>
  </si>
  <si>
    <t>　栄養士、保育士の現場に即応できるようなプログラム内容となるよう、本プログラム修了生の就職先を筆頭とした関係各所から本プログラムに対する要望等を把握する準備を進めている。</t>
    <phoneticPr fontId="1"/>
  </si>
  <si>
    <t>　本プログラムは、履修登録前のオリエンテーションにてプログラム担当教員からプログラムの修得がいかに有用であるか説明を受け、その重要性を理解した上でプログラム履修するように徹底されている。また、本プログラムは、将来の就業環境に即応するための実践力が備わるよう、演習中心の講義科目で構成され、各講義で設定された到達目標に向けて主体的に取り組めるよう配慮されている。また、食物栄養学科と保育学科で共通する科目については、所属する学科に違いで講義の理解度に差が生じないよう、初歩的な内容から講義が展開されていくよう配慮がなされている。本学の学生の満足度は5点満点中平均４以上であった。</t>
    <phoneticPr fontId="1"/>
  </si>
  <si>
    <t>　一部の講義についてアーカイブ化した講義の視聴を試験的に実施した。本プログラムを希望する学生がいつでも講義を受講できるよう、講義のオンデマンド化について検討していく。</t>
    <rPh sb="1" eb="3">
      <t xml:space="preserve">イチブノ </t>
    </rPh>
    <rPh sb="4" eb="6">
      <t xml:space="preserve">コウギニ </t>
    </rPh>
    <rPh sb="15" eb="16">
      <t xml:space="preserve">カ </t>
    </rPh>
    <rPh sb="18" eb="20">
      <t xml:space="preserve">コウギ </t>
    </rPh>
    <rPh sb="21" eb="23">
      <t xml:space="preserve">シチョウガ </t>
    </rPh>
    <rPh sb="24" eb="27">
      <t xml:space="preserve">シケンテキ </t>
    </rPh>
    <rPh sb="28" eb="30">
      <t xml:space="preserve">ジッシ </t>
    </rPh>
    <rPh sb="33" eb="34">
      <t xml:space="preserve">ホンプログラム </t>
    </rPh>
    <rPh sb="40" eb="42">
      <t xml:space="preserve">キボウスルガクセイガ </t>
    </rPh>
    <rPh sb="51" eb="53">
      <t xml:space="preserve">コウギ </t>
    </rPh>
    <rPh sb="54" eb="56">
      <t xml:space="preserve">ジュコウスル </t>
    </rPh>
    <rPh sb="62" eb="64">
      <t xml:space="preserve">コウギノ </t>
    </rPh>
    <rPh sb="71" eb="72">
      <t xml:space="preserve">カ </t>
    </rPh>
    <rPh sb="76" eb="78">
      <t xml:space="preserve">ケントウ </t>
    </rPh>
    <phoneticPr fontId="1"/>
  </si>
  <si>
    <t>　学内専用の講義等連絡システム（Campusmate-J）を学生及び教員が常時利用できるようになっている。また、担当教員と対面でのコンタクトを取るための各種情報（オフィスアワー、研究室、メールアドレス、内線番号）を学生に周知している。</t>
    <phoneticPr fontId="1"/>
  </si>
  <si>
    <t>　本学内のオンライン上の教務システムである「Campusmate-J」を利用することで、学生の出欠、履修状況、レポート等の課題提出状況などを随時取得することができるようになっている。
　また、本プログラム開始初年では、必修科目である「データサイエンス入門」および選択科目である「コンピューターリテラシーW/P/E」の履修者数が低い結果となった。これについては、学生の入学時点からの本プログラムに対する説明を十分に行うことができなかったことが主な原因と考えられるため、プログラムの必要性等を履修登録前に丁寧に説明する機会を設けることで対応している。</t>
    <rPh sb="220" eb="221">
      <t xml:space="preserve">オモナ </t>
    </rPh>
    <rPh sb="225" eb="226">
      <t xml:space="preserve">カンガエラレル </t>
    </rPh>
    <rPh sb="260" eb="261">
      <t xml:space="preserve">モウケル </t>
    </rPh>
    <phoneticPr fontId="1"/>
  </si>
  <si>
    <t>教務委員会</t>
    <rPh sb="0" eb="2">
      <t>キョウム</t>
    </rPh>
    <rPh sb="2" eb="5">
      <t>イインカイ</t>
    </rPh>
    <phoneticPr fontId="1"/>
  </si>
  <si>
    <t>鈴木　英悟</t>
    <rPh sb="0" eb="2">
      <t>スズキ</t>
    </rPh>
    <rPh sb="3" eb="5">
      <t>エイゴ</t>
    </rPh>
    <phoneticPr fontId="1"/>
  </si>
  <si>
    <t>教授</t>
    <rPh sb="0" eb="2">
      <t>キョウジュ</t>
    </rPh>
    <phoneticPr fontId="1"/>
  </si>
  <si>
    <t>教務委員会
　教務委員長：教授　鈴木英悟（食物栄養学科）
　教務副委員長：学長　澤辺桃子、准教授　白府士孝（保育学科）
　委員：専任教員7名、事務局6名
教務委員会　データサイエンスWG（ワーキンググループ）
　食物栄養学科　教授　鈴木英悟　教務委員長
　食物栄養学科　専任講師　梅影創　委員（WG座長）
　保育学科　専任講師　野呂祐人　委員（WG副座長）
　保育学科　教授　白幡俊人　委員
　食物栄養学科　助教　伊木亜子　委員
　事務局　事務局長　林原和哉　委員
　事務局　入試広報課長　山川達也　委員</t>
    <rPh sb="0" eb="2">
      <t>キョウム</t>
    </rPh>
    <rPh sb="2" eb="5">
      <t>イインカイ</t>
    </rPh>
    <rPh sb="7" eb="9">
      <t>キョウム</t>
    </rPh>
    <rPh sb="9" eb="12">
      <t>イインチョウ</t>
    </rPh>
    <rPh sb="13" eb="15">
      <t>キョウジュ</t>
    </rPh>
    <rPh sb="16" eb="18">
      <t>スズキ</t>
    </rPh>
    <rPh sb="18" eb="20">
      <t>エイゴ</t>
    </rPh>
    <rPh sb="21" eb="23">
      <t>ショクモツ</t>
    </rPh>
    <rPh sb="23" eb="25">
      <t>エイヨウ</t>
    </rPh>
    <rPh sb="25" eb="27">
      <t>ガッカ</t>
    </rPh>
    <rPh sb="30" eb="32">
      <t>キョウム</t>
    </rPh>
    <rPh sb="32" eb="33">
      <t>フク</t>
    </rPh>
    <rPh sb="33" eb="36">
      <t>イインチョウ</t>
    </rPh>
    <rPh sb="37" eb="39">
      <t>ガクチョウ</t>
    </rPh>
    <rPh sb="40" eb="42">
      <t>サワベ</t>
    </rPh>
    <rPh sb="42" eb="44">
      <t>モモコ</t>
    </rPh>
    <rPh sb="45" eb="48">
      <t>ジュンキョウジュ</t>
    </rPh>
    <rPh sb="49" eb="51">
      <t>シラフ</t>
    </rPh>
    <rPh sb="51" eb="52">
      <t>シ</t>
    </rPh>
    <rPh sb="54" eb="56">
      <t>ホイク</t>
    </rPh>
    <rPh sb="56" eb="58">
      <t>ガッカ</t>
    </rPh>
    <rPh sb="61" eb="63">
      <t>イイン</t>
    </rPh>
    <rPh sb="64" eb="66">
      <t>センニン</t>
    </rPh>
    <rPh sb="66" eb="68">
      <t>キョウイン</t>
    </rPh>
    <rPh sb="69" eb="70">
      <t>メイ</t>
    </rPh>
    <rPh sb="71" eb="74">
      <t>ジムキョク</t>
    </rPh>
    <rPh sb="75" eb="76">
      <t>メイ</t>
    </rPh>
    <phoneticPr fontId="1"/>
  </si>
  <si>
    <t>　「数理・データサイエンス・AI教育プログラム認定制度」に基づいて「函館短期大学　栄養士・保育士のためのICT・数理・データサイエンス・AI教育プログラム規程」を整備した。教務委員会が主たる役割を担い、函館短期大学に栄養士・保育士のためのICT・数理・データサイエンス・AI教育プログラムを設置し、デジタル社会の「読み・書き・そろばん」であるICT・数理・データサイエンス・AIの基礎的素養を持つ人材を育成することを目的とする。教務委員会の構成員による作業チームとして、データサイエンスワーキンググループを作り、プログラムの改善・進化に努める。</t>
    <phoneticPr fontId="1"/>
  </si>
  <si>
    <t>授業アンケートに講義の良かったところ、および改善点について自由記載できる項目を設けて学生からの要望を受け付け、授業改善に活かしている。また、演習課題を課して学生の理解度を把握し、授業内容の分かりやすさを評価する指標とする。さらに、分野の流行りすたりを考慮し、年度毎に講義内容の見直しを行い、講義内容の陳腐化を防ぐよう努めている。本プログラムに対する期待や要望については、外部（栄養士、保育士の職場）からのヒアリング結果を活かすための準備を進めている。</t>
    <phoneticPr fontId="1"/>
  </si>
  <si>
    <t>本プログラムを通して学生が身につける能力等を以下に示す。
・Society5.0について説明することができる。
・データサイエンスの概念、および最新の動向について説明することができる。
・データ解析を行うことができる。
・ICTを適切に活用することができる。
・種々のAIを適切に活用することができる。
・機械学習について説明できる。
・プログラミング言語を用いた初歩的な統計解析技術を理解する。
・実データの分析を通して組織等の課題解決に求められる素養を身につける。
・上記の知識や技術を栄養士の現場に有効活用できる。</t>
    <phoneticPr fontId="1"/>
  </si>
  <si>
    <t>栄養指導実習I</t>
    <phoneticPr fontId="1"/>
  </si>
  <si>
    <t>プログラムを構成する「必修科目群（下記１〜５）」の5単位、「選択科目群（下記６〜８）」から１単位以上、合計６単位以上を取得すること。
必修科目群：１．情報機器の操作I（１単位）、２．情報機器の操作II（１単位）、３．給食管理実習I（1単位）、４．栄養指導実習I（１単位）５. データサイエンス入門（１単位）
選択科目群：６．コンピュータリテラシーW（1単位）、７．コンピュータリテラシーE（１単位）、８．コンピュータリテラシーP（１単位）</t>
    <phoneticPr fontId="1"/>
  </si>
  <si>
    <t>情報機器の操作IⅠ</t>
    <phoneticPr fontId="1"/>
  </si>
  <si>
    <t>情報機器の操作Ⅱ</t>
    <phoneticPr fontId="1"/>
  </si>
  <si>
    <t>コンピュータリテラシーＷ</t>
    <phoneticPr fontId="1"/>
  </si>
  <si>
    <t>コンピュータリテラシーＥ</t>
    <phoneticPr fontId="1"/>
  </si>
  <si>
    <t>コンピュータリテラシーＰ</t>
    <phoneticPr fontId="1"/>
  </si>
  <si>
    <t>給食管理実習I</t>
    <phoneticPr fontId="1"/>
  </si>
  <si>
    <t>情報機器の操作Ⅰ</t>
    <phoneticPr fontId="1"/>
  </si>
  <si>
    <t>情報機器の操作I</t>
    <phoneticPr fontId="1"/>
  </si>
  <si>
    <t>・第4次産業革命、ビックデータ、ロボット、データ駆動型社会、AI、データを起点としたものの見方、人間の知的活動を起点としたものの見方「データサイエンス入門」（第1回）
・AIの非連続的進化、複数の技術を組み合わせたAIサービス「データサイエンス入門」（第9回）</t>
    <phoneticPr fontId="1"/>
  </si>
  <si>
    <t>・第4次産業革命、ビックデータ、ロボット、データ駆動型社会、AI、データを起点としたものの見方、人間の知的活動を起点としたものの見方「データサイエンス入門」（第1回）
・AIの非連続的進化、複数の技術を組み合わせたAIサービス「データサイエンス入門」（第9回）
・データを起点としたものの見方「保育・教育実践演習」（第8回）</t>
    <phoneticPr fontId="1"/>
  </si>
  <si>
    <t>・AI等を活用した新しいビジネスモデル、AI最新技術の活用例「データサイエンス入門」（第1、10、11回）
・AI最新技術の活用例（深層生成モデル、敵対的生成ネットワーク、強化学習、転移学習）「データサイエンス入門」（第9回）
・AI最新技術の活用例「情報機器の操作II」（第15回）</t>
    <rPh sb="66" eb="68">
      <t>シンソウ</t>
    </rPh>
    <rPh sb="68" eb="70">
      <t>セイセイ</t>
    </rPh>
    <rPh sb="74" eb="77">
      <t>テキタイテキ</t>
    </rPh>
    <rPh sb="77" eb="79">
      <t>セイセイ</t>
    </rPh>
    <rPh sb="86" eb="87">
      <t>キョウ</t>
    </rPh>
    <rPh sb="87" eb="88">
      <t>カ</t>
    </rPh>
    <rPh sb="88" eb="90">
      <t>ガクシュウ</t>
    </rPh>
    <rPh sb="91" eb="93">
      <t>テンイ</t>
    </rPh>
    <rPh sb="93" eb="95">
      <t>ガクシュウ</t>
    </rPh>
    <phoneticPr fontId="1"/>
  </si>
  <si>
    <t>・探索的データ解析やデータ解析と推論、課題解決に向けた提案「データサイエンス入門」（第8回）
・AI利活用事例「データサイエンス入門」（第9、10、11回）
・AI利活用事例「情報機器の操作II」（第15回）
・AI利活用事例「栄養指導実習I」（第1回）</t>
    <phoneticPr fontId="1"/>
  </si>
  <si>
    <t>・データ可視化「データサイエンス入門」（第2、6、7回）
・予測、グルーピング、パターン発見、最適化、シミュレーション・データ同化、ルールベース「データサイエンス入門」（第4回）
・データの可視化「データサイエンス入門」（第6回）
・非構造化データ処理「データサイエンス入門」（第8、12、13、14回）
・今のAIで出来ることと出来ないこと「データサイエンス入門」（第9、10、11、15回）
・特化型AI「データサイエンス入門」（第10回）
・汎用型AI「データサイエンス入門」（第11回）
・今のAIで出来ることと出来ないこと「情報機器の操作II」（第15回）</t>
    <rPh sb="199" eb="201">
      <t>トッカ</t>
    </rPh>
    <rPh sb="201" eb="202">
      <t>ガタ</t>
    </rPh>
    <rPh sb="224" eb="227">
      <t>ハンヨウガタ</t>
    </rPh>
    <phoneticPr fontId="1"/>
  </si>
  <si>
    <t>・データバイアス、アルゴリズムバイアス「データサイエンス入門」（第6回）
・データ倫理、ねつ造、改ざん、盗用、プライバシー保護「データサイエンス入門」（第8回）
・個人情報保護、EU一般データ保護規則(GDPR)、忘れられる権利、オプトアウト「データサイエンス入門」（第8回）
・AI社会原則（公平性、説明責任、透明性、人間中心の判断）、AIサービスの責任論「データサイエンス入門」（第9回）
・データ・AI活用における負の事例紹介「データサイエンス入門」（第9、10、11回）
・データ倫理、データのねつ造、改ざん、盗用、プライバシー保護、データ・AI活用における負の事例紹介「情報機器の操作I」（第2回）
・データ倫理、データのねつ造、改ざん、盗用、プライバシー保護、データ・AI活用における負の事例紹介「栄養指導実習I」（第15回）</t>
    <phoneticPr fontId="1"/>
  </si>
  <si>
    <t xml:space="preserve">・匿名加工情報、暗号化、パスワード、悪意ある情報搾取、情報漏洩等によるセキュリティ事故の事例「データサイエンス入門」（第8回）
・情報セキュリティの機密性「データサイエンス入門」（第8回）
・情報セキュリティ「情報機器の操作I」（第2回）
・情報セキュリティ「栄養指導実習I」（第15回）
</t>
    <phoneticPr fontId="1"/>
  </si>
  <si>
    <t>プログラムを構成する「必修科目群（下記１〜４）」の5単位、「選択科目群（下記５〜７）」から１単位以上、合計６単位以上を取得すること。
必修科目群：１．情報機器の操作I（１単位）、２．情報機器の操作II（１単位）、３．保育・教職実践演習（２単位）、４. データサイエンス入門（１単位）
選択科目群：5．コンピュータリテラシーW（1単位）、6．コンピュータリテラシーE（１単位）、7．コンピュータリテラシーP（１単位）</t>
    <rPh sb="108" eb="110">
      <t xml:space="preserve">ホイク </t>
    </rPh>
    <rPh sb="111" eb="113">
      <t xml:space="preserve">キョウショク </t>
    </rPh>
    <rPh sb="113" eb="117">
      <t xml:space="preserve">ジッセンエンシュウ </t>
    </rPh>
    <phoneticPr fontId="1"/>
  </si>
  <si>
    <t>・AI等を活用した新しいビジネスモデル、AI最新技術の活用例「データサイエンス入門」（第1、10、11回）
・AI最新技術の活用例（深層生成モデル、敵対的生成ネットワーク、強化学習、転移学習）「データサイエンス入門」（第9回）
・AI最新技術の活用例「情報機器の操作II」（第15回）
・AI最新技術の活用例「保育・教育実践演習」（第8回）</t>
    <phoneticPr fontId="1"/>
  </si>
  <si>
    <t>・1次データ、2次データ、データのメタ化、ビックデータ、アノテーション「データサイエンス入門」（第5回）
・オープンデータ「データサイエンス入門」（第7、8回）
・非構造化データ「データサイエンス入門」（第8、12、13、14、15回）</t>
    <phoneticPr fontId="1"/>
  </si>
  <si>
    <t>・データ・AI活用領域の広がり、研究開発、物流、サービス等の生産、消費活動「データサイエンス入門」（第5回）
・仮説検証、知識発見「データサイエンス入門」（第7回）
・AI活用領域の広がり（認識技術、ルールベース、自動化技術）「データサイエンス入門」（第9回）
・AI活用領域の広がり「情報機器の操作II」（第15回）</t>
    <phoneticPr fontId="1"/>
  </si>
  <si>
    <t>・データ可視化「データサイエンス入門」（第2、6、7回）
・予測、グルーピング、パターン発見、最適化、シミュレーション・データ同化、ルールベース「データサイエンス入門」（第4回）
・データの可視化「データサイエンス入門」（第6回）
・非構造化データ処理「データサイエンス入門」（第8、12、13、14回）
・今のAIで出来ることと出来ないこと「データサイエンス入門」（第9、10、11、15回）
・特化型AI「データサイエンス入門」（第10回）
・汎用型AI「データサイエンス入門」（第11回）
・今のAIで出来ることと出来ないこと「情報機器の操作II」（第15回）
・今のAIで出来ることと出来ないこと「保育・教育実践演習」（第8回）</t>
    <phoneticPr fontId="1"/>
  </si>
  <si>
    <t>・探索的データ解析やデータ解析と推論、課題解決に向けた提案「データサイエンス入門」（第8回）
・AI利活用事例「データサイエンス入門」（第9、10、11回）
・AI利活用事例「情報機器の操作II」（第15回）
・AI利活用事例「保育・教育実践演習」（第8回）</t>
    <phoneticPr fontId="1"/>
  </si>
  <si>
    <t xml:space="preserve">・データバイアス、アルゴリズムバイアス「データサイエンス入門」（第6回）
・データ倫理、ねつ造、改ざん、盗用、プライバシー保護「データサイエンス入門」（第8回）
・個人情報保護、EU一般データ保護規則(GDPR)、忘れられる権利、オプトアウト「データサイエンス入門」（第8回）
・AI社会原則（公平性、説明責任、透明性、人間中心の判断）、AIサービスの責任論「データサイエンス入門」（第9回）
・データ・AI活用における負の事例紹介「データサイエンス入門」（第9、10、11回）
・データ・AI活用における負の事例紹介「情報機器の操作I」（第2回）
・データ倫理、データのねつ造、改ざん、盗用、プライバシー保護「情報機器の操作II」（第1回）
・データ・AI活用における負の事例紹介「保育・教育実践演習」（第8回）
</t>
    <phoneticPr fontId="1"/>
  </si>
  <si>
    <t xml:space="preserve">・匿名加工情報、暗号化、パスワード、悪意ある情報搾取、情報漏洩等によるセキュリティ事故の事例「データサイエンス入門」（第8回）
・情報セキュリティの機密性「データサイエンス入門」（第8回）
・情報セキュリティ「情報機器の操作I」（第2回）
・情報セキュリティ「情報機器の操作II」（第1回）
・情報セキュリティ「保育・教育実践演習」（第8回）
</t>
    <phoneticPr fontId="1"/>
  </si>
  <si>
    <t xml:space="preserve">・データ・AI活用領域の広がり、研究開発、物流、サービス等の生産、消費活動「データサイエンス入門」（第5回）
・仮説検証、知識発見「データサイエンス入門」（第7回）
・AI活用領域の広がり（認識技術、ルールベース、自動化技術）「データサイエンス入門」（第9回）
・AI活用領域の広がり「情報機器の操作II」（第15回）
・AI活用領域の広がり「栄養指導実習I」（第2回、第3回）
</t>
    <rPh sb="56" eb="58">
      <t>カセツ</t>
    </rPh>
    <rPh sb="58" eb="60">
      <t>ケンショウ</t>
    </rPh>
    <rPh sb="61" eb="63">
      <t>チシキ</t>
    </rPh>
    <rPh sb="63" eb="65">
      <t>ハッケン</t>
    </rPh>
    <rPh sb="95" eb="97">
      <t>ニンシキ</t>
    </rPh>
    <rPh sb="97" eb="99">
      <t>ギジュツ</t>
    </rPh>
    <rPh sb="107" eb="110">
      <t>ジドウカ</t>
    </rPh>
    <rPh sb="110" eb="112">
      <t>ギジュツ</t>
    </rPh>
    <phoneticPr fontId="1"/>
  </si>
  <si>
    <t xml:space="preserve">・1次データ、2次データ、データのメタ化、ビックデータ、アノテーション「データサイエンス入門」（第5回）
・オープンデータ「データサイエンス入門」（第7、8回）
・非構造化データ「データサイエンス入門」（第8、12、13、14、15回）
・オープンデータ「栄養指導実習I」（第2回、第3回）
</t>
    <rPh sb="74" eb="75">
      <t>ダイ</t>
    </rPh>
    <rPh sb="82" eb="83">
      <t>ヒ</t>
    </rPh>
    <rPh sb="83" eb="86">
      <t>コウゾウカ</t>
    </rPh>
    <phoneticPr fontId="1"/>
  </si>
  <si>
    <t xml:space="preserve">・データの分布(ヒストグラム)と代表値（平均値、中央値、最頻値）、ばらつき（分散、標準偏差、偏差値）、誤差、脱落「データサイエンス入門」（第2、6回）
・相関と因果（相関係数、擬似相関、交絡）、母集団と標本抽出の方法「データサイエンス入門」（第3回）
・クロス集計表、分割表、相関係数行列、散布図行列、統計情報の正しい理解「データサイエンス入門」（第4回）
・統計情報の正しい理解「データサイエンス入門」（第8回）
・統計情報の正しい理解、母集団と標本抽出の方法、データの分布(ヒストグラム)と代表値（平均値、中央値、最頻値）「情報機器の操作Ⅱ」（第13回）
・統計情報の正しい理解「栄養指導実習I」（第2、3、4、5、6回）
・統計情報の正しい理解「給食管理実習I」（第13回）
・統計情報の正しい理解「コンピュータリテラシーE」（第11、12回）
</t>
    <rPh sb="73" eb="74">
      <t>カイ</t>
    </rPh>
    <phoneticPr fontId="1"/>
  </si>
  <si>
    <t xml:space="preserve">・データの図表表現、適切なグラフ表現の事例、優れた可視化事例「データサイエンス入門」（第2回）
・条件をそろえた比較、処理の前後での比較、A/Bテスト等、データの比較「データサイエンス入門」（第3回）
・データ表現、データの図表表現「データサイエンス入門」（第6、7回）
・データの図表表現、適切なグラフ表現の事例、優れた可視化事例「情報機器の操作Ⅱ」（第15回）
・データの図表表現、適切なグラフ表現の事例、優れた可視化事例「栄養指導実習I」（第6回）
・データの図表表現、適切なグラフ表現の事例、優れた可視化事例「コンピュータリテラシーW」（第5、12、13回）
・データの図表表現、適切なグラフ表現の事例、優れた可視化事例「コンピュータリテラシーE」（第15回）
・データの図表表現、適切なグラフ表現の事例、優れた可視化事例「コンピュータリテラシーP」（第12、15回）
</t>
    <phoneticPr fontId="1"/>
  </si>
  <si>
    <t>・データの集計「データサイエンス入門」（第2、6、7、8回）
・CSVファイル、データの集計「データサイエンス入門」（第3、7回）
・スプレッドシートの活用「データサイエンス入門」（第2、12、13、14回）
・データの並び替え、ランキングの方法「データサイエンス入門」（第3回）
・データの集計「情報機器の操作II」（第1回）
・データの集計「栄養指導実習I」（第6回）
・データの集計「給食管理実習I」（第13回）
・データの集計「コンピュータリテラシーW」（第5、6回）
・データの集計「コンピュータリテラシーE」（第1、2、11、12、13回）
・データの集計「コンピュータリテラシーP」（第12回）</t>
    <rPh sb="5" eb="7">
      <t>シュウケイ</t>
    </rPh>
    <rPh sb="102" eb="103">
      <t>カイ</t>
    </rPh>
    <phoneticPr fontId="1"/>
  </si>
  <si>
    <t>・データの分布(ヒストグラム)と代表値（平均値、中央値、最頻値）、ばらつき（分散、標準偏差、偏差値）、誤差、脱落「データサイエンス入門」（第2、6回）
・相関と因果（相関係数、擬似相関、交絡）、母集団と標本抽出の方法「データサイエンス入門」（第3回）
・クロス集計表、分割表、相関係数行列、散布図行列、統計情報の正しい理解「データサイエンス入門」（第4回）
・統計情報の正しい理解「データサイエンス入門」（第8回）
・統計情報の正しい理解「コンピュータリテラシーE」（第11回、第12回）</t>
    <phoneticPr fontId="1"/>
  </si>
  <si>
    <t>・データの分布(ヒストグラム)と代表値（平均値、中央値、最頻値）、ばらつき（分散、標準偏差、偏差値）、誤差、脱落「データサイエンス入門」（第2、6回）
・相関と因果（相関係数、擬似相関、交絡）、母集団と標本抽出の方法「データサイエンス入門」（第3回）
・クロス集計表、分割表、相関係数行列、散布図行列、統計情報の正しい理解「データサイエンス入門」（第4回）
・統計情報の正しい理解「データサイエンス入門」（第8回）
・データの図表表現、適切なグラフ表現の事例、優れた可視化事例「情報機器の操作Ⅱ」（第14、15回）
・データの図表表現、適切なグラフ表現の事例、優れた可視化事例「コンピュータリテラシーW」（第5、12、13回）
・データの図表表現、適切なグラフ表現の事例、優れた可視化事例「コンピュータリテラシーE」（第15回）
・データの図表表現、適切なグラフ表現の事例、優れた可視化事例「コンピュータリテラシーP」（第12、15回）</t>
    <phoneticPr fontId="1"/>
  </si>
  <si>
    <t xml:space="preserve">・データの集計「データサイエンス入門」（第2、6、7、8回）
・CSVファイル、データの集計「データサイエンス入門」（第3、7回）
・スプレッドシートの活用「データサイエンス入門」（第2、12、13、14回）
・データの並び替え、ランキングの方法「データサイエンス入門」（第3回）
・データの集計「情報機器の操作II」（第1回）
・データの集計「保育・教育実践演習」（第8回）
・データの集計「コンピュータリテラシーW」（第5、6回）
・データの集計「コンピュータリテラシーE」（第1、2、11、12、13回）
・データの集計「コンピュータリテラシーP」（第12回）
</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</si>
</sst>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
      <sz val="11"/>
      <name val="ＭＳ Ｐゴシック"/>
      <family val="3"/>
      <charset val="128"/>
      <scheme val="minor"/>
    </font>
    <font>
      <sz val="7"/>
      <name val="ＭＳ Ｐゴシック"/>
      <family val="3"/>
      <charset val="128"/>
      <scheme val="minor"/>
    </font>
    <font>
      <sz val="14"/>
      <name val="ＭＳ Ｐゴシック"/>
      <family val="3"/>
      <charset val="128"/>
      <scheme val="minor"/>
    </font>
    <font>
      <sz val="9"/>
      <name val="ＭＳ Ｐゴシック"/>
      <family val="3"/>
      <charset val="128"/>
      <scheme val="minor"/>
    </font>
    <font>
      <sz val="10"/>
      <name val="ＭＳ Ｐ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96">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38" fontId="2" fillId="0" borderId="50" xfId="2" applyFont="1" applyFill="1" applyBorder="1" applyAlignment="1">
      <alignment vertical="center" shrinkToFit="1"/>
    </xf>
    <xf numFmtId="38" fontId="2" fillId="0" borderId="0" xfId="2" applyFont="1" applyFill="1" applyAlignment="1">
      <alignment vertical="center" shrinkToFit="1"/>
    </xf>
    <xf numFmtId="38" fontId="2" fillId="0" borderId="5" xfId="2" applyFont="1" applyFill="1" applyBorder="1" applyAlignment="1">
      <alignment vertical="center" shrinkToFit="1"/>
    </xf>
    <xf numFmtId="38" fontId="2" fillId="0" borderId="23" xfId="2" applyFont="1" applyFill="1" applyBorder="1" applyAlignment="1">
      <alignment vertical="center" shrinkToFit="1"/>
    </xf>
    <xf numFmtId="38" fontId="2" fillId="0" borderId="20" xfId="2" applyFont="1" applyFill="1" applyBorder="1" applyAlignment="1">
      <alignment vertical="center" shrinkToFit="1"/>
    </xf>
    <xf numFmtId="38" fontId="2" fillId="0" borderId="19" xfId="2" applyFont="1" applyFill="1" applyBorder="1" applyAlignment="1">
      <alignment vertical="center" shrinkToFit="1"/>
    </xf>
    <xf numFmtId="0" fontId="11" fillId="0" borderId="23" xfId="0" applyFont="1" applyBorder="1" applyAlignment="1">
      <alignment horizontal="center" vertical="center" shrinkToFit="1"/>
    </xf>
    <xf numFmtId="0" fontId="2" fillId="3" borderId="1" xfId="0" applyFont="1" applyFill="1" applyBorder="1" applyAlignment="1">
      <alignment horizontal="center" vertical="center"/>
    </xf>
    <xf numFmtId="0" fontId="2" fillId="3" borderId="0" xfId="0" applyFont="1" applyFill="1" applyAlignment="1">
      <alignment horizontal="center" vertical="center"/>
    </xf>
    <xf numFmtId="0" fontId="5" fillId="3" borderId="0" xfId="0" applyFont="1" applyFill="1">
      <alignment vertical="center"/>
    </xf>
    <xf numFmtId="0" fontId="11" fillId="0" borderId="0" xfId="0" applyFont="1">
      <alignment vertical="center"/>
    </xf>
    <xf numFmtId="0" fontId="11" fillId="0" borderId="0" xfId="0" applyFont="1" applyAlignment="1">
      <alignment horizontal="right" vertical="center"/>
    </xf>
    <xf numFmtId="0" fontId="12" fillId="0" borderId="0" xfId="0" applyFont="1">
      <alignment vertical="center"/>
    </xf>
    <xf numFmtId="0" fontId="11" fillId="0" borderId="1" xfId="0" applyFont="1" applyBorder="1" applyAlignment="1">
      <alignment horizontal="center" vertical="center"/>
    </xf>
    <xf numFmtId="0" fontId="11" fillId="0" borderId="0" xfId="0" applyFont="1" applyAlignment="1">
      <alignment vertical="center" shrinkToFit="1"/>
    </xf>
    <xf numFmtId="0" fontId="11" fillId="0" borderId="0" xfId="0" applyFont="1" applyAlignment="1">
      <alignment horizontal="left" vertical="center" shrinkToFit="1"/>
    </xf>
    <xf numFmtId="0" fontId="11" fillId="0" borderId="0" xfId="0" applyFont="1" applyAlignment="1">
      <alignment horizontal="center" vertical="center"/>
    </xf>
    <xf numFmtId="0" fontId="11" fillId="0" borderId="10" xfId="0" applyFont="1" applyBorder="1" applyAlignment="1">
      <alignment horizontal="right" vertical="center"/>
    </xf>
    <xf numFmtId="0" fontId="11" fillId="0" borderId="0" xfId="0" applyFont="1" applyAlignment="1">
      <alignment horizontal="left" vertical="center"/>
    </xf>
    <xf numFmtId="0" fontId="12" fillId="0" borderId="0" xfId="0" applyFont="1" applyAlignment="1">
      <alignment horizontal="center" vertical="center"/>
    </xf>
    <xf numFmtId="0" fontId="11" fillId="0" borderId="5" xfId="0" applyFont="1" applyBorder="1">
      <alignment vertical="center"/>
    </xf>
    <xf numFmtId="0" fontId="15" fillId="0" borderId="1" xfId="0" applyFont="1" applyBorder="1" applyAlignment="1">
      <alignment horizontal="center" vertical="center" shrinkToFit="1"/>
    </xf>
    <xf numFmtId="0" fontId="15" fillId="0" borderId="4" xfId="0" applyFont="1" applyBorder="1" applyAlignment="1">
      <alignment horizontal="center" vertical="center" shrinkToFit="1"/>
    </xf>
    <xf numFmtId="49" fontId="15" fillId="0" borderId="1" xfId="0" applyNumberFormat="1" applyFont="1" applyBorder="1" applyAlignment="1">
      <alignment horizontal="center" vertical="center"/>
    </xf>
    <xf numFmtId="0" fontId="11" fillId="0" borderId="14" xfId="0" applyFont="1" applyBorder="1" applyAlignment="1">
      <alignment horizontal="center" vertical="center" shrinkToFit="1"/>
    </xf>
    <xf numFmtId="0" fontId="11" fillId="0" borderId="13" xfId="0" applyFont="1" applyBorder="1" applyAlignment="1">
      <alignment horizontal="center" vertical="center" shrinkToFit="1"/>
    </xf>
    <xf numFmtId="0" fontId="11" fillId="0" borderId="40" xfId="0" applyFont="1" applyBorder="1" applyAlignment="1">
      <alignment horizontal="center" vertical="center" shrinkToFit="1"/>
    </xf>
    <xf numFmtId="0" fontId="11" fillId="0" borderId="0" xfId="0" applyFont="1" applyAlignment="1">
      <alignment vertical="top" wrapText="1"/>
    </xf>
    <xf numFmtId="0" fontId="11" fillId="0" borderId="0" xfId="0" applyFont="1" applyAlignment="1">
      <alignment horizontal="center" vertical="center" shrinkToFit="1"/>
    </xf>
    <xf numFmtId="49" fontId="15" fillId="0" borderId="48" xfId="0" applyNumberFormat="1" applyFont="1" applyBorder="1" applyAlignment="1">
      <alignment horizontal="center" vertical="center"/>
    </xf>
    <xf numFmtId="49" fontId="15" fillId="0" borderId="49" xfId="0" applyNumberFormat="1" applyFont="1" applyBorder="1" applyAlignment="1">
      <alignment horizontal="center" vertical="center"/>
    </xf>
    <xf numFmtId="49" fontId="15" fillId="0" borderId="44" xfId="0" applyNumberFormat="1" applyFont="1" applyBorder="1" applyAlignment="1">
      <alignment horizontal="center" vertical="center"/>
    </xf>
    <xf numFmtId="49" fontId="15" fillId="0" borderId="29" xfId="0" applyNumberFormat="1" applyFont="1" applyBorder="1" applyAlignment="1">
      <alignment horizontal="center" vertical="center"/>
    </xf>
    <xf numFmtId="49" fontId="15" fillId="0" borderId="47" xfId="0" applyNumberFormat="1" applyFont="1" applyBorder="1" applyAlignment="1">
      <alignment horizontal="center" vertical="center"/>
    </xf>
    <xf numFmtId="49" fontId="15" fillId="0" borderId="32" xfId="0" applyNumberFormat="1" applyFont="1" applyBorder="1" applyAlignment="1">
      <alignment horizontal="center" vertical="center"/>
    </xf>
    <xf numFmtId="0" fontId="11" fillId="0" borderId="7" xfId="0" applyFont="1" applyBorder="1" applyAlignment="1">
      <alignment horizontal="left" vertical="center" wrapText="1"/>
    </xf>
    <xf numFmtId="0" fontId="11" fillId="0" borderId="8" xfId="0" applyFont="1" applyBorder="1" applyAlignment="1">
      <alignment horizontal="left" vertical="center" wrapText="1"/>
    </xf>
    <xf numFmtId="0" fontId="11" fillId="0" borderId="9" xfId="0" applyFont="1" applyBorder="1" applyAlignment="1">
      <alignment horizontal="left" vertical="center" wrapText="1"/>
    </xf>
    <xf numFmtId="0" fontId="11" fillId="0" borderId="11" xfId="0" applyFont="1" applyBorder="1" applyAlignment="1">
      <alignment horizontal="left" vertical="center" wrapText="1"/>
    </xf>
    <xf numFmtId="0" fontId="11" fillId="0" borderId="6" xfId="0" applyFont="1" applyBorder="1" applyAlignment="1">
      <alignment horizontal="left" vertical="center" wrapText="1"/>
    </xf>
    <xf numFmtId="0" fontId="11" fillId="0" borderId="12" xfId="0" applyFont="1" applyBorder="1" applyAlignment="1">
      <alignment horizontal="left" vertical="center" wrapText="1"/>
    </xf>
    <xf numFmtId="0" fontId="11" fillId="0" borderId="19" xfId="0" applyFont="1" applyBorder="1" applyAlignment="1">
      <alignment vertical="center" shrinkToFit="1"/>
    </xf>
    <xf numFmtId="0" fontId="11" fillId="0" borderId="20" xfId="0" applyFont="1" applyBorder="1" applyAlignment="1">
      <alignment vertical="center" shrinkToFit="1"/>
    </xf>
    <xf numFmtId="0" fontId="11" fillId="0" borderId="18" xfId="0" applyFont="1" applyBorder="1" applyAlignment="1">
      <alignment vertical="center" shrinkToFit="1"/>
    </xf>
    <xf numFmtId="0" fontId="11" fillId="0" borderId="37" xfId="0" applyFont="1" applyBorder="1" applyAlignment="1">
      <alignment vertical="center" shrinkToFit="1"/>
    </xf>
    <xf numFmtId="0" fontId="11" fillId="0" borderId="38" xfId="0" applyFont="1" applyBorder="1" applyAlignment="1">
      <alignment vertical="center" shrinkToFit="1"/>
    </xf>
    <xf numFmtId="0" fontId="11" fillId="0" borderId="39" xfId="0" applyFont="1" applyBorder="1" applyAlignment="1">
      <alignment vertical="center" shrinkToFi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0" xfId="0" applyFont="1" applyAlignment="1">
      <alignment vertical="center" wrapText="1"/>
    </xf>
    <xf numFmtId="0" fontId="11" fillId="0" borderId="34" xfId="0" applyFont="1" applyBorder="1" applyAlignment="1">
      <alignment vertical="center" shrinkToFit="1"/>
    </xf>
    <xf numFmtId="0" fontId="11" fillId="0" borderId="36" xfId="0" applyFont="1" applyBorder="1" applyAlignment="1">
      <alignment vertical="center" shrinkToFit="1"/>
    </xf>
    <xf numFmtId="0" fontId="11" fillId="0" borderId="35" xfId="0" applyFont="1" applyBorder="1" applyAlignment="1">
      <alignment vertical="center" shrinkToFit="1"/>
    </xf>
    <xf numFmtId="0" fontId="11" fillId="0" borderId="0" xfId="0" applyFont="1" applyAlignment="1">
      <alignment horizontal="righ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3" fillId="0" borderId="2" xfId="0" applyFont="1" applyBorder="1" applyAlignment="1">
      <alignment horizontal="left" vertical="center"/>
    </xf>
    <xf numFmtId="0" fontId="13" fillId="0" borderId="3" xfId="0" applyFont="1" applyBorder="1" applyAlignment="1">
      <alignment horizontal="left" vertical="center"/>
    </xf>
    <xf numFmtId="0" fontId="13" fillId="0" borderId="4" xfId="0" applyFont="1" applyBorder="1" applyAlignment="1">
      <alignment horizontal="left" vertical="center"/>
    </xf>
    <xf numFmtId="0" fontId="14" fillId="0" borderId="0" xfId="0" applyFont="1" applyAlignment="1">
      <alignment horizontal="center" vertical="center"/>
    </xf>
    <xf numFmtId="0" fontId="11" fillId="0" borderId="7" xfId="0" applyFont="1" applyBorder="1" applyAlignment="1">
      <alignment horizontal="left" vertical="top" wrapText="1" shrinkToFit="1"/>
    </xf>
    <xf numFmtId="0" fontId="11" fillId="0" borderId="8" xfId="0" applyFont="1" applyBorder="1" applyAlignment="1">
      <alignment horizontal="left" vertical="top" wrapText="1" shrinkToFit="1"/>
    </xf>
    <xf numFmtId="0" fontId="11" fillId="0" borderId="9" xfId="0" applyFont="1" applyBorder="1" applyAlignment="1">
      <alignment horizontal="left" vertical="top" wrapText="1" shrinkToFit="1"/>
    </xf>
    <xf numFmtId="0" fontId="11" fillId="0" borderId="5" xfId="0" applyFont="1" applyBorder="1" applyAlignment="1">
      <alignment horizontal="left" vertical="top" wrapText="1" shrinkToFit="1"/>
    </xf>
    <xf numFmtId="0" fontId="11" fillId="0" borderId="0" xfId="0" applyFont="1" applyAlignment="1">
      <alignment horizontal="left" vertical="top" wrapText="1" shrinkToFit="1"/>
    </xf>
    <xf numFmtId="0" fontId="11" fillId="0" borderId="10" xfId="0" applyFont="1" applyBorder="1" applyAlignment="1">
      <alignment horizontal="left" vertical="top" wrapText="1" shrinkToFit="1"/>
    </xf>
    <xf numFmtId="0" fontId="11" fillId="0" borderId="11" xfId="0" applyFont="1" applyBorder="1" applyAlignment="1">
      <alignment horizontal="left" vertical="top" wrapText="1" shrinkToFit="1"/>
    </xf>
    <xf numFmtId="0" fontId="11" fillId="0" borderId="6" xfId="0" applyFont="1" applyBorder="1" applyAlignment="1">
      <alignment horizontal="left" vertical="top" wrapText="1" shrinkToFit="1"/>
    </xf>
    <xf numFmtId="0" fontId="11" fillId="0" borderId="12" xfId="0" applyFont="1" applyBorder="1" applyAlignment="1">
      <alignment horizontal="left" vertical="top" wrapText="1"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1" fillId="0" borderId="2" xfId="0" applyFont="1" applyBorder="1" applyAlignment="1">
      <alignment vertical="center" wrapText="1" shrinkToFit="1"/>
    </xf>
    <xf numFmtId="0" fontId="11" fillId="0" borderId="3" xfId="0" applyFont="1" applyBorder="1" applyAlignment="1">
      <alignment vertical="center" wrapText="1" shrinkToFit="1"/>
    </xf>
    <xf numFmtId="0" fontId="11" fillId="0" borderId="4" xfId="0" applyFont="1" applyBorder="1" applyAlignment="1">
      <alignment vertical="center" wrapText="1" shrinkToFit="1"/>
    </xf>
    <xf numFmtId="0" fontId="11" fillId="0" borderId="37" xfId="0" applyFont="1" applyBorder="1" applyAlignment="1">
      <alignment horizontal="center" vertical="center" shrinkToFit="1"/>
    </xf>
    <xf numFmtId="0" fontId="11" fillId="0" borderId="38" xfId="0" applyFont="1" applyBorder="1" applyAlignment="1">
      <alignment horizontal="center" vertical="center" shrinkToFit="1"/>
    </xf>
    <xf numFmtId="0" fontId="11" fillId="0" borderId="39" xfId="0" applyFont="1" applyBorder="1" applyAlignment="1">
      <alignment horizontal="center" vertical="center" shrinkToFit="1"/>
    </xf>
    <xf numFmtId="0" fontId="11" fillId="0" borderId="19" xfId="0" applyFont="1" applyBorder="1" applyAlignment="1">
      <alignment horizontal="center" vertical="center" shrinkToFit="1"/>
    </xf>
    <xf numFmtId="0" fontId="11" fillId="0" borderId="20" xfId="0" applyFont="1" applyBorder="1" applyAlignment="1">
      <alignment horizontal="center" vertical="center" shrinkToFit="1"/>
    </xf>
    <xf numFmtId="0" fontId="11" fillId="0" borderId="18" xfId="0" applyFont="1" applyBorder="1" applyAlignment="1">
      <alignment horizontal="center" vertical="center" shrinkToFit="1"/>
    </xf>
    <xf numFmtId="0" fontId="11" fillId="0" borderId="22" xfId="0" applyFont="1" applyBorder="1" applyAlignment="1">
      <alignment horizontal="left" vertical="top" wrapText="1" shrinkToFit="1"/>
    </xf>
    <xf numFmtId="0" fontId="11" fillId="0" borderId="22" xfId="0" applyFont="1" applyBorder="1" applyAlignment="1">
      <alignment horizontal="left" vertical="top" shrinkToFit="1"/>
    </xf>
    <xf numFmtId="0" fontId="11" fillId="0" borderId="21" xfId="0" applyFont="1" applyBorder="1" applyAlignment="1">
      <alignment horizontal="left" vertical="top" shrinkToFit="1"/>
    </xf>
    <xf numFmtId="0" fontId="11" fillId="0" borderId="36" xfId="0" applyFont="1" applyBorder="1" applyAlignment="1">
      <alignment horizontal="left" vertical="top" wrapText="1" shrinkToFit="1"/>
    </xf>
    <xf numFmtId="0" fontId="11" fillId="0" borderId="36" xfId="0" applyFont="1" applyBorder="1" applyAlignment="1">
      <alignment horizontal="left" vertical="top" shrinkToFit="1"/>
    </xf>
    <xf numFmtId="0" fontId="11" fillId="0" borderId="35" xfId="0" applyFont="1" applyBorder="1" applyAlignment="1">
      <alignment horizontal="left" vertical="top" shrinkToFit="1"/>
    </xf>
    <xf numFmtId="0" fontId="11" fillId="0" borderId="6" xfId="0" applyFont="1" applyBorder="1" applyAlignment="1">
      <alignment horizontal="left" vertical="top" shrinkToFit="1"/>
    </xf>
    <xf numFmtId="0" fontId="11" fillId="0" borderId="12" xfId="0" applyFont="1" applyBorder="1" applyAlignment="1">
      <alignment horizontal="left" vertical="top" shrinkToFit="1"/>
    </xf>
    <xf numFmtId="0" fontId="11" fillId="0" borderId="38" xfId="0" applyFont="1" applyBorder="1" applyAlignment="1">
      <alignment horizontal="left" vertical="top" wrapText="1" shrinkToFit="1"/>
    </xf>
    <xf numFmtId="0" fontId="11" fillId="0" borderId="38" xfId="0" applyFont="1" applyBorder="1" applyAlignment="1">
      <alignment horizontal="left" vertical="top" shrinkToFit="1"/>
    </xf>
    <xf numFmtId="0" fontId="11" fillId="0" borderId="39" xfId="0" applyFont="1" applyBorder="1" applyAlignment="1">
      <alignment horizontal="left" vertical="top" shrinkToFit="1"/>
    </xf>
    <xf numFmtId="0" fontId="11" fillId="0" borderId="19" xfId="0" applyFont="1" applyBorder="1" applyAlignment="1">
      <alignment vertical="top" wrapText="1" shrinkToFit="1"/>
    </xf>
    <xf numFmtId="0" fontId="11" fillId="0" borderId="20" xfId="0" applyFont="1" applyBorder="1" applyAlignment="1">
      <alignment vertical="top" shrinkToFit="1"/>
    </xf>
    <xf numFmtId="0" fontId="11" fillId="0" borderId="18" xfId="0" applyFont="1" applyBorder="1" applyAlignment="1">
      <alignment vertical="top" shrinkToFit="1"/>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5" fillId="0" borderId="45" xfId="0" applyFont="1" applyBorder="1" applyAlignment="1">
      <alignment vertical="center" wrapText="1"/>
    </xf>
    <xf numFmtId="0" fontId="15" fillId="0" borderId="46" xfId="0" applyFont="1" applyBorder="1" applyAlignment="1">
      <alignment vertical="center" wrapText="1"/>
    </xf>
    <xf numFmtId="0" fontId="15" fillId="0" borderId="31" xfId="0" applyFont="1" applyBorder="1" applyAlignment="1">
      <alignment vertical="center" wrapText="1"/>
    </xf>
    <xf numFmtId="0" fontId="11" fillId="0" borderId="36" xfId="0" applyFont="1" applyBorder="1" applyAlignment="1">
      <alignment vertical="top" wrapText="1" shrinkToFit="1"/>
    </xf>
    <xf numFmtId="0" fontId="11" fillId="0" borderId="36" xfId="0" applyFont="1" applyBorder="1" applyAlignment="1">
      <alignment vertical="top" shrinkToFit="1"/>
    </xf>
    <xf numFmtId="0" fontId="11" fillId="0" borderId="35" xfId="0" applyFont="1" applyBorder="1" applyAlignment="1">
      <alignment vertical="top" shrinkToFit="1"/>
    </xf>
    <xf numFmtId="0" fontId="11" fillId="0" borderId="6" xfId="0" applyFont="1" applyBorder="1" applyAlignment="1">
      <alignment vertical="top" wrapText="1"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11" fillId="0" borderId="8" xfId="0" applyFont="1" applyBorder="1" applyAlignment="1">
      <alignment horizontal="left" vertical="top" shrinkToFit="1"/>
    </xf>
    <xf numFmtId="0" fontId="11" fillId="0" borderId="9" xfId="0" applyFont="1" applyBorder="1" applyAlignment="1">
      <alignment horizontal="left" vertical="top" shrinkToFit="1"/>
    </xf>
    <xf numFmtId="0" fontId="16" fillId="0" borderId="2" xfId="0" applyFont="1" applyBorder="1" applyAlignment="1">
      <alignment horizontal="center" vertical="center" shrinkToFit="1"/>
    </xf>
    <xf numFmtId="0" fontId="16" fillId="0" borderId="4" xfId="0" applyFont="1" applyBorder="1" applyAlignment="1">
      <alignment horizontal="center" vertical="center" shrinkToFit="1"/>
    </xf>
    <xf numFmtId="0" fontId="11" fillId="0" borderId="34" xfId="0" applyFont="1" applyBorder="1" applyAlignment="1">
      <alignment horizontal="center" vertical="center" shrinkToFit="1"/>
    </xf>
    <xf numFmtId="0" fontId="11" fillId="0" borderId="36" xfId="0" applyFont="1" applyBorder="1" applyAlignment="1">
      <alignment horizontal="center" vertical="center" shrinkToFit="1"/>
    </xf>
    <xf numFmtId="0" fontId="11" fillId="0" borderId="35" xfId="0" applyFont="1" applyBorder="1" applyAlignment="1">
      <alignment horizontal="center" vertical="center" shrinkToFit="1"/>
    </xf>
    <xf numFmtId="0" fontId="11" fillId="0" borderId="19" xfId="0" applyFont="1" applyBorder="1" applyAlignment="1">
      <alignment horizontal="left" vertical="center" shrinkToFit="1"/>
    </xf>
    <xf numFmtId="0" fontId="11" fillId="0" borderId="20" xfId="0" applyFont="1" applyBorder="1" applyAlignment="1">
      <alignment horizontal="left" vertical="center" shrinkToFit="1"/>
    </xf>
    <xf numFmtId="0" fontId="11" fillId="0" borderId="18" xfId="0" applyFont="1" applyBorder="1" applyAlignment="1">
      <alignment horizontal="left" vertical="center" shrinkToFit="1"/>
    </xf>
    <xf numFmtId="0" fontId="11" fillId="0" borderId="2" xfId="0" applyFont="1" applyBorder="1" applyAlignment="1">
      <alignment vertical="top" wrapText="1" shrinkToFit="1"/>
    </xf>
    <xf numFmtId="0" fontId="11" fillId="0" borderId="3" xfId="0" applyFont="1" applyBorder="1" applyAlignment="1">
      <alignment vertical="top" wrapText="1" shrinkToFit="1"/>
    </xf>
    <xf numFmtId="0" fontId="11" fillId="0" borderId="4" xfId="0" applyFont="1" applyBorder="1" applyAlignment="1">
      <alignment vertical="top" wrapText="1"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6" fillId="0" borderId="0" xfId="0" applyFont="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11" fillId="0" borderId="7" xfId="0" applyFont="1" applyBorder="1" applyAlignment="1">
      <alignment vertical="top" wrapText="1" shrinkToFit="1"/>
    </xf>
    <xf numFmtId="0" fontId="11" fillId="0" borderId="8" xfId="0" applyFont="1" applyBorder="1" applyAlignment="1">
      <alignment vertical="top" wrapText="1" shrinkToFit="1"/>
    </xf>
    <xf numFmtId="0" fontId="11" fillId="0" borderId="9" xfId="0" applyFont="1" applyBorder="1" applyAlignment="1">
      <alignment vertical="top" shrinkToFit="1"/>
    </xf>
    <xf numFmtId="0" fontId="11" fillId="0" borderId="5" xfId="0" applyFont="1" applyBorder="1" applyAlignment="1">
      <alignment vertical="top" wrapText="1" shrinkToFit="1"/>
    </xf>
    <xf numFmtId="0" fontId="11" fillId="0" borderId="0" xfId="0" applyFont="1" applyAlignment="1">
      <alignment vertical="top" wrapText="1" shrinkToFit="1"/>
    </xf>
    <xf numFmtId="0" fontId="11" fillId="0" borderId="10"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1" xfId="0" applyFont="1" applyBorder="1" applyAlignment="1">
      <alignment vertical="top"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center"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view="pageBreakPreview" topLeftCell="A95" zoomScale="80" zoomScaleNormal="100" zoomScaleSheetLayoutView="80" workbookViewId="0">
      <selection activeCell="T95" sqref="T95"/>
    </sheetView>
  </sheetViews>
  <sheetFormatPr defaultColWidth="9" defaultRowHeight="18.75" customHeight="1" x14ac:dyDescent="0.15"/>
  <cols>
    <col min="1" max="1" width="2.5" style="74" customWidth="1"/>
    <col min="2" max="2" width="16.5" style="74" customWidth="1"/>
    <col min="3" max="19" width="5.625" style="74" customWidth="1"/>
    <col min="20" max="20" width="9" style="74"/>
    <col min="21" max="21" width="3.625" style="74" customWidth="1"/>
    <col min="22" max="22" width="48.625" style="74" hidden="1" customWidth="1"/>
    <col min="23" max="16384" width="9" style="74"/>
  </cols>
  <sheetData>
    <row r="1" spans="1:22" ht="18.600000000000001" customHeight="1" x14ac:dyDescent="0.15">
      <c r="R1" s="118" t="s">
        <v>126</v>
      </c>
      <c r="S1" s="118"/>
      <c r="T1" s="76" t="s">
        <v>109</v>
      </c>
    </row>
    <row r="2" spans="1:22" ht="18.75" customHeight="1" x14ac:dyDescent="0.15">
      <c r="B2" s="77" t="s">
        <v>108</v>
      </c>
      <c r="C2" s="111" t="s">
        <v>128</v>
      </c>
      <c r="D2" s="112"/>
      <c r="E2" s="112"/>
      <c r="F2" s="112"/>
      <c r="G2" s="112"/>
      <c r="H2" s="112"/>
      <c r="I2" s="113"/>
      <c r="J2" s="75"/>
      <c r="K2" s="78"/>
      <c r="L2" s="78"/>
      <c r="M2" s="78"/>
      <c r="N2" s="78"/>
      <c r="O2" s="78"/>
      <c r="P2" s="78"/>
      <c r="Q2" s="78"/>
      <c r="R2" s="78"/>
      <c r="S2" s="78"/>
    </row>
    <row r="3" spans="1:22" ht="18.75" customHeight="1" x14ac:dyDescent="0.15">
      <c r="B3" s="77" t="s">
        <v>102</v>
      </c>
      <c r="C3" s="122" t="s">
        <v>129</v>
      </c>
      <c r="D3" s="123"/>
      <c r="E3" s="123"/>
      <c r="F3" s="123"/>
      <c r="G3" s="123"/>
      <c r="H3" s="123"/>
      <c r="I3" s="124"/>
      <c r="J3" s="75"/>
      <c r="K3" s="78"/>
      <c r="L3" s="78"/>
      <c r="M3" s="78"/>
      <c r="N3" s="78"/>
      <c r="O3" s="78"/>
      <c r="P3" s="78"/>
      <c r="Q3" s="78"/>
      <c r="R3" s="78"/>
      <c r="S3" s="78"/>
    </row>
    <row r="4" spans="1:22" ht="15" customHeight="1" x14ac:dyDescent="0.15">
      <c r="K4" s="75"/>
      <c r="L4" s="79"/>
      <c r="M4" s="79"/>
      <c r="N4" s="79"/>
      <c r="O4" s="79"/>
      <c r="P4" s="79"/>
      <c r="Q4" s="79"/>
      <c r="R4" s="79"/>
      <c r="S4" s="79"/>
    </row>
    <row r="5" spans="1:22" ht="18" customHeight="1" x14ac:dyDescent="0.15">
      <c r="A5" s="125" t="s">
        <v>38</v>
      </c>
      <c r="B5" s="125"/>
      <c r="C5" s="125"/>
      <c r="D5" s="125"/>
      <c r="E5" s="125"/>
      <c r="F5" s="125"/>
      <c r="G5" s="125"/>
      <c r="H5" s="125"/>
      <c r="I5" s="125"/>
      <c r="J5" s="125"/>
      <c r="K5" s="125"/>
      <c r="L5" s="125"/>
      <c r="M5" s="125"/>
      <c r="N5" s="125"/>
      <c r="O5" s="125"/>
      <c r="P5" s="125"/>
      <c r="Q5" s="125"/>
      <c r="R5" s="125"/>
      <c r="S5" s="125"/>
    </row>
    <row r="6" spans="1:22" ht="15" customHeight="1" x14ac:dyDescent="0.15">
      <c r="B6" s="80"/>
      <c r="C6" s="80"/>
      <c r="D6" s="80"/>
      <c r="E6" s="80"/>
      <c r="F6" s="80"/>
      <c r="G6" s="80"/>
      <c r="H6" s="80"/>
      <c r="I6" s="80"/>
      <c r="J6" s="80"/>
      <c r="K6" s="80"/>
      <c r="L6" s="80"/>
      <c r="M6" s="80"/>
      <c r="N6" s="80"/>
      <c r="O6" s="80"/>
      <c r="P6" s="80"/>
      <c r="Q6" s="80"/>
      <c r="R6" s="80"/>
      <c r="S6" s="80"/>
    </row>
    <row r="7" spans="1:22" ht="18" customHeight="1" x14ac:dyDescent="0.15">
      <c r="A7" s="74" t="s">
        <v>124</v>
      </c>
      <c r="C7" s="80"/>
      <c r="J7" s="81" t="s">
        <v>107</v>
      </c>
      <c r="K7" s="135" t="s">
        <v>130</v>
      </c>
      <c r="L7" s="136"/>
      <c r="M7" s="136"/>
      <c r="N7" s="136"/>
      <c r="O7" s="136"/>
      <c r="P7" s="136"/>
      <c r="Q7" s="136"/>
      <c r="R7" s="136"/>
      <c r="S7" s="137"/>
    </row>
    <row r="8" spans="1:22" ht="6" customHeight="1" x14ac:dyDescent="0.15">
      <c r="B8" s="80"/>
      <c r="C8" s="80"/>
      <c r="D8" s="80"/>
      <c r="E8" s="80"/>
      <c r="F8" s="80"/>
      <c r="G8" s="80"/>
      <c r="H8" s="80"/>
      <c r="I8" s="80"/>
      <c r="J8" s="80"/>
      <c r="K8" s="82"/>
      <c r="L8" s="80"/>
      <c r="M8" s="80"/>
      <c r="N8" s="80"/>
      <c r="O8" s="80"/>
      <c r="P8" s="80"/>
      <c r="Q8" s="80"/>
      <c r="R8" s="80"/>
      <c r="S8" s="80"/>
    </row>
    <row r="9" spans="1:22" ht="18" customHeight="1" x14ac:dyDescent="0.15">
      <c r="B9" s="99" t="s">
        <v>131</v>
      </c>
      <c r="C9" s="100"/>
      <c r="D9" s="100"/>
      <c r="E9" s="100"/>
      <c r="F9" s="100"/>
      <c r="G9" s="100"/>
      <c r="H9" s="100"/>
      <c r="I9" s="100"/>
      <c r="J9" s="100"/>
      <c r="K9" s="100"/>
      <c r="L9" s="100"/>
      <c r="M9" s="100"/>
      <c r="N9" s="100"/>
      <c r="O9" s="100"/>
      <c r="P9" s="100"/>
      <c r="Q9" s="100"/>
      <c r="R9" s="100"/>
      <c r="S9" s="101"/>
    </row>
    <row r="10" spans="1:22" ht="18" customHeight="1" x14ac:dyDescent="0.15">
      <c r="B10" s="102"/>
      <c r="C10" s="103"/>
      <c r="D10" s="103"/>
      <c r="E10" s="103"/>
      <c r="F10" s="103"/>
      <c r="G10" s="103"/>
      <c r="H10" s="103"/>
      <c r="I10" s="103"/>
      <c r="J10" s="103"/>
      <c r="K10" s="103"/>
      <c r="L10" s="103"/>
      <c r="M10" s="103"/>
      <c r="N10" s="103"/>
      <c r="O10" s="103"/>
      <c r="P10" s="103"/>
      <c r="Q10" s="103"/>
      <c r="R10" s="103"/>
      <c r="S10" s="104"/>
    </row>
    <row r="11" spans="1:22" ht="6" customHeight="1" x14ac:dyDescent="0.15">
      <c r="B11" s="80"/>
      <c r="C11" s="80"/>
      <c r="D11" s="80"/>
      <c r="E11" s="80"/>
      <c r="F11" s="80"/>
      <c r="G11" s="80"/>
      <c r="H11" s="80"/>
      <c r="I11" s="80"/>
      <c r="J11" s="80"/>
      <c r="K11" s="82"/>
      <c r="L11" s="80"/>
      <c r="M11" s="80"/>
      <c r="N11" s="80"/>
      <c r="O11" s="80"/>
      <c r="P11" s="80"/>
      <c r="Q11" s="80"/>
      <c r="R11" s="80"/>
      <c r="S11" s="80"/>
    </row>
    <row r="12" spans="1:22" ht="18" customHeight="1" x14ac:dyDescent="0.15">
      <c r="A12" s="74" t="s">
        <v>111</v>
      </c>
      <c r="B12" s="80"/>
      <c r="C12" s="80"/>
      <c r="D12" s="75"/>
      <c r="E12" s="75"/>
      <c r="F12" s="75"/>
      <c r="G12" s="75"/>
      <c r="H12" s="75"/>
      <c r="I12" s="75"/>
      <c r="J12" s="75"/>
      <c r="K12" s="83"/>
      <c r="L12" s="83"/>
      <c r="M12" s="83"/>
      <c r="N12" s="83"/>
      <c r="O12" s="83"/>
      <c r="P12" s="83"/>
      <c r="Q12" s="83"/>
      <c r="R12" s="83"/>
      <c r="S12" s="83"/>
    </row>
    <row r="13" spans="1:22" ht="18" customHeight="1" x14ac:dyDescent="0.15">
      <c r="B13" s="126" t="s">
        <v>176</v>
      </c>
      <c r="C13" s="127"/>
      <c r="D13" s="127"/>
      <c r="E13" s="127"/>
      <c r="F13" s="127"/>
      <c r="G13" s="127"/>
      <c r="H13" s="127"/>
      <c r="I13" s="127"/>
      <c r="J13" s="127"/>
      <c r="K13" s="127"/>
      <c r="L13" s="127"/>
      <c r="M13" s="127"/>
      <c r="N13" s="127"/>
      <c r="O13" s="127"/>
      <c r="P13" s="127"/>
      <c r="Q13" s="127"/>
      <c r="R13" s="127"/>
      <c r="S13" s="128"/>
      <c r="V13" s="74" t="s">
        <v>103</v>
      </c>
    </row>
    <row r="14" spans="1:22" ht="18" customHeight="1" x14ac:dyDescent="0.15">
      <c r="B14" s="129"/>
      <c r="C14" s="130"/>
      <c r="D14" s="130"/>
      <c r="E14" s="130"/>
      <c r="F14" s="130"/>
      <c r="G14" s="130"/>
      <c r="H14" s="130"/>
      <c r="I14" s="130"/>
      <c r="J14" s="130"/>
      <c r="K14" s="130"/>
      <c r="L14" s="130"/>
      <c r="M14" s="130"/>
      <c r="N14" s="130"/>
      <c r="O14" s="130"/>
      <c r="P14" s="130"/>
      <c r="Q14" s="130"/>
      <c r="R14" s="130"/>
      <c r="S14" s="131"/>
      <c r="V14" s="74" t="s">
        <v>110</v>
      </c>
    </row>
    <row r="15" spans="1:22" ht="18" customHeight="1" x14ac:dyDescent="0.15">
      <c r="B15" s="129"/>
      <c r="C15" s="130"/>
      <c r="D15" s="130"/>
      <c r="E15" s="130"/>
      <c r="F15" s="130"/>
      <c r="G15" s="130"/>
      <c r="H15" s="130"/>
      <c r="I15" s="130"/>
      <c r="J15" s="130"/>
      <c r="K15" s="130"/>
      <c r="L15" s="130"/>
      <c r="M15" s="130"/>
      <c r="N15" s="130"/>
      <c r="O15" s="130"/>
      <c r="P15" s="130"/>
      <c r="Q15" s="130"/>
      <c r="R15" s="130"/>
      <c r="S15" s="131"/>
      <c r="V15" s="74" t="s">
        <v>123</v>
      </c>
    </row>
    <row r="16" spans="1:22" ht="18" customHeight="1" x14ac:dyDescent="0.15">
      <c r="B16" s="129"/>
      <c r="C16" s="130"/>
      <c r="D16" s="130"/>
      <c r="E16" s="130"/>
      <c r="F16" s="130"/>
      <c r="G16" s="130"/>
      <c r="H16" s="130"/>
      <c r="I16" s="130"/>
      <c r="J16" s="130"/>
      <c r="K16" s="130"/>
      <c r="L16" s="130"/>
      <c r="M16" s="130"/>
      <c r="N16" s="130"/>
      <c r="O16" s="130"/>
      <c r="P16" s="130"/>
      <c r="Q16" s="130"/>
      <c r="R16" s="130"/>
      <c r="S16" s="131"/>
      <c r="V16" s="74" t="s">
        <v>125</v>
      </c>
    </row>
    <row r="17" spans="1:19" ht="18" customHeight="1" x14ac:dyDescent="0.15">
      <c r="B17" s="129"/>
      <c r="C17" s="130"/>
      <c r="D17" s="130"/>
      <c r="E17" s="130"/>
      <c r="F17" s="130"/>
      <c r="G17" s="130"/>
      <c r="H17" s="130"/>
      <c r="I17" s="130"/>
      <c r="J17" s="130"/>
      <c r="K17" s="130"/>
      <c r="L17" s="130"/>
      <c r="M17" s="130"/>
      <c r="N17" s="130"/>
      <c r="O17" s="130"/>
      <c r="P17" s="130"/>
      <c r="Q17" s="130"/>
      <c r="R17" s="130"/>
      <c r="S17" s="131"/>
    </row>
    <row r="18" spans="1:19" ht="18" customHeight="1" x14ac:dyDescent="0.15">
      <c r="B18" s="132"/>
      <c r="C18" s="133"/>
      <c r="D18" s="133"/>
      <c r="E18" s="133"/>
      <c r="F18" s="133"/>
      <c r="G18" s="133"/>
      <c r="H18" s="133"/>
      <c r="I18" s="133"/>
      <c r="J18" s="133"/>
      <c r="K18" s="133"/>
      <c r="L18" s="133"/>
      <c r="M18" s="133"/>
      <c r="N18" s="133"/>
      <c r="O18" s="133"/>
      <c r="P18" s="133"/>
      <c r="Q18" s="133"/>
      <c r="R18" s="133"/>
      <c r="S18" s="134"/>
    </row>
    <row r="19" spans="1:19" ht="7.5" customHeight="1" x14ac:dyDescent="0.15">
      <c r="B19" s="80"/>
      <c r="C19" s="80"/>
      <c r="D19" s="80"/>
      <c r="E19" s="80"/>
      <c r="F19" s="80"/>
      <c r="G19" s="80"/>
      <c r="H19" s="80"/>
      <c r="I19" s="80"/>
      <c r="J19" s="80"/>
      <c r="K19" s="80"/>
      <c r="L19" s="80"/>
      <c r="M19" s="80"/>
      <c r="N19" s="80"/>
      <c r="O19" s="80"/>
      <c r="P19" s="80"/>
      <c r="Q19" s="80"/>
      <c r="R19" s="80"/>
      <c r="S19" s="80"/>
    </row>
    <row r="20" spans="1:19" ht="20.100000000000001" customHeight="1" x14ac:dyDescent="0.15">
      <c r="B20" s="74" t="s">
        <v>112</v>
      </c>
      <c r="C20" s="111">
        <v>6</v>
      </c>
      <c r="D20" s="113"/>
      <c r="E20" s="84" t="s">
        <v>95</v>
      </c>
      <c r="G20" s="82"/>
      <c r="H20" s="80"/>
      <c r="I20" s="80"/>
      <c r="J20" s="75" t="s">
        <v>121</v>
      </c>
      <c r="K20" s="119" t="s">
        <v>123</v>
      </c>
      <c r="L20" s="120"/>
      <c r="M20" s="120"/>
      <c r="N20" s="120"/>
      <c r="O20" s="120"/>
      <c r="P20" s="120"/>
      <c r="Q20" s="120"/>
      <c r="R20" s="120"/>
      <c r="S20" s="121"/>
    </row>
    <row r="21" spans="1:19" ht="7.5" customHeight="1" x14ac:dyDescent="0.15">
      <c r="B21" s="80"/>
      <c r="C21" s="80"/>
      <c r="D21" s="80"/>
      <c r="E21" s="80"/>
      <c r="F21" s="80"/>
      <c r="G21" s="80"/>
      <c r="H21" s="80"/>
      <c r="I21" s="80"/>
      <c r="J21" s="80"/>
      <c r="K21" s="80"/>
      <c r="L21" s="80"/>
      <c r="M21" s="80"/>
      <c r="N21" s="80"/>
      <c r="O21" s="80"/>
      <c r="P21" s="80"/>
      <c r="Q21" s="80"/>
      <c r="R21" s="80"/>
      <c r="S21" s="80"/>
    </row>
    <row r="22" spans="1:19" ht="18" customHeight="1" x14ac:dyDescent="0.15">
      <c r="A22" s="114" t="s">
        <v>113</v>
      </c>
      <c r="B22" s="114"/>
      <c r="C22" s="114"/>
      <c r="D22" s="114"/>
      <c r="E22" s="114"/>
      <c r="F22" s="114"/>
      <c r="G22" s="114"/>
      <c r="H22" s="114"/>
      <c r="I22" s="114"/>
      <c r="J22" s="114"/>
      <c r="K22" s="114"/>
      <c r="L22" s="114"/>
      <c r="M22" s="114"/>
      <c r="N22" s="114"/>
      <c r="O22" s="114"/>
      <c r="P22" s="114"/>
      <c r="Q22" s="114"/>
      <c r="R22" s="114"/>
      <c r="S22" s="114"/>
    </row>
    <row r="23" spans="1:19" ht="18" customHeight="1" x14ac:dyDescent="0.15">
      <c r="A23" s="114"/>
      <c r="B23" s="114"/>
      <c r="C23" s="114"/>
      <c r="D23" s="114"/>
      <c r="E23" s="114"/>
      <c r="F23" s="114"/>
      <c r="G23" s="114"/>
      <c r="H23" s="114"/>
      <c r="I23" s="114"/>
      <c r="J23" s="114"/>
      <c r="K23" s="114"/>
      <c r="L23" s="114"/>
      <c r="M23" s="114"/>
      <c r="N23" s="114"/>
      <c r="O23" s="114"/>
      <c r="P23" s="114"/>
      <c r="Q23" s="114"/>
      <c r="R23" s="114"/>
      <c r="S23" s="114"/>
    </row>
    <row r="24" spans="1:19" ht="18" customHeight="1" x14ac:dyDescent="0.15">
      <c r="B24" s="111" t="s">
        <v>53</v>
      </c>
      <c r="C24" s="112"/>
      <c r="D24" s="112"/>
      <c r="E24" s="113"/>
      <c r="F24" s="85" t="s">
        <v>80</v>
      </c>
      <c r="G24" s="86" t="s">
        <v>84</v>
      </c>
      <c r="H24" s="87" t="s">
        <v>56</v>
      </c>
      <c r="I24" s="87" t="s">
        <v>59</v>
      </c>
      <c r="J24" s="111" t="s">
        <v>53</v>
      </c>
      <c r="K24" s="112"/>
      <c r="L24" s="112"/>
      <c r="M24" s="112"/>
      <c r="N24" s="112"/>
      <c r="O24" s="113"/>
      <c r="P24" s="85" t="s">
        <v>80</v>
      </c>
      <c r="Q24" s="86" t="s">
        <v>84</v>
      </c>
      <c r="R24" s="87" t="s">
        <v>56</v>
      </c>
      <c r="S24" s="87" t="s">
        <v>59</v>
      </c>
    </row>
    <row r="25" spans="1:19" ht="18" customHeight="1" x14ac:dyDescent="0.15">
      <c r="B25" s="115" t="s">
        <v>133</v>
      </c>
      <c r="C25" s="116"/>
      <c r="D25" s="116"/>
      <c r="E25" s="117"/>
      <c r="F25" s="88">
        <v>1</v>
      </c>
      <c r="G25" s="88" t="s">
        <v>132</v>
      </c>
      <c r="H25" s="88" t="s">
        <v>132</v>
      </c>
      <c r="I25" s="88" t="s">
        <v>132</v>
      </c>
      <c r="J25" s="115"/>
      <c r="K25" s="116"/>
      <c r="L25" s="116"/>
      <c r="M25" s="116"/>
      <c r="N25" s="116"/>
      <c r="O25" s="117"/>
      <c r="P25" s="88"/>
      <c r="Q25" s="88"/>
      <c r="R25" s="88"/>
      <c r="S25" s="88"/>
    </row>
    <row r="26" spans="1:19" ht="18" customHeight="1" x14ac:dyDescent="0.15">
      <c r="B26" s="105" t="s">
        <v>134</v>
      </c>
      <c r="C26" s="106"/>
      <c r="D26" s="106"/>
      <c r="E26" s="107"/>
      <c r="F26" s="70">
        <v>1</v>
      </c>
      <c r="G26" s="70" t="s">
        <v>132</v>
      </c>
      <c r="H26" s="70"/>
      <c r="I26" s="70" t="s">
        <v>132</v>
      </c>
      <c r="J26" s="105"/>
      <c r="K26" s="106"/>
      <c r="L26" s="106"/>
      <c r="M26" s="106"/>
      <c r="N26" s="106"/>
      <c r="O26" s="107"/>
      <c r="P26" s="70"/>
      <c r="Q26" s="70"/>
      <c r="R26" s="70"/>
      <c r="S26" s="70"/>
    </row>
    <row r="27" spans="1:19" ht="18" customHeight="1" x14ac:dyDescent="0.15">
      <c r="B27" s="105"/>
      <c r="C27" s="106"/>
      <c r="D27" s="106"/>
      <c r="E27" s="107"/>
      <c r="F27" s="70"/>
      <c r="G27" s="70"/>
      <c r="H27" s="70"/>
      <c r="I27" s="70"/>
      <c r="J27" s="105"/>
      <c r="K27" s="106"/>
      <c r="L27" s="106"/>
      <c r="M27" s="106"/>
      <c r="N27" s="106"/>
      <c r="O27" s="107"/>
      <c r="P27" s="70"/>
      <c r="Q27" s="70"/>
      <c r="R27" s="70"/>
      <c r="S27" s="70"/>
    </row>
    <row r="28" spans="1:19" ht="18" customHeight="1" x14ac:dyDescent="0.15">
      <c r="B28" s="105"/>
      <c r="C28" s="106"/>
      <c r="D28" s="106"/>
      <c r="E28" s="107"/>
      <c r="F28" s="70"/>
      <c r="G28" s="70"/>
      <c r="H28" s="70"/>
      <c r="I28" s="70"/>
      <c r="J28" s="105"/>
      <c r="K28" s="106"/>
      <c r="L28" s="106"/>
      <c r="M28" s="106"/>
      <c r="N28" s="106"/>
      <c r="O28" s="107"/>
      <c r="P28" s="70"/>
      <c r="Q28" s="70"/>
      <c r="R28" s="70"/>
      <c r="S28" s="70"/>
    </row>
    <row r="29" spans="1:19" ht="18" customHeight="1" x14ac:dyDescent="0.15">
      <c r="B29" s="105"/>
      <c r="C29" s="106"/>
      <c r="D29" s="106"/>
      <c r="E29" s="107"/>
      <c r="F29" s="70"/>
      <c r="G29" s="70"/>
      <c r="H29" s="70"/>
      <c r="I29" s="70"/>
      <c r="J29" s="105"/>
      <c r="K29" s="106"/>
      <c r="L29" s="106"/>
      <c r="M29" s="106"/>
      <c r="N29" s="106"/>
      <c r="O29" s="107"/>
      <c r="P29" s="70"/>
      <c r="Q29" s="70"/>
      <c r="R29" s="70"/>
      <c r="S29" s="70"/>
    </row>
    <row r="30" spans="1:19" ht="18" customHeight="1" x14ac:dyDescent="0.15">
      <c r="A30" s="80"/>
      <c r="B30" s="105"/>
      <c r="C30" s="106"/>
      <c r="D30" s="106"/>
      <c r="E30" s="107"/>
      <c r="F30" s="70"/>
      <c r="G30" s="70"/>
      <c r="H30" s="70"/>
      <c r="I30" s="70"/>
      <c r="J30" s="105"/>
      <c r="K30" s="106"/>
      <c r="L30" s="106"/>
      <c r="M30" s="106"/>
      <c r="N30" s="106"/>
      <c r="O30" s="107"/>
      <c r="P30" s="70"/>
      <c r="Q30" s="70"/>
      <c r="R30" s="70"/>
      <c r="S30" s="70"/>
    </row>
    <row r="31" spans="1:19" ht="18" customHeight="1" x14ac:dyDescent="0.15">
      <c r="A31" s="80"/>
      <c r="B31" s="108"/>
      <c r="C31" s="109"/>
      <c r="D31" s="109"/>
      <c r="E31" s="110"/>
      <c r="F31" s="89"/>
      <c r="G31" s="89"/>
      <c r="H31" s="90"/>
      <c r="I31" s="90"/>
      <c r="J31" s="108"/>
      <c r="K31" s="109"/>
      <c r="L31" s="109"/>
      <c r="M31" s="109"/>
      <c r="N31" s="109"/>
      <c r="O31" s="110"/>
      <c r="P31" s="89"/>
      <c r="Q31" s="89"/>
      <c r="R31" s="90"/>
      <c r="S31" s="90"/>
    </row>
    <row r="32" spans="1:19" ht="7.5" customHeight="1" x14ac:dyDescent="0.15">
      <c r="A32" s="80"/>
      <c r="B32" s="78"/>
      <c r="C32" s="78"/>
      <c r="D32" s="80"/>
      <c r="E32" s="80"/>
      <c r="F32" s="80"/>
      <c r="G32" s="80"/>
      <c r="H32" s="78"/>
      <c r="I32" s="78"/>
      <c r="J32" s="78"/>
      <c r="K32" s="78"/>
      <c r="L32" s="78"/>
      <c r="M32" s="78"/>
      <c r="N32" s="78"/>
      <c r="O32" s="78"/>
      <c r="P32" s="78"/>
      <c r="Q32" s="78"/>
      <c r="R32" s="78"/>
      <c r="S32" s="80"/>
    </row>
    <row r="33" spans="1:19" ht="18" customHeight="1" x14ac:dyDescent="0.15">
      <c r="A33" s="114" t="s">
        <v>114</v>
      </c>
      <c r="B33" s="114"/>
      <c r="C33" s="114"/>
      <c r="D33" s="114"/>
      <c r="E33" s="114"/>
      <c r="F33" s="114"/>
      <c r="G33" s="114"/>
      <c r="H33" s="114"/>
      <c r="I33" s="114"/>
      <c r="J33" s="114"/>
      <c r="K33" s="114"/>
      <c r="L33" s="114"/>
      <c r="M33" s="114"/>
      <c r="N33" s="114"/>
      <c r="O33" s="114"/>
      <c r="P33" s="114"/>
      <c r="Q33" s="114"/>
      <c r="R33" s="114"/>
      <c r="S33" s="114"/>
    </row>
    <row r="34" spans="1:19" ht="18" customHeight="1" x14ac:dyDescent="0.15">
      <c r="A34" s="114"/>
      <c r="B34" s="114"/>
      <c r="C34" s="114"/>
      <c r="D34" s="114"/>
      <c r="E34" s="114"/>
      <c r="F34" s="114"/>
      <c r="G34" s="114"/>
      <c r="H34" s="114"/>
      <c r="I34" s="114"/>
      <c r="J34" s="114"/>
      <c r="K34" s="114"/>
      <c r="L34" s="114"/>
      <c r="M34" s="114"/>
      <c r="N34" s="114"/>
      <c r="O34" s="114"/>
      <c r="P34" s="114"/>
      <c r="Q34" s="114"/>
      <c r="R34" s="114"/>
      <c r="S34" s="114"/>
    </row>
    <row r="35" spans="1:19" ht="18" customHeight="1" x14ac:dyDescent="0.15">
      <c r="B35" s="111" t="s">
        <v>53</v>
      </c>
      <c r="C35" s="112"/>
      <c r="D35" s="112"/>
      <c r="E35" s="113"/>
      <c r="F35" s="85" t="s">
        <v>80</v>
      </c>
      <c r="G35" s="86" t="s">
        <v>84</v>
      </c>
      <c r="H35" s="87" t="s">
        <v>71</v>
      </c>
      <c r="I35" s="87" t="s">
        <v>72</v>
      </c>
      <c r="J35" s="111" t="s">
        <v>53</v>
      </c>
      <c r="K35" s="112"/>
      <c r="L35" s="112"/>
      <c r="M35" s="112"/>
      <c r="N35" s="112"/>
      <c r="O35" s="113"/>
      <c r="P35" s="85" t="s">
        <v>80</v>
      </c>
      <c r="Q35" s="86" t="s">
        <v>84</v>
      </c>
      <c r="R35" s="87" t="s">
        <v>71</v>
      </c>
      <c r="S35" s="87" t="s">
        <v>72</v>
      </c>
    </row>
    <row r="36" spans="1:19" ht="18" customHeight="1" x14ac:dyDescent="0.15">
      <c r="B36" s="115" t="s">
        <v>133</v>
      </c>
      <c r="C36" s="116"/>
      <c r="D36" s="116"/>
      <c r="E36" s="117"/>
      <c r="F36" s="88">
        <v>1</v>
      </c>
      <c r="G36" s="88" t="s">
        <v>132</v>
      </c>
      <c r="H36" s="88" t="s">
        <v>132</v>
      </c>
      <c r="I36" s="88" t="s">
        <v>132</v>
      </c>
      <c r="J36" s="115"/>
      <c r="K36" s="116"/>
      <c r="L36" s="116"/>
      <c r="M36" s="116"/>
      <c r="N36" s="116"/>
      <c r="O36" s="117"/>
      <c r="P36" s="88"/>
      <c r="Q36" s="88"/>
      <c r="R36" s="88"/>
      <c r="S36" s="88"/>
    </row>
    <row r="37" spans="1:19" ht="18" customHeight="1" x14ac:dyDescent="0.15">
      <c r="B37" s="105" t="s">
        <v>134</v>
      </c>
      <c r="C37" s="106"/>
      <c r="D37" s="106"/>
      <c r="E37" s="107"/>
      <c r="F37" s="70">
        <v>1</v>
      </c>
      <c r="G37" s="70" t="s">
        <v>132</v>
      </c>
      <c r="H37" s="70"/>
      <c r="I37" s="70" t="s">
        <v>132</v>
      </c>
      <c r="J37" s="105"/>
      <c r="K37" s="106"/>
      <c r="L37" s="106"/>
      <c r="M37" s="106"/>
      <c r="N37" s="106"/>
      <c r="O37" s="107"/>
      <c r="P37" s="70"/>
      <c r="Q37" s="70"/>
      <c r="R37" s="70"/>
      <c r="S37" s="70"/>
    </row>
    <row r="38" spans="1:19" ht="18" customHeight="1" x14ac:dyDescent="0.15">
      <c r="B38" s="105" t="s">
        <v>175</v>
      </c>
      <c r="C38" s="106"/>
      <c r="D38" s="106"/>
      <c r="E38" s="107"/>
      <c r="F38" s="70">
        <v>1</v>
      </c>
      <c r="G38" s="70" t="s">
        <v>132</v>
      </c>
      <c r="H38" s="70" t="s">
        <v>137</v>
      </c>
      <c r="I38" s="70" t="s">
        <v>132</v>
      </c>
      <c r="J38" s="105"/>
      <c r="K38" s="106"/>
      <c r="L38" s="106"/>
      <c r="M38" s="106"/>
      <c r="N38" s="106"/>
      <c r="O38" s="107"/>
      <c r="P38" s="70"/>
      <c r="Q38" s="70"/>
      <c r="R38" s="70"/>
      <c r="S38" s="70"/>
    </row>
    <row r="39" spans="1:19" ht="18" customHeight="1" x14ac:dyDescent="0.15">
      <c r="B39" s="105"/>
      <c r="C39" s="106"/>
      <c r="D39" s="106"/>
      <c r="E39" s="107"/>
      <c r="F39" s="70"/>
      <c r="G39" s="70"/>
      <c r="H39" s="70"/>
      <c r="I39" s="70"/>
      <c r="J39" s="105"/>
      <c r="K39" s="106"/>
      <c r="L39" s="106"/>
      <c r="M39" s="106"/>
      <c r="N39" s="106"/>
      <c r="O39" s="107"/>
      <c r="P39" s="70"/>
      <c r="Q39" s="70"/>
      <c r="R39" s="70"/>
      <c r="S39" s="70"/>
    </row>
    <row r="40" spans="1:19" ht="18" customHeight="1" x14ac:dyDescent="0.15">
      <c r="B40" s="105"/>
      <c r="C40" s="106"/>
      <c r="D40" s="106"/>
      <c r="E40" s="107"/>
      <c r="F40" s="70"/>
      <c r="G40" s="70"/>
      <c r="H40" s="70"/>
      <c r="I40" s="70"/>
      <c r="J40" s="105"/>
      <c r="K40" s="106"/>
      <c r="L40" s="106"/>
      <c r="M40" s="106"/>
      <c r="N40" s="106"/>
      <c r="O40" s="107"/>
      <c r="P40" s="70"/>
      <c r="Q40" s="70"/>
      <c r="R40" s="70"/>
      <c r="S40" s="70"/>
    </row>
    <row r="41" spans="1:19" ht="18" customHeight="1" x14ac:dyDescent="0.15">
      <c r="B41" s="105"/>
      <c r="C41" s="106"/>
      <c r="D41" s="106"/>
      <c r="E41" s="107"/>
      <c r="F41" s="70"/>
      <c r="G41" s="70"/>
      <c r="H41" s="70"/>
      <c r="I41" s="70"/>
      <c r="J41" s="105"/>
      <c r="K41" s="106"/>
      <c r="L41" s="106"/>
      <c r="M41" s="106"/>
      <c r="N41" s="106"/>
      <c r="O41" s="107"/>
      <c r="P41" s="70"/>
      <c r="Q41" s="70"/>
      <c r="R41" s="70"/>
      <c r="S41" s="70"/>
    </row>
    <row r="42" spans="1:19" ht="18" customHeight="1" x14ac:dyDescent="0.15">
      <c r="B42" s="108"/>
      <c r="C42" s="109"/>
      <c r="D42" s="109"/>
      <c r="E42" s="110"/>
      <c r="F42" s="89"/>
      <c r="G42" s="89"/>
      <c r="H42" s="90"/>
      <c r="I42" s="90"/>
      <c r="J42" s="108"/>
      <c r="K42" s="109"/>
      <c r="L42" s="109"/>
      <c r="M42" s="109"/>
      <c r="N42" s="109"/>
      <c r="O42" s="110"/>
      <c r="P42" s="89"/>
      <c r="Q42" s="89"/>
      <c r="R42" s="90"/>
      <c r="S42" s="90"/>
    </row>
    <row r="43" spans="1:19" ht="7.5" customHeight="1" x14ac:dyDescent="0.15">
      <c r="A43" s="80"/>
      <c r="B43" s="78"/>
      <c r="C43" s="78"/>
      <c r="D43" s="80"/>
      <c r="E43" s="80"/>
      <c r="F43" s="80"/>
      <c r="G43" s="80"/>
      <c r="H43" s="78"/>
      <c r="I43" s="78"/>
      <c r="J43" s="78"/>
      <c r="K43" s="78"/>
      <c r="L43" s="78"/>
      <c r="M43" s="78"/>
      <c r="N43" s="78"/>
      <c r="O43" s="78"/>
      <c r="P43" s="78"/>
      <c r="Q43" s="78"/>
      <c r="R43" s="78"/>
      <c r="S43" s="80"/>
    </row>
    <row r="44" spans="1:19" ht="18" customHeight="1" x14ac:dyDescent="0.15">
      <c r="A44" s="114" t="s">
        <v>115</v>
      </c>
      <c r="B44" s="114"/>
      <c r="C44" s="114"/>
      <c r="D44" s="114"/>
      <c r="E44" s="114"/>
      <c r="F44" s="114"/>
      <c r="G44" s="114"/>
      <c r="H44" s="114"/>
      <c r="I44" s="114"/>
      <c r="J44" s="114"/>
      <c r="K44" s="114"/>
      <c r="L44" s="114"/>
      <c r="M44" s="114"/>
      <c r="N44" s="114"/>
      <c r="O44" s="114"/>
      <c r="P44" s="114"/>
      <c r="Q44" s="114"/>
      <c r="R44" s="114"/>
      <c r="S44" s="114"/>
    </row>
    <row r="45" spans="1:19" ht="18" customHeight="1" x14ac:dyDescent="0.15">
      <c r="A45" s="114"/>
      <c r="B45" s="114"/>
      <c r="C45" s="114"/>
      <c r="D45" s="114"/>
      <c r="E45" s="114"/>
      <c r="F45" s="114"/>
      <c r="G45" s="114"/>
      <c r="H45" s="114"/>
      <c r="I45" s="114"/>
      <c r="J45" s="114"/>
      <c r="K45" s="114"/>
      <c r="L45" s="114"/>
      <c r="M45" s="114"/>
      <c r="N45" s="114"/>
      <c r="O45" s="114"/>
      <c r="P45" s="114"/>
      <c r="Q45" s="114"/>
      <c r="R45" s="114"/>
      <c r="S45" s="114"/>
    </row>
    <row r="46" spans="1:19" ht="18" customHeight="1" x14ac:dyDescent="0.15">
      <c r="B46" s="111" t="s">
        <v>53</v>
      </c>
      <c r="C46" s="112"/>
      <c r="D46" s="112"/>
      <c r="E46" s="113"/>
      <c r="F46" s="85" t="s">
        <v>80</v>
      </c>
      <c r="G46" s="86" t="s">
        <v>84</v>
      </c>
      <c r="H46" s="87" t="s">
        <v>73</v>
      </c>
      <c r="I46" s="87" t="s">
        <v>74</v>
      </c>
      <c r="J46" s="111" t="s">
        <v>53</v>
      </c>
      <c r="K46" s="112"/>
      <c r="L46" s="112"/>
      <c r="M46" s="112"/>
      <c r="N46" s="112"/>
      <c r="O46" s="113"/>
      <c r="P46" s="85" t="s">
        <v>80</v>
      </c>
      <c r="Q46" s="86" t="s">
        <v>84</v>
      </c>
      <c r="R46" s="87" t="s">
        <v>73</v>
      </c>
      <c r="S46" s="87" t="s">
        <v>74</v>
      </c>
    </row>
    <row r="47" spans="1:19" ht="18" customHeight="1" x14ac:dyDescent="0.15">
      <c r="A47" s="80"/>
      <c r="B47" s="115" t="s">
        <v>133</v>
      </c>
      <c r="C47" s="116"/>
      <c r="D47" s="116"/>
      <c r="E47" s="117"/>
      <c r="F47" s="88">
        <v>1</v>
      </c>
      <c r="G47" s="88" t="s">
        <v>132</v>
      </c>
      <c r="H47" s="88" t="s">
        <v>132</v>
      </c>
      <c r="I47" s="88" t="s">
        <v>132</v>
      </c>
      <c r="J47" s="115"/>
      <c r="K47" s="116"/>
      <c r="L47" s="116"/>
      <c r="M47" s="116"/>
      <c r="N47" s="116"/>
      <c r="O47" s="117"/>
      <c r="P47" s="88"/>
      <c r="Q47" s="88"/>
      <c r="R47" s="88"/>
      <c r="S47" s="88"/>
    </row>
    <row r="48" spans="1:19" ht="18" customHeight="1" x14ac:dyDescent="0.15">
      <c r="A48" s="80"/>
      <c r="B48" s="105" t="s">
        <v>134</v>
      </c>
      <c r="C48" s="106"/>
      <c r="D48" s="106"/>
      <c r="E48" s="107"/>
      <c r="F48" s="70">
        <v>1</v>
      </c>
      <c r="G48" s="70" t="s">
        <v>132</v>
      </c>
      <c r="H48" s="70" t="s">
        <v>132</v>
      </c>
      <c r="I48" s="70" t="s">
        <v>132</v>
      </c>
      <c r="J48" s="105"/>
      <c r="K48" s="106"/>
      <c r="L48" s="106"/>
      <c r="M48" s="106"/>
      <c r="N48" s="106"/>
      <c r="O48" s="107"/>
      <c r="P48" s="70"/>
      <c r="Q48" s="70"/>
      <c r="R48" s="70"/>
      <c r="S48" s="70"/>
    </row>
    <row r="49" spans="1:19" ht="18" customHeight="1" x14ac:dyDescent="0.15">
      <c r="A49" s="80"/>
      <c r="B49" s="105" t="s">
        <v>175</v>
      </c>
      <c r="C49" s="106"/>
      <c r="D49" s="106"/>
      <c r="E49" s="107"/>
      <c r="F49" s="70">
        <v>1</v>
      </c>
      <c r="G49" s="70" t="s">
        <v>132</v>
      </c>
      <c r="H49" s="70"/>
      <c r="I49" s="70" t="s">
        <v>132</v>
      </c>
      <c r="J49" s="105"/>
      <c r="K49" s="106"/>
      <c r="L49" s="106"/>
      <c r="M49" s="106"/>
      <c r="N49" s="106"/>
      <c r="O49" s="107"/>
      <c r="P49" s="70"/>
      <c r="Q49" s="70"/>
      <c r="R49" s="70"/>
      <c r="S49" s="70"/>
    </row>
    <row r="50" spans="1:19" ht="18" customHeight="1" x14ac:dyDescent="0.15">
      <c r="A50" s="80"/>
      <c r="B50" s="105"/>
      <c r="C50" s="106"/>
      <c r="D50" s="106"/>
      <c r="E50" s="107"/>
      <c r="F50" s="70"/>
      <c r="G50" s="70"/>
      <c r="H50" s="70"/>
      <c r="I50" s="70"/>
      <c r="J50" s="105"/>
      <c r="K50" s="106"/>
      <c r="L50" s="106"/>
      <c r="M50" s="106"/>
      <c r="N50" s="106"/>
      <c r="O50" s="107"/>
      <c r="P50" s="70"/>
      <c r="Q50" s="70"/>
      <c r="R50" s="70"/>
      <c r="S50" s="70"/>
    </row>
    <row r="51" spans="1:19" ht="18" customHeight="1" x14ac:dyDescent="0.15">
      <c r="A51" s="80"/>
      <c r="B51" s="105"/>
      <c r="C51" s="106"/>
      <c r="D51" s="106"/>
      <c r="E51" s="107"/>
      <c r="F51" s="70"/>
      <c r="G51" s="70"/>
      <c r="H51" s="70"/>
      <c r="I51" s="70"/>
      <c r="J51" s="105"/>
      <c r="K51" s="106"/>
      <c r="L51" s="106"/>
      <c r="M51" s="106"/>
      <c r="N51" s="106"/>
      <c r="O51" s="107"/>
      <c r="P51" s="70"/>
      <c r="Q51" s="70"/>
      <c r="R51" s="70"/>
      <c r="S51" s="70"/>
    </row>
    <row r="52" spans="1:19" ht="18" customHeight="1" x14ac:dyDescent="0.15">
      <c r="A52" s="80"/>
      <c r="B52" s="105"/>
      <c r="C52" s="106"/>
      <c r="D52" s="106"/>
      <c r="E52" s="107"/>
      <c r="F52" s="70"/>
      <c r="G52" s="70"/>
      <c r="H52" s="70"/>
      <c r="I52" s="70"/>
      <c r="J52" s="105"/>
      <c r="K52" s="106"/>
      <c r="L52" s="106"/>
      <c r="M52" s="106"/>
      <c r="N52" s="106"/>
      <c r="O52" s="107"/>
      <c r="P52" s="70"/>
      <c r="Q52" s="70"/>
      <c r="R52" s="70"/>
      <c r="S52" s="70"/>
    </row>
    <row r="53" spans="1:19" ht="18" customHeight="1" x14ac:dyDescent="0.15">
      <c r="A53" s="80"/>
      <c r="B53" s="108"/>
      <c r="C53" s="109"/>
      <c r="D53" s="109"/>
      <c r="E53" s="110"/>
      <c r="F53" s="89"/>
      <c r="G53" s="89"/>
      <c r="H53" s="90"/>
      <c r="I53" s="90"/>
      <c r="J53" s="108"/>
      <c r="K53" s="109"/>
      <c r="L53" s="109"/>
      <c r="M53" s="109"/>
      <c r="N53" s="109"/>
      <c r="O53" s="110"/>
      <c r="P53" s="89"/>
      <c r="Q53" s="89"/>
      <c r="R53" s="90"/>
      <c r="S53" s="90"/>
    </row>
    <row r="54" spans="1:19" ht="7.5" customHeight="1" x14ac:dyDescent="0.15">
      <c r="B54" s="91"/>
      <c r="C54" s="91"/>
      <c r="D54" s="91"/>
      <c r="E54" s="91"/>
      <c r="F54" s="91"/>
      <c r="G54" s="91"/>
      <c r="H54" s="91"/>
      <c r="I54" s="91"/>
      <c r="J54" s="91"/>
      <c r="K54" s="91"/>
      <c r="L54" s="91"/>
      <c r="M54" s="91"/>
      <c r="N54" s="91"/>
      <c r="O54" s="91"/>
      <c r="P54" s="91"/>
      <c r="Q54" s="91"/>
      <c r="R54" s="91"/>
    </row>
    <row r="55" spans="1:19" ht="18" customHeight="1" x14ac:dyDescent="0.15">
      <c r="A55" s="114" t="s">
        <v>116</v>
      </c>
      <c r="B55" s="114"/>
      <c r="C55" s="114"/>
      <c r="D55" s="114"/>
      <c r="E55" s="114"/>
      <c r="F55" s="114"/>
      <c r="G55" s="114"/>
      <c r="H55" s="114"/>
      <c r="I55" s="114"/>
      <c r="J55" s="114"/>
      <c r="K55" s="114"/>
      <c r="L55" s="114"/>
      <c r="M55" s="114"/>
      <c r="N55" s="114"/>
      <c r="O55" s="114"/>
      <c r="P55" s="114"/>
      <c r="Q55" s="114"/>
      <c r="R55" s="114"/>
      <c r="S55" s="114"/>
    </row>
    <row r="56" spans="1:19" ht="18" customHeight="1" x14ac:dyDescent="0.15">
      <c r="A56" s="114"/>
      <c r="B56" s="114"/>
      <c r="C56" s="114"/>
      <c r="D56" s="114"/>
      <c r="E56" s="114"/>
      <c r="F56" s="114"/>
      <c r="G56" s="114"/>
      <c r="H56" s="114"/>
      <c r="I56" s="114"/>
      <c r="J56" s="114"/>
      <c r="K56" s="114"/>
      <c r="L56" s="114"/>
      <c r="M56" s="114"/>
      <c r="N56" s="114"/>
      <c r="O56" s="114"/>
      <c r="P56" s="114"/>
      <c r="Q56" s="114"/>
      <c r="R56" s="114"/>
      <c r="S56" s="114"/>
    </row>
    <row r="57" spans="1:19" ht="18" customHeight="1" x14ac:dyDescent="0.15">
      <c r="B57" s="111" t="s">
        <v>53</v>
      </c>
      <c r="C57" s="112"/>
      <c r="D57" s="112"/>
      <c r="E57" s="113"/>
      <c r="F57" s="85" t="s">
        <v>80</v>
      </c>
      <c r="G57" s="86" t="s">
        <v>84</v>
      </c>
      <c r="H57" s="87" t="s">
        <v>58</v>
      </c>
      <c r="I57" s="87" t="s">
        <v>60</v>
      </c>
      <c r="J57" s="111" t="s">
        <v>53</v>
      </c>
      <c r="K57" s="112"/>
      <c r="L57" s="112"/>
      <c r="M57" s="112"/>
      <c r="N57" s="112"/>
      <c r="O57" s="113"/>
      <c r="P57" s="85" t="s">
        <v>80</v>
      </c>
      <c r="Q57" s="86" t="s">
        <v>84</v>
      </c>
      <c r="R57" s="87" t="s">
        <v>58</v>
      </c>
      <c r="S57" s="87" t="s">
        <v>60</v>
      </c>
    </row>
    <row r="58" spans="1:19" ht="18" customHeight="1" x14ac:dyDescent="0.15">
      <c r="A58" s="80"/>
      <c r="B58" s="115" t="s">
        <v>133</v>
      </c>
      <c r="C58" s="116"/>
      <c r="D58" s="116"/>
      <c r="E58" s="117"/>
      <c r="F58" s="88">
        <v>1</v>
      </c>
      <c r="G58" s="88" t="s">
        <v>132</v>
      </c>
      <c r="H58" s="88" t="s">
        <v>137</v>
      </c>
      <c r="I58" s="88" t="s">
        <v>132</v>
      </c>
      <c r="J58" s="115"/>
      <c r="K58" s="116"/>
      <c r="L58" s="116"/>
      <c r="M58" s="116"/>
      <c r="N58" s="116"/>
      <c r="O58" s="117"/>
      <c r="P58" s="88"/>
      <c r="Q58" s="88"/>
      <c r="R58" s="88"/>
      <c r="S58" s="88"/>
    </row>
    <row r="59" spans="1:19" ht="18" customHeight="1" x14ac:dyDescent="0.15">
      <c r="A59" s="80"/>
      <c r="B59" s="105" t="s">
        <v>177</v>
      </c>
      <c r="C59" s="106"/>
      <c r="D59" s="106"/>
      <c r="E59" s="107"/>
      <c r="F59" s="70">
        <v>1</v>
      </c>
      <c r="G59" s="70" t="s">
        <v>132</v>
      </c>
      <c r="H59" s="70" t="s">
        <v>132</v>
      </c>
      <c r="I59" s="70" t="s">
        <v>132</v>
      </c>
      <c r="J59" s="105"/>
      <c r="K59" s="106"/>
      <c r="L59" s="106"/>
      <c r="M59" s="106"/>
      <c r="N59" s="106"/>
      <c r="O59" s="107"/>
      <c r="P59" s="70"/>
      <c r="Q59" s="70"/>
      <c r="R59" s="70"/>
      <c r="S59" s="70"/>
    </row>
    <row r="60" spans="1:19" ht="18" customHeight="1" x14ac:dyDescent="0.15">
      <c r="A60" s="80"/>
      <c r="B60" s="105" t="s">
        <v>175</v>
      </c>
      <c r="C60" s="106"/>
      <c r="D60" s="106"/>
      <c r="E60" s="107"/>
      <c r="F60" s="70">
        <v>1</v>
      </c>
      <c r="G60" s="70" t="s">
        <v>132</v>
      </c>
      <c r="H60" s="70" t="s">
        <v>132</v>
      </c>
      <c r="I60" s="70" t="s">
        <v>132</v>
      </c>
      <c r="J60" s="105"/>
      <c r="K60" s="106"/>
      <c r="L60" s="106"/>
      <c r="M60" s="106"/>
      <c r="N60" s="106"/>
      <c r="O60" s="107"/>
      <c r="P60" s="70"/>
      <c r="Q60" s="70"/>
      <c r="R60" s="70"/>
      <c r="S60" s="70"/>
    </row>
    <row r="61" spans="1:19" ht="18" customHeight="1" x14ac:dyDescent="0.15">
      <c r="A61" s="80"/>
      <c r="B61" s="105"/>
      <c r="C61" s="106"/>
      <c r="D61" s="106"/>
      <c r="E61" s="107"/>
      <c r="F61" s="70"/>
      <c r="G61" s="70"/>
      <c r="H61" s="70"/>
      <c r="I61" s="70"/>
      <c r="J61" s="105"/>
      <c r="K61" s="106"/>
      <c r="L61" s="106"/>
      <c r="M61" s="106"/>
      <c r="N61" s="106"/>
      <c r="O61" s="107"/>
      <c r="P61" s="70"/>
      <c r="Q61" s="70"/>
      <c r="R61" s="70"/>
      <c r="S61" s="70"/>
    </row>
    <row r="62" spans="1:19" ht="18" customHeight="1" x14ac:dyDescent="0.15">
      <c r="A62" s="80"/>
      <c r="B62" s="105"/>
      <c r="C62" s="106"/>
      <c r="D62" s="106"/>
      <c r="E62" s="107"/>
      <c r="F62" s="70"/>
      <c r="G62" s="70"/>
      <c r="H62" s="70"/>
      <c r="I62" s="70"/>
      <c r="J62" s="105"/>
      <c r="K62" s="106"/>
      <c r="L62" s="106"/>
      <c r="M62" s="106"/>
      <c r="N62" s="106"/>
      <c r="O62" s="107"/>
      <c r="P62" s="70"/>
      <c r="Q62" s="70"/>
      <c r="R62" s="70"/>
      <c r="S62" s="70"/>
    </row>
    <row r="63" spans="1:19" ht="18" customHeight="1" x14ac:dyDescent="0.15">
      <c r="A63" s="80"/>
      <c r="B63" s="105"/>
      <c r="C63" s="106"/>
      <c r="D63" s="106"/>
      <c r="E63" s="107"/>
      <c r="F63" s="70"/>
      <c r="G63" s="70"/>
      <c r="H63" s="70"/>
      <c r="I63" s="70"/>
      <c r="J63" s="105"/>
      <c r="K63" s="106"/>
      <c r="L63" s="106"/>
      <c r="M63" s="106"/>
      <c r="N63" s="106"/>
      <c r="O63" s="107"/>
      <c r="P63" s="70"/>
      <c r="Q63" s="70"/>
      <c r="R63" s="70"/>
      <c r="S63" s="70"/>
    </row>
    <row r="64" spans="1:19" ht="18" customHeight="1" x14ac:dyDescent="0.15">
      <c r="A64" s="80"/>
      <c r="B64" s="108"/>
      <c r="C64" s="109"/>
      <c r="D64" s="109"/>
      <c r="E64" s="110"/>
      <c r="F64" s="89"/>
      <c r="G64" s="89"/>
      <c r="H64" s="90"/>
      <c r="I64" s="90"/>
      <c r="J64" s="108"/>
      <c r="K64" s="109"/>
      <c r="L64" s="109"/>
      <c r="M64" s="109"/>
      <c r="N64" s="109"/>
      <c r="O64" s="110"/>
      <c r="P64" s="89"/>
      <c r="Q64" s="89"/>
      <c r="R64" s="90"/>
      <c r="S64" s="90"/>
    </row>
    <row r="65" spans="1:19" ht="7.5" customHeight="1" x14ac:dyDescent="0.15">
      <c r="B65" s="91"/>
      <c r="C65" s="91"/>
      <c r="D65" s="91"/>
      <c r="E65" s="91"/>
      <c r="F65" s="91"/>
      <c r="G65" s="91"/>
      <c r="H65" s="91"/>
      <c r="I65" s="91"/>
      <c r="J65" s="91"/>
      <c r="K65" s="91"/>
      <c r="L65" s="91"/>
      <c r="M65" s="91"/>
      <c r="N65" s="91"/>
      <c r="O65" s="91"/>
      <c r="P65" s="91"/>
      <c r="Q65" s="91"/>
      <c r="R65" s="91"/>
    </row>
    <row r="66" spans="1:19" ht="18" customHeight="1" x14ac:dyDescent="0.15">
      <c r="A66" s="114" t="s">
        <v>117</v>
      </c>
      <c r="B66" s="114"/>
      <c r="C66" s="114"/>
      <c r="D66" s="114"/>
      <c r="E66" s="114"/>
      <c r="F66" s="114"/>
      <c r="G66" s="114"/>
      <c r="H66" s="114"/>
      <c r="I66" s="114"/>
      <c r="J66" s="114"/>
      <c r="K66" s="114"/>
      <c r="L66" s="114"/>
      <c r="M66" s="114"/>
      <c r="N66" s="114"/>
      <c r="O66" s="114"/>
      <c r="P66" s="114"/>
      <c r="Q66" s="114"/>
      <c r="R66" s="114"/>
      <c r="S66" s="114"/>
    </row>
    <row r="67" spans="1:19" ht="18" customHeight="1" x14ac:dyDescent="0.15">
      <c r="A67" s="114"/>
      <c r="B67" s="114"/>
      <c r="C67" s="114"/>
      <c r="D67" s="114"/>
      <c r="E67" s="114"/>
      <c r="F67" s="114"/>
      <c r="G67" s="114"/>
      <c r="H67" s="114"/>
      <c r="I67" s="114"/>
      <c r="J67" s="114"/>
      <c r="K67" s="114"/>
      <c r="L67" s="114"/>
      <c r="M67" s="114"/>
      <c r="N67" s="114"/>
      <c r="O67" s="114"/>
      <c r="P67" s="114"/>
      <c r="Q67" s="114"/>
      <c r="R67" s="114"/>
      <c r="S67" s="114"/>
    </row>
    <row r="68" spans="1:19" ht="18" customHeight="1" x14ac:dyDescent="0.15">
      <c r="B68" s="111" t="s">
        <v>53</v>
      </c>
      <c r="C68" s="112"/>
      <c r="D68" s="112"/>
      <c r="E68" s="85" t="s">
        <v>80</v>
      </c>
      <c r="F68" s="86" t="s">
        <v>84</v>
      </c>
      <c r="G68" s="87" t="s">
        <v>101</v>
      </c>
      <c r="H68" s="87" t="s">
        <v>75</v>
      </c>
      <c r="I68" s="87" t="s">
        <v>76</v>
      </c>
      <c r="J68" s="111" t="s">
        <v>53</v>
      </c>
      <c r="K68" s="112"/>
      <c r="L68" s="112"/>
      <c r="M68" s="112"/>
      <c r="N68" s="113"/>
      <c r="O68" s="85" t="s">
        <v>80</v>
      </c>
      <c r="P68" s="86" t="s">
        <v>84</v>
      </c>
      <c r="Q68" s="87" t="s">
        <v>101</v>
      </c>
      <c r="R68" s="87" t="s">
        <v>75</v>
      </c>
      <c r="S68" s="87" t="s">
        <v>76</v>
      </c>
    </row>
    <row r="69" spans="1:19" ht="18" customHeight="1" x14ac:dyDescent="0.15">
      <c r="A69" s="80"/>
      <c r="B69" s="115" t="s">
        <v>133</v>
      </c>
      <c r="C69" s="116"/>
      <c r="D69" s="117"/>
      <c r="E69" s="88">
        <v>1</v>
      </c>
      <c r="F69" s="88" t="s">
        <v>132</v>
      </c>
      <c r="G69" s="88" t="s">
        <v>132</v>
      </c>
      <c r="H69" s="88" t="s">
        <v>132</v>
      </c>
      <c r="I69" s="88" t="s">
        <v>132</v>
      </c>
      <c r="J69" s="115" t="s">
        <v>181</v>
      </c>
      <c r="K69" s="116"/>
      <c r="L69" s="116"/>
      <c r="M69" s="116"/>
      <c r="N69" s="117"/>
      <c r="O69" s="88">
        <v>1</v>
      </c>
      <c r="P69" s="88"/>
      <c r="Q69" s="88"/>
      <c r="R69" s="88" t="s">
        <v>132</v>
      </c>
      <c r="S69" s="88" t="s">
        <v>132</v>
      </c>
    </row>
    <row r="70" spans="1:19" ht="18" customHeight="1" x14ac:dyDescent="0.15">
      <c r="A70" s="80"/>
      <c r="B70" s="105" t="s">
        <v>183</v>
      </c>
      <c r="C70" s="106"/>
      <c r="D70" s="107"/>
      <c r="E70" s="70">
        <v>1</v>
      </c>
      <c r="F70" s="70" t="s">
        <v>132</v>
      </c>
      <c r="G70" s="70" t="s">
        <v>132</v>
      </c>
      <c r="H70" s="70" t="s">
        <v>132</v>
      </c>
      <c r="I70" s="70"/>
      <c r="J70" s="105"/>
      <c r="K70" s="106"/>
      <c r="L70" s="106"/>
      <c r="M70" s="106"/>
      <c r="N70" s="107"/>
      <c r="O70" s="70"/>
      <c r="P70" s="70"/>
      <c r="Q70" s="70"/>
      <c r="R70" s="70"/>
      <c r="S70" s="70"/>
    </row>
    <row r="71" spans="1:19" ht="18" customHeight="1" x14ac:dyDescent="0.15">
      <c r="A71" s="80"/>
      <c r="B71" s="105" t="s">
        <v>178</v>
      </c>
      <c r="C71" s="106"/>
      <c r="D71" s="107"/>
      <c r="E71" s="70">
        <v>1</v>
      </c>
      <c r="F71" s="70" t="s">
        <v>132</v>
      </c>
      <c r="G71" s="70"/>
      <c r="H71" s="70"/>
      <c r="I71" s="70" t="s">
        <v>132</v>
      </c>
      <c r="J71" s="105"/>
      <c r="K71" s="106"/>
      <c r="L71" s="106"/>
      <c r="M71" s="106"/>
      <c r="N71" s="107"/>
      <c r="O71" s="70"/>
      <c r="P71" s="70"/>
      <c r="Q71" s="70"/>
      <c r="R71" s="70"/>
      <c r="S71" s="70"/>
    </row>
    <row r="72" spans="1:19" ht="18" customHeight="1" x14ac:dyDescent="0.15">
      <c r="A72" s="80"/>
      <c r="B72" s="105" t="s">
        <v>175</v>
      </c>
      <c r="C72" s="106"/>
      <c r="D72" s="106"/>
      <c r="E72" s="70">
        <v>1</v>
      </c>
      <c r="F72" s="70" t="s">
        <v>132</v>
      </c>
      <c r="G72" s="70" t="s">
        <v>132</v>
      </c>
      <c r="H72" s="70" t="s">
        <v>132</v>
      </c>
      <c r="I72" s="70" t="s">
        <v>132</v>
      </c>
      <c r="J72" s="105"/>
      <c r="K72" s="106"/>
      <c r="L72" s="106"/>
      <c r="M72" s="106"/>
      <c r="N72" s="107"/>
      <c r="O72" s="70"/>
      <c r="P72" s="70"/>
      <c r="Q72" s="70"/>
      <c r="R72" s="70"/>
      <c r="S72" s="70"/>
    </row>
    <row r="73" spans="1:19" ht="18" customHeight="1" x14ac:dyDescent="0.15">
      <c r="A73" s="80"/>
      <c r="B73" s="105" t="s">
        <v>182</v>
      </c>
      <c r="C73" s="106"/>
      <c r="D73" s="106"/>
      <c r="E73" s="70">
        <v>1</v>
      </c>
      <c r="F73" s="70" t="s">
        <v>132</v>
      </c>
      <c r="G73" s="70" t="s">
        <v>132</v>
      </c>
      <c r="H73" s="70"/>
      <c r="I73" s="70" t="s">
        <v>132</v>
      </c>
      <c r="J73" s="105"/>
      <c r="K73" s="106"/>
      <c r="L73" s="106"/>
      <c r="M73" s="106"/>
      <c r="N73" s="107"/>
      <c r="O73" s="70"/>
      <c r="P73" s="70"/>
      <c r="Q73" s="70"/>
      <c r="R73" s="70"/>
      <c r="S73" s="70"/>
    </row>
    <row r="74" spans="1:19" ht="18" customHeight="1" x14ac:dyDescent="0.15">
      <c r="A74" s="80"/>
      <c r="B74" s="105" t="s">
        <v>179</v>
      </c>
      <c r="C74" s="106"/>
      <c r="D74" s="106"/>
      <c r="E74" s="70">
        <v>1</v>
      </c>
      <c r="F74" s="70"/>
      <c r="G74" s="70"/>
      <c r="H74" s="70" t="s">
        <v>132</v>
      </c>
      <c r="I74" s="70" t="s">
        <v>137</v>
      </c>
      <c r="J74" s="105"/>
      <c r="K74" s="106"/>
      <c r="L74" s="106"/>
      <c r="M74" s="106"/>
      <c r="N74" s="107"/>
      <c r="O74" s="70"/>
      <c r="P74" s="70"/>
      <c r="Q74" s="70"/>
      <c r="R74" s="70"/>
      <c r="S74" s="70"/>
    </row>
    <row r="75" spans="1:19" ht="18" customHeight="1" x14ac:dyDescent="0.15">
      <c r="A75" s="80"/>
      <c r="B75" s="108" t="s">
        <v>180</v>
      </c>
      <c r="C75" s="109"/>
      <c r="D75" s="109"/>
      <c r="E75" s="89">
        <v>1</v>
      </c>
      <c r="F75" s="89"/>
      <c r="G75" s="90" t="s">
        <v>132</v>
      </c>
      <c r="H75" s="90" t="s">
        <v>132</v>
      </c>
      <c r="I75" s="90" t="s">
        <v>132</v>
      </c>
      <c r="J75" s="108"/>
      <c r="K75" s="109"/>
      <c r="L75" s="109"/>
      <c r="M75" s="109"/>
      <c r="N75" s="110"/>
      <c r="O75" s="89"/>
      <c r="P75" s="89"/>
      <c r="Q75" s="90"/>
      <c r="R75" s="90"/>
      <c r="S75" s="90"/>
    </row>
    <row r="76" spans="1:19" ht="7.5" customHeight="1" x14ac:dyDescent="0.15">
      <c r="B76" s="91"/>
      <c r="C76" s="91"/>
      <c r="D76" s="91"/>
      <c r="E76" s="91"/>
      <c r="F76" s="91"/>
      <c r="G76" s="91"/>
      <c r="H76" s="91"/>
      <c r="I76" s="91"/>
      <c r="J76" s="91"/>
      <c r="K76" s="91"/>
      <c r="L76" s="91"/>
      <c r="M76" s="91"/>
      <c r="N76" s="91"/>
      <c r="O76" s="91"/>
      <c r="P76" s="91"/>
      <c r="Q76" s="91"/>
      <c r="R76" s="91"/>
    </row>
    <row r="77" spans="1:19" ht="18" customHeight="1" x14ac:dyDescent="0.15">
      <c r="A77" s="74" t="s">
        <v>118</v>
      </c>
      <c r="H77" s="80"/>
      <c r="I77" s="80"/>
      <c r="J77" s="80"/>
      <c r="K77" s="80"/>
      <c r="L77" s="80"/>
      <c r="M77" s="80"/>
      <c r="N77" s="80"/>
      <c r="O77" s="80"/>
      <c r="P77" s="80"/>
      <c r="Q77" s="80"/>
      <c r="R77" s="80"/>
      <c r="S77" s="80"/>
    </row>
    <row r="78" spans="1:19" ht="18" customHeight="1" x14ac:dyDescent="0.15">
      <c r="B78" s="111" t="s">
        <v>53</v>
      </c>
      <c r="C78" s="112"/>
      <c r="D78" s="112"/>
      <c r="E78" s="113"/>
      <c r="F78" s="111" t="s">
        <v>82</v>
      </c>
      <c r="G78" s="112"/>
      <c r="H78" s="112"/>
      <c r="I78" s="113"/>
      <c r="J78" s="161" t="s">
        <v>53</v>
      </c>
      <c r="K78" s="162"/>
      <c r="L78" s="162"/>
      <c r="M78" s="162"/>
      <c r="N78" s="162"/>
      <c r="O78" s="163"/>
      <c r="P78" s="111" t="s">
        <v>82</v>
      </c>
      <c r="Q78" s="112"/>
      <c r="R78" s="112"/>
      <c r="S78" s="113"/>
    </row>
    <row r="79" spans="1:19" ht="18" customHeight="1" x14ac:dyDescent="0.15">
      <c r="A79" s="80"/>
      <c r="B79" s="115" t="s">
        <v>138</v>
      </c>
      <c r="C79" s="116"/>
      <c r="D79" s="116"/>
      <c r="E79" s="117"/>
      <c r="F79" s="177" t="s">
        <v>140</v>
      </c>
      <c r="G79" s="178"/>
      <c r="H79" s="178"/>
      <c r="I79" s="179"/>
      <c r="J79" s="115"/>
      <c r="K79" s="116"/>
      <c r="L79" s="116"/>
      <c r="M79" s="116"/>
      <c r="N79" s="116"/>
      <c r="O79" s="117"/>
      <c r="P79" s="177"/>
      <c r="Q79" s="178"/>
      <c r="R79" s="178"/>
      <c r="S79" s="179"/>
    </row>
    <row r="80" spans="1:19" ht="18" customHeight="1" x14ac:dyDescent="0.15">
      <c r="A80" s="80"/>
      <c r="B80" s="105" t="s">
        <v>133</v>
      </c>
      <c r="C80" s="106"/>
      <c r="D80" s="106"/>
      <c r="E80" s="107"/>
      <c r="F80" s="144" t="s">
        <v>141</v>
      </c>
      <c r="G80" s="145"/>
      <c r="H80" s="145"/>
      <c r="I80" s="146"/>
      <c r="J80" s="105"/>
      <c r="K80" s="106"/>
      <c r="L80" s="106"/>
      <c r="M80" s="106"/>
      <c r="N80" s="106"/>
      <c r="O80" s="107"/>
      <c r="P80" s="144"/>
      <c r="Q80" s="145"/>
      <c r="R80" s="145"/>
      <c r="S80" s="146"/>
    </row>
    <row r="81" spans="1:19" ht="18" customHeight="1" x14ac:dyDescent="0.15">
      <c r="A81" s="80"/>
      <c r="B81" s="105" t="s">
        <v>133</v>
      </c>
      <c r="C81" s="106"/>
      <c r="D81" s="106"/>
      <c r="E81" s="107"/>
      <c r="F81" s="144" t="s">
        <v>142</v>
      </c>
      <c r="G81" s="145"/>
      <c r="H81" s="145"/>
      <c r="I81" s="146"/>
      <c r="J81" s="105"/>
      <c r="K81" s="106"/>
      <c r="L81" s="106"/>
      <c r="M81" s="106"/>
      <c r="N81" s="106"/>
      <c r="O81" s="107"/>
      <c r="P81" s="144"/>
      <c r="Q81" s="145"/>
      <c r="R81" s="145"/>
      <c r="S81" s="146"/>
    </row>
    <row r="82" spans="1:19" ht="18" customHeight="1" x14ac:dyDescent="0.15">
      <c r="A82" s="80"/>
      <c r="B82" s="105" t="s">
        <v>133</v>
      </c>
      <c r="C82" s="106"/>
      <c r="D82" s="106"/>
      <c r="E82" s="107"/>
      <c r="F82" s="144" t="s">
        <v>143</v>
      </c>
      <c r="G82" s="145"/>
      <c r="H82" s="145"/>
      <c r="I82" s="146"/>
      <c r="J82" s="105"/>
      <c r="K82" s="106"/>
      <c r="L82" s="106"/>
      <c r="M82" s="106"/>
      <c r="N82" s="106"/>
      <c r="O82" s="107"/>
      <c r="P82" s="144"/>
      <c r="Q82" s="145"/>
      <c r="R82" s="145"/>
      <c r="S82" s="146"/>
    </row>
    <row r="83" spans="1:19" ht="18" customHeight="1" x14ac:dyDescent="0.15">
      <c r="A83" s="80"/>
      <c r="B83" s="105" t="s">
        <v>133</v>
      </c>
      <c r="C83" s="106"/>
      <c r="D83" s="106"/>
      <c r="E83" s="107"/>
      <c r="F83" s="144" t="s">
        <v>144</v>
      </c>
      <c r="G83" s="145"/>
      <c r="H83" s="145"/>
      <c r="I83" s="146"/>
      <c r="J83" s="105"/>
      <c r="K83" s="106"/>
      <c r="L83" s="106"/>
      <c r="M83" s="106"/>
      <c r="N83" s="106"/>
      <c r="O83" s="107"/>
      <c r="P83" s="144"/>
      <c r="Q83" s="145"/>
      <c r="R83" s="145"/>
      <c r="S83" s="146"/>
    </row>
    <row r="84" spans="1:19" ht="18" customHeight="1" x14ac:dyDescent="0.15">
      <c r="A84" s="80"/>
      <c r="B84" s="105"/>
      <c r="C84" s="106"/>
      <c r="D84" s="106"/>
      <c r="E84" s="107"/>
      <c r="F84" s="144"/>
      <c r="G84" s="145"/>
      <c r="H84" s="145"/>
      <c r="I84" s="146"/>
      <c r="J84" s="105"/>
      <c r="K84" s="106"/>
      <c r="L84" s="106"/>
      <c r="M84" s="106"/>
      <c r="N84" s="106"/>
      <c r="O84" s="107"/>
      <c r="P84" s="144"/>
      <c r="Q84" s="145"/>
      <c r="R84" s="145"/>
      <c r="S84" s="146"/>
    </row>
    <row r="85" spans="1:19" ht="18" customHeight="1" x14ac:dyDescent="0.15">
      <c r="A85" s="80"/>
      <c r="B85" s="108"/>
      <c r="C85" s="109"/>
      <c r="D85" s="109"/>
      <c r="E85" s="110"/>
      <c r="F85" s="141"/>
      <c r="G85" s="142"/>
      <c r="H85" s="142"/>
      <c r="I85" s="143"/>
      <c r="J85" s="108"/>
      <c r="K85" s="109"/>
      <c r="L85" s="109"/>
      <c r="M85" s="109"/>
      <c r="N85" s="109"/>
      <c r="O85" s="110"/>
      <c r="P85" s="141"/>
      <c r="Q85" s="142"/>
      <c r="R85" s="142"/>
      <c r="S85" s="143"/>
    </row>
    <row r="86" spans="1:19" ht="18" customHeight="1" x14ac:dyDescent="0.15">
      <c r="A86" s="80"/>
      <c r="B86" s="78"/>
      <c r="C86" s="78"/>
      <c r="D86" s="78"/>
      <c r="E86" s="78"/>
      <c r="F86" s="92"/>
      <c r="G86" s="92"/>
      <c r="H86" s="92"/>
      <c r="I86" s="92"/>
      <c r="J86" s="78"/>
      <c r="K86" s="78"/>
      <c r="L86" s="78"/>
      <c r="M86" s="78"/>
      <c r="N86" s="78"/>
      <c r="O86" s="78"/>
      <c r="P86" s="92"/>
      <c r="Q86" s="92"/>
      <c r="R86" s="92"/>
      <c r="S86" s="92"/>
    </row>
    <row r="87" spans="1:19" ht="18.75" customHeight="1" x14ac:dyDescent="0.15">
      <c r="A87" s="74" t="s">
        <v>119</v>
      </c>
    </row>
    <row r="88" spans="1:19" ht="18.75" customHeight="1" x14ac:dyDescent="0.15">
      <c r="B88" s="175" t="s">
        <v>54</v>
      </c>
      <c r="C88" s="176"/>
      <c r="D88" s="112" t="s">
        <v>55</v>
      </c>
      <c r="E88" s="112"/>
      <c r="F88" s="112"/>
      <c r="G88" s="112"/>
      <c r="H88" s="112"/>
      <c r="I88" s="112"/>
      <c r="J88" s="112"/>
      <c r="K88" s="112"/>
      <c r="L88" s="112"/>
      <c r="M88" s="112"/>
      <c r="N88" s="112"/>
      <c r="O88" s="112"/>
      <c r="P88" s="112"/>
      <c r="Q88" s="112"/>
      <c r="R88" s="112"/>
      <c r="S88" s="113"/>
    </row>
    <row r="89" spans="1:19" ht="61.5" customHeight="1" x14ac:dyDescent="0.15">
      <c r="B89" s="164" t="s">
        <v>61</v>
      </c>
      <c r="C89" s="93" t="s">
        <v>56</v>
      </c>
      <c r="D89" s="127" t="s">
        <v>185</v>
      </c>
      <c r="E89" s="173"/>
      <c r="F89" s="173"/>
      <c r="G89" s="173"/>
      <c r="H89" s="173"/>
      <c r="I89" s="173"/>
      <c r="J89" s="173"/>
      <c r="K89" s="173"/>
      <c r="L89" s="173"/>
      <c r="M89" s="173"/>
      <c r="N89" s="173"/>
      <c r="O89" s="173"/>
      <c r="P89" s="173"/>
      <c r="Q89" s="173"/>
      <c r="R89" s="173"/>
      <c r="S89" s="174"/>
    </row>
    <row r="90" spans="1:19" ht="87" customHeight="1" x14ac:dyDescent="0.15">
      <c r="B90" s="166"/>
      <c r="C90" s="94" t="s">
        <v>77</v>
      </c>
      <c r="D90" s="147" t="s">
        <v>187</v>
      </c>
      <c r="E90" s="148"/>
      <c r="F90" s="148"/>
      <c r="G90" s="148"/>
      <c r="H90" s="148"/>
      <c r="I90" s="148"/>
      <c r="J90" s="148"/>
      <c r="K90" s="148"/>
      <c r="L90" s="148"/>
      <c r="M90" s="148"/>
      <c r="N90" s="148"/>
      <c r="O90" s="148"/>
      <c r="P90" s="148"/>
      <c r="Q90" s="148"/>
      <c r="R90" s="148"/>
      <c r="S90" s="149"/>
    </row>
    <row r="91" spans="1:19" ht="96.75" customHeight="1" x14ac:dyDescent="0.15">
      <c r="B91" s="164" t="s">
        <v>62</v>
      </c>
      <c r="C91" s="95" t="s">
        <v>71</v>
      </c>
      <c r="D91" s="150" t="s">
        <v>201</v>
      </c>
      <c r="E91" s="151"/>
      <c r="F91" s="151"/>
      <c r="G91" s="151"/>
      <c r="H91" s="151"/>
      <c r="I91" s="151"/>
      <c r="J91" s="151"/>
      <c r="K91" s="151"/>
      <c r="L91" s="151"/>
      <c r="M91" s="151"/>
      <c r="N91" s="151"/>
      <c r="O91" s="151"/>
      <c r="P91" s="151"/>
      <c r="Q91" s="151"/>
      <c r="R91" s="151"/>
      <c r="S91" s="152"/>
    </row>
    <row r="92" spans="1:19" ht="110.25" customHeight="1" x14ac:dyDescent="0.15">
      <c r="B92" s="165"/>
      <c r="C92" s="96" t="s">
        <v>72</v>
      </c>
      <c r="D92" s="155" t="s">
        <v>200</v>
      </c>
      <c r="E92" s="156"/>
      <c r="F92" s="156"/>
      <c r="G92" s="156"/>
      <c r="H92" s="156"/>
      <c r="I92" s="156"/>
      <c r="J92" s="156"/>
      <c r="K92" s="156"/>
      <c r="L92" s="156"/>
      <c r="M92" s="156"/>
      <c r="N92" s="156"/>
      <c r="O92" s="156"/>
      <c r="P92" s="156"/>
      <c r="Q92" s="156"/>
      <c r="R92" s="156"/>
      <c r="S92" s="157"/>
    </row>
    <row r="93" spans="1:19" ht="144" customHeight="1" x14ac:dyDescent="0.15">
      <c r="B93" s="164" t="s">
        <v>63</v>
      </c>
      <c r="C93" s="95" t="s">
        <v>73</v>
      </c>
      <c r="D93" s="150" t="s">
        <v>189</v>
      </c>
      <c r="E93" s="151"/>
      <c r="F93" s="151"/>
      <c r="G93" s="151"/>
      <c r="H93" s="151"/>
      <c r="I93" s="151"/>
      <c r="J93" s="151"/>
      <c r="K93" s="151"/>
      <c r="L93" s="151"/>
      <c r="M93" s="151"/>
      <c r="N93" s="151"/>
      <c r="O93" s="151"/>
      <c r="P93" s="151"/>
      <c r="Q93" s="151"/>
      <c r="R93" s="151"/>
      <c r="S93" s="152"/>
    </row>
    <row r="94" spans="1:19" ht="71.25" customHeight="1" x14ac:dyDescent="0.15">
      <c r="B94" s="165"/>
      <c r="C94" s="97" t="s">
        <v>74</v>
      </c>
      <c r="D94" s="133" t="s">
        <v>188</v>
      </c>
      <c r="E94" s="153"/>
      <c r="F94" s="153"/>
      <c r="G94" s="153"/>
      <c r="H94" s="153"/>
      <c r="I94" s="153"/>
      <c r="J94" s="153"/>
      <c r="K94" s="153"/>
      <c r="L94" s="153"/>
      <c r="M94" s="153"/>
      <c r="N94" s="153"/>
      <c r="O94" s="153"/>
      <c r="P94" s="153"/>
      <c r="Q94" s="153"/>
      <c r="R94" s="153"/>
      <c r="S94" s="154"/>
    </row>
    <row r="95" spans="1:19" ht="189" customHeight="1" x14ac:dyDescent="0.15">
      <c r="B95" s="164" t="s">
        <v>78</v>
      </c>
      <c r="C95" s="93" t="s">
        <v>58</v>
      </c>
      <c r="D95" s="127" t="s">
        <v>190</v>
      </c>
      <c r="E95" s="173"/>
      <c r="F95" s="173"/>
      <c r="G95" s="173"/>
      <c r="H95" s="173"/>
      <c r="I95" s="173"/>
      <c r="J95" s="173"/>
      <c r="K95" s="173"/>
      <c r="L95" s="173"/>
      <c r="M95" s="173"/>
      <c r="N95" s="173"/>
      <c r="O95" s="173"/>
      <c r="P95" s="173"/>
      <c r="Q95" s="173"/>
      <c r="R95" s="173"/>
      <c r="S95" s="174"/>
    </row>
    <row r="96" spans="1:19" ht="99.75" customHeight="1" x14ac:dyDescent="0.15">
      <c r="B96" s="165"/>
      <c r="C96" s="96" t="s">
        <v>60</v>
      </c>
      <c r="D96" s="155" t="s">
        <v>191</v>
      </c>
      <c r="E96" s="156"/>
      <c r="F96" s="156"/>
      <c r="G96" s="156"/>
      <c r="H96" s="156"/>
      <c r="I96" s="156"/>
      <c r="J96" s="156"/>
      <c r="K96" s="156"/>
      <c r="L96" s="156"/>
      <c r="M96" s="156"/>
      <c r="N96" s="156"/>
      <c r="O96" s="156"/>
      <c r="P96" s="156"/>
      <c r="Q96" s="156"/>
      <c r="R96" s="156"/>
      <c r="S96" s="157"/>
    </row>
    <row r="97" spans="1:19" ht="186.75" customHeight="1" x14ac:dyDescent="0.15">
      <c r="B97" s="164" t="s">
        <v>79</v>
      </c>
      <c r="C97" s="95" t="s">
        <v>57</v>
      </c>
      <c r="D97" s="167" t="s">
        <v>202</v>
      </c>
      <c r="E97" s="168"/>
      <c r="F97" s="168"/>
      <c r="G97" s="168"/>
      <c r="H97" s="168"/>
      <c r="I97" s="168"/>
      <c r="J97" s="168"/>
      <c r="K97" s="168"/>
      <c r="L97" s="168"/>
      <c r="M97" s="168"/>
      <c r="N97" s="168"/>
      <c r="O97" s="168"/>
      <c r="P97" s="168"/>
      <c r="Q97" s="168"/>
      <c r="R97" s="168"/>
      <c r="S97" s="169"/>
    </row>
    <row r="98" spans="1:19" ht="196.5" customHeight="1" x14ac:dyDescent="0.15">
      <c r="B98" s="166"/>
      <c r="C98" s="98" t="s">
        <v>75</v>
      </c>
      <c r="D98" s="158" t="s">
        <v>203</v>
      </c>
      <c r="E98" s="159"/>
      <c r="F98" s="159"/>
      <c r="G98" s="159"/>
      <c r="H98" s="159"/>
      <c r="I98" s="159"/>
      <c r="J98" s="159"/>
      <c r="K98" s="159"/>
      <c r="L98" s="159"/>
      <c r="M98" s="159"/>
      <c r="N98" s="159"/>
      <c r="O98" s="159"/>
      <c r="P98" s="159"/>
      <c r="Q98" s="159"/>
      <c r="R98" s="159"/>
      <c r="S98" s="160"/>
    </row>
    <row r="99" spans="1:19" ht="161.25" customHeight="1" x14ac:dyDescent="0.15">
      <c r="B99" s="165"/>
      <c r="C99" s="97" t="s">
        <v>76</v>
      </c>
      <c r="D99" s="170" t="s">
        <v>204</v>
      </c>
      <c r="E99" s="171"/>
      <c r="F99" s="171"/>
      <c r="G99" s="171"/>
      <c r="H99" s="171"/>
      <c r="I99" s="171"/>
      <c r="J99" s="171"/>
      <c r="K99" s="171"/>
      <c r="L99" s="171"/>
      <c r="M99" s="171"/>
      <c r="N99" s="171"/>
      <c r="O99" s="171"/>
      <c r="P99" s="171"/>
      <c r="Q99" s="171"/>
      <c r="R99" s="171"/>
      <c r="S99" s="172"/>
    </row>
    <row r="100" spans="1:19" ht="6" customHeight="1" x14ac:dyDescent="0.15"/>
    <row r="101" spans="1:19" ht="18.75" customHeight="1" x14ac:dyDescent="0.15">
      <c r="A101" s="74" t="s">
        <v>120</v>
      </c>
    </row>
    <row r="102" spans="1:19" ht="158.1" customHeight="1" x14ac:dyDescent="0.15">
      <c r="B102" s="138" t="s">
        <v>174</v>
      </c>
      <c r="C102" s="139"/>
      <c r="D102" s="139"/>
      <c r="E102" s="139"/>
      <c r="F102" s="139"/>
      <c r="G102" s="139"/>
      <c r="H102" s="139"/>
      <c r="I102" s="139"/>
      <c r="J102" s="139"/>
      <c r="K102" s="139"/>
      <c r="L102" s="139"/>
      <c r="M102" s="139"/>
      <c r="N102" s="139"/>
      <c r="O102" s="139"/>
      <c r="P102" s="139"/>
      <c r="Q102" s="139"/>
      <c r="R102" s="139"/>
      <c r="S102" s="140"/>
    </row>
    <row r="110" spans="1:19"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1"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25" right="0.25" top="0.75" bottom="0.75" header="0.3" footer="0.3"/>
  <pageSetup paperSize="9" scale="88"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82EF2-3372-9B47-A59E-C305F5E6D792}">
  <sheetPr>
    <pageSetUpPr fitToPage="1"/>
  </sheetPr>
  <dimension ref="A1:V110"/>
  <sheetViews>
    <sheetView showZeros="0" tabSelected="1" view="pageBreakPreview" topLeftCell="A93" zoomScaleNormal="100" zoomScaleSheetLayoutView="100" workbookViewId="0">
      <selection activeCell="X99" sqref="X99"/>
    </sheetView>
  </sheetViews>
  <sheetFormatPr defaultColWidth="9" defaultRowHeight="18.75" customHeight="1" x14ac:dyDescent="0.15"/>
  <cols>
    <col min="1" max="1" width="2.5" style="74" customWidth="1"/>
    <col min="2" max="2" width="16.5" style="74" customWidth="1"/>
    <col min="3" max="19" width="5.625" style="74" customWidth="1"/>
    <col min="20" max="20" width="9" style="74"/>
    <col min="21" max="21" width="3.625" style="74" customWidth="1"/>
    <col min="22" max="22" width="48.625" style="74" hidden="1" customWidth="1"/>
    <col min="23" max="16384" width="9" style="74"/>
  </cols>
  <sheetData>
    <row r="1" spans="1:22" ht="18.600000000000001" customHeight="1" x14ac:dyDescent="0.15">
      <c r="R1" s="118" t="s">
        <v>127</v>
      </c>
      <c r="S1" s="118"/>
      <c r="T1" s="76" t="s">
        <v>109</v>
      </c>
    </row>
    <row r="2" spans="1:22" ht="18.75" customHeight="1" x14ac:dyDescent="0.15">
      <c r="B2" s="77" t="s">
        <v>108</v>
      </c>
      <c r="C2" s="111" t="s">
        <v>128</v>
      </c>
      <c r="D2" s="112"/>
      <c r="E2" s="112"/>
      <c r="F2" s="112"/>
      <c r="G2" s="112"/>
      <c r="H2" s="112"/>
      <c r="I2" s="113"/>
      <c r="J2" s="75"/>
      <c r="K2" s="78"/>
      <c r="L2" s="78"/>
      <c r="M2" s="78"/>
      <c r="N2" s="78"/>
      <c r="O2" s="78"/>
      <c r="P2" s="78"/>
      <c r="Q2" s="78"/>
      <c r="R2" s="78"/>
      <c r="S2" s="78"/>
    </row>
    <row r="3" spans="1:22" ht="18.75" customHeight="1" x14ac:dyDescent="0.15">
      <c r="B3" s="77" t="s">
        <v>102</v>
      </c>
      <c r="C3" s="122" t="s">
        <v>129</v>
      </c>
      <c r="D3" s="123"/>
      <c r="E3" s="123"/>
      <c r="F3" s="123"/>
      <c r="G3" s="123"/>
      <c r="H3" s="123"/>
      <c r="I3" s="124"/>
      <c r="J3" s="75"/>
      <c r="K3" s="78"/>
      <c r="L3" s="78"/>
      <c r="M3" s="78"/>
      <c r="N3" s="78"/>
      <c r="O3" s="78"/>
      <c r="P3" s="78"/>
      <c r="Q3" s="78"/>
      <c r="R3" s="78"/>
      <c r="S3" s="78"/>
    </row>
    <row r="4" spans="1:22" ht="15" customHeight="1" x14ac:dyDescent="0.15">
      <c r="K4" s="75"/>
      <c r="L4" s="79"/>
      <c r="M4" s="79"/>
      <c r="N4" s="79"/>
      <c r="O4" s="79"/>
      <c r="P4" s="79"/>
      <c r="Q4" s="79"/>
      <c r="R4" s="79"/>
      <c r="S4" s="79"/>
    </row>
    <row r="5" spans="1:22" ht="18" customHeight="1" x14ac:dyDescent="0.15">
      <c r="A5" s="125" t="s">
        <v>38</v>
      </c>
      <c r="B5" s="125"/>
      <c r="C5" s="125"/>
      <c r="D5" s="125"/>
      <c r="E5" s="125"/>
      <c r="F5" s="125"/>
      <c r="G5" s="125"/>
      <c r="H5" s="125"/>
      <c r="I5" s="125"/>
      <c r="J5" s="125"/>
      <c r="K5" s="125"/>
      <c r="L5" s="125"/>
      <c r="M5" s="125"/>
      <c r="N5" s="125"/>
      <c r="O5" s="125"/>
      <c r="P5" s="125"/>
      <c r="Q5" s="125"/>
      <c r="R5" s="125"/>
      <c r="S5" s="125"/>
    </row>
    <row r="6" spans="1:22" ht="15" customHeight="1" x14ac:dyDescent="0.15">
      <c r="B6" s="80"/>
      <c r="C6" s="80"/>
      <c r="D6" s="80"/>
      <c r="E6" s="80"/>
      <c r="F6" s="80"/>
      <c r="G6" s="80"/>
      <c r="H6" s="80"/>
      <c r="I6" s="80"/>
      <c r="J6" s="80"/>
      <c r="K6" s="80"/>
      <c r="L6" s="80"/>
      <c r="M6" s="80"/>
      <c r="N6" s="80"/>
      <c r="O6" s="80"/>
      <c r="P6" s="80"/>
      <c r="Q6" s="80"/>
      <c r="R6" s="80"/>
      <c r="S6" s="80"/>
    </row>
    <row r="7" spans="1:22" ht="18" customHeight="1" x14ac:dyDescent="0.15">
      <c r="A7" s="74" t="s">
        <v>124</v>
      </c>
      <c r="C7" s="80"/>
      <c r="J7" s="81" t="s">
        <v>107</v>
      </c>
      <c r="K7" s="135" t="s">
        <v>130</v>
      </c>
      <c r="L7" s="136"/>
      <c r="M7" s="136"/>
      <c r="N7" s="136"/>
      <c r="O7" s="136"/>
      <c r="P7" s="136"/>
      <c r="Q7" s="136"/>
      <c r="R7" s="136"/>
      <c r="S7" s="137"/>
    </row>
    <row r="8" spans="1:22" ht="6" customHeight="1" x14ac:dyDescent="0.15">
      <c r="B8" s="80"/>
      <c r="C8" s="80"/>
      <c r="D8" s="80"/>
      <c r="E8" s="80"/>
      <c r="F8" s="80"/>
      <c r="G8" s="80"/>
      <c r="H8" s="80"/>
      <c r="I8" s="80"/>
      <c r="J8" s="80"/>
      <c r="K8" s="82"/>
      <c r="L8" s="80"/>
      <c r="M8" s="80"/>
      <c r="N8" s="80"/>
      <c r="O8" s="80"/>
      <c r="P8" s="80"/>
      <c r="Q8" s="80"/>
      <c r="R8" s="80"/>
      <c r="S8" s="80"/>
    </row>
    <row r="9" spans="1:22" ht="18" customHeight="1" x14ac:dyDescent="0.15">
      <c r="B9" s="99" t="s">
        <v>145</v>
      </c>
      <c r="C9" s="100"/>
      <c r="D9" s="100"/>
      <c r="E9" s="100"/>
      <c r="F9" s="100"/>
      <c r="G9" s="100"/>
      <c r="H9" s="100"/>
      <c r="I9" s="100"/>
      <c r="J9" s="100"/>
      <c r="K9" s="100"/>
      <c r="L9" s="100"/>
      <c r="M9" s="100"/>
      <c r="N9" s="100"/>
      <c r="O9" s="100"/>
      <c r="P9" s="100"/>
      <c r="Q9" s="100"/>
      <c r="R9" s="100"/>
      <c r="S9" s="101"/>
    </row>
    <row r="10" spans="1:22" ht="18" customHeight="1" x14ac:dyDescent="0.15">
      <c r="B10" s="102"/>
      <c r="C10" s="103"/>
      <c r="D10" s="103"/>
      <c r="E10" s="103"/>
      <c r="F10" s="103"/>
      <c r="G10" s="103"/>
      <c r="H10" s="103"/>
      <c r="I10" s="103"/>
      <c r="J10" s="103"/>
      <c r="K10" s="103"/>
      <c r="L10" s="103"/>
      <c r="M10" s="103"/>
      <c r="N10" s="103"/>
      <c r="O10" s="103"/>
      <c r="P10" s="103"/>
      <c r="Q10" s="103"/>
      <c r="R10" s="103"/>
      <c r="S10" s="104"/>
    </row>
    <row r="11" spans="1:22" ht="6" customHeight="1" x14ac:dyDescent="0.15">
      <c r="B11" s="80"/>
      <c r="C11" s="80"/>
      <c r="D11" s="80"/>
      <c r="E11" s="80"/>
      <c r="F11" s="80"/>
      <c r="G11" s="80"/>
      <c r="H11" s="80"/>
      <c r="I11" s="80"/>
      <c r="J11" s="80"/>
      <c r="K11" s="82"/>
      <c r="L11" s="80"/>
      <c r="M11" s="80"/>
      <c r="N11" s="80"/>
      <c r="O11" s="80"/>
      <c r="P11" s="80"/>
      <c r="Q11" s="80"/>
      <c r="R11" s="80"/>
      <c r="S11" s="80"/>
    </row>
    <row r="12" spans="1:22" ht="18" customHeight="1" x14ac:dyDescent="0.15">
      <c r="A12" s="74" t="s">
        <v>111</v>
      </c>
      <c r="B12" s="80"/>
      <c r="C12" s="80"/>
      <c r="D12" s="75"/>
      <c r="E12" s="75"/>
      <c r="F12" s="75"/>
      <c r="G12" s="75"/>
      <c r="H12" s="75"/>
      <c r="I12" s="75"/>
      <c r="J12" s="75"/>
      <c r="K12" s="83"/>
      <c r="L12" s="83"/>
      <c r="M12" s="83"/>
      <c r="N12" s="83"/>
      <c r="O12" s="83"/>
      <c r="P12" s="83"/>
      <c r="Q12" s="83"/>
      <c r="R12" s="83"/>
      <c r="S12" s="83"/>
    </row>
    <row r="13" spans="1:22" ht="18" customHeight="1" x14ac:dyDescent="0.15">
      <c r="B13" s="126" t="s">
        <v>192</v>
      </c>
      <c r="C13" s="127"/>
      <c r="D13" s="127"/>
      <c r="E13" s="127"/>
      <c r="F13" s="127"/>
      <c r="G13" s="127"/>
      <c r="H13" s="127"/>
      <c r="I13" s="127"/>
      <c r="J13" s="127"/>
      <c r="K13" s="127"/>
      <c r="L13" s="127"/>
      <c r="M13" s="127"/>
      <c r="N13" s="127"/>
      <c r="O13" s="127"/>
      <c r="P13" s="127"/>
      <c r="Q13" s="127"/>
      <c r="R13" s="127"/>
      <c r="S13" s="128"/>
      <c r="V13" s="74" t="s">
        <v>103</v>
      </c>
    </row>
    <row r="14" spans="1:22" ht="18" customHeight="1" x14ac:dyDescent="0.15">
      <c r="B14" s="129"/>
      <c r="C14" s="130"/>
      <c r="D14" s="130"/>
      <c r="E14" s="130"/>
      <c r="F14" s="130"/>
      <c r="G14" s="130"/>
      <c r="H14" s="130"/>
      <c r="I14" s="130"/>
      <c r="J14" s="130"/>
      <c r="K14" s="130"/>
      <c r="L14" s="130"/>
      <c r="M14" s="130"/>
      <c r="N14" s="130"/>
      <c r="O14" s="130"/>
      <c r="P14" s="130"/>
      <c r="Q14" s="130"/>
      <c r="R14" s="130"/>
      <c r="S14" s="131"/>
      <c r="V14" s="74" t="s">
        <v>110</v>
      </c>
    </row>
    <row r="15" spans="1:22" ht="18" customHeight="1" x14ac:dyDescent="0.15">
      <c r="B15" s="129"/>
      <c r="C15" s="130"/>
      <c r="D15" s="130"/>
      <c r="E15" s="130"/>
      <c r="F15" s="130"/>
      <c r="G15" s="130"/>
      <c r="H15" s="130"/>
      <c r="I15" s="130"/>
      <c r="J15" s="130"/>
      <c r="K15" s="130"/>
      <c r="L15" s="130"/>
      <c r="M15" s="130"/>
      <c r="N15" s="130"/>
      <c r="O15" s="130"/>
      <c r="P15" s="130"/>
      <c r="Q15" s="130"/>
      <c r="R15" s="130"/>
      <c r="S15" s="131"/>
      <c r="V15" s="74" t="s">
        <v>123</v>
      </c>
    </row>
    <row r="16" spans="1:22" ht="18" customHeight="1" x14ac:dyDescent="0.15">
      <c r="B16" s="129"/>
      <c r="C16" s="130"/>
      <c r="D16" s="130"/>
      <c r="E16" s="130"/>
      <c r="F16" s="130"/>
      <c r="G16" s="130"/>
      <c r="H16" s="130"/>
      <c r="I16" s="130"/>
      <c r="J16" s="130"/>
      <c r="K16" s="130"/>
      <c r="L16" s="130"/>
      <c r="M16" s="130"/>
      <c r="N16" s="130"/>
      <c r="O16" s="130"/>
      <c r="P16" s="130"/>
      <c r="Q16" s="130"/>
      <c r="R16" s="130"/>
      <c r="S16" s="131"/>
      <c r="V16" s="74" t="s">
        <v>125</v>
      </c>
    </row>
    <row r="17" spans="1:19" ht="18" customHeight="1" x14ac:dyDescent="0.15">
      <c r="B17" s="129"/>
      <c r="C17" s="130"/>
      <c r="D17" s="130"/>
      <c r="E17" s="130"/>
      <c r="F17" s="130"/>
      <c r="G17" s="130"/>
      <c r="H17" s="130"/>
      <c r="I17" s="130"/>
      <c r="J17" s="130"/>
      <c r="K17" s="130"/>
      <c r="L17" s="130"/>
      <c r="M17" s="130"/>
      <c r="N17" s="130"/>
      <c r="O17" s="130"/>
      <c r="P17" s="130"/>
      <c r="Q17" s="130"/>
      <c r="R17" s="130"/>
      <c r="S17" s="131"/>
    </row>
    <row r="18" spans="1:19" ht="18" customHeight="1" x14ac:dyDescent="0.15">
      <c r="B18" s="132"/>
      <c r="C18" s="133"/>
      <c r="D18" s="133"/>
      <c r="E18" s="133"/>
      <c r="F18" s="133"/>
      <c r="G18" s="133"/>
      <c r="H18" s="133"/>
      <c r="I18" s="133"/>
      <c r="J18" s="133"/>
      <c r="K18" s="133"/>
      <c r="L18" s="133"/>
      <c r="M18" s="133"/>
      <c r="N18" s="133"/>
      <c r="O18" s="133"/>
      <c r="P18" s="133"/>
      <c r="Q18" s="133"/>
      <c r="R18" s="133"/>
      <c r="S18" s="134"/>
    </row>
    <row r="19" spans="1:19" ht="7.5" customHeight="1" x14ac:dyDescent="0.15">
      <c r="B19" s="80"/>
      <c r="C19" s="80"/>
      <c r="D19" s="80"/>
      <c r="E19" s="80"/>
      <c r="F19" s="80"/>
      <c r="G19" s="80"/>
      <c r="H19" s="80"/>
      <c r="I19" s="80"/>
      <c r="J19" s="80"/>
      <c r="K19" s="80"/>
      <c r="L19" s="80"/>
      <c r="M19" s="80"/>
      <c r="N19" s="80"/>
      <c r="O19" s="80"/>
      <c r="P19" s="80"/>
      <c r="Q19" s="80"/>
      <c r="R19" s="80"/>
      <c r="S19" s="80"/>
    </row>
    <row r="20" spans="1:19" ht="20.100000000000001" customHeight="1" x14ac:dyDescent="0.15">
      <c r="B20" s="74" t="s">
        <v>112</v>
      </c>
      <c r="C20" s="111">
        <v>6</v>
      </c>
      <c r="D20" s="113"/>
      <c r="E20" s="84" t="s">
        <v>95</v>
      </c>
      <c r="G20" s="82"/>
      <c r="H20" s="80"/>
      <c r="I20" s="80"/>
      <c r="J20" s="75" t="s">
        <v>121</v>
      </c>
      <c r="K20" s="119" t="s">
        <v>123</v>
      </c>
      <c r="L20" s="120"/>
      <c r="M20" s="120"/>
      <c r="N20" s="120"/>
      <c r="O20" s="120"/>
      <c r="P20" s="120"/>
      <c r="Q20" s="120"/>
      <c r="R20" s="120"/>
      <c r="S20" s="121"/>
    </row>
    <row r="21" spans="1:19" ht="7.5" customHeight="1" x14ac:dyDescent="0.15">
      <c r="B21" s="80"/>
      <c r="C21" s="80"/>
      <c r="D21" s="80"/>
      <c r="E21" s="80"/>
      <c r="F21" s="80"/>
      <c r="G21" s="80"/>
      <c r="H21" s="80"/>
      <c r="I21" s="80"/>
      <c r="J21" s="80"/>
      <c r="K21" s="80"/>
      <c r="L21" s="80"/>
      <c r="M21" s="80"/>
      <c r="N21" s="80"/>
      <c r="O21" s="80"/>
      <c r="P21" s="80"/>
      <c r="Q21" s="80"/>
      <c r="R21" s="80"/>
      <c r="S21" s="80"/>
    </row>
    <row r="22" spans="1:19" ht="18" customHeight="1" x14ac:dyDescent="0.15">
      <c r="A22" s="114" t="s">
        <v>113</v>
      </c>
      <c r="B22" s="114"/>
      <c r="C22" s="114"/>
      <c r="D22" s="114"/>
      <c r="E22" s="114"/>
      <c r="F22" s="114"/>
      <c r="G22" s="114"/>
      <c r="H22" s="114"/>
      <c r="I22" s="114"/>
      <c r="J22" s="114"/>
      <c r="K22" s="114"/>
      <c r="L22" s="114"/>
      <c r="M22" s="114"/>
      <c r="N22" s="114"/>
      <c r="O22" s="114"/>
      <c r="P22" s="114"/>
      <c r="Q22" s="114"/>
      <c r="R22" s="114"/>
      <c r="S22" s="114"/>
    </row>
    <row r="23" spans="1:19" ht="18" customHeight="1" x14ac:dyDescent="0.15">
      <c r="A23" s="114"/>
      <c r="B23" s="114"/>
      <c r="C23" s="114"/>
      <c r="D23" s="114"/>
      <c r="E23" s="114"/>
      <c r="F23" s="114"/>
      <c r="G23" s="114"/>
      <c r="H23" s="114"/>
      <c r="I23" s="114"/>
      <c r="J23" s="114"/>
      <c r="K23" s="114"/>
      <c r="L23" s="114"/>
      <c r="M23" s="114"/>
      <c r="N23" s="114"/>
      <c r="O23" s="114"/>
      <c r="P23" s="114"/>
      <c r="Q23" s="114"/>
      <c r="R23" s="114"/>
      <c r="S23" s="114"/>
    </row>
    <row r="24" spans="1:19" ht="18" customHeight="1" x14ac:dyDescent="0.15">
      <c r="B24" s="111" t="s">
        <v>53</v>
      </c>
      <c r="C24" s="112"/>
      <c r="D24" s="112"/>
      <c r="E24" s="113"/>
      <c r="F24" s="85" t="s">
        <v>80</v>
      </c>
      <c r="G24" s="86" t="s">
        <v>84</v>
      </c>
      <c r="H24" s="87" t="s">
        <v>56</v>
      </c>
      <c r="I24" s="87" t="s">
        <v>59</v>
      </c>
      <c r="J24" s="111" t="s">
        <v>53</v>
      </c>
      <c r="K24" s="112"/>
      <c r="L24" s="112"/>
      <c r="M24" s="112"/>
      <c r="N24" s="112"/>
      <c r="O24" s="113"/>
      <c r="P24" s="85" t="s">
        <v>80</v>
      </c>
      <c r="Q24" s="86" t="s">
        <v>84</v>
      </c>
      <c r="R24" s="87" t="s">
        <v>56</v>
      </c>
      <c r="S24" s="87" t="s">
        <v>59</v>
      </c>
    </row>
    <row r="25" spans="1:19" ht="18" customHeight="1" x14ac:dyDescent="0.15">
      <c r="B25" s="115" t="s">
        <v>133</v>
      </c>
      <c r="C25" s="116"/>
      <c r="D25" s="116"/>
      <c r="E25" s="117"/>
      <c r="F25" s="88">
        <v>1</v>
      </c>
      <c r="G25" s="88" t="s">
        <v>132</v>
      </c>
      <c r="H25" s="88" t="s">
        <v>132</v>
      </c>
      <c r="I25" s="88" t="s">
        <v>132</v>
      </c>
      <c r="J25" s="115"/>
      <c r="K25" s="116"/>
      <c r="L25" s="116"/>
      <c r="M25" s="116"/>
      <c r="N25" s="116"/>
      <c r="O25" s="117"/>
      <c r="P25" s="88"/>
      <c r="Q25" s="88"/>
      <c r="R25" s="88"/>
      <c r="S25" s="88"/>
    </row>
    <row r="26" spans="1:19" ht="18" customHeight="1" x14ac:dyDescent="0.15">
      <c r="B26" s="105" t="s">
        <v>134</v>
      </c>
      <c r="C26" s="106"/>
      <c r="D26" s="106"/>
      <c r="E26" s="107"/>
      <c r="F26" s="70">
        <v>1</v>
      </c>
      <c r="G26" s="70" t="s">
        <v>132</v>
      </c>
      <c r="H26" s="70"/>
      <c r="I26" s="70" t="s">
        <v>132</v>
      </c>
      <c r="J26" s="105"/>
      <c r="K26" s="106"/>
      <c r="L26" s="106"/>
      <c r="M26" s="106"/>
      <c r="N26" s="106"/>
      <c r="O26" s="107"/>
      <c r="P26" s="70"/>
      <c r="Q26" s="70"/>
      <c r="R26" s="70"/>
      <c r="S26" s="70"/>
    </row>
    <row r="27" spans="1:19" ht="18" customHeight="1" x14ac:dyDescent="0.15">
      <c r="B27" s="105" t="s">
        <v>146</v>
      </c>
      <c r="C27" s="106"/>
      <c r="D27" s="106"/>
      <c r="E27" s="107"/>
      <c r="F27" s="70">
        <v>2</v>
      </c>
      <c r="G27" s="70" t="s">
        <v>132</v>
      </c>
      <c r="H27" s="70" t="s">
        <v>132</v>
      </c>
      <c r="I27" s="70" t="s">
        <v>132</v>
      </c>
      <c r="J27" s="105"/>
      <c r="K27" s="106"/>
      <c r="L27" s="106"/>
      <c r="M27" s="106"/>
      <c r="N27" s="106"/>
      <c r="O27" s="107"/>
      <c r="P27" s="70"/>
      <c r="Q27" s="70"/>
      <c r="R27" s="70"/>
      <c r="S27" s="70"/>
    </row>
    <row r="28" spans="1:19" ht="18" customHeight="1" x14ac:dyDescent="0.15">
      <c r="B28" s="105"/>
      <c r="C28" s="106"/>
      <c r="D28" s="106"/>
      <c r="E28" s="107"/>
      <c r="F28" s="70"/>
      <c r="G28" s="70"/>
      <c r="H28" s="70"/>
      <c r="I28" s="70"/>
      <c r="J28" s="105"/>
      <c r="K28" s="106"/>
      <c r="L28" s="106"/>
      <c r="M28" s="106"/>
      <c r="N28" s="106"/>
      <c r="O28" s="107"/>
      <c r="P28" s="70"/>
      <c r="Q28" s="70"/>
      <c r="R28" s="70"/>
      <c r="S28" s="70"/>
    </row>
    <row r="29" spans="1:19" ht="18" customHeight="1" x14ac:dyDescent="0.15">
      <c r="B29" s="105"/>
      <c r="C29" s="106"/>
      <c r="D29" s="106"/>
      <c r="E29" s="107"/>
      <c r="F29" s="70"/>
      <c r="G29" s="70"/>
      <c r="H29" s="70"/>
      <c r="I29" s="70"/>
      <c r="J29" s="105"/>
      <c r="K29" s="106"/>
      <c r="L29" s="106"/>
      <c r="M29" s="106"/>
      <c r="N29" s="106"/>
      <c r="O29" s="107"/>
      <c r="P29" s="70"/>
      <c r="Q29" s="70"/>
      <c r="R29" s="70"/>
      <c r="S29" s="70"/>
    </row>
    <row r="30" spans="1:19" ht="18" customHeight="1" x14ac:dyDescent="0.15">
      <c r="A30" s="80"/>
      <c r="B30" s="105"/>
      <c r="C30" s="106"/>
      <c r="D30" s="106"/>
      <c r="E30" s="107"/>
      <c r="F30" s="70"/>
      <c r="G30" s="70"/>
      <c r="H30" s="70"/>
      <c r="I30" s="70"/>
      <c r="J30" s="105"/>
      <c r="K30" s="106"/>
      <c r="L30" s="106"/>
      <c r="M30" s="106"/>
      <c r="N30" s="106"/>
      <c r="O30" s="107"/>
      <c r="P30" s="70"/>
      <c r="Q30" s="70"/>
      <c r="R30" s="70"/>
      <c r="S30" s="70"/>
    </row>
    <row r="31" spans="1:19" ht="18" customHeight="1" x14ac:dyDescent="0.15">
      <c r="A31" s="80"/>
      <c r="B31" s="108"/>
      <c r="C31" s="109"/>
      <c r="D31" s="109"/>
      <c r="E31" s="110"/>
      <c r="F31" s="89"/>
      <c r="G31" s="89"/>
      <c r="H31" s="90"/>
      <c r="I31" s="90"/>
      <c r="J31" s="108"/>
      <c r="K31" s="109"/>
      <c r="L31" s="109"/>
      <c r="M31" s="109"/>
      <c r="N31" s="109"/>
      <c r="O31" s="110"/>
      <c r="P31" s="89"/>
      <c r="Q31" s="89"/>
      <c r="R31" s="90"/>
      <c r="S31" s="90"/>
    </row>
    <row r="32" spans="1:19" ht="7.5" customHeight="1" x14ac:dyDescent="0.15">
      <c r="A32" s="80"/>
      <c r="B32" s="78"/>
      <c r="C32" s="78"/>
      <c r="D32" s="80"/>
      <c r="E32" s="80"/>
      <c r="F32" s="80"/>
      <c r="G32" s="80"/>
      <c r="H32" s="78"/>
      <c r="I32" s="78"/>
      <c r="J32" s="78"/>
      <c r="K32" s="78"/>
      <c r="L32" s="78"/>
      <c r="M32" s="78"/>
      <c r="N32" s="78"/>
      <c r="O32" s="78"/>
      <c r="P32" s="78"/>
      <c r="Q32" s="78"/>
      <c r="R32" s="78"/>
      <c r="S32" s="80"/>
    </row>
    <row r="33" spans="1:19" ht="18" customHeight="1" x14ac:dyDescent="0.15">
      <c r="A33" s="114" t="s">
        <v>114</v>
      </c>
      <c r="B33" s="114"/>
      <c r="C33" s="114"/>
      <c r="D33" s="114"/>
      <c r="E33" s="114"/>
      <c r="F33" s="114"/>
      <c r="G33" s="114"/>
      <c r="H33" s="114"/>
      <c r="I33" s="114"/>
      <c r="J33" s="114"/>
      <c r="K33" s="114"/>
      <c r="L33" s="114"/>
      <c r="M33" s="114"/>
      <c r="N33" s="114"/>
      <c r="O33" s="114"/>
      <c r="P33" s="114"/>
      <c r="Q33" s="114"/>
      <c r="R33" s="114"/>
      <c r="S33" s="114"/>
    </row>
    <row r="34" spans="1:19" ht="18" customHeight="1" x14ac:dyDescent="0.15">
      <c r="A34" s="114"/>
      <c r="B34" s="114"/>
      <c r="C34" s="114"/>
      <c r="D34" s="114"/>
      <c r="E34" s="114"/>
      <c r="F34" s="114"/>
      <c r="G34" s="114"/>
      <c r="H34" s="114"/>
      <c r="I34" s="114"/>
      <c r="J34" s="114"/>
      <c r="K34" s="114"/>
      <c r="L34" s="114"/>
      <c r="M34" s="114"/>
      <c r="N34" s="114"/>
      <c r="O34" s="114"/>
      <c r="P34" s="114"/>
      <c r="Q34" s="114"/>
      <c r="R34" s="114"/>
      <c r="S34" s="114"/>
    </row>
    <row r="35" spans="1:19" ht="18" customHeight="1" x14ac:dyDescent="0.15">
      <c r="B35" s="111" t="s">
        <v>53</v>
      </c>
      <c r="C35" s="112"/>
      <c r="D35" s="112"/>
      <c r="E35" s="113"/>
      <c r="F35" s="85" t="s">
        <v>80</v>
      </c>
      <c r="G35" s="86" t="s">
        <v>84</v>
      </c>
      <c r="H35" s="87" t="s">
        <v>71</v>
      </c>
      <c r="I35" s="87" t="s">
        <v>72</v>
      </c>
      <c r="J35" s="111" t="s">
        <v>53</v>
      </c>
      <c r="K35" s="112"/>
      <c r="L35" s="112"/>
      <c r="M35" s="112"/>
      <c r="N35" s="112"/>
      <c r="O35" s="113"/>
      <c r="P35" s="85" t="s">
        <v>80</v>
      </c>
      <c r="Q35" s="86" t="s">
        <v>84</v>
      </c>
      <c r="R35" s="87" t="s">
        <v>71</v>
      </c>
      <c r="S35" s="87" t="s">
        <v>72</v>
      </c>
    </row>
    <row r="36" spans="1:19" ht="18" customHeight="1" x14ac:dyDescent="0.15">
      <c r="B36" s="115" t="s">
        <v>133</v>
      </c>
      <c r="C36" s="116"/>
      <c r="D36" s="116"/>
      <c r="E36" s="117"/>
      <c r="F36" s="88">
        <v>1</v>
      </c>
      <c r="G36" s="88" t="s">
        <v>132</v>
      </c>
      <c r="H36" s="88" t="s">
        <v>132</v>
      </c>
      <c r="I36" s="88" t="s">
        <v>132</v>
      </c>
      <c r="J36" s="115"/>
      <c r="K36" s="116"/>
      <c r="L36" s="116"/>
      <c r="M36" s="116"/>
      <c r="N36" s="116"/>
      <c r="O36" s="117"/>
      <c r="P36" s="88"/>
      <c r="Q36" s="88"/>
      <c r="R36" s="88"/>
      <c r="S36" s="88"/>
    </row>
    <row r="37" spans="1:19" ht="18" customHeight="1" x14ac:dyDescent="0.15">
      <c r="B37" s="105" t="s">
        <v>134</v>
      </c>
      <c r="C37" s="106"/>
      <c r="D37" s="106"/>
      <c r="E37" s="107"/>
      <c r="F37" s="70">
        <v>1</v>
      </c>
      <c r="G37" s="70" t="s">
        <v>132</v>
      </c>
      <c r="H37" s="70"/>
      <c r="I37" s="70" t="s">
        <v>132</v>
      </c>
      <c r="J37" s="105"/>
      <c r="K37" s="106"/>
      <c r="L37" s="106"/>
      <c r="M37" s="106"/>
      <c r="N37" s="106"/>
      <c r="O37" s="107"/>
      <c r="P37" s="70"/>
      <c r="Q37" s="70"/>
      <c r="R37" s="70"/>
      <c r="S37" s="70"/>
    </row>
    <row r="38" spans="1:19" ht="18" customHeight="1" x14ac:dyDescent="0.15">
      <c r="B38" s="105"/>
      <c r="C38" s="106"/>
      <c r="D38" s="106"/>
      <c r="E38" s="107"/>
      <c r="F38" s="70"/>
      <c r="G38" s="70"/>
      <c r="H38" s="70"/>
      <c r="I38" s="70"/>
      <c r="J38" s="105"/>
      <c r="K38" s="106"/>
      <c r="L38" s="106"/>
      <c r="M38" s="106"/>
      <c r="N38" s="106"/>
      <c r="O38" s="107"/>
      <c r="P38" s="70"/>
      <c r="Q38" s="70"/>
      <c r="R38" s="70"/>
      <c r="S38" s="70"/>
    </row>
    <row r="39" spans="1:19" ht="18" customHeight="1" x14ac:dyDescent="0.15">
      <c r="B39" s="105"/>
      <c r="C39" s="106"/>
      <c r="D39" s="106"/>
      <c r="E39" s="107"/>
      <c r="F39" s="70"/>
      <c r="G39" s="70"/>
      <c r="H39" s="70"/>
      <c r="I39" s="70"/>
      <c r="J39" s="105"/>
      <c r="K39" s="106"/>
      <c r="L39" s="106"/>
      <c r="M39" s="106"/>
      <c r="N39" s="106"/>
      <c r="O39" s="107"/>
      <c r="P39" s="70"/>
      <c r="Q39" s="70"/>
      <c r="R39" s="70"/>
      <c r="S39" s="70"/>
    </row>
    <row r="40" spans="1:19" ht="18" customHeight="1" x14ac:dyDescent="0.15">
      <c r="B40" s="105"/>
      <c r="C40" s="106"/>
      <c r="D40" s="106"/>
      <c r="E40" s="107"/>
      <c r="F40" s="70"/>
      <c r="G40" s="70"/>
      <c r="H40" s="70"/>
      <c r="I40" s="70"/>
      <c r="J40" s="105"/>
      <c r="K40" s="106"/>
      <c r="L40" s="106"/>
      <c r="M40" s="106"/>
      <c r="N40" s="106"/>
      <c r="O40" s="107"/>
      <c r="P40" s="70"/>
      <c r="Q40" s="70"/>
      <c r="R40" s="70"/>
      <c r="S40" s="70"/>
    </row>
    <row r="41" spans="1:19" ht="18" customHeight="1" x14ac:dyDescent="0.15">
      <c r="B41" s="105"/>
      <c r="C41" s="106"/>
      <c r="D41" s="106"/>
      <c r="E41" s="107"/>
      <c r="F41" s="70"/>
      <c r="G41" s="70"/>
      <c r="H41" s="70"/>
      <c r="I41" s="70"/>
      <c r="J41" s="105"/>
      <c r="K41" s="106"/>
      <c r="L41" s="106"/>
      <c r="M41" s="106"/>
      <c r="N41" s="106"/>
      <c r="O41" s="107"/>
      <c r="P41" s="70"/>
      <c r="Q41" s="70"/>
      <c r="R41" s="70"/>
      <c r="S41" s="70"/>
    </row>
    <row r="42" spans="1:19" ht="18" customHeight="1" x14ac:dyDescent="0.15">
      <c r="B42" s="108"/>
      <c r="C42" s="109"/>
      <c r="D42" s="109"/>
      <c r="E42" s="110"/>
      <c r="F42" s="89"/>
      <c r="G42" s="89"/>
      <c r="H42" s="90"/>
      <c r="I42" s="90"/>
      <c r="J42" s="108"/>
      <c r="K42" s="109"/>
      <c r="L42" s="109"/>
      <c r="M42" s="109"/>
      <c r="N42" s="109"/>
      <c r="O42" s="110"/>
      <c r="P42" s="89"/>
      <c r="Q42" s="89"/>
      <c r="R42" s="90"/>
      <c r="S42" s="90"/>
    </row>
    <row r="43" spans="1:19" ht="7.5" customHeight="1" x14ac:dyDescent="0.15">
      <c r="A43" s="80"/>
      <c r="B43" s="78"/>
      <c r="C43" s="78"/>
      <c r="D43" s="80"/>
      <c r="E43" s="80"/>
      <c r="F43" s="80"/>
      <c r="G43" s="80"/>
      <c r="H43" s="78"/>
      <c r="I43" s="78"/>
      <c r="J43" s="78"/>
      <c r="K43" s="78"/>
      <c r="L43" s="78"/>
      <c r="M43" s="78"/>
      <c r="N43" s="78"/>
      <c r="O43" s="78"/>
      <c r="P43" s="78"/>
      <c r="Q43" s="78"/>
      <c r="R43" s="78"/>
      <c r="S43" s="80"/>
    </row>
    <row r="44" spans="1:19" ht="18" customHeight="1" x14ac:dyDescent="0.15">
      <c r="A44" s="114" t="s">
        <v>115</v>
      </c>
      <c r="B44" s="114"/>
      <c r="C44" s="114"/>
      <c r="D44" s="114"/>
      <c r="E44" s="114"/>
      <c r="F44" s="114"/>
      <c r="G44" s="114"/>
      <c r="H44" s="114"/>
      <c r="I44" s="114"/>
      <c r="J44" s="114"/>
      <c r="K44" s="114"/>
      <c r="L44" s="114"/>
      <c r="M44" s="114"/>
      <c r="N44" s="114"/>
      <c r="O44" s="114"/>
      <c r="P44" s="114"/>
      <c r="Q44" s="114"/>
      <c r="R44" s="114"/>
      <c r="S44" s="114"/>
    </row>
    <row r="45" spans="1:19" ht="18" customHeight="1" x14ac:dyDescent="0.15">
      <c r="A45" s="114"/>
      <c r="B45" s="114"/>
      <c r="C45" s="114"/>
      <c r="D45" s="114"/>
      <c r="E45" s="114"/>
      <c r="F45" s="114"/>
      <c r="G45" s="114"/>
      <c r="H45" s="114"/>
      <c r="I45" s="114"/>
      <c r="J45" s="114"/>
      <c r="K45" s="114"/>
      <c r="L45" s="114"/>
      <c r="M45" s="114"/>
      <c r="N45" s="114"/>
      <c r="O45" s="114"/>
      <c r="P45" s="114"/>
      <c r="Q45" s="114"/>
      <c r="R45" s="114"/>
      <c r="S45" s="114"/>
    </row>
    <row r="46" spans="1:19" ht="18" customHeight="1" x14ac:dyDescent="0.15">
      <c r="B46" s="111" t="s">
        <v>53</v>
      </c>
      <c r="C46" s="112"/>
      <c r="D46" s="112"/>
      <c r="E46" s="113"/>
      <c r="F46" s="85" t="s">
        <v>80</v>
      </c>
      <c r="G46" s="86" t="s">
        <v>84</v>
      </c>
      <c r="H46" s="87" t="s">
        <v>73</v>
      </c>
      <c r="I46" s="87" t="s">
        <v>74</v>
      </c>
      <c r="J46" s="111" t="s">
        <v>53</v>
      </c>
      <c r="K46" s="112"/>
      <c r="L46" s="112"/>
      <c r="M46" s="112"/>
      <c r="N46" s="112"/>
      <c r="O46" s="113"/>
      <c r="P46" s="85" t="s">
        <v>80</v>
      </c>
      <c r="Q46" s="86" t="s">
        <v>84</v>
      </c>
      <c r="R46" s="87" t="s">
        <v>73</v>
      </c>
      <c r="S46" s="87" t="s">
        <v>74</v>
      </c>
    </row>
    <row r="47" spans="1:19" ht="18" customHeight="1" x14ac:dyDescent="0.15">
      <c r="A47" s="80"/>
      <c r="B47" s="115" t="s">
        <v>133</v>
      </c>
      <c r="C47" s="116"/>
      <c r="D47" s="116"/>
      <c r="E47" s="117"/>
      <c r="F47" s="88">
        <v>1</v>
      </c>
      <c r="G47" s="88" t="s">
        <v>132</v>
      </c>
      <c r="H47" s="88" t="s">
        <v>132</v>
      </c>
      <c r="I47" s="88" t="s">
        <v>132</v>
      </c>
      <c r="J47" s="115"/>
      <c r="K47" s="116"/>
      <c r="L47" s="116"/>
      <c r="M47" s="116"/>
      <c r="N47" s="116"/>
      <c r="O47" s="117"/>
      <c r="P47" s="88"/>
      <c r="Q47" s="88"/>
      <c r="R47" s="88"/>
      <c r="S47" s="88"/>
    </row>
    <row r="48" spans="1:19" ht="18" customHeight="1" x14ac:dyDescent="0.15">
      <c r="A48" s="80"/>
      <c r="B48" s="105" t="s">
        <v>134</v>
      </c>
      <c r="C48" s="106"/>
      <c r="D48" s="106"/>
      <c r="E48" s="107"/>
      <c r="F48" s="70">
        <v>1</v>
      </c>
      <c r="G48" s="70" t="s">
        <v>132</v>
      </c>
      <c r="H48" s="70" t="s">
        <v>132</v>
      </c>
      <c r="I48" s="70" t="s">
        <v>132</v>
      </c>
      <c r="J48" s="105"/>
      <c r="K48" s="106"/>
      <c r="L48" s="106"/>
      <c r="M48" s="106"/>
      <c r="N48" s="106"/>
      <c r="O48" s="107"/>
      <c r="P48" s="70"/>
      <c r="Q48" s="70"/>
      <c r="R48" s="70"/>
      <c r="S48" s="70"/>
    </row>
    <row r="49" spans="1:19" ht="18" customHeight="1" x14ac:dyDescent="0.15">
      <c r="A49" s="80"/>
      <c r="B49" s="105" t="s">
        <v>147</v>
      </c>
      <c r="C49" s="106"/>
      <c r="D49" s="106"/>
      <c r="E49" s="107"/>
      <c r="F49" s="70">
        <v>2</v>
      </c>
      <c r="G49" s="70" t="s">
        <v>132</v>
      </c>
      <c r="H49" s="70" t="s">
        <v>132</v>
      </c>
      <c r="I49" s="70" t="s">
        <v>132</v>
      </c>
      <c r="J49" s="105"/>
      <c r="K49" s="106"/>
      <c r="L49" s="106"/>
      <c r="M49" s="106"/>
      <c r="N49" s="106"/>
      <c r="O49" s="107"/>
      <c r="P49" s="70"/>
      <c r="Q49" s="70"/>
      <c r="R49" s="70"/>
      <c r="S49" s="70"/>
    </row>
    <row r="50" spans="1:19" ht="18" customHeight="1" x14ac:dyDescent="0.15">
      <c r="A50" s="80"/>
      <c r="B50" s="105"/>
      <c r="C50" s="106"/>
      <c r="D50" s="106"/>
      <c r="E50" s="107"/>
      <c r="F50" s="70"/>
      <c r="G50" s="70"/>
      <c r="H50" s="70"/>
      <c r="I50" s="70"/>
      <c r="J50" s="105"/>
      <c r="K50" s="106"/>
      <c r="L50" s="106"/>
      <c r="M50" s="106"/>
      <c r="N50" s="106"/>
      <c r="O50" s="107"/>
      <c r="P50" s="70"/>
      <c r="Q50" s="70"/>
      <c r="R50" s="70"/>
      <c r="S50" s="70"/>
    </row>
    <row r="51" spans="1:19" ht="18" customHeight="1" x14ac:dyDescent="0.15">
      <c r="A51" s="80"/>
      <c r="B51" s="105"/>
      <c r="C51" s="106"/>
      <c r="D51" s="106"/>
      <c r="E51" s="107"/>
      <c r="F51" s="70"/>
      <c r="G51" s="70"/>
      <c r="H51" s="70"/>
      <c r="I51" s="70"/>
      <c r="J51" s="105"/>
      <c r="K51" s="106"/>
      <c r="L51" s="106"/>
      <c r="M51" s="106"/>
      <c r="N51" s="106"/>
      <c r="O51" s="107"/>
      <c r="P51" s="70"/>
      <c r="Q51" s="70"/>
      <c r="R51" s="70"/>
      <c r="S51" s="70"/>
    </row>
    <row r="52" spans="1:19" ht="18" customHeight="1" x14ac:dyDescent="0.15">
      <c r="A52" s="80"/>
      <c r="B52" s="105"/>
      <c r="C52" s="106"/>
      <c r="D52" s="106"/>
      <c r="E52" s="107"/>
      <c r="F52" s="70"/>
      <c r="G52" s="70"/>
      <c r="H52" s="70"/>
      <c r="I52" s="70"/>
      <c r="J52" s="105"/>
      <c r="K52" s="106"/>
      <c r="L52" s="106"/>
      <c r="M52" s="106"/>
      <c r="N52" s="106"/>
      <c r="O52" s="107"/>
      <c r="P52" s="70"/>
      <c r="Q52" s="70"/>
      <c r="R52" s="70"/>
      <c r="S52" s="70"/>
    </row>
    <row r="53" spans="1:19" ht="18" customHeight="1" x14ac:dyDescent="0.15">
      <c r="A53" s="80"/>
      <c r="B53" s="108"/>
      <c r="C53" s="109"/>
      <c r="D53" s="109"/>
      <c r="E53" s="110"/>
      <c r="F53" s="89"/>
      <c r="G53" s="89"/>
      <c r="H53" s="90"/>
      <c r="I53" s="90"/>
      <c r="J53" s="108"/>
      <c r="K53" s="109"/>
      <c r="L53" s="109"/>
      <c r="M53" s="109"/>
      <c r="N53" s="109"/>
      <c r="O53" s="110"/>
      <c r="P53" s="89"/>
      <c r="Q53" s="89"/>
      <c r="R53" s="90"/>
      <c r="S53" s="90"/>
    </row>
    <row r="54" spans="1:19" ht="7.5" customHeight="1" x14ac:dyDescent="0.15">
      <c r="B54" s="91"/>
      <c r="C54" s="91"/>
      <c r="D54" s="91"/>
      <c r="E54" s="91"/>
      <c r="F54" s="91"/>
      <c r="G54" s="91"/>
      <c r="H54" s="91"/>
      <c r="I54" s="91"/>
      <c r="J54" s="91"/>
      <c r="K54" s="91"/>
      <c r="L54" s="91"/>
      <c r="M54" s="91"/>
      <c r="N54" s="91"/>
      <c r="O54" s="91"/>
      <c r="P54" s="91"/>
      <c r="Q54" s="91"/>
      <c r="R54" s="91"/>
    </row>
    <row r="55" spans="1:19" ht="18" customHeight="1" x14ac:dyDescent="0.15">
      <c r="A55" s="114" t="s">
        <v>116</v>
      </c>
      <c r="B55" s="114"/>
      <c r="C55" s="114"/>
      <c r="D55" s="114"/>
      <c r="E55" s="114"/>
      <c r="F55" s="114"/>
      <c r="G55" s="114"/>
      <c r="H55" s="114"/>
      <c r="I55" s="114"/>
      <c r="J55" s="114"/>
      <c r="K55" s="114"/>
      <c r="L55" s="114"/>
      <c r="M55" s="114"/>
      <c r="N55" s="114"/>
      <c r="O55" s="114"/>
      <c r="P55" s="114"/>
      <c r="Q55" s="114"/>
      <c r="R55" s="114"/>
      <c r="S55" s="114"/>
    </row>
    <row r="56" spans="1:19" ht="18" customHeight="1" x14ac:dyDescent="0.15">
      <c r="A56" s="114"/>
      <c r="B56" s="114"/>
      <c r="C56" s="114"/>
      <c r="D56" s="114"/>
      <c r="E56" s="114"/>
      <c r="F56" s="114"/>
      <c r="G56" s="114"/>
      <c r="H56" s="114"/>
      <c r="I56" s="114"/>
      <c r="J56" s="114"/>
      <c r="K56" s="114"/>
      <c r="L56" s="114"/>
      <c r="M56" s="114"/>
      <c r="N56" s="114"/>
      <c r="O56" s="114"/>
      <c r="P56" s="114"/>
      <c r="Q56" s="114"/>
      <c r="R56" s="114"/>
      <c r="S56" s="114"/>
    </row>
    <row r="57" spans="1:19" ht="18" customHeight="1" x14ac:dyDescent="0.15">
      <c r="B57" s="111" t="s">
        <v>53</v>
      </c>
      <c r="C57" s="112"/>
      <c r="D57" s="112"/>
      <c r="E57" s="113"/>
      <c r="F57" s="85" t="s">
        <v>80</v>
      </c>
      <c r="G57" s="86" t="s">
        <v>84</v>
      </c>
      <c r="H57" s="87" t="s">
        <v>58</v>
      </c>
      <c r="I57" s="87" t="s">
        <v>60</v>
      </c>
      <c r="J57" s="111" t="s">
        <v>53</v>
      </c>
      <c r="K57" s="112"/>
      <c r="L57" s="112"/>
      <c r="M57" s="112"/>
      <c r="N57" s="112"/>
      <c r="O57" s="113"/>
      <c r="P57" s="85" t="s">
        <v>80</v>
      </c>
      <c r="Q57" s="86" t="s">
        <v>84</v>
      </c>
      <c r="R57" s="87" t="s">
        <v>58</v>
      </c>
      <c r="S57" s="87" t="s">
        <v>60</v>
      </c>
    </row>
    <row r="58" spans="1:19" ht="18" customHeight="1" x14ac:dyDescent="0.15">
      <c r="A58" s="80"/>
      <c r="B58" s="115" t="s">
        <v>133</v>
      </c>
      <c r="C58" s="116"/>
      <c r="D58" s="116"/>
      <c r="E58" s="117"/>
      <c r="F58" s="88">
        <v>1</v>
      </c>
      <c r="G58" s="88" t="s">
        <v>132</v>
      </c>
      <c r="H58" s="88" t="s">
        <v>137</v>
      </c>
      <c r="I58" s="88" t="s">
        <v>132</v>
      </c>
      <c r="J58" s="115"/>
      <c r="K58" s="116"/>
      <c r="L58" s="116"/>
      <c r="M58" s="116"/>
      <c r="N58" s="116"/>
      <c r="O58" s="117"/>
      <c r="P58" s="88"/>
      <c r="Q58" s="88"/>
      <c r="R58" s="88"/>
      <c r="S58" s="88"/>
    </row>
    <row r="59" spans="1:19" ht="18" customHeight="1" x14ac:dyDescent="0.15">
      <c r="A59" s="80"/>
      <c r="B59" s="105" t="s">
        <v>184</v>
      </c>
      <c r="C59" s="106"/>
      <c r="D59" s="106"/>
      <c r="E59" s="107"/>
      <c r="F59" s="70">
        <v>1</v>
      </c>
      <c r="G59" s="70" t="s">
        <v>132</v>
      </c>
      <c r="H59" s="70" t="s">
        <v>132</v>
      </c>
      <c r="I59" s="70" t="s">
        <v>132</v>
      </c>
      <c r="J59" s="105"/>
      <c r="K59" s="106"/>
      <c r="L59" s="106"/>
      <c r="M59" s="106"/>
      <c r="N59" s="106"/>
      <c r="O59" s="107"/>
      <c r="P59" s="70"/>
      <c r="Q59" s="70"/>
      <c r="R59" s="70"/>
      <c r="S59" s="70"/>
    </row>
    <row r="60" spans="1:19" ht="18" customHeight="1" x14ac:dyDescent="0.15">
      <c r="A60" s="80"/>
      <c r="B60" s="105" t="s">
        <v>134</v>
      </c>
      <c r="C60" s="106"/>
      <c r="D60" s="106"/>
      <c r="E60" s="107"/>
      <c r="F60" s="70">
        <v>1</v>
      </c>
      <c r="G60" s="70" t="s">
        <v>132</v>
      </c>
      <c r="H60" s="70" t="s">
        <v>132</v>
      </c>
      <c r="I60" s="70" t="s">
        <v>132</v>
      </c>
      <c r="J60" s="105"/>
      <c r="K60" s="106"/>
      <c r="L60" s="106"/>
      <c r="M60" s="106"/>
      <c r="N60" s="106"/>
      <c r="O60" s="107"/>
      <c r="P60" s="70"/>
      <c r="Q60" s="70"/>
      <c r="R60" s="70"/>
      <c r="S60" s="70"/>
    </row>
    <row r="61" spans="1:19" ht="18" customHeight="1" x14ac:dyDescent="0.15">
      <c r="A61" s="80"/>
      <c r="B61" s="105" t="s">
        <v>147</v>
      </c>
      <c r="C61" s="106"/>
      <c r="D61" s="106"/>
      <c r="E61" s="107"/>
      <c r="F61" s="70">
        <v>2</v>
      </c>
      <c r="G61" s="70" t="s">
        <v>132</v>
      </c>
      <c r="H61" s="70" t="s">
        <v>132</v>
      </c>
      <c r="I61" s="70" t="s">
        <v>132</v>
      </c>
      <c r="J61" s="105"/>
      <c r="K61" s="106"/>
      <c r="L61" s="106"/>
      <c r="M61" s="106"/>
      <c r="N61" s="106"/>
      <c r="O61" s="107"/>
      <c r="P61" s="70"/>
      <c r="Q61" s="70"/>
      <c r="R61" s="70"/>
      <c r="S61" s="70"/>
    </row>
    <row r="62" spans="1:19" ht="18" customHeight="1" x14ac:dyDescent="0.15">
      <c r="A62" s="80"/>
      <c r="B62" s="105"/>
      <c r="C62" s="106"/>
      <c r="D62" s="106"/>
      <c r="E62" s="107"/>
      <c r="F62" s="70"/>
      <c r="G62" s="70"/>
      <c r="H62" s="70"/>
      <c r="I62" s="70"/>
      <c r="J62" s="105"/>
      <c r="K62" s="106"/>
      <c r="L62" s="106"/>
      <c r="M62" s="106"/>
      <c r="N62" s="106"/>
      <c r="O62" s="107"/>
      <c r="P62" s="70"/>
      <c r="Q62" s="70"/>
      <c r="R62" s="70"/>
      <c r="S62" s="70"/>
    </row>
    <row r="63" spans="1:19" ht="18" customHeight="1" x14ac:dyDescent="0.15">
      <c r="A63" s="80"/>
      <c r="B63" s="105"/>
      <c r="C63" s="106"/>
      <c r="D63" s="106"/>
      <c r="E63" s="107"/>
      <c r="F63" s="70"/>
      <c r="G63" s="70"/>
      <c r="H63" s="70"/>
      <c r="I63" s="70"/>
      <c r="J63" s="105"/>
      <c r="K63" s="106"/>
      <c r="L63" s="106"/>
      <c r="M63" s="106"/>
      <c r="N63" s="106"/>
      <c r="O63" s="107"/>
      <c r="P63" s="70"/>
      <c r="Q63" s="70"/>
      <c r="R63" s="70"/>
      <c r="S63" s="70"/>
    </row>
    <row r="64" spans="1:19" ht="18" customHeight="1" x14ac:dyDescent="0.15">
      <c r="A64" s="80"/>
      <c r="B64" s="108"/>
      <c r="C64" s="109"/>
      <c r="D64" s="109"/>
      <c r="E64" s="110"/>
      <c r="F64" s="89"/>
      <c r="G64" s="89"/>
      <c r="H64" s="90"/>
      <c r="I64" s="90"/>
      <c r="J64" s="108"/>
      <c r="K64" s="109"/>
      <c r="L64" s="109"/>
      <c r="M64" s="109"/>
      <c r="N64" s="109"/>
      <c r="O64" s="110"/>
      <c r="P64" s="89"/>
      <c r="Q64" s="89"/>
      <c r="R64" s="90"/>
      <c r="S64" s="90"/>
    </row>
    <row r="65" spans="1:19" ht="7.5" customHeight="1" x14ac:dyDescent="0.15">
      <c r="B65" s="91"/>
      <c r="C65" s="91"/>
      <c r="D65" s="91"/>
      <c r="E65" s="91"/>
      <c r="F65" s="91"/>
      <c r="G65" s="91"/>
      <c r="H65" s="91"/>
      <c r="I65" s="91"/>
      <c r="J65" s="91"/>
      <c r="K65" s="91"/>
      <c r="L65" s="91"/>
      <c r="M65" s="91"/>
      <c r="N65" s="91"/>
      <c r="O65" s="91"/>
      <c r="P65" s="91"/>
      <c r="Q65" s="91"/>
      <c r="R65" s="91"/>
    </row>
    <row r="66" spans="1:19" ht="18" customHeight="1" x14ac:dyDescent="0.15">
      <c r="A66" s="114" t="s">
        <v>117</v>
      </c>
      <c r="B66" s="114"/>
      <c r="C66" s="114"/>
      <c r="D66" s="114"/>
      <c r="E66" s="114"/>
      <c r="F66" s="114"/>
      <c r="G66" s="114"/>
      <c r="H66" s="114"/>
      <c r="I66" s="114"/>
      <c r="J66" s="114"/>
      <c r="K66" s="114"/>
      <c r="L66" s="114"/>
      <c r="M66" s="114"/>
      <c r="N66" s="114"/>
      <c r="O66" s="114"/>
      <c r="P66" s="114"/>
      <c r="Q66" s="114"/>
      <c r="R66" s="114"/>
      <c r="S66" s="114"/>
    </row>
    <row r="67" spans="1:19" ht="18" customHeight="1" x14ac:dyDescent="0.15">
      <c r="A67" s="114"/>
      <c r="B67" s="114"/>
      <c r="C67" s="114"/>
      <c r="D67" s="114"/>
      <c r="E67" s="114"/>
      <c r="F67" s="114"/>
      <c r="G67" s="114"/>
      <c r="H67" s="114"/>
      <c r="I67" s="114"/>
      <c r="J67" s="114"/>
      <c r="K67" s="114"/>
      <c r="L67" s="114"/>
      <c r="M67" s="114"/>
      <c r="N67" s="114"/>
      <c r="O67" s="114"/>
      <c r="P67" s="114"/>
      <c r="Q67" s="114"/>
      <c r="R67" s="114"/>
      <c r="S67" s="114"/>
    </row>
    <row r="68" spans="1:19" ht="18" customHeight="1" x14ac:dyDescent="0.15">
      <c r="B68" s="111" t="s">
        <v>53</v>
      </c>
      <c r="C68" s="112"/>
      <c r="D68" s="112"/>
      <c r="E68" s="85" t="s">
        <v>80</v>
      </c>
      <c r="F68" s="86" t="s">
        <v>84</v>
      </c>
      <c r="G68" s="87" t="s">
        <v>101</v>
      </c>
      <c r="H68" s="87" t="s">
        <v>75</v>
      </c>
      <c r="I68" s="87" t="s">
        <v>76</v>
      </c>
      <c r="J68" s="111" t="s">
        <v>53</v>
      </c>
      <c r="K68" s="112"/>
      <c r="L68" s="112"/>
      <c r="M68" s="112"/>
      <c r="N68" s="113"/>
      <c r="O68" s="85" t="s">
        <v>80</v>
      </c>
      <c r="P68" s="86" t="s">
        <v>84</v>
      </c>
      <c r="Q68" s="87" t="s">
        <v>101</v>
      </c>
      <c r="R68" s="87" t="s">
        <v>75</v>
      </c>
      <c r="S68" s="87" t="s">
        <v>76</v>
      </c>
    </row>
    <row r="69" spans="1:19" ht="18" customHeight="1" x14ac:dyDescent="0.15">
      <c r="A69" s="80"/>
      <c r="B69" s="115" t="s">
        <v>133</v>
      </c>
      <c r="C69" s="116"/>
      <c r="D69" s="116"/>
      <c r="E69" s="88">
        <v>1</v>
      </c>
      <c r="F69" s="88" t="s">
        <v>132</v>
      </c>
      <c r="G69" s="88" t="s">
        <v>132</v>
      </c>
      <c r="H69" s="88" t="s">
        <v>132</v>
      </c>
      <c r="I69" s="88" t="s">
        <v>132</v>
      </c>
      <c r="J69" s="115"/>
      <c r="K69" s="116"/>
      <c r="L69" s="116"/>
      <c r="M69" s="116"/>
      <c r="N69" s="117"/>
      <c r="O69" s="88"/>
      <c r="P69" s="88"/>
      <c r="Q69" s="88"/>
      <c r="R69" s="88"/>
      <c r="S69" s="88"/>
    </row>
    <row r="70" spans="1:19" ht="18" customHeight="1" x14ac:dyDescent="0.15">
      <c r="A70" s="80"/>
      <c r="B70" s="105" t="s">
        <v>184</v>
      </c>
      <c r="C70" s="106"/>
      <c r="D70" s="106"/>
      <c r="E70" s="70">
        <v>1</v>
      </c>
      <c r="F70" s="70" t="s">
        <v>132</v>
      </c>
      <c r="G70" s="70"/>
      <c r="H70" s="70" t="s">
        <v>132</v>
      </c>
      <c r="I70" s="70"/>
      <c r="J70" s="105"/>
      <c r="K70" s="106"/>
      <c r="L70" s="106"/>
      <c r="M70" s="106"/>
      <c r="N70" s="107"/>
      <c r="O70" s="70"/>
      <c r="P70" s="70"/>
      <c r="Q70" s="70"/>
      <c r="R70" s="70"/>
      <c r="S70" s="70"/>
    </row>
    <row r="71" spans="1:19" ht="18" customHeight="1" x14ac:dyDescent="0.15">
      <c r="A71" s="80"/>
      <c r="B71" s="105" t="s">
        <v>134</v>
      </c>
      <c r="C71" s="106"/>
      <c r="D71" s="106"/>
      <c r="E71" s="70">
        <v>1</v>
      </c>
      <c r="F71" s="70" t="s">
        <v>132</v>
      </c>
      <c r="G71" s="70"/>
      <c r="H71" s="70"/>
      <c r="I71" s="70" t="s">
        <v>132</v>
      </c>
      <c r="J71" s="105"/>
      <c r="K71" s="106"/>
      <c r="L71" s="106"/>
      <c r="M71" s="106"/>
      <c r="N71" s="107"/>
      <c r="O71" s="70"/>
      <c r="P71" s="70"/>
      <c r="Q71" s="70"/>
      <c r="R71" s="70"/>
      <c r="S71" s="70"/>
    </row>
    <row r="72" spans="1:19" ht="18" customHeight="1" x14ac:dyDescent="0.15">
      <c r="A72" s="80"/>
      <c r="B72" s="180" t="s">
        <v>147</v>
      </c>
      <c r="C72" s="181"/>
      <c r="D72" s="182"/>
      <c r="E72" s="70">
        <v>2</v>
      </c>
      <c r="F72" s="70" t="s">
        <v>132</v>
      </c>
      <c r="G72" s="70"/>
      <c r="H72" s="70"/>
      <c r="I72" s="70" t="s">
        <v>132</v>
      </c>
      <c r="J72" s="105"/>
      <c r="K72" s="106"/>
      <c r="L72" s="106"/>
      <c r="M72" s="106"/>
      <c r="N72" s="107"/>
      <c r="O72" s="70"/>
      <c r="P72" s="70"/>
      <c r="Q72" s="70"/>
      <c r="R72" s="70"/>
      <c r="S72" s="70"/>
    </row>
    <row r="73" spans="1:19" ht="18" customHeight="1" x14ac:dyDescent="0.15">
      <c r="A73" s="80"/>
      <c r="B73" s="105" t="s">
        <v>139</v>
      </c>
      <c r="C73" s="106"/>
      <c r="D73" s="106"/>
      <c r="E73" s="70">
        <v>1</v>
      </c>
      <c r="F73" s="70"/>
      <c r="G73" s="70"/>
      <c r="H73" s="70" t="s">
        <v>132</v>
      </c>
      <c r="I73" s="70" t="s">
        <v>132</v>
      </c>
      <c r="J73" s="105"/>
      <c r="K73" s="106"/>
      <c r="L73" s="106"/>
      <c r="M73" s="106"/>
      <c r="N73" s="107"/>
      <c r="O73" s="70"/>
      <c r="P73" s="70"/>
      <c r="Q73" s="70"/>
      <c r="R73" s="70"/>
      <c r="S73" s="70"/>
    </row>
    <row r="74" spans="1:19" ht="18" customHeight="1" x14ac:dyDescent="0.15">
      <c r="A74" s="80"/>
      <c r="B74" s="105" t="s">
        <v>136</v>
      </c>
      <c r="C74" s="106"/>
      <c r="D74" s="107"/>
      <c r="E74" s="70">
        <v>1</v>
      </c>
      <c r="F74" s="70"/>
      <c r="G74" s="70" t="s">
        <v>132</v>
      </c>
      <c r="H74" s="70" t="s">
        <v>132</v>
      </c>
      <c r="I74" s="70" t="s">
        <v>132</v>
      </c>
      <c r="J74" s="105"/>
      <c r="K74" s="106"/>
      <c r="L74" s="106"/>
      <c r="M74" s="106"/>
      <c r="N74" s="107"/>
      <c r="O74" s="70"/>
      <c r="P74" s="70"/>
      <c r="Q74" s="70"/>
      <c r="R74" s="70"/>
      <c r="S74" s="70"/>
    </row>
    <row r="75" spans="1:19" ht="18" customHeight="1" x14ac:dyDescent="0.15">
      <c r="A75" s="80"/>
      <c r="B75" s="105" t="s">
        <v>135</v>
      </c>
      <c r="C75" s="106"/>
      <c r="D75" s="107"/>
      <c r="E75" s="89">
        <v>1</v>
      </c>
      <c r="F75" s="89"/>
      <c r="G75" s="90"/>
      <c r="H75" s="90" t="s">
        <v>132</v>
      </c>
      <c r="I75" s="90" t="s">
        <v>132</v>
      </c>
      <c r="J75" s="108"/>
      <c r="K75" s="109"/>
      <c r="L75" s="109"/>
      <c r="M75" s="109"/>
      <c r="N75" s="110"/>
      <c r="O75" s="89"/>
      <c r="P75" s="89"/>
      <c r="Q75" s="90"/>
      <c r="R75" s="90"/>
      <c r="S75" s="90"/>
    </row>
    <row r="76" spans="1:19" ht="7.5" customHeight="1" x14ac:dyDescent="0.15">
      <c r="B76" s="91"/>
      <c r="C76" s="91"/>
      <c r="D76" s="91"/>
      <c r="E76" s="91"/>
      <c r="F76" s="91"/>
      <c r="G76" s="91"/>
      <c r="H76" s="91"/>
      <c r="I76" s="91"/>
      <c r="J76" s="91"/>
      <c r="K76" s="91"/>
      <c r="L76" s="91"/>
      <c r="M76" s="91"/>
      <c r="N76" s="91"/>
      <c r="O76" s="91"/>
      <c r="P76" s="91"/>
      <c r="Q76" s="91"/>
      <c r="R76" s="91"/>
    </row>
    <row r="77" spans="1:19" ht="18" customHeight="1" x14ac:dyDescent="0.15">
      <c r="A77" s="74" t="s">
        <v>118</v>
      </c>
      <c r="H77" s="80"/>
      <c r="I77" s="80"/>
      <c r="J77" s="80"/>
      <c r="K77" s="80"/>
      <c r="L77" s="80"/>
      <c r="M77" s="80"/>
      <c r="N77" s="80"/>
      <c r="O77" s="80"/>
      <c r="P77" s="80"/>
      <c r="Q77" s="80"/>
      <c r="R77" s="80"/>
      <c r="S77" s="80"/>
    </row>
    <row r="78" spans="1:19" ht="18" customHeight="1" x14ac:dyDescent="0.15">
      <c r="B78" s="111" t="s">
        <v>53</v>
      </c>
      <c r="C78" s="112"/>
      <c r="D78" s="112"/>
      <c r="E78" s="113"/>
      <c r="F78" s="111" t="s">
        <v>82</v>
      </c>
      <c r="G78" s="112"/>
      <c r="H78" s="112"/>
      <c r="I78" s="113"/>
      <c r="J78" s="161" t="s">
        <v>53</v>
      </c>
      <c r="K78" s="162"/>
      <c r="L78" s="162"/>
      <c r="M78" s="162"/>
      <c r="N78" s="162"/>
      <c r="O78" s="163"/>
      <c r="P78" s="111" t="s">
        <v>82</v>
      </c>
      <c r="Q78" s="112"/>
      <c r="R78" s="112"/>
      <c r="S78" s="113"/>
    </row>
    <row r="79" spans="1:19" ht="18" customHeight="1" x14ac:dyDescent="0.15">
      <c r="A79" s="80"/>
      <c r="B79" s="115" t="s">
        <v>138</v>
      </c>
      <c r="C79" s="116"/>
      <c r="D79" s="116"/>
      <c r="E79" s="117"/>
      <c r="F79" s="177" t="s">
        <v>140</v>
      </c>
      <c r="G79" s="178"/>
      <c r="H79" s="178"/>
      <c r="I79" s="179"/>
      <c r="J79" s="115"/>
      <c r="K79" s="116"/>
      <c r="L79" s="116"/>
      <c r="M79" s="116"/>
      <c r="N79" s="116"/>
      <c r="O79" s="117"/>
      <c r="P79" s="177"/>
      <c r="Q79" s="178"/>
      <c r="R79" s="178"/>
      <c r="S79" s="179"/>
    </row>
    <row r="80" spans="1:19" ht="18" customHeight="1" x14ac:dyDescent="0.15">
      <c r="A80" s="80"/>
      <c r="B80" s="105" t="s">
        <v>133</v>
      </c>
      <c r="C80" s="106"/>
      <c r="D80" s="106"/>
      <c r="E80" s="107"/>
      <c r="F80" s="144" t="s">
        <v>141</v>
      </c>
      <c r="G80" s="145"/>
      <c r="H80" s="145"/>
      <c r="I80" s="146"/>
      <c r="J80" s="105"/>
      <c r="K80" s="106"/>
      <c r="L80" s="106"/>
      <c r="M80" s="106"/>
      <c r="N80" s="106"/>
      <c r="O80" s="107"/>
      <c r="P80" s="144"/>
      <c r="Q80" s="145"/>
      <c r="R80" s="145"/>
      <c r="S80" s="146"/>
    </row>
    <row r="81" spans="1:19" ht="18" customHeight="1" x14ac:dyDescent="0.15">
      <c r="A81" s="80"/>
      <c r="B81" s="105" t="s">
        <v>133</v>
      </c>
      <c r="C81" s="106"/>
      <c r="D81" s="106"/>
      <c r="E81" s="107"/>
      <c r="F81" s="144" t="s">
        <v>142</v>
      </c>
      <c r="G81" s="145"/>
      <c r="H81" s="145"/>
      <c r="I81" s="146"/>
      <c r="J81" s="105"/>
      <c r="K81" s="106"/>
      <c r="L81" s="106"/>
      <c r="M81" s="106"/>
      <c r="N81" s="106"/>
      <c r="O81" s="107"/>
      <c r="P81" s="144"/>
      <c r="Q81" s="145"/>
      <c r="R81" s="145"/>
      <c r="S81" s="146"/>
    </row>
    <row r="82" spans="1:19" ht="18" customHeight="1" x14ac:dyDescent="0.15">
      <c r="A82" s="80"/>
      <c r="B82" s="105" t="s">
        <v>133</v>
      </c>
      <c r="C82" s="106"/>
      <c r="D82" s="106"/>
      <c r="E82" s="107"/>
      <c r="F82" s="144" t="s">
        <v>143</v>
      </c>
      <c r="G82" s="145"/>
      <c r="H82" s="145"/>
      <c r="I82" s="146"/>
      <c r="J82" s="105"/>
      <c r="K82" s="106"/>
      <c r="L82" s="106"/>
      <c r="M82" s="106"/>
      <c r="N82" s="106"/>
      <c r="O82" s="107"/>
      <c r="P82" s="144"/>
      <c r="Q82" s="145"/>
      <c r="R82" s="145"/>
      <c r="S82" s="146"/>
    </row>
    <row r="83" spans="1:19" ht="18" customHeight="1" x14ac:dyDescent="0.15">
      <c r="A83" s="80"/>
      <c r="B83" s="105" t="s">
        <v>133</v>
      </c>
      <c r="C83" s="106"/>
      <c r="D83" s="106"/>
      <c r="E83" s="107"/>
      <c r="F83" s="144" t="s">
        <v>144</v>
      </c>
      <c r="G83" s="145"/>
      <c r="H83" s="145"/>
      <c r="I83" s="146"/>
      <c r="J83" s="105"/>
      <c r="K83" s="106"/>
      <c r="L83" s="106"/>
      <c r="M83" s="106"/>
      <c r="N83" s="106"/>
      <c r="O83" s="107"/>
      <c r="P83" s="144"/>
      <c r="Q83" s="145"/>
      <c r="R83" s="145"/>
      <c r="S83" s="146"/>
    </row>
    <row r="84" spans="1:19" ht="18" customHeight="1" x14ac:dyDescent="0.15">
      <c r="A84" s="80"/>
      <c r="B84" s="105"/>
      <c r="C84" s="106"/>
      <c r="D84" s="106"/>
      <c r="E84" s="107"/>
      <c r="F84" s="144"/>
      <c r="G84" s="145"/>
      <c r="H84" s="145"/>
      <c r="I84" s="146"/>
      <c r="J84" s="105"/>
      <c r="K84" s="106"/>
      <c r="L84" s="106"/>
      <c r="M84" s="106"/>
      <c r="N84" s="106"/>
      <c r="O84" s="107"/>
      <c r="P84" s="144"/>
      <c r="Q84" s="145"/>
      <c r="R84" s="145"/>
      <c r="S84" s="146"/>
    </row>
    <row r="85" spans="1:19" ht="18" customHeight="1" x14ac:dyDescent="0.15">
      <c r="A85" s="80"/>
      <c r="B85" s="108"/>
      <c r="C85" s="109"/>
      <c r="D85" s="109"/>
      <c r="E85" s="110"/>
      <c r="F85" s="141"/>
      <c r="G85" s="142"/>
      <c r="H85" s="142"/>
      <c r="I85" s="143"/>
      <c r="J85" s="108"/>
      <c r="K85" s="109"/>
      <c r="L85" s="109"/>
      <c r="M85" s="109"/>
      <c r="N85" s="109"/>
      <c r="O85" s="110"/>
      <c r="P85" s="141"/>
      <c r="Q85" s="142"/>
      <c r="R85" s="142"/>
      <c r="S85" s="143"/>
    </row>
    <row r="86" spans="1:19" ht="18" customHeight="1" x14ac:dyDescent="0.15">
      <c r="A86" s="80"/>
      <c r="B86" s="78"/>
      <c r="C86" s="78"/>
      <c r="D86" s="78"/>
      <c r="E86" s="78"/>
      <c r="F86" s="92"/>
      <c r="G86" s="92"/>
      <c r="H86" s="92"/>
      <c r="I86" s="92"/>
      <c r="J86" s="78"/>
      <c r="K86" s="78"/>
      <c r="L86" s="78"/>
      <c r="M86" s="78"/>
      <c r="N86" s="78"/>
      <c r="O86" s="78"/>
      <c r="P86" s="92"/>
      <c r="Q86" s="92"/>
      <c r="R86" s="92"/>
      <c r="S86" s="92"/>
    </row>
    <row r="87" spans="1:19" ht="18.75" customHeight="1" x14ac:dyDescent="0.15">
      <c r="A87" s="74" t="s">
        <v>119</v>
      </c>
    </row>
    <row r="88" spans="1:19" ht="18.75" customHeight="1" x14ac:dyDescent="0.15">
      <c r="B88" s="175" t="s">
        <v>54</v>
      </c>
      <c r="C88" s="176"/>
      <c r="D88" s="112" t="s">
        <v>55</v>
      </c>
      <c r="E88" s="112"/>
      <c r="F88" s="112"/>
      <c r="G88" s="112"/>
      <c r="H88" s="112"/>
      <c r="I88" s="112"/>
      <c r="J88" s="112"/>
      <c r="K88" s="112"/>
      <c r="L88" s="112"/>
      <c r="M88" s="112"/>
      <c r="N88" s="112"/>
      <c r="O88" s="112"/>
      <c r="P88" s="112"/>
      <c r="Q88" s="112"/>
      <c r="R88" s="112"/>
      <c r="S88" s="113"/>
    </row>
    <row r="89" spans="1:19" ht="72.75" customHeight="1" x14ac:dyDescent="0.15">
      <c r="B89" s="164" t="s">
        <v>61</v>
      </c>
      <c r="C89" s="93" t="s">
        <v>56</v>
      </c>
      <c r="D89" s="127" t="s">
        <v>186</v>
      </c>
      <c r="E89" s="173"/>
      <c r="F89" s="173"/>
      <c r="G89" s="173"/>
      <c r="H89" s="173"/>
      <c r="I89" s="173"/>
      <c r="J89" s="173"/>
      <c r="K89" s="173"/>
      <c r="L89" s="173"/>
      <c r="M89" s="173"/>
      <c r="N89" s="173"/>
      <c r="O89" s="173"/>
      <c r="P89" s="173"/>
      <c r="Q89" s="173"/>
      <c r="R89" s="173"/>
      <c r="S89" s="174"/>
    </row>
    <row r="90" spans="1:19" ht="92.25" customHeight="1" x14ac:dyDescent="0.15">
      <c r="B90" s="166"/>
      <c r="C90" s="94" t="s">
        <v>77</v>
      </c>
      <c r="D90" s="147" t="s">
        <v>193</v>
      </c>
      <c r="E90" s="148"/>
      <c r="F90" s="148"/>
      <c r="G90" s="148"/>
      <c r="H90" s="148"/>
      <c r="I90" s="148"/>
      <c r="J90" s="148"/>
      <c r="K90" s="148"/>
      <c r="L90" s="148"/>
      <c r="M90" s="148"/>
      <c r="N90" s="148"/>
      <c r="O90" s="148"/>
      <c r="P90" s="148"/>
      <c r="Q90" s="148"/>
      <c r="R90" s="148"/>
      <c r="S90" s="149"/>
    </row>
    <row r="91" spans="1:19" ht="67.5" customHeight="1" x14ac:dyDescent="0.15">
      <c r="B91" s="164" t="s">
        <v>62</v>
      </c>
      <c r="C91" s="95" t="s">
        <v>71</v>
      </c>
      <c r="D91" s="150" t="s">
        <v>194</v>
      </c>
      <c r="E91" s="151"/>
      <c r="F91" s="151"/>
      <c r="G91" s="151"/>
      <c r="H91" s="151"/>
      <c r="I91" s="151"/>
      <c r="J91" s="151"/>
      <c r="K91" s="151"/>
      <c r="L91" s="151"/>
      <c r="M91" s="151"/>
      <c r="N91" s="151"/>
      <c r="O91" s="151"/>
      <c r="P91" s="151"/>
      <c r="Q91" s="151"/>
      <c r="R91" s="151"/>
      <c r="S91" s="152"/>
    </row>
    <row r="92" spans="1:19" ht="94.5" customHeight="1" x14ac:dyDescent="0.15">
      <c r="B92" s="165"/>
      <c r="C92" s="96" t="s">
        <v>72</v>
      </c>
      <c r="D92" s="155" t="s">
        <v>195</v>
      </c>
      <c r="E92" s="156"/>
      <c r="F92" s="156"/>
      <c r="G92" s="156"/>
      <c r="H92" s="156"/>
      <c r="I92" s="156"/>
      <c r="J92" s="156"/>
      <c r="K92" s="156"/>
      <c r="L92" s="156"/>
      <c r="M92" s="156"/>
      <c r="N92" s="156"/>
      <c r="O92" s="156"/>
      <c r="P92" s="156"/>
      <c r="Q92" s="156"/>
      <c r="R92" s="156"/>
      <c r="S92" s="157"/>
    </row>
    <row r="93" spans="1:19" ht="169.5" customHeight="1" x14ac:dyDescent="0.15">
      <c r="B93" s="164" t="s">
        <v>63</v>
      </c>
      <c r="C93" s="95" t="s">
        <v>73</v>
      </c>
      <c r="D93" s="150" t="s">
        <v>196</v>
      </c>
      <c r="E93" s="151"/>
      <c r="F93" s="151"/>
      <c r="G93" s="151"/>
      <c r="H93" s="151"/>
      <c r="I93" s="151"/>
      <c r="J93" s="151"/>
      <c r="K93" s="151"/>
      <c r="L93" s="151"/>
      <c r="M93" s="151"/>
      <c r="N93" s="151"/>
      <c r="O93" s="151"/>
      <c r="P93" s="151"/>
      <c r="Q93" s="151"/>
      <c r="R93" s="151"/>
      <c r="S93" s="152"/>
    </row>
    <row r="94" spans="1:19" ht="79.5" customHeight="1" x14ac:dyDescent="0.15">
      <c r="B94" s="165"/>
      <c r="C94" s="97" t="s">
        <v>74</v>
      </c>
      <c r="D94" s="133" t="s">
        <v>197</v>
      </c>
      <c r="E94" s="153"/>
      <c r="F94" s="153"/>
      <c r="G94" s="153"/>
      <c r="H94" s="153"/>
      <c r="I94" s="153"/>
      <c r="J94" s="153"/>
      <c r="K94" s="153"/>
      <c r="L94" s="153"/>
      <c r="M94" s="153"/>
      <c r="N94" s="153"/>
      <c r="O94" s="153"/>
      <c r="P94" s="153"/>
      <c r="Q94" s="153"/>
      <c r="R94" s="153"/>
      <c r="S94" s="154"/>
    </row>
    <row r="95" spans="1:19" ht="165.75" customHeight="1" x14ac:dyDescent="0.15">
      <c r="B95" s="164" t="s">
        <v>78</v>
      </c>
      <c r="C95" s="93" t="s">
        <v>58</v>
      </c>
      <c r="D95" s="127" t="s">
        <v>198</v>
      </c>
      <c r="E95" s="173"/>
      <c r="F95" s="173"/>
      <c r="G95" s="173"/>
      <c r="H95" s="173"/>
      <c r="I95" s="173"/>
      <c r="J95" s="173"/>
      <c r="K95" s="173"/>
      <c r="L95" s="173"/>
      <c r="M95" s="173"/>
      <c r="N95" s="173"/>
      <c r="O95" s="173"/>
      <c r="P95" s="173"/>
      <c r="Q95" s="173"/>
      <c r="R95" s="173"/>
      <c r="S95" s="174"/>
    </row>
    <row r="96" spans="1:19" ht="109.5" customHeight="1" x14ac:dyDescent="0.15">
      <c r="B96" s="165"/>
      <c r="C96" s="96" t="s">
        <v>60</v>
      </c>
      <c r="D96" s="155" t="s">
        <v>199</v>
      </c>
      <c r="E96" s="156"/>
      <c r="F96" s="156"/>
      <c r="G96" s="156"/>
      <c r="H96" s="156"/>
      <c r="I96" s="156"/>
      <c r="J96" s="156"/>
      <c r="K96" s="156"/>
      <c r="L96" s="156"/>
      <c r="M96" s="156"/>
      <c r="N96" s="156"/>
      <c r="O96" s="156"/>
      <c r="P96" s="156"/>
      <c r="Q96" s="156"/>
      <c r="R96" s="156"/>
      <c r="S96" s="157"/>
    </row>
    <row r="97" spans="1:19" ht="141" customHeight="1" x14ac:dyDescent="0.15">
      <c r="B97" s="164" t="s">
        <v>79</v>
      </c>
      <c r="C97" s="95" t="s">
        <v>57</v>
      </c>
      <c r="D97" s="167" t="s">
        <v>205</v>
      </c>
      <c r="E97" s="168"/>
      <c r="F97" s="168"/>
      <c r="G97" s="168"/>
      <c r="H97" s="168"/>
      <c r="I97" s="168"/>
      <c r="J97" s="168"/>
      <c r="K97" s="168"/>
      <c r="L97" s="168"/>
      <c r="M97" s="168"/>
      <c r="N97" s="168"/>
      <c r="O97" s="168"/>
      <c r="P97" s="168"/>
      <c r="Q97" s="168"/>
      <c r="R97" s="168"/>
      <c r="S97" s="169"/>
    </row>
    <row r="98" spans="1:19" ht="233.25" customHeight="1" x14ac:dyDescent="0.15">
      <c r="B98" s="166"/>
      <c r="C98" s="98" t="s">
        <v>75</v>
      </c>
      <c r="D98" s="158" t="s">
        <v>206</v>
      </c>
      <c r="E98" s="159"/>
      <c r="F98" s="159"/>
      <c r="G98" s="159"/>
      <c r="H98" s="159"/>
      <c r="I98" s="159"/>
      <c r="J98" s="159"/>
      <c r="K98" s="159"/>
      <c r="L98" s="159"/>
      <c r="M98" s="159"/>
      <c r="N98" s="159"/>
      <c r="O98" s="159"/>
      <c r="P98" s="159"/>
      <c r="Q98" s="159"/>
      <c r="R98" s="159"/>
      <c r="S98" s="160"/>
    </row>
    <row r="99" spans="1:19" ht="156" customHeight="1" x14ac:dyDescent="0.15">
      <c r="B99" s="165"/>
      <c r="C99" s="97" t="s">
        <v>76</v>
      </c>
      <c r="D99" s="170" t="s">
        <v>207</v>
      </c>
      <c r="E99" s="171"/>
      <c r="F99" s="171"/>
      <c r="G99" s="171"/>
      <c r="H99" s="171"/>
      <c r="I99" s="171"/>
      <c r="J99" s="171"/>
      <c r="K99" s="171"/>
      <c r="L99" s="171"/>
      <c r="M99" s="171"/>
      <c r="N99" s="171"/>
      <c r="O99" s="171"/>
      <c r="P99" s="171"/>
      <c r="Q99" s="171"/>
      <c r="R99" s="171"/>
      <c r="S99" s="172"/>
    </row>
    <row r="100" spans="1:19" ht="6" customHeight="1" x14ac:dyDescent="0.15"/>
    <row r="101" spans="1:19" ht="18.75" customHeight="1" x14ac:dyDescent="0.15">
      <c r="A101" s="74" t="s">
        <v>120</v>
      </c>
    </row>
    <row r="102" spans="1:19" ht="161.1" customHeight="1" x14ac:dyDescent="0.15">
      <c r="B102" s="183" t="s">
        <v>148</v>
      </c>
      <c r="C102" s="184"/>
      <c r="D102" s="184"/>
      <c r="E102" s="184"/>
      <c r="F102" s="184"/>
      <c r="G102" s="184"/>
      <c r="H102" s="184"/>
      <c r="I102" s="184"/>
      <c r="J102" s="184"/>
      <c r="K102" s="184"/>
      <c r="L102" s="184"/>
      <c r="M102" s="184"/>
      <c r="N102" s="184"/>
      <c r="O102" s="184"/>
      <c r="P102" s="184"/>
      <c r="Q102" s="184"/>
      <c r="R102" s="184"/>
      <c r="S102" s="185"/>
    </row>
    <row r="110" spans="1:19" ht="18" customHeight="1" x14ac:dyDescent="0.15"/>
  </sheetData>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J74:N74"/>
    <mergeCell ref="B74:D74"/>
    <mergeCell ref="J75:N75"/>
    <mergeCell ref="B75:D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K20:S20" xr:uid="{622FF0D6-71C1-4941-9DA6-57B619AC8B07}">
      <formula1>$V$14:$V$16</formula1>
    </dataValidation>
    <dataValidation type="list" allowBlank="1" showInputMessage="1" showErrorMessage="1" sqref="F79:F86 P79:P86 G79:I80 G83:I86 Q83:S86 Q79:S80" xr:uid="{0AAB9CA2-75F6-2045-8C5E-8415EFB5F98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3F88062B-F257-2A49-89CD-C7F3EE726044}">
      <formula1>"学部・学科によって、修了要件は相違する,学部・学科によって、修了要件は相違しない"</formula1>
    </dataValidation>
    <dataValidation type="list" allowBlank="1" showInputMessage="1" showErrorMessage="1" sqref="S32 S43 D32:G32 D43:G43" xr:uid="{884793E3-FF8B-1348-925F-1977E7B96E9E}">
      <formula1>"全学開講,一部開講"</formula1>
    </dataValidation>
    <dataValidation type="list" allowBlank="1" showInputMessage="1" showErrorMessage="1" sqref="G25:I31 Q25:S31 G36:I42 Q36:S42 G47:I53 Q47:S53 G58:I64 Q58:S64 F69:I75 P69:S75" xr:uid="{F59DA576-17A2-5045-8219-9226465D452B}">
      <formula1>"○"</formula1>
    </dataValidation>
  </dataValidations>
  <printOptions horizontalCentered="1"/>
  <pageMargins left="0.25" right="0.25" top="0.75" bottom="0.75" header="0.3" footer="0.3"/>
  <pageSetup paperSize="9" scale="88"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Normal="100" zoomScaleSheetLayoutView="100" workbookViewId="0">
      <selection activeCell="E14" sqref="E14"/>
    </sheetView>
  </sheetViews>
  <sheetFormatPr defaultColWidth="9" defaultRowHeight="18.75" customHeight="1" x14ac:dyDescent="0.15"/>
  <cols>
    <col min="1" max="1" width="2.875" style="1" customWidth="1"/>
    <col min="2" max="2" width="20.875" style="1" customWidth="1"/>
    <col min="3" max="5" width="6.125" style="1" customWidth="1"/>
    <col min="6" max="42" width="4.875" style="1" customWidth="1"/>
    <col min="43" max="43" width="6.625" style="1" customWidth="1"/>
    <col min="44" max="16384" width="9" style="1"/>
  </cols>
  <sheetData>
    <row r="1" spans="1:45" ht="18" customHeight="1" x14ac:dyDescent="0.15">
      <c r="AQ1" s="1" t="s">
        <v>106</v>
      </c>
    </row>
    <row r="2" spans="1:45" ht="18" customHeight="1" x14ac:dyDescent="0.15">
      <c r="K2" s="23"/>
      <c r="Q2" s="23"/>
      <c r="W2" s="23"/>
      <c r="AC2" s="23"/>
      <c r="AI2" s="23"/>
      <c r="AL2" s="23" t="s">
        <v>108</v>
      </c>
      <c r="AM2" s="189" t="str">
        <f>'様式１-1　プログラムを構成する授業科目'!C2</f>
        <v>函館短期大学</v>
      </c>
      <c r="AN2" s="189"/>
      <c r="AO2" s="189"/>
      <c r="AP2" s="189"/>
      <c r="AQ2" s="189"/>
    </row>
    <row r="3" spans="1:45" ht="18" customHeight="1" x14ac:dyDescent="0.15">
      <c r="A3" s="190" t="s">
        <v>47</v>
      </c>
      <c r="B3" s="190"/>
      <c r="C3" s="190"/>
      <c r="D3" s="190"/>
      <c r="E3" s="190"/>
      <c r="F3" s="190"/>
      <c r="G3" s="190"/>
      <c r="H3" s="190"/>
      <c r="I3" s="190"/>
      <c r="J3" s="190"/>
      <c r="K3" s="190"/>
      <c r="L3" s="190"/>
      <c r="M3" s="190"/>
      <c r="N3" s="190"/>
      <c r="O3" s="190"/>
      <c r="P3" s="190"/>
      <c r="Q3" s="190"/>
      <c r="R3" s="190"/>
      <c r="S3" s="190"/>
      <c r="T3" s="190"/>
      <c r="U3" s="190"/>
      <c r="V3" s="190"/>
      <c r="W3" s="190"/>
      <c r="X3" s="190"/>
      <c r="Y3" s="190"/>
      <c r="Z3" s="190"/>
      <c r="AA3" s="190"/>
      <c r="AB3" s="190"/>
      <c r="AC3" s="190"/>
      <c r="AD3" s="190"/>
      <c r="AE3" s="190"/>
      <c r="AF3" s="190"/>
      <c r="AG3" s="190"/>
      <c r="AH3" s="190"/>
      <c r="AI3" s="190"/>
      <c r="AJ3" s="190"/>
      <c r="AK3" s="190"/>
      <c r="AL3" s="190"/>
      <c r="AM3" s="190"/>
      <c r="AN3" s="190"/>
      <c r="AO3" s="190"/>
      <c r="AP3" s="190"/>
      <c r="AQ3" s="190"/>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83</v>
      </c>
      <c r="C5" s="191">
        <v>4</v>
      </c>
      <c r="D5" s="192"/>
      <c r="E5" s="3" t="s">
        <v>52</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81</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93" t="s">
        <v>44</v>
      </c>
      <c r="C9" s="208" t="s">
        <v>86</v>
      </c>
      <c r="D9" s="196" t="s">
        <v>46</v>
      </c>
      <c r="E9" s="199" t="s">
        <v>39</v>
      </c>
      <c r="F9" s="188" t="s">
        <v>85</v>
      </c>
      <c r="G9" s="188"/>
      <c r="H9" s="188"/>
      <c r="I9" s="188"/>
      <c r="J9" s="188"/>
      <c r="K9" s="188"/>
      <c r="L9" s="188" t="s">
        <v>48</v>
      </c>
      <c r="M9" s="188"/>
      <c r="N9" s="188"/>
      <c r="O9" s="188"/>
      <c r="P9" s="188"/>
      <c r="Q9" s="188"/>
      <c r="R9" s="188" t="s">
        <v>49</v>
      </c>
      <c r="S9" s="188"/>
      <c r="T9" s="188"/>
      <c r="U9" s="188"/>
      <c r="V9" s="188"/>
      <c r="W9" s="188"/>
      <c r="X9" s="188" t="s">
        <v>100</v>
      </c>
      <c r="Y9" s="188"/>
      <c r="Z9" s="188"/>
      <c r="AA9" s="188"/>
      <c r="AB9" s="188"/>
      <c r="AC9" s="188"/>
      <c r="AD9" s="188" t="s">
        <v>50</v>
      </c>
      <c r="AE9" s="188"/>
      <c r="AF9" s="188"/>
      <c r="AG9" s="188"/>
      <c r="AH9" s="188"/>
      <c r="AI9" s="188"/>
      <c r="AJ9" s="188" t="s">
        <v>51</v>
      </c>
      <c r="AK9" s="188"/>
      <c r="AL9" s="188"/>
      <c r="AM9" s="188"/>
      <c r="AN9" s="188"/>
      <c r="AO9" s="188"/>
      <c r="AP9" s="202" t="s">
        <v>34</v>
      </c>
      <c r="AQ9" s="205" t="s">
        <v>31</v>
      </c>
      <c r="AS9" s="2"/>
    </row>
    <row r="10" spans="1:45" ht="17.100000000000001" customHeight="1" x14ac:dyDescent="0.15">
      <c r="B10" s="194"/>
      <c r="C10" s="209"/>
      <c r="D10" s="197"/>
      <c r="E10" s="200"/>
      <c r="F10" s="186" t="s">
        <v>96</v>
      </c>
      <c r="G10" s="187"/>
      <c r="H10" s="187"/>
      <c r="I10" s="186" t="s">
        <v>28</v>
      </c>
      <c r="J10" s="187"/>
      <c r="K10" s="187"/>
      <c r="L10" s="186" t="s">
        <v>96</v>
      </c>
      <c r="M10" s="187"/>
      <c r="N10" s="187"/>
      <c r="O10" s="186" t="s">
        <v>28</v>
      </c>
      <c r="P10" s="187"/>
      <c r="Q10" s="187"/>
      <c r="R10" s="186" t="s">
        <v>96</v>
      </c>
      <c r="S10" s="187"/>
      <c r="T10" s="187"/>
      <c r="U10" s="186" t="s">
        <v>28</v>
      </c>
      <c r="V10" s="187"/>
      <c r="W10" s="187"/>
      <c r="X10" s="186" t="s">
        <v>96</v>
      </c>
      <c r="Y10" s="187"/>
      <c r="Z10" s="187"/>
      <c r="AA10" s="186" t="s">
        <v>28</v>
      </c>
      <c r="AB10" s="187"/>
      <c r="AC10" s="187"/>
      <c r="AD10" s="186" t="s">
        <v>96</v>
      </c>
      <c r="AE10" s="187"/>
      <c r="AF10" s="187"/>
      <c r="AG10" s="186" t="s">
        <v>28</v>
      </c>
      <c r="AH10" s="187"/>
      <c r="AI10" s="187"/>
      <c r="AJ10" s="186" t="s">
        <v>96</v>
      </c>
      <c r="AK10" s="187"/>
      <c r="AL10" s="187"/>
      <c r="AM10" s="186" t="s">
        <v>28</v>
      </c>
      <c r="AN10" s="187"/>
      <c r="AO10" s="187"/>
      <c r="AP10" s="203"/>
      <c r="AQ10" s="206"/>
      <c r="AS10" s="2"/>
    </row>
    <row r="11" spans="1:45" ht="18" customHeight="1" x14ac:dyDescent="0.15">
      <c r="B11" s="195"/>
      <c r="C11" s="210"/>
      <c r="D11" s="198"/>
      <c r="E11" s="201"/>
      <c r="F11" s="17" t="s">
        <v>97</v>
      </c>
      <c r="G11" s="18" t="s">
        <v>98</v>
      </c>
      <c r="H11" s="19" t="s">
        <v>99</v>
      </c>
      <c r="I11" s="17" t="s">
        <v>97</v>
      </c>
      <c r="J11" s="18" t="s">
        <v>98</v>
      </c>
      <c r="K11" s="19" t="s">
        <v>99</v>
      </c>
      <c r="L11" s="17" t="s">
        <v>97</v>
      </c>
      <c r="M11" s="18" t="s">
        <v>98</v>
      </c>
      <c r="N11" s="19" t="s">
        <v>99</v>
      </c>
      <c r="O11" s="17" t="s">
        <v>97</v>
      </c>
      <c r="P11" s="18" t="s">
        <v>98</v>
      </c>
      <c r="Q11" s="19" t="s">
        <v>99</v>
      </c>
      <c r="R11" s="17" t="s">
        <v>97</v>
      </c>
      <c r="S11" s="18" t="s">
        <v>98</v>
      </c>
      <c r="T11" s="19" t="s">
        <v>99</v>
      </c>
      <c r="U11" s="17" t="s">
        <v>97</v>
      </c>
      <c r="V11" s="18" t="s">
        <v>98</v>
      </c>
      <c r="W11" s="19" t="s">
        <v>99</v>
      </c>
      <c r="X11" s="17" t="s">
        <v>97</v>
      </c>
      <c r="Y11" s="18" t="s">
        <v>98</v>
      </c>
      <c r="Z11" s="19" t="s">
        <v>99</v>
      </c>
      <c r="AA11" s="17" t="s">
        <v>97</v>
      </c>
      <c r="AB11" s="18" t="s">
        <v>98</v>
      </c>
      <c r="AC11" s="19" t="s">
        <v>99</v>
      </c>
      <c r="AD11" s="17" t="s">
        <v>97</v>
      </c>
      <c r="AE11" s="18" t="s">
        <v>98</v>
      </c>
      <c r="AF11" s="19" t="s">
        <v>99</v>
      </c>
      <c r="AG11" s="17" t="s">
        <v>97</v>
      </c>
      <c r="AH11" s="18" t="s">
        <v>98</v>
      </c>
      <c r="AI11" s="19" t="s">
        <v>99</v>
      </c>
      <c r="AJ11" s="17" t="s">
        <v>97</v>
      </c>
      <c r="AK11" s="18" t="s">
        <v>98</v>
      </c>
      <c r="AL11" s="19" t="s">
        <v>99</v>
      </c>
      <c r="AM11" s="17" t="s">
        <v>97</v>
      </c>
      <c r="AN11" s="18" t="s">
        <v>98</v>
      </c>
      <c r="AO11" s="19" t="s">
        <v>99</v>
      </c>
      <c r="AP11" s="204"/>
      <c r="AQ11" s="207"/>
      <c r="AS11" s="2"/>
    </row>
    <row r="12" spans="1:45" ht="18" customHeight="1" x14ac:dyDescent="0.15">
      <c r="A12" s="6"/>
      <c r="B12" s="11" t="s">
        <v>131</v>
      </c>
      <c r="C12" s="64">
        <v>42</v>
      </c>
      <c r="D12" s="65">
        <v>60</v>
      </c>
      <c r="E12" s="66">
        <v>120</v>
      </c>
      <c r="F12" s="46">
        <f>G12+H12</f>
        <v>2</v>
      </c>
      <c r="G12" s="47">
        <v>0</v>
      </c>
      <c r="H12" s="48">
        <v>2</v>
      </c>
      <c r="I12" s="46">
        <f>J12+K12</f>
        <v>2</v>
      </c>
      <c r="J12" s="47">
        <v>0</v>
      </c>
      <c r="K12" s="48">
        <v>2</v>
      </c>
      <c r="L12" s="46">
        <f>M12+N12</f>
        <v>0</v>
      </c>
      <c r="M12" s="47"/>
      <c r="N12" s="48"/>
      <c r="O12" s="46">
        <f>P12+Q12</f>
        <v>0</v>
      </c>
      <c r="P12" s="47"/>
      <c r="Q12" s="48"/>
      <c r="R12" s="46">
        <f>S12+T12</f>
        <v>0</v>
      </c>
      <c r="S12" s="47"/>
      <c r="T12" s="48"/>
      <c r="U12" s="46">
        <f>V12+W12</f>
        <v>0</v>
      </c>
      <c r="V12" s="47"/>
      <c r="W12" s="48"/>
      <c r="X12" s="46">
        <f>Y12+Z12</f>
        <v>0</v>
      </c>
      <c r="Y12" s="47"/>
      <c r="Z12" s="48"/>
      <c r="AA12" s="46">
        <f>AB12+AC12</f>
        <v>0</v>
      </c>
      <c r="AB12" s="47"/>
      <c r="AC12" s="48"/>
      <c r="AD12" s="46">
        <f>AE12+AF12</f>
        <v>0</v>
      </c>
      <c r="AE12" s="47"/>
      <c r="AF12" s="48"/>
      <c r="AG12" s="46">
        <f>AH12+AI12</f>
        <v>0</v>
      </c>
      <c r="AH12" s="47"/>
      <c r="AI12" s="48"/>
      <c r="AJ12" s="46">
        <f>AK12+AL12</f>
        <v>0</v>
      </c>
      <c r="AK12" s="47"/>
      <c r="AL12" s="48"/>
      <c r="AM12" s="46">
        <f>AN12+AO12</f>
        <v>0</v>
      </c>
      <c r="AN12" s="47"/>
      <c r="AO12" s="48"/>
      <c r="AP12" s="45">
        <f>F12+L12+R12+X12+AD12+AJ12</f>
        <v>2</v>
      </c>
      <c r="AQ12" s="21">
        <f t="shared" ref="AQ12:AQ32" si="0">AP12/E12</f>
        <v>1.6666666666666666E-2</v>
      </c>
    </row>
    <row r="13" spans="1:45" ht="18" customHeight="1" x14ac:dyDescent="0.15">
      <c r="A13" s="6"/>
      <c r="B13" s="12" t="s">
        <v>149</v>
      </c>
      <c r="C13" s="67">
        <v>60</v>
      </c>
      <c r="D13" s="68">
        <v>60</v>
      </c>
      <c r="E13" s="69">
        <v>120</v>
      </c>
      <c r="F13" s="52">
        <f t="shared" ref="F13:F31" si="1">G13+H13</f>
        <v>3</v>
      </c>
      <c r="G13" s="53">
        <v>0</v>
      </c>
      <c r="H13" s="54">
        <v>3</v>
      </c>
      <c r="I13" s="52">
        <f t="shared" ref="I13:I31" si="2">J13+K13</f>
        <v>3</v>
      </c>
      <c r="J13" s="53">
        <v>0</v>
      </c>
      <c r="K13" s="54">
        <v>3</v>
      </c>
      <c r="L13" s="52">
        <f t="shared" ref="L13:L31" si="3">M13+N13</f>
        <v>0</v>
      </c>
      <c r="M13" s="53"/>
      <c r="N13" s="54"/>
      <c r="O13" s="52">
        <f t="shared" ref="O13:O31" si="4">P13+Q13</f>
        <v>0</v>
      </c>
      <c r="P13" s="53"/>
      <c r="Q13" s="54"/>
      <c r="R13" s="52">
        <f t="shared" ref="R13:R31" si="5">S13+T13</f>
        <v>0</v>
      </c>
      <c r="S13" s="53"/>
      <c r="T13" s="54"/>
      <c r="U13" s="52">
        <f t="shared" ref="U13:U31" si="6">V13+W13</f>
        <v>0</v>
      </c>
      <c r="V13" s="53"/>
      <c r="W13" s="54"/>
      <c r="X13" s="52">
        <f t="shared" ref="X13:X31" si="7">Y13+Z13</f>
        <v>0</v>
      </c>
      <c r="Y13" s="53"/>
      <c r="Z13" s="54"/>
      <c r="AA13" s="52">
        <f t="shared" ref="AA13:AA31" si="8">AB13+AC13</f>
        <v>0</v>
      </c>
      <c r="AB13" s="53"/>
      <c r="AC13" s="54"/>
      <c r="AD13" s="52">
        <f t="shared" ref="AD13:AD31" si="9">AE13+AF13</f>
        <v>0</v>
      </c>
      <c r="AE13" s="53"/>
      <c r="AF13" s="54"/>
      <c r="AG13" s="52">
        <f t="shared" ref="AG13:AG31" si="10">AH13+AI13</f>
        <v>0</v>
      </c>
      <c r="AH13" s="53"/>
      <c r="AI13" s="54"/>
      <c r="AJ13" s="52">
        <f t="shared" ref="AJ13:AJ31" si="11">AK13+AL13</f>
        <v>0</v>
      </c>
      <c r="AK13" s="53"/>
      <c r="AL13" s="54"/>
      <c r="AM13" s="52">
        <f t="shared" ref="AM13:AM31" si="12">AN13+AO13</f>
        <v>0</v>
      </c>
      <c r="AN13" s="53"/>
      <c r="AO13" s="54"/>
      <c r="AP13" s="50">
        <f t="shared" ref="AP13:AP31" si="13">F13+L13+R13+X13+AD13+AJ13</f>
        <v>3</v>
      </c>
      <c r="AQ13" s="20">
        <f t="shared" si="0"/>
        <v>2.5000000000000001E-2</v>
      </c>
    </row>
    <row r="14" spans="1:45" ht="18" customHeight="1" x14ac:dyDescent="0.15">
      <c r="A14" s="6"/>
      <c r="B14" s="12"/>
      <c r="C14" s="49"/>
      <c r="D14" s="50"/>
      <c r="E14" s="51"/>
      <c r="F14" s="52">
        <f t="shared" si="1"/>
        <v>0</v>
      </c>
      <c r="G14" s="53"/>
      <c r="H14" s="54"/>
      <c r="I14" s="52">
        <f t="shared" si="2"/>
        <v>0</v>
      </c>
      <c r="J14" s="53"/>
      <c r="K14" s="54"/>
      <c r="L14" s="52">
        <f t="shared" si="3"/>
        <v>0</v>
      </c>
      <c r="M14" s="53"/>
      <c r="N14" s="54"/>
      <c r="O14" s="52">
        <f t="shared" si="4"/>
        <v>0</v>
      </c>
      <c r="P14" s="53"/>
      <c r="Q14" s="54"/>
      <c r="R14" s="52">
        <f t="shared" si="5"/>
        <v>0</v>
      </c>
      <c r="S14" s="53"/>
      <c r="T14" s="54"/>
      <c r="U14" s="52">
        <f t="shared" si="6"/>
        <v>0</v>
      </c>
      <c r="V14" s="53"/>
      <c r="W14" s="54"/>
      <c r="X14" s="52">
        <f t="shared" si="7"/>
        <v>0</v>
      </c>
      <c r="Y14" s="53"/>
      <c r="Z14" s="54"/>
      <c r="AA14" s="52">
        <f t="shared" si="8"/>
        <v>0</v>
      </c>
      <c r="AB14" s="53"/>
      <c r="AC14" s="54"/>
      <c r="AD14" s="52">
        <f t="shared" si="9"/>
        <v>0</v>
      </c>
      <c r="AE14" s="53"/>
      <c r="AF14" s="54"/>
      <c r="AG14" s="52">
        <f t="shared" si="10"/>
        <v>0</v>
      </c>
      <c r="AH14" s="53"/>
      <c r="AI14" s="54"/>
      <c r="AJ14" s="52">
        <f t="shared" si="11"/>
        <v>0</v>
      </c>
      <c r="AK14" s="53"/>
      <c r="AL14" s="54"/>
      <c r="AM14" s="52">
        <f t="shared" si="12"/>
        <v>0</v>
      </c>
      <c r="AN14" s="53"/>
      <c r="AO14" s="54"/>
      <c r="AP14" s="50">
        <f t="shared" si="13"/>
        <v>0</v>
      </c>
      <c r="AQ14" s="8" t="e">
        <f t="shared" si="0"/>
        <v>#DIV/0!</v>
      </c>
    </row>
    <row r="15" spans="1:45" ht="18" customHeight="1" x14ac:dyDescent="0.15">
      <c r="A15" s="6"/>
      <c r="B15" s="12"/>
      <c r="C15" s="49"/>
      <c r="D15" s="50"/>
      <c r="E15" s="51"/>
      <c r="F15" s="52">
        <f t="shared" si="1"/>
        <v>0</v>
      </c>
      <c r="G15" s="53"/>
      <c r="H15" s="54"/>
      <c r="I15" s="52">
        <f t="shared" si="2"/>
        <v>0</v>
      </c>
      <c r="J15" s="53"/>
      <c r="K15" s="54"/>
      <c r="L15" s="52">
        <f t="shared" si="3"/>
        <v>0</v>
      </c>
      <c r="M15" s="53"/>
      <c r="N15" s="54"/>
      <c r="O15" s="52">
        <f t="shared" si="4"/>
        <v>0</v>
      </c>
      <c r="P15" s="53"/>
      <c r="Q15" s="54"/>
      <c r="R15" s="52">
        <f t="shared" si="5"/>
        <v>0</v>
      </c>
      <c r="S15" s="53"/>
      <c r="T15" s="54"/>
      <c r="U15" s="52">
        <f t="shared" si="6"/>
        <v>0</v>
      </c>
      <c r="V15" s="53"/>
      <c r="W15" s="54"/>
      <c r="X15" s="52">
        <f t="shared" si="7"/>
        <v>0</v>
      </c>
      <c r="Y15" s="53"/>
      <c r="Z15" s="54"/>
      <c r="AA15" s="52">
        <f t="shared" si="8"/>
        <v>0</v>
      </c>
      <c r="AB15" s="53"/>
      <c r="AC15" s="54"/>
      <c r="AD15" s="52">
        <f t="shared" si="9"/>
        <v>0</v>
      </c>
      <c r="AE15" s="53"/>
      <c r="AF15" s="54"/>
      <c r="AG15" s="52">
        <f t="shared" si="10"/>
        <v>0</v>
      </c>
      <c r="AH15" s="53"/>
      <c r="AI15" s="54"/>
      <c r="AJ15" s="52">
        <f t="shared" si="11"/>
        <v>0</v>
      </c>
      <c r="AK15" s="53"/>
      <c r="AL15" s="54"/>
      <c r="AM15" s="52">
        <f t="shared" si="12"/>
        <v>0</v>
      </c>
      <c r="AN15" s="53"/>
      <c r="AO15" s="54"/>
      <c r="AP15" s="50">
        <f t="shared" si="13"/>
        <v>0</v>
      </c>
      <c r="AQ15" s="8" t="e">
        <f t="shared" si="0"/>
        <v>#DIV/0!</v>
      </c>
    </row>
    <row r="16" spans="1:45" ht="18" customHeight="1" x14ac:dyDescent="0.15">
      <c r="A16" s="6"/>
      <c r="B16" s="12"/>
      <c r="C16" s="49"/>
      <c r="D16" s="50"/>
      <c r="E16" s="51"/>
      <c r="F16" s="52">
        <f t="shared" si="1"/>
        <v>0</v>
      </c>
      <c r="G16" s="53"/>
      <c r="H16" s="54"/>
      <c r="I16" s="52">
        <f t="shared" si="2"/>
        <v>0</v>
      </c>
      <c r="J16" s="53"/>
      <c r="K16" s="54"/>
      <c r="L16" s="52">
        <f t="shared" si="3"/>
        <v>0</v>
      </c>
      <c r="M16" s="53"/>
      <c r="N16" s="54"/>
      <c r="O16" s="52">
        <f t="shared" si="4"/>
        <v>0</v>
      </c>
      <c r="P16" s="53"/>
      <c r="Q16" s="54"/>
      <c r="R16" s="52">
        <f t="shared" si="5"/>
        <v>0</v>
      </c>
      <c r="S16" s="53"/>
      <c r="T16" s="54"/>
      <c r="U16" s="52">
        <f t="shared" si="6"/>
        <v>0</v>
      </c>
      <c r="V16" s="53"/>
      <c r="W16" s="54"/>
      <c r="X16" s="52">
        <f t="shared" si="7"/>
        <v>0</v>
      </c>
      <c r="Y16" s="53"/>
      <c r="Z16" s="54"/>
      <c r="AA16" s="52">
        <f t="shared" si="8"/>
        <v>0</v>
      </c>
      <c r="AB16" s="53"/>
      <c r="AC16" s="54"/>
      <c r="AD16" s="52">
        <f t="shared" si="9"/>
        <v>0</v>
      </c>
      <c r="AE16" s="53"/>
      <c r="AF16" s="54"/>
      <c r="AG16" s="52">
        <f t="shared" si="10"/>
        <v>0</v>
      </c>
      <c r="AH16" s="53"/>
      <c r="AI16" s="54"/>
      <c r="AJ16" s="52">
        <f t="shared" si="11"/>
        <v>0</v>
      </c>
      <c r="AK16" s="53"/>
      <c r="AL16" s="54"/>
      <c r="AM16" s="52">
        <f t="shared" si="12"/>
        <v>0</v>
      </c>
      <c r="AN16" s="53"/>
      <c r="AO16" s="54"/>
      <c r="AP16" s="50">
        <f t="shared" si="13"/>
        <v>0</v>
      </c>
      <c r="AQ16" s="8" t="e">
        <f t="shared" si="0"/>
        <v>#DIV/0!</v>
      </c>
    </row>
    <row r="17" spans="1:43" ht="18" customHeight="1" x14ac:dyDescent="0.15">
      <c r="A17" s="6"/>
      <c r="B17" s="12"/>
      <c r="C17" s="49"/>
      <c r="D17" s="50"/>
      <c r="E17" s="51"/>
      <c r="F17" s="52">
        <f t="shared" si="1"/>
        <v>0</v>
      </c>
      <c r="G17" s="53"/>
      <c r="H17" s="54"/>
      <c r="I17" s="52">
        <f t="shared" si="2"/>
        <v>0</v>
      </c>
      <c r="J17" s="53"/>
      <c r="K17" s="54"/>
      <c r="L17" s="52">
        <f t="shared" si="3"/>
        <v>0</v>
      </c>
      <c r="M17" s="53"/>
      <c r="N17" s="54"/>
      <c r="O17" s="52">
        <f t="shared" si="4"/>
        <v>0</v>
      </c>
      <c r="P17" s="53"/>
      <c r="Q17" s="54"/>
      <c r="R17" s="52">
        <f t="shared" si="5"/>
        <v>0</v>
      </c>
      <c r="S17" s="53"/>
      <c r="T17" s="54"/>
      <c r="U17" s="52">
        <f t="shared" si="6"/>
        <v>0</v>
      </c>
      <c r="V17" s="53"/>
      <c r="W17" s="54"/>
      <c r="X17" s="52">
        <f t="shared" si="7"/>
        <v>0</v>
      </c>
      <c r="Y17" s="53"/>
      <c r="Z17" s="54"/>
      <c r="AA17" s="52">
        <f t="shared" si="8"/>
        <v>0</v>
      </c>
      <c r="AB17" s="53"/>
      <c r="AC17" s="54"/>
      <c r="AD17" s="52">
        <f t="shared" si="9"/>
        <v>0</v>
      </c>
      <c r="AE17" s="53"/>
      <c r="AF17" s="54"/>
      <c r="AG17" s="52">
        <f t="shared" si="10"/>
        <v>0</v>
      </c>
      <c r="AH17" s="53"/>
      <c r="AI17" s="54"/>
      <c r="AJ17" s="52">
        <f t="shared" si="11"/>
        <v>0</v>
      </c>
      <c r="AK17" s="53"/>
      <c r="AL17" s="54"/>
      <c r="AM17" s="52">
        <f t="shared" si="12"/>
        <v>0</v>
      </c>
      <c r="AN17" s="53"/>
      <c r="AO17" s="54"/>
      <c r="AP17" s="50">
        <f t="shared" si="13"/>
        <v>0</v>
      </c>
      <c r="AQ17" s="8" t="e">
        <f t="shared" si="0"/>
        <v>#DIV/0!</v>
      </c>
    </row>
    <row r="18" spans="1:43" ht="18" customHeight="1" x14ac:dyDescent="0.15">
      <c r="A18" s="6"/>
      <c r="B18" s="12"/>
      <c r="C18" s="49"/>
      <c r="D18" s="50"/>
      <c r="E18" s="51"/>
      <c r="F18" s="52">
        <f t="shared" si="1"/>
        <v>0</v>
      </c>
      <c r="G18" s="53"/>
      <c r="H18" s="54"/>
      <c r="I18" s="52">
        <f t="shared" si="2"/>
        <v>0</v>
      </c>
      <c r="J18" s="53"/>
      <c r="K18" s="54"/>
      <c r="L18" s="52">
        <f t="shared" si="3"/>
        <v>0</v>
      </c>
      <c r="M18" s="53"/>
      <c r="N18" s="54"/>
      <c r="O18" s="52">
        <f t="shared" si="4"/>
        <v>0</v>
      </c>
      <c r="P18" s="53"/>
      <c r="Q18" s="54"/>
      <c r="R18" s="52">
        <f t="shared" si="5"/>
        <v>0</v>
      </c>
      <c r="S18" s="53"/>
      <c r="T18" s="54"/>
      <c r="U18" s="52">
        <f t="shared" si="6"/>
        <v>0</v>
      </c>
      <c r="V18" s="53"/>
      <c r="W18" s="54"/>
      <c r="X18" s="52">
        <f t="shared" si="7"/>
        <v>0</v>
      </c>
      <c r="Y18" s="53"/>
      <c r="Z18" s="54"/>
      <c r="AA18" s="52">
        <f t="shared" si="8"/>
        <v>0</v>
      </c>
      <c r="AB18" s="53"/>
      <c r="AC18" s="54"/>
      <c r="AD18" s="52">
        <f t="shared" si="9"/>
        <v>0</v>
      </c>
      <c r="AE18" s="53"/>
      <c r="AF18" s="54"/>
      <c r="AG18" s="52">
        <f t="shared" si="10"/>
        <v>0</v>
      </c>
      <c r="AH18" s="53"/>
      <c r="AI18" s="54"/>
      <c r="AJ18" s="52">
        <f t="shared" si="11"/>
        <v>0</v>
      </c>
      <c r="AK18" s="53"/>
      <c r="AL18" s="54"/>
      <c r="AM18" s="52">
        <f t="shared" si="12"/>
        <v>0</v>
      </c>
      <c r="AN18" s="53"/>
      <c r="AO18" s="54"/>
      <c r="AP18" s="50">
        <f t="shared" si="13"/>
        <v>0</v>
      </c>
      <c r="AQ18" s="8" t="e">
        <f t="shared" si="0"/>
        <v>#DIV/0!</v>
      </c>
    </row>
    <row r="19" spans="1:43" ht="18" customHeight="1" x14ac:dyDescent="0.15">
      <c r="A19" s="6"/>
      <c r="B19" s="12"/>
      <c r="C19" s="49"/>
      <c r="D19" s="50"/>
      <c r="E19" s="51"/>
      <c r="F19" s="52">
        <f t="shared" si="1"/>
        <v>0</v>
      </c>
      <c r="G19" s="53"/>
      <c r="H19" s="54"/>
      <c r="I19" s="52">
        <f t="shared" si="2"/>
        <v>0</v>
      </c>
      <c r="J19" s="53"/>
      <c r="K19" s="54"/>
      <c r="L19" s="52">
        <f t="shared" si="3"/>
        <v>0</v>
      </c>
      <c r="M19" s="53"/>
      <c r="N19" s="54"/>
      <c r="O19" s="52">
        <f t="shared" si="4"/>
        <v>0</v>
      </c>
      <c r="P19" s="53"/>
      <c r="Q19" s="54"/>
      <c r="R19" s="52">
        <f t="shared" si="5"/>
        <v>0</v>
      </c>
      <c r="S19" s="53"/>
      <c r="T19" s="54"/>
      <c r="U19" s="52">
        <f t="shared" si="6"/>
        <v>0</v>
      </c>
      <c r="V19" s="53"/>
      <c r="W19" s="54"/>
      <c r="X19" s="52">
        <f t="shared" si="7"/>
        <v>0</v>
      </c>
      <c r="Y19" s="53"/>
      <c r="Z19" s="54"/>
      <c r="AA19" s="52">
        <f t="shared" si="8"/>
        <v>0</v>
      </c>
      <c r="AB19" s="53"/>
      <c r="AC19" s="54"/>
      <c r="AD19" s="52">
        <f t="shared" si="9"/>
        <v>0</v>
      </c>
      <c r="AE19" s="53"/>
      <c r="AF19" s="54"/>
      <c r="AG19" s="52">
        <f t="shared" si="10"/>
        <v>0</v>
      </c>
      <c r="AH19" s="53"/>
      <c r="AI19" s="54"/>
      <c r="AJ19" s="52">
        <f t="shared" si="11"/>
        <v>0</v>
      </c>
      <c r="AK19" s="53"/>
      <c r="AL19" s="54"/>
      <c r="AM19" s="52">
        <f t="shared" si="12"/>
        <v>0</v>
      </c>
      <c r="AN19" s="53"/>
      <c r="AO19" s="54"/>
      <c r="AP19" s="50">
        <f t="shared" si="13"/>
        <v>0</v>
      </c>
      <c r="AQ19" s="8" t="e">
        <f t="shared" si="0"/>
        <v>#DIV/0!</v>
      </c>
    </row>
    <row r="20" spans="1:43" ht="18" customHeight="1" x14ac:dyDescent="0.15">
      <c r="A20" s="6"/>
      <c r="B20" s="12"/>
      <c r="C20" s="49"/>
      <c r="D20" s="50"/>
      <c r="E20" s="51"/>
      <c r="F20" s="52">
        <f t="shared" si="1"/>
        <v>0</v>
      </c>
      <c r="G20" s="53"/>
      <c r="H20" s="54"/>
      <c r="I20" s="52">
        <f t="shared" si="2"/>
        <v>0</v>
      </c>
      <c r="J20" s="53"/>
      <c r="K20" s="54"/>
      <c r="L20" s="52">
        <f t="shared" si="3"/>
        <v>0</v>
      </c>
      <c r="M20" s="53"/>
      <c r="N20" s="54"/>
      <c r="O20" s="52">
        <f t="shared" si="4"/>
        <v>0</v>
      </c>
      <c r="P20" s="53"/>
      <c r="Q20" s="54"/>
      <c r="R20" s="52">
        <f t="shared" si="5"/>
        <v>0</v>
      </c>
      <c r="S20" s="53"/>
      <c r="T20" s="54"/>
      <c r="U20" s="52">
        <f t="shared" si="6"/>
        <v>0</v>
      </c>
      <c r="V20" s="53"/>
      <c r="W20" s="54"/>
      <c r="X20" s="52">
        <f t="shared" si="7"/>
        <v>0</v>
      </c>
      <c r="Y20" s="53"/>
      <c r="Z20" s="54"/>
      <c r="AA20" s="52">
        <f t="shared" si="8"/>
        <v>0</v>
      </c>
      <c r="AB20" s="53"/>
      <c r="AC20" s="54"/>
      <c r="AD20" s="52">
        <f t="shared" si="9"/>
        <v>0</v>
      </c>
      <c r="AE20" s="53"/>
      <c r="AF20" s="54"/>
      <c r="AG20" s="52">
        <f t="shared" si="10"/>
        <v>0</v>
      </c>
      <c r="AH20" s="53"/>
      <c r="AI20" s="54"/>
      <c r="AJ20" s="52">
        <f t="shared" si="11"/>
        <v>0</v>
      </c>
      <c r="AK20" s="53"/>
      <c r="AL20" s="54"/>
      <c r="AM20" s="52">
        <f t="shared" si="12"/>
        <v>0</v>
      </c>
      <c r="AN20" s="53"/>
      <c r="AO20" s="54"/>
      <c r="AP20" s="50">
        <f t="shared" si="13"/>
        <v>0</v>
      </c>
      <c r="AQ20" s="8" t="e">
        <f t="shared" si="0"/>
        <v>#DIV/0!</v>
      </c>
    </row>
    <row r="21" spans="1:43" ht="18" customHeight="1" x14ac:dyDescent="0.15">
      <c r="A21" s="6"/>
      <c r="B21" s="12"/>
      <c r="C21" s="49"/>
      <c r="D21" s="50"/>
      <c r="E21" s="51"/>
      <c r="F21" s="52">
        <f t="shared" si="1"/>
        <v>0</v>
      </c>
      <c r="G21" s="53"/>
      <c r="H21" s="54"/>
      <c r="I21" s="52">
        <f t="shared" si="2"/>
        <v>0</v>
      </c>
      <c r="J21" s="53"/>
      <c r="K21" s="54"/>
      <c r="L21" s="52">
        <f t="shared" si="3"/>
        <v>0</v>
      </c>
      <c r="M21" s="53"/>
      <c r="N21" s="54"/>
      <c r="O21" s="52">
        <f t="shared" si="4"/>
        <v>0</v>
      </c>
      <c r="P21" s="53"/>
      <c r="Q21" s="54"/>
      <c r="R21" s="52">
        <f t="shared" si="5"/>
        <v>0</v>
      </c>
      <c r="S21" s="53"/>
      <c r="T21" s="54"/>
      <c r="U21" s="52">
        <f t="shared" si="6"/>
        <v>0</v>
      </c>
      <c r="V21" s="53"/>
      <c r="W21" s="54"/>
      <c r="X21" s="52">
        <f t="shared" si="7"/>
        <v>0</v>
      </c>
      <c r="Y21" s="53"/>
      <c r="Z21" s="54"/>
      <c r="AA21" s="52">
        <f t="shared" si="8"/>
        <v>0</v>
      </c>
      <c r="AB21" s="53"/>
      <c r="AC21" s="54"/>
      <c r="AD21" s="52">
        <f t="shared" si="9"/>
        <v>0</v>
      </c>
      <c r="AE21" s="53"/>
      <c r="AF21" s="54"/>
      <c r="AG21" s="52">
        <f t="shared" si="10"/>
        <v>0</v>
      </c>
      <c r="AH21" s="53"/>
      <c r="AI21" s="54"/>
      <c r="AJ21" s="52">
        <f t="shared" si="11"/>
        <v>0</v>
      </c>
      <c r="AK21" s="53"/>
      <c r="AL21" s="54"/>
      <c r="AM21" s="52">
        <f t="shared" si="12"/>
        <v>0</v>
      </c>
      <c r="AN21" s="53"/>
      <c r="AO21" s="54"/>
      <c r="AP21" s="50">
        <f t="shared" si="13"/>
        <v>0</v>
      </c>
      <c r="AQ21" s="8" t="e">
        <f t="shared" si="0"/>
        <v>#DIV/0!</v>
      </c>
    </row>
    <row r="22" spans="1:43" ht="18" customHeight="1" x14ac:dyDescent="0.15">
      <c r="A22" s="6"/>
      <c r="B22" s="12"/>
      <c r="C22" s="49"/>
      <c r="D22" s="50"/>
      <c r="E22" s="51"/>
      <c r="F22" s="52">
        <f t="shared" si="1"/>
        <v>0</v>
      </c>
      <c r="G22" s="53"/>
      <c r="H22" s="54"/>
      <c r="I22" s="52">
        <f t="shared" si="2"/>
        <v>0</v>
      </c>
      <c r="J22" s="53"/>
      <c r="K22" s="54"/>
      <c r="L22" s="52">
        <f t="shared" si="3"/>
        <v>0</v>
      </c>
      <c r="M22" s="53"/>
      <c r="N22" s="54"/>
      <c r="O22" s="52">
        <f t="shared" si="4"/>
        <v>0</v>
      </c>
      <c r="P22" s="53"/>
      <c r="Q22" s="54"/>
      <c r="R22" s="52">
        <f t="shared" si="5"/>
        <v>0</v>
      </c>
      <c r="S22" s="53"/>
      <c r="T22" s="54"/>
      <c r="U22" s="52">
        <f t="shared" si="6"/>
        <v>0</v>
      </c>
      <c r="V22" s="53"/>
      <c r="W22" s="54"/>
      <c r="X22" s="52">
        <f t="shared" si="7"/>
        <v>0</v>
      </c>
      <c r="Y22" s="53"/>
      <c r="Z22" s="54"/>
      <c r="AA22" s="52">
        <f t="shared" si="8"/>
        <v>0</v>
      </c>
      <c r="AB22" s="53"/>
      <c r="AC22" s="54"/>
      <c r="AD22" s="52">
        <f t="shared" si="9"/>
        <v>0</v>
      </c>
      <c r="AE22" s="53"/>
      <c r="AF22" s="54"/>
      <c r="AG22" s="52">
        <f t="shared" si="10"/>
        <v>0</v>
      </c>
      <c r="AH22" s="53"/>
      <c r="AI22" s="54"/>
      <c r="AJ22" s="52">
        <f t="shared" si="11"/>
        <v>0</v>
      </c>
      <c r="AK22" s="53"/>
      <c r="AL22" s="54"/>
      <c r="AM22" s="52">
        <f t="shared" si="12"/>
        <v>0</v>
      </c>
      <c r="AN22" s="53"/>
      <c r="AO22" s="54"/>
      <c r="AP22" s="50">
        <f t="shared" si="13"/>
        <v>0</v>
      </c>
      <c r="AQ22" s="8" t="e">
        <f t="shared" si="0"/>
        <v>#DIV/0!</v>
      </c>
    </row>
    <row r="23" spans="1:43" ht="18" customHeight="1" x14ac:dyDescent="0.15">
      <c r="A23" s="6"/>
      <c r="B23" s="12"/>
      <c r="C23" s="49"/>
      <c r="D23" s="50"/>
      <c r="E23" s="51"/>
      <c r="F23" s="52">
        <f t="shared" si="1"/>
        <v>0</v>
      </c>
      <c r="G23" s="53"/>
      <c r="H23" s="54"/>
      <c r="I23" s="52">
        <f t="shared" si="2"/>
        <v>0</v>
      </c>
      <c r="J23" s="53"/>
      <c r="K23" s="54"/>
      <c r="L23" s="52">
        <f t="shared" si="3"/>
        <v>0</v>
      </c>
      <c r="M23" s="53"/>
      <c r="N23" s="54"/>
      <c r="O23" s="52">
        <f t="shared" si="4"/>
        <v>0</v>
      </c>
      <c r="P23" s="53"/>
      <c r="Q23" s="54"/>
      <c r="R23" s="52">
        <f t="shared" si="5"/>
        <v>0</v>
      </c>
      <c r="S23" s="53"/>
      <c r="T23" s="54"/>
      <c r="U23" s="52">
        <f t="shared" si="6"/>
        <v>0</v>
      </c>
      <c r="V23" s="53"/>
      <c r="W23" s="54"/>
      <c r="X23" s="52">
        <f t="shared" si="7"/>
        <v>0</v>
      </c>
      <c r="Y23" s="53"/>
      <c r="Z23" s="54"/>
      <c r="AA23" s="52">
        <f t="shared" si="8"/>
        <v>0</v>
      </c>
      <c r="AB23" s="53"/>
      <c r="AC23" s="54"/>
      <c r="AD23" s="52">
        <f t="shared" si="9"/>
        <v>0</v>
      </c>
      <c r="AE23" s="53"/>
      <c r="AF23" s="54"/>
      <c r="AG23" s="52">
        <f t="shared" si="10"/>
        <v>0</v>
      </c>
      <c r="AH23" s="53"/>
      <c r="AI23" s="54"/>
      <c r="AJ23" s="52">
        <f t="shared" si="11"/>
        <v>0</v>
      </c>
      <c r="AK23" s="53"/>
      <c r="AL23" s="54"/>
      <c r="AM23" s="52">
        <f t="shared" si="12"/>
        <v>0</v>
      </c>
      <c r="AN23" s="53"/>
      <c r="AO23" s="54"/>
      <c r="AP23" s="50">
        <f t="shared" si="13"/>
        <v>0</v>
      </c>
      <c r="AQ23" s="8" t="e">
        <f t="shared" si="0"/>
        <v>#DIV/0!</v>
      </c>
    </row>
    <row r="24" spans="1:43" ht="18" customHeight="1" x14ac:dyDescent="0.15">
      <c r="A24" s="6"/>
      <c r="B24" s="12"/>
      <c r="C24" s="49"/>
      <c r="D24" s="50"/>
      <c r="E24" s="51"/>
      <c r="F24" s="52">
        <f t="shared" si="1"/>
        <v>0</v>
      </c>
      <c r="G24" s="53"/>
      <c r="H24" s="54"/>
      <c r="I24" s="52">
        <f t="shared" si="2"/>
        <v>0</v>
      </c>
      <c r="J24" s="53"/>
      <c r="K24" s="54"/>
      <c r="L24" s="52">
        <f t="shared" si="3"/>
        <v>0</v>
      </c>
      <c r="M24" s="53"/>
      <c r="N24" s="54"/>
      <c r="O24" s="52">
        <f t="shared" si="4"/>
        <v>0</v>
      </c>
      <c r="P24" s="53"/>
      <c r="Q24" s="54"/>
      <c r="R24" s="52">
        <f t="shared" si="5"/>
        <v>0</v>
      </c>
      <c r="S24" s="53"/>
      <c r="T24" s="54"/>
      <c r="U24" s="52">
        <f t="shared" si="6"/>
        <v>0</v>
      </c>
      <c r="V24" s="53"/>
      <c r="W24" s="54"/>
      <c r="X24" s="52">
        <f t="shared" si="7"/>
        <v>0</v>
      </c>
      <c r="Y24" s="53"/>
      <c r="Z24" s="54"/>
      <c r="AA24" s="52">
        <f t="shared" si="8"/>
        <v>0</v>
      </c>
      <c r="AB24" s="53"/>
      <c r="AC24" s="54"/>
      <c r="AD24" s="52">
        <f t="shared" si="9"/>
        <v>0</v>
      </c>
      <c r="AE24" s="53"/>
      <c r="AF24" s="54"/>
      <c r="AG24" s="52">
        <f t="shared" si="10"/>
        <v>0</v>
      </c>
      <c r="AH24" s="53"/>
      <c r="AI24" s="54"/>
      <c r="AJ24" s="52">
        <f t="shared" si="11"/>
        <v>0</v>
      </c>
      <c r="AK24" s="53"/>
      <c r="AL24" s="54"/>
      <c r="AM24" s="52">
        <f t="shared" si="12"/>
        <v>0</v>
      </c>
      <c r="AN24" s="53"/>
      <c r="AO24" s="54"/>
      <c r="AP24" s="50">
        <f t="shared" si="13"/>
        <v>0</v>
      </c>
      <c r="AQ24" s="8" t="e">
        <f t="shared" si="0"/>
        <v>#DIV/0!</v>
      </c>
    </row>
    <row r="25" spans="1:43" ht="18" customHeight="1" x14ac:dyDescent="0.15">
      <c r="A25" s="6"/>
      <c r="B25" s="12"/>
      <c r="C25" s="49"/>
      <c r="D25" s="50"/>
      <c r="E25" s="51"/>
      <c r="F25" s="52">
        <f t="shared" si="1"/>
        <v>0</v>
      </c>
      <c r="G25" s="53"/>
      <c r="H25" s="54"/>
      <c r="I25" s="52">
        <f t="shared" si="2"/>
        <v>0</v>
      </c>
      <c r="J25" s="53"/>
      <c r="K25" s="54"/>
      <c r="L25" s="52">
        <f t="shared" si="3"/>
        <v>0</v>
      </c>
      <c r="M25" s="53"/>
      <c r="N25" s="54"/>
      <c r="O25" s="52">
        <f t="shared" si="4"/>
        <v>0</v>
      </c>
      <c r="P25" s="53"/>
      <c r="Q25" s="54"/>
      <c r="R25" s="52">
        <f t="shared" si="5"/>
        <v>0</v>
      </c>
      <c r="S25" s="53"/>
      <c r="T25" s="54"/>
      <c r="U25" s="52">
        <f t="shared" si="6"/>
        <v>0</v>
      </c>
      <c r="V25" s="53"/>
      <c r="W25" s="54"/>
      <c r="X25" s="52">
        <f t="shared" si="7"/>
        <v>0</v>
      </c>
      <c r="Y25" s="53"/>
      <c r="Z25" s="54"/>
      <c r="AA25" s="52">
        <f t="shared" si="8"/>
        <v>0</v>
      </c>
      <c r="AB25" s="53"/>
      <c r="AC25" s="54"/>
      <c r="AD25" s="52">
        <f t="shared" si="9"/>
        <v>0</v>
      </c>
      <c r="AE25" s="53"/>
      <c r="AF25" s="54"/>
      <c r="AG25" s="52">
        <f t="shared" si="10"/>
        <v>0</v>
      </c>
      <c r="AH25" s="53"/>
      <c r="AI25" s="54"/>
      <c r="AJ25" s="52">
        <f t="shared" si="11"/>
        <v>0</v>
      </c>
      <c r="AK25" s="53"/>
      <c r="AL25" s="54"/>
      <c r="AM25" s="52">
        <f t="shared" si="12"/>
        <v>0</v>
      </c>
      <c r="AN25" s="53"/>
      <c r="AO25" s="54"/>
      <c r="AP25" s="50">
        <f t="shared" si="13"/>
        <v>0</v>
      </c>
      <c r="AQ25" s="8" t="e">
        <f t="shared" si="0"/>
        <v>#DIV/0!</v>
      </c>
    </row>
    <row r="26" spans="1:43" ht="18" customHeight="1" x14ac:dyDescent="0.15">
      <c r="A26" s="6"/>
      <c r="B26" s="12"/>
      <c r="C26" s="49"/>
      <c r="D26" s="50"/>
      <c r="E26" s="51"/>
      <c r="F26" s="52">
        <f t="shared" si="1"/>
        <v>0</v>
      </c>
      <c r="G26" s="53"/>
      <c r="H26" s="54"/>
      <c r="I26" s="52">
        <f t="shared" si="2"/>
        <v>0</v>
      </c>
      <c r="J26" s="53"/>
      <c r="K26" s="54"/>
      <c r="L26" s="52">
        <f t="shared" si="3"/>
        <v>0</v>
      </c>
      <c r="M26" s="53"/>
      <c r="N26" s="54"/>
      <c r="O26" s="52">
        <f t="shared" si="4"/>
        <v>0</v>
      </c>
      <c r="P26" s="53"/>
      <c r="Q26" s="54"/>
      <c r="R26" s="52">
        <f t="shared" si="5"/>
        <v>0</v>
      </c>
      <c r="S26" s="53"/>
      <c r="T26" s="54"/>
      <c r="U26" s="52">
        <f t="shared" si="6"/>
        <v>0</v>
      </c>
      <c r="V26" s="53"/>
      <c r="W26" s="54"/>
      <c r="X26" s="52">
        <f t="shared" si="7"/>
        <v>0</v>
      </c>
      <c r="Y26" s="53"/>
      <c r="Z26" s="54"/>
      <c r="AA26" s="52">
        <f t="shared" si="8"/>
        <v>0</v>
      </c>
      <c r="AB26" s="53"/>
      <c r="AC26" s="54"/>
      <c r="AD26" s="52">
        <f t="shared" si="9"/>
        <v>0</v>
      </c>
      <c r="AE26" s="53"/>
      <c r="AF26" s="54"/>
      <c r="AG26" s="52">
        <f t="shared" si="10"/>
        <v>0</v>
      </c>
      <c r="AH26" s="53"/>
      <c r="AI26" s="54"/>
      <c r="AJ26" s="52">
        <f t="shared" si="11"/>
        <v>0</v>
      </c>
      <c r="AK26" s="53"/>
      <c r="AL26" s="54"/>
      <c r="AM26" s="52">
        <f t="shared" si="12"/>
        <v>0</v>
      </c>
      <c r="AN26" s="53"/>
      <c r="AO26" s="54"/>
      <c r="AP26" s="50">
        <f t="shared" si="13"/>
        <v>0</v>
      </c>
      <c r="AQ26" s="8" t="e">
        <f t="shared" si="0"/>
        <v>#DIV/0!</v>
      </c>
    </row>
    <row r="27" spans="1:43" ht="18" customHeight="1" x14ac:dyDescent="0.15">
      <c r="A27" s="6"/>
      <c r="B27" s="12"/>
      <c r="C27" s="49"/>
      <c r="D27" s="50"/>
      <c r="E27" s="51"/>
      <c r="F27" s="52">
        <f t="shared" si="1"/>
        <v>0</v>
      </c>
      <c r="G27" s="53"/>
      <c r="H27" s="54"/>
      <c r="I27" s="52">
        <f t="shared" si="2"/>
        <v>0</v>
      </c>
      <c r="J27" s="53"/>
      <c r="K27" s="54"/>
      <c r="L27" s="52">
        <f t="shared" si="3"/>
        <v>0</v>
      </c>
      <c r="M27" s="53"/>
      <c r="N27" s="54"/>
      <c r="O27" s="52">
        <f t="shared" si="4"/>
        <v>0</v>
      </c>
      <c r="P27" s="53"/>
      <c r="Q27" s="54"/>
      <c r="R27" s="52">
        <f t="shared" si="5"/>
        <v>0</v>
      </c>
      <c r="S27" s="53"/>
      <c r="T27" s="54"/>
      <c r="U27" s="52">
        <f t="shared" si="6"/>
        <v>0</v>
      </c>
      <c r="V27" s="53"/>
      <c r="W27" s="54"/>
      <c r="X27" s="52">
        <f t="shared" si="7"/>
        <v>0</v>
      </c>
      <c r="Y27" s="53"/>
      <c r="Z27" s="54"/>
      <c r="AA27" s="52">
        <f t="shared" si="8"/>
        <v>0</v>
      </c>
      <c r="AB27" s="53"/>
      <c r="AC27" s="54"/>
      <c r="AD27" s="52">
        <f t="shared" si="9"/>
        <v>0</v>
      </c>
      <c r="AE27" s="53"/>
      <c r="AF27" s="54"/>
      <c r="AG27" s="52">
        <f t="shared" si="10"/>
        <v>0</v>
      </c>
      <c r="AH27" s="53"/>
      <c r="AI27" s="54"/>
      <c r="AJ27" s="52">
        <f t="shared" si="11"/>
        <v>0</v>
      </c>
      <c r="AK27" s="53"/>
      <c r="AL27" s="54"/>
      <c r="AM27" s="52">
        <f t="shared" si="12"/>
        <v>0</v>
      </c>
      <c r="AN27" s="53"/>
      <c r="AO27" s="54"/>
      <c r="AP27" s="50">
        <f t="shared" si="13"/>
        <v>0</v>
      </c>
      <c r="AQ27" s="8" t="e">
        <f t="shared" si="0"/>
        <v>#DIV/0!</v>
      </c>
    </row>
    <row r="28" spans="1:43" ht="18" customHeight="1" x14ac:dyDescent="0.15">
      <c r="A28" s="6"/>
      <c r="B28" s="12"/>
      <c r="C28" s="49"/>
      <c r="D28" s="50"/>
      <c r="E28" s="51"/>
      <c r="F28" s="52">
        <f t="shared" si="1"/>
        <v>0</v>
      </c>
      <c r="G28" s="53"/>
      <c r="H28" s="54"/>
      <c r="I28" s="52">
        <f t="shared" si="2"/>
        <v>0</v>
      </c>
      <c r="J28" s="53"/>
      <c r="K28" s="54"/>
      <c r="L28" s="52">
        <f t="shared" si="3"/>
        <v>0</v>
      </c>
      <c r="M28" s="53"/>
      <c r="N28" s="54"/>
      <c r="O28" s="52">
        <f t="shared" si="4"/>
        <v>0</v>
      </c>
      <c r="P28" s="53"/>
      <c r="Q28" s="54"/>
      <c r="R28" s="52">
        <f t="shared" si="5"/>
        <v>0</v>
      </c>
      <c r="S28" s="53"/>
      <c r="T28" s="54"/>
      <c r="U28" s="52">
        <f t="shared" si="6"/>
        <v>0</v>
      </c>
      <c r="V28" s="53"/>
      <c r="W28" s="54"/>
      <c r="X28" s="52">
        <f t="shared" si="7"/>
        <v>0</v>
      </c>
      <c r="Y28" s="53"/>
      <c r="Z28" s="54"/>
      <c r="AA28" s="52">
        <f t="shared" si="8"/>
        <v>0</v>
      </c>
      <c r="AB28" s="53"/>
      <c r="AC28" s="54"/>
      <c r="AD28" s="52">
        <f t="shared" si="9"/>
        <v>0</v>
      </c>
      <c r="AE28" s="53"/>
      <c r="AF28" s="54"/>
      <c r="AG28" s="52">
        <f t="shared" si="10"/>
        <v>0</v>
      </c>
      <c r="AH28" s="53"/>
      <c r="AI28" s="54"/>
      <c r="AJ28" s="52">
        <f t="shared" si="11"/>
        <v>0</v>
      </c>
      <c r="AK28" s="53"/>
      <c r="AL28" s="54"/>
      <c r="AM28" s="52">
        <f t="shared" si="12"/>
        <v>0</v>
      </c>
      <c r="AN28" s="53"/>
      <c r="AO28" s="54"/>
      <c r="AP28" s="50">
        <f t="shared" si="13"/>
        <v>0</v>
      </c>
      <c r="AQ28" s="8" t="e">
        <f t="shared" si="0"/>
        <v>#DIV/0!</v>
      </c>
    </row>
    <row r="29" spans="1:43" ht="18" customHeight="1" x14ac:dyDescent="0.15">
      <c r="A29" s="6"/>
      <c r="B29" s="12"/>
      <c r="C29" s="49"/>
      <c r="D29" s="55"/>
      <c r="E29" s="51"/>
      <c r="F29" s="52">
        <f t="shared" si="1"/>
        <v>0</v>
      </c>
      <c r="G29" s="53"/>
      <c r="H29" s="54"/>
      <c r="I29" s="52">
        <f t="shared" si="2"/>
        <v>0</v>
      </c>
      <c r="J29" s="53"/>
      <c r="K29" s="54"/>
      <c r="L29" s="52">
        <f t="shared" si="3"/>
        <v>0</v>
      </c>
      <c r="M29" s="53"/>
      <c r="N29" s="54"/>
      <c r="O29" s="52">
        <f t="shared" si="4"/>
        <v>0</v>
      </c>
      <c r="P29" s="53"/>
      <c r="Q29" s="54"/>
      <c r="R29" s="52">
        <f t="shared" si="5"/>
        <v>0</v>
      </c>
      <c r="S29" s="53"/>
      <c r="T29" s="54"/>
      <c r="U29" s="52">
        <f t="shared" si="6"/>
        <v>0</v>
      </c>
      <c r="V29" s="53"/>
      <c r="W29" s="54"/>
      <c r="X29" s="52">
        <f t="shared" si="7"/>
        <v>0</v>
      </c>
      <c r="Y29" s="53"/>
      <c r="Z29" s="54"/>
      <c r="AA29" s="52">
        <f t="shared" si="8"/>
        <v>0</v>
      </c>
      <c r="AB29" s="53"/>
      <c r="AC29" s="54"/>
      <c r="AD29" s="52">
        <f t="shared" si="9"/>
        <v>0</v>
      </c>
      <c r="AE29" s="53"/>
      <c r="AF29" s="54"/>
      <c r="AG29" s="52">
        <f t="shared" si="10"/>
        <v>0</v>
      </c>
      <c r="AH29" s="53"/>
      <c r="AI29" s="54"/>
      <c r="AJ29" s="52">
        <f t="shared" si="11"/>
        <v>0</v>
      </c>
      <c r="AK29" s="53"/>
      <c r="AL29" s="54"/>
      <c r="AM29" s="52">
        <f t="shared" si="12"/>
        <v>0</v>
      </c>
      <c r="AN29" s="53"/>
      <c r="AO29" s="54"/>
      <c r="AP29" s="55">
        <f t="shared" si="13"/>
        <v>0</v>
      </c>
      <c r="AQ29" s="8" t="e">
        <f t="shared" si="0"/>
        <v>#DIV/0!</v>
      </c>
    </row>
    <row r="30" spans="1:43" ht="18" customHeight="1" x14ac:dyDescent="0.15">
      <c r="A30" s="6"/>
      <c r="B30" s="12"/>
      <c r="C30" s="49"/>
      <c r="D30" s="55"/>
      <c r="E30" s="51"/>
      <c r="F30" s="52">
        <f t="shared" si="1"/>
        <v>0</v>
      </c>
      <c r="G30" s="53"/>
      <c r="H30" s="54"/>
      <c r="I30" s="52">
        <f t="shared" si="2"/>
        <v>0</v>
      </c>
      <c r="J30" s="53"/>
      <c r="K30" s="54"/>
      <c r="L30" s="52">
        <f t="shared" si="3"/>
        <v>0</v>
      </c>
      <c r="M30" s="53"/>
      <c r="N30" s="54"/>
      <c r="O30" s="52">
        <f t="shared" si="4"/>
        <v>0</v>
      </c>
      <c r="P30" s="53"/>
      <c r="Q30" s="54"/>
      <c r="R30" s="52">
        <f t="shared" si="5"/>
        <v>0</v>
      </c>
      <c r="S30" s="53"/>
      <c r="T30" s="54"/>
      <c r="U30" s="52">
        <f t="shared" si="6"/>
        <v>0</v>
      </c>
      <c r="V30" s="53"/>
      <c r="W30" s="54"/>
      <c r="X30" s="52">
        <f t="shared" si="7"/>
        <v>0</v>
      </c>
      <c r="Y30" s="53"/>
      <c r="Z30" s="54"/>
      <c r="AA30" s="52">
        <f t="shared" si="8"/>
        <v>0</v>
      </c>
      <c r="AB30" s="53"/>
      <c r="AC30" s="54"/>
      <c r="AD30" s="52">
        <f t="shared" si="9"/>
        <v>0</v>
      </c>
      <c r="AE30" s="53"/>
      <c r="AF30" s="54"/>
      <c r="AG30" s="52">
        <f t="shared" si="10"/>
        <v>0</v>
      </c>
      <c r="AH30" s="53"/>
      <c r="AI30" s="54"/>
      <c r="AJ30" s="52">
        <f t="shared" si="11"/>
        <v>0</v>
      </c>
      <c r="AK30" s="53"/>
      <c r="AL30" s="54"/>
      <c r="AM30" s="52">
        <f t="shared" si="12"/>
        <v>0</v>
      </c>
      <c r="AN30" s="53"/>
      <c r="AO30" s="54"/>
      <c r="AP30" s="55">
        <f t="shared" si="13"/>
        <v>0</v>
      </c>
      <c r="AQ30" s="8" t="e">
        <f t="shared" si="0"/>
        <v>#DIV/0!</v>
      </c>
    </row>
    <row r="31" spans="1:43" ht="18" customHeight="1" thickBot="1" x14ac:dyDescent="0.2">
      <c r="A31" s="6"/>
      <c r="B31" s="13"/>
      <c r="C31" s="44"/>
      <c r="D31" s="56"/>
      <c r="E31" s="46"/>
      <c r="F31" s="46">
        <f t="shared" si="1"/>
        <v>0</v>
      </c>
      <c r="G31" s="57"/>
      <c r="H31" s="58"/>
      <c r="I31" s="46">
        <f t="shared" si="2"/>
        <v>0</v>
      </c>
      <c r="J31" s="57"/>
      <c r="K31" s="58"/>
      <c r="L31" s="46">
        <f t="shared" si="3"/>
        <v>0</v>
      </c>
      <c r="M31" s="57"/>
      <c r="N31" s="58"/>
      <c r="O31" s="46">
        <f t="shared" si="4"/>
        <v>0</v>
      </c>
      <c r="P31" s="57"/>
      <c r="Q31" s="58"/>
      <c r="R31" s="46">
        <f t="shared" si="5"/>
        <v>0</v>
      </c>
      <c r="S31" s="57"/>
      <c r="T31" s="58"/>
      <c r="U31" s="46">
        <f t="shared" si="6"/>
        <v>0</v>
      </c>
      <c r="V31" s="57"/>
      <c r="W31" s="58"/>
      <c r="X31" s="46">
        <f t="shared" si="7"/>
        <v>0</v>
      </c>
      <c r="Y31" s="57"/>
      <c r="Z31" s="58"/>
      <c r="AA31" s="46">
        <f t="shared" si="8"/>
        <v>0</v>
      </c>
      <c r="AB31" s="57"/>
      <c r="AC31" s="58"/>
      <c r="AD31" s="46">
        <f t="shared" si="9"/>
        <v>0</v>
      </c>
      <c r="AE31" s="57"/>
      <c r="AF31" s="58"/>
      <c r="AG31" s="46">
        <f t="shared" si="10"/>
        <v>0</v>
      </c>
      <c r="AH31" s="57"/>
      <c r="AI31" s="58"/>
      <c r="AJ31" s="46">
        <f t="shared" si="11"/>
        <v>0</v>
      </c>
      <c r="AK31" s="57"/>
      <c r="AL31" s="58"/>
      <c r="AM31" s="46">
        <f t="shared" si="12"/>
        <v>0</v>
      </c>
      <c r="AN31" s="57"/>
      <c r="AO31" s="58"/>
      <c r="AP31" s="56">
        <f t="shared" si="13"/>
        <v>0</v>
      </c>
      <c r="AQ31" s="7" t="e">
        <f t="shared" si="0"/>
        <v>#DIV/0!</v>
      </c>
    </row>
    <row r="32" spans="1:43" ht="18" customHeight="1" thickTop="1" x14ac:dyDescent="0.15">
      <c r="B32" s="14" t="s">
        <v>32</v>
      </c>
      <c r="C32" s="59">
        <f t="shared" ref="C32" si="14">SUM(C12:C31)</f>
        <v>102</v>
      </c>
      <c r="D32" s="60">
        <f t="shared" ref="D32:AP32" si="15">SUM(D12:D31)</f>
        <v>120</v>
      </c>
      <c r="E32" s="61">
        <f t="shared" si="15"/>
        <v>240</v>
      </c>
      <c r="F32" s="61">
        <f t="shared" si="15"/>
        <v>5</v>
      </c>
      <c r="G32" s="62">
        <f t="shared" si="15"/>
        <v>0</v>
      </c>
      <c r="H32" s="63">
        <f t="shared" si="15"/>
        <v>5</v>
      </c>
      <c r="I32" s="61">
        <f t="shared" ref="I32:N32" si="16">SUM(I12:I31)</f>
        <v>5</v>
      </c>
      <c r="J32" s="62">
        <f t="shared" si="16"/>
        <v>0</v>
      </c>
      <c r="K32" s="63">
        <f t="shared" si="16"/>
        <v>5</v>
      </c>
      <c r="L32" s="61">
        <f t="shared" si="16"/>
        <v>0</v>
      </c>
      <c r="M32" s="62">
        <f t="shared" si="16"/>
        <v>0</v>
      </c>
      <c r="N32" s="63">
        <f t="shared" si="16"/>
        <v>0</v>
      </c>
      <c r="O32" s="61">
        <f t="shared" ref="O32:T32" si="17">SUM(O12:O31)</f>
        <v>0</v>
      </c>
      <c r="P32" s="62">
        <f t="shared" si="17"/>
        <v>0</v>
      </c>
      <c r="Q32" s="63">
        <f t="shared" si="17"/>
        <v>0</v>
      </c>
      <c r="R32" s="61">
        <f t="shared" si="17"/>
        <v>0</v>
      </c>
      <c r="S32" s="62">
        <f t="shared" si="17"/>
        <v>0</v>
      </c>
      <c r="T32" s="63">
        <f t="shared" si="17"/>
        <v>0</v>
      </c>
      <c r="U32" s="61">
        <f t="shared" ref="U32:AI32" si="18">SUM(U12:U31)</f>
        <v>0</v>
      </c>
      <c r="V32" s="62">
        <f t="shared" si="18"/>
        <v>0</v>
      </c>
      <c r="W32" s="63">
        <f t="shared" si="18"/>
        <v>0</v>
      </c>
      <c r="X32" s="61">
        <f t="shared" si="18"/>
        <v>0</v>
      </c>
      <c r="Y32" s="62">
        <f t="shared" si="18"/>
        <v>0</v>
      </c>
      <c r="Z32" s="63">
        <f t="shared" si="18"/>
        <v>0</v>
      </c>
      <c r="AA32" s="61">
        <f t="shared" si="18"/>
        <v>0</v>
      </c>
      <c r="AB32" s="62">
        <f t="shared" si="18"/>
        <v>0</v>
      </c>
      <c r="AC32" s="63">
        <f t="shared" si="18"/>
        <v>0</v>
      </c>
      <c r="AD32" s="61">
        <f t="shared" si="18"/>
        <v>0</v>
      </c>
      <c r="AE32" s="62">
        <f t="shared" si="18"/>
        <v>0</v>
      </c>
      <c r="AF32" s="63">
        <f t="shared" si="18"/>
        <v>0</v>
      </c>
      <c r="AG32" s="61">
        <f t="shared" si="18"/>
        <v>0</v>
      </c>
      <c r="AH32" s="62">
        <f t="shared" si="18"/>
        <v>0</v>
      </c>
      <c r="AI32" s="63">
        <f t="shared" si="18"/>
        <v>0</v>
      </c>
      <c r="AJ32" s="61">
        <f t="shared" ref="AJ32:AO32" si="19">SUM(AJ12:AJ31)</f>
        <v>0</v>
      </c>
      <c r="AK32" s="62">
        <f t="shared" si="19"/>
        <v>0</v>
      </c>
      <c r="AL32" s="63">
        <f t="shared" si="19"/>
        <v>0</v>
      </c>
      <c r="AM32" s="61">
        <f t="shared" si="19"/>
        <v>0</v>
      </c>
      <c r="AN32" s="62">
        <f t="shared" si="19"/>
        <v>0</v>
      </c>
      <c r="AO32" s="63">
        <f t="shared" si="19"/>
        <v>0</v>
      </c>
      <c r="AP32" s="60">
        <f t="shared" si="15"/>
        <v>5</v>
      </c>
      <c r="AQ32" s="9">
        <f t="shared" si="0"/>
        <v>2.0833333333333332E-2</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B35" sqref="B35:I46"/>
    </sheetView>
  </sheetViews>
  <sheetFormatPr defaultColWidth="11.375" defaultRowHeight="18.75" customHeight="1" x14ac:dyDescent="0.15"/>
  <cols>
    <col min="1" max="1" width="2.875" style="25" customWidth="1"/>
    <col min="2" max="2" width="16.625" style="1" customWidth="1"/>
    <col min="3" max="3" width="8.87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5" t="s">
        <v>64</v>
      </c>
      <c r="I1" s="23" t="s">
        <v>105</v>
      </c>
    </row>
    <row r="2" spans="1:9" ht="18.75" customHeight="1" x14ac:dyDescent="0.15">
      <c r="G2" s="23" t="s">
        <v>108</v>
      </c>
      <c r="H2" s="248" t="str">
        <f>'様式１-1　プログラムを構成する授業科目'!C2</f>
        <v>函館短期大学</v>
      </c>
      <c r="I2" s="249"/>
    </row>
    <row r="3" spans="1:9" ht="18.75" customHeight="1" x14ac:dyDescent="0.15">
      <c r="G3" s="23"/>
      <c r="H3" s="10"/>
      <c r="I3" s="10"/>
    </row>
    <row r="4" spans="1:9" ht="18.600000000000001" customHeight="1" x14ac:dyDescent="0.15">
      <c r="A4" s="190" t="s">
        <v>35</v>
      </c>
      <c r="B4" s="190"/>
      <c r="C4" s="190"/>
      <c r="D4" s="190"/>
      <c r="E4" s="190"/>
      <c r="F4" s="190"/>
      <c r="G4" s="190"/>
      <c r="H4" s="190"/>
      <c r="I4" s="190"/>
    </row>
    <row r="5" spans="1:9" ht="13.35" customHeight="1" x14ac:dyDescent="0.15">
      <c r="B5" s="3"/>
      <c r="C5" s="3"/>
      <c r="D5" s="3"/>
      <c r="E5" s="3"/>
      <c r="F5" s="3"/>
      <c r="G5" s="3"/>
      <c r="H5" s="3"/>
      <c r="I5" s="3"/>
    </row>
    <row r="6" spans="1:9" ht="18" customHeight="1" x14ac:dyDescent="0.15">
      <c r="A6" s="1" t="s">
        <v>0</v>
      </c>
      <c r="B6" s="10" t="s">
        <v>90</v>
      </c>
      <c r="C6" s="270" t="s">
        <v>91</v>
      </c>
      <c r="D6" s="270"/>
      <c r="E6" s="71">
        <v>16</v>
      </c>
      <c r="F6" s="72" t="s">
        <v>1</v>
      </c>
      <c r="G6" s="72" t="s">
        <v>2</v>
      </c>
      <c r="H6" s="71">
        <v>53</v>
      </c>
      <c r="I6" s="10" t="s">
        <v>1</v>
      </c>
    </row>
    <row r="7" spans="1:9" ht="12" customHeight="1" x14ac:dyDescent="0.15">
      <c r="C7" s="2"/>
      <c r="D7" s="2"/>
      <c r="E7" s="73"/>
      <c r="F7" s="73"/>
      <c r="G7" s="73"/>
      <c r="H7" s="73"/>
      <c r="I7" s="26"/>
    </row>
    <row r="8" spans="1:9" ht="18" customHeight="1" x14ac:dyDescent="0.15">
      <c r="A8" s="1" t="s">
        <v>3</v>
      </c>
      <c r="B8" s="10" t="s">
        <v>92</v>
      </c>
      <c r="E8" s="72"/>
      <c r="F8" s="72"/>
      <c r="G8" s="72"/>
      <c r="H8" s="71">
        <v>9</v>
      </c>
      <c r="I8" s="10" t="s">
        <v>1</v>
      </c>
    </row>
    <row r="9" spans="1:9" ht="9" customHeight="1" x14ac:dyDescent="0.15">
      <c r="B9" s="3"/>
      <c r="C9" s="3"/>
      <c r="D9" s="3"/>
      <c r="E9" s="3"/>
      <c r="F9" s="3"/>
      <c r="G9" s="3"/>
      <c r="H9" s="3"/>
      <c r="I9" s="3"/>
    </row>
    <row r="10" spans="1:9" ht="18" customHeight="1" x14ac:dyDescent="0.15">
      <c r="A10" s="1" t="s">
        <v>4</v>
      </c>
      <c r="B10" s="10" t="s">
        <v>93</v>
      </c>
      <c r="C10" s="3"/>
      <c r="D10" s="3"/>
      <c r="E10" s="3"/>
      <c r="F10" s="3"/>
      <c r="G10" s="3"/>
      <c r="H10" s="3"/>
      <c r="I10" s="3"/>
    </row>
    <row r="11" spans="1:9" ht="18" customHeight="1" x14ac:dyDescent="0.15">
      <c r="B11" s="23" t="s">
        <v>42</v>
      </c>
      <c r="C11" s="265" t="s">
        <v>150</v>
      </c>
      <c r="D11" s="268"/>
      <c r="E11" s="269"/>
      <c r="F11" s="26"/>
      <c r="G11" s="23" t="s">
        <v>10</v>
      </c>
      <c r="H11" s="265" t="s">
        <v>151</v>
      </c>
      <c r="I11" s="269"/>
    </row>
    <row r="12" spans="1:9" ht="10.35" customHeight="1" x14ac:dyDescent="0.15">
      <c r="B12" s="23"/>
      <c r="C12" s="10"/>
      <c r="D12" s="26"/>
      <c r="E12" s="26"/>
      <c r="F12" s="26"/>
      <c r="G12" s="23"/>
      <c r="H12" s="10"/>
      <c r="I12" s="26"/>
    </row>
    <row r="13" spans="1:9" ht="18" customHeight="1" x14ac:dyDescent="0.15">
      <c r="A13" s="1" t="s">
        <v>7</v>
      </c>
      <c r="B13" s="10" t="s">
        <v>87</v>
      </c>
      <c r="C13" s="3"/>
      <c r="D13" s="3"/>
      <c r="E13" s="3"/>
      <c r="F13" s="3"/>
      <c r="G13" s="3"/>
      <c r="H13" s="3"/>
      <c r="I13" s="3"/>
    </row>
    <row r="14" spans="1:9" ht="18" customHeight="1" x14ac:dyDescent="0.15">
      <c r="B14" s="265" t="s">
        <v>168</v>
      </c>
      <c r="C14" s="266"/>
      <c r="D14" s="266"/>
      <c r="E14" s="266"/>
      <c r="F14" s="266"/>
      <c r="G14" s="266"/>
      <c r="H14" s="266"/>
      <c r="I14" s="267"/>
    </row>
    <row r="15" spans="1:9" ht="9" customHeight="1" x14ac:dyDescent="0.15">
      <c r="B15" s="3"/>
      <c r="C15" s="3"/>
      <c r="D15" s="3"/>
      <c r="E15" s="3"/>
      <c r="F15" s="3"/>
      <c r="G15" s="3"/>
      <c r="H15" s="3"/>
      <c r="I15" s="3"/>
    </row>
    <row r="16" spans="1:9" ht="18" customHeight="1" x14ac:dyDescent="0.15">
      <c r="B16" s="23" t="s">
        <v>42</v>
      </c>
      <c r="C16" s="265" t="s">
        <v>169</v>
      </c>
      <c r="D16" s="268"/>
      <c r="E16" s="269"/>
      <c r="F16" s="26"/>
      <c r="G16" s="23" t="s">
        <v>10</v>
      </c>
      <c r="H16" s="265" t="s">
        <v>170</v>
      </c>
      <c r="I16" s="269"/>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250" t="s">
        <v>152</v>
      </c>
      <c r="C19" s="251"/>
      <c r="D19" s="251"/>
      <c r="E19" s="251"/>
      <c r="F19" s="251"/>
      <c r="G19" s="251"/>
      <c r="H19" s="251"/>
      <c r="I19" s="252"/>
    </row>
    <row r="20" spans="1:9" ht="7.5" customHeight="1" x14ac:dyDescent="0.15">
      <c r="B20" s="3"/>
      <c r="C20" s="3"/>
      <c r="D20" s="3"/>
      <c r="E20" s="3"/>
      <c r="F20" s="3"/>
      <c r="G20" s="3"/>
      <c r="H20" s="3"/>
      <c r="I20" s="3"/>
    </row>
    <row r="21" spans="1:9" ht="18.75" customHeight="1" x14ac:dyDescent="0.15">
      <c r="A21" s="1" t="s">
        <v>8</v>
      </c>
      <c r="B21" s="1" t="s">
        <v>24</v>
      </c>
    </row>
    <row r="22" spans="1:9" ht="18.75" customHeight="1" x14ac:dyDescent="0.15">
      <c r="A22" s="15"/>
      <c r="B22" s="253" t="s">
        <v>172</v>
      </c>
      <c r="C22" s="254"/>
      <c r="D22" s="254"/>
      <c r="E22" s="254"/>
      <c r="F22" s="254"/>
      <c r="G22" s="254"/>
      <c r="H22" s="254"/>
      <c r="I22" s="255"/>
    </row>
    <row r="23" spans="1:9" ht="18.75" customHeight="1" x14ac:dyDescent="0.15">
      <c r="A23" s="15"/>
      <c r="B23" s="256"/>
      <c r="C23" s="257"/>
      <c r="D23" s="257"/>
      <c r="E23" s="257"/>
      <c r="F23" s="257"/>
      <c r="G23" s="257"/>
      <c r="H23" s="257"/>
      <c r="I23" s="258"/>
    </row>
    <row r="24" spans="1:9" ht="18.75" customHeight="1" x14ac:dyDescent="0.15">
      <c r="A24" s="15"/>
      <c r="B24" s="256"/>
      <c r="C24" s="257"/>
      <c r="D24" s="257"/>
      <c r="E24" s="257"/>
      <c r="F24" s="257"/>
      <c r="G24" s="257"/>
      <c r="H24" s="257"/>
      <c r="I24" s="258"/>
    </row>
    <row r="25" spans="1:9" ht="18.75" customHeight="1" x14ac:dyDescent="0.15">
      <c r="A25" s="15"/>
      <c r="B25" s="256"/>
      <c r="C25" s="257"/>
      <c r="D25" s="257"/>
      <c r="E25" s="257"/>
      <c r="F25" s="257"/>
      <c r="G25" s="257"/>
      <c r="H25" s="257"/>
      <c r="I25" s="258"/>
    </row>
    <row r="26" spans="1:9" ht="18.75" customHeight="1" x14ac:dyDescent="0.15">
      <c r="A26" s="15"/>
      <c r="B26" s="256"/>
      <c r="C26" s="257"/>
      <c r="D26" s="257"/>
      <c r="E26" s="257"/>
      <c r="F26" s="257"/>
      <c r="G26" s="257"/>
      <c r="H26" s="257"/>
      <c r="I26" s="258"/>
    </row>
    <row r="27" spans="1:9" ht="18.75" customHeight="1" x14ac:dyDescent="0.15">
      <c r="A27" s="15"/>
      <c r="B27" s="256"/>
      <c r="C27" s="257"/>
      <c r="D27" s="257"/>
      <c r="E27" s="257"/>
      <c r="F27" s="257"/>
      <c r="G27" s="257"/>
      <c r="H27" s="257"/>
      <c r="I27" s="258"/>
    </row>
    <row r="28" spans="1:9" ht="18.75" customHeight="1" x14ac:dyDescent="0.15">
      <c r="A28" s="15"/>
      <c r="B28" s="256"/>
      <c r="C28" s="257"/>
      <c r="D28" s="257"/>
      <c r="E28" s="257"/>
      <c r="F28" s="257"/>
      <c r="G28" s="257"/>
      <c r="H28" s="257"/>
      <c r="I28" s="258"/>
    </row>
    <row r="29" spans="1:9" ht="18.75" customHeight="1" x14ac:dyDescent="0.15">
      <c r="A29" s="15"/>
      <c r="B29" s="256"/>
      <c r="C29" s="257"/>
      <c r="D29" s="257"/>
      <c r="E29" s="257"/>
      <c r="F29" s="257"/>
      <c r="G29" s="257"/>
      <c r="H29" s="257"/>
      <c r="I29" s="258"/>
    </row>
    <row r="30" spans="1:9" ht="18.75" customHeight="1" x14ac:dyDescent="0.15">
      <c r="A30" s="15"/>
      <c r="B30" s="259"/>
      <c r="C30" s="260"/>
      <c r="D30" s="260"/>
      <c r="E30" s="260"/>
      <c r="F30" s="260"/>
      <c r="G30" s="260"/>
      <c r="H30" s="260"/>
      <c r="I30" s="258"/>
    </row>
    <row r="31" spans="1:9" ht="18.75" customHeight="1" x14ac:dyDescent="0.15">
      <c r="A31" s="15"/>
      <c r="B31" s="259"/>
      <c r="C31" s="260"/>
      <c r="D31" s="260"/>
      <c r="E31" s="260"/>
      <c r="F31" s="260"/>
      <c r="G31" s="260"/>
      <c r="H31" s="260"/>
      <c r="I31" s="258"/>
    </row>
    <row r="32" spans="1:9" ht="18.75" customHeight="1" x14ac:dyDescent="0.15">
      <c r="A32" s="15"/>
      <c r="B32" s="261"/>
      <c r="C32" s="171"/>
      <c r="D32" s="171"/>
      <c r="E32" s="171"/>
      <c r="F32" s="171"/>
      <c r="G32" s="171"/>
      <c r="H32" s="171"/>
      <c r="I32" s="172"/>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253" t="s">
        <v>171</v>
      </c>
      <c r="C35" s="254"/>
      <c r="D35" s="254"/>
      <c r="E35" s="254"/>
      <c r="F35" s="254"/>
      <c r="G35" s="254"/>
      <c r="H35" s="254"/>
      <c r="I35" s="255"/>
    </row>
    <row r="36" spans="1:9" ht="18.75" customHeight="1" x14ac:dyDescent="0.15">
      <c r="A36" s="15"/>
      <c r="B36" s="259"/>
      <c r="C36" s="260"/>
      <c r="D36" s="260"/>
      <c r="E36" s="260"/>
      <c r="F36" s="260"/>
      <c r="G36" s="260"/>
      <c r="H36" s="260"/>
      <c r="I36" s="258"/>
    </row>
    <row r="37" spans="1:9" ht="18.75" customHeight="1" x14ac:dyDescent="0.15">
      <c r="A37" s="15"/>
      <c r="B37" s="259"/>
      <c r="C37" s="260"/>
      <c r="D37" s="260"/>
      <c r="E37" s="260"/>
      <c r="F37" s="260"/>
      <c r="G37" s="260"/>
      <c r="H37" s="260"/>
      <c r="I37" s="258"/>
    </row>
    <row r="38" spans="1:9" ht="18.75" customHeight="1" x14ac:dyDescent="0.15">
      <c r="A38" s="15"/>
      <c r="B38" s="259"/>
      <c r="C38" s="260"/>
      <c r="D38" s="260"/>
      <c r="E38" s="260"/>
      <c r="F38" s="260"/>
      <c r="G38" s="260"/>
      <c r="H38" s="260"/>
      <c r="I38" s="258"/>
    </row>
    <row r="39" spans="1:9" ht="18.75" customHeight="1" x14ac:dyDescent="0.15">
      <c r="A39" s="15"/>
      <c r="B39" s="259"/>
      <c r="C39" s="260"/>
      <c r="D39" s="260"/>
      <c r="E39" s="260"/>
      <c r="F39" s="260"/>
      <c r="G39" s="260"/>
      <c r="H39" s="260"/>
      <c r="I39" s="258"/>
    </row>
    <row r="40" spans="1:9" ht="18.75" customHeight="1" x14ac:dyDescent="0.15">
      <c r="A40" s="15"/>
      <c r="B40" s="259"/>
      <c r="C40" s="260"/>
      <c r="D40" s="260"/>
      <c r="E40" s="260"/>
      <c r="F40" s="260"/>
      <c r="G40" s="260"/>
      <c r="H40" s="260"/>
      <c r="I40" s="258"/>
    </row>
    <row r="41" spans="1:9" ht="18.75" customHeight="1" x14ac:dyDescent="0.15">
      <c r="A41" s="15"/>
      <c r="B41" s="259"/>
      <c r="C41" s="260"/>
      <c r="D41" s="260"/>
      <c r="E41" s="260"/>
      <c r="F41" s="260"/>
      <c r="G41" s="260"/>
      <c r="H41" s="260"/>
      <c r="I41" s="258"/>
    </row>
    <row r="42" spans="1:9" ht="18.75" customHeight="1" x14ac:dyDescent="0.15">
      <c r="A42" s="15"/>
      <c r="B42" s="259"/>
      <c r="C42" s="260"/>
      <c r="D42" s="260"/>
      <c r="E42" s="260"/>
      <c r="F42" s="260"/>
      <c r="G42" s="260"/>
      <c r="H42" s="260"/>
      <c r="I42" s="258"/>
    </row>
    <row r="43" spans="1:9" ht="18.75" customHeight="1" x14ac:dyDescent="0.15">
      <c r="A43" s="15"/>
      <c r="B43" s="259"/>
      <c r="C43" s="260"/>
      <c r="D43" s="260"/>
      <c r="E43" s="260"/>
      <c r="F43" s="260"/>
      <c r="G43" s="260"/>
      <c r="H43" s="260"/>
      <c r="I43" s="258"/>
    </row>
    <row r="44" spans="1:9" ht="18.75" customHeight="1" x14ac:dyDescent="0.15">
      <c r="A44" s="15"/>
      <c r="B44" s="259"/>
      <c r="C44" s="260"/>
      <c r="D44" s="260"/>
      <c r="E44" s="260"/>
      <c r="F44" s="260"/>
      <c r="G44" s="260"/>
      <c r="H44" s="260"/>
      <c r="I44" s="258"/>
    </row>
    <row r="45" spans="1:9" ht="18.75" customHeight="1" x14ac:dyDescent="0.15">
      <c r="A45" s="15"/>
      <c r="B45" s="259"/>
      <c r="C45" s="260"/>
      <c r="D45" s="260"/>
      <c r="E45" s="260"/>
      <c r="F45" s="260"/>
      <c r="G45" s="260"/>
      <c r="H45" s="260"/>
      <c r="I45" s="258"/>
    </row>
    <row r="46" spans="1:9" ht="18.75" customHeight="1" x14ac:dyDescent="0.15">
      <c r="A46" s="15"/>
      <c r="B46" s="261"/>
      <c r="C46" s="171"/>
      <c r="D46" s="171"/>
      <c r="E46" s="171"/>
      <c r="F46" s="171"/>
      <c r="G46" s="171"/>
      <c r="H46" s="171"/>
      <c r="I46" s="172"/>
    </row>
    <row r="47" spans="1:9" ht="7.5" customHeight="1" x14ac:dyDescent="0.15">
      <c r="A47" s="4"/>
      <c r="B47" s="4"/>
      <c r="C47" s="4"/>
      <c r="D47" s="4"/>
      <c r="E47" s="4"/>
      <c r="F47" s="4"/>
      <c r="G47" s="4"/>
      <c r="H47" s="4"/>
      <c r="I47" s="4"/>
    </row>
    <row r="48" spans="1:9" ht="18.75" customHeight="1" x14ac:dyDescent="0.15">
      <c r="A48" s="1" t="s">
        <v>30</v>
      </c>
      <c r="B48" s="1" t="s">
        <v>122</v>
      </c>
    </row>
    <row r="49" spans="1:15" s="3" customFormat="1" ht="18.75" customHeight="1" x14ac:dyDescent="0.15">
      <c r="B49" s="27" t="s">
        <v>88</v>
      </c>
      <c r="C49" s="227">
        <f>'様式２ 履修者等数の実績'!AQ32</f>
        <v>2.0833333333333332E-2</v>
      </c>
      <c r="D49" s="227"/>
      <c r="E49" s="27" t="s">
        <v>65</v>
      </c>
      <c r="F49" s="227">
        <v>0.2</v>
      </c>
      <c r="G49" s="227"/>
      <c r="H49" s="27" t="s">
        <v>66</v>
      </c>
      <c r="I49" s="28">
        <v>0.5</v>
      </c>
      <c r="J49" s="1"/>
      <c r="M49" s="1"/>
      <c r="N49" s="29"/>
    </row>
    <row r="50" spans="1:15" s="3" customFormat="1" ht="18.75" customHeight="1" x14ac:dyDescent="0.15">
      <c r="B50" s="30" t="s">
        <v>67</v>
      </c>
      <c r="C50" s="228">
        <v>1</v>
      </c>
      <c r="D50" s="228"/>
      <c r="E50" s="30" t="s">
        <v>89</v>
      </c>
      <c r="F50" s="228">
        <v>1</v>
      </c>
      <c r="G50" s="228"/>
      <c r="H50" s="30" t="s">
        <v>68</v>
      </c>
      <c r="I50" s="31">
        <f>'様式２ 履修者等数の実績'!E32</f>
        <v>240</v>
      </c>
      <c r="J50" s="1"/>
      <c r="M50" s="1"/>
      <c r="N50" s="29"/>
    </row>
    <row r="51" spans="1:15" ht="18.75" customHeight="1" x14ac:dyDescent="0.15">
      <c r="A51" s="1"/>
      <c r="B51" s="262" t="s">
        <v>69</v>
      </c>
      <c r="C51" s="263"/>
      <c r="D51" s="263"/>
      <c r="E51" s="263"/>
      <c r="F51" s="263"/>
      <c r="G51" s="263"/>
      <c r="H51" s="263"/>
      <c r="I51" s="264"/>
      <c r="N51" s="29"/>
      <c r="O51" s="3"/>
    </row>
    <row r="52" spans="1:15" ht="18.75" customHeight="1" x14ac:dyDescent="0.15">
      <c r="A52" s="1"/>
      <c r="B52" s="229" t="s">
        <v>153</v>
      </c>
      <c r="C52" s="230"/>
      <c r="D52" s="230"/>
      <c r="E52" s="230"/>
      <c r="F52" s="230"/>
      <c r="G52" s="230"/>
      <c r="H52" s="230"/>
      <c r="I52" s="231"/>
      <c r="N52" s="29"/>
      <c r="O52" s="3"/>
    </row>
    <row r="53" spans="1:15" ht="18.75" customHeight="1" x14ac:dyDescent="0.15">
      <c r="A53" s="1"/>
      <c r="B53" s="232"/>
      <c r="C53" s="233"/>
      <c r="D53" s="233"/>
      <c r="E53" s="233"/>
      <c r="F53" s="233"/>
      <c r="G53" s="233"/>
      <c r="H53" s="233"/>
      <c r="I53" s="234"/>
      <c r="N53" s="29"/>
      <c r="O53" s="3"/>
    </row>
    <row r="54" spans="1:15" ht="18.75" customHeight="1" x14ac:dyDescent="0.15">
      <c r="A54" s="1"/>
      <c r="B54" s="232"/>
      <c r="C54" s="233"/>
      <c r="D54" s="233"/>
      <c r="E54" s="233"/>
      <c r="F54" s="233"/>
      <c r="G54" s="233"/>
      <c r="H54" s="233"/>
      <c r="I54" s="234"/>
    </row>
    <row r="55" spans="1:15" ht="18.75" customHeight="1" x14ac:dyDescent="0.15">
      <c r="A55" s="1"/>
      <c r="B55" s="232"/>
      <c r="C55" s="233"/>
      <c r="D55" s="233"/>
      <c r="E55" s="233"/>
      <c r="F55" s="233"/>
      <c r="G55" s="233"/>
      <c r="H55" s="233"/>
      <c r="I55" s="234"/>
    </row>
    <row r="56" spans="1:15" ht="18.75" customHeight="1" x14ac:dyDescent="0.15">
      <c r="A56" s="1"/>
      <c r="B56" s="232"/>
      <c r="C56" s="233"/>
      <c r="D56" s="233"/>
      <c r="E56" s="233"/>
      <c r="F56" s="233"/>
      <c r="G56" s="233"/>
      <c r="H56" s="233"/>
      <c r="I56" s="234"/>
    </row>
    <row r="57" spans="1:15" ht="18.75" customHeight="1" x14ac:dyDescent="0.15">
      <c r="A57" s="1"/>
      <c r="B57" s="232"/>
      <c r="C57" s="233"/>
      <c r="D57" s="233"/>
      <c r="E57" s="233"/>
      <c r="F57" s="233"/>
      <c r="G57" s="233"/>
      <c r="H57" s="233"/>
      <c r="I57" s="234"/>
    </row>
    <row r="58" spans="1:15" ht="18.75" customHeight="1" x14ac:dyDescent="0.15">
      <c r="A58" s="1"/>
      <c r="B58" s="232"/>
      <c r="C58" s="233"/>
      <c r="D58" s="233"/>
      <c r="E58" s="233"/>
      <c r="F58" s="233"/>
      <c r="G58" s="233"/>
      <c r="H58" s="233"/>
      <c r="I58" s="234"/>
    </row>
    <row r="59" spans="1:15" ht="18.75" customHeight="1" x14ac:dyDescent="0.15">
      <c r="A59" s="1"/>
      <c r="B59" s="232"/>
      <c r="C59" s="233"/>
      <c r="D59" s="233"/>
      <c r="E59" s="233"/>
      <c r="F59" s="233"/>
      <c r="G59" s="233"/>
      <c r="H59" s="233"/>
      <c r="I59" s="234"/>
    </row>
    <row r="60" spans="1:15" ht="18.75" customHeight="1" x14ac:dyDescent="0.15">
      <c r="A60" s="1"/>
      <c r="B60" s="232"/>
      <c r="C60" s="233"/>
      <c r="D60" s="233"/>
      <c r="E60" s="233"/>
      <c r="F60" s="233"/>
      <c r="G60" s="233"/>
      <c r="H60" s="233"/>
      <c r="I60" s="234"/>
    </row>
    <row r="61" spans="1:15" ht="18.75" customHeight="1" x14ac:dyDescent="0.15">
      <c r="A61" s="1"/>
      <c r="B61" s="232"/>
      <c r="C61" s="233"/>
      <c r="D61" s="233"/>
      <c r="E61" s="233"/>
      <c r="F61" s="233"/>
      <c r="G61" s="233"/>
      <c r="H61" s="233"/>
      <c r="I61" s="234"/>
    </row>
    <row r="62" spans="1:15" ht="18.75" customHeight="1" x14ac:dyDescent="0.15">
      <c r="A62" s="1"/>
      <c r="B62" s="232"/>
      <c r="C62" s="233"/>
      <c r="D62" s="233"/>
      <c r="E62" s="233"/>
      <c r="F62" s="233"/>
      <c r="G62" s="233"/>
      <c r="H62" s="233"/>
      <c r="I62" s="234"/>
    </row>
    <row r="63" spans="1:15" ht="18.75" customHeight="1" x14ac:dyDescent="0.15">
      <c r="A63" s="1"/>
      <c r="B63" s="235"/>
      <c r="C63" s="236"/>
      <c r="D63" s="236"/>
      <c r="E63" s="236"/>
      <c r="F63" s="236"/>
      <c r="G63" s="236"/>
      <c r="H63" s="236"/>
      <c r="I63" s="237"/>
    </row>
    <row r="64" spans="1:15" ht="7.5" customHeight="1" x14ac:dyDescent="0.15">
      <c r="A64" s="15"/>
      <c r="B64" s="15"/>
      <c r="C64" s="15"/>
      <c r="D64" s="15"/>
      <c r="E64" s="15"/>
      <c r="F64" s="15"/>
      <c r="G64" s="15"/>
      <c r="H64" s="15"/>
      <c r="I64" s="15"/>
    </row>
    <row r="65" spans="1:9" ht="18.75" customHeight="1" x14ac:dyDescent="0.15">
      <c r="A65" s="16" t="s">
        <v>33</v>
      </c>
      <c r="B65" s="1" t="s">
        <v>36</v>
      </c>
      <c r="I65" s="16"/>
    </row>
    <row r="66" spans="1:9" ht="18.75" customHeight="1" x14ac:dyDescent="0.15">
      <c r="A66" s="4"/>
      <c r="B66" s="211" t="s">
        <v>154</v>
      </c>
      <c r="C66" s="212"/>
      <c r="D66" s="212"/>
      <c r="E66" s="212"/>
      <c r="F66" s="212"/>
      <c r="G66" s="212"/>
      <c r="H66" s="212"/>
      <c r="I66" s="213"/>
    </row>
    <row r="67" spans="1:9" ht="18.75" customHeight="1" x14ac:dyDescent="0.15">
      <c r="A67" s="4"/>
      <c r="B67" s="214"/>
      <c r="C67" s="215"/>
      <c r="D67" s="215"/>
      <c r="E67" s="215"/>
      <c r="F67" s="215"/>
      <c r="G67" s="215"/>
      <c r="H67" s="215"/>
      <c r="I67" s="216"/>
    </row>
    <row r="68" spans="1:9" ht="18.75" customHeight="1" x14ac:dyDescent="0.15">
      <c r="A68" s="4"/>
      <c r="B68" s="214"/>
      <c r="C68" s="215"/>
      <c r="D68" s="215"/>
      <c r="E68" s="215"/>
      <c r="F68" s="215"/>
      <c r="G68" s="215"/>
      <c r="H68" s="215"/>
      <c r="I68" s="216"/>
    </row>
    <row r="69" spans="1:9" ht="18.75" customHeight="1" x14ac:dyDescent="0.15">
      <c r="A69" s="4"/>
      <c r="B69" s="214"/>
      <c r="C69" s="215"/>
      <c r="D69" s="215"/>
      <c r="E69" s="215"/>
      <c r="F69" s="215"/>
      <c r="G69" s="215"/>
      <c r="H69" s="215"/>
      <c r="I69" s="216"/>
    </row>
    <row r="70" spans="1:9" ht="18.75" customHeight="1" x14ac:dyDescent="0.15">
      <c r="A70" s="4"/>
      <c r="B70" s="214"/>
      <c r="C70" s="215"/>
      <c r="D70" s="215"/>
      <c r="E70" s="215"/>
      <c r="F70" s="215"/>
      <c r="G70" s="215"/>
      <c r="H70" s="215"/>
      <c r="I70" s="216"/>
    </row>
    <row r="71" spans="1:9" ht="18.75" customHeight="1" x14ac:dyDescent="0.15">
      <c r="A71" s="4"/>
      <c r="B71" s="214"/>
      <c r="C71" s="215"/>
      <c r="D71" s="215"/>
      <c r="E71" s="215"/>
      <c r="F71" s="215"/>
      <c r="G71" s="215"/>
      <c r="H71" s="215"/>
      <c r="I71" s="216"/>
    </row>
    <row r="72" spans="1:9" ht="18.75" customHeight="1" x14ac:dyDescent="0.15">
      <c r="A72" s="4"/>
      <c r="B72" s="214"/>
      <c r="C72" s="215"/>
      <c r="D72" s="215"/>
      <c r="E72" s="215"/>
      <c r="F72" s="215"/>
      <c r="G72" s="215"/>
      <c r="H72" s="215"/>
      <c r="I72" s="216"/>
    </row>
    <row r="73" spans="1:9" ht="18.75" customHeight="1" x14ac:dyDescent="0.15">
      <c r="A73" s="4"/>
      <c r="B73" s="214"/>
      <c r="C73" s="215"/>
      <c r="D73" s="215"/>
      <c r="E73" s="215"/>
      <c r="F73" s="215"/>
      <c r="G73" s="215"/>
      <c r="H73" s="215"/>
      <c r="I73" s="216"/>
    </row>
    <row r="74" spans="1:9" ht="18.75" customHeight="1" x14ac:dyDescent="0.15">
      <c r="A74" s="4"/>
      <c r="B74" s="214"/>
      <c r="C74" s="215"/>
      <c r="D74" s="215"/>
      <c r="E74" s="215"/>
      <c r="F74" s="215"/>
      <c r="G74" s="215"/>
      <c r="H74" s="215"/>
      <c r="I74" s="216"/>
    </row>
    <row r="75" spans="1:9" ht="18.75" customHeight="1" x14ac:dyDescent="0.15">
      <c r="A75" s="4"/>
      <c r="B75" s="214"/>
      <c r="C75" s="215"/>
      <c r="D75" s="215"/>
      <c r="E75" s="215"/>
      <c r="F75" s="215"/>
      <c r="G75" s="215"/>
      <c r="H75" s="215"/>
      <c r="I75" s="216"/>
    </row>
    <row r="76" spans="1:9" ht="18.75" customHeight="1" x14ac:dyDescent="0.15">
      <c r="A76" s="4"/>
      <c r="B76" s="214"/>
      <c r="C76" s="215"/>
      <c r="D76" s="215"/>
      <c r="E76" s="215"/>
      <c r="F76" s="215"/>
      <c r="G76" s="215"/>
      <c r="H76" s="215"/>
      <c r="I76" s="216"/>
    </row>
    <row r="77" spans="1:9" ht="18.75" customHeight="1" x14ac:dyDescent="0.15">
      <c r="A77" s="4"/>
      <c r="B77" s="217"/>
      <c r="C77" s="218"/>
      <c r="D77" s="218"/>
      <c r="E77" s="218"/>
      <c r="F77" s="218"/>
      <c r="G77" s="218"/>
      <c r="H77" s="218"/>
      <c r="I77" s="219"/>
    </row>
    <row r="78" spans="1:9" ht="7.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211" t="s">
        <v>155</v>
      </c>
      <c r="C80" s="212"/>
      <c r="D80" s="212"/>
      <c r="E80" s="212"/>
      <c r="F80" s="212"/>
      <c r="G80" s="212"/>
      <c r="H80" s="212"/>
      <c r="I80" s="220"/>
    </row>
    <row r="81" spans="1:9" ht="18.75" customHeight="1" x14ac:dyDescent="0.15">
      <c r="A81" s="1"/>
      <c r="B81" s="221"/>
      <c r="C81" s="222"/>
      <c r="D81" s="222"/>
      <c r="E81" s="222"/>
      <c r="F81" s="222"/>
      <c r="G81" s="222"/>
      <c r="H81" s="222"/>
      <c r="I81" s="223"/>
    </row>
    <row r="82" spans="1:9" ht="18.75" customHeight="1" x14ac:dyDescent="0.15">
      <c r="A82" s="1"/>
      <c r="B82" s="221"/>
      <c r="C82" s="222"/>
      <c r="D82" s="222"/>
      <c r="E82" s="222"/>
      <c r="F82" s="222"/>
      <c r="G82" s="222"/>
      <c r="H82" s="222"/>
      <c r="I82" s="223"/>
    </row>
    <row r="83" spans="1:9" ht="18.75" customHeight="1" x14ac:dyDescent="0.15">
      <c r="A83" s="1"/>
      <c r="B83" s="221"/>
      <c r="C83" s="222"/>
      <c r="D83" s="222"/>
      <c r="E83" s="222"/>
      <c r="F83" s="222"/>
      <c r="G83" s="222"/>
      <c r="H83" s="222"/>
      <c r="I83" s="223"/>
    </row>
    <row r="84" spans="1:9" ht="18.75" customHeight="1" x14ac:dyDescent="0.15">
      <c r="A84" s="1"/>
      <c r="B84" s="221"/>
      <c r="C84" s="222"/>
      <c r="D84" s="222"/>
      <c r="E84" s="222"/>
      <c r="F84" s="222"/>
      <c r="G84" s="222"/>
      <c r="H84" s="222"/>
      <c r="I84" s="223"/>
    </row>
    <row r="85" spans="1:9" ht="18.75" customHeight="1" x14ac:dyDescent="0.15">
      <c r="A85" s="1"/>
      <c r="B85" s="221"/>
      <c r="C85" s="222"/>
      <c r="D85" s="222"/>
      <c r="E85" s="222"/>
      <c r="F85" s="222"/>
      <c r="G85" s="222"/>
      <c r="H85" s="222"/>
      <c r="I85" s="223"/>
    </row>
    <row r="86" spans="1:9" ht="18.75" customHeight="1" x14ac:dyDescent="0.15">
      <c r="A86" s="1"/>
      <c r="B86" s="221"/>
      <c r="C86" s="222"/>
      <c r="D86" s="222"/>
      <c r="E86" s="222"/>
      <c r="F86" s="222"/>
      <c r="G86" s="222"/>
      <c r="H86" s="222"/>
      <c r="I86" s="223"/>
    </row>
    <row r="87" spans="1:9" ht="18.75" customHeight="1" x14ac:dyDescent="0.15">
      <c r="A87" s="1"/>
      <c r="B87" s="221"/>
      <c r="C87" s="222"/>
      <c r="D87" s="222"/>
      <c r="E87" s="222"/>
      <c r="F87" s="222"/>
      <c r="G87" s="222"/>
      <c r="H87" s="222"/>
      <c r="I87" s="223"/>
    </row>
    <row r="88" spans="1:9" ht="18.75" customHeight="1" x14ac:dyDescent="0.15">
      <c r="A88" s="1"/>
      <c r="B88" s="221"/>
      <c r="C88" s="222"/>
      <c r="D88" s="222"/>
      <c r="E88" s="222"/>
      <c r="F88" s="222"/>
      <c r="G88" s="222"/>
      <c r="H88" s="222"/>
      <c r="I88" s="223"/>
    </row>
    <row r="89" spans="1:9" ht="18.75" customHeight="1" x14ac:dyDescent="0.15">
      <c r="A89" s="1"/>
      <c r="B89" s="221"/>
      <c r="C89" s="222"/>
      <c r="D89" s="222"/>
      <c r="E89" s="222"/>
      <c r="F89" s="222"/>
      <c r="G89" s="222"/>
      <c r="H89" s="222"/>
      <c r="I89" s="223"/>
    </row>
    <row r="90" spans="1:9" ht="18.75" customHeight="1" x14ac:dyDescent="0.15">
      <c r="A90" s="4"/>
      <c r="B90" s="221"/>
      <c r="C90" s="222"/>
      <c r="D90" s="222"/>
      <c r="E90" s="222"/>
      <c r="F90" s="222"/>
      <c r="G90" s="222"/>
      <c r="H90" s="222"/>
      <c r="I90" s="223"/>
    </row>
    <row r="91" spans="1:9" ht="18.75" customHeight="1" x14ac:dyDescent="0.15">
      <c r="A91" s="4"/>
      <c r="B91" s="224"/>
      <c r="C91" s="225"/>
      <c r="D91" s="225"/>
      <c r="E91" s="225"/>
      <c r="F91" s="225"/>
      <c r="G91" s="225"/>
      <c r="H91" s="225"/>
      <c r="I91" s="226"/>
    </row>
    <row r="92" spans="1:9" ht="7.5" customHeight="1" x14ac:dyDescent="0.15">
      <c r="A92" s="4"/>
      <c r="B92" s="4"/>
      <c r="C92" s="4"/>
      <c r="D92" s="4"/>
      <c r="E92" s="4"/>
      <c r="F92" s="4"/>
      <c r="G92" s="4"/>
      <c r="H92" s="4"/>
      <c r="I92" s="4"/>
    </row>
    <row r="93" spans="1:9" ht="18.75" customHeight="1" x14ac:dyDescent="0.15">
      <c r="A93" s="1" t="s">
        <v>43</v>
      </c>
      <c r="B93" s="1" t="s">
        <v>12</v>
      </c>
    </row>
    <row r="94" spans="1:9" ht="18.75" customHeight="1" x14ac:dyDescent="0.15">
      <c r="A94" s="1"/>
      <c r="B94" s="238" t="s">
        <v>165</v>
      </c>
      <c r="C94" s="239"/>
      <c r="D94" s="239"/>
      <c r="E94" s="239"/>
      <c r="F94" s="239"/>
      <c r="G94" s="239"/>
      <c r="H94" s="239"/>
      <c r="I94" s="240"/>
    </row>
    <row r="95" spans="1:9" ht="18.75" customHeight="1" x14ac:dyDescent="0.15">
      <c r="A95" s="1"/>
      <c r="B95" s="241"/>
      <c r="C95" s="242"/>
      <c r="D95" s="242"/>
      <c r="E95" s="242"/>
      <c r="F95" s="242"/>
      <c r="G95" s="242"/>
      <c r="H95" s="242"/>
      <c r="I95" s="243"/>
    </row>
    <row r="96" spans="1:9" ht="18.75" customHeight="1" x14ac:dyDescent="0.15">
      <c r="A96" s="1"/>
      <c r="B96" s="241"/>
      <c r="C96" s="242"/>
      <c r="D96" s="242"/>
      <c r="E96" s="242"/>
      <c r="F96" s="242"/>
      <c r="G96" s="242"/>
      <c r="H96" s="242"/>
      <c r="I96" s="243"/>
    </row>
    <row r="97" spans="1:9" ht="18.75" customHeight="1" x14ac:dyDescent="0.15">
      <c r="A97" s="1"/>
      <c r="B97" s="241"/>
      <c r="C97" s="242"/>
      <c r="D97" s="242"/>
      <c r="E97" s="242"/>
      <c r="F97" s="242"/>
      <c r="G97" s="242"/>
      <c r="H97" s="242"/>
      <c r="I97" s="243"/>
    </row>
    <row r="98" spans="1:9" ht="18.75" customHeight="1" x14ac:dyDescent="0.15">
      <c r="A98" s="1"/>
      <c r="B98" s="241"/>
      <c r="C98" s="242"/>
      <c r="D98" s="242"/>
      <c r="E98" s="242"/>
      <c r="F98" s="242"/>
      <c r="G98" s="242"/>
      <c r="H98" s="242"/>
      <c r="I98" s="243"/>
    </row>
    <row r="99" spans="1:9" ht="18.75" customHeight="1" x14ac:dyDescent="0.15">
      <c r="A99" s="1"/>
      <c r="B99" s="241"/>
      <c r="C99" s="242"/>
      <c r="D99" s="242"/>
      <c r="E99" s="242"/>
      <c r="F99" s="242"/>
      <c r="G99" s="242"/>
      <c r="H99" s="242"/>
      <c r="I99" s="243"/>
    </row>
    <row r="100" spans="1:9" ht="18.75" customHeight="1" x14ac:dyDescent="0.15">
      <c r="A100" s="1"/>
      <c r="B100" s="241"/>
      <c r="C100" s="242"/>
      <c r="D100" s="242"/>
      <c r="E100" s="242"/>
      <c r="F100" s="242"/>
      <c r="G100" s="242"/>
      <c r="H100" s="242"/>
      <c r="I100" s="243"/>
    </row>
    <row r="101" spans="1:9" ht="18.75" customHeight="1" x14ac:dyDescent="0.15">
      <c r="A101" s="1"/>
      <c r="B101" s="241"/>
      <c r="C101" s="242"/>
      <c r="D101" s="242"/>
      <c r="E101" s="242"/>
      <c r="F101" s="242"/>
      <c r="G101" s="242"/>
      <c r="H101" s="242"/>
      <c r="I101" s="243"/>
    </row>
    <row r="102" spans="1:9" ht="18.75" customHeight="1" x14ac:dyDescent="0.15">
      <c r="A102" s="1"/>
      <c r="B102" s="241"/>
      <c r="C102" s="242"/>
      <c r="D102" s="242"/>
      <c r="E102" s="242"/>
      <c r="F102" s="242"/>
      <c r="G102" s="242"/>
      <c r="H102" s="242"/>
      <c r="I102" s="243"/>
    </row>
    <row r="103" spans="1:9" ht="18.75" customHeight="1" x14ac:dyDescent="0.15">
      <c r="A103" s="1"/>
      <c r="B103" s="241"/>
      <c r="C103" s="242"/>
      <c r="D103" s="242"/>
      <c r="E103" s="242"/>
      <c r="F103" s="242"/>
      <c r="G103" s="242"/>
      <c r="H103" s="242"/>
      <c r="I103" s="243"/>
    </row>
    <row r="104" spans="1:9" ht="18.75" customHeight="1" x14ac:dyDescent="0.15">
      <c r="A104" s="1"/>
      <c r="B104" s="241"/>
      <c r="C104" s="242"/>
      <c r="D104" s="242"/>
      <c r="E104" s="242"/>
      <c r="F104" s="242"/>
      <c r="G104" s="242"/>
      <c r="H104" s="242"/>
      <c r="I104" s="243"/>
    </row>
    <row r="105" spans="1:9" ht="18.75" customHeight="1" x14ac:dyDescent="0.15">
      <c r="A105" s="4"/>
      <c r="B105" s="244"/>
      <c r="C105" s="245"/>
      <c r="D105" s="245"/>
      <c r="E105" s="245"/>
      <c r="F105" s="245"/>
      <c r="G105" s="245"/>
      <c r="H105" s="245"/>
      <c r="I105" s="246"/>
    </row>
    <row r="106" spans="1:9" ht="7.5" customHeight="1" x14ac:dyDescent="0.15">
      <c r="A106" s="4"/>
      <c r="B106" s="4"/>
      <c r="C106" s="4"/>
      <c r="D106" s="4"/>
      <c r="E106" s="4"/>
      <c r="F106" s="4"/>
      <c r="G106" s="4"/>
      <c r="H106" s="4"/>
      <c r="I106" s="4"/>
    </row>
    <row r="107" spans="1:9" ht="18.75" customHeight="1" x14ac:dyDescent="0.15">
      <c r="A107" s="1" t="s">
        <v>29</v>
      </c>
      <c r="B107" s="247" t="s">
        <v>45</v>
      </c>
      <c r="C107" s="247"/>
      <c r="D107" s="247"/>
      <c r="E107" s="247"/>
      <c r="F107" s="247"/>
      <c r="G107" s="247"/>
      <c r="H107" s="247"/>
      <c r="I107" s="247"/>
    </row>
    <row r="108" spans="1:9" ht="18.75" customHeight="1" x14ac:dyDescent="0.15">
      <c r="A108" s="4"/>
      <c r="B108" s="238" t="s">
        <v>166</v>
      </c>
      <c r="C108" s="239"/>
      <c r="D108" s="239"/>
      <c r="E108" s="239"/>
      <c r="F108" s="239"/>
      <c r="G108" s="239"/>
      <c r="H108" s="239"/>
      <c r="I108" s="240"/>
    </row>
    <row r="109" spans="1:9" ht="18.75" customHeight="1" x14ac:dyDescent="0.15">
      <c r="A109" s="4"/>
      <c r="B109" s="241"/>
      <c r="C109" s="242"/>
      <c r="D109" s="242"/>
      <c r="E109" s="242"/>
      <c r="F109" s="242"/>
      <c r="G109" s="242"/>
      <c r="H109" s="242"/>
      <c r="I109" s="243"/>
    </row>
    <row r="110" spans="1:9" ht="18.75" customHeight="1" x14ac:dyDescent="0.15">
      <c r="A110" s="4"/>
      <c r="B110" s="241"/>
      <c r="C110" s="242"/>
      <c r="D110" s="242"/>
      <c r="E110" s="242"/>
      <c r="F110" s="242"/>
      <c r="G110" s="242"/>
      <c r="H110" s="242"/>
      <c r="I110" s="243"/>
    </row>
    <row r="111" spans="1:9" ht="18.75" customHeight="1" x14ac:dyDescent="0.15">
      <c r="A111" s="4"/>
      <c r="B111" s="241"/>
      <c r="C111" s="242"/>
      <c r="D111" s="242"/>
      <c r="E111" s="242"/>
      <c r="F111" s="242"/>
      <c r="G111" s="242"/>
      <c r="H111" s="242"/>
      <c r="I111" s="243"/>
    </row>
    <row r="112" spans="1:9" ht="18.75" customHeight="1" x14ac:dyDescent="0.15">
      <c r="A112" s="4"/>
      <c r="B112" s="241"/>
      <c r="C112" s="242"/>
      <c r="D112" s="242"/>
      <c r="E112" s="242"/>
      <c r="F112" s="242"/>
      <c r="G112" s="242"/>
      <c r="H112" s="242"/>
      <c r="I112" s="243"/>
    </row>
    <row r="113" spans="1:9" ht="18.75" customHeight="1" x14ac:dyDescent="0.15">
      <c r="A113" s="4"/>
      <c r="B113" s="241"/>
      <c r="C113" s="242"/>
      <c r="D113" s="242"/>
      <c r="E113" s="242"/>
      <c r="F113" s="242"/>
      <c r="G113" s="242"/>
      <c r="H113" s="242"/>
      <c r="I113" s="243"/>
    </row>
    <row r="114" spans="1:9" ht="18.75" customHeight="1" x14ac:dyDescent="0.15">
      <c r="A114" s="4"/>
      <c r="B114" s="241"/>
      <c r="C114" s="242"/>
      <c r="D114" s="242"/>
      <c r="E114" s="242"/>
      <c r="F114" s="242"/>
      <c r="G114" s="242"/>
      <c r="H114" s="242"/>
      <c r="I114" s="243"/>
    </row>
    <row r="115" spans="1:9" ht="18.75" customHeight="1" x14ac:dyDescent="0.15">
      <c r="A115" s="4"/>
      <c r="B115" s="241"/>
      <c r="C115" s="242"/>
      <c r="D115" s="242"/>
      <c r="E115" s="242"/>
      <c r="F115" s="242"/>
      <c r="G115" s="242"/>
      <c r="H115" s="242"/>
      <c r="I115" s="243"/>
    </row>
    <row r="116" spans="1:9" ht="18.75" customHeight="1" x14ac:dyDescent="0.15">
      <c r="A116" s="4"/>
      <c r="B116" s="241"/>
      <c r="C116" s="242"/>
      <c r="D116" s="242"/>
      <c r="E116" s="242"/>
      <c r="F116" s="242"/>
      <c r="G116" s="242"/>
      <c r="H116" s="242"/>
      <c r="I116" s="243"/>
    </row>
    <row r="117" spans="1:9" ht="18.75" customHeight="1" x14ac:dyDescent="0.15">
      <c r="A117" s="4"/>
      <c r="B117" s="241"/>
      <c r="C117" s="242"/>
      <c r="D117" s="242"/>
      <c r="E117" s="242"/>
      <c r="F117" s="242"/>
      <c r="G117" s="242"/>
      <c r="H117" s="242"/>
      <c r="I117" s="243"/>
    </row>
    <row r="118" spans="1:9" ht="18.75" customHeight="1" x14ac:dyDescent="0.15">
      <c r="A118" s="4"/>
      <c r="B118" s="241"/>
      <c r="C118" s="242"/>
      <c r="D118" s="242"/>
      <c r="E118" s="242"/>
      <c r="F118" s="242"/>
      <c r="G118" s="242"/>
      <c r="H118" s="242"/>
      <c r="I118" s="243"/>
    </row>
    <row r="119" spans="1:9" ht="18.75" customHeight="1" x14ac:dyDescent="0.15">
      <c r="A119" s="4"/>
      <c r="B119" s="244"/>
      <c r="C119" s="245"/>
      <c r="D119" s="245"/>
      <c r="E119" s="245"/>
      <c r="F119" s="245"/>
      <c r="G119" s="245"/>
      <c r="H119" s="245"/>
      <c r="I119" s="246"/>
    </row>
    <row r="120" spans="1:9" ht="7.5" customHeight="1" x14ac:dyDescent="0.15">
      <c r="A120" s="4"/>
      <c r="B120" s="32"/>
      <c r="C120" s="32"/>
      <c r="D120" s="32"/>
      <c r="E120" s="32"/>
      <c r="F120" s="32"/>
      <c r="G120" s="32"/>
      <c r="H120" s="32"/>
      <c r="I120" s="32"/>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33"/>
      <c r="B134" s="33"/>
      <c r="C134" s="33"/>
      <c r="D134" s="33"/>
      <c r="E134" s="33"/>
      <c r="F134" s="33"/>
      <c r="G134" s="33"/>
      <c r="H134" s="33"/>
      <c r="I134" s="33"/>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election activeCell="E22" sqref="E22:I22"/>
    </sheetView>
  </sheetViews>
  <sheetFormatPr defaultColWidth="11.375" defaultRowHeight="22.5" customHeight="1" x14ac:dyDescent="0.15"/>
  <cols>
    <col min="1" max="3" width="2.875" style="1" customWidth="1"/>
    <col min="4" max="4" width="22.125" style="1" customWidth="1"/>
    <col min="5" max="5" width="30.875" style="1" customWidth="1"/>
    <col min="6" max="7" width="7.875" style="1" customWidth="1"/>
    <col min="8" max="9" width="30.875" style="1" customWidth="1"/>
    <col min="10" max="10" width="4.125" style="1" customWidth="1"/>
    <col min="11" max="16384" width="11.375" style="1"/>
  </cols>
  <sheetData>
    <row r="1" spans="1:9" ht="18.75" customHeight="1" x14ac:dyDescent="0.15">
      <c r="A1" s="1" t="s">
        <v>70</v>
      </c>
      <c r="I1" s="23" t="s">
        <v>104</v>
      </c>
    </row>
    <row r="2" spans="1:9" ht="18.75" customHeight="1" x14ac:dyDescent="0.15">
      <c r="H2" s="23" t="s">
        <v>108</v>
      </c>
      <c r="I2" s="22" t="str">
        <f>'様式１-1　プログラムを構成する授業科目'!C2</f>
        <v>函館短期大学</v>
      </c>
    </row>
    <row r="3" spans="1:9" ht="18.75" customHeight="1" x14ac:dyDescent="0.15">
      <c r="A3" s="190" t="s">
        <v>27</v>
      </c>
      <c r="B3" s="190"/>
      <c r="C3" s="190"/>
      <c r="D3" s="190"/>
      <c r="E3" s="190"/>
      <c r="F3" s="190"/>
      <c r="G3" s="190"/>
      <c r="H3" s="190"/>
      <c r="I3" s="190"/>
    </row>
    <row r="4" spans="1:9" ht="18.75" customHeight="1" x14ac:dyDescent="0.15">
      <c r="A4" s="5"/>
      <c r="B4" s="5"/>
      <c r="C4" s="5"/>
      <c r="D4" s="5"/>
      <c r="E4" s="5"/>
      <c r="F4" s="5"/>
      <c r="G4" s="5"/>
      <c r="H4" s="5"/>
      <c r="I4" s="5"/>
    </row>
    <row r="5" spans="1:9" ht="18.75" customHeight="1" x14ac:dyDescent="0.15">
      <c r="A5" s="1" t="s">
        <v>0</v>
      </c>
      <c r="B5" s="10" t="s">
        <v>94</v>
      </c>
      <c r="C5" s="5"/>
      <c r="D5" s="5"/>
      <c r="E5" s="5"/>
      <c r="F5" s="5"/>
      <c r="G5" s="5"/>
      <c r="H5" s="5"/>
      <c r="I5" s="5"/>
    </row>
    <row r="6" spans="1:9" ht="26.25" customHeight="1" x14ac:dyDescent="0.15">
      <c r="A6" s="5"/>
      <c r="B6" s="265" t="s">
        <v>156</v>
      </c>
      <c r="C6" s="294"/>
      <c r="D6" s="294"/>
      <c r="E6" s="294"/>
      <c r="F6" s="294"/>
      <c r="G6" s="294"/>
      <c r="H6" s="295"/>
      <c r="I6" s="3"/>
    </row>
    <row r="7" spans="1:9" ht="9" customHeight="1" x14ac:dyDescent="0.15">
      <c r="A7" s="5"/>
      <c r="B7" s="10"/>
      <c r="C7" s="10"/>
      <c r="D7" s="10"/>
      <c r="E7" s="10"/>
      <c r="F7" s="10"/>
      <c r="G7" s="10"/>
      <c r="H7" s="10"/>
      <c r="I7" s="3"/>
    </row>
    <row r="8" spans="1:9" ht="18.75" customHeight="1" x14ac:dyDescent="0.15">
      <c r="A8" s="5"/>
      <c r="B8" s="3"/>
      <c r="C8" s="3"/>
      <c r="D8" s="23" t="s">
        <v>42</v>
      </c>
      <c r="E8" s="24" t="s">
        <v>157</v>
      </c>
      <c r="F8" s="3"/>
      <c r="G8" s="23" t="s">
        <v>10</v>
      </c>
      <c r="H8" s="24" t="s">
        <v>151</v>
      </c>
      <c r="I8" s="3"/>
    </row>
    <row r="9" spans="1:9" ht="7.5" customHeight="1" x14ac:dyDescent="0.15">
      <c r="A9" s="5"/>
      <c r="B9" s="5"/>
      <c r="C9" s="5"/>
      <c r="D9" s="5"/>
      <c r="E9" s="5"/>
      <c r="F9" s="5"/>
      <c r="G9" s="5"/>
      <c r="H9" s="5"/>
      <c r="I9" s="5"/>
    </row>
    <row r="10" spans="1:9" ht="18.75" customHeight="1" x14ac:dyDescent="0.15">
      <c r="A10" s="1" t="s">
        <v>3</v>
      </c>
      <c r="B10" s="1" t="s">
        <v>26</v>
      </c>
      <c r="C10" s="4"/>
      <c r="D10" s="4"/>
      <c r="E10" s="4"/>
      <c r="F10" s="4"/>
      <c r="G10" s="4"/>
      <c r="H10" s="4"/>
      <c r="I10" s="4"/>
    </row>
    <row r="11" spans="1:9" ht="18.75" customHeight="1" x14ac:dyDescent="0.15">
      <c r="B11" s="248" t="s">
        <v>23</v>
      </c>
      <c r="C11" s="293"/>
      <c r="D11" s="249"/>
      <c r="E11" s="293" t="s">
        <v>25</v>
      </c>
      <c r="F11" s="293"/>
      <c r="G11" s="293"/>
      <c r="H11" s="293"/>
      <c r="I11" s="249"/>
    </row>
    <row r="12" spans="1:9" ht="26.25" customHeight="1" x14ac:dyDescent="0.15">
      <c r="B12" s="34" t="s">
        <v>13</v>
      </c>
      <c r="C12" s="41"/>
      <c r="D12" s="35"/>
      <c r="E12" s="42"/>
      <c r="F12" s="42"/>
      <c r="G12" s="42"/>
      <c r="H12" s="42"/>
      <c r="I12" s="35"/>
    </row>
    <row r="13" spans="1:9" ht="210.75" customHeight="1" x14ac:dyDescent="0.15">
      <c r="B13" s="36"/>
      <c r="C13" s="276" t="s">
        <v>14</v>
      </c>
      <c r="D13" s="277"/>
      <c r="E13" s="289" t="s">
        <v>167</v>
      </c>
      <c r="F13" s="278"/>
      <c r="G13" s="278"/>
      <c r="H13" s="278"/>
      <c r="I13" s="279"/>
    </row>
    <row r="14" spans="1:9" ht="210.75" customHeight="1" x14ac:dyDescent="0.15">
      <c r="B14" s="36"/>
      <c r="C14" s="291" t="s">
        <v>15</v>
      </c>
      <c r="D14" s="292"/>
      <c r="E14" s="289" t="s">
        <v>158</v>
      </c>
      <c r="F14" s="278"/>
      <c r="G14" s="278"/>
      <c r="H14" s="278"/>
      <c r="I14" s="279"/>
    </row>
    <row r="15" spans="1:9" ht="210.75" customHeight="1" x14ac:dyDescent="0.15">
      <c r="B15" s="36"/>
      <c r="C15" s="276" t="s">
        <v>16</v>
      </c>
      <c r="D15" s="277"/>
      <c r="E15" s="289" t="s">
        <v>159</v>
      </c>
      <c r="F15" s="278"/>
      <c r="G15" s="278"/>
      <c r="H15" s="278"/>
      <c r="I15" s="279"/>
    </row>
    <row r="16" spans="1:9" ht="210.75" customHeight="1" x14ac:dyDescent="0.15">
      <c r="B16" s="36"/>
      <c r="C16" s="276" t="s">
        <v>17</v>
      </c>
      <c r="D16" s="277"/>
      <c r="E16" s="289" t="s">
        <v>160</v>
      </c>
      <c r="F16" s="278"/>
      <c r="G16" s="278"/>
      <c r="H16" s="278"/>
      <c r="I16" s="279"/>
    </row>
    <row r="17" spans="2:9" ht="210.75" customHeight="1" x14ac:dyDescent="0.15">
      <c r="B17" s="37"/>
      <c r="C17" s="280" t="s">
        <v>18</v>
      </c>
      <c r="D17" s="281"/>
      <c r="E17" s="290" t="s">
        <v>161</v>
      </c>
      <c r="F17" s="282"/>
      <c r="G17" s="282"/>
      <c r="H17" s="282"/>
      <c r="I17" s="283"/>
    </row>
    <row r="18" spans="2:9" ht="24" customHeight="1" x14ac:dyDescent="0.15">
      <c r="B18" s="34" t="s">
        <v>19</v>
      </c>
      <c r="C18" s="38"/>
      <c r="D18" s="39"/>
      <c r="E18" s="40"/>
      <c r="F18" s="40"/>
      <c r="G18" s="40"/>
      <c r="H18" s="40"/>
      <c r="I18" s="43"/>
    </row>
    <row r="19" spans="2:9" ht="218.25" customHeight="1" x14ac:dyDescent="0.15">
      <c r="B19" s="36"/>
      <c r="C19" s="276" t="s">
        <v>20</v>
      </c>
      <c r="D19" s="277"/>
      <c r="E19" s="278" t="s">
        <v>162</v>
      </c>
      <c r="F19" s="278"/>
      <c r="G19" s="278"/>
      <c r="H19" s="278"/>
      <c r="I19" s="279"/>
    </row>
    <row r="20" spans="2:9" ht="218.25" customHeight="1" x14ac:dyDescent="0.15">
      <c r="B20" s="37"/>
      <c r="C20" s="280" t="s">
        <v>21</v>
      </c>
      <c r="D20" s="281"/>
      <c r="E20" s="282" t="s">
        <v>163</v>
      </c>
      <c r="F20" s="282"/>
      <c r="G20" s="282"/>
      <c r="H20" s="282"/>
      <c r="I20" s="283"/>
    </row>
    <row r="21" spans="2:9" ht="218.25" customHeight="1" x14ac:dyDescent="0.15">
      <c r="B21" s="284" t="s">
        <v>22</v>
      </c>
      <c r="C21" s="285"/>
      <c r="D21" s="286"/>
      <c r="E21" s="287" t="s">
        <v>164</v>
      </c>
      <c r="F21" s="287"/>
      <c r="G21" s="287"/>
      <c r="H21" s="287"/>
      <c r="I21" s="288"/>
    </row>
    <row r="22" spans="2:9" ht="218.25" customHeight="1" x14ac:dyDescent="0.15">
      <c r="B22" s="271" t="s">
        <v>37</v>
      </c>
      <c r="C22" s="272"/>
      <c r="D22" s="273"/>
      <c r="E22" s="274" t="s">
        <v>173</v>
      </c>
      <c r="F22" s="274"/>
      <c r="G22" s="274"/>
      <c r="H22" s="274"/>
      <c r="I22" s="275"/>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様式１-1　プログラムを構成する授業科目</vt:lpstr>
      <vt:lpstr>様式１-２　プログラムを構成する授業科目</vt:lpstr>
      <vt:lpstr>様式２ 履修者等数の実績</vt:lpstr>
      <vt:lpstr>様式３ 教育の質・履修者数を向上させるための体制・計画</vt:lpstr>
      <vt:lpstr>様式４　自己点検・評価</vt:lpstr>
      <vt:lpstr>'様式１-1　プログラムを構成する授業科目'!Print_Area</vt:lpstr>
      <vt:lpstr>'様式１-２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林原　和哉</cp:lastModifiedBy>
  <cp:lastPrinted>2023-07-19T07:00:52Z</cp:lastPrinted>
  <dcterms:created xsi:type="dcterms:W3CDTF">2011-06-14T05:32:50Z</dcterms:created>
  <dcterms:modified xsi:type="dcterms:W3CDTF">2023-07-19T07:05:27Z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