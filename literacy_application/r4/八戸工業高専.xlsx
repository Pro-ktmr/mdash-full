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M:\教務係長H300401～\01_教務\01_教務関係\数理・データサイエンス・AI教育プログラム関係\R40315_数理・データサイエンス・AI教育プログラムの認定等における公募について\八戸工業高等専門学校\01(八戸工業高等専門学校)_リテラシー\"/>
    </mc:Choice>
  </mc:AlternateContent>
  <xr:revisionPtr revIDLastSave="0" documentId="13_ncr:1_{1E7E5414-4C4F-46EC-9AB3-EBA40D894345}" xr6:coauthVersionLast="36" xr6:coauthVersionMax="36" xr10:uidLastSave="{00000000-0000-0000-0000-000000000000}"/>
  <bookViews>
    <workbookView xWindow="7755" yWindow="165" windowWidth="14025" windowHeight="15180"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R24" i="40"/>
  <c r="Q24" i="40"/>
  <c r="Q23" i="40"/>
  <c r="R23" i="40" s="1"/>
  <c r="Q22" i="40"/>
  <c r="R22" i="40" s="1"/>
  <c r="Q21" i="40"/>
  <c r="R21" i="40" s="1"/>
  <c r="Q20" i="40"/>
  <c r="R20" i="40" s="1"/>
  <c r="Q19" i="40"/>
  <c r="R19" i="40" s="1"/>
  <c r="Q18" i="40"/>
  <c r="R18" i="40" s="1"/>
  <c r="Q17" i="40"/>
  <c r="R17" i="40" s="1"/>
  <c r="R16" i="40"/>
  <c r="Q16" i="40"/>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<sst xmlns="http://schemas.openxmlformats.org/spreadsheetml/2006/main" count="352" uniqueCount="210">
  <si>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</si>
  <si>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</si>
  <si>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</si>
  <si>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</si>
  <si>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</si>
  <si>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</si>
  <si>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</si>
  <si>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</si>
  <si>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</si>
  <si>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</si>
  <si>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</si>
  <si>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</si>
  <si>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</si>
  <si>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</si>
  <si>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</si>
  <si>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</si>
  <si>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</si>
  <si>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</si>
  <si>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</si>
  <si>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</si>
  <si>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</si>
  <si>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</si>
  <si>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</si>
  <si>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</si>
  <si>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</si>
  <si>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</si>
  <si>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</si>
  <si>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</si>
  <si>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</si>
  <si>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</si>
  <si>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</si>
  <si>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</si>
  <si>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</si>
  <si>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</si>
  <si>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</si>
  <si>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</si>
  <si>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</si>
  <si>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</si>
  <si>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</si>
  <si>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</si>
  <si>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</si>
  <si>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</si>
  <si>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</si>
  <si>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</si>
  <si>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</si>
  <si>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</si>
  <si>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</si>
  <si>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</si>
  <si>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</si>
  <si>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</si>
  <si>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</si>
  <si>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</si>
  <si>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</si>
  <si>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</si>
  <si>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</si>
  <si>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</si>
  <si>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</si>
  <si>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</si>
  <si>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</si>
  <si>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</si>
  <si>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</si>
  <si>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</si>
  <si>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</si>
  <si>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</si>
  <si>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</si>
  <si>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</si>
  <si>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</si>
  <si>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</si>
  <si>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</si>
  <si>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</si>
  <si>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</si>
  <si>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</si>
  <si>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</si>
  <si>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</si>
  <si>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</si>
  <si>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</si>
  <si>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</si>
  <si>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</si>
  <si>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</si>
  <si>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</si>
  <si>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</si>
  <si>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</si>
  <si>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</si>
  <si>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</si>
  <si>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</si>
  <si>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</si>
  <si>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</si>
  <si>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</si>
  <si>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</si>
  <si>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</si>
  <si>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</si>
  <si>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</si>
  <si>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</si>
  <si>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</si>
  <si>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</si>
  <si>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</si>
  <si>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</si>
  <si>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</si>
  <si>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</si>
  <si>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</si>
  <si>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</si>
  <si>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</si>
  <si>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</si>
  <si>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</si>
  <si>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</si>
  <si>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</si>
  <si>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</si>
  <si>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</si>
  <si>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</si>
  <si>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</si>
  <si>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</si>
  <si>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</si>
  <si>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</si>
  <si>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</si>
  <si>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</si>
  <si>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</si>
  <si>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</si>
  <si>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</si>
  <si>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</si>
  <si>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</si>
  <si>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</si>
  <si>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</si>
  <si>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</si>
  <si>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</si>
  <si>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</si>
  <si>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</si>
  <si>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</si>
  <si>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</si>
  <si>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</si>
  <si>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</si>
  <si>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</si>
  <si>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</si>
  <si>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</si>
  <si>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</si>
  <si>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</si>
  <si>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</si>
  <si>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</si>
  <si>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</si>
  <si>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</si>
  <si>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</si>
  <si>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</si>
  <si>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</si>
  <si>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</si>
  <si>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</si>
  <si>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</si>
  <si>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</si>
  <si>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</si>
  <si>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八戸工業高等専門学校</t>
    <rPh sb="0" eb="10">
      <t>ハチノヘコウギョウコウトウセンモンガッコウ</t>
    </rPh>
    <phoneticPr fontId="2"/>
  </si>
  <si>
    <t>高等専門学校</t>
  </si>
  <si>
    <t>独立行政法人 国立高等専門学校機構</t>
    <phoneticPr fontId="1"/>
  </si>
  <si>
    <t>青森県八戸市大字田面木字上野平16番地1</t>
    <phoneticPr fontId="1"/>
  </si>
  <si>
    <t>数理・データサイエンス・AI教育プログラム認定制度（リテラシーレベル）</t>
    <phoneticPr fontId="1"/>
  </si>
  <si>
    <t>無</t>
  </si>
  <si>
    <t>学部・学科によって、修了要件は相違しない</t>
  </si>
  <si>
    <t>ものづくり基礎</t>
  </si>
  <si>
    <t>ものづくり基礎</t>
    <phoneticPr fontId="1"/>
  </si>
  <si>
    <t>○</t>
  </si>
  <si>
    <t>全学開講</t>
  </si>
  <si>
    <t>情報リテラシー</t>
  </si>
  <si>
    <t>応用数学Ⅱ</t>
  </si>
  <si>
    <t>圓山　重直</t>
    <rPh sb="0" eb="2">
      <t>マルヤマ</t>
    </rPh>
    <rPh sb="3" eb="4">
      <t>オモ</t>
    </rPh>
    <rPh sb="4" eb="5">
      <t>ナオ</t>
    </rPh>
    <phoneticPr fontId="1"/>
  </si>
  <si>
    <t>校長</t>
    <rPh sb="0" eb="2">
      <t>コウチョウ</t>
    </rPh>
    <phoneticPr fontId="1"/>
  </si>
  <si>
    <t>八戸工業高等専門学校　教育プログラム委員会</t>
    <rPh sb="0" eb="10">
      <t>ハチノヘコウギョウコウトウセンモンガッコウ</t>
    </rPh>
    <rPh sb="11" eb="13">
      <t>キョウイク</t>
    </rPh>
    <rPh sb="18" eb="21">
      <t>イインカイ</t>
    </rPh>
    <phoneticPr fontId="1"/>
  </si>
  <si>
    <t>長谷川　章</t>
    <rPh sb="0" eb="3">
      <t>ハセガワ</t>
    </rPh>
    <rPh sb="4" eb="5">
      <t>アキラ</t>
    </rPh>
    <phoneticPr fontId="1"/>
  </si>
  <si>
    <t>副校長（教務主事）</t>
    <rPh sb="0" eb="3">
      <t>フクコウチョウ</t>
    </rPh>
    <rPh sb="4" eb="8">
      <t>キョウムシュジ</t>
    </rPh>
    <phoneticPr fontId="1"/>
  </si>
  <si>
    <t>八戸工業高等専門学校　教育プログラム点検・評価委員会</t>
    <rPh sb="0" eb="10">
      <t>ハチノヘコウギョウコウトウセンモンガッコウ</t>
    </rPh>
    <rPh sb="11" eb="13">
      <t>キョウイク</t>
    </rPh>
    <rPh sb="18" eb="20">
      <t>テンケン</t>
    </rPh>
    <rPh sb="21" eb="23">
      <t>ヒョウカ</t>
    </rPh>
    <rPh sb="23" eb="26">
      <t>イインカイ</t>
    </rPh>
    <phoneticPr fontId="1"/>
  </si>
  <si>
    <t>野中　崇</t>
    <rPh sb="0" eb="2">
      <t>ノナカ</t>
    </rPh>
    <rPh sb="3" eb="4">
      <t>タカシ</t>
    </rPh>
    <phoneticPr fontId="1"/>
  </si>
  <si>
    <t>委員長</t>
    <rPh sb="0" eb="3">
      <t>イインチョウ</t>
    </rPh>
    <phoneticPr fontId="1"/>
  </si>
  <si>
    <t>認定教育プログラム</t>
  </si>
  <si>
    <t>学生課教務係</t>
    <rPh sb="0" eb="2">
      <t>ガクセイ</t>
    </rPh>
    <rPh sb="2" eb="3">
      <t>カ</t>
    </rPh>
    <rPh sb="3" eb="5">
      <t>キョウム</t>
    </rPh>
    <rPh sb="5" eb="6">
      <t>カカリ</t>
    </rPh>
    <phoneticPr fontId="1"/>
  </si>
  <si>
    <t>澤野　太地</t>
    <rPh sb="0" eb="2">
      <t>サワノ</t>
    </rPh>
    <rPh sb="3" eb="4">
      <t>タ</t>
    </rPh>
    <rPh sb="4" eb="5">
      <t>チ</t>
    </rPh>
    <phoneticPr fontId="1"/>
  </si>
  <si>
    <t>kyoumu-o@hachinohe-ct.ac.jp</t>
    <phoneticPr fontId="1"/>
  </si>
  <si>
    <t>0178-27-7234</t>
    <phoneticPr fontId="1"/>
  </si>
  <si>
    <t>機械・医工学コース</t>
    <rPh sb="0" eb="2">
      <t>キカイ</t>
    </rPh>
    <rPh sb="3" eb="6">
      <t>イコウガク</t>
    </rPh>
    <phoneticPr fontId="2"/>
  </si>
  <si>
    <t>電気情報工学コース</t>
    <rPh sb="0" eb="6">
      <t>デンキジョウホウコウガク</t>
    </rPh>
    <phoneticPr fontId="2"/>
  </si>
  <si>
    <t>マテリアル・バイオ工学コース</t>
    <rPh sb="9" eb="11">
      <t>コウガク</t>
    </rPh>
    <phoneticPr fontId="2"/>
  </si>
  <si>
    <t>環境都市・建築デザインコース</t>
    <rPh sb="0" eb="4">
      <t>カンキョウトシ</t>
    </rPh>
    <rPh sb="5" eb="7">
      <t>ケンチク</t>
    </rPh>
    <phoneticPr fontId="2"/>
  </si>
  <si>
    <t>八戸工業高等専門学校教育プログラム委員会</t>
    <phoneticPr fontId="1"/>
  </si>
  <si>
    <t>本校の教育プログラム点検評価委員会は、「卒業（修了）の認定に関する方針」、「教育課程の編成及び実施に関する方針」、「入学者の受入れに関する方針」の見直しと改善、及び自己点検・評価基準及び方法の見直しと改善に関して審議を行う。
本プログラムを含めて、すべてのカリキュラムに関して、カリキュラム設計、授業改善、授業点検、改善提案等PDCAサイクルを掌握しており教育プログラム改善に関する審議を行っている。</t>
    <phoneticPr fontId="1"/>
  </si>
  <si>
    <t>全コースの教育プログラムを必修科目で構成しており、カリキュラム上では在学中の適切な時期に対象科目を開講する。また、教員は、少人数教育という高専の特徴を活かしながら、オフィスアワー等を活用して学生の学習支援を行っている。さらに、基礎学習セミナーやメンター制度など本校独自の学習支援制度を活用したサポート体制を構築している。
施設面においては、全学にWi-Fi環境を整備し、授業等でラーニング・マネージメント・システムにアクセスできる環境を整えている。さらに図書館では学生が自由に利用できるパソコンを開放しているほか、貸出用ノートパソコンを用意している。</t>
    <phoneticPr fontId="1"/>
  </si>
  <si>
    <t>授業時間内外で教員が学生の学習指導、質問を受け付けが可能なオフィスアワーの時間帯を学生に公開し教員がサポートする体制を構築している。また、Microsoft365によるメールでの質問も可能となっている。その他、基礎学習セミナーやメンター制度によって授業時間以外における学習支援制度を設けている。</t>
    <phoneticPr fontId="1"/>
  </si>
  <si>
    <t>履修者の定期試験ごとの成績は、クラス担任のみならず教員会議等を通じて全教員が情報共有している。また、単位修得状況は、進級判定会議にて確認しているほか、学生自身がポートフォリオとして単位修得状況を確認するように指導している。
現時点では、留学生が本プログラム履修対象となっていないが、令和4年度のカリキュラム改定により、留学生を含む全学生が本プログラム履修対象となる予定である。</t>
    <phoneticPr fontId="1"/>
  </si>
  <si>
    <t>すべての開講科目について授業評価アンケートを実施している。本アンケートによれば、全体としてこの授業を理解できたかとの質問に対し「情報リテラシー」では98％、「ものづくり基礎」では、88％、「応用数学Ⅱ」では92％と非常に高い理解度が得られている。</t>
    <phoneticPr fontId="1"/>
  </si>
  <si>
    <t>本プログラムに対応した科目は、すべて必修科目となっており、本校の全コースの学生が履修している。そのため後輩等他の学生への推奨する状況は生まれない。また、本プログラムは開始まもなく、今後、学生向けに本プログラムの説明の機会を増やし、履修の参考となるよう情報を発信してく予定である。</t>
    <phoneticPr fontId="1"/>
  </si>
  <si>
    <t>申請時点において、本プログラムを修了した学生はいない。今後、本校産業技術振興会会員企業を対象とした学修成果アンケート調査を行うなど定量的な評価を実施する予定である。</t>
    <phoneticPr fontId="1"/>
  </si>
  <si>
    <t>教育研究、管理運営、地域連携等に関する事項に関して学外有識者からの助言を求めるため、評議員会を毎年開催している。さらに定期的な機関別認証評価など外部評価を受けている。今後、本プログラムの内容や手法についても外部評価を受けながら推進する計画である。</t>
    <phoneticPr fontId="1"/>
  </si>
  <si>
    <t>本プログラムを構成する科目は、モデルカリキュラムのリテラシーレベルに準じた内容としながら、実社会で情報やAIがどのように活用されているか、先進的な事例に触れながら授業を行っている。それぞれの科目の授業アンケート結果における授業内容の理解度も高く、学生は数理・データサイエンス・ＡＩを「学ぶ楽しさ」、「学ぶことの意義」を理解しながら受講している。</t>
    <phoneticPr fontId="1"/>
  </si>
  <si>
    <t>全開講科目の授業アンケート実施しており、アンケートの結果を授業担当教員へフィードバックすることによって年度ごとに改善される体制としている。また、授業担当教員が作成した資料等をラーニング・マネジメント・システムを通じて配布するなど学生自身が自学自習しやすい環境を整えている。</t>
    <phoneticPr fontId="1"/>
  </si>
  <si>
    <t>令和3</t>
    <phoneticPr fontId="1"/>
  </si>
  <si>
    <t>令和3年度以降入学した学生（留学生を除く）について、「情報リテラシー」、「ものづくり基礎」、「応用数学Ⅱ」の単位をすべて修得すること。</t>
    <phoneticPr fontId="1"/>
  </si>
  <si>
    <t>様式２－１</t>
    <phoneticPr fontId="1"/>
  </si>
  <si>
    <t>留学生を除く1年次入学者全員が本プログラムに関する科目を必修科目として受講する。また、令和4年度にカリキュラム改定を行い、1年次入学の留学生並びに3年次編入学の留学生のどちらも対象となるカリキュラム設計により、すべての学生がプログラムを受講可能となる体制を構築している。</t>
    <rPh sb="63" eb="64">
      <t>ジ</t>
    </rPh>
    <rPh sb="75" eb="76">
      <t>ジ</t>
    </rPh>
    <phoneticPr fontId="1"/>
  </si>
  <si>
    <t>令和3年度以降入学者は、留学生を除き全学生必修科目として設定されている。また、留学生については、令和4年度のカリキュラム改定によりプログラム対象としたため、令和4年度以降の入学者は全学生がプログラムを履修することができる。</t>
    <rPh sb="7" eb="10">
      <t>ニュウガクシャ</t>
    </rPh>
    <rPh sb="70" eb="72">
      <t>タイショウ</t>
    </rPh>
    <rPh sb="78" eb="80">
      <t>レイワ</t>
    </rPh>
    <rPh sb="81" eb="83">
      <t>ネンド</t>
    </rPh>
    <rPh sb="83" eb="85">
      <t>イコウ</t>
    </rPh>
    <rPh sb="86" eb="89">
      <t>ニュウガクシャ</t>
    </rPh>
    <rPh sb="100" eb="102">
      <t>リシュウ</t>
    </rPh>
    <phoneticPr fontId="1"/>
  </si>
  <si>
    <t>教員会議並びに進級判定会議にて全学生の履修・単位修得状況は把握されており、クラス担任から学生に対して適切な指導を行っている。また、すべての開講科目について授業評価アンケートを実施して学修成果の確認を行っている。授業評価アンケートからは、学生自身の授業への取り組み状況も非常に積極的であり、授業への満足度も高い結果が得られている。
授業評価の結果は、授業担当教員にフィードバックされ、翌年度以降の授業の改善に活用されている。</t>
    <rPh sb="107" eb="109">
      <t>ヒョウカ</t>
    </rPh>
    <phoneticPr fontId="1"/>
  </si>
  <si>
    <t>https://www.hachinohe-ct.ac.jp/schoolguide/datascience/index.php</t>
    <phoneticPr fontId="1"/>
  </si>
  <si>
    <t>・AI等を活用した新しいビジネスモデル(シェアリングエコノミー、商品のレコメンデーションなど)　
社会におけるテクノロジーの役割（2）　SDGsと社会の未来　「科目　ものづくり基礎」（3回目）
講演　地域経済の現状と社会の未来　「科目　ものづくり基礎」（7回目）</t>
    <phoneticPr fontId="1"/>
  </si>
  <si>
    <t>・データ表現（棒グラフ、折線グラフ、散布図）、
データ整理（２）　２次元データ　「科目　応用数学Ⅱ」（4回目）</t>
    <phoneticPr fontId="1"/>
  </si>
  <si>
    <t>・データ・AI活用領域の広がり(消費)、物流、販売、マーケティング
社会におけるテクノロジーの役割（2）　SDGsと社会の未来　「科目　ものづくり基礎」（3回目）
講演　地域経済の現状と社会の未来　「科目　ものづくり基礎」（7回目）</t>
    <rPh sb="16" eb="18">
      <t>ショウヒ</t>
    </rPh>
    <rPh sb="20" eb="22">
      <t>ブツリュウ</t>
    </rPh>
    <rPh sb="23" eb="25">
      <t>ハンバイ</t>
    </rPh>
    <phoneticPr fontId="1"/>
  </si>
  <si>
    <t>・データ解析：予測、パターン発見
社会におけるテクノロジーの役割（2）　SDGsと社会の未来　「科目　ものづくり基礎」（3回目）
講演　地域経済の現状と社会の未来　「科目　ものづくり基礎」（7回目）</t>
    <phoneticPr fontId="1"/>
  </si>
  <si>
    <t>・流通、製造、金融、サービス、インフラ、公共、ヘルスケア等におけるデータ・AI利活用事例紹介
社会におけるテクノロジーの役割（2）　SDGsと社会の未来　「科目　ものづくり基礎」（3回目）
講演　地域経済の現状と社会の未来　「科目　ものづくり基礎」（7回目）</t>
    <phoneticPr fontId="1"/>
  </si>
  <si>
    <t>・ビッグデータ、AI、ロボット、第4次産業革命、Society 5.0、データ駆動型社会、
社会におけるテクノロジーの役割（2）　SDGsと社会の未来　「科目　ものづくり基礎」（3回目）
講演　地域経済の現状と社会の未来　「科目　ものづくり基礎」（7回目）</t>
    <rPh sb="77" eb="79">
      <t>カモク</t>
    </rPh>
    <rPh sb="90" eb="91">
      <t>カイ</t>
    </rPh>
    <rPh sb="91" eb="92">
      <t>メ</t>
    </rPh>
    <phoneticPr fontId="1"/>
  </si>
  <si>
    <t>・調査データ、実験データ、人の行動ログデータ
社会におけるテクノロジーの役割（2）　SDGsと社会の未来　「科目　ものづくり基礎」（3回目）
講演　地域経済の現状と社会の未来　「科目　ものづくり基礎」（7回目）</t>
    <phoneticPr fontId="1"/>
  </si>
  <si>
    <t>・個人情報保護
「個人情報と知的財産」「ネットにおけるコミュニケーションとマナー」　「科目　情報リテラシー」（5回目）</t>
    <rPh sb="43" eb="45">
      <t>カモク</t>
    </rPh>
    <rPh sb="56" eb="58">
      <t>カイメ</t>
    </rPh>
    <phoneticPr fontId="1"/>
  </si>
  <si>
    <t>・情報セキュリティ：機密性、完全性、可用性、暗号化、パスワード
「情報セキュリティとネット被害」　「科目　情報リテラシー」（7回目）</t>
    <rPh sb="63" eb="65">
      <t>カイメ</t>
    </rPh>
    <phoneticPr fontId="1"/>
  </si>
  <si>
    <t>・代表値（平均値）、データのばらつき（分散、標準偏差、偏差値）
データ整理（１）　１次元データ　「科目　応用数学Ⅱ」（3回目）
・母集団と標本抽出
統計的推測　「科目　応用数学Ⅱ」（6回目）</t>
    <rPh sb="49" eb="51">
      <t>カモク</t>
    </rPh>
    <phoneticPr fontId="1"/>
  </si>
  <si>
    <t>・データの集計（和、平均）、データ解析ツール（スプレッドシート）
データ整理（１）　１次元データ　「科目　応用数学Ⅱ」（3回目）</t>
    <phoneticPr fontId="1"/>
  </si>
  <si>
    <t>本プログラムに関わる科目はすべて必修科目として設定しているため、令和3年度以降入学者の留学生を除く全員が、本プログラム履修する。また、留学生についても令和4年度のカリキュラム改定によって本プログラムが履修可能となり、令和7年度以降は、留学生を含む全学生が履修する予定である。</t>
    <phoneticPr fontId="1"/>
  </si>
  <si>
    <t>プログラム認定に必要な科目をすべて必修科目とすることで履修申請漏れを防ぎ、全学生が履修するようにカリキュラムを構築した。また、本プログラムについて入学後のガイダンスにて周知するとともに、本校WEBサイトに専用ページを掲載し、学生が情報を受け取りやすい環境を整備している。</t>
    <phoneticPr fontId="1"/>
  </si>
  <si>
    <t>デジタル社会の「読み・書き・そろばん」である数理・データサイエンス・AIの基礎的素養とデータを分析する基本的能力
社会情勢や社会での実例を学び、人間中心の適切な判断ができ、変化する社会で活躍しようとする向上心</t>
    <phoneticPr fontId="1"/>
  </si>
  <si>
    <t>教育プログラム委員会の構成員は次のとおりである。
（教務主事）　産業システム工学科　教授　長谷川　章
（専攻科長）　産業システム工学科　教授　丸岡　晃
（教育プログラム計画委員長）　総合科学教育科　准教授　馬場　秋雄
（教育プログラム点検・評価委員長）　産業システム工学科　教授　野中　崇
（産業システム工学科機械・医工学コース長）　産業システム工学科　准教授　村山　和裕
（産業システム工学科電気情報工学コース長）　産業システム工学科　教授　野中　崇　
（産業システム工学科マテリアル・バイオ工学コース長）　産業システム工学科　教授　齊藤　貴之
（産業システム工学科環境都市・建築デザインコース長）　産業システム工学科　教授　藤原　広和
（総合科学教育科長）　総合科学教育科　教授　菊地　康昭</t>
    <rPh sb="33" eb="35">
      <t>サンギョウ</t>
    </rPh>
    <rPh sb="39" eb="42">
      <t>コウガクカ</t>
    </rPh>
    <rPh sb="43" eb="45">
      <t>キョウジュ</t>
    </rPh>
    <rPh sb="46" eb="49">
      <t>ハセガワ</t>
    </rPh>
    <rPh sb="50" eb="51">
      <t>アキラ</t>
    </rPh>
    <rPh sb="59" eb="61">
      <t>サンギョウ</t>
    </rPh>
    <rPh sb="65" eb="68">
      <t>コウガクカ</t>
    </rPh>
    <rPh sb="69" eb="71">
      <t>キョウジュ</t>
    </rPh>
    <rPh sb="72" eb="74">
      <t>マルオカ</t>
    </rPh>
    <rPh sb="75" eb="76">
      <t>アキラ</t>
    </rPh>
    <rPh sb="92" eb="94">
      <t>ソウゴウ</t>
    </rPh>
    <rPh sb="94" eb="96">
      <t>カガク</t>
    </rPh>
    <rPh sb="96" eb="98">
      <t>キョウイク</t>
    </rPh>
    <rPh sb="98" eb="99">
      <t>カ</t>
    </rPh>
    <rPh sb="100" eb="103">
      <t>ジュンキョウジュ</t>
    </rPh>
    <rPh sb="104" eb="106">
      <t>ババ</t>
    </rPh>
    <rPh sb="107" eb="109">
      <t>アキオ</t>
    </rPh>
    <rPh sb="128" eb="130">
      <t>サンギョウ</t>
    </rPh>
    <rPh sb="134" eb="137">
      <t>コウガクカ</t>
    </rPh>
    <rPh sb="138" eb="140">
      <t>キョウジュ</t>
    </rPh>
    <rPh sb="141" eb="143">
      <t>ノナカ</t>
    </rPh>
    <rPh sb="144" eb="145">
      <t>タカシ</t>
    </rPh>
    <rPh sb="147" eb="149">
      <t>サンギョウ</t>
    </rPh>
    <rPh sb="153" eb="156">
      <t>コウガクカ</t>
    </rPh>
    <rPh sb="156" eb="158">
      <t>キカイ</t>
    </rPh>
    <rPh sb="159" eb="161">
      <t>イコウ</t>
    </rPh>
    <rPh sb="161" eb="162">
      <t>ガク</t>
    </rPh>
    <rPh sb="165" eb="166">
      <t>チョウ</t>
    </rPh>
    <rPh sb="168" eb="170">
      <t>サンギョウ</t>
    </rPh>
    <rPh sb="174" eb="177">
      <t>コウガクカ</t>
    </rPh>
    <rPh sb="178" eb="181">
      <t>ジュンキョウジュ</t>
    </rPh>
    <rPh sb="182" eb="184">
      <t>ムラヤマ</t>
    </rPh>
    <rPh sb="185" eb="187">
      <t>カズヒロ</t>
    </rPh>
    <rPh sb="189" eb="191">
      <t>サンギョウ</t>
    </rPh>
    <rPh sb="195" eb="198">
      <t>コウガクカ</t>
    </rPh>
    <rPh sb="198" eb="200">
      <t>デンキ</t>
    </rPh>
    <rPh sb="200" eb="202">
      <t>ジョウホウ</t>
    </rPh>
    <rPh sb="202" eb="204">
      <t>コウガク</t>
    </rPh>
    <rPh sb="207" eb="208">
      <t>チョウ</t>
    </rPh>
    <rPh sb="210" eb="212">
      <t>サンギョウ</t>
    </rPh>
    <rPh sb="216" eb="219">
      <t>コウガクカ</t>
    </rPh>
    <rPh sb="220" eb="222">
      <t>キョウジュ</t>
    </rPh>
    <rPh sb="223" eb="225">
      <t>ノナカ</t>
    </rPh>
    <rPh sb="226" eb="227">
      <t>タカシ</t>
    </rPh>
    <rPh sb="230" eb="232">
      <t>サンギョウ</t>
    </rPh>
    <rPh sb="236" eb="239">
      <t>コウガクカ</t>
    </rPh>
    <rPh sb="253" eb="254">
      <t>チョウ</t>
    </rPh>
    <rPh sb="256" eb="258">
      <t>サンギョウ</t>
    </rPh>
    <rPh sb="262" eb="265">
      <t>コウガクカ</t>
    </rPh>
    <rPh sb="266" eb="268">
      <t>キョウジュ</t>
    </rPh>
    <rPh sb="269" eb="271">
      <t>サイトウ</t>
    </rPh>
    <rPh sb="272" eb="274">
      <t>タカユキ</t>
    </rPh>
    <rPh sb="276" eb="278">
      <t>サンギョウ</t>
    </rPh>
    <rPh sb="282" eb="285">
      <t>コウガクカ</t>
    </rPh>
    <rPh sb="285" eb="299">
      <t>カ</t>
    </rPh>
    <rPh sb="299" eb="300">
      <t>チョウ</t>
    </rPh>
    <rPh sb="302" eb="304">
      <t>サンギョウ</t>
    </rPh>
    <rPh sb="308" eb="311">
      <t>コウガクカ</t>
    </rPh>
    <rPh sb="312" eb="314">
      <t>キョウジュ</t>
    </rPh>
    <rPh sb="315" eb="317">
      <t>フジワラ</t>
    </rPh>
    <rPh sb="318" eb="320">
      <t>ヒロカズ</t>
    </rPh>
    <rPh sb="332" eb="334">
      <t>ソウゴウ</t>
    </rPh>
    <rPh sb="334" eb="336">
      <t>カガク</t>
    </rPh>
    <rPh sb="336" eb="338">
      <t>キョウイク</t>
    </rPh>
    <rPh sb="338" eb="339">
      <t>カ</t>
    </rPh>
    <rPh sb="340" eb="342">
      <t>キョウジュ</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</si>
</sst>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name val="ＭＳ Ｐゴシック"/>
      <family val="2"/>
      <charset val="128"/>
      <scheme val="minor"/>
    </font>
    <font>
      <u/>
      <sz val="11"/>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0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9" fillId="0" borderId="10" xfId="0" applyFont="1" applyBorder="1" applyAlignment="1">
      <alignment vertical="center" shrinkToFit="1"/>
    </xf>
    <xf numFmtId="0" fontId="8" fillId="0" borderId="0" xfId="0" applyFont="1" applyAlignment="1">
      <alignment horizontal="center" vertical="center" shrinkToFit="1"/>
    </xf>
    <xf numFmtId="0" fontId="8" fillId="0" borderId="0" xfId="0" applyFont="1" applyBorder="1" applyAlignment="1">
      <alignment horizontal="center" vertical="center"/>
    </xf>
    <xf numFmtId="0" fontId="18" fillId="0" borderId="20" xfId="0" applyFont="1" applyBorder="1" applyAlignment="1">
      <alignment vertical="top" shrinkToFit="1"/>
    </xf>
    <xf numFmtId="0" fontId="18" fillId="0" borderId="18" xfId="0" applyFont="1" applyBorder="1" applyAlignment="1">
      <alignment vertical="top"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2" xfId="0" applyNumberFormat="1" applyFont="1" applyFill="1" applyBorder="1" applyAlignment="1">
      <alignment horizontal="center" vertical="center" shrinkToFit="1"/>
    </xf>
    <xf numFmtId="176" fontId="8" fillId="0" borderId="3"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20" fillId="0" borderId="2" xfId="0" applyFont="1" applyBorder="1">
      <alignment vertical="center"/>
    </xf>
    <xf numFmtId="0" fontId="20" fillId="0" borderId="3" xfId="0" applyFont="1" applyBorder="1">
      <alignment vertical="center"/>
    </xf>
    <xf numFmtId="0" fontId="20" fillId="0" borderId="4" xfId="0" applyFont="1" applyBorder="1">
      <alignment vertical="center"/>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8" fillId="0" borderId="2" xfId="0" applyFont="1" applyFill="1" applyBorder="1" applyAlignment="1">
      <alignment vertical="center" shrinkToFit="1"/>
    </xf>
    <xf numFmtId="0" fontId="8" fillId="0" borderId="3" xfId="0" applyFont="1" applyFill="1" applyBorder="1" applyAlignment="1">
      <alignment vertical="center" shrinkToFit="1"/>
    </xf>
    <xf numFmtId="0" fontId="8" fillId="0" borderId="4" xfId="0" applyFont="1" applyFill="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41" xfId="0" applyFont="1" applyBorder="1" applyAlignment="1">
      <alignment horizontal="left" vertical="center" wrapText="1" shrinkToFit="1"/>
    </xf>
    <xf numFmtId="0" fontId="8" fillId="0" borderId="0" xfId="0" applyFont="1" applyAlignment="1">
      <alignment vertical="center" wrapText="1"/>
    </xf>
    <xf numFmtId="0" fontId="17" fillId="0" borderId="0" xfId="0" applyFont="1" applyAlignment="1">
      <alignment horizontal="center" vertical="center"/>
    </xf>
    <xf numFmtId="0" fontId="8" fillId="0" borderId="7" xfId="0" applyFont="1" applyBorder="1" applyAlignment="1">
      <alignment horizontal="left" vertical="top"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vertical="center" wrapText="1"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8" fillId="0" borderId="39" xfId="0" applyFont="1" applyBorder="1" applyAlignment="1">
      <alignment vertical="center" wrapText="1" shrinkToFit="1"/>
    </xf>
    <xf numFmtId="0" fontId="8" fillId="0" borderId="6" xfId="0" applyFont="1" applyBorder="1" applyAlignment="1">
      <alignment vertical="center" wrapText="1"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20" fillId="0" borderId="32" xfId="0" applyFont="1" applyBorder="1" applyAlignment="1">
      <alignment vertical="center" wrapText="1"/>
    </xf>
    <xf numFmtId="0" fontId="8" fillId="0" borderId="20"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xf>
    <xf numFmtId="0" fontId="8" fillId="0" borderId="22" xfId="0" applyFont="1" applyBorder="1" applyAlignment="1">
      <alignment vertical="top" wrapText="1"/>
    </xf>
    <xf numFmtId="0" fontId="8" fillId="0" borderId="21" xfId="0" applyFont="1" applyBorder="1" applyAlignment="1">
      <alignment vertical="top" wrapText="1"/>
    </xf>
    <xf numFmtId="0" fontId="8" fillId="0" borderId="5" xfId="0" applyFont="1" applyBorder="1" applyAlignment="1">
      <alignment vertical="top" wrapText="1"/>
    </xf>
    <xf numFmtId="0" fontId="8" fillId="0" borderId="0" xfId="0" applyFont="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2" fillId="0" borderId="2" xfId="2" applyFont="1" applyFill="1" applyBorder="1" applyAlignment="1">
      <alignment horizontal="center" vertical="center" shrinkToFit="1"/>
    </xf>
    <xf numFmtId="0" fontId="23" fillId="0" borderId="3" xfId="2" applyFont="1" applyFill="1" applyBorder="1" applyAlignment="1">
      <alignment horizontal="center" vertical="center" shrinkToFit="1"/>
    </xf>
    <xf numFmtId="0" fontId="23" fillId="0" borderId="4" xfId="2" applyFont="1" applyFill="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1" defaultTableStyle="TableStyleMedium9" defaultPivotStyle="PivotStyleLight16">
    <tableStyle name="Invisible" pivot="0" table="0" count="0" xr9:uid="{81ABD042-0C0E-4521-86BA-5976CA0156F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I14" sqref="I14:J14"/>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9" t="s">
        <v>25</v>
      </c>
      <c r="N1" s="139"/>
    </row>
    <row r="2" spans="1:15" ht="24" customHeight="1" x14ac:dyDescent="0.15">
      <c r="A2" s="145" t="s">
        <v>82</v>
      </c>
      <c r="B2" s="145"/>
      <c r="C2" s="145"/>
      <c r="D2" s="145"/>
      <c r="E2" s="145"/>
      <c r="F2" s="145"/>
      <c r="G2" s="145"/>
      <c r="H2" s="145"/>
      <c r="I2" s="145"/>
      <c r="J2" s="145"/>
      <c r="K2" s="145"/>
      <c r="L2" s="145"/>
      <c r="M2" s="145"/>
      <c r="N2" s="145"/>
    </row>
    <row r="3" spans="1:15" ht="24" customHeight="1" x14ac:dyDescent="0.15"/>
    <row r="4" spans="1:15" ht="24" customHeight="1" x14ac:dyDescent="0.15">
      <c r="A4" s="14" t="s">
        <v>6</v>
      </c>
      <c r="B4" s="15" t="s">
        <v>16</v>
      </c>
      <c r="C4" s="131" t="s">
        <v>147</v>
      </c>
      <c r="D4" s="132"/>
      <c r="E4" s="132"/>
      <c r="F4" s="132"/>
      <c r="G4" s="132"/>
      <c r="H4" s="132"/>
      <c r="I4" s="132"/>
      <c r="J4" s="132"/>
      <c r="K4" s="132"/>
      <c r="L4" s="132"/>
      <c r="M4" s="132"/>
      <c r="N4" s="138"/>
      <c r="O4" s="31" t="str">
        <f>IF(C4="","入力してください","")</f>
        <v/>
      </c>
    </row>
    <row r="5" spans="1:15" ht="7.5" customHeight="1" x14ac:dyDescent="0.15">
      <c r="B5" s="15"/>
      <c r="C5" s="15"/>
      <c r="D5" s="15"/>
      <c r="E5" s="16"/>
      <c r="F5" s="35"/>
      <c r="G5" s="35"/>
      <c r="H5" s="35"/>
      <c r="I5" s="35"/>
      <c r="J5" s="35"/>
      <c r="K5" s="35"/>
      <c r="L5" s="35"/>
      <c r="M5" s="35"/>
      <c r="N5" s="35"/>
    </row>
    <row r="6" spans="1:15" ht="24" customHeight="1" x14ac:dyDescent="0.15">
      <c r="A6" s="14" t="s">
        <v>48</v>
      </c>
      <c r="B6" s="15" t="s">
        <v>49</v>
      </c>
      <c r="C6" s="15"/>
      <c r="D6" s="131" t="s">
        <v>149</v>
      </c>
      <c r="E6" s="132"/>
      <c r="F6" s="132"/>
      <c r="G6" s="132"/>
      <c r="H6" s="138"/>
      <c r="I6" s="17" t="s">
        <v>85</v>
      </c>
      <c r="J6" s="35" t="s">
        <v>86</v>
      </c>
      <c r="K6" s="131" t="s">
        <v>148</v>
      </c>
      <c r="L6" s="132"/>
      <c r="M6" s="132"/>
      <c r="N6" s="138"/>
      <c r="O6" s="31" t="str">
        <f>IF(D6="","入力してください","")</f>
        <v/>
      </c>
    </row>
    <row r="7" spans="1:15" ht="7.5" customHeight="1" x14ac:dyDescent="0.15">
      <c r="B7" s="15"/>
      <c r="C7" s="15"/>
      <c r="D7" s="15"/>
      <c r="E7" s="16"/>
      <c r="F7" s="35"/>
      <c r="G7" s="35"/>
      <c r="H7" s="35"/>
      <c r="I7" s="35"/>
      <c r="J7" s="35"/>
      <c r="K7" s="35"/>
      <c r="L7" s="35"/>
      <c r="M7" s="35"/>
      <c r="N7" s="35"/>
    </row>
    <row r="8" spans="1:15" ht="24" customHeight="1" x14ac:dyDescent="0.15">
      <c r="A8" s="14" t="s">
        <v>13</v>
      </c>
      <c r="B8" s="15" t="s">
        <v>45</v>
      </c>
      <c r="C8" s="131" t="s">
        <v>150</v>
      </c>
      <c r="D8" s="132"/>
      <c r="E8" s="132"/>
      <c r="F8" s="132"/>
      <c r="G8" s="132"/>
      <c r="H8" s="132"/>
      <c r="I8" s="132"/>
      <c r="J8" s="132"/>
      <c r="K8" s="132"/>
      <c r="L8" s="132"/>
      <c r="M8" s="132"/>
      <c r="N8" s="138"/>
      <c r="O8" s="31" t="str">
        <f>IF(C8="","入力してください","")</f>
        <v/>
      </c>
    </row>
    <row r="9" spans="1:15" ht="7.5" customHeight="1" x14ac:dyDescent="0.15">
      <c r="B9" s="15"/>
      <c r="C9" s="15"/>
      <c r="D9" s="15"/>
      <c r="E9" s="16"/>
      <c r="F9" s="35"/>
      <c r="G9" s="35"/>
      <c r="H9" s="35"/>
      <c r="I9" s="35"/>
      <c r="J9" s="35"/>
      <c r="K9" s="35"/>
      <c r="L9" s="35"/>
      <c r="M9" s="35"/>
      <c r="N9" s="35"/>
    </row>
    <row r="10" spans="1:15" ht="24" customHeight="1" x14ac:dyDescent="0.15">
      <c r="A10" s="14" t="s">
        <v>11</v>
      </c>
      <c r="B10" s="15" t="s">
        <v>84</v>
      </c>
      <c r="C10" s="15"/>
      <c r="D10" s="15"/>
      <c r="E10" s="131" t="s">
        <v>151</v>
      </c>
      <c r="F10" s="132"/>
      <c r="G10" s="132"/>
      <c r="H10" s="132"/>
      <c r="I10" s="132"/>
      <c r="J10" s="132"/>
      <c r="K10" s="132"/>
      <c r="L10" s="132"/>
      <c r="M10" s="132"/>
      <c r="N10" s="138"/>
      <c r="O10" s="31" t="str">
        <f>IF(E10="","入力してください","")</f>
        <v/>
      </c>
    </row>
    <row r="11" spans="1:15" ht="7.5" customHeight="1" x14ac:dyDescent="0.15">
      <c r="B11" s="16"/>
      <c r="C11" s="16"/>
      <c r="D11" s="16"/>
      <c r="E11" s="16"/>
      <c r="F11" s="35"/>
      <c r="G11" s="35"/>
      <c r="H11" s="35"/>
      <c r="I11" s="35"/>
      <c r="J11" s="35"/>
      <c r="K11" s="35"/>
      <c r="L11" s="35"/>
      <c r="M11" s="35"/>
      <c r="N11" s="35"/>
    </row>
    <row r="12" spans="1:15" ht="24" customHeight="1" x14ac:dyDescent="0.15">
      <c r="A12" s="14" t="s">
        <v>57</v>
      </c>
      <c r="B12" s="16" t="s">
        <v>58</v>
      </c>
      <c r="C12" s="16"/>
      <c r="D12" s="16"/>
      <c r="E12" s="146" t="s">
        <v>188</v>
      </c>
      <c r="F12" s="147"/>
      <c r="G12" s="17" t="s">
        <v>95</v>
      </c>
      <c r="H12" s="14" t="s">
        <v>96</v>
      </c>
      <c r="N12" s="113" t="s">
        <v>152</v>
      </c>
      <c r="O12" s="31" t="str">
        <f>IF(E12="","入力してください","")</f>
        <v/>
      </c>
    </row>
    <row r="13" spans="1:15" ht="7.5" customHeight="1" x14ac:dyDescent="0.15">
      <c r="B13" s="16"/>
      <c r="C13" s="16"/>
      <c r="D13" s="16"/>
      <c r="E13" s="16"/>
      <c r="F13" s="35"/>
      <c r="G13" s="35"/>
      <c r="H13" s="35"/>
      <c r="I13" s="35"/>
      <c r="J13" s="35"/>
      <c r="K13" s="35"/>
      <c r="L13" s="35"/>
      <c r="M13" s="35"/>
      <c r="N13" s="35"/>
    </row>
    <row r="14" spans="1:15" ht="24" customHeight="1" x14ac:dyDescent="0.15">
      <c r="A14" s="14" t="s">
        <v>53</v>
      </c>
      <c r="B14" s="14" t="s">
        <v>0</v>
      </c>
      <c r="C14" s="140" t="s">
        <v>5</v>
      </c>
      <c r="D14" s="141"/>
      <c r="E14" s="142">
        <v>65</v>
      </c>
      <c r="F14" s="144"/>
      <c r="G14" s="18" t="s">
        <v>7</v>
      </c>
      <c r="I14" s="140" t="s">
        <v>8</v>
      </c>
      <c r="J14" s="141"/>
      <c r="K14" s="142">
        <v>43</v>
      </c>
      <c r="L14" s="143"/>
      <c r="M14" s="144"/>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59</v>
      </c>
      <c r="B16" s="14" t="s">
        <v>69</v>
      </c>
      <c r="F16" s="20"/>
      <c r="G16" s="20"/>
      <c r="H16" s="20"/>
      <c r="I16" s="20"/>
      <c r="J16" s="20"/>
      <c r="K16" s="123">
        <v>4</v>
      </c>
      <c r="L16" s="124"/>
      <c r="M16" s="125"/>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76</v>
      </c>
      <c r="E18" s="135">
        <v>160</v>
      </c>
      <c r="F18" s="136"/>
      <c r="G18" s="21" t="s">
        <v>21</v>
      </c>
      <c r="H18" s="20"/>
      <c r="K18" s="137"/>
      <c r="L18" s="137"/>
      <c r="M18" s="137"/>
      <c r="N18" s="137"/>
      <c r="O18" s="31" t="str">
        <f>IF(E18="","入力してください","")</f>
        <v/>
      </c>
    </row>
    <row r="19" spans="1:15" ht="7.5" customHeight="1" x14ac:dyDescent="0.15">
      <c r="E19" s="10"/>
      <c r="F19" s="20"/>
      <c r="G19" s="20"/>
      <c r="L19" s="34"/>
      <c r="M19" s="34"/>
      <c r="N19" s="22"/>
    </row>
    <row r="20" spans="1:15" ht="24" customHeight="1" x14ac:dyDescent="0.15">
      <c r="A20" s="14" t="s">
        <v>75</v>
      </c>
      <c r="B20" s="14" t="s">
        <v>77</v>
      </c>
      <c r="E20" s="10"/>
      <c r="F20" s="20"/>
      <c r="G20" s="20"/>
      <c r="H20" s="14" t="s">
        <v>52</v>
      </c>
      <c r="J20" s="126">
        <v>835</v>
      </c>
      <c r="K20" s="127"/>
      <c r="L20" s="128"/>
      <c r="M20" s="34" t="s">
        <v>51</v>
      </c>
      <c r="N20" s="22"/>
      <c r="O20" s="31" t="str">
        <f>IF(J20="","入力してください","")</f>
        <v/>
      </c>
    </row>
    <row r="21" spans="1:15" ht="7.5" customHeight="1" x14ac:dyDescent="0.15">
      <c r="E21" s="10"/>
      <c r="F21" s="20"/>
      <c r="G21" s="20"/>
      <c r="L21" s="120"/>
      <c r="M21" s="34"/>
      <c r="N21" s="22"/>
    </row>
    <row r="22" spans="1:15" ht="24" customHeight="1" x14ac:dyDescent="0.15">
      <c r="B22" s="29" t="s">
        <v>17</v>
      </c>
      <c r="C22" s="135">
        <v>173</v>
      </c>
      <c r="D22" s="136"/>
      <c r="E22" s="10" t="s">
        <v>22</v>
      </c>
      <c r="F22" s="20"/>
      <c r="G22" s="129" t="s">
        <v>18</v>
      </c>
      <c r="H22" s="129"/>
      <c r="I22" s="135">
        <v>169</v>
      </c>
      <c r="J22" s="136"/>
      <c r="K22" s="17" t="s">
        <v>22</v>
      </c>
      <c r="M22" s="34"/>
      <c r="N22" s="22"/>
    </row>
    <row r="23" spans="1:15" ht="7.5" customHeight="1" x14ac:dyDescent="0.15">
      <c r="B23" s="29"/>
      <c r="C23" s="11"/>
      <c r="D23" s="11"/>
      <c r="E23" s="10"/>
      <c r="F23" s="20"/>
      <c r="G23" s="34"/>
      <c r="H23" s="34"/>
      <c r="I23" s="11"/>
      <c r="J23" s="11"/>
      <c r="K23" s="17"/>
      <c r="M23" s="34"/>
      <c r="N23" s="22"/>
    </row>
    <row r="24" spans="1:15" ht="24" customHeight="1" x14ac:dyDescent="0.15">
      <c r="B24" s="29" t="s">
        <v>19</v>
      </c>
      <c r="C24" s="135">
        <v>183</v>
      </c>
      <c r="D24" s="136"/>
      <c r="E24" s="10" t="s">
        <v>22</v>
      </c>
      <c r="F24" s="20"/>
      <c r="G24" s="129" t="s">
        <v>20</v>
      </c>
      <c r="H24" s="129"/>
      <c r="I24" s="135">
        <v>150</v>
      </c>
      <c r="J24" s="136"/>
      <c r="K24" s="17" t="s">
        <v>22</v>
      </c>
      <c r="M24" s="34"/>
      <c r="N24" s="22"/>
    </row>
    <row r="25" spans="1:15" ht="7.5" customHeight="1" x14ac:dyDescent="0.15">
      <c r="B25" s="29"/>
      <c r="C25" s="11"/>
      <c r="D25" s="11"/>
      <c r="E25" s="10"/>
      <c r="F25" s="20"/>
      <c r="G25" s="34"/>
      <c r="H25" s="34"/>
      <c r="I25" s="11"/>
      <c r="J25" s="11"/>
      <c r="K25" s="17"/>
      <c r="M25" s="34"/>
      <c r="N25" s="22"/>
    </row>
    <row r="26" spans="1:15" ht="24" customHeight="1" x14ac:dyDescent="0.15">
      <c r="B26" s="29" t="s">
        <v>46</v>
      </c>
      <c r="C26" s="135">
        <v>160</v>
      </c>
      <c r="D26" s="136"/>
      <c r="E26" s="10" t="s">
        <v>7</v>
      </c>
      <c r="F26" s="20"/>
      <c r="G26" s="129" t="s">
        <v>47</v>
      </c>
      <c r="H26" s="129"/>
      <c r="I26" s="135"/>
      <c r="J26" s="136"/>
      <c r="K26" s="17" t="s">
        <v>7</v>
      </c>
      <c r="M26" s="34"/>
      <c r="N26" s="22"/>
    </row>
    <row r="27" spans="1:15" ht="7.5" customHeight="1" x14ac:dyDescent="0.15">
      <c r="F27" s="20"/>
      <c r="G27" s="20"/>
      <c r="M27" s="23"/>
      <c r="N27" s="23"/>
    </row>
    <row r="28" spans="1:15" ht="24" customHeight="1" x14ac:dyDescent="0.15">
      <c r="A28" s="14" t="s">
        <v>50</v>
      </c>
      <c r="B28" s="15" t="s">
        <v>74</v>
      </c>
      <c r="C28" s="15"/>
      <c r="D28" s="15"/>
      <c r="E28" s="15"/>
      <c r="F28" s="17"/>
      <c r="G28" s="35"/>
      <c r="H28" s="35"/>
      <c r="I28" s="35"/>
      <c r="J28" s="24"/>
      <c r="K28" s="24"/>
      <c r="L28" s="24"/>
      <c r="M28" s="24"/>
      <c r="N28" s="24"/>
    </row>
    <row r="29" spans="1:15" s="14" customFormat="1" ht="24" customHeight="1" x14ac:dyDescent="0.15">
      <c r="B29" s="130" t="s">
        <v>73</v>
      </c>
      <c r="C29" s="130"/>
      <c r="D29" s="131" t="s">
        <v>160</v>
      </c>
      <c r="E29" s="132"/>
      <c r="F29" s="132"/>
      <c r="G29" s="133" t="s">
        <v>23</v>
      </c>
      <c r="H29" s="130"/>
      <c r="I29" s="134"/>
      <c r="J29" s="131" t="s">
        <v>161</v>
      </c>
      <c r="K29" s="132"/>
      <c r="L29" s="132"/>
      <c r="M29" s="132"/>
      <c r="N29" s="138"/>
      <c r="O29" s="31" t="str">
        <f>IF(OR(D29="",J29=""),"入力してください","")</f>
        <v/>
      </c>
    </row>
    <row r="30" spans="1:15" ht="7.5" customHeight="1" x14ac:dyDescent="0.15">
      <c r="F30" s="20"/>
      <c r="G30" s="20"/>
      <c r="M30" s="23"/>
      <c r="N30" s="23"/>
    </row>
    <row r="31" spans="1:15" ht="24" customHeight="1" x14ac:dyDescent="0.15">
      <c r="A31" s="14" t="s">
        <v>54</v>
      </c>
      <c r="B31" s="15" t="s">
        <v>79</v>
      </c>
      <c r="C31" s="15"/>
      <c r="D31" s="15"/>
      <c r="E31" s="15"/>
      <c r="F31" s="17"/>
      <c r="G31" s="24"/>
      <c r="H31" s="24"/>
      <c r="I31" s="24"/>
      <c r="J31" s="24"/>
      <c r="K31" s="24"/>
      <c r="L31" s="24"/>
      <c r="M31" s="24"/>
      <c r="N31" s="24"/>
    </row>
    <row r="32" spans="1:15" ht="24" customHeight="1" x14ac:dyDescent="0.15">
      <c r="A32" s="13"/>
      <c r="B32" s="131" t="s">
        <v>162</v>
      </c>
      <c r="C32" s="132"/>
      <c r="D32" s="132"/>
      <c r="E32" s="132"/>
      <c r="F32" s="132"/>
      <c r="G32" s="132"/>
      <c r="H32" s="132"/>
      <c r="I32" s="132"/>
      <c r="J32" s="132"/>
      <c r="K32" s="132"/>
      <c r="L32" s="132"/>
      <c r="M32" s="132"/>
      <c r="N32" s="138"/>
      <c r="O32" s="31" t="str">
        <f>IF(B32="","入力してください","")</f>
        <v/>
      </c>
    </row>
    <row r="33" spans="1:15" ht="7.5" customHeight="1" x14ac:dyDescent="0.15">
      <c r="A33" s="13"/>
      <c r="B33" s="119"/>
      <c r="C33" s="119"/>
      <c r="D33" s="119"/>
      <c r="E33" s="119"/>
      <c r="F33" s="119"/>
      <c r="G33" s="119"/>
      <c r="H33" s="119"/>
      <c r="I33" s="119"/>
      <c r="J33" s="119"/>
      <c r="K33" s="119"/>
      <c r="L33" s="119"/>
      <c r="M33" s="119"/>
      <c r="N33" s="119"/>
    </row>
    <row r="34" spans="1:15" s="14" customFormat="1" ht="24" customHeight="1" x14ac:dyDescent="0.15">
      <c r="B34" s="130" t="s">
        <v>73</v>
      </c>
      <c r="C34" s="130"/>
      <c r="D34" s="131" t="s">
        <v>163</v>
      </c>
      <c r="E34" s="132"/>
      <c r="F34" s="132"/>
      <c r="G34" s="133" t="s">
        <v>23</v>
      </c>
      <c r="H34" s="130"/>
      <c r="I34" s="134"/>
      <c r="J34" s="131" t="s">
        <v>164</v>
      </c>
      <c r="K34" s="132"/>
      <c r="L34" s="132"/>
      <c r="M34" s="132"/>
      <c r="N34" s="138"/>
      <c r="O34" s="31" t="str">
        <f>IF(OR(D34="",J34=""),"入力してください","")</f>
        <v/>
      </c>
    </row>
    <row r="35" spans="1:15" ht="7.5" customHeight="1" x14ac:dyDescent="0.15">
      <c r="F35" s="35"/>
      <c r="G35" s="35"/>
      <c r="H35" s="35"/>
      <c r="I35" s="35"/>
      <c r="J35" s="35"/>
      <c r="K35" s="35"/>
      <c r="L35" s="35"/>
      <c r="M35" s="35"/>
      <c r="N35" s="35"/>
    </row>
    <row r="36" spans="1:15" ht="24" customHeight="1" x14ac:dyDescent="0.15">
      <c r="A36" s="14" t="s">
        <v>60</v>
      </c>
      <c r="B36" s="14" t="s">
        <v>80</v>
      </c>
      <c r="M36" s="23"/>
      <c r="N36" s="23"/>
    </row>
    <row r="37" spans="1:15" ht="24" customHeight="1" x14ac:dyDescent="0.15">
      <c r="A37" s="13"/>
      <c r="B37" s="131" t="s">
        <v>165</v>
      </c>
      <c r="C37" s="132"/>
      <c r="D37" s="132"/>
      <c r="E37" s="132"/>
      <c r="F37" s="132"/>
      <c r="G37" s="132"/>
      <c r="H37" s="132"/>
      <c r="I37" s="132"/>
      <c r="J37" s="132"/>
      <c r="K37" s="132"/>
      <c r="L37" s="132"/>
      <c r="M37" s="132"/>
      <c r="N37" s="138"/>
      <c r="O37" s="31" t="str">
        <f>IF(B37="","入力してください","")</f>
        <v/>
      </c>
    </row>
    <row r="38" spans="1:15" ht="7.5" customHeight="1" x14ac:dyDescent="0.15">
      <c r="A38" s="13"/>
      <c r="B38" s="13"/>
      <c r="C38" s="13"/>
      <c r="D38" s="13"/>
      <c r="E38" s="13"/>
      <c r="F38" s="72"/>
      <c r="G38" s="72"/>
      <c r="H38" s="72"/>
      <c r="I38" s="72"/>
      <c r="J38" s="72"/>
      <c r="K38" s="72"/>
      <c r="L38" s="72"/>
      <c r="M38" s="72"/>
      <c r="N38" s="72"/>
    </row>
    <row r="39" spans="1:15" s="14" customFormat="1" ht="24" customHeight="1" x14ac:dyDescent="0.15">
      <c r="B39" s="130" t="s">
        <v>73</v>
      </c>
      <c r="C39" s="130"/>
      <c r="D39" s="131" t="s">
        <v>166</v>
      </c>
      <c r="E39" s="132"/>
      <c r="F39" s="132"/>
      <c r="G39" s="133" t="s">
        <v>23</v>
      </c>
      <c r="H39" s="130"/>
      <c r="I39" s="134"/>
      <c r="J39" s="131" t="s">
        <v>167</v>
      </c>
      <c r="K39" s="132"/>
      <c r="L39" s="132"/>
      <c r="M39" s="132"/>
      <c r="N39" s="138"/>
      <c r="O39" s="31" t="str">
        <f>IF(OR(D39="",J39=""),"入力してください","")</f>
        <v/>
      </c>
    </row>
    <row r="40" spans="1:15" ht="7.5" customHeight="1" x14ac:dyDescent="0.15">
      <c r="F40" s="35"/>
      <c r="G40" s="35"/>
      <c r="H40" s="35"/>
      <c r="I40" s="35"/>
      <c r="J40" s="35"/>
      <c r="K40" s="35"/>
      <c r="L40" s="35"/>
      <c r="M40" s="35"/>
      <c r="N40" s="35"/>
    </row>
    <row r="41" spans="1:15" ht="24" customHeight="1" x14ac:dyDescent="0.15">
      <c r="A41" s="14" t="s">
        <v>87</v>
      </c>
      <c r="B41" s="13" t="s">
        <v>68</v>
      </c>
      <c r="C41" s="13"/>
      <c r="D41" s="13"/>
      <c r="E41" s="118"/>
      <c r="F41" s="131" t="s">
        <v>168</v>
      </c>
      <c r="G41" s="132"/>
      <c r="H41" s="132"/>
      <c r="I41" s="132"/>
      <c r="J41" s="132"/>
      <c r="K41" s="132"/>
      <c r="L41" s="132"/>
      <c r="M41" s="132"/>
      <c r="N41" s="138"/>
      <c r="O41" s="31" t="str">
        <f>IF(F41="","入力してください","")</f>
        <v/>
      </c>
    </row>
    <row r="42" spans="1:15" ht="7.5" customHeight="1" x14ac:dyDescent="0.15">
      <c r="B42" s="13"/>
      <c r="C42" s="13"/>
      <c r="D42" s="13"/>
      <c r="E42" s="13"/>
      <c r="F42" s="72"/>
      <c r="G42" s="72"/>
      <c r="H42" s="72"/>
      <c r="I42" s="72"/>
      <c r="J42" s="72"/>
      <c r="K42" s="72"/>
      <c r="L42" s="72"/>
      <c r="M42" s="72"/>
      <c r="N42" s="72"/>
    </row>
    <row r="43" spans="1:15" ht="24" customHeight="1" x14ac:dyDescent="0.15">
      <c r="A43" s="14" t="s">
        <v>97</v>
      </c>
      <c r="B43" s="13"/>
      <c r="C43" s="13"/>
      <c r="D43" s="13"/>
      <c r="E43" s="13"/>
      <c r="F43" s="13"/>
      <c r="G43" s="13"/>
      <c r="H43" s="13"/>
      <c r="I43" s="13"/>
      <c r="J43" s="13"/>
      <c r="K43" s="13"/>
      <c r="L43" s="13"/>
      <c r="M43" s="13"/>
      <c r="N43" s="13"/>
    </row>
    <row r="44" spans="1:15" ht="24" customHeight="1" x14ac:dyDescent="0.15">
      <c r="B44" s="25" t="s">
        <v>1</v>
      </c>
      <c r="C44" s="154" t="s">
        <v>169</v>
      </c>
      <c r="D44" s="155"/>
      <c r="E44" s="155"/>
      <c r="F44" s="155"/>
      <c r="G44" s="155"/>
      <c r="H44" s="155"/>
      <c r="I44" s="26" t="s">
        <v>2</v>
      </c>
      <c r="J44" s="27"/>
      <c r="K44" s="131" t="s">
        <v>170</v>
      </c>
      <c r="L44" s="132"/>
      <c r="M44" s="132"/>
      <c r="N44" s="138"/>
      <c r="O44" s="31" t="str">
        <f>IF(OR(C44="",K44=""),"入力してください","")</f>
        <v/>
      </c>
    </row>
    <row r="45" spans="1:15" ht="24" customHeight="1" x14ac:dyDescent="0.15">
      <c r="B45" s="25" t="s">
        <v>4</v>
      </c>
      <c r="C45" s="148" t="s">
        <v>171</v>
      </c>
      <c r="D45" s="149"/>
      <c r="E45" s="149"/>
      <c r="F45" s="149"/>
      <c r="G45" s="149"/>
      <c r="H45" s="150"/>
      <c r="I45" s="26" t="s">
        <v>3</v>
      </c>
      <c r="J45" s="27"/>
      <c r="K45" s="151" t="s">
        <v>172</v>
      </c>
      <c r="L45" s="152"/>
      <c r="M45" s="152"/>
      <c r="N45" s="153"/>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 xr:uid="{00000000-0002-0000-0000-000002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zoomScaleNormal="100" zoomScaleSheetLayoutView="100" workbookViewId="0">
      <selection activeCell="AD90" sqref="AD90"/>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7" t="s">
        <v>190</v>
      </c>
      <c r="X1" s="177"/>
      <c r="Y1" s="177"/>
      <c r="Z1" s="177"/>
    </row>
    <row r="2" spans="1:26" ht="18" customHeight="1" x14ac:dyDescent="0.15">
      <c r="A2" s="213" t="s">
        <v>66</v>
      </c>
      <c r="B2" s="213"/>
      <c r="C2" s="213"/>
      <c r="D2" s="213"/>
      <c r="E2" s="213"/>
      <c r="F2" s="213"/>
      <c r="G2" s="213"/>
      <c r="H2" s="213"/>
      <c r="I2" s="213"/>
      <c r="J2" s="213"/>
      <c r="K2" s="213"/>
      <c r="L2" s="213"/>
      <c r="M2" s="213"/>
      <c r="N2" s="213"/>
      <c r="O2" s="213"/>
      <c r="P2" s="213"/>
      <c r="Q2" s="213"/>
      <c r="R2" s="213"/>
      <c r="S2" s="213"/>
      <c r="T2" s="213"/>
      <c r="U2" s="213"/>
      <c r="V2" s="213"/>
      <c r="W2" s="213"/>
      <c r="X2" s="213"/>
      <c r="Y2" s="213"/>
      <c r="Z2" s="213"/>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98</v>
      </c>
      <c r="B4" s="29"/>
      <c r="C4" s="29"/>
      <c r="D4" s="29"/>
      <c r="E4" s="29"/>
      <c r="F4" s="29"/>
      <c r="G4" s="29"/>
      <c r="H4" s="15" t="s">
        <v>111</v>
      </c>
      <c r="I4" s="29"/>
      <c r="J4" s="29"/>
      <c r="K4" s="29"/>
      <c r="L4" s="29"/>
      <c r="M4" s="29"/>
      <c r="N4" s="29"/>
      <c r="O4" s="123" t="s">
        <v>153</v>
      </c>
      <c r="P4" s="124"/>
      <c r="Q4" s="124"/>
      <c r="R4" s="124"/>
      <c r="S4" s="124"/>
      <c r="T4" s="124"/>
      <c r="U4" s="124"/>
      <c r="V4" s="124"/>
      <c r="W4" s="124"/>
      <c r="X4" s="124"/>
      <c r="Y4" s="124"/>
      <c r="Z4" s="125"/>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4" t="s">
        <v>189</v>
      </c>
      <c r="C6" s="215"/>
      <c r="D6" s="215"/>
      <c r="E6" s="215"/>
      <c r="F6" s="215"/>
      <c r="G6" s="215"/>
      <c r="H6" s="215"/>
      <c r="I6" s="215"/>
      <c r="J6" s="215"/>
      <c r="K6" s="215"/>
      <c r="L6" s="215"/>
      <c r="M6" s="215"/>
      <c r="N6" s="215"/>
      <c r="O6" s="215"/>
      <c r="P6" s="215"/>
      <c r="Q6" s="215"/>
      <c r="R6" s="215"/>
      <c r="S6" s="215"/>
      <c r="T6" s="215"/>
      <c r="U6" s="215"/>
      <c r="V6" s="215"/>
      <c r="W6" s="215"/>
      <c r="X6" s="215"/>
      <c r="Y6" s="215"/>
      <c r="Z6" s="216"/>
    </row>
    <row r="7" spans="1:26" ht="18" customHeight="1" x14ac:dyDescent="0.15">
      <c r="B7" s="217"/>
      <c r="C7" s="218"/>
      <c r="D7" s="218"/>
      <c r="E7" s="218"/>
      <c r="F7" s="218"/>
      <c r="G7" s="218"/>
      <c r="H7" s="218"/>
      <c r="I7" s="218"/>
      <c r="J7" s="218"/>
      <c r="K7" s="218"/>
      <c r="L7" s="218"/>
      <c r="M7" s="218"/>
      <c r="N7" s="218"/>
      <c r="O7" s="218"/>
      <c r="P7" s="218"/>
      <c r="Q7" s="218"/>
      <c r="R7" s="218"/>
      <c r="S7" s="218"/>
      <c r="T7" s="218"/>
      <c r="U7" s="218"/>
      <c r="V7" s="218"/>
      <c r="W7" s="218"/>
      <c r="X7" s="218"/>
      <c r="Y7" s="218"/>
      <c r="Z7" s="219"/>
    </row>
    <row r="8" spans="1:26" ht="18" customHeight="1" x14ac:dyDescent="0.15">
      <c r="B8" s="217"/>
      <c r="C8" s="218"/>
      <c r="D8" s="218"/>
      <c r="E8" s="218"/>
      <c r="F8" s="218"/>
      <c r="G8" s="218"/>
      <c r="H8" s="218"/>
      <c r="I8" s="218"/>
      <c r="J8" s="218"/>
      <c r="K8" s="218"/>
      <c r="L8" s="218"/>
      <c r="M8" s="218"/>
      <c r="N8" s="218"/>
      <c r="O8" s="218"/>
      <c r="P8" s="218"/>
      <c r="Q8" s="218"/>
      <c r="R8" s="218"/>
      <c r="S8" s="218"/>
      <c r="T8" s="218"/>
      <c r="U8" s="218"/>
      <c r="V8" s="218"/>
      <c r="W8" s="218"/>
      <c r="X8" s="218"/>
      <c r="Y8" s="218"/>
      <c r="Z8" s="219"/>
    </row>
    <row r="9" spans="1:26" ht="18" customHeight="1" x14ac:dyDescent="0.15">
      <c r="B9" s="217"/>
      <c r="C9" s="218"/>
      <c r="D9" s="218"/>
      <c r="E9" s="218"/>
      <c r="F9" s="218"/>
      <c r="G9" s="218"/>
      <c r="H9" s="218"/>
      <c r="I9" s="218"/>
      <c r="J9" s="218"/>
      <c r="K9" s="218"/>
      <c r="L9" s="218"/>
      <c r="M9" s="218"/>
      <c r="N9" s="218"/>
      <c r="O9" s="218"/>
      <c r="P9" s="218"/>
      <c r="Q9" s="218"/>
      <c r="R9" s="218"/>
      <c r="S9" s="218"/>
      <c r="T9" s="218"/>
      <c r="U9" s="218"/>
      <c r="V9" s="218"/>
      <c r="W9" s="218"/>
      <c r="X9" s="218"/>
      <c r="Y9" s="218"/>
      <c r="Z9" s="219"/>
    </row>
    <row r="10" spans="1:26" ht="18" customHeight="1" x14ac:dyDescent="0.15">
      <c r="B10" s="217"/>
      <c r="C10" s="220"/>
      <c r="D10" s="220"/>
      <c r="E10" s="220"/>
      <c r="F10" s="220"/>
      <c r="G10" s="220"/>
      <c r="H10" s="220"/>
      <c r="I10" s="220"/>
      <c r="J10" s="220"/>
      <c r="K10" s="220"/>
      <c r="L10" s="220"/>
      <c r="M10" s="220"/>
      <c r="N10" s="220"/>
      <c r="O10" s="220"/>
      <c r="P10" s="220"/>
      <c r="Q10" s="220"/>
      <c r="R10" s="220"/>
      <c r="S10" s="220"/>
      <c r="T10" s="220"/>
      <c r="U10" s="220"/>
      <c r="V10" s="220"/>
      <c r="W10" s="220"/>
      <c r="X10" s="220"/>
      <c r="Y10" s="220"/>
      <c r="Z10" s="219"/>
    </row>
    <row r="11" spans="1:26" ht="18" customHeight="1" x14ac:dyDescent="0.15">
      <c r="B11" s="221"/>
      <c r="C11" s="222"/>
      <c r="D11" s="222"/>
      <c r="E11" s="222"/>
      <c r="F11" s="222"/>
      <c r="G11" s="222"/>
      <c r="H11" s="222"/>
      <c r="I11" s="222"/>
      <c r="J11" s="222"/>
      <c r="K11" s="222"/>
      <c r="L11" s="222"/>
      <c r="M11" s="222"/>
      <c r="N11" s="222"/>
      <c r="O11" s="222"/>
      <c r="P11" s="222"/>
      <c r="Q11" s="222"/>
      <c r="R11" s="222"/>
      <c r="S11" s="222"/>
      <c r="T11" s="222"/>
      <c r="U11" s="222"/>
      <c r="V11" s="222"/>
      <c r="W11" s="222"/>
      <c r="X11" s="222"/>
      <c r="Y11" s="222"/>
      <c r="Z11" s="223"/>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2" t="s">
        <v>124</v>
      </c>
      <c r="B13" s="212"/>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row>
    <row r="14" spans="1:26" ht="18" customHeight="1" x14ac:dyDescent="0.15">
      <c r="A14" s="212"/>
      <c r="B14" s="212"/>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row>
    <row r="15" spans="1:26" ht="18" customHeight="1" x14ac:dyDescent="0.15">
      <c r="A15" s="14"/>
      <c r="B15" s="123" t="s">
        <v>99</v>
      </c>
      <c r="C15" s="124"/>
      <c r="D15" s="124"/>
      <c r="E15" s="124"/>
      <c r="F15" s="125"/>
      <c r="G15" s="30" t="s">
        <v>140</v>
      </c>
      <c r="H15" s="108" t="s">
        <v>139</v>
      </c>
      <c r="I15" s="124" t="s">
        <v>100</v>
      </c>
      <c r="J15" s="124"/>
      <c r="K15" s="124"/>
      <c r="L15" s="71" t="s">
        <v>103</v>
      </c>
      <c r="M15" s="71" t="s">
        <v>106</v>
      </c>
      <c r="N15" s="123" t="s">
        <v>99</v>
      </c>
      <c r="O15" s="124"/>
      <c r="P15" s="124"/>
      <c r="Q15" s="124"/>
      <c r="R15" s="124"/>
      <c r="S15" s="125"/>
      <c r="T15" s="30" t="s">
        <v>140</v>
      </c>
      <c r="U15" s="108" t="s">
        <v>139</v>
      </c>
      <c r="V15" s="124" t="s">
        <v>100</v>
      </c>
      <c r="W15" s="124"/>
      <c r="X15" s="124"/>
      <c r="Y15" s="71" t="s">
        <v>103</v>
      </c>
      <c r="Z15" s="71" t="s">
        <v>106</v>
      </c>
    </row>
    <row r="16" spans="1:26" ht="18" customHeight="1" x14ac:dyDescent="0.15">
      <c r="A16" s="14"/>
      <c r="B16" s="178" t="s">
        <v>155</v>
      </c>
      <c r="C16" s="179"/>
      <c r="D16" s="179"/>
      <c r="E16" s="179"/>
      <c r="F16" s="180"/>
      <c r="G16" s="109">
        <v>1</v>
      </c>
      <c r="H16" s="109" t="s">
        <v>156</v>
      </c>
      <c r="I16" s="184" t="s">
        <v>157</v>
      </c>
      <c r="J16" s="185"/>
      <c r="K16" s="186"/>
      <c r="L16" s="109" t="s">
        <v>156</v>
      </c>
      <c r="M16" s="109"/>
      <c r="N16" s="156"/>
      <c r="O16" s="157"/>
      <c r="P16" s="157"/>
      <c r="Q16" s="157"/>
      <c r="R16" s="157"/>
      <c r="S16" s="158"/>
      <c r="T16" s="109"/>
      <c r="U16" s="109"/>
      <c r="V16" s="184"/>
      <c r="W16" s="185"/>
      <c r="X16" s="186"/>
      <c r="Y16" s="109"/>
      <c r="Z16" s="109"/>
    </row>
    <row r="17" spans="1:26" ht="18" customHeight="1" x14ac:dyDescent="0.15">
      <c r="A17" s="14"/>
      <c r="B17" s="171" t="s">
        <v>155</v>
      </c>
      <c r="C17" s="172"/>
      <c r="D17" s="172"/>
      <c r="E17" s="172"/>
      <c r="F17" s="173"/>
      <c r="G17" s="110">
        <v>1</v>
      </c>
      <c r="H17" s="110" t="s">
        <v>156</v>
      </c>
      <c r="I17" s="165" t="s">
        <v>157</v>
      </c>
      <c r="J17" s="166"/>
      <c r="K17" s="167"/>
      <c r="L17" s="110"/>
      <c r="M17" s="110" t="s">
        <v>156</v>
      </c>
      <c r="N17" s="159"/>
      <c r="O17" s="160"/>
      <c r="P17" s="160"/>
      <c r="Q17" s="160"/>
      <c r="R17" s="160"/>
      <c r="S17" s="161"/>
      <c r="T17" s="110"/>
      <c r="U17" s="110"/>
      <c r="V17" s="165"/>
      <c r="W17" s="166"/>
      <c r="X17" s="167"/>
      <c r="Y17" s="110"/>
      <c r="Z17" s="110"/>
    </row>
    <row r="18" spans="1:26" ht="18" customHeight="1" x14ac:dyDescent="0.15">
      <c r="A18" s="14"/>
      <c r="B18" s="171"/>
      <c r="C18" s="172"/>
      <c r="D18" s="172"/>
      <c r="E18" s="172"/>
      <c r="F18" s="173"/>
      <c r="G18" s="110"/>
      <c r="H18" s="110"/>
      <c r="I18" s="165"/>
      <c r="J18" s="166"/>
      <c r="K18" s="167"/>
      <c r="L18" s="110"/>
      <c r="M18" s="110"/>
      <c r="N18" s="159"/>
      <c r="O18" s="160"/>
      <c r="P18" s="160"/>
      <c r="Q18" s="160"/>
      <c r="R18" s="160"/>
      <c r="S18" s="161"/>
      <c r="T18" s="110"/>
      <c r="U18" s="110"/>
      <c r="V18" s="165"/>
      <c r="W18" s="166"/>
      <c r="X18" s="167"/>
      <c r="Y18" s="110"/>
      <c r="Z18" s="110"/>
    </row>
    <row r="19" spans="1:26" ht="18" customHeight="1" x14ac:dyDescent="0.15">
      <c r="A19" s="14"/>
      <c r="B19" s="171"/>
      <c r="C19" s="172"/>
      <c r="D19" s="172"/>
      <c r="E19" s="172"/>
      <c r="F19" s="173"/>
      <c r="G19" s="110"/>
      <c r="H19" s="110"/>
      <c r="I19" s="165"/>
      <c r="J19" s="166"/>
      <c r="K19" s="167"/>
      <c r="L19" s="110"/>
      <c r="M19" s="110"/>
      <c r="N19" s="159"/>
      <c r="O19" s="160"/>
      <c r="P19" s="160"/>
      <c r="Q19" s="160"/>
      <c r="R19" s="160"/>
      <c r="S19" s="161"/>
      <c r="T19" s="110"/>
      <c r="U19" s="110"/>
      <c r="V19" s="165"/>
      <c r="W19" s="166"/>
      <c r="X19" s="167"/>
      <c r="Y19" s="110"/>
      <c r="Z19" s="110"/>
    </row>
    <row r="20" spans="1:26" ht="18" customHeight="1" x14ac:dyDescent="0.15">
      <c r="A20" s="14"/>
      <c r="B20" s="171"/>
      <c r="C20" s="172"/>
      <c r="D20" s="172"/>
      <c r="E20" s="172"/>
      <c r="F20" s="173"/>
      <c r="G20" s="110"/>
      <c r="H20" s="110"/>
      <c r="I20" s="165"/>
      <c r="J20" s="166"/>
      <c r="K20" s="167"/>
      <c r="L20" s="110"/>
      <c r="M20" s="110"/>
      <c r="N20" s="159"/>
      <c r="O20" s="160"/>
      <c r="P20" s="160"/>
      <c r="Q20" s="160"/>
      <c r="R20" s="160"/>
      <c r="S20" s="161"/>
      <c r="T20" s="110"/>
      <c r="U20" s="110"/>
      <c r="V20" s="165"/>
      <c r="W20" s="166"/>
      <c r="X20" s="167"/>
      <c r="Y20" s="110"/>
      <c r="Z20" s="110"/>
    </row>
    <row r="21" spans="1:26" ht="18" customHeight="1" x14ac:dyDescent="0.15">
      <c r="A21" s="29"/>
      <c r="B21" s="171"/>
      <c r="C21" s="172"/>
      <c r="D21" s="172"/>
      <c r="E21" s="172"/>
      <c r="F21" s="173"/>
      <c r="G21" s="110"/>
      <c r="H21" s="110"/>
      <c r="I21" s="165"/>
      <c r="J21" s="166"/>
      <c r="K21" s="167"/>
      <c r="L21" s="110"/>
      <c r="M21" s="110"/>
      <c r="N21" s="159"/>
      <c r="O21" s="160"/>
      <c r="P21" s="160"/>
      <c r="Q21" s="160"/>
      <c r="R21" s="160"/>
      <c r="S21" s="161"/>
      <c r="T21" s="110"/>
      <c r="U21" s="110"/>
      <c r="V21" s="165"/>
      <c r="W21" s="166"/>
      <c r="X21" s="167"/>
      <c r="Y21" s="110"/>
      <c r="Z21" s="110"/>
    </row>
    <row r="22" spans="1:26" ht="18" customHeight="1" x14ac:dyDescent="0.15">
      <c r="A22" s="29"/>
      <c r="B22" s="174"/>
      <c r="C22" s="175"/>
      <c r="D22" s="175"/>
      <c r="E22" s="175"/>
      <c r="F22" s="176"/>
      <c r="G22" s="111"/>
      <c r="H22" s="111"/>
      <c r="I22" s="168"/>
      <c r="J22" s="169"/>
      <c r="K22" s="170"/>
      <c r="L22" s="117"/>
      <c r="M22" s="117"/>
      <c r="N22" s="162"/>
      <c r="O22" s="163"/>
      <c r="P22" s="163"/>
      <c r="Q22" s="163"/>
      <c r="R22" s="163"/>
      <c r="S22" s="164"/>
      <c r="T22" s="111"/>
      <c r="U22" s="111"/>
      <c r="V22" s="168"/>
      <c r="W22" s="169"/>
      <c r="X22" s="170"/>
      <c r="Y22" s="117"/>
      <c r="Z22" s="117"/>
    </row>
    <row r="23" spans="1:26" ht="7.5" customHeight="1" x14ac:dyDescent="0.15">
      <c r="A23" s="29"/>
      <c r="B23" s="72"/>
      <c r="C23" s="72"/>
      <c r="D23" s="29"/>
      <c r="E23" s="29"/>
      <c r="F23" s="29"/>
      <c r="G23" s="29"/>
      <c r="H23" s="29"/>
      <c r="I23" s="29"/>
      <c r="J23" s="29"/>
      <c r="K23" s="29"/>
      <c r="L23" s="72"/>
      <c r="M23" s="72"/>
      <c r="N23" s="72"/>
      <c r="O23" s="72"/>
      <c r="P23" s="72"/>
      <c r="Q23" s="72"/>
      <c r="R23" s="72"/>
      <c r="S23" s="72"/>
      <c r="T23" s="72"/>
      <c r="U23" s="72"/>
      <c r="V23" s="72"/>
      <c r="W23" s="72"/>
      <c r="X23" s="72"/>
      <c r="Y23" s="72"/>
      <c r="Z23" s="29"/>
    </row>
    <row r="24" spans="1:26" ht="18" customHeight="1" x14ac:dyDescent="0.15">
      <c r="A24" s="212" t="s">
        <v>125</v>
      </c>
      <c r="B24" s="212"/>
      <c r="C24" s="212"/>
      <c r="D24" s="212"/>
      <c r="E24" s="212"/>
      <c r="F24" s="212"/>
      <c r="G24" s="212"/>
      <c r="H24" s="212"/>
      <c r="I24" s="212"/>
      <c r="J24" s="212"/>
      <c r="K24" s="212"/>
      <c r="L24" s="212"/>
      <c r="M24" s="212"/>
      <c r="N24" s="212"/>
      <c r="O24" s="212"/>
      <c r="P24" s="212"/>
      <c r="Q24" s="212"/>
      <c r="R24" s="212"/>
      <c r="S24" s="212"/>
      <c r="T24" s="212"/>
      <c r="U24" s="212"/>
      <c r="V24" s="212"/>
      <c r="W24" s="212"/>
      <c r="X24" s="212"/>
      <c r="Y24" s="212"/>
      <c r="Z24" s="212"/>
    </row>
    <row r="25" spans="1:26" ht="18" customHeight="1" x14ac:dyDescent="0.15">
      <c r="A25" s="212"/>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row>
    <row r="26" spans="1:26" ht="18" customHeight="1" x14ac:dyDescent="0.15">
      <c r="A26" s="14"/>
      <c r="B26" s="123" t="s">
        <v>99</v>
      </c>
      <c r="C26" s="124"/>
      <c r="D26" s="124"/>
      <c r="E26" s="124"/>
      <c r="F26" s="125"/>
      <c r="G26" s="30" t="s">
        <v>140</v>
      </c>
      <c r="H26" s="108" t="s">
        <v>139</v>
      </c>
      <c r="I26" s="124" t="s">
        <v>100</v>
      </c>
      <c r="J26" s="124"/>
      <c r="K26" s="124"/>
      <c r="L26" s="71" t="s">
        <v>126</v>
      </c>
      <c r="M26" s="71" t="s">
        <v>127</v>
      </c>
      <c r="N26" s="123" t="s">
        <v>99</v>
      </c>
      <c r="O26" s="124"/>
      <c r="P26" s="124"/>
      <c r="Q26" s="124"/>
      <c r="R26" s="124"/>
      <c r="S26" s="125"/>
      <c r="T26" s="30" t="s">
        <v>140</v>
      </c>
      <c r="U26" s="108" t="s">
        <v>139</v>
      </c>
      <c r="V26" s="124" t="s">
        <v>100</v>
      </c>
      <c r="W26" s="124"/>
      <c r="X26" s="124"/>
      <c r="Y26" s="71" t="s">
        <v>126</v>
      </c>
      <c r="Z26" s="71" t="s">
        <v>127</v>
      </c>
    </row>
    <row r="27" spans="1:26" ht="18" customHeight="1" x14ac:dyDescent="0.15">
      <c r="A27" s="14"/>
      <c r="B27" s="178" t="s">
        <v>154</v>
      </c>
      <c r="C27" s="179"/>
      <c r="D27" s="179"/>
      <c r="E27" s="179"/>
      <c r="F27" s="180"/>
      <c r="G27" s="109">
        <v>1</v>
      </c>
      <c r="H27" s="109" t="s">
        <v>156</v>
      </c>
      <c r="I27" s="184" t="s">
        <v>157</v>
      </c>
      <c r="J27" s="185"/>
      <c r="K27" s="186"/>
      <c r="L27" s="109" t="s">
        <v>156</v>
      </c>
      <c r="M27" s="109"/>
      <c r="N27" s="156"/>
      <c r="O27" s="157"/>
      <c r="P27" s="157"/>
      <c r="Q27" s="157"/>
      <c r="R27" s="157"/>
      <c r="S27" s="158"/>
      <c r="T27" s="109"/>
      <c r="U27" s="109"/>
      <c r="V27" s="184"/>
      <c r="W27" s="185"/>
      <c r="X27" s="186"/>
      <c r="Y27" s="109"/>
      <c r="Z27" s="109"/>
    </row>
    <row r="28" spans="1:26" ht="18" customHeight="1" x14ac:dyDescent="0.15">
      <c r="A28" s="14"/>
      <c r="B28" s="171" t="s">
        <v>154</v>
      </c>
      <c r="C28" s="172"/>
      <c r="D28" s="172"/>
      <c r="E28" s="172"/>
      <c r="F28" s="173"/>
      <c r="G28" s="110">
        <v>1</v>
      </c>
      <c r="H28" s="110" t="s">
        <v>156</v>
      </c>
      <c r="I28" s="165" t="s">
        <v>157</v>
      </c>
      <c r="J28" s="166"/>
      <c r="K28" s="167"/>
      <c r="L28" s="110"/>
      <c r="M28" s="110" t="s">
        <v>156</v>
      </c>
      <c r="N28" s="159"/>
      <c r="O28" s="160"/>
      <c r="P28" s="160"/>
      <c r="Q28" s="160"/>
      <c r="R28" s="160"/>
      <c r="S28" s="161"/>
      <c r="T28" s="110"/>
      <c r="U28" s="110"/>
      <c r="V28" s="165"/>
      <c r="W28" s="166"/>
      <c r="X28" s="167"/>
      <c r="Y28" s="110"/>
      <c r="Z28" s="110"/>
    </row>
    <row r="29" spans="1:26" ht="18" customHeight="1" x14ac:dyDescent="0.15">
      <c r="A29" s="14"/>
      <c r="B29" s="171"/>
      <c r="C29" s="172"/>
      <c r="D29" s="172"/>
      <c r="E29" s="172"/>
      <c r="F29" s="173"/>
      <c r="G29" s="110"/>
      <c r="H29" s="110"/>
      <c r="I29" s="165"/>
      <c r="J29" s="166"/>
      <c r="K29" s="167"/>
      <c r="L29" s="110"/>
      <c r="M29" s="110"/>
      <c r="N29" s="159"/>
      <c r="O29" s="160"/>
      <c r="P29" s="160"/>
      <c r="Q29" s="160"/>
      <c r="R29" s="160"/>
      <c r="S29" s="161"/>
      <c r="T29" s="110"/>
      <c r="U29" s="110"/>
      <c r="V29" s="165"/>
      <c r="W29" s="166"/>
      <c r="X29" s="167"/>
      <c r="Y29" s="110"/>
      <c r="Z29" s="110"/>
    </row>
    <row r="30" spans="1:26" ht="18" customHeight="1" x14ac:dyDescent="0.15">
      <c r="A30" s="14"/>
      <c r="B30" s="171"/>
      <c r="C30" s="172"/>
      <c r="D30" s="172"/>
      <c r="E30" s="172"/>
      <c r="F30" s="173"/>
      <c r="G30" s="110"/>
      <c r="H30" s="110"/>
      <c r="I30" s="165"/>
      <c r="J30" s="166"/>
      <c r="K30" s="167"/>
      <c r="L30" s="110"/>
      <c r="M30" s="110"/>
      <c r="N30" s="159"/>
      <c r="O30" s="160"/>
      <c r="P30" s="160"/>
      <c r="Q30" s="160"/>
      <c r="R30" s="160"/>
      <c r="S30" s="161"/>
      <c r="T30" s="110"/>
      <c r="U30" s="110"/>
      <c r="V30" s="165"/>
      <c r="W30" s="166"/>
      <c r="X30" s="167"/>
      <c r="Y30" s="110"/>
      <c r="Z30" s="110"/>
    </row>
    <row r="31" spans="1:26" ht="18" customHeight="1" x14ac:dyDescent="0.15">
      <c r="A31" s="14"/>
      <c r="B31" s="171"/>
      <c r="C31" s="172"/>
      <c r="D31" s="172"/>
      <c r="E31" s="172"/>
      <c r="F31" s="173"/>
      <c r="G31" s="110"/>
      <c r="H31" s="110"/>
      <c r="I31" s="165"/>
      <c r="J31" s="166"/>
      <c r="K31" s="167"/>
      <c r="L31" s="110"/>
      <c r="M31" s="110"/>
      <c r="N31" s="159"/>
      <c r="O31" s="160"/>
      <c r="P31" s="160"/>
      <c r="Q31" s="160"/>
      <c r="R31" s="160"/>
      <c r="S31" s="161"/>
      <c r="T31" s="110"/>
      <c r="U31" s="110"/>
      <c r="V31" s="165"/>
      <c r="W31" s="166"/>
      <c r="X31" s="167"/>
      <c r="Y31" s="110"/>
      <c r="Z31" s="110"/>
    </row>
    <row r="32" spans="1:26" ht="18" customHeight="1" x14ac:dyDescent="0.15">
      <c r="A32" s="14"/>
      <c r="B32" s="171"/>
      <c r="C32" s="172"/>
      <c r="D32" s="172"/>
      <c r="E32" s="172"/>
      <c r="F32" s="173"/>
      <c r="G32" s="110"/>
      <c r="H32" s="110"/>
      <c r="I32" s="165"/>
      <c r="J32" s="166"/>
      <c r="K32" s="167"/>
      <c r="L32" s="110"/>
      <c r="M32" s="110"/>
      <c r="N32" s="159"/>
      <c r="O32" s="160"/>
      <c r="P32" s="160"/>
      <c r="Q32" s="160"/>
      <c r="R32" s="160"/>
      <c r="S32" s="161"/>
      <c r="T32" s="110"/>
      <c r="U32" s="110"/>
      <c r="V32" s="165"/>
      <c r="W32" s="166"/>
      <c r="X32" s="167"/>
      <c r="Y32" s="110"/>
      <c r="Z32" s="110"/>
    </row>
    <row r="33" spans="1:26" ht="18" customHeight="1" x14ac:dyDescent="0.15">
      <c r="A33" s="14"/>
      <c r="B33" s="174"/>
      <c r="C33" s="175"/>
      <c r="D33" s="175"/>
      <c r="E33" s="175"/>
      <c r="F33" s="176"/>
      <c r="G33" s="111"/>
      <c r="H33" s="111"/>
      <c r="I33" s="168"/>
      <c r="J33" s="169"/>
      <c r="K33" s="170"/>
      <c r="L33" s="117"/>
      <c r="M33" s="117"/>
      <c r="N33" s="162"/>
      <c r="O33" s="163"/>
      <c r="P33" s="163"/>
      <c r="Q33" s="163"/>
      <c r="R33" s="163"/>
      <c r="S33" s="164"/>
      <c r="T33" s="111"/>
      <c r="U33" s="111"/>
      <c r="V33" s="168"/>
      <c r="W33" s="169"/>
      <c r="X33" s="170"/>
      <c r="Y33" s="117"/>
      <c r="Z33" s="117"/>
    </row>
    <row r="34" spans="1:26" ht="7.5" customHeight="1" x14ac:dyDescent="0.15">
      <c r="A34" s="29"/>
      <c r="B34" s="72"/>
      <c r="C34" s="72"/>
      <c r="D34" s="29"/>
      <c r="E34" s="29"/>
      <c r="F34" s="29"/>
      <c r="G34" s="29"/>
      <c r="H34" s="29"/>
      <c r="I34" s="29"/>
      <c r="J34" s="29"/>
      <c r="K34" s="29"/>
      <c r="L34" s="72"/>
      <c r="M34" s="72"/>
      <c r="N34" s="72"/>
      <c r="O34" s="72"/>
      <c r="P34" s="72"/>
      <c r="Q34" s="72"/>
      <c r="R34" s="72"/>
      <c r="S34" s="72"/>
      <c r="T34" s="72"/>
      <c r="U34" s="72"/>
      <c r="V34" s="72"/>
      <c r="W34" s="72"/>
      <c r="X34" s="72"/>
      <c r="Y34" s="72"/>
      <c r="Z34" s="29"/>
    </row>
    <row r="35" spans="1:26" ht="18" customHeight="1" x14ac:dyDescent="0.15">
      <c r="A35" s="212" t="s">
        <v>128</v>
      </c>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row>
    <row r="36" spans="1:26" ht="18" customHeight="1" x14ac:dyDescent="0.15">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row>
    <row r="37" spans="1:26" ht="18" customHeight="1" x14ac:dyDescent="0.15">
      <c r="A37" s="14"/>
      <c r="B37" s="123" t="s">
        <v>99</v>
      </c>
      <c r="C37" s="124"/>
      <c r="D37" s="124"/>
      <c r="E37" s="124"/>
      <c r="F37" s="125"/>
      <c r="G37" s="30" t="s">
        <v>140</v>
      </c>
      <c r="H37" s="108" t="s">
        <v>139</v>
      </c>
      <c r="I37" s="123" t="s">
        <v>100</v>
      </c>
      <c r="J37" s="124"/>
      <c r="K37" s="125"/>
      <c r="L37" s="71" t="s">
        <v>129</v>
      </c>
      <c r="M37" s="71" t="s">
        <v>130</v>
      </c>
      <c r="N37" s="123" t="s">
        <v>99</v>
      </c>
      <c r="O37" s="124"/>
      <c r="P37" s="124"/>
      <c r="Q37" s="124"/>
      <c r="R37" s="124"/>
      <c r="S37" s="125"/>
      <c r="T37" s="30" t="s">
        <v>140</v>
      </c>
      <c r="U37" s="108" t="s">
        <v>139</v>
      </c>
      <c r="V37" s="123" t="s">
        <v>100</v>
      </c>
      <c r="W37" s="124"/>
      <c r="X37" s="125"/>
      <c r="Y37" s="71" t="s">
        <v>129</v>
      </c>
      <c r="Z37" s="71" t="s">
        <v>130</v>
      </c>
    </row>
    <row r="38" spans="1:26" ht="18" customHeight="1" x14ac:dyDescent="0.15">
      <c r="A38" s="29"/>
      <c r="B38" s="178" t="s">
        <v>154</v>
      </c>
      <c r="C38" s="179"/>
      <c r="D38" s="179"/>
      <c r="E38" s="179"/>
      <c r="F38" s="180"/>
      <c r="G38" s="109">
        <v>1</v>
      </c>
      <c r="H38" s="109" t="s">
        <v>156</v>
      </c>
      <c r="I38" s="184" t="s">
        <v>157</v>
      </c>
      <c r="J38" s="185"/>
      <c r="K38" s="186"/>
      <c r="L38" s="109" t="s">
        <v>156</v>
      </c>
      <c r="M38" s="109"/>
      <c r="N38" s="156"/>
      <c r="O38" s="157"/>
      <c r="P38" s="157"/>
      <c r="Q38" s="157"/>
      <c r="R38" s="157"/>
      <c r="S38" s="158"/>
      <c r="T38" s="109"/>
      <c r="U38" s="109"/>
      <c r="V38" s="184"/>
      <c r="W38" s="185"/>
      <c r="X38" s="186"/>
      <c r="Y38" s="109"/>
      <c r="Z38" s="109"/>
    </row>
    <row r="39" spans="1:26" ht="18" customHeight="1" x14ac:dyDescent="0.15">
      <c r="A39" s="29"/>
      <c r="B39" s="171" t="s">
        <v>154</v>
      </c>
      <c r="C39" s="172"/>
      <c r="D39" s="172"/>
      <c r="E39" s="172"/>
      <c r="F39" s="173"/>
      <c r="G39" s="110">
        <v>1</v>
      </c>
      <c r="H39" s="110" t="s">
        <v>156</v>
      </c>
      <c r="I39" s="165" t="s">
        <v>157</v>
      </c>
      <c r="J39" s="166"/>
      <c r="K39" s="167"/>
      <c r="L39" s="110"/>
      <c r="M39" s="110" t="s">
        <v>156</v>
      </c>
      <c r="N39" s="159"/>
      <c r="O39" s="160"/>
      <c r="P39" s="160"/>
      <c r="Q39" s="160"/>
      <c r="R39" s="160"/>
      <c r="S39" s="161"/>
      <c r="T39" s="110"/>
      <c r="U39" s="110"/>
      <c r="V39" s="165"/>
      <c r="W39" s="166"/>
      <c r="X39" s="167"/>
      <c r="Y39" s="110"/>
      <c r="Z39" s="110"/>
    </row>
    <row r="40" spans="1:26" ht="18" customHeight="1" x14ac:dyDescent="0.15">
      <c r="A40" s="29"/>
      <c r="B40" s="171"/>
      <c r="C40" s="172"/>
      <c r="D40" s="172"/>
      <c r="E40" s="172"/>
      <c r="F40" s="173"/>
      <c r="G40" s="110"/>
      <c r="H40" s="110"/>
      <c r="I40" s="165"/>
      <c r="J40" s="166"/>
      <c r="K40" s="167"/>
      <c r="L40" s="110"/>
      <c r="M40" s="110"/>
      <c r="N40" s="159"/>
      <c r="O40" s="160"/>
      <c r="P40" s="160"/>
      <c r="Q40" s="160"/>
      <c r="R40" s="160"/>
      <c r="S40" s="161"/>
      <c r="T40" s="110"/>
      <c r="U40" s="110"/>
      <c r="V40" s="165"/>
      <c r="W40" s="166"/>
      <c r="X40" s="167"/>
      <c r="Y40" s="110"/>
      <c r="Z40" s="110"/>
    </row>
    <row r="41" spans="1:26" ht="18" customHeight="1" x14ac:dyDescent="0.15">
      <c r="A41" s="29"/>
      <c r="B41" s="171"/>
      <c r="C41" s="172"/>
      <c r="D41" s="172"/>
      <c r="E41" s="172"/>
      <c r="F41" s="173"/>
      <c r="G41" s="110"/>
      <c r="H41" s="110"/>
      <c r="I41" s="165"/>
      <c r="J41" s="166"/>
      <c r="K41" s="167"/>
      <c r="L41" s="110"/>
      <c r="M41" s="110"/>
      <c r="N41" s="159"/>
      <c r="O41" s="160"/>
      <c r="P41" s="160"/>
      <c r="Q41" s="160"/>
      <c r="R41" s="160"/>
      <c r="S41" s="161"/>
      <c r="T41" s="110"/>
      <c r="U41" s="110"/>
      <c r="V41" s="165"/>
      <c r="W41" s="166"/>
      <c r="X41" s="167"/>
      <c r="Y41" s="110"/>
      <c r="Z41" s="110"/>
    </row>
    <row r="42" spans="1:26" ht="18" customHeight="1" x14ac:dyDescent="0.15">
      <c r="A42" s="29"/>
      <c r="B42" s="171"/>
      <c r="C42" s="172"/>
      <c r="D42" s="172"/>
      <c r="E42" s="172"/>
      <c r="F42" s="173"/>
      <c r="G42" s="110"/>
      <c r="H42" s="110"/>
      <c r="I42" s="165"/>
      <c r="J42" s="166"/>
      <c r="K42" s="167"/>
      <c r="L42" s="110"/>
      <c r="M42" s="110"/>
      <c r="N42" s="159"/>
      <c r="O42" s="160"/>
      <c r="P42" s="160"/>
      <c r="Q42" s="160"/>
      <c r="R42" s="160"/>
      <c r="S42" s="161"/>
      <c r="T42" s="110"/>
      <c r="U42" s="110"/>
      <c r="V42" s="165"/>
      <c r="W42" s="166"/>
      <c r="X42" s="167"/>
      <c r="Y42" s="110"/>
      <c r="Z42" s="110"/>
    </row>
    <row r="43" spans="1:26" ht="18" customHeight="1" x14ac:dyDescent="0.15">
      <c r="A43" s="29"/>
      <c r="B43" s="171"/>
      <c r="C43" s="172"/>
      <c r="D43" s="172"/>
      <c r="E43" s="172"/>
      <c r="F43" s="173"/>
      <c r="G43" s="110"/>
      <c r="H43" s="110"/>
      <c r="I43" s="165"/>
      <c r="J43" s="166"/>
      <c r="K43" s="167"/>
      <c r="L43" s="110"/>
      <c r="M43" s="110"/>
      <c r="N43" s="159"/>
      <c r="O43" s="160"/>
      <c r="P43" s="160"/>
      <c r="Q43" s="160"/>
      <c r="R43" s="160"/>
      <c r="S43" s="161"/>
      <c r="T43" s="110"/>
      <c r="U43" s="110"/>
      <c r="V43" s="165"/>
      <c r="W43" s="166"/>
      <c r="X43" s="167"/>
      <c r="Y43" s="110"/>
      <c r="Z43" s="110"/>
    </row>
    <row r="44" spans="1:26" ht="18" customHeight="1" x14ac:dyDescent="0.15">
      <c r="A44" s="29"/>
      <c r="B44" s="174"/>
      <c r="C44" s="175"/>
      <c r="D44" s="175"/>
      <c r="E44" s="175"/>
      <c r="F44" s="176"/>
      <c r="G44" s="111"/>
      <c r="H44" s="111"/>
      <c r="I44" s="168"/>
      <c r="J44" s="169"/>
      <c r="K44" s="170"/>
      <c r="L44" s="117"/>
      <c r="M44" s="117"/>
      <c r="N44" s="162"/>
      <c r="O44" s="163"/>
      <c r="P44" s="163"/>
      <c r="Q44" s="163"/>
      <c r="R44" s="163"/>
      <c r="S44" s="164"/>
      <c r="T44" s="111"/>
      <c r="U44" s="111"/>
      <c r="V44" s="168"/>
      <c r="W44" s="169"/>
      <c r="X44" s="170"/>
      <c r="Y44" s="117"/>
      <c r="Z44" s="117"/>
    </row>
    <row r="45" spans="1:26" ht="7.5" customHeight="1" x14ac:dyDescent="0.15">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6" ht="18" customHeight="1" x14ac:dyDescent="0.15">
      <c r="A46" s="212" t="s">
        <v>131</v>
      </c>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row>
    <row r="47" spans="1:26" ht="18" customHeight="1" x14ac:dyDescent="0.15">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row>
    <row r="48" spans="1:26" ht="18" customHeight="1" x14ac:dyDescent="0.15">
      <c r="A48" s="14"/>
      <c r="B48" s="123" t="s">
        <v>99</v>
      </c>
      <c r="C48" s="124"/>
      <c r="D48" s="124"/>
      <c r="E48" s="124"/>
      <c r="F48" s="125"/>
      <c r="G48" s="30" t="s">
        <v>140</v>
      </c>
      <c r="H48" s="108" t="s">
        <v>139</v>
      </c>
      <c r="I48" s="123" t="s">
        <v>100</v>
      </c>
      <c r="J48" s="124"/>
      <c r="K48" s="125"/>
      <c r="L48" s="71" t="s">
        <v>105</v>
      </c>
      <c r="M48" s="71" t="s">
        <v>107</v>
      </c>
      <c r="N48" s="123" t="s">
        <v>99</v>
      </c>
      <c r="O48" s="124"/>
      <c r="P48" s="124"/>
      <c r="Q48" s="124"/>
      <c r="R48" s="124"/>
      <c r="S48" s="125"/>
      <c r="T48" s="30" t="s">
        <v>140</v>
      </c>
      <c r="U48" s="108" t="s">
        <v>139</v>
      </c>
      <c r="V48" s="123" t="s">
        <v>100</v>
      </c>
      <c r="W48" s="124"/>
      <c r="X48" s="125"/>
      <c r="Y48" s="71" t="s">
        <v>105</v>
      </c>
      <c r="Z48" s="71" t="s">
        <v>107</v>
      </c>
    </row>
    <row r="49" spans="1:26" ht="18" customHeight="1" x14ac:dyDescent="0.15">
      <c r="A49" s="29"/>
      <c r="B49" s="178" t="s">
        <v>158</v>
      </c>
      <c r="C49" s="179" t="s">
        <v>158</v>
      </c>
      <c r="D49" s="179" t="s">
        <v>158</v>
      </c>
      <c r="E49" s="179" t="s">
        <v>158</v>
      </c>
      <c r="F49" s="180" t="s">
        <v>158</v>
      </c>
      <c r="G49" s="109">
        <v>1</v>
      </c>
      <c r="H49" s="109" t="s">
        <v>156</v>
      </c>
      <c r="I49" s="184" t="s">
        <v>157</v>
      </c>
      <c r="J49" s="185"/>
      <c r="K49" s="186"/>
      <c r="L49" s="109" t="s">
        <v>156</v>
      </c>
      <c r="M49" s="109"/>
      <c r="N49" s="156"/>
      <c r="O49" s="157"/>
      <c r="P49" s="157"/>
      <c r="Q49" s="157"/>
      <c r="R49" s="157"/>
      <c r="S49" s="158"/>
      <c r="T49" s="109"/>
      <c r="U49" s="109"/>
      <c r="V49" s="184"/>
      <c r="W49" s="185"/>
      <c r="X49" s="186"/>
      <c r="Y49" s="109"/>
      <c r="Z49" s="109"/>
    </row>
    <row r="50" spans="1:26" ht="18" customHeight="1" x14ac:dyDescent="0.15">
      <c r="A50" s="29"/>
      <c r="B50" s="171" t="s">
        <v>158</v>
      </c>
      <c r="C50" s="172" t="s">
        <v>158</v>
      </c>
      <c r="D50" s="172" t="s">
        <v>158</v>
      </c>
      <c r="E50" s="172" t="s">
        <v>158</v>
      </c>
      <c r="F50" s="173" t="s">
        <v>158</v>
      </c>
      <c r="G50" s="110">
        <v>1</v>
      </c>
      <c r="H50" s="110" t="s">
        <v>156</v>
      </c>
      <c r="I50" s="165" t="s">
        <v>157</v>
      </c>
      <c r="J50" s="166"/>
      <c r="K50" s="167"/>
      <c r="L50" s="110"/>
      <c r="M50" s="110" t="s">
        <v>156</v>
      </c>
      <c r="N50" s="159"/>
      <c r="O50" s="160"/>
      <c r="P50" s="160"/>
      <c r="Q50" s="160"/>
      <c r="R50" s="160"/>
      <c r="S50" s="161"/>
      <c r="T50" s="110"/>
      <c r="U50" s="110"/>
      <c r="V50" s="165"/>
      <c r="W50" s="166"/>
      <c r="X50" s="167"/>
      <c r="Y50" s="110"/>
      <c r="Z50" s="110"/>
    </row>
    <row r="51" spans="1:26" ht="18" customHeight="1" x14ac:dyDescent="0.15">
      <c r="A51" s="29"/>
      <c r="B51" s="171"/>
      <c r="C51" s="172"/>
      <c r="D51" s="172"/>
      <c r="E51" s="172"/>
      <c r="F51" s="173"/>
      <c r="G51" s="110"/>
      <c r="H51" s="110"/>
      <c r="I51" s="165"/>
      <c r="J51" s="166"/>
      <c r="K51" s="167"/>
      <c r="L51" s="110"/>
      <c r="M51" s="110"/>
      <c r="N51" s="159"/>
      <c r="O51" s="160"/>
      <c r="P51" s="160"/>
      <c r="Q51" s="160"/>
      <c r="R51" s="160"/>
      <c r="S51" s="161"/>
      <c r="T51" s="110"/>
      <c r="U51" s="110"/>
      <c r="V51" s="165"/>
      <c r="W51" s="166"/>
      <c r="X51" s="167"/>
      <c r="Y51" s="110"/>
      <c r="Z51" s="110"/>
    </row>
    <row r="52" spans="1:26" ht="18" customHeight="1" x14ac:dyDescent="0.15">
      <c r="A52" s="29"/>
      <c r="B52" s="171"/>
      <c r="C52" s="172"/>
      <c r="D52" s="172"/>
      <c r="E52" s="172"/>
      <c r="F52" s="173"/>
      <c r="G52" s="110"/>
      <c r="H52" s="110"/>
      <c r="I52" s="165"/>
      <c r="J52" s="166"/>
      <c r="K52" s="167"/>
      <c r="L52" s="110"/>
      <c r="M52" s="110"/>
      <c r="N52" s="159"/>
      <c r="O52" s="160"/>
      <c r="P52" s="160"/>
      <c r="Q52" s="160"/>
      <c r="R52" s="160"/>
      <c r="S52" s="161"/>
      <c r="T52" s="110"/>
      <c r="U52" s="110"/>
      <c r="V52" s="165"/>
      <c r="W52" s="166"/>
      <c r="X52" s="167"/>
      <c r="Y52" s="110"/>
      <c r="Z52" s="110"/>
    </row>
    <row r="53" spans="1:26" ht="18" customHeight="1" x14ac:dyDescent="0.15">
      <c r="A53" s="29"/>
      <c r="B53" s="171"/>
      <c r="C53" s="172"/>
      <c r="D53" s="172"/>
      <c r="E53" s="172"/>
      <c r="F53" s="173"/>
      <c r="G53" s="110"/>
      <c r="H53" s="110"/>
      <c r="I53" s="165"/>
      <c r="J53" s="166"/>
      <c r="K53" s="167"/>
      <c r="L53" s="110"/>
      <c r="M53" s="110"/>
      <c r="N53" s="159"/>
      <c r="O53" s="160"/>
      <c r="P53" s="160"/>
      <c r="Q53" s="160"/>
      <c r="R53" s="160"/>
      <c r="S53" s="161"/>
      <c r="T53" s="110"/>
      <c r="U53" s="110"/>
      <c r="V53" s="165"/>
      <c r="W53" s="166"/>
      <c r="X53" s="167"/>
      <c r="Y53" s="110"/>
      <c r="Z53" s="110"/>
    </row>
    <row r="54" spans="1:26" ht="18" customHeight="1" x14ac:dyDescent="0.15">
      <c r="A54" s="29"/>
      <c r="B54" s="171"/>
      <c r="C54" s="172"/>
      <c r="D54" s="172"/>
      <c r="E54" s="172"/>
      <c r="F54" s="173"/>
      <c r="G54" s="110"/>
      <c r="H54" s="110"/>
      <c r="I54" s="165"/>
      <c r="J54" s="166"/>
      <c r="K54" s="167"/>
      <c r="L54" s="110"/>
      <c r="M54" s="110"/>
      <c r="N54" s="159"/>
      <c r="O54" s="160"/>
      <c r="P54" s="160"/>
      <c r="Q54" s="160"/>
      <c r="R54" s="160"/>
      <c r="S54" s="161"/>
      <c r="T54" s="110"/>
      <c r="U54" s="110"/>
      <c r="V54" s="165"/>
      <c r="W54" s="166"/>
      <c r="X54" s="167"/>
      <c r="Y54" s="110"/>
      <c r="Z54" s="110"/>
    </row>
    <row r="55" spans="1:26" ht="18" customHeight="1" x14ac:dyDescent="0.15">
      <c r="A55" s="29"/>
      <c r="B55" s="174"/>
      <c r="C55" s="175"/>
      <c r="D55" s="175"/>
      <c r="E55" s="175"/>
      <c r="F55" s="176"/>
      <c r="G55" s="111"/>
      <c r="H55" s="111"/>
      <c r="I55" s="168"/>
      <c r="J55" s="169"/>
      <c r="K55" s="170"/>
      <c r="L55" s="117"/>
      <c r="M55" s="117"/>
      <c r="N55" s="162"/>
      <c r="O55" s="163"/>
      <c r="P55" s="163"/>
      <c r="Q55" s="163"/>
      <c r="R55" s="163"/>
      <c r="S55" s="164"/>
      <c r="T55" s="111"/>
      <c r="U55" s="111"/>
      <c r="V55" s="168"/>
      <c r="W55" s="169"/>
      <c r="X55" s="170"/>
      <c r="Y55" s="117"/>
      <c r="Z55" s="117"/>
    </row>
    <row r="56" spans="1:26" ht="7.5" customHeight="1" x14ac:dyDescent="0.15">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6" ht="18" customHeight="1" x14ac:dyDescent="0.15">
      <c r="A57" s="212" t="s">
        <v>132</v>
      </c>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row>
    <row r="58" spans="1:26" ht="18" customHeight="1" x14ac:dyDescent="0.15">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row>
    <row r="59" spans="1:26" ht="18" customHeight="1" x14ac:dyDescent="0.15">
      <c r="A59" s="14"/>
      <c r="B59" s="123" t="s">
        <v>99</v>
      </c>
      <c r="C59" s="124"/>
      <c r="D59" s="124"/>
      <c r="E59" s="125"/>
      <c r="F59" s="30" t="s">
        <v>140</v>
      </c>
      <c r="G59" s="108" t="s">
        <v>139</v>
      </c>
      <c r="H59" s="103" t="s">
        <v>100</v>
      </c>
      <c r="I59" s="104"/>
      <c r="J59" s="105"/>
      <c r="K59" s="71" t="s">
        <v>104</v>
      </c>
      <c r="L59" s="71" t="s">
        <v>133</v>
      </c>
      <c r="M59" s="71" t="s">
        <v>134</v>
      </c>
      <c r="N59" s="123" t="s">
        <v>99</v>
      </c>
      <c r="O59" s="124"/>
      <c r="P59" s="124"/>
      <c r="Q59" s="124"/>
      <c r="R59" s="125"/>
      <c r="S59" s="30" t="s">
        <v>140</v>
      </c>
      <c r="T59" s="108" t="s">
        <v>139</v>
      </c>
      <c r="U59" s="103" t="s">
        <v>100</v>
      </c>
      <c r="V59" s="104"/>
      <c r="W59" s="105"/>
      <c r="X59" s="71" t="s">
        <v>104</v>
      </c>
      <c r="Y59" s="71" t="s">
        <v>133</v>
      </c>
      <c r="Z59" s="71" t="s">
        <v>134</v>
      </c>
    </row>
    <row r="60" spans="1:26" ht="18" customHeight="1" x14ac:dyDescent="0.15">
      <c r="A60" s="29"/>
      <c r="B60" s="156" t="s">
        <v>159</v>
      </c>
      <c r="C60" s="157" t="s">
        <v>159</v>
      </c>
      <c r="D60" s="157" t="s">
        <v>159</v>
      </c>
      <c r="E60" s="158" t="s">
        <v>159</v>
      </c>
      <c r="F60" s="109">
        <v>1</v>
      </c>
      <c r="G60" s="109" t="s">
        <v>156</v>
      </c>
      <c r="H60" s="184" t="s">
        <v>157</v>
      </c>
      <c r="I60" s="185"/>
      <c r="J60" s="186"/>
      <c r="K60" s="116" t="s">
        <v>156</v>
      </c>
      <c r="L60" s="109"/>
      <c r="M60" s="109"/>
      <c r="N60" s="156"/>
      <c r="O60" s="157"/>
      <c r="P60" s="157"/>
      <c r="Q60" s="157"/>
      <c r="R60" s="158"/>
      <c r="S60" s="109"/>
      <c r="T60" s="109"/>
      <c r="U60" s="184"/>
      <c r="V60" s="185"/>
      <c r="W60" s="186"/>
      <c r="X60" s="116"/>
      <c r="Y60" s="109"/>
      <c r="Z60" s="109"/>
    </row>
    <row r="61" spans="1:26" ht="18" customHeight="1" x14ac:dyDescent="0.15">
      <c r="A61" s="29"/>
      <c r="B61" s="159" t="s">
        <v>159</v>
      </c>
      <c r="C61" s="160" t="s">
        <v>159</v>
      </c>
      <c r="D61" s="160" t="s">
        <v>159</v>
      </c>
      <c r="E61" s="161" t="s">
        <v>159</v>
      </c>
      <c r="F61" s="110">
        <v>1</v>
      </c>
      <c r="G61" s="110" t="s">
        <v>156</v>
      </c>
      <c r="H61" s="165" t="s">
        <v>157</v>
      </c>
      <c r="I61" s="166"/>
      <c r="J61" s="167"/>
      <c r="K61" s="114"/>
      <c r="L61" s="110" t="s">
        <v>156</v>
      </c>
      <c r="M61" s="110"/>
      <c r="N61" s="159"/>
      <c r="O61" s="160"/>
      <c r="P61" s="160"/>
      <c r="Q61" s="160"/>
      <c r="R61" s="161"/>
      <c r="S61" s="110"/>
      <c r="T61" s="110"/>
      <c r="U61" s="165"/>
      <c r="V61" s="166"/>
      <c r="W61" s="167"/>
      <c r="X61" s="114"/>
      <c r="Y61" s="110"/>
      <c r="Z61" s="110"/>
    </row>
    <row r="62" spans="1:26" ht="18" customHeight="1" x14ac:dyDescent="0.15">
      <c r="A62" s="29"/>
      <c r="B62" s="159" t="s">
        <v>159</v>
      </c>
      <c r="C62" s="160" t="s">
        <v>159</v>
      </c>
      <c r="D62" s="160" t="s">
        <v>159</v>
      </c>
      <c r="E62" s="161" t="s">
        <v>159</v>
      </c>
      <c r="F62" s="110">
        <v>1</v>
      </c>
      <c r="G62" s="110" t="s">
        <v>156</v>
      </c>
      <c r="H62" s="165" t="s">
        <v>157</v>
      </c>
      <c r="I62" s="166"/>
      <c r="J62" s="167"/>
      <c r="K62" s="114"/>
      <c r="L62" s="110"/>
      <c r="M62" s="110" t="s">
        <v>156</v>
      </c>
      <c r="N62" s="159"/>
      <c r="O62" s="160"/>
      <c r="P62" s="160"/>
      <c r="Q62" s="160"/>
      <c r="R62" s="161"/>
      <c r="S62" s="110"/>
      <c r="T62" s="110"/>
      <c r="U62" s="165"/>
      <c r="V62" s="166"/>
      <c r="W62" s="167"/>
      <c r="X62" s="114"/>
      <c r="Y62" s="110"/>
      <c r="Z62" s="110"/>
    </row>
    <row r="63" spans="1:26" ht="18" customHeight="1" x14ac:dyDescent="0.15">
      <c r="A63" s="29"/>
      <c r="B63" s="159"/>
      <c r="C63" s="160"/>
      <c r="D63" s="160"/>
      <c r="E63" s="161"/>
      <c r="F63" s="110"/>
      <c r="G63" s="110"/>
      <c r="H63" s="165"/>
      <c r="I63" s="166"/>
      <c r="J63" s="167"/>
      <c r="K63" s="114"/>
      <c r="L63" s="110"/>
      <c r="M63" s="110"/>
      <c r="N63" s="159"/>
      <c r="O63" s="160"/>
      <c r="P63" s="160"/>
      <c r="Q63" s="160"/>
      <c r="R63" s="161"/>
      <c r="S63" s="110"/>
      <c r="T63" s="110"/>
      <c r="U63" s="165"/>
      <c r="V63" s="166"/>
      <c r="W63" s="167"/>
      <c r="X63" s="114"/>
      <c r="Y63" s="110"/>
      <c r="Z63" s="110"/>
    </row>
    <row r="64" spans="1:26" ht="18" customHeight="1" x14ac:dyDescent="0.15">
      <c r="A64" s="29"/>
      <c r="B64" s="159"/>
      <c r="C64" s="160"/>
      <c r="D64" s="160"/>
      <c r="E64" s="161"/>
      <c r="F64" s="110"/>
      <c r="G64" s="110"/>
      <c r="H64" s="165"/>
      <c r="I64" s="166"/>
      <c r="J64" s="167"/>
      <c r="K64" s="114"/>
      <c r="L64" s="110"/>
      <c r="M64" s="110"/>
      <c r="N64" s="159"/>
      <c r="O64" s="160"/>
      <c r="P64" s="160"/>
      <c r="Q64" s="160"/>
      <c r="R64" s="161"/>
      <c r="S64" s="110"/>
      <c r="T64" s="110"/>
      <c r="U64" s="165"/>
      <c r="V64" s="166"/>
      <c r="W64" s="167"/>
      <c r="X64" s="114"/>
      <c r="Y64" s="110"/>
      <c r="Z64" s="110"/>
    </row>
    <row r="65" spans="1:26" ht="18" customHeight="1" x14ac:dyDescent="0.15">
      <c r="A65" s="29"/>
      <c r="B65" s="159"/>
      <c r="C65" s="160"/>
      <c r="D65" s="160"/>
      <c r="E65" s="161"/>
      <c r="F65" s="110"/>
      <c r="G65" s="110"/>
      <c r="H65" s="165"/>
      <c r="I65" s="166"/>
      <c r="J65" s="167"/>
      <c r="K65" s="114"/>
      <c r="L65" s="110"/>
      <c r="M65" s="110"/>
      <c r="N65" s="159"/>
      <c r="O65" s="160"/>
      <c r="P65" s="160"/>
      <c r="Q65" s="160"/>
      <c r="R65" s="161"/>
      <c r="S65" s="110"/>
      <c r="T65" s="110"/>
      <c r="U65" s="165"/>
      <c r="V65" s="166"/>
      <c r="W65" s="167"/>
      <c r="X65" s="114"/>
      <c r="Y65" s="110"/>
      <c r="Z65" s="110"/>
    </row>
    <row r="66" spans="1:26" ht="18" customHeight="1" x14ac:dyDescent="0.15">
      <c r="A66" s="29"/>
      <c r="B66" s="162"/>
      <c r="C66" s="163"/>
      <c r="D66" s="163"/>
      <c r="E66" s="164"/>
      <c r="F66" s="111"/>
      <c r="G66" s="111"/>
      <c r="H66" s="168"/>
      <c r="I66" s="169"/>
      <c r="J66" s="170"/>
      <c r="K66" s="115"/>
      <c r="L66" s="117"/>
      <c r="M66" s="117"/>
      <c r="N66" s="162"/>
      <c r="O66" s="163"/>
      <c r="P66" s="163"/>
      <c r="Q66" s="163"/>
      <c r="R66" s="164"/>
      <c r="S66" s="111"/>
      <c r="T66" s="111"/>
      <c r="U66" s="168"/>
      <c r="V66" s="169"/>
      <c r="W66" s="170"/>
      <c r="X66" s="115"/>
      <c r="Y66" s="117"/>
      <c r="Z66" s="117"/>
    </row>
    <row r="67" spans="1:26" ht="7.5" customHeight="1" x14ac:dyDescent="0.15">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6" ht="18" customHeight="1" x14ac:dyDescent="0.15">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3" t="s">
        <v>99</v>
      </c>
      <c r="C69" s="124"/>
      <c r="D69" s="124"/>
      <c r="E69" s="124"/>
      <c r="F69" s="125"/>
      <c r="G69" s="123" t="s">
        <v>145</v>
      </c>
      <c r="H69" s="124"/>
      <c r="I69" s="124"/>
      <c r="J69" s="124"/>
      <c r="K69" s="124"/>
      <c r="L69" s="124"/>
      <c r="M69" s="125"/>
      <c r="N69" s="181" t="s">
        <v>99</v>
      </c>
      <c r="O69" s="182"/>
      <c r="P69" s="182"/>
      <c r="Q69" s="182"/>
      <c r="R69" s="182"/>
      <c r="S69" s="183"/>
      <c r="T69" s="123" t="s">
        <v>145</v>
      </c>
      <c r="U69" s="124"/>
      <c r="V69" s="124"/>
      <c r="W69" s="124"/>
      <c r="X69" s="124"/>
      <c r="Y69" s="124"/>
      <c r="Z69" s="125"/>
    </row>
    <row r="70" spans="1:26" ht="18" customHeight="1" x14ac:dyDescent="0.15">
      <c r="A70" s="29"/>
      <c r="B70" s="156"/>
      <c r="C70" s="157"/>
      <c r="D70" s="157"/>
      <c r="E70" s="157"/>
      <c r="F70" s="158"/>
      <c r="G70" s="224"/>
      <c r="H70" s="225"/>
      <c r="I70" s="225"/>
      <c r="J70" s="225"/>
      <c r="K70" s="225"/>
      <c r="L70" s="225"/>
      <c r="M70" s="226"/>
      <c r="N70" s="156"/>
      <c r="O70" s="157"/>
      <c r="P70" s="157"/>
      <c r="Q70" s="157"/>
      <c r="R70" s="157"/>
      <c r="S70" s="158"/>
      <c r="T70" s="224"/>
      <c r="U70" s="225"/>
      <c r="V70" s="225"/>
      <c r="W70" s="225"/>
      <c r="X70" s="225"/>
      <c r="Y70" s="225"/>
      <c r="Z70" s="226"/>
    </row>
    <row r="71" spans="1:26" ht="18" customHeight="1" x14ac:dyDescent="0.15">
      <c r="A71" s="29"/>
      <c r="B71" s="159"/>
      <c r="C71" s="160"/>
      <c r="D71" s="160"/>
      <c r="E71" s="160"/>
      <c r="F71" s="161"/>
      <c r="G71" s="202"/>
      <c r="H71" s="203"/>
      <c r="I71" s="203"/>
      <c r="J71" s="203"/>
      <c r="K71" s="203"/>
      <c r="L71" s="203"/>
      <c r="M71" s="204"/>
      <c r="N71" s="159"/>
      <c r="O71" s="160"/>
      <c r="P71" s="160"/>
      <c r="Q71" s="160"/>
      <c r="R71" s="160"/>
      <c r="S71" s="161"/>
      <c r="T71" s="202"/>
      <c r="U71" s="203"/>
      <c r="V71" s="203"/>
      <c r="W71" s="203"/>
      <c r="X71" s="203"/>
      <c r="Y71" s="203"/>
      <c r="Z71" s="204"/>
    </row>
    <row r="72" spans="1:26" ht="18" customHeight="1" x14ac:dyDescent="0.15">
      <c r="A72" s="29"/>
      <c r="B72" s="159"/>
      <c r="C72" s="160"/>
      <c r="D72" s="160"/>
      <c r="E72" s="160"/>
      <c r="F72" s="161"/>
      <c r="G72" s="202"/>
      <c r="H72" s="203"/>
      <c r="I72" s="203"/>
      <c r="J72" s="203"/>
      <c r="K72" s="203"/>
      <c r="L72" s="203"/>
      <c r="M72" s="204"/>
      <c r="N72" s="159"/>
      <c r="O72" s="160"/>
      <c r="P72" s="160"/>
      <c r="Q72" s="160"/>
      <c r="R72" s="160"/>
      <c r="S72" s="161"/>
      <c r="T72" s="202"/>
      <c r="U72" s="203"/>
      <c r="V72" s="203"/>
      <c r="W72" s="203"/>
      <c r="X72" s="203"/>
      <c r="Y72" s="203"/>
      <c r="Z72" s="204"/>
    </row>
    <row r="73" spans="1:26" ht="18" customHeight="1" x14ac:dyDescent="0.15">
      <c r="A73" s="29"/>
      <c r="B73" s="159"/>
      <c r="C73" s="160"/>
      <c r="D73" s="160"/>
      <c r="E73" s="160"/>
      <c r="F73" s="161"/>
      <c r="G73" s="202"/>
      <c r="H73" s="203"/>
      <c r="I73" s="203"/>
      <c r="J73" s="203"/>
      <c r="K73" s="203"/>
      <c r="L73" s="203"/>
      <c r="M73" s="204"/>
      <c r="N73" s="159"/>
      <c r="O73" s="160"/>
      <c r="P73" s="160"/>
      <c r="Q73" s="160"/>
      <c r="R73" s="160"/>
      <c r="S73" s="161"/>
      <c r="T73" s="202"/>
      <c r="U73" s="203"/>
      <c r="V73" s="203"/>
      <c r="W73" s="203"/>
      <c r="X73" s="203"/>
      <c r="Y73" s="203"/>
      <c r="Z73" s="204"/>
    </row>
    <row r="74" spans="1:26" ht="18" customHeight="1" x14ac:dyDescent="0.15">
      <c r="A74" s="29"/>
      <c r="B74" s="159"/>
      <c r="C74" s="160"/>
      <c r="D74" s="160"/>
      <c r="E74" s="160"/>
      <c r="F74" s="161"/>
      <c r="G74" s="202"/>
      <c r="H74" s="203"/>
      <c r="I74" s="203"/>
      <c r="J74" s="203"/>
      <c r="K74" s="203"/>
      <c r="L74" s="203"/>
      <c r="M74" s="204"/>
      <c r="N74" s="159"/>
      <c r="O74" s="160"/>
      <c r="P74" s="160"/>
      <c r="Q74" s="160"/>
      <c r="R74" s="160"/>
      <c r="S74" s="161"/>
      <c r="T74" s="202"/>
      <c r="U74" s="203"/>
      <c r="V74" s="203"/>
      <c r="W74" s="203"/>
      <c r="X74" s="203"/>
      <c r="Y74" s="203"/>
      <c r="Z74" s="204"/>
    </row>
    <row r="75" spans="1:26" ht="18" customHeight="1" x14ac:dyDescent="0.15">
      <c r="A75" s="29"/>
      <c r="B75" s="159"/>
      <c r="C75" s="160"/>
      <c r="D75" s="160"/>
      <c r="E75" s="160"/>
      <c r="F75" s="161"/>
      <c r="G75" s="202"/>
      <c r="H75" s="203"/>
      <c r="I75" s="203"/>
      <c r="J75" s="203"/>
      <c r="K75" s="203"/>
      <c r="L75" s="203"/>
      <c r="M75" s="204"/>
      <c r="N75" s="159"/>
      <c r="O75" s="160"/>
      <c r="P75" s="160"/>
      <c r="Q75" s="160"/>
      <c r="R75" s="160"/>
      <c r="S75" s="161"/>
      <c r="T75" s="202"/>
      <c r="U75" s="203"/>
      <c r="V75" s="203"/>
      <c r="W75" s="203"/>
      <c r="X75" s="203"/>
      <c r="Y75" s="203"/>
      <c r="Z75" s="204"/>
    </row>
    <row r="76" spans="1:26" ht="18" customHeight="1" x14ac:dyDescent="0.15">
      <c r="A76" s="29"/>
      <c r="B76" s="162"/>
      <c r="C76" s="163"/>
      <c r="D76" s="163"/>
      <c r="E76" s="163"/>
      <c r="F76" s="164"/>
      <c r="G76" s="199"/>
      <c r="H76" s="200"/>
      <c r="I76" s="200"/>
      <c r="J76" s="200"/>
      <c r="K76" s="200"/>
      <c r="L76" s="200"/>
      <c r="M76" s="201"/>
      <c r="N76" s="162"/>
      <c r="O76" s="163"/>
      <c r="P76" s="163"/>
      <c r="Q76" s="163"/>
      <c r="R76" s="163"/>
      <c r="S76" s="164"/>
      <c r="T76" s="199"/>
      <c r="U76" s="200"/>
      <c r="V76" s="200"/>
      <c r="W76" s="200"/>
      <c r="X76" s="200"/>
      <c r="Y76" s="200"/>
      <c r="Z76" s="201"/>
    </row>
    <row r="77" spans="1:26" ht="18" customHeight="1" x14ac:dyDescent="0.15">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x14ac:dyDescent="0.15">
      <c r="A78" s="13" t="s">
        <v>141</v>
      </c>
    </row>
    <row r="79" spans="1:26" ht="18.75" customHeight="1" x14ac:dyDescent="0.15">
      <c r="B79" s="74" t="s">
        <v>101</v>
      </c>
      <c r="C79" s="75"/>
      <c r="D79" s="238" t="s">
        <v>102</v>
      </c>
      <c r="E79" s="238"/>
      <c r="F79" s="238"/>
      <c r="G79" s="238"/>
      <c r="H79" s="238"/>
      <c r="I79" s="238"/>
      <c r="J79" s="238"/>
      <c r="K79" s="238"/>
      <c r="L79" s="238"/>
      <c r="M79" s="238"/>
      <c r="N79" s="238"/>
      <c r="O79" s="238"/>
      <c r="P79" s="238"/>
      <c r="Q79" s="238"/>
      <c r="R79" s="238"/>
      <c r="S79" s="238"/>
      <c r="T79" s="238"/>
      <c r="U79" s="238"/>
      <c r="V79" s="238"/>
      <c r="W79" s="238"/>
      <c r="X79" s="238"/>
      <c r="Y79" s="238"/>
      <c r="Z79" s="239"/>
    </row>
    <row r="80" spans="1:26" ht="78" customHeight="1" x14ac:dyDescent="0.15">
      <c r="B80" s="230" t="s">
        <v>108</v>
      </c>
      <c r="C80" s="81" t="s">
        <v>103</v>
      </c>
      <c r="D80" s="208" t="s">
        <v>200</v>
      </c>
      <c r="E80" s="209"/>
      <c r="F80" s="209"/>
      <c r="G80" s="209"/>
      <c r="H80" s="209"/>
      <c r="I80" s="209"/>
      <c r="J80" s="209"/>
      <c r="K80" s="209"/>
      <c r="L80" s="209"/>
      <c r="M80" s="209"/>
      <c r="N80" s="209"/>
      <c r="O80" s="209"/>
      <c r="P80" s="209"/>
      <c r="Q80" s="209"/>
      <c r="R80" s="209"/>
      <c r="S80" s="209"/>
      <c r="T80" s="209"/>
      <c r="U80" s="209"/>
      <c r="V80" s="209"/>
      <c r="W80" s="209"/>
      <c r="X80" s="209"/>
      <c r="Y80" s="209"/>
      <c r="Z80" s="210"/>
    </row>
    <row r="81" spans="1:26" ht="78" customHeight="1" x14ac:dyDescent="0.15">
      <c r="B81" s="231"/>
      <c r="C81" s="106" t="s">
        <v>136</v>
      </c>
      <c r="D81" s="205" t="s">
        <v>195</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78" customHeight="1" x14ac:dyDescent="0.15">
      <c r="B82" s="228" t="s">
        <v>109</v>
      </c>
      <c r="C82" s="76" t="s">
        <v>126</v>
      </c>
      <c r="D82" s="208" t="s">
        <v>201</v>
      </c>
      <c r="E82" s="209"/>
      <c r="F82" s="209"/>
      <c r="G82" s="209"/>
      <c r="H82" s="209"/>
      <c r="I82" s="209"/>
      <c r="J82" s="209"/>
      <c r="K82" s="209"/>
      <c r="L82" s="209"/>
      <c r="M82" s="209"/>
      <c r="N82" s="209"/>
      <c r="O82" s="209"/>
      <c r="P82" s="209"/>
      <c r="Q82" s="209"/>
      <c r="R82" s="209"/>
      <c r="S82" s="209"/>
      <c r="T82" s="209"/>
      <c r="U82" s="209"/>
      <c r="V82" s="209"/>
      <c r="W82" s="209"/>
      <c r="X82" s="209"/>
      <c r="Y82" s="209"/>
      <c r="Z82" s="210"/>
    </row>
    <row r="83" spans="1:26" ht="78" customHeight="1" x14ac:dyDescent="0.15">
      <c r="B83" s="229"/>
      <c r="C83" s="107" t="s">
        <v>127</v>
      </c>
      <c r="D83" s="211" t="s">
        <v>197</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66" customHeight="1" x14ac:dyDescent="0.15">
      <c r="B84" s="228" t="s">
        <v>110</v>
      </c>
      <c r="C84" s="76" t="s">
        <v>129</v>
      </c>
      <c r="D84" s="208" t="s">
        <v>198</v>
      </c>
      <c r="E84" s="209"/>
      <c r="F84" s="209"/>
      <c r="G84" s="209"/>
      <c r="H84" s="209"/>
      <c r="I84" s="209"/>
      <c r="J84" s="209"/>
      <c r="K84" s="209"/>
      <c r="L84" s="209"/>
      <c r="M84" s="209"/>
      <c r="N84" s="209"/>
      <c r="O84" s="209"/>
      <c r="P84" s="209"/>
      <c r="Q84" s="209"/>
      <c r="R84" s="209"/>
      <c r="S84" s="209"/>
      <c r="T84" s="209"/>
      <c r="U84" s="209"/>
      <c r="V84" s="209"/>
      <c r="W84" s="209"/>
      <c r="X84" s="209"/>
      <c r="Y84" s="209"/>
      <c r="Z84" s="210"/>
    </row>
    <row r="85" spans="1:26" ht="66" customHeight="1" x14ac:dyDescent="0.15">
      <c r="B85" s="229"/>
      <c r="C85" s="78" t="s">
        <v>130</v>
      </c>
      <c r="D85" s="211" t="s">
        <v>199</v>
      </c>
      <c r="E85" s="175"/>
      <c r="F85" s="175"/>
      <c r="G85" s="175"/>
      <c r="H85" s="175"/>
      <c r="I85" s="175"/>
      <c r="J85" s="175"/>
      <c r="K85" s="175"/>
      <c r="L85" s="175"/>
      <c r="M85" s="175"/>
      <c r="N85" s="175"/>
      <c r="O85" s="175"/>
      <c r="P85" s="175"/>
      <c r="Q85" s="175"/>
      <c r="R85" s="175"/>
      <c r="S85" s="175"/>
      <c r="T85" s="175"/>
      <c r="U85" s="175"/>
      <c r="V85" s="175"/>
      <c r="W85" s="175"/>
      <c r="X85" s="175"/>
      <c r="Y85" s="175"/>
      <c r="Z85" s="176"/>
    </row>
    <row r="86" spans="1:26" ht="66" customHeight="1" x14ac:dyDescent="0.15">
      <c r="B86" s="230" t="s">
        <v>137</v>
      </c>
      <c r="C86" s="81" t="s">
        <v>105</v>
      </c>
      <c r="D86" s="208" t="s">
        <v>202</v>
      </c>
      <c r="E86" s="209"/>
      <c r="F86" s="209"/>
      <c r="G86" s="209"/>
      <c r="H86" s="209"/>
      <c r="I86" s="209"/>
      <c r="J86" s="209"/>
      <c r="K86" s="209"/>
      <c r="L86" s="209"/>
      <c r="M86" s="209"/>
      <c r="N86" s="209"/>
      <c r="O86" s="209"/>
      <c r="P86" s="209"/>
      <c r="Q86" s="209"/>
      <c r="R86" s="209"/>
      <c r="S86" s="209"/>
      <c r="T86" s="209"/>
      <c r="U86" s="209"/>
      <c r="V86" s="209"/>
      <c r="W86" s="209"/>
      <c r="X86" s="209"/>
      <c r="Y86" s="209"/>
      <c r="Z86" s="210"/>
    </row>
    <row r="87" spans="1:26" ht="66" customHeight="1" x14ac:dyDescent="0.15">
      <c r="B87" s="236"/>
      <c r="C87" s="77" t="s">
        <v>107</v>
      </c>
      <c r="D87" s="237" t="s">
        <v>203</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66" customHeight="1" x14ac:dyDescent="0.15">
      <c r="B88" s="230" t="s">
        <v>138</v>
      </c>
      <c r="C88" s="76" t="s">
        <v>104</v>
      </c>
      <c r="D88" s="232" t="s">
        <v>204</v>
      </c>
      <c r="E88" s="157"/>
      <c r="F88" s="157"/>
      <c r="G88" s="157"/>
      <c r="H88" s="157"/>
      <c r="I88" s="157"/>
      <c r="J88" s="157"/>
      <c r="K88" s="157"/>
      <c r="L88" s="157"/>
      <c r="M88" s="157"/>
      <c r="N88" s="157"/>
      <c r="O88" s="157"/>
      <c r="P88" s="157"/>
      <c r="Q88" s="157"/>
      <c r="R88" s="157"/>
      <c r="S88" s="157"/>
      <c r="T88" s="157"/>
      <c r="U88" s="157"/>
      <c r="V88" s="157"/>
      <c r="W88" s="157"/>
      <c r="X88" s="157"/>
      <c r="Y88" s="157"/>
      <c r="Z88" s="158"/>
    </row>
    <row r="89" spans="1:26" ht="66" customHeight="1" x14ac:dyDescent="0.15">
      <c r="B89" s="231"/>
      <c r="C89" s="77" t="s">
        <v>133</v>
      </c>
      <c r="D89" s="227" t="s">
        <v>196</v>
      </c>
      <c r="E89" s="160"/>
      <c r="F89" s="160"/>
      <c r="G89" s="160"/>
      <c r="H89" s="160"/>
      <c r="I89" s="160"/>
      <c r="J89" s="160"/>
      <c r="K89" s="160"/>
      <c r="L89" s="160"/>
      <c r="M89" s="160"/>
      <c r="N89" s="160"/>
      <c r="O89" s="160"/>
      <c r="P89" s="160"/>
      <c r="Q89" s="160"/>
      <c r="R89" s="160"/>
      <c r="S89" s="160"/>
      <c r="T89" s="160"/>
      <c r="U89" s="160"/>
      <c r="V89" s="160"/>
      <c r="W89" s="160"/>
      <c r="X89" s="160"/>
      <c r="Y89" s="160"/>
      <c r="Z89" s="161"/>
    </row>
    <row r="90" spans="1:26" ht="66" customHeight="1" x14ac:dyDescent="0.15">
      <c r="B90" s="229"/>
      <c r="C90" s="78" t="s">
        <v>134</v>
      </c>
      <c r="D90" s="233" t="s">
        <v>205</v>
      </c>
      <c r="E90" s="234"/>
      <c r="F90" s="234"/>
      <c r="G90" s="234"/>
      <c r="H90" s="234"/>
      <c r="I90" s="234"/>
      <c r="J90" s="234"/>
      <c r="K90" s="234"/>
      <c r="L90" s="234"/>
      <c r="M90" s="234"/>
      <c r="N90" s="234"/>
      <c r="O90" s="234"/>
      <c r="P90" s="234"/>
      <c r="Q90" s="234"/>
      <c r="R90" s="234"/>
      <c r="S90" s="234"/>
      <c r="T90" s="234"/>
      <c r="U90" s="234"/>
      <c r="V90" s="234"/>
      <c r="W90" s="234"/>
      <c r="X90" s="234"/>
      <c r="Y90" s="234"/>
      <c r="Z90" s="235"/>
    </row>
    <row r="91" spans="1:26" ht="6" customHeight="1" x14ac:dyDescent="0.15"/>
    <row r="92" spans="1:26" ht="18.75" customHeight="1" x14ac:dyDescent="0.15">
      <c r="A92" s="13" t="s">
        <v>142</v>
      </c>
    </row>
    <row r="93" spans="1:26" ht="18.75" customHeight="1" x14ac:dyDescent="0.15">
      <c r="B93" s="187" t="s">
        <v>208</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x14ac:dyDescent="0.15">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x14ac:dyDescent="0.15">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x14ac:dyDescent="0.15"/>
    <row r="97" spans="1:26" ht="15" customHeight="1" x14ac:dyDescent="0.15">
      <c r="A97" s="13" t="s">
        <v>143</v>
      </c>
    </row>
    <row r="98" spans="1:26" ht="15" customHeight="1" x14ac:dyDescent="0.15">
      <c r="B98" s="196" t="s">
        <v>194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zoomScaleNormal="100" zoomScaleSheetLayoutView="100" workbookViewId="0">
      <selection activeCell="H24" sqref="H2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0" t="s">
        <v>62</v>
      </c>
      <c r="G1" s="240"/>
      <c r="H1" s="240"/>
      <c r="I1" s="240"/>
      <c r="J1" s="240"/>
      <c r="K1" s="240"/>
      <c r="L1" s="240"/>
      <c r="M1" s="240"/>
      <c r="N1" s="240"/>
      <c r="O1" s="240"/>
      <c r="P1" s="240"/>
      <c r="Q1" s="240"/>
      <c r="R1" s="240"/>
    </row>
    <row r="2" spans="1:20" ht="18" customHeight="1" x14ac:dyDescent="0.15">
      <c r="A2" s="241" t="s">
        <v>88</v>
      </c>
      <c r="B2" s="241"/>
      <c r="C2" s="241"/>
      <c r="D2" s="241"/>
      <c r="E2" s="241"/>
      <c r="F2" s="241"/>
      <c r="G2" s="241"/>
      <c r="H2" s="241"/>
      <c r="I2" s="241"/>
      <c r="J2" s="241"/>
      <c r="K2" s="241"/>
      <c r="L2" s="241"/>
      <c r="M2" s="241"/>
      <c r="N2" s="241"/>
      <c r="O2" s="241"/>
      <c r="P2" s="241"/>
      <c r="Q2" s="241"/>
      <c r="R2" s="241"/>
      <c r="S2" s="4"/>
    </row>
    <row r="3" spans="1:20" ht="7.5" customHeight="1" x14ac:dyDescent="0.15">
      <c r="A3" s="36"/>
      <c r="B3" s="36"/>
      <c r="C3" s="36"/>
      <c r="D3" s="36"/>
      <c r="E3" s="36"/>
      <c r="F3" s="36"/>
      <c r="G3" s="36"/>
      <c r="H3" s="36"/>
      <c r="I3" s="36"/>
      <c r="J3" s="36"/>
      <c r="K3" s="36"/>
      <c r="L3" s="36"/>
      <c r="M3" s="36"/>
      <c r="N3" s="36"/>
      <c r="O3" s="36"/>
      <c r="P3" s="36"/>
      <c r="Q3" s="36"/>
      <c r="R3" s="36"/>
    </row>
    <row r="4" spans="1:20" ht="18" customHeight="1" x14ac:dyDescent="0.15">
      <c r="A4" s="4" t="s">
        <v>146</v>
      </c>
      <c r="B4" s="4"/>
      <c r="C4" s="242" t="str">
        <f>'様式１　大学等概要'!E12</f>
        <v>令和3</v>
      </c>
      <c r="D4" s="243"/>
      <c r="E4" s="36" t="s">
        <v>112</v>
      </c>
      <c r="F4" s="36"/>
      <c r="G4" s="36"/>
      <c r="H4" s="36"/>
      <c r="I4" s="36"/>
      <c r="J4" s="82"/>
      <c r="K4" s="36"/>
      <c r="L4" s="36"/>
      <c r="M4" s="112"/>
      <c r="N4" s="112"/>
      <c r="O4" s="112"/>
      <c r="P4" s="112"/>
      <c r="Q4" s="112"/>
      <c r="R4" s="112"/>
    </row>
    <row r="5" spans="1:20" ht="6" customHeight="1" x14ac:dyDescent="0.15">
      <c r="A5" s="36"/>
      <c r="B5" s="36"/>
      <c r="C5" s="36"/>
      <c r="D5" s="36"/>
      <c r="E5" s="36"/>
      <c r="F5" s="36"/>
      <c r="G5" s="36"/>
      <c r="H5" s="36"/>
      <c r="I5" s="36"/>
      <c r="J5" s="36"/>
      <c r="K5" s="36"/>
      <c r="L5" s="36"/>
      <c r="M5" s="36"/>
      <c r="N5" s="36"/>
      <c r="O5" s="36"/>
      <c r="P5" s="36"/>
      <c r="Q5" s="36"/>
      <c r="R5" s="36"/>
    </row>
    <row r="6" spans="1:20" ht="18" customHeight="1" x14ac:dyDescent="0.15">
      <c r="A6" s="4" t="s">
        <v>144</v>
      </c>
      <c r="B6" s="36"/>
      <c r="C6" s="36"/>
      <c r="D6" s="36"/>
      <c r="E6" s="36"/>
      <c r="F6" s="36"/>
      <c r="G6" s="36"/>
      <c r="H6" s="36"/>
      <c r="I6" s="36"/>
      <c r="J6" s="36"/>
      <c r="K6" s="36"/>
      <c r="L6" s="36"/>
      <c r="M6" s="36"/>
      <c r="N6" s="36"/>
      <c r="O6" s="36"/>
      <c r="P6" s="36"/>
      <c r="Q6" s="36"/>
      <c r="R6" s="36"/>
    </row>
    <row r="7" spans="1:20" ht="6" customHeight="1" x14ac:dyDescent="0.15">
      <c r="A7" s="4"/>
      <c r="B7" s="36"/>
      <c r="C7" s="36"/>
      <c r="D7" s="36"/>
      <c r="E7" s="36"/>
      <c r="F7" s="36"/>
      <c r="G7" s="36"/>
      <c r="H7" s="36"/>
      <c r="I7" s="36"/>
      <c r="J7" s="36"/>
      <c r="K7" s="36"/>
      <c r="L7" s="36"/>
      <c r="M7" s="36"/>
      <c r="N7" s="36"/>
      <c r="O7" s="36"/>
      <c r="P7" s="36"/>
      <c r="Q7" s="36"/>
      <c r="R7" s="36"/>
    </row>
    <row r="8" spans="1:20" ht="18" customHeight="1" x14ac:dyDescent="0.15">
      <c r="B8" s="244" t="s">
        <v>78</v>
      </c>
      <c r="C8" s="246" t="s">
        <v>83</v>
      </c>
      <c r="D8" s="248" t="s">
        <v>67</v>
      </c>
      <c r="E8" s="250" t="s">
        <v>89</v>
      </c>
      <c r="F8" s="250"/>
      <c r="G8" s="250" t="s">
        <v>90</v>
      </c>
      <c r="H8" s="250"/>
      <c r="I8" s="250" t="s">
        <v>91</v>
      </c>
      <c r="J8" s="250"/>
      <c r="K8" s="251" t="s">
        <v>92</v>
      </c>
      <c r="L8" s="252"/>
      <c r="M8" s="251" t="s">
        <v>93</v>
      </c>
      <c r="N8" s="252"/>
      <c r="O8" s="251" t="s">
        <v>94</v>
      </c>
      <c r="P8" s="252"/>
      <c r="Q8" s="253" t="s">
        <v>61</v>
      </c>
      <c r="R8" s="255" t="s">
        <v>55</v>
      </c>
      <c r="T8" s="32"/>
    </row>
    <row r="9" spans="1:20" ht="18" customHeight="1" x14ac:dyDescent="0.15">
      <c r="A9" s="4"/>
      <c r="B9" s="245"/>
      <c r="C9" s="247"/>
      <c r="D9" s="249"/>
      <c r="E9" s="41" t="s">
        <v>44</v>
      </c>
      <c r="F9" s="42" t="s">
        <v>43</v>
      </c>
      <c r="G9" s="43" t="s">
        <v>44</v>
      </c>
      <c r="H9" s="44" t="s">
        <v>43</v>
      </c>
      <c r="I9" s="41" t="s">
        <v>44</v>
      </c>
      <c r="J9" s="42" t="s">
        <v>43</v>
      </c>
      <c r="K9" s="43" t="s">
        <v>44</v>
      </c>
      <c r="L9" s="44" t="s">
        <v>43</v>
      </c>
      <c r="M9" s="41" t="s">
        <v>44</v>
      </c>
      <c r="N9" s="42" t="s">
        <v>43</v>
      </c>
      <c r="O9" s="43" t="s">
        <v>44</v>
      </c>
      <c r="P9" s="44" t="s">
        <v>43</v>
      </c>
      <c r="Q9" s="254"/>
      <c r="R9" s="256"/>
      <c r="T9" s="32"/>
    </row>
    <row r="10" spans="1:20" ht="18" customHeight="1" x14ac:dyDescent="0.15">
      <c r="A10" s="45"/>
      <c r="B10" s="83" t="s">
        <v>173</v>
      </c>
      <c r="C10" s="45">
        <v>40</v>
      </c>
      <c r="D10" s="46">
        <v>200</v>
      </c>
      <c r="E10" s="47">
        <v>46</v>
      </c>
      <c r="F10" s="48">
        <v>0</v>
      </c>
      <c r="G10" s="49">
        <v>0</v>
      </c>
      <c r="H10" s="50">
        <v>0</v>
      </c>
      <c r="I10" s="47">
        <v>0</v>
      </c>
      <c r="J10" s="48">
        <v>0</v>
      </c>
      <c r="K10" s="49">
        <v>0</v>
      </c>
      <c r="L10" s="50">
        <v>0</v>
      </c>
      <c r="M10" s="47">
        <v>0</v>
      </c>
      <c r="N10" s="48">
        <v>0</v>
      </c>
      <c r="O10" s="49">
        <v>0</v>
      </c>
      <c r="P10" s="50">
        <v>0</v>
      </c>
      <c r="Q10" s="51">
        <f>E10+G10+I10+K10+M10+O10</f>
        <v>46</v>
      </c>
      <c r="R10" s="52">
        <f>Q10/D10</f>
        <v>0.23</v>
      </c>
    </row>
    <row r="11" spans="1:20" ht="18" customHeight="1" x14ac:dyDescent="0.15">
      <c r="A11" s="45"/>
      <c r="B11" s="84" t="s">
        <v>174</v>
      </c>
      <c r="C11" s="61">
        <v>40</v>
      </c>
      <c r="D11" s="54">
        <v>200</v>
      </c>
      <c r="E11" s="55">
        <v>41</v>
      </c>
      <c r="F11" s="56">
        <v>0</v>
      </c>
      <c r="G11" s="57">
        <v>0</v>
      </c>
      <c r="H11" s="58">
        <v>0</v>
      </c>
      <c r="I11" s="55">
        <v>0</v>
      </c>
      <c r="J11" s="56">
        <v>0</v>
      </c>
      <c r="K11" s="57">
        <v>0</v>
      </c>
      <c r="L11" s="58">
        <v>0</v>
      </c>
      <c r="M11" s="55">
        <v>0</v>
      </c>
      <c r="N11" s="56">
        <v>0</v>
      </c>
      <c r="O11" s="57">
        <v>0</v>
      </c>
      <c r="P11" s="58">
        <v>0</v>
      </c>
      <c r="Q11" s="59">
        <f t="shared" ref="Q11:Q29" si="0">E11+G11+I11+K11+M11+O11</f>
        <v>41</v>
      </c>
      <c r="R11" s="60">
        <f t="shared" ref="R11:R29" si="1">Q11/D11</f>
        <v>0.20499999999999999</v>
      </c>
    </row>
    <row r="12" spans="1:20" ht="18" customHeight="1" x14ac:dyDescent="0.15">
      <c r="A12" s="45"/>
      <c r="B12" s="84" t="s">
        <v>175</v>
      </c>
      <c r="C12" s="61">
        <v>40</v>
      </c>
      <c r="D12" s="54">
        <v>200</v>
      </c>
      <c r="E12" s="55">
        <v>43</v>
      </c>
      <c r="F12" s="56">
        <v>0</v>
      </c>
      <c r="G12" s="57">
        <v>0</v>
      </c>
      <c r="H12" s="58">
        <v>0</v>
      </c>
      <c r="I12" s="55">
        <v>0</v>
      </c>
      <c r="J12" s="56">
        <v>0</v>
      </c>
      <c r="K12" s="57">
        <v>0</v>
      </c>
      <c r="L12" s="58">
        <v>0</v>
      </c>
      <c r="M12" s="55">
        <v>0</v>
      </c>
      <c r="N12" s="56">
        <v>0</v>
      </c>
      <c r="O12" s="57">
        <v>0</v>
      </c>
      <c r="P12" s="58">
        <v>0</v>
      </c>
      <c r="Q12" s="59">
        <f t="shared" si="0"/>
        <v>43</v>
      </c>
      <c r="R12" s="60">
        <f t="shared" si="1"/>
        <v>0.215</v>
      </c>
    </row>
    <row r="13" spans="1:20" ht="18" customHeight="1" x14ac:dyDescent="0.15">
      <c r="A13" s="45"/>
      <c r="B13" s="84" t="s">
        <v>176</v>
      </c>
      <c r="C13" s="61">
        <v>40</v>
      </c>
      <c r="D13" s="54">
        <v>200</v>
      </c>
      <c r="E13" s="55">
        <v>41</v>
      </c>
      <c r="F13" s="56">
        <v>0</v>
      </c>
      <c r="G13" s="57">
        <v>0</v>
      </c>
      <c r="H13" s="58">
        <v>0</v>
      </c>
      <c r="I13" s="55">
        <v>0</v>
      </c>
      <c r="J13" s="56">
        <v>0</v>
      </c>
      <c r="K13" s="57">
        <v>0</v>
      </c>
      <c r="L13" s="58">
        <v>0</v>
      </c>
      <c r="M13" s="55">
        <v>0</v>
      </c>
      <c r="N13" s="56">
        <v>0</v>
      </c>
      <c r="O13" s="57">
        <v>0</v>
      </c>
      <c r="P13" s="58">
        <v>0</v>
      </c>
      <c r="Q13" s="59">
        <f t="shared" si="0"/>
        <v>41</v>
      </c>
      <c r="R13" s="60">
        <f t="shared" si="1"/>
        <v>0.20499999999999999</v>
      </c>
    </row>
    <row r="14" spans="1:20" ht="18" customHeight="1" x14ac:dyDescent="0.15">
      <c r="A14" s="45"/>
      <c r="B14" s="84"/>
      <c r="C14" s="61"/>
      <c r="D14" s="54"/>
      <c r="E14" s="55"/>
      <c r="F14" s="56"/>
      <c r="G14" s="57"/>
      <c r="H14" s="58"/>
      <c r="I14" s="55"/>
      <c r="J14" s="56"/>
      <c r="K14" s="57"/>
      <c r="L14" s="58"/>
      <c r="M14" s="55"/>
      <c r="N14" s="56"/>
      <c r="O14" s="57"/>
      <c r="P14" s="58"/>
      <c r="Q14" s="59">
        <f t="shared" si="0"/>
        <v>0</v>
      </c>
      <c r="R14" s="60" t="e">
        <f t="shared" si="1"/>
        <v>#DIV/0!</v>
      </c>
    </row>
    <row r="15" spans="1:20" ht="18" customHeight="1" x14ac:dyDescent="0.15">
      <c r="A15" s="45"/>
      <c r="B15" s="84"/>
      <c r="C15" s="61"/>
      <c r="D15" s="54"/>
      <c r="E15" s="55"/>
      <c r="F15" s="56"/>
      <c r="G15" s="57"/>
      <c r="H15" s="58"/>
      <c r="I15" s="55"/>
      <c r="J15" s="56"/>
      <c r="K15" s="57"/>
      <c r="L15" s="58"/>
      <c r="M15" s="55"/>
      <c r="N15" s="56"/>
      <c r="O15" s="57"/>
      <c r="P15" s="58"/>
      <c r="Q15" s="59">
        <f t="shared" si="0"/>
        <v>0</v>
      </c>
      <c r="R15" s="60" t="e">
        <f t="shared" si="1"/>
        <v>#DIV/0!</v>
      </c>
    </row>
    <row r="16" spans="1:20" ht="18" customHeight="1" x14ac:dyDescent="0.15">
      <c r="A16" s="45"/>
      <c r="B16" s="84"/>
      <c r="C16" s="61"/>
      <c r="D16" s="54"/>
      <c r="E16" s="55"/>
      <c r="F16" s="56"/>
      <c r="G16" s="57"/>
      <c r="H16" s="58"/>
      <c r="I16" s="55"/>
      <c r="J16" s="56"/>
      <c r="K16" s="57"/>
      <c r="L16" s="58"/>
      <c r="M16" s="55"/>
      <c r="N16" s="56"/>
      <c r="O16" s="57"/>
      <c r="P16" s="58"/>
      <c r="Q16" s="59">
        <f t="shared" si="0"/>
        <v>0</v>
      </c>
      <c r="R16" s="60" t="e">
        <f t="shared" si="1"/>
        <v>#DIV/0!</v>
      </c>
    </row>
    <row r="17" spans="1:18" ht="18" customHeight="1" x14ac:dyDescent="0.15">
      <c r="A17" s="45"/>
      <c r="B17" s="84"/>
      <c r="C17" s="61"/>
      <c r="D17" s="54"/>
      <c r="E17" s="55"/>
      <c r="F17" s="56"/>
      <c r="G17" s="57"/>
      <c r="H17" s="58"/>
      <c r="I17" s="55"/>
      <c r="J17" s="56"/>
      <c r="K17" s="57"/>
      <c r="L17" s="58"/>
      <c r="M17" s="55"/>
      <c r="N17" s="56"/>
      <c r="O17" s="57"/>
      <c r="P17" s="58"/>
      <c r="Q17" s="59">
        <f t="shared" si="0"/>
        <v>0</v>
      </c>
      <c r="R17" s="60" t="e">
        <f t="shared" si="1"/>
        <v>#DIV/0!</v>
      </c>
    </row>
    <row r="18" spans="1:18" ht="18" customHeight="1" x14ac:dyDescent="0.15">
      <c r="A18" s="45"/>
      <c r="B18" s="84"/>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15">
      <c r="A19" s="45"/>
      <c r="B19" s="84"/>
      <c r="C19" s="61"/>
      <c r="D19" s="54"/>
      <c r="E19" s="55"/>
      <c r="F19" s="56"/>
      <c r="G19" s="57"/>
      <c r="H19" s="58"/>
      <c r="I19" s="55"/>
      <c r="J19" s="56"/>
      <c r="K19" s="57"/>
      <c r="L19" s="58"/>
      <c r="M19" s="55"/>
      <c r="N19" s="56"/>
      <c r="O19" s="57"/>
      <c r="P19" s="58"/>
      <c r="Q19" s="59">
        <f t="shared" si="0"/>
        <v>0</v>
      </c>
      <c r="R19" s="60" t="e">
        <f t="shared" si="1"/>
        <v>#DIV/0!</v>
      </c>
    </row>
    <row r="20" spans="1:18" ht="18" customHeight="1" x14ac:dyDescent="0.15">
      <c r="A20" s="45"/>
      <c r="B20" s="84"/>
      <c r="C20" s="61"/>
      <c r="D20" s="54"/>
      <c r="E20" s="55"/>
      <c r="F20" s="56"/>
      <c r="G20" s="57"/>
      <c r="H20" s="58"/>
      <c r="I20" s="55"/>
      <c r="J20" s="56"/>
      <c r="K20" s="57"/>
      <c r="L20" s="58"/>
      <c r="M20" s="55"/>
      <c r="N20" s="56"/>
      <c r="O20" s="57"/>
      <c r="P20" s="58"/>
      <c r="Q20" s="59">
        <f t="shared" si="0"/>
        <v>0</v>
      </c>
      <c r="R20" s="60" t="e">
        <f t="shared" si="1"/>
        <v>#DIV/0!</v>
      </c>
    </row>
    <row r="21" spans="1:18" ht="18" customHeight="1" x14ac:dyDescent="0.15">
      <c r="A21" s="45"/>
      <c r="B21" s="84"/>
      <c r="C21" s="61"/>
      <c r="D21" s="54"/>
      <c r="E21" s="55"/>
      <c r="F21" s="56"/>
      <c r="G21" s="57"/>
      <c r="H21" s="58"/>
      <c r="I21" s="55"/>
      <c r="J21" s="56"/>
      <c r="K21" s="57"/>
      <c r="L21" s="58"/>
      <c r="M21" s="55"/>
      <c r="N21" s="56"/>
      <c r="O21" s="57"/>
      <c r="P21" s="58"/>
      <c r="Q21" s="59">
        <f t="shared" si="0"/>
        <v>0</v>
      </c>
      <c r="R21" s="60" t="e">
        <f t="shared" si="1"/>
        <v>#DIV/0!</v>
      </c>
    </row>
    <row r="22" spans="1:18" ht="18" customHeight="1" x14ac:dyDescent="0.15">
      <c r="A22" s="45"/>
      <c r="B22" s="84"/>
      <c r="C22" s="61"/>
      <c r="D22" s="54"/>
      <c r="E22" s="55"/>
      <c r="F22" s="56"/>
      <c r="G22" s="57"/>
      <c r="H22" s="58"/>
      <c r="I22" s="55"/>
      <c r="J22" s="56"/>
      <c r="K22" s="57"/>
      <c r="L22" s="58"/>
      <c r="M22" s="55"/>
      <c r="N22" s="56"/>
      <c r="O22" s="57"/>
      <c r="P22" s="58"/>
      <c r="Q22" s="59">
        <f t="shared" si="0"/>
        <v>0</v>
      </c>
      <c r="R22" s="60" t="e">
        <f t="shared" si="1"/>
        <v>#DIV/0!</v>
      </c>
    </row>
    <row r="23" spans="1:18" ht="18" customHeight="1" x14ac:dyDescent="0.15">
      <c r="A23" s="45"/>
      <c r="B23" s="84"/>
      <c r="C23" s="61"/>
      <c r="D23" s="54"/>
      <c r="E23" s="55"/>
      <c r="F23" s="56"/>
      <c r="G23" s="57"/>
      <c r="H23" s="58"/>
      <c r="I23" s="55"/>
      <c r="J23" s="56"/>
      <c r="K23" s="57"/>
      <c r="L23" s="58"/>
      <c r="M23" s="55"/>
      <c r="N23" s="56"/>
      <c r="O23" s="57"/>
      <c r="P23" s="58"/>
      <c r="Q23" s="59">
        <f t="shared" si="0"/>
        <v>0</v>
      </c>
      <c r="R23" s="60" t="e">
        <f t="shared" si="1"/>
        <v>#DIV/0!</v>
      </c>
    </row>
    <row r="24" spans="1:18" ht="18" customHeight="1" x14ac:dyDescent="0.15">
      <c r="A24" s="45"/>
      <c r="B24" s="84"/>
      <c r="C24" s="61"/>
      <c r="D24" s="54"/>
      <c r="E24" s="55"/>
      <c r="F24" s="56"/>
      <c r="G24" s="57"/>
      <c r="H24" s="58"/>
      <c r="I24" s="55"/>
      <c r="J24" s="56"/>
      <c r="K24" s="57"/>
      <c r="L24" s="58"/>
      <c r="M24" s="55"/>
      <c r="N24" s="56"/>
      <c r="O24" s="57"/>
      <c r="P24" s="58"/>
      <c r="Q24" s="59">
        <f t="shared" si="0"/>
        <v>0</v>
      </c>
      <c r="R24" s="60" t="e">
        <f t="shared" si="1"/>
        <v>#DIV/0!</v>
      </c>
    </row>
    <row r="25" spans="1:18" ht="18" customHeight="1" x14ac:dyDescent="0.15">
      <c r="A25" s="45"/>
      <c r="B25" s="84"/>
      <c r="C25" s="61"/>
      <c r="D25" s="54"/>
      <c r="E25" s="55"/>
      <c r="F25" s="56"/>
      <c r="G25" s="57"/>
      <c r="H25" s="58"/>
      <c r="I25" s="55"/>
      <c r="J25" s="56"/>
      <c r="K25" s="57"/>
      <c r="L25" s="58"/>
      <c r="M25" s="55"/>
      <c r="N25" s="56"/>
      <c r="O25" s="57"/>
      <c r="P25" s="58"/>
      <c r="Q25" s="59">
        <f t="shared" si="0"/>
        <v>0</v>
      </c>
      <c r="R25" s="60" t="e">
        <f t="shared" si="1"/>
        <v>#DIV/0!</v>
      </c>
    </row>
    <row r="26" spans="1:18" ht="18" customHeight="1" x14ac:dyDescent="0.15">
      <c r="A26" s="45"/>
      <c r="B26" s="84"/>
      <c r="C26" s="61"/>
      <c r="D26" s="54"/>
      <c r="E26" s="55"/>
      <c r="F26" s="56"/>
      <c r="G26" s="57"/>
      <c r="H26" s="58"/>
      <c r="I26" s="55"/>
      <c r="J26" s="56"/>
      <c r="K26" s="57"/>
      <c r="L26" s="58"/>
      <c r="M26" s="55"/>
      <c r="N26" s="56"/>
      <c r="O26" s="57"/>
      <c r="P26" s="58"/>
      <c r="Q26" s="59">
        <f t="shared" si="0"/>
        <v>0</v>
      </c>
      <c r="R26" s="60" t="e">
        <f t="shared" si="1"/>
        <v>#DIV/0!</v>
      </c>
    </row>
    <row r="27" spans="1:18" ht="18" customHeight="1" x14ac:dyDescent="0.15">
      <c r="A27" s="45"/>
      <c r="B27" s="84"/>
      <c r="C27" s="53"/>
      <c r="D27" s="54"/>
      <c r="E27" s="55"/>
      <c r="F27" s="56"/>
      <c r="G27" s="57"/>
      <c r="H27" s="58"/>
      <c r="I27" s="55"/>
      <c r="J27" s="56"/>
      <c r="K27" s="57"/>
      <c r="L27" s="58"/>
      <c r="M27" s="55"/>
      <c r="N27" s="56"/>
      <c r="O27" s="57"/>
      <c r="P27" s="58"/>
      <c r="Q27" s="59">
        <f t="shared" si="0"/>
        <v>0</v>
      </c>
      <c r="R27" s="60" t="e">
        <f t="shared" si="1"/>
        <v>#DIV/0!</v>
      </c>
    </row>
    <row r="28" spans="1:18" ht="18" customHeight="1" x14ac:dyDescent="0.15">
      <c r="A28" s="45"/>
      <c r="B28" s="84"/>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2">
      <c r="A29" s="45"/>
      <c r="B29" s="85"/>
      <c r="C29" s="86"/>
      <c r="D29" s="46"/>
      <c r="E29" s="47"/>
      <c r="F29" s="48"/>
      <c r="G29" s="49"/>
      <c r="H29" s="50"/>
      <c r="I29" s="47"/>
      <c r="J29" s="48"/>
      <c r="K29" s="49"/>
      <c r="L29" s="50"/>
      <c r="M29" s="47"/>
      <c r="N29" s="48"/>
      <c r="O29" s="49"/>
      <c r="P29" s="50"/>
      <c r="Q29" s="62">
        <f t="shared" si="0"/>
        <v>0</v>
      </c>
      <c r="R29" s="52" t="e">
        <f t="shared" si="1"/>
        <v>#DIV/0!</v>
      </c>
    </row>
    <row r="30" spans="1:18" ht="18" customHeight="1" thickTop="1" x14ac:dyDescent="0.15">
      <c r="B30" s="87" t="s">
        <v>56</v>
      </c>
      <c r="C30" s="88">
        <f t="shared" ref="C30:Q30" si="2">SUM(C10:C29)</f>
        <v>160</v>
      </c>
      <c r="D30" s="63">
        <f t="shared" si="2"/>
        <v>800</v>
      </c>
      <c r="E30" s="64">
        <f t="shared" si="2"/>
        <v>171</v>
      </c>
      <c r="F30" s="65">
        <f t="shared" si="2"/>
        <v>0</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171</v>
      </c>
      <c r="R30" s="69">
        <f>Q30/D30</f>
        <v>0.21375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view="pageBreakPreview" zoomScaleNormal="100" zoomScaleSheetLayoutView="100" workbookViewId="0">
      <selection activeCell="M24" sqref="M24"/>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113</v>
      </c>
      <c r="J1" s="39" t="s">
        <v>114</v>
      </c>
    </row>
    <row r="2" spans="1:11" ht="18.75" customHeight="1" x14ac:dyDescent="0.15">
      <c r="A2" s="241" t="s">
        <v>63</v>
      </c>
      <c r="B2" s="241"/>
      <c r="C2" s="241"/>
      <c r="D2" s="241"/>
      <c r="E2" s="241"/>
      <c r="F2" s="241"/>
      <c r="G2" s="241"/>
      <c r="H2" s="241"/>
      <c r="I2" s="241"/>
      <c r="J2" s="241"/>
    </row>
    <row r="3" spans="1:11" ht="7.5" customHeight="1" x14ac:dyDescent="0.15">
      <c r="B3" s="36"/>
      <c r="C3" s="36"/>
      <c r="D3" s="36"/>
      <c r="E3" s="36"/>
      <c r="F3" s="36"/>
      <c r="G3" s="36"/>
      <c r="H3" s="36"/>
      <c r="I3" s="36"/>
      <c r="J3" s="36"/>
    </row>
    <row r="4" spans="1:11" ht="18.75" customHeight="1" x14ac:dyDescent="0.15">
      <c r="A4" s="1" t="s">
        <v>6</v>
      </c>
      <c r="B4" s="4" t="s">
        <v>71</v>
      </c>
      <c r="C4" s="4"/>
      <c r="D4" s="4"/>
      <c r="E4" s="4"/>
      <c r="F4" s="4"/>
      <c r="G4" s="4"/>
      <c r="H4" s="4"/>
      <c r="I4" s="36"/>
      <c r="J4" s="36"/>
    </row>
    <row r="5" spans="1:11" ht="18.75" customHeight="1" x14ac:dyDescent="0.15">
      <c r="A5" s="1"/>
      <c r="B5" s="154" t="s">
        <v>177</v>
      </c>
      <c r="C5" s="155"/>
      <c r="D5" s="155"/>
      <c r="E5" s="155"/>
      <c r="F5" s="155"/>
      <c r="G5" s="155"/>
      <c r="H5" s="155"/>
      <c r="I5" s="155"/>
      <c r="J5" s="284"/>
      <c r="K5" s="31" t="str">
        <f>IF(B5="","入力してください","")</f>
        <v/>
      </c>
    </row>
    <row r="6" spans="1:11" ht="7.5" customHeight="1" x14ac:dyDescent="0.15">
      <c r="B6" s="36"/>
      <c r="C6" s="36"/>
      <c r="D6" s="36"/>
      <c r="E6" s="36"/>
      <c r="F6" s="36"/>
      <c r="G6" s="36"/>
      <c r="H6" s="36"/>
      <c r="I6" s="36"/>
      <c r="J6" s="36"/>
    </row>
    <row r="7" spans="1:11" s="4" customFormat="1" ht="18.75" customHeight="1" x14ac:dyDescent="0.15">
      <c r="A7" s="1" t="s">
        <v>9</v>
      </c>
      <c r="B7" s="1" t="s">
        <v>39</v>
      </c>
      <c r="C7" s="1"/>
      <c r="D7" s="1"/>
      <c r="E7" s="1"/>
      <c r="F7" s="1"/>
      <c r="G7" s="1"/>
      <c r="H7" s="1"/>
      <c r="I7" s="1"/>
      <c r="J7" s="1"/>
      <c r="K7" s="33"/>
    </row>
    <row r="8" spans="1:11" s="4" customFormat="1" ht="18.75" customHeight="1" x14ac:dyDescent="0.15">
      <c r="A8" s="89"/>
      <c r="B8" s="257" t="s">
        <v>178</v>
      </c>
      <c r="C8" s="258"/>
      <c r="D8" s="258"/>
      <c r="E8" s="258"/>
      <c r="F8" s="258"/>
      <c r="G8" s="258"/>
      <c r="H8" s="258"/>
      <c r="I8" s="266"/>
      <c r="J8" s="267"/>
      <c r="K8" s="31" t="str">
        <f>IF(B8="","入力してください","")</f>
        <v/>
      </c>
    </row>
    <row r="9" spans="1:11" s="4" customFormat="1" ht="18.75" customHeight="1" x14ac:dyDescent="0.15">
      <c r="A9" s="89"/>
      <c r="B9" s="268"/>
      <c r="C9" s="269"/>
      <c r="D9" s="269"/>
      <c r="E9" s="269"/>
      <c r="F9" s="269"/>
      <c r="G9" s="269"/>
      <c r="H9" s="269"/>
      <c r="I9" s="269"/>
      <c r="J9" s="270"/>
      <c r="K9" s="31"/>
    </row>
    <row r="10" spans="1:11" s="4" customFormat="1" ht="18.75" customHeight="1" x14ac:dyDescent="0.15">
      <c r="A10" s="89"/>
      <c r="B10" s="268"/>
      <c r="C10" s="269"/>
      <c r="D10" s="269"/>
      <c r="E10" s="269"/>
      <c r="F10" s="269"/>
      <c r="G10" s="269"/>
      <c r="H10" s="269"/>
      <c r="I10" s="269"/>
      <c r="J10" s="270"/>
      <c r="K10" s="31"/>
    </row>
    <row r="11" spans="1:11" s="4" customFormat="1" ht="18.75" customHeight="1" x14ac:dyDescent="0.15">
      <c r="A11" s="89"/>
      <c r="B11" s="268"/>
      <c r="C11" s="269"/>
      <c r="D11" s="269"/>
      <c r="E11" s="269"/>
      <c r="F11" s="269"/>
      <c r="G11" s="269"/>
      <c r="H11" s="269"/>
      <c r="I11" s="269"/>
      <c r="J11" s="270"/>
      <c r="K11" s="31"/>
    </row>
    <row r="12" spans="1:11" s="4" customFormat="1" ht="18.75" customHeight="1" x14ac:dyDescent="0.15">
      <c r="A12" s="89"/>
      <c r="B12" s="271"/>
      <c r="C12" s="272"/>
      <c r="D12" s="272"/>
      <c r="E12" s="272"/>
      <c r="F12" s="272"/>
      <c r="G12" s="272"/>
      <c r="H12" s="272"/>
      <c r="I12" s="272"/>
      <c r="J12" s="273"/>
      <c r="K12" s="31"/>
    </row>
    <row r="13" spans="1:11" s="4" customFormat="1" ht="7.5" customHeight="1" x14ac:dyDescent="0.15">
      <c r="A13" s="89"/>
      <c r="B13" s="89"/>
      <c r="C13" s="89"/>
      <c r="D13" s="89"/>
      <c r="E13" s="89"/>
      <c r="F13" s="89"/>
      <c r="G13" s="89"/>
      <c r="H13" s="89"/>
      <c r="I13" s="89"/>
      <c r="J13" s="89"/>
      <c r="K13" s="31"/>
    </row>
    <row r="14" spans="1:11" s="4" customFormat="1" ht="18.75" customHeight="1" x14ac:dyDescent="0.15">
      <c r="A14" s="90" t="s">
        <v>10</v>
      </c>
      <c r="B14" s="90" t="s">
        <v>15</v>
      </c>
      <c r="C14" s="90"/>
      <c r="D14" s="90"/>
      <c r="E14" s="90"/>
      <c r="F14" s="90"/>
      <c r="G14" s="90"/>
      <c r="H14" s="90"/>
      <c r="I14" s="90"/>
      <c r="J14" s="90"/>
      <c r="K14" s="31"/>
    </row>
    <row r="15" spans="1:11" s="4" customFormat="1" ht="18.75" customHeight="1" x14ac:dyDescent="0.15">
      <c r="A15" s="89"/>
      <c r="B15" s="257" t="s">
        <v>209</v>
      </c>
      <c r="C15" s="258"/>
      <c r="D15" s="258"/>
      <c r="E15" s="258"/>
      <c r="F15" s="258"/>
      <c r="G15" s="258"/>
      <c r="H15" s="258"/>
      <c r="I15" s="266"/>
      <c r="J15" s="267"/>
      <c r="K15" s="31" t="str">
        <f>IF(B15="","入力してください","")</f>
        <v/>
      </c>
    </row>
    <row r="16" spans="1:11" s="4" customFormat="1" ht="18.75" customHeight="1" x14ac:dyDescent="0.15">
      <c r="A16" s="89"/>
      <c r="B16" s="268"/>
      <c r="C16" s="269"/>
      <c r="D16" s="269"/>
      <c r="E16" s="269"/>
      <c r="F16" s="269"/>
      <c r="G16" s="269"/>
      <c r="H16" s="269"/>
      <c r="I16" s="269"/>
      <c r="J16" s="270"/>
      <c r="K16" s="31"/>
    </row>
    <row r="17" spans="1:11" s="4" customFormat="1" ht="18.75" customHeight="1" x14ac:dyDescent="0.15">
      <c r="A17" s="89"/>
      <c r="B17" s="268"/>
      <c r="C17" s="269"/>
      <c r="D17" s="269"/>
      <c r="E17" s="269"/>
      <c r="F17" s="269"/>
      <c r="G17" s="269"/>
      <c r="H17" s="269"/>
      <c r="I17" s="269"/>
      <c r="J17" s="270"/>
      <c r="K17" s="31"/>
    </row>
    <row r="18" spans="1:11" s="4" customFormat="1" ht="18.75" customHeight="1" x14ac:dyDescent="0.15">
      <c r="A18" s="89"/>
      <c r="B18" s="268"/>
      <c r="C18" s="269"/>
      <c r="D18" s="269"/>
      <c r="E18" s="269"/>
      <c r="F18" s="269"/>
      <c r="G18" s="269"/>
      <c r="H18" s="269"/>
      <c r="I18" s="269"/>
      <c r="J18" s="270"/>
      <c r="K18" s="31"/>
    </row>
    <row r="19" spans="1:11" s="4" customFormat="1" ht="18.75" customHeight="1" x14ac:dyDescent="0.15">
      <c r="A19" s="89"/>
      <c r="B19" s="268"/>
      <c r="C19" s="269"/>
      <c r="D19" s="269"/>
      <c r="E19" s="269"/>
      <c r="F19" s="269"/>
      <c r="G19" s="269"/>
      <c r="H19" s="269"/>
      <c r="I19" s="269"/>
      <c r="J19" s="270"/>
      <c r="K19" s="31"/>
    </row>
    <row r="20" spans="1:11" s="4" customFormat="1" ht="18.75" customHeight="1" x14ac:dyDescent="0.15">
      <c r="A20" s="89"/>
      <c r="B20" s="268"/>
      <c r="C20" s="269"/>
      <c r="D20" s="269"/>
      <c r="E20" s="269"/>
      <c r="F20" s="269"/>
      <c r="G20" s="269"/>
      <c r="H20" s="269"/>
      <c r="I20" s="269"/>
      <c r="J20" s="270"/>
      <c r="K20" s="31"/>
    </row>
    <row r="21" spans="1:11" s="4" customFormat="1" ht="18.75" customHeight="1" x14ac:dyDescent="0.15">
      <c r="A21" s="89"/>
      <c r="B21" s="268"/>
      <c r="C21" s="269"/>
      <c r="D21" s="269"/>
      <c r="E21" s="269"/>
      <c r="F21" s="269"/>
      <c r="G21" s="269"/>
      <c r="H21" s="269"/>
      <c r="I21" s="269"/>
      <c r="J21" s="270"/>
      <c r="K21" s="31"/>
    </row>
    <row r="22" spans="1:11" s="4" customFormat="1" ht="18.75" customHeight="1" x14ac:dyDescent="0.15">
      <c r="A22" s="89"/>
      <c r="B22" s="268"/>
      <c r="C22" s="269"/>
      <c r="D22" s="269"/>
      <c r="E22" s="269"/>
      <c r="F22" s="269"/>
      <c r="G22" s="269"/>
      <c r="H22" s="269"/>
      <c r="I22" s="269"/>
      <c r="J22" s="270"/>
      <c r="K22" s="31"/>
    </row>
    <row r="23" spans="1:11" s="4" customFormat="1" ht="18.75" customHeight="1" x14ac:dyDescent="0.15">
      <c r="A23" s="89"/>
      <c r="B23" s="268"/>
      <c r="C23" s="269"/>
      <c r="D23" s="269"/>
      <c r="E23" s="269"/>
      <c r="F23" s="269"/>
      <c r="G23" s="269"/>
      <c r="H23" s="269"/>
      <c r="I23" s="269"/>
      <c r="J23" s="270"/>
      <c r="K23" s="31"/>
    </row>
    <row r="24" spans="1:11" s="4" customFormat="1" ht="18.75" customHeight="1" x14ac:dyDescent="0.15">
      <c r="A24" s="89"/>
      <c r="B24" s="268"/>
      <c r="C24" s="269"/>
      <c r="D24" s="269"/>
      <c r="E24" s="269"/>
      <c r="F24" s="269"/>
      <c r="G24" s="269"/>
      <c r="H24" s="269"/>
      <c r="I24" s="269"/>
      <c r="J24" s="270"/>
      <c r="K24" s="31"/>
    </row>
    <row r="25" spans="1:11" s="4" customFormat="1" ht="18.75" customHeight="1" x14ac:dyDescent="0.15">
      <c r="A25" s="89"/>
      <c r="B25" s="271"/>
      <c r="C25" s="272"/>
      <c r="D25" s="272"/>
      <c r="E25" s="272"/>
      <c r="F25" s="272"/>
      <c r="G25" s="272"/>
      <c r="H25" s="272"/>
      <c r="I25" s="272"/>
      <c r="J25" s="273"/>
      <c r="K25" s="31"/>
    </row>
    <row r="26" spans="1:11" ht="7.5" customHeight="1" x14ac:dyDescent="0.15">
      <c r="A26" s="37"/>
      <c r="B26" s="37"/>
      <c r="C26" s="37"/>
      <c r="D26" s="37"/>
      <c r="E26" s="37"/>
      <c r="F26" s="37"/>
      <c r="G26" s="37"/>
      <c r="H26" s="37"/>
      <c r="I26" s="37"/>
      <c r="J26" s="37"/>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1" t="s">
        <v>115</v>
      </c>
      <c r="C28" s="92">
        <f>'様式３　履修者等数の実績'!R30</f>
        <v>0.21375</v>
      </c>
      <c r="D28" s="93"/>
      <c r="E28" s="93" t="s">
        <v>116</v>
      </c>
      <c r="F28" s="92">
        <v>0.4</v>
      </c>
      <c r="G28" s="93"/>
      <c r="H28" s="93" t="s">
        <v>117</v>
      </c>
      <c r="I28" s="94">
        <v>0.6</v>
      </c>
      <c r="J28" s="95"/>
      <c r="K28" s="31"/>
    </row>
    <row r="29" spans="1:11" s="29" customFormat="1" ht="18.75" customHeight="1" x14ac:dyDescent="0.15">
      <c r="B29" s="79" t="s">
        <v>118</v>
      </c>
      <c r="C29" s="96">
        <v>0.8</v>
      </c>
      <c r="D29" s="80"/>
      <c r="E29" s="80" t="s">
        <v>119</v>
      </c>
      <c r="F29" s="96">
        <v>1</v>
      </c>
      <c r="G29" s="80"/>
      <c r="H29" s="80" t="s">
        <v>120</v>
      </c>
      <c r="I29" s="97">
        <f>'様式３　履修者等数の実績'!D30</f>
        <v>800</v>
      </c>
      <c r="J29" s="98"/>
      <c r="K29" s="33"/>
    </row>
    <row r="30" spans="1:11" s="4" customFormat="1" ht="18.75" customHeight="1" x14ac:dyDescent="0.15">
      <c r="A30" s="1"/>
      <c r="B30" s="202" t="s">
        <v>121</v>
      </c>
      <c r="C30" s="203"/>
      <c r="D30" s="203"/>
      <c r="E30" s="203"/>
      <c r="F30" s="203"/>
      <c r="G30" s="203"/>
      <c r="H30" s="203"/>
      <c r="I30" s="203"/>
      <c r="J30" s="204"/>
      <c r="K30" s="33"/>
    </row>
    <row r="31" spans="1:11" s="4" customFormat="1" ht="18.75" customHeight="1" x14ac:dyDescent="0.15">
      <c r="A31" s="1"/>
      <c r="B31" s="275" t="s">
        <v>192</v>
      </c>
      <c r="C31" s="276"/>
      <c r="D31" s="276"/>
      <c r="E31" s="276"/>
      <c r="F31" s="276"/>
      <c r="G31" s="276"/>
      <c r="H31" s="276"/>
      <c r="I31" s="276"/>
      <c r="J31" s="277"/>
      <c r="K31" s="33" t="str">
        <f>IF(B31="","入力してください","")</f>
        <v/>
      </c>
    </row>
    <row r="32" spans="1:11" s="4" customFormat="1" ht="18.75" customHeight="1" x14ac:dyDescent="0.15">
      <c r="A32" s="1"/>
      <c r="B32" s="278"/>
      <c r="C32" s="279"/>
      <c r="D32" s="279"/>
      <c r="E32" s="279"/>
      <c r="F32" s="279"/>
      <c r="G32" s="279"/>
      <c r="H32" s="279"/>
      <c r="I32" s="279"/>
      <c r="J32" s="280"/>
      <c r="K32" s="33"/>
    </row>
    <row r="33" spans="1:11" s="4" customFormat="1" ht="18.75" customHeight="1" x14ac:dyDescent="0.15">
      <c r="A33" s="1"/>
      <c r="B33" s="278"/>
      <c r="C33" s="279"/>
      <c r="D33" s="279"/>
      <c r="E33" s="279"/>
      <c r="F33" s="279"/>
      <c r="G33" s="279"/>
      <c r="H33" s="279"/>
      <c r="I33" s="279"/>
      <c r="J33" s="280"/>
      <c r="K33" s="33"/>
    </row>
    <row r="34" spans="1:11" s="4" customFormat="1" ht="18.75" customHeight="1" x14ac:dyDescent="0.15">
      <c r="A34" s="1"/>
      <c r="B34" s="278"/>
      <c r="C34" s="279"/>
      <c r="D34" s="279"/>
      <c r="E34" s="279"/>
      <c r="F34" s="279"/>
      <c r="G34" s="279"/>
      <c r="H34" s="279"/>
      <c r="I34" s="279"/>
      <c r="J34" s="280"/>
      <c r="K34" s="33"/>
    </row>
    <row r="35" spans="1:11" s="4" customFormat="1" ht="18.75" customHeight="1" x14ac:dyDescent="0.15">
      <c r="A35" s="1"/>
      <c r="B35" s="278"/>
      <c r="C35" s="279"/>
      <c r="D35" s="279"/>
      <c r="E35" s="279"/>
      <c r="F35" s="279"/>
      <c r="G35" s="279"/>
      <c r="H35" s="279"/>
      <c r="I35" s="279"/>
      <c r="J35" s="280"/>
      <c r="K35" s="33"/>
    </row>
    <row r="36" spans="1:11" s="4" customFormat="1" ht="18.75" customHeight="1" x14ac:dyDescent="0.15">
      <c r="A36" s="1"/>
      <c r="B36" s="278"/>
      <c r="C36" s="279"/>
      <c r="D36" s="279"/>
      <c r="E36" s="279"/>
      <c r="F36" s="279"/>
      <c r="G36" s="279"/>
      <c r="H36" s="279"/>
      <c r="I36" s="279"/>
      <c r="J36" s="280"/>
      <c r="K36" s="33"/>
    </row>
    <row r="37" spans="1:11" s="4" customFormat="1" ht="18.75" customHeight="1" x14ac:dyDescent="0.15">
      <c r="A37" s="1"/>
      <c r="B37" s="278"/>
      <c r="C37" s="279"/>
      <c r="D37" s="279"/>
      <c r="E37" s="279"/>
      <c r="F37" s="279"/>
      <c r="G37" s="279"/>
      <c r="H37" s="279"/>
      <c r="I37" s="279"/>
      <c r="J37" s="280"/>
      <c r="K37" s="33"/>
    </row>
    <row r="38" spans="1:11" s="4" customFormat="1" ht="18.75" customHeight="1" x14ac:dyDescent="0.15">
      <c r="A38" s="1"/>
      <c r="B38" s="278"/>
      <c r="C38" s="279"/>
      <c r="D38" s="279"/>
      <c r="E38" s="279"/>
      <c r="F38" s="279"/>
      <c r="G38" s="279"/>
      <c r="H38" s="279"/>
      <c r="I38" s="279"/>
      <c r="J38" s="280"/>
      <c r="K38" s="33"/>
    </row>
    <row r="39" spans="1:11" s="4" customFormat="1" ht="18.75" customHeight="1" x14ac:dyDescent="0.15">
      <c r="A39" s="1"/>
      <c r="B39" s="278"/>
      <c r="C39" s="279"/>
      <c r="D39" s="279"/>
      <c r="E39" s="279"/>
      <c r="F39" s="279"/>
      <c r="G39" s="279"/>
      <c r="H39" s="279"/>
      <c r="I39" s="279"/>
      <c r="J39" s="280"/>
      <c r="K39" s="33"/>
    </row>
    <row r="40" spans="1:11" s="4" customFormat="1" ht="18.75" customHeight="1" x14ac:dyDescent="0.15">
      <c r="A40" s="1"/>
      <c r="B40" s="278"/>
      <c r="C40" s="279"/>
      <c r="D40" s="279"/>
      <c r="E40" s="279"/>
      <c r="F40" s="279"/>
      <c r="G40" s="279"/>
      <c r="H40" s="279"/>
      <c r="I40" s="279"/>
      <c r="J40" s="280"/>
      <c r="K40" s="33"/>
    </row>
    <row r="41" spans="1:11" s="4" customFormat="1" ht="18.75" customHeight="1" x14ac:dyDescent="0.15">
      <c r="A41" s="1"/>
      <c r="B41" s="278"/>
      <c r="C41" s="279"/>
      <c r="D41" s="279"/>
      <c r="E41" s="279"/>
      <c r="F41" s="279"/>
      <c r="G41" s="279"/>
      <c r="H41" s="279"/>
      <c r="I41" s="279"/>
      <c r="J41" s="280"/>
      <c r="K41" s="33"/>
    </row>
    <row r="42" spans="1:11" s="4" customFormat="1" ht="18.75" customHeight="1" x14ac:dyDescent="0.15">
      <c r="A42" s="1"/>
      <c r="B42" s="278"/>
      <c r="C42" s="279"/>
      <c r="D42" s="279"/>
      <c r="E42" s="279"/>
      <c r="F42" s="279"/>
      <c r="G42" s="279"/>
      <c r="H42" s="279"/>
      <c r="I42" s="279"/>
      <c r="J42" s="280"/>
      <c r="K42" s="33"/>
    </row>
    <row r="43" spans="1:11" ht="18.75" customHeight="1" x14ac:dyDescent="0.15">
      <c r="A43" s="37"/>
      <c r="B43" s="278"/>
      <c r="C43" s="279"/>
      <c r="D43" s="279"/>
      <c r="E43" s="279"/>
      <c r="F43" s="279"/>
      <c r="G43" s="279"/>
      <c r="H43" s="279"/>
      <c r="I43" s="279"/>
      <c r="J43" s="280"/>
      <c r="K43" s="33"/>
    </row>
    <row r="44" spans="1:11" ht="18.75" customHeight="1" x14ac:dyDescent="0.15">
      <c r="A44" s="37"/>
      <c r="B44" s="281"/>
      <c r="C44" s="282"/>
      <c r="D44" s="282"/>
      <c r="E44" s="282"/>
      <c r="F44" s="282"/>
      <c r="G44" s="282"/>
      <c r="H44" s="282"/>
      <c r="I44" s="282"/>
      <c r="J44" s="283"/>
    </row>
    <row r="45" spans="1:11" s="4" customFormat="1" ht="18.75" customHeight="1" x14ac:dyDescent="0.15">
      <c r="A45" s="99" t="s">
        <v>11</v>
      </c>
      <c r="B45" s="1" t="s">
        <v>64</v>
      </c>
      <c r="C45" s="1"/>
      <c r="D45" s="1"/>
      <c r="E45" s="1"/>
      <c r="F45" s="1"/>
      <c r="G45" s="1"/>
      <c r="H45" s="1"/>
      <c r="I45" s="99"/>
      <c r="J45" s="99"/>
      <c r="K45" s="31"/>
    </row>
    <row r="46" spans="1:11" ht="18.75" customHeight="1" x14ac:dyDescent="0.15">
      <c r="A46" s="37"/>
      <c r="B46" s="257" t="s">
        <v>191</v>
      </c>
      <c r="C46" s="258"/>
      <c r="D46" s="258"/>
      <c r="E46" s="258"/>
      <c r="F46" s="258"/>
      <c r="G46" s="258"/>
      <c r="H46" s="258"/>
      <c r="I46" s="258"/>
      <c r="J46" s="259"/>
      <c r="K46" s="31" t="str">
        <f>IF(B46="","入力してください","")</f>
        <v/>
      </c>
    </row>
    <row r="47" spans="1:11" ht="18.75" customHeight="1" x14ac:dyDescent="0.15">
      <c r="A47" s="37"/>
      <c r="B47" s="260"/>
      <c r="C47" s="261"/>
      <c r="D47" s="261"/>
      <c r="E47" s="261"/>
      <c r="F47" s="261"/>
      <c r="G47" s="261"/>
      <c r="H47" s="261"/>
      <c r="I47" s="261"/>
      <c r="J47" s="262"/>
    </row>
    <row r="48" spans="1:11" ht="18.75" customHeight="1" x14ac:dyDescent="0.15">
      <c r="A48" s="37"/>
      <c r="B48" s="260"/>
      <c r="C48" s="261"/>
      <c r="D48" s="261"/>
      <c r="E48" s="261"/>
      <c r="F48" s="261"/>
      <c r="G48" s="261"/>
      <c r="H48" s="261"/>
      <c r="I48" s="261"/>
      <c r="J48" s="262"/>
    </row>
    <row r="49" spans="1:10" ht="18.75" customHeight="1" x14ac:dyDescent="0.15">
      <c r="A49" s="37"/>
      <c r="B49" s="260"/>
      <c r="C49" s="261"/>
      <c r="D49" s="261"/>
      <c r="E49" s="261"/>
      <c r="F49" s="261"/>
      <c r="G49" s="261"/>
      <c r="H49" s="261"/>
      <c r="I49" s="261"/>
      <c r="J49" s="262"/>
    </row>
    <row r="50" spans="1:10" ht="18.75" customHeight="1" x14ac:dyDescent="0.15">
      <c r="A50" s="37"/>
      <c r="B50" s="260"/>
      <c r="C50" s="261"/>
      <c r="D50" s="261"/>
      <c r="E50" s="261"/>
      <c r="F50" s="261"/>
      <c r="G50" s="261"/>
      <c r="H50" s="261"/>
      <c r="I50" s="261"/>
      <c r="J50" s="262"/>
    </row>
    <row r="51" spans="1:10" ht="18.75" customHeight="1" x14ac:dyDescent="0.15">
      <c r="A51" s="37"/>
      <c r="B51" s="260"/>
      <c r="C51" s="261"/>
      <c r="D51" s="261"/>
      <c r="E51" s="261"/>
      <c r="F51" s="261"/>
      <c r="G51" s="261"/>
      <c r="H51" s="261"/>
      <c r="I51" s="261"/>
      <c r="J51" s="262"/>
    </row>
    <row r="52" spans="1:10" ht="18.75" customHeight="1" x14ac:dyDescent="0.15">
      <c r="A52" s="37"/>
      <c r="B52" s="260"/>
      <c r="C52" s="261"/>
      <c r="D52" s="261"/>
      <c r="E52" s="261"/>
      <c r="F52" s="261"/>
      <c r="G52" s="261"/>
      <c r="H52" s="261"/>
      <c r="I52" s="261"/>
      <c r="J52" s="262"/>
    </row>
    <row r="53" spans="1:10" ht="18.75" customHeight="1" x14ac:dyDescent="0.15">
      <c r="A53" s="37"/>
      <c r="B53" s="260"/>
      <c r="C53" s="261"/>
      <c r="D53" s="261"/>
      <c r="E53" s="261"/>
      <c r="F53" s="261"/>
      <c r="G53" s="261"/>
      <c r="H53" s="261"/>
      <c r="I53" s="261"/>
      <c r="J53" s="262"/>
    </row>
    <row r="54" spans="1:10" ht="18.75" customHeight="1" x14ac:dyDescent="0.15">
      <c r="A54" s="37"/>
      <c r="B54" s="260"/>
      <c r="C54" s="261"/>
      <c r="D54" s="261"/>
      <c r="E54" s="261"/>
      <c r="F54" s="261"/>
      <c r="G54" s="261"/>
      <c r="H54" s="261"/>
      <c r="I54" s="261"/>
      <c r="J54" s="262"/>
    </row>
    <row r="55" spans="1:10" ht="18.75" customHeight="1" x14ac:dyDescent="0.15">
      <c r="A55" s="37"/>
      <c r="B55" s="260"/>
      <c r="C55" s="261"/>
      <c r="D55" s="261"/>
      <c r="E55" s="261"/>
      <c r="F55" s="261"/>
      <c r="G55" s="261"/>
      <c r="H55" s="261"/>
      <c r="I55" s="261"/>
      <c r="J55" s="262"/>
    </row>
    <row r="56" spans="1:10" ht="18.75" customHeight="1" x14ac:dyDescent="0.15">
      <c r="A56" s="37"/>
      <c r="B56" s="260"/>
      <c r="C56" s="261"/>
      <c r="D56" s="261"/>
      <c r="E56" s="261"/>
      <c r="F56" s="261"/>
      <c r="G56" s="261"/>
      <c r="H56" s="261"/>
      <c r="I56" s="261"/>
      <c r="J56" s="262"/>
    </row>
    <row r="57" spans="1:10" ht="18.75" customHeight="1" x14ac:dyDescent="0.15">
      <c r="A57" s="37"/>
      <c r="B57" s="260"/>
      <c r="C57" s="261"/>
      <c r="D57" s="261"/>
      <c r="E57" s="261"/>
      <c r="F57" s="261"/>
      <c r="G57" s="261"/>
      <c r="H57" s="261"/>
      <c r="I57" s="261"/>
      <c r="J57" s="262"/>
    </row>
    <row r="58" spans="1:10" ht="18.75" customHeight="1" x14ac:dyDescent="0.15">
      <c r="A58" s="37"/>
      <c r="B58" s="260"/>
      <c r="C58" s="261"/>
      <c r="D58" s="261"/>
      <c r="E58" s="261"/>
      <c r="F58" s="261"/>
      <c r="G58" s="261"/>
      <c r="H58" s="261"/>
      <c r="I58" s="261"/>
      <c r="J58" s="262"/>
    </row>
    <row r="59" spans="1:10" ht="18.75" customHeight="1" x14ac:dyDescent="0.15">
      <c r="A59" s="37"/>
      <c r="B59" s="260"/>
      <c r="C59" s="261"/>
      <c r="D59" s="261"/>
      <c r="E59" s="261"/>
      <c r="F59" s="261"/>
      <c r="G59" s="261"/>
      <c r="H59" s="261"/>
      <c r="I59" s="261"/>
      <c r="J59" s="262"/>
    </row>
    <row r="60" spans="1:10" ht="18.75" customHeight="1" x14ac:dyDescent="0.15">
      <c r="A60" s="37"/>
      <c r="B60" s="260"/>
      <c r="C60" s="261"/>
      <c r="D60" s="261"/>
      <c r="E60" s="261"/>
      <c r="F60" s="261"/>
      <c r="G60" s="261"/>
      <c r="H60" s="261"/>
      <c r="I60" s="261"/>
      <c r="J60" s="262"/>
    </row>
    <row r="61" spans="1:10" ht="18.75" customHeight="1" x14ac:dyDescent="0.15">
      <c r="A61" s="37"/>
      <c r="B61" s="260"/>
      <c r="C61" s="261"/>
      <c r="D61" s="261"/>
      <c r="E61" s="261"/>
      <c r="F61" s="261"/>
      <c r="G61" s="261"/>
      <c r="H61" s="261"/>
      <c r="I61" s="261"/>
      <c r="J61" s="262"/>
    </row>
    <row r="62" spans="1:10" ht="18.75" customHeight="1" x14ac:dyDescent="0.15">
      <c r="A62" s="37"/>
      <c r="B62" s="260"/>
      <c r="C62" s="261"/>
      <c r="D62" s="261"/>
      <c r="E62" s="261"/>
      <c r="F62" s="261"/>
      <c r="G62" s="261"/>
      <c r="H62" s="261"/>
      <c r="I62" s="261"/>
      <c r="J62" s="262"/>
    </row>
    <row r="63" spans="1:10" ht="18.75" customHeight="1" x14ac:dyDescent="0.15">
      <c r="A63" s="37"/>
      <c r="B63" s="260"/>
      <c r="C63" s="261"/>
      <c r="D63" s="261"/>
      <c r="E63" s="261"/>
      <c r="F63" s="261"/>
      <c r="G63" s="261"/>
      <c r="H63" s="261"/>
      <c r="I63" s="261"/>
      <c r="J63" s="262"/>
    </row>
    <row r="64" spans="1:10" ht="18.75" customHeight="1" x14ac:dyDescent="0.15">
      <c r="A64" s="37"/>
      <c r="B64" s="260"/>
      <c r="C64" s="261"/>
      <c r="D64" s="261"/>
      <c r="E64" s="261"/>
      <c r="F64" s="261"/>
      <c r="G64" s="261"/>
      <c r="H64" s="261"/>
      <c r="I64" s="261"/>
      <c r="J64" s="262"/>
    </row>
    <row r="65" spans="1:11" ht="18.75" customHeight="1" x14ac:dyDescent="0.15">
      <c r="A65" s="37"/>
      <c r="B65" s="260"/>
      <c r="C65" s="261"/>
      <c r="D65" s="261"/>
      <c r="E65" s="261"/>
      <c r="F65" s="261"/>
      <c r="G65" s="261"/>
      <c r="H65" s="261"/>
      <c r="I65" s="261"/>
      <c r="J65" s="262"/>
    </row>
    <row r="66" spans="1:11" ht="18.75" customHeight="1" x14ac:dyDescent="0.15">
      <c r="A66" s="37"/>
      <c r="B66" s="263"/>
      <c r="C66" s="264"/>
      <c r="D66" s="264"/>
      <c r="E66" s="264"/>
      <c r="F66" s="264"/>
      <c r="G66" s="264"/>
      <c r="H66" s="264"/>
      <c r="I66" s="264"/>
      <c r="J66" s="265"/>
    </row>
    <row r="67" spans="1:11" ht="7.5" customHeight="1" x14ac:dyDescent="0.15">
      <c r="A67" s="37"/>
      <c r="B67" s="37"/>
      <c r="C67" s="37"/>
      <c r="D67" s="37"/>
      <c r="E67" s="37"/>
      <c r="F67" s="37"/>
      <c r="G67" s="37"/>
      <c r="H67" s="37"/>
      <c r="I67" s="37"/>
      <c r="J67" s="37"/>
    </row>
    <row r="68" spans="1:11" s="4" customFormat="1" ht="18.75" customHeight="1" x14ac:dyDescent="0.15">
      <c r="A68" s="1" t="s">
        <v>14</v>
      </c>
      <c r="B68" s="1" t="s">
        <v>70</v>
      </c>
      <c r="C68" s="1"/>
      <c r="D68" s="1"/>
      <c r="E68" s="1"/>
      <c r="F68" s="1"/>
      <c r="G68" s="1"/>
      <c r="H68" s="1"/>
      <c r="I68" s="1"/>
      <c r="J68" s="1"/>
      <c r="K68" s="31"/>
    </row>
    <row r="69" spans="1:11" s="4" customFormat="1" ht="18.75" customHeight="1" x14ac:dyDescent="0.15">
      <c r="A69" s="1"/>
      <c r="B69" s="257" t="s">
        <v>207</v>
      </c>
      <c r="C69" s="258"/>
      <c r="D69" s="258"/>
      <c r="E69" s="258"/>
      <c r="F69" s="258"/>
      <c r="G69" s="258"/>
      <c r="H69" s="258"/>
      <c r="I69" s="266"/>
      <c r="J69" s="267"/>
      <c r="K69" s="33" t="str">
        <f>IF(B69="","入力してください","")</f>
        <v/>
      </c>
    </row>
    <row r="70" spans="1:11" s="4" customFormat="1" ht="18.75" customHeight="1" x14ac:dyDescent="0.15">
      <c r="A70" s="1"/>
      <c r="B70" s="268"/>
      <c r="C70" s="269"/>
      <c r="D70" s="269"/>
      <c r="E70" s="269"/>
      <c r="F70" s="269"/>
      <c r="G70" s="269"/>
      <c r="H70" s="269"/>
      <c r="I70" s="269"/>
      <c r="J70" s="270"/>
      <c r="K70" s="33"/>
    </row>
    <row r="71" spans="1:11" s="4" customFormat="1" ht="18.75" customHeight="1" x14ac:dyDescent="0.15">
      <c r="A71" s="1"/>
      <c r="B71" s="268"/>
      <c r="C71" s="269"/>
      <c r="D71" s="269"/>
      <c r="E71" s="269"/>
      <c r="F71" s="269"/>
      <c r="G71" s="269"/>
      <c r="H71" s="269"/>
      <c r="I71" s="269"/>
      <c r="J71" s="270"/>
      <c r="K71" s="33"/>
    </row>
    <row r="72" spans="1:11" s="4" customFormat="1" ht="18.75" customHeight="1" x14ac:dyDescent="0.15">
      <c r="A72" s="1"/>
      <c r="B72" s="268"/>
      <c r="C72" s="269"/>
      <c r="D72" s="269"/>
      <c r="E72" s="269"/>
      <c r="F72" s="269"/>
      <c r="G72" s="269"/>
      <c r="H72" s="269"/>
      <c r="I72" s="269"/>
      <c r="J72" s="270"/>
      <c r="K72" s="33"/>
    </row>
    <row r="73" spans="1:11" s="4" customFormat="1" ht="18.75" customHeight="1" x14ac:dyDescent="0.15">
      <c r="A73" s="1"/>
      <c r="B73" s="268"/>
      <c r="C73" s="269"/>
      <c r="D73" s="269"/>
      <c r="E73" s="269"/>
      <c r="F73" s="269"/>
      <c r="G73" s="269"/>
      <c r="H73" s="269"/>
      <c r="I73" s="269"/>
      <c r="J73" s="270"/>
      <c r="K73" s="33"/>
    </row>
    <row r="74" spans="1:11" s="4" customFormat="1" ht="18.75" customHeight="1" x14ac:dyDescent="0.15">
      <c r="A74" s="1"/>
      <c r="B74" s="268"/>
      <c r="C74" s="269"/>
      <c r="D74" s="269"/>
      <c r="E74" s="269"/>
      <c r="F74" s="269"/>
      <c r="G74" s="269"/>
      <c r="H74" s="269"/>
      <c r="I74" s="269"/>
      <c r="J74" s="270"/>
      <c r="K74" s="33"/>
    </row>
    <row r="75" spans="1:11" s="4" customFormat="1" ht="18.75" customHeight="1" x14ac:dyDescent="0.15">
      <c r="A75" s="1"/>
      <c r="B75" s="268"/>
      <c r="C75" s="269"/>
      <c r="D75" s="269"/>
      <c r="E75" s="269"/>
      <c r="F75" s="269"/>
      <c r="G75" s="269"/>
      <c r="H75" s="269"/>
      <c r="I75" s="269"/>
      <c r="J75" s="270"/>
      <c r="K75" s="33"/>
    </row>
    <row r="76" spans="1:11" s="4" customFormat="1" ht="18.75" customHeight="1" x14ac:dyDescent="0.15">
      <c r="A76" s="1"/>
      <c r="B76" s="268"/>
      <c r="C76" s="269"/>
      <c r="D76" s="269"/>
      <c r="E76" s="269"/>
      <c r="F76" s="269"/>
      <c r="G76" s="269"/>
      <c r="H76" s="269"/>
      <c r="I76" s="269"/>
      <c r="J76" s="270"/>
      <c r="K76" s="33"/>
    </row>
    <row r="77" spans="1:11" s="4" customFormat="1" ht="18.75" customHeight="1" x14ac:dyDescent="0.15">
      <c r="A77" s="1"/>
      <c r="B77" s="268"/>
      <c r="C77" s="269"/>
      <c r="D77" s="269"/>
      <c r="E77" s="269"/>
      <c r="F77" s="269"/>
      <c r="G77" s="269"/>
      <c r="H77" s="269"/>
      <c r="I77" s="269"/>
      <c r="J77" s="270"/>
      <c r="K77" s="33"/>
    </row>
    <row r="78" spans="1:11" s="4" customFormat="1" ht="18.75" customHeight="1" x14ac:dyDescent="0.15">
      <c r="A78" s="1"/>
      <c r="B78" s="268"/>
      <c r="C78" s="269"/>
      <c r="D78" s="269"/>
      <c r="E78" s="269"/>
      <c r="F78" s="269"/>
      <c r="G78" s="269"/>
      <c r="H78" s="269"/>
      <c r="I78" s="269"/>
      <c r="J78" s="270"/>
      <c r="K78" s="33"/>
    </row>
    <row r="79" spans="1:11" s="4" customFormat="1" ht="18.75" customHeight="1" x14ac:dyDescent="0.15">
      <c r="A79" s="1"/>
      <c r="B79" s="268"/>
      <c r="C79" s="269"/>
      <c r="D79" s="269"/>
      <c r="E79" s="269"/>
      <c r="F79" s="269"/>
      <c r="G79" s="269"/>
      <c r="H79" s="269"/>
      <c r="I79" s="269"/>
      <c r="J79" s="270"/>
      <c r="K79" s="33"/>
    </row>
    <row r="80" spans="1:11" s="4" customFormat="1" ht="18.75" customHeight="1" x14ac:dyDescent="0.15">
      <c r="A80" s="1"/>
      <c r="B80" s="268"/>
      <c r="C80" s="269"/>
      <c r="D80" s="269"/>
      <c r="E80" s="269"/>
      <c r="F80" s="269"/>
      <c r="G80" s="269"/>
      <c r="H80" s="269"/>
      <c r="I80" s="269"/>
      <c r="J80" s="270"/>
      <c r="K80" s="33"/>
    </row>
    <row r="81" spans="1:11" s="4" customFormat="1" ht="18.75" customHeight="1" x14ac:dyDescent="0.15">
      <c r="A81" s="1"/>
      <c r="B81" s="268"/>
      <c r="C81" s="269"/>
      <c r="D81" s="269"/>
      <c r="E81" s="269"/>
      <c r="F81" s="269"/>
      <c r="G81" s="269"/>
      <c r="H81" s="269"/>
      <c r="I81" s="269"/>
      <c r="J81" s="270"/>
      <c r="K81" s="33"/>
    </row>
    <row r="82" spans="1:11" s="4" customFormat="1" ht="18.75" customHeight="1" x14ac:dyDescent="0.15">
      <c r="A82" s="1"/>
      <c r="B82" s="268"/>
      <c r="C82" s="269"/>
      <c r="D82" s="269"/>
      <c r="E82" s="269"/>
      <c r="F82" s="269"/>
      <c r="G82" s="269"/>
      <c r="H82" s="269"/>
      <c r="I82" s="269"/>
      <c r="J82" s="270"/>
      <c r="K82" s="33"/>
    </row>
    <row r="83" spans="1:11" s="4" customFormat="1" ht="18.75" customHeight="1" x14ac:dyDescent="0.15">
      <c r="A83" s="1"/>
      <c r="B83" s="268"/>
      <c r="C83" s="269"/>
      <c r="D83" s="269"/>
      <c r="E83" s="269"/>
      <c r="F83" s="269"/>
      <c r="G83" s="269"/>
      <c r="H83" s="269"/>
      <c r="I83" s="269"/>
      <c r="J83" s="270"/>
      <c r="K83" s="33"/>
    </row>
    <row r="84" spans="1:11" s="4" customFormat="1" ht="18.75" customHeight="1" x14ac:dyDescent="0.15">
      <c r="A84" s="1"/>
      <c r="B84" s="268"/>
      <c r="C84" s="269"/>
      <c r="D84" s="269"/>
      <c r="E84" s="269"/>
      <c r="F84" s="269"/>
      <c r="G84" s="269"/>
      <c r="H84" s="269"/>
      <c r="I84" s="269"/>
      <c r="J84" s="270"/>
      <c r="K84" s="33"/>
    </row>
    <row r="85" spans="1:11" ht="18.75" customHeight="1" x14ac:dyDescent="0.15">
      <c r="A85" s="37"/>
      <c r="B85" s="268"/>
      <c r="C85" s="269"/>
      <c r="D85" s="269"/>
      <c r="E85" s="269"/>
      <c r="F85" s="269"/>
      <c r="G85" s="269"/>
      <c r="H85" s="269"/>
      <c r="I85" s="269"/>
      <c r="J85" s="270"/>
      <c r="K85" s="33"/>
    </row>
    <row r="86" spans="1:11" ht="18.75" customHeight="1" x14ac:dyDescent="0.15">
      <c r="A86" s="37"/>
      <c r="B86" s="271"/>
      <c r="C86" s="272"/>
      <c r="D86" s="272"/>
      <c r="E86" s="272"/>
      <c r="F86" s="272"/>
      <c r="G86" s="272"/>
      <c r="H86" s="272"/>
      <c r="I86" s="272"/>
      <c r="J86" s="273"/>
      <c r="K86" s="33"/>
    </row>
    <row r="87" spans="1:11" ht="7.5" customHeight="1" x14ac:dyDescent="0.15">
      <c r="A87" s="37"/>
      <c r="B87" s="37"/>
      <c r="C87" s="37"/>
      <c r="D87" s="37"/>
      <c r="E87" s="37"/>
      <c r="F87" s="37"/>
      <c r="G87" s="37"/>
      <c r="H87" s="37"/>
      <c r="I87" s="37"/>
      <c r="J87" s="37"/>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57" t="s">
        <v>179</v>
      </c>
      <c r="C89" s="258"/>
      <c r="D89" s="258"/>
      <c r="E89" s="258"/>
      <c r="F89" s="258"/>
      <c r="G89" s="258"/>
      <c r="H89" s="258"/>
      <c r="I89" s="266"/>
      <c r="J89" s="267"/>
      <c r="K89" s="31"/>
    </row>
    <row r="90" spans="1:11" s="4" customFormat="1" ht="18.75" customHeight="1" x14ac:dyDescent="0.15">
      <c r="A90" s="1"/>
      <c r="B90" s="268"/>
      <c r="C90" s="269"/>
      <c r="D90" s="269"/>
      <c r="E90" s="269"/>
      <c r="F90" s="269"/>
      <c r="G90" s="269"/>
      <c r="H90" s="269"/>
      <c r="I90" s="269"/>
      <c r="J90" s="270"/>
      <c r="K90" s="33"/>
    </row>
    <row r="91" spans="1:11" s="4" customFormat="1" ht="18.75" customHeight="1" x14ac:dyDescent="0.15">
      <c r="A91" s="1"/>
      <c r="B91" s="268"/>
      <c r="C91" s="269"/>
      <c r="D91" s="269"/>
      <c r="E91" s="269"/>
      <c r="F91" s="269"/>
      <c r="G91" s="269"/>
      <c r="H91" s="269"/>
      <c r="I91" s="269"/>
      <c r="J91" s="270"/>
      <c r="K91" s="33" t="str">
        <f>IF(B89="","入力してください","")</f>
        <v/>
      </c>
    </row>
    <row r="92" spans="1:11" s="4" customFormat="1" ht="18.75" customHeight="1" x14ac:dyDescent="0.15">
      <c r="A92" s="1"/>
      <c r="B92" s="268"/>
      <c r="C92" s="269"/>
      <c r="D92" s="269"/>
      <c r="E92" s="269"/>
      <c r="F92" s="269"/>
      <c r="G92" s="269"/>
      <c r="H92" s="269"/>
      <c r="I92" s="269"/>
      <c r="J92" s="270"/>
      <c r="K92" s="33"/>
    </row>
    <row r="93" spans="1:11" s="4" customFormat="1" ht="18.75" customHeight="1" x14ac:dyDescent="0.15">
      <c r="A93" s="1"/>
      <c r="B93" s="268"/>
      <c r="C93" s="269"/>
      <c r="D93" s="269"/>
      <c r="E93" s="269"/>
      <c r="F93" s="269"/>
      <c r="G93" s="269"/>
      <c r="H93" s="269"/>
      <c r="I93" s="269"/>
      <c r="J93" s="270"/>
      <c r="K93" s="33"/>
    </row>
    <row r="94" spans="1:11" s="4" customFormat="1" ht="18.75" customHeight="1" x14ac:dyDescent="0.15">
      <c r="A94" s="1"/>
      <c r="B94" s="268"/>
      <c r="C94" s="269"/>
      <c r="D94" s="269"/>
      <c r="E94" s="269"/>
      <c r="F94" s="269"/>
      <c r="G94" s="269"/>
      <c r="H94" s="269"/>
      <c r="I94" s="269"/>
      <c r="J94" s="270"/>
      <c r="K94" s="33"/>
    </row>
    <row r="95" spans="1:11" s="4" customFormat="1" ht="18.75" customHeight="1" x14ac:dyDescent="0.15">
      <c r="A95" s="1"/>
      <c r="B95" s="268"/>
      <c r="C95" s="269"/>
      <c r="D95" s="269"/>
      <c r="E95" s="269"/>
      <c r="F95" s="269"/>
      <c r="G95" s="269"/>
      <c r="H95" s="269"/>
      <c r="I95" s="269"/>
      <c r="J95" s="270"/>
      <c r="K95" s="33"/>
    </row>
    <row r="96" spans="1:11" s="4" customFormat="1" ht="18.75" customHeight="1" x14ac:dyDescent="0.15">
      <c r="A96" s="1"/>
      <c r="B96" s="268"/>
      <c r="C96" s="269"/>
      <c r="D96" s="269"/>
      <c r="E96" s="269"/>
      <c r="F96" s="269"/>
      <c r="G96" s="269"/>
      <c r="H96" s="269"/>
      <c r="I96" s="269"/>
      <c r="J96" s="270"/>
      <c r="K96" s="33"/>
    </row>
    <row r="97" spans="1:11" s="4" customFormat="1" ht="18.75" customHeight="1" x14ac:dyDescent="0.15">
      <c r="A97" s="1"/>
      <c r="B97" s="268"/>
      <c r="C97" s="269"/>
      <c r="D97" s="269"/>
      <c r="E97" s="269"/>
      <c r="F97" s="269"/>
      <c r="G97" s="269"/>
      <c r="H97" s="269"/>
      <c r="I97" s="269"/>
      <c r="J97" s="270"/>
      <c r="K97" s="33"/>
    </row>
    <row r="98" spans="1:11" s="4" customFormat="1" ht="18.75" customHeight="1" x14ac:dyDescent="0.15">
      <c r="A98" s="1"/>
      <c r="B98" s="268"/>
      <c r="C98" s="269"/>
      <c r="D98" s="269"/>
      <c r="E98" s="269"/>
      <c r="F98" s="269"/>
      <c r="G98" s="269"/>
      <c r="H98" s="269"/>
      <c r="I98" s="269"/>
      <c r="J98" s="270"/>
      <c r="K98" s="33"/>
    </row>
    <row r="99" spans="1:11" s="4" customFormat="1" ht="18.75" customHeight="1" x14ac:dyDescent="0.15">
      <c r="A99" s="1"/>
      <c r="B99" s="268"/>
      <c r="C99" s="269"/>
      <c r="D99" s="269"/>
      <c r="E99" s="269"/>
      <c r="F99" s="269"/>
      <c r="G99" s="269"/>
      <c r="H99" s="269"/>
      <c r="I99" s="269"/>
      <c r="J99" s="270"/>
      <c r="K99" s="33"/>
    </row>
    <row r="100" spans="1:11" s="4" customFormat="1" ht="18.75" customHeight="1" x14ac:dyDescent="0.15">
      <c r="A100" s="1"/>
      <c r="B100" s="268"/>
      <c r="C100" s="269"/>
      <c r="D100" s="269"/>
      <c r="E100" s="269"/>
      <c r="F100" s="269"/>
      <c r="G100" s="269"/>
      <c r="H100" s="269"/>
      <c r="I100" s="269"/>
      <c r="J100" s="270"/>
      <c r="K100" s="33"/>
    </row>
    <row r="101" spans="1:11" s="4" customFormat="1" ht="18.75" customHeight="1" x14ac:dyDescent="0.15">
      <c r="A101" s="1"/>
      <c r="B101" s="268"/>
      <c r="C101" s="269"/>
      <c r="D101" s="269"/>
      <c r="E101" s="269"/>
      <c r="F101" s="269"/>
      <c r="G101" s="269"/>
      <c r="H101" s="269"/>
      <c r="I101" s="269"/>
      <c r="J101" s="270"/>
      <c r="K101" s="33"/>
    </row>
    <row r="102" spans="1:11" s="4" customFormat="1" ht="18.75" customHeight="1" x14ac:dyDescent="0.15">
      <c r="A102" s="1"/>
      <c r="B102" s="268"/>
      <c r="C102" s="269"/>
      <c r="D102" s="269"/>
      <c r="E102" s="269"/>
      <c r="F102" s="269"/>
      <c r="G102" s="269"/>
      <c r="H102" s="269"/>
      <c r="I102" s="269"/>
      <c r="J102" s="270"/>
      <c r="K102" s="33"/>
    </row>
    <row r="103" spans="1:11" s="4" customFormat="1" ht="18.75" customHeight="1" x14ac:dyDescent="0.15">
      <c r="A103" s="1"/>
      <c r="B103" s="268"/>
      <c r="C103" s="269"/>
      <c r="D103" s="269"/>
      <c r="E103" s="269"/>
      <c r="F103" s="269"/>
      <c r="G103" s="269"/>
      <c r="H103" s="269"/>
      <c r="I103" s="269"/>
      <c r="J103" s="270"/>
      <c r="K103" s="33"/>
    </row>
    <row r="104" spans="1:11" s="4" customFormat="1" ht="18.75" customHeight="1" x14ac:dyDescent="0.15">
      <c r="A104" s="1"/>
      <c r="B104" s="268"/>
      <c r="C104" s="269"/>
      <c r="D104" s="269"/>
      <c r="E104" s="269"/>
      <c r="F104" s="269"/>
      <c r="G104" s="269"/>
      <c r="H104" s="269"/>
      <c r="I104" s="269"/>
      <c r="J104" s="270"/>
      <c r="K104" s="33"/>
    </row>
    <row r="105" spans="1:11" s="4" customFormat="1" ht="18.75" customHeight="1" x14ac:dyDescent="0.15">
      <c r="A105" s="1"/>
      <c r="B105" s="268"/>
      <c r="C105" s="269"/>
      <c r="D105" s="269"/>
      <c r="E105" s="269"/>
      <c r="F105" s="269"/>
      <c r="G105" s="269"/>
      <c r="H105" s="269"/>
      <c r="I105" s="269"/>
      <c r="J105" s="270"/>
      <c r="K105" s="33"/>
    </row>
    <row r="106" spans="1:11" s="4" customFormat="1" ht="18.75" customHeight="1" x14ac:dyDescent="0.15">
      <c r="A106" s="1"/>
      <c r="B106" s="268"/>
      <c r="C106" s="269"/>
      <c r="D106" s="269"/>
      <c r="E106" s="269"/>
      <c r="F106" s="269"/>
      <c r="G106" s="269"/>
      <c r="H106" s="269"/>
      <c r="I106" s="269"/>
      <c r="J106" s="270"/>
      <c r="K106" s="33"/>
    </row>
    <row r="107" spans="1:11" ht="18.75" customHeight="1" x14ac:dyDescent="0.15">
      <c r="A107" s="37"/>
      <c r="B107" s="268"/>
      <c r="C107" s="269"/>
      <c r="D107" s="269"/>
      <c r="E107" s="269"/>
      <c r="F107" s="269"/>
      <c r="G107" s="269"/>
      <c r="H107" s="269"/>
      <c r="I107" s="269"/>
      <c r="J107" s="270"/>
      <c r="K107" s="33"/>
    </row>
    <row r="108" spans="1:11" ht="18.75" customHeight="1" x14ac:dyDescent="0.15">
      <c r="A108" s="37"/>
      <c r="B108" s="271"/>
      <c r="C108" s="272"/>
      <c r="D108" s="272"/>
      <c r="E108" s="272"/>
      <c r="F108" s="272"/>
      <c r="G108" s="272"/>
      <c r="H108" s="272"/>
      <c r="I108" s="272"/>
      <c r="J108" s="273"/>
      <c r="K108" s="33"/>
    </row>
    <row r="109" spans="1:11" ht="7.5" customHeight="1" x14ac:dyDescent="0.15">
      <c r="A109" s="37"/>
      <c r="B109" s="37"/>
      <c r="C109" s="37"/>
      <c r="D109" s="37"/>
      <c r="E109" s="37"/>
      <c r="F109" s="37"/>
      <c r="G109" s="37"/>
      <c r="H109" s="37"/>
      <c r="I109" s="37"/>
      <c r="J109" s="37"/>
    </row>
    <row r="110" spans="1:11" s="4" customFormat="1" ht="18.75" customHeight="1" x14ac:dyDescent="0.15">
      <c r="A110" s="1" t="s">
        <v>53</v>
      </c>
      <c r="B110" s="274" t="s">
        <v>81</v>
      </c>
      <c r="C110" s="274"/>
      <c r="D110" s="274"/>
      <c r="E110" s="274"/>
      <c r="F110" s="274"/>
      <c r="G110" s="274"/>
      <c r="H110" s="274"/>
      <c r="I110" s="274"/>
      <c r="J110" s="274"/>
      <c r="K110" s="31"/>
    </row>
    <row r="111" spans="1:11" ht="18.75" customHeight="1" x14ac:dyDescent="0.15">
      <c r="A111" s="37"/>
      <c r="B111" s="257" t="s">
        <v>180</v>
      </c>
      <c r="C111" s="258"/>
      <c r="D111" s="258"/>
      <c r="E111" s="258"/>
      <c r="F111" s="258"/>
      <c r="G111" s="258"/>
      <c r="H111" s="258"/>
      <c r="I111" s="266"/>
      <c r="J111" s="267"/>
    </row>
    <row r="112" spans="1:11" ht="18.75" customHeight="1" x14ac:dyDescent="0.15">
      <c r="A112" s="37"/>
      <c r="B112" s="268"/>
      <c r="C112" s="269"/>
      <c r="D112" s="269"/>
      <c r="E112" s="269"/>
      <c r="F112" s="269"/>
      <c r="G112" s="269"/>
      <c r="H112" s="269"/>
      <c r="I112" s="269"/>
      <c r="J112" s="270"/>
      <c r="K112" s="33"/>
    </row>
    <row r="113" spans="1:11" ht="18.75" customHeight="1" x14ac:dyDescent="0.15">
      <c r="A113" s="37"/>
      <c r="B113" s="268"/>
      <c r="C113" s="269"/>
      <c r="D113" s="269"/>
      <c r="E113" s="269"/>
      <c r="F113" s="269"/>
      <c r="G113" s="269"/>
      <c r="H113" s="269"/>
      <c r="I113" s="269"/>
      <c r="J113" s="270"/>
      <c r="K113" s="31" t="str">
        <f>IF(B111="","入力してください","")</f>
        <v/>
      </c>
    </row>
    <row r="114" spans="1:11" ht="18.75" customHeight="1" x14ac:dyDescent="0.15">
      <c r="A114" s="37"/>
      <c r="B114" s="268"/>
      <c r="C114" s="269"/>
      <c r="D114" s="269"/>
      <c r="E114" s="269"/>
      <c r="F114" s="269"/>
      <c r="G114" s="269"/>
      <c r="H114" s="269"/>
      <c r="I114" s="269"/>
      <c r="J114" s="270"/>
    </row>
    <row r="115" spans="1:11" ht="18.75" customHeight="1" x14ac:dyDescent="0.15">
      <c r="A115" s="37"/>
      <c r="B115" s="268"/>
      <c r="C115" s="269"/>
      <c r="D115" s="269"/>
      <c r="E115" s="269"/>
      <c r="F115" s="269"/>
      <c r="G115" s="269"/>
      <c r="H115" s="269"/>
      <c r="I115" s="269"/>
      <c r="J115" s="270"/>
    </row>
    <row r="116" spans="1:11" ht="18.75" customHeight="1" x14ac:dyDescent="0.15">
      <c r="A116" s="37"/>
      <c r="B116" s="268"/>
      <c r="C116" s="269"/>
      <c r="D116" s="269"/>
      <c r="E116" s="269"/>
      <c r="F116" s="269"/>
      <c r="G116" s="269"/>
      <c r="H116" s="269"/>
      <c r="I116" s="269"/>
      <c r="J116" s="270"/>
    </row>
    <row r="117" spans="1:11" ht="18.75" customHeight="1" x14ac:dyDescent="0.15">
      <c r="A117" s="37"/>
      <c r="B117" s="268"/>
      <c r="C117" s="269"/>
      <c r="D117" s="269"/>
      <c r="E117" s="269"/>
      <c r="F117" s="269"/>
      <c r="G117" s="269"/>
      <c r="H117" s="269"/>
      <c r="I117" s="269"/>
      <c r="J117" s="270"/>
    </row>
    <row r="118" spans="1:11" ht="18.75" customHeight="1" x14ac:dyDescent="0.15">
      <c r="A118" s="37"/>
      <c r="B118" s="268"/>
      <c r="C118" s="269"/>
      <c r="D118" s="269"/>
      <c r="E118" s="269"/>
      <c r="F118" s="269"/>
      <c r="G118" s="269"/>
      <c r="H118" s="269"/>
      <c r="I118" s="269"/>
      <c r="J118" s="270"/>
    </row>
    <row r="119" spans="1:11" ht="18.75" customHeight="1" x14ac:dyDescent="0.15">
      <c r="A119" s="37"/>
      <c r="B119" s="268"/>
      <c r="C119" s="269"/>
      <c r="D119" s="269"/>
      <c r="E119" s="269"/>
      <c r="F119" s="269"/>
      <c r="G119" s="269"/>
      <c r="H119" s="269"/>
      <c r="I119" s="269"/>
      <c r="J119" s="270"/>
    </row>
    <row r="120" spans="1:11" ht="18.75" customHeight="1" x14ac:dyDescent="0.15">
      <c r="A120" s="37"/>
      <c r="B120" s="268"/>
      <c r="C120" s="269"/>
      <c r="D120" s="269"/>
      <c r="E120" s="269"/>
      <c r="F120" s="269"/>
      <c r="G120" s="269"/>
      <c r="H120" s="269"/>
      <c r="I120" s="269"/>
      <c r="J120" s="270"/>
    </row>
    <row r="121" spans="1:11" ht="18.75" customHeight="1" x14ac:dyDescent="0.15">
      <c r="A121" s="37"/>
      <c r="B121" s="268"/>
      <c r="C121" s="269"/>
      <c r="D121" s="269"/>
      <c r="E121" s="269"/>
      <c r="F121" s="269"/>
      <c r="G121" s="269"/>
      <c r="H121" s="269"/>
      <c r="I121" s="269"/>
      <c r="J121" s="270"/>
    </row>
    <row r="122" spans="1:11" ht="18.75" customHeight="1" x14ac:dyDescent="0.15">
      <c r="A122" s="37"/>
      <c r="B122" s="268"/>
      <c r="C122" s="269"/>
      <c r="D122" s="269"/>
      <c r="E122" s="269"/>
      <c r="F122" s="269"/>
      <c r="G122" s="269"/>
      <c r="H122" s="269"/>
      <c r="I122" s="269"/>
      <c r="J122" s="270"/>
    </row>
    <row r="123" spans="1:11" ht="18.75" customHeight="1" x14ac:dyDescent="0.15">
      <c r="A123" s="37"/>
      <c r="B123" s="268"/>
      <c r="C123" s="269"/>
      <c r="D123" s="269"/>
      <c r="E123" s="269"/>
      <c r="F123" s="269"/>
      <c r="G123" s="269"/>
      <c r="H123" s="269"/>
      <c r="I123" s="269"/>
      <c r="J123" s="270"/>
    </row>
    <row r="124" spans="1:11" ht="18.75" customHeight="1" x14ac:dyDescent="0.15">
      <c r="A124" s="37"/>
      <c r="B124" s="268"/>
      <c r="C124" s="269"/>
      <c r="D124" s="269"/>
      <c r="E124" s="269"/>
      <c r="F124" s="269"/>
      <c r="G124" s="269"/>
      <c r="H124" s="269"/>
      <c r="I124" s="269"/>
      <c r="J124" s="270"/>
    </row>
    <row r="125" spans="1:11" ht="18.75" customHeight="1" x14ac:dyDescent="0.15">
      <c r="A125" s="37"/>
      <c r="B125" s="268"/>
      <c r="C125" s="269"/>
      <c r="D125" s="269"/>
      <c r="E125" s="269"/>
      <c r="F125" s="269"/>
      <c r="G125" s="269"/>
      <c r="H125" s="269"/>
      <c r="I125" s="269"/>
      <c r="J125" s="270"/>
    </row>
    <row r="126" spans="1:11" ht="18.75" customHeight="1" x14ac:dyDescent="0.15">
      <c r="A126" s="37"/>
      <c r="B126" s="268"/>
      <c r="C126" s="269"/>
      <c r="D126" s="269"/>
      <c r="E126" s="269"/>
      <c r="F126" s="269"/>
      <c r="G126" s="269"/>
      <c r="H126" s="269"/>
      <c r="I126" s="269"/>
      <c r="J126" s="270"/>
    </row>
    <row r="127" spans="1:11" ht="18.75" customHeight="1" x14ac:dyDescent="0.15">
      <c r="A127" s="37"/>
      <c r="B127" s="268"/>
      <c r="C127" s="269"/>
      <c r="D127" s="269"/>
      <c r="E127" s="269"/>
      <c r="F127" s="269"/>
      <c r="G127" s="269"/>
      <c r="H127" s="269"/>
      <c r="I127" s="269"/>
      <c r="J127" s="270"/>
    </row>
    <row r="128" spans="1:11" ht="18.75" customHeight="1" x14ac:dyDescent="0.15">
      <c r="A128" s="37"/>
      <c r="B128" s="268"/>
      <c r="C128" s="269"/>
      <c r="D128" s="269"/>
      <c r="E128" s="269"/>
      <c r="F128" s="269"/>
      <c r="G128" s="269"/>
      <c r="H128" s="269"/>
      <c r="I128" s="269"/>
      <c r="J128" s="270"/>
    </row>
    <row r="129" spans="1:10" ht="18.75" customHeight="1" x14ac:dyDescent="0.15">
      <c r="A129" s="37"/>
      <c r="B129" s="271"/>
      <c r="C129" s="272"/>
      <c r="D129" s="272"/>
      <c r="E129" s="272"/>
      <c r="F129" s="272"/>
      <c r="G129" s="272"/>
      <c r="H129" s="272"/>
      <c r="I129" s="272"/>
      <c r="J129" s="273"/>
    </row>
    <row r="130" spans="1:10" ht="7.5" customHeight="1" x14ac:dyDescent="0.15">
      <c r="A130" s="37"/>
      <c r="B130" s="100"/>
      <c r="C130" s="100"/>
      <c r="D130" s="100"/>
      <c r="E130" s="100"/>
      <c r="F130" s="100"/>
      <c r="G130" s="100"/>
      <c r="H130" s="100"/>
      <c r="I130" s="100"/>
      <c r="J130" s="100"/>
    </row>
    <row r="131" spans="1:10" ht="18.75" customHeight="1" x14ac:dyDescent="0.15">
      <c r="A131" s="37"/>
      <c r="B131" s="37"/>
      <c r="C131" s="37"/>
      <c r="D131" s="37"/>
      <c r="E131" s="37"/>
      <c r="F131" s="37"/>
      <c r="G131" s="37"/>
      <c r="H131" s="37"/>
      <c r="I131" s="37"/>
      <c r="J131" s="37"/>
    </row>
    <row r="132" spans="1:10" ht="18.75" customHeight="1" x14ac:dyDescent="0.15">
      <c r="A132" s="37"/>
      <c r="B132" s="37"/>
      <c r="C132" s="37"/>
      <c r="D132" s="37"/>
      <c r="E132" s="37"/>
      <c r="F132" s="37"/>
      <c r="G132" s="37"/>
      <c r="H132" s="37"/>
      <c r="I132" s="37"/>
      <c r="J132" s="37"/>
    </row>
    <row r="133" spans="1:10" ht="18.75" customHeight="1" x14ac:dyDescent="0.15">
      <c r="A133" s="37"/>
      <c r="B133" s="37"/>
      <c r="C133" s="37"/>
      <c r="D133" s="37"/>
      <c r="E133" s="37"/>
      <c r="F133" s="37"/>
      <c r="G133" s="37"/>
      <c r="H133" s="37"/>
      <c r="I133" s="37"/>
      <c r="J133" s="37"/>
    </row>
    <row r="134" spans="1:10" ht="18.75" customHeight="1" x14ac:dyDescent="0.15">
      <c r="A134" s="37"/>
      <c r="B134" s="37"/>
      <c r="C134" s="37"/>
      <c r="D134" s="37"/>
      <c r="E134" s="37"/>
      <c r="F134" s="37"/>
      <c r="G134" s="37"/>
      <c r="H134" s="37"/>
      <c r="I134" s="37"/>
      <c r="J134" s="37"/>
    </row>
    <row r="135" spans="1:10" ht="18.75" customHeight="1" x14ac:dyDescent="0.15">
      <c r="A135" s="37"/>
      <c r="B135" s="37"/>
      <c r="C135" s="37"/>
      <c r="D135" s="37"/>
      <c r="E135" s="37"/>
      <c r="F135" s="37"/>
      <c r="G135" s="37"/>
      <c r="H135" s="37"/>
      <c r="I135" s="37"/>
      <c r="J135" s="37"/>
    </row>
    <row r="136" spans="1:10" ht="18.75" customHeight="1" x14ac:dyDescent="0.15">
      <c r="A136" s="37"/>
      <c r="B136" s="37"/>
      <c r="C136" s="37"/>
      <c r="D136" s="37"/>
      <c r="E136" s="37"/>
      <c r="F136" s="37"/>
      <c r="G136" s="37"/>
      <c r="H136" s="37"/>
      <c r="I136" s="37"/>
      <c r="J136" s="37"/>
    </row>
    <row r="137" spans="1:10" ht="18.75" customHeight="1" x14ac:dyDescent="0.15">
      <c r="A137" s="37"/>
      <c r="B137" s="37"/>
      <c r="C137" s="37"/>
      <c r="D137" s="37"/>
      <c r="E137" s="37"/>
      <c r="F137" s="37"/>
      <c r="G137" s="37"/>
      <c r="H137" s="37"/>
      <c r="I137" s="37"/>
      <c r="J137" s="37"/>
    </row>
    <row r="138" spans="1:10" ht="18.75" customHeight="1" x14ac:dyDescent="0.15">
      <c r="A138" s="37"/>
      <c r="B138" s="37"/>
      <c r="C138" s="37"/>
      <c r="D138" s="37"/>
      <c r="E138" s="37"/>
      <c r="F138" s="37"/>
      <c r="G138" s="37"/>
      <c r="H138" s="37"/>
      <c r="I138" s="37"/>
      <c r="J138" s="37"/>
    </row>
    <row r="139" spans="1:10" ht="18.75" customHeight="1" x14ac:dyDescent="0.15">
      <c r="A139" s="37"/>
      <c r="B139" s="37"/>
      <c r="C139" s="37"/>
      <c r="D139" s="37"/>
      <c r="E139" s="37"/>
      <c r="F139" s="37"/>
      <c r="G139" s="37"/>
      <c r="H139" s="37"/>
      <c r="I139" s="37"/>
      <c r="J139" s="37"/>
    </row>
    <row r="140" spans="1:10" ht="18.75" customHeight="1" x14ac:dyDescent="0.15">
      <c r="A140" s="37"/>
      <c r="B140" s="37"/>
      <c r="C140" s="37"/>
      <c r="D140" s="37"/>
      <c r="E140" s="37"/>
      <c r="F140" s="37"/>
      <c r="G140" s="37"/>
      <c r="H140" s="37"/>
      <c r="I140" s="37"/>
      <c r="J140" s="37"/>
    </row>
    <row r="141" spans="1:10" ht="18.75" customHeight="1" x14ac:dyDescent="0.15">
      <c r="A141" s="37"/>
      <c r="B141" s="37"/>
      <c r="C141" s="37"/>
      <c r="D141" s="37"/>
      <c r="E141" s="37"/>
      <c r="F141" s="37"/>
      <c r="G141" s="37"/>
      <c r="H141" s="37"/>
      <c r="I141" s="37"/>
      <c r="J141" s="37"/>
    </row>
    <row r="142" spans="1:10" ht="18.75" customHeight="1" x14ac:dyDescent="0.15">
      <c r="A142" s="37"/>
      <c r="B142" s="37"/>
      <c r="C142" s="37"/>
      <c r="D142" s="37"/>
      <c r="E142" s="37"/>
      <c r="F142" s="37"/>
      <c r="G142" s="37"/>
      <c r="H142" s="37"/>
      <c r="I142" s="37"/>
      <c r="J142" s="37"/>
    </row>
    <row r="143" spans="1:10" ht="14.25" x14ac:dyDescent="0.15">
      <c r="A143" s="37"/>
      <c r="B143" s="37"/>
      <c r="C143" s="37"/>
      <c r="D143" s="37"/>
      <c r="E143" s="37"/>
      <c r="F143" s="37"/>
      <c r="G143" s="37"/>
      <c r="H143" s="37"/>
      <c r="I143" s="37"/>
      <c r="J143" s="37"/>
    </row>
    <row r="144" spans="1:10" ht="7.5" customHeight="1" x14ac:dyDescent="0.15">
      <c r="A144" s="101"/>
      <c r="B144" s="101"/>
      <c r="C144" s="101"/>
      <c r="D144" s="101"/>
      <c r="E144" s="101"/>
      <c r="F144" s="101"/>
      <c r="G144" s="101"/>
      <c r="H144" s="101"/>
      <c r="I144" s="101"/>
      <c r="J144" s="101"/>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zoomScaleNormal="100" zoomScaleSheetLayoutView="100" workbookViewId="0">
      <selection activeCell="N11" sqref="N11"/>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122</v>
      </c>
      <c r="J1" s="39" t="s">
        <v>72</v>
      </c>
    </row>
    <row r="2" spans="1:11" ht="18.75" customHeight="1" x14ac:dyDescent="0.15">
      <c r="A2" s="241" t="s">
        <v>42</v>
      </c>
      <c r="B2" s="241"/>
      <c r="C2" s="241"/>
      <c r="D2" s="241"/>
      <c r="E2" s="241"/>
      <c r="F2" s="241"/>
      <c r="G2" s="241"/>
      <c r="H2" s="241"/>
      <c r="I2" s="241"/>
      <c r="J2" s="241"/>
    </row>
    <row r="3" spans="1:11" ht="7.5" customHeight="1" x14ac:dyDescent="0.15">
      <c r="A3" s="40"/>
      <c r="B3" s="40"/>
      <c r="C3" s="40"/>
      <c r="D3" s="40"/>
      <c r="E3" s="40"/>
      <c r="F3" s="40"/>
      <c r="G3" s="40"/>
      <c r="H3" s="40"/>
      <c r="I3" s="40"/>
      <c r="J3" s="40"/>
    </row>
    <row r="4" spans="1:11" ht="18.75" customHeight="1" x14ac:dyDescent="0.15">
      <c r="A4" s="1" t="s">
        <v>6</v>
      </c>
      <c r="B4" s="4" t="s">
        <v>41</v>
      </c>
      <c r="C4" s="37"/>
      <c r="D4" s="37"/>
      <c r="E4" s="38"/>
      <c r="F4" s="38"/>
      <c r="G4" s="38"/>
      <c r="H4" s="38"/>
      <c r="I4" s="38"/>
      <c r="J4" s="38"/>
    </row>
    <row r="5" spans="1:11" ht="18.75" customHeight="1" x14ac:dyDescent="0.15">
      <c r="B5" s="300" t="s">
        <v>38</v>
      </c>
      <c r="C5" s="301"/>
      <c r="D5" s="302"/>
      <c r="E5" s="303" t="s">
        <v>40</v>
      </c>
      <c r="F5" s="303"/>
      <c r="G5" s="303"/>
      <c r="H5" s="303"/>
      <c r="I5" s="303"/>
      <c r="J5" s="304"/>
    </row>
    <row r="6" spans="1:11" ht="18.75" customHeight="1" x14ac:dyDescent="0.15">
      <c r="B6" s="3" t="s">
        <v>28</v>
      </c>
      <c r="C6" s="37"/>
      <c r="D6" s="7"/>
      <c r="I6" s="38"/>
      <c r="J6" s="5"/>
    </row>
    <row r="7" spans="1:11" ht="207" customHeight="1" x14ac:dyDescent="0.15">
      <c r="B7" s="6"/>
      <c r="C7" s="291" t="s">
        <v>29</v>
      </c>
      <c r="D7" s="292"/>
      <c r="E7" s="297" t="s">
        <v>181</v>
      </c>
      <c r="F7" s="293"/>
      <c r="G7" s="293"/>
      <c r="H7" s="293"/>
      <c r="I7" s="293"/>
      <c r="J7" s="294"/>
      <c r="K7" s="31" t="str">
        <f>IF(E7="","入力してください","")</f>
        <v/>
      </c>
    </row>
    <row r="8" spans="1:11" ht="207" customHeight="1" x14ac:dyDescent="0.15">
      <c r="B8" s="6"/>
      <c r="C8" s="298" t="s">
        <v>30</v>
      </c>
      <c r="D8" s="299"/>
      <c r="E8" s="297" t="s">
        <v>193</v>
      </c>
      <c r="F8" s="293"/>
      <c r="G8" s="293"/>
      <c r="H8" s="293"/>
      <c r="I8" s="293"/>
      <c r="J8" s="294"/>
      <c r="K8" s="31" t="str">
        <f>IF(E8="","入力してください","")</f>
        <v/>
      </c>
    </row>
    <row r="9" spans="1:11" ht="172.5" customHeight="1" x14ac:dyDescent="0.15">
      <c r="B9" s="6"/>
      <c r="C9" s="291" t="s">
        <v>31</v>
      </c>
      <c r="D9" s="292"/>
      <c r="E9" s="297" t="s">
        <v>182</v>
      </c>
      <c r="F9" s="293"/>
      <c r="G9" s="293"/>
      <c r="H9" s="293"/>
      <c r="I9" s="293"/>
      <c r="J9" s="294"/>
      <c r="K9" s="31" t="str">
        <f>IF(E9="","入力してください","")</f>
        <v/>
      </c>
    </row>
    <row r="10" spans="1:11" ht="172.5" customHeight="1" x14ac:dyDescent="0.15">
      <c r="B10" s="6"/>
      <c r="C10" s="291" t="s">
        <v>32</v>
      </c>
      <c r="D10" s="292"/>
      <c r="E10" s="297" t="s">
        <v>183</v>
      </c>
      <c r="F10" s="293"/>
      <c r="G10" s="293"/>
      <c r="H10" s="293"/>
      <c r="I10" s="293"/>
      <c r="J10" s="294"/>
      <c r="K10" s="31" t="str">
        <f t="shared" ref="K10:K14" si="0">IF(E10="","入力してください","")</f>
        <v/>
      </c>
    </row>
    <row r="11" spans="1:11" ht="172.5" customHeight="1" x14ac:dyDescent="0.15">
      <c r="B11" s="6"/>
      <c r="C11" s="291" t="s">
        <v>33</v>
      </c>
      <c r="D11" s="292"/>
      <c r="E11" s="297" t="s">
        <v>206</v>
      </c>
      <c r="F11" s="293"/>
      <c r="G11" s="293"/>
      <c r="H11" s="293"/>
      <c r="I11" s="293"/>
      <c r="J11" s="294"/>
      <c r="K11" s="31" t="str">
        <f t="shared" si="0"/>
        <v/>
      </c>
    </row>
    <row r="12" spans="1:11" ht="18.75" customHeight="1" x14ac:dyDescent="0.15">
      <c r="B12" s="9" t="s">
        <v>34</v>
      </c>
      <c r="C12" s="28"/>
      <c r="D12" s="8"/>
      <c r="E12" s="121"/>
      <c r="F12" s="121"/>
      <c r="G12" s="121"/>
      <c r="H12" s="121"/>
      <c r="I12" s="121"/>
      <c r="J12" s="122"/>
    </row>
    <row r="13" spans="1:11" ht="244.15" customHeight="1" x14ac:dyDescent="0.15">
      <c r="B13" s="6"/>
      <c r="C13" s="291" t="s">
        <v>35</v>
      </c>
      <c r="D13" s="292"/>
      <c r="E13" s="293" t="s">
        <v>184</v>
      </c>
      <c r="F13" s="293"/>
      <c r="G13" s="293"/>
      <c r="H13" s="293"/>
      <c r="I13" s="293"/>
      <c r="J13" s="294"/>
      <c r="K13" s="31" t="str">
        <f t="shared" si="0"/>
        <v/>
      </c>
    </row>
    <row r="14" spans="1:11" ht="255" customHeight="1" x14ac:dyDescent="0.15">
      <c r="B14" s="6"/>
      <c r="C14" s="291" t="s">
        <v>36</v>
      </c>
      <c r="D14" s="292"/>
      <c r="E14" s="293" t="s">
        <v>185</v>
      </c>
      <c r="F14" s="293"/>
      <c r="G14" s="293"/>
      <c r="H14" s="293"/>
      <c r="I14" s="293"/>
      <c r="J14" s="294"/>
      <c r="K14" s="31" t="str">
        <f t="shared" si="0"/>
        <v/>
      </c>
    </row>
    <row r="15" spans="1:11" ht="243" customHeight="1" x14ac:dyDescent="0.15">
      <c r="B15" s="295" t="s">
        <v>37</v>
      </c>
      <c r="C15" s="296"/>
      <c r="D15" s="292"/>
      <c r="E15" s="293" t="s">
        <v>186</v>
      </c>
      <c r="F15" s="293"/>
      <c r="G15" s="293"/>
      <c r="H15" s="293"/>
      <c r="I15" s="293"/>
      <c r="J15" s="294"/>
      <c r="K15" s="31" t="str">
        <f>IF(E15="","入力してください","")</f>
        <v/>
      </c>
    </row>
    <row r="16" spans="1:11" ht="243" customHeight="1" x14ac:dyDescent="0.15">
      <c r="A16" s="31"/>
      <c r="B16" s="285" t="s">
        <v>65</v>
      </c>
      <c r="C16" s="286"/>
      <c r="D16" s="287"/>
      <c r="E16" s="264" t="s">
        <v>187</v>
      </c>
      <c r="F16" s="264"/>
      <c r="G16" s="264"/>
      <c r="H16" s="264"/>
      <c r="I16" s="264"/>
      <c r="J16" s="265"/>
      <c r="K16" s="31" t="str">
        <f>IF(E16="","入力してください","")</f>
        <v/>
      </c>
    </row>
    <row r="17" spans="1:11" ht="7.5" customHeight="1" x14ac:dyDescent="0.15">
      <c r="B17" s="37"/>
      <c r="C17" s="37"/>
      <c r="D17" s="37"/>
      <c r="E17" s="38"/>
      <c r="F17" s="38"/>
      <c r="G17" s="38"/>
      <c r="H17" s="38"/>
      <c r="I17" s="38"/>
      <c r="J17" s="38"/>
    </row>
    <row r="18" spans="1:11" ht="18.75" customHeight="1" x14ac:dyDescent="0.15">
      <c r="A18" s="1" t="s">
        <v>123</v>
      </c>
      <c r="B18" s="4"/>
      <c r="C18" s="37"/>
      <c r="D18" s="37"/>
      <c r="E18" s="38"/>
      <c r="F18" s="90"/>
      <c r="G18" s="288" t="s">
        <v>194</v>
      </c>
      <c r="H18" s="289"/>
      <c r="I18" s="289"/>
      <c r="J18" s="290"/>
      <c r="K18" s="31" t="str">
        <f>IF(G18="","入力してください","")</f>
        <v/>
      </c>
    </row>
    <row r="19" spans="1:11" ht="22.5" customHeight="1" x14ac:dyDescent="0.15">
      <c r="B19" s="37"/>
      <c r="C19" s="37"/>
      <c r="D19" s="37"/>
      <c r="E19" s="38"/>
      <c r="F19" s="38"/>
      <c r="G19" s="38"/>
      <c r="H19" s="38"/>
      <c r="I19" s="38"/>
      <c r="J19" s="38"/>
    </row>
    <row r="20" spans="1:11" ht="22.5" customHeight="1" x14ac:dyDescent="0.15">
      <c r="B20" s="37"/>
      <c r="C20" s="37"/>
      <c r="D20" s="37"/>
      <c r="E20" s="38"/>
      <c r="F20" s="38"/>
      <c r="G20" s="38"/>
      <c r="H20" s="38"/>
      <c r="I20" s="38"/>
      <c r="J20" s="38"/>
    </row>
    <row r="21" spans="1:11" ht="22.5" customHeight="1" x14ac:dyDescent="0.15">
      <c r="B21" s="37"/>
      <c r="C21" s="37"/>
      <c r="D21" s="37"/>
      <c r="E21" s="38"/>
      <c r="F21" s="38"/>
      <c r="G21" s="38"/>
      <c r="H21" s="38"/>
      <c r="I21" s="38"/>
      <c r="J21" s="38"/>
    </row>
    <row r="22" spans="1:11" ht="22.5" customHeight="1" x14ac:dyDescent="0.15">
      <c r="B22" s="37"/>
      <c r="C22" s="37"/>
      <c r="D22" s="37"/>
      <c r="E22" s="38"/>
      <c r="F22" s="38"/>
      <c r="G22" s="38"/>
      <c r="H22" s="38"/>
      <c r="I22" s="38"/>
      <c r="J22" s="38"/>
    </row>
    <row r="23" spans="1:11" ht="22.5" customHeight="1" x14ac:dyDescent="0.15">
      <c r="B23" s="37"/>
      <c r="C23" s="37"/>
      <c r="D23" s="37"/>
      <c r="E23" s="38"/>
      <c r="F23" s="38"/>
      <c r="G23" s="38"/>
      <c r="H23" s="38"/>
      <c r="I23" s="38"/>
      <c r="J23" s="38"/>
    </row>
    <row r="24" spans="1:11" ht="22.5" customHeight="1" x14ac:dyDescent="0.15">
      <c r="B24" s="102"/>
      <c r="C24" s="102"/>
      <c r="D24" s="102"/>
      <c r="E24" s="102"/>
      <c r="F24" s="102"/>
      <c r="G24" s="102"/>
      <c r="H24" s="102"/>
      <c r="I24" s="102"/>
      <c r="J24" s="102"/>
    </row>
    <row r="25" spans="1:11" ht="22.5" customHeight="1" x14ac:dyDescent="0.15">
      <c r="B25" s="102"/>
      <c r="C25" s="102"/>
      <c r="D25" s="102"/>
      <c r="E25" s="102"/>
      <c r="F25" s="102"/>
      <c r="G25" s="102"/>
      <c r="H25" s="102"/>
      <c r="I25" s="102"/>
      <c r="J25" s="102"/>
    </row>
    <row r="26" spans="1:11" ht="22.5" customHeight="1" x14ac:dyDescent="0.15">
      <c r="B26" s="102"/>
      <c r="C26" s="102"/>
      <c r="D26" s="102"/>
      <c r="E26" s="102"/>
      <c r="F26" s="102"/>
      <c r="G26" s="102"/>
      <c r="H26" s="102"/>
      <c r="I26" s="102"/>
      <c r="J26" s="102"/>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教務係長</cp:lastModifiedBy>
  <cp:lastPrinted>2022-05-26T05:49:17Z</cp:lastPrinted>
  <dcterms:created xsi:type="dcterms:W3CDTF">2011-06-14T05:32:50Z</dcterms:created>
  <dcterms:modified xsi:type="dcterms:W3CDTF">2022-05-26T05:50:05Z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