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defaultThemeVersion="124226"/>
  <mc:AlternateContent xmlns:mc="http://schemas.openxmlformats.org/markup-compatibility/2006">
    <mc:Choice Requires="x15">
      <x15ac:absPath xmlns:x15ac="http://schemas.microsoft.com/office/spreadsheetml/2010/11/ac" url="https://kosenjp.sharepoint.com/sites/051WG666/Shared Documents/General/01_(沖縄工業高等専門学校)_リテラシー/"/>
    </mc:Choice>
  </mc:AlternateContent>
  <xr:revisionPtr revIDLastSave="289" documentId="8_{9B3365F2-80E3-438A-B7AD-1A8DCAD0CB86}" xr6:coauthVersionLast="47" xr6:coauthVersionMax="47" xr10:uidLastSave="{2447D696-AF0A-4ABB-8EFB-F887A1B85D5B}"/>
  <bookViews>
    <workbookView xWindow="-98" yWindow="-98" windowWidth="28996" windowHeight="15481" tabRatio="885" activeTab="4"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113" i="41"/>
  <c r="K91" i="41"/>
  <c r="K69" i="41"/>
  <c r="K46" i="41"/>
  <c r="K31" i="41"/>
  <c r="K15" i="41"/>
  <c r="K8" i="41"/>
  <c r="K5" i="41"/>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13" i="40"/>
  <c r="R13" i="40" s="1"/>
  <c r="Q12" i="40"/>
  <c r="R12" i="40" s="1"/>
  <c r="Q11" i="40"/>
  <c r="R11" i="40" s="1"/>
  <c r="Q10" i="40"/>
  <c r="Q30" i="40" s="1"/>
  <c r="R30" i="40" s="1"/>
  <c r="C28" i="41" s="1"/>
  <c r="R10" i="40" l="1"/>
</calcChain>
</file>

<file path=xl/sharedStrings.xml><?xml version="1.0" encoding="utf-8"?>
<sst xmlns="http://schemas.openxmlformats.org/spreadsheetml/2006/main" count="350" uniqueCount="215">
  <si>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</si>
  <si>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</si>
  <si>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</si>
  <si>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</si>
  <si>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沖縄工業高等専門学校</t>
    <rPh sb="0" eb="2">
      <t>オキナワ</t>
    </rPh>
    <rPh sb="2" eb="4">
      <t>コウギョウ</t>
    </rPh>
    <rPh sb="4" eb="6">
      <t>コウトウ</t>
    </rPh>
    <rPh sb="6" eb="10">
      <t>センモンガッコウ</t>
    </rPh>
    <phoneticPr fontId="1"/>
  </si>
  <si>
    <t>②</t>
    <phoneticPr fontId="1"/>
  </si>
  <si>
    <t>大学等の設置者</t>
  </si>
  <si>
    <t>③</t>
  </si>
  <si>
    <t>設置形態</t>
    <phoneticPr fontId="1"/>
  </si>
  <si>
    <t>高等専門学校</t>
  </si>
  <si>
    <t>④</t>
    <phoneticPr fontId="1"/>
  </si>
  <si>
    <t>所在地</t>
    <phoneticPr fontId="1"/>
  </si>
  <si>
    <t>沖縄県名護市辺野古905番地</t>
    <rPh sb="0" eb="3">
      <t>オキナワケン</t>
    </rPh>
    <rPh sb="3" eb="6">
      <t>ナゴシ</t>
    </rPh>
    <rPh sb="6" eb="9">
      <t>ヘノコ</t>
    </rPh>
    <rPh sb="12" eb="14">
      <t>バンチ</t>
    </rPh>
    <phoneticPr fontId="1"/>
  </si>
  <si>
    <t>⑤</t>
    <phoneticPr fontId="1"/>
  </si>
  <si>
    <t>申請するプログラム名称</t>
    <rPh sb="0" eb="2">
      <t>シンセイ</t>
    </rPh>
    <rPh sb="9" eb="11">
      <t>メイショウ</t>
    </rPh>
    <phoneticPr fontId="1"/>
  </si>
  <si>
    <t>沖縄工業高等専門学校 数理・データサイエンス・AIプログラム</t>
    <phoneticPr fontId="1"/>
  </si>
  <si>
    <t>⑥</t>
    <phoneticPr fontId="1"/>
  </si>
  <si>
    <t>プログラムの開設年度</t>
    <rPh sb="6" eb="8">
      <t>カイセツ</t>
    </rPh>
    <rPh sb="8" eb="10">
      <t>ネンド</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</si>
  <si>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</si>
  <si>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</si>
  <si>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</si>
  <si>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</si>
  <si>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</si>
  <si>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</si>
  <si>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</si>
  <si>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</si>
  <si>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</si>
  <si>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</si>
  <si>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</si>
  <si>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</si>
  <si>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</si>
  <si>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</si>
  <si>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</si>
  <si>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</si>
  <si>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</si>
  <si>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</si>
  <si>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</si>
  <si>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</si>
  <si>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</si>
  <si>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</si>
  <si>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</si>
  <si>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</si>
  <si>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</si>
  <si>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佐藤 貴哉</t>
    <phoneticPr fontId="1"/>
  </si>
  <si>
    <t>（役職名）</t>
    <rPh sb="1" eb="4">
      <t>ヤクショクメイ</t>
    </rPh>
    <phoneticPr fontId="1"/>
  </si>
  <si>
    <t>校長</t>
    <rPh sb="0" eb="2">
      <t>コウチョウ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</si>
  <si>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</si>
  <si>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</si>
  <si>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教務委員会</t>
  </si>
  <si>
    <t>成田 誠</t>
    <phoneticPr fontId="1"/>
  </si>
  <si>
    <t>教務主事</t>
  </si>
  <si>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</si>
  <si>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</si>
  <si>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</si>
  <si>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</si>
  <si>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</si>
  <si>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</si>
  <si>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</si>
  <si>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学生課教務係</t>
  </si>
  <si>
    <t>担当者名</t>
    <rPh sb="0" eb="2">
      <t>タントウ</t>
    </rPh>
    <rPh sb="2" eb="3">
      <t>シャ</t>
    </rPh>
    <rPh sb="3" eb="4">
      <t>メイ</t>
    </rPh>
    <phoneticPr fontId="1"/>
  </si>
  <si>
    <t>新里 牧</t>
  </si>
  <si>
    <t>E-mail</t>
  </si>
  <si>
    <t>gkyoumu@okinawa-ct.ac.jp</t>
  </si>
  <si>
    <t>電話番号</t>
  </si>
  <si>
    <t>0980-55-4028</t>
  </si>
  <si>
    <t>様式２－○</t>
  </si>
  <si>
    <t>プログラムを構成する授業科目について</t>
    <phoneticPr fontId="1"/>
  </si>
  <si>
    <t>①具体的な修了要件</t>
    <phoneticPr fontId="1"/>
  </si>
  <si>
    <t>②教育プログラムの修了要件</t>
    <phoneticPr fontId="1"/>
  </si>
  <si>
    <t>学部・学科によって、修了要件は相違しない</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</si>
  <si>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</si>
  <si>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</si>
  <si>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</si>
  <si>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</si>
  <si>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</si>
  <si>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</si>
  <si>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</si>
  <si>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情報技術の基礎（1年）</t>
    <phoneticPr fontId="1"/>
  </si>
  <si>
    <t>○</t>
  </si>
  <si>
    <t>全学開講</t>
  </si>
  <si>
    <t>沖縄高専セミナー （1年）</t>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</si>
  <si>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</si>
  <si>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</si>
  <si>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</si>
  <si>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地理学概論 (3年)</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</si>
  <si>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</si>
  <si>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</si>
  <si>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</si>
  <si>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線形代数(2年)</t>
  </si>
  <si>
    <t>微積分Ⅱ（3年）</t>
  </si>
  <si>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</si>
  <si>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</si>
  <si>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</si>
  <si>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</si>
  <si>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</si>
  <si>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</si>
  <si>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</si>
  <si>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確率統計 (4年)</t>
  </si>
  <si>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</si>
  <si>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</si>
  <si>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基礎数学Ⅰ（1年）</t>
  </si>
  <si>
    <t>4-1統計および数理基礎</t>
  </si>
  <si>
    <t>基礎数学Ⅱ（1年）</t>
  </si>
  <si>
    <t>微積分Ⅰ（2年）</t>
  </si>
  <si>
    <t>線形代数（3年）</t>
    <rPh sb="0" eb="4">
      <t>センケイダイスウ</t>
    </rPh>
    <rPh sb="6" eb="7">
      <t>ネン</t>
    </rPh>
    <phoneticPr fontId="1"/>
  </si>
  <si>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</si>
  <si>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</si>
  <si>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</si>
  <si>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</si>
  <si>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社会で起きている変化：情報社会の根幹をなすインターネットにおいて、情報を適切に収集・処理・発信するための基礎的な知識を学ぶ。（第7回目、第8回目）　</t>
    <phoneticPr fontId="1"/>
  </si>
  <si>
    <t>1-6</t>
    <phoneticPr fontId="1"/>
  </si>
  <si>
    <t>（２）「社会で活用されているデータ」や「データの活用領域」は非常に広範囲であって、日常生活や社会の課題を解決する有用なツールになり得るもの</t>
    <phoneticPr fontId="1"/>
  </si>
  <si>
    <t>社会で活用されているデータ：現代社会および情報化社会を概観し、身の回りに様々な種類のデータがあることを学ぶ。また、社会活動におけるデータの重要性や、広範に及ぶ課題解決に対する、データの有効性を学ぶ。地理学概論では、気象統計、人口統計などの実データをもとに、活用方法として、データーの読み方（分類）、データーを元にした予測方法（相関）などを学ぶ。（3回目、17回目から24回目）</t>
    <phoneticPr fontId="1"/>
  </si>
  <si>
    <t>データ・AIの活用領域：情報技術の基礎では、情報やデータの伝達、検索、取得のための強力なツールであるインターネットの仕組みから学ぶ。（11回目から14回目）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</si>
  <si>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</si>
  <si>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データ・AI利活用のための技術：線形代数では機械学習などに応用される行列操作を学ぶ。（27回目から30回目）　微積分Ⅱでは、最適化問題の一例として、機械学習に応用される制約条件下での極値の算出手法について学ぶ。（機械システム工学科、情報通信システム工学科：37回目、38回目、メディア情報工学科、生物資源工学科：33回目目、34回目）</t>
  </si>
  <si>
    <t>データ・AI利活用の現場：インターネットにおけるデータ利活用の具体例や情報メディアの表現形式・処理技法を学ぶ。（26回目、27回目）</t>
    <phoneticPr fontId="1"/>
  </si>
  <si>
    <t>（４）活用に当たっての様々な留意事項（ELSI、個人情報、データ倫理、ＡＩ社会原則等）を考慮し、情報セキュリティや情報漏洩等、データを守る上での留意事項への理解をする</t>
    <phoneticPr fontId="1"/>
  </si>
  <si>
    <t>データ・AIを扱う上での留意事項：情報セキュリティの必要性、守るべきデータ（個人情報など）、個人情報保護の考え方について学ぶ。そのうえで、インターネット上での代表的な脅威を知り、データを守るための対策を学ぶ。（9回目）</t>
    <rPh sb="7" eb="8">
      <t>アツカ</t>
    </rPh>
    <rPh sb="9" eb="10">
      <t>ウエ</t>
    </rPh>
    <rPh sb="12" eb="16">
      <t>リュウイジコウ</t>
    </rPh>
    <rPh sb="46" eb="50">
      <t>コジンジョウホウ</t>
    </rPh>
    <rPh sb="106" eb="108">
      <t>カイメ</t>
    </rPh>
    <phoneticPr fontId="1"/>
  </si>
  <si>
    <t>データを守る上での留意事項：情報セキュリティ、個人情報の保護、データを扱う技術者に求められる倫理、脅威(リスク)など、データ・AIを活用する上での留意すべき重要事項を理解し、データ活用の際に必要な原則、法規や倫理について学ぶ。（9回目）</t>
    <rPh sb="4" eb="5">
      <t>マモ</t>
    </rPh>
    <rPh sb="6" eb="7">
      <t>ウエ</t>
    </rPh>
    <rPh sb="9" eb="11">
      <t>リュウイ</t>
    </rPh>
    <rPh sb="11" eb="13">
      <t>ジコウ</t>
    </rPh>
    <rPh sb="115" eb="117">
      <t>カイメ</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</si>
  <si>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</si>
  <si>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を読む：データのばらつき、代表値、相関、AI技術におけるベイズの定理の重要性などを学び、データの適切な読解、説明（解釈）、扱う方法についての理解を深める。（3回目、4回目、9回目、15回目）</t>
    <rPh sb="4" eb="5">
      <t>ヨ</t>
    </rPh>
    <rPh sb="82" eb="84">
      <t>カイメ</t>
    </rPh>
    <rPh sb="86" eb="88">
      <t>カイメ</t>
    </rPh>
    <rPh sb="90" eb="92">
      <t>カイメ</t>
    </rPh>
    <rPh sb="95" eb="97">
      <t>カイメ</t>
    </rPh>
    <phoneticPr fontId="1"/>
  </si>
  <si>
    <t>データを説明する：実データを読み、説明し、扱うための基礎を、課題を通して身に着ける。図表を用いたデータの表現方法、データの集計方法など、データ・情報を適切に扱う(収集・処理・発信する)ための基礎的な知識を、マルチメディア作品の作成を通して学ぶ。（41回目から45回目）</t>
  </si>
  <si>
    <t>データを扱う：実データを読み、説明し、扱うための基礎を、課題を通して身に着ける。図表を用いたデータの表現方法、データの集計方法など、データ・情報を適切に扱う(収集・処理・発信する)ための基礎的な知識を、マルチメディア作品の作成を通して学ぶ。（41回目から45回目）</t>
  </si>
  <si>
    <t>⑩プログラムの学修成果（学生等が身に付けられる能力等）</t>
    <phoneticPr fontId="1"/>
  </si>
  <si>
    <t>学生の数理・データサイエンス・AIへの関心を高める
学生の数理・データサイエンス・AIの有効性を理解する
学生の数理・データサイエンス・AIを活用するための基礎的な能力、活用に際しての留意事項、倫理観を育成する</t>
  </si>
  <si>
    <t>⑪プログラムの授業内容等を公表しているアドレス</t>
    <phoneticPr fontId="1"/>
  </si>
  <si>
    <t>https://www.okinawa-ct.ac.jp/detail.jsp?id=75644&amp;menuid=15374&amp;funcid=1</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</si>
  <si>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</si>
  <si>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</si>
  <si>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</si>
  <si>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平成30</t>
    <rPh sb="0" eb="2">
      <t>ヘイセイ</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</si>
  <si>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</si>
  <si>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</si>
  <si>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</si>
  <si>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</si>
  <si>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</si>
  <si>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</si>
  <si>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</si>
  <si>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</si>
  <si>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</si>
  <si>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</si>
  <si>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</si>
  <si>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</si>
  <si>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</si>
  <si>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</si>
  <si>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機械システム工学科</t>
    <rPh sb="0" eb="2">
      <t>キカイ</t>
    </rPh>
    <rPh sb="6" eb="9">
      <t>コウガクカ</t>
    </rPh>
    <phoneticPr fontId="1"/>
  </si>
  <si>
    <t>情報通信システム工学科</t>
    <rPh sb="0" eb="4">
      <t>ジョウホウツウシン</t>
    </rPh>
    <rPh sb="8" eb="11">
      <t>コウガクカ</t>
    </rPh>
    <phoneticPr fontId="1"/>
  </si>
  <si>
    <t>メディア情報工学科</t>
    <rPh sb="4" eb="6">
      <t>ジョウホウ</t>
    </rPh>
    <rPh sb="6" eb="9">
      <t>コウガクカ</t>
    </rPh>
    <phoneticPr fontId="1"/>
  </si>
  <si>
    <t>生物資源工学科</t>
    <rPh sb="0" eb="7">
      <t>セイブツシゲンコウガクカ</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</si>
  <si>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</si>
  <si>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</si>
  <si>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</si>
  <si>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</si>
  <si>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</si>
  <si>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沖縄工業高等専門学校教務委員会規則</t>
  </si>
  <si>
    <t>体制の目的</t>
    <rPh sb="0" eb="2">
      <t>タイセイ</t>
    </rPh>
    <rPh sb="3" eb="5">
      <t>モクテキ</t>
    </rPh>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</si>
  <si>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</si>
  <si>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</si>
  <si>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</si>
  <si>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</si>
  <si>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</si>
  <si>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</si>
  <si>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</si>
  <si>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</si>
  <si>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</si>
  <si>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</si>
  <si>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全学科の教育プログラムを必修科目で構成しており、全学生が履修する。</t>
  </si>
  <si>
    <t>学部・学科に関係なく希望する学生全員が受講可能となるような必要な体制・取組等</t>
    <rPh sb="29" eb="31">
      <t>ヒツヨウ</t>
    </rPh>
    <rPh sb="32" eb="34">
      <t>タイセイ</t>
    </rPh>
    <rPh sb="35" eb="37">
      <t>トリクミ</t>
    </rPh>
    <rPh sb="37" eb="38">
      <t>トウ</t>
    </rPh>
    <phoneticPr fontId="1"/>
  </si>
  <si>
    <t>「数理・データサイエンス・AI」は、デジタルトランスフォーメーション社会の「読み・書き・そろばん」であるため、全学科の学生が必ず学ぶべきとし、教育プログラムをすべて必修科目で構成している。また、「数理・データサイエンス・AI」教育において必要不可欠なノートパソコンは、入学時に全学生が購入または用意することとし、それぞれの授業で利用している。</t>
  </si>
  <si>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</si>
  <si>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⑦</t>
    <phoneticPr fontId="1"/>
  </si>
  <si>
    <t>できる限り多くの学生が履修・修得できるようなサポート体制</t>
    <rPh sb="26" eb="28">
      <t>タイセイ</t>
    </rPh>
    <phoneticPr fontId="1"/>
  </si>
  <si>
    <t>全学科の教育プログラムを必修科目で構成しており、全学生が履修する。プログラムを構成する主要な科目を、1年次の演習などが多い必修科目(情報技術の基礎、沖縄高専セミナー)として配し、数理・データサイエンス・AI教育を行っている。それらの科目の内容を無理なく習得できるよう、学生間で協力して進めるように授業設計されている。</t>
  </si>
  <si>
    <t>授業時間内外で学習指導、質問を受け付ける具体的な仕組み</t>
    <rPh sb="20" eb="23">
      <t>グタイテキ</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</si>
  <si>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</si>
  <si>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</si>
  <si>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</si>
  <si>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</si>
  <si>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</si>
  <si>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</si>
  <si>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</si>
  <si>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</si>
  <si>
    <t>全学科に対し、本プログラムに関わる科目を必修科目として設定し、教務委員会において、科目の履修状況および単位修得状況を確認している。</t>
  </si>
  <si>
    <t>学修成果</t>
  </si>
  <si>
    <t>全科目で授業改善アンケートを実施し、本プログラムの全科目に対して、学生の理解度、満足度等を点数化し、次年度以降の改善に活用している。また、今後は、本プログラムの科目を通して「学生が身に着けることができた能力」をアンケートの項目に追加し、その結果を元に本プログラムの改善を図る。</t>
  </si>
  <si>
    <t>学生アンケート等を通じた学生の内容の理解度</t>
  </si>
  <si>
    <t>全科目で授業改善アンケートを実施しており、本プログラムの全科目に対して、学生の理解度、満足度、身に着けることができた能力などを分析し次年度以降に活用している。</t>
  </si>
  <si>
    <t>学生アンケート等を通じた後輩等他の学生への推奨度</t>
  </si>
  <si>
    <t>数理・データサイエンス・AIに関するリテラシーレベルを全学生が修得するものとしており、そのため本プログラムに含まれる科目は全て必修科目としている。また本校HPで、数理・データサイエンス・AI教育プログラムに関連した科目を明記することで、在校生・入学希望者等へ広く周知している。</t>
  </si>
  <si>
    <t>全学的な履修者数、履修率向上に向けた計画の達成・進捗状況</t>
  </si>
  <si>
    <t>学外からの視点</t>
    <rPh sb="0" eb="2">
      <t>ガクガイ</t>
    </rPh>
    <rPh sb="5" eb="7">
      <t>シテン</t>
    </rPh>
    <phoneticPr fontId="1"/>
  </si>
  <si>
    <t>教育プログラム修了者の進路、活躍状況、企業等の評価</t>
  </si>
  <si>
    <t>産業界からの視点を含めた教育プログラム内容・手法等への意見</t>
  </si>
  <si>
    <t>数理・データサイエンス・ＡＩを「学ぶ楽しさ」「学ぶことの意義」を理解させること</t>
  </si>
  <si>
    <t>本プログラムに関わる科目において、実データの分析、実習課題等を通じ、数理・データサイエンス・AIの活用法を学ぶことの楽しさや意義を伝えている。同時に、情報セキュリティ、個人情報の保護などデータを扱い活用する技術者に求められる倫理観を育む教育となるよう留意している。</t>
    <phoneticPr fontId="1"/>
  </si>
  <si>
    <t>内容・水準を維持・向上しつつ、より「分かりやすい」授業とすること</t>
  </si>
  <si>
    <t>全科目で授業改善アンケートを実施しており、本プログラムの全科目に対して、学生の理解度、満足度、難易度などを分析している。くわえて、説明の分かりやすさ、講義の雰囲気、改善してほしい点などの情報も収集し次年度以降に活用している。</t>
  </si>
  <si>
    <t>②自己点検・評価体制における意見等を公表しているアドレス</t>
    <phoneticPr fontId="1"/>
  </si>
  <si>
    <t>様式６</t>
    <rPh sb="0" eb="2">
      <t>ヨウシキ</t>
    </rPh>
    <phoneticPr fontId="1"/>
  </si>
  <si>
    <t>数理・データサイエンス・AI教育プログラム認定制度（応用基礎 レベル）プラス　申請書</t>
    <rPh sb="0" eb="2">
      <t>スウリ</t>
    </rPh>
    <rPh sb="14" eb="16">
      <t>キョウイク</t>
    </rPh>
    <rPh sb="21" eb="23">
      <t>ニンテイ</t>
    </rPh>
    <rPh sb="23" eb="25">
      <t>セイド</t>
    </rPh>
    <rPh sb="26" eb="28">
      <t>オウヨウ</t>
    </rPh>
    <rPh sb="28" eb="30">
      <t>キソ</t>
    </rPh>
    <rPh sb="39" eb="42">
      <t>シンセイショ</t>
    </rPh>
    <phoneticPr fontId="1"/>
  </si>
  <si>
    <t>授業内容</t>
    <rPh sb="0" eb="2">
      <t>ジュギョウ</t>
    </rPh>
    <rPh sb="2" eb="4">
      <t>ナイヨウ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</si>
  <si>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</si>
  <si>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</si>
  <si>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平成30年度以降に入学した全学科の入学生について、次の9科目をすべて修得していること。
情報技術の基礎、沖縄高専セミナー、地理学概論、基礎数学Ⅰ、基礎数学Ⅱ、微積分Ⅰ、微積分Ⅱ、線形代数、確率統計</t>
    <phoneticPr fontId="1"/>
  </si>
  <si>
    <t>平成30</t>
    <rPh sb="0" eb="2">
      <t>ヘイセイ</t>
    </rPh>
    <phoneticPr fontId="1"/>
  </si>
  <si>
    <t>データ・AI利活用の最新動向：身の回りの技術に着目しその進歩・変遷を踏まえた上で、将来の技術には何が求められるかを考察する。 (2回目、3回目、4回目)</t>
    <phoneticPr fontId="1"/>
  </si>
  <si>
    <t>沖縄工業高等専門学校に、本校の教務に関する事項を審議するため、沖縄工業高等専門学校教務委員会を置く。教務委員会は本教育プログラムを含む全学科並びに専攻科の教務に関する事項を掌理しており、本教育プログラムの質向上に関する事項も取り扱う。</t>
    <phoneticPr fontId="1"/>
  </si>
  <si>
    <t>本プログラムに関わる科目はすべて必修科目としているため、全学科の卒業時の履修率は100%となる。（編入生、および留学生を除く）</t>
    <phoneticPr fontId="1"/>
  </si>
  <si>
    <t>令和３年度時点で、本教育プログラムを修了し、卒業した学生はいない。</t>
    <phoneticPr fontId="1"/>
  </si>
  <si>
    <t>参与の会、産学連携協力会における外部評価、ならびに高専機構による幹事監査において、BYODの導入による早期からの情報技術教育が高い評価をうけた。ただし、非情報系学科における情報技術教育には、改善の余地があるものと認識している。</t>
    <phoneticPr fontId="1"/>
  </si>
  <si>
    <t xml:space="preserve">委員会は次の教職員を委員として組織する。
教務主事 教授 成田 誠
教務主事補 講師 金城 篤史、講師 森澤 征一郎
教務委員 講師 崎原 正志、助教 亀濱 博紀、助教 萩野 航
事務部長 藤元 高徳
</t>
    <rPh sb="26" eb="28">
      <t>キョウジュ</t>
    </rPh>
    <rPh sb="29" eb="31">
      <t>ナリタ</t>
    </rPh>
    <rPh sb="32" eb="33">
      <t>マコト</t>
    </rPh>
    <rPh sb="40" eb="42">
      <t>コウシ</t>
    </rPh>
    <rPh sb="43" eb="45">
      <t>キンジョウ</t>
    </rPh>
    <rPh sb="46" eb="48">
      <t>アツシ</t>
    </rPh>
    <rPh sb="49" eb="51">
      <t>コウシ</t>
    </rPh>
    <rPh sb="52" eb="54">
      <t>モリザワ</t>
    </rPh>
    <rPh sb="55" eb="58">
      <t>セイイチロウ</t>
    </rPh>
    <rPh sb="64" eb="66">
      <t>コウシ</t>
    </rPh>
    <rPh sb="67" eb="69">
      <t>サキハラ</t>
    </rPh>
    <rPh sb="70" eb="72">
      <t>マサシ</t>
    </rPh>
    <rPh sb="73" eb="75">
      <t>ジョキョウ</t>
    </rPh>
    <rPh sb="90" eb="92">
      <t>ジム</t>
    </rPh>
    <rPh sb="92" eb="94">
      <t>ブチョウ</t>
    </rPh>
    <rPh sb="95" eb="97">
      <t>フジモト</t>
    </rPh>
    <phoneticPr fontId="1"/>
  </si>
  <si>
    <t>独立行政法人 国立高等専門学校機構</t>
    <rPh sb="0" eb="4">
      <t>ドクリツギョウセイ</t>
    </rPh>
    <rPh sb="4" eb="6">
      <t>ホウジン</t>
    </rPh>
    <rPh sb="7" eb="9">
      <t>コクリツ</t>
    </rPh>
    <rPh sb="9" eb="17">
      <t>コウトウセンモンガッコウキコウ</t>
    </rPh>
    <phoneticPr fontId="1"/>
  </si>
  <si>
    <t>教務主事</t>
    <phoneticPr fontId="1"/>
  </si>
  <si>
    <t>本校の研究室は全室ガラス張りとなっており、学生が研究室の外からでも各教員の在室が確認できるようになっている。 加えて、研究室に在室しているときはドアを開放することが奨励されており、授業時間外でも質問がしやすい環境が整えられている。　また、構内のいたるところにホワイトボードや電子黒板を設置しており、質問を含め学生相互で議論をしやすい環境の整備を行っている。
さらに、全科目で授業改善アンケートを実施しており、授業時間内外での質問のしやすさを評価対象とするなど、継続的に改善を行っている。
全員にメールアドレスを配布しており、いつでも質問を受け付けることができ、遠隔での質問受付も定着しつつある。</t>
    <rPh sb="55" eb="56">
      <t>クワ</t>
    </rPh>
    <rPh sb="73" eb="75">
      <t>カイホウ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</si>
</sst>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rgb="FF000000"/>
      <name val="ＭＳ Ｐゴシック"/>
      <family val="2"/>
      <charset val="128"/>
      <scheme val="minor"/>
    </font>
    <font>
      <sz val="12"/>
      <color rgb="FF000000"/>
      <name val="ＭＳ Ｐゴシック"/>
      <family val="3"/>
      <charset val="128"/>
      <scheme val="minor"/>
    </font>
  </fonts>
  <fills count="2">
    <fill>
      <patternFill patternType="none"/>
    </fill>
    <fill>
      <patternFill patternType="gray125"/>
    </fill>
  </fills>
  <borders count="5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314">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lignment vertical="center"/>
    </xf>
    <xf numFmtId="176" fontId="8" fillId="0" borderId="3" xfId="0" applyNumberFormat="1" applyFont="1" applyBorder="1" applyAlignment="1">
      <alignment vertical="center" shrinkToFit="1"/>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3" xfId="0" applyFont="1" applyBorder="1">
      <alignment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0" xfId="0" applyFont="1" applyAlignment="1">
      <alignment vertical="center" wrapText="1"/>
    </xf>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49" fontId="8" fillId="0" borderId="2" xfId="2" applyNumberFormat="1" applyFont="1" applyBorder="1" applyAlignment="1">
      <alignment vertical="center"/>
    </xf>
    <xf numFmtId="49" fontId="8" fillId="0" borderId="3" xfId="2" applyNumberFormat="1" applyFont="1" applyBorder="1" applyAlignment="1">
      <alignment vertical="center"/>
    </xf>
    <xf numFmtId="49" fontId="8" fillId="0" borderId="4" xfId="2" applyNumberFormat="1" applyFont="1" applyBorder="1" applyAlignment="1">
      <alignment vertical="center"/>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3" xfId="0" applyFont="1" applyBorder="1" applyAlignment="1">
      <alignment horizontal="center" vertical="center"/>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8" fillId="0" borderId="2" xfId="3" applyFont="1" applyBorder="1" applyAlignment="1">
      <alignment vertical="center" shrinkToFit="1"/>
    </xf>
    <xf numFmtId="0" fontId="8"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23" fillId="0" borderId="39" xfId="0" applyFont="1" applyBorder="1" applyAlignment="1">
      <alignment horizontal="left" vertical="center" wrapText="1" shrinkToFit="1"/>
    </xf>
    <xf numFmtId="0" fontId="24" fillId="0" borderId="39" xfId="0" applyFont="1" applyBorder="1" applyAlignment="1">
      <alignment horizontal="left" vertical="center" shrinkToFit="1"/>
    </xf>
    <xf numFmtId="0" fontId="24" fillId="0" borderId="38" xfId="0" applyFont="1" applyBorder="1" applyAlignment="1">
      <alignment horizontal="left" vertical="center" shrinkToFi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8" fillId="0" borderId="0" xfId="0" applyFont="1" applyAlignment="1">
      <alignment vertical="center" wrapText="1"/>
    </xf>
    <xf numFmtId="0" fontId="18" fillId="0" borderId="0" xfId="0" applyFont="1" applyAlignment="1">
      <alignment horizontal="center" vertical="center"/>
    </xf>
    <xf numFmtId="0" fontId="8" fillId="0" borderId="7" xfId="0" applyFont="1" applyBorder="1" applyAlignment="1">
      <alignment horizontal="left" vertical="top" wrapText="1"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Alignment="1">
      <alignment horizontal="left" vertical="top" shrinkToFit="1"/>
    </xf>
    <xf numFmtId="0" fontId="11" fillId="0" borderId="10" xfId="0" applyFont="1" applyBorder="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49" xfId="0" applyFont="1" applyBorder="1" applyAlignment="1">
      <alignment vertical="center" wrapText="1"/>
    </xf>
    <xf numFmtId="0" fontId="20"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7" xfId="0" applyFont="1" applyBorder="1" applyAlignment="1">
      <alignment vertical="top" wrapText="1" shrinkToFit="1"/>
    </xf>
    <xf numFmtId="0" fontId="10" fillId="0" borderId="8"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6" xfId="0" applyFont="1" applyBorder="1" applyAlignment="1">
      <alignment vertical="center"/>
    </xf>
    <xf numFmtId="0" fontId="8" fillId="0" borderId="16" xfId="0" applyFont="1" applyBorder="1" applyAlignment="1">
      <alignment vertical="top" shrinkToFit="1"/>
    </xf>
    <xf numFmtId="0" fontId="11" fillId="0" borderId="22" xfId="0" applyFont="1" applyBorder="1" applyAlignment="1">
      <alignment vertical="top" shrinkToFit="1"/>
    </xf>
    <xf numFmtId="0" fontId="11" fillId="0" borderId="21" xfId="0" applyFont="1" applyBorder="1" applyAlignment="1">
      <alignment vertical="top"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6" xfId="0" applyFont="1" applyBorder="1" applyAlignment="1">
      <alignment vertical="center" wrapText="1" shrinkToFit="1"/>
    </xf>
    <xf numFmtId="0" fontId="11" fillId="0" borderId="6" xfId="0" applyFont="1" applyBorder="1" applyAlignment="1">
      <alignment vertical="center" wrapText="1" shrinkToFit="1"/>
    </xf>
    <xf numFmtId="0" fontId="11" fillId="0" borderId="12" xfId="0" applyFont="1" applyBorder="1" applyAlignment="1">
      <alignment vertical="center" wrapText="1" shrinkToFit="1"/>
    </xf>
    <xf numFmtId="0" fontId="21" fillId="0" borderId="2" xfId="3" applyFont="1" applyBorder="1" applyAlignment="1">
      <alignment horizontal="left" vertical="center" wrapText="1"/>
    </xf>
    <xf numFmtId="0" fontId="8" fillId="0" borderId="3" xfId="2" applyFont="1" applyBorder="1" applyAlignment="1">
      <alignment horizontal="left" vertical="center" wrapText="1"/>
    </xf>
    <xf numFmtId="0" fontId="8" fillId="0" borderId="4" xfId="2" applyFont="1" applyBorder="1" applyAlignment="1">
      <alignment horizontal="left" vertical="center" wrapTex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center" wrapText="1" shrinkToFit="1"/>
    </xf>
    <xf numFmtId="0" fontId="11" fillId="0" borderId="20" xfId="0" applyFont="1" applyBorder="1" applyAlignment="1">
      <alignment vertical="center" wrapText="1" shrinkToFit="1"/>
    </xf>
    <xf numFmtId="0" fontId="11" fillId="0" borderId="18" xfId="0" applyFont="1" applyBorder="1" applyAlignment="1">
      <alignment vertical="center"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center" wrapText="1" shrinkToFit="1"/>
    </xf>
    <xf numFmtId="0" fontId="2" fillId="0" borderId="17" xfId="0" applyFont="1" applyBorder="1" applyAlignment="1">
      <alignment vertical="center"/>
    </xf>
    <xf numFmtId="0" fontId="0" fillId="0" borderId="18" xfId="0" applyBorder="1" applyAlignme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4">
    <cellStyle name="Hyperlink" xfId="2" xr:uid="{00000000-000B-0000-0000-000008000000}"/>
    <cellStyle name="ハイパーリンク" xfId="3"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kyoumu@okinawa-ct.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kinawa-ct.ac.jp/detail.jsp?id=75644&amp;menuid=15374&amp;funcid=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okinawa-ct.ac.jp/detail.jsp?type=search&amp;id=73696&amp;val=%BC%AB%B8%CA%C5%C0%B8%A1&amp;pageStart=0&amp;menuid=14565&amp;funcid=1"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topLeftCell="A19" zoomScale="85" zoomScaleNormal="100" zoomScaleSheetLayoutView="85" workbookViewId="0">
      <selection activeCell="J40" sqref="J40"/>
    </sheetView>
  </sheetViews>
  <sheetFormatPr defaultColWidth="9" defaultRowHeight="18.75" customHeight="1" x14ac:dyDescent="0.25"/>
  <cols>
    <col min="1" max="1" width="3.3984375" style="14" customWidth="1"/>
    <col min="2" max="2" width="11.1328125" style="14" customWidth="1"/>
    <col min="3" max="8" width="6.59765625" style="14" customWidth="1"/>
    <col min="9" max="9" width="3.3984375" style="14" customWidth="1"/>
    <col min="10" max="10" width="10" style="14" customWidth="1"/>
    <col min="11" max="11" width="3.3984375" style="14" customWidth="1"/>
    <col min="12" max="12" width="7.73046875" style="14" customWidth="1"/>
    <col min="13" max="13" width="3.3984375" style="14" customWidth="1"/>
    <col min="14" max="14" width="4.3984375" style="14" customWidth="1"/>
    <col min="15" max="15" width="9" style="27"/>
    <col min="16" max="16384" width="9" style="13"/>
  </cols>
  <sheetData>
    <row r="1" spans="1:15" ht="24" customHeight="1" x14ac:dyDescent="0.25">
      <c r="M1" s="126" t="s">
        <v>0</v>
      </c>
      <c r="N1" s="126"/>
    </row>
    <row r="2" spans="1:15" ht="24" customHeight="1" x14ac:dyDescent="0.25">
      <c r="A2" s="129" t="s">
        <v>1</v>
      </c>
      <c r="B2" s="129"/>
      <c r="C2" s="129"/>
      <c r="D2" s="129"/>
      <c r="E2" s="129"/>
      <c r="F2" s="129"/>
      <c r="G2" s="129"/>
      <c r="H2" s="129"/>
      <c r="I2" s="129"/>
      <c r="J2" s="129"/>
      <c r="K2" s="129"/>
      <c r="L2" s="129"/>
      <c r="M2" s="129"/>
      <c r="N2" s="129"/>
    </row>
    <row r="3" spans="1:15" ht="24" customHeight="1" x14ac:dyDescent="0.25"/>
    <row r="4" spans="1:15" ht="24" customHeight="1" x14ac:dyDescent="0.25">
      <c r="A4" s="14" t="s">
        <v>2</v>
      </c>
      <c r="B4" s="14" t="s">
        <v>3</v>
      </c>
      <c r="C4" s="118" t="s">
        <v>4</v>
      </c>
      <c r="D4" s="119"/>
      <c r="E4" s="119"/>
      <c r="F4" s="119"/>
      <c r="G4" s="119"/>
      <c r="H4" s="119"/>
      <c r="I4" s="119"/>
      <c r="J4" s="119"/>
      <c r="K4" s="119"/>
      <c r="L4" s="119"/>
      <c r="M4" s="119"/>
      <c r="N4" s="125"/>
      <c r="O4" s="27" t="str">
        <f>IF(C4="","入力してください","")</f>
        <v/>
      </c>
    </row>
    <row r="5" spans="1:15" ht="7.5" customHeight="1" x14ac:dyDescent="0.25">
      <c r="E5" s="15"/>
      <c r="F5" s="31"/>
      <c r="G5" s="31"/>
      <c r="H5" s="31"/>
      <c r="I5" s="31"/>
      <c r="J5" s="31"/>
      <c r="K5" s="31"/>
      <c r="L5" s="31"/>
      <c r="M5" s="31"/>
      <c r="N5" s="31"/>
    </row>
    <row r="6" spans="1:15" ht="24" customHeight="1" x14ac:dyDescent="0.25">
      <c r="A6" s="14" t="s">
        <v>5</v>
      </c>
      <c r="B6" s="14" t="s">
        <v>6</v>
      </c>
      <c r="D6" s="118" t="s">
        <v>212</v>
      </c>
      <c r="E6" s="119"/>
      <c r="F6" s="119"/>
      <c r="G6" s="119"/>
      <c r="H6" s="125"/>
      <c r="I6" s="14" t="s">
        <v>7</v>
      </c>
      <c r="J6" s="31" t="s">
        <v>8</v>
      </c>
      <c r="K6" s="118" t="s">
        <v>9</v>
      </c>
      <c r="L6" s="119"/>
      <c r="M6" s="119"/>
      <c r="N6" s="125"/>
      <c r="O6" s="27" t="str">
        <f>IF(D6="","入力してください","")</f>
        <v/>
      </c>
    </row>
    <row r="7" spans="1:15" ht="7.5" customHeight="1" x14ac:dyDescent="0.25">
      <c r="E7" s="15"/>
      <c r="F7" s="31"/>
      <c r="G7" s="31"/>
      <c r="H7" s="31"/>
      <c r="I7" s="31"/>
      <c r="J7" s="31"/>
      <c r="K7" s="31"/>
      <c r="L7" s="31"/>
      <c r="M7" s="31"/>
      <c r="N7" s="31"/>
    </row>
    <row r="8" spans="1:15" ht="24" customHeight="1" x14ac:dyDescent="0.25">
      <c r="A8" s="14" t="s">
        <v>10</v>
      </c>
      <c r="B8" s="14" t="s">
        <v>11</v>
      </c>
      <c r="C8" s="118" t="s">
        <v>12</v>
      </c>
      <c r="D8" s="119"/>
      <c r="E8" s="119"/>
      <c r="F8" s="119"/>
      <c r="G8" s="119"/>
      <c r="H8" s="119"/>
      <c r="I8" s="119"/>
      <c r="J8" s="119"/>
      <c r="K8" s="119"/>
      <c r="L8" s="119"/>
      <c r="M8" s="119"/>
      <c r="N8" s="125"/>
      <c r="O8" s="27" t="str">
        <f>IF(C8="","入力してください","")</f>
        <v/>
      </c>
    </row>
    <row r="9" spans="1:15" ht="7.5" customHeight="1" x14ac:dyDescent="0.25">
      <c r="E9" s="15"/>
      <c r="F9" s="31"/>
      <c r="G9" s="31"/>
      <c r="H9" s="31"/>
      <c r="I9" s="31"/>
      <c r="J9" s="31"/>
      <c r="K9" s="31"/>
      <c r="L9" s="31"/>
      <c r="M9" s="31"/>
      <c r="N9" s="31"/>
    </row>
    <row r="10" spans="1:15" ht="24" customHeight="1" x14ac:dyDescent="0.25">
      <c r="A10" s="14" t="s">
        <v>13</v>
      </c>
      <c r="B10" s="14" t="s">
        <v>14</v>
      </c>
      <c r="E10" s="118" t="s">
        <v>15</v>
      </c>
      <c r="F10" s="119"/>
      <c r="G10" s="119"/>
      <c r="H10" s="119"/>
      <c r="I10" s="119"/>
      <c r="J10" s="119"/>
      <c r="K10" s="119"/>
      <c r="L10" s="119"/>
      <c r="M10" s="119"/>
      <c r="N10" s="125"/>
      <c r="O10" s="27" t="str">
        <f>IF(E10="","入力してください","")</f>
        <v/>
      </c>
    </row>
    <row r="11" spans="1:15" ht="7.5" customHeight="1" x14ac:dyDescent="0.25">
      <c r="B11" s="15"/>
      <c r="C11" s="15"/>
      <c r="D11" s="15"/>
      <c r="E11" s="15"/>
      <c r="F11" s="31"/>
      <c r="G11" s="31"/>
      <c r="H11" s="31"/>
      <c r="I11" s="31"/>
      <c r="J11" s="31"/>
      <c r="K11" s="31"/>
      <c r="L11" s="31"/>
      <c r="M11" s="31"/>
      <c r="N11" s="31"/>
    </row>
    <row r="12" spans="1:15" ht="24" customHeight="1" x14ac:dyDescent="0.25">
      <c r="A12" s="14" t="s">
        <v>16</v>
      </c>
      <c r="B12" s="15" t="s">
        <v>17</v>
      </c>
      <c r="C12" s="15"/>
      <c r="D12" s="15"/>
      <c r="E12" s="130" t="s">
        <v>205</v>
      </c>
      <c r="F12" s="131"/>
      <c r="G12" s="14" t="s">
        <v>18</v>
      </c>
      <c r="H12" s="14" t="s">
        <v>19</v>
      </c>
      <c r="N12" s="104" t="s">
        <v>20</v>
      </c>
      <c r="O12" s="27" t="str">
        <f>IF(E12="","入力してください","")</f>
        <v/>
      </c>
    </row>
    <row r="13" spans="1:15" ht="7.5" customHeight="1" x14ac:dyDescent="0.25">
      <c r="B13" s="15"/>
      <c r="C13" s="15"/>
      <c r="D13" s="15"/>
      <c r="E13" s="15"/>
      <c r="F13" s="31"/>
      <c r="G13" s="31"/>
      <c r="H13" s="31"/>
      <c r="I13" s="31"/>
      <c r="J13" s="31"/>
      <c r="K13" s="31"/>
      <c r="L13" s="31"/>
      <c r="M13" s="31"/>
      <c r="N13" s="31"/>
    </row>
    <row r="14" spans="1:15" ht="24" customHeight="1" x14ac:dyDescent="0.25">
      <c r="A14" s="14" t="s">
        <v>21</v>
      </c>
      <c r="B14" s="14" t="s">
        <v>22</v>
      </c>
      <c r="C14" s="126" t="s">
        <v>23</v>
      </c>
      <c r="D14" s="127"/>
      <c r="E14" s="122">
        <v>62</v>
      </c>
      <c r="F14" s="123"/>
      <c r="G14" s="16" t="s">
        <v>24</v>
      </c>
      <c r="I14" s="126" t="s">
        <v>25</v>
      </c>
      <c r="J14" s="127"/>
      <c r="K14" s="122">
        <v>9</v>
      </c>
      <c r="L14" s="128"/>
      <c r="M14" s="123"/>
      <c r="N14" s="17" t="s">
        <v>24</v>
      </c>
      <c r="O14" s="27" t="str">
        <f>IF(OR(E14="",K14=""),"入力してください","")</f>
        <v/>
      </c>
    </row>
    <row r="15" spans="1:15" ht="7.5" customHeight="1" x14ac:dyDescent="0.25">
      <c r="M15" s="17"/>
      <c r="N15" s="17"/>
    </row>
    <row r="16" spans="1:15" ht="24" customHeight="1" x14ac:dyDescent="0.25">
      <c r="A16" s="14" t="s">
        <v>26</v>
      </c>
      <c r="B16" s="14" t="s">
        <v>27</v>
      </c>
      <c r="K16" s="110">
        <v>21</v>
      </c>
      <c r="L16" s="111"/>
      <c r="M16" s="112"/>
      <c r="N16" s="17" t="s">
        <v>24</v>
      </c>
      <c r="O16" s="27" t="str">
        <f>IF(K16="","入力してください","")</f>
        <v/>
      </c>
    </row>
    <row r="17" spans="1:15" ht="7.5" customHeight="1" x14ac:dyDescent="0.25">
      <c r="M17" s="17"/>
      <c r="N17" s="17"/>
    </row>
    <row r="18" spans="1:15" ht="24" customHeight="1" x14ac:dyDescent="0.25">
      <c r="A18" s="14" t="s">
        <v>28</v>
      </c>
      <c r="B18" s="14" t="s">
        <v>29</v>
      </c>
      <c r="E18" s="122">
        <v>160</v>
      </c>
      <c r="F18" s="123"/>
      <c r="G18" s="18" t="s">
        <v>30</v>
      </c>
      <c r="K18" s="124"/>
      <c r="L18" s="124"/>
      <c r="M18" s="124"/>
      <c r="N18" s="124"/>
      <c r="O18" s="27" t="str">
        <f>IF(E18="","入力してください","")</f>
        <v/>
      </c>
    </row>
    <row r="19" spans="1:15" ht="7.5" customHeight="1" x14ac:dyDescent="0.25">
      <c r="E19" s="10"/>
      <c r="L19" s="25"/>
      <c r="M19" s="25"/>
      <c r="N19" s="17"/>
    </row>
    <row r="20" spans="1:15" ht="24" customHeight="1" x14ac:dyDescent="0.25">
      <c r="A20" s="14" t="s">
        <v>31</v>
      </c>
      <c r="B20" s="14" t="s">
        <v>32</v>
      </c>
      <c r="E20" s="10"/>
      <c r="H20" s="14" t="s">
        <v>33</v>
      </c>
      <c r="J20" s="113">
        <v>842</v>
      </c>
      <c r="K20" s="114"/>
      <c r="L20" s="115"/>
      <c r="M20" s="25" t="s">
        <v>24</v>
      </c>
      <c r="N20" s="17"/>
      <c r="O20" s="27" t="str">
        <f>IF(J20="","入力してください","")</f>
        <v/>
      </c>
    </row>
    <row r="21" spans="1:15" ht="7.5" customHeight="1" x14ac:dyDescent="0.25">
      <c r="E21" s="10"/>
      <c r="L21" s="25"/>
      <c r="M21" s="25"/>
      <c r="N21" s="17"/>
    </row>
    <row r="22" spans="1:15" ht="24" customHeight="1" x14ac:dyDescent="0.25">
      <c r="B22" s="25" t="s">
        <v>34</v>
      </c>
      <c r="C22" s="122">
        <v>169</v>
      </c>
      <c r="D22" s="123"/>
      <c r="E22" s="10" t="s">
        <v>24</v>
      </c>
      <c r="G22" s="116" t="s">
        <v>35</v>
      </c>
      <c r="H22" s="116"/>
      <c r="I22" s="122">
        <v>168</v>
      </c>
      <c r="J22" s="123"/>
      <c r="K22" s="14" t="s">
        <v>24</v>
      </c>
      <c r="M22" s="25"/>
      <c r="N22" s="17"/>
    </row>
    <row r="23" spans="1:15" ht="7.5" customHeight="1" x14ac:dyDescent="0.25">
      <c r="B23" s="25"/>
      <c r="C23" s="11"/>
      <c r="D23" s="11"/>
      <c r="E23" s="10"/>
      <c r="G23" s="25"/>
      <c r="H23" s="25"/>
      <c r="I23" s="11"/>
      <c r="J23" s="11"/>
      <c r="M23" s="25"/>
      <c r="N23" s="17"/>
    </row>
    <row r="24" spans="1:15" ht="24" customHeight="1" x14ac:dyDescent="0.25">
      <c r="B24" s="25" t="s">
        <v>36</v>
      </c>
      <c r="C24" s="122">
        <v>165</v>
      </c>
      <c r="D24" s="123"/>
      <c r="E24" s="10" t="s">
        <v>24</v>
      </c>
      <c r="G24" s="116" t="s">
        <v>37</v>
      </c>
      <c r="H24" s="116"/>
      <c r="I24" s="122">
        <v>155</v>
      </c>
      <c r="J24" s="123"/>
      <c r="K24" s="14" t="s">
        <v>24</v>
      </c>
      <c r="M24" s="25"/>
      <c r="N24" s="17"/>
    </row>
    <row r="25" spans="1:15" ht="7.5" customHeight="1" x14ac:dyDescent="0.25">
      <c r="B25" s="25"/>
      <c r="C25" s="11"/>
      <c r="D25" s="11"/>
      <c r="E25" s="10"/>
      <c r="G25" s="25"/>
      <c r="H25" s="25"/>
      <c r="I25" s="11"/>
      <c r="J25" s="11"/>
      <c r="M25" s="25"/>
      <c r="N25" s="17"/>
    </row>
    <row r="26" spans="1:15" ht="24" customHeight="1" x14ac:dyDescent="0.25">
      <c r="B26" s="25" t="s">
        <v>38</v>
      </c>
      <c r="C26" s="122">
        <v>185</v>
      </c>
      <c r="D26" s="123"/>
      <c r="E26" s="10" t="s">
        <v>24</v>
      </c>
      <c r="G26" s="116" t="s">
        <v>39</v>
      </c>
      <c r="H26" s="116"/>
      <c r="I26" s="122">
        <v>0</v>
      </c>
      <c r="J26" s="123"/>
      <c r="K26" s="14" t="s">
        <v>24</v>
      </c>
      <c r="M26" s="25"/>
      <c r="N26" s="17"/>
    </row>
    <row r="27" spans="1:15" ht="7.5" customHeight="1" x14ac:dyDescent="0.25">
      <c r="M27" s="19"/>
      <c r="N27" s="19"/>
    </row>
    <row r="28" spans="1:15" ht="24" customHeight="1" x14ac:dyDescent="0.25">
      <c r="A28" s="14" t="s">
        <v>40</v>
      </c>
      <c r="B28" s="14" t="s">
        <v>41</v>
      </c>
      <c r="G28" s="31"/>
      <c r="H28" s="31"/>
      <c r="I28" s="31"/>
      <c r="J28" s="20"/>
      <c r="K28" s="20"/>
      <c r="L28" s="20"/>
      <c r="M28" s="20"/>
      <c r="N28" s="20"/>
    </row>
    <row r="29" spans="1:15" s="14" customFormat="1" ht="24" customHeight="1" x14ac:dyDescent="0.25">
      <c r="B29" s="117" t="s">
        <v>42</v>
      </c>
      <c r="C29" s="117"/>
      <c r="D29" s="118" t="s">
        <v>43</v>
      </c>
      <c r="E29" s="119"/>
      <c r="F29" s="119"/>
      <c r="G29" s="120" t="s">
        <v>44</v>
      </c>
      <c r="H29" s="117"/>
      <c r="I29" s="121"/>
      <c r="J29" s="118" t="s">
        <v>45</v>
      </c>
      <c r="K29" s="119"/>
      <c r="L29" s="119"/>
      <c r="M29" s="119"/>
      <c r="N29" s="125"/>
      <c r="O29" s="27" t="str">
        <f>IF(OR(D29="",J29=""),"入力してください","")</f>
        <v/>
      </c>
    </row>
    <row r="30" spans="1:15" ht="7.5" customHeight="1" x14ac:dyDescent="0.25">
      <c r="M30" s="19"/>
      <c r="N30" s="19"/>
    </row>
    <row r="31" spans="1:15" ht="24" customHeight="1" x14ac:dyDescent="0.25">
      <c r="A31" s="14" t="s">
        <v>46</v>
      </c>
      <c r="B31" s="14" t="s">
        <v>47</v>
      </c>
      <c r="G31" s="20"/>
      <c r="H31" s="20"/>
      <c r="I31" s="20"/>
      <c r="J31" s="20"/>
      <c r="K31" s="20"/>
      <c r="L31" s="20"/>
      <c r="M31" s="20"/>
      <c r="N31" s="20"/>
    </row>
    <row r="32" spans="1:15" ht="24" customHeight="1" x14ac:dyDescent="0.25">
      <c r="B32" s="118" t="s">
        <v>48</v>
      </c>
      <c r="C32" s="119"/>
      <c r="D32" s="119"/>
      <c r="E32" s="119"/>
      <c r="F32" s="119"/>
      <c r="G32" s="119"/>
      <c r="H32" s="119"/>
      <c r="I32" s="119"/>
      <c r="J32" s="119"/>
      <c r="K32" s="119"/>
      <c r="L32" s="119"/>
      <c r="M32" s="119"/>
      <c r="N32" s="125"/>
      <c r="O32" s="27" t="str">
        <f>IF(B32="","入力してください","")</f>
        <v/>
      </c>
    </row>
    <row r="33" spans="1:15" ht="7.5" customHeight="1" x14ac:dyDescent="0.25">
      <c r="B33" s="12"/>
      <c r="C33" s="12"/>
      <c r="D33" s="12"/>
      <c r="E33" s="12"/>
      <c r="F33" s="12"/>
      <c r="G33" s="12"/>
      <c r="H33" s="12"/>
      <c r="I33" s="12"/>
      <c r="J33" s="12"/>
      <c r="K33" s="12"/>
      <c r="L33" s="12"/>
      <c r="M33" s="12"/>
      <c r="N33" s="12"/>
    </row>
    <row r="34" spans="1:15" s="14" customFormat="1" ht="24" customHeight="1" x14ac:dyDescent="0.25">
      <c r="B34" s="117" t="s">
        <v>42</v>
      </c>
      <c r="C34" s="117"/>
      <c r="D34" s="118" t="s">
        <v>49</v>
      </c>
      <c r="E34" s="119"/>
      <c r="F34" s="119"/>
      <c r="G34" s="120" t="s">
        <v>44</v>
      </c>
      <c r="H34" s="117"/>
      <c r="I34" s="121"/>
      <c r="J34" s="118" t="s">
        <v>50</v>
      </c>
      <c r="K34" s="119"/>
      <c r="L34" s="119"/>
      <c r="M34" s="119"/>
      <c r="N34" s="125"/>
      <c r="O34" s="27" t="str">
        <f>IF(OR(D34="",J34=""),"入力してください","")</f>
        <v/>
      </c>
    </row>
    <row r="35" spans="1:15" ht="7.5" customHeight="1" x14ac:dyDescent="0.25">
      <c r="F35" s="31"/>
      <c r="G35" s="31"/>
      <c r="H35" s="31"/>
      <c r="I35" s="31"/>
      <c r="J35" s="31"/>
      <c r="K35" s="31"/>
      <c r="L35" s="31"/>
      <c r="M35" s="31"/>
      <c r="N35" s="31"/>
    </row>
    <row r="36" spans="1:15" ht="24" customHeight="1" x14ac:dyDescent="0.25">
      <c r="A36" s="14" t="s">
        <v>51</v>
      </c>
      <c r="B36" s="14" t="s">
        <v>52</v>
      </c>
      <c r="M36" s="19"/>
      <c r="N36" s="19"/>
    </row>
    <row r="37" spans="1:15" ht="24" customHeight="1" x14ac:dyDescent="0.25">
      <c r="B37" s="118" t="s">
        <v>48</v>
      </c>
      <c r="C37" s="119"/>
      <c r="D37" s="119"/>
      <c r="E37" s="119"/>
      <c r="F37" s="119"/>
      <c r="G37" s="119"/>
      <c r="H37" s="119"/>
      <c r="I37" s="119"/>
      <c r="J37" s="119"/>
      <c r="K37" s="119"/>
      <c r="L37" s="119"/>
      <c r="M37" s="119"/>
      <c r="N37" s="125"/>
      <c r="O37" s="27" t="str">
        <f>IF(B37="","入力してください","")</f>
        <v/>
      </c>
    </row>
    <row r="38" spans="1:15" ht="7.5" customHeight="1" x14ac:dyDescent="0.25">
      <c r="F38" s="31"/>
      <c r="G38" s="31"/>
      <c r="H38" s="31"/>
      <c r="I38" s="31"/>
      <c r="J38" s="31"/>
      <c r="K38" s="31"/>
      <c r="L38" s="31"/>
      <c r="M38" s="31"/>
      <c r="N38" s="31"/>
    </row>
    <row r="39" spans="1:15" s="14" customFormat="1" ht="24" customHeight="1" x14ac:dyDescent="0.25">
      <c r="B39" s="117" t="s">
        <v>42</v>
      </c>
      <c r="C39" s="117"/>
      <c r="D39" s="118" t="s">
        <v>49</v>
      </c>
      <c r="E39" s="119"/>
      <c r="F39" s="119"/>
      <c r="G39" s="120" t="s">
        <v>44</v>
      </c>
      <c r="H39" s="117"/>
      <c r="I39" s="121"/>
      <c r="J39" s="118" t="s">
        <v>213</v>
      </c>
      <c r="K39" s="119"/>
      <c r="L39" s="119"/>
      <c r="M39" s="119"/>
      <c r="N39" s="125"/>
      <c r="O39" s="27" t="str">
        <f>IF(OR(D39="",J39=""),"入力してください","")</f>
        <v/>
      </c>
    </row>
    <row r="40" spans="1:15" ht="7.5" customHeight="1" x14ac:dyDescent="0.25">
      <c r="F40" s="31"/>
      <c r="G40" s="31"/>
      <c r="H40" s="31"/>
      <c r="I40" s="31"/>
      <c r="J40" s="31"/>
      <c r="K40" s="31"/>
      <c r="L40" s="31"/>
      <c r="M40" s="31"/>
      <c r="N40" s="31"/>
    </row>
    <row r="41" spans="1:15" ht="24" customHeight="1" x14ac:dyDescent="0.25">
      <c r="A41" s="14" t="s">
        <v>53</v>
      </c>
      <c r="B41" s="14" t="s">
        <v>54</v>
      </c>
      <c r="E41" s="66"/>
      <c r="F41" s="118" t="s">
        <v>55</v>
      </c>
      <c r="G41" s="119"/>
      <c r="H41" s="119"/>
      <c r="I41" s="119"/>
      <c r="J41" s="119"/>
      <c r="K41" s="119"/>
      <c r="L41" s="119"/>
      <c r="M41" s="119"/>
      <c r="N41" s="125"/>
      <c r="O41" s="27" t="str">
        <f>IF(F41="","入力してください","")</f>
        <v/>
      </c>
    </row>
    <row r="42" spans="1:15" ht="7.5" customHeight="1" x14ac:dyDescent="0.25">
      <c r="F42" s="31"/>
      <c r="G42" s="31"/>
      <c r="H42" s="31"/>
      <c r="I42" s="31"/>
      <c r="J42" s="31"/>
      <c r="K42" s="31"/>
      <c r="L42" s="31"/>
      <c r="M42" s="31"/>
      <c r="N42" s="31"/>
    </row>
    <row r="43" spans="1:15" ht="24" customHeight="1" x14ac:dyDescent="0.25">
      <c r="A43" s="14" t="s">
        <v>56</v>
      </c>
    </row>
    <row r="44" spans="1:15" ht="24" customHeight="1" x14ac:dyDescent="0.25">
      <c r="B44" s="26" t="s">
        <v>57</v>
      </c>
      <c r="C44" s="138" t="s">
        <v>58</v>
      </c>
      <c r="D44" s="139"/>
      <c r="E44" s="139"/>
      <c r="F44" s="139"/>
      <c r="G44" s="139"/>
      <c r="H44" s="139"/>
      <c r="I44" s="22" t="s">
        <v>59</v>
      </c>
      <c r="J44" s="23"/>
      <c r="K44" s="118" t="s">
        <v>60</v>
      </c>
      <c r="L44" s="119"/>
      <c r="M44" s="119"/>
      <c r="N44" s="125"/>
      <c r="O44" s="27" t="str">
        <f>IF(OR(C44="",K44=""),"入力してください","")</f>
        <v/>
      </c>
    </row>
    <row r="45" spans="1:15" ht="24" customHeight="1" x14ac:dyDescent="0.25">
      <c r="B45" s="21" t="s">
        <v>61</v>
      </c>
      <c r="C45" s="132" t="s">
        <v>62</v>
      </c>
      <c r="D45" s="133"/>
      <c r="E45" s="133"/>
      <c r="F45" s="133"/>
      <c r="G45" s="133"/>
      <c r="H45" s="134"/>
      <c r="I45" s="22" t="s">
        <v>63</v>
      </c>
      <c r="J45" s="23"/>
      <c r="K45" s="135" t="s">
        <v>64</v>
      </c>
      <c r="L45" s="136"/>
      <c r="M45" s="136"/>
      <c r="N45" s="137"/>
      <c r="O45" s="27"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H45" r:id="rId1" display="gkyoumu@okinawa-ct.ac.jp" xr:uid="{43C89ECE-2B0E-44D2-86ED-6AEC850E1EE6}"/>
  </hyperlinks>
  <printOptions horizontalCentered="1"/>
  <pageMargins left="0.78740157480314965" right="0.78740157480314965" top="0.78740157480314965" bottom="0.39370078740157483" header="0.31496062992125984" footer="0.31496062992125984"/>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topLeftCell="A67" zoomScale="90" zoomScaleNormal="100" zoomScaleSheetLayoutView="90" workbookViewId="0">
      <selection activeCell="M21" sqref="M21"/>
    </sheetView>
  </sheetViews>
  <sheetFormatPr defaultColWidth="9" defaultRowHeight="18.75" customHeight="1" x14ac:dyDescent="0.25"/>
  <cols>
    <col min="1" max="1" width="2.3984375" style="13" customWidth="1"/>
    <col min="2" max="2" width="27.73046875" style="13" customWidth="1"/>
    <col min="3" max="13" width="3.3984375" style="13" customWidth="1"/>
    <col min="14" max="14" width="8.86328125" style="13" customWidth="1"/>
    <col min="15" max="15" width="18.86328125" style="13" customWidth="1"/>
    <col min="16" max="26" width="3.3984375" style="13" customWidth="1"/>
    <col min="27" max="16384" width="9" style="13"/>
  </cols>
  <sheetData>
    <row r="1" spans="1:26" ht="15" customHeight="1" x14ac:dyDescent="0.25">
      <c r="W1" s="162" t="s">
        <v>65</v>
      </c>
      <c r="X1" s="162"/>
      <c r="Y1" s="162"/>
      <c r="Z1" s="162"/>
    </row>
    <row r="2" spans="1:26" ht="18" customHeight="1" x14ac:dyDescent="0.25">
      <c r="A2" s="205" t="s">
        <v>66</v>
      </c>
      <c r="B2" s="205"/>
      <c r="C2" s="205"/>
      <c r="D2" s="205"/>
      <c r="E2" s="205"/>
      <c r="F2" s="205"/>
      <c r="G2" s="205"/>
      <c r="H2" s="205"/>
      <c r="I2" s="205"/>
      <c r="J2" s="205"/>
      <c r="K2" s="205"/>
      <c r="L2" s="205"/>
      <c r="M2" s="205"/>
      <c r="N2" s="205"/>
      <c r="O2" s="205"/>
      <c r="P2" s="205"/>
      <c r="Q2" s="205"/>
      <c r="R2" s="205"/>
      <c r="S2" s="205"/>
      <c r="T2" s="205"/>
      <c r="U2" s="205"/>
      <c r="V2" s="205"/>
      <c r="W2" s="205"/>
      <c r="X2" s="205"/>
      <c r="Y2" s="205"/>
      <c r="Z2" s="205"/>
    </row>
    <row r="3" spans="1:26" ht="15" customHeight="1" x14ac:dyDescent="0.2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25">
      <c r="A4" s="13" t="s">
        <v>67</v>
      </c>
      <c r="B4" s="25"/>
      <c r="C4" s="25"/>
      <c r="D4" s="25"/>
      <c r="E4" s="25"/>
      <c r="F4" s="25"/>
      <c r="G4" s="25"/>
      <c r="H4" s="14" t="s">
        <v>68</v>
      </c>
      <c r="I4" s="25"/>
      <c r="J4" s="25"/>
      <c r="K4" s="25"/>
      <c r="L4" s="25"/>
      <c r="M4" s="25"/>
      <c r="N4" s="25"/>
      <c r="O4" s="130" t="s">
        <v>69</v>
      </c>
      <c r="P4" s="158"/>
      <c r="Q4" s="158"/>
      <c r="R4" s="158"/>
      <c r="S4" s="158"/>
      <c r="T4" s="158"/>
      <c r="U4" s="158"/>
      <c r="V4" s="158"/>
      <c r="W4" s="158"/>
      <c r="X4" s="158"/>
      <c r="Y4" s="158"/>
      <c r="Z4" s="131"/>
    </row>
    <row r="5" spans="1:26" ht="6" customHeight="1" x14ac:dyDescent="0.2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25">
      <c r="B6" s="206" t="s">
        <v>204</v>
      </c>
      <c r="C6" s="207"/>
      <c r="D6" s="207"/>
      <c r="E6" s="207"/>
      <c r="F6" s="207"/>
      <c r="G6" s="207"/>
      <c r="H6" s="207"/>
      <c r="I6" s="207"/>
      <c r="J6" s="207"/>
      <c r="K6" s="207"/>
      <c r="L6" s="207"/>
      <c r="M6" s="207"/>
      <c r="N6" s="207"/>
      <c r="O6" s="207"/>
      <c r="P6" s="207"/>
      <c r="Q6" s="207"/>
      <c r="R6" s="207"/>
      <c r="S6" s="207"/>
      <c r="T6" s="207"/>
      <c r="U6" s="207"/>
      <c r="V6" s="207"/>
      <c r="W6" s="207"/>
      <c r="X6" s="207"/>
      <c r="Y6" s="207"/>
      <c r="Z6" s="208"/>
    </row>
    <row r="7" spans="1:26" ht="18" customHeight="1" x14ac:dyDescent="0.25">
      <c r="B7" s="209"/>
      <c r="C7" s="210"/>
      <c r="D7" s="210"/>
      <c r="E7" s="210"/>
      <c r="F7" s="210"/>
      <c r="G7" s="210"/>
      <c r="H7" s="210"/>
      <c r="I7" s="210"/>
      <c r="J7" s="210"/>
      <c r="K7" s="210"/>
      <c r="L7" s="210"/>
      <c r="M7" s="210"/>
      <c r="N7" s="210"/>
      <c r="O7" s="210"/>
      <c r="P7" s="210"/>
      <c r="Q7" s="210"/>
      <c r="R7" s="210"/>
      <c r="S7" s="210"/>
      <c r="T7" s="210"/>
      <c r="U7" s="210"/>
      <c r="V7" s="210"/>
      <c r="W7" s="210"/>
      <c r="X7" s="210"/>
      <c r="Y7" s="210"/>
      <c r="Z7" s="211"/>
    </row>
    <row r="8" spans="1:26" ht="18" customHeight="1" x14ac:dyDescent="0.25">
      <c r="B8" s="209"/>
      <c r="C8" s="210"/>
      <c r="D8" s="210"/>
      <c r="E8" s="210"/>
      <c r="F8" s="210"/>
      <c r="G8" s="210"/>
      <c r="H8" s="210"/>
      <c r="I8" s="210"/>
      <c r="J8" s="210"/>
      <c r="K8" s="210"/>
      <c r="L8" s="210"/>
      <c r="M8" s="210"/>
      <c r="N8" s="210"/>
      <c r="O8" s="210"/>
      <c r="P8" s="210"/>
      <c r="Q8" s="210"/>
      <c r="R8" s="210"/>
      <c r="S8" s="210"/>
      <c r="T8" s="210"/>
      <c r="U8" s="210"/>
      <c r="V8" s="210"/>
      <c r="W8" s="210"/>
      <c r="X8" s="210"/>
      <c r="Y8" s="210"/>
      <c r="Z8" s="211"/>
    </row>
    <row r="9" spans="1:26" ht="18" customHeight="1" x14ac:dyDescent="0.25">
      <c r="B9" s="209"/>
      <c r="C9" s="210"/>
      <c r="D9" s="210"/>
      <c r="E9" s="210"/>
      <c r="F9" s="210"/>
      <c r="G9" s="210"/>
      <c r="H9" s="210"/>
      <c r="I9" s="210"/>
      <c r="J9" s="210"/>
      <c r="K9" s="210"/>
      <c r="L9" s="210"/>
      <c r="M9" s="210"/>
      <c r="N9" s="210"/>
      <c r="O9" s="210"/>
      <c r="P9" s="210"/>
      <c r="Q9" s="210"/>
      <c r="R9" s="210"/>
      <c r="S9" s="210"/>
      <c r="T9" s="210"/>
      <c r="U9" s="210"/>
      <c r="V9" s="210"/>
      <c r="W9" s="210"/>
      <c r="X9" s="210"/>
      <c r="Y9" s="210"/>
      <c r="Z9" s="211"/>
    </row>
    <row r="10" spans="1:26" ht="18" customHeight="1" x14ac:dyDescent="0.25">
      <c r="B10" s="209"/>
      <c r="C10" s="210"/>
      <c r="D10" s="210"/>
      <c r="E10" s="210"/>
      <c r="F10" s="210"/>
      <c r="G10" s="210"/>
      <c r="H10" s="210"/>
      <c r="I10" s="210"/>
      <c r="J10" s="210"/>
      <c r="K10" s="210"/>
      <c r="L10" s="210"/>
      <c r="M10" s="210"/>
      <c r="N10" s="210"/>
      <c r="O10" s="210"/>
      <c r="P10" s="210"/>
      <c r="Q10" s="210"/>
      <c r="R10" s="210"/>
      <c r="S10" s="210"/>
      <c r="T10" s="210"/>
      <c r="U10" s="210"/>
      <c r="V10" s="210"/>
      <c r="W10" s="210"/>
      <c r="X10" s="210"/>
      <c r="Y10" s="210"/>
      <c r="Z10" s="211"/>
    </row>
    <row r="11" spans="1:26" ht="18" customHeight="1" x14ac:dyDescent="0.25">
      <c r="B11" s="212"/>
      <c r="C11" s="213"/>
      <c r="D11" s="213"/>
      <c r="E11" s="213"/>
      <c r="F11" s="213"/>
      <c r="G11" s="213"/>
      <c r="H11" s="213"/>
      <c r="I11" s="213"/>
      <c r="J11" s="213"/>
      <c r="K11" s="213"/>
      <c r="L11" s="213"/>
      <c r="M11" s="213"/>
      <c r="N11" s="213"/>
      <c r="O11" s="213"/>
      <c r="P11" s="213"/>
      <c r="Q11" s="213"/>
      <c r="R11" s="213"/>
      <c r="S11" s="213"/>
      <c r="T11" s="213"/>
      <c r="U11" s="213"/>
      <c r="V11" s="213"/>
      <c r="W11" s="213"/>
      <c r="X11" s="213"/>
      <c r="Y11" s="213"/>
      <c r="Z11" s="214"/>
    </row>
    <row r="12" spans="1:26" ht="7.5" customHeight="1" x14ac:dyDescent="0.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25">
      <c r="A13" s="204" t="s">
        <v>70</v>
      </c>
      <c r="B13" s="204"/>
      <c r="C13" s="204"/>
      <c r="D13" s="204"/>
      <c r="E13" s="204"/>
      <c r="F13" s="204"/>
      <c r="G13" s="204"/>
      <c r="H13" s="204"/>
      <c r="I13" s="204"/>
      <c r="J13" s="204"/>
      <c r="K13" s="204"/>
      <c r="L13" s="204"/>
      <c r="M13" s="204"/>
      <c r="N13" s="204"/>
      <c r="O13" s="204"/>
      <c r="P13" s="204"/>
      <c r="Q13" s="204"/>
      <c r="R13" s="204"/>
      <c r="S13" s="204"/>
      <c r="T13" s="204"/>
      <c r="U13" s="204"/>
      <c r="V13" s="204"/>
      <c r="W13" s="204"/>
      <c r="X13" s="204"/>
      <c r="Y13" s="204"/>
      <c r="Z13" s="204"/>
    </row>
    <row r="14" spans="1:26" ht="18" customHeight="1" x14ac:dyDescent="0.25">
      <c r="A14" s="204"/>
      <c r="B14" s="204"/>
      <c r="C14" s="204"/>
      <c r="D14" s="204"/>
      <c r="E14" s="204"/>
      <c r="F14" s="204"/>
      <c r="G14" s="204"/>
      <c r="H14" s="204"/>
      <c r="I14" s="204"/>
      <c r="J14" s="204"/>
      <c r="K14" s="204"/>
      <c r="L14" s="204"/>
      <c r="M14" s="204"/>
      <c r="N14" s="204"/>
      <c r="O14" s="204"/>
      <c r="P14" s="204"/>
      <c r="Q14" s="204"/>
      <c r="R14" s="204"/>
      <c r="S14" s="204"/>
      <c r="T14" s="204"/>
      <c r="U14" s="204"/>
      <c r="V14" s="204"/>
      <c r="W14" s="204"/>
      <c r="X14" s="204"/>
      <c r="Y14" s="204"/>
      <c r="Z14" s="204"/>
    </row>
    <row r="15" spans="1:26" ht="18" customHeight="1" x14ac:dyDescent="0.25">
      <c r="A15" s="14"/>
      <c r="B15" s="130" t="s">
        <v>71</v>
      </c>
      <c r="C15" s="158"/>
      <c r="D15" s="158"/>
      <c r="E15" s="158"/>
      <c r="F15" s="131"/>
      <c r="G15" s="26" t="s">
        <v>72</v>
      </c>
      <c r="H15" s="100" t="s">
        <v>73</v>
      </c>
      <c r="I15" s="158" t="s">
        <v>74</v>
      </c>
      <c r="J15" s="158"/>
      <c r="K15" s="158"/>
      <c r="L15" s="67" t="s">
        <v>75</v>
      </c>
      <c r="M15" s="67" t="s">
        <v>76</v>
      </c>
      <c r="N15" s="130" t="s">
        <v>71</v>
      </c>
      <c r="O15" s="158"/>
      <c r="P15" s="158"/>
      <c r="Q15" s="158"/>
      <c r="R15" s="158"/>
      <c r="S15" s="131"/>
      <c r="T15" s="26" t="s">
        <v>72</v>
      </c>
      <c r="U15" s="100" t="s">
        <v>73</v>
      </c>
      <c r="V15" s="158" t="s">
        <v>74</v>
      </c>
      <c r="W15" s="158"/>
      <c r="X15" s="158"/>
      <c r="Y15" s="67" t="s">
        <v>75</v>
      </c>
      <c r="Z15" s="67" t="s">
        <v>76</v>
      </c>
    </row>
    <row r="16" spans="1:26" ht="18" customHeight="1" x14ac:dyDescent="0.25">
      <c r="A16" s="14"/>
      <c r="B16" s="163" t="s">
        <v>77</v>
      </c>
      <c r="C16" s="164"/>
      <c r="D16" s="164"/>
      <c r="E16" s="164"/>
      <c r="F16" s="165"/>
      <c r="G16" s="101">
        <v>3</v>
      </c>
      <c r="H16" s="101" t="s">
        <v>78</v>
      </c>
      <c r="I16" s="169" t="s">
        <v>79</v>
      </c>
      <c r="J16" s="170"/>
      <c r="K16" s="171"/>
      <c r="L16" s="101" t="s">
        <v>78</v>
      </c>
      <c r="M16" s="101"/>
      <c r="N16" s="159"/>
      <c r="O16" s="160"/>
      <c r="P16" s="160"/>
      <c r="Q16" s="160"/>
      <c r="R16" s="160"/>
      <c r="S16" s="161"/>
      <c r="T16" s="101"/>
      <c r="U16" s="101"/>
      <c r="V16" s="169"/>
      <c r="W16" s="170"/>
      <c r="X16" s="171"/>
      <c r="Y16" s="101"/>
      <c r="Z16" s="101"/>
    </row>
    <row r="17" spans="1:26" ht="18" customHeight="1" x14ac:dyDescent="0.25">
      <c r="A17" s="14"/>
      <c r="B17" s="155" t="s">
        <v>80</v>
      </c>
      <c r="C17" s="156"/>
      <c r="D17" s="156"/>
      <c r="E17" s="156"/>
      <c r="F17" s="157"/>
      <c r="G17" s="102">
        <v>2</v>
      </c>
      <c r="H17" s="102" t="s">
        <v>78</v>
      </c>
      <c r="I17" s="140" t="s">
        <v>79</v>
      </c>
      <c r="J17" s="141"/>
      <c r="K17" s="142"/>
      <c r="L17" s="102"/>
      <c r="M17" s="102" t="s">
        <v>78</v>
      </c>
      <c r="N17" s="146"/>
      <c r="O17" s="147"/>
      <c r="P17" s="147"/>
      <c r="Q17" s="147"/>
      <c r="R17" s="147"/>
      <c r="S17" s="148"/>
      <c r="T17" s="102"/>
      <c r="U17" s="102"/>
      <c r="V17" s="140"/>
      <c r="W17" s="141"/>
      <c r="X17" s="142"/>
      <c r="Y17" s="102"/>
      <c r="Z17" s="102"/>
    </row>
    <row r="18" spans="1:26" ht="18" customHeight="1" x14ac:dyDescent="0.25">
      <c r="A18" s="14"/>
      <c r="B18" s="155"/>
      <c r="C18" s="156"/>
      <c r="D18" s="156"/>
      <c r="E18" s="156"/>
      <c r="F18" s="157"/>
      <c r="G18" s="102"/>
      <c r="H18" s="102"/>
      <c r="I18" s="140"/>
      <c r="J18" s="141"/>
      <c r="K18" s="142"/>
      <c r="L18" s="102"/>
      <c r="M18" s="102"/>
      <c r="N18" s="146"/>
      <c r="O18" s="147"/>
      <c r="P18" s="147"/>
      <c r="Q18" s="147"/>
      <c r="R18" s="147"/>
      <c r="S18" s="148"/>
      <c r="T18" s="102"/>
      <c r="U18" s="102"/>
      <c r="V18" s="140"/>
      <c r="W18" s="141"/>
      <c r="X18" s="142"/>
      <c r="Y18" s="102"/>
      <c r="Z18" s="102"/>
    </row>
    <row r="19" spans="1:26" ht="18" customHeight="1" x14ac:dyDescent="0.25">
      <c r="A19" s="14"/>
      <c r="B19" s="155"/>
      <c r="C19" s="156"/>
      <c r="D19" s="156"/>
      <c r="E19" s="156"/>
      <c r="F19" s="157"/>
      <c r="G19" s="102"/>
      <c r="H19" s="102"/>
      <c r="I19" s="140"/>
      <c r="J19" s="141"/>
      <c r="K19" s="142"/>
      <c r="L19" s="102"/>
      <c r="M19" s="102"/>
      <c r="N19" s="146"/>
      <c r="O19" s="147"/>
      <c r="P19" s="147"/>
      <c r="Q19" s="147"/>
      <c r="R19" s="147"/>
      <c r="S19" s="148"/>
      <c r="T19" s="102"/>
      <c r="U19" s="102"/>
      <c r="V19" s="140"/>
      <c r="W19" s="141"/>
      <c r="X19" s="142"/>
      <c r="Y19" s="102"/>
      <c r="Z19" s="102"/>
    </row>
    <row r="20" spans="1:26" ht="18" customHeight="1" x14ac:dyDescent="0.25">
      <c r="A20" s="14"/>
      <c r="B20" s="155"/>
      <c r="C20" s="156"/>
      <c r="D20" s="156"/>
      <c r="E20" s="156"/>
      <c r="F20" s="157"/>
      <c r="G20" s="102"/>
      <c r="H20" s="102"/>
      <c r="I20" s="140"/>
      <c r="J20" s="141"/>
      <c r="K20" s="142"/>
      <c r="L20" s="102"/>
      <c r="M20" s="102"/>
      <c r="N20" s="146"/>
      <c r="O20" s="147"/>
      <c r="P20" s="147"/>
      <c r="Q20" s="147"/>
      <c r="R20" s="147"/>
      <c r="S20" s="148"/>
      <c r="T20" s="102"/>
      <c r="U20" s="102"/>
      <c r="V20" s="140"/>
      <c r="W20" s="141"/>
      <c r="X20" s="142"/>
      <c r="Y20" s="102"/>
      <c r="Z20" s="102"/>
    </row>
    <row r="21" spans="1:26" ht="18" customHeight="1" x14ac:dyDescent="0.25">
      <c r="A21" s="25"/>
      <c r="B21" s="155"/>
      <c r="C21" s="156"/>
      <c r="D21" s="156"/>
      <c r="E21" s="156"/>
      <c r="F21" s="157"/>
      <c r="G21" s="102"/>
      <c r="H21" s="102"/>
      <c r="I21" s="140"/>
      <c r="J21" s="141"/>
      <c r="K21" s="142"/>
      <c r="L21" s="102"/>
      <c r="M21" s="102"/>
      <c r="N21" s="146"/>
      <c r="O21" s="147"/>
      <c r="P21" s="147"/>
      <c r="Q21" s="147"/>
      <c r="R21" s="147"/>
      <c r="S21" s="148"/>
      <c r="T21" s="102"/>
      <c r="U21" s="102"/>
      <c r="V21" s="140"/>
      <c r="W21" s="141"/>
      <c r="X21" s="142"/>
      <c r="Y21" s="102"/>
      <c r="Z21" s="102"/>
    </row>
    <row r="22" spans="1:26" ht="18" customHeight="1" x14ac:dyDescent="0.25">
      <c r="A22" s="25"/>
      <c r="B22" s="143"/>
      <c r="C22" s="144"/>
      <c r="D22" s="144"/>
      <c r="E22" s="144"/>
      <c r="F22" s="145"/>
      <c r="G22" s="103"/>
      <c r="H22" s="103"/>
      <c r="I22" s="152"/>
      <c r="J22" s="153"/>
      <c r="K22" s="154"/>
      <c r="L22" s="105"/>
      <c r="M22" s="105"/>
      <c r="N22" s="149"/>
      <c r="O22" s="150"/>
      <c r="P22" s="150"/>
      <c r="Q22" s="150"/>
      <c r="R22" s="150"/>
      <c r="S22" s="151"/>
      <c r="T22" s="103"/>
      <c r="U22" s="103"/>
      <c r="V22" s="152"/>
      <c r="W22" s="153"/>
      <c r="X22" s="154"/>
      <c r="Y22" s="105"/>
      <c r="Z22" s="105"/>
    </row>
    <row r="23" spans="1:26" ht="7.5" customHeight="1" x14ac:dyDescent="0.25">
      <c r="A23" s="25"/>
      <c r="B23" s="31"/>
      <c r="C23" s="31"/>
      <c r="D23" s="25"/>
      <c r="E23" s="25"/>
      <c r="F23" s="25"/>
      <c r="G23" s="25"/>
      <c r="H23" s="25"/>
      <c r="I23" s="25"/>
      <c r="J23" s="25"/>
      <c r="K23" s="25"/>
      <c r="L23" s="31"/>
      <c r="M23" s="31"/>
      <c r="N23" s="31"/>
      <c r="O23" s="31"/>
      <c r="P23" s="31"/>
      <c r="Q23" s="31"/>
      <c r="R23" s="31"/>
      <c r="S23" s="31"/>
      <c r="T23" s="31"/>
      <c r="U23" s="31"/>
      <c r="V23" s="31"/>
      <c r="W23" s="31"/>
      <c r="X23" s="31"/>
      <c r="Y23" s="31"/>
      <c r="Z23" s="25"/>
    </row>
    <row r="24" spans="1:26" ht="18" customHeight="1" x14ac:dyDescent="0.25">
      <c r="A24" s="204" t="s">
        <v>81</v>
      </c>
      <c r="B24" s="204"/>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row>
    <row r="25" spans="1:26" ht="18" customHeight="1" x14ac:dyDescent="0.25">
      <c r="A25" s="204"/>
      <c r="B25" s="204"/>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row>
    <row r="26" spans="1:26" ht="18" customHeight="1" x14ac:dyDescent="0.25">
      <c r="A26" s="14"/>
      <c r="B26" s="130" t="s">
        <v>71</v>
      </c>
      <c r="C26" s="158"/>
      <c r="D26" s="158"/>
      <c r="E26" s="158"/>
      <c r="F26" s="131"/>
      <c r="G26" s="26" t="s">
        <v>72</v>
      </c>
      <c r="H26" s="100" t="s">
        <v>73</v>
      </c>
      <c r="I26" s="158" t="s">
        <v>74</v>
      </c>
      <c r="J26" s="158"/>
      <c r="K26" s="158"/>
      <c r="L26" s="67" t="s">
        <v>82</v>
      </c>
      <c r="M26" s="67" t="s">
        <v>83</v>
      </c>
      <c r="N26" s="130" t="s">
        <v>71</v>
      </c>
      <c r="O26" s="158"/>
      <c r="P26" s="158"/>
      <c r="Q26" s="158"/>
      <c r="R26" s="158"/>
      <c r="S26" s="131"/>
      <c r="T26" s="26" t="s">
        <v>72</v>
      </c>
      <c r="U26" s="100" t="s">
        <v>73</v>
      </c>
      <c r="V26" s="158" t="s">
        <v>74</v>
      </c>
      <c r="W26" s="158"/>
      <c r="X26" s="158"/>
      <c r="Y26" s="67" t="s">
        <v>82</v>
      </c>
      <c r="Z26" s="67" t="s">
        <v>83</v>
      </c>
    </row>
    <row r="27" spans="1:26" ht="18" customHeight="1" x14ac:dyDescent="0.25">
      <c r="A27" s="14"/>
      <c r="B27" s="163" t="s">
        <v>77</v>
      </c>
      <c r="C27" s="164"/>
      <c r="D27" s="164"/>
      <c r="E27" s="164"/>
      <c r="F27" s="165"/>
      <c r="G27" s="101">
        <v>3</v>
      </c>
      <c r="H27" s="101" t="s">
        <v>78</v>
      </c>
      <c r="I27" s="169" t="s">
        <v>79</v>
      </c>
      <c r="J27" s="170"/>
      <c r="K27" s="171"/>
      <c r="L27" s="101"/>
      <c r="M27" s="101" t="s">
        <v>78</v>
      </c>
      <c r="N27" s="159"/>
      <c r="O27" s="160"/>
      <c r="P27" s="160"/>
      <c r="Q27" s="160"/>
      <c r="R27" s="160"/>
      <c r="S27" s="161"/>
      <c r="T27" s="101"/>
      <c r="U27" s="101"/>
      <c r="V27" s="169"/>
      <c r="W27" s="170"/>
      <c r="X27" s="171"/>
      <c r="Y27" s="101"/>
      <c r="Z27" s="101"/>
    </row>
    <row r="28" spans="1:26" ht="18" customHeight="1" x14ac:dyDescent="0.25">
      <c r="A28" s="14"/>
      <c r="B28" s="155" t="s">
        <v>84</v>
      </c>
      <c r="C28" s="156"/>
      <c r="D28" s="156"/>
      <c r="E28" s="156"/>
      <c r="F28" s="157"/>
      <c r="G28" s="102">
        <v>2</v>
      </c>
      <c r="H28" s="102" t="s">
        <v>78</v>
      </c>
      <c r="I28" s="140" t="s">
        <v>79</v>
      </c>
      <c r="J28" s="141"/>
      <c r="K28" s="142"/>
      <c r="L28" s="102" t="s">
        <v>78</v>
      </c>
      <c r="M28" s="102"/>
      <c r="N28" s="146"/>
      <c r="O28" s="147"/>
      <c r="P28" s="147"/>
      <c r="Q28" s="147"/>
      <c r="R28" s="147"/>
      <c r="S28" s="148"/>
      <c r="T28" s="102"/>
      <c r="U28" s="102"/>
      <c r="V28" s="140"/>
      <c r="W28" s="141"/>
      <c r="X28" s="142"/>
      <c r="Y28" s="102"/>
      <c r="Z28" s="102"/>
    </row>
    <row r="29" spans="1:26" ht="18" customHeight="1" x14ac:dyDescent="0.25">
      <c r="A29" s="14"/>
      <c r="B29" s="155"/>
      <c r="C29" s="156"/>
      <c r="D29" s="156"/>
      <c r="E29" s="156"/>
      <c r="F29" s="157"/>
      <c r="G29" s="102"/>
      <c r="H29" s="102"/>
      <c r="I29" s="140"/>
      <c r="J29" s="141"/>
      <c r="K29" s="142"/>
      <c r="L29" s="102"/>
      <c r="M29" s="102"/>
      <c r="N29" s="146"/>
      <c r="O29" s="147"/>
      <c r="P29" s="147"/>
      <c r="Q29" s="147"/>
      <c r="R29" s="147"/>
      <c r="S29" s="148"/>
      <c r="T29" s="102"/>
      <c r="U29" s="102"/>
      <c r="V29" s="140"/>
      <c r="W29" s="141"/>
      <c r="X29" s="142"/>
      <c r="Y29" s="102"/>
      <c r="Z29" s="102"/>
    </row>
    <row r="30" spans="1:26" ht="18" customHeight="1" x14ac:dyDescent="0.25">
      <c r="A30" s="14"/>
      <c r="B30" s="155"/>
      <c r="C30" s="156"/>
      <c r="D30" s="156"/>
      <c r="E30" s="156"/>
      <c r="F30" s="157"/>
      <c r="G30" s="102"/>
      <c r="H30" s="102"/>
      <c r="I30" s="140"/>
      <c r="J30" s="141"/>
      <c r="K30" s="142"/>
      <c r="L30" s="102"/>
      <c r="M30" s="102"/>
      <c r="N30" s="146"/>
      <c r="O30" s="147"/>
      <c r="P30" s="147"/>
      <c r="Q30" s="147"/>
      <c r="R30" s="147"/>
      <c r="S30" s="148"/>
      <c r="T30" s="102"/>
      <c r="U30" s="102"/>
      <c r="V30" s="140"/>
      <c r="W30" s="141"/>
      <c r="X30" s="142"/>
      <c r="Y30" s="102"/>
      <c r="Z30" s="102"/>
    </row>
    <row r="31" spans="1:26" ht="18" customHeight="1" x14ac:dyDescent="0.25">
      <c r="A31" s="14"/>
      <c r="B31" s="155"/>
      <c r="C31" s="156"/>
      <c r="D31" s="156"/>
      <c r="E31" s="156"/>
      <c r="F31" s="157"/>
      <c r="G31" s="102"/>
      <c r="H31" s="102"/>
      <c r="I31" s="140"/>
      <c r="J31" s="141"/>
      <c r="K31" s="142"/>
      <c r="L31" s="102"/>
      <c r="M31" s="102"/>
      <c r="N31" s="146"/>
      <c r="O31" s="147"/>
      <c r="P31" s="147"/>
      <c r="Q31" s="147"/>
      <c r="R31" s="147"/>
      <c r="S31" s="148"/>
      <c r="T31" s="102"/>
      <c r="U31" s="102"/>
      <c r="V31" s="140"/>
      <c r="W31" s="141"/>
      <c r="X31" s="142"/>
      <c r="Y31" s="102"/>
      <c r="Z31" s="102"/>
    </row>
    <row r="32" spans="1:26" ht="18" customHeight="1" x14ac:dyDescent="0.25">
      <c r="A32" s="14"/>
      <c r="B32" s="155"/>
      <c r="C32" s="156"/>
      <c r="D32" s="156"/>
      <c r="E32" s="156"/>
      <c r="F32" s="157"/>
      <c r="G32" s="102"/>
      <c r="H32" s="102"/>
      <c r="I32" s="140"/>
      <c r="J32" s="141"/>
      <c r="K32" s="142"/>
      <c r="L32" s="102"/>
      <c r="M32" s="102"/>
      <c r="N32" s="146"/>
      <c r="O32" s="147"/>
      <c r="P32" s="147"/>
      <c r="Q32" s="147"/>
      <c r="R32" s="147"/>
      <c r="S32" s="148"/>
      <c r="T32" s="102"/>
      <c r="U32" s="102"/>
      <c r="V32" s="140"/>
      <c r="W32" s="141"/>
      <c r="X32" s="142"/>
      <c r="Y32" s="102"/>
      <c r="Z32" s="102"/>
    </row>
    <row r="33" spans="1:26" ht="18" customHeight="1" x14ac:dyDescent="0.25">
      <c r="A33" s="14"/>
      <c r="B33" s="143"/>
      <c r="C33" s="144"/>
      <c r="D33" s="144"/>
      <c r="E33" s="144"/>
      <c r="F33" s="145"/>
      <c r="G33" s="103"/>
      <c r="H33" s="103"/>
      <c r="I33" s="152"/>
      <c r="J33" s="153"/>
      <c r="K33" s="154"/>
      <c r="L33" s="105"/>
      <c r="M33" s="105"/>
      <c r="N33" s="149"/>
      <c r="O33" s="150"/>
      <c r="P33" s="150"/>
      <c r="Q33" s="150"/>
      <c r="R33" s="150"/>
      <c r="S33" s="151"/>
      <c r="T33" s="103"/>
      <c r="U33" s="103"/>
      <c r="V33" s="152"/>
      <c r="W33" s="153"/>
      <c r="X33" s="154"/>
      <c r="Y33" s="105"/>
      <c r="Z33" s="105"/>
    </row>
    <row r="34" spans="1:26" ht="7.5" customHeight="1" x14ac:dyDescent="0.25">
      <c r="A34" s="25"/>
      <c r="B34" s="31"/>
      <c r="C34" s="31"/>
      <c r="D34" s="25"/>
      <c r="E34" s="25"/>
      <c r="F34" s="25"/>
      <c r="G34" s="25"/>
      <c r="H34" s="25"/>
      <c r="I34" s="25"/>
      <c r="J34" s="25"/>
      <c r="K34" s="25"/>
      <c r="L34" s="31"/>
      <c r="M34" s="31"/>
      <c r="N34" s="31"/>
      <c r="O34" s="31"/>
      <c r="P34" s="31"/>
      <c r="Q34" s="31"/>
      <c r="R34" s="31"/>
      <c r="S34" s="31"/>
      <c r="T34" s="31"/>
      <c r="U34" s="31"/>
      <c r="V34" s="31"/>
      <c r="W34" s="31"/>
      <c r="X34" s="31"/>
      <c r="Y34" s="31"/>
      <c r="Z34" s="25"/>
    </row>
    <row r="35" spans="1:26" ht="18" customHeight="1" x14ac:dyDescent="0.25">
      <c r="A35" s="204" t="s">
        <v>85</v>
      </c>
      <c r="B35" s="204"/>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row>
    <row r="36" spans="1:26" ht="18" customHeight="1" x14ac:dyDescent="0.25">
      <c r="A36" s="204"/>
      <c r="B36" s="204"/>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row>
    <row r="37" spans="1:26" ht="18" customHeight="1" x14ac:dyDescent="0.25">
      <c r="A37" s="14"/>
      <c r="B37" s="130" t="s">
        <v>71</v>
      </c>
      <c r="C37" s="158"/>
      <c r="D37" s="158"/>
      <c r="E37" s="158"/>
      <c r="F37" s="131"/>
      <c r="G37" s="26" t="s">
        <v>72</v>
      </c>
      <c r="H37" s="100" t="s">
        <v>73</v>
      </c>
      <c r="I37" s="130" t="s">
        <v>74</v>
      </c>
      <c r="J37" s="158"/>
      <c r="K37" s="131"/>
      <c r="L37" s="67" t="s">
        <v>86</v>
      </c>
      <c r="M37" s="67" t="s">
        <v>87</v>
      </c>
      <c r="N37" s="130" t="s">
        <v>71</v>
      </c>
      <c r="O37" s="158"/>
      <c r="P37" s="158"/>
      <c r="Q37" s="158"/>
      <c r="R37" s="158"/>
      <c r="S37" s="131"/>
      <c r="T37" s="26" t="s">
        <v>72</v>
      </c>
      <c r="U37" s="100" t="s">
        <v>73</v>
      </c>
      <c r="V37" s="130" t="s">
        <v>74</v>
      </c>
      <c r="W37" s="158"/>
      <c r="X37" s="131"/>
      <c r="Y37" s="67" t="s">
        <v>86</v>
      </c>
      <c r="Z37" s="67" t="s">
        <v>87</v>
      </c>
    </row>
    <row r="38" spans="1:26" ht="18" customHeight="1" x14ac:dyDescent="0.25">
      <c r="A38" s="25"/>
      <c r="B38" s="163" t="s">
        <v>77</v>
      </c>
      <c r="C38" s="164"/>
      <c r="D38" s="164"/>
      <c r="E38" s="164"/>
      <c r="F38" s="165"/>
      <c r="G38" s="101">
        <v>3</v>
      </c>
      <c r="H38" s="101" t="s">
        <v>78</v>
      </c>
      <c r="I38" s="169" t="s">
        <v>79</v>
      </c>
      <c r="J38" s="170"/>
      <c r="K38" s="171"/>
      <c r="L38" s="101"/>
      <c r="M38" s="101" t="s">
        <v>78</v>
      </c>
      <c r="N38" s="159"/>
      <c r="O38" s="160"/>
      <c r="P38" s="160"/>
      <c r="Q38" s="160"/>
      <c r="R38" s="160"/>
      <c r="S38" s="161"/>
      <c r="T38" s="101"/>
      <c r="U38" s="101"/>
      <c r="V38" s="169"/>
      <c r="W38" s="170"/>
      <c r="X38" s="171"/>
      <c r="Y38" s="101"/>
      <c r="Z38" s="101"/>
    </row>
    <row r="39" spans="1:26" ht="18" customHeight="1" x14ac:dyDescent="0.25">
      <c r="A39" s="25"/>
      <c r="B39" s="155" t="s">
        <v>88</v>
      </c>
      <c r="C39" s="156"/>
      <c r="D39" s="156"/>
      <c r="E39" s="156"/>
      <c r="F39" s="157"/>
      <c r="G39" s="102">
        <v>2</v>
      </c>
      <c r="H39" s="102" t="s">
        <v>78</v>
      </c>
      <c r="I39" s="140" t="s">
        <v>79</v>
      </c>
      <c r="J39" s="141"/>
      <c r="K39" s="142"/>
      <c r="L39" s="102" t="s">
        <v>78</v>
      </c>
      <c r="M39" s="102"/>
      <c r="N39" s="146"/>
      <c r="O39" s="147"/>
      <c r="P39" s="147"/>
      <c r="Q39" s="147"/>
      <c r="R39" s="147"/>
      <c r="S39" s="148"/>
      <c r="T39" s="102"/>
      <c r="U39" s="102"/>
      <c r="V39" s="140"/>
      <c r="W39" s="141"/>
      <c r="X39" s="142"/>
      <c r="Y39" s="102"/>
      <c r="Z39" s="102"/>
    </row>
    <row r="40" spans="1:26" ht="18" customHeight="1" x14ac:dyDescent="0.25">
      <c r="A40" s="25"/>
      <c r="B40" s="155" t="s">
        <v>89</v>
      </c>
      <c r="C40" s="156"/>
      <c r="D40" s="156"/>
      <c r="E40" s="156"/>
      <c r="F40" s="157"/>
      <c r="G40" s="102">
        <v>4</v>
      </c>
      <c r="H40" s="102" t="s">
        <v>78</v>
      </c>
      <c r="I40" s="140" t="s">
        <v>79</v>
      </c>
      <c r="J40" s="141"/>
      <c r="K40" s="142"/>
      <c r="L40" s="102" t="s">
        <v>78</v>
      </c>
      <c r="M40" s="102"/>
      <c r="N40" s="146"/>
      <c r="O40" s="147"/>
      <c r="P40" s="147"/>
      <c r="Q40" s="147"/>
      <c r="R40" s="147"/>
      <c r="S40" s="148"/>
      <c r="T40" s="102"/>
      <c r="U40" s="102"/>
      <c r="V40" s="140"/>
      <c r="W40" s="141"/>
      <c r="X40" s="142"/>
      <c r="Y40" s="102"/>
      <c r="Z40" s="102"/>
    </row>
    <row r="41" spans="1:26" ht="18" customHeight="1" x14ac:dyDescent="0.25">
      <c r="A41" s="25"/>
      <c r="B41" s="155"/>
      <c r="C41" s="156"/>
      <c r="D41" s="156"/>
      <c r="E41" s="156"/>
      <c r="F41" s="157"/>
      <c r="G41" s="102"/>
      <c r="H41" s="102"/>
      <c r="I41" s="140"/>
      <c r="J41" s="141"/>
      <c r="K41" s="142"/>
      <c r="L41" s="102"/>
      <c r="M41" s="102"/>
      <c r="N41" s="146"/>
      <c r="O41" s="147"/>
      <c r="P41" s="147"/>
      <c r="Q41" s="147"/>
      <c r="R41" s="147"/>
      <c r="S41" s="148"/>
      <c r="T41" s="102"/>
      <c r="U41" s="102"/>
      <c r="V41" s="140"/>
      <c r="W41" s="141"/>
      <c r="X41" s="142"/>
      <c r="Y41" s="102"/>
      <c r="Z41" s="102"/>
    </row>
    <row r="42" spans="1:26" ht="18" customHeight="1" x14ac:dyDescent="0.25">
      <c r="A42" s="25"/>
      <c r="B42" s="155"/>
      <c r="C42" s="156"/>
      <c r="D42" s="156"/>
      <c r="E42" s="156"/>
      <c r="F42" s="157"/>
      <c r="G42" s="102"/>
      <c r="H42" s="102"/>
      <c r="I42" s="140"/>
      <c r="J42" s="141"/>
      <c r="K42" s="142"/>
      <c r="L42" s="102"/>
      <c r="M42" s="102"/>
      <c r="N42" s="146"/>
      <c r="O42" s="147"/>
      <c r="P42" s="147"/>
      <c r="Q42" s="147"/>
      <c r="R42" s="147"/>
      <c r="S42" s="148"/>
      <c r="T42" s="102"/>
      <c r="U42" s="102"/>
      <c r="V42" s="140"/>
      <c r="W42" s="141"/>
      <c r="X42" s="142"/>
      <c r="Y42" s="102"/>
      <c r="Z42" s="102"/>
    </row>
    <row r="43" spans="1:26" ht="18" customHeight="1" x14ac:dyDescent="0.25">
      <c r="A43" s="25"/>
      <c r="B43" s="155"/>
      <c r="C43" s="156"/>
      <c r="D43" s="156"/>
      <c r="E43" s="156"/>
      <c r="F43" s="157"/>
      <c r="G43" s="102"/>
      <c r="H43" s="102"/>
      <c r="I43" s="140"/>
      <c r="J43" s="141"/>
      <c r="K43" s="142"/>
      <c r="L43" s="102"/>
      <c r="M43" s="102"/>
      <c r="N43" s="146"/>
      <c r="O43" s="147"/>
      <c r="P43" s="147"/>
      <c r="Q43" s="147"/>
      <c r="R43" s="147"/>
      <c r="S43" s="148"/>
      <c r="T43" s="102"/>
      <c r="U43" s="102"/>
      <c r="V43" s="140"/>
      <c r="W43" s="141"/>
      <c r="X43" s="142"/>
      <c r="Y43" s="102"/>
      <c r="Z43" s="102"/>
    </row>
    <row r="44" spans="1:26" ht="18" customHeight="1" x14ac:dyDescent="0.25">
      <c r="A44" s="25"/>
      <c r="B44" s="143"/>
      <c r="C44" s="144"/>
      <c r="D44" s="144"/>
      <c r="E44" s="144"/>
      <c r="F44" s="145"/>
      <c r="G44" s="105"/>
      <c r="H44" s="105"/>
      <c r="I44" s="152"/>
      <c r="J44" s="153"/>
      <c r="K44" s="154"/>
      <c r="L44" s="105"/>
      <c r="M44" s="105"/>
      <c r="N44" s="149"/>
      <c r="O44" s="150"/>
      <c r="P44" s="150"/>
      <c r="Q44" s="150"/>
      <c r="R44" s="150"/>
      <c r="S44" s="151"/>
      <c r="T44" s="105"/>
      <c r="U44" s="105"/>
      <c r="V44" s="152"/>
      <c r="W44" s="153"/>
      <c r="X44" s="154"/>
      <c r="Y44" s="105"/>
      <c r="Z44" s="105"/>
    </row>
    <row r="45" spans="1:26" ht="7.5" customHeight="1" x14ac:dyDescent="0.25">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6" ht="18" customHeight="1" x14ac:dyDescent="0.25">
      <c r="A46" s="204" t="s">
        <v>90</v>
      </c>
      <c r="B46" s="204"/>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row>
    <row r="47" spans="1:26" ht="18" customHeight="1" x14ac:dyDescent="0.25">
      <c r="A47" s="204"/>
      <c r="B47" s="204"/>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row>
    <row r="48" spans="1:26" ht="18" customHeight="1" x14ac:dyDescent="0.25">
      <c r="A48" s="14"/>
      <c r="B48" s="130" t="s">
        <v>71</v>
      </c>
      <c r="C48" s="158"/>
      <c r="D48" s="158"/>
      <c r="E48" s="158"/>
      <c r="F48" s="131"/>
      <c r="G48" s="26" t="s">
        <v>72</v>
      </c>
      <c r="H48" s="100" t="s">
        <v>73</v>
      </c>
      <c r="I48" s="130" t="s">
        <v>74</v>
      </c>
      <c r="J48" s="158"/>
      <c r="K48" s="131"/>
      <c r="L48" s="67" t="s">
        <v>91</v>
      </c>
      <c r="M48" s="67" t="s">
        <v>92</v>
      </c>
      <c r="N48" s="130" t="s">
        <v>71</v>
      </c>
      <c r="O48" s="158"/>
      <c r="P48" s="158"/>
      <c r="Q48" s="158"/>
      <c r="R48" s="158"/>
      <c r="S48" s="131"/>
      <c r="T48" s="26" t="s">
        <v>72</v>
      </c>
      <c r="U48" s="100" t="s">
        <v>73</v>
      </c>
      <c r="V48" s="130" t="s">
        <v>74</v>
      </c>
      <c r="W48" s="158"/>
      <c r="X48" s="131"/>
      <c r="Y48" s="67" t="s">
        <v>91</v>
      </c>
      <c r="Z48" s="67" t="s">
        <v>92</v>
      </c>
    </row>
    <row r="49" spans="1:26" ht="18" customHeight="1" x14ac:dyDescent="0.25">
      <c r="A49" s="25"/>
      <c r="B49" s="163" t="s">
        <v>77</v>
      </c>
      <c r="C49" s="164"/>
      <c r="D49" s="164"/>
      <c r="E49" s="164"/>
      <c r="F49" s="165"/>
      <c r="G49" s="101">
        <v>3</v>
      </c>
      <c r="H49" s="101" t="s">
        <v>78</v>
      </c>
      <c r="I49" s="169" t="s">
        <v>79</v>
      </c>
      <c r="J49" s="170"/>
      <c r="K49" s="171"/>
      <c r="L49" s="101" t="s">
        <v>78</v>
      </c>
      <c r="M49" s="101" t="s">
        <v>78</v>
      </c>
      <c r="N49" s="159"/>
      <c r="O49" s="160"/>
      <c r="P49" s="160"/>
      <c r="Q49" s="160"/>
      <c r="R49" s="160"/>
      <c r="S49" s="161"/>
      <c r="T49" s="101"/>
      <c r="U49" s="101"/>
      <c r="V49" s="169"/>
      <c r="W49" s="170"/>
      <c r="X49" s="171"/>
      <c r="Y49" s="101"/>
      <c r="Z49" s="101"/>
    </row>
    <row r="50" spans="1:26" ht="18" customHeight="1" x14ac:dyDescent="0.25">
      <c r="A50" s="25"/>
      <c r="B50" s="155"/>
      <c r="C50" s="156"/>
      <c r="D50" s="156"/>
      <c r="E50" s="156"/>
      <c r="F50" s="157"/>
      <c r="G50" s="102"/>
      <c r="H50" s="102"/>
      <c r="I50" s="140"/>
      <c r="J50" s="141"/>
      <c r="K50" s="142"/>
      <c r="L50" s="102"/>
      <c r="M50" s="102"/>
      <c r="N50" s="146"/>
      <c r="O50" s="147"/>
      <c r="P50" s="147"/>
      <c r="Q50" s="147"/>
      <c r="R50" s="147"/>
      <c r="S50" s="148"/>
      <c r="T50" s="102"/>
      <c r="U50" s="102"/>
      <c r="V50" s="140"/>
      <c r="W50" s="141"/>
      <c r="X50" s="142"/>
      <c r="Y50" s="102"/>
      <c r="Z50" s="102"/>
    </row>
    <row r="51" spans="1:26" ht="18" customHeight="1" x14ac:dyDescent="0.25">
      <c r="A51" s="25"/>
      <c r="B51" s="155"/>
      <c r="C51" s="156"/>
      <c r="D51" s="156"/>
      <c r="E51" s="156"/>
      <c r="F51" s="157"/>
      <c r="G51" s="102"/>
      <c r="H51" s="102"/>
      <c r="I51" s="140"/>
      <c r="J51" s="141"/>
      <c r="K51" s="142"/>
      <c r="L51" s="102"/>
      <c r="M51" s="102"/>
      <c r="N51" s="146"/>
      <c r="O51" s="147"/>
      <c r="P51" s="147"/>
      <c r="Q51" s="147"/>
      <c r="R51" s="147"/>
      <c r="S51" s="148"/>
      <c r="T51" s="102"/>
      <c r="U51" s="102"/>
      <c r="V51" s="140"/>
      <c r="W51" s="141"/>
      <c r="X51" s="142"/>
      <c r="Y51" s="102"/>
      <c r="Z51" s="102"/>
    </row>
    <row r="52" spans="1:26" ht="18" customHeight="1" x14ac:dyDescent="0.25">
      <c r="A52" s="25"/>
      <c r="B52" s="155"/>
      <c r="C52" s="156"/>
      <c r="D52" s="156"/>
      <c r="E52" s="156"/>
      <c r="F52" s="157"/>
      <c r="G52" s="102"/>
      <c r="H52" s="102"/>
      <c r="I52" s="140"/>
      <c r="J52" s="141"/>
      <c r="K52" s="142"/>
      <c r="L52" s="102"/>
      <c r="M52" s="102"/>
      <c r="N52" s="146"/>
      <c r="O52" s="147"/>
      <c r="P52" s="147"/>
      <c r="Q52" s="147"/>
      <c r="R52" s="147"/>
      <c r="S52" s="148"/>
      <c r="T52" s="102"/>
      <c r="U52" s="102"/>
      <c r="V52" s="140"/>
      <c r="W52" s="141"/>
      <c r="X52" s="142"/>
      <c r="Y52" s="102"/>
      <c r="Z52" s="102"/>
    </row>
    <row r="53" spans="1:26" ht="18" customHeight="1" x14ac:dyDescent="0.25">
      <c r="A53" s="25"/>
      <c r="B53" s="155"/>
      <c r="C53" s="156"/>
      <c r="D53" s="156"/>
      <c r="E53" s="156"/>
      <c r="F53" s="157"/>
      <c r="G53" s="102"/>
      <c r="H53" s="102"/>
      <c r="I53" s="140"/>
      <c r="J53" s="141"/>
      <c r="K53" s="142"/>
      <c r="L53" s="102"/>
      <c r="M53" s="102"/>
      <c r="N53" s="146"/>
      <c r="O53" s="147"/>
      <c r="P53" s="147"/>
      <c r="Q53" s="147"/>
      <c r="R53" s="147"/>
      <c r="S53" s="148"/>
      <c r="T53" s="102"/>
      <c r="U53" s="102"/>
      <c r="V53" s="140"/>
      <c r="W53" s="141"/>
      <c r="X53" s="142"/>
      <c r="Y53" s="102"/>
      <c r="Z53" s="102"/>
    </row>
    <row r="54" spans="1:26" ht="18" customHeight="1" x14ac:dyDescent="0.25">
      <c r="A54" s="25"/>
      <c r="B54" s="155"/>
      <c r="C54" s="156"/>
      <c r="D54" s="156"/>
      <c r="E54" s="156"/>
      <c r="F54" s="157"/>
      <c r="G54" s="102"/>
      <c r="H54" s="102"/>
      <c r="I54" s="140"/>
      <c r="J54" s="141"/>
      <c r="K54" s="142"/>
      <c r="L54" s="102"/>
      <c r="M54" s="102"/>
      <c r="N54" s="146"/>
      <c r="O54" s="147"/>
      <c r="P54" s="147"/>
      <c r="Q54" s="147"/>
      <c r="R54" s="147"/>
      <c r="S54" s="148"/>
      <c r="T54" s="102"/>
      <c r="U54" s="102"/>
      <c r="V54" s="140"/>
      <c r="W54" s="141"/>
      <c r="X54" s="142"/>
      <c r="Y54" s="102"/>
      <c r="Z54" s="102"/>
    </row>
    <row r="55" spans="1:26" ht="18" customHeight="1" x14ac:dyDescent="0.25">
      <c r="A55" s="25"/>
      <c r="B55" s="143"/>
      <c r="C55" s="144"/>
      <c r="D55" s="144"/>
      <c r="E55" s="144"/>
      <c r="F55" s="145"/>
      <c r="G55" s="103"/>
      <c r="H55" s="103"/>
      <c r="I55" s="152"/>
      <c r="J55" s="153"/>
      <c r="K55" s="154"/>
      <c r="L55" s="105"/>
      <c r="M55" s="105"/>
      <c r="N55" s="149"/>
      <c r="O55" s="150"/>
      <c r="P55" s="150"/>
      <c r="Q55" s="150"/>
      <c r="R55" s="150"/>
      <c r="S55" s="151"/>
      <c r="T55" s="103"/>
      <c r="U55" s="103"/>
      <c r="V55" s="152"/>
      <c r="W55" s="153"/>
      <c r="X55" s="154"/>
      <c r="Y55" s="105"/>
      <c r="Z55" s="105"/>
    </row>
    <row r="56" spans="1:26" ht="7.5" customHeight="1" x14ac:dyDescent="0.25">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6" ht="18" customHeight="1" x14ac:dyDescent="0.25">
      <c r="A57" s="204" t="s">
        <v>93</v>
      </c>
      <c r="B57" s="204"/>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row>
    <row r="58" spans="1:26" ht="18" customHeight="1" x14ac:dyDescent="0.25">
      <c r="A58" s="204"/>
      <c r="B58" s="204"/>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row>
    <row r="59" spans="1:26" ht="18" customHeight="1" x14ac:dyDescent="0.25">
      <c r="A59" s="14"/>
      <c r="B59" s="130" t="s">
        <v>71</v>
      </c>
      <c r="C59" s="158"/>
      <c r="D59" s="158"/>
      <c r="E59" s="131"/>
      <c r="F59" s="26" t="s">
        <v>72</v>
      </c>
      <c r="G59" s="100" t="s">
        <v>73</v>
      </c>
      <c r="H59" s="22" t="s">
        <v>74</v>
      </c>
      <c r="I59" s="98"/>
      <c r="J59" s="23"/>
      <c r="K59" s="67" t="s">
        <v>94</v>
      </c>
      <c r="L59" s="67" t="s">
        <v>95</v>
      </c>
      <c r="M59" s="67" t="s">
        <v>96</v>
      </c>
      <c r="N59" s="130" t="s">
        <v>71</v>
      </c>
      <c r="O59" s="158"/>
      <c r="P59" s="158"/>
      <c r="Q59" s="158"/>
      <c r="R59" s="131"/>
      <c r="S59" s="26" t="s">
        <v>72</v>
      </c>
      <c r="T59" s="100" t="s">
        <v>73</v>
      </c>
      <c r="U59" s="22" t="s">
        <v>74</v>
      </c>
      <c r="V59" s="98"/>
      <c r="W59" s="23"/>
      <c r="X59" s="67" t="s">
        <v>94</v>
      </c>
      <c r="Y59" s="67" t="s">
        <v>95</v>
      </c>
      <c r="Z59" s="67" t="s">
        <v>96</v>
      </c>
    </row>
    <row r="60" spans="1:26" ht="18" customHeight="1" x14ac:dyDescent="0.25">
      <c r="A60" s="25"/>
      <c r="B60" s="159" t="s">
        <v>77</v>
      </c>
      <c r="C60" s="160"/>
      <c r="D60" s="160"/>
      <c r="E60" s="161"/>
      <c r="F60" s="101">
        <v>3</v>
      </c>
      <c r="G60" s="101" t="s">
        <v>78</v>
      </c>
      <c r="H60" s="169" t="s">
        <v>79</v>
      </c>
      <c r="I60" s="170"/>
      <c r="J60" s="171"/>
      <c r="K60" s="108"/>
      <c r="L60" s="101" t="s">
        <v>78</v>
      </c>
      <c r="M60" s="101" t="s">
        <v>78</v>
      </c>
      <c r="N60" s="159"/>
      <c r="O60" s="160"/>
      <c r="P60" s="160"/>
      <c r="Q60" s="160"/>
      <c r="R60" s="161"/>
      <c r="S60" s="101"/>
      <c r="T60" s="101"/>
      <c r="U60" s="169"/>
      <c r="V60" s="170"/>
      <c r="W60" s="171"/>
      <c r="X60" s="108"/>
      <c r="Y60" s="101"/>
      <c r="Z60" s="101"/>
    </row>
    <row r="61" spans="1:26" ht="18" customHeight="1" x14ac:dyDescent="0.25">
      <c r="A61" s="25"/>
      <c r="B61" s="146" t="s">
        <v>97</v>
      </c>
      <c r="C61" s="147"/>
      <c r="D61" s="147"/>
      <c r="E61" s="148"/>
      <c r="F61" s="102">
        <v>2</v>
      </c>
      <c r="G61" s="102" t="s">
        <v>78</v>
      </c>
      <c r="H61" s="140" t="s">
        <v>79</v>
      </c>
      <c r="I61" s="141"/>
      <c r="J61" s="142"/>
      <c r="K61" s="102" t="s">
        <v>78</v>
      </c>
      <c r="L61" s="102"/>
      <c r="M61" s="102"/>
      <c r="N61" s="146"/>
      <c r="O61" s="147"/>
      <c r="P61" s="147"/>
      <c r="Q61" s="147"/>
      <c r="R61" s="148"/>
      <c r="S61" s="102"/>
      <c r="T61" s="102"/>
      <c r="U61" s="140"/>
      <c r="V61" s="141"/>
      <c r="W61" s="142"/>
      <c r="X61" s="106"/>
      <c r="Y61" s="102"/>
      <c r="Z61" s="102"/>
    </row>
    <row r="62" spans="1:26" ht="18" customHeight="1" x14ac:dyDescent="0.25">
      <c r="A62" s="25"/>
      <c r="B62" s="146"/>
      <c r="C62" s="147"/>
      <c r="D62" s="147"/>
      <c r="E62" s="148"/>
      <c r="F62" s="102"/>
      <c r="G62" s="102"/>
      <c r="H62" s="140"/>
      <c r="I62" s="141"/>
      <c r="J62" s="142"/>
      <c r="K62" s="106"/>
      <c r="L62" s="102"/>
      <c r="M62" s="102"/>
      <c r="N62" s="146"/>
      <c r="O62" s="147"/>
      <c r="P62" s="147"/>
      <c r="Q62" s="147"/>
      <c r="R62" s="148"/>
      <c r="S62" s="102"/>
      <c r="T62" s="102"/>
      <c r="U62" s="140"/>
      <c r="V62" s="141"/>
      <c r="W62" s="142"/>
      <c r="X62" s="106"/>
      <c r="Y62" s="102"/>
      <c r="Z62" s="102"/>
    </row>
    <row r="63" spans="1:26" ht="18" customHeight="1" x14ac:dyDescent="0.25">
      <c r="A63" s="25"/>
      <c r="B63" s="146"/>
      <c r="C63" s="147"/>
      <c r="D63" s="147"/>
      <c r="E63" s="148"/>
      <c r="F63" s="102"/>
      <c r="G63" s="102"/>
      <c r="H63" s="140"/>
      <c r="I63" s="141"/>
      <c r="J63" s="142"/>
      <c r="K63" s="106"/>
      <c r="L63" s="102"/>
      <c r="M63" s="102"/>
      <c r="N63" s="146"/>
      <c r="O63" s="147"/>
      <c r="P63" s="147"/>
      <c r="Q63" s="147"/>
      <c r="R63" s="148"/>
      <c r="S63" s="102"/>
      <c r="T63" s="102"/>
      <c r="U63" s="140"/>
      <c r="V63" s="141"/>
      <c r="W63" s="142"/>
      <c r="X63" s="106"/>
      <c r="Y63" s="102"/>
      <c r="Z63" s="102"/>
    </row>
    <row r="64" spans="1:26" ht="18" customHeight="1" x14ac:dyDescent="0.25">
      <c r="A64" s="25"/>
      <c r="B64" s="146"/>
      <c r="C64" s="147"/>
      <c r="D64" s="147"/>
      <c r="E64" s="148"/>
      <c r="F64" s="102"/>
      <c r="G64" s="102"/>
      <c r="H64" s="140"/>
      <c r="I64" s="141"/>
      <c r="J64" s="142"/>
      <c r="K64" s="106"/>
      <c r="L64" s="102"/>
      <c r="M64" s="102"/>
      <c r="N64" s="146"/>
      <c r="O64" s="147"/>
      <c r="P64" s="147"/>
      <c r="Q64" s="147"/>
      <c r="R64" s="148"/>
      <c r="S64" s="102"/>
      <c r="T64" s="102"/>
      <c r="U64" s="140"/>
      <c r="V64" s="141"/>
      <c r="W64" s="142"/>
      <c r="X64" s="106"/>
      <c r="Y64" s="102"/>
      <c r="Z64" s="102"/>
    </row>
    <row r="65" spans="1:26" ht="18" customHeight="1" x14ac:dyDescent="0.25">
      <c r="A65" s="25"/>
      <c r="B65" s="146"/>
      <c r="C65" s="147"/>
      <c r="D65" s="147"/>
      <c r="E65" s="148"/>
      <c r="F65" s="102"/>
      <c r="G65" s="102"/>
      <c r="H65" s="140"/>
      <c r="I65" s="141"/>
      <c r="J65" s="142"/>
      <c r="K65" s="106"/>
      <c r="L65" s="102"/>
      <c r="M65" s="102"/>
      <c r="N65" s="146"/>
      <c r="O65" s="147"/>
      <c r="P65" s="147"/>
      <c r="Q65" s="147"/>
      <c r="R65" s="148"/>
      <c r="S65" s="102"/>
      <c r="T65" s="102"/>
      <c r="U65" s="140"/>
      <c r="V65" s="141"/>
      <c r="W65" s="142"/>
      <c r="X65" s="106"/>
      <c r="Y65" s="102"/>
      <c r="Z65" s="102"/>
    </row>
    <row r="66" spans="1:26" ht="18" customHeight="1" x14ac:dyDescent="0.25">
      <c r="A66" s="25"/>
      <c r="B66" s="149"/>
      <c r="C66" s="150"/>
      <c r="D66" s="150"/>
      <c r="E66" s="151"/>
      <c r="F66" s="105"/>
      <c r="G66" s="105"/>
      <c r="H66" s="152"/>
      <c r="I66" s="153"/>
      <c r="J66" s="154"/>
      <c r="K66" s="107"/>
      <c r="L66" s="105"/>
      <c r="M66" s="105"/>
      <c r="N66" s="149"/>
      <c r="O66" s="150"/>
      <c r="P66" s="150"/>
      <c r="Q66" s="150"/>
      <c r="R66" s="151"/>
      <c r="S66" s="105"/>
      <c r="T66" s="105"/>
      <c r="U66" s="152"/>
      <c r="V66" s="153"/>
      <c r="W66" s="154"/>
      <c r="X66" s="107"/>
      <c r="Y66" s="105"/>
      <c r="Z66" s="105"/>
    </row>
    <row r="67" spans="1:26" ht="7.5" customHeight="1" x14ac:dyDescent="0.25">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6" ht="18" customHeight="1" x14ac:dyDescent="0.25">
      <c r="A68" s="14" t="s">
        <v>98</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25">
      <c r="A69" s="14"/>
      <c r="B69" s="130" t="s">
        <v>71</v>
      </c>
      <c r="C69" s="158"/>
      <c r="D69" s="158"/>
      <c r="E69" s="158"/>
      <c r="F69" s="131"/>
      <c r="G69" s="130" t="s">
        <v>99</v>
      </c>
      <c r="H69" s="158"/>
      <c r="I69" s="158"/>
      <c r="J69" s="158"/>
      <c r="K69" s="158"/>
      <c r="L69" s="158"/>
      <c r="M69" s="131"/>
      <c r="N69" s="166" t="s">
        <v>71</v>
      </c>
      <c r="O69" s="167"/>
      <c r="P69" s="167"/>
      <c r="Q69" s="167"/>
      <c r="R69" s="167"/>
      <c r="S69" s="168"/>
      <c r="T69" s="130" t="s">
        <v>99</v>
      </c>
      <c r="U69" s="158"/>
      <c r="V69" s="158"/>
      <c r="W69" s="158"/>
      <c r="X69" s="158"/>
      <c r="Y69" s="158"/>
      <c r="Z69" s="131"/>
    </row>
    <row r="70" spans="1:26" ht="18" customHeight="1" x14ac:dyDescent="0.25">
      <c r="A70" s="25"/>
      <c r="B70" s="159" t="s">
        <v>100</v>
      </c>
      <c r="C70" s="160"/>
      <c r="D70" s="160"/>
      <c r="E70" s="160"/>
      <c r="F70" s="161"/>
      <c r="G70" s="215" t="s">
        <v>101</v>
      </c>
      <c r="H70" s="216"/>
      <c r="I70" s="216"/>
      <c r="J70" s="216"/>
      <c r="K70" s="216"/>
      <c r="L70" s="216"/>
      <c r="M70" s="217"/>
      <c r="N70" s="159"/>
      <c r="O70" s="160"/>
      <c r="P70" s="160"/>
      <c r="Q70" s="160"/>
      <c r="R70" s="160"/>
      <c r="S70" s="161"/>
      <c r="T70" s="215"/>
      <c r="U70" s="216"/>
      <c r="V70" s="216"/>
      <c r="W70" s="216"/>
      <c r="X70" s="216"/>
      <c r="Y70" s="216"/>
      <c r="Z70" s="217"/>
    </row>
    <row r="71" spans="1:26" ht="18" customHeight="1" x14ac:dyDescent="0.25">
      <c r="A71" s="25"/>
      <c r="B71" s="146" t="s">
        <v>102</v>
      </c>
      <c r="C71" s="147"/>
      <c r="D71" s="147"/>
      <c r="E71" s="147"/>
      <c r="F71" s="148"/>
      <c r="G71" s="186" t="s">
        <v>101</v>
      </c>
      <c r="H71" s="187"/>
      <c r="I71" s="187"/>
      <c r="J71" s="187"/>
      <c r="K71" s="187"/>
      <c r="L71" s="187"/>
      <c r="M71" s="188"/>
      <c r="N71" s="146"/>
      <c r="O71" s="147"/>
      <c r="P71" s="147"/>
      <c r="Q71" s="147"/>
      <c r="R71" s="147"/>
      <c r="S71" s="148"/>
      <c r="T71" s="186"/>
      <c r="U71" s="187"/>
      <c r="V71" s="187"/>
      <c r="W71" s="187"/>
      <c r="X71" s="187"/>
      <c r="Y71" s="187"/>
      <c r="Z71" s="188"/>
    </row>
    <row r="72" spans="1:26" ht="18" customHeight="1" x14ac:dyDescent="0.25">
      <c r="A72" s="25"/>
      <c r="B72" s="146" t="s">
        <v>103</v>
      </c>
      <c r="C72" s="147"/>
      <c r="D72" s="147"/>
      <c r="E72" s="147"/>
      <c r="F72" s="148"/>
      <c r="G72" s="186" t="s">
        <v>101</v>
      </c>
      <c r="H72" s="187"/>
      <c r="I72" s="187"/>
      <c r="J72" s="187"/>
      <c r="K72" s="187"/>
      <c r="L72" s="187"/>
      <c r="M72" s="188"/>
      <c r="N72" s="146"/>
      <c r="O72" s="147"/>
      <c r="P72" s="147"/>
      <c r="Q72" s="147"/>
      <c r="R72" s="147"/>
      <c r="S72" s="148"/>
      <c r="T72" s="186"/>
      <c r="U72" s="187"/>
      <c r="V72" s="187"/>
      <c r="W72" s="187"/>
      <c r="X72" s="187"/>
      <c r="Y72" s="187"/>
      <c r="Z72" s="188"/>
    </row>
    <row r="73" spans="1:26" ht="18" customHeight="1" x14ac:dyDescent="0.25">
      <c r="A73" s="25"/>
      <c r="B73" s="146" t="s">
        <v>104</v>
      </c>
      <c r="C73" s="147"/>
      <c r="D73" s="147"/>
      <c r="E73" s="147"/>
      <c r="F73" s="148"/>
      <c r="G73" s="186" t="s">
        <v>101</v>
      </c>
      <c r="H73" s="187"/>
      <c r="I73" s="187"/>
      <c r="J73" s="187"/>
      <c r="K73" s="187"/>
      <c r="L73" s="187"/>
      <c r="M73" s="188"/>
      <c r="N73" s="146"/>
      <c r="O73" s="147"/>
      <c r="P73" s="147"/>
      <c r="Q73" s="147"/>
      <c r="R73" s="147"/>
      <c r="S73" s="148"/>
      <c r="T73" s="186"/>
      <c r="U73" s="187"/>
      <c r="V73" s="187"/>
      <c r="W73" s="187"/>
      <c r="X73" s="187"/>
      <c r="Y73" s="187"/>
      <c r="Z73" s="188"/>
    </row>
    <row r="74" spans="1:26" ht="18" customHeight="1" x14ac:dyDescent="0.25">
      <c r="A74" s="25"/>
      <c r="B74" s="146"/>
      <c r="C74" s="147"/>
      <c r="D74" s="147"/>
      <c r="E74" s="147"/>
      <c r="F74" s="148"/>
      <c r="G74" s="186"/>
      <c r="H74" s="187"/>
      <c r="I74" s="187"/>
      <c r="J74" s="187"/>
      <c r="K74" s="187"/>
      <c r="L74" s="187"/>
      <c r="M74" s="188"/>
      <c r="N74" s="146"/>
      <c r="O74" s="147"/>
      <c r="P74" s="147"/>
      <c r="Q74" s="147"/>
      <c r="R74" s="147"/>
      <c r="S74" s="148"/>
      <c r="T74" s="186"/>
      <c r="U74" s="187"/>
      <c r="V74" s="187"/>
      <c r="W74" s="187"/>
      <c r="X74" s="187"/>
      <c r="Y74" s="187"/>
      <c r="Z74" s="188"/>
    </row>
    <row r="75" spans="1:26" ht="18" customHeight="1" x14ac:dyDescent="0.25">
      <c r="A75" s="25"/>
      <c r="B75" s="146"/>
      <c r="C75" s="147"/>
      <c r="D75" s="147"/>
      <c r="E75" s="147"/>
      <c r="F75" s="148"/>
      <c r="G75" s="186"/>
      <c r="H75" s="187"/>
      <c r="I75" s="187"/>
      <c r="J75" s="187"/>
      <c r="K75" s="187"/>
      <c r="L75" s="187"/>
      <c r="M75" s="188"/>
      <c r="N75" s="146"/>
      <c r="O75" s="147"/>
      <c r="P75" s="147"/>
      <c r="Q75" s="147"/>
      <c r="R75" s="147"/>
      <c r="S75" s="148"/>
      <c r="T75" s="186"/>
      <c r="U75" s="187"/>
      <c r="V75" s="187"/>
      <c r="W75" s="187"/>
      <c r="X75" s="187"/>
      <c r="Y75" s="187"/>
      <c r="Z75" s="188"/>
    </row>
    <row r="76" spans="1:26" ht="18" customHeight="1" x14ac:dyDescent="0.25">
      <c r="A76" s="25"/>
      <c r="B76" s="149"/>
      <c r="C76" s="150"/>
      <c r="D76" s="150"/>
      <c r="E76" s="150"/>
      <c r="F76" s="151"/>
      <c r="G76" s="183"/>
      <c r="H76" s="184"/>
      <c r="I76" s="184"/>
      <c r="J76" s="184"/>
      <c r="K76" s="184"/>
      <c r="L76" s="184"/>
      <c r="M76" s="185"/>
      <c r="N76" s="149"/>
      <c r="O76" s="150"/>
      <c r="P76" s="150"/>
      <c r="Q76" s="150"/>
      <c r="R76" s="150"/>
      <c r="S76" s="151"/>
      <c r="T76" s="183"/>
      <c r="U76" s="184"/>
      <c r="V76" s="184"/>
      <c r="W76" s="184"/>
      <c r="X76" s="184"/>
      <c r="Y76" s="184"/>
      <c r="Z76" s="185"/>
    </row>
    <row r="77" spans="1:26" ht="18" customHeight="1" x14ac:dyDescent="0.25">
      <c r="A77" s="25"/>
      <c r="B77" s="31"/>
      <c r="C77" s="31"/>
      <c r="D77" s="31"/>
      <c r="E77" s="31"/>
      <c r="F77" s="31"/>
      <c r="G77" s="12"/>
      <c r="H77" s="12"/>
      <c r="I77" s="12"/>
      <c r="J77" s="12"/>
      <c r="K77" s="12"/>
      <c r="L77" s="12"/>
      <c r="M77" s="12"/>
      <c r="N77" s="31"/>
      <c r="O77" s="31"/>
      <c r="P77" s="31"/>
      <c r="Q77" s="31"/>
      <c r="R77" s="31"/>
      <c r="S77" s="31"/>
      <c r="T77" s="12"/>
      <c r="U77" s="12"/>
      <c r="V77" s="12"/>
      <c r="W77" s="12"/>
      <c r="X77" s="12"/>
      <c r="Y77" s="12"/>
      <c r="Z77" s="12"/>
    </row>
    <row r="78" spans="1:26" ht="18.75" customHeight="1" x14ac:dyDescent="0.25">
      <c r="A78" s="13" t="s">
        <v>105</v>
      </c>
    </row>
    <row r="79" spans="1:26" ht="18.75" customHeight="1" x14ac:dyDescent="0.25">
      <c r="B79" s="69" t="s">
        <v>106</v>
      </c>
      <c r="C79" s="70"/>
      <c r="D79" s="230" t="s">
        <v>107</v>
      </c>
      <c r="E79" s="230"/>
      <c r="F79" s="230"/>
      <c r="G79" s="230"/>
      <c r="H79" s="230"/>
      <c r="I79" s="230"/>
      <c r="J79" s="230"/>
      <c r="K79" s="230"/>
      <c r="L79" s="230"/>
      <c r="M79" s="230"/>
      <c r="N79" s="230"/>
      <c r="O79" s="230"/>
      <c r="P79" s="230"/>
      <c r="Q79" s="230"/>
      <c r="R79" s="230"/>
      <c r="S79" s="230"/>
      <c r="T79" s="230"/>
      <c r="U79" s="230"/>
      <c r="V79" s="230"/>
      <c r="W79" s="230"/>
      <c r="X79" s="230"/>
      <c r="Y79" s="230"/>
      <c r="Z79" s="231"/>
    </row>
    <row r="80" spans="1:26" ht="78" customHeight="1" x14ac:dyDescent="0.25">
      <c r="B80" s="223" t="s">
        <v>108</v>
      </c>
      <c r="C80" s="76" t="s">
        <v>75</v>
      </c>
      <c r="D80" s="201" t="s">
        <v>109</v>
      </c>
      <c r="E80" s="202"/>
      <c r="F80" s="202"/>
      <c r="G80" s="202"/>
      <c r="H80" s="202"/>
      <c r="I80" s="202"/>
      <c r="J80" s="202"/>
      <c r="K80" s="202"/>
      <c r="L80" s="202"/>
      <c r="M80" s="202"/>
      <c r="N80" s="202"/>
      <c r="O80" s="202"/>
      <c r="P80" s="202"/>
      <c r="Q80" s="202"/>
      <c r="R80" s="202"/>
      <c r="S80" s="202"/>
      <c r="T80" s="202"/>
      <c r="U80" s="202"/>
      <c r="V80" s="202"/>
      <c r="W80" s="202"/>
      <c r="X80" s="202"/>
      <c r="Y80" s="202"/>
      <c r="Z80" s="203"/>
    </row>
    <row r="81" spans="1:26" ht="78" customHeight="1" x14ac:dyDescent="0.25">
      <c r="B81" s="224"/>
      <c r="C81" s="99" t="s">
        <v>110</v>
      </c>
      <c r="D81" s="189" t="s">
        <v>206</v>
      </c>
      <c r="E81" s="190"/>
      <c r="F81" s="190"/>
      <c r="G81" s="190"/>
      <c r="H81" s="190"/>
      <c r="I81" s="190"/>
      <c r="J81" s="190"/>
      <c r="K81" s="190"/>
      <c r="L81" s="190"/>
      <c r="M81" s="190"/>
      <c r="N81" s="190"/>
      <c r="O81" s="190"/>
      <c r="P81" s="190"/>
      <c r="Q81" s="190"/>
      <c r="R81" s="190"/>
      <c r="S81" s="190"/>
      <c r="T81" s="190"/>
      <c r="U81" s="190"/>
      <c r="V81" s="190"/>
      <c r="W81" s="190"/>
      <c r="X81" s="190"/>
      <c r="Y81" s="190"/>
      <c r="Z81" s="191"/>
    </row>
    <row r="82" spans="1:26" ht="78" customHeight="1" x14ac:dyDescent="0.25">
      <c r="B82" s="221" t="s">
        <v>111</v>
      </c>
      <c r="C82" s="71" t="s">
        <v>82</v>
      </c>
      <c r="D82" s="192" t="s">
        <v>112</v>
      </c>
      <c r="E82" s="193"/>
      <c r="F82" s="193"/>
      <c r="G82" s="193"/>
      <c r="H82" s="193"/>
      <c r="I82" s="193"/>
      <c r="J82" s="193"/>
      <c r="K82" s="193"/>
      <c r="L82" s="193"/>
      <c r="M82" s="193"/>
      <c r="N82" s="193"/>
      <c r="O82" s="193"/>
      <c r="P82" s="193"/>
      <c r="Q82" s="193"/>
      <c r="R82" s="193"/>
      <c r="S82" s="193"/>
      <c r="T82" s="193"/>
      <c r="U82" s="193"/>
      <c r="V82" s="193"/>
      <c r="W82" s="193"/>
      <c r="X82" s="193"/>
      <c r="Y82" s="193"/>
      <c r="Z82" s="194"/>
    </row>
    <row r="83" spans="1:26" ht="78" customHeight="1" x14ac:dyDescent="0.25">
      <c r="B83" s="222"/>
      <c r="C83" s="99" t="s">
        <v>83</v>
      </c>
      <c r="D83" s="189" t="s">
        <v>113</v>
      </c>
      <c r="E83" s="190"/>
      <c r="F83" s="190"/>
      <c r="G83" s="190"/>
      <c r="H83" s="190"/>
      <c r="I83" s="190"/>
      <c r="J83" s="190"/>
      <c r="K83" s="190"/>
      <c r="L83" s="190"/>
      <c r="M83" s="190"/>
      <c r="N83" s="190"/>
      <c r="O83" s="190"/>
      <c r="P83" s="190"/>
      <c r="Q83" s="190"/>
      <c r="R83" s="190"/>
      <c r="S83" s="190"/>
      <c r="T83" s="190"/>
      <c r="U83" s="190"/>
      <c r="V83" s="190"/>
      <c r="W83" s="190"/>
      <c r="X83" s="190"/>
      <c r="Y83" s="190"/>
      <c r="Z83" s="191"/>
    </row>
    <row r="84" spans="1:26" ht="66" customHeight="1" x14ac:dyDescent="0.25">
      <c r="B84" s="221" t="s">
        <v>114</v>
      </c>
      <c r="C84" s="71" t="s">
        <v>86</v>
      </c>
      <c r="D84" s="198" t="s">
        <v>115</v>
      </c>
      <c r="E84" s="199"/>
      <c r="F84" s="199"/>
      <c r="G84" s="199"/>
      <c r="H84" s="199"/>
      <c r="I84" s="199"/>
      <c r="J84" s="199"/>
      <c r="K84" s="199"/>
      <c r="L84" s="199"/>
      <c r="M84" s="199"/>
      <c r="N84" s="199"/>
      <c r="O84" s="199"/>
      <c r="P84" s="199"/>
      <c r="Q84" s="199"/>
      <c r="R84" s="199"/>
      <c r="S84" s="199"/>
      <c r="T84" s="199"/>
      <c r="U84" s="199"/>
      <c r="V84" s="199"/>
      <c r="W84" s="199"/>
      <c r="X84" s="199"/>
      <c r="Y84" s="199"/>
      <c r="Z84" s="200"/>
    </row>
    <row r="85" spans="1:26" ht="66" customHeight="1" x14ac:dyDescent="0.25">
      <c r="B85" s="222"/>
      <c r="C85" s="73" t="s">
        <v>87</v>
      </c>
      <c r="D85" s="195" t="s">
        <v>116</v>
      </c>
      <c r="E85" s="196"/>
      <c r="F85" s="196"/>
      <c r="G85" s="196"/>
      <c r="H85" s="196"/>
      <c r="I85" s="196"/>
      <c r="J85" s="196"/>
      <c r="K85" s="196"/>
      <c r="L85" s="196"/>
      <c r="M85" s="196"/>
      <c r="N85" s="196"/>
      <c r="O85" s="196"/>
      <c r="P85" s="196"/>
      <c r="Q85" s="196"/>
      <c r="R85" s="196"/>
      <c r="S85" s="196"/>
      <c r="T85" s="196"/>
      <c r="U85" s="196"/>
      <c r="V85" s="196"/>
      <c r="W85" s="196"/>
      <c r="X85" s="196"/>
      <c r="Y85" s="196"/>
      <c r="Z85" s="197"/>
    </row>
    <row r="86" spans="1:26" ht="66" customHeight="1" x14ac:dyDescent="0.25">
      <c r="B86" s="223" t="s">
        <v>117</v>
      </c>
      <c r="C86" s="76" t="s">
        <v>91</v>
      </c>
      <c r="D86" s="201" t="s">
        <v>118</v>
      </c>
      <c r="E86" s="202"/>
      <c r="F86" s="202"/>
      <c r="G86" s="202"/>
      <c r="H86" s="202"/>
      <c r="I86" s="202"/>
      <c r="J86" s="202"/>
      <c r="K86" s="202"/>
      <c r="L86" s="202"/>
      <c r="M86" s="202"/>
      <c r="N86" s="202"/>
      <c r="O86" s="202"/>
      <c r="P86" s="202"/>
      <c r="Q86" s="202"/>
      <c r="R86" s="202"/>
      <c r="S86" s="202"/>
      <c r="T86" s="202"/>
      <c r="U86" s="202"/>
      <c r="V86" s="202"/>
      <c r="W86" s="202"/>
      <c r="X86" s="202"/>
      <c r="Y86" s="202"/>
      <c r="Z86" s="203"/>
    </row>
    <row r="87" spans="1:26" ht="66" customHeight="1" x14ac:dyDescent="0.25">
      <c r="B87" s="222"/>
      <c r="C87" s="99" t="s">
        <v>92</v>
      </c>
      <c r="D87" s="189" t="s">
        <v>119</v>
      </c>
      <c r="E87" s="190"/>
      <c r="F87" s="190"/>
      <c r="G87" s="190"/>
      <c r="H87" s="190"/>
      <c r="I87" s="190"/>
      <c r="J87" s="190"/>
      <c r="K87" s="190"/>
      <c r="L87" s="190"/>
      <c r="M87" s="190"/>
      <c r="N87" s="190"/>
      <c r="O87" s="190"/>
      <c r="P87" s="190"/>
      <c r="Q87" s="190"/>
      <c r="R87" s="190"/>
      <c r="S87" s="190"/>
      <c r="T87" s="190"/>
      <c r="U87" s="190"/>
      <c r="V87" s="190"/>
      <c r="W87" s="190"/>
      <c r="X87" s="190"/>
      <c r="Y87" s="190"/>
      <c r="Z87" s="191"/>
    </row>
    <row r="88" spans="1:26" ht="66" customHeight="1" x14ac:dyDescent="0.25">
      <c r="B88" s="223" t="s">
        <v>120</v>
      </c>
      <c r="C88" s="71" t="s">
        <v>94</v>
      </c>
      <c r="D88" s="226" t="s">
        <v>121</v>
      </c>
      <c r="E88" s="227"/>
      <c r="F88" s="227"/>
      <c r="G88" s="227"/>
      <c r="H88" s="227"/>
      <c r="I88" s="227"/>
      <c r="J88" s="227"/>
      <c r="K88" s="227"/>
      <c r="L88" s="227"/>
      <c r="M88" s="227"/>
      <c r="N88" s="227"/>
      <c r="O88" s="227"/>
      <c r="P88" s="227"/>
      <c r="Q88" s="227"/>
      <c r="R88" s="227"/>
      <c r="S88" s="227"/>
      <c r="T88" s="227"/>
      <c r="U88" s="227"/>
      <c r="V88" s="227"/>
      <c r="W88" s="227"/>
      <c r="X88" s="227"/>
      <c r="Y88" s="227"/>
      <c r="Z88" s="228"/>
    </row>
    <row r="89" spans="1:26" ht="66" customHeight="1" x14ac:dyDescent="0.25">
      <c r="B89" s="225"/>
      <c r="C89" s="72" t="s">
        <v>95</v>
      </c>
      <c r="D89" s="218" t="s">
        <v>122</v>
      </c>
      <c r="E89" s="219"/>
      <c r="F89" s="219"/>
      <c r="G89" s="219"/>
      <c r="H89" s="219"/>
      <c r="I89" s="219"/>
      <c r="J89" s="219"/>
      <c r="K89" s="219"/>
      <c r="L89" s="219"/>
      <c r="M89" s="219"/>
      <c r="N89" s="219"/>
      <c r="O89" s="219"/>
      <c r="P89" s="219"/>
      <c r="Q89" s="219"/>
      <c r="R89" s="219"/>
      <c r="S89" s="219"/>
      <c r="T89" s="219"/>
      <c r="U89" s="219"/>
      <c r="V89" s="219"/>
      <c r="W89" s="219"/>
      <c r="X89" s="219"/>
      <c r="Y89" s="219"/>
      <c r="Z89" s="220"/>
    </row>
    <row r="90" spans="1:26" ht="66" customHeight="1" x14ac:dyDescent="0.25">
      <c r="B90" s="222"/>
      <c r="C90" s="73" t="s">
        <v>96</v>
      </c>
      <c r="D90" s="229" t="s">
        <v>123</v>
      </c>
      <c r="E90" s="179"/>
      <c r="F90" s="179"/>
      <c r="G90" s="179"/>
      <c r="H90" s="179"/>
      <c r="I90" s="179"/>
      <c r="J90" s="179"/>
      <c r="K90" s="179"/>
      <c r="L90" s="179"/>
      <c r="M90" s="179"/>
      <c r="N90" s="179"/>
      <c r="O90" s="179"/>
      <c r="P90" s="179"/>
      <c r="Q90" s="179"/>
      <c r="R90" s="179"/>
      <c r="S90" s="179"/>
      <c r="T90" s="179"/>
      <c r="U90" s="179"/>
      <c r="V90" s="179"/>
      <c r="W90" s="179"/>
      <c r="X90" s="179"/>
      <c r="Y90" s="179"/>
      <c r="Z90" s="180"/>
    </row>
    <row r="91" spans="1:26" ht="6" customHeight="1" x14ac:dyDescent="0.25"/>
    <row r="92" spans="1:26" ht="18.75" customHeight="1" x14ac:dyDescent="0.25">
      <c r="A92" s="13" t="s">
        <v>124</v>
      </c>
    </row>
    <row r="93" spans="1:26" ht="18.75" customHeight="1" x14ac:dyDescent="0.25">
      <c r="B93" s="172" t="s">
        <v>125</v>
      </c>
      <c r="C93" s="173"/>
      <c r="D93" s="173"/>
      <c r="E93" s="173"/>
      <c r="F93" s="173"/>
      <c r="G93" s="173"/>
      <c r="H93" s="173"/>
      <c r="I93" s="173"/>
      <c r="J93" s="173"/>
      <c r="K93" s="173"/>
      <c r="L93" s="173"/>
      <c r="M93" s="173"/>
      <c r="N93" s="173"/>
      <c r="O93" s="173"/>
      <c r="P93" s="173"/>
      <c r="Q93" s="173"/>
      <c r="R93" s="173"/>
      <c r="S93" s="173"/>
      <c r="T93" s="173"/>
      <c r="U93" s="173"/>
      <c r="V93" s="173"/>
      <c r="W93" s="173"/>
      <c r="X93" s="173"/>
      <c r="Y93" s="173"/>
      <c r="Z93" s="174"/>
    </row>
    <row r="94" spans="1:26" ht="18.75" customHeight="1" x14ac:dyDescent="0.25">
      <c r="B94" s="175"/>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7"/>
    </row>
    <row r="95" spans="1:26" ht="18.75" customHeight="1" x14ac:dyDescent="0.25">
      <c r="B95" s="178"/>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80"/>
    </row>
    <row r="96" spans="1:26" ht="6" customHeight="1" x14ac:dyDescent="0.25"/>
    <row r="97" spans="1:26" ht="15" customHeight="1" x14ac:dyDescent="0.25">
      <c r="A97" s="13" t="s">
        <v>126</v>
      </c>
    </row>
    <row r="98" spans="1:26" ht="15" customHeight="1" x14ac:dyDescent="0.25">
      <c r="B98" s="181" t="s">
        <v>127</v>
      </c>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82"/>
    </row>
  </sheetData>
  <mergeCells count="218">
    <mergeCell ref="B72:F72"/>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U64:W64"/>
    <mergeCell ref="U65:W65"/>
    <mergeCell ref="U66:W66"/>
    <mergeCell ref="I29:K29"/>
    <mergeCell ref="I30:K30"/>
    <mergeCell ref="V29:X29"/>
    <mergeCell ref="V30:X30"/>
    <mergeCell ref="I40:K40"/>
    <mergeCell ref="I41:K41"/>
    <mergeCell ref="V40:X40"/>
    <mergeCell ref="A35:Z36"/>
    <mergeCell ref="V41:X41"/>
    <mergeCell ref="U63:W63"/>
    <mergeCell ref="V48:X48"/>
    <mergeCell ref="I49:K49"/>
    <mergeCell ref="V49:X49"/>
    <mergeCell ref="I51:K51"/>
    <mergeCell ref="V51:X51"/>
    <mergeCell ref="I52:K52"/>
    <mergeCell ref="V52:X52"/>
    <mergeCell ref="V55:X55"/>
    <mergeCell ref="A57:Z58"/>
    <mergeCell ref="I53:K53"/>
    <mergeCell ref="V53:X53"/>
    <mergeCell ref="V26:X26"/>
    <mergeCell ref="V27:X27"/>
    <mergeCell ref="V28:X28"/>
    <mergeCell ref="I26:K26"/>
    <mergeCell ref="I27:K27"/>
    <mergeCell ref="I28:K28"/>
    <mergeCell ref="B26:F26"/>
    <mergeCell ref="B27:F27"/>
    <mergeCell ref="B28:F28"/>
    <mergeCell ref="V54:X54"/>
    <mergeCell ref="I55:K55"/>
    <mergeCell ref="B51:F51"/>
    <mergeCell ref="B52:F52"/>
    <mergeCell ref="U60:W60"/>
    <mergeCell ref="U61:W61"/>
    <mergeCell ref="V43:X43"/>
    <mergeCell ref="I44:K44"/>
    <mergeCell ref="V44:X44"/>
    <mergeCell ref="I50:K50"/>
    <mergeCell ref="B48:F48"/>
    <mergeCell ref="B49:F49"/>
    <mergeCell ref="B50:F50"/>
    <mergeCell ref="N49:S49"/>
    <mergeCell ref="N50:S50"/>
    <mergeCell ref="N51:S51"/>
    <mergeCell ref="N52:S52"/>
    <mergeCell ref="N53:S53"/>
    <mergeCell ref="N54:S54"/>
    <mergeCell ref="N55:S55"/>
    <mergeCell ref="B59:E59"/>
    <mergeCell ref="N59:R59"/>
    <mergeCell ref="B53:F53"/>
    <mergeCell ref="B54:F54"/>
    <mergeCell ref="V31:X31"/>
    <mergeCell ref="I31:K31"/>
    <mergeCell ref="I32:K32"/>
    <mergeCell ref="I33:K33"/>
    <mergeCell ref="H62:J62"/>
    <mergeCell ref="U62:W62"/>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50:X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D81:Z81"/>
    <mergeCell ref="D82:Z82"/>
    <mergeCell ref="D85:Z85"/>
    <mergeCell ref="D83:Z83"/>
    <mergeCell ref="D84:Z84"/>
    <mergeCell ref="B75:F75"/>
    <mergeCell ref="G75:M75"/>
    <mergeCell ref="N75:S75"/>
    <mergeCell ref="T75:Z75"/>
    <mergeCell ref="B76:F76"/>
    <mergeCell ref="G76:M76"/>
    <mergeCell ref="N76:S76"/>
    <mergeCell ref="D80:Z80"/>
    <mergeCell ref="B69:F69"/>
    <mergeCell ref="G69:M69"/>
    <mergeCell ref="N69:S69"/>
    <mergeCell ref="H60:J60"/>
    <mergeCell ref="H61:J61"/>
    <mergeCell ref="B93:Z95"/>
    <mergeCell ref="B98:Z98"/>
    <mergeCell ref="T76:Z76"/>
    <mergeCell ref="B71:F71"/>
    <mergeCell ref="G71:M71"/>
    <mergeCell ref="N71:S71"/>
    <mergeCell ref="T71:Z71"/>
    <mergeCell ref="G74:M74"/>
    <mergeCell ref="N74:S74"/>
    <mergeCell ref="T74:Z74"/>
    <mergeCell ref="B74:F74"/>
    <mergeCell ref="B60:E60"/>
    <mergeCell ref="B61:E61"/>
    <mergeCell ref="B62:E62"/>
    <mergeCell ref="B63:E63"/>
    <mergeCell ref="B64:E64"/>
    <mergeCell ref="B65:E65"/>
    <mergeCell ref="B66:E66"/>
    <mergeCell ref="N60:R60"/>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I54:K54"/>
    <mergeCell ref="B55:F55"/>
    <mergeCell ref="N61:R61"/>
    <mergeCell ref="N62:R62"/>
    <mergeCell ref="N63:R63"/>
    <mergeCell ref="N64:R64"/>
    <mergeCell ref="N65:R65"/>
    <mergeCell ref="N66:R66"/>
    <mergeCell ref="H64:J64"/>
    <mergeCell ref="H65:J65"/>
    <mergeCell ref="H66:J66"/>
    <mergeCell ref="H63:J63"/>
  </mergeCells>
  <phoneticPr fontId="1"/>
  <dataValidations count="4">
    <dataValidation type="list" allowBlank="1" showInputMessage="1" showErrorMessage="1" sqref="Y16:Z22 L16:M22 Y27:Z33 L27:M33 L38:M44 Y38:Z44 L49:M55 Y49:Z55 Y60:Z66 L60:M66 T60:T66 U16:U22 H16:H22 U27:U33 H27:H33 U38:U44 H38:H44 U49:U55 G60:G66 H49:H55 K61" xr:uid="{4C0986EB-3601-4249-85F7-B678A400A117}">
      <formula1>"○"</formula1>
    </dataValidation>
    <dataValidation type="list" allowBlank="1" showInputMessage="1" showErrorMessage="1" sqref="Z23 Z34 D34:K34 D23:K23 V16:V22 H60:H66 V27:V33 I16:I22 V38:V44 I49:I55 V49:V55 I38:I44 U60:U66 I27:I33"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573FBDE4-106D-406F-A4E0-B07C5FCD98C4}"/>
  </hyperlinks>
  <printOptions horizontalCentered="1"/>
  <pageMargins left="0.78740157480314965" right="0.78740157480314965" top="0.39370078740157483" bottom="0.59055118110236227" header="0.31496062992125984" footer="0.19685039370078741"/>
  <pageSetup paperSize="9" scale="90" fitToHeight="5" orientation="landscape" horizontalDpi="300" verticalDpi="300"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election activeCell="M24" sqref="M24"/>
    </sheetView>
  </sheetViews>
  <sheetFormatPr defaultColWidth="9" defaultRowHeight="18.75" customHeight="1" x14ac:dyDescent="0.25"/>
  <cols>
    <col min="1" max="1" width="2.73046875" style="1" customWidth="1"/>
    <col min="2" max="2" width="30" style="1" customWidth="1"/>
    <col min="3" max="17" width="6.1328125" style="1" customWidth="1"/>
    <col min="18" max="18" width="6.59765625" style="1" customWidth="1"/>
    <col min="19" max="16384" width="9" style="1"/>
  </cols>
  <sheetData>
    <row r="1" spans="1:20" ht="18" customHeight="1" x14ac:dyDescent="0.25">
      <c r="F1" s="232" t="s">
        <v>128</v>
      </c>
      <c r="G1" s="232"/>
      <c r="H1" s="232"/>
      <c r="I1" s="232"/>
      <c r="J1" s="232"/>
      <c r="K1" s="232"/>
      <c r="L1" s="232"/>
      <c r="M1" s="232"/>
      <c r="N1" s="232"/>
      <c r="O1" s="232"/>
      <c r="P1" s="232"/>
      <c r="Q1" s="232"/>
      <c r="R1" s="232"/>
    </row>
    <row r="2" spans="1:20" ht="18" customHeight="1" x14ac:dyDescent="0.25">
      <c r="A2" s="233" t="s">
        <v>129</v>
      </c>
      <c r="B2" s="233"/>
      <c r="C2" s="233"/>
      <c r="D2" s="233"/>
      <c r="E2" s="233"/>
      <c r="F2" s="233"/>
      <c r="G2" s="233"/>
      <c r="H2" s="233"/>
      <c r="I2" s="233"/>
      <c r="J2" s="233"/>
      <c r="K2" s="233"/>
      <c r="L2" s="233"/>
      <c r="M2" s="233"/>
      <c r="N2" s="233"/>
      <c r="O2" s="233"/>
      <c r="P2" s="233"/>
      <c r="Q2" s="233"/>
      <c r="R2" s="233"/>
      <c r="S2" s="4"/>
    </row>
    <row r="3" spans="1:20" ht="7.5" customHeight="1" x14ac:dyDescent="0.25">
      <c r="A3" s="32"/>
      <c r="B3" s="32"/>
      <c r="C3" s="32"/>
      <c r="D3" s="32"/>
      <c r="E3" s="32"/>
      <c r="F3" s="32"/>
      <c r="G3" s="32"/>
      <c r="H3" s="32"/>
      <c r="I3" s="32"/>
      <c r="J3" s="32"/>
      <c r="K3" s="32"/>
      <c r="L3" s="32"/>
      <c r="M3" s="32"/>
      <c r="N3" s="32"/>
      <c r="O3" s="32"/>
      <c r="P3" s="32"/>
      <c r="Q3" s="32"/>
      <c r="R3" s="32"/>
    </row>
    <row r="4" spans="1:20" ht="18" customHeight="1" x14ac:dyDescent="0.25">
      <c r="A4" s="4" t="s">
        <v>130</v>
      </c>
      <c r="B4" s="4"/>
      <c r="C4" s="234" t="s">
        <v>131</v>
      </c>
      <c r="D4" s="235"/>
      <c r="E4" s="32" t="s">
        <v>18</v>
      </c>
      <c r="F4" s="32"/>
      <c r="G4" s="32"/>
      <c r="H4" s="32"/>
      <c r="I4" s="32"/>
      <c r="J4" s="77"/>
      <c r="K4" s="32"/>
      <c r="L4" s="32"/>
      <c r="M4" s="41"/>
      <c r="N4" s="41"/>
      <c r="O4" s="41"/>
      <c r="P4" s="41"/>
      <c r="Q4" s="41"/>
      <c r="R4" s="41"/>
    </row>
    <row r="5" spans="1:20" ht="6" customHeight="1" x14ac:dyDescent="0.25">
      <c r="A5" s="32"/>
      <c r="B5" s="32"/>
      <c r="C5" s="32"/>
      <c r="D5" s="32"/>
      <c r="E5" s="32"/>
      <c r="F5" s="32"/>
      <c r="G5" s="32"/>
      <c r="H5" s="32"/>
      <c r="I5" s="32"/>
      <c r="J5" s="32"/>
      <c r="K5" s="32"/>
      <c r="L5" s="32"/>
      <c r="M5" s="32"/>
      <c r="N5" s="32"/>
      <c r="O5" s="32"/>
      <c r="P5" s="32"/>
      <c r="Q5" s="32"/>
      <c r="R5" s="32"/>
    </row>
    <row r="6" spans="1:20" ht="18" customHeight="1" x14ac:dyDescent="0.25">
      <c r="A6" s="4" t="s">
        <v>132</v>
      </c>
      <c r="B6" s="32"/>
      <c r="C6" s="32"/>
      <c r="D6" s="32"/>
      <c r="E6" s="32"/>
      <c r="F6" s="32"/>
      <c r="G6" s="32"/>
      <c r="H6" s="32"/>
      <c r="I6" s="32"/>
      <c r="J6" s="32"/>
      <c r="K6" s="32"/>
      <c r="L6" s="32"/>
      <c r="M6" s="32"/>
      <c r="N6" s="32"/>
      <c r="O6" s="32"/>
      <c r="P6" s="32"/>
      <c r="Q6" s="32"/>
      <c r="R6" s="32"/>
    </row>
    <row r="7" spans="1:20" ht="6" customHeight="1" x14ac:dyDescent="0.25">
      <c r="A7" s="4"/>
      <c r="B7" s="32"/>
      <c r="C7" s="32"/>
      <c r="D7" s="32"/>
      <c r="E7" s="32"/>
      <c r="F7" s="32"/>
      <c r="G7" s="32"/>
      <c r="H7" s="32"/>
      <c r="I7" s="32"/>
      <c r="J7" s="32"/>
      <c r="K7" s="32"/>
      <c r="L7" s="32"/>
      <c r="M7" s="32"/>
      <c r="N7" s="32"/>
      <c r="O7" s="32"/>
      <c r="P7" s="32"/>
      <c r="Q7" s="32"/>
      <c r="R7" s="32"/>
    </row>
    <row r="8" spans="1:20" ht="18" customHeight="1" x14ac:dyDescent="0.25">
      <c r="B8" s="236" t="s">
        <v>133</v>
      </c>
      <c r="C8" s="238" t="s">
        <v>134</v>
      </c>
      <c r="D8" s="240" t="s">
        <v>135</v>
      </c>
      <c r="E8" s="242" t="s">
        <v>136</v>
      </c>
      <c r="F8" s="242"/>
      <c r="G8" s="242" t="s">
        <v>137</v>
      </c>
      <c r="H8" s="242"/>
      <c r="I8" s="242" t="s">
        <v>138</v>
      </c>
      <c r="J8" s="242"/>
      <c r="K8" s="243" t="s">
        <v>139</v>
      </c>
      <c r="L8" s="244"/>
      <c r="M8" s="243" t="s">
        <v>140</v>
      </c>
      <c r="N8" s="244"/>
      <c r="O8" s="243" t="s">
        <v>141</v>
      </c>
      <c r="P8" s="244"/>
      <c r="Q8" s="245" t="s">
        <v>142</v>
      </c>
      <c r="R8" s="247" t="s">
        <v>143</v>
      </c>
      <c r="T8" s="30"/>
    </row>
    <row r="9" spans="1:20" ht="18" customHeight="1" x14ac:dyDescent="0.25">
      <c r="A9" s="4"/>
      <c r="B9" s="237"/>
      <c r="C9" s="239"/>
      <c r="D9" s="241"/>
      <c r="E9" s="37" t="s">
        <v>144</v>
      </c>
      <c r="F9" s="38" t="s">
        <v>145</v>
      </c>
      <c r="G9" s="39" t="s">
        <v>144</v>
      </c>
      <c r="H9" s="40" t="s">
        <v>145</v>
      </c>
      <c r="I9" s="37" t="s">
        <v>144</v>
      </c>
      <c r="J9" s="38" t="s">
        <v>145</v>
      </c>
      <c r="K9" s="39" t="s">
        <v>144</v>
      </c>
      <c r="L9" s="40" t="s">
        <v>145</v>
      </c>
      <c r="M9" s="37" t="s">
        <v>144</v>
      </c>
      <c r="N9" s="38" t="s">
        <v>145</v>
      </c>
      <c r="O9" s="39" t="s">
        <v>144</v>
      </c>
      <c r="P9" s="40" t="s">
        <v>145</v>
      </c>
      <c r="Q9" s="246"/>
      <c r="R9" s="248"/>
      <c r="T9" s="30"/>
    </row>
    <row r="10" spans="1:20" ht="18" customHeight="1" x14ac:dyDescent="0.25">
      <c r="A10" s="41"/>
      <c r="B10" s="78" t="s">
        <v>146</v>
      </c>
      <c r="C10" s="41">
        <v>40</v>
      </c>
      <c r="D10" s="42">
        <v>200</v>
      </c>
      <c r="E10" s="43">
        <v>40</v>
      </c>
      <c r="F10" s="44">
        <v>0</v>
      </c>
      <c r="G10" s="45">
        <v>41</v>
      </c>
      <c r="H10" s="46">
        <v>0</v>
      </c>
      <c r="I10" s="43">
        <v>40</v>
      </c>
      <c r="J10" s="44">
        <v>0</v>
      </c>
      <c r="K10" s="45">
        <v>40</v>
      </c>
      <c r="L10" s="46">
        <v>0</v>
      </c>
      <c r="M10" s="43"/>
      <c r="N10" s="44"/>
      <c r="O10" s="45"/>
      <c r="P10" s="46"/>
      <c r="Q10" s="47">
        <f>E10+G10+I10+K10+M10+O10</f>
        <v>161</v>
      </c>
      <c r="R10" s="48">
        <f>Q10/D10</f>
        <v>0.80500000000000005</v>
      </c>
    </row>
    <row r="11" spans="1:20" ht="18" customHeight="1" x14ac:dyDescent="0.25">
      <c r="A11" s="41"/>
      <c r="B11" s="79" t="s">
        <v>147</v>
      </c>
      <c r="C11" s="57">
        <v>40</v>
      </c>
      <c r="D11" s="50">
        <v>200</v>
      </c>
      <c r="E11" s="51">
        <v>44</v>
      </c>
      <c r="F11" s="52">
        <v>0</v>
      </c>
      <c r="G11" s="53">
        <v>43</v>
      </c>
      <c r="H11" s="54">
        <v>0</v>
      </c>
      <c r="I11" s="51">
        <v>42</v>
      </c>
      <c r="J11" s="52">
        <v>0</v>
      </c>
      <c r="K11" s="53">
        <v>41</v>
      </c>
      <c r="L11" s="54">
        <v>0</v>
      </c>
      <c r="M11" s="51"/>
      <c r="N11" s="52"/>
      <c r="O11" s="53"/>
      <c r="P11" s="54"/>
      <c r="Q11" s="55">
        <f t="shared" ref="Q11:Q13" si="0">E11+G11+I11+K11+M11+O11</f>
        <v>170</v>
      </c>
      <c r="R11" s="56">
        <f t="shared" ref="R11:R13" si="1">Q11/D11</f>
        <v>0.85</v>
      </c>
    </row>
    <row r="12" spans="1:20" ht="18" customHeight="1" x14ac:dyDescent="0.25">
      <c r="A12" s="41"/>
      <c r="B12" s="79" t="s">
        <v>148</v>
      </c>
      <c r="C12" s="57">
        <v>40</v>
      </c>
      <c r="D12" s="50">
        <v>200</v>
      </c>
      <c r="E12" s="51">
        <v>43</v>
      </c>
      <c r="F12" s="52">
        <v>0</v>
      </c>
      <c r="G12" s="53">
        <v>40</v>
      </c>
      <c r="H12" s="54">
        <v>0</v>
      </c>
      <c r="I12" s="51">
        <v>42</v>
      </c>
      <c r="J12" s="52">
        <v>0</v>
      </c>
      <c r="K12" s="53">
        <v>42</v>
      </c>
      <c r="L12" s="54">
        <v>0</v>
      </c>
      <c r="M12" s="51"/>
      <c r="N12" s="52"/>
      <c r="O12" s="53"/>
      <c r="P12" s="54"/>
      <c r="Q12" s="55">
        <f t="shared" si="0"/>
        <v>167</v>
      </c>
      <c r="R12" s="56">
        <f t="shared" si="1"/>
        <v>0.83499999999999996</v>
      </c>
    </row>
    <row r="13" spans="1:20" ht="18" customHeight="1" x14ac:dyDescent="0.25">
      <c r="A13" s="41"/>
      <c r="B13" s="79" t="s">
        <v>149</v>
      </c>
      <c r="C13" s="57">
        <v>40</v>
      </c>
      <c r="D13" s="50">
        <v>200</v>
      </c>
      <c r="E13" s="51">
        <v>40</v>
      </c>
      <c r="F13" s="52">
        <v>0</v>
      </c>
      <c r="G13" s="53">
        <v>42</v>
      </c>
      <c r="H13" s="54">
        <v>0</v>
      </c>
      <c r="I13" s="51">
        <v>34</v>
      </c>
      <c r="J13" s="52">
        <v>0</v>
      </c>
      <c r="K13" s="53">
        <v>41</v>
      </c>
      <c r="L13" s="54">
        <v>0</v>
      </c>
      <c r="M13" s="51"/>
      <c r="N13" s="52"/>
      <c r="O13" s="53"/>
      <c r="P13" s="54"/>
      <c r="Q13" s="55">
        <f t="shared" si="0"/>
        <v>157</v>
      </c>
      <c r="R13" s="56">
        <f t="shared" si="1"/>
        <v>0.78500000000000003</v>
      </c>
    </row>
    <row r="14" spans="1:20" ht="18" customHeight="1" x14ac:dyDescent="0.25">
      <c r="A14" s="41"/>
      <c r="B14" s="79"/>
      <c r="C14" s="57"/>
      <c r="D14" s="50"/>
      <c r="E14" s="51"/>
      <c r="F14" s="52"/>
      <c r="G14" s="53"/>
      <c r="H14" s="54"/>
      <c r="I14" s="51"/>
      <c r="J14" s="52"/>
      <c r="K14" s="53"/>
      <c r="L14" s="54"/>
      <c r="M14" s="51"/>
      <c r="N14" s="52"/>
      <c r="O14" s="53"/>
      <c r="P14" s="54"/>
      <c r="Q14" s="55"/>
      <c r="R14" s="56"/>
    </row>
    <row r="15" spans="1:20" ht="18" customHeight="1" x14ac:dyDescent="0.25">
      <c r="A15" s="41"/>
      <c r="B15" s="79"/>
      <c r="C15" s="57"/>
      <c r="D15" s="50"/>
      <c r="E15" s="51"/>
      <c r="F15" s="52"/>
      <c r="G15" s="53"/>
      <c r="H15" s="54"/>
      <c r="I15" s="51"/>
      <c r="J15" s="52"/>
      <c r="K15" s="53"/>
      <c r="L15" s="54"/>
      <c r="M15" s="51"/>
      <c r="N15" s="52"/>
      <c r="O15" s="53"/>
      <c r="P15" s="54"/>
      <c r="Q15" s="55"/>
      <c r="R15" s="56"/>
    </row>
    <row r="16" spans="1:20" ht="18" customHeight="1" x14ac:dyDescent="0.25">
      <c r="A16" s="41"/>
      <c r="B16" s="79"/>
      <c r="C16" s="57"/>
      <c r="D16" s="50"/>
      <c r="E16" s="51"/>
      <c r="F16" s="52"/>
      <c r="G16" s="53"/>
      <c r="H16" s="54"/>
      <c r="I16" s="51"/>
      <c r="J16" s="52"/>
      <c r="K16" s="53"/>
      <c r="L16" s="54"/>
      <c r="M16" s="51"/>
      <c r="N16" s="52"/>
      <c r="O16" s="53"/>
      <c r="P16" s="54"/>
      <c r="Q16" s="55"/>
      <c r="R16" s="56"/>
    </row>
    <row r="17" spans="1:18" ht="18" customHeight="1" x14ac:dyDescent="0.25">
      <c r="A17" s="41"/>
      <c r="B17" s="79"/>
      <c r="C17" s="57"/>
      <c r="D17" s="50"/>
      <c r="E17" s="51"/>
      <c r="F17" s="52"/>
      <c r="G17" s="53"/>
      <c r="H17" s="54"/>
      <c r="I17" s="51"/>
      <c r="J17" s="52"/>
      <c r="K17" s="53"/>
      <c r="L17" s="54"/>
      <c r="M17" s="51"/>
      <c r="N17" s="52"/>
      <c r="O17" s="53"/>
      <c r="P17" s="54"/>
      <c r="Q17" s="55"/>
      <c r="R17" s="56"/>
    </row>
    <row r="18" spans="1:18" ht="18" customHeight="1" x14ac:dyDescent="0.25">
      <c r="A18" s="41"/>
      <c r="B18" s="79"/>
      <c r="C18" s="57"/>
      <c r="D18" s="50"/>
      <c r="E18" s="51"/>
      <c r="F18" s="52"/>
      <c r="G18" s="53"/>
      <c r="H18" s="54"/>
      <c r="I18" s="51"/>
      <c r="J18" s="52"/>
      <c r="K18" s="53"/>
      <c r="L18" s="54"/>
      <c r="M18" s="51"/>
      <c r="N18" s="52"/>
      <c r="O18" s="53"/>
      <c r="P18" s="54"/>
      <c r="Q18" s="55"/>
      <c r="R18" s="56"/>
    </row>
    <row r="19" spans="1:18" ht="18" customHeight="1" x14ac:dyDescent="0.25">
      <c r="A19" s="41"/>
      <c r="B19" s="79"/>
      <c r="C19" s="57"/>
      <c r="D19" s="50"/>
      <c r="E19" s="51"/>
      <c r="F19" s="52"/>
      <c r="G19" s="53"/>
      <c r="H19" s="54"/>
      <c r="I19" s="51"/>
      <c r="J19" s="52"/>
      <c r="K19" s="53"/>
      <c r="L19" s="54"/>
      <c r="M19" s="51"/>
      <c r="N19" s="52"/>
      <c r="O19" s="53"/>
      <c r="P19" s="54"/>
      <c r="Q19" s="55"/>
      <c r="R19" s="56"/>
    </row>
    <row r="20" spans="1:18" ht="18" customHeight="1" x14ac:dyDescent="0.25">
      <c r="A20" s="41"/>
      <c r="B20" s="79"/>
      <c r="C20" s="57"/>
      <c r="D20" s="50"/>
      <c r="E20" s="51"/>
      <c r="F20" s="52"/>
      <c r="G20" s="53"/>
      <c r="H20" s="54"/>
      <c r="I20" s="51"/>
      <c r="J20" s="52"/>
      <c r="K20" s="53"/>
      <c r="L20" s="54"/>
      <c r="M20" s="51"/>
      <c r="N20" s="52"/>
      <c r="O20" s="53"/>
      <c r="P20" s="54"/>
      <c r="Q20" s="55"/>
      <c r="R20" s="56"/>
    </row>
    <row r="21" spans="1:18" ht="18" customHeight="1" x14ac:dyDescent="0.25">
      <c r="A21" s="41"/>
      <c r="B21" s="79"/>
      <c r="C21" s="57"/>
      <c r="D21" s="50"/>
      <c r="E21" s="51"/>
      <c r="F21" s="52"/>
      <c r="G21" s="53"/>
      <c r="H21" s="54"/>
      <c r="I21" s="51"/>
      <c r="J21" s="52"/>
      <c r="K21" s="53"/>
      <c r="L21" s="54"/>
      <c r="M21" s="51"/>
      <c r="N21" s="52"/>
      <c r="O21" s="53"/>
      <c r="P21" s="54"/>
      <c r="Q21" s="55"/>
      <c r="R21" s="56"/>
    </row>
    <row r="22" spans="1:18" ht="18" customHeight="1" x14ac:dyDescent="0.25">
      <c r="A22" s="41"/>
      <c r="B22" s="79"/>
      <c r="C22" s="57"/>
      <c r="D22" s="50"/>
      <c r="E22" s="51"/>
      <c r="F22" s="52"/>
      <c r="G22" s="53"/>
      <c r="H22" s="54"/>
      <c r="I22" s="51"/>
      <c r="J22" s="52"/>
      <c r="K22" s="53"/>
      <c r="L22" s="54"/>
      <c r="M22" s="51"/>
      <c r="N22" s="52"/>
      <c r="O22" s="53"/>
      <c r="P22" s="54"/>
      <c r="Q22" s="55"/>
      <c r="R22" s="56"/>
    </row>
    <row r="23" spans="1:18" ht="18" customHeight="1" x14ac:dyDescent="0.25">
      <c r="A23" s="41"/>
      <c r="B23" s="79"/>
      <c r="C23" s="57"/>
      <c r="D23" s="50"/>
      <c r="E23" s="51"/>
      <c r="F23" s="52"/>
      <c r="G23" s="53"/>
      <c r="H23" s="54"/>
      <c r="I23" s="51"/>
      <c r="J23" s="52"/>
      <c r="K23" s="53"/>
      <c r="L23" s="54"/>
      <c r="M23" s="51"/>
      <c r="N23" s="52"/>
      <c r="O23" s="53"/>
      <c r="P23" s="54"/>
      <c r="Q23" s="55"/>
      <c r="R23" s="56"/>
    </row>
    <row r="24" spans="1:18" ht="18" customHeight="1" x14ac:dyDescent="0.25">
      <c r="A24" s="41"/>
      <c r="B24" s="79"/>
      <c r="C24" s="57"/>
      <c r="D24" s="50"/>
      <c r="E24" s="51"/>
      <c r="F24" s="52"/>
      <c r="G24" s="53"/>
      <c r="H24" s="54"/>
      <c r="I24" s="51"/>
      <c r="J24" s="52"/>
      <c r="K24" s="53"/>
      <c r="L24" s="54"/>
      <c r="M24" s="51"/>
      <c r="N24" s="52"/>
      <c r="O24" s="53"/>
      <c r="P24" s="54"/>
      <c r="Q24" s="55"/>
      <c r="R24" s="56"/>
    </row>
    <row r="25" spans="1:18" ht="18" customHeight="1" x14ac:dyDescent="0.25">
      <c r="A25" s="41"/>
      <c r="B25" s="79"/>
      <c r="C25" s="57"/>
      <c r="D25" s="50"/>
      <c r="E25" s="51"/>
      <c r="F25" s="52"/>
      <c r="G25" s="53"/>
      <c r="H25" s="54"/>
      <c r="I25" s="51"/>
      <c r="J25" s="52"/>
      <c r="K25" s="53"/>
      <c r="L25" s="54"/>
      <c r="M25" s="51"/>
      <c r="N25" s="52"/>
      <c r="O25" s="53"/>
      <c r="P25" s="54"/>
      <c r="Q25" s="55"/>
      <c r="R25" s="56"/>
    </row>
    <row r="26" spans="1:18" ht="18" customHeight="1" x14ac:dyDescent="0.25">
      <c r="A26" s="41"/>
      <c r="B26" s="79"/>
      <c r="C26" s="57"/>
      <c r="D26" s="50"/>
      <c r="E26" s="51"/>
      <c r="F26" s="52"/>
      <c r="G26" s="53"/>
      <c r="H26" s="54"/>
      <c r="I26" s="51"/>
      <c r="J26" s="52"/>
      <c r="K26" s="53"/>
      <c r="L26" s="54"/>
      <c r="M26" s="51"/>
      <c r="N26" s="52"/>
      <c r="O26" s="53"/>
      <c r="P26" s="54"/>
      <c r="Q26" s="55"/>
      <c r="R26" s="56"/>
    </row>
    <row r="27" spans="1:18" ht="18" customHeight="1" x14ac:dyDescent="0.25">
      <c r="A27" s="41"/>
      <c r="B27" s="79"/>
      <c r="C27" s="49"/>
      <c r="D27" s="50"/>
      <c r="E27" s="51"/>
      <c r="F27" s="52"/>
      <c r="G27" s="53"/>
      <c r="H27" s="54"/>
      <c r="I27" s="51"/>
      <c r="J27" s="52"/>
      <c r="K27" s="53"/>
      <c r="L27" s="54"/>
      <c r="M27" s="51"/>
      <c r="N27" s="52"/>
      <c r="O27" s="53"/>
      <c r="P27" s="54"/>
      <c r="Q27" s="55"/>
      <c r="R27" s="56"/>
    </row>
    <row r="28" spans="1:18" ht="18" customHeight="1" x14ac:dyDescent="0.25">
      <c r="A28" s="41"/>
      <c r="B28" s="79"/>
      <c r="C28" s="49"/>
      <c r="D28" s="50"/>
      <c r="E28" s="51"/>
      <c r="F28" s="52"/>
      <c r="G28" s="53"/>
      <c r="H28" s="54"/>
      <c r="I28" s="51"/>
      <c r="J28" s="52"/>
      <c r="K28" s="53"/>
      <c r="L28" s="54"/>
      <c r="M28" s="51"/>
      <c r="N28" s="52"/>
      <c r="O28" s="53"/>
      <c r="P28" s="54"/>
      <c r="Q28" s="55"/>
      <c r="R28" s="56"/>
    </row>
    <row r="29" spans="1:18" ht="18" customHeight="1" thickBot="1" x14ac:dyDescent="0.3">
      <c r="A29" s="41"/>
      <c r="B29" s="80"/>
      <c r="C29" s="81"/>
      <c r="D29" s="42"/>
      <c r="E29" s="43"/>
      <c r="F29" s="44"/>
      <c r="G29" s="45"/>
      <c r="H29" s="46"/>
      <c r="I29" s="43"/>
      <c r="J29" s="44"/>
      <c r="K29" s="45"/>
      <c r="L29" s="46"/>
      <c r="M29" s="43"/>
      <c r="N29" s="44"/>
      <c r="O29" s="45"/>
      <c r="P29" s="46"/>
      <c r="Q29" s="58"/>
      <c r="R29" s="48"/>
    </row>
    <row r="30" spans="1:18" ht="18" customHeight="1" thickTop="1" x14ac:dyDescent="0.25">
      <c r="B30" s="82" t="s">
        <v>150</v>
      </c>
      <c r="C30" s="83">
        <f t="shared" ref="C30:Q30" si="2">SUM(C10:C29)</f>
        <v>160</v>
      </c>
      <c r="D30" s="59">
        <f t="shared" si="2"/>
        <v>800</v>
      </c>
      <c r="E30" s="60">
        <f t="shared" si="2"/>
        <v>167</v>
      </c>
      <c r="F30" s="61">
        <f t="shared" si="2"/>
        <v>0</v>
      </c>
      <c r="G30" s="62">
        <f t="shared" si="2"/>
        <v>166</v>
      </c>
      <c r="H30" s="63">
        <f t="shared" si="2"/>
        <v>0</v>
      </c>
      <c r="I30" s="60">
        <f t="shared" si="2"/>
        <v>158</v>
      </c>
      <c r="J30" s="61">
        <f t="shared" si="2"/>
        <v>0</v>
      </c>
      <c r="K30" s="62">
        <f t="shared" si="2"/>
        <v>164</v>
      </c>
      <c r="L30" s="63">
        <f t="shared" si="2"/>
        <v>0</v>
      </c>
      <c r="M30" s="60">
        <f t="shared" si="2"/>
        <v>0</v>
      </c>
      <c r="N30" s="61">
        <f t="shared" si="2"/>
        <v>0</v>
      </c>
      <c r="O30" s="62">
        <f t="shared" si="2"/>
        <v>0</v>
      </c>
      <c r="P30" s="63">
        <f t="shared" si="2"/>
        <v>0</v>
      </c>
      <c r="Q30" s="64">
        <f t="shared" si="2"/>
        <v>655</v>
      </c>
      <c r="R30" s="65">
        <f>Q30/D30</f>
        <v>0.81874999999999998</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topLeftCell="A97" zoomScaleNormal="100" zoomScaleSheetLayoutView="100" workbookViewId="0">
      <selection activeCell="B111" sqref="B111:J129"/>
    </sheetView>
  </sheetViews>
  <sheetFormatPr defaultColWidth="11.3984375" defaultRowHeight="18.75" customHeight="1" x14ac:dyDescent="0.25"/>
  <cols>
    <col min="1" max="1" width="2.73046875" style="2" customWidth="1"/>
    <col min="2" max="2" width="16.59765625" style="1" customWidth="1"/>
    <col min="3" max="3" width="8.86328125" style="1" customWidth="1"/>
    <col min="4" max="4" width="2.265625" style="1" customWidth="1"/>
    <col min="5" max="5" width="16.59765625" style="1" customWidth="1"/>
    <col min="6" max="6" width="8.86328125" style="1" customWidth="1"/>
    <col min="7" max="7" width="2.265625" style="1" customWidth="1"/>
    <col min="8" max="8" width="16.59765625" style="1" customWidth="1"/>
    <col min="9" max="9" width="8.86328125" style="1" customWidth="1"/>
    <col min="10" max="10" width="2.265625" style="1" customWidth="1"/>
    <col min="11" max="11" width="11.3984375" style="27"/>
    <col min="12" max="16384" width="11.3984375" style="1"/>
  </cols>
  <sheetData>
    <row r="1" spans="1:11" ht="18.75" customHeight="1" x14ac:dyDescent="0.25">
      <c r="A1" s="2" t="s">
        <v>151</v>
      </c>
      <c r="J1" s="35" t="s">
        <v>152</v>
      </c>
    </row>
    <row r="2" spans="1:11" ht="18.75" customHeight="1" x14ac:dyDescent="0.25">
      <c r="A2" s="233" t="s">
        <v>153</v>
      </c>
      <c r="B2" s="233"/>
      <c r="C2" s="233"/>
      <c r="D2" s="233"/>
      <c r="E2" s="233"/>
      <c r="F2" s="233"/>
      <c r="G2" s="233"/>
      <c r="H2" s="233"/>
      <c r="I2" s="233"/>
      <c r="J2" s="233"/>
    </row>
    <row r="3" spans="1:11" ht="7.5" customHeight="1" x14ac:dyDescent="0.25">
      <c r="B3" s="32"/>
      <c r="C3" s="32"/>
      <c r="D3" s="32"/>
      <c r="E3" s="32"/>
      <c r="F3" s="32"/>
      <c r="G3" s="32"/>
      <c r="H3" s="32"/>
      <c r="I3" s="32"/>
      <c r="J3" s="32"/>
    </row>
    <row r="4" spans="1:11" ht="18.75" customHeight="1" x14ac:dyDescent="0.25">
      <c r="A4" s="1" t="s">
        <v>2</v>
      </c>
      <c r="B4" s="4" t="s">
        <v>154</v>
      </c>
      <c r="C4" s="4"/>
      <c r="D4" s="4"/>
      <c r="E4" s="4"/>
      <c r="F4" s="4"/>
      <c r="G4" s="4"/>
      <c r="H4" s="4"/>
      <c r="I4" s="32"/>
      <c r="J4" s="32"/>
    </row>
    <row r="5" spans="1:11" ht="18.75" customHeight="1" x14ac:dyDescent="0.25">
      <c r="A5" s="1"/>
      <c r="B5" s="138" t="s">
        <v>155</v>
      </c>
      <c r="C5" s="139"/>
      <c r="D5" s="139"/>
      <c r="E5" s="139"/>
      <c r="F5" s="139"/>
      <c r="G5" s="139"/>
      <c r="H5" s="139"/>
      <c r="I5" s="139"/>
      <c r="J5" s="182"/>
      <c r="K5" s="27" t="str">
        <f>IF(B5="","入力してください","")</f>
        <v/>
      </c>
    </row>
    <row r="6" spans="1:11" ht="7.5" customHeight="1" x14ac:dyDescent="0.25">
      <c r="B6" s="25"/>
      <c r="C6" s="25"/>
      <c r="D6" s="25"/>
      <c r="E6" s="25"/>
      <c r="F6" s="25"/>
      <c r="G6" s="25"/>
      <c r="H6" s="25"/>
      <c r="I6" s="25"/>
      <c r="J6" s="25"/>
    </row>
    <row r="7" spans="1:11" s="4" customFormat="1" ht="18.75" customHeight="1" x14ac:dyDescent="0.25">
      <c r="A7" s="1" t="s">
        <v>5</v>
      </c>
      <c r="B7" s="14" t="s">
        <v>156</v>
      </c>
      <c r="C7" s="14"/>
      <c r="D7" s="14"/>
      <c r="E7" s="14"/>
      <c r="F7" s="14"/>
      <c r="G7" s="14"/>
      <c r="H7" s="14"/>
      <c r="I7" s="14"/>
      <c r="J7" s="14"/>
      <c r="K7" s="27"/>
    </row>
    <row r="8" spans="1:11" s="4" customFormat="1" ht="18.75" customHeight="1" x14ac:dyDescent="0.25">
      <c r="A8" s="84"/>
      <c r="B8" s="249" t="s">
        <v>207</v>
      </c>
      <c r="C8" s="271"/>
      <c r="D8" s="271"/>
      <c r="E8" s="271"/>
      <c r="F8" s="271"/>
      <c r="G8" s="271"/>
      <c r="H8" s="271"/>
      <c r="I8" s="272"/>
      <c r="J8" s="273"/>
      <c r="K8" s="27" t="str">
        <f>IF(B8="","入力してください","")</f>
        <v/>
      </c>
    </row>
    <row r="9" spans="1:11" s="4" customFormat="1" ht="18.75" customHeight="1" x14ac:dyDescent="0.25">
      <c r="A9" s="84"/>
      <c r="B9" s="274"/>
      <c r="C9" s="275"/>
      <c r="D9" s="275"/>
      <c r="E9" s="275"/>
      <c r="F9" s="275"/>
      <c r="G9" s="275"/>
      <c r="H9" s="275"/>
      <c r="I9" s="275"/>
      <c r="J9" s="276"/>
      <c r="K9" s="27"/>
    </row>
    <row r="10" spans="1:11" s="4" customFormat="1" ht="18.75" customHeight="1" x14ac:dyDescent="0.25">
      <c r="A10" s="84"/>
      <c r="B10" s="274"/>
      <c r="C10" s="275"/>
      <c r="D10" s="275"/>
      <c r="E10" s="275"/>
      <c r="F10" s="275"/>
      <c r="G10" s="275"/>
      <c r="H10" s="275"/>
      <c r="I10" s="275"/>
      <c r="J10" s="276"/>
      <c r="K10" s="27"/>
    </row>
    <row r="11" spans="1:11" s="4" customFormat="1" ht="18.75" customHeight="1" x14ac:dyDescent="0.25">
      <c r="A11" s="84"/>
      <c r="B11" s="274"/>
      <c r="C11" s="275"/>
      <c r="D11" s="275"/>
      <c r="E11" s="275"/>
      <c r="F11" s="275"/>
      <c r="G11" s="275"/>
      <c r="H11" s="275"/>
      <c r="I11" s="275"/>
      <c r="J11" s="276"/>
      <c r="K11" s="27"/>
    </row>
    <row r="12" spans="1:11" s="4" customFormat="1" ht="18.75" customHeight="1" x14ac:dyDescent="0.25">
      <c r="A12" s="84"/>
      <c r="B12" s="277"/>
      <c r="C12" s="278"/>
      <c r="D12" s="278"/>
      <c r="E12" s="278"/>
      <c r="F12" s="278"/>
      <c r="G12" s="278"/>
      <c r="H12" s="278"/>
      <c r="I12" s="278"/>
      <c r="J12" s="279"/>
      <c r="K12" s="27"/>
    </row>
    <row r="13" spans="1:11" s="4" customFormat="1" ht="7.5" customHeight="1" x14ac:dyDescent="0.25">
      <c r="A13" s="84"/>
      <c r="B13" s="68"/>
      <c r="C13" s="68"/>
      <c r="D13" s="68"/>
      <c r="E13" s="68"/>
      <c r="F13" s="68"/>
      <c r="G13" s="68"/>
      <c r="H13" s="68"/>
      <c r="I13" s="68"/>
      <c r="J13" s="68"/>
      <c r="K13" s="27"/>
    </row>
    <row r="14" spans="1:11" s="4" customFormat="1" ht="18.75" customHeight="1" x14ac:dyDescent="0.25">
      <c r="A14" s="85" t="s">
        <v>157</v>
      </c>
      <c r="B14" s="109" t="s">
        <v>158</v>
      </c>
      <c r="C14" s="109"/>
      <c r="D14" s="109"/>
      <c r="E14" s="109"/>
      <c r="F14" s="109"/>
      <c r="G14" s="109"/>
      <c r="H14" s="109"/>
      <c r="I14" s="109"/>
      <c r="J14" s="109"/>
      <c r="K14" s="27"/>
    </row>
    <row r="15" spans="1:11" s="4" customFormat="1" ht="18.75" customHeight="1" x14ac:dyDescent="0.25">
      <c r="A15" s="84"/>
      <c r="B15" s="249" t="s">
        <v>211</v>
      </c>
      <c r="C15" s="271"/>
      <c r="D15" s="271"/>
      <c r="E15" s="271"/>
      <c r="F15" s="271"/>
      <c r="G15" s="271"/>
      <c r="H15" s="271"/>
      <c r="I15" s="272"/>
      <c r="J15" s="273"/>
      <c r="K15" s="27" t="str">
        <f>IF(B15="","入力してください","")</f>
        <v/>
      </c>
    </row>
    <row r="16" spans="1:11" s="4" customFormat="1" ht="18.75" customHeight="1" x14ac:dyDescent="0.25">
      <c r="A16" s="84"/>
      <c r="B16" s="274"/>
      <c r="C16" s="275"/>
      <c r="D16" s="275"/>
      <c r="E16" s="275"/>
      <c r="F16" s="275"/>
      <c r="G16" s="275"/>
      <c r="H16" s="275"/>
      <c r="I16" s="275"/>
      <c r="J16" s="276"/>
      <c r="K16" s="27"/>
    </row>
    <row r="17" spans="1:11" s="4" customFormat="1" ht="18.75" customHeight="1" x14ac:dyDescent="0.25">
      <c r="A17" s="84"/>
      <c r="B17" s="274"/>
      <c r="C17" s="275"/>
      <c r="D17" s="275"/>
      <c r="E17" s="275"/>
      <c r="F17" s="275"/>
      <c r="G17" s="275"/>
      <c r="H17" s="275"/>
      <c r="I17" s="275"/>
      <c r="J17" s="276"/>
      <c r="K17" s="27"/>
    </row>
    <row r="18" spans="1:11" s="4" customFormat="1" ht="18.75" customHeight="1" x14ac:dyDescent="0.25">
      <c r="A18" s="84"/>
      <c r="B18" s="274"/>
      <c r="C18" s="275"/>
      <c r="D18" s="275"/>
      <c r="E18" s="275"/>
      <c r="F18" s="275"/>
      <c r="G18" s="275"/>
      <c r="H18" s="275"/>
      <c r="I18" s="275"/>
      <c r="J18" s="276"/>
      <c r="K18" s="27"/>
    </row>
    <row r="19" spans="1:11" s="4" customFormat="1" ht="18.75" customHeight="1" x14ac:dyDescent="0.25">
      <c r="A19" s="84"/>
      <c r="B19" s="274"/>
      <c r="C19" s="275"/>
      <c r="D19" s="275"/>
      <c r="E19" s="275"/>
      <c r="F19" s="275"/>
      <c r="G19" s="275"/>
      <c r="H19" s="275"/>
      <c r="I19" s="275"/>
      <c r="J19" s="276"/>
      <c r="K19" s="27"/>
    </row>
    <row r="20" spans="1:11" s="4" customFormat="1" ht="18.75" customHeight="1" x14ac:dyDescent="0.25">
      <c r="A20" s="84"/>
      <c r="B20" s="274"/>
      <c r="C20" s="275"/>
      <c r="D20" s="275"/>
      <c r="E20" s="275"/>
      <c r="F20" s="275"/>
      <c r="G20" s="275"/>
      <c r="H20" s="275"/>
      <c r="I20" s="275"/>
      <c r="J20" s="276"/>
      <c r="K20" s="27"/>
    </row>
    <row r="21" spans="1:11" s="4" customFormat="1" ht="18.75" customHeight="1" x14ac:dyDescent="0.25">
      <c r="A21" s="84"/>
      <c r="B21" s="274"/>
      <c r="C21" s="275"/>
      <c r="D21" s="275"/>
      <c r="E21" s="275"/>
      <c r="F21" s="275"/>
      <c r="G21" s="275"/>
      <c r="H21" s="275"/>
      <c r="I21" s="275"/>
      <c r="J21" s="276"/>
      <c r="K21" s="27"/>
    </row>
    <row r="22" spans="1:11" s="4" customFormat="1" ht="18.75" customHeight="1" x14ac:dyDescent="0.25">
      <c r="A22" s="84"/>
      <c r="B22" s="274"/>
      <c r="C22" s="275"/>
      <c r="D22" s="275"/>
      <c r="E22" s="275"/>
      <c r="F22" s="275"/>
      <c r="G22" s="275"/>
      <c r="H22" s="275"/>
      <c r="I22" s="275"/>
      <c r="J22" s="276"/>
      <c r="K22" s="27"/>
    </row>
    <row r="23" spans="1:11" s="4" customFormat="1" ht="18.75" customHeight="1" x14ac:dyDescent="0.25">
      <c r="A23" s="84"/>
      <c r="B23" s="274"/>
      <c r="C23" s="275"/>
      <c r="D23" s="275"/>
      <c r="E23" s="275"/>
      <c r="F23" s="275"/>
      <c r="G23" s="275"/>
      <c r="H23" s="275"/>
      <c r="I23" s="275"/>
      <c r="J23" s="276"/>
      <c r="K23" s="27"/>
    </row>
    <row r="24" spans="1:11" s="4" customFormat="1" ht="18.75" customHeight="1" x14ac:dyDescent="0.25">
      <c r="A24" s="84"/>
      <c r="B24" s="274"/>
      <c r="C24" s="275"/>
      <c r="D24" s="275"/>
      <c r="E24" s="275"/>
      <c r="F24" s="275"/>
      <c r="G24" s="275"/>
      <c r="H24" s="275"/>
      <c r="I24" s="275"/>
      <c r="J24" s="276"/>
      <c r="K24" s="27"/>
    </row>
    <row r="25" spans="1:11" s="4" customFormat="1" ht="18.75" customHeight="1" x14ac:dyDescent="0.25">
      <c r="A25" s="84"/>
      <c r="B25" s="277"/>
      <c r="C25" s="278"/>
      <c r="D25" s="278"/>
      <c r="E25" s="278"/>
      <c r="F25" s="278"/>
      <c r="G25" s="278"/>
      <c r="H25" s="278"/>
      <c r="I25" s="278"/>
      <c r="J25" s="279"/>
      <c r="K25" s="27"/>
    </row>
    <row r="26" spans="1:11" ht="7.5" customHeight="1" x14ac:dyDescent="0.25">
      <c r="A26" s="33"/>
      <c r="B26" s="33"/>
      <c r="C26" s="33"/>
      <c r="D26" s="33"/>
      <c r="E26" s="33"/>
      <c r="F26" s="33"/>
      <c r="G26" s="33"/>
      <c r="H26" s="33"/>
      <c r="I26" s="33"/>
      <c r="J26" s="33"/>
    </row>
    <row r="27" spans="1:11" s="4" customFormat="1" ht="18.75" customHeight="1" x14ac:dyDescent="0.25">
      <c r="A27" s="1" t="s">
        <v>10</v>
      </c>
      <c r="B27" s="1" t="s">
        <v>159</v>
      </c>
      <c r="C27" s="1"/>
      <c r="D27" s="1"/>
      <c r="E27" s="1"/>
      <c r="F27" s="1"/>
      <c r="G27" s="1"/>
      <c r="H27" s="1"/>
      <c r="I27" s="1"/>
      <c r="J27" s="1"/>
      <c r="K27" s="27"/>
    </row>
    <row r="28" spans="1:11" s="25" customFormat="1" ht="18.75" customHeight="1" x14ac:dyDescent="0.25">
      <c r="B28" s="86" t="s">
        <v>160</v>
      </c>
      <c r="C28" s="87">
        <f>'様式３　履修者等数の実績'!R30</f>
        <v>0.81874999999999998</v>
      </c>
      <c r="D28" s="88"/>
      <c r="E28" s="88" t="s">
        <v>161</v>
      </c>
      <c r="F28" s="87">
        <v>1</v>
      </c>
      <c r="G28" s="88"/>
      <c r="H28" s="88" t="s">
        <v>162</v>
      </c>
      <c r="I28" s="89">
        <v>1</v>
      </c>
      <c r="J28" s="90"/>
      <c r="K28" s="27"/>
    </row>
    <row r="29" spans="1:11" s="25" customFormat="1" ht="18.75" customHeight="1" x14ac:dyDescent="0.25">
      <c r="B29" s="74" t="s">
        <v>163</v>
      </c>
      <c r="C29" s="91">
        <v>1</v>
      </c>
      <c r="D29" s="75"/>
      <c r="E29" s="75" t="s">
        <v>164</v>
      </c>
      <c r="F29" s="91">
        <v>1</v>
      </c>
      <c r="G29" s="75"/>
      <c r="H29" s="75" t="s">
        <v>165</v>
      </c>
      <c r="I29" s="92">
        <f>'様式３　履修者等数の実績'!D30</f>
        <v>800</v>
      </c>
      <c r="J29" s="93"/>
      <c r="K29" s="27"/>
    </row>
    <row r="30" spans="1:11" s="4" customFormat="1" ht="18.75" customHeight="1" x14ac:dyDescent="0.25">
      <c r="A30" s="1"/>
      <c r="B30" s="186" t="s">
        <v>166</v>
      </c>
      <c r="C30" s="187"/>
      <c r="D30" s="187"/>
      <c r="E30" s="187"/>
      <c r="F30" s="187"/>
      <c r="G30" s="187"/>
      <c r="H30" s="187"/>
      <c r="I30" s="187"/>
      <c r="J30" s="188"/>
      <c r="K30" s="27"/>
    </row>
    <row r="31" spans="1:11" s="4" customFormat="1" ht="18.75" customHeight="1" x14ac:dyDescent="0.25">
      <c r="A31" s="1"/>
      <c r="B31" s="268" t="s">
        <v>167</v>
      </c>
      <c r="C31" s="269"/>
      <c r="D31" s="269"/>
      <c r="E31" s="269"/>
      <c r="F31" s="269"/>
      <c r="G31" s="269"/>
      <c r="H31" s="269"/>
      <c r="I31" s="269"/>
      <c r="J31" s="270"/>
      <c r="K31" s="27" t="str">
        <f>IF(B31="","入力してください","")</f>
        <v/>
      </c>
    </row>
    <row r="32" spans="1:11" s="4" customFormat="1" ht="18.75" customHeight="1" x14ac:dyDescent="0.25">
      <c r="A32" s="1"/>
      <c r="B32" s="261"/>
      <c r="C32" s="262"/>
      <c r="D32" s="262"/>
      <c r="E32" s="262"/>
      <c r="F32" s="262"/>
      <c r="G32" s="262"/>
      <c r="H32" s="262"/>
      <c r="I32" s="262"/>
      <c r="J32" s="263"/>
      <c r="K32" s="27"/>
    </row>
    <row r="33" spans="1:11" s="4" customFormat="1" ht="18.75" customHeight="1" x14ac:dyDescent="0.25">
      <c r="A33" s="1"/>
      <c r="B33" s="261"/>
      <c r="C33" s="262"/>
      <c r="D33" s="262"/>
      <c r="E33" s="262"/>
      <c r="F33" s="262"/>
      <c r="G33" s="262"/>
      <c r="H33" s="262"/>
      <c r="I33" s="262"/>
      <c r="J33" s="263"/>
      <c r="K33" s="27"/>
    </row>
    <row r="34" spans="1:11" s="4" customFormat="1" ht="18.75" customHeight="1" x14ac:dyDescent="0.25">
      <c r="A34" s="1"/>
      <c r="B34" s="261"/>
      <c r="C34" s="262"/>
      <c r="D34" s="262"/>
      <c r="E34" s="262"/>
      <c r="F34" s="262"/>
      <c r="G34" s="262"/>
      <c r="H34" s="262"/>
      <c r="I34" s="262"/>
      <c r="J34" s="263"/>
      <c r="K34" s="27"/>
    </row>
    <row r="35" spans="1:11" s="4" customFormat="1" ht="18.75" customHeight="1" x14ac:dyDescent="0.25">
      <c r="A35" s="1"/>
      <c r="B35" s="261"/>
      <c r="C35" s="262"/>
      <c r="D35" s="262"/>
      <c r="E35" s="262"/>
      <c r="F35" s="262"/>
      <c r="G35" s="262"/>
      <c r="H35" s="262"/>
      <c r="I35" s="262"/>
      <c r="J35" s="263"/>
      <c r="K35" s="27"/>
    </row>
    <row r="36" spans="1:11" s="4" customFormat="1" ht="18.75" customHeight="1" x14ac:dyDescent="0.25">
      <c r="A36" s="1"/>
      <c r="B36" s="261"/>
      <c r="C36" s="262"/>
      <c r="D36" s="262"/>
      <c r="E36" s="262"/>
      <c r="F36" s="262"/>
      <c r="G36" s="262"/>
      <c r="H36" s="262"/>
      <c r="I36" s="262"/>
      <c r="J36" s="263"/>
      <c r="K36" s="27"/>
    </row>
    <row r="37" spans="1:11" s="4" customFormat="1" ht="18.75" customHeight="1" x14ac:dyDescent="0.25">
      <c r="A37" s="1"/>
      <c r="B37" s="261"/>
      <c r="C37" s="262"/>
      <c r="D37" s="262"/>
      <c r="E37" s="262"/>
      <c r="F37" s="262"/>
      <c r="G37" s="262"/>
      <c r="H37" s="262"/>
      <c r="I37" s="262"/>
      <c r="J37" s="263"/>
      <c r="K37" s="27"/>
    </row>
    <row r="38" spans="1:11" s="4" customFormat="1" ht="18.75" customHeight="1" x14ac:dyDescent="0.25">
      <c r="A38" s="1"/>
      <c r="B38" s="261"/>
      <c r="C38" s="262"/>
      <c r="D38" s="262"/>
      <c r="E38" s="262"/>
      <c r="F38" s="262"/>
      <c r="G38" s="262"/>
      <c r="H38" s="262"/>
      <c r="I38" s="262"/>
      <c r="J38" s="263"/>
      <c r="K38" s="27"/>
    </row>
    <row r="39" spans="1:11" s="4" customFormat="1" ht="18.75" customHeight="1" x14ac:dyDescent="0.25">
      <c r="A39" s="1"/>
      <c r="B39" s="261"/>
      <c r="C39" s="262"/>
      <c r="D39" s="262"/>
      <c r="E39" s="262"/>
      <c r="F39" s="262"/>
      <c r="G39" s="262"/>
      <c r="H39" s="262"/>
      <c r="I39" s="262"/>
      <c r="J39" s="263"/>
      <c r="K39" s="27"/>
    </row>
    <row r="40" spans="1:11" s="4" customFormat="1" ht="18.75" customHeight="1" x14ac:dyDescent="0.25">
      <c r="A40" s="1"/>
      <c r="B40" s="261"/>
      <c r="C40" s="262"/>
      <c r="D40" s="262"/>
      <c r="E40" s="262"/>
      <c r="F40" s="262"/>
      <c r="G40" s="262"/>
      <c r="H40" s="262"/>
      <c r="I40" s="262"/>
      <c r="J40" s="263"/>
      <c r="K40" s="27"/>
    </row>
    <row r="41" spans="1:11" s="4" customFormat="1" ht="18.75" customHeight="1" x14ac:dyDescent="0.25">
      <c r="A41" s="1"/>
      <c r="B41" s="261"/>
      <c r="C41" s="262"/>
      <c r="D41" s="262"/>
      <c r="E41" s="262"/>
      <c r="F41" s="262"/>
      <c r="G41" s="262"/>
      <c r="H41" s="262"/>
      <c r="I41" s="262"/>
      <c r="J41" s="263"/>
      <c r="K41" s="27"/>
    </row>
    <row r="42" spans="1:11" s="4" customFormat="1" ht="18.75" customHeight="1" x14ac:dyDescent="0.25">
      <c r="A42" s="1"/>
      <c r="B42" s="261"/>
      <c r="C42" s="262"/>
      <c r="D42" s="262"/>
      <c r="E42" s="262"/>
      <c r="F42" s="262"/>
      <c r="G42" s="262"/>
      <c r="H42" s="262"/>
      <c r="I42" s="262"/>
      <c r="J42" s="263"/>
      <c r="K42" s="27"/>
    </row>
    <row r="43" spans="1:11" ht="18.75" customHeight="1" x14ac:dyDescent="0.25">
      <c r="A43" s="33"/>
      <c r="B43" s="261"/>
      <c r="C43" s="262"/>
      <c r="D43" s="262"/>
      <c r="E43" s="262"/>
      <c r="F43" s="262"/>
      <c r="G43" s="262"/>
      <c r="H43" s="262"/>
      <c r="I43" s="262"/>
      <c r="J43" s="263"/>
    </row>
    <row r="44" spans="1:11" ht="18.75" customHeight="1" x14ac:dyDescent="0.25">
      <c r="A44" s="33"/>
      <c r="B44" s="264"/>
      <c r="C44" s="265"/>
      <c r="D44" s="265"/>
      <c r="E44" s="265"/>
      <c r="F44" s="265"/>
      <c r="G44" s="265"/>
      <c r="H44" s="265"/>
      <c r="I44" s="265"/>
      <c r="J44" s="266"/>
    </row>
    <row r="45" spans="1:11" s="4" customFormat="1" ht="18.75" customHeight="1" x14ac:dyDescent="0.25">
      <c r="A45" s="94" t="s">
        <v>13</v>
      </c>
      <c r="B45" s="1" t="s">
        <v>168</v>
      </c>
      <c r="C45" s="1"/>
      <c r="D45" s="1"/>
      <c r="E45" s="1"/>
      <c r="F45" s="1"/>
      <c r="G45" s="1"/>
      <c r="H45" s="1"/>
      <c r="I45" s="94"/>
      <c r="J45" s="94"/>
      <c r="K45" s="27"/>
    </row>
    <row r="46" spans="1:11" ht="18.75" customHeight="1" x14ac:dyDescent="0.25">
      <c r="A46" s="33"/>
      <c r="B46" s="249" t="s">
        <v>169</v>
      </c>
      <c r="C46" s="250"/>
      <c r="D46" s="250"/>
      <c r="E46" s="250"/>
      <c r="F46" s="250"/>
      <c r="G46" s="250"/>
      <c r="H46" s="250"/>
      <c r="I46" s="251"/>
      <c r="J46" s="252"/>
      <c r="K46" s="27" t="str">
        <f>IF(B46="","入力してください","")</f>
        <v/>
      </c>
    </row>
    <row r="47" spans="1:11" ht="18.75" customHeight="1" x14ac:dyDescent="0.25">
      <c r="A47" s="33"/>
      <c r="B47" s="253"/>
      <c r="C47" s="254"/>
      <c r="D47" s="254"/>
      <c r="E47" s="254"/>
      <c r="F47" s="254"/>
      <c r="G47" s="254"/>
      <c r="H47" s="254"/>
      <c r="I47" s="254"/>
      <c r="J47" s="255"/>
    </row>
    <row r="48" spans="1:11" ht="18.75" customHeight="1" x14ac:dyDescent="0.25">
      <c r="A48" s="33"/>
      <c r="B48" s="253"/>
      <c r="C48" s="254"/>
      <c r="D48" s="254"/>
      <c r="E48" s="254"/>
      <c r="F48" s="254"/>
      <c r="G48" s="254"/>
      <c r="H48" s="254"/>
      <c r="I48" s="254"/>
      <c r="J48" s="255"/>
    </row>
    <row r="49" spans="1:10" ht="18.75" customHeight="1" x14ac:dyDescent="0.25">
      <c r="A49" s="33"/>
      <c r="B49" s="253"/>
      <c r="C49" s="254"/>
      <c r="D49" s="254"/>
      <c r="E49" s="254"/>
      <c r="F49" s="254"/>
      <c r="G49" s="254"/>
      <c r="H49" s="254"/>
      <c r="I49" s="254"/>
      <c r="J49" s="255"/>
    </row>
    <row r="50" spans="1:10" ht="18.75" customHeight="1" x14ac:dyDescent="0.25">
      <c r="A50" s="33"/>
      <c r="B50" s="253"/>
      <c r="C50" s="254"/>
      <c r="D50" s="254"/>
      <c r="E50" s="254"/>
      <c r="F50" s="254"/>
      <c r="G50" s="254"/>
      <c r="H50" s="254"/>
      <c r="I50" s="254"/>
      <c r="J50" s="255"/>
    </row>
    <row r="51" spans="1:10" ht="18.75" customHeight="1" x14ac:dyDescent="0.25">
      <c r="A51" s="33"/>
      <c r="B51" s="253"/>
      <c r="C51" s="254"/>
      <c r="D51" s="254"/>
      <c r="E51" s="254"/>
      <c r="F51" s="254"/>
      <c r="G51" s="254"/>
      <c r="H51" s="254"/>
      <c r="I51" s="254"/>
      <c r="J51" s="255"/>
    </row>
    <row r="52" spans="1:10" ht="18.75" customHeight="1" x14ac:dyDescent="0.25">
      <c r="A52" s="33"/>
      <c r="B52" s="253"/>
      <c r="C52" s="254"/>
      <c r="D52" s="254"/>
      <c r="E52" s="254"/>
      <c r="F52" s="254"/>
      <c r="G52" s="254"/>
      <c r="H52" s="254"/>
      <c r="I52" s="254"/>
      <c r="J52" s="255"/>
    </row>
    <row r="53" spans="1:10" ht="18.75" customHeight="1" x14ac:dyDescent="0.25">
      <c r="A53" s="33"/>
      <c r="B53" s="253"/>
      <c r="C53" s="254"/>
      <c r="D53" s="254"/>
      <c r="E53" s="254"/>
      <c r="F53" s="254"/>
      <c r="G53" s="254"/>
      <c r="H53" s="254"/>
      <c r="I53" s="254"/>
      <c r="J53" s="255"/>
    </row>
    <row r="54" spans="1:10" ht="18.75" customHeight="1" x14ac:dyDescent="0.25">
      <c r="A54" s="33"/>
      <c r="B54" s="253"/>
      <c r="C54" s="254"/>
      <c r="D54" s="254"/>
      <c r="E54" s="254"/>
      <c r="F54" s="254"/>
      <c r="G54" s="254"/>
      <c r="H54" s="254"/>
      <c r="I54" s="254"/>
      <c r="J54" s="255"/>
    </row>
    <row r="55" spans="1:10" ht="18.75" customHeight="1" x14ac:dyDescent="0.25">
      <c r="A55" s="33"/>
      <c r="B55" s="253"/>
      <c r="C55" s="254"/>
      <c r="D55" s="254"/>
      <c r="E55" s="254"/>
      <c r="F55" s="254"/>
      <c r="G55" s="254"/>
      <c r="H55" s="254"/>
      <c r="I55" s="254"/>
      <c r="J55" s="255"/>
    </row>
    <row r="56" spans="1:10" ht="18.75" customHeight="1" x14ac:dyDescent="0.25">
      <c r="A56" s="33"/>
      <c r="B56" s="253"/>
      <c r="C56" s="254"/>
      <c r="D56" s="254"/>
      <c r="E56" s="254"/>
      <c r="F56" s="254"/>
      <c r="G56" s="254"/>
      <c r="H56" s="254"/>
      <c r="I56" s="254"/>
      <c r="J56" s="255"/>
    </row>
    <row r="57" spans="1:10" ht="18.75" customHeight="1" x14ac:dyDescent="0.25">
      <c r="A57" s="33"/>
      <c r="B57" s="253"/>
      <c r="C57" s="254"/>
      <c r="D57" s="254"/>
      <c r="E57" s="254"/>
      <c r="F57" s="254"/>
      <c r="G57" s="254"/>
      <c r="H57" s="254"/>
      <c r="I57" s="254"/>
      <c r="J57" s="255"/>
    </row>
    <row r="58" spans="1:10" ht="18.75" customHeight="1" x14ac:dyDescent="0.25">
      <c r="A58" s="33"/>
      <c r="B58" s="253"/>
      <c r="C58" s="254"/>
      <c r="D58" s="254"/>
      <c r="E58" s="254"/>
      <c r="F58" s="254"/>
      <c r="G58" s="254"/>
      <c r="H58" s="254"/>
      <c r="I58" s="254"/>
      <c r="J58" s="255"/>
    </row>
    <row r="59" spans="1:10" ht="18.75" customHeight="1" x14ac:dyDescent="0.25">
      <c r="A59" s="33"/>
      <c r="B59" s="253"/>
      <c r="C59" s="254"/>
      <c r="D59" s="254"/>
      <c r="E59" s="254"/>
      <c r="F59" s="254"/>
      <c r="G59" s="254"/>
      <c r="H59" s="254"/>
      <c r="I59" s="254"/>
      <c r="J59" s="255"/>
    </row>
    <row r="60" spans="1:10" ht="18.75" customHeight="1" x14ac:dyDescent="0.25">
      <c r="A60" s="33"/>
      <c r="B60" s="253"/>
      <c r="C60" s="254"/>
      <c r="D60" s="254"/>
      <c r="E60" s="254"/>
      <c r="F60" s="254"/>
      <c r="G60" s="254"/>
      <c r="H60" s="254"/>
      <c r="I60" s="254"/>
      <c r="J60" s="255"/>
    </row>
    <row r="61" spans="1:10" ht="18.75" customHeight="1" x14ac:dyDescent="0.25">
      <c r="A61" s="33"/>
      <c r="B61" s="253"/>
      <c r="C61" s="254"/>
      <c r="D61" s="254"/>
      <c r="E61" s="254"/>
      <c r="F61" s="254"/>
      <c r="G61" s="254"/>
      <c r="H61" s="254"/>
      <c r="I61" s="254"/>
      <c r="J61" s="255"/>
    </row>
    <row r="62" spans="1:10" ht="18.75" customHeight="1" x14ac:dyDescent="0.25">
      <c r="A62" s="33"/>
      <c r="B62" s="253"/>
      <c r="C62" s="254"/>
      <c r="D62" s="254"/>
      <c r="E62" s="254"/>
      <c r="F62" s="254"/>
      <c r="G62" s="254"/>
      <c r="H62" s="254"/>
      <c r="I62" s="254"/>
      <c r="J62" s="255"/>
    </row>
    <row r="63" spans="1:10" ht="18.75" customHeight="1" x14ac:dyDescent="0.25">
      <c r="A63" s="33"/>
      <c r="B63" s="253"/>
      <c r="C63" s="254"/>
      <c r="D63" s="254"/>
      <c r="E63" s="254"/>
      <c r="F63" s="254"/>
      <c r="G63" s="254"/>
      <c r="H63" s="254"/>
      <c r="I63" s="254"/>
      <c r="J63" s="255"/>
    </row>
    <row r="64" spans="1:10" ht="18.75" customHeight="1" x14ac:dyDescent="0.25">
      <c r="A64" s="33"/>
      <c r="B64" s="253"/>
      <c r="C64" s="254"/>
      <c r="D64" s="254"/>
      <c r="E64" s="254"/>
      <c r="F64" s="254"/>
      <c r="G64" s="254"/>
      <c r="H64" s="254"/>
      <c r="I64" s="254"/>
      <c r="J64" s="255"/>
    </row>
    <row r="65" spans="1:11" ht="18.75" customHeight="1" x14ac:dyDescent="0.25">
      <c r="A65" s="33"/>
      <c r="B65" s="253"/>
      <c r="C65" s="254"/>
      <c r="D65" s="254"/>
      <c r="E65" s="254"/>
      <c r="F65" s="254"/>
      <c r="G65" s="254"/>
      <c r="H65" s="254"/>
      <c r="I65" s="254"/>
      <c r="J65" s="255"/>
    </row>
    <row r="66" spans="1:11" ht="18.75" customHeight="1" x14ac:dyDescent="0.25">
      <c r="A66" s="33"/>
      <c r="B66" s="256"/>
      <c r="C66" s="257"/>
      <c r="D66" s="257"/>
      <c r="E66" s="257"/>
      <c r="F66" s="257"/>
      <c r="G66" s="257"/>
      <c r="H66" s="257"/>
      <c r="I66" s="257"/>
      <c r="J66" s="258"/>
    </row>
    <row r="67" spans="1:11" ht="7.5" customHeight="1" x14ac:dyDescent="0.25">
      <c r="A67" s="33"/>
      <c r="B67" s="33"/>
      <c r="C67" s="33"/>
      <c r="D67" s="33"/>
      <c r="E67" s="33"/>
      <c r="F67" s="33"/>
      <c r="G67" s="33"/>
      <c r="H67" s="33"/>
      <c r="I67" s="33"/>
      <c r="J67" s="33"/>
    </row>
    <row r="68" spans="1:11" s="4" customFormat="1" ht="18.75" customHeight="1" x14ac:dyDescent="0.25">
      <c r="A68" s="1" t="s">
        <v>16</v>
      </c>
      <c r="B68" s="1" t="s">
        <v>170</v>
      </c>
      <c r="C68" s="1"/>
      <c r="D68" s="1"/>
      <c r="E68" s="1"/>
      <c r="F68" s="1"/>
      <c r="G68" s="1"/>
      <c r="H68" s="1"/>
      <c r="I68" s="1"/>
      <c r="J68" s="1"/>
      <c r="K68" s="27"/>
    </row>
    <row r="69" spans="1:11" s="4" customFormat="1" ht="18.75" customHeight="1" x14ac:dyDescent="0.25">
      <c r="A69" s="1"/>
      <c r="B69" s="249" t="s">
        <v>167</v>
      </c>
      <c r="C69" s="250"/>
      <c r="D69" s="250"/>
      <c r="E69" s="250"/>
      <c r="F69" s="250"/>
      <c r="G69" s="250"/>
      <c r="H69" s="250"/>
      <c r="I69" s="259"/>
      <c r="J69" s="260"/>
      <c r="K69" s="27" t="str">
        <f>IF(B69="","入力してください","")</f>
        <v/>
      </c>
    </row>
    <row r="70" spans="1:11" s="4" customFormat="1" ht="18.75" customHeight="1" x14ac:dyDescent="0.25">
      <c r="A70" s="1"/>
      <c r="B70" s="261"/>
      <c r="C70" s="262"/>
      <c r="D70" s="262"/>
      <c r="E70" s="262"/>
      <c r="F70" s="262"/>
      <c r="G70" s="262"/>
      <c r="H70" s="262"/>
      <c r="I70" s="262"/>
      <c r="J70" s="263"/>
      <c r="K70" s="27"/>
    </row>
    <row r="71" spans="1:11" s="4" customFormat="1" ht="18.75" customHeight="1" x14ac:dyDescent="0.25">
      <c r="A71" s="1"/>
      <c r="B71" s="261"/>
      <c r="C71" s="262"/>
      <c r="D71" s="262"/>
      <c r="E71" s="262"/>
      <c r="F71" s="262"/>
      <c r="G71" s="262"/>
      <c r="H71" s="262"/>
      <c r="I71" s="262"/>
      <c r="J71" s="263"/>
      <c r="K71" s="27"/>
    </row>
    <row r="72" spans="1:11" s="4" customFormat="1" ht="18.75" customHeight="1" x14ac:dyDescent="0.25">
      <c r="A72" s="1"/>
      <c r="B72" s="261"/>
      <c r="C72" s="262"/>
      <c r="D72" s="262"/>
      <c r="E72" s="262"/>
      <c r="F72" s="262"/>
      <c r="G72" s="262"/>
      <c r="H72" s="262"/>
      <c r="I72" s="262"/>
      <c r="J72" s="263"/>
      <c r="K72" s="27"/>
    </row>
    <row r="73" spans="1:11" s="4" customFormat="1" ht="18.75" customHeight="1" x14ac:dyDescent="0.25">
      <c r="A73" s="1"/>
      <c r="B73" s="261"/>
      <c r="C73" s="262"/>
      <c r="D73" s="262"/>
      <c r="E73" s="262"/>
      <c r="F73" s="262"/>
      <c r="G73" s="262"/>
      <c r="H73" s="262"/>
      <c r="I73" s="262"/>
      <c r="J73" s="263"/>
      <c r="K73" s="27"/>
    </row>
    <row r="74" spans="1:11" s="4" customFormat="1" ht="18.75" customHeight="1" x14ac:dyDescent="0.25">
      <c r="A74" s="1"/>
      <c r="B74" s="261"/>
      <c r="C74" s="262"/>
      <c r="D74" s="262"/>
      <c r="E74" s="262"/>
      <c r="F74" s="262"/>
      <c r="G74" s="262"/>
      <c r="H74" s="262"/>
      <c r="I74" s="262"/>
      <c r="J74" s="263"/>
      <c r="K74" s="27"/>
    </row>
    <row r="75" spans="1:11" s="4" customFormat="1" ht="18.75" customHeight="1" x14ac:dyDescent="0.25">
      <c r="A75" s="1"/>
      <c r="B75" s="261"/>
      <c r="C75" s="262"/>
      <c r="D75" s="262"/>
      <c r="E75" s="262"/>
      <c r="F75" s="262"/>
      <c r="G75" s="262"/>
      <c r="H75" s="262"/>
      <c r="I75" s="262"/>
      <c r="J75" s="263"/>
      <c r="K75" s="27"/>
    </row>
    <row r="76" spans="1:11" s="4" customFormat="1" ht="18.75" customHeight="1" x14ac:dyDescent="0.25">
      <c r="A76" s="1"/>
      <c r="B76" s="261"/>
      <c r="C76" s="262"/>
      <c r="D76" s="262"/>
      <c r="E76" s="262"/>
      <c r="F76" s="262"/>
      <c r="G76" s="262"/>
      <c r="H76" s="262"/>
      <c r="I76" s="262"/>
      <c r="J76" s="263"/>
      <c r="K76" s="27"/>
    </row>
    <row r="77" spans="1:11" s="4" customFormat="1" ht="18.75" customHeight="1" x14ac:dyDescent="0.25">
      <c r="A77" s="1"/>
      <c r="B77" s="261"/>
      <c r="C77" s="262"/>
      <c r="D77" s="262"/>
      <c r="E77" s="262"/>
      <c r="F77" s="262"/>
      <c r="G77" s="262"/>
      <c r="H77" s="262"/>
      <c r="I77" s="262"/>
      <c r="J77" s="263"/>
      <c r="K77" s="27"/>
    </row>
    <row r="78" spans="1:11" s="4" customFormat="1" ht="18.75" customHeight="1" x14ac:dyDescent="0.25">
      <c r="A78" s="1"/>
      <c r="B78" s="261"/>
      <c r="C78" s="262"/>
      <c r="D78" s="262"/>
      <c r="E78" s="262"/>
      <c r="F78" s="262"/>
      <c r="G78" s="262"/>
      <c r="H78" s="262"/>
      <c r="I78" s="262"/>
      <c r="J78" s="263"/>
      <c r="K78" s="27"/>
    </row>
    <row r="79" spans="1:11" s="4" customFormat="1" ht="18.75" customHeight="1" x14ac:dyDescent="0.25">
      <c r="A79" s="1"/>
      <c r="B79" s="261"/>
      <c r="C79" s="262"/>
      <c r="D79" s="262"/>
      <c r="E79" s="262"/>
      <c r="F79" s="262"/>
      <c r="G79" s="262"/>
      <c r="H79" s="262"/>
      <c r="I79" s="262"/>
      <c r="J79" s="263"/>
      <c r="K79" s="27"/>
    </row>
    <row r="80" spans="1:11" s="4" customFormat="1" ht="18.75" customHeight="1" x14ac:dyDescent="0.25">
      <c r="A80" s="1"/>
      <c r="B80" s="261"/>
      <c r="C80" s="262"/>
      <c r="D80" s="262"/>
      <c r="E80" s="262"/>
      <c r="F80" s="262"/>
      <c r="G80" s="262"/>
      <c r="H80" s="262"/>
      <c r="I80" s="262"/>
      <c r="J80" s="263"/>
      <c r="K80" s="27"/>
    </row>
    <row r="81" spans="1:11" s="4" customFormat="1" ht="18.75" customHeight="1" x14ac:dyDescent="0.25">
      <c r="A81" s="1"/>
      <c r="B81" s="261"/>
      <c r="C81" s="262"/>
      <c r="D81" s="262"/>
      <c r="E81" s="262"/>
      <c r="F81" s="262"/>
      <c r="G81" s="262"/>
      <c r="H81" s="262"/>
      <c r="I81" s="262"/>
      <c r="J81" s="263"/>
      <c r="K81" s="27"/>
    </row>
    <row r="82" spans="1:11" s="4" customFormat="1" ht="18.75" customHeight="1" x14ac:dyDescent="0.25">
      <c r="A82" s="1"/>
      <c r="B82" s="261"/>
      <c r="C82" s="262"/>
      <c r="D82" s="262"/>
      <c r="E82" s="262"/>
      <c r="F82" s="262"/>
      <c r="G82" s="262"/>
      <c r="H82" s="262"/>
      <c r="I82" s="262"/>
      <c r="J82" s="263"/>
      <c r="K82" s="27"/>
    </row>
    <row r="83" spans="1:11" s="4" customFormat="1" ht="18.75" customHeight="1" x14ac:dyDescent="0.25">
      <c r="A83" s="1"/>
      <c r="B83" s="261"/>
      <c r="C83" s="262"/>
      <c r="D83" s="262"/>
      <c r="E83" s="262"/>
      <c r="F83" s="262"/>
      <c r="G83" s="262"/>
      <c r="H83" s="262"/>
      <c r="I83" s="262"/>
      <c r="J83" s="263"/>
      <c r="K83" s="27"/>
    </row>
    <row r="84" spans="1:11" s="4" customFormat="1" ht="18.75" customHeight="1" x14ac:dyDescent="0.25">
      <c r="A84" s="1"/>
      <c r="B84" s="261"/>
      <c r="C84" s="262"/>
      <c r="D84" s="262"/>
      <c r="E84" s="262"/>
      <c r="F84" s="262"/>
      <c r="G84" s="262"/>
      <c r="H84" s="262"/>
      <c r="I84" s="262"/>
      <c r="J84" s="263"/>
      <c r="K84" s="27"/>
    </row>
    <row r="85" spans="1:11" ht="18.75" customHeight="1" x14ac:dyDescent="0.25">
      <c r="A85" s="33"/>
      <c r="B85" s="261"/>
      <c r="C85" s="262"/>
      <c r="D85" s="262"/>
      <c r="E85" s="262"/>
      <c r="F85" s="262"/>
      <c r="G85" s="262"/>
      <c r="H85" s="262"/>
      <c r="I85" s="262"/>
      <c r="J85" s="263"/>
    </row>
    <row r="86" spans="1:11" ht="18.75" customHeight="1" x14ac:dyDescent="0.25">
      <c r="A86" s="33"/>
      <c r="B86" s="264"/>
      <c r="C86" s="265"/>
      <c r="D86" s="265"/>
      <c r="E86" s="265"/>
      <c r="F86" s="265"/>
      <c r="G86" s="265"/>
      <c r="H86" s="265"/>
      <c r="I86" s="265"/>
      <c r="J86" s="266"/>
    </row>
    <row r="87" spans="1:11" ht="7.5" customHeight="1" x14ac:dyDescent="0.25">
      <c r="A87" s="33"/>
      <c r="B87" s="33"/>
      <c r="C87" s="33"/>
      <c r="D87" s="33"/>
      <c r="E87" s="33"/>
      <c r="F87" s="33"/>
      <c r="G87" s="33"/>
      <c r="H87" s="33"/>
      <c r="I87" s="33"/>
      <c r="J87" s="33"/>
    </row>
    <row r="88" spans="1:11" s="4" customFormat="1" ht="18.75" customHeight="1" x14ac:dyDescent="0.25">
      <c r="A88" s="1" t="s">
        <v>171</v>
      </c>
      <c r="B88" s="1" t="s">
        <v>172</v>
      </c>
      <c r="C88" s="1"/>
      <c r="D88" s="1"/>
      <c r="E88" s="1"/>
      <c r="F88" s="1"/>
      <c r="G88" s="1"/>
      <c r="H88" s="1"/>
      <c r="I88" s="1"/>
      <c r="J88" s="1"/>
      <c r="K88" s="27"/>
    </row>
    <row r="89" spans="1:11" s="4" customFormat="1" ht="18.75" customHeight="1" x14ac:dyDescent="0.25">
      <c r="A89" s="1"/>
      <c r="B89" s="249" t="s">
        <v>173</v>
      </c>
      <c r="C89" s="250"/>
      <c r="D89" s="250"/>
      <c r="E89" s="250"/>
      <c r="F89" s="250"/>
      <c r="G89" s="250"/>
      <c r="H89" s="250"/>
      <c r="I89" s="259"/>
      <c r="J89" s="260"/>
      <c r="K89" s="27"/>
    </row>
    <row r="90" spans="1:11" s="4" customFormat="1" ht="18.75" customHeight="1" x14ac:dyDescent="0.25">
      <c r="A90" s="1"/>
      <c r="B90" s="261"/>
      <c r="C90" s="262"/>
      <c r="D90" s="262"/>
      <c r="E90" s="262"/>
      <c r="F90" s="262"/>
      <c r="G90" s="262"/>
      <c r="H90" s="262"/>
      <c r="I90" s="262"/>
      <c r="J90" s="263"/>
      <c r="K90" s="27"/>
    </row>
    <row r="91" spans="1:11" s="4" customFormat="1" ht="18.75" customHeight="1" x14ac:dyDescent="0.25">
      <c r="A91" s="1"/>
      <c r="B91" s="261"/>
      <c r="C91" s="262"/>
      <c r="D91" s="262"/>
      <c r="E91" s="262"/>
      <c r="F91" s="262"/>
      <c r="G91" s="262"/>
      <c r="H91" s="262"/>
      <c r="I91" s="262"/>
      <c r="J91" s="263"/>
      <c r="K91" s="27" t="str">
        <f>IF(B89="","入力してください","")</f>
        <v/>
      </c>
    </row>
    <row r="92" spans="1:11" s="4" customFormat="1" ht="18.75" customHeight="1" x14ac:dyDescent="0.25">
      <c r="A92" s="1"/>
      <c r="B92" s="261"/>
      <c r="C92" s="262"/>
      <c r="D92" s="262"/>
      <c r="E92" s="262"/>
      <c r="F92" s="262"/>
      <c r="G92" s="262"/>
      <c r="H92" s="262"/>
      <c r="I92" s="262"/>
      <c r="J92" s="263"/>
      <c r="K92" s="27"/>
    </row>
    <row r="93" spans="1:11" s="4" customFormat="1" ht="18.75" customHeight="1" x14ac:dyDescent="0.25">
      <c r="A93" s="1"/>
      <c r="B93" s="261"/>
      <c r="C93" s="262"/>
      <c r="D93" s="262"/>
      <c r="E93" s="262"/>
      <c r="F93" s="262"/>
      <c r="G93" s="262"/>
      <c r="H93" s="262"/>
      <c r="I93" s="262"/>
      <c r="J93" s="263"/>
      <c r="K93" s="27"/>
    </row>
    <row r="94" spans="1:11" s="4" customFormat="1" ht="18.75" customHeight="1" x14ac:dyDescent="0.25">
      <c r="A94" s="1"/>
      <c r="B94" s="261"/>
      <c r="C94" s="262"/>
      <c r="D94" s="262"/>
      <c r="E94" s="262"/>
      <c r="F94" s="262"/>
      <c r="G94" s="262"/>
      <c r="H94" s="262"/>
      <c r="I94" s="262"/>
      <c r="J94" s="263"/>
      <c r="K94" s="27"/>
    </row>
    <row r="95" spans="1:11" s="4" customFormat="1" ht="18.75" customHeight="1" x14ac:dyDescent="0.25">
      <c r="A95" s="1"/>
      <c r="B95" s="261"/>
      <c r="C95" s="262"/>
      <c r="D95" s="262"/>
      <c r="E95" s="262"/>
      <c r="F95" s="262"/>
      <c r="G95" s="262"/>
      <c r="H95" s="262"/>
      <c r="I95" s="262"/>
      <c r="J95" s="263"/>
      <c r="K95" s="27"/>
    </row>
    <row r="96" spans="1:11" s="4" customFormat="1" ht="18.75" customHeight="1" x14ac:dyDescent="0.25">
      <c r="A96" s="1"/>
      <c r="B96" s="261"/>
      <c r="C96" s="262"/>
      <c r="D96" s="262"/>
      <c r="E96" s="262"/>
      <c r="F96" s="262"/>
      <c r="G96" s="262"/>
      <c r="H96" s="262"/>
      <c r="I96" s="262"/>
      <c r="J96" s="263"/>
      <c r="K96" s="27"/>
    </row>
    <row r="97" spans="1:11" s="4" customFormat="1" ht="18.75" customHeight="1" x14ac:dyDescent="0.25">
      <c r="A97" s="1"/>
      <c r="B97" s="261"/>
      <c r="C97" s="262"/>
      <c r="D97" s="262"/>
      <c r="E97" s="262"/>
      <c r="F97" s="262"/>
      <c r="G97" s="262"/>
      <c r="H97" s="262"/>
      <c r="I97" s="262"/>
      <c r="J97" s="263"/>
      <c r="K97" s="27"/>
    </row>
    <row r="98" spans="1:11" s="4" customFormat="1" ht="18.75" customHeight="1" x14ac:dyDescent="0.25">
      <c r="A98" s="1"/>
      <c r="B98" s="261"/>
      <c r="C98" s="262"/>
      <c r="D98" s="262"/>
      <c r="E98" s="262"/>
      <c r="F98" s="262"/>
      <c r="G98" s="262"/>
      <c r="H98" s="262"/>
      <c r="I98" s="262"/>
      <c r="J98" s="263"/>
      <c r="K98" s="27"/>
    </row>
    <row r="99" spans="1:11" s="4" customFormat="1" ht="18.75" customHeight="1" x14ac:dyDescent="0.25">
      <c r="A99" s="1"/>
      <c r="B99" s="261"/>
      <c r="C99" s="262"/>
      <c r="D99" s="262"/>
      <c r="E99" s="262"/>
      <c r="F99" s="262"/>
      <c r="G99" s="262"/>
      <c r="H99" s="262"/>
      <c r="I99" s="262"/>
      <c r="J99" s="263"/>
      <c r="K99" s="27"/>
    </row>
    <row r="100" spans="1:11" s="4" customFormat="1" ht="18.75" customHeight="1" x14ac:dyDescent="0.25">
      <c r="A100" s="1"/>
      <c r="B100" s="261"/>
      <c r="C100" s="262"/>
      <c r="D100" s="262"/>
      <c r="E100" s="262"/>
      <c r="F100" s="262"/>
      <c r="G100" s="262"/>
      <c r="H100" s="262"/>
      <c r="I100" s="262"/>
      <c r="J100" s="263"/>
      <c r="K100" s="27"/>
    </row>
    <row r="101" spans="1:11" s="4" customFormat="1" ht="18.75" customHeight="1" x14ac:dyDescent="0.25">
      <c r="A101" s="1"/>
      <c r="B101" s="261"/>
      <c r="C101" s="262"/>
      <c r="D101" s="262"/>
      <c r="E101" s="262"/>
      <c r="F101" s="262"/>
      <c r="G101" s="262"/>
      <c r="H101" s="262"/>
      <c r="I101" s="262"/>
      <c r="J101" s="263"/>
      <c r="K101" s="27"/>
    </row>
    <row r="102" spans="1:11" s="4" customFormat="1" ht="18.75" customHeight="1" x14ac:dyDescent="0.25">
      <c r="A102" s="1"/>
      <c r="B102" s="261"/>
      <c r="C102" s="262"/>
      <c r="D102" s="262"/>
      <c r="E102" s="262"/>
      <c r="F102" s="262"/>
      <c r="G102" s="262"/>
      <c r="H102" s="262"/>
      <c r="I102" s="262"/>
      <c r="J102" s="263"/>
      <c r="K102" s="27"/>
    </row>
    <row r="103" spans="1:11" s="4" customFormat="1" ht="18.75" customHeight="1" x14ac:dyDescent="0.25">
      <c r="A103" s="1"/>
      <c r="B103" s="261"/>
      <c r="C103" s="262"/>
      <c r="D103" s="262"/>
      <c r="E103" s="262"/>
      <c r="F103" s="262"/>
      <c r="G103" s="262"/>
      <c r="H103" s="262"/>
      <c r="I103" s="262"/>
      <c r="J103" s="263"/>
      <c r="K103" s="27"/>
    </row>
    <row r="104" spans="1:11" s="4" customFormat="1" ht="18.75" customHeight="1" x14ac:dyDescent="0.25">
      <c r="A104" s="1"/>
      <c r="B104" s="261"/>
      <c r="C104" s="262"/>
      <c r="D104" s="262"/>
      <c r="E104" s="262"/>
      <c r="F104" s="262"/>
      <c r="G104" s="262"/>
      <c r="H104" s="262"/>
      <c r="I104" s="262"/>
      <c r="J104" s="263"/>
      <c r="K104" s="27"/>
    </row>
    <row r="105" spans="1:11" s="4" customFormat="1" ht="18.75" customHeight="1" x14ac:dyDescent="0.25">
      <c r="A105" s="1"/>
      <c r="B105" s="261"/>
      <c r="C105" s="262"/>
      <c r="D105" s="262"/>
      <c r="E105" s="262"/>
      <c r="F105" s="262"/>
      <c r="G105" s="262"/>
      <c r="H105" s="262"/>
      <c r="I105" s="262"/>
      <c r="J105" s="263"/>
      <c r="K105" s="27"/>
    </row>
    <row r="106" spans="1:11" s="4" customFormat="1" ht="18.75" customHeight="1" x14ac:dyDescent="0.25">
      <c r="A106" s="1"/>
      <c r="B106" s="261"/>
      <c r="C106" s="262"/>
      <c r="D106" s="262"/>
      <c r="E106" s="262"/>
      <c r="F106" s="262"/>
      <c r="G106" s="262"/>
      <c r="H106" s="262"/>
      <c r="I106" s="262"/>
      <c r="J106" s="263"/>
      <c r="K106" s="27"/>
    </row>
    <row r="107" spans="1:11" ht="18.75" customHeight="1" x14ac:dyDescent="0.25">
      <c r="A107" s="33"/>
      <c r="B107" s="261"/>
      <c r="C107" s="262"/>
      <c r="D107" s="262"/>
      <c r="E107" s="262"/>
      <c r="F107" s="262"/>
      <c r="G107" s="262"/>
      <c r="H107" s="262"/>
      <c r="I107" s="262"/>
      <c r="J107" s="263"/>
    </row>
    <row r="108" spans="1:11" ht="18.75" customHeight="1" x14ac:dyDescent="0.25">
      <c r="A108" s="33"/>
      <c r="B108" s="264"/>
      <c r="C108" s="265"/>
      <c r="D108" s="265"/>
      <c r="E108" s="265"/>
      <c r="F108" s="265"/>
      <c r="G108" s="265"/>
      <c r="H108" s="265"/>
      <c r="I108" s="265"/>
      <c r="J108" s="266"/>
    </row>
    <row r="109" spans="1:11" ht="7.5" customHeight="1" x14ac:dyDescent="0.25">
      <c r="A109" s="33"/>
      <c r="B109" s="33"/>
      <c r="C109" s="33"/>
      <c r="D109" s="33"/>
      <c r="E109" s="33"/>
      <c r="F109" s="33"/>
      <c r="G109" s="33"/>
      <c r="H109" s="33"/>
      <c r="I109" s="33"/>
      <c r="J109" s="33"/>
    </row>
    <row r="110" spans="1:11" s="4" customFormat="1" ht="18.75" customHeight="1" x14ac:dyDescent="0.25">
      <c r="A110" s="1" t="s">
        <v>21</v>
      </c>
      <c r="B110" s="267" t="s">
        <v>174</v>
      </c>
      <c r="C110" s="267"/>
      <c r="D110" s="267"/>
      <c r="E110" s="267"/>
      <c r="F110" s="267"/>
      <c r="G110" s="267"/>
      <c r="H110" s="267"/>
      <c r="I110" s="267"/>
      <c r="J110" s="267"/>
      <c r="K110" s="27"/>
    </row>
    <row r="111" spans="1:11" ht="18.75" customHeight="1" x14ac:dyDescent="0.25">
      <c r="A111" s="33"/>
      <c r="B111" s="249" t="s">
        <v>214</v>
      </c>
      <c r="C111" s="250"/>
      <c r="D111" s="250"/>
      <c r="E111" s="250"/>
      <c r="F111" s="250"/>
      <c r="G111" s="250"/>
      <c r="H111" s="250"/>
      <c r="I111" s="259"/>
      <c r="J111" s="260"/>
    </row>
    <row r="112" spans="1:11" ht="18.75" customHeight="1" x14ac:dyDescent="0.25">
      <c r="A112" s="33"/>
      <c r="B112" s="261"/>
      <c r="C112" s="262"/>
      <c r="D112" s="262"/>
      <c r="E112" s="262"/>
      <c r="F112" s="262"/>
      <c r="G112" s="262"/>
      <c r="H112" s="262"/>
      <c r="I112" s="262"/>
      <c r="J112" s="263"/>
    </row>
    <row r="113" spans="1:11" ht="18.75" customHeight="1" x14ac:dyDescent="0.25">
      <c r="A113" s="33"/>
      <c r="B113" s="261"/>
      <c r="C113" s="262"/>
      <c r="D113" s="262"/>
      <c r="E113" s="262"/>
      <c r="F113" s="262"/>
      <c r="G113" s="262"/>
      <c r="H113" s="262"/>
      <c r="I113" s="262"/>
      <c r="J113" s="263"/>
      <c r="K113" s="27" t="str">
        <f>IF(B111="","入力してください","")</f>
        <v/>
      </c>
    </row>
    <row r="114" spans="1:11" ht="18.75" customHeight="1" x14ac:dyDescent="0.25">
      <c r="A114" s="33"/>
      <c r="B114" s="261"/>
      <c r="C114" s="262"/>
      <c r="D114" s="262"/>
      <c r="E114" s="262"/>
      <c r="F114" s="262"/>
      <c r="G114" s="262"/>
      <c r="H114" s="262"/>
      <c r="I114" s="262"/>
      <c r="J114" s="263"/>
    </row>
    <row r="115" spans="1:11" ht="18.75" customHeight="1" x14ac:dyDescent="0.25">
      <c r="A115" s="33"/>
      <c r="B115" s="261"/>
      <c r="C115" s="262"/>
      <c r="D115" s="262"/>
      <c r="E115" s="262"/>
      <c r="F115" s="262"/>
      <c r="G115" s="262"/>
      <c r="H115" s="262"/>
      <c r="I115" s="262"/>
      <c r="J115" s="263"/>
    </row>
    <row r="116" spans="1:11" ht="18.75" customHeight="1" x14ac:dyDescent="0.25">
      <c r="A116" s="33"/>
      <c r="B116" s="261"/>
      <c r="C116" s="262"/>
      <c r="D116" s="262"/>
      <c r="E116" s="262"/>
      <c r="F116" s="262"/>
      <c r="G116" s="262"/>
      <c r="H116" s="262"/>
      <c r="I116" s="262"/>
      <c r="J116" s="263"/>
    </row>
    <row r="117" spans="1:11" ht="18.75" customHeight="1" x14ac:dyDescent="0.25">
      <c r="A117" s="33"/>
      <c r="B117" s="261"/>
      <c r="C117" s="262"/>
      <c r="D117" s="262"/>
      <c r="E117" s="262"/>
      <c r="F117" s="262"/>
      <c r="G117" s="262"/>
      <c r="H117" s="262"/>
      <c r="I117" s="262"/>
      <c r="J117" s="263"/>
    </row>
    <row r="118" spans="1:11" ht="18.75" customHeight="1" x14ac:dyDescent="0.25">
      <c r="A118" s="33"/>
      <c r="B118" s="261"/>
      <c r="C118" s="262"/>
      <c r="D118" s="262"/>
      <c r="E118" s="262"/>
      <c r="F118" s="262"/>
      <c r="G118" s="262"/>
      <c r="H118" s="262"/>
      <c r="I118" s="262"/>
      <c r="J118" s="263"/>
    </row>
    <row r="119" spans="1:11" ht="18.75" customHeight="1" x14ac:dyDescent="0.25">
      <c r="A119" s="33"/>
      <c r="B119" s="261"/>
      <c r="C119" s="262"/>
      <c r="D119" s="262"/>
      <c r="E119" s="262"/>
      <c r="F119" s="262"/>
      <c r="G119" s="262"/>
      <c r="H119" s="262"/>
      <c r="I119" s="262"/>
      <c r="J119" s="263"/>
    </row>
    <row r="120" spans="1:11" ht="18.75" customHeight="1" x14ac:dyDescent="0.25">
      <c r="A120" s="33"/>
      <c r="B120" s="261"/>
      <c r="C120" s="262"/>
      <c r="D120" s="262"/>
      <c r="E120" s="262"/>
      <c r="F120" s="262"/>
      <c r="G120" s="262"/>
      <c r="H120" s="262"/>
      <c r="I120" s="262"/>
      <c r="J120" s="263"/>
    </row>
    <row r="121" spans="1:11" ht="18.75" customHeight="1" x14ac:dyDescent="0.25">
      <c r="A121" s="33"/>
      <c r="B121" s="261"/>
      <c r="C121" s="262"/>
      <c r="D121" s="262"/>
      <c r="E121" s="262"/>
      <c r="F121" s="262"/>
      <c r="G121" s="262"/>
      <c r="H121" s="262"/>
      <c r="I121" s="262"/>
      <c r="J121" s="263"/>
    </row>
    <row r="122" spans="1:11" ht="18.75" customHeight="1" x14ac:dyDescent="0.25">
      <c r="A122" s="33"/>
      <c r="B122" s="261"/>
      <c r="C122" s="262"/>
      <c r="D122" s="262"/>
      <c r="E122" s="262"/>
      <c r="F122" s="262"/>
      <c r="G122" s="262"/>
      <c r="H122" s="262"/>
      <c r="I122" s="262"/>
      <c r="J122" s="263"/>
    </row>
    <row r="123" spans="1:11" ht="18.75" customHeight="1" x14ac:dyDescent="0.25">
      <c r="A123" s="33"/>
      <c r="B123" s="261"/>
      <c r="C123" s="262"/>
      <c r="D123" s="262"/>
      <c r="E123" s="262"/>
      <c r="F123" s="262"/>
      <c r="G123" s="262"/>
      <c r="H123" s="262"/>
      <c r="I123" s="262"/>
      <c r="J123" s="263"/>
    </row>
    <row r="124" spans="1:11" ht="18.75" customHeight="1" x14ac:dyDescent="0.25">
      <c r="A124" s="33"/>
      <c r="B124" s="261"/>
      <c r="C124" s="262"/>
      <c r="D124" s="262"/>
      <c r="E124" s="262"/>
      <c r="F124" s="262"/>
      <c r="G124" s="262"/>
      <c r="H124" s="262"/>
      <c r="I124" s="262"/>
      <c r="J124" s="263"/>
    </row>
    <row r="125" spans="1:11" ht="18.75" customHeight="1" x14ac:dyDescent="0.25">
      <c r="A125" s="33"/>
      <c r="B125" s="261"/>
      <c r="C125" s="262"/>
      <c r="D125" s="262"/>
      <c r="E125" s="262"/>
      <c r="F125" s="262"/>
      <c r="G125" s="262"/>
      <c r="H125" s="262"/>
      <c r="I125" s="262"/>
      <c r="J125" s="263"/>
    </row>
    <row r="126" spans="1:11" ht="18.75" customHeight="1" x14ac:dyDescent="0.25">
      <c r="A126" s="33"/>
      <c r="B126" s="261"/>
      <c r="C126" s="262"/>
      <c r="D126" s="262"/>
      <c r="E126" s="262"/>
      <c r="F126" s="262"/>
      <c r="G126" s="262"/>
      <c r="H126" s="262"/>
      <c r="I126" s="262"/>
      <c r="J126" s="263"/>
    </row>
    <row r="127" spans="1:11" ht="18.75" customHeight="1" x14ac:dyDescent="0.25">
      <c r="A127" s="33"/>
      <c r="B127" s="261"/>
      <c r="C127" s="262"/>
      <c r="D127" s="262"/>
      <c r="E127" s="262"/>
      <c r="F127" s="262"/>
      <c r="G127" s="262"/>
      <c r="H127" s="262"/>
      <c r="I127" s="262"/>
      <c r="J127" s="263"/>
    </row>
    <row r="128" spans="1:11" ht="18.75" customHeight="1" x14ac:dyDescent="0.25">
      <c r="A128" s="33"/>
      <c r="B128" s="261"/>
      <c r="C128" s="262"/>
      <c r="D128" s="262"/>
      <c r="E128" s="262"/>
      <c r="F128" s="262"/>
      <c r="G128" s="262"/>
      <c r="H128" s="262"/>
      <c r="I128" s="262"/>
      <c r="J128" s="263"/>
    </row>
    <row r="129" spans="1:10" ht="18.75" customHeight="1" x14ac:dyDescent="0.25">
      <c r="A129" s="33"/>
      <c r="B129" s="264"/>
      <c r="C129" s="265"/>
      <c r="D129" s="265"/>
      <c r="E129" s="265"/>
      <c r="F129" s="265"/>
      <c r="G129" s="265"/>
      <c r="H129" s="265"/>
      <c r="I129" s="265"/>
      <c r="J129" s="266"/>
    </row>
    <row r="130" spans="1:10" ht="7.5" customHeight="1" x14ac:dyDescent="0.25">
      <c r="A130" s="33"/>
      <c r="B130" s="95"/>
      <c r="C130" s="95"/>
      <c r="D130" s="95"/>
      <c r="E130" s="95"/>
      <c r="F130" s="95"/>
      <c r="G130" s="95"/>
      <c r="H130" s="95"/>
      <c r="I130" s="95"/>
      <c r="J130" s="95"/>
    </row>
    <row r="131" spans="1:10" ht="18.75" customHeight="1" x14ac:dyDescent="0.25">
      <c r="A131" s="33"/>
      <c r="B131" s="33"/>
      <c r="C131" s="33"/>
      <c r="D131" s="33"/>
      <c r="E131" s="33"/>
      <c r="F131" s="33"/>
      <c r="G131" s="33"/>
      <c r="H131" s="33"/>
      <c r="I131" s="33"/>
      <c r="J131" s="33"/>
    </row>
    <row r="132" spans="1:10" ht="18.75" customHeight="1" x14ac:dyDescent="0.25">
      <c r="A132" s="33"/>
      <c r="B132" s="33"/>
      <c r="C132" s="33"/>
      <c r="D132" s="33"/>
      <c r="E132" s="33"/>
      <c r="F132" s="33"/>
      <c r="G132" s="33"/>
      <c r="H132" s="33"/>
      <c r="I132" s="33"/>
      <c r="J132" s="33"/>
    </row>
    <row r="133" spans="1:10" ht="18.75" customHeight="1" x14ac:dyDescent="0.25">
      <c r="A133" s="33"/>
      <c r="B133" s="33"/>
      <c r="C133" s="33"/>
      <c r="D133" s="33"/>
      <c r="E133" s="33"/>
      <c r="F133" s="33"/>
      <c r="G133" s="33"/>
      <c r="H133" s="33"/>
      <c r="I133" s="33"/>
      <c r="J133" s="33"/>
    </row>
    <row r="134" spans="1:10" ht="18.75" customHeight="1" x14ac:dyDescent="0.25">
      <c r="A134" s="33"/>
      <c r="B134" s="33"/>
      <c r="C134" s="33"/>
      <c r="D134" s="33"/>
      <c r="E134" s="33"/>
      <c r="F134" s="33"/>
      <c r="G134" s="33"/>
      <c r="H134" s="33"/>
      <c r="I134" s="33"/>
      <c r="J134" s="33"/>
    </row>
    <row r="135" spans="1:10" ht="18.75" customHeight="1" x14ac:dyDescent="0.25">
      <c r="A135" s="33"/>
      <c r="B135" s="33"/>
      <c r="C135" s="33"/>
      <c r="D135" s="33"/>
      <c r="E135" s="33"/>
      <c r="F135" s="33"/>
      <c r="G135" s="33"/>
      <c r="H135" s="33"/>
      <c r="I135" s="33"/>
      <c r="J135" s="33"/>
    </row>
    <row r="136" spans="1:10" ht="18.75" customHeight="1" x14ac:dyDescent="0.25">
      <c r="A136" s="33"/>
      <c r="B136" s="33"/>
      <c r="C136" s="33"/>
      <c r="D136" s="33"/>
      <c r="E136" s="33"/>
      <c r="F136" s="33"/>
      <c r="G136" s="33"/>
      <c r="H136" s="33"/>
      <c r="I136" s="33"/>
      <c r="J136" s="33"/>
    </row>
    <row r="137" spans="1:10" ht="18.75" customHeight="1" x14ac:dyDescent="0.25">
      <c r="A137" s="33"/>
      <c r="B137" s="33"/>
      <c r="C137" s="33"/>
      <c r="D137" s="33"/>
      <c r="E137" s="33"/>
      <c r="F137" s="33"/>
      <c r="G137" s="33"/>
      <c r="H137" s="33"/>
      <c r="I137" s="33"/>
      <c r="J137" s="33"/>
    </row>
    <row r="138" spans="1:10" ht="18.75" customHeight="1" x14ac:dyDescent="0.25">
      <c r="A138" s="33"/>
      <c r="B138" s="33"/>
      <c r="C138" s="33"/>
      <c r="D138" s="33"/>
      <c r="E138" s="33"/>
      <c r="F138" s="33"/>
      <c r="G138" s="33"/>
      <c r="H138" s="33"/>
      <c r="I138" s="33"/>
      <c r="J138" s="33"/>
    </row>
    <row r="139" spans="1:10" ht="18.75" customHeight="1" x14ac:dyDescent="0.25">
      <c r="A139" s="33"/>
      <c r="B139" s="33"/>
      <c r="C139" s="33"/>
      <c r="D139" s="33"/>
      <c r="E139" s="33"/>
      <c r="F139" s="33"/>
      <c r="G139" s="33"/>
      <c r="H139" s="33"/>
      <c r="I139" s="33"/>
      <c r="J139" s="33"/>
    </row>
    <row r="140" spans="1:10" ht="18.75" customHeight="1" x14ac:dyDescent="0.25">
      <c r="A140" s="33"/>
      <c r="B140" s="33"/>
      <c r="C140" s="33"/>
      <c r="D140" s="33"/>
      <c r="E140" s="33"/>
      <c r="F140" s="33"/>
      <c r="G140" s="33"/>
      <c r="H140" s="33"/>
      <c r="I140" s="33"/>
      <c r="J140" s="33"/>
    </row>
    <row r="141" spans="1:10" ht="18.75" customHeight="1" x14ac:dyDescent="0.25">
      <c r="A141" s="33"/>
      <c r="B141" s="33"/>
      <c r="C141" s="33"/>
      <c r="D141" s="33"/>
      <c r="E141" s="33"/>
      <c r="F141" s="33"/>
      <c r="G141" s="33"/>
      <c r="H141" s="33"/>
      <c r="I141" s="33"/>
      <c r="J141" s="33"/>
    </row>
    <row r="142" spans="1:10" ht="18.75" customHeight="1" x14ac:dyDescent="0.25">
      <c r="A142" s="33"/>
      <c r="B142" s="33"/>
      <c r="C142" s="33"/>
      <c r="D142" s="33"/>
      <c r="E142" s="33"/>
      <c r="F142" s="33"/>
      <c r="G142" s="33"/>
      <c r="H142" s="33"/>
      <c r="I142" s="33"/>
      <c r="J142" s="33"/>
    </row>
    <row r="143" spans="1:10" ht="14.25" x14ac:dyDescent="0.25">
      <c r="A143" s="33"/>
      <c r="B143" s="33"/>
      <c r="C143" s="33"/>
      <c r="D143" s="33"/>
      <c r="E143" s="33"/>
      <c r="F143" s="33"/>
      <c r="G143" s="33"/>
      <c r="H143" s="33"/>
      <c r="I143" s="33"/>
      <c r="J143" s="33"/>
    </row>
    <row r="144" spans="1:10" ht="7.5" customHeight="1" x14ac:dyDescent="0.25">
      <c r="A144" s="96"/>
      <c r="B144" s="96"/>
      <c r="C144" s="96"/>
      <c r="D144" s="96"/>
      <c r="E144" s="96"/>
      <c r="F144" s="96"/>
      <c r="G144" s="96"/>
      <c r="H144" s="96"/>
      <c r="I144" s="96"/>
      <c r="J144" s="96"/>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scale="96" orientation="portrait" horizontalDpi="300" verticalDpi="300"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tabSelected="1" view="pageBreakPreview" topLeftCell="A17" zoomScale="80" zoomScaleNormal="100" zoomScaleSheetLayoutView="80" workbookViewId="0">
      <selection activeCell="H26" sqref="H26"/>
    </sheetView>
  </sheetViews>
  <sheetFormatPr defaultColWidth="11.3984375" defaultRowHeight="22.5" customHeight="1" x14ac:dyDescent="0.25"/>
  <cols>
    <col min="1" max="3" width="2.73046875" style="1" customWidth="1"/>
    <col min="4" max="4" width="22.265625" style="1" customWidth="1"/>
    <col min="5" max="5" width="21.59765625" style="1" customWidth="1"/>
    <col min="6" max="7" width="7.73046875" style="1" customWidth="1"/>
    <col min="8" max="8" width="33.3984375" style="1" customWidth="1"/>
    <col min="9" max="9" width="24.3984375" style="1" customWidth="1"/>
    <col min="10" max="10" width="5.3984375" style="1" customWidth="1"/>
    <col min="11" max="11" width="4.1328125" style="27" customWidth="1"/>
    <col min="12" max="16384" width="11.3984375" style="1"/>
  </cols>
  <sheetData>
    <row r="1" spans="1:11" ht="18.75" customHeight="1" x14ac:dyDescent="0.25">
      <c r="A1" s="1" t="s">
        <v>175</v>
      </c>
      <c r="J1" s="35" t="s">
        <v>176</v>
      </c>
    </row>
    <row r="2" spans="1:11" ht="18.75" customHeight="1" x14ac:dyDescent="0.25">
      <c r="A2" s="233" t="s">
        <v>177</v>
      </c>
      <c r="B2" s="233"/>
      <c r="C2" s="233"/>
      <c r="D2" s="233"/>
      <c r="E2" s="233"/>
      <c r="F2" s="233"/>
      <c r="G2" s="233"/>
      <c r="H2" s="233"/>
      <c r="I2" s="233"/>
      <c r="J2" s="233"/>
    </row>
    <row r="3" spans="1:11" ht="7.5" customHeight="1" x14ac:dyDescent="0.25">
      <c r="A3" s="36"/>
      <c r="B3" s="36"/>
      <c r="C3" s="36"/>
      <c r="D3" s="36"/>
      <c r="E3" s="36"/>
      <c r="F3" s="36"/>
      <c r="G3" s="36"/>
      <c r="H3" s="36"/>
      <c r="I3" s="36"/>
      <c r="J3" s="36"/>
    </row>
    <row r="4" spans="1:11" ht="18.75" customHeight="1" x14ac:dyDescent="0.25">
      <c r="A4" s="1" t="s">
        <v>2</v>
      </c>
      <c r="B4" s="4" t="s">
        <v>178</v>
      </c>
      <c r="C4" s="33"/>
      <c r="D4" s="33"/>
      <c r="E4" s="34"/>
      <c r="F4" s="34"/>
      <c r="G4" s="34"/>
      <c r="H4" s="34"/>
      <c r="I4" s="34"/>
      <c r="J4" s="34"/>
    </row>
    <row r="5" spans="1:11" ht="18.75" customHeight="1" x14ac:dyDescent="0.25">
      <c r="B5" s="299" t="s">
        <v>179</v>
      </c>
      <c r="C5" s="300"/>
      <c r="D5" s="301"/>
      <c r="E5" s="302" t="s">
        <v>180</v>
      </c>
      <c r="F5" s="302"/>
      <c r="G5" s="302"/>
      <c r="H5" s="302"/>
      <c r="I5" s="302"/>
      <c r="J5" s="303"/>
    </row>
    <row r="6" spans="1:11" ht="18.75" customHeight="1" x14ac:dyDescent="0.25">
      <c r="B6" s="3" t="s">
        <v>181</v>
      </c>
      <c r="C6" s="33"/>
      <c r="D6" s="7"/>
      <c r="I6" s="34"/>
      <c r="J6" s="5"/>
    </row>
    <row r="7" spans="1:11" ht="207" customHeight="1" x14ac:dyDescent="0.25">
      <c r="B7" s="6"/>
      <c r="C7" s="289" t="s">
        <v>182</v>
      </c>
      <c r="D7" s="290"/>
      <c r="E7" s="296" t="s">
        <v>183</v>
      </c>
      <c r="F7" s="292"/>
      <c r="G7" s="292"/>
      <c r="H7" s="292"/>
      <c r="I7" s="292"/>
      <c r="J7" s="293"/>
    </row>
    <row r="8" spans="1:11" ht="207" customHeight="1" x14ac:dyDescent="0.25">
      <c r="B8" s="6"/>
      <c r="C8" s="297" t="s">
        <v>184</v>
      </c>
      <c r="D8" s="298"/>
      <c r="E8" s="296" t="s">
        <v>185</v>
      </c>
      <c r="F8" s="292"/>
      <c r="G8" s="292"/>
      <c r="H8" s="292"/>
      <c r="I8" s="292"/>
      <c r="J8" s="293"/>
      <c r="K8" s="27" t="str">
        <f>IF(E8="","入力してください","")</f>
        <v/>
      </c>
    </row>
    <row r="9" spans="1:11" ht="172.5" customHeight="1" x14ac:dyDescent="0.25">
      <c r="B9" s="6"/>
      <c r="C9" s="289" t="s">
        <v>186</v>
      </c>
      <c r="D9" s="290"/>
      <c r="E9" s="296" t="s">
        <v>187</v>
      </c>
      <c r="F9" s="292"/>
      <c r="G9" s="292"/>
      <c r="H9" s="292"/>
      <c r="I9" s="292"/>
      <c r="J9" s="293"/>
      <c r="K9" s="27" t="str">
        <f>IF(E9="","入力してください","")</f>
        <v/>
      </c>
    </row>
    <row r="10" spans="1:11" ht="172.5" customHeight="1" x14ac:dyDescent="0.25">
      <c r="B10" s="6"/>
      <c r="C10" s="289" t="s">
        <v>188</v>
      </c>
      <c r="D10" s="290"/>
      <c r="E10" s="296" t="s">
        <v>189</v>
      </c>
      <c r="F10" s="292"/>
      <c r="G10" s="292"/>
      <c r="H10" s="292"/>
      <c r="I10" s="292"/>
      <c r="J10" s="293"/>
      <c r="K10" s="27" t="str">
        <f t="shared" ref="K10:K14" si="0">IF(E10="","入力してください","")</f>
        <v/>
      </c>
    </row>
    <row r="11" spans="1:11" ht="172.5" customHeight="1" x14ac:dyDescent="0.25">
      <c r="B11" s="6"/>
      <c r="C11" s="289" t="s">
        <v>190</v>
      </c>
      <c r="D11" s="290"/>
      <c r="E11" s="296" t="s">
        <v>208</v>
      </c>
      <c r="F11" s="292"/>
      <c r="G11" s="292"/>
      <c r="H11" s="292"/>
      <c r="I11" s="292"/>
      <c r="J11" s="293"/>
      <c r="K11" s="27" t="str">
        <f t="shared" si="0"/>
        <v/>
      </c>
    </row>
    <row r="12" spans="1:11" ht="18.75" customHeight="1" x14ac:dyDescent="0.25">
      <c r="B12" s="9" t="s">
        <v>191</v>
      </c>
      <c r="C12" s="24"/>
      <c r="D12" s="8"/>
      <c r="E12" s="28"/>
      <c r="F12" s="28"/>
      <c r="G12" s="28"/>
      <c r="H12" s="28"/>
      <c r="I12" s="28"/>
      <c r="J12" s="29"/>
    </row>
    <row r="13" spans="1:11" ht="244.15" customHeight="1" x14ac:dyDescent="0.25">
      <c r="B13" s="6"/>
      <c r="C13" s="289" t="s">
        <v>192</v>
      </c>
      <c r="D13" s="290"/>
      <c r="E13" s="291" t="s">
        <v>209</v>
      </c>
      <c r="F13" s="292"/>
      <c r="G13" s="292"/>
      <c r="H13" s="292"/>
      <c r="I13" s="292"/>
      <c r="J13" s="293"/>
      <c r="K13" s="27" t="str">
        <f t="shared" si="0"/>
        <v/>
      </c>
    </row>
    <row r="14" spans="1:11" ht="255" customHeight="1" x14ac:dyDescent="0.25">
      <c r="B14" s="6"/>
      <c r="C14" s="289" t="s">
        <v>193</v>
      </c>
      <c r="D14" s="290"/>
      <c r="E14" s="291" t="s">
        <v>210</v>
      </c>
      <c r="F14" s="292"/>
      <c r="G14" s="292"/>
      <c r="H14" s="292"/>
      <c r="I14" s="292"/>
      <c r="J14" s="293"/>
      <c r="K14" s="27" t="str">
        <f t="shared" si="0"/>
        <v/>
      </c>
    </row>
    <row r="15" spans="1:11" ht="243" customHeight="1" x14ac:dyDescent="0.25">
      <c r="B15" s="294" t="s">
        <v>194</v>
      </c>
      <c r="C15" s="295"/>
      <c r="D15" s="290"/>
      <c r="E15" s="291" t="s">
        <v>195</v>
      </c>
      <c r="F15" s="292"/>
      <c r="G15" s="292"/>
      <c r="H15" s="292"/>
      <c r="I15" s="292"/>
      <c r="J15" s="293"/>
      <c r="K15" s="27" t="str">
        <f>IF(E15="","入力してください","")</f>
        <v/>
      </c>
    </row>
    <row r="16" spans="1:11" ht="243" customHeight="1" x14ac:dyDescent="0.25">
      <c r="A16" s="27"/>
      <c r="B16" s="280" t="s">
        <v>196</v>
      </c>
      <c r="C16" s="281"/>
      <c r="D16" s="282"/>
      <c r="E16" s="283" t="s">
        <v>197</v>
      </c>
      <c r="F16" s="284"/>
      <c r="G16" s="284"/>
      <c r="H16" s="284"/>
      <c r="I16" s="284"/>
      <c r="J16" s="285"/>
      <c r="K16" s="27" t="str">
        <f>IF(E16="","入力してください","")</f>
        <v/>
      </c>
    </row>
    <row r="17" spans="1:11" ht="7.5" customHeight="1" x14ac:dyDescent="0.25">
      <c r="B17" s="33"/>
      <c r="C17" s="33"/>
      <c r="D17" s="33"/>
      <c r="E17" s="34"/>
      <c r="F17" s="34"/>
      <c r="G17" s="34"/>
      <c r="H17" s="34"/>
      <c r="I17" s="34"/>
      <c r="J17" s="34"/>
    </row>
    <row r="18" spans="1:11" ht="20.25" customHeight="1" x14ac:dyDescent="0.25">
      <c r="A18" s="1" t="s">
        <v>198</v>
      </c>
      <c r="B18" s="4"/>
      <c r="C18" s="33"/>
      <c r="D18" s="33"/>
      <c r="E18" s="34"/>
      <c r="F18" s="85"/>
      <c r="G18" s="286" t="s">
        <v>127</v>
      </c>
      <c r="H18" s="287"/>
      <c r="I18" s="287"/>
      <c r="J18" s="288"/>
      <c r="K18" s="27" t="str">
        <f>IF(G18="","入力してください","")</f>
        <v/>
      </c>
    </row>
    <row r="19" spans="1:11" ht="22.5" customHeight="1" x14ac:dyDescent="0.25">
      <c r="B19" s="33"/>
      <c r="C19" s="33"/>
      <c r="D19" s="33"/>
      <c r="E19" s="34"/>
      <c r="F19" s="34"/>
      <c r="G19" s="34"/>
      <c r="H19" s="34"/>
      <c r="I19" s="34"/>
      <c r="J19" s="34"/>
    </row>
    <row r="20" spans="1:11" ht="22.5" customHeight="1" x14ac:dyDescent="0.25">
      <c r="B20" s="33"/>
      <c r="C20" s="33"/>
      <c r="D20" s="33"/>
      <c r="E20" s="34"/>
      <c r="F20" s="34"/>
      <c r="G20" s="34"/>
      <c r="H20" s="34"/>
      <c r="I20" s="34"/>
      <c r="J20" s="34"/>
    </row>
    <row r="21" spans="1:11" ht="22.5" customHeight="1" x14ac:dyDescent="0.25">
      <c r="B21" s="33"/>
      <c r="C21" s="33"/>
      <c r="D21" s="33"/>
      <c r="E21" s="34"/>
      <c r="F21" s="34"/>
      <c r="G21" s="34"/>
      <c r="H21" s="34"/>
      <c r="I21" s="34"/>
      <c r="J21" s="34"/>
    </row>
    <row r="22" spans="1:11" ht="22.5" customHeight="1" x14ac:dyDescent="0.25">
      <c r="B22" s="33"/>
      <c r="C22" s="33"/>
      <c r="D22" s="33"/>
      <c r="E22" s="34"/>
      <c r="F22" s="34"/>
      <c r="G22" s="34"/>
      <c r="H22" s="34"/>
      <c r="I22" s="34"/>
      <c r="J22" s="34"/>
    </row>
    <row r="23" spans="1:11" ht="22.5" customHeight="1" x14ac:dyDescent="0.25">
      <c r="B23" s="33"/>
      <c r="C23" s="33"/>
      <c r="D23" s="33"/>
      <c r="E23" s="34"/>
      <c r="F23" s="34"/>
      <c r="G23" s="34"/>
      <c r="H23" s="34"/>
      <c r="I23" s="34"/>
      <c r="J23" s="34"/>
    </row>
    <row r="24" spans="1:11" ht="22.5" customHeight="1" x14ac:dyDescent="0.25">
      <c r="B24" s="97"/>
      <c r="C24" s="97"/>
      <c r="D24" s="97"/>
      <c r="E24" s="97"/>
      <c r="F24" s="97"/>
      <c r="G24" s="97"/>
      <c r="H24" s="97"/>
      <c r="I24" s="97"/>
      <c r="J24" s="97"/>
    </row>
    <row r="25" spans="1:11" ht="22.5" customHeight="1" x14ac:dyDescent="0.25">
      <c r="B25" s="97"/>
      <c r="C25" s="97"/>
      <c r="D25" s="97"/>
      <c r="E25" s="97"/>
      <c r="F25" s="97"/>
      <c r="G25" s="97"/>
      <c r="H25" s="97"/>
      <c r="I25" s="97"/>
      <c r="J25" s="97"/>
    </row>
    <row r="26" spans="1:11" ht="22.5" customHeight="1" x14ac:dyDescent="0.25">
      <c r="B26" s="97"/>
      <c r="C26" s="97"/>
      <c r="D26" s="97"/>
      <c r="E26" s="97"/>
      <c r="F26" s="97"/>
      <c r="G26" s="97"/>
      <c r="H26" s="97"/>
      <c r="I26" s="97"/>
      <c r="J26" s="97"/>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display="https://www.okinawa-ct.ac.jp/detail.jsp?type=search&amp;id=73696&amp;val=%BC%AB%B8%CA%C5%C0%B8%A1&amp;pageStart=0&amp;menuid=14565&amp;funcid=1" xr:uid="{CCA0F417-4538-4918-BCC5-91AA6C16DE06}"/>
  </hyperlinks>
  <printOptions horizontalCentered="1"/>
  <pageMargins left="0.78740157480314965" right="0.78740157480314965" top="0.78740157480314965" bottom="0.78740157480314965" header="0.31496062992125984" footer="0.31496062992125984"/>
  <pageSetup paperSize="9" scale="95" fitToHeight="4" orientation="landscape" horizontalDpi="300" verticalDpi="300" r:id="rId2"/>
  <rowBreaks count="1" manualBreakCount="1">
    <brk id="11"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17A4-B6C5-4825-BFA5-3BC5BF08C6C7}">
  <dimension ref="A1:F124"/>
  <sheetViews>
    <sheetView showZeros="0" view="pageBreakPreview" topLeftCell="A100" zoomScaleNormal="100" zoomScaleSheetLayoutView="100" workbookViewId="0">
      <selection activeCell="B5" sqref="B5:F42"/>
    </sheetView>
  </sheetViews>
  <sheetFormatPr defaultColWidth="11.3984375" defaultRowHeight="18.75" customHeight="1" x14ac:dyDescent="0.25"/>
  <cols>
    <col min="1" max="1" width="3.3984375" style="1" customWidth="1"/>
    <col min="2" max="2" width="15.3984375" style="1" customWidth="1"/>
    <col min="3" max="3" width="37.73046875" style="1" customWidth="1"/>
    <col min="4" max="4" width="1.1328125" style="1" customWidth="1"/>
    <col min="5" max="5" width="21.1328125" style="1" customWidth="1"/>
    <col min="6" max="6" width="7.73046875" style="1" customWidth="1"/>
    <col min="7" max="7" width="2.265625" style="1" customWidth="1"/>
    <col min="8" max="8" width="2.1328125" style="1" customWidth="1"/>
    <col min="9" max="16384" width="11.3984375" style="1"/>
  </cols>
  <sheetData>
    <row r="1" spans="1:6" ht="18.75" customHeight="1" x14ac:dyDescent="0.25">
      <c r="E1" s="232" t="s">
        <v>199</v>
      </c>
      <c r="F1" s="232"/>
    </row>
    <row r="2" spans="1:6" ht="18.75" customHeight="1" x14ac:dyDescent="0.25">
      <c r="A2" s="304" t="s">
        <v>200</v>
      </c>
      <c r="B2" s="304"/>
      <c r="C2" s="304"/>
      <c r="D2" s="304"/>
      <c r="E2" s="304"/>
      <c r="F2" s="304"/>
    </row>
    <row r="3" spans="1:6" ht="7.5" customHeight="1" x14ac:dyDescent="0.25">
      <c r="A3" s="32"/>
      <c r="B3" s="32"/>
      <c r="C3" s="32"/>
      <c r="D3" s="32"/>
      <c r="E3" s="32"/>
      <c r="F3" s="32"/>
    </row>
    <row r="4" spans="1:6" ht="18.75" customHeight="1" x14ac:dyDescent="0.25">
      <c r="A4" s="32" t="s">
        <v>2</v>
      </c>
      <c r="B4" s="4" t="s">
        <v>201</v>
      </c>
      <c r="C4" s="32"/>
      <c r="D4" s="32"/>
      <c r="E4" s="32"/>
      <c r="F4" s="32"/>
    </row>
    <row r="5" spans="1:6" ht="18.75" customHeight="1" x14ac:dyDescent="0.25">
      <c r="A5" s="32"/>
      <c r="B5" s="305"/>
      <c r="C5" s="306"/>
      <c r="D5" s="306"/>
      <c r="E5" s="306"/>
      <c r="F5" s="307"/>
    </row>
    <row r="6" spans="1:6" ht="18.75" customHeight="1" x14ac:dyDescent="0.25">
      <c r="A6" s="32"/>
      <c r="B6" s="308"/>
      <c r="C6" s="309"/>
      <c r="D6" s="309"/>
      <c r="E6" s="309"/>
      <c r="F6" s="310"/>
    </row>
    <row r="7" spans="1:6" ht="18.75" customHeight="1" x14ac:dyDescent="0.25">
      <c r="A7" s="32"/>
      <c r="B7" s="308"/>
      <c r="C7" s="309"/>
      <c r="D7" s="309"/>
      <c r="E7" s="309"/>
      <c r="F7" s="310"/>
    </row>
    <row r="8" spans="1:6" ht="18.75" customHeight="1" x14ac:dyDescent="0.25">
      <c r="A8" s="32"/>
      <c r="B8" s="308"/>
      <c r="C8" s="309"/>
      <c r="D8" s="309"/>
      <c r="E8" s="309"/>
      <c r="F8" s="310"/>
    </row>
    <row r="9" spans="1:6" ht="18.75" customHeight="1" x14ac:dyDescent="0.25">
      <c r="A9" s="32"/>
      <c r="B9" s="308"/>
      <c r="C9" s="309"/>
      <c r="D9" s="309"/>
      <c r="E9" s="309"/>
      <c r="F9" s="310"/>
    </row>
    <row r="10" spans="1:6" ht="18.75" customHeight="1" x14ac:dyDescent="0.25">
      <c r="A10" s="32"/>
      <c r="B10" s="308"/>
      <c r="C10" s="309"/>
      <c r="D10" s="309"/>
      <c r="E10" s="309"/>
      <c r="F10" s="310"/>
    </row>
    <row r="11" spans="1:6" ht="18.75" customHeight="1" x14ac:dyDescent="0.25">
      <c r="A11" s="32"/>
      <c r="B11" s="308"/>
      <c r="C11" s="309"/>
      <c r="D11" s="309"/>
      <c r="E11" s="309"/>
      <c r="F11" s="310"/>
    </row>
    <row r="12" spans="1:6" ht="18.75" customHeight="1" x14ac:dyDescent="0.25">
      <c r="A12" s="32"/>
      <c r="B12" s="308"/>
      <c r="C12" s="309"/>
      <c r="D12" s="309"/>
      <c r="E12" s="309"/>
      <c r="F12" s="310"/>
    </row>
    <row r="13" spans="1:6" ht="18.75" customHeight="1" x14ac:dyDescent="0.25">
      <c r="A13" s="32"/>
      <c r="B13" s="308"/>
      <c r="C13" s="309"/>
      <c r="D13" s="309"/>
      <c r="E13" s="309"/>
      <c r="F13" s="310"/>
    </row>
    <row r="14" spans="1:6" ht="18.75" customHeight="1" x14ac:dyDescent="0.25">
      <c r="A14" s="32"/>
      <c r="B14" s="308"/>
      <c r="C14" s="309"/>
      <c r="D14" s="309"/>
      <c r="E14" s="309"/>
      <c r="F14" s="310"/>
    </row>
    <row r="15" spans="1:6" ht="18.75" customHeight="1" x14ac:dyDescent="0.25">
      <c r="A15" s="32"/>
      <c r="B15" s="308"/>
      <c r="C15" s="309"/>
      <c r="D15" s="309"/>
      <c r="E15" s="309"/>
      <c r="F15" s="310"/>
    </row>
    <row r="16" spans="1:6" ht="18.75" customHeight="1" x14ac:dyDescent="0.25">
      <c r="A16" s="32"/>
      <c r="B16" s="308"/>
      <c r="C16" s="309"/>
      <c r="D16" s="309"/>
      <c r="E16" s="309"/>
      <c r="F16" s="310"/>
    </row>
    <row r="17" spans="1:6" ht="18.75" customHeight="1" x14ac:dyDescent="0.25">
      <c r="A17" s="32"/>
      <c r="B17" s="308"/>
      <c r="C17" s="309"/>
      <c r="D17" s="309"/>
      <c r="E17" s="309"/>
      <c r="F17" s="310"/>
    </row>
    <row r="18" spans="1:6" ht="18.75" customHeight="1" x14ac:dyDescent="0.25">
      <c r="A18" s="32"/>
      <c r="B18" s="308"/>
      <c r="C18" s="309"/>
      <c r="D18" s="309"/>
      <c r="E18" s="309"/>
      <c r="F18" s="310"/>
    </row>
    <row r="19" spans="1:6" ht="18.75" customHeight="1" x14ac:dyDescent="0.25">
      <c r="A19" s="32"/>
      <c r="B19" s="308"/>
      <c r="C19" s="309"/>
      <c r="D19" s="309"/>
      <c r="E19" s="309"/>
      <c r="F19" s="310"/>
    </row>
    <row r="20" spans="1:6" ht="18.75" customHeight="1" x14ac:dyDescent="0.25">
      <c r="A20" s="32"/>
      <c r="B20" s="308"/>
      <c r="C20" s="309"/>
      <c r="D20" s="309"/>
      <c r="E20" s="309"/>
      <c r="F20" s="310"/>
    </row>
    <row r="21" spans="1:6" ht="18.75" customHeight="1" x14ac:dyDescent="0.25">
      <c r="A21" s="32"/>
      <c r="B21" s="308"/>
      <c r="C21" s="309"/>
      <c r="D21" s="309"/>
      <c r="E21" s="309"/>
      <c r="F21" s="310"/>
    </row>
    <row r="22" spans="1:6" ht="18.75" customHeight="1" x14ac:dyDescent="0.25">
      <c r="A22" s="32"/>
      <c r="B22" s="308"/>
      <c r="C22" s="309"/>
      <c r="D22" s="309"/>
      <c r="E22" s="309"/>
      <c r="F22" s="310"/>
    </row>
    <row r="23" spans="1:6" ht="18.75" customHeight="1" x14ac:dyDescent="0.25">
      <c r="A23" s="32"/>
      <c r="B23" s="308"/>
      <c r="C23" s="309"/>
      <c r="D23" s="309"/>
      <c r="E23" s="309"/>
      <c r="F23" s="310"/>
    </row>
    <row r="24" spans="1:6" ht="18.75" customHeight="1" x14ac:dyDescent="0.25">
      <c r="A24" s="32"/>
      <c r="B24" s="308"/>
      <c r="C24" s="309"/>
      <c r="D24" s="309"/>
      <c r="E24" s="309"/>
      <c r="F24" s="310"/>
    </row>
    <row r="25" spans="1:6" ht="18.75" customHeight="1" x14ac:dyDescent="0.25">
      <c r="A25" s="32"/>
      <c r="B25" s="308"/>
      <c r="C25" s="309"/>
      <c r="D25" s="309"/>
      <c r="E25" s="309"/>
      <c r="F25" s="310"/>
    </row>
    <row r="26" spans="1:6" ht="18.75" customHeight="1" x14ac:dyDescent="0.25">
      <c r="A26" s="32"/>
      <c r="B26" s="308"/>
      <c r="C26" s="309"/>
      <c r="D26" s="309"/>
      <c r="E26" s="309"/>
      <c r="F26" s="310"/>
    </row>
    <row r="27" spans="1:6" ht="18.75" customHeight="1" x14ac:dyDescent="0.25">
      <c r="A27" s="32"/>
      <c r="B27" s="308"/>
      <c r="C27" s="309"/>
      <c r="D27" s="309"/>
      <c r="E27" s="309"/>
      <c r="F27" s="310"/>
    </row>
    <row r="28" spans="1:6" ht="18.75" customHeight="1" x14ac:dyDescent="0.25">
      <c r="A28" s="32"/>
      <c r="B28" s="308"/>
      <c r="C28" s="309"/>
      <c r="D28" s="309"/>
      <c r="E28" s="309"/>
      <c r="F28" s="310"/>
    </row>
    <row r="29" spans="1:6" ht="18.75" customHeight="1" x14ac:dyDescent="0.25">
      <c r="A29" s="32"/>
      <c r="B29" s="308"/>
      <c r="C29" s="309"/>
      <c r="D29" s="309"/>
      <c r="E29" s="309"/>
      <c r="F29" s="310"/>
    </row>
    <row r="30" spans="1:6" ht="18.75" customHeight="1" x14ac:dyDescent="0.25">
      <c r="A30" s="32"/>
      <c r="B30" s="308"/>
      <c r="C30" s="309"/>
      <c r="D30" s="309"/>
      <c r="E30" s="309"/>
      <c r="F30" s="310"/>
    </row>
    <row r="31" spans="1:6" ht="18.75" customHeight="1" x14ac:dyDescent="0.25">
      <c r="A31" s="32"/>
      <c r="B31" s="308"/>
      <c r="C31" s="309"/>
      <c r="D31" s="309"/>
      <c r="E31" s="309"/>
      <c r="F31" s="310"/>
    </row>
    <row r="32" spans="1:6" ht="18.75" customHeight="1" x14ac:dyDescent="0.25">
      <c r="A32" s="32"/>
      <c r="B32" s="308"/>
      <c r="C32" s="309"/>
      <c r="D32" s="309"/>
      <c r="E32" s="309"/>
      <c r="F32" s="310"/>
    </row>
    <row r="33" spans="1:6" ht="18.75" customHeight="1" x14ac:dyDescent="0.25">
      <c r="A33" s="32"/>
      <c r="B33" s="308"/>
      <c r="C33" s="309"/>
      <c r="D33" s="309"/>
      <c r="E33" s="309"/>
      <c r="F33" s="310"/>
    </row>
    <row r="34" spans="1:6" ht="18.75" customHeight="1" x14ac:dyDescent="0.25">
      <c r="A34" s="32"/>
      <c r="B34" s="308"/>
      <c r="C34" s="309"/>
      <c r="D34" s="309"/>
      <c r="E34" s="309"/>
      <c r="F34" s="310"/>
    </row>
    <row r="35" spans="1:6" ht="18.75" customHeight="1" x14ac:dyDescent="0.25">
      <c r="A35" s="32"/>
      <c r="B35" s="308"/>
      <c r="C35" s="309"/>
      <c r="D35" s="309"/>
      <c r="E35" s="309"/>
      <c r="F35" s="310"/>
    </row>
    <row r="36" spans="1:6" ht="18.75" customHeight="1" x14ac:dyDescent="0.25">
      <c r="A36" s="32"/>
      <c r="B36" s="308"/>
      <c r="C36" s="309"/>
      <c r="D36" s="309"/>
      <c r="E36" s="309"/>
      <c r="F36" s="310"/>
    </row>
    <row r="37" spans="1:6" ht="18.75" customHeight="1" x14ac:dyDescent="0.25">
      <c r="A37" s="32"/>
      <c r="B37" s="308"/>
      <c r="C37" s="309"/>
      <c r="D37" s="309"/>
      <c r="E37" s="309"/>
      <c r="F37" s="310"/>
    </row>
    <row r="38" spans="1:6" ht="18.75" customHeight="1" x14ac:dyDescent="0.25">
      <c r="A38" s="32"/>
      <c r="B38" s="308"/>
      <c r="C38" s="309"/>
      <c r="D38" s="309"/>
      <c r="E38" s="309"/>
      <c r="F38" s="310"/>
    </row>
    <row r="39" spans="1:6" ht="18.75" customHeight="1" x14ac:dyDescent="0.25">
      <c r="A39" s="32"/>
      <c r="B39" s="308"/>
      <c r="C39" s="309"/>
      <c r="D39" s="309"/>
      <c r="E39" s="309"/>
      <c r="F39" s="310"/>
    </row>
    <row r="40" spans="1:6" ht="18.75" customHeight="1" x14ac:dyDescent="0.25">
      <c r="A40" s="32"/>
      <c r="B40" s="308"/>
      <c r="C40" s="309"/>
      <c r="D40" s="309"/>
      <c r="E40" s="309"/>
      <c r="F40" s="310"/>
    </row>
    <row r="41" spans="1:6" ht="18.75" customHeight="1" x14ac:dyDescent="0.25">
      <c r="A41" s="32"/>
      <c r="B41" s="308"/>
      <c r="C41" s="309"/>
      <c r="D41" s="309"/>
      <c r="E41" s="309"/>
      <c r="F41" s="310"/>
    </row>
    <row r="42" spans="1:6" ht="18.75" customHeight="1" x14ac:dyDescent="0.25">
      <c r="A42" s="32"/>
      <c r="B42" s="311"/>
      <c r="C42" s="312"/>
      <c r="D42" s="312"/>
      <c r="E42" s="312"/>
      <c r="F42" s="313"/>
    </row>
    <row r="43" spans="1:6" ht="18.75" customHeight="1" x14ac:dyDescent="0.25">
      <c r="A43" s="32" t="s">
        <v>5</v>
      </c>
      <c r="B43" s="4" t="s">
        <v>202</v>
      </c>
      <c r="C43" s="32"/>
      <c r="D43" s="32"/>
      <c r="E43" s="32"/>
      <c r="F43" s="32"/>
    </row>
    <row r="44" spans="1:6" ht="18.75" customHeight="1" x14ac:dyDescent="0.25">
      <c r="A44" s="32"/>
      <c r="B44" s="305"/>
      <c r="C44" s="306"/>
      <c r="D44" s="306"/>
      <c r="E44" s="306"/>
      <c r="F44" s="307"/>
    </row>
    <row r="45" spans="1:6" ht="18.75" customHeight="1" x14ac:dyDescent="0.25">
      <c r="A45" s="32"/>
      <c r="B45" s="308"/>
      <c r="C45" s="309"/>
      <c r="D45" s="309"/>
      <c r="E45" s="309"/>
      <c r="F45" s="310"/>
    </row>
    <row r="46" spans="1:6" ht="18.75" customHeight="1" x14ac:dyDescent="0.25">
      <c r="A46" s="32"/>
      <c r="B46" s="308"/>
      <c r="C46" s="309"/>
      <c r="D46" s="309"/>
      <c r="E46" s="309"/>
      <c r="F46" s="310"/>
    </row>
    <row r="47" spans="1:6" ht="18.75" customHeight="1" x14ac:dyDescent="0.25">
      <c r="A47" s="32"/>
      <c r="B47" s="308"/>
      <c r="C47" s="309"/>
      <c r="D47" s="309"/>
      <c r="E47" s="309"/>
      <c r="F47" s="310"/>
    </row>
    <row r="48" spans="1:6" ht="18.75" customHeight="1" x14ac:dyDescent="0.25">
      <c r="A48" s="32"/>
      <c r="B48" s="308"/>
      <c r="C48" s="309"/>
      <c r="D48" s="309"/>
      <c r="E48" s="309"/>
      <c r="F48" s="310"/>
    </row>
    <row r="49" spans="1:6" ht="18.75" customHeight="1" x14ac:dyDescent="0.25">
      <c r="A49" s="32"/>
      <c r="B49" s="308"/>
      <c r="C49" s="309"/>
      <c r="D49" s="309"/>
      <c r="E49" s="309"/>
      <c r="F49" s="310"/>
    </row>
    <row r="50" spans="1:6" ht="18.75" customHeight="1" x14ac:dyDescent="0.25">
      <c r="A50" s="32"/>
      <c r="B50" s="308"/>
      <c r="C50" s="309"/>
      <c r="D50" s="309"/>
      <c r="E50" s="309"/>
      <c r="F50" s="310"/>
    </row>
    <row r="51" spans="1:6" ht="18.75" customHeight="1" x14ac:dyDescent="0.25">
      <c r="A51" s="32"/>
      <c r="B51" s="308"/>
      <c r="C51" s="309"/>
      <c r="D51" s="309"/>
      <c r="E51" s="309"/>
      <c r="F51" s="310"/>
    </row>
    <row r="52" spans="1:6" ht="18.75" customHeight="1" x14ac:dyDescent="0.25">
      <c r="A52" s="32"/>
      <c r="B52" s="308"/>
      <c r="C52" s="309"/>
      <c r="D52" s="309"/>
      <c r="E52" s="309"/>
      <c r="F52" s="310"/>
    </row>
    <row r="53" spans="1:6" ht="18.75" customHeight="1" x14ac:dyDescent="0.25">
      <c r="A53" s="32"/>
      <c r="B53" s="308"/>
      <c r="C53" s="309"/>
      <c r="D53" s="309"/>
      <c r="E53" s="309"/>
      <c r="F53" s="310"/>
    </row>
    <row r="54" spans="1:6" ht="18.75" customHeight="1" x14ac:dyDescent="0.25">
      <c r="A54" s="32"/>
      <c r="B54" s="308"/>
      <c r="C54" s="309"/>
      <c r="D54" s="309"/>
      <c r="E54" s="309"/>
      <c r="F54" s="310"/>
    </row>
    <row r="55" spans="1:6" ht="18.75" customHeight="1" x14ac:dyDescent="0.25">
      <c r="A55" s="32"/>
      <c r="B55" s="308"/>
      <c r="C55" s="309"/>
      <c r="D55" s="309"/>
      <c r="E55" s="309"/>
      <c r="F55" s="310"/>
    </row>
    <row r="56" spans="1:6" ht="18.75" customHeight="1" x14ac:dyDescent="0.25">
      <c r="A56" s="32"/>
      <c r="B56" s="308"/>
      <c r="C56" s="309"/>
      <c r="D56" s="309"/>
      <c r="E56" s="309"/>
      <c r="F56" s="310"/>
    </row>
    <row r="57" spans="1:6" ht="18.75" customHeight="1" x14ac:dyDescent="0.25">
      <c r="A57" s="32"/>
      <c r="B57" s="308"/>
      <c r="C57" s="309"/>
      <c r="D57" s="309"/>
      <c r="E57" s="309"/>
      <c r="F57" s="310"/>
    </row>
    <row r="58" spans="1:6" ht="18.75" customHeight="1" x14ac:dyDescent="0.25">
      <c r="A58" s="32"/>
      <c r="B58" s="308"/>
      <c r="C58" s="309"/>
      <c r="D58" s="309"/>
      <c r="E58" s="309"/>
      <c r="F58" s="310"/>
    </row>
    <row r="59" spans="1:6" ht="18.75" customHeight="1" x14ac:dyDescent="0.25">
      <c r="A59" s="32"/>
      <c r="B59" s="308"/>
      <c r="C59" s="309"/>
      <c r="D59" s="309"/>
      <c r="E59" s="309"/>
      <c r="F59" s="310"/>
    </row>
    <row r="60" spans="1:6" ht="18.75" customHeight="1" x14ac:dyDescent="0.25">
      <c r="A60" s="32"/>
      <c r="B60" s="308"/>
      <c r="C60" s="309"/>
      <c r="D60" s="309"/>
      <c r="E60" s="309"/>
      <c r="F60" s="310"/>
    </row>
    <row r="61" spans="1:6" ht="18.75" customHeight="1" x14ac:dyDescent="0.25">
      <c r="A61" s="32"/>
      <c r="B61" s="308"/>
      <c r="C61" s="309"/>
      <c r="D61" s="309"/>
      <c r="E61" s="309"/>
      <c r="F61" s="310"/>
    </row>
    <row r="62" spans="1:6" ht="18.75" customHeight="1" x14ac:dyDescent="0.25">
      <c r="A62" s="32"/>
      <c r="B62" s="308"/>
      <c r="C62" s="309"/>
      <c r="D62" s="309"/>
      <c r="E62" s="309"/>
      <c r="F62" s="310"/>
    </row>
    <row r="63" spans="1:6" ht="18.75" customHeight="1" x14ac:dyDescent="0.25">
      <c r="A63" s="32"/>
      <c r="B63" s="308"/>
      <c r="C63" s="309"/>
      <c r="D63" s="309"/>
      <c r="E63" s="309"/>
      <c r="F63" s="310"/>
    </row>
    <row r="64" spans="1:6" ht="18.75" customHeight="1" x14ac:dyDescent="0.25">
      <c r="A64" s="32"/>
      <c r="B64" s="308"/>
      <c r="C64" s="309"/>
      <c r="D64" s="309"/>
      <c r="E64" s="309"/>
      <c r="F64" s="310"/>
    </row>
    <row r="65" spans="1:6" ht="18.75" customHeight="1" x14ac:dyDescent="0.25">
      <c r="A65" s="32"/>
      <c r="B65" s="308"/>
      <c r="C65" s="309"/>
      <c r="D65" s="309"/>
      <c r="E65" s="309"/>
      <c r="F65" s="310"/>
    </row>
    <row r="66" spans="1:6" ht="18.75" customHeight="1" x14ac:dyDescent="0.25">
      <c r="A66" s="32"/>
      <c r="B66" s="308"/>
      <c r="C66" s="309"/>
      <c r="D66" s="309"/>
      <c r="E66" s="309"/>
      <c r="F66" s="310"/>
    </row>
    <row r="67" spans="1:6" ht="18.75" customHeight="1" x14ac:dyDescent="0.25">
      <c r="A67" s="32"/>
      <c r="B67" s="308"/>
      <c r="C67" s="309"/>
      <c r="D67" s="309"/>
      <c r="E67" s="309"/>
      <c r="F67" s="310"/>
    </row>
    <row r="68" spans="1:6" ht="18.75" customHeight="1" x14ac:dyDescent="0.25">
      <c r="A68" s="32"/>
      <c r="B68" s="308"/>
      <c r="C68" s="309"/>
      <c r="D68" s="309"/>
      <c r="E68" s="309"/>
      <c r="F68" s="310"/>
    </row>
    <row r="69" spans="1:6" ht="18.75" customHeight="1" x14ac:dyDescent="0.25">
      <c r="A69" s="32"/>
      <c r="B69" s="308"/>
      <c r="C69" s="309"/>
      <c r="D69" s="309"/>
      <c r="E69" s="309"/>
      <c r="F69" s="310"/>
    </row>
    <row r="70" spans="1:6" ht="18.75" customHeight="1" x14ac:dyDescent="0.25">
      <c r="A70" s="32"/>
      <c r="B70" s="308"/>
      <c r="C70" s="309"/>
      <c r="D70" s="309"/>
      <c r="E70" s="309"/>
      <c r="F70" s="310"/>
    </row>
    <row r="71" spans="1:6" ht="18.75" customHeight="1" x14ac:dyDescent="0.25">
      <c r="A71" s="32"/>
      <c r="B71" s="308"/>
      <c r="C71" s="309"/>
      <c r="D71" s="309"/>
      <c r="E71" s="309"/>
      <c r="F71" s="310"/>
    </row>
    <row r="72" spans="1:6" ht="18.75" customHeight="1" x14ac:dyDescent="0.25">
      <c r="A72" s="32"/>
      <c r="B72" s="308"/>
      <c r="C72" s="309"/>
      <c r="D72" s="309"/>
      <c r="E72" s="309"/>
      <c r="F72" s="310"/>
    </row>
    <row r="73" spans="1:6" ht="18.75" customHeight="1" x14ac:dyDescent="0.25">
      <c r="A73" s="32"/>
      <c r="B73" s="308"/>
      <c r="C73" s="309"/>
      <c r="D73" s="309"/>
      <c r="E73" s="309"/>
      <c r="F73" s="310"/>
    </row>
    <row r="74" spans="1:6" ht="18.75" customHeight="1" x14ac:dyDescent="0.25">
      <c r="A74" s="32"/>
      <c r="B74" s="308"/>
      <c r="C74" s="309"/>
      <c r="D74" s="309"/>
      <c r="E74" s="309"/>
      <c r="F74" s="310"/>
    </row>
    <row r="75" spans="1:6" ht="18.75" customHeight="1" x14ac:dyDescent="0.25">
      <c r="A75" s="32"/>
      <c r="B75" s="308"/>
      <c r="C75" s="309"/>
      <c r="D75" s="309"/>
      <c r="E75" s="309"/>
      <c r="F75" s="310"/>
    </row>
    <row r="76" spans="1:6" ht="18.75" customHeight="1" x14ac:dyDescent="0.25">
      <c r="A76" s="32"/>
      <c r="B76" s="308"/>
      <c r="C76" s="309"/>
      <c r="D76" s="309"/>
      <c r="E76" s="309"/>
      <c r="F76" s="310"/>
    </row>
    <row r="77" spans="1:6" ht="18.75" customHeight="1" x14ac:dyDescent="0.25">
      <c r="A77" s="32"/>
      <c r="B77" s="308"/>
      <c r="C77" s="309"/>
      <c r="D77" s="309"/>
      <c r="E77" s="309"/>
      <c r="F77" s="310"/>
    </row>
    <row r="78" spans="1:6" ht="18.75" customHeight="1" x14ac:dyDescent="0.25">
      <c r="A78" s="32"/>
      <c r="B78" s="308"/>
      <c r="C78" s="309"/>
      <c r="D78" s="309"/>
      <c r="E78" s="309"/>
      <c r="F78" s="310"/>
    </row>
    <row r="79" spans="1:6" ht="18.75" customHeight="1" x14ac:dyDescent="0.25">
      <c r="A79" s="32"/>
      <c r="B79" s="308"/>
      <c r="C79" s="309"/>
      <c r="D79" s="309"/>
      <c r="E79" s="309"/>
      <c r="F79" s="310"/>
    </row>
    <row r="80" spans="1:6" ht="18.75" customHeight="1" x14ac:dyDescent="0.25">
      <c r="A80" s="32"/>
      <c r="B80" s="308"/>
      <c r="C80" s="309"/>
      <c r="D80" s="309"/>
      <c r="E80" s="309"/>
      <c r="F80" s="310"/>
    </row>
    <row r="81" spans="1:6" ht="18.75" customHeight="1" x14ac:dyDescent="0.25">
      <c r="A81" s="32"/>
      <c r="B81" s="308"/>
      <c r="C81" s="309"/>
      <c r="D81" s="309"/>
      <c r="E81" s="309"/>
      <c r="F81" s="310"/>
    </row>
    <row r="82" spans="1:6" ht="18.75" customHeight="1" x14ac:dyDescent="0.25">
      <c r="A82" s="32"/>
      <c r="B82" s="308"/>
      <c r="C82" s="309"/>
      <c r="D82" s="309"/>
      <c r="E82" s="309"/>
      <c r="F82" s="310"/>
    </row>
    <row r="83" spans="1:6" ht="18.75" customHeight="1" x14ac:dyDescent="0.25">
      <c r="A83" s="32"/>
      <c r="B83" s="311"/>
      <c r="C83" s="312"/>
      <c r="D83" s="312"/>
      <c r="E83" s="312"/>
      <c r="F83" s="313"/>
    </row>
    <row r="84" spans="1:6" ht="18.75" customHeight="1" x14ac:dyDescent="0.25">
      <c r="A84" s="4" t="s">
        <v>157</v>
      </c>
      <c r="B84" s="4" t="s">
        <v>203</v>
      </c>
      <c r="C84" s="4"/>
      <c r="D84" s="4"/>
      <c r="E84" s="4"/>
      <c r="F84" s="4"/>
    </row>
    <row r="85" spans="1:6" ht="18.75" customHeight="1" x14ac:dyDescent="0.25">
      <c r="A85" s="32"/>
      <c r="B85" s="305"/>
      <c r="C85" s="306"/>
      <c r="D85" s="306"/>
      <c r="E85" s="306"/>
      <c r="F85" s="307"/>
    </row>
    <row r="86" spans="1:6" ht="18.75" customHeight="1" x14ac:dyDescent="0.25">
      <c r="A86" s="32"/>
      <c r="B86" s="308"/>
      <c r="C86" s="309"/>
      <c r="D86" s="309"/>
      <c r="E86" s="309"/>
      <c r="F86" s="310"/>
    </row>
    <row r="87" spans="1:6" ht="18.75" customHeight="1" x14ac:dyDescent="0.25">
      <c r="A87" s="32"/>
      <c r="B87" s="308"/>
      <c r="C87" s="309"/>
      <c r="D87" s="309"/>
      <c r="E87" s="309"/>
      <c r="F87" s="310"/>
    </row>
    <row r="88" spans="1:6" ht="18.75" customHeight="1" x14ac:dyDescent="0.25">
      <c r="A88" s="32"/>
      <c r="B88" s="308"/>
      <c r="C88" s="309"/>
      <c r="D88" s="309"/>
      <c r="E88" s="309"/>
      <c r="F88" s="310"/>
    </row>
    <row r="89" spans="1:6" ht="18.75" customHeight="1" x14ac:dyDescent="0.25">
      <c r="A89" s="32"/>
      <c r="B89" s="308"/>
      <c r="C89" s="309"/>
      <c r="D89" s="309"/>
      <c r="E89" s="309"/>
      <c r="F89" s="310"/>
    </row>
    <row r="90" spans="1:6" ht="18.75" customHeight="1" x14ac:dyDescent="0.25">
      <c r="A90" s="32"/>
      <c r="B90" s="308"/>
      <c r="C90" s="309"/>
      <c r="D90" s="309"/>
      <c r="E90" s="309"/>
      <c r="F90" s="310"/>
    </row>
    <row r="91" spans="1:6" ht="18.75" customHeight="1" x14ac:dyDescent="0.25">
      <c r="A91" s="32"/>
      <c r="B91" s="308"/>
      <c r="C91" s="309"/>
      <c r="D91" s="309"/>
      <c r="E91" s="309"/>
      <c r="F91" s="310"/>
    </row>
    <row r="92" spans="1:6" ht="18.75" customHeight="1" x14ac:dyDescent="0.25">
      <c r="A92" s="32"/>
      <c r="B92" s="308"/>
      <c r="C92" s="309"/>
      <c r="D92" s="309"/>
      <c r="E92" s="309"/>
      <c r="F92" s="310"/>
    </row>
    <row r="93" spans="1:6" ht="18.75" customHeight="1" x14ac:dyDescent="0.25">
      <c r="A93" s="32"/>
      <c r="B93" s="308"/>
      <c r="C93" s="309"/>
      <c r="D93" s="309"/>
      <c r="E93" s="309"/>
      <c r="F93" s="310"/>
    </row>
    <row r="94" spans="1:6" ht="18.75" customHeight="1" x14ac:dyDescent="0.25">
      <c r="A94" s="32"/>
      <c r="B94" s="308"/>
      <c r="C94" s="309"/>
      <c r="D94" s="309"/>
      <c r="E94" s="309"/>
      <c r="F94" s="310"/>
    </row>
    <row r="95" spans="1:6" ht="18.75" customHeight="1" x14ac:dyDescent="0.25">
      <c r="A95" s="32"/>
      <c r="B95" s="308"/>
      <c r="C95" s="309"/>
      <c r="D95" s="309"/>
      <c r="E95" s="309"/>
      <c r="F95" s="310"/>
    </row>
    <row r="96" spans="1:6" ht="18.75" customHeight="1" x14ac:dyDescent="0.25">
      <c r="A96" s="32"/>
      <c r="B96" s="308"/>
      <c r="C96" s="309"/>
      <c r="D96" s="309"/>
      <c r="E96" s="309"/>
      <c r="F96" s="310"/>
    </row>
    <row r="97" spans="1:6" ht="18.75" customHeight="1" x14ac:dyDescent="0.25">
      <c r="A97" s="32"/>
      <c r="B97" s="308"/>
      <c r="C97" s="309"/>
      <c r="D97" s="309"/>
      <c r="E97" s="309"/>
      <c r="F97" s="310"/>
    </row>
    <row r="98" spans="1:6" ht="18.75" customHeight="1" x14ac:dyDescent="0.25">
      <c r="A98" s="32"/>
      <c r="B98" s="308"/>
      <c r="C98" s="309"/>
      <c r="D98" s="309"/>
      <c r="E98" s="309"/>
      <c r="F98" s="310"/>
    </row>
    <row r="99" spans="1:6" ht="18.75" customHeight="1" x14ac:dyDescent="0.25">
      <c r="A99" s="32"/>
      <c r="B99" s="308"/>
      <c r="C99" s="309"/>
      <c r="D99" s="309"/>
      <c r="E99" s="309"/>
      <c r="F99" s="310"/>
    </row>
    <row r="100" spans="1:6" ht="18.75" customHeight="1" x14ac:dyDescent="0.25">
      <c r="A100" s="32"/>
      <c r="B100" s="308"/>
      <c r="C100" s="309"/>
      <c r="D100" s="309"/>
      <c r="E100" s="309"/>
      <c r="F100" s="310"/>
    </row>
    <row r="101" spans="1:6" ht="18.75" customHeight="1" x14ac:dyDescent="0.25">
      <c r="A101" s="32"/>
      <c r="B101" s="308"/>
      <c r="C101" s="309"/>
      <c r="D101" s="309"/>
      <c r="E101" s="309"/>
      <c r="F101" s="310"/>
    </row>
    <row r="102" spans="1:6" ht="18.75" customHeight="1" x14ac:dyDescent="0.25">
      <c r="A102" s="32"/>
      <c r="B102" s="308"/>
      <c r="C102" s="309"/>
      <c r="D102" s="309"/>
      <c r="E102" s="309"/>
      <c r="F102" s="310"/>
    </row>
    <row r="103" spans="1:6" ht="18.75" customHeight="1" x14ac:dyDescent="0.25">
      <c r="A103" s="32"/>
      <c r="B103" s="308"/>
      <c r="C103" s="309"/>
      <c r="D103" s="309"/>
      <c r="E103" s="309"/>
      <c r="F103" s="310"/>
    </row>
    <row r="104" spans="1:6" ht="18.75" customHeight="1" x14ac:dyDescent="0.25">
      <c r="A104" s="32"/>
      <c r="B104" s="308"/>
      <c r="C104" s="309"/>
      <c r="D104" s="309"/>
      <c r="E104" s="309"/>
      <c r="F104" s="310"/>
    </row>
    <row r="105" spans="1:6" ht="18.75" customHeight="1" x14ac:dyDescent="0.25">
      <c r="A105" s="32"/>
      <c r="B105" s="308"/>
      <c r="C105" s="309"/>
      <c r="D105" s="309"/>
      <c r="E105" s="309"/>
      <c r="F105" s="310"/>
    </row>
    <row r="106" spans="1:6" ht="18.75" customHeight="1" x14ac:dyDescent="0.25">
      <c r="A106" s="32"/>
      <c r="B106" s="308"/>
      <c r="C106" s="309"/>
      <c r="D106" s="309"/>
      <c r="E106" s="309"/>
      <c r="F106" s="310"/>
    </row>
    <row r="107" spans="1:6" ht="18.75" customHeight="1" x14ac:dyDescent="0.25">
      <c r="A107" s="32"/>
      <c r="B107" s="308"/>
      <c r="C107" s="309"/>
      <c r="D107" s="309"/>
      <c r="E107" s="309"/>
      <c r="F107" s="310"/>
    </row>
    <row r="108" spans="1:6" ht="18.75" customHeight="1" x14ac:dyDescent="0.25">
      <c r="A108" s="32"/>
      <c r="B108" s="308"/>
      <c r="C108" s="309"/>
      <c r="D108" s="309"/>
      <c r="E108" s="309"/>
      <c r="F108" s="310"/>
    </row>
    <row r="109" spans="1:6" ht="18.75" customHeight="1" x14ac:dyDescent="0.25">
      <c r="A109" s="32"/>
      <c r="B109" s="308"/>
      <c r="C109" s="309"/>
      <c r="D109" s="309"/>
      <c r="E109" s="309"/>
      <c r="F109" s="310"/>
    </row>
    <row r="110" spans="1:6" ht="18.75" customHeight="1" x14ac:dyDescent="0.25">
      <c r="A110" s="32"/>
      <c r="B110" s="308"/>
      <c r="C110" s="309"/>
      <c r="D110" s="309"/>
      <c r="E110" s="309"/>
      <c r="F110" s="310"/>
    </row>
    <row r="111" spans="1:6" ht="18.75" customHeight="1" x14ac:dyDescent="0.25">
      <c r="A111" s="32"/>
      <c r="B111" s="308"/>
      <c r="C111" s="309"/>
      <c r="D111" s="309"/>
      <c r="E111" s="309"/>
      <c r="F111" s="310"/>
    </row>
    <row r="112" spans="1:6" ht="18.75" customHeight="1" x14ac:dyDescent="0.25">
      <c r="A112" s="32"/>
      <c r="B112" s="308"/>
      <c r="C112" s="309"/>
      <c r="D112" s="309"/>
      <c r="E112" s="309"/>
      <c r="F112" s="310"/>
    </row>
    <row r="113" spans="1:6" ht="18.75" customHeight="1" x14ac:dyDescent="0.25">
      <c r="A113" s="32"/>
      <c r="B113" s="308"/>
      <c r="C113" s="309"/>
      <c r="D113" s="309"/>
      <c r="E113" s="309"/>
      <c r="F113" s="310"/>
    </row>
    <row r="114" spans="1:6" ht="18.75" customHeight="1" x14ac:dyDescent="0.25">
      <c r="A114" s="32"/>
      <c r="B114" s="308"/>
      <c r="C114" s="309"/>
      <c r="D114" s="309"/>
      <c r="E114" s="309"/>
      <c r="F114" s="310"/>
    </row>
    <row r="115" spans="1:6" ht="18.75" customHeight="1" x14ac:dyDescent="0.25">
      <c r="A115" s="32"/>
      <c r="B115" s="308"/>
      <c r="C115" s="309"/>
      <c r="D115" s="309"/>
      <c r="E115" s="309"/>
      <c r="F115" s="310"/>
    </row>
    <row r="116" spans="1:6" ht="18.75" customHeight="1" x14ac:dyDescent="0.25">
      <c r="A116" s="32"/>
      <c r="B116" s="308"/>
      <c r="C116" s="309"/>
      <c r="D116" s="309"/>
      <c r="E116" s="309"/>
      <c r="F116" s="310"/>
    </row>
    <row r="117" spans="1:6" ht="18.75" customHeight="1" x14ac:dyDescent="0.25">
      <c r="A117" s="32"/>
      <c r="B117" s="308"/>
      <c r="C117" s="309"/>
      <c r="D117" s="309"/>
      <c r="E117" s="309"/>
      <c r="F117" s="310"/>
    </row>
    <row r="118" spans="1:6" ht="18.75" customHeight="1" x14ac:dyDescent="0.25">
      <c r="A118" s="32"/>
      <c r="B118" s="308"/>
      <c r="C118" s="309"/>
      <c r="D118" s="309"/>
      <c r="E118" s="309"/>
      <c r="F118" s="310"/>
    </row>
    <row r="119" spans="1:6" ht="18.75" customHeight="1" x14ac:dyDescent="0.25">
      <c r="A119" s="32"/>
      <c r="B119" s="308"/>
      <c r="C119" s="309"/>
      <c r="D119" s="309"/>
      <c r="E119" s="309"/>
      <c r="F119" s="310"/>
    </row>
    <row r="120" spans="1:6" ht="18.75" customHeight="1" x14ac:dyDescent="0.25">
      <c r="A120" s="32"/>
      <c r="B120" s="308"/>
      <c r="C120" s="309"/>
      <c r="D120" s="309"/>
      <c r="E120" s="309"/>
      <c r="F120" s="310"/>
    </row>
    <row r="121" spans="1:6" ht="18.75" customHeight="1" x14ac:dyDescent="0.25">
      <c r="A121" s="32"/>
      <c r="B121" s="308"/>
      <c r="C121" s="309"/>
      <c r="D121" s="309"/>
      <c r="E121" s="309"/>
      <c r="F121" s="310"/>
    </row>
    <row r="122" spans="1:6" ht="18.75" customHeight="1" x14ac:dyDescent="0.25">
      <c r="A122" s="32"/>
      <c r="B122" s="308"/>
      <c r="C122" s="309"/>
      <c r="D122" s="309"/>
      <c r="E122" s="309"/>
      <c r="F122" s="310"/>
    </row>
    <row r="123" spans="1:6" ht="18.75" customHeight="1" x14ac:dyDescent="0.25">
      <c r="A123" s="32"/>
      <c r="B123" s="308"/>
      <c r="C123" s="309"/>
      <c r="D123" s="309"/>
      <c r="E123" s="309"/>
      <c r="F123" s="310"/>
    </row>
    <row r="124" spans="1:6" ht="18.75" customHeight="1" x14ac:dyDescent="0.25">
      <c r="A124" s="32"/>
      <c r="B124" s="311"/>
      <c r="C124" s="312"/>
      <c r="D124" s="312"/>
      <c r="E124" s="312"/>
      <c r="F124" s="313"/>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scale="97" orientation="portrait" horizontalDpi="300" verticalDpi="300" r:id="rId1"/>
  <rowBreaks count="2" manualBreakCount="2">
    <brk id="42" max="5" man="1"/>
    <brk id="83" max="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22F0A28D3ED7E4FA64ED365BBC64810" ma:contentTypeVersion="4" ma:contentTypeDescription="新しいドキュメントを作成します。" ma:contentTypeScope="" ma:versionID="d2ada20cfb372fbc2984508054895596">
  <xsd:schema xmlns:xsd="http://www.w3.org/2001/XMLSchema" xmlns:xs="http://www.w3.org/2001/XMLSchema" xmlns:p="http://schemas.microsoft.com/office/2006/metadata/properties" xmlns:ns2="be7239b9-907a-4a54-a72f-2289a27d7ac7" xmlns:ns3="2f6dd179-1ad3-47d7-80a9-89fc7635358f" targetNamespace="http://schemas.microsoft.com/office/2006/metadata/properties" ma:root="true" ma:fieldsID="6719cff2496d274b3b48195e01a95b93" ns2:_="" ns3:_="">
    <xsd:import namespace="be7239b9-907a-4a54-a72f-2289a27d7ac7"/>
    <xsd:import namespace="2f6dd179-1ad3-47d7-80a9-89fc7635358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7239b9-907a-4a54-a72f-2289a27d7a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6dd179-1ad3-47d7-80a9-89fc7635358f"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2f6dd179-1ad3-47d7-80a9-89fc7635358f">
      <UserInfo>
        <DisplayName>[051]沖縄 数理・データサイエンス・ＡＩ教育プログラムWG メンバー</DisplayName>
        <AccountId>7</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096F52-FE70-4ACD-A0CA-AECE9C6B4C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7239b9-907a-4a54-a72f-2289a27d7ac7"/>
    <ds:schemaRef ds:uri="2f6dd179-1ad3-47d7-80a9-89fc763535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8A72F8-1D29-4D1A-BA55-6138621D24B5}">
  <ds:schemaRefs>
    <ds:schemaRef ds:uri="http://schemas.microsoft.com/office/2006/metadata/properties"/>
    <ds:schemaRef ds:uri="http://www.w3.org/XML/1998/namespace"/>
    <ds:schemaRef ds:uri="http://purl.org/dc/dcmitype/"/>
    <ds:schemaRef ds:uri="http://purl.org/dc/terms/"/>
    <ds:schemaRef ds:uri="http://schemas.openxmlformats.org/package/2006/metadata/core-properties"/>
    <ds:schemaRef ds:uri="2f6dd179-1ad3-47d7-80a9-89fc7635358f"/>
    <ds:schemaRef ds:uri="http://purl.org/dc/elements/1.1/"/>
    <ds:schemaRef ds:uri="http://schemas.microsoft.com/office/2006/documentManagement/types"/>
    <ds:schemaRef ds:uri="http://schemas.microsoft.com/office/infopath/2007/PartnerControls"/>
    <ds:schemaRef ds:uri="be7239b9-907a-4a54-a72f-2289a27d7ac7"/>
  </ds:schemaRefs>
</ds:datastoreItem>
</file>

<file path=customXml/itemProps3.xml><?xml version="1.0" encoding="utf-8"?>
<ds:datastoreItem xmlns:ds="http://schemas.openxmlformats.org/officeDocument/2006/customXml" ds:itemID="{B66CF98A-BAB3-4512-8B9A-02B43660457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金城 篤史@沖縄高専</cp:lastModifiedBy>
  <cp:revision/>
  <cp:lastPrinted>2022-06-03T07:50:40Z</cp:lastPrinted>
  <dcterms:created xsi:type="dcterms:W3CDTF">2011-06-14T05:32:50Z</dcterms:created>
  <dcterms:modified xsi:type="dcterms:W3CDTF">2022-07-14T07:01:54Z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0x010100322F0A28D3ED7E4FA64ED365BBC64810</vt:lpwstr>
  </property>
</Properties>
</file>