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defaultThemeVersion="124226"/>
  <mc:AlternateContent xmlns:mc="http://schemas.openxmlformats.org/markup-compatibility/2006">
    <mc:Choice Requires="x15">
      <x15ac:absPath xmlns:x15ac="http://schemas.microsoft.com/office/spreadsheetml/2010/11/ac" url="C:\Users\梅川忠典\Desktop\Downloads\"/>
    </mc:Choice>
  </mc:AlternateContent>
  <xr:revisionPtr revIDLastSave="0" documentId="13_ncr:1_{575847FA-EC10-4F5C-BCE9-AD2096896CDC}" xr6:coauthVersionLast="47" xr6:coauthVersionMax="47" xr10:uidLastSave="{00000000-0000-0000-0000-000000000000}"/>
  <bookViews>
    <workbookView xWindow="-120" yWindow="-120" windowWidth="24240" windowHeight="13140" tabRatio="885" xr2:uid="{00000000-000D-0000-FFFF-FFFF00000000}"/>
  </bookViews>
  <sheets>
    <sheet name="様式１　大学等概要" sheetId="8" r:id="rId1"/>
    <sheet name="様式２-1　プログラムを構成する授業科目" sheetId="39" r:id="rId2"/>
    <sheet name="様式２-2　プログラムを構成する授業科目" sheetId="44" r:id="rId3"/>
    <sheet name="様式３　履修者等数の実績" sheetId="40" r:id="rId4"/>
    <sheet name="様式４　教育の質・履修者数を向上させるための体制・計画" sheetId="41" r:id="rId5"/>
    <sheet name="様式５　自己点検・評価" sheetId="42" r:id="rId6"/>
  </sheets>
  <definedNames>
    <definedName name="_xlnm._FilterDatabase" localSheetId="1" hidden="1">'様式２-1　プログラムを構成する授業科目'!#REF!</definedName>
    <definedName name="_xlnm._FilterDatabase" localSheetId="2" hidden="1">'様式２-2　プログラムを構成する授業科目'!#REF!</definedName>
    <definedName name="_xlnm._FilterDatabase" localSheetId="3" hidden="1">'様式３　履修者等数の実績'!#REF!</definedName>
    <definedName name="_xlnm.Print_Area" localSheetId="0">'様式１　大学等概要'!$A$1:$N$45</definedName>
    <definedName name="_xlnm.Print_Area" localSheetId="1">'様式２-1　プログラムを構成する授業科目'!$A$1:$Z$98</definedName>
    <definedName name="_xlnm.Print_Area" localSheetId="2">'様式２-2　プログラムを構成する授業科目'!$A$1:$Z$98</definedName>
    <definedName name="_xlnm.Print_Area" localSheetId="3">'様式３　履修者等数の実績'!$A$1:$R$30</definedName>
    <definedName name="_xlnm.Print_Area" localSheetId="4">'様式４　教育の質・履修者数を向上させるための体制・計画'!$A$1:$J$130</definedName>
    <definedName name="_xlnm.Print_Area" localSheetId="5">'様式５　自己点検・評価'!$A$1:$J$18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R22" i="40"/>
  <c r="Q22" i="40"/>
  <c r="Q21" i="40"/>
  <c r="R21" i="40" s="1"/>
  <c r="Q20" i="40"/>
  <c r="R20" i="40" s="1"/>
  <c r="Q19" i="40"/>
  <c r="R19" i="40" s="1"/>
  <c r="Q18" i="40"/>
  <c r="R18" i="40" s="1"/>
  <c r="Q17" i="40"/>
  <c r="R17" i="40" s="1"/>
  <c r="Q16" i="40"/>
  <c r="R16" i="40" s="1"/>
  <c r="Q15" i="40"/>
  <c r="R15" i="40" s="1"/>
  <c r="Q14" i="40"/>
  <c r="R14" i="40" s="1"/>
  <c r="Q13" i="40"/>
  <c r="R13" i="40" s="1"/>
  <c r="Q12" i="40"/>
  <c r="R12" i="40" s="1"/>
  <c r="Q11" i="40"/>
  <c r="R11" i="40" s="1"/>
  <c r="Q10" i="40"/>
  <c r="Q30" i="40" l="1"/>
  <c r="R30" i="40" s="1"/>
  <c r="C28" i="41" s="1"/>
  <c r="R10" i="40"/>
</calcChain>
</file>

<file path=xl/sharedStrings.xml><?xml version="1.0" encoding="utf-8"?>
<sst xmlns="http://schemas.openxmlformats.org/spreadsheetml/2006/main" count="495" uniqueCount="219">
  <si>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</si>
  <si>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</si>
  <si>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</si>
  <si>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</si>
  <si>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</si>
  <si>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</si>
  <si>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</si>
  <si>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</si>
  <si>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</si>
  <si>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</si>
  <si>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</si>
  <si>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</si>
  <si>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</si>
  <si>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</si>
  <si>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</si>
  <si>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</si>
  <si>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</si>
  <si>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</si>
  <si>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</si>
  <si>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</si>
  <si>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</si>
  <si>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</si>
  <si>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</si>
  <si>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</si>
  <si>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</si>
  <si>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</si>
  <si>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</si>
  <si>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</si>
  <si>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</si>
  <si>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</si>
  <si>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</si>
  <si>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</si>
  <si>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</si>
  <si>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</si>
  <si>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</si>
  <si>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</si>
  <si>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</si>
  <si>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</si>
  <si>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</si>
  <si>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</si>
  <si>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</si>
  <si>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</si>
  <si>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</si>
  <si>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</si>
  <si>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</si>
  <si>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</si>
  <si>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</si>
  <si>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</si>
  <si>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</si>
  <si>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</si>
  <si>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</si>
  <si>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</si>
  <si>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</si>
  <si>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</si>
  <si>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</si>
  <si>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</si>
  <si>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</si>
  <si>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</si>
  <si>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</si>
  <si>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</si>
  <si>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</si>
  <si>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</si>
  <si>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</si>
  <si>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</si>
  <si>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</si>
  <si>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</si>
  <si>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</si>
  <si>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</si>
  <si>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</si>
  <si>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</si>
  <si>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</si>
  <si>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</si>
  <si>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</si>
  <si>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</si>
  <si>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</si>
  <si>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</si>
  <si>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</si>
  <si>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</si>
  <si>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</si>
  <si>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</si>
  <si>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</si>
  <si>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</si>
  <si>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</si>
  <si>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</si>
  <si>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</si>
  <si>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</si>
  <si>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</si>
  <si>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</si>
  <si>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</si>
  <si>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</si>
  <si>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</si>
  <si>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</si>
  <si>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</si>
  <si>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</si>
  <si>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</si>
  <si>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</si>
  <si>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</si>
  <si>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</si>
  <si>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</si>
  <si>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</si>
  <si>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</si>
  <si>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</si>
  <si>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</si>
  <si>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</si>
  <si>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</si>
  <si>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</si>
  <si>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</si>
  <si>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</si>
  <si>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</si>
  <si>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</si>
  <si>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</si>
  <si>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</si>
  <si>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</si>
  <si>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</si>
  <si>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</si>
  <si>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</si>
  <si>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</si>
  <si>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</si>
  <si>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</si>
  <si>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</si>
  <si>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</si>
  <si>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</si>
  <si>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</si>
  <si>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</si>
  <si>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</si>
  <si>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</si>
  <si>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</si>
  <si>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</si>
  <si>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</si>
  <si>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</si>
  <si>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</si>
  <si>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</si>
  <si>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</si>
  <si>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</si>
  <si>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</si>
  <si>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</si>
  <si>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</si>
  <si>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</si>
  <si>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</si>
  <si>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</si>
  <si>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</si>
  <si>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</si>
  <si>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</si>
  <si>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</si>
  <si>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</si>
  <si>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</si>
  <si>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</si>
  <si>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人間総合科学大学</t>
    <rPh sb="0" eb="8">
      <t>ニンゲンソウゴウカガクダイガク</t>
    </rPh>
    <phoneticPr fontId="1"/>
  </si>
  <si>
    <t>学校法人　早稲田医療学園</t>
    <rPh sb="0" eb="4">
      <t>ガッコウホウジン</t>
    </rPh>
    <rPh sb="5" eb="12">
      <t>ワセダイリョウガクエン</t>
    </rPh>
    <phoneticPr fontId="1"/>
  </si>
  <si>
    <t>私立大学</t>
    <rPh sb="0" eb="4">
      <t>シリツダイガク</t>
    </rPh>
    <phoneticPr fontId="1"/>
  </si>
  <si>
    <t>埼玉県さいたま市岩槻区馬込1288</t>
    <rPh sb="0" eb="3">
      <t>サイタマケン</t>
    </rPh>
    <rPh sb="7" eb="8">
      <t>シ</t>
    </rPh>
    <rPh sb="8" eb="11">
      <t>イワツキク</t>
    </rPh>
    <rPh sb="11" eb="13">
      <t>マゴメ</t>
    </rPh>
    <phoneticPr fontId="1"/>
  </si>
  <si>
    <t>AI・データ活用リテラシープログラム</t>
    <rPh sb="6" eb="8">
      <t>カツヨウ</t>
    </rPh>
    <phoneticPr fontId="1"/>
  </si>
  <si>
    <t>令和3年度</t>
    <rPh sb="0" eb="2">
      <t>レイワ</t>
    </rPh>
    <rPh sb="3" eb="5">
      <t>ネンド</t>
    </rPh>
    <phoneticPr fontId="1"/>
  </si>
  <si>
    <t>特任教授</t>
    <rPh sb="0" eb="4">
      <t>トクニンキョウジュ</t>
    </rPh>
    <phoneticPr fontId="1"/>
  </si>
  <si>
    <t>AI・データサイエンスワーキンググループ</t>
    <phoneticPr fontId="1"/>
  </si>
  <si>
    <t>特任教授</t>
    <rPh sb="0" eb="2">
      <t>トクニン</t>
    </rPh>
    <rPh sb="2" eb="4">
      <t>キョウジュ</t>
    </rPh>
    <phoneticPr fontId="1"/>
  </si>
  <si>
    <t>自己点検・評価委員会</t>
    <rPh sb="0" eb="2">
      <t>ジコ</t>
    </rPh>
    <rPh sb="2" eb="4">
      <t>テンケン</t>
    </rPh>
    <rPh sb="5" eb="7">
      <t>ヒョウカ</t>
    </rPh>
    <rPh sb="7" eb="10">
      <t>イインカイ</t>
    </rPh>
    <phoneticPr fontId="1"/>
  </si>
  <si>
    <t>小岩　信義</t>
    <rPh sb="0" eb="2">
      <t>コイワ</t>
    </rPh>
    <rPh sb="3" eb="5">
      <t>ノブヨシ</t>
    </rPh>
    <phoneticPr fontId="1"/>
  </si>
  <si>
    <t>学部長</t>
    <rPh sb="0" eb="3">
      <t>ガクブチョウ</t>
    </rPh>
    <phoneticPr fontId="1"/>
  </si>
  <si>
    <t>認定教育プログラム</t>
    <rPh sb="0" eb="2">
      <t>ニンテイ</t>
    </rPh>
    <rPh sb="2" eb="4">
      <t>キョウイク</t>
    </rPh>
    <phoneticPr fontId="1"/>
  </si>
  <si>
    <t>学務課</t>
    <rPh sb="0" eb="3">
      <t>ガクムカ</t>
    </rPh>
    <phoneticPr fontId="1"/>
  </si>
  <si>
    <t>有川　雅彦</t>
    <rPh sb="0" eb="2">
      <t>アリカワ</t>
    </rPh>
    <rPh sb="3" eb="5">
      <t>マサヒコ</t>
    </rPh>
    <phoneticPr fontId="1"/>
  </si>
  <si>
    <t>masahiko_arikawa@human.ac.jp</t>
    <phoneticPr fontId="1"/>
  </si>
  <si>
    <t>048-749-6111</t>
    <phoneticPr fontId="1"/>
  </si>
  <si>
    <t>人間科学部</t>
    <rPh sb="0" eb="4">
      <t>ニンゲンカガク</t>
    </rPh>
    <rPh sb="4" eb="5">
      <t>ブ</t>
    </rPh>
    <phoneticPr fontId="1"/>
  </si>
  <si>
    <t>保健医療学部</t>
    <rPh sb="0" eb="6">
      <t>ホケンイリョウガクブ</t>
    </rPh>
    <phoneticPr fontId="1"/>
  </si>
  <si>
    <t>健康・栄養AI・データサイエンスワーキンググループ</t>
    <rPh sb="0" eb="2">
      <t>ケンコウ</t>
    </rPh>
    <rPh sb="3" eb="5">
      <t>エイヨウ</t>
    </rPh>
    <phoneticPr fontId="1"/>
  </si>
  <si>
    <t>文部科学省「数理・データサイエンス・AI教育プログラム認定制度（リテラシーレベル）」に対応するため、本学において2021年度中に、全学において「数理・データサイエンス・AI教育」のリテラシ―レベルのプログラムを設ける。同教育プログラムの運営、全学的な普及・浸透を図ることを目的に「健康・栄養Ai・データサイエンス」ワーキンググループを設置した（別紙＊、2021年度人間総合科学大学・委員会構成表）。同ワーキンググループで、既存の科目を含め、関連科目の整備を行い、2021年度から本格的なプログラムとして運用している。</t>
    <phoneticPr fontId="1"/>
  </si>
  <si>
    <t xml:space="preserve">本教育プログラムについて、本学LMS（＠ｍｙキャンパス）上には、チャット機能が設けられ、学生の質問への対応、学生同士あるいは教員・学生間のディスカッションに利用されている。　　　　　　　　　　　　　　　　　　　　　　　　　　　　　　　　　　　　　　　　　　　　　　　　　　　　　　学生は、この＠ｍｙキャンパスを活用し、授業時間以外でも講義に対する不明点に対する質問、また授業内容に対する要望などを書き込みが可能であり、また自己の学修進捗状況を確認することができる仕組みを備えている。質問に対しては、ワーキンググループの教員や各科目の担任教員を通じて対応する。質問は、システム上で管理するが、質問が投稿された段階で担当教員にメールで通知が届くように構築しているため、担当教員も迅速に学生への返答・アドバイスができる体制を整備している。また質問は、＠ｍｙキャンパス上で管理しているため、学生はいつでもどこでもシステムから担当教員からの回答・アドバイスを確認することができる。
この双方型の質問、ディスカッション等の機能は、大学院・人間総合科学研究科・心身健康科学専攻での研究指導において培われた教育手法を活かすものであり、本学の特色ある教育を形成するものとなっている。
</t>
    <phoneticPr fontId="1"/>
  </si>
  <si>
    <t>谷本　伸男　　人間科学部心身健康科学科特任教授（委員長）
塙　　 大樹　　保健医療学部リハビリテーション学理学療法学専攻助教（委員）
藤野　　努　 　保健医療学部リハビリテーション学義肢装具学専攻助教（委員）
平子　智史　　人間科学部健康栄養学科講師（委員）
秋山　佳代　　人間科学部ヘルスフードサイエンス学科（委員）
有川　雅彦　　人間科学部学務課（事務担当）
松本　聖史　　保健医療学部学務課（事務担当）
　　　　　　　　　　　　　　　　　　</t>
    <rPh sb="0" eb="2">
      <t>タニモト</t>
    </rPh>
    <rPh sb="3" eb="5">
      <t>ノブオ</t>
    </rPh>
    <rPh sb="7" eb="12">
      <t>ニンゲンカガクブ</t>
    </rPh>
    <rPh sb="24" eb="27">
      <t>イインチョウ</t>
    </rPh>
    <rPh sb="29" eb="30">
      <t>ハナワ</t>
    </rPh>
    <rPh sb="33" eb="35">
      <t>ダイキ</t>
    </rPh>
    <rPh sb="37" eb="43">
      <t>ホケンイリョウガクブ</t>
    </rPh>
    <rPh sb="63" eb="65">
      <t>イイン</t>
    </rPh>
    <rPh sb="67" eb="69">
      <t>フジノ</t>
    </rPh>
    <rPh sb="71" eb="72">
      <t>ツトム</t>
    </rPh>
    <rPh sb="75" eb="81">
      <t>ホケンイリョウガクブ</t>
    </rPh>
    <rPh sb="105" eb="107">
      <t>ヒラコ</t>
    </rPh>
    <rPh sb="112" eb="117">
      <t>ニンゲンカガクブ</t>
    </rPh>
    <rPh sb="126" eb="128">
      <t>イイン</t>
    </rPh>
    <rPh sb="130" eb="132">
      <t>アキヤマ</t>
    </rPh>
    <rPh sb="133" eb="135">
      <t>カヨ</t>
    </rPh>
    <rPh sb="137" eb="142">
      <t>ニンゲンカガクブ</t>
    </rPh>
    <rPh sb="153" eb="155">
      <t>ガッカ</t>
    </rPh>
    <rPh sb="156" eb="158">
      <t>イイン</t>
    </rPh>
    <rPh sb="160" eb="162">
      <t>アリカワ</t>
    </rPh>
    <rPh sb="163" eb="165">
      <t>マサヒコ</t>
    </rPh>
    <rPh sb="167" eb="172">
      <t>ニンゲンカガクブ</t>
    </rPh>
    <rPh sb="172" eb="175">
      <t>ガクムカ</t>
    </rPh>
    <rPh sb="176" eb="180">
      <t>ジムタントウ</t>
    </rPh>
    <rPh sb="182" eb="184">
      <t>マツモト</t>
    </rPh>
    <rPh sb="185" eb="186">
      <t>セイ</t>
    </rPh>
    <rPh sb="186" eb="187">
      <t>シ</t>
    </rPh>
    <rPh sb="189" eb="195">
      <t>ホケンイリョウガクブ</t>
    </rPh>
    <rPh sb="195" eb="198">
      <t>ガクムカ</t>
    </rPh>
    <rPh sb="199" eb="203">
      <t>ジムタントウ</t>
    </rPh>
    <phoneticPr fontId="1"/>
  </si>
  <si>
    <t>谷本　伸男</t>
    <rPh sb="0" eb="2">
      <t>タニモト</t>
    </rPh>
    <rPh sb="3" eb="5">
      <t>ノブオ</t>
    </rPh>
    <phoneticPr fontId="1"/>
  </si>
  <si>
    <t>AI・データ活用リテラシー</t>
    <rPh sb="6" eb="8">
      <t>カツヨウ</t>
    </rPh>
    <phoneticPr fontId="1"/>
  </si>
  <si>
    <t>コンピュータ入門</t>
    <rPh sb="6" eb="8">
      <t>ニュウモン</t>
    </rPh>
    <phoneticPr fontId="1"/>
  </si>
  <si>
    <t>○</t>
  </si>
  <si>
    <t>全学開講</t>
  </si>
  <si>
    <t>学部・学科によって、修了要件は相違する</t>
  </si>
  <si>
    <r>
      <t>社会</t>
    </r>
    <r>
      <rPr>
        <sz val="12"/>
        <rFont val="Microsoft JhengHei UI"/>
        <family val="2"/>
        <charset val="134"/>
      </rPr>
      <t>⼈</t>
    </r>
    <r>
      <rPr>
        <sz val="12"/>
        <rFont val="ＭＳ Ｐゴシック"/>
        <family val="2"/>
        <charset val="128"/>
        <scheme val="minor"/>
      </rPr>
      <t>としてのデータサイエンスリテラシーである、以下の事項を含む社会におけるデータ活</t>
    </r>
    <r>
      <rPr>
        <sz val="12"/>
        <rFont val="Microsoft JhengHei UI"/>
        <family val="2"/>
        <charset val="134"/>
      </rPr>
      <t>⽤</t>
    </r>
    <r>
      <rPr>
        <sz val="12"/>
        <rFont val="ＭＳ Ｐゴシック"/>
        <family val="2"/>
        <charset val="128"/>
        <scheme val="minor"/>
      </rPr>
      <t>を理解し活</t>
    </r>
    <r>
      <rPr>
        <sz val="12"/>
        <rFont val="Microsoft JhengHei UI"/>
        <family val="2"/>
        <charset val="134"/>
      </rPr>
      <t>⽤</t>
    </r>
    <r>
      <rPr>
        <sz val="12"/>
        <rFont val="ＭＳ Ｐゴシック"/>
        <family val="2"/>
        <charset val="128"/>
        <scheme val="minor"/>
      </rPr>
      <t>できる知識を習得します。
・AIやデータサイエンスが、現在進</t>
    </r>
    <r>
      <rPr>
        <sz val="12"/>
        <rFont val="Microsoft JhengHei UI"/>
        <family val="2"/>
        <charset val="134"/>
      </rPr>
      <t>⾏</t>
    </r>
    <r>
      <rPr>
        <sz val="12"/>
        <rFont val="ＭＳ Ｐゴシック"/>
        <family val="2"/>
        <charset val="128"/>
        <scheme val="minor"/>
      </rPr>
      <t>中の社会変化（第4次産業</t>
    </r>
    <r>
      <rPr>
        <sz val="12"/>
        <rFont val="Microsoft JhengHei UI"/>
        <family val="2"/>
        <charset val="134"/>
      </rPr>
      <t>⾰</t>
    </r>
    <r>
      <rPr>
        <sz val="12"/>
        <rFont val="ＭＳ Ｐゴシック"/>
        <family val="2"/>
        <charset val="128"/>
        <scheme val="minor"/>
      </rPr>
      <t>命、Society 5.0、データ駆動型社会等）に深く寄与し、</t>
    </r>
    <r>
      <rPr>
        <sz val="12"/>
        <rFont val="Microsoft JhengHei UI"/>
        <family val="2"/>
        <charset val="134"/>
      </rPr>
      <t>⽣</t>
    </r>
    <r>
      <rPr>
        <sz val="12"/>
        <rFont val="ＭＳ Ｐゴシック"/>
        <family val="2"/>
        <charset val="128"/>
        <scheme val="minor"/>
      </rPr>
      <t>活と密接に結びついていることを理解する。
・AIやデータサイエンスが、健康・</t>
    </r>
    <r>
      <rPr>
        <sz val="12"/>
        <rFont val="Microsoft JhengHei UI"/>
        <family val="2"/>
        <charset val="134"/>
      </rPr>
      <t>⾷</t>
    </r>
    <r>
      <rPr>
        <sz val="12"/>
        <rFont val="ＭＳ Ｐゴシック"/>
        <family val="2"/>
        <charset val="128"/>
        <scheme val="minor"/>
      </rPr>
      <t>・栄養分野に広範に存在するデータを分析・活</t>
    </r>
    <r>
      <rPr>
        <sz val="12"/>
        <rFont val="Microsoft JhengHei UI"/>
        <family val="2"/>
        <charset val="134"/>
      </rPr>
      <t>⽤</t>
    </r>
    <r>
      <rPr>
        <sz val="12"/>
        <rFont val="ＭＳ Ｐゴシック"/>
        <family val="2"/>
        <charset val="128"/>
        <scheme val="minor"/>
      </rPr>
      <t>することによって、これらの分野の課題解決のツールとして寄与しているを理解する。
・様々な領域（流通、製造、</t>
    </r>
    <r>
      <rPr>
        <sz val="12"/>
        <rFont val="Microsoft JhengHei UI"/>
        <family val="2"/>
        <charset val="134"/>
      </rPr>
      <t>⾦</t>
    </r>
    <r>
      <rPr>
        <sz val="12"/>
        <rFont val="ＭＳ Ｐゴシック"/>
        <family val="2"/>
        <charset val="128"/>
        <scheme val="minor"/>
      </rPr>
      <t>融、サービス、インフラ、公共、ヘルスケア等）で活</t>
    </r>
    <r>
      <rPr>
        <sz val="12"/>
        <rFont val="Microsoft JhengHei UI"/>
        <family val="2"/>
        <charset val="134"/>
      </rPr>
      <t>⽤</t>
    </r>
    <r>
      <rPr>
        <sz val="12"/>
        <rFont val="ＭＳ Ｐゴシック"/>
        <family val="2"/>
        <charset val="128"/>
        <scheme val="minor"/>
      </rPr>
      <t>されているAIやデータサイエンスツールを知ることにより、これらの知</t>
    </r>
    <r>
      <rPr>
        <sz val="12"/>
        <rFont val="Microsoft JhengHei UI"/>
        <family val="2"/>
        <charset val="134"/>
      </rPr>
      <t>⾒</t>
    </r>
    <r>
      <rPr>
        <sz val="12"/>
        <rFont val="ＭＳ Ｐゴシック"/>
        <family val="2"/>
        <charset val="128"/>
        <scheme val="minor"/>
      </rPr>
      <t>と健康・</t>
    </r>
    <r>
      <rPr>
        <sz val="12"/>
        <rFont val="Microsoft JhengHei UI"/>
        <family val="2"/>
        <charset val="134"/>
      </rPr>
      <t>⾷</t>
    </r>
    <r>
      <rPr>
        <sz val="12"/>
        <rFont val="ＭＳ Ｐゴシック"/>
        <family val="2"/>
        <charset val="128"/>
        <scheme val="minor"/>
      </rPr>
      <t>・栄養分野でのデータ利活</t>
    </r>
    <r>
      <rPr>
        <sz val="12"/>
        <rFont val="Microsoft JhengHei UI"/>
        <family val="2"/>
        <charset val="134"/>
      </rPr>
      <t>⽤</t>
    </r>
    <r>
      <rPr>
        <sz val="12"/>
        <rFont val="ＭＳ Ｐゴシック"/>
        <family val="2"/>
        <charset val="128"/>
        <scheme val="minor"/>
      </rPr>
      <t>を組み合わせて
新たな価値を創出できることを理解する。
・AIやデータサイエンスの技術やツールは、各分野の問題解決に万能なものではなく、その活</t>
    </r>
    <r>
      <rPr>
        <sz val="12"/>
        <rFont val="Microsoft JhengHei UI"/>
        <family val="2"/>
        <charset val="134"/>
      </rPr>
      <t>⽤</t>
    </r>
    <r>
      <rPr>
        <sz val="12"/>
        <rFont val="ＭＳ Ｐゴシック"/>
        <family val="2"/>
        <charset val="128"/>
        <scheme val="minor"/>
      </rPr>
      <t>に当たっての様々な留意事項（ELSI、個</t>
    </r>
    <r>
      <rPr>
        <sz val="12"/>
        <rFont val="Microsoft JhengHei UI"/>
        <family val="2"/>
        <charset val="134"/>
      </rPr>
      <t>⼈</t>
    </r>
    <r>
      <rPr>
        <sz val="12"/>
        <rFont val="ＭＳ Ｐゴシック"/>
        <family val="2"/>
        <charset val="128"/>
        <scheme val="minor"/>
      </rPr>
      <t>情報、データ倫理、ＡＩ社会原則等）を考慮することが重要であることを理解する。
・社会での実データを</t>
    </r>
    <r>
      <rPr>
        <sz val="12"/>
        <rFont val="Microsoft JhengHei UI"/>
        <family val="2"/>
        <charset val="134"/>
      </rPr>
      <t>⽤</t>
    </r>
    <r>
      <rPr>
        <sz val="12"/>
        <rFont val="ＭＳ Ｐゴシック"/>
        <family val="2"/>
        <charset val="128"/>
        <scheme val="minor"/>
      </rPr>
      <t>いた演習を経験することにより、データサイエンスの基本的な活</t>
    </r>
    <r>
      <rPr>
        <sz val="12"/>
        <rFont val="Microsoft JhengHei UI"/>
        <family val="2"/>
        <charset val="134"/>
      </rPr>
      <t>⽤</t>
    </r>
    <r>
      <rPr>
        <sz val="12"/>
        <rFont val="ＭＳ Ｐゴシック"/>
        <family val="2"/>
        <charset val="128"/>
        <scheme val="minor"/>
      </rPr>
      <t>法（データを読む、　説明する、扱う）を理解し活</t>
    </r>
    <r>
      <rPr>
        <sz val="12"/>
        <rFont val="Microsoft JhengHei UI"/>
        <family val="2"/>
        <charset val="134"/>
      </rPr>
      <t>⽤</t>
    </r>
    <r>
      <rPr>
        <sz val="12"/>
        <rFont val="ＭＳ Ｐゴシック"/>
        <family val="2"/>
        <charset val="128"/>
        <scheme val="minor"/>
      </rPr>
      <t>できる。
・統計学の考え</t>
    </r>
    <r>
      <rPr>
        <sz val="12"/>
        <rFont val="Microsoft JhengHei UI"/>
        <family val="2"/>
        <charset val="134"/>
      </rPr>
      <t>⽅</t>
    </r>
    <r>
      <rPr>
        <sz val="12"/>
        <rFont val="ＭＳ Ｐゴシック"/>
        <family val="2"/>
        <charset val="128"/>
        <scheme val="minor"/>
      </rPr>
      <t>を通して、効果的な分析を</t>
    </r>
    <r>
      <rPr>
        <sz val="12"/>
        <rFont val="Microsoft JhengHei UI"/>
        <family val="2"/>
        <charset val="134"/>
      </rPr>
      <t>⾏</t>
    </r>
    <r>
      <rPr>
        <sz val="12"/>
        <rFont val="ＭＳ Ｐゴシック"/>
        <family val="2"/>
        <charset val="128"/>
        <scheme val="minor"/>
      </rPr>
      <t>うためのデータの収集からデータの整理や分析を</t>
    </r>
    <r>
      <rPr>
        <sz val="12"/>
        <rFont val="Microsoft JhengHei UI"/>
        <family val="2"/>
        <charset val="134"/>
      </rPr>
      <t>⾏</t>
    </r>
    <r>
      <rPr>
        <sz val="12"/>
        <rFont val="ＭＳ Ｐゴシック"/>
        <family val="2"/>
        <charset val="128"/>
        <scheme val="minor"/>
      </rPr>
      <t>うことができる。
・データの基本統計量や</t>
    </r>
    <r>
      <rPr>
        <sz val="12"/>
        <rFont val="Microsoft JhengHei UI"/>
        <family val="2"/>
        <charset val="134"/>
      </rPr>
      <t>⾒</t>
    </r>
    <r>
      <rPr>
        <sz val="12"/>
        <rFont val="ＭＳ Ｐゴシック"/>
        <family val="2"/>
        <charset val="128"/>
        <scheme val="minor"/>
      </rPr>
      <t>える化からデータの特徴を</t>
    </r>
    <r>
      <rPr>
        <sz val="12"/>
        <rFont val="Microsoft JhengHei UI"/>
        <family val="2"/>
        <charset val="134"/>
      </rPr>
      <t>⾒</t>
    </r>
    <r>
      <rPr>
        <sz val="12"/>
        <rFont val="ＭＳ Ｐゴシック"/>
        <family val="2"/>
        <charset val="128"/>
        <scheme val="minor"/>
      </rPr>
      <t>出すことができる。
・データ間の関係を、相関・回帰分析で</t>
    </r>
    <r>
      <rPr>
        <sz val="12"/>
        <rFont val="Microsoft JhengHei UI"/>
        <family val="2"/>
        <charset val="134"/>
      </rPr>
      <t>⾒</t>
    </r>
    <r>
      <rPr>
        <sz val="12"/>
        <rFont val="ＭＳ Ｐゴシック"/>
        <family val="2"/>
        <charset val="128"/>
        <scheme val="minor"/>
      </rPr>
      <t>出すことができる。
・データの信頼性や変数間の関係を検定することができる。</t>
    </r>
    <phoneticPr fontId="1"/>
  </si>
  <si>
    <t>栄養学のデータサイエンス</t>
    <rPh sb="0" eb="3">
      <t>エイヨウガク</t>
    </rPh>
    <phoneticPr fontId="1"/>
  </si>
  <si>
    <t>4‐7データハンドリング</t>
  </si>
  <si>
    <t>4-1統計および数理基礎</t>
  </si>
  <si>
    <t>https://www.human.ac.jp/cm/ai_data.html</t>
    <phoneticPr fontId="1"/>
  </si>
  <si>
    <t>https://www.human.ac.jp/cm/pdf/jikotenken.pdf?1626440198708</t>
    <phoneticPr fontId="1"/>
  </si>
  <si>
    <t>１．AIデータ活用リテラシー、コンピュータ入門、情報処理演習、統計学によるAI・データ活用リテラシープログラムを構成した。その際に、既存の同科目群の受講生の状況を把握・分析することなどから情報リテラシー科目と本学で位置付けられていた科目群の、受講生による「授業評価アンケート調査」を、本教育プログラムでも実施し、教育改善を行うことで教育の質向上を図り、履修者数・履修率の向上を年度ごとに確認していく。
２．本学では、教育の質向上の観点から、FD・SD研修会を実施しているが、AI・データ活用リテラシー教育において、教員のAI・データ活用リテラシー教育に対する啓蒙活動が必要であると考えており、特に本学の「健康・食」の領域のAI・データサイエンスの将来像の検証は不可欠である。このFD・SD研修の主要素として、教育手法とともに、履修者数・履修率の向上があげられている。将来像の検証と履修者数・履修率の向上を両輪としてとらえ、年間計画を実施することとなっている。
３．本プログラムの普及において、AI・データ活用リテラシー教育の自己点検を実施する。学生目線の教育を実践するため、上記１）２）と併せてPDCAサイクルを年度ごとに実施する。その内容を簡潔にまとめ、学生にも本学LMS（＠ｍｙキャンパス）上に公開し、本教育プログラムの学修成果と、将来像のマッチングを可視化していく。その結果、学生目線の教育の実践が可能となると考えている。
　　　　　　　　　　　　　　　　　　　　　　　　　　　　　　　　　　</t>
    <rPh sb="7" eb="9">
      <t>カツヨウ</t>
    </rPh>
    <phoneticPr fontId="1"/>
  </si>
  <si>
    <t>本教育プログラムの特色は、
１．全学共通の科目として位置づけられているため、各科目の構成及びコマ割り、科目概要等は同一となっている。
２．しかし、人材養成の観点からみた場合、
   ①保健医療学部は、看護師、理学療法士、義肢装具士といった医療人養成を主に行っている。
   ②人間科学部は、管理栄養士、食ビジネスの専門職（栄養士）といった食・栄養・健康の
      専門職の養成を行っている。そのため、に学部ごとの専門性と、将来に進路を考慮し、 学部ごとに学生の好奇心＝学ぶことの意義を促すため、実際のAI・データの実例や 企業の実データの活用は各学部の養成する人材に適した授業内容となっている。　　　　　　　　　　</t>
    <phoneticPr fontId="1"/>
  </si>
  <si>
    <t>１．本教育プログラムの受講については、毎年度学生に配布される「学生便覧」とともに同プログラム「受講の手引き」を配布し、ガイダンス等で周知するとともに、大学HP等でも周知する予定である。
２．シラバス上には、授業科目ごとの授業概要（目的・ねらい）、一般目標（GIO)、行動目標・到達目標（SBOｓ）、 授業準備（予習・復習）、評価方法などが具体的に示されている。また教員からのアドバイスも記載されている。
３．コマごとには、授業のテーマ、授業内容、キーワード、担当教員が配され学生にわかりやすい学修内容が示されている。
４．学科ごとの履修系統図（カリキュラムマップ）を示し、授業科目と到達目標との関連性、各学年で学修する科目と項目が示されており、学習成果と授業科目との整合性を確認することができるようになっている。
５．本教育プログラムの学修目標を達成できるような学修サポートしては、各科目の担当教員とワーキンググループ教員との連携による授業時間内外での教育指導、本学LMS（＠ｍｙキャンパス）を利用した質問への対応、全学に整備されたICT環境を利用し学外の教育資源（企業との連携による実データの提供など）の活用などを整備していく。</t>
    <phoneticPr fontId="1"/>
  </si>
  <si>
    <t xml:space="preserve">１．同教育プログラムの授業について、本学＠ｍｙキャンパス（LMS）上に、動画、画像資料等をアーカイブとして蓄積し、全学の学生がいつでも授業の内容を視聴可能な環境を整備している。また、学生の学習環境への配慮として、本学LMS（UHAS@Myキャンパス）と動画ストリーミングサーバーとを連携させ、多くの学生が、PC・タブレット・スマホなど、多様なメディアを利用して、いつでも講義を受講できるシステムも構築されている。
２．本学では、科目担当教員とともに、全学科において、各学年ともに担任制を敷き、学修サポートを徹底させている。各学年の担任は、学修サポートから、学修環境のサポート、さらには生活上でのサポートと、多様な学生一人一人に対してのサポート体制を整備しているが、この担任制とワーキンググループの連携、および本教育プログラムのFD・SD活動を通じて、できる限り多くの学生が履修・修得できるような学修支援を行う予定である。　　　　　　　　　　　　
</t>
    <phoneticPr fontId="1"/>
  </si>
  <si>
    <t xml:space="preserve">本学では、自己点検・評価体制を推進する学内組織として「自己点検・評価委員会」および「FD・SD委員会」が設置されている。また多様な学内データ（入学前、授業評価、授業改善、教育満足度、卒業後の振り返りなど）を収集・分析し、教育手法、教育内容等の改善施策を立案、施策の実行・検証を行う「IR室」を「教学マネジメント戦略実行会議」の下部におき、学長のリーダーシップの基、学生支援、教育の質の向上のための全学的な施策を計画してきた。　　　　　　　　　　　　　　　　　　　　　　　　　　　　　　　　　　　　　　　　　　　　　　　　　　　　　　　その組織的な取り組みを、本教育プログラムの中でも採用、実施していく
１．本教育プログラムの各教員へのFD研修、職員へのSD研修
２．学生による授業評価アンケートの実施
３．教員相互による授業参観の実施
４．本教育プログラムの履修・修得状況を不断にチェックし、授業評価アンケートの結果とともに、各担当教員の授業改善提案書の提出の義務化
５．ワーキンググループ長からの、本教育プログラムの「自己点検・評価報告書」の提出の義務化など、重要な柱となるいくつかの活動を計画的に実施していく。
６．この自己点検・自己評価の概要は、HP等で公開していく予定である。
</t>
    <phoneticPr fontId="1"/>
  </si>
  <si>
    <t>１．本学では、通常の4段階の成績評価とともに、GPA（Grade Point Average）制度を導入している。GPAでは、学習内容をどのくらい身につけたかということを、個々の学生の成績を数値化し、その数値を可視化することで、学生への学習指導に活用するだけでなく、学生自らの履修管理に役立てている。
２．本学のカリキュラムは、健康、医療、保健、福祉、食・栄養の専門職を育成するプログラムが主となっている。本教育プログラムの科目間と、主となるカリキュラムの科目間の評価の平準化を図り、その数値の可視化することで、学生の学修意欲の向上、本プログラムへの参加の意味を理解することができるものと考える。本学では、全学的なGPAの採用に伴い、本教育プログラムでもGPA制度を導入し、学修成果（成績）の平準化と可視化を実施する。
３．本学では、LMS（@Myキャンパス）上で、GPAの推移を経年的に視覚化し、学修履歴の可視化を実施していく。国際的な成績評価基準となっているGPAを採用することで、卒業後の就職、大学院進学、あるいは留学の際に活用できると考える。</t>
    <phoneticPr fontId="1"/>
  </si>
  <si>
    <t>本学では、学生による授業評価アンケートを毎年実施している。授業評価アンケートは、IR室で分析・総括し、
個々の授業改善のための基礎資料であり、教育評価の基礎資料として活用している。
１．集計結果は、それぞれの授業の担当教員にフィードバックするとともに、必要に応じて教育指導をし、授業改善の提案を義務付けている。
２．その改善提案書に基づき、毎年度、初回の授業において、教員が学生に対して改善点を報告するなど、学生へのフィードバックをする。併せて科目ごとの集計結果をLMS(@Myキャンパス)上で閲覧することが可能であり、学生目線の授業改善に全学で取り組んでいる。
３．本教育プログラムでも、本学の授業評価アンケート制度を活用、授業改善内容及び学生の学修履歴に可視化をし、学生・教員の本プログラムの理解度を深める。
４．また授業評価アンケートの概要は、HP（アンケートの各質問項目に関して、学科・専攻ごとに全体の集計結果を記載）で公開し、学外の関係者の方には本学の教育活動の一端をご理解頂く一端としている。　　　　　　　　　　　　　　　　　　　</t>
    <phoneticPr fontId="1"/>
  </si>
  <si>
    <t xml:space="preserve">本教育プログラムは、保健医療学部（医療人養成）、人間科学部（通学／食・栄養の専門職）の専門性を考慮し、学部ごとにシラバスの内容を、例えばAI・データ活用の実例解説や、実データの選択など専門領域別にし、学生の学修意欲の向上を図る工夫をしている。
</t>
    <phoneticPr fontId="1"/>
  </si>
  <si>
    <t>１．本学はかつ、さいたま市、蓮田市　さいたま市商工会議所、蓮田市商工会　蓮田市教育委員会などの産業界、自治体、教育委員会との包括連携協定を締結し、年度ごとに「カリキュラム」「教育手法・内容」等の検証を毎年度行ってきた。
２．本教育プログラムにおいても、同様の検証作業を実施し、産業界、自治体、教育委員会年度ごとに「カリキュラム」「教育手法・内容」等の意見聴取、改善提案などを受け入れ、教育手法・教育内容、教育効果、シラバス等の記載内容の改善など、本教育プログラムの教育の質の向上に努める。
３．すでに実施されている卒業時、卒業後に実施される学生アンケートを利用し、本教育プログラムの修了者の満足度、進路状況、進路先（就職先等）での本プログラムの目的であるリテラシー教育の活用状況などを調査・分析する。
４．さらに学生の就職先企業等における、本教育プログラム履修者の活躍状況を、「仕事」の面から評価してもらうシステムを構築する。　　　　　　　　　　　　　　　　　　　　　　　　　　　　　　　　　　　　　　　　　　　　　　　　　　　</t>
    <phoneticPr fontId="1"/>
  </si>
  <si>
    <t>１．本学は、地元産業界である、さいたま市商工会議所、蓮田市商工会との包括連携協定を締結し、年度ごとに「カリキュラム」「教育手法・内容」等の検証を毎年度行ってきた。　そこでさいたま市商工会議所、蓮田市商工会に参画している企業群に対しアンケート調査を実施し、本教育プログラムの授業内容、教育手法についてヒアリングし意見を収集し、本教育プログラムの改善を行う。
２．企業向けの教育・研修・学習デジタルサービスを行う企業や、教育機関として本学と連携しているコンソーシアム、数理関連の教育・検定を行っている機関からも、今後、本教育プログラムの授業内容、教育手法について意見を聴取する予定である。
３．食産業界、データサイエンス人材養成機関からも、本教育プログラムを構築した実務家教員を通して意見を聴取し、本教育プログラムの改善を行う。</t>
    <phoneticPr fontId="1"/>
  </si>
  <si>
    <r>
      <t>１．シラバスに記載されているように、各科目ともに【デジタル社会における「読み・書き・そろばん」に相当する「AI・データ活</t>
    </r>
    <r>
      <rPr>
        <sz val="12"/>
        <rFont val="Microsoft JhengHei UI"/>
        <family val="3"/>
        <charset val="134"/>
      </rPr>
      <t>⽤</t>
    </r>
    <r>
      <rPr>
        <sz val="12"/>
        <rFont val="ＭＳ Ｐゴシック"/>
        <family val="3"/>
        <charset val="128"/>
        <scheme val="minor"/>
      </rPr>
      <t>」の基礎知識と実社会での活</t>
    </r>
    <r>
      <rPr>
        <sz val="12"/>
        <rFont val="Microsoft JhengHei UI"/>
        <family val="3"/>
        <charset val="134"/>
      </rPr>
      <t>⽤</t>
    </r>
    <r>
      <rPr>
        <sz val="12"/>
        <rFont val="ＭＳ Ｐゴシック"/>
        <family val="3"/>
        <charset val="128"/>
        <scheme val="minor"/>
      </rPr>
      <t>事例を学ぶAI・データサイエンスのリテラーシー科</t>
    </r>
    <r>
      <rPr>
        <sz val="12"/>
        <rFont val="Microsoft JhengHei UI"/>
        <family val="3"/>
        <charset val="134"/>
      </rPr>
      <t>⽬</t>
    </r>
    <r>
      <rPr>
        <sz val="12"/>
        <rFont val="ＭＳ Ｐゴシック"/>
        <family val="3"/>
        <charset val="128"/>
        <scheme val="minor"/>
      </rPr>
      <t>です】とあり、本教育プログラムの組み立ての基本は、学ぶ学生の興味・関心＝楽しさを喚起するという意味から、実社会での実例を、豊富な動画・画像を通じて視覚的に解説し、その中で「AI・データサイエンスがいかに身近な生活・仕事に直結すしているか」の理解を訴求する。
２．本学では、保健医療学部で看護師、理学療法士、義肢装具士といった医療人養成を行い、人間科学部の通学課程では、管理栄養士、食ビジネスの専門職（栄養士）を養成している。このように学部ごとの専門性と、将来に進路を考慮し、学部ごとに学生の好奇心＝学ぶことの意義を促すための授業内容となっている。特に、AI・データ活用の実例には、医療関係、食・栄養関係の実例を豊富に蓄積している。また実データの選択、実データを使った演習なども専門領域に沿った企業データを活用し、学生の学修意欲の向上を図る。</t>
    </r>
    <phoneticPr fontId="1"/>
  </si>
  <si>
    <t>健康・栄養AIデータサイエンスワーキンググループにて、本学のIR室室の分析した学生アンケート（授業評価アンケート、卒業時・卒業後の授業満足度アンケートなど）の結果から、
①教育手法、授業コンテンツ作りなどのわかりやすさを追求していく
②さいたま市商工会議所、蓮田市商工会、また連携する企業に意見を参考に、学生の「わかりやすさ」を観点に、AI・データ活用リテラシー教育が、学生に「どう伝わるか」「どう印象に残るか」「どう成果に結びつきか」「どうキャリア形成に役立つか」といった学生目線の教育について見直し、新たな視点の教育手法、授業内容を検討している。</t>
    <phoneticPr fontId="1"/>
  </si>
  <si>
    <t>１．受講生に対する授業アンケートにおいて本学の「AI・データ活用リテラシープログラム」の満足度調査も行う予定だが、その中に「後輩学生や他の学生へ推奨するかどうか」について確認する。
２．また、HP上、本教育プログラムのページにおいて、学生の受講の感想、要望等、意見等も掲示し、講義受講を推進するために役立てる。
３．授業の中では、対面であれ、オンラインであれ、ディスカッションを行うことになっているが、その際にも学生の理解度を図るとともに、他の学生へ推奨したいかどうかといったヒアリングを実施することとなっている。</t>
    <phoneticPr fontId="1"/>
  </si>
  <si>
    <t>過去50年間に渡るAI開発の俯瞰（第１次AIブームから第3次AIブームによる社会変化）と現在進行中の社会変化（第４次産業革命、Society 5.0、データ駆動型社会等）を紹介し、シンギュラリティ時代の人間の役割について考察とレポートを課しています。（2回）</t>
    <rPh sb="27" eb="28">
      <t>ダイ</t>
    </rPh>
    <rPh sb="29" eb="30">
      <t>ジ</t>
    </rPh>
    <rPh sb="44" eb="49">
      <t>ゲンザイシンコウチュウ</t>
    </rPh>
    <rPh sb="86" eb="88">
      <t>ショウカイ</t>
    </rPh>
    <rPh sb="98" eb="100">
      <t>ジダイ</t>
    </rPh>
    <rPh sb="101" eb="103">
      <t>ニンゲン</t>
    </rPh>
    <rPh sb="104" eb="106">
      <t>ヤクワリ</t>
    </rPh>
    <rPh sb="110" eb="112">
      <t>コウサツ</t>
    </rPh>
    <rPh sb="118" eb="119">
      <t>カ</t>
    </rPh>
    <rPh sb="127" eb="128">
      <t>カイ</t>
    </rPh>
    <phoneticPr fontId="1"/>
  </si>
  <si>
    <t>上記の各AIブームでの技術を活用したAIの紹介や、シンギュライリティ時代に向けてのAI技術の可能性について紹介し、各自の生活や仕事に関する考察とレポートを課している。（1回）</t>
    <rPh sb="0" eb="2">
      <t>ジョウキ</t>
    </rPh>
    <rPh sb="3" eb="4">
      <t>カク</t>
    </rPh>
    <rPh sb="11" eb="13">
      <t>ギジュツ</t>
    </rPh>
    <rPh sb="14" eb="16">
      <t>カツヨウ</t>
    </rPh>
    <rPh sb="21" eb="23">
      <t>ショウカイ</t>
    </rPh>
    <rPh sb="34" eb="36">
      <t>ジダイ</t>
    </rPh>
    <rPh sb="37" eb="38">
      <t>ム</t>
    </rPh>
    <rPh sb="43" eb="45">
      <t>ギジュツ</t>
    </rPh>
    <rPh sb="46" eb="49">
      <t>カノウセイ</t>
    </rPh>
    <rPh sb="53" eb="55">
      <t>ショウカイ</t>
    </rPh>
    <rPh sb="57" eb="59">
      <t>カクジ</t>
    </rPh>
    <rPh sb="60" eb="62">
      <t>セイカツ</t>
    </rPh>
    <rPh sb="63" eb="65">
      <t>シゴト</t>
    </rPh>
    <rPh sb="66" eb="67">
      <t>カン</t>
    </rPh>
    <rPh sb="69" eb="71">
      <t>コウサツ</t>
    </rPh>
    <rPh sb="77" eb="78">
      <t>カ</t>
    </rPh>
    <rPh sb="85" eb="86">
      <t>カイ</t>
    </rPh>
    <phoneticPr fontId="1"/>
  </si>
  <si>
    <r>
      <t>本学各学部の特徴である「食と健康」と「保健医療とリハビリテーション」に合わせて、「栄養管理分野」「</t>
    </r>
    <r>
      <rPr>
        <sz val="12"/>
        <rFont val="Microsoft JhengHei UI"/>
        <family val="2"/>
        <charset val="134"/>
      </rPr>
      <t>⾷</t>
    </r>
    <r>
      <rPr>
        <sz val="12"/>
        <rFont val="ＭＳ Ｐゴシック"/>
        <family val="2"/>
        <charset val="128"/>
        <scheme val="minor"/>
      </rPr>
      <t>産業と</t>
    </r>
    <r>
      <rPr>
        <sz val="12"/>
        <rFont val="Microsoft JhengHei UI"/>
        <family val="2"/>
        <charset val="134"/>
      </rPr>
      <t>⾷</t>
    </r>
    <r>
      <rPr>
        <sz val="12"/>
        <rFont val="ＭＳ Ｐゴシック"/>
        <family val="2"/>
        <charset val="128"/>
        <scheme val="minor"/>
      </rPr>
      <t>品開発分野」「福祉・スポーツ分野」「医療・看護分野」「介護・リハビリテーション分野」「義肢・装具分野」などにおけるAIとデータサイエンス活用事例を紹介し、考察とレポートを課しています。（5回）</t>
    </r>
    <rPh sb="148" eb="149">
      <t>カイ</t>
    </rPh>
    <phoneticPr fontId="1"/>
  </si>
  <si>
    <t>上記の各分野で活用されているAIやデータサイエンス事例を別の分野への転用に関して考察を促し、学際的なAIやデータサイエンス有用性や活用への考察とレポートを課している。（5回）</t>
    <rPh sb="0" eb="2">
      <t>ジョウキ</t>
    </rPh>
    <rPh sb="3" eb="6">
      <t>カクブンヤ</t>
    </rPh>
    <rPh sb="7" eb="9">
      <t>カツヨウ</t>
    </rPh>
    <rPh sb="25" eb="27">
      <t>ジレイ</t>
    </rPh>
    <rPh sb="28" eb="29">
      <t>ベツ</t>
    </rPh>
    <rPh sb="30" eb="32">
      <t>ブンヤ</t>
    </rPh>
    <rPh sb="34" eb="36">
      <t>テンヨウ</t>
    </rPh>
    <rPh sb="37" eb="38">
      <t>カン</t>
    </rPh>
    <rPh sb="40" eb="42">
      <t>コウサツ</t>
    </rPh>
    <rPh sb="43" eb="44">
      <t>ウナガ</t>
    </rPh>
    <rPh sb="46" eb="49">
      <t>ガクサイテキ</t>
    </rPh>
    <rPh sb="61" eb="64">
      <t>ユウヨウセイ</t>
    </rPh>
    <rPh sb="65" eb="67">
      <t>カツヨウ</t>
    </rPh>
    <rPh sb="69" eb="71">
      <t>コウサツ</t>
    </rPh>
    <rPh sb="77" eb="78">
      <t>カ</t>
    </rPh>
    <rPh sb="85" eb="86">
      <t>カイ</t>
    </rPh>
    <phoneticPr fontId="1"/>
  </si>
  <si>
    <r>
      <t>上記1－2で示した、「栄養管理分野」「</t>
    </r>
    <r>
      <rPr>
        <sz val="12"/>
        <rFont val="Microsoft JhengHei UI"/>
        <family val="2"/>
        <charset val="134"/>
      </rPr>
      <t>⾷</t>
    </r>
    <r>
      <rPr>
        <sz val="12"/>
        <rFont val="ＭＳ Ｐゴシック"/>
        <family val="2"/>
        <charset val="128"/>
        <scheme val="minor"/>
      </rPr>
      <t>産業と</t>
    </r>
    <r>
      <rPr>
        <sz val="12"/>
        <rFont val="Microsoft JhengHei UI"/>
        <family val="2"/>
        <charset val="134"/>
      </rPr>
      <t>⾷</t>
    </r>
    <r>
      <rPr>
        <sz val="12"/>
        <rFont val="ＭＳ Ｐゴシック"/>
        <family val="2"/>
        <charset val="128"/>
        <scheme val="minor"/>
      </rPr>
      <t>品開発分野」「福祉・スポーツ分野」「医療・看護分野」「介護・リハビリテーション分野」「義肢・装具分野」などにおけるAIとデータサイエンス活用事例の紹介に併せて、どのようなAIやデータサイエンス技術が使われているのかを紹介し、これらの技術への考察とレポートを課しています。（5回）</t>
    </r>
    <rPh sb="0" eb="2">
      <t>ジョウキ</t>
    </rPh>
    <rPh sb="6" eb="7">
      <t>シメ</t>
    </rPh>
    <rPh sb="100" eb="101">
      <t>アワ</t>
    </rPh>
    <rPh sb="120" eb="122">
      <t>ギジュツ</t>
    </rPh>
    <rPh sb="123" eb="124">
      <t>ツカ</t>
    </rPh>
    <rPh sb="132" eb="134">
      <t>ショウカイ</t>
    </rPh>
    <rPh sb="140" eb="142">
      <t>ギジュツ</t>
    </rPh>
    <rPh sb="161" eb="162">
      <t>カイ</t>
    </rPh>
    <phoneticPr fontId="1"/>
  </si>
  <si>
    <t>上記の各分野で活用されているAIやデータサイエンス技術を別の分野での活用に関して考察を促し、学際的なAIやデータサイエンス有用性や活用への考察とレポートを課している。なおシンギュライリティ時代には、様々な分野で活用されているAIやデータサイエンス技術が統合され活用されることを踏まえて、シンギュライリティ時代での活用技術についての考察とレポートを課している。（5回）</t>
    <rPh sb="0" eb="2">
      <t>ジョウキ</t>
    </rPh>
    <rPh sb="3" eb="6">
      <t>カクブンヤ</t>
    </rPh>
    <rPh sb="7" eb="9">
      <t>カツヨウ</t>
    </rPh>
    <rPh sb="25" eb="27">
      <t>ギジュツ</t>
    </rPh>
    <rPh sb="28" eb="29">
      <t>ベツ</t>
    </rPh>
    <rPh sb="30" eb="32">
      <t>ブンヤ</t>
    </rPh>
    <rPh sb="34" eb="36">
      <t>カツヨウ</t>
    </rPh>
    <rPh sb="37" eb="38">
      <t>カン</t>
    </rPh>
    <rPh sb="40" eb="42">
      <t>コウサツ</t>
    </rPh>
    <rPh sb="43" eb="44">
      <t>ウナガ</t>
    </rPh>
    <rPh sb="46" eb="49">
      <t>ガクサイテキ</t>
    </rPh>
    <rPh sb="61" eb="64">
      <t>ユウヨウセイ</t>
    </rPh>
    <rPh sb="65" eb="67">
      <t>カツヨウ</t>
    </rPh>
    <rPh sb="69" eb="71">
      <t>コウサツ</t>
    </rPh>
    <rPh sb="77" eb="78">
      <t>カ</t>
    </rPh>
    <rPh sb="94" eb="96">
      <t>ジダイ</t>
    </rPh>
    <rPh sb="99" eb="101">
      <t>サマザマ</t>
    </rPh>
    <rPh sb="102" eb="104">
      <t>ブンヤ</t>
    </rPh>
    <rPh sb="181" eb="182">
      <t>カイ</t>
    </rPh>
    <phoneticPr fontId="1"/>
  </si>
  <si>
    <t>AIやデータ分析の基礎である統計分析の基本への理解を基に、統計分析の範囲や限界への考察を促し、AIやデータ分析で起こりうる判断や間違いについて考察とレポートを課している。なお、これらの考察にはクラスでのグループディスカッションを重視している。（1回）</t>
    <rPh sb="6" eb="8">
      <t>ブンセキ</t>
    </rPh>
    <rPh sb="9" eb="11">
      <t>キソ</t>
    </rPh>
    <rPh sb="14" eb="16">
      <t>トウケイ</t>
    </rPh>
    <rPh sb="16" eb="18">
      <t>ブンセキ</t>
    </rPh>
    <rPh sb="19" eb="21">
      <t>キホン</t>
    </rPh>
    <rPh sb="23" eb="25">
      <t>リカイ</t>
    </rPh>
    <rPh sb="26" eb="27">
      <t>モト</t>
    </rPh>
    <rPh sb="29" eb="33">
      <t>トウケイブンセキ</t>
    </rPh>
    <rPh sb="34" eb="36">
      <t>ハンイ</t>
    </rPh>
    <rPh sb="37" eb="39">
      <t>ゲンカイ</t>
    </rPh>
    <rPh sb="41" eb="43">
      <t>コウサツ</t>
    </rPh>
    <rPh sb="44" eb="45">
      <t>ウナガ</t>
    </rPh>
    <rPh sb="53" eb="55">
      <t>ブンセキ</t>
    </rPh>
    <rPh sb="56" eb="57">
      <t>オ</t>
    </rPh>
    <rPh sb="61" eb="63">
      <t>ハンダン</t>
    </rPh>
    <rPh sb="64" eb="66">
      <t>マチガ</t>
    </rPh>
    <rPh sb="71" eb="73">
      <t>コウサツ</t>
    </rPh>
    <rPh sb="79" eb="80">
      <t>カ</t>
    </rPh>
    <rPh sb="92" eb="94">
      <t>コウサツ</t>
    </rPh>
    <rPh sb="114" eb="116">
      <t>ジュウシ</t>
    </rPh>
    <rPh sb="123" eb="124">
      <t>カイ</t>
    </rPh>
    <phoneticPr fontId="1"/>
  </si>
  <si>
    <t>個人情報やデータ倫理、ネット活用の危険性などについて紹介し、データ活用の留意点についての考察よレポートを課している。なお、これらの考察にはクラスでのグループディスカッションを重視している。（1回）</t>
    <rPh sb="0" eb="4">
      <t>コジンジョウホウ</t>
    </rPh>
    <rPh sb="8" eb="10">
      <t>リンリ</t>
    </rPh>
    <rPh sb="14" eb="16">
      <t>カツヨウ</t>
    </rPh>
    <rPh sb="17" eb="20">
      <t>キケンセイ</t>
    </rPh>
    <rPh sb="26" eb="28">
      <t>ショウカイ</t>
    </rPh>
    <rPh sb="33" eb="35">
      <t>カツヨウ</t>
    </rPh>
    <rPh sb="36" eb="39">
      <t>リュウイテン</t>
    </rPh>
    <rPh sb="44" eb="46">
      <t>コウサツ</t>
    </rPh>
    <rPh sb="52" eb="53">
      <t>カ</t>
    </rPh>
    <rPh sb="96" eb="97">
      <t>カイ</t>
    </rPh>
    <phoneticPr fontId="1"/>
  </si>
  <si>
    <t>スーパーマーケット・データ（7000件の購買履歴と1000人分の顧客情報とアンケート）を用いて、データクレンジング（整理や統合）によるデータの見える化の演習を行っている。なお、この演習では、Excelによるデータクレンジング（ピボットテーブルやVLOOKUP関数などによる）とグラフ化の手法を習得する。（4回）</t>
    <rPh sb="18" eb="19">
      <t>ケン</t>
    </rPh>
    <rPh sb="20" eb="24">
      <t>コウバイリレキ</t>
    </rPh>
    <rPh sb="29" eb="31">
      <t>ニンブン</t>
    </rPh>
    <rPh sb="32" eb="36">
      <t>コキャクジョウホウ</t>
    </rPh>
    <rPh sb="44" eb="45">
      <t>モチ</t>
    </rPh>
    <rPh sb="58" eb="60">
      <t>セイリ</t>
    </rPh>
    <rPh sb="61" eb="63">
      <t>トウゴウ</t>
    </rPh>
    <rPh sb="71" eb="72">
      <t>ミ</t>
    </rPh>
    <rPh sb="74" eb="75">
      <t>カ</t>
    </rPh>
    <rPh sb="76" eb="78">
      <t>エンシュウ</t>
    </rPh>
    <rPh sb="79" eb="80">
      <t>オコナ</t>
    </rPh>
    <rPh sb="90" eb="92">
      <t>エンシュウ</t>
    </rPh>
    <rPh sb="129" eb="131">
      <t>カンスウ</t>
    </rPh>
    <rPh sb="141" eb="142">
      <t>カ</t>
    </rPh>
    <rPh sb="143" eb="145">
      <t>シュホウ</t>
    </rPh>
    <rPh sb="146" eb="148">
      <t>シュウトク</t>
    </rPh>
    <rPh sb="153" eb="154">
      <t>カイ</t>
    </rPh>
    <phoneticPr fontId="1"/>
  </si>
  <si>
    <t>上記データの見える化には、様々な観点からのアプローチが考えられることから、データの見える化には「どこに焦点を当て」「何を説明」しようとしているのかを考えることを重視している。また、各グループによる見える化の結果発表を通して、同じデータであっても焦点の合わせ方による見える化の方法が異なることを理解させている。（4回）</t>
    <rPh sb="0" eb="2">
      <t>ジョウキ</t>
    </rPh>
    <rPh sb="6" eb="7">
      <t>ミ</t>
    </rPh>
    <rPh sb="9" eb="10">
      <t>カ</t>
    </rPh>
    <rPh sb="13" eb="15">
      <t>サマザマ</t>
    </rPh>
    <rPh sb="16" eb="18">
      <t>カンテン</t>
    </rPh>
    <rPh sb="27" eb="28">
      <t>カンガ</t>
    </rPh>
    <rPh sb="41" eb="42">
      <t>ミ</t>
    </rPh>
    <rPh sb="44" eb="45">
      <t>カ</t>
    </rPh>
    <rPh sb="51" eb="53">
      <t>ショウテン</t>
    </rPh>
    <rPh sb="54" eb="55">
      <t>ア</t>
    </rPh>
    <rPh sb="58" eb="59">
      <t>ナニ</t>
    </rPh>
    <rPh sb="60" eb="62">
      <t>セツメイ</t>
    </rPh>
    <rPh sb="74" eb="75">
      <t>カンガ</t>
    </rPh>
    <rPh sb="80" eb="82">
      <t>ジュウシ</t>
    </rPh>
    <rPh sb="156" eb="157">
      <t>カイ</t>
    </rPh>
    <phoneticPr fontId="1"/>
  </si>
  <si>
    <t>上記スーパーマーケットデータの他に、健康診断データ（1万人分の健康診断データと各自へのアンケートを含む個人情報データ）による演習も行っている。このような異なるデータの扱いを通して、データの見える化や統計分析手法の活用についての実習を行っている。（4回）</t>
    <rPh sb="0" eb="2">
      <t>ジョウキ</t>
    </rPh>
    <rPh sb="15" eb="16">
      <t>ホカ</t>
    </rPh>
    <rPh sb="18" eb="22">
      <t>ケンコウシンダン</t>
    </rPh>
    <rPh sb="27" eb="29">
      <t>マンニン</t>
    </rPh>
    <rPh sb="29" eb="30">
      <t>ブン</t>
    </rPh>
    <rPh sb="31" eb="35">
      <t>ケンコウシンダン</t>
    </rPh>
    <rPh sb="39" eb="41">
      <t>カクジ</t>
    </rPh>
    <rPh sb="49" eb="50">
      <t>フク</t>
    </rPh>
    <rPh sb="51" eb="55">
      <t>コジンジョウホウ</t>
    </rPh>
    <rPh sb="62" eb="64">
      <t>エンシュウ</t>
    </rPh>
    <rPh sb="65" eb="66">
      <t>オコナ</t>
    </rPh>
    <rPh sb="76" eb="77">
      <t>コト</t>
    </rPh>
    <rPh sb="83" eb="84">
      <t>アツカ</t>
    </rPh>
    <rPh sb="86" eb="87">
      <t>トオ</t>
    </rPh>
    <rPh sb="94" eb="95">
      <t>ミ</t>
    </rPh>
    <rPh sb="97" eb="98">
      <t>カ</t>
    </rPh>
    <rPh sb="99" eb="103">
      <t>トウケイブンセキ</t>
    </rPh>
    <rPh sb="103" eb="105">
      <t>シュホウ</t>
    </rPh>
    <rPh sb="106" eb="108">
      <t>カツヨウ</t>
    </rPh>
    <rPh sb="113" eb="115">
      <t>ジッシュウ</t>
    </rPh>
    <rPh sb="116" eb="117">
      <t>オコナ</t>
    </rPh>
    <rPh sb="124" eb="125">
      <t>カイ</t>
    </rPh>
    <phoneticPr fontId="1"/>
  </si>
  <si>
    <t>様式２－1</t>
    <phoneticPr fontId="1"/>
  </si>
  <si>
    <r>
      <t>本学のディプロマポリシーに掲げてある「社会貢献に必要な、問題解決能力、チームワーク力、リーダーシップ能力、プレゼンテーション能力、AI・データサイエンス（リテラシーレベル）の基礎力」の要件目的に沿って、デジタル社会における「読み・書き・そろばん」に相当する「AI・データ活</t>
    </r>
    <r>
      <rPr>
        <sz val="12"/>
        <rFont val="Microsoft JhengHei UI"/>
        <family val="3"/>
        <charset val="134"/>
      </rPr>
      <t>⽤</t>
    </r>
    <r>
      <rPr>
        <sz val="12"/>
        <rFont val="ＭＳ Ｐゴシック"/>
        <family val="3"/>
        <charset val="128"/>
        <scheme val="minor"/>
      </rPr>
      <t>」の基礎知識と健康・ヘルスフード分野における実社会での活</t>
    </r>
    <r>
      <rPr>
        <sz val="12"/>
        <rFont val="Microsoft JhengHei UI"/>
        <family val="3"/>
        <charset val="134"/>
      </rPr>
      <t>⽤</t>
    </r>
    <r>
      <rPr>
        <sz val="12"/>
        <rFont val="ＭＳ Ｐゴシック"/>
        <family val="3"/>
        <charset val="128"/>
        <scheme val="minor"/>
      </rPr>
      <t>事例を習得するためのAI・データサイエンスのリテラシー必修科</t>
    </r>
    <r>
      <rPr>
        <sz val="12"/>
        <rFont val="Microsoft JhengHei UI"/>
        <family val="3"/>
        <charset val="134"/>
      </rPr>
      <t>⽬</t>
    </r>
    <r>
      <rPr>
        <sz val="12"/>
        <rFont val="ＭＳ Ｐゴシック"/>
        <family val="3"/>
        <charset val="128"/>
        <scheme val="minor"/>
      </rPr>
      <t>です。
この科目群の修了要件として、AI・データサイエンスの意義と基本的な知識や活</t>
    </r>
    <r>
      <rPr>
        <sz val="12"/>
        <rFont val="Microsoft JhengHei UI"/>
        <family val="3"/>
        <charset val="134"/>
      </rPr>
      <t>⽤</t>
    </r>
    <r>
      <rPr>
        <sz val="12"/>
        <rFont val="ＭＳ Ｐゴシック"/>
        <family val="3"/>
        <charset val="128"/>
        <scheme val="minor"/>
      </rPr>
      <t>法を理解し、データ活用の手法と統計的分析</t>
    </r>
    <r>
      <rPr>
        <sz val="12"/>
        <rFont val="Microsoft JhengHei UI"/>
        <family val="3"/>
        <charset val="134"/>
      </rPr>
      <t>⼿</t>
    </r>
    <r>
      <rPr>
        <sz val="12"/>
        <rFont val="ＭＳ Ｐゴシック"/>
        <family val="3"/>
        <charset val="128"/>
        <scheme val="minor"/>
      </rPr>
      <t>法について学びます。また以下のそれぞれの科目で、実社会におけるAI・データ活用の事例を紹介しデータ活用の重要性への理解を促し、データの収集・整理から「見える化」や統計的な分析</t>
    </r>
    <r>
      <rPr>
        <sz val="12"/>
        <rFont val="Microsoft JhengHei UI"/>
        <family val="3"/>
        <charset val="134"/>
      </rPr>
      <t>⼿</t>
    </r>
    <r>
      <rPr>
        <sz val="12"/>
        <rFont val="ＭＳ Ｐゴシック"/>
        <family val="3"/>
        <charset val="128"/>
        <scheme val="minor"/>
      </rPr>
      <t xml:space="preserve">法について習得します。
人間科学部の修了要件としては、プログラムを構成する「基礎科目群（下記１～３）」の全て（５単位）を取得すること。
基礎科目群：１．AI・データ活用リテラシー、２．コンピュータ入門、３．統計学　
</t>
    </r>
    <rPh sb="0" eb="2">
      <t>ホンガク</t>
    </rPh>
    <rPh sb="92" eb="94">
      <t>ヨウケン</t>
    </rPh>
    <rPh sb="169" eb="171">
      <t>シュウトク</t>
    </rPh>
    <rPh sb="193" eb="195">
      <t>ヒッシュウ</t>
    </rPh>
    <rPh sb="203" eb="206">
      <t>カモクグン</t>
    </rPh>
    <rPh sb="207" eb="209">
      <t>シュウリョウ</t>
    </rPh>
    <rPh sb="209" eb="211">
      <t>ヨウケン</t>
    </rPh>
    <rPh sb="248" eb="250">
      <t>カツヨウ</t>
    </rPh>
    <rPh sb="251" eb="253">
      <t>シュホウ</t>
    </rPh>
    <rPh sb="257" eb="259">
      <t>ブンセキ</t>
    </rPh>
    <rPh sb="272" eb="274">
      <t>イカ</t>
    </rPh>
    <rPh sb="280" eb="282">
      <t>カモク</t>
    </rPh>
    <rPh sb="297" eb="299">
      <t>カツヨウ</t>
    </rPh>
    <rPh sb="303" eb="305">
      <t>ショウカイ</t>
    </rPh>
    <rPh sb="312" eb="315">
      <t>ジュウヨウセイ</t>
    </rPh>
    <rPh sb="317" eb="319">
      <t>リカイ</t>
    </rPh>
    <rPh sb="320" eb="321">
      <t>ウナガ</t>
    </rPh>
    <rPh sb="335" eb="336">
      <t>ミ</t>
    </rPh>
    <rPh sb="338" eb="339">
      <t>カ</t>
    </rPh>
    <rPh sb="360" eb="364">
      <t>ニンゲンカガク</t>
    </rPh>
    <rPh sb="364" eb="365">
      <t>ブ</t>
    </rPh>
    <rPh sb="400" eb="401">
      <t>スベ</t>
    </rPh>
    <rPh sb="430" eb="432">
      <t>カツヨウ</t>
    </rPh>
    <rPh sb="446" eb="448">
      <t>ニュウモン</t>
    </rPh>
    <phoneticPr fontId="1"/>
  </si>
  <si>
    <t>コンピュータ入門</t>
    <phoneticPr fontId="1"/>
  </si>
  <si>
    <t>統計学</t>
    <phoneticPr fontId="1"/>
  </si>
  <si>
    <t>栄養学のマーケティング</t>
    <phoneticPr fontId="1"/>
  </si>
  <si>
    <t>様式２－２</t>
    <phoneticPr fontId="1"/>
  </si>
  <si>
    <t>情報処理演習</t>
    <phoneticPr fontId="1"/>
  </si>
  <si>
    <t>情報処理演習</t>
    <rPh sb="0" eb="2">
      <t>ジョウホウ</t>
    </rPh>
    <rPh sb="2" eb="6">
      <t>ショリエンシュウ</t>
    </rPh>
    <phoneticPr fontId="1"/>
  </si>
  <si>
    <t>基礎統計演習</t>
    <phoneticPr fontId="1"/>
  </si>
  <si>
    <t>①具体的な修了要件：保健医療学部</t>
    <rPh sb="10" eb="14">
      <t>ホケンイリョウ</t>
    </rPh>
    <rPh sb="14" eb="16">
      <t>ガクブ</t>
    </rPh>
    <phoneticPr fontId="1"/>
  </si>
  <si>
    <t>①具体的な修了要件：人間科学部</t>
    <rPh sb="10" eb="15">
      <t>ニンゲンカガクブ</t>
    </rPh>
    <phoneticPr fontId="1"/>
  </si>
  <si>
    <r>
      <t>本学のディプロマポリシーに掲げてある「社会貢献に必要な、問題解決能力、チームワーク力、リーダーシップ能力、プレゼンテーション能力、AI・データサイエンス（リテラシーレベル）の基礎力」の要件目的に沿って、デジタル社会における「読み・書き・そろばん」に相当する「AI・データ活</t>
    </r>
    <r>
      <rPr>
        <sz val="12"/>
        <rFont val="Microsoft JhengHei UI"/>
        <family val="3"/>
        <charset val="134"/>
      </rPr>
      <t>⽤</t>
    </r>
    <r>
      <rPr>
        <sz val="12"/>
        <rFont val="ＭＳ Ｐゴシック"/>
        <family val="3"/>
        <charset val="128"/>
        <scheme val="minor"/>
      </rPr>
      <t>」の基礎知識と健康・ヘルスフード分野における実社会での活</t>
    </r>
    <r>
      <rPr>
        <sz val="12"/>
        <rFont val="Microsoft JhengHei UI"/>
        <family val="3"/>
        <charset val="134"/>
      </rPr>
      <t>⽤</t>
    </r>
    <r>
      <rPr>
        <sz val="12"/>
        <rFont val="ＭＳ Ｐゴシック"/>
        <family val="3"/>
        <charset val="128"/>
        <scheme val="minor"/>
      </rPr>
      <t>事例を習得するためのAI・データサイエンスのリテラシー必修科</t>
    </r>
    <r>
      <rPr>
        <sz val="12"/>
        <rFont val="Microsoft JhengHei UI"/>
        <family val="3"/>
        <charset val="134"/>
      </rPr>
      <t>⽬</t>
    </r>
    <r>
      <rPr>
        <sz val="12"/>
        <rFont val="ＭＳ Ｐゴシック"/>
        <family val="3"/>
        <charset val="128"/>
        <scheme val="minor"/>
      </rPr>
      <t>です。
この科目群の修了要件として、AI・データサイエンスの意義と基本的な知識や活</t>
    </r>
    <r>
      <rPr>
        <sz val="12"/>
        <rFont val="Microsoft JhengHei UI"/>
        <family val="3"/>
        <charset val="134"/>
      </rPr>
      <t>⽤</t>
    </r>
    <r>
      <rPr>
        <sz val="12"/>
        <rFont val="ＭＳ Ｐゴシック"/>
        <family val="3"/>
        <charset val="128"/>
        <scheme val="minor"/>
      </rPr>
      <t>法を理解し、データ活用の手法と統計的分析</t>
    </r>
    <r>
      <rPr>
        <sz val="12"/>
        <rFont val="Microsoft JhengHei UI"/>
        <family val="3"/>
        <charset val="134"/>
      </rPr>
      <t>⼿</t>
    </r>
    <r>
      <rPr>
        <sz val="12"/>
        <rFont val="ＭＳ Ｐゴシック"/>
        <family val="3"/>
        <charset val="128"/>
        <scheme val="minor"/>
      </rPr>
      <t>法について学びます。また以下のそれぞれの科目で、実社会におけるAI・データ活用の事例を紹介しデータ活用の重要性への理解を促し、データの収集・整理から「見える化」や統計的な分析</t>
    </r>
    <r>
      <rPr>
        <sz val="12"/>
        <rFont val="Microsoft JhengHei UI"/>
        <family val="3"/>
        <charset val="134"/>
      </rPr>
      <t>⼿</t>
    </r>
    <r>
      <rPr>
        <sz val="12"/>
        <rFont val="ＭＳ Ｐゴシック"/>
        <family val="3"/>
        <charset val="128"/>
        <scheme val="minor"/>
      </rPr>
      <t xml:space="preserve">法について習得します。
保健医療学部の修了要件としては、プログラムを構成する「基礎科目群（下記１～３）」の全て（５単位）を取得すること。
基礎科目群：１．AI・データ活用リテラシー、２．情報処理演習、３．基礎統計演習　
</t>
    </r>
    <rPh sb="0" eb="2">
      <t>ホンガク</t>
    </rPh>
    <rPh sb="92" eb="94">
      <t>ヨウケン</t>
    </rPh>
    <rPh sb="169" eb="171">
      <t>シュウトク</t>
    </rPh>
    <rPh sb="193" eb="195">
      <t>ヒッシュウ</t>
    </rPh>
    <rPh sb="203" eb="206">
      <t>カモクグン</t>
    </rPh>
    <rPh sb="207" eb="209">
      <t>シュウリョウ</t>
    </rPh>
    <rPh sb="209" eb="211">
      <t>ヨウケン</t>
    </rPh>
    <rPh sb="248" eb="250">
      <t>カツヨウ</t>
    </rPh>
    <rPh sb="251" eb="253">
      <t>シュホウ</t>
    </rPh>
    <rPh sb="257" eb="259">
      <t>ブンセキ</t>
    </rPh>
    <rPh sb="272" eb="274">
      <t>イカ</t>
    </rPh>
    <rPh sb="280" eb="282">
      <t>カモク</t>
    </rPh>
    <rPh sb="297" eb="299">
      <t>カツヨウ</t>
    </rPh>
    <rPh sb="303" eb="305">
      <t>ショウカイ</t>
    </rPh>
    <rPh sb="312" eb="315">
      <t>ジュウヨウセイ</t>
    </rPh>
    <rPh sb="317" eb="319">
      <t>リカイ</t>
    </rPh>
    <rPh sb="320" eb="321">
      <t>ウナガ</t>
    </rPh>
    <rPh sb="335" eb="336">
      <t>ミ</t>
    </rPh>
    <rPh sb="338" eb="339">
      <t>カ</t>
    </rPh>
    <rPh sb="360" eb="364">
      <t>ホケンイリョウ</t>
    </rPh>
    <rPh sb="364" eb="366">
      <t>ガクブ</t>
    </rPh>
    <rPh sb="401" eb="402">
      <t>スベ</t>
    </rPh>
    <rPh sb="431" eb="433">
      <t>カツヨウ</t>
    </rPh>
    <phoneticPr fontId="1"/>
  </si>
  <si>
    <t>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</si>
</sst>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u/>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2"/>
      <name val="Microsoft JhengHei UI"/>
      <family val="3"/>
      <charset val="134"/>
    </font>
    <font>
      <sz val="10.5"/>
      <name val="ＭＳ Ｐゴシック"/>
      <family val="3"/>
      <charset val="128"/>
      <scheme val="minor"/>
    </font>
    <font>
      <sz val="12"/>
      <name val="Microsoft JhengHei UI"/>
      <family val="2"/>
      <charset val="134"/>
    </font>
    <font>
      <u/>
      <sz val="11"/>
      <name val="ＭＳ Ｐゴシック"/>
      <family val="2"/>
      <charset val="128"/>
      <scheme val="minor"/>
    </font>
  </fonts>
  <fills count="2">
    <fill>
      <patternFill patternType="none"/>
    </fill>
    <fill>
      <patternFill patternType="gray125"/>
    </fill>
  </fills>
  <borders count="5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style="hair">
        <color auto="1"/>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16">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4" fillId="0" borderId="0" xfId="0" applyFont="1" applyAlignment="1">
      <alignment horizontal="center" vertical="center"/>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9"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9" fillId="0" borderId="47" xfId="0" applyNumberFormat="1" applyFont="1" applyBorder="1" applyAlignment="1">
      <alignment horizontal="center" vertical="center"/>
    </xf>
    <xf numFmtId="49" fontId="19" fillId="0" borderId="33" xfId="0" applyNumberFormat="1" applyFont="1" applyBorder="1" applyAlignment="1">
      <alignment horizontal="center" vertical="center"/>
    </xf>
    <xf numFmtId="49" fontId="19"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9"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9" fillId="0" borderId="52" xfId="0" applyNumberFormat="1" applyFont="1" applyBorder="1" applyAlignment="1">
      <alignment horizontal="center" vertical="center"/>
    </xf>
    <xf numFmtId="49" fontId="19" fillId="0" borderId="29" xfId="0" applyNumberFormat="1" applyFont="1" applyBorder="1" applyAlignment="1">
      <alignment horizontal="center" vertical="center"/>
    </xf>
    <xf numFmtId="0" fontId="22"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43" xfId="0" applyFont="1" applyBorder="1" applyAlignment="1">
      <alignment horizontal="center" vertical="center" shrinkToFit="1"/>
    </xf>
    <xf numFmtId="0" fontId="19" fillId="0" borderId="20" xfId="0" applyFont="1" applyBorder="1" applyAlignment="1">
      <alignment vertical="top" shrinkToFit="1"/>
    </xf>
    <xf numFmtId="0" fontId="19" fillId="0" borderId="18" xfId="0" applyFont="1" applyBorder="1" applyAlignment="1">
      <alignment vertical="top" shrinkToFit="1"/>
    </xf>
    <xf numFmtId="0" fontId="8" fillId="0" borderId="0" xfId="0" applyFont="1" applyBorder="1" applyAlignment="1">
      <alignment vertical="center" shrinkToFit="1"/>
    </xf>
    <xf numFmtId="0" fontId="8" fillId="0" borderId="42" xfId="0" applyFont="1" applyBorder="1" applyAlignment="1">
      <alignment horizontal="center" vertical="center"/>
    </xf>
    <xf numFmtId="0" fontId="8" fillId="0" borderId="18" xfId="0" applyFont="1" applyBorder="1" applyAlignment="1">
      <alignment horizontal="center" vertical="center"/>
    </xf>
    <xf numFmtId="0" fontId="8" fillId="0" borderId="53" xfId="0" applyFont="1" applyBorder="1" applyAlignment="1">
      <alignment horizontal="center" vertical="center" shrinkToFit="1"/>
    </xf>
    <xf numFmtId="49" fontId="17"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0" xfId="0" applyFont="1" applyBorder="1" applyAlignment="1">
      <alignment horizontal="right"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3"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21" fillId="0" borderId="48" xfId="0" applyFont="1" applyBorder="1" applyAlignment="1">
      <alignment vertical="center" wrapText="1"/>
    </xf>
    <xf numFmtId="0" fontId="21" fillId="0" borderId="49" xfId="0" applyFont="1" applyBorder="1" applyAlignment="1">
      <alignment vertical="center" wrapText="1"/>
    </xf>
    <xf numFmtId="0" fontId="20" fillId="0" borderId="48" xfId="0" applyFont="1" applyBorder="1" applyAlignment="1">
      <alignment vertical="center" wrapText="1"/>
    </xf>
    <xf numFmtId="0" fontId="20" fillId="0" borderId="32" xfId="0" applyFont="1" applyBorder="1" applyAlignment="1">
      <alignment vertical="center" wrapText="1"/>
    </xf>
    <xf numFmtId="0" fontId="9" fillId="0" borderId="39" xfId="0" applyFont="1" applyBorder="1" applyAlignment="1">
      <alignment vertical="center" wrapText="1" shrinkToFit="1"/>
    </xf>
    <xf numFmtId="0" fontId="9" fillId="0" borderId="38" xfId="0" applyFont="1" applyBorder="1" applyAlignment="1">
      <alignment vertical="center" wrapText="1" shrinkToFit="1"/>
    </xf>
    <xf numFmtId="0" fontId="9" fillId="0" borderId="6" xfId="0" applyFont="1" applyBorder="1" applyAlignment="1">
      <alignment vertical="center" wrapText="1" shrinkToFit="1"/>
    </xf>
    <xf numFmtId="0" fontId="9" fillId="0" borderId="12" xfId="0" applyFont="1" applyBorder="1" applyAlignment="1">
      <alignment vertical="center" wrapText="1" shrinkToFit="1"/>
    </xf>
    <xf numFmtId="0" fontId="21" fillId="0" borderId="32" xfId="0" applyFont="1" applyBorder="1" applyAlignment="1">
      <alignment vertical="center" wrapText="1"/>
    </xf>
    <xf numFmtId="0" fontId="9" fillId="0" borderId="8" xfId="0" applyFont="1" applyBorder="1" applyAlignment="1">
      <alignment horizontal="left" vertical="center" wrapText="1" shrinkToFit="1"/>
    </xf>
    <xf numFmtId="0" fontId="9" fillId="0" borderId="9" xfId="0" applyFont="1" applyBorder="1" applyAlignment="1">
      <alignment horizontal="left" vertical="center" wrapText="1" shrinkToFit="1"/>
    </xf>
    <xf numFmtId="0" fontId="9" fillId="0" borderId="20" xfId="0" applyFont="1" applyBorder="1" applyAlignment="1">
      <alignment horizontal="left" vertical="center" wrapText="1" shrinkToFit="1"/>
    </xf>
    <xf numFmtId="0" fontId="9" fillId="0" borderId="18" xfId="0" applyFont="1" applyBorder="1" applyAlignment="1">
      <alignment horizontal="left" vertical="center" wrapText="1"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2" xfId="0" applyFont="1" applyBorder="1" applyAlignment="1">
      <alignment horizontal="left" vertical="center" wrapText="1" shrinkToFit="1"/>
    </xf>
    <xf numFmtId="0" fontId="9" fillId="0" borderId="21" xfId="0" applyFont="1" applyBorder="1" applyAlignment="1">
      <alignment horizontal="left" vertical="center" wrapText="1" shrinkToFit="1"/>
    </xf>
    <xf numFmtId="0" fontId="9" fillId="0" borderId="39" xfId="0" applyFont="1" applyBorder="1" applyAlignment="1">
      <alignment horizontal="left" vertical="center" wrapText="1" shrinkToFit="1"/>
    </xf>
    <xf numFmtId="0" fontId="9" fillId="0" borderId="38" xfId="0" applyFont="1" applyBorder="1" applyAlignment="1">
      <alignment horizontal="left" vertical="center" wrapText="1" shrinkToFit="1"/>
    </xf>
    <xf numFmtId="0" fontId="9" fillId="0" borderId="41" xfId="0" applyFont="1" applyBorder="1" applyAlignment="1">
      <alignment horizontal="left" vertical="center" wrapText="1" shrinkToFit="1"/>
    </xf>
    <xf numFmtId="0" fontId="9" fillId="0" borderId="42" xfId="0" applyFont="1" applyBorder="1" applyAlignment="1">
      <alignment horizontal="left" vertical="center" wrapText="1"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0" xfId="0" applyFont="1" applyAlignment="1">
      <alignment vertical="center" wrapText="1"/>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18" fillId="0" borderId="0" xfId="0" applyFont="1" applyAlignment="1">
      <alignment horizontal="center" vertical="center"/>
    </xf>
    <xf numFmtId="0" fontId="8" fillId="0" borderId="7" xfId="0" applyFont="1" applyBorder="1" applyAlignment="1">
      <alignment horizontal="left" vertical="top" wrapText="1" shrinkToFit="1"/>
    </xf>
    <xf numFmtId="0" fontId="11" fillId="0" borderId="8" xfId="0" applyFont="1" applyBorder="1" applyAlignment="1">
      <alignment horizontal="left" vertical="top" shrinkToFit="1"/>
    </xf>
    <xf numFmtId="0" fontId="11" fillId="0" borderId="9" xfId="0" applyFont="1" applyBorder="1" applyAlignment="1">
      <alignment horizontal="left" vertical="top" shrinkToFit="1"/>
    </xf>
    <xf numFmtId="0" fontId="11" fillId="0" borderId="5" xfId="0" applyFont="1" applyBorder="1" applyAlignment="1">
      <alignment horizontal="left" vertical="top" shrinkToFit="1"/>
    </xf>
    <xf numFmtId="0" fontId="11" fillId="0" borderId="0" xfId="0" applyFont="1" applyBorder="1" applyAlignment="1">
      <alignment horizontal="left" vertical="top" shrinkToFit="1"/>
    </xf>
    <xf numFmtId="0" fontId="11" fillId="0" borderId="10" xfId="0" applyFont="1" applyBorder="1" applyAlignment="1">
      <alignment horizontal="left" vertical="top" shrinkToFit="1"/>
    </xf>
    <xf numFmtId="0" fontId="11" fillId="0" borderId="0" xfId="0" applyFont="1" applyAlignment="1">
      <alignment horizontal="left" vertical="top" shrinkToFit="1"/>
    </xf>
    <xf numFmtId="0" fontId="11" fillId="0" borderId="11" xfId="0" applyFont="1" applyBorder="1" applyAlignment="1">
      <alignment horizontal="left" vertical="top" shrinkToFit="1"/>
    </xf>
    <xf numFmtId="0" fontId="11" fillId="0" borderId="6" xfId="0" applyFont="1" applyBorder="1" applyAlignment="1">
      <alignment horizontal="left" vertical="top" shrinkToFit="1"/>
    </xf>
    <xf numFmtId="0" fontId="11" fillId="0" borderId="12" xfId="0" applyFont="1" applyBorder="1" applyAlignment="1">
      <alignment horizontal="left" vertical="top"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44" xfId="0" applyFont="1" applyBorder="1" applyAlignment="1">
      <alignment horizontal="center" vertical="center"/>
    </xf>
    <xf numFmtId="0" fontId="8" fillId="0" borderId="45" xfId="0" applyFont="1" applyBorder="1" applyAlignment="1">
      <alignment horizontal="center" vertical="center"/>
    </xf>
    <xf numFmtId="0" fontId="8" fillId="0" borderId="46"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Border="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9" fillId="0" borderId="19" xfId="0" applyFont="1" applyBorder="1" applyAlignment="1">
      <alignment vertical="center" wrapText="1" shrinkToFit="1"/>
    </xf>
    <xf numFmtId="0" fontId="9" fillId="0" borderId="20" xfId="0" applyFont="1" applyBorder="1" applyAlignment="1">
      <alignment vertical="center" wrapText="1" shrinkToFit="1"/>
    </xf>
    <xf numFmtId="0" fontId="9" fillId="0" borderId="18" xfId="0" applyFont="1" applyBorder="1" applyAlignment="1">
      <alignment vertical="center" wrapText="1" shrinkToFit="1"/>
    </xf>
    <xf numFmtId="0" fontId="9" fillId="0" borderId="0" xfId="0" applyFont="1" applyAlignment="1">
      <alignment horizontal="center" vertical="center"/>
    </xf>
    <xf numFmtId="0" fontId="2" fillId="0" borderId="0" xfId="0" applyFont="1" applyAlignment="1">
      <alignment horizontal="right" vertical="center"/>
    </xf>
    <xf numFmtId="0" fontId="14"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8" fillId="0" borderId="16" xfId="0" applyFont="1" applyBorder="1" applyAlignment="1">
      <alignment vertical="top" wrapText="1" shrinkToFit="1"/>
    </xf>
    <xf numFmtId="0" fontId="8" fillId="0" borderId="22" xfId="0" applyFont="1" applyBorder="1" applyAlignment="1">
      <alignment vertical="top" shrinkToFit="1"/>
    </xf>
    <xf numFmtId="0" fontId="8" fillId="0" borderId="21"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8" fillId="0" borderId="4" xfId="0" applyFont="1" applyBorder="1" applyAlignment="1">
      <alignment vertical="center" shrinkToFit="1"/>
    </xf>
    <xf numFmtId="0" fontId="24" fillId="0" borderId="7" xfId="0" applyFont="1" applyBorder="1" applyAlignment="1">
      <alignment vertical="top" wrapText="1" shrinkToFit="1"/>
    </xf>
    <xf numFmtId="0" fontId="24" fillId="0" borderId="8" xfId="0" applyFont="1" applyBorder="1" applyAlignment="1">
      <alignment vertical="top" wrapText="1" shrinkToFit="1"/>
    </xf>
    <xf numFmtId="0" fontId="24" fillId="0" borderId="8" xfId="0" applyFont="1" applyBorder="1" applyAlignment="1">
      <alignment vertical="top" shrinkToFit="1"/>
    </xf>
    <xf numFmtId="0" fontId="24" fillId="0" borderId="9" xfId="0" applyFont="1" applyBorder="1" applyAlignment="1">
      <alignment vertical="top" shrinkToFit="1"/>
    </xf>
    <xf numFmtId="0" fontId="24" fillId="0" borderId="5" xfId="0" applyFont="1" applyBorder="1" applyAlignment="1">
      <alignment vertical="top" shrinkToFit="1"/>
    </xf>
    <xf numFmtId="0" fontId="24" fillId="0" borderId="0" xfId="0" applyFont="1" applyAlignment="1">
      <alignment vertical="top" shrinkToFit="1"/>
    </xf>
    <xf numFmtId="0" fontId="24" fillId="0" borderId="10" xfId="0" applyFont="1" applyBorder="1" applyAlignment="1">
      <alignment vertical="top" shrinkToFit="1"/>
    </xf>
    <xf numFmtId="0" fontId="24" fillId="0" borderId="11" xfId="0" applyFont="1" applyBorder="1" applyAlignment="1">
      <alignment vertical="top" shrinkToFit="1"/>
    </xf>
    <xf numFmtId="0" fontId="24" fillId="0" borderId="6" xfId="0" applyFont="1" applyBorder="1" applyAlignment="1">
      <alignment vertical="top" shrinkToFit="1"/>
    </xf>
    <xf numFmtId="0" fontId="24" fillId="0" borderId="12" xfId="0" applyFont="1" applyBorder="1" applyAlignment="1">
      <alignment vertical="top" shrinkToFit="1"/>
    </xf>
    <xf numFmtId="0" fontId="8"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2" fillId="0" borderId="6" xfId="0" applyFont="1" applyBorder="1">
      <alignment vertical="center"/>
    </xf>
    <xf numFmtId="0" fontId="2" fillId="0" borderId="17" xfId="0" applyFont="1" applyBorder="1">
      <alignment vertical="center"/>
    </xf>
    <xf numFmtId="0" fontId="0" fillId="0" borderId="18" xfId="0" applyBorder="1">
      <alignment vertical="center"/>
    </xf>
    <xf numFmtId="0" fontId="8" fillId="0" borderId="19" xfId="0" applyFont="1" applyBorder="1" applyAlignment="1">
      <alignment vertical="top" wrapText="1" shrinkToFi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6" fillId="0" borderId="2" xfId="2" applyFont="1" applyBorder="1" applyAlignment="1">
      <alignment horizontal="center" vertical="center" shrinkToFit="1"/>
    </xf>
    <xf numFmtId="0" fontId="17" fillId="0" borderId="3" xfId="2" applyFont="1" applyBorder="1" applyAlignment="1">
      <alignment horizontal="center" vertical="center" shrinkToFit="1"/>
    </xf>
    <xf numFmtId="0" fontId="17" fillId="0" borderId="4" xfId="2" applyFont="1" applyBorder="1" applyAlignment="1">
      <alignment horizontal="center" vertical="center" shrinkToFit="1"/>
    </xf>
    <xf numFmtId="0" fontId="2" fillId="0" borderId="19" xfId="0" applyFont="1" applyBorder="1" applyAlignment="1">
      <alignment vertical="center" wrapText="1"/>
    </xf>
    <xf numFmtId="0" fontId="2" fillId="0" borderId="20" xfId="0" applyFont="1" applyBorder="1" applyAlignment="1">
      <alignment vertical="center"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view="pageBreakPreview" zoomScaleNormal="100" zoomScaleSheetLayoutView="100" workbookViewId="0">
      <selection activeCell="P15" sqref="P15"/>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42" t="s">
        <v>25</v>
      </c>
      <c r="N1" s="142"/>
    </row>
    <row r="2" spans="1:15" ht="24" customHeight="1" x14ac:dyDescent="0.15">
      <c r="A2" s="146" t="s">
        <v>83</v>
      </c>
      <c r="B2" s="146"/>
      <c r="C2" s="146"/>
      <c r="D2" s="146"/>
      <c r="E2" s="146"/>
      <c r="F2" s="146"/>
      <c r="G2" s="146"/>
      <c r="H2" s="146"/>
      <c r="I2" s="146"/>
      <c r="J2" s="146"/>
      <c r="K2" s="146"/>
      <c r="L2" s="146"/>
      <c r="M2" s="146"/>
      <c r="N2" s="146"/>
    </row>
    <row r="3" spans="1:15" ht="24" customHeight="1" x14ac:dyDescent="0.15"/>
    <row r="4" spans="1:15" ht="24" customHeight="1" x14ac:dyDescent="0.15">
      <c r="A4" s="14" t="s">
        <v>6</v>
      </c>
      <c r="B4" s="15" t="s">
        <v>16</v>
      </c>
      <c r="C4" s="132" t="s">
        <v>147</v>
      </c>
      <c r="D4" s="133"/>
      <c r="E4" s="133"/>
      <c r="F4" s="133"/>
      <c r="G4" s="133"/>
      <c r="H4" s="133"/>
      <c r="I4" s="133"/>
      <c r="J4" s="133"/>
      <c r="K4" s="133"/>
      <c r="L4" s="133"/>
      <c r="M4" s="133"/>
      <c r="N4" s="134"/>
      <c r="O4" s="31" t="str">
        <f>IF(C4="","入力してください","")</f>
        <v/>
      </c>
    </row>
    <row r="5" spans="1:15" ht="7.5" customHeight="1" x14ac:dyDescent="0.15">
      <c r="B5" s="15"/>
      <c r="C5" s="15"/>
      <c r="D5" s="15"/>
      <c r="E5" s="16"/>
      <c r="F5" s="35"/>
      <c r="G5" s="35"/>
      <c r="H5" s="35"/>
      <c r="I5" s="35"/>
      <c r="J5" s="35"/>
      <c r="K5" s="35"/>
      <c r="L5" s="35"/>
      <c r="M5" s="35"/>
      <c r="N5" s="35"/>
    </row>
    <row r="6" spans="1:15" ht="24" customHeight="1" x14ac:dyDescent="0.15">
      <c r="A6" s="14" t="s">
        <v>48</v>
      </c>
      <c r="B6" s="15" t="s">
        <v>49</v>
      </c>
      <c r="C6" s="15"/>
      <c r="D6" s="132" t="s">
        <v>148</v>
      </c>
      <c r="E6" s="133"/>
      <c r="F6" s="133"/>
      <c r="G6" s="133"/>
      <c r="H6" s="134"/>
      <c r="I6" s="17" t="s">
        <v>86</v>
      </c>
      <c r="J6" s="35" t="s">
        <v>87</v>
      </c>
      <c r="K6" s="132" t="s">
        <v>149</v>
      </c>
      <c r="L6" s="133"/>
      <c r="M6" s="133"/>
      <c r="N6" s="134"/>
      <c r="O6" s="31" t="str">
        <f>IF(D6="","入力してください","")</f>
        <v/>
      </c>
    </row>
    <row r="7" spans="1:15" ht="7.5" customHeight="1" x14ac:dyDescent="0.15">
      <c r="B7" s="15"/>
      <c r="C7" s="15"/>
      <c r="D7" s="15"/>
      <c r="E7" s="16"/>
      <c r="F7" s="35"/>
      <c r="G7" s="35"/>
      <c r="H7" s="35"/>
      <c r="I7" s="35"/>
      <c r="J7" s="35"/>
      <c r="K7" s="35"/>
      <c r="L7" s="35"/>
      <c r="M7" s="35"/>
      <c r="N7" s="35"/>
    </row>
    <row r="8" spans="1:15" ht="24" customHeight="1" x14ac:dyDescent="0.15">
      <c r="A8" s="14" t="s">
        <v>13</v>
      </c>
      <c r="B8" s="15" t="s">
        <v>45</v>
      </c>
      <c r="C8" s="132" t="s">
        <v>150</v>
      </c>
      <c r="D8" s="133"/>
      <c r="E8" s="133"/>
      <c r="F8" s="133"/>
      <c r="G8" s="133"/>
      <c r="H8" s="133"/>
      <c r="I8" s="133"/>
      <c r="J8" s="133"/>
      <c r="K8" s="133"/>
      <c r="L8" s="133"/>
      <c r="M8" s="133"/>
      <c r="N8" s="134"/>
      <c r="O8" s="31" t="str">
        <f>IF(C8="","入力してください","")</f>
        <v/>
      </c>
    </row>
    <row r="9" spans="1:15" ht="7.5" customHeight="1" x14ac:dyDescent="0.15">
      <c r="B9" s="15"/>
      <c r="C9" s="15"/>
      <c r="D9" s="15"/>
      <c r="E9" s="16"/>
      <c r="F9" s="35"/>
      <c r="G9" s="35"/>
      <c r="H9" s="35"/>
      <c r="I9" s="35"/>
      <c r="J9" s="35"/>
      <c r="K9" s="35"/>
      <c r="L9" s="35"/>
      <c r="M9" s="35"/>
      <c r="N9" s="35"/>
    </row>
    <row r="10" spans="1:15" ht="24" customHeight="1" x14ac:dyDescent="0.15">
      <c r="A10" s="14" t="s">
        <v>11</v>
      </c>
      <c r="B10" s="15" t="s">
        <v>85</v>
      </c>
      <c r="C10" s="15"/>
      <c r="D10" s="15"/>
      <c r="E10" s="132" t="s">
        <v>151</v>
      </c>
      <c r="F10" s="133"/>
      <c r="G10" s="133"/>
      <c r="H10" s="133"/>
      <c r="I10" s="133"/>
      <c r="J10" s="133"/>
      <c r="K10" s="133"/>
      <c r="L10" s="133"/>
      <c r="M10" s="133"/>
      <c r="N10" s="134"/>
      <c r="O10" s="31" t="str">
        <f>IF(E10="","入力してください","")</f>
        <v/>
      </c>
    </row>
    <row r="11" spans="1:15" ht="7.5" customHeight="1" x14ac:dyDescent="0.15">
      <c r="B11" s="16"/>
      <c r="C11" s="16"/>
      <c r="D11" s="16"/>
      <c r="E11" s="16"/>
      <c r="F11" s="35"/>
      <c r="G11" s="35"/>
      <c r="H11" s="35"/>
      <c r="I11" s="35"/>
      <c r="J11" s="35"/>
      <c r="K11" s="35"/>
      <c r="L11" s="35"/>
      <c r="M11" s="35"/>
      <c r="N11" s="35"/>
    </row>
    <row r="12" spans="1:15" ht="24" customHeight="1" x14ac:dyDescent="0.15">
      <c r="A12" s="14" t="s">
        <v>58</v>
      </c>
      <c r="B12" s="16" t="s">
        <v>59</v>
      </c>
      <c r="C12" s="16"/>
      <c r="D12" s="16"/>
      <c r="E12" s="147" t="s">
        <v>152</v>
      </c>
      <c r="F12" s="148"/>
      <c r="G12" s="17" t="s">
        <v>96</v>
      </c>
      <c r="H12" s="14" t="s">
        <v>97</v>
      </c>
      <c r="N12" s="115" t="s">
        <v>218</v>
      </c>
      <c r="O12" s="31" t="str">
        <f>IF(E12="","入力してください","")</f>
        <v/>
      </c>
    </row>
    <row r="13" spans="1:15" ht="7.5" customHeight="1" x14ac:dyDescent="0.15">
      <c r="B13" s="16"/>
      <c r="C13" s="16"/>
      <c r="D13" s="16"/>
      <c r="E13" s="16"/>
      <c r="F13" s="35"/>
      <c r="G13" s="35"/>
      <c r="H13" s="35"/>
      <c r="I13" s="35"/>
      <c r="J13" s="35"/>
      <c r="K13" s="35"/>
      <c r="L13" s="35"/>
      <c r="M13" s="35"/>
      <c r="N13" s="35"/>
    </row>
    <row r="14" spans="1:15" ht="24" customHeight="1" x14ac:dyDescent="0.15">
      <c r="A14" s="14" t="s">
        <v>53</v>
      </c>
      <c r="B14" s="14" t="s">
        <v>0</v>
      </c>
      <c r="C14" s="143" t="s">
        <v>5</v>
      </c>
      <c r="D14" s="144"/>
      <c r="E14" s="135">
        <v>84</v>
      </c>
      <c r="F14" s="136"/>
      <c r="G14" s="18" t="s">
        <v>7</v>
      </c>
      <c r="I14" s="143" t="s">
        <v>8</v>
      </c>
      <c r="J14" s="144"/>
      <c r="K14" s="135">
        <v>117</v>
      </c>
      <c r="L14" s="145"/>
      <c r="M14" s="136"/>
      <c r="N14" s="19" t="s">
        <v>7</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60</v>
      </c>
      <c r="B16" s="14" t="s">
        <v>70</v>
      </c>
      <c r="F16" s="20"/>
      <c r="G16" s="20"/>
      <c r="H16" s="20"/>
      <c r="I16" s="20"/>
      <c r="J16" s="20"/>
      <c r="K16" s="149">
        <v>2</v>
      </c>
      <c r="L16" s="150"/>
      <c r="M16" s="151"/>
      <c r="N16" s="19" t="s">
        <v>51</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24</v>
      </c>
      <c r="B18" s="14" t="s">
        <v>77</v>
      </c>
      <c r="E18" s="135">
        <v>810</v>
      </c>
      <c r="F18" s="136"/>
      <c r="G18" s="21" t="s">
        <v>21</v>
      </c>
      <c r="H18" s="20"/>
      <c r="K18" s="155"/>
      <c r="L18" s="155"/>
      <c r="M18" s="155"/>
      <c r="N18" s="155"/>
      <c r="O18" s="31" t="str">
        <f>IF(E18="","入力してください","")</f>
        <v/>
      </c>
    </row>
    <row r="19" spans="1:15" ht="7.5" customHeight="1" x14ac:dyDescent="0.15">
      <c r="E19" s="10"/>
      <c r="F19" s="20"/>
      <c r="G19" s="20"/>
      <c r="L19" s="34"/>
      <c r="M19" s="34"/>
      <c r="N19" s="22"/>
    </row>
    <row r="20" spans="1:15" ht="24" customHeight="1" x14ac:dyDescent="0.15">
      <c r="A20" s="14" t="s">
        <v>76</v>
      </c>
      <c r="B20" s="14" t="s">
        <v>78</v>
      </c>
      <c r="E20" s="10"/>
      <c r="F20" s="20"/>
      <c r="G20" s="20"/>
      <c r="H20" s="14" t="s">
        <v>52</v>
      </c>
      <c r="J20" s="152">
        <v>1654</v>
      </c>
      <c r="K20" s="153"/>
      <c r="L20" s="154"/>
      <c r="M20" s="34" t="s">
        <v>51</v>
      </c>
      <c r="N20" s="22"/>
      <c r="O20" s="31" t="str">
        <f>IF(J20="","入力してください","")</f>
        <v/>
      </c>
    </row>
    <row r="21" spans="1:15" ht="7.5" customHeight="1" x14ac:dyDescent="0.15">
      <c r="E21" s="10"/>
      <c r="F21" s="20"/>
      <c r="G21" s="20"/>
      <c r="L21" s="34"/>
      <c r="M21" s="34"/>
      <c r="N21" s="22"/>
    </row>
    <row r="22" spans="1:15" ht="24" customHeight="1" x14ac:dyDescent="0.15">
      <c r="B22" s="29" t="s">
        <v>17</v>
      </c>
      <c r="C22" s="135">
        <v>356</v>
      </c>
      <c r="D22" s="136"/>
      <c r="E22" s="10" t="s">
        <v>22</v>
      </c>
      <c r="F22" s="20"/>
      <c r="G22" s="131" t="s">
        <v>18</v>
      </c>
      <c r="H22" s="131"/>
      <c r="I22" s="135">
        <v>344</v>
      </c>
      <c r="J22" s="136"/>
      <c r="K22" s="17" t="s">
        <v>22</v>
      </c>
      <c r="M22" s="34"/>
      <c r="N22" s="22"/>
    </row>
    <row r="23" spans="1:15" ht="7.5" customHeight="1" x14ac:dyDescent="0.15">
      <c r="B23" s="29"/>
      <c r="C23" s="11"/>
      <c r="D23" s="11"/>
      <c r="E23" s="10"/>
      <c r="F23" s="20"/>
      <c r="G23" s="34"/>
      <c r="H23" s="34"/>
      <c r="I23" s="11"/>
      <c r="J23" s="11"/>
      <c r="K23" s="17"/>
      <c r="M23" s="34"/>
      <c r="N23" s="22"/>
    </row>
    <row r="24" spans="1:15" ht="24" customHeight="1" x14ac:dyDescent="0.15">
      <c r="B24" s="29" t="s">
        <v>19</v>
      </c>
      <c r="C24" s="135">
        <v>483</v>
      </c>
      <c r="D24" s="136"/>
      <c r="E24" s="10" t="s">
        <v>22</v>
      </c>
      <c r="F24" s="20"/>
      <c r="G24" s="131" t="s">
        <v>20</v>
      </c>
      <c r="H24" s="131"/>
      <c r="I24" s="135">
        <v>471</v>
      </c>
      <c r="J24" s="136"/>
      <c r="K24" s="17" t="s">
        <v>22</v>
      </c>
      <c r="M24" s="34"/>
      <c r="N24" s="22"/>
    </row>
    <row r="25" spans="1:15" ht="7.5" customHeight="1" x14ac:dyDescent="0.15">
      <c r="B25" s="29"/>
      <c r="C25" s="11"/>
      <c r="D25" s="11"/>
      <c r="E25" s="10"/>
      <c r="F25" s="20"/>
      <c r="G25" s="34"/>
      <c r="H25" s="34"/>
      <c r="I25" s="11"/>
      <c r="J25" s="11"/>
      <c r="K25" s="17"/>
      <c r="M25" s="34"/>
      <c r="N25" s="22"/>
    </row>
    <row r="26" spans="1:15" ht="24" customHeight="1" x14ac:dyDescent="0.15">
      <c r="B26" s="29" t="s">
        <v>46</v>
      </c>
      <c r="C26" s="135"/>
      <c r="D26" s="136"/>
      <c r="E26" s="10" t="s">
        <v>7</v>
      </c>
      <c r="F26" s="20"/>
      <c r="G26" s="131" t="s">
        <v>47</v>
      </c>
      <c r="H26" s="131"/>
      <c r="I26" s="135"/>
      <c r="J26" s="136"/>
      <c r="K26" s="17" t="s">
        <v>7</v>
      </c>
      <c r="M26" s="34"/>
      <c r="N26" s="22"/>
    </row>
    <row r="27" spans="1:15" ht="7.5" customHeight="1" x14ac:dyDescent="0.15">
      <c r="F27" s="20"/>
      <c r="G27" s="20"/>
      <c r="M27" s="23"/>
      <c r="N27" s="23"/>
    </row>
    <row r="28" spans="1:15" ht="24" customHeight="1" x14ac:dyDescent="0.15">
      <c r="A28" s="14" t="s">
        <v>50</v>
      </c>
      <c r="B28" s="15" t="s">
        <v>75</v>
      </c>
      <c r="C28" s="15"/>
      <c r="D28" s="15"/>
      <c r="E28" s="15"/>
      <c r="F28" s="17"/>
      <c r="G28" s="35"/>
      <c r="H28" s="35"/>
      <c r="I28" s="35"/>
      <c r="J28" s="24"/>
      <c r="K28" s="24"/>
      <c r="L28" s="24"/>
      <c r="M28" s="24"/>
      <c r="N28" s="24"/>
    </row>
    <row r="29" spans="1:15" s="14" customFormat="1" ht="24" customHeight="1" x14ac:dyDescent="0.15">
      <c r="B29" s="139" t="s">
        <v>74</v>
      </c>
      <c r="C29" s="139"/>
      <c r="D29" s="132" t="s">
        <v>170</v>
      </c>
      <c r="E29" s="133"/>
      <c r="F29" s="133"/>
      <c r="G29" s="140" t="s">
        <v>23</v>
      </c>
      <c r="H29" s="139"/>
      <c r="I29" s="141"/>
      <c r="J29" s="132" t="s">
        <v>153</v>
      </c>
      <c r="K29" s="133"/>
      <c r="L29" s="133"/>
      <c r="M29" s="133"/>
      <c r="N29" s="134"/>
      <c r="O29" s="31" t="str">
        <f>IF(OR(D29="",J29=""),"入力してください","")</f>
        <v/>
      </c>
    </row>
    <row r="30" spans="1:15" ht="7.5" customHeight="1" x14ac:dyDescent="0.15">
      <c r="F30" s="20"/>
      <c r="G30" s="20"/>
      <c r="M30" s="23"/>
      <c r="N30" s="23"/>
    </row>
    <row r="31" spans="1:15" ht="24" customHeight="1" x14ac:dyDescent="0.15">
      <c r="A31" s="14" t="s">
        <v>54</v>
      </c>
      <c r="B31" s="15" t="s">
        <v>80</v>
      </c>
      <c r="C31" s="15"/>
      <c r="D31" s="15"/>
      <c r="E31" s="15"/>
      <c r="F31" s="17"/>
      <c r="G31" s="24"/>
      <c r="H31" s="24"/>
      <c r="I31" s="24"/>
      <c r="J31" s="24"/>
      <c r="K31" s="24"/>
      <c r="L31" s="24"/>
      <c r="M31" s="24"/>
      <c r="N31" s="24"/>
    </row>
    <row r="32" spans="1:15" ht="24" customHeight="1" x14ac:dyDescent="0.15">
      <c r="B32" s="132" t="s">
        <v>154</v>
      </c>
      <c r="C32" s="133"/>
      <c r="D32" s="133"/>
      <c r="E32" s="133"/>
      <c r="F32" s="133"/>
      <c r="G32" s="133"/>
      <c r="H32" s="133"/>
      <c r="I32" s="133"/>
      <c r="J32" s="133"/>
      <c r="K32" s="133"/>
      <c r="L32" s="133"/>
      <c r="M32" s="133"/>
      <c r="N32" s="134"/>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39" t="s">
        <v>74</v>
      </c>
      <c r="C34" s="139"/>
      <c r="D34" s="132" t="s">
        <v>170</v>
      </c>
      <c r="E34" s="133"/>
      <c r="F34" s="133"/>
      <c r="G34" s="140" t="s">
        <v>55</v>
      </c>
      <c r="H34" s="139"/>
      <c r="I34" s="141"/>
      <c r="J34" s="132" t="s">
        <v>155</v>
      </c>
      <c r="K34" s="133"/>
      <c r="L34" s="133"/>
      <c r="M34" s="133"/>
      <c r="N34" s="134"/>
      <c r="O34" s="31" t="str">
        <f>IF(OR(D34="",J34=""),"入力してください","")</f>
        <v/>
      </c>
    </row>
    <row r="35" spans="1:15" ht="7.5" customHeight="1" x14ac:dyDescent="0.15">
      <c r="F35" s="35"/>
      <c r="G35" s="35"/>
      <c r="H35" s="35"/>
      <c r="I35" s="35"/>
      <c r="J35" s="35"/>
      <c r="K35" s="35"/>
      <c r="L35" s="35"/>
      <c r="M35" s="35"/>
      <c r="N35" s="35"/>
    </row>
    <row r="36" spans="1:15" ht="24" customHeight="1" x14ac:dyDescent="0.15">
      <c r="A36" s="14" t="s">
        <v>61</v>
      </c>
      <c r="B36" s="14" t="s">
        <v>81</v>
      </c>
      <c r="M36" s="23"/>
      <c r="N36" s="23"/>
    </row>
    <row r="37" spans="1:15" ht="24" customHeight="1" x14ac:dyDescent="0.15">
      <c r="B37" s="132" t="s">
        <v>156</v>
      </c>
      <c r="C37" s="133"/>
      <c r="D37" s="133"/>
      <c r="E37" s="133"/>
      <c r="F37" s="133"/>
      <c r="G37" s="133"/>
      <c r="H37" s="133"/>
      <c r="I37" s="133"/>
      <c r="J37" s="133"/>
      <c r="K37" s="133"/>
      <c r="L37" s="133"/>
      <c r="M37" s="133"/>
      <c r="N37" s="134"/>
      <c r="O37" s="31" t="str">
        <f>IF(B37="","入力してください","")</f>
        <v/>
      </c>
    </row>
    <row r="38" spans="1:15" ht="7.5" customHeight="1" x14ac:dyDescent="0.15">
      <c r="F38" s="35"/>
      <c r="G38" s="35"/>
      <c r="H38" s="35"/>
      <c r="I38" s="35"/>
      <c r="J38" s="35"/>
      <c r="K38" s="35"/>
      <c r="L38" s="35"/>
      <c r="M38" s="35"/>
      <c r="N38" s="35"/>
    </row>
    <row r="39" spans="1:15" s="14" customFormat="1" ht="24" customHeight="1" x14ac:dyDescent="0.15">
      <c r="B39" s="139" t="s">
        <v>74</v>
      </c>
      <c r="C39" s="139"/>
      <c r="D39" s="132" t="s">
        <v>157</v>
      </c>
      <c r="E39" s="133"/>
      <c r="F39" s="133"/>
      <c r="G39" s="140" t="s">
        <v>55</v>
      </c>
      <c r="H39" s="139"/>
      <c r="I39" s="141"/>
      <c r="J39" s="132" t="s">
        <v>158</v>
      </c>
      <c r="K39" s="133"/>
      <c r="L39" s="133"/>
      <c r="M39" s="133"/>
      <c r="N39" s="134"/>
      <c r="O39" s="31" t="str">
        <f>IF(OR(D39="",J39=""),"入力してください","")</f>
        <v/>
      </c>
    </row>
    <row r="40" spans="1:15" ht="7.5" customHeight="1" x14ac:dyDescent="0.15">
      <c r="F40" s="35"/>
      <c r="G40" s="35"/>
      <c r="H40" s="35"/>
      <c r="I40" s="35"/>
      <c r="J40" s="35"/>
      <c r="K40" s="35"/>
      <c r="L40" s="35"/>
      <c r="M40" s="35"/>
      <c r="N40" s="35"/>
    </row>
    <row r="41" spans="1:15" ht="24" customHeight="1" x14ac:dyDescent="0.15">
      <c r="A41" s="14" t="s">
        <v>88</v>
      </c>
      <c r="B41" s="71" t="s">
        <v>69</v>
      </c>
      <c r="E41" s="72"/>
      <c r="F41" s="132" t="s">
        <v>159</v>
      </c>
      <c r="G41" s="133"/>
      <c r="H41" s="133"/>
      <c r="I41" s="133"/>
      <c r="J41" s="133"/>
      <c r="K41" s="133"/>
      <c r="L41" s="133"/>
      <c r="M41" s="133"/>
      <c r="N41" s="134"/>
      <c r="O41" s="31" t="str">
        <f>IF(F41="","入力してください","")</f>
        <v/>
      </c>
    </row>
    <row r="42" spans="1:15" ht="7.5" customHeight="1" x14ac:dyDescent="0.15">
      <c r="F42" s="35"/>
      <c r="G42" s="35"/>
      <c r="H42" s="35"/>
      <c r="I42" s="35"/>
      <c r="J42" s="35"/>
      <c r="K42" s="35"/>
      <c r="L42" s="35"/>
      <c r="M42" s="35"/>
      <c r="N42" s="35"/>
    </row>
    <row r="43" spans="1:15" ht="24" customHeight="1" x14ac:dyDescent="0.15">
      <c r="A43" s="14" t="s">
        <v>98</v>
      </c>
    </row>
    <row r="44" spans="1:15" ht="24" customHeight="1" x14ac:dyDescent="0.15">
      <c r="B44" s="30" t="s">
        <v>1</v>
      </c>
      <c r="C44" s="137" t="s">
        <v>160</v>
      </c>
      <c r="D44" s="138"/>
      <c r="E44" s="138"/>
      <c r="F44" s="138"/>
      <c r="G44" s="138"/>
      <c r="H44" s="138"/>
      <c r="I44" s="26" t="s">
        <v>2</v>
      </c>
      <c r="J44" s="27"/>
      <c r="K44" s="132" t="s">
        <v>161</v>
      </c>
      <c r="L44" s="133"/>
      <c r="M44" s="133"/>
      <c r="N44" s="134"/>
      <c r="O44" s="31" t="str">
        <f>IF(OR(C44="",K44=""),"入力してください","")</f>
        <v/>
      </c>
    </row>
    <row r="45" spans="1:15" ht="24" customHeight="1" x14ac:dyDescent="0.15">
      <c r="B45" s="25" t="s">
        <v>4</v>
      </c>
      <c r="C45" s="125" t="s">
        <v>162</v>
      </c>
      <c r="D45" s="126"/>
      <c r="E45" s="126"/>
      <c r="F45" s="126"/>
      <c r="G45" s="126"/>
      <c r="H45" s="127"/>
      <c r="I45" s="26" t="s">
        <v>3</v>
      </c>
      <c r="J45" s="27"/>
      <c r="K45" s="128" t="s">
        <v>163</v>
      </c>
      <c r="L45" s="129"/>
      <c r="M45" s="129"/>
      <c r="N45" s="130"/>
      <c r="O45" s="31"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8"/>
  <sheetViews>
    <sheetView showZeros="0" view="pageBreakPreview" zoomScaleNormal="100" zoomScaleSheetLayoutView="100" workbookViewId="0">
      <selection activeCell="B15" sqref="B15:F15"/>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46" t="s">
        <v>206</v>
      </c>
      <c r="X1" s="246"/>
      <c r="Y1" s="246"/>
      <c r="Z1" s="246"/>
    </row>
    <row r="2" spans="1:26" ht="18" customHeight="1" x14ac:dyDescent="0.15">
      <c r="A2" s="208" t="s">
        <v>67</v>
      </c>
      <c r="B2" s="208"/>
      <c r="C2" s="208"/>
      <c r="D2" s="208"/>
      <c r="E2" s="208"/>
      <c r="F2" s="208"/>
      <c r="G2" s="208"/>
      <c r="H2" s="208"/>
      <c r="I2" s="208"/>
      <c r="J2" s="208"/>
      <c r="K2" s="208"/>
      <c r="L2" s="208"/>
      <c r="M2" s="208"/>
      <c r="N2" s="208"/>
      <c r="O2" s="208"/>
      <c r="P2" s="208"/>
      <c r="Q2" s="208"/>
      <c r="R2" s="208"/>
      <c r="S2" s="208"/>
      <c r="T2" s="208"/>
      <c r="U2" s="208"/>
      <c r="V2" s="208"/>
      <c r="W2" s="208"/>
      <c r="X2" s="208"/>
      <c r="Y2" s="208"/>
      <c r="Z2" s="208"/>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216</v>
      </c>
      <c r="B4" s="29"/>
      <c r="C4" s="29"/>
      <c r="D4" s="29"/>
      <c r="E4" s="29"/>
      <c r="F4" s="29"/>
      <c r="G4" s="29"/>
      <c r="H4" s="15" t="s">
        <v>111</v>
      </c>
      <c r="I4" s="29"/>
      <c r="J4" s="29"/>
      <c r="K4" s="29"/>
      <c r="L4" s="29"/>
      <c r="M4" s="29"/>
      <c r="N4" s="29"/>
      <c r="O4" s="149" t="s">
        <v>175</v>
      </c>
      <c r="P4" s="150"/>
      <c r="Q4" s="150"/>
      <c r="R4" s="150"/>
      <c r="S4" s="150"/>
      <c r="T4" s="150"/>
      <c r="U4" s="150"/>
      <c r="V4" s="150"/>
      <c r="W4" s="150"/>
      <c r="X4" s="150"/>
      <c r="Y4" s="150"/>
      <c r="Z4" s="151"/>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09" t="s">
        <v>207</v>
      </c>
      <c r="C6" s="210"/>
      <c r="D6" s="210"/>
      <c r="E6" s="210"/>
      <c r="F6" s="210"/>
      <c r="G6" s="210"/>
      <c r="H6" s="210"/>
      <c r="I6" s="210"/>
      <c r="J6" s="210"/>
      <c r="K6" s="210"/>
      <c r="L6" s="210"/>
      <c r="M6" s="210"/>
      <c r="N6" s="210"/>
      <c r="O6" s="210"/>
      <c r="P6" s="210"/>
      <c r="Q6" s="210"/>
      <c r="R6" s="210"/>
      <c r="S6" s="210"/>
      <c r="T6" s="210"/>
      <c r="U6" s="210"/>
      <c r="V6" s="210"/>
      <c r="W6" s="210"/>
      <c r="X6" s="210"/>
      <c r="Y6" s="210"/>
      <c r="Z6" s="211"/>
    </row>
    <row r="7" spans="1:26" ht="18" customHeight="1" x14ac:dyDescent="0.15">
      <c r="B7" s="212"/>
      <c r="C7" s="213"/>
      <c r="D7" s="213"/>
      <c r="E7" s="213"/>
      <c r="F7" s="213"/>
      <c r="G7" s="213"/>
      <c r="H7" s="213"/>
      <c r="I7" s="213"/>
      <c r="J7" s="213"/>
      <c r="K7" s="213"/>
      <c r="L7" s="213"/>
      <c r="M7" s="213"/>
      <c r="N7" s="213"/>
      <c r="O7" s="213"/>
      <c r="P7" s="213"/>
      <c r="Q7" s="213"/>
      <c r="R7" s="213"/>
      <c r="S7" s="213"/>
      <c r="T7" s="213"/>
      <c r="U7" s="213"/>
      <c r="V7" s="213"/>
      <c r="W7" s="213"/>
      <c r="X7" s="213"/>
      <c r="Y7" s="213"/>
      <c r="Z7" s="214"/>
    </row>
    <row r="8" spans="1:26" ht="18" customHeight="1" x14ac:dyDescent="0.15">
      <c r="B8" s="212"/>
      <c r="C8" s="213"/>
      <c r="D8" s="213"/>
      <c r="E8" s="213"/>
      <c r="F8" s="213"/>
      <c r="G8" s="213"/>
      <c r="H8" s="213"/>
      <c r="I8" s="213"/>
      <c r="J8" s="213"/>
      <c r="K8" s="213"/>
      <c r="L8" s="213"/>
      <c r="M8" s="213"/>
      <c r="N8" s="213"/>
      <c r="O8" s="213"/>
      <c r="P8" s="213"/>
      <c r="Q8" s="213"/>
      <c r="R8" s="213"/>
      <c r="S8" s="213"/>
      <c r="T8" s="213"/>
      <c r="U8" s="213"/>
      <c r="V8" s="213"/>
      <c r="W8" s="213"/>
      <c r="X8" s="213"/>
      <c r="Y8" s="213"/>
      <c r="Z8" s="214"/>
    </row>
    <row r="9" spans="1:26" ht="18" customHeight="1" x14ac:dyDescent="0.15">
      <c r="B9" s="212"/>
      <c r="C9" s="213"/>
      <c r="D9" s="213"/>
      <c r="E9" s="213"/>
      <c r="F9" s="213"/>
      <c r="G9" s="213"/>
      <c r="H9" s="213"/>
      <c r="I9" s="213"/>
      <c r="J9" s="213"/>
      <c r="K9" s="213"/>
      <c r="L9" s="213"/>
      <c r="M9" s="213"/>
      <c r="N9" s="213"/>
      <c r="O9" s="213"/>
      <c r="P9" s="213"/>
      <c r="Q9" s="213"/>
      <c r="R9" s="213"/>
      <c r="S9" s="213"/>
      <c r="T9" s="213"/>
      <c r="U9" s="213"/>
      <c r="V9" s="213"/>
      <c r="W9" s="213"/>
      <c r="X9" s="213"/>
      <c r="Y9" s="213"/>
      <c r="Z9" s="214"/>
    </row>
    <row r="10" spans="1:26" ht="18" customHeight="1" x14ac:dyDescent="0.15">
      <c r="B10" s="212"/>
      <c r="C10" s="215"/>
      <c r="D10" s="215"/>
      <c r="E10" s="215"/>
      <c r="F10" s="215"/>
      <c r="G10" s="215"/>
      <c r="H10" s="215"/>
      <c r="I10" s="215"/>
      <c r="J10" s="215"/>
      <c r="K10" s="215"/>
      <c r="L10" s="215"/>
      <c r="M10" s="215"/>
      <c r="N10" s="215"/>
      <c r="O10" s="215"/>
      <c r="P10" s="215"/>
      <c r="Q10" s="215"/>
      <c r="R10" s="215"/>
      <c r="S10" s="215"/>
      <c r="T10" s="215"/>
      <c r="U10" s="215"/>
      <c r="V10" s="215"/>
      <c r="W10" s="215"/>
      <c r="X10" s="215"/>
      <c r="Y10" s="215"/>
      <c r="Z10" s="214"/>
    </row>
    <row r="11" spans="1:26" ht="35.25" customHeight="1" x14ac:dyDescent="0.15">
      <c r="B11" s="216"/>
      <c r="C11" s="217"/>
      <c r="D11" s="217"/>
      <c r="E11" s="217"/>
      <c r="F11" s="217"/>
      <c r="G11" s="217"/>
      <c r="H11" s="217"/>
      <c r="I11" s="217"/>
      <c r="J11" s="217"/>
      <c r="K11" s="217"/>
      <c r="L11" s="217"/>
      <c r="M11" s="217"/>
      <c r="N11" s="217"/>
      <c r="O11" s="217"/>
      <c r="P11" s="217"/>
      <c r="Q11" s="217"/>
      <c r="R11" s="217"/>
      <c r="S11" s="217"/>
      <c r="T11" s="217"/>
      <c r="U11" s="217"/>
      <c r="V11" s="217"/>
      <c r="W11" s="217"/>
      <c r="X11" s="217"/>
      <c r="Y11" s="217"/>
      <c r="Z11" s="218"/>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198" t="s">
        <v>124</v>
      </c>
      <c r="B13" s="198"/>
      <c r="C13" s="198"/>
      <c r="D13" s="198"/>
      <c r="E13" s="198"/>
      <c r="F13" s="198"/>
      <c r="G13" s="198"/>
      <c r="H13" s="198"/>
      <c r="I13" s="198"/>
      <c r="J13" s="198"/>
      <c r="K13" s="198"/>
      <c r="L13" s="198"/>
      <c r="M13" s="198"/>
      <c r="N13" s="198"/>
      <c r="O13" s="198"/>
      <c r="P13" s="198"/>
      <c r="Q13" s="198"/>
      <c r="R13" s="198"/>
      <c r="S13" s="198"/>
      <c r="T13" s="198"/>
      <c r="U13" s="198"/>
      <c r="V13" s="198"/>
      <c r="W13" s="198"/>
      <c r="X13" s="198"/>
      <c r="Y13" s="198"/>
      <c r="Z13" s="198"/>
    </row>
    <row r="14" spans="1:26" ht="18" customHeight="1" x14ac:dyDescent="0.15">
      <c r="A14" s="198"/>
      <c r="B14" s="198"/>
      <c r="C14" s="198"/>
      <c r="D14" s="198"/>
      <c r="E14" s="198"/>
      <c r="F14" s="198"/>
      <c r="G14" s="198"/>
      <c r="H14" s="198"/>
      <c r="I14" s="198"/>
      <c r="J14" s="198"/>
      <c r="K14" s="198"/>
      <c r="L14" s="198"/>
      <c r="M14" s="198"/>
      <c r="N14" s="198"/>
      <c r="O14" s="198"/>
      <c r="P14" s="198"/>
      <c r="Q14" s="198"/>
      <c r="R14" s="198"/>
      <c r="S14" s="198"/>
      <c r="T14" s="198"/>
      <c r="U14" s="198"/>
      <c r="V14" s="198"/>
      <c r="W14" s="198"/>
      <c r="X14" s="198"/>
      <c r="Y14" s="198"/>
      <c r="Z14" s="198"/>
    </row>
    <row r="15" spans="1:26" ht="18" customHeight="1" x14ac:dyDescent="0.15">
      <c r="A15" s="14"/>
      <c r="B15" s="149" t="s">
        <v>99</v>
      </c>
      <c r="C15" s="150"/>
      <c r="D15" s="150"/>
      <c r="E15" s="150"/>
      <c r="F15" s="151"/>
      <c r="G15" s="30" t="s">
        <v>140</v>
      </c>
      <c r="H15" s="110" t="s">
        <v>139</v>
      </c>
      <c r="I15" s="150" t="s">
        <v>100</v>
      </c>
      <c r="J15" s="150"/>
      <c r="K15" s="150"/>
      <c r="L15" s="73" t="s">
        <v>103</v>
      </c>
      <c r="M15" s="73" t="s">
        <v>106</v>
      </c>
      <c r="N15" s="149" t="s">
        <v>99</v>
      </c>
      <c r="O15" s="150"/>
      <c r="P15" s="150"/>
      <c r="Q15" s="150"/>
      <c r="R15" s="150"/>
      <c r="S15" s="151"/>
      <c r="T15" s="30" t="s">
        <v>140</v>
      </c>
      <c r="U15" s="110" t="s">
        <v>139</v>
      </c>
      <c r="V15" s="150" t="s">
        <v>100</v>
      </c>
      <c r="W15" s="150"/>
      <c r="X15" s="150"/>
      <c r="Y15" s="73" t="s">
        <v>103</v>
      </c>
      <c r="Z15" s="73" t="s">
        <v>106</v>
      </c>
    </row>
    <row r="16" spans="1:26" ht="18" customHeight="1" x14ac:dyDescent="0.15">
      <c r="A16" s="14"/>
      <c r="B16" s="199" t="s">
        <v>171</v>
      </c>
      <c r="C16" s="200"/>
      <c r="D16" s="200"/>
      <c r="E16" s="200"/>
      <c r="F16" s="201"/>
      <c r="G16" s="111">
        <v>1</v>
      </c>
      <c r="H16" s="111" t="s">
        <v>173</v>
      </c>
      <c r="I16" s="195" t="s">
        <v>174</v>
      </c>
      <c r="J16" s="196"/>
      <c r="K16" s="197"/>
      <c r="L16" s="111" t="s">
        <v>173</v>
      </c>
      <c r="M16" s="111" t="s">
        <v>173</v>
      </c>
      <c r="N16" s="183"/>
      <c r="O16" s="184"/>
      <c r="P16" s="184"/>
      <c r="Q16" s="184"/>
      <c r="R16" s="184"/>
      <c r="S16" s="185"/>
      <c r="T16" s="111"/>
      <c r="U16" s="111"/>
      <c r="V16" s="195"/>
      <c r="W16" s="196"/>
      <c r="X16" s="197"/>
      <c r="Y16" s="111"/>
      <c r="Z16" s="111"/>
    </row>
    <row r="17" spans="1:26" ht="18" customHeight="1" x14ac:dyDescent="0.15">
      <c r="A17" s="14"/>
      <c r="B17" s="202" t="s">
        <v>208</v>
      </c>
      <c r="C17" s="203"/>
      <c r="D17" s="203"/>
      <c r="E17" s="203"/>
      <c r="F17" s="204"/>
      <c r="G17" s="112">
        <v>2</v>
      </c>
      <c r="H17" s="112" t="s">
        <v>173</v>
      </c>
      <c r="I17" s="192" t="s">
        <v>174</v>
      </c>
      <c r="J17" s="193"/>
      <c r="K17" s="194"/>
      <c r="L17" s="112" t="s">
        <v>173</v>
      </c>
      <c r="M17" s="112"/>
      <c r="N17" s="156"/>
      <c r="O17" s="157"/>
      <c r="P17" s="157"/>
      <c r="Q17" s="157"/>
      <c r="R17" s="157"/>
      <c r="S17" s="158"/>
      <c r="T17" s="112"/>
      <c r="U17" s="112"/>
      <c r="V17" s="192"/>
      <c r="W17" s="193"/>
      <c r="X17" s="194"/>
      <c r="Y17" s="112"/>
      <c r="Z17" s="112"/>
    </row>
    <row r="18" spans="1:26" ht="18" customHeight="1" x14ac:dyDescent="0.15">
      <c r="A18" s="14"/>
      <c r="B18" s="202"/>
      <c r="C18" s="203"/>
      <c r="D18" s="203"/>
      <c r="E18" s="203"/>
      <c r="F18" s="204"/>
      <c r="G18" s="112"/>
      <c r="H18" s="112"/>
      <c r="I18" s="192"/>
      <c r="J18" s="193"/>
      <c r="K18" s="194"/>
      <c r="L18" s="112"/>
      <c r="M18" s="112"/>
      <c r="N18" s="156"/>
      <c r="O18" s="157"/>
      <c r="P18" s="157"/>
      <c r="Q18" s="157"/>
      <c r="R18" s="157"/>
      <c r="S18" s="158"/>
      <c r="T18" s="112"/>
      <c r="U18" s="112"/>
      <c r="V18" s="192"/>
      <c r="W18" s="193"/>
      <c r="X18" s="194"/>
      <c r="Y18" s="112"/>
      <c r="Z18" s="112"/>
    </row>
    <row r="19" spans="1:26" ht="18" customHeight="1" x14ac:dyDescent="0.15">
      <c r="A19" s="14"/>
      <c r="B19" s="202"/>
      <c r="C19" s="203"/>
      <c r="D19" s="203"/>
      <c r="E19" s="203"/>
      <c r="F19" s="204"/>
      <c r="G19" s="112"/>
      <c r="H19" s="112"/>
      <c r="I19" s="192"/>
      <c r="J19" s="193"/>
      <c r="K19" s="194"/>
      <c r="L19" s="112"/>
      <c r="M19" s="112"/>
      <c r="N19" s="156"/>
      <c r="O19" s="157"/>
      <c r="P19" s="157"/>
      <c r="Q19" s="157"/>
      <c r="R19" s="157"/>
      <c r="S19" s="158"/>
      <c r="T19" s="112"/>
      <c r="U19" s="112"/>
      <c r="V19" s="192"/>
      <c r="W19" s="193"/>
      <c r="X19" s="194"/>
      <c r="Y19" s="112"/>
      <c r="Z19" s="112"/>
    </row>
    <row r="20" spans="1:26" ht="18" customHeight="1" x14ac:dyDescent="0.15">
      <c r="A20" s="14"/>
      <c r="B20" s="202"/>
      <c r="C20" s="203"/>
      <c r="D20" s="203"/>
      <c r="E20" s="203"/>
      <c r="F20" s="204"/>
      <c r="G20" s="112"/>
      <c r="H20" s="112"/>
      <c r="I20" s="192"/>
      <c r="J20" s="193"/>
      <c r="K20" s="194"/>
      <c r="L20" s="112"/>
      <c r="M20" s="112"/>
      <c r="N20" s="156"/>
      <c r="O20" s="157"/>
      <c r="P20" s="157"/>
      <c r="Q20" s="157"/>
      <c r="R20" s="157"/>
      <c r="S20" s="158"/>
      <c r="T20" s="112"/>
      <c r="U20" s="112"/>
      <c r="V20" s="192"/>
      <c r="W20" s="193"/>
      <c r="X20" s="194"/>
      <c r="Y20" s="112"/>
      <c r="Z20" s="112"/>
    </row>
    <row r="21" spans="1:26" ht="18" customHeight="1" x14ac:dyDescent="0.15">
      <c r="A21" s="29"/>
      <c r="B21" s="202"/>
      <c r="C21" s="203"/>
      <c r="D21" s="203"/>
      <c r="E21" s="203"/>
      <c r="F21" s="204"/>
      <c r="G21" s="112"/>
      <c r="H21" s="112"/>
      <c r="I21" s="192"/>
      <c r="J21" s="193"/>
      <c r="K21" s="194"/>
      <c r="L21" s="112"/>
      <c r="M21" s="112"/>
      <c r="N21" s="156"/>
      <c r="O21" s="157"/>
      <c r="P21" s="157"/>
      <c r="Q21" s="157"/>
      <c r="R21" s="157"/>
      <c r="S21" s="158"/>
      <c r="T21" s="112"/>
      <c r="U21" s="112"/>
      <c r="V21" s="192"/>
      <c r="W21" s="193"/>
      <c r="X21" s="194"/>
      <c r="Y21" s="112"/>
      <c r="Z21" s="112"/>
    </row>
    <row r="22" spans="1:26" ht="18" customHeight="1" x14ac:dyDescent="0.15">
      <c r="A22" s="29"/>
      <c r="B22" s="205"/>
      <c r="C22" s="206"/>
      <c r="D22" s="206"/>
      <c r="E22" s="206"/>
      <c r="F22" s="207"/>
      <c r="G22" s="113"/>
      <c r="H22" s="113"/>
      <c r="I22" s="189"/>
      <c r="J22" s="190"/>
      <c r="K22" s="191"/>
      <c r="L22" s="118"/>
      <c r="M22" s="118"/>
      <c r="N22" s="219"/>
      <c r="O22" s="220"/>
      <c r="P22" s="220"/>
      <c r="Q22" s="220"/>
      <c r="R22" s="220"/>
      <c r="S22" s="221"/>
      <c r="T22" s="113"/>
      <c r="U22" s="113"/>
      <c r="V22" s="189"/>
      <c r="W22" s="190"/>
      <c r="X22" s="191"/>
      <c r="Y22" s="118"/>
      <c r="Z22" s="118"/>
    </row>
    <row r="23" spans="1:26" ht="7.5" customHeight="1" x14ac:dyDescent="0.15">
      <c r="A23" s="29"/>
      <c r="B23" s="74"/>
      <c r="C23" s="74"/>
      <c r="D23" s="29"/>
      <c r="E23" s="29"/>
      <c r="F23" s="29"/>
      <c r="G23" s="29"/>
      <c r="H23" s="29"/>
      <c r="I23" s="29"/>
      <c r="J23" s="29"/>
      <c r="K23" s="29"/>
      <c r="L23" s="74"/>
      <c r="M23" s="74"/>
      <c r="N23" s="74"/>
      <c r="O23" s="74"/>
      <c r="P23" s="74"/>
      <c r="Q23" s="74"/>
      <c r="R23" s="74"/>
      <c r="S23" s="74"/>
      <c r="T23" s="74"/>
      <c r="U23" s="74"/>
      <c r="V23" s="74"/>
      <c r="W23" s="74"/>
      <c r="X23" s="74"/>
      <c r="Y23" s="74"/>
      <c r="Z23" s="29"/>
    </row>
    <row r="24" spans="1:26" ht="18" customHeight="1" x14ac:dyDescent="0.15">
      <c r="A24" s="198" t="s">
        <v>125</v>
      </c>
      <c r="B24" s="198"/>
      <c r="C24" s="198"/>
      <c r="D24" s="198"/>
      <c r="E24" s="198"/>
      <c r="F24" s="198"/>
      <c r="G24" s="198"/>
      <c r="H24" s="198"/>
      <c r="I24" s="198"/>
      <c r="J24" s="198"/>
      <c r="K24" s="198"/>
      <c r="L24" s="198"/>
      <c r="M24" s="198"/>
      <c r="N24" s="198"/>
      <c r="O24" s="198"/>
      <c r="P24" s="198"/>
      <c r="Q24" s="198"/>
      <c r="R24" s="198"/>
      <c r="S24" s="198"/>
      <c r="T24" s="198"/>
      <c r="U24" s="198"/>
      <c r="V24" s="198"/>
      <c r="W24" s="198"/>
      <c r="X24" s="198"/>
      <c r="Y24" s="198"/>
      <c r="Z24" s="198"/>
    </row>
    <row r="25" spans="1:26" ht="18" customHeight="1" x14ac:dyDescent="0.15">
      <c r="A25" s="198"/>
      <c r="B25" s="198"/>
      <c r="C25" s="198"/>
      <c r="D25" s="198"/>
      <c r="E25" s="198"/>
      <c r="F25" s="198"/>
      <c r="G25" s="198"/>
      <c r="H25" s="198"/>
      <c r="I25" s="198"/>
      <c r="J25" s="198"/>
      <c r="K25" s="198"/>
      <c r="L25" s="198"/>
      <c r="M25" s="198"/>
      <c r="N25" s="198"/>
      <c r="O25" s="198"/>
      <c r="P25" s="198"/>
      <c r="Q25" s="198"/>
      <c r="R25" s="198"/>
      <c r="S25" s="198"/>
      <c r="T25" s="198"/>
      <c r="U25" s="198"/>
      <c r="V25" s="198"/>
      <c r="W25" s="198"/>
      <c r="X25" s="198"/>
      <c r="Y25" s="198"/>
      <c r="Z25" s="198"/>
    </row>
    <row r="26" spans="1:26" ht="18" customHeight="1" x14ac:dyDescent="0.15">
      <c r="A26" s="14"/>
      <c r="B26" s="149" t="s">
        <v>99</v>
      </c>
      <c r="C26" s="150"/>
      <c r="D26" s="150"/>
      <c r="E26" s="150"/>
      <c r="F26" s="151"/>
      <c r="G26" s="30" t="s">
        <v>140</v>
      </c>
      <c r="H26" s="110" t="s">
        <v>139</v>
      </c>
      <c r="I26" s="150" t="s">
        <v>100</v>
      </c>
      <c r="J26" s="150"/>
      <c r="K26" s="150"/>
      <c r="L26" s="73" t="s">
        <v>126</v>
      </c>
      <c r="M26" s="73" t="s">
        <v>127</v>
      </c>
      <c r="N26" s="149" t="s">
        <v>99</v>
      </c>
      <c r="O26" s="150"/>
      <c r="P26" s="150"/>
      <c r="Q26" s="150"/>
      <c r="R26" s="150"/>
      <c r="S26" s="151"/>
      <c r="T26" s="30" t="s">
        <v>140</v>
      </c>
      <c r="U26" s="110" t="s">
        <v>139</v>
      </c>
      <c r="V26" s="150" t="s">
        <v>100</v>
      </c>
      <c r="W26" s="150"/>
      <c r="X26" s="150"/>
      <c r="Y26" s="73" t="s">
        <v>126</v>
      </c>
      <c r="Z26" s="73" t="s">
        <v>127</v>
      </c>
    </row>
    <row r="27" spans="1:26" ht="18" customHeight="1" x14ac:dyDescent="0.15">
      <c r="A27" s="14"/>
      <c r="B27" s="199" t="s">
        <v>171</v>
      </c>
      <c r="C27" s="200"/>
      <c r="D27" s="200"/>
      <c r="E27" s="200"/>
      <c r="F27" s="201"/>
      <c r="G27" s="111">
        <v>1</v>
      </c>
      <c r="H27" s="111" t="s">
        <v>173</v>
      </c>
      <c r="I27" s="195" t="s">
        <v>174</v>
      </c>
      <c r="J27" s="196"/>
      <c r="K27" s="197"/>
      <c r="L27" s="111" t="s">
        <v>173</v>
      </c>
      <c r="M27" s="111" t="s">
        <v>173</v>
      </c>
      <c r="N27" s="183"/>
      <c r="O27" s="184"/>
      <c r="P27" s="184"/>
      <c r="Q27" s="184"/>
      <c r="R27" s="184"/>
      <c r="S27" s="185"/>
      <c r="T27" s="111"/>
      <c r="U27" s="111"/>
      <c r="V27" s="195"/>
      <c r="W27" s="196"/>
      <c r="X27" s="197"/>
      <c r="Y27" s="111"/>
      <c r="Z27" s="111"/>
    </row>
    <row r="28" spans="1:26" ht="18" customHeight="1" x14ac:dyDescent="0.15">
      <c r="A28" s="14"/>
      <c r="B28" s="202" t="s">
        <v>208</v>
      </c>
      <c r="C28" s="203"/>
      <c r="D28" s="203"/>
      <c r="E28" s="203"/>
      <c r="F28" s="204"/>
      <c r="G28" s="112">
        <v>2</v>
      </c>
      <c r="H28" s="112" t="s">
        <v>173</v>
      </c>
      <c r="I28" s="192" t="s">
        <v>174</v>
      </c>
      <c r="J28" s="193"/>
      <c r="K28" s="194"/>
      <c r="L28" s="112" t="s">
        <v>173</v>
      </c>
      <c r="M28" s="112"/>
      <c r="N28" s="156"/>
      <c r="O28" s="157"/>
      <c r="P28" s="157"/>
      <c r="Q28" s="157"/>
      <c r="R28" s="157"/>
      <c r="S28" s="158"/>
      <c r="T28" s="112"/>
      <c r="U28" s="112"/>
      <c r="V28" s="192"/>
      <c r="W28" s="193"/>
      <c r="X28" s="194"/>
      <c r="Y28" s="112"/>
      <c r="Z28" s="112"/>
    </row>
    <row r="29" spans="1:26" ht="18" customHeight="1" x14ac:dyDescent="0.15">
      <c r="A29" s="14"/>
      <c r="B29" s="202"/>
      <c r="C29" s="203"/>
      <c r="D29" s="203"/>
      <c r="E29" s="203"/>
      <c r="F29" s="204"/>
      <c r="G29" s="112"/>
      <c r="H29" s="112"/>
      <c r="I29" s="192"/>
      <c r="J29" s="193"/>
      <c r="K29" s="194"/>
      <c r="L29" s="112"/>
      <c r="M29" s="112"/>
      <c r="N29" s="156"/>
      <c r="O29" s="157"/>
      <c r="P29" s="157"/>
      <c r="Q29" s="157"/>
      <c r="R29" s="157"/>
      <c r="S29" s="158"/>
      <c r="T29" s="112"/>
      <c r="U29" s="112"/>
      <c r="V29" s="192"/>
      <c r="W29" s="193"/>
      <c r="X29" s="194"/>
      <c r="Y29" s="112"/>
      <c r="Z29" s="112"/>
    </row>
    <row r="30" spans="1:26" ht="18" customHeight="1" x14ac:dyDescent="0.15">
      <c r="A30" s="14"/>
      <c r="B30" s="202"/>
      <c r="C30" s="203"/>
      <c r="D30" s="203"/>
      <c r="E30" s="203"/>
      <c r="F30" s="204"/>
      <c r="G30" s="112"/>
      <c r="H30" s="112"/>
      <c r="I30" s="192"/>
      <c r="J30" s="193"/>
      <c r="K30" s="194"/>
      <c r="L30" s="112"/>
      <c r="M30" s="112"/>
      <c r="N30" s="156"/>
      <c r="O30" s="157"/>
      <c r="P30" s="157"/>
      <c r="Q30" s="157"/>
      <c r="R30" s="157"/>
      <c r="S30" s="158"/>
      <c r="T30" s="112"/>
      <c r="U30" s="112"/>
      <c r="V30" s="192"/>
      <c r="W30" s="193"/>
      <c r="X30" s="194"/>
      <c r="Y30" s="112"/>
      <c r="Z30" s="112"/>
    </row>
    <row r="31" spans="1:26" ht="18" customHeight="1" x14ac:dyDescent="0.15">
      <c r="A31" s="14"/>
      <c r="B31" s="202"/>
      <c r="C31" s="203"/>
      <c r="D31" s="203"/>
      <c r="E31" s="203"/>
      <c r="F31" s="204"/>
      <c r="G31" s="112"/>
      <c r="H31" s="112"/>
      <c r="I31" s="192"/>
      <c r="J31" s="193"/>
      <c r="K31" s="194"/>
      <c r="L31" s="112"/>
      <c r="M31" s="112"/>
      <c r="N31" s="156"/>
      <c r="O31" s="157"/>
      <c r="P31" s="157"/>
      <c r="Q31" s="157"/>
      <c r="R31" s="157"/>
      <c r="S31" s="158"/>
      <c r="T31" s="112"/>
      <c r="U31" s="112"/>
      <c r="V31" s="192"/>
      <c r="W31" s="193"/>
      <c r="X31" s="194"/>
      <c r="Y31" s="112"/>
      <c r="Z31" s="112"/>
    </row>
    <row r="32" spans="1:26" ht="18" customHeight="1" x14ac:dyDescent="0.15">
      <c r="A32" s="14"/>
      <c r="B32" s="202"/>
      <c r="C32" s="203"/>
      <c r="D32" s="203"/>
      <c r="E32" s="203"/>
      <c r="F32" s="204"/>
      <c r="G32" s="112"/>
      <c r="H32" s="112"/>
      <c r="I32" s="192"/>
      <c r="J32" s="193"/>
      <c r="K32" s="194"/>
      <c r="L32" s="112"/>
      <c r="M32" s="112"/>
      <c r="N32" s="156"/>
      <c r="O32" s="157"/>
      <c r="P32" s="157"/>
      <c r="Q32" s="157"/>
      <c r="R32" s="157"/>
      <c r="S32" s="158"/>
      <c r="T32" s="112"/>
      <c r="U32" s="112"/>
      <c r="V32" s="192"/>
      <c r="W32" s="193"/>
      <c r="X32" s="194"/>
      <c r="Y32" s="112"/>
      <c r="Z32" s="112"/>
    </row>
    <row r="33" spans="1:26" ht="18" customHeight="1" x14ac:dyDescent="0.15">
      <c r="A33" s="14"/>
      <c r="B33" s="205"/>
      <c r="C33" s="206"/>
      <c r="D33" s="206"/>
      <c r="E33" s="206"/>
      <c r="F33" s="207"/>
      <c r="G33" s="113"/>
      <c r="H33" s="113"/>
      <c r="I33" s="189"/>
      <c r="J33" s="190"/>
      <c r="K33" s="191"/>
      <c r="L33" s="118"/>
      <c r="M33" s="118"/>
      <c r="N33" s="219"/>
      <c r="O33" s="220"/>
      <c r="P33" s="220"/>
      <c r="Q33" s="220"/>
      <c r="R33" s="220"/>
      <c r="S33" s="221"/>
      <c r="T33" s="113"/>
      <c r="U33" s="113"/>
      <c r="V33" s="189"/>
      <c r="W33" s="190"/>
      <c r="X33" s="191"/>
      <c r="Y33" s="118"/>
      <c r="Z33" s="118"/>
    </row>
    <row r="34" spans="1:26" ht="7.5" customHeight="1" x14ac:dyDescent="0.15">
      <c r="A34" s="29"/>
      <c r="B34" s="74"/>
      <c r="C34" s="74"/>
      <c r="D34" s="29"/>
      <c r="E34" s="29"/>
      <c r="F34" s="29"/>
      <c r="G34" s="29"/>
      <c r="H34" s="29"/>
      <c r="I34" s="29"/>
      <c r="J34" s="29"/>
      <c r="K34" s="29"/>
      <c r="L34" s="74"/>
      <c r="M34" s="74"/>
      <c r="N34" s="74"/>
      <c r="O34" s="74"/>
      <c r="P34" s="74"/>
      <c r="Q34" s="74"/>
      <c r="R34" s="74"/>
      <c r="S34" s="74"/>
      <c r="T34" s="74"/>
      <c r="U34" s="74"/>
      <c r="V34" s="74"/>
      <c r="W34" s="74"/>
      <c r="X34" s="74"/>
      <c r="Y34" s="74"/>
      <c r="Z34" s="29"/>
    </row>
    <row r="35" spans="1:26" ht="18" customHeight="1" x14ac:dyDescent="0.15">
      <c r="A35" s="198" t="s">
        <v>128</v>
      </c>
      <c r="B35" s="198"/>
      <c r="C35" s="198"/>
      <c r="D35" s="198"/>
      <c r="E35" s="198"/>
      <c r="F35" s="198"/>
      <c r="G35" s="198"/>
      <c r="H35" s="198"/>
      <c r="I35" s="198"/>
      <c r="J35" s="198"/>
      <c r="K35" s="198"/>
      <c r="L35" s="198"/>
      <c r="M35" s="198"/>
      <c r="N35" s="198"/>
      <c r="O35" s="198"/>
      <c r="P35" s="198"/>
      <c r="Q35" s="198"/>
      <c r="R35" s="198"/>
      <c r="S35" s="198"/>
      <c r="T35" s="198"/>
      <c r="U35" s="198"/>
      <c r="V35" s="198"/>
      <c r="W35" s="198"/>
      <c r="X35" s="198"/>
      <c r="Y35" s="198"/>
      <c r="Z35" s="198"/>
    </row>
    <row r="36" spans="1:26" ht="18" customHeight="1" x14ac:dyDescent="0.15">
      <c r="A36" s="198"/>
      <c r="B36" s="198"/>
      <c r="C36" s="198"/>
      <c r="D36" s="198"/>
      <c r="E36" s="198"/>
      <c r="F36" s="198"/>
      <c r="G36" s="198"/>
      <c r="H36" s="198"/>
      <c r="I36" s="198"/>
      <c r="J36" s="198"/>
      <c r="K36" s="198"/>
      <c r="L36" s="198"/>
      <c r="M36" s="198"/>
      <c r="N36" s="198"/>
      <c r="O36" s="198"/>
      <c r="P36" s="198"/>
      <c r="Q36" s="198"/>
      <c r="R36" s="198"/>
      <c r="S36" s="198"/>
      <c r="T36" s="198"/>
      <c r="U36" s="198"/>
      <c r="V36" s="198"/>
      <c r="W36" s="198"/>
      <c r="X36" s="198"/>
      <c r="Y36" s="198"/>
      <c r="Z36" s="198"/>
    </row>
    <row r="37" spans="1:26" ht="18" customHeight="1" x14ac:dyDescent="0.15">
      <c r="A37" s="14"/>
      <c r="B37" s="149" t="s">
        <v>99</v>
      </c>
      <c r="C37" s="150"/>
      <c r="D37" s="150"/>
      <c r="E37" s="150"/>
      <c r="F37" s="151"/>
      <c r="G37" s="30" t="s">
        <v>140</v>
      </c>
      <c r="H37" s="110" t="s">
        <v>139</v>
      </c>
      <c r="I37" s="149" t="s">
        <v>100</v>
      </c>
      <c r="J37" s="150"/>
      <c r="K37" s="151"/>
      <c r="L37" s="73" t="s">
        <v>129</v>
      </c>
      <c r="M37" s="73" t="s">
        <v>130</v>
      </c>
      <c r="N37" s="149" t="s">
        <v>99</v>
      </c>
      <c r="O37" s="150"/>
      <c r="P37" s="150"/>
      <c r="Q37" s="150"/>
      <c r="R37" s="150"/>
      <c r="S37" s="151"/>
      <c r="T37" s="30" t="s">
        <v>140</v>
      </c>
      <c r="U37" s="110" t="s">
        <v>139</v>
      </c>
      <c r="V37" s="149" t="s">
        <v>100</v>
      </c>
      <c r="W37" s="150"/>
      <c r="X37" s="151"/>
      <c r="Y37" s="73" t="s">
        <v>129</v>
      </c>
      <c r="Z37" s="73" t="s">
        <v>130</v>
      </c>
    </row>
    <row r="38" spans="1:26" ht="18" customHeight="1" x14ac:dyDescent="0.15">
      <c r="A38" s="29"/>
      <c r="B38" s="199" t="s">
        <v>171</v>
      </c>
      <c r="C38" s="200"/>
      <c r="D38" s="200"/>
      <c r="E38" s="200"/>
      <c r="F38" s="201"/>
      <c r="G38" s="111">
        <v>1</v>
      </c>
      <c r="H38" s="111" t="s">
        <v>173</v>
      </c>
      <c r="I38" s="195" t="s">
        <v>174</v>
      </c>
      <c r="J38" s="196"/>
      <c r="K38" s="197"/>
      <c r="L38" s="111" t="s">
        <v>173</v>
      </c>
      <c r="M38" s="111" t="s">
        <v>173</v>
      </c>
      <c r="N38" s="183"/>
      <c r="O38" s="184"/>
      <c r="P38" s="184"/>
      <c r="Q38" s="184"/>
      <c r="R38" s="184"/>
      <c r="S38" s="185"/>
      <c r="T38" s="111"/>
      <c r="U38" s="111"/>
      <c r="V38" s="195"/>
      <c r="W38" s="196"/>
      <c r="X38" s="197"/>
      <c r="Y38" s="111"/>
      <c r="Z38" s="111"/>
    </row>
    <row r="39" spans="1:26" ht="18" customHeight="1" x14ac:dyDescent="0.15">
      <c r="A39" s="29"/>
      <c r="B39" s="202"/>
      <c r="C39" s="203"/>
      <c r="D39" s="203"/>
      <c r="E39" s="203"/>
      <c r="F39" s="204"/>
      <c r="G39" s="112"/>
      <c r="H39" s="112"/>
      <c r="I39" s="192"/>
      <c r="J39" s="193"/>
      <c r="K39" s="194"/>
      <c r="L39" s="112"/>
      <c r="M39" s="112"/>
      <c r="N39" s="156"/>
      <c r="O39" s="157"/>
      <c r="P39" s="157"/>
      <c r="Q39" s="157"/>
      <c r="R39" s="157"/>
      <c r="S39" s="158"/>
      <c r="T39" s="112"/>
      <c r="U39" s="112"/>
      <c r="V39" s="192"/>
      <c r="W39" s="193"/>
      <c r="X39" s="194"/>
      <c r="Y39" s="112"/>
      <c r="Z39" s="112"/>
    </row>
    <row r="40" spans="1:26" ht="18" customHeight="1" x14ac:dyDescent="0.15">
      <c r="A40" s="29"/>
      <c r="B40" s="202"/>
      <c r="C40" s="203"/>
      <c r="D40" s="203"/>
      <c r="E40" s="203"/>
      <c r="F40" s="204"/>
      <c r="G40" s="112"/>
      <c r="H40" s="112"/>
      <c r="I40" s="192"/>
      <c r="J40" s="193"/>
      <c r="K40" s="194"/>
      <c r="L40" s="112"/>
      <c r="M40" s="112"/>
      <c r="N40" s="156"/>
      <c r="O40" s="157"/>
      <c r="P40" s="157"/>
      <c r="Q40" s="157"/>
      <c r="R40" s="157"/>
      <c r="S40" s="158"/>
      <c r="T40" s="112"/>
      <c r="U40" s="112"/>
      <c r="V40" s="192"/>
      <c r="W40" s="193"/>
      <c r="X40" s="194"/>
      <c r="Y40" s="112"/>
      <c r="Z40" s="112"/>
    </row>
    <row r="41" spans="1:26" ht="18" customHeight="1" x14ac:dyDescent="0.15">
      <c r="A41" s="29"/>
      <c r="B41" s="202"/>
      <c r="C41" s="203"/>
      <c r="D41" s="203"/>
      <c r="E41" s="203"/>
      <c r="F41" s="204"/>
      <c r="G41" s="112"/>
      <c r="H41" s="112"/>
      <c r="I41" s="192"/>
      <c r="J41" s="193"/>
      <c r="K41" s="194"/>
      <c r="L41" s="112"/>
      <c r="M41" s="112"/>
      <c r="N41" s="156"/>
      <c r="O41" s="157"/>
      <c r="P41" s="157"/>
      <c r="Q41" s="157"/>
      <c r="R41" s="157"/>
      <c r="S41" s="158"/>
      <c r="T41" s="112"/>
      <c r="U41" s="112"/>
      <c r="V41" s="192"/>
      <c r="W41" s="193"/>
      <c r="X41" s="194"/>
      <c r="Y41" s="112"/>
      <c r="Z41" s="112"/>
    </row>
    <row r="42" spans="1:26" ht="18" customHeight="1" x14ac:dyDescent="0.15">
      <c r="A42" s="29"/>
      <c r="B42" s="202"/>
      <c r="C42" s="203"/>
      <c r="D42" s="203"/>
      <c r="E42" s="203"/>
      <c r="F42" s="204"/>
      <c r="G42" s="112"/>
      <c r="H42" s="112"/>
      <c r="I42" s="192"/>
      <c r="J42" s="193"/>
      <c r="K42" s="194"/>
      <c r="L42" s="112"/>
      <c r="M42" s="112"/>
      <c r="N42" s="156"/>
      <c r="O42" s="157"/>
      <c r="P42" s="157"/>
      <c r="Q42" s="157"/>
      <c r="R42" s="157"/>
      <c r="S42" s="158"/>
      <c r="T42" s="112"/>
      <c r="U42" s="112"/>
      <c r="V42" s="192"/>
      <c r="W42" s="193"/>
      <c r="X42" s="194"/>
      <c r="Y42" s="112"/>
      <c r="Z42" s="112"/>
    </row>
    <row r="43" spans="1:26" ht="18" customHeight="1" x14ac:dyDescent="0.15">
      <c r="A43" s="29"/>
      <c r="B43" s="202"/>
      <c r="C43" s="203"/>
      <c r="D43" s="203"/>
      <c r="E43" s="203"/>
      <c r="F43" s="204"/>
      <c r="G43" s="112"/>
      <c r="H43" s="112"/>
      <c r="I43" s="192"/>
      <c r="J43" s="193"/>
      <c r="K43" s="194"/>
      <c r="L43" s="112"/>
      <c r="M43" s="112"/>
      <c r="N43" s="156"/>
      <c r="O43" s="157"/>
      <c r="P43" s="157"/>
      <c r="Q43" s="157"/>
      <c r="R43" s="157"/>
      <c r="S43" s="158"/>
      <c r="T43" s="112"/>
      <c r="U43" s="112"/>
      <c r="V43" s="192"/>
      <c r="W43" s="193"/>
      <c r="X43" s="194"/>
      <c r="Y43" s="112"/>
      <c r="Z43" s="112"/>
    </row>
    <row r="44" spans="1:26" ht="18" customHeight="1" x14ac:dyDescent="0.15">
      <c r="A44" s="29"/>
      <c r="B44" s="205"/>
      <c r="C44" s="206"/>
      <c r="D44" s="206"/>
      <c r="E44" s="206"/>
      <c r="F44" s="207"/>
      <c r="G44" s="113"/>
      <c r="H44" s="113"/>
      <c r="I44" s="189"/>
      <c r="J44" s="190"/>
      <c r="K44" s="191"/>
      <c r="L44" s="118"/>
      <c r="M44" s="118"/>
      <c r="N44" s="219"/>
      <c r="O44" s="220"/>
      <c r="P44" s="220"/>
      <c r="Q44" s="220"/>
      <c r="R44" s="220"/>
      <c r="S44" s="221"/>
      <c r="T44" s="113"/>
      <c r="U44" s="113"/>
      <c r="V44" s="189"/>
      <c r="W44" s="190"/>
      <c r="X44" s="191"/>
      <c r="Y44" s="118"/>
      <c r="Z44" s="118"/>
    </row>
    <row r="45" spans="1:26" ht="7.5" customHeight="1" x14ac:dyDescent="0.15">
      <c r="B45" s="75"/>
      <c r="C45" s="75"/>
      <c r="D45" s="75"/>
      <c r="E45" s="75"/>
      <c r="F45" s="75"/>
      <c r="G45" s="75"/>
      <c r="H45" s="75"/>
      <c r="I45" s="75"/>
      <c r="J45" s="75"/>
      <c r="K45" s="75"/>
      <c r="L45" s="75"/>
      <c r="M45" s="75"/>
      <c r="N45" s="75"/>
      <c r="O45" s="75"/>
      <c r="P45" s="75"/>
      <c r="Q45" s="75"/>
      <c r="R45" s="75"/>
      <c r="S45" s="75"/>
      <c r="T45" s="75"/>
      <c r="U45" s="75"/>
      <c r="V45" s="75"/>
      <c r="W45" s="75"/>
      <c r="X45" s="75"/>
      <c r="Y45" s="75"/>
    </row>
    <row r="46" spans="1:26" ht="18" customHeight="1" x14ac:dyDescent="0.15">
      <c r="A46" s="198" t="s">
        <v>131</v>
      </c>
      <c r="B46" s="198"/>
      <c r="C46" s="198"/>
      <c r="D46" s="198"/>
      <c r="E46" s="198"/>
      <c r="F46" s="198"/>
      <c r="G46" s="198"/>
      <c r="H46" s="198"/>
      <c r="I46" s="198"/>
      <c r="J46" s="198"/>
      <c r="K46" s="198"/>
      <c r="L46" s="198"/>
      <c r="M46" s="198"/>
      <c r="N46" s="198"/>
      <c r="O46" s="198"/>
      <c r="P46" s="198"/>
      <c r="Q46" s="198"/>
      <c r="R46" s="198"/>
      <c r="S46" s="198"/>
      <c r="T46" s="198"/>
      <c r="U46" s="198"/>
      <c r="V46" s="198"/>
      <c r="W46" s="198"/>
      <c r="X46" s="198"/>
      <c r="Y46" s="198"/>
      <c r="Z46" s="198"/>
    </row>
    <row r="47" spans="1:26" ht="18" customHeight="1" x14ac:dyDescent="0.15">
      <c r="A47" s="198"/>
      <c r="B47" s="198"/>
      <c r="C47" s="198"/>
      <c r="D47" s="198"/>
      <c r="E47" s="198"/>
      <c r="F47" s="198"/>
      <c r="G47" s="198"/>
      <c r="H47" s="198"/>
      <c r="I47" s="198"/>
      <c r="J47" s="198"/>
      <c r="K47" s="198"/>
      <c r="L47" s="198"/>
      <c r="M47" s="198"/>
      <c r="N47" s="198"/>
      <c r="O47" s="198"/>
      <c r="P47" s="198"/>
      <c r="Q47" s="198"/>
      <c r="R47" s="198"/>
      <c r="S47" s="198"/>
      <c r="T47" s="198"/>
      <c r="U47" s="198"/>
      <c r="V47" s="198"/>
      <c r="W47" s="198"/>
      <c r="X47" s="198"/>
      <c r="Y47" s="198"/>
      <c r="Z47" s="198"/>
    </row>
    <row r="48" spans="1:26" ht="18" customHeight="1" x14ac:dyDescent="0.15">
      <c r="A48" s="14"/>
      <c r="B48" s="149" t="s">
        <v>99</v>
      </c>
      <c r="C48" s="150"/>
      <c r="D48" s="150"/>
      <c r="E48" s="150"/>
      <c r="F48" s="151"/>
      <c r="G48" s="30" t="s">
        <v>140</v>
      </c>
      <c r="H48" s="110" t="s">
        <v>139</v>
      </c>
      <c r="I48" s="149" t="s">
        <v>100</v>
      </c>
      <c r="J48" s="150"/>
      <c r="K48" s="151"/>
      <c r="L48" s="73" t="s">
        <v>105</v>
      </c>
      <c r="M48" s="73" t="s">
        <v>107</v>
      </c>
      <c r="N48" s="149" t="s">
        <v>99</v>
      </c>
      <c r="O48" s="150"/>
      <c r="P48" s="150"/>
      <c r="Q48" s="150"/>
      <c r="R48" s="150"/>
      <c r="S48" s="151"/>
      <c r="T48" s="30" t="s">
        <v>140</v>
      </c>
      <c r="U48" s="110" t="s">
        <v>139</v>
      </c>
      <c r="V48" s="149" t="s">
        <v>100</v>
      </c>
      <c r="W48" s="150"/>
      <c r="X48" s="151"/>
      <c r="Y48" s="73" t="s">
        <v>105</v>
      </c>
      <c r="Z48" s="73" t="s">
        <v>107</v>
      </c>
    </row>
    <row r="49" spans="1:26" ht="18" customHeight="1" x14ac:dyDescent="0.15">
      <c r="A49" s="29"/>
      <c r="B49" s="199" t="s">
        <v>171</v>
      </c>
      <c r="C49" s="200"/>
      <c r="D49" s="200"/>
      <c r="E49" s="200"/>
      <c r="F49" s="201"/>
      <c r="G49" s="111">
        <v>1</v>
      </c>
      <c r="H49" s="111" t="s">
        <v>173</v>
      </c>
      <c r="I49" s="195" t="s">
        <v>174</v>
      </c>
      <c r="J49" s="196"/>
      <c r="K49" s="197"/>
      <c r="L49" s="111" t="s">
        <v>173</v>
      </c>
      <c r="M49" s="111" t="s">
        <v>173</v>
      </c>
      <c r="N49" s="183"/>
      <c r="O49" s="184"/>
      <c r="P49" s="184"/>
      <c r="Q49" s="184"/>
      <c r="R49" s="184"/>
      <c r="S49" s="185"/>
      <c r="T49" s="111"/>
      <c r="U49" s="111"/>
      <c r="V49" s="195"/>
      <c r="W49" s="196"/>
      <c r="X49" s="197"/>
      <c r="Y49" s="111"/>
      <c r="Z49" s="111"/>
    </row>
    <row r="50" spans="1:26" ht="18" customHeight="1" x14ac:dyDescent="0.15">
      <c r="A50" s="29"/>
      <c r="B50" s="202" t="s">
        <v>208</v>
      </c>
      <c r="C50" s="203"/>
      <c r="D50" s="203"/>
      <c r="E50" s="203"/>
      <c r="F50" s="204"/>
      <c r="G50" s="112">
        <v>2</v>
      </c>
      <c r="H50" s="112" t="s">
        <v>173</v>
      </c>
      <c r="I50" s="192" t="s">
        <v>174</v>
      </c>
      <c r="J50" s="193"/>
      <c r="K50" s="194"/>
      <c r="L50" s="112" t="s">
        <v>173</v>
      </c>
      <c r="M50" s="112" t="s">
        <v>173</v>
      </c>
      <c r="N50" s="156"/>
      <c r="O50" s="157"/>
      <c r="P50" s="157"/>
      <c r="Q50" s="157"/>
      <c r="R50" s="157"/>
      <c r="S50" s="158"/>
      <c r="T50" s="112"/>
      <c r="U50" s="112"/>
      <c r="V50" s="192"/>
      <c r="W50" s="193"/>
      <c r="X50" s="194"/>
      <c r="Y50" s="112"/>
      <c r="Z50" s="112"/>
    </row>
    <row r="51" spans="1:26" ht="18" customHeight="1" x14ac:dyDescent="0.15">
      <c r="A51" s="29"/>
      <c r="B51" s="202"/>
      <c r="C51" s="203"/>
      <c r="D51" s="203"/>
      <c r="E51" s="203"/>
      <c r="F51" s="204"/>
      <c r="G51" s="112"/>
      <c r="H51" s="112"/>
      <c r="I51" s="192"/>
      <c r="J51" s="193"/>
      <c r="K51" s="194"/>
      <c r="L51" s="112"/>
      <c r="M51" s="112"/>
      <c r="N51" s="156"/>
      <c r="O51" s="157"/>
      <c r="P51" s="157"/>
      <c r="Q51" s="157"/>
      <c r="R51" s="157"/>
      <c r="S51" s="158"/>
      <c r="T51" s="112"/>
      <c r="U51" s="112"/>
      <c r="V51" s="192"/>
      <c r="W51" s="193"/>
      <c r="X51" s="194"/>
      <c r="Y51" s="112"/>
      <c r="Z51" s="112"/>
    </row>
    <row r="52" spans="1:26" ht="18" customHeight="1" x14ac:dyDescent="0.15">
      <c r="A52" s="29"/>
      <c r="B52" s="202"/>
      <c r="C52" s="203"/>
      <c r="D52" s="203"/>
      <c r="E52" s="203"/>
      <c r="F52" s="204"/>
      <c r="G52" s="112"/>
      <c r="H52" s="112"/>
      <c r="I52" s="192"/>
      <c r="J52" s="193"/>
      <c r="K52" s="194"/>
      <c r="L52" s="112"/>
      <c r="M52" s="112"/>
      <c r="N52" s="156"/>
      <c r="O52" s="157"/>
      <c r="P52" s="157"/>
      <c r="Q52" s="157"/>
      <c r="R52" s="157"/>
      <c r="S52" s="158"/>
      <c r="T52" s="112"/>
      <c r="U52" s="112"/>
      <c r="V52" s="192"/>
      <c r="W52" s="193"/>
      <c r="X52" s="194"/>
      <c r="Y52" s="112"/>
      <c r="Z52" s="112"/>
    </row>
    <row r="53" spans="1:26" ht="18" customHeight="1" x14ac:dyDescent="0.15">
      <c r="A53" s="29"/>
      <c r="B53" s="202"/>
      <c r="C53" s="203"/>
      <c r="D53" s="203"/>
      <c r="E53" s="203"/>
      <c r="F53" s="204"/>
      <c r="G53" s="112"/>
      <c r="H53" s="112"/>
      <c r="I53" s="192"/>
      <c r="J53" s="193"/>
      <c r="K53" s="194"/>
      <c r="L53" s="112"/>
      <c r="M53" s="112"/>
      <c r="N53" s="156"/>
      <c r="O53" s="157"/>
      <c r="P53" s="157"/>
      <c r="Q53" s="157"/>
      <c r="R53" s="157"/>
      <c r="S53" s="158"/>
      <c r="T53" s="112"/>
      <c r="U53" s="112"/>
      <c r="V53" s="192"/>
      <c r="W53" s="193"/>
      <c r="X53" s="194"/>
      <c r="Y53" s="112"/>
      <c r="Z53" s="112"/>
    </row>
    <row r="54" spans="1:26" ht="18" customHeight="1" x14ac:dyDescent="0.15">
      <c r="A54" s="29"/>
      <c r="B54" s="202"/>
      <c r="C54" s="203"/>
      <c r="D54" s="203"/>
      <c r="E54" s="203"/>
      <c r="F54" s="204"/>
      <c r="G54" s="112"/>
      <c r="H54" s="112"/>
      <c r="I54" s="192"/>
      <c r="J54" s="193"/>
      <c r="K54" s="194"/>
      <c r="L54" s="112"/>
      <c r="M54" s="112"/>
      <c r="N54" s="156"/>
      <c r="O54" s="157"/>
      <c r="P54" s="157"/>
      <c r="Q54" s="157"/>
      <c r="R54" s="157"/>
      <c r="S54" s="158"/>
      <c r="T54" s="112"/>
      <c r="U54" s="112"/>
      <c r="V54" s="192"/>
      <c r="W54" s="193"/>
      <c r="X54" s="194"/>
      <c r="Y54" s="112"/>
      <c r="Z54" s="112"/>
    </row>
    <row r="55" spans="1:26" ht="18" customHeight="1" x14ac:dyDescent="0.15">
      <c r="A55" s="29"/>
      <c r="B55" s="205"/>
      <c r="C55" s="206"/>
      <c r="D55" s="206"/>
      <c r="E55" s="206"/>
      <c r="F55" s="207"/>
      <c r="G55" s="113"/>
      <c r="H55" s="113"/>
      <c r="I55" s="189"/>
      <c r="J55" s="190"/>
      <c r="K55" s="191"/>
      <c r="L55" s="118"/>
      <c r="M55" s="118"/>
      <c r="N55" s="219"/>
      <c r="O55" s="220"/>
      <c r="P55" s="220"/>
      <c r="Q55" s="220"/>
      <c r="R55" s="220"/>
      <c r="S55" s="221"/>
      <c r="T55" s="113"/>
      <c r="U55" s="113"/>
      <c r="V55" s="189"/>
      <c r="W55" s="190"/>
      <c r="X55" s="191"/>
      <c r="Y55" s="118"/>
      <c r="Z55" s="118"/>
    </row>
    <row r="56" spans="1:26" ht="7.5" customHeight="1" x14ac:dyDescent="0.15">
      <c r="B56" s="75"/>
      <c r="C56" s="75"/>
      <c r="D56" s="75"/>
      <c r="E56" s="75"/>
      <c r="F56" s="75"/>
      <c r="G56" s="75"/>
      <c r="H56" s="75"/>
      <c r="I56" s="75"/>
      <c r="J56" s="75"/>
      <c r="K56" s="75"/>
      <c r="L56" s="75"/>
      <c r="M56" s="75"/>
      <c r="N56" s="75"/>
      <c r="O56" s="75"/>
      <c r="P56" s="75"/>
      <c r="Q56" s="75"/>
      <c r="R56" s="75"/>
      <c r="S56" s="75"/>
      <c r="T56" s="75"/>
      <c r="U56" s="75"/>
      <c r="V56" s="75"/>
      <c r="W56" s="75"/>
      <c r="X56" s="75"/>
      <c r="Y56" s="75"/>
    </row>
    <row r="57" spans="1:26" ht="18" customHeight="1" x14ac:dyDescent="0.15">
      <c r="A57" s="198" t="s">
        <v>132</v>
      </c>
      <c r="B57" s="198"/>
      <c r="C57" s="198"/>
      <c r="D57" s="198"/>
      <c r="E57" s="198"/>
      <c r="F57" s="198"/>
      <c r="G57" s="198"/>
      <c r="H57" s="198"/>
      <c r="I57" s="198"/>
      <c r="J57" s="198"/>
      <c r="K57" s="198"/>
      <c r="L57" s="198"/>
      <c r="M57" s="198"/>
      <c r="N57" s="198"/>
      <c r="O57" s="198"/>
      <c r="P57" s="198"/>
      <c r="Q57" s="198"/>
      <c r="R57" s="198"/>
      <c r="S57" s="198"/>
      <c r="T57" s="198"/>
      <c r="U57" s="198"/>
      <c r="V57" s="198"/>
      <c r="W57" s="198"/>
      <c r="X57" s="198"/>
      <c r="Y57" s="198"/>
      <c r="Z57" s="198"/>
    </row>
    <row r="58" spans="1:26" ht="18" customHeight="1" x14ac:dyDescent="0.15">
      <c r="A58" s="198"/>
      <c r="B58" s="198"/>
      <c r="C58" s="198"/>
      <c r="D58" s="198"/>
      <c r="E58" s="198"/>
      <c r="F58" s="198"/>
      <c r="G58" s="198"/>
      <c r="H58" s="198"/>
      <c r="I58" s="198"/>
      <c r="J58" s="198"/>
      <c r="K58" s="198"/>
      <c r="L58" s="198"/>
      <c r="M58" s="198"/>
      <c r="N58" s="198"/>
      <c r="O58" s="198"/>
      <c r="P58" s="198"/>
      <c r="Q58" s="198"/>
      <c r="R58" s="198"/>
      <c r="S58" s="198"/>
      <c r="T58" s="198"/>
      <c r="U58" s="198"/>
      <c r="V58" s="198"/>
      <c r="W58" s="198"/>
      <c r="X58" s="198"/>
      <c r="Y58" s="198"/>
      <c r="Z58" s="198"/>
    </row>
    <row r="59" spans="1:26" ht="18" customHeight="1" x14ac:dyDescent="0.15">
      <c r="A59" s="14"/>
      <c r="B59" s="149" t="s">
        <v>99</v>
      </c>
      <c r="C59" s="150"/>
      <c r="D59" s="150"/>
      <c r="E59" s="151"/>
      <c r="F59" s="30" t="s">
        <v>140</v>
      </c>
      <c r="G59" s="110" t="s">
        <v>139</v>
      </c>
      <c r="H59" s="105" t="s">
        <v>100</v>
      </c>
      <c r="I59" s="106"/>
      <c r="J59" s="107"/>
      <c r="K59" s="73" t="s">
        <v>104</v>
      </c>
      <c r="L59" s="73" t="s">
        <v>133</v>
      </c>
      <c r="M59" s="73" t="s">
        <v>134</v>
      </c>
      <c r="N59" s="149" t="s">
        <v>99</v>
      </c>
      <c r="O59" s="150"/>
      <c r="P59" s="150"/>
      <c r="Q59" s="150"/>
      <c r="R59" s="151"/>
      <c r="S59" s="30" t="s">
        <v>140</v>
      </c>
      <c r="T59" s="110" t="s">
        <v>139</v>
      </c>
      <c r="U59" s="105" t="s">
        <v>100</v>
      </c>
      <c r="V59" s="106"/>
      <c r="W59" s="107"/>
      <c r="X59" s="73" t="s">
        <v>104</v>
      </c>
      <c r="Y59" s="73" t="s">
        <v>133</v>
      </c>
      <c r="Z59" s="73" t="s">
        <v>134</v>
      </c>
    </row>
    <row r="60" spans="1:26" ht="18" customHeight="1" x14ac:dyDescent="0.15">
      <c r="A60" s="29"/>
      <c r="B60" s="183" t="s">
        <v>172</v>
      </c>
      <c r="C60" s="184"/>
      <c r="D60" s="184"/>
      <c r="E60" s="185"/>
      <c r="F60" s="111">
        <v>2</v>
      </c>
      <c r="G60" s="111" t="s">
        <v>173</v>
      </c>
      <c r="H60" s="195" t="s">
        <v>174</v>
      </c>
      <c r="I60" s="196"/>
      <c r="J60" s="197"/>
      <c r="K60" s="111" t="s">
        <v>173</v>
      </c>
      <c r="L60" s="111" t="s">
        <v>173</v>
      </c>
      <c r="M60" s="111" t="s">
        <v>173</v>
      </c>
      <c r="N60" s="183"/>
      <c r="O60" s="184"/>
      <c r="P60" s="184"/>
      <c r="Q60" s="184"/>
      <c r="R60" s="185"/>
      <c r="S60" s="111"/>
      <c r="T60" s="111"/>
      <c r="U60" s="195"/>
      <c r="V60" s="196"/>
      <c r="W60" s="197"/>
      <c r="X60" s="111"/>
      <c r="Y60" s="111"/>
      <c r="Z60" s="111"/>
    </row>
    <row r="61" spans="1:26" ht="18" customHeight="1" x14ac:dyDescent="0.15">
      <c r="A61" s="29"/>
      <c r="B61" s="156" t="s">
        <v>209</v>
      </c>
      <c r="C61" s="157"/>
      <c r="D61" s="157"/>
      <c r="E61" s="158"/>
      <c r="F61" s="124">
        <v>2</v>
      </c>
      <c r="G61" s="124" t="s">
        <v>173</v>
      </c>
      <c r="H61" s="225" t="s">
        <v>174</v>
      </c>
      <c r="I61" s="226"/>
      <c r="J61" s="227"/>
      <c r="K61" s="124" t="s">
        <v>173</v>
      </c>
      <c r="L61" s="124" t="s">
        <v>173</v>
      </c>
      <c r="M61" s="124" t="s">
        <v>173</v>
      </c>
      <c r="N61" s="156"/>
      <c r="O61" s="157"/>
      <c r="P61" s="157"/>
      <c r="Q61" s="157"/>
      <c r="R61" s="158"/>
      <c r="S61" s="112"/>
      <c r="T61" s="112"/>
      <c r="U61" s="192"/>
      <c r="V61" s="193"/>
      <c r="W61" s="194"/>
      <c r="X61" s="116"/>
      <c r="Y61" s="112"/>
      <c r="Z61" s="112"/>
    </row>
    <row r="62" spans="1:26" ht="18" customHeight="1" x14ac:dyDescent="0.15">
      <c r="A62" s="29"/>
      <c r="B62" s="156"/>
      <c r="C62" s="157"/>
      <c r="D62" s="157"/>
      <c r="E62" s="158"/>
      <c r="F62" s="112"/>
      <c r="G62" s="112"/>
      <c r="H62" s="192"/>
      <c r="I62" s="193"/>
      <c r="J62" s="194"/>
      <c r="K62" s="116"/>
      <c r="L62" s="112"/>
      <c r="M62" s="112"/>
      <c r="N62" s="156"/>
      <c r="O62" s="157"/>
      <c r="P62" s="157"/>
      <c r="Q62" s="157"/>
      <c r="R62" s="158"/>
      <c r="S62" s="112"/>
      <c r="T62" s="112"/>
      <c r="U62" s="192"/>
      <c r="V62" s="193"/>
      <c r="W62" s="194"/>
      <c r="X62" s="116"/>
      <c r="Y62" s="112"/>
      <c r="Z62" s="112"/>
    </row>
    <row r="63" spans="1:26" ht="18" customHeight="1" x14ac:dyDescent="0.15">
      <c r="A63" s="29"/>
      <c r="B63" s="156"/>
      <c r="C63" s="157"/>
      <c r="D63" s="157"/>
      <c r="E63" s="158"/>
      <c r="F63" s="112"/>
      <c r="G63" s="112"/>
      <c r="H63" s="192"/>
      <c r="I63" s="193"/>
      <c r="J63" s="194"/>
      <c r="K63" s="116"/>
      <c r="L63" s="112"/>
      <c r="M63" s="112"/>
      <c r="N63" s="156"/>
      <c r="O63" s="157"/>
      <c r="P63" s="157"/>
      <c r="Q63" s="157"/>
      <c r="R63" s="158"/>
      <c r="S63" s="112"/>
      <c r="T63" s="112"/>
      <c r="U63" s="192"/>
      <c r="V63" s="193"/>
      <c r="W63" s="194"/>
      <c r="X63" s="116"/>
      <c r="Y63" s="112"/>
      <c r="Z63" s="112"/>
    </row>
    <row r="64" spans="1:26" ht="18" customHeight="1" x14ac:dyDescent="0.15">
      <c r="A64" s="29"/>
      <c r="B64" s="156"/>
      <c r="C64" s="157"/>
      <c r="D64" s="157"/>
      <c r="E64" s="158"/>
      <c r="F64" s="112"/>
      <c r="G64" s="112"/>
      <c r="H64" s="192"/>
      <c r="I64" s="193"/>
      <c r="J64" s="194"/>
      <c r="K64" s="116"/>
      <c r="L64" s="112"/>
      <c r="M64" s="112"/>
      <c r="N64" s="156"/>
      <c r="O64" s="157"/>
      <c r="P64" s="157"/>
      <c r="Q64" s="157"/>
      <c r="R64" s="158"/>
      <c r="S64" s="112"/>
      <c r="T64" s="112"/>
      <c r="U64" s="192"/>
      <c r="V64" s="193"/>
      <c r="W64" s="194"/>
      <c r="X64" s="116"/>
      <c r="Y64" s="112"/>
      <c r="Z64" s="112"/>
    </row>
    <row r="65" spans="1:26" ht="18" customHeight="1" x14ac:dyDescent="0.15">
      <c r="A65" s="29"/>
      <c r="B65" s="156"/>
      <c r="C65" s="157"/>
      <c r="D65" s="157"/>
      <c r="E65" s="158"/>
      <c r="F65" s="112"/>
      <c r="G65" s="112"/>
      <c r="H65" s="192"/>
      <c r="I65" s="193"/>
      <c r="J65" s="194"/>
      <c r="K65" s="116"/>
      <c r="L65" s="112"/>
      <c r="M65" s="112"/>
      <c r="N65" s="156"/>
      <c r="O65" s="157"/>
      <c r="P65" s="157"/>
      <c r="Q65" s="157"/>
      <c r="R65" s="158"/>
      <c r="S65" s="112"/>
      <c r="T65" s="112"/>
      <c r="U65" s="192"/>
      <c r="V65" s="193"/>
      <c r="W65" s="194"/>
      <c r="X65" s="116"/>
      <c r="Y65" s="112"/>
      <c r="Z65" s="112"/>
    </row>
    <row r="66" spans="1:26" ht="18" customHeight="1" x14ac:dyDescent="0.15">
      <c r="A66" s="29"/>
      <c r="B66" s="219"/>
      <c r="C66" s="220"/>
      <c r="D66" s="220"/>
      <c r="E66" s="221"/>
      <c r="F66" s="113"/>
      <c r="G66" s="113"/>
      <c r="H66" s="189"/>
      <c r="I66" s="190"/>
      <c r="J66" s="191"/>
      <c r="K66" s="117"/>
      <c r="L66" s="118"/>
      <c r="M66" s="118"/>
      <c r="N66" s="219"/>
      <c r="O66" s="220"/>
      <c r="P66" s="220"/>
      <c r="Q66" s="220"/>
      <c r="R66" s="221"/>
      <c r="S66" s="113"/>
      <c r="T66" s="113"/>
      <c r="U66" s="189"/>
      <c r="V66" s="190"/>
      <c r="W66" s="191"/>
      <c r="X66" s="117"/>
      <c r="Y66" s="118"/>
      <c r="Z66" s="118"/>
    </row>
    <row r="67" spans="1:26" ht="7.5" customHeight="1" x14ac:dyDescent="0.15">
      <c r="B67" s="75"/>
      <c r="C67" s="75"/>
      <c r="D67" s="75"/>
      <c r="E67" s="75"/>
      <c r="F67" s="75"/>
      <c r="G67" s="75"/>
      <c r="H67" s="75"/>
      <c r="I67" s="75"/>
      <c r="J67" s="75"/>
      <c r="K67" s="75"/>
      <c r="L67" s="75"/>
      <c r="M67" s="75"/>
      <c r="N67" s="75"/>
      <c r="O67" s="75"/>
      <c r="P67" s="75"/>
      <c r="Q67" s="75"/>
      <c r="R67" s="75"/>
      <c r="S67" s="75"/>
      <c r="T67" s="75"/>
      <c r="U67" s="75"/>
      <c r="V67" s="75"/>
      <c r="W67" s="75"/>
      <c r="X67" s="75"/>
      <c r="Y67" s="75"/>
    </row>
    <row r="68" spans="1:26" ht="18" customHeight="1" x14ac:dyDescent="0.15">
      <c r="A68" s="14" t="s">
        <v>135</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49" t="s">
        <v>99</v>
      </c>
      <c r="C69" s="150"/>
      <c r="D69" s="150"/>
      <c r="E69" s="150"/>
      <c r="F69" s="151"/>
      <c r="G69" s="149" t="s">
        <v>145</v>
      </c>
      <c r="H69" s="150"/>
      <c r="I69" s="150"/>
      <c r="J69" s="150"/>
      <c r="K69" s="150"/>
      <c r="L69" s="150"/>
      <c r="M69" s="151"/>
      <c r="N69" s="222" t="s">
        <v>99</v>
      </c>
      <c r="O69" s="223"/>
      <c r="P69" s="223"/>
      <c r="Q69" s="223"/>
      <c r="R69" s="223"/>
      <c r="S69" s="224"/>
      <c r="T69" s="149" t="s">
        <v>145</v>
      </c>
      <c r="U69" s="150"/>
      <c r="V69" s="150"/>
      <c r="W69" s="150"/>
      <c r="X69" s="150"/>
      <c r="Y69" s="150"/>
      <c r="Z69" s="151"/>
    </row>
    <row r="70" spans="1:26" ht="18" customHeight="1" x14ac:dyDescent="0.15">
      <c r="A70" s="29"/>
      <c r="B70" s="183" t="s">
        <v>177</v>
      </c>
      <c r="C70" s="184"/>
      <c r="D70" s="184"/>
      <c r="E70" s="184"/>
      <c r="F70" s="185"/>
      <c r="G70" s="186" t="s">
        <v>178</v>
      </c>
      <c r="H70" s="187"/>
      <c r="I70" s="187"/>
      <c r="J70" s="187"/>
      <c r="K70" s="187"/>
      <c r="L70" s="187"/>
      <c r="M70" s="188"/>
      <c r="N70" s="183"/>
      <c r="O70" s="184"/>
      <c r="P70" s="184"/>
      <c r="Q70" s="184"/>
      <c r="R70" s="184"/>
      <c r="S70" s="185"/>
      <c r="T70" s="186"/>
      <c r="U70" s="187"/>
      <c r="V70" s="187"/>
      <c r="W70" s="187"/>
      <c r="X70" s="187"/>
      <c r="Y70" s="187"/>
      <c r="Z70" s="188"/>
    </row>
    <row r="71" spans="1:26" ht="18" customHeight="1" x14ac:dyDescent="0.15">
      <c r="A71" s="29"/>
      <c r="B71" s="156" t="s">
        <v>210</v>
      </c>
      <c r="C71" s="157"/>
      <c r="D71" s="157"/>
      <c r="E71" s="157"/>
      <c r="F71" s="158"/>
      <c r="G71" s="159" t="s">
        <v>179</v>
      </c>
      <c r="H71" s="160"/>
      <c r="I71" s="160"/>
      <c r="J71" s="160"/>
      <c r="K71" s="160"/>
      <c r="L71" s="160"/>
      <c r="M71" s="161"/>
      <c r="N71" s="156"/>
      <c r="O71" s="157"/>
      <c r="P71" s="157"/>
      <c r="Q71" s="157"/>
      <c r="R71" s="157"/>
      <c r="S71" s="158"/>
      <c r="T71" s="159"/>
      <c r="U71" s="160"/>
      <c r="V71" s="160"/>
      <c r="W71" s="160"/>
      <c r="X71" s="160"/>
      <c r="Y71" s="160"/>
      <c r="Z71" s="161"/>
    </row>
    <row r="72" spans="1:26" ht="18" customHeight="1" x14ac:dyDescent="0.15">
      <c r="A72" s="29"/>
      <c r="B72" s="156"/>
      <c r="C72" s="157"/>
      <c r="D72" s="157"/>
      <c r="E72" s="157"/>
      <c r="F72" s="158"/>
      <c r="G72" s="159"/>
      <c r="H72" s="160"/>
      <c r="I72" s="160"/>
      <c r="J72" s="160"/>
      <c r="K72" s="160"/>
      <c r="L72" s="160"/>
      <c r="M72" s="161"/>
      <c r="N72" s="156"/>
      <c r="O72" s="157"/>
      <c r="P72" s="157"/>
      <c r="Q72" s="157"/>
      <c r="R72" s="157"/>
      <c r="S72" s="158"/>
      <c r="T72" s="159"/>
      <c r="U72" s="160"/>
      <c r="V72" s="160"/>
      <c r="W72" s="160"/>
      <c r="X72" s="160"/>
      <c r="Y72" s="160"/>
      <c r="Z72" s="161"/>
    </row>
    <row r="73" spans="1:26" ht="18" customHeight="1" x14ac:dyDescent="0.15">
      <c r="A73" s="29"/>
      <c r="B73" s="156"/>
      <c r="C73" s="157"/>
      <c r="D73" s="157"/>
      <c r="E73" s="157"/>
      <c r="F73" s="158"/>
      <c r="G73" s="159"/>
      <c r="H73" s="160"/>
      <c r="I73" s="160"/>
      <c r="J73" s="160"/>
      <c r="K73" s="160"/>
      <c r="L73" s="160"/>
      <c r="M73" s="161"/>
      <c r="N73" s="156"/>
      <c r="O73" s="157"/>
      <c r="P73" s="157"/>
      <c r="Q73" s="157"/>
      <c r="R73" s="157"/>
      <c r="S73" s="158"/>
      <c r="T73" s="159"/>
      <c r="U73" s="160"/>
      <c r="V73" s="160"/>
      <c r="W73" s="160"/>
      <c r="X73" s="160"/>
      <c r="Y73" s="160"/>
      <c r="Z73" s="161"/>
    </row>
    <row r="74" spans="1:26" ht="18" customHeight="1" x14ac:dyDescent="0.15">
      <c r="A74" s="29"/>
      <c r="B74" s="156"/>
      <c r="C74" s="157"/>
      <c r="D74" s="157"/>
      <c r="E74" s="157"/>
      <c r="F74" s="158"/>
      <c r="G74" s="159"/>
      <c r="H74" s="160"/>
      <c r="I74" s="160"/>
      <c r="J74" s="160"/>
      <c r="K74" s="160"/>
      <c r="L74" s="160"/>
      <c r="M74" s="161"/>
      <c r="N74" s="156"/>
      <c r="O74" s="157"/>
      <c r="P74" s="157"/>
      <c r="Q74" s="157"/>
      <c r="R74" s="157"/>
      <c r="S74" s="158"/>
      <c r="T74" s="159"/>
      <c r="U74" s="160"/>
      <c r="V74" s="160"/>
      <c r="W74" s="160"/>
      <c r="X74" s="160"/>
      <c r="Y74" s="160"/>
      <c r="Z74" s="161"/>
    </row>
    <row r="75" spans="1:26" ht="18" customHeight="1" x14ac:dyDescent="0.15">
      <c r="A75" s="29"/>
      <c r="B75" s="156"/>
      <c r="C75" s="157"/>
      <c r="D75" s="157"/>
      <c r="E75" s="157"/>
      <c r="F75" s="158"/>
      <c r="G75" s="159"/>
      <c r="H75" s="160"/>
      <c r="I75" s="160"/>
      <c r="J75" s="160"/>
      <c r="K75" s="160"/>
      <c r="L75" s="160"/>
      <c r="M75" s="161"/>
      <c r="N75" s="156"/>
      <c r="O75" s="157"/>
      <c r="P75" s="157"/>
      <c r="Q75" s="157"/>
      <c r="R75" s="157"/>
      <c r="S75" s="158"/>
      <c r="T75" s="159"/>
      <c r="U75" s="160"/>
      <c r="V75" s="160"/>
      <c r="W75" s="160"/>
      <c r="X75" s="160"/>
      <c r="Y75" s="160"/>
      <c r="Z75" s="161"/>
    </row>
    <row r="76" spans="1:26" ht="18" customHeight="1" x14ac:dyDescent="0.15">
      <c r="A76" s="29"/>
      <c r="B76" s="219"/>
      <c r="C76" s="220"/>
      <c r="D76" s="220"/>
      <c r="E76" s="220"/>
      <c r="F76" s="221"/>
      <c r="G76" s="240"/>
      <c r="H76" s="241"/>
      <c r="I76" s="241"/>
      <c r="J76" s="241"/>
      <c r="K76" s="241"/>
      <c r="L76" s="241"/>
      <c r="M76" s="242"/>
      <c r="N76" s="219"/>
      <c r="O76" s="220"/>
      <c r="P76" s="220"/>
      <c r="Q76" s="220"/>
      <c r="R76" s="220"/>
      <c r="S76" s="221"/>
      <c r="T76" s="240"/>
      <c r="U76" s="241"/>
      <c r="V76" s="241"/>
      <c r="W76" s="241"/>
      <c r="X76" s="241"/>
      <c r="Y76" s="241"/>
      <c r="Z76" s="242"/>
    </row>
    <row r="77" spans="1:26" ht="18" customHeight="1" x14ac:dyDescent="0.15">
      <c r="A77" s="29"/>
      <c r="B77" s="70"/>
      <c r="C77" s="70"/>
      <c r="D77" s="70"/>
      <c r="E77" s="70"/>
      <c r="F77" s="70"/>
      <c r="G77" s="12"/>
      <c r="H77" s="12"/>
      <c r="I77" s="12"/>
      <c r="J77" s="12"/>
      <c r="K77" s="12"/>
      <c r="L77" s="12"/>
      <c r="M77" s="12"/>
      <c r="N77" s="70"/>
      <c r="O77" s="70"/>
      <c r="P77" s="70"/>
      <c r="Q77" s="70"/>
      <c r="R77" s="70"/>
      <c r="S77" s="70"/>
      <c r="T77" s="12"/>
      <c r="U77" s="12"/>
      <c r="V77" s="12"/>
      <c r="W77" s="12"/>
      <c r="X77" s="12"/>
      <c r="Y77" s="12"/>
      <c r="Z77" s="12"/>
    </row>
    <row r="78" spans="1:26" ht="18.75" customHeight="1" x14ac:dyDescent="0.15">
      <c r="A78" s="13" t="s">
        <v>141</v>
      </c>
    </row>
    <row r="79" spans="1:26" ht="18.75" customHeight="1" x14ac:dyDescent="0.15">
      <c r="B79" s="76" t="s">
        <v>101</v>
      </c>
      <c r="C79" s="77"/>
      <c r="D79" s="175" t="s">
        <v>102</v>
      </c>
      <c r="E79" s="175"/>
      <c r="F79" s="175"/>
      <c r="G79" s="175"/>
      <c r="H79" s="175"/>
      <c r="I79" s="175"/>
      <c r="J79" s="175"/>
      <c r="K79" s="175"/>
      <c r="L79" s="175"/>
      <c r="M79" s="175"/>
      <c r="N79" s="175"/>
      <c r="O79" s="175"/>
      <c r="P79" s="175"/>
      <c r="Q79" s="175"/>
      <c r="R79" s="175"/>
      <c r="S79" s="175"/>
      <c r="T79" s="175"/>
      <c r="U79" s="175"/>
      <c r="V79" s="175"/>
      <c r="W79" s="175"/>
      <c r="X79" s="175"/>
      <c r="Y79" s="175"/>
      <c r="Z79" s="176"/>
    </row>
    <row r="80" spans="1:26" ht="55.5" customHeight="1" x14ac:dyDescent="0.15">
      <c r="B80" s="164" t="s">
        <v>108</v>
      </c>
      <c r="C80" s="83" t="s">
        <v>103</v>
      </c>
      <c r="D80" s="171" t="s">
        <v>195</v>
      </c>
      <c r="E80" s="171"/>
      <c r="F80" s="171"/>
      <c r="G80" s="171"/>
      <c r="H80" s="171"/>
      <c r="I80" s="171"/>
      <c r="J80" s="171"/>
      <c r="K80" s="171"/>
      <c r="L80" s="171"/>
      <c r="M80" s="171"/>
      <c r="N80" s="171"/>
      <c r="O80" s="171"/>
      <c r="P80" s="171"/>
      <c r="Q80" s="171"/>
      <c r="R80" s="171"/>
      <c r="S80" s="171"/>
      <c r="T80" s="171"/>
      <c r="U80" s="171"/>
      <c r="V80" s="171"/>
      <c r="W80" s="171"/>
      <c r="X80" s="171"/>
      <c r="Y80" s="171"/>
      <c r="Z80" s="172"/>
    </row>
    <row r="81" spans="1:26" ht="48" customHeight="1" x14ac:dyDescent="0.15">
      <c r="B81" s="165"/>
      <c r="C81" s="108" t="s">
        <v>136</v>
      </c>
      <c r="D81" s="177" t="s">
        <v>196</v>
      </c>
      <c r="E81" s="177"/>
      <c r="F81" s="177"/>
      <c r="G81" s="177"/>
      <c r="H81" s="177"/>
      <c r="I81" s="177"/>
      <c r="J81" s="177"/>
      <c r="K81" s="177"/>
      <c r="L81" s="177"/>
      <c r="M81" s="177"/>
      <c r="N81" s="177"/>
      <c r="O81" s="177"/>
      <c r="P81" s="177"/>
      <c r="Q81" s="177"/>
      <c r="R81" s="177"/>
      <c r="S81" s="177"/>
      <c r="T81" s="177"/>
      <c r="U81" s="177"/>
      <c r="V81" s="177"/>
      <c r="W81" s="177"/>
      <c r="X81" s="177"/>
      <c r="Y81" s="177"/>
      <c r="Z81" s="178"/>
    </row>
    <row r="82" spans="1:26" ht="52.5" customHeight="1" x14ac:dyDescent="0.15">
      <c r="B82" s="162" t="s">
        <v>109</v>
      </c>
      <c r="C82" s="78" t="s">
        <v>126</v>
      </c>
      <c r="D82" s="179" t="s">
        <v>197</v>
      </c>
      <c r="E82" s="179"/>
      <c r="F82" s="179"/>
      <c r="G82" s="179"/>
      <c r="H82" s="179"/>
      <c r="I82" s="179"/>
      <c r="J82" s="179"/>
      <c r="K82" s="179"/>
      <c r="L82" s="179"/>
      <c r="M82" s="179"/>
      <c r="N82" s="179"/>
      <c r="O82" s="179"/>
      <c r="P82" s="179"/>
      <c r="Q82" s="179"/>
      <c r="R82" s="179"/>
      <c r="S82" s="179"/>
      <c r="T82" s="179"/>
      <c r="U82" s="179"/>
      <c r="V82" s="179"/>
      <c r="W82" s="179"/>
      <c r="X82" s="179"/>
      <c r="Y82" s="179"/>
      <c r="Z82" s="180"/>
    </row>
    <row r="83" spans="1:26" ht="51.75" customHeight="1" x14ac:dyDescent="0.15">
      <c r="B83" s="163"/>
      <c r="C83" s="109" t="s">
        <v>127</v>
      </c>
      <c r="D83" s="181" t="s">
        <v>198</v>
      </c>
      <c r="E83" s="181"/>
      <c r="F83" s="181"/>
      <c r="G83" s="181"/>
      <c r="H83" s="181"/>
      <c r="I83" s="181"/>
      <c r="J83" s="181"/>
      <c r="K83" s="181"/>
      <c r="L83" s="181"/>
      <c r="M83" s="181"/>
      <c r="N83" s="181"/>
      <c r="O83" s="181"/>
      <c r="P83" s="181"/>
      <c r="Q83" s="181"/>
      <c r="R83" s="181"/>
      <c r="S83" s="181"/>
      <c r="T83" s="181"/>
      <c r="U83" s="181"/>
      <c r="V83" s="181"/>
      <c r="W83" s="181"/>
      <c r="X83" s="181"/>
      <c r="Y83" s="181"/>
      <c r="Z83" s="182"/>
    </row>
    <row r="84" spans="1:26" ht="66" customHeight="1" x14ac:dyDescent="0.15">
      <c r="B84" s="162" t="s">
        <v>110</v>
      </c>
      <c r="C84" s="78" t="s">
        <v>129</v>
      </c>
      <c r="D84" s="179" t="s">
        <v>199</v>
      </c>
      <c r="E84" s="179"/>
      <c r="F84" s="179"/>
      <c r="G84" s="179"/>
      <c r="H84" s="179"/>
      <c r="I84" s="179"/>
      <c r="J84" s="179"/>
      <c r="K84" s="179"/>
      <c r="L84" s="179"/>
      <c r="M84" s="179"/>
      <c r="N84" s="179"/>
      <c r="O84" s="179"/>
      <c r="P84" s="179"/>
      <c r="Q84" s="179"/>
      <c r="R84" s="179"/>
      <c r="S84" s="179"/>
      <c r="T84" s="179"/>
      <c r="U84" s="179"/>
      <c r="V84" s="179"/>
      <c r="W84" s="179"/>
      <c r="X84" s="179"/>
      <c r="Y84" s="179"/>
      <c r="Z84" s="180"/>
    </row>
    <row r="85" spans="1:26" ht="66" customHeight="1" x14ac:dyDescent="0.15">
      <c r="B85" s="163"/>
      <c r="C85" s="80" t="s">
        <v>130</v>
      </c>
      <c r="D85" s="181" t="s">
        <v>200</v>
      </c>
      <c r="E85" s="181"/>
      <c r="F85" s="181"/>
      <c r="G85" s="181"/>
      <c r="H85" s="181"/>
      <c r="I85" s="181"/>
      <c r="J85" s="181"/>
      <c r="K85" s="181"/>
      <c r="L85" s="181"/>
      <c r="M85" s="181"/>
      <c r="N85" s="181"/>
      <c r="O85" s="181"/>
      <c r="P85" s="181"/>
      <c r="Q85" s="181"/>
      <c r="R85" s="181"/>
      <c r="S85" s="181"/>
      <c r="T85" s="181"/>
      <c r="U85" s="181"/>
      <c r="V85" s="181"/>
      <c r="W85" s="181"/>
      <c r="X85" s="181"/>
      <c r="Y85" s="181"/>
      <c r="Z85" s="182"/>
    </row>
    <row r="86" spans="1:26" ht="66" customHeight="1" x14ac:dyDescent="0.15">
      <c r="B86" s="164" t="s">
        <v>137</v>
      </c>
      <c r="C86" s="83" t="s">
        <v>105</v>
      </c>
      <c r="D86" s="171" t="s">
        <v>201</v>
      </c>
      <c r="E86" s="171"/>
      <c r="F86" s="171"/>
      <c r="G86" s="171"/>
      <c r="H86" s="171"/>
      <c r="I86" s="171"/>
      <c r="J86" s="171"/>
      <c r="K86" s="171"/>
      <c r="L86" s="171"/>
      <c r="M86" s="171"/>
      <c r="N86" s="171"/>
      <c r="O86" s="171"/>
      <c r="P86" s="171"/>
      <c r="Q86" s="171"/>
      <c r="R86" s="171"/>
      <c r="S86" s="171"/>
      <c r="T86" s="171"/>
      <c r="U86" s="171"/>
      <c r="V86" s="171"/>
      <c r="W86" s="171"/>
      <c r="X86" s="171"/>
      <c r="Y86" s="171"/>
      <c r="Z86" s="172"/>
    </row>
    <row r="87" spans="1:26" ht="66" customHeight="1" x14ac:dyDescent="0.15">
      <c r="B87" s="170"/>
      <c r="C87" s="79" t="s">
        <v>107</v>
      </c>
      <c r="D87" s="173" t="s">
        <v>202</v>
      </c>
      <c r="E87" s="173"/>
      <c r="F87" s="173"/>
      <c r="G87" s="173"/>
      <c r="H87" s="173"/>
      <c r="I87" s="173"/>
      <c r="J87" s="173"/>
      <c r="K87" s="173"/>
      <c r="L87" s="173"/>
      <c r="M87" s="173"/>
      <c r="N87" s="173"/>
      <c r="O87" s="173"/>
      <c r="P87" s="173"/>
      <c r="Q87" s="173"/>
      <c r="R87" s="173"/>
      <c r="S87" s="173"/>
      <c r="T87" s="173"/>
      <c r="U87" s="173"/>
      <c r="V87" s="173"/>
      <c r="W87" s="173"/>
      <c r="X87" s="173"/>
      <c r="Y87" s="173"/>
      <c r="Z87" s="174"/>
    </row>
    <row r="88" spans="1:26" ht="55.5" customHeight="1" x14ac:dyDescent="0.15">
      <c r="B88" s="164" t="s">
        <v>138</v>
      </c>
      <c r="C88" s="78" t="s">
        <v>104</v>
      </c>
      <c r="D88" s="166" t="s">
        <v>203</v>
      </c>
      <c r="E88" s="166"/>
      <c r="F88" s="166"/>
      <c r="G88" s="166"/>
      <c r="H88" s="166"/>
      <c r="I88" s="166"/>
      <c r="J88" s="166"/>
      <c r="K88" s="166"/>
      <c r="L88" s="166"/>
      <c r="M88" s="166"/>
      <c r="N88" s="166"/>
      <c r="O88" s="166"/>
      <c r="P88" s="166"/>
      <c r="Q88" s="166"/>
      <c r="R88" s="166"/>
      <c r="S88" s="166"/>
      <c r="T88" s="166"/>
      <c r="U88" s="166"/>
      <c r="V88" s="166"/>
      <c r="W88" s="166"/>
      <c r="X88" s="166"/>
      <c r="Y88" s="166"/>
      <c r="Z88" s="167"/>
    </row>
    <row r="89" spans="1:26" ht="49.5" customHeight="1" x14ac:dyDescent="0.15">
      <c r="B89" s="165"/>
      <c r="C89" s="79" t="s">
        <v>133</v>
      </c>
      <c r="D89" s="243" t="s">
        <v>204</v>
      </c>
      <c r="E89" s="244"/>
      <c r="F89" s="244"/>
      <c r="G89" s="244"/>
      <c r="H89" s="244"/>
      <c r="I89" s="244"/>
      <c r="J89" s="244"/>
      <c r="K89" s="244"/>
      <c r="L89" s="244"/>
      <c r="M89" s="244"/>
      <c r="N89" s="244"/>
      <c r="O89" s="244"/>
      <c r="P89" s="244"/>
      <c r="Q89" s="244"/>
      <c r="R89" s="244"/>
      <c r="S89" s="244"/>
      <c r="T89" s="244"/>
      <c r="U89" s="244"/>
      <c r="V89" s="244"/>
      <c r="W89" s="244"/>
      <c r="X89" s="244"/>
      <c r="Y89" s="244"/>
      <c r="Z89" s="245"/>
    </row>
    <row r="90" spans="1:26" ht="54.75" customHeight="1" x14ac:dyDescent="0.15">
      <c r="B90" s="163"/>
      <c r="C90" s="80" t="s">
        <v>134</v>
      </c>
      <c r="D90" s="168" t="s">
        <v>205</v>
      </c>
      <c r="E90" s="168"/>
      <c r="F90" s="168"/>
      <c r="G90" s="168"/>
      <c r="H90" s="168"/>
      <c r="I90" s="168"/>
      <c r="J90" s="168"/>
      <c r="K90" s="168"/>
      <c r="L90" s="168"/>
      <c r="M90" s="168"/>
      <c r="N90" s="168"/>
      <c r="O90" s="168"/>
      <c r="P90" s="168"/>
      <c r="Q90" s="168"/>
      <c r="R90" s="168"/>
      <c r="S90" s="168"/>
      <c r="T90" s="168"/>
      <c r="U90" s="168"/>
      <c r="V90" s="168"/>
      <c r="W90" s="168"/>
      <c r="X90" s="168"/>
      <c r="Y90" s="168"/>
      <c r="Z90" s="169"/>
    </row>
    <row r="91" spans="1:26" ht="6" customHeight="1" x14ac:dyDescent="0.15"/>
    <row r="92" spans="1:26" ht="18.75" customHeight="1" x14ac:dyDescent="0.15">
      <c r="A92" s="13" t="s">
        <v>142</v>
      </c>
    </row>
    <row r="93" spans="1:26" ht="18.75" customHeight="1" x14ac:dyDescent="0.15">
      <c r="B93" s="228" t="s">
        <v>176</v>
      </c>
      <c r="C93" s="229"/>
      <c r="D93" s="229"/>
      <c r="E93" s="229"/>
      <c r="F93" s="229"/>
      <c r="G93" s="229"/>
      <c r="H93" s="229"/>
      <c r="I93" s="229"/>
      <c r="J93" s="229"/>
      <c r="K93" s="229"/>
      <c r="L93" s="229"/>
      <c r="M93" s="229"/>
      <c r="N93" s="229"/>
      <c r="O93" s="229"/>
      <c r="P93" s="229"/>
      <c r="Q93" s="229"/>
      <c r="R93" s="229"/>
      <c r="S93" s="229"/>
      <c r="T93" s="229"/>
      <c r="U93" s="229"/>
      <c r="V93" s="229"/>
      <c r="W93" s="229"/>
      <c r="X93" s="229"/>
      <c r="Y93" s="229"/>
      <c r="Z93" s="230"/>
    </row>
    <row r="94" spans="1:26" ht="18.75" customHeight="1" x14ac:dyDescent="0.15">
      <c r="B94" s="231"/>
      <c r="C94" s="232"/>
      <c r="D94" s="232"/>
      <c r="E94" s="232"/>
      <c r="F94" s="232"/>
      <c r="G94" s="232"/>
      <c r="H94" s="232"/>
      <c r="I94" s="232"/>
      <c r="J94" s="232"/>
      <c r="K94" s="232"/>
      <c r="L94" s="232"/>
      <c r="M94" s="232"/>
      <c r="N94" s="232"/>
      <c r="O94" s="232"/>
      <c r="P94" s="232"/>
      <c r="Q94" s="232"/>
      <c r="R94" s="232"/>
      <c r="S94" s="232"/>
      <c r="T94" s="232"/>
      <c r="U94" s="232"/>
      <c r="V94" s="232"/>
      <c r="W94" s="232"/>
      <c r="X94" s="232"/>
      <c r="Y94" s="232"/>
      <c r="Z94" s="233"/>
    </row>
    <row r="95" spans="1:26" ht="194.25" customHeight="1" x14ac:dyDescent="0.15">
      <c r="B95" s="234"/>
      <c r="C95" s="235"/>
      <c r="D95" s="235"/>
      <c r="E95" s="235"/>
      <c r="F95" s="235"/>
      <c r="G95" s="235"/>
      <c r="H95" s="235"/>
      <c r="I95" s="235"/>
      <c r="J95" s="235"/>
      <c r="K95" s="235"/>
      <c r="L95" s="235"/>
      <c r="M95" s="235"/>
      <c r="N95" s="235"/>
      <c r="O95" s="235"/>
      <c r="P95" s="235"/>
      <c r="Q95" s="235"/>
      <c r="R95" s="235"/>
      <c r="S95" s="235"/>
      <c r="T95" s="235"/>
      <c r="U95" s="235"/>
      <c r="V95" s="235"/>
      <c r="W95" s="235"/>
      <c r="X95" s="235"/>
      <c r="Y95" s="235"/>
      <c r="Z95" s="236"/>
    </row>
    <row r="96" spans="1:26" ht="6" customHeight="1" x14ac:dyDescent="0.15"/>
    <row r="97" spans="1:26" ht="15" customHeight="1" x14ac:dyDescent="0.15">
      <c r="A97" s="13" t="s">
        <v>143</v>
      </c>
    </row>
    <row r="98" spans="1:26" ht="15" customHeight="1" x14ac:dyDescent="0.15">
      <c r="B98" s="237" t="s">
        <v>180</v>
      </c>
      <c r="C98" s="238"/>
      <c r="D98" s="238"/>
      <c r="E98" s="238"/>
      <c r="F98" s="238"/>
      <c r="G98" s="238"/>
      <c r="H98" s="238"/>
      <c r="I98" s="238"/>
      <c r="J98" s="238"/>
      <c r="K98" s="238"/>
      <c r="L98" s="238"/>
      <c r="M98" s="238"/>
      <c r="N98" s="238"/>
      <c r="O98" s="238"/>
      <c r="P98" s="238"/>
      <c r="Q98" s="238"/>
      <c r="R98" s="238"/>
      <c r="S98" s="238"/>
      <c r="T98" s="238"/>
      <c r="U98" s="238"/>
      <c r="V98" s="238"/>
      <c r="W98" s="238"/>
      <c r="X98" s="238"/>
      <c r="Y98" s="238"/>
      <c r="Z98" s="239"/>
    </row>
  </sheetData>
  <mergeCells count="218">
    <mergeCell ref="N63:R63"/>
    <mergeCell ref="N64:R64"/>
    <mergeCell ref="N65:R65"/>
    <mergeCell ref="N66:R66"/>
    <mergeCell ref="H64:J64"/>
    <mergeCell ref="H65:J65"/>
    <mergeCell ref="I51:K51"/>
    <mergeCell ref="I52:K52"/>
    <mergeCell ref="N51:S51"/>
    <mergeCell ref="N52:S52"/>
    <mergeCell ref="N53:S53"/>
    <mergeCell ref="N54:S54"/>
    <mergeCell ref="N55:S55"/>
    <mergeCell ref="I55:K55"/>
    <mergeCell ref="N60:R60"/>
    <mergeCell ref="N61:R61"/>
    <mergeCell ref="N62:R62"/>
    <mergeCell ref="B41:F41"/>
    <mergeCell ref="B42:F42"/>
    <mergeCell ref="B43:F43"/>
    <mergeCell ref="B44:F44"/>
    <mergeCell ref="N37:S37"/>
    <mergeCell ref="N38:S38"/>
    <mergeCell ref="N39:S39"/>
    <mergeCell ref="N40:S40"/>
    <mergeCell ref="N41:S41"/>
    <mergeCell ref="N42:S42"/>
    <mergeCell ref="N43:S43"/>
    <mergeCell ref="N44:S44"/>
    <mergeCell ref="I43:K43"/>
    <mergeCell ref="B37:F37"/>
    <mergeCell ref="B38:F38"/>
    <mergeCell ref="B39:F39"/>
    <mergeCell ref="B40:F40"/>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V20:X20"/>
    <mergeCell ref="V21:X21"/>
    <mergeCell ref="V22:X22"/>
    <mergeCell ref="B93:Z95"/>
    <mergeCell ref="B98:Z98"/>
    <mergeCell ref="T76:Z76"/>
    <mergeCell ref="B71:F71"/>
    <mergeCell ref="G71:M71"/>
    <mergeCell ref="N71:S71"/>
    <mergeCell ref="T71:Z71"/>
    <mergeCell ref="B74:F74"/>
    <mergeCell ref="G74:M74"/>
    <mergeCell ref="N74:S74"/>
    <mergeCell ref="T74:Z74"/>
    <mergeCell ref="B72:F72"/>
    <mergeCell ref="T75:Z75"/>
    <mergeCell ref="N75:S75"/>
    <mergeCell ref="G75:M75"/>
    <mergeCell ref="B75:F75"/>
    <mergeCell ref="B76:F76"/>
    <mergeCell ref="G76:M76"/>
    <mergeCell ref="N76:S76"/>
    <mergeCell ref="D89:Z89"/>
    <mergeCell ref="B73:F73"/>
    <mergeCell ref="G72:M72"/>
    <mergeCell ref="G73:M73"/>
    <mergeCell ref="N72:S72"/>
    <mergeCell ref="V43:X43"/>
    <mergeCell ref="I44:K44"/>
    <mergeCell ref="V44:X44"/>
    <mergeCell ref="I50:K50"/>
    <mergeCell ref="V50:X50"/>
    <mergeCell ref="B48:F48"/>
    <mergeCell ref="B49:F49"/>
    <mergeCell ref="B50:F50"/>
    <mergeCell ref="A46:Z47"/>
    <mergeCell ref="I48:K48"/>
    <mergeCell ref="V49:X49"/>
    <mergeCell ref="N48:S48"/>
    <mergeCell ref="N49:S49"/>
    <mergeCell ref="N50:S50"/>
    <mergeCell ref="V52:X52"/>
    <mergeCell ref="V55:X55"/>
    <mergeCell ref="B69:F69"/>
    <mergeCell ref="G69:M69"/>
    <mergeCell ref="N69:S69"/>
    <mergeCell ref="H60:J60"/>
    <mergeCell ref="H61:J61"/>
    <mergeCell ref="B51:F51"/>
    <mergeCell ref="B52:F52"/>
    <mergeCell ref="B53:F53"/>
    <mergeCell ref="B54:F54"/>
    <mergeCell ref="B55:F55"/>
    <mergeCell ref="U60:W60"/>
    <mergeCell ref="U61:W61"/>
    <mergeCell ref="U64:W64"/>
    <mergeCell ref="U65:W65"/>
    <mergeCell ref="B60:E60"/>
    <mergeCell ref="B61:E61"/>
    <mergeCell ref="B62:E62"/>
    <mergeCell ref="B63:E63"/>
    <mergeCell ref="B64:E64"/>
    <mergeCell ref="B65:E65"/>
    <mergeCell ref="B66:E66"/>
    <mergeCell ref="H66:J66"/>
    <mergeCell ref="I18:K18"/>
    <mergeCell ref="I19:K19"/>
    <mergeCell ref="V18:X18"/>
    <mergeCell ref="V19:X19"/>
    <mergeCell ref="V33:X33"/>
    <mergeCell ref="I42:K42"/>
    <mergeCell ref="V42:X42"/>
    <mergeCell ref="V37:X37"/>
    <mergeCell ref="I38:K38"/>
    <mergeCell ref="V38:X38"/>
    <mergeCell ref="I39:K39"/>
    <mergeCell ref="V39:X39"/>
    <mergeCell ref="I37:K37"/>
    <mergeCell ref="N26:S26"/>
    <mergeCell ref="N27:S27"/>
    <mergeCell ref="N28:S28"/>
    <mergeCell ref="N29:S29"/>
    <mergeCell ref="N30:S30"/>
    <mergeCell ref="N31:S31"/>
    <mergeCell ref="N32:S32"/>
    <mergeCell ref="N33:S33"/>
    <mergeCell ref="V26:X26"/>
    <mergeCell ref="V27:X27"/>
    <mergeCell ref="I26:K26"/>
    <mergeCell ref="A2:Z2"/>
    <mergeCell ref="B6:Z11"/>
    <mergeCell ref="A13:Z14"/>
    <mergeCell ref="I15:K15"/>
    <mergeCell ref="I16:K16"/>
    <mergeCell ref="V15:X15"/>
    <mergeCell ref="V16:X16"/>
    <mergeCell ref="O4:Z4"/>
    <mergeCell ref="V17:X17"/>
    <mergeCell ref="I27:K27"/>
    <mergeCell ref="B26:F26"/>
    <mergeCell ref="B27:F27"/>
    <mergeCell ref="A35:Z36"/>
    <mergeCell ref="I33:K33"/>
    <mergeCell ref="A24:Z25"/>
    <mergeCell ref="B29:F29"/>
    <mergeCell ref="B30:F30"/>
    <mergeCell ref="B31:F31"/>
    <mergeCell ref="B32:F32"/>
    <mergeCell ref="B33:F33"/>
    <mergeCell ref="B28:F28"/>
    <mergeCell ref="V28:X28"/>
    <mergeCell ref="V31:X31"/>
    <mergeCell ref="V30:X30"/>
    <mergeCell ref="V29:X29"/>
    <mergeCell ref="V32:X32"/>
    <mergeCell ref="I28:K28"/>
    <mergeCell ref="I32:K32"/>
    <mergeCell ref="I31:K31"/>
    <mergeCell ref="I30:K30"/>
    <mergeCell ref="I29:K29"/>
    <mergeCell ref="N70:S70"/>
    <mergeCell ref="T70:Z70"/>
    <mergeCell ref="T69:Z69"/>
    <mergeCell ref="B70:F70"/>
    <mergeCell ref="G70:M70"/>
    <mergeCell ref="U66:W66"/>
    <mergeCell ref="I40:K40"/>
    <mergeCell ref="I41:K41"/>
    <mergeCell ref="V40:X40"/>
    <mergeCell ref="V41:X41"/>
    <mergeCell ref="H62:J62"/>
    <mergeCell ref="H63:J63"/>
    <mergeCell ref="U62:W62"/>
    <mergeCell ref="U63:W63"/>
    <mergeCell ref="V48:X48"/>
    <mergeCell ref="I49:K49"/>
    <mergeCell ref="B59:E59"/>
    <mergeCell ref="N59:R59"/>
    <mergeCell ref="A57:Z58"/>
    <mergeCell ref="I53:K53"/>
    <mergeCell ref="V53:X53"/>
    <mergeCell ref="I54:K54"/>
    <mergeCell ref="V54:X54"/>
    <mergeCell ref="V51:X51"/>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D81:Z81"/>
    <mergeCell ref="D82:Z82"/>
    <mergeCell ref="D85:Z85"/>
    <mergeCell ref="D83:Z83"/>
    <mergeCell ref="D84:Z84"/>
  </mergeCells>
  <phoneticPr fontId="1"/>
  <dataValidations count="4">
    <dataValidation type="list" allowBlank="1" showInputMessage="1" showErrorMessage="1" sqref="Y16:Z22 L16:M22 Y27:Z33 L38:M44 Y38:Z44 Y49:Z55 K60:K61 H16:H22 U16:U22 X60 U27:U33 H38:H44 U38:U44 L27:M33 U49:U55 L49:M55 T60:T66 Y60:Z66 H27:H33 H49:H55 G60:G66 L60:M66" xr:uid="{4C0986EB-3601-4249-85F7-B678A400A117}">
      <formula1>"○"</formula1>
    </dataValidation>
    <dataValidation type="list" allowBlank="1" showInputMessage="1" showErrorMessage="1" sqref="Z23 Z34 D34:K34 D23:K23 V16:V22 I16:I22 V27:V33 I49:I55 V38:V44 I38:I44 V49:V55 I27:I33 U60:U66 H60:H66" xr:uid="{CC907DDE-86DC-4E68-BFF5-E920A71A96A6}">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H74:M77 G70:G77 H70:M71 T70:T77 U70:Z71 U74:Z77"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87" orientation="landscape" r:id="rId1"/>
  <rowBreaks count="4" manualBreakCount="4">
    <brk id="34" max="25" man="1"/>
    <brk id="67" max="25" man="1"/>
    <brk id="83" max="25" man="1"/>
    <brk id="95"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1C10E-97EA-4171-B931-F0DD3068624A}">
  <dimension ref="A1:Z98"/>
  <sheetViews>
    <sheetView showZeros="0" view="pageBreakPreview" zoomScaleNormal="100" zoomScaleSheetLayoutView="100" workbookViewId="0">
      <selection activeCell="B20" sqref="B20:F20"/>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246" t="s">
        <v>211</v>
      </c>
      <c r="X1" s="246"/>
      <c r="Y1" s="246"/>
      <c r="Z1" s="246"/>
    </row>
    <row r="2" spans="1:26" ht="18" customHeight="1" x14ac:dyDescent="0.15">
      <c r="A2" s="208" t="s">
        <v>67</v>
      </c>
      <c r="B2" s="208"/>
      <c r="C2" s="208"/>
      <c r="D2" s="208"/>
      <c r="E2" s="208"/>
      <c r="F2" s="208"/>
      <c r="G2" s="208"/>
      <c r="H2" s="208"/>
      <c r="I2" s="208"/>
      <c r="J2" s="208"/>
      <c r="K2" s="208"/>
      <c r="L2" s="208"/>
      <c r="M2" s="208"/>
      <c r="N2" s="208"/>
      <c r="O2" s="208"/>
      <c r="P2" s="208"/>
      <c r="Q2" s="208"/>
      <c r="R2" s="208"/>
      <c r="S2" s="208"/>
      <c r="T2" s="208"/>
      <c r="U2" s="208"/>
      <c r="V2" s="208"/>
      <c r="W2" s="208"/>
      <c r="X2" s="208"/>
      <c r="Y2" s="208"/>
      <c r="Z2" s="208"/>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215</v>
      </c>
      <c r="B4" s="29"/>
      <c r="C4" s="29"/>
      <c r="D4" s="29"/>
      <c r="E4" s="29"/>
      <c r="F4" s="29"/>
      <c r="G4" s="29"/>
      <c r="H4" s="15" t="s">
        <v>111</v>
      </c>
      <c r="I4" s="29"/>
      <c r="J4" s="29"/>
      <c r="K4" s="29"/>
      <c r="L4" s="29"/>
      <c r="M4" s="29"/>
      <c r="N4" s="29"/>
      <c r="O4" s="149" t="s">
        <v>175</v>
      </c>
      <c r="P4" s="150"/>
      <c r="Q4" s="150"/>
      <c r="R4" s="150"/>
      <c r="S4" s="150"/>
      <c r="T4" s="150"/>
      <c r="U4" s="150"/>
      <c r="V4" s="150"/>
      <c r="W4" s="150"/>
      <c r="X4" s="150"/>
      <c r="Y4" s="150"/>
      <c r="Z4" s="151"/>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09" t="s">
        <v>217</v>
      </c>
      <c r="C6" s="210"/>
      <c r="D6" s="210"/>
      <c r="E6" s="210"/>
      <c r="F6" s="210"/>
      <c r="G6" s="210"/>
      <c r="H6" s="210"/>
      <c r="I6" s="210"/>
      <c r="J6" s="210"/>
      <c r="K6" s="210"/>
      <c r="L6" s="210"/>
      <c r="M6" s="210"/>
      <c r="N6" s="210"/>
      <c r="O6" s="210"/>
      <c r="P6" s="210"/>
      <c r="Q6" s="210"/>
      <c r="R6" s="210"/>
      <c r="S6" s="210"/>
      <c r="T6" s="210"/>
      <c r="U6" s="210"/>
      <c r="V6" s="210"/>
      <c r="W6" s="210"/>
      <c r="X6" s="210"/>
      <c r="Y6" s="210"/>
      <c r="Z6" s="211"/>
    </row>
    <row r="7" spans="1:26" ht="18" customHeight="1" x14ac:dyDescent="0.15">
      <c r="B7" s="212"/>
      <c r="C7" s="213"/>
      <c r="D7" s="213"/>
      <c r="E7" s="213"/>
      <c r="F7" s="213"/>
      <c r="G7" s="213"/>
      <c r="H7" s="213"/>
      <c r="I7" s="213"/>
      <c r="J7" s="213"/>
      <c r="K7" s="213"/>
      <c r="L7" s="213"/>
      <c r="M7" s="213"/>
      <c r="N7" s="213"/>
      <c r="O7" s="213"/>
      <c r="P7" s="213"/>
      <c r="Q7" s="213"/>
      <c r="R7" s="213"/>
      <c r="S7" s="213"/>
      <c r="T7" s="213"/>
      <c r="U7" s="213"/>
      <c r="V7" s="213"/>
      <c r="W7" s="213"/>
      <c r="X7" s="213"/>
      <c r="Y7" s="213"/>
      <c r="Z7" s="214"/>
    </row>
    <row r="8" spans="1:26" ht="18" customHeight="1" x14ac:dyDescent="0.15">
      <c r="B8" s="212"/>
      <c r="C8" s="213"/>
      <c r="D8" s="213"/>
      <c r="E8" s="213"/>
      <c r="F8" s="213"/>
      <c r="G8" s="213"/>
      <c r="H8" s="213"/>
      <c r="I8" s="213"/>
      <c r="J8" s="213"/>
      <c r="K8" s="213"/>
      <c r="L8" s="213"/>
      <c r="M8" s="213"/>
      <c r="N8" s="213"/>
      <c r="O8" s="213"/>
      <c r="P8" s="213"/>
      <c r="Q8" s="213"/>
      <c r="R8" s="213"/>
      <c r="S8" s="213"/>
      <c r="T8" s="213"/>
      <c r="U8" s="213"/>
      <c r="V8" s="213"/>
      <c r="W8" s="213"/>
      <c r="X8" s="213"/>
      <c r="Y8" s="213"/>
      <c r="Z8" s="214"/>
    </row>
    <row r="9" spans="1:26" ht="18" customHeight="1" x14ac:dyDescent="0.15">
      <c r="B9" s="212"/>
      <c r="C9" s="213"/>
      <c r="D9" s="213"/>
      <c r="E9" s="213"/>
      <c r="F9" s="213"/>
      <c r="G9" s="213"/>
      <c r="H9" s="213"/>
      <c r="I9" s="213"/>
      <c r="J9" s="213"/>
      <c r="K9" s="213"/>
      <c r="L9" s="213"/>
      <c r="M9" s="213"/>
      <c r="N9" s="213"/>
      <c r="O9" s="213"/>
      <c r="P9" s="213"/>
      <c r="Q9" s="213"/>
      <c r="R9" s="213"/>
      <c r="S9" s="213"/>
      <c r="T9" s="213"/>
      <c r="U9" s="213"/>
      <c r="V9" s="213"/>
      <c r="W9" s="213"/>
      <c r="X9" s="213"/>
      <c r="Y9" s="213"/>
      <c r="Z9" s="214"/>
    </row>
    <row r="10" spans="1:26" ht="18" customHeight="1" x14ac:dyDescent="0.15">
      <c r="B10" s="212"/>
      <c r="C10" s="215"/>
      <c r="D10" s="215"/>
      <c r="E10" s="215"/>
      <c r="F10" s="215"/>
      <c r="G10" s="215"/>
      <c r="H10" s="215"/>
      <c r="I10" s="215"/>
      <c r="J10" s="215"/>
      <c r="K10" s="215"/>
      <c r="L10" s="215"/>
      <c r="M10" s="215"/>
      <c r="N10" s="215"/>
      <c r="O10" s="215"/>
      <c r="P10" s="215"/>
      <c r="Q10" s="215"/>
      <c r="R10" s="215"/>
      <c r="S10" s="215"/>
      <c r="T10" s="215"/>
      <c r="U10" s="215"/>
      <c r="V10" s="215"/>
      <c r="W10" s="215"/>
      <c r="X10" s="215"/>
      <c r="Y10" s="215"/>
      <c r="Z10" s="214"/>
    </row>
    <row r="11" spans="1:26" ht="35.25" customHeight="1" x14ac:dyDescent="0.15">
      <c r="B11" s="216"/>
      <c r="C11" s="217"/>
      <c r="D11" s="217"/>
      <c r="E11" s="217"/>
      <c r="F11" s="217"/>
      <c r="G11" s="217"/>
      <c r="H11" s="217"/>
      <c r="I11" s="217"/>
      <c r="J11" s="217"/>
      <c r="K11" s="217"/>
      <c r="L11" s="217"/>
      <c r="M11" s="217"/>
      <c r="N11" s="217"/>
      <c r="O11" s="217"/>
      <c r="P11" s="217"/>
      <c r="Q11" s="217"/>
      <c r="R11" s="217"/>
      <c r="S11" s="217"/>
      <c r="T11" s="217"/>
      <c r="U11" s="217"/>
      <c r="V11" s="217"/>
      <c r="W11" s="217"/>
      <c r="X11" s="217"/>
      <c r="Y11" s="217"/>
      <c r="Z11" s="218"/>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198" t="s">
        <v>124</v>
      </c>
      <c r="B13" s="198"/>
      <c r="C13" s="198"/>
      <c r="D13" s="198"/>
      <c r="E13" s="198"/>
      <c r="F13" s="198"/>
      <c r="G13" s="198"/>
      <c r="H13" s="198"/>
      <c r="I13" s="198"/>
      <c r="J13" s="198"/>
      <c r="K13" s="198"/>
      <c r="L13" s="198"/>
      <c r="M13" s="198"/>
      <c r="N13" s="198"/>
      <c r="O13" s="198"/>
      <c r="P13" s="198"/>
      <c r="Q13" s="198"/>
      <c r="R13" s="198"/>
      <c r="S13" s="198"/>
      <c r="T13" s="198"/>
      <c r="U13" s="198"/>
      <c r="V13" s="198"/>
      <c r="W13" s="198"/>
      <c r="X13" s="198"/>
      <c r="Y13" s="198"/>
      <c r="Z13" s="198"/>
    </row>
    <row r="14" spans="1:26" ht="18" customHeight="1" x14ac:dyDescent="0.15">
      <c r="A14" s="198"/>
      <c r="B14" s="198"/>
      <c r="C14" s="198"/>
      <c r="D14" s="198"/>
      <c r="E14" s="198"/>
      <c r="F14" s="198"/>
      <c r="G14" s="198"/>
      <c r="H14" s="198"/>
      <c r="I14" s="198"/>
      <c r="J14" s="198"/>
      <c r="K14" s="198"/>
      <c r="L14" s="198"/>
      <c r="M14" s="198"/>
      <c r="N14" s="198"/>
      <c r="O14" s="198"/>
      <c r="P14" s="198"/>
      <c r="Q14" s="198"/>
      <c r="R14" s="198"/>
      <c r="S14" s="198"/>
      <c r="T14" s="198"/>
      <c r="U14" s="198"/>
      <c r="V14" s="198"/>
      <c r="W14" s="198"/>
      <c r="X14" s="198"/>
      <c r="Y14" s="198"/>
      <c r="Z14" s="198"/>
    </row>
    <row r="15" spans="1:26" ht="18" customHeight="1" x14ac:dyDescent="0.15">
      <c r="A15" s="14"/>
      <c r="B15" s="149" t="s">
        <v>99</v>
      </c>
      <c r="C15" s="150"/>
      <c r="D15" s="150"/>
      <c r="E15" s="150"/>
      <c r="F15" s="151"/>
      <c r="G15" s="30" t="s">
        <v>140</v>
      </c>
      <c r="H15" s="110" t="s">
        <v>139</v>
      </c>
      <c r="I15" s="150" t="s">
        <v>100</v>
      </c>
      <c r="J15" s="150"/>
      <c r="K15" s="150"/>
      <c r="L15" s="73" t="s">
        <v>103</v>
      </c>
      <c r="M15" s="73" t="s">
        <v>106</v>
      </c>
      <c r="N15" s="149" t="s">
        <v>99</v>
      </c>
      <c r="O15" s="150"/>
      <c r="P15" s="150"/>
      <c r="Q15" s="150"/>
      <c r="R15" s="150"/>
      <c r="S15" s="151"/>
      <c r="T15" s="30" t="s">
        <v>140</v>
      </c>
      <c r="U15" s="110" t="s">
        <v>139</v>
      </c>
      <c r="V15" s="150" t="s">
        <v>100</v>
      </c>
      <c r="W15" s="150"/>
      <c r="X15" s="150"/>
      <c r="Y15" s="73" t="s">
        <v>103</v>
      </c>
      <c r="Z15" s="73" t="s">
        <v>106</v>
      </c>
    </row>
    <row r="16" spans="1:26" ht="18" customHeight="1" x14ac:dyDescent="0.15">
      <c r="A16" s="14"/>
      <c r="B16" s="199" t="s">
        <v>171</v>
      </c>
      <c r="C16" s="200"/>
      <c r="D16" s="200"/>
      <c r="E16" s="200"/>
      <c r="F16" s="201"/>
      <c r="G16" s="111">
        <v>1</v>
      </c>
      <c r="H16" s="111" t="s">
        <v>173</v>
      </c>
      <c r="I16" s="195" t="s">
        <v>174</v>
      </c>
      <c r="J16" s="196"/>
      <c r="K16" s="197"/>
      <c r="L16" s="111" t="s">
        <v>173</v>
      </c>
      <c r="M16" s="111" t="s">
        <v>173</v>
      </c>
      <c r="N16" s="183"/>
      <c r="O16" s="184"/>
      <c r="P16" s="184"/>
      <c r="Q16" s="184"/>
      <c r="R16" s="184"/>
      <c r="S16" s="185"/>
      <c r="T16" s="111"/>
      <c r="U16" s="111"/>
      <c r="V16" s="195"/>
      <c r="W16" s="196"/>
      <c r="X16" s="197"/>
      <c r="Y16" s="111"/>
      <c r="Z16" s="111"/>
    </row>
    <row r="17" spans="1:26" ht="18" customHeight="1" x14ac:dyDescent="0.15">
      <c r="A17" s="14"/>
      <c r="B17" s="202" t="s">
        <v>212</v>
      </c>
      <c r="C17" s="203"/>
      <c r="D17" s="203"/>
      <c r="E17" s="203"/>
      <c r="F17" s="204"/>
      <c r="G17" s="111">
        <v>2</v>
      </c>
      <c r="H17" s="111" t="s">
        <v>173</v>
      </c>
      <c r="I17" s="195" t="s">
        <v>174</v>
      </c>
      <c r="J17" s="196"/>
      <c r="K17" s="197"/>
      <c r="L17" s="111" t="s">
        <v>173</v>
      </c>
      <c r="M17" s="112"/>
      <c r="N17" s="156"/>
      <c r="O17" s="157"/>
      <c r="P17" s="157"/>
      <c r="Q17" s="157"/>
      <c r="R17" s="157"/>
      <c r="S17" s="158"/>
      <c r="T17" s="112"/>
      <c r="U17" s="112"/>
      <c r="V17" s="192"/>
      <c r="W17" s="193"/>
      <c r="X17" s="194"/>
      <c r="Y17" s="112"/>
      <c r="Z17" s="112"/>
    </row>
    <row r="18" spans="1:26" ht="18" customHeight="1" x14ac:dyDescent="0.15">
      <c r="A18" s="14"/>
      <c r="B18" s="202"/>
      <c r="C18" s="203"/>
      <c r="D18" s="203"/>
      <c r="E18" s="203"/>
      <c r="F18" s="204"/>
      <c r="G18" s="112"/>
      <c r="H18" s="112"/>
      <c r="I18" s="192"/>
      <c r="J18" s="193"/>
      <c r="K18" s="194"/>
      <c r="L18" s="112"/>
      <c r="M18" s="112"/>
      <c r="N18" s="156"/>
      <c r="O18" s="157"/>
      <c r="P18" s="157"/>
      <c r="Q18" s="157"/>
      <c r="R18" s="157"/>
      <c r="S18" s="158"/>
      <c r="T18" s="112"/>
      <c r="U18" s="112"/>
      <c r="V18" s="192"/>
      <c r="W18" s="193"/>
      <c r="X18" s="194"/>
      <c r="Y18" s="112"/>
      <c r="Z18" s="112"/>
    </row>
    <row r="19" spans="1:26" ht="18" customHeight="1" x14ac:dyDescent="0.15">
      <c r="A19" s="14"/>
      <c r="B19" s="202"/>
      <c r="C19" s="203"/>
      <c r="D19" s="203"/>
      <c r="E19" s="203"/>
      <c r="F19" s="204"/>
      <c r="G19" s="112"/>
      <c r="H19" s="112"/>
      <c r="I19" s="192"/>
      <c r="J19" s="193"/>
      <c r="K19" s="194"/>
      <c r="L19" s="112"/>
      <c r="M19" s="112"/>
      <c r="N19" s="156"/>
      <c r="O19" s="157"/>
      <c r="P19" s="157"/>
      <c r="Q19" s="157"/>
      <c r="R19" s="157"/>
      <c r="S19" s="158"/>
      <c r="T19" s="112"/>
      <c r="U19" s="112"/>
      <c r="V19" s="192"/>
      <c r="W19" s="193"/>
      <c r="X19" s="194"/>
      <c r="Y19" s="112"/>
      <c r="Z19" s="112"/>
    </row>
    <row r="20" spans="1:26" ht="18" customHeight="1" x14ac:dyDescent="0.15">
      <c r="A20" s="14"/>
      <c r="B20" s="202"/>
      <c r="C20" s="203"/>
      <c r="D20" s="203"/>
      <c r="E20" s="203"/>
      <c r="F20" s="204"/>
      <c r="G20" s="112"/>
      <c r="H20" s="112"/>
      <c r="I20" s="192"/>
      <c r="J20" s="193"/>
      <c r="K20" s="194"/>
      <c r="L20" s="112"/>
      <c r="M20" s="112"/>
      <c r="N20" s="156"/>
      <c r="O20" s="157"/>
      <c r="P20" s="157"/>
      <c r="Q20" s="157"/>
      <c r="R20" s="157"/>
      <c r="S20" s="158"/>
      <c r="T20" s="112"/>
      <c r="U20" s="112"/>
      <c r="V20" s="192"/>
      <c r="W20" s="193"/>
      <c r="X20" s="194"/>
      <c r="Y20" s="112"/>
      <c r="Z20" s="112"/>
    </row>
    <row r="21" spans="1:26" ht="18" customHeight="1" x14ac:dyDescent="0.15">
      <c r="A21" s="29"/>
      <c r="B21" s="202"/>
      <c r="C21" s="203"/>
      <c r="D21" s="203"/>
      <c r="E21" s="203"/>
      <c r="F21" s="204"/>
      <c r="G21" s="112"/>
      <c r="H21" s="112"/>
      <c r="I21" s="192"/>
      <c r="J21" s="193"/>
      <c r="K21" s="194"/>
      <c r="L21" s="112"/>
      <c r="M21" s="112"/>
      <c r="N21" s="156"/>
      <c r="O21" s="157"/>
      <c r="P21" s="157"/>
      <c r="Q21" s="157"/>
      <c r="R21" s="157"/>
      <c r="S21" s="158"/>
      <c r="T21" s="112"/>
      <c r="U21" s="112"/>
      <c r="V21" s="192"/>
      <c r="W21" s="193"/>
      <c r="X21" s="194"/>
      <c r="Y21" s="112"/>
      <c r="Z21" s="112"/>
    </row>
    <row r="22" spans="1:26" ht="18" customHeight="1" x14ac:dyDescent="0.15">
      <c r="A22" s="29"/>
      <c r="B22" s="205"/>
      <c r="C22" s="206"/>
      <c r="D22" s="206"/>
      <c r="E22" s="206"/>
      <c r="F22" s="207"/>
      <c r="G22" s="113"/>
      <c r="H22" s="113"/>
      <c r="I22" s="189"/>
      <c r="J22" s="190"/>
      <c r="K22" s="191"/>
      <c r="L22" s="118"/>
      <c r="M22" s="118"/>
      <c r="N22" s="219"/>
      <c r="O22" s="220"/>
      <c r="P22" s="220"/>
      <c r="Q22" s="220"/>
      <c r="R22" s="220"/>
      <c r="S22" s="221"/>
      <c r="T22" s="113"/>
      <c r="U22" s="113"/>
      <c r="V22" s="189"/>
      <c r="W22" s="190"/>
      <c r="X22" s="191"/>
      <c r="Y22" s="118"/>
      <c r="Z22" s="118"/>
    </row>
    <row r="23" spans="1:26" ht="7.5" customHeight="1" x14ac:dyDescent="0.15">
      <c r="A23" s="29"/>
      <c r="B23" s="74"/>
      <c r="C23" s="74"/>
      <c r="D23" s="29"/>
      <c r="E23" s="29"/>
      <c r="F23" s="29"/>
      <c r="G23" s="29"/>
      <c r="H23" s="29"/>
      <c r="I23" s="29"/>
      <c r="J23" s="29"/>
      <c r="K23" s="29"/>
      <c r="L23" s="74"/>
      <c r="M23" s="74"/>
      <c r="N23" s="74"/>
      <c r="O23" s="74"/>
      <c r="P23" s="74"/>
      <c r="Q23" s="74"/>
      <c r="R23" s="74"/>
      <c r="S23" s="74"/>
      <c r="T23" s="74"/>
      <c r="U23" s="74"/>
      <c r="V23" s="74"/>
      <c r="W23" s="74"/>
      <c r="X23" s="74"/>
      <c r="Y23" s="74"/>
      <c r="Z23" s="29"/>
    </row>
    <row r="24" spans="1:26" ht="18" customHeight="1" x14ac:dyDescent="0.15">
      <c r="A24" s="198" t="s">
        <v>125</v>
      </c>
      <c r="B24" s="198"/>
      <c r="C24" s="198"/>
      <c r="D24" s="198"/>
      <c r="E24" s="198"/>
      <c r="F24" s="198"/>
      <c r="G24" s="198"/>
      <c r="H24" s="198"/>
      <c r="I24" s="198"/>
      <c r="J24" s="198"/>
      <c r="K24" s="198"/>
      <c r="L24" s="198"/>
      <c r="M24" s="198"/>
      <c r="N24" s="198"/>
      <c r="O24" s="198"/>
      <c r="P24" s="198"/>
      <c r="Q24" s="198"/>
      <c r="R24" s="198"/>
      <c r="S24" s="198"/>
      <c r="T24" s="198"/>
      <c r="U24" s="198"/>
      <c r="V24" s="198"/>
      <c r="W24" s="198"/>
      <c r="X24" s="198"/>
      <c r="Y24" s="198"/>
      <c r="Z24" s="198"/>
    </row>
    <row r="25" spans="1:26" ht="18" customHeight="1" x14ac:dyDescent="0.15">
      <c r="A25" s="198"/>
      <c r="B25" s="198"/>
      <c r="C25" s="198"/>
      <c r="D25" s="198"/>
      <c r="E25" s="198"/>
      <c r="F25" s="198"/>
      <c r="G25" s="198"/>
      <c r="H25" s="198"/>
      <c r="I25" s="198"/>
      <c r="J25" s="198"/>
      <c r="K25" s="198"/>
      <c r="L25" s="198"/>
      <c r="M25" s="198"/>
      <c r="N25" s="198"/>
      <c r="O25" s="198"/>
      <c r="P25" s="198"/>
      <c r="Q25" s="198"/>
      <c r="R25" s="198"/>
      <c r="S25" s="198"/>
      <c r="T25" s="198"/>
      <c r="U25" s="198"/>
      <c r="V25" s="198"/>
      <c r="W25" s="198"/>
      <c r="X25" s="198"/>
      <c r="Y25" s="198"/>
      <c r="Z25" s="198"/>
    </row>
    <row r="26" spans="1:26" ht="18" customHeight="1" x14ac:dyDescent="0.15">
      <c r="A26" s="14"/>
      <c r="B26" s="149" t="s">
        <v>99</v>
      </c>
      <c r="C26" s="150"/>
      <c r="D26" s="150"/>
      <c r="E26" s="150"/>
      <c r="F26" s="151"/>
      <c r="G26" s="30" t="s">
        <v>140</v>
      </c>
      <c r="H26" s="110" t="s">
        <v>139</v>
      </c>
      <c r="I26" s="150" t="s">
        <v>100</v>
      </c>
      <c r="J26" s="150"/>
      <c r="K26" s="150"/>
      <c r="L26" s="73" t="s">
        <v>126</v>
      </c>
      <c r="M26" s="73" t="s">
        <v>127</v>
      </c>
      <c r="N26" s="149" t="s">
        <v>99</v>
      </c>
      <c r="O26" s="150"/>
      <c r="P26" s="150"/>
      <c r="Q26" s="150"/>
      <c r="R26" s="150"/>
      <c r="S26" s="151"/>
      <c r="T26" s="30" t="s">
        <v>140</v>
      </c>
      <c r="U26" s="110" t="s">
        <v>139</v>
      </c>
      <c r="V26" s="150" t="s">
        <v>100</v>
      </c>
      <c r="W26" s="150"/>
      <c r="X26" s="150"/>
      <c r="Y26" s="73" t="s">
        <v>126</v>
      </c>
      <c r="Z26" s="73" t="s">
        <v>127</v>
      </c>
    </row>
    <row r="27" spans="1:26" ht="18" customHeight="1" x14ac:dyDescent="0.15">
      <c r="A27" s="14"/>
      <c r="B27" s="199" t="s">
        <v>171</v>
      </c>
      <c r="C27" s="200"/>
      <c r="D27" s="200"/>
      <c r="E27" s="200"/>
      <c r="F27" s="201"/>
      <c r="G27" s="111">
        <v>1</v>
      </c>
      <c r="H27" s="111" t="s">
        <v>173</v>
      </c>
      <c r="I27" s="195" t="s">
        <v>174</v>
      </c>
      <c r="J27" s="196"/>
      <c r="K27" s="197"/>
      <c r="L27" s="111" t="s">
        <v>173</v>
      </c>
      <c r="M27" s="111" t="s">
        <v>173</v>
      </c>
      <c r="N27" s="183"/>
      <c r="O27" s="184"/>
      <c r="P27" s="184"/>
      <c r="Q27" s="184"/>
      <c r="R27" s="184"/>
      <c r="S27" s="185"/>
      <c r="T27" s="111"/>
      <c r="U27" s="111"/>
      <c r="V27" s="195"/>
      <c r="W27" s="196"/>
      <c r="X27" s="197"/>
      <c r="Y27" s="111"/>
      <c r="Z27" s="111"/>
    </row>
    <row r="28" spans="1:26" ht="18" customHeight="1" x14ac:dyDescent="0.15">
      <c r="A28" s="14"/>
      <c r="B28" s="202" t="s">
        <v>212</v>
      </c>
      <c r="C28" s="203"/>
      <c r="D28" s="203"/>
      <c r="E28" s="203"/>
      <c r="F28" s="204"/>
      <c r="G28" s="111">
        <v>2</v>
      </c>
      <c r="H28" s="111" t="s">
        <v>173</v>
      </c>
      <c r="I28" s="195" t="s">
        <v>174</v>
      </c>
      <c r="J28" s="196"/>
      <c r="K28" s="197"/>
      <c r="L28" s="111" t="s">
        <v>173</v>
      </c>
      <c r="M28" s="112"/>
      <c r="N28" s="156"/>
      <c r="O28" s="157"/>
      <c r="P28" s="157"/>
      <c r="Q28" s="157"/>
      <c r="R28" s="157"/>
      <c r="S28" s="158"/>
      <c r="T28" s="112"/>
      <c r="U28" s="112"/>
      <c r="V28" s="192"/>
      <c r="W28" s="193"/>
      <c r="X28" s="194"/>
      <c r="Y28" s="112"/>
      <c r="Z28" s="112"/>
    </row>
    <row r="29" spans="1:26" ht="18" customHeight="1" x14ac:dyDescent="0.15">
      <c r="A29" s="14"/>
      <c r="B29" s="202"/>
      <c r="C29" s="203"/>
      <c r="D29" s="203"/>
      <c r="E29" s="203"/>
      <c r="F29" s="204"/>
      <c r="G29" s="112"/>
      <c r="H29" s="112"/>
      <c r="I29" s="192"/>
      <c r="J29" s="193"/>
      <c r="K29" s="194"/>
      <c r="L29" s="112"/>
      <c r="M29" s="112"/>
      <c r="N29" s="156"/>
      <c r="O29" s="157"/>
      <c r="P29" s="157"/>
      <c r="Q29" s="157"/>
      <c r="R29" s="157"/>
      <c r="S29" s="158"/>
      <c r="T29" s="112"/>
      <c r="U29" s="112"/>
      <c r="V29" s="192"/>
      <c r="W29" s="193"/>
      <c r="X29" s="194"/>
      <c r="Y29" s="112"/>
      <c r="Z29" s="112"/>
    </row>
    <row r="30" spans="1:26" ht="18" customHeight="1" x14ac:dyDescent="0.15">
      <c r="A30" s="14"/>
      <c r="B30" s="202"/>
      <c r="C30" s="203"/>
      <c r="D30" s="203"/>
      <c r="E30" s="203"/>
      <c r="F30" s="204"/>
      <c r="G30" s="112"/>
      <c r="H30" s="112"/>
      <c r="I30" s="192"/>
      <c r="J30" s="193"/>
      <c r="K30" s="194"/>
      <c r="L30" s="112"/>
      <c r="M30" s="112"/>
      <c r="N30" s="156"/>
      <c r="O30" s="157"/>
      <c r="P30" s="157"/>
      <c r="Q30" s="157"/>
      <c r="R30" s="157"/>
      <c r="S30" s="158"/>
      <c r="T30" s="112"/>
      <c r="U30" s="112"/>
      <c r="V30" s="192"/>
      <c r="W30" s="193"/>
      <c r="X30" s="194"/>
      <c r="Y30" s="112"/>
      <c r="Z30" s="112"/>
    </row>
    <row r="31" spans="1:26" ht="18" customHeight="1" x14ac:dyDescent="0.15">
      <c r="A31" s="14"/>
      <c r="B31" s="202"/>
      <c r="C31" s="203"/>
      <c r="D31" s="203"/>
      <c r="E31" s="203"/>
      <c r="F31" s="204"/>
      <c r="G31" s="112"/>
      <c r="H31" s="112"/>
      <c r="I31" s="192"/>
      <c r="J31" s="193"/>
      <c r="K31" s="194"/>
      <c r="L31" s="112"/>
      <c r="M31" s="112"/>
      <c r="N31" s="156"/>
      <c r="O31" s="157"/>
      <c r="P31" s="157"/>
      <c r="Q31" s="157"/>
      <c r="R31" s="157"/>
      <c r="S31" s="158"/>
      <c r="T31" s="112"/>
      <c r="U31" s="112"/>
      <c r="V31" s="192"/>
      <c r="W31" s="193"/>
      <c r="X31" s="194"/>
      <c r="Y31" s="112"/>
      <c r="Z31" s="112"/>
    </row>
    <row r="32" spans="1:26" ht="18" customHeight="1" x14ac:dyDescent="0.15">
      <c r="A32" s="14"/>
      <c r="B32" s="202"/>
      <c r="C32" s="203"/>
      <c r="D32" s="203"/>
      <c r="E32" s="203"/>
      <c r="F32" s="204"/>
      <c r="G32" s="112"/>
      <c r="H32" s="112"/>
      <c r="I32" s="192"/>
      <c r="J32" s="193"/>
      <c r="K32" s="194"/>
      <c r="L32" s="112"/>
      <c r="M32" s="112"/>
      <c r="N32" s="156"/>
      <c r="O32" s="157"/>
      <c r="P32" s="157"/>
      <c r="Q32" s="157"/>
      <c r="R32" s="157"/>
      <c r="S32" s="158"/>
      <c r="T32" s="112"/>
      <c r="U32" s="112"/>
      <c r="V32" s="192"/>
      <c r="W32" s="193"/>
      <c r="X32" s="194"/>
      <c r="Y32" s="112"/>
      <c r="Z32" s="112"/>
    </row>
    <row r="33" spans="1:26" ht="18" customHeight="1" x14ac:dyDescent="0.15">
      <c r="A33" s="14"/>
      <c r="B33" s="205"/>
      <c r="C33" s="206"/>
      <c r="D33" s="206"/>
      <c r="E33" s="206"/>
      <c r="F33" s="207"/>
      <c r="G33" s="113"/>
      <c r="H33" s="113"/>
      <c r="I33" s="189"/>
      <c r="J33" s="190"/>
      <c r="K33" s="191"/>
      <c r="L33" s="118"/>
      <c r="M33" s="118"/>
      <c r="N33" s="219"/>
      <c r="O33" s="220"/>
      <c r="P33" s="220"/>
      <c r="Q33" s="220"/>
      <c r="R33" s="220"/>
      <c r="S33" s="221"/>
      <c r="T33" s="113"/>
      <c r="U33" s="113"/>
      <c r="V33" s="189"/>
      <c r="W33" s="190"/>
      <c r="X33" s="191"/>
      <c r="Y33" s="118"/>
      <c r="Z33" s="118"/>
    </row>
    <row r="34" spans="1:26" ht="7.5" customHeight="1" x14ac:dyDescent="0.15">
      <c r="A34" s="29"/>
      <c r="B34" s="74"/>
      <c r="C34" s="74"/>
      <c r="D34" s="29"/>
      <c r="E34" s="29"/>
      <c r="F34" s="29"/>
      <c r="G34" s="29"/>
      <c r="H34" s="29"/>
      <c r="I34" s="29"/>
      <c r="J34" s="29"/>
      <c r="K34" s="29"/>
      <c r="L34" s="74"/>
      <c r="M34" s="74"/>
      <c r="N34" s="74"/>
      <c r="O34" s="74"/>
      <c r="P34" s="74"/>
      <c r="Q34" s="74"/>
      <c r="R34" s="74"/>
      <c r="S34" s="74"/>
      <c r="T34" s="74"/>
      <c r="U34" s="74"/>
      <c r="V34" s="74"/>
      <c r="W34" s="74"/>
      <c r="X34" s="74"/>
      <c r="Y34" s="74"/>
      <c r="Z34" s="29"/>
    </row>
    <row r="35" spans="1:26" ht="18" customHeight="1" x14ac:dyDescent="0.15">
      <c r="A35" s="198" t="s">
        <v>128</v>
      </c>
      <c r="B35" s="198"/>
      <c r="C35" s="198"/>
      <c r="D35" s="198"/>
      <c r="E35" s="198"/>
      <c r="F35" s="198"/>
      <c r="G35" s="198"/>
      <c r="H35" s="198"/>
      <c r="I35" s="198"/>
      <c r="J35" s="198"/>
      <c r="K35" s="198"/>
      <c r="L35" s="198"/>
      <c r="M35" s="198"/>
      <c r="N35" s="198"/>
      <c r="O35" s="198"/>
      <c r="P35" s="198"/>
      <c r="Q35" s="198"/>
      <c r="R35" s="198"/>
      <c r="S35" s="198"/>
      <c r="T35" s="198"/>
      <c r="U35" s="198"/>
      <c r="V35" s="198"/>
      <c r="W35" s="198"/>
      <c r="X35" s="198"/>
      <c r="Y35" s="198"/>
      <c r="Z35" s="198"/>
    </row>
    <row r="36" spans="1:26" ht="18" customHeight="1" x14ac:dyDescent="0.15">
      <c r="A36" s="198"/>
      <c r="B36" s="198"/>
      <c r="C36" s="198"/>
      <c r="D36" s="198"/>
      <c r="E36" s="198"/>
      <c r="F36" s="198"/>
      <c r="G36" s="198"/>
      <c r="H36" s="198"/>
      <c r="I36" s="198"/>
      <c r="J36" s="198"/>
      <c r="K36" s="198"/>
      <c r="L36" s="198"/>
      <c r="M36" s="198"/>
      <c r="N36" s="198"/>
      <c r="O36" s="198"/>
      <c r="P36" s="198"/>
      <c r="Q36" s="198"/>
      <c r="R36" s="198"/>
      <c r="S36" s="198"/>
      <c r="T36" s="198"/>
      <c r="U36" s="198"/>
      <c r="V36" s="198"/>
      <c r="W36" s="198"/>
      <c r="X36" s="198"/>
      <c r="Y36" s="198"/>
      <c r="Z36" s="198"/>
    </row>
    <row r="37" spans="1:26" ht="18" customHeight="1" x14ac:dyDescent="0.15">
      <c r="A37" s="14"/>
      <c r="B37" s="149" t="s">
        <v>99</v>
      </c>
      <c r="C37" s="150"/>
      <c r="D37" s="150"/>
      <c r="E37" s="150"/>
      <c r="F37" s="151"/>
      <c r="G37" s="30" t="s">
        <v>140</v>
      </c>
      <c r="H37" s="110" t="s">
        <v>139</v>
      </c>
      <c r="I37" s="149" t="s">
        <v>100</v>
      </c>
      <c r="J37" s="150"/>
      <c r="K37" s="151"/>
      <c r="L37" s="73" t="s">
        <v>129</v>
      </c>
      <c r="M37" s="73" t="s">
        <v>130</v>
      </c>
      <c r="N37" s="149" t="s">
        <v>99</v>
      </c>
      <c r="O37" s="150"/>
      <c r="P37" s="150"/>
      <c r="Q37" s="150"/>
      <c r="R37" s="150"/>
      <c r="S37" s="151"/>
      <c r="T37" s="30" t="s">
        <v>140</v>
      </c>
      <c r="U37" s="110" t="s">
        <v>139</v>
      </c>
      <c r="V37" s="149" t="s">
        <v>100</v>
      </c>
      <c r="W37" s="150"/>
      <c r="X37" s="151"/>
      <c r="Y37" s="73" t="s">
        <v>129</v>
      </c>
      <c r="Z37" s="73" t="s">
        <v>130</v>
      </c>
    </row>
    <row r="38" spans="1:26" ht="18" customHeight="1" x14ac:dyDescent="0.15">
      <c r="A38" s="29"/>
      <c r="B38" s="199" t="s">
        <v>171</v>
      </c>
      <c r="C38" s="200"/>
      <c r="D38" s="200"/>
      <c r="E38" s="200"/>
      <c r="F38" s="201"/>
      <c r="G38" s="111">
        <v>1</v>
      </c>
      <c r="H38" s="111" t="s">
        <v>173</v>
      </c>
      <c r="I38" s="195" t="s">
        <v>174</v>
      </c>
      <c r="J38" s="196"/>
      <c r="K38" s="197"/>
      <c r="L38" s="111" t="s">
        <v>173</v>
      </c>
      <c r="M38" s="111" t="s">
        <v>173</v>
      </c>
      <c r="N38" s="183"/>
      <c r="O38" s="184"/>
      <c r="P38" s="184"/>
      <c r="Q38" s="184"/>
      <c r="R38" s="184"/>
      <c r="S38" s="185"/>
      <c r="T38" s="111"/>
      <c r="U38" s="111"/>
      <c r="V38" s="195"/>
      <c r="W38" s="196"/>
      <c r="X38" s="197"/>
      <c r="Y38" s="111"/>
      <c r="Z38" s="111"/>
    </row>
    <row r="39" spans="1:26" ht="18" customHeight="1" x14ac:dyDescent="0.15">
      <c r="A39" s="29"/>
      <c r="B39" s="202"/>
      <c r="C39" s="203"/>
      <c r="D39" s="203"/>
      <c r="E39" s="203"/>
      <c r="F39" s="204"/>
      <c r="G39" s="112"/>
      <c r="H39" s="112"/>
      <c r="I39" s="192"/>
      <c r="J39" s="193"/>
      <c r="K39" s="194"/>
      <c r="L39" s="112"/>
      <c r="M39" s="112"/>
      <c r="N39" s="156"/>
      <c r="O39" s="157"/>
      <c r="P39" s="157"/>
      <c r="Q39" s="157"/>
      <c r="R39" s="157"/>
      <c r="S39" s="158"/>
      <c r="T39" s="112"/>
      <c r="U39" s="112"/>
      <c r="V39" s="192"/>
      <c r="W39" s="193"/>
      <c r="X39" s="194"/>
      <c r="Y39" s="112"/>
      <c r="Z39" s="112"/>
    </row>
    <row r="40" spans="1:26" ht="18" customHeight="1" x14ac:dyDescent="0.15">
      <c r="A40" s="29"/>
      <c r="B40" s="202"/>
      <c r="C40" s="203"/>
      <c r="D40" s="203"/>
      <c r="E40" s="203"/>
      <c r="F40" s="204"/>
      <c r="G40" s="112"/>
      <c r="H40" s="112"/>
      <c r="I40" s="192"/>
      <c r="J40" s="193"/>
      <c r="K40" s="194"/>
      <c r="L40" s="112"/>
      <c r="M40" s="112"/>
      <c r="N40" s="156"/>
      <c r="O40" s="157"/>
      <c r="P40" s="157"/>
      <c r="Q40" s="157"/>
      <c r="R40" s="157"/>
      <c r="S40" s="158"/>
      <c r="T40" s="112"/>
      <c r="U40" s="112"/>
      <c r="V40" s="192"/>
      <c r="W40" s="193"/>
      <c r="X40" s="194"/>
      <c r="Y40" s="112"/>
      <c r="Z40" s="112"/>
    </row>
    <row r="41" spans="1:26" ht="18" customHeight="1" x14ac:dyDescent="0.15">
      <c r="A41" s="29"/>
      <c r="B41" s="202"/>
      <c r="C41" s="203"/>
      <c r="D41" s="203"/>
      <c r="E41" s="203"/>
      <c r="F41" s="204"/>
      <c r="G41" s="112"/>
      <c r="H41" s="112"/>
      <c r="I41" s="192"/>
      <c r="J41" s="193"/>
      <c r="K41" s="194"/>
      <c r="L41" s="112"/>
      <c r="M41" s="112"/>
      <c r="N41" s="156"/>
      <c r="O41" s="157"/>
      <c r="P41" s="157"/>
      <c r="Q41" s="157"/>
      <c r="R41" s="157"/>
      <c r="S41" s="158"/>
      <c r="T41" s="112"/>
      <c r="U41" s="112"/>
      <c r="V41" s="192"/>
      <c r="W41" s="193"/>
      <c r="X41" s="194"/>
      <c r="Y41" s="112"/>
      <c r="Z41" s="112"/>
    </row>
    <row r="42" spans="1:26" ht="18" customHeight="1" x14ac:dyDescent="0.15">
      <c r="A42" s="29"/>
      <c r="B42" s="202"/>
      <c r="C42" s="203"/>
      <c r="D42" s="203"/>
      <c r="E42" s="203"/>
      <c r="F42" s="204"/>
      <c r="G42" s="112"/>
      <c r="H42" s="112"/>
      <c r="I42" s="192"/>
      <c r="J42" s="193"/>
      <c r="K42" s="194"/>
      <c r="L42" s="112"/>
      <c r="M42" s="112"/>
      <c r="N42" s="156"/>
      <c r="O42" s="157"/>
      <c r="P42" s="157"/>
      <c r="Q42" s="157"/>
      <c r="R42" s="157"/>
      <c r="S42" s="158"/>
      <c r="T42" s="112"/>
      <c r="U42" s="112"/>
      <c r="V42" s="192"/>
      <c r="W42" s="193"/>
      <c r="X42" s="194"/>
      <c r="Y42" s="112"/>
      <c r="Z42" s="112"/>
    </row>
    <row r="43" spans="1:26" ht="18" customHeight="1" x14ac:dyDescent="0.15">
      <c r="A43" s="29"/>
      <c r="B43" s="202"/>
      <c r="C43" s="203"/>
      <c r="D43" s="203"/>
      <c r="E43" s="203"/>
      <c r="F43" s="204"/>
      <c r="G43" s="112"/>
      <c r="H43" s="112"/>
      <c r="I43" s="192"/>
      <c r="J43" s="193"/>
      <c r="K43" s="194"/>
      <c r="L43" s="112"/>
      <c r="M43" s="112"/>
      <c r="N43" s="156"/>
      <c r="O43" s="157"/>
      <c r="P43" s="157"/>
      <c r="Q43" s="157"/>
      <c r="R43" s="157"/>
      <c r="S43" s="158"/>
      <c r="T43" s="112"/>
      <c r="U43" s="112"/>
      <c r="V43" s="192"/>
      <c r="W43" s="193"/>
      <c r="X43" s="194"/>
      <c r="Y43" s="112"/>
      <c r="Z43" s="112"/>
    </row>
    <row r="44" spans="1:26" ht="18" customHeight="1" x14ac:dyDescent="0.15">
      <c r="A44" s="29"/>
      <c r="B44" s="205"/>
      <c r="C44" s="206"/>
      <c r="D44" s="206"/>
      <c r="E44" s="206"/>
      <c r="F44" s="207"/>
      <c r="G44" s="113"/>
      <c r="H44" s="113"/>
      <c r="I44" s="189"/>
      <c r="J44" s="190"/>
      <c r="K44" s="191"/>
      <c r="L44" s="118"/>
      <c r="M44" s="118"/>
      <c r="N44" s="219"/>
      <c r="O44" s="220"/>
      <c r="P44" s="220"/>
      <c r="Q44" s="220"/>
      <c r="R44" s="220"/>
      <c r="S44" s="221"/>
      <c r="T44" s="113"/>
      <c r="U44" s="113"/>
      <c r="V44" s="189"/>
      <c r="W44" s="190"/>
      <c r="X44" s="191"/>
      <c r="Y44" s="118"/>
      <c r="Z44" s="118"/>
    </row>
    <row r="45" spans="1:26" ht="7.5" customHeight="1" x14ac:dyDescent="0.15">
      <c r="B45" s="75"/>
      <c r="C45" s="75"/>
      <c r="D45" s="75"/>
      <c r="E45" s="75"/>
      <c r="F45" s="75"/>
      <c r="G45" s="75"/>
      <c r="H45" s="75"/>
      <c r="I45" s="75"/>
      <c r="J45" s="75"/>
      <c r="K45" s="75"/>
      <c r="L45" s="75"/>
      <c r="M45" s="75"/>
      <c r="N45" s="75"/>
      <c r="O45" s="75"/>
      <c r="P45" s="75"/>
      <c r="Q45" s="75"/>
      <c r="R45" s="75"/>
      <c r="S45" s="75"/>
      <c r="T45" s="75"/>
      <c r="U45" s="75"/>
      <c r="V45" s="75"/>
      <c r="W45" s="75"/>
      <c r="X45" s="75"/>
      <c r="Y45" s="75"/>
    </row>
    <row r="46" spans="1:26" ht="18" customHeight="1" x14ac:dyDescent="0.15">
      <c r="A46" s="198" t="s">
        <v>131</v>
      </c>
      <c r="B46" s="198"/>
      <c r="C46" s="198"/>
      <c r="D46" s="198"/>
      <c r="E46" s="198"/>
      <c r="F46" s="198"/>
      <c r="G46" s="198"/>
      <c r="H46" s="198"/>
      <c r="I46" s="198"/>
      <c r="J46" s="198"/>
      <c r="K46" s="198"/>
      <c r="L46" s="198"/>
      <c r="M46" s="198"/>
      <c r="N46" s="198"/>
      <c r="O46" s="198"/>
      <c r="P46" s="198"/>
      <c r="Q46" s="198"/>
      <c r="R46" s="198"/>
      <c r="S46" s="198"/>
      <c r="T46" s="198"/>
      <c r="U46" s="198"/>
      <c r="V46" s="198"/>
      <c r="W46" s="198"/>
      <c r="X46" s="198"/>
      <c r="Y46" s="198"/>
      <c r="Z46" s="198"/>
    </row>
    <row r="47" spans="1:26" ht="18" customHeight="1" x14ac:dyDescent="0.15">
      <c r="A47" s="198"/>
      <c r="B47" s="198"/>
      <c r="C47" s="198"/>
      <c r="D47" s="198"/>
      <c r="E47" s="198"/>
      <c r="F47" s="198"/>
      <c r="G47" s="198"/>
      <c r="H47" s="198"/>
      <c r="I47" s="198"/>
      <c r="J47" s="198"/>
      <c r="K47" s="198"/>
      <c r="L47" s="198"/>
      <c r="M47" s="198"/>
      <c r="N47" s="198"/>
      <c r="O47" s="198"/>
      <c r="P47" s="198"/>
      <c r="Q47" s="198"/>
      <c r="R47" s="198"/>
      <c r="S47" s="198"/>
      <c r="T47" s="198"/>
      <c r="U47" s="198"/>
      <c r="V47" s="198"/>
      <c r="W47" s="198"/>
      <c r="X47" s="198"/>
      <c r="Y47" s="198"/>
      <c r="Z47" s="198"/>
    </row>
    <row r="48" spans="1:26" ht="18" customHeight="1" x14ac:dyDescent="0.15">
      <c r="A48" s="14"/>
      <c r="B48" s="149" t="s">
        <v>99</v>
      </c>
      <c r="C48" s="150"/>
      <c r="D48" s="150"/>
      <c r="E48" s="150"/>
      <c r="F48" s="151"/>
      <c r="G48" s="30" t="s">
        <v>140</v>
      </c>
      <c r="H48" s="110" t="s">
        <v>139</v>
      </c>
      <c r="I48" s="149" t="s">
        <v>100</v>
      </c>
      <c r="J48" s="150"/>
      <c r="K48" s="151"/>
      <c r="L48" s="73" t="s">
        <v>105</v>
      </c>
      <c r="M48" s="73" t="s">
        <v>107</v>
      </c>
      <c r="N48" s="149" t="s">
        <v>99</v>
      </c>
      <c r="O48" s="150"/>
      <c r="P48" s="150"/>
      <c r="Q48" s="150"/>
      <c r="R48" s="150"/>
      <c r="S48" s="151"/>
      <c r="T48" s="30" t="s">
        <v>140</v>
      </c>
      <c r="U48" s="110" t="s">
        <v>139</v>
      </c>
      <c r="V48" s="149" t="s">
        <v>100</v>
      </c>
      <c r="W48" s="150"/>
      <c r="X48" s="151"/>
      <c r="Y48" s="73" t="s">
        <v>105</v>
      </c>
      <c r="Z48" s="73" t="s">
        <v>107</v>
      </c>
    </row>
    <row r="49" spans="1:26" ht="18" customHeight="1" x14ac:dyDescent="0.15">
      <c r="A49" s="29"/>
      <c r="B49" s="199" t="s">
        <v>171</v>
      </c>
      <c r="C49" s="200"/>
      <c r="D49" s="200"/>
      <c r="E49" s="200"/>
      <c r="F49" s="201"/>
      <c r="G49" s="111">
        <v>1</v>
      </c>
      <c r="H49" s="111" t="s">
        <v>173</v>
      </c>
      <c r="I49" s="195" t="s">
        <v>174</v>
      </c>
      <c r="J49" s="196"/>
      <c r="K49" s="197"/>
      <c r="L49" s="111" t="s">
        <v>173</v>
      </c>
      <c r="M49" s="111" t="s">
        <v>173</v>
      </c>
      <c r="N49" s="183"/>
      <c r="O49" s="184"/>
      <c r="P49" s="184"/>
      <c r="Q49" s="184"/>
      <c r="R49" s="184"/>
      <c r="S49" s="185"/>
      <c r="T49" s="111"/>
      <c r="U49" s="111"/>
      <c r="V49" s="195"/>
      <c r="W49" s="196"/>
      <c r="X49" s="197"/>
      <c r="Y49" s="111"/>
      <c r="Z49" s="111"/>
    </row>
    <row r="50" spans="1:26" ht="18" customHeight="1" x14ac:dyDescent="0.15">
      <c r="A50" s="29"/>
      <c r="B50" s="202" t="s">
        <v>212</v>
      </c>
      <c r="C50" s="203"/>
      <c r="D50" s="203"/>
      <c r="E50" s="203"/>
      <c r="F50" s="204"/>
      <c r="G50" s="111">
        <v>2</v>
      </c>
      <c r="H50" s="111" t="s">
        <v>173</v>
      </c>
      <c r="I50" s="195" t="s">
        <v>174</v>
      </c>
      <c r="J50" s="196"/>
      <c r="K50" s="197"/>
      <c r="L50" s="111" t="s">
        <v>173</v>
      </c>
      <c r="M50" s="112" t="s">
        <v>173</v>
      </c>
      <c r="N50" s="156"/>
      <c r="O50" s="157"/>
      <c r="P50" s="157"/>
      <c r="Q50" s="157"/>
      <c r="R50" s="157"/>
      <c r="S50" s="158"/>
      <c r="T50" s="112"/>
      <c r="U50" s="112"/>
      <c r="V50" s="192"/>
      <c r="W50" s="193"/>
      <c r="X50" s="194"/>
      <c r="Y50" s="112"/>
      <c r="Z50" s="112"/>
    </row>
    <row r="51" spans="1:26" ht="18" customHeight="1" x14ac:dyDescent="0.15">
      <c r="A51" s="29"/>
      <c r="B51" s="202"/>
      <c r="C51" s="203"/>
      <c r="D51" s="203"/>
      <c r="E51" s="203"/>
      <c r="F51" s="204"/>
      <c r="G51" s="112"/>
      <c r="H51" s="112"/>
      <c r="I51" s="192"/>
      <c r="J51" s="193"/>
      <c r="K51" s="194"/>
      <c r="L51" s="112"/>
      <c r="M51" s="112"/>
      <c r="N51" s="156"/>
      <c r="O51" s="157"/>
      <c r="P51" s="157"/>
      <c r="Q51" s="157"/>
      <c r="R51" s="157"/>
      <c r="S51" s="158"/>
      <c r="T51" s="112"/>
      <c r="U51" s="112"/>
      <c r="V51" s="192"/>
      <c r="W51" s="193"/>
      <c r="X51" s="194"/>
      <c r="Y51" s="112"/>
      <c r="Z51" s="112"/>
    </row>
    <row r="52" spans="1:26" ht="18" customHeight="1" x14ac:dyDescent="0.15">
      <c r="A52" s="29"/>
      <c r="B52" s="202"/>
      <c r="C52" s="203"/>
      <c r="D52" s="203"/>
      <c r="E52" s="203"/>
      <c r="F52" s="204"/>
      <c r="G52" s="112"/>
      <c r="H52" s="112"/>
      <c r="I52" s="192"/>
      <c r="J52" s="193"/>
      <c r="K52" s="194"/>
      <c r="L52" s="112"/>
      <c r="M52" s="112"/>
      <c r="N52" s="156"/>
      <c r="O52" s="157"/>
      <c r="P52" s="157"/>
      <c r="Q52" s="157"/>
      <c r="R52" s="157"/>
      <c r="S52" s="158"/>
      <c r="T52" s="112"/>
      <c r="U52" s="112"/>
      <c r="V52" s="192"/>
      <c r="W52" s="193"/>
      <c r="X52" s="194"/>
      <c r="Y52" s="112"/>
      <c r="Z52" s="112"/>
    </row>
    <row r="53" spans="1:26" ht="18" customHeight="1" x14ac:dyDescent="0.15">
      <c r="A53" s="29"/>
      <c r="B53" s="202"/>
      <c r="C53" s="203"/>
      <c r="D53" s="203"/>
      <c r="E53" s="203"/>
      <c r="F53" s="204"/>
      <c r="G53" s="112"/>
      <c r="H53" s="112"/>
      <c r="I53" s="192"/>
      <c r="J53" s="193"/>
      <c r="K53" s="194"/>
      <c r="L53" s="112"/>
      <c r="M53" s="112"/>
      <c r="N53" s="156"/>
      <c r="O53" s="157"/>
      <c r="P53" s="157"/>
      <c r="Q53" s="157"/>
      <c r="R53" s="157"/>
      <c r="S53" s="158"/>
      <c r="T53" s="112"/>
      <c r="U53" s="112"/>
      <c r="V53" s="192"/>
      <c r="W53" s="193"/>
      <c r="X53" s="194"/>
      <c r="Y53" s="112"/>
      <c r="Z53" s="112"/>
    </row>
    <row r="54" spans="1:26" ht="18" customHeight="1" x14ac:dyDescent="0.15">
      <c r="A54" s="29"/>
      <c r="B54" s="202"/>
      <c r="C54" s="203"/>
      <c r="D54" s="203"/>
      <c r="E54" s="203"/>
      <c r="F54" s="204"/>
      <c r="G54" s="112"/>
      <c r="H54" s="112"/>
      <c r="I54" s="192"/>
      <c r="J54" s="193"/>
      <c r="K54" s="194"/>
      <c r="L54" s="112"/>
      <c r="M54" s="112"/>
      <c r="N54" s="156"/>
      <c r="O54" s="157"/>
      <c r="P54" s="157"/>
      <c r="Q54" s="157"/>
      <c r="R54" s="157"/>
      <c r="S54" s="158"/>
      <c r="T54" s="112"/>
      <c r="U54" s="112"/>
      <c r="V54" s="192"/>
      <c r="W54" s="193"/>
      <c r="X54" s="194"/>
      <c r="Y54" s="112"/>
      <c r="Z54" s="112"/>
    </row>
    <row r="55" spans="1:26" ht="18" customHeight="1" x14ac:dyDescent="0.15">
      <c r="A55" s="29"/>
      <c r="B55" s="205"/>
      <c r="C55" s="206"/>
      <c r="D55" s="206"/>
      <c r="E55" s="206"/>
      <c r="F55" s="207"/>
      <c r="G55" s="113"/>
      <c r="H55" s="113"/>
      <c r="I55" s="189"/>
      <c r="J55" s="190"/>
      <c r="K55" s="191"/>
      <c r="L55" s="118"/>
      <c r="M55" s="118"/>
      <c r="N55" s="219"/>
      <c r="O55" s="220"/>
      <c r="P55" s="220"/>
      <c r="Q55" s="220"/>
      <c r="R55" s="220"/>
      <c r="S55" s="221"/>
      <c r="T55" s="113"/>
      <c r="U55" s="113"/>
      <c r="V55" s="189"/>
      <c r="W55" s="190"/>
      <c r="X55" s="191"/>
      <c r="Y55" s="118"/>
      <c r="Z55" s="118"/>
    </row>
    <row r="56" spans="1:26" ht="7.5" customHeight="1" x14ac:dyDescent="0.15">
      <c r="B56" s="75"/>
      <c r="C56" s="75"/>
      <c r="D56" s="75"/>
      <c r="E56" s="75"/>
      <c r="F56" s="75"/>
      <c r="G56" s="75"/>
      <c r="H56" s="75"/>
      <c r="I56" s="75"/>
      <c r="J56" s="75"/>
      <c r="K56" s="75"/>
      <c r="L56" s="75"/>
      <c r="M56" s="75"/>
      <c r="N56" s="75"/>
      <c r="O56" s="75"/>
      <c r="P56" s="75"/>
      <c r="Q56" s="75"/>
      <c r="R56" s="75"/>
      <c r="S56" s="75"/>
      <c r="T56" s="75"/>
      <c r="U56" s="75"/>
      <c r="V56" s="75"/>
      <c r="W56" s="75"/>
      <c r="X56" s="75"/>
      <c r="Y56" s="75"/>
    </row>
    <row r="57" spans="1:26" ht="18" customHeight="1" x14ac:dyDescent="0.15">
      <c r="A57" s="198" t="s">
        <v>132</v>
      </c>
      <c r="B57" s="198"/>
      <c r="C57" s="198"/>
      <c r="D57" s="198"/>
      <c r="E57" s="198"/>
      <c r="F57" s="198"/>
      <c r="G57" s="198"/>
      <c r="H57" s="198"/>
      <c r="I57" s="198"/>
      <c r="J57" s="198"/>
      <c r="K57" s="198"/>
      <c r="L57" s="198"/>
      <c r="M57" s="198"/>
      <c r="N57" s="198"/>
      <c r="O57" s="198"/>
      <c r="P57" s="198"/>
      <c r="Q57" s="198"/>
      <c r="R57" s="198"/>
      <c r="S57" s="198"/>
      <c r="T57" s="198"/>
      <c r="U57" s="198"/>
      <c r="V57" s="198"/>
      <c r="W57" s="198"/>
      <c r="X57" s="198"/>
      <c r="Y57" s="198"/>
      <c r="Z57" s="198"/>
    </row>
    <row r="58" spans="1:26" ht="18" customHeight="1" x14ac:dyDescent="0.15">
      <c r="A58" s="198"/>
      <c r="B58" s="198"/>
      <c r="C58" s="198"/>
      <c r="D58" s="198"/>
      <c r="E58" s="198"/>
      <c r="F58" s="198"/>
      <c r="G58" s="198"/>
      <c r="H58" s="198"/>
      <c r="I58" s="198"/>
      <c r="J58" s="198"/>
      <c r="K58" s="198"/>
      <c r="L58" s="198"/>
      <c r="M58" s="198"/>
      <c r="N58" s="198"/>
      <c r="O58" s="198"/>
      <c r="P58" s="198"/>
      <c r="Q58" s="198"/>
      <c r="R58" s="198"/>
      <c r="S58" s="198"/>
      <c r="T58" s="198"/>
      <c r="U58" s="198"/>
      <c r="V58" s="198"/>
      <c r="W58" s="198"/>
      <c r="X58" s="198"/>
      <c r="Y58" s="198"/>
      <c r="Z58" s="198"/>
    </row>
    <row r="59" spans="1:26" ht="18" customHeight="1" x14ac:dyDescent="0.15">
      <c r="A59" s="14"/>
      <c r="B59" s="149" t="s">
        <v>99</v>
      </c>
      <c r="C59" s="150"/>
      <c r="D59" s="150"/>
      <c r="E59" s="151"/>
      <c r="F59" s="30" t="s">
        <v>140</v>
      </c>
      <c r="G59" s="110" t="s">
        <v>139</v>
      </c>
      <c r="H59" s="105" t="s">
        <v>100</v>
      </c>
      <c r="I59" s="106"/>
      <c r="J59" s="107"/>
      <c r="K59" s="73" t="s">
        <v>104</v>
      </c>
      <c r="L59" s="73" t="s">
        <v>133</v>
      </c>
      <c r="M59" s="73" t="s">
        <v>134</v>
      </c>
      <c r="N59" s="149" t="s">
        <v>99</v>
      </c>
      <c r="O59" s="150"/>
      <c r="P59" s="150"/>
      <c r="Q59" s="150"/>
      <c r="R59" s="151"/>
      <c r="S59" s="30" t="s">
        <v>140</v>
      </c>
      <c r="T59" s="110" t="s">
        <v>139</v>
      </c>
      <c r="U59" s="105" t="s">
        <v>100</v>
      </c>
      <c r="V59" s="106"/>
      <c r="W59" s="107"/>
      <c r="X59" s="73" t="s">
        <v>104</v>
      </c>
      <c r="Y59" s="73" t="s">
        <v>133</v>
      </c>
      <c r="Z59" s="73" t="s">
        <v>134</v>
      </c>
    </row>
    <row r="60" spans="1:26" ht="18" customHeight="1" x14ac:dyDescent="0.15">
      <c r="A60" s="29"/>
      <c r="B60" s="183" t="s">
        <v>213</v>
      </c>
      <c r="C60" s="184"/>
      <c r="D60" s="184"/>
      <c r="E60" s="185"/>
      <c r="F60" s="111">
        <v>2</v>
      </c>
      <c r="G60" s="111" t="s">
        <v>173</v>
      </c>
      <c r="H60" s="195" t="s">
        <v>174</v>
      </c>
      <c r="I60" s="196"/>
      <c r="J60" s="197"/>
      <c r="K60" s="111" t="s">
        <v>173</v>
      </c>
      <c r="L60" s="111" t="s">
        <v>173</v>
      </c>
      <c r="M60" s="111" t="s">
        <v>173</v>
      </c>
      <c r="N60" s="183"/>
      <c r="O60" s="184"/>
      <c r="P60" s="184"/>
      <c r="Q60" s="184"/>
      <c r="R60" s="185"/>
      <c r="S60" s="111"/>
      <c r="T60" s="111"/>
      <c r="U60" s="195"/>
      <c r="V60" s="196"/>
      <c r="W60" s="197"/>
      <c r="X60" s="111"/>
      <c r="Y60" s="111"/>
      <c r="Z60" s="111"/>
    </row>
    <row r="61" spans="1:26" ht="18" customHeight="1" x14ac:dyDescent="0.15">
      <c r="A61" s="29"/>
      <c r="B61" s="156" t="s">
        <v>214</v>
      </c>
      <c r="C61" s="157"/>
      <c r="D61" s="157"/>
      <c r="E61" s="158"/>
      <c r="F61" s="111">
        <v>2</v>
      </c>
      <c r="G61" s="111" t="s">
        <v>173</v>
      </c>
      <c r="H61" s="195" t="s">
        <v>174</v>
      </c>
      <c r="I61" s="196"/>
      <c r="J61" s="197"/>
      <c r="K61" s="111" t="s">
        <v>173</v>
      </c>
      <c r="L61" s="111" t="s">
        <v>173</v>
      </c>
      <c r="M61" s="111" t="s">
        <v>173</v>
      </c>
      <c r="N61" s="156"/>
      <c r="O61" s="157"/>
      <c r="P61" s="157"/>
      <c r="Q61" s="157"/>
      <c r="R61" s="158"/>
      <c r="S61" s="112"/>
      <c r="T61" s="112"/>
      <c r="U61" s="192"/>
      <c r="V61" s="193"/>
      <c r="W61" s="194"/>
      <c r="X61" s="123"/>
      <c r="Y61" s="112"/>
      <c r="Z61" s="112"/>
    </row>
    <row r="62" spans="1:26" ht="18" customHeight="1" x14ac:dyDescent="0.15">
      <c r="A62" s="29"/>
      <c r="B62" s="156"/>
      <c r="C62" s="157"/>
      <c r="D62" s="157"/>
      <c r="E62" s="158"/>
      <c r="F62" s="112"/>
      <c r="G62" s="112"/>
      <c r="H62" s="192"/>
      <c r="I62" s="193"/>
      <c r="J62" s="194"/>
      <c r="K62" s="123"/>
      <c r="L62" s="112"/>
      <c r="M62" s="112"/>
      <c r="N62" s="156"/>
      <c r="O62" s="157"/>
      <c r="P62" s="157"/>
      <c r="Q62" s="157"/>
      <c r="R62" s="158"/>
      <c r="S62" s="112"/>
      <c r="T62" s="112"/>
      <c r="U62" s="192"/>
      <c r="V62" s="193"/>
      <c r="W62" s="194"/>
      <c r="X62" s="123"/>
      <c r="Y62" s="112"/>
      <c r="Z62" s="112"/>
    </row>
    <row r="63" spans="1:26" ht="18" customHeight="1" x14ac:dyDescent="0.15">
      <c r="A63" s="29"/>
      <c r="B63" s="156"/>
      <c r="C63" s="157"/>
      <c r="D63" s="157"/>
      <c r="E63" s="158"/>
      <c r="F63" s="112"/>
      <c r="G63" s="112"/>
      <c r="H63" s="192"/>
      <c r="I63" s="193"/>
      <c r="J63" s="194"/>
      <c r="K63" s="123"/>
      <c r="L63" s="112"/>
      <c r="M63" s="112"/>
      <c r="N63" s="156"/>
      <c r="O63" s="157"/>
      <c r="P63" s="157"/>
      <c r="Q63" s="157"/>
      <c r="R63" s="158"/>
      <c r="S63" s="112"/>
      <c r="T63" s="112"/>
      <c r="U63" s="192"/>
      <c r="V63" s="193"/>
      <c r="W63" s="194"/>
      <c r="X63" s="123"/>
      <c r="Y63" s="112"/>
      <c r="Z63" s="112"/>
    </row>
    <row r="64" spans="1:26" ht="18" customHeight="1" x14ac:dyDescent="0.15">
      <c r="A64" s="29"/>
      <c r="B64" s="156"/>
      <c r="C64" s="157"/>
      <c r="D64" s="157"/>
      <c r="E64" s="158"/>
      <c r="F64" s="112"/>
      <c r="G64" s="112"/>
      <c r="H64" s="192"/>
      <c r="I64" s="193"/>
      <c r="J64" s="194"/>
      <c r="K64" s="123"/>
      <c r="L64" s="112"/>
      <c r="M64" s="112"/>
      <c r="N64" s="156"/>
      <c r="O64" s="157"/>
      <c r="P64" s="157"/>
      <c r="Q64" s="157"/>
      <c r="R64" s="158"/>
      <c r="S64" s="112"/>
      <c r="T64" s="112"/>
      <c r="U64" s="192"/>
      <c r="V64" s="193"/>
      <c r="W64" s="194"/>
      <c r="X64" s="123"/>
      <c r="Y64" s="112"/>
      <c r="Z64" s="112"/>
    </row>
    <row r="65" spans="1:26" ht="18" customHeight="1" x14ac:dyDescent="0.15">
      <c r="A65" s="29"/>
      <c r="B65" s="156"/>
      <c r="C65" s="157"/>
      <c r="D65" s="157"/>
      <c r="E65" s="158"/>
      <c r="F65" s="112"/>
      <c r="G65" s="112"/>
      <c r="H65" s="192"/>
      <c r="I65" s="193"/>
      <c r="J65" s="194"/>
      <c r="K65" s="123"/>
      <c r="L65" s="112"/>
      <c r="M65" s="112"/>
      <c r="N65" s="156"/>
      <c r="O65" s="157"/>
      <c r="P65" s="157"/>
      <c r="Q65" s="157"/>
      <c r="R65" s="158"/>
      <c r="S65" s="112"/>
      <c r="T65" s="112"/>
      <c r="U65" s="192"/>
      <c r="V65" s="193"/>
      <c r="W65" s="194"/>
      <c r="X65" s="123"/>
      <c r="Y65" s="112"/>
      <c r="Z65" s="112"/>
    </row>
    <row r="66" spans="1:26" ht="18" customHeight="1" x14ac:dyDescent="0.15">
      <c r="A66" s="29"/>
      <c r="B66" s="219"/>
      <c r="C66" s="220"/>
      <c r="D66" s="220"/>
      <c r="E66" s="221"/>
      <c r="F66" s="113"/>
      <c r="G66" s="113"/>
      <c r="H66" s="189"/>
      <c r="I66" s="190"/>
      <c r="J66" s="191"/>
      <c r="K66" s="122"/>
      <c r="L66" s="118"/>
      <c r="M66" s="118"/>
      <c r="N66" s="219"/>
      <c r="O66" s="220"/>
      <c r="P66" s="220"/>
      <c r="Q66" s="220"/>
      <c r="R66" s="221"/>
      <c r="S66" s="113"/>
      <c r="T66" s="113"/>
      <c r="U66" s="189"/>
      <c r="V66" s="190"/>
      <c r="W66" s="191"/>
      <c r="X66" s="122"/>
      <c r="Y66" s="118"/>
      <c r="Z66" s="118"/>
    </row>
    <row r="67" spans="1:26" ht="7.5" customHeight="1" x14ac:dyDescent="0.15">
      <c r="B67" s="75"/>
      <c r="C67" s="75"/>
      <c r="D67" s="75"/>
      <c r="E67" s="75"/>
      <c r="F67" s="75"/>
      <c r="G67" s="75"/>
      <c r="H67" s="75"/>
      <c r="I67" s="75"/>
      <c r="J67" s="75"/>
      <c r="K67" s="75"/>
      <c r="L67" s="75"/>
      <c r="M67" s="75"/>
      <c r="N67" s="75"/>
      <c r="O67" s="75"/>
      <c r="P67" s="75"/>
      <c r="Q67" s="75"/>
      <c r="R67" s="75"/>
      <c r="S67" s="75"/>
      <c r="T67" s="75"/>
      <c r="U67" s="75"/>
      <c r="V67" s="75"/>
      <c r="W67" s="75"/>
      <c r="X67" s="75"/>
      <c r="Y67" s="75"/>
    </row>
    <row r="68" spans="1:26" ht="18" customHeight="1" x14ac:dyDescent="0.15">
      <c r="A68" s="14" t="s">
        <v>135</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49" t="s">
        <v>99</v>
      </c>
      <c r="C69" s="150"/>
      <c r="D69" s="150"/>
      <c r="E69" s="150"/>
      <c r="F69" s="151"/>
      <c r="G69" s="149" t="s">
        <v>145</v>
      </c>
      <c r="H69" s="150"/>
      <c r="I69" s="150"/>
      <c r="J69" s="150"/>
      <c r="K69" s="150"/>
      <c r="L69" s="150"/>
      <c r="M69" s="151"/>
      <c r="N69" s="222" t="s">
        <v>99</v>
      </c>
      <c r="O69" s="223"/>
      <c r="P69" s="223"/>
      <c r="Q69" s="223"/>
      <c r="R69" s="223"/>
      <c r="S69" s="224"/>
      <c r="T69" s="149" t="s">
        <v>145</v>
      </c>
      <c r="U69" s="150"/>
      <c r="V69" s="150"/>
      <c r="W69" s="150"/>
      <c r="X69" s="150"/>
      <c r="Y69" s="150"/>
      <c r="Z69" s="151"/>
    </row>
    <row r="70" spans="1:26" ht="18" customHeight="1" x14ac:dyDescent="0.15">
      <c r="A70" s="29"/>
      <c r="B70" s="183"/>
      <c r="C70" s="184"/>
      <c r="D70" s="184"/>
      <c r="E70" s="184"/>
      <c r="F70" s="185"/>
      <c r="G70" s="186"/>
      <c r="H70" s="187"/>
      <c r="I70" s="187"/>
      <c r="J70" s="187"/>
      <c r="K70" s="187"/>
      <c r="L70" s="187"/>
      <c r="M70" s="188"/>
      <c r="N70" s="183"/>
      <c r="O70" s="184"/>
      <c r="P70" s="184"/>
      <c r="Q70" s="184"/>
      <c r="R70" s="184"/>
      <c r="S70" s="185"/>
      <c r="T70" s="186"/>
      <c r="U70" s="187"/>
      <c r="V70" s="187"/>
      <c r="W70" s="187"/>
      <c r="X70" s="187"/>
      <c r="Y70" s="187"/>
      <c r="Z70" s="188"/>
    </row>
    <row r="71" spans="1:26" ht="18" customHeight="1" x14ac:dyDescent="0.15">
      <c r="A71" s="29"/>
      <c r="B71" s="156"/>
      <c r="C71" s="157"/>
      <c r="D71" s="157"/>
      <c r="E71" s="157"/>
      <c r="F71" s="158"/>
      <c r="G71" s="159"/>
      <c r="H71" s="160"/>
      <c r="I71" s="160"/>
      <c r="J71" s="160"/>
      <c r="K71" s="160"/>
      <c r="L71" s="160"/>
      <c r="M71" s="161"/>
      <c r="N71" s="156"/>
      <c r="O71" s="157"/>
      <c r="P71" s="157"/>
      <c r="Q71" s="157"/>
      <c r="R71" s="157"/>
      <c r="S71" s="158"/>
      <c r="T71" s="159"/>
      <c r="U71" s="160"/>
      <c r="V71" s="160"/>
      <c r="W71" s="160"/>
      <c r="X71" s="160"/>
      <c r="Y71" s="160"/>
      <c r="Z71" s="161"/>
    </row>
    <row r="72" spans="1:26" ht="18" customHeight="1" x14ac:dyDescent="0.15">
      <c r="A72" s="29"/>
      <c r="B72" s="156"/>
      <c r="C72" s="157"/>
      <c r="D72" s="157"/>
      <c r="E72" s="157"/>
      <c r="F72" s="158"/>
      <c r="G72" s="159"/>
      <c r="H72" s="160"/>
      <c r="I72" s="160"/>
      <c r="J72" s="160"/>
      <c r="K72" s="160"/>
      <c r="L72" s="160"/>
      <c r="M72" s="161"/>
      <c r="N72" s="156"/>
      <c r="O72" s="157"/>
      <c r="P72" s="157"/>
      <c r="Q72" s="157"/>
      <c r="R72" s="157"/>
      <c r="S72" s="158"/>
      <c r="T72" s="159"/>
      <c r="U72" s="160"/>
      <c r="V72" s="160"/>
      <c r="W72" s="160"/>
      <c r="X72" s="160"/>
      <c r="Y72" s="160"/>
      <c r="Z72" s="161"/>
    </row>
    <row r="73" spans="1:26" ht="18" customHeight="1" x14ac:dyDescent="0.15">
      <c r="A73" s="29"/>
      <c r="B73" s="156"/>
      <c r="C73" s="157"/>
      <c r="D73" s="157"/>
      <c r="E73" s="157"/>
      <c r="F73" s="158"/>
      <c r="G73" s="159"/>
      <c r="H73" s="160"/>
      <c r="I73" s="160"/>
      <c r="J73" s="160"/>
      <c r="K73" s="160"/>
      <c r="L73" s="160"/>
      <c r="M73" s="161"/>
      <c r="N73" s="156"/>
      <c r="O73" s="157"/>
      <c r="P73" s="157"/>
      <c r="Q73" s="157"/>
      <c r="R73" s="157"/>
      <c r="S73" s="158"/>
      <c r="T73" s="159"/>
      <c r="U73" s="160"/>
      <c r="V73" s="160"/>
      <c r="W73" s="160"/>
      <c r="X73" s="160"/>
      <c r="Y73" s="160"/>
      <c r="Z73" s="161"/>
    </row>
    <row r="74" spans="1:26" ht="18" customHeight="1" x14ac:dyDescent="0.15">
      <c r="A74" s="29"/>
      <c r="B74" s="156"/>
      <c r="C74" s="157"/>
      <c r="D74" s="157"/>
      <c r="E74" s="157"/>
      <c r="F74" s="158"/>
      <c r="G74" s="159"/>
      <c r="H74" s="160"/>
      <c r="I74" s="160"/>
      <c r="J74" s="160"/>
      <c r="K74" s="160"/>
      <c r="L74" s="160"/>
      <c r="M74" s="161"/>
      <c r="N74" s="156"/>
      <c r="O74" s="157"/>
      <c r="P74" s="157"/>
      <c r="Q74" s="157"/>
      <c r="R74" s="157"/>
      <c r="S74" s="158"/>
      <c r="T74" s="159"/>
      <c r="U74" s="160"/>
      <c r="V74" s="160"/>
      <c r="W74" s="160"/>
      <c r="X74" s="160"/>
      <c r="Y74" s="160"/>
      <c r="Z74" s="161"/>
    </row>
    <row r="75" spans="1:26" ht="18" customHeight="1" x14ac:dyDescent="0.15">
      <c r="A75" s="29"/>
      <c r="B75" s="156"/>
      <c r="C75" s="157"/>
      <c r="D75" s="157"/>
      <c r="E75" s="157"/>
      <c r="F75" s="158"/>
      <c r="G75" s="159"/>
      <c r="H75" s="160"/>
      <c r="I75" s="160"/>
      <c r="J75" s="160"/>
      <c r="K75" s="160"/>
      <c r="L75" s="160"/>
      <c r="M75" s="161"/>
      <c r="N75" s="156"/>
      <c r="O75" s="157"/>
      <c r="P75" s="157"/>
      <c r="Q75" s="157"/>
      <c r="R75" s="157"/>
      <c r="S75" s="158"/>
      <c r="T75" s="159"/>
      <c r="U75" s="160"/>
      <c r="V75" s="160"/>
      <c r="W75" s="160"/>
      <c r="X75" s="160"/>
      <c r="Y75" s="160"/>
      <c r="Z75" s="161"/>
    </row>
    <row r="76" spans="1:26" ht="18" customHeight="1" x14ac:dyDescent="0.15">
      <c r="A76" s="29"/>
      <c r="B76" s="219"/>
      <c r="C76" s="220"/>
      <c r="D76" s="220"/>
      <c r="E76" s="220"/>
      <c r="F76" s="221"/>
      <c r="G76" s="240"/>
      <c r="H76" s="241"/>
      <c r="I76" s="241"/>
      <c r="J76" s="241"/>
      <c r="K76" s="241"/>
      <c r="L76" s="241"/>
      <c r="M76" s="242"/>
      <c r="N76" s="219"/>
      <c r="O76" s="220"/>
      <c r="P76" s="220"/>
      <c r="Q76" s="220"/>
      <c r="R76" s="220"/>
      <c r="S76" s="221"/>
      <c r="T76" s="240"/>
      <c r="U76" s="241"/>
      <c r="V76" s="241"/>
      <c r="W76" s="241"/>
      <c r="X76" s="241"/>
      <c r="Y76" s="241"/>
      <c r="Z76" s="242"/>
    </row>
    <row r="77" spans="1:26" ht="18" customHeight="1" x14ac:dyDescent="0.15">
      <c r="A77" s="29"/>
      <c r="B77" s="121"/>
      <c r="C77" s="121"/>
      <c r="D77" s="121"/>
      <c r="E77" s="121"/>
      <c r="F77" s="121"/>
      <c r="G77" s="12"/>
      <c r="H77" s="12"/>
      <c r="I77" s="12"/>
      <c r="J77" s="12"/>
      <c r="K77" s="12"/>
      <c r="L77" s="12"/>
      <c r="M77" s="12"/>
      <c r="N77" s="121"/>
      <c r="O77" s="121"/>
      <c r="P77" s="121"/>
      <c r="Q77" s="121"/>
      <c r="R77" s="121"/>
      <c r="S77" s="121"/>
      <c r="T77" s="12"/>
      <c r="U77" s="12"/>
      <c r="V77" s="12"/>
      <c r="W77" s="12"/>
      <c r="X77" s="12"/>
      <c r="Y77" s="12"/>
      <c r="Z77" s="12"/>
    </row>
    <row r="78" spans="1:26" ht="18.75" customHeight="1" x14ac:dyDescent="0.15">
      <c r="A78" s="13" t="s">
        <v>141</v>
      </c>
    </row>
    <row r="79" spans="1:26" ht="18.75" customHeight="1" x14ac:dyDescent="0.15">
      <c r="B79" s="76" t="s">
        <v>101</v>
      </c>
      <c r="C79" s="77"/>
      <c r="D79" s="175" t="s">
        <v>102</v>
      </c>
      <c r="E79" s="175"/>
      <c r="F79" s="175"/>
      <c r="G79" s="175"/>
      <c r="H79" s="175"/>
      <c r="I79" s="175"/>
      <c r="J79" s="175"/>
      <c r="K79" s="175"/>
      <c r="L79" s="175"/>
      <c r="M79" s="175"/>
      <c r="N79" s="175"/>
      <c r="O79" s="175"/>
      <c r="P79" s="175"/>
      <c r="Q79" s="175"/>
      <c r="R79" s="175"/>
      <c r="S79" s="175"/>
      <c r="T79" s="175"/>
      <c r="U79" s="175"/>
      <c r="V79" s="175"/>
      <c r="W79" s="175"/>
      <c r="X79" s="175"/>
      <c r="Y79" s="175"/>
      <c r="Z79" s="176"/>
    </row>
    <row r="80" spans="1:26" ht="55.5" customHeight="1" x14ac:dyDescent="0.15">
      <c r="B80" s="164" t="s">
        <v>108</v>
      </c>
      <c r="C80" s="83" t="s">
        <v>103</v>
      </c>
      <c r="D80" s="171" t="s">
        <v>195</v>
      </c>
      <c r="E80" s="171"/>
      <c r="F80" s="171"/>
      <c r="G80" s="171"/>
      <c r="H80" s="171"/>
      <c r="I80" s="171"/>
      <c r="J80" s="171"/>
      <c r="K80" s="171"/>
      <c r="L80" s="171"/>
      <c r="M80" s="171"/>
      <c r="N80" s="171"/>
      <c r="O80" s="171"/>
      <c r="P80" s="171"/>
      <c r="Q80" s="171"/>
      <c r="R80" s="171"/>
      <c r="S80" s="171"/>
      <c r="T80" s="171"/>
      <c r="U80" s="171"/>
      <c r="V80" s="171"/>
      <c r="W80" s="171"/>
      <c r="X80" s="171"/>
      <c r="Y80" s="171"/>
      <c r="Z80" s="172"/>
    </row>
    <row r="81" spans="1:26" ht="48" customHeight="1" x14ac:dyDescent="0.15">
      <c r="B81" s="165"/>
      <c r="C81" s="108" t="s">
        <v>136</v>
      </c>
      <c r="D81" s="177" t="s">
        <v>196</v>
      </c>
      <c r="E81" s="177"/>
      <c r="F81" s="177"/>
      <c r="G81" s="177"/>
      <c r="H81" s="177"/>
      <c r="I81" s="177"/>
      <c r="J81" s="177"/>
      <c r="K81" s="177"/>
      <c r="L81" s="177"/>
      <c r="M81" s="177"/>
      <c r="N81" s="177"/>
      <c r="O81" s="177"/>
      <c r="P81" s="177"/>
      <c r="Q81" s="177"/>
      <c r="R81" s="177"/>
      <c r="S81" s="177"/>
      <c r="T81" s="177"/>
      <c r="U81" s="177"/>
      <c r="V81" s="177"/>
      <c r="W81" s="177"/>
      <c r="X81" s="177"/>
      <c r="Y81" s="177"/>
      <c r="Z81" s="178"/>
    </row>
    <row r="82" spans="1:26" ht="52.5" customHeight="1" x14ac:dyDescent="0.15">
      <c r="B82" s="162" t="s">
        <v>109</v>
      </c>
      <c r="C82" s="78" t="s">
        <v>126</v>
      </c>
      <c r="D82" s="179" t="s">
        <v>197</v>
      </c>
      <c r="E82" s="179"/>
      <c r="F82" s="179"/>
      <c r="G82" s="179"/>
      <c r="H82" s="179"/>
      <c r="I82" s="179"/>
      <c r="J82" s="179"/>
      <c r="K82" s="179"/>
      <c r="L82" s="179"/>
      <c r="M82" s="179"/>
      <c r="N82" s="179"/>
      <c r="O82" s="179"/>
      <c r="P82" s="179"/>
      <c r="Q82" s="179"/>
      <c r="R82" s="179"/>
      <c r="S82" s="179"/>
      <c r="T82" s="179"/>
      <c r="U82" s="179"/>
      <c r="V82" s="179"/>
      <c r="W82" s="179"/>
      <c r="X82" s="179"/>
      <c r="Y82" s="179"/>
      <c r="Z82" s="180"/>
    </row>
    <row r="83" spans="1:26" ht="51.75" customHeight="1" x14ac:dyDescent="0.15">
      <c r="B83" s="163"/>
      <c r="C83" s="109" t="s">
        <v>127</v>
      </c>
      <c r="D83" s="181" t="s">
        <v>198</v>
      </c>
      <c r="E83" s="181"/>
      <c r="F83" s="181"/>
      <c r="G83" s="181"/>
      <c r="H83" s="181"/>
      <c r="I83" s="181"/>
      <c r="J83" s="181"/>
      <c r="K83" s="181"/>
      <c r="L83" s="181"/>
      <c r="M83" s="181"/>
      <c r="N83" s="181"/>
      <c r="O83" s="181"/>
      <c r="P83" s="181"/>
      <c r="Q83" s="181"/>
      <c r="R83" s="181"/>
      <c r="S83" s="181"/>
      <c r="T83" s="181"/>
      <c r="U83" s="181"/>
      <c r="V83" s="181"/>
      <c r="W83" s="181"/>
      <c r="X83" s="181"/>
      <c r="Y83" s="181"/>
      <c r="Z83" s="182"/>
    </row>
    <row r="84" spans="1:26" ht="66" customHeight="1" x14ac:dyDescent="0.15">
      <c r="B84" s="162" t="s">
        <v>110</v>
      </c>
      <c r="C84" s="78" t="s">
        <v>129</v>
      </c>
      <c r="D84" s="179" t="s">
        <v>199</v>
      </c>
      <c r="E84" s="179"/>
      <c r="F84" s="179"/>
      <c r="G84" s="179"/>
      <c r="H84" s="179"/>
      <c r="I84" s="179"/>
      <c r="J84" s="179"/>
      <c r="K84" s="179"/>
      <c r="L84" s="179"/>
      <c r="M84" s="179"/>
      <c r="N84" s="179"/>
      <c r="O84" s="179"/>
      <c r="P84" s="179"/>
      <c r="Q84" s="179"/>
      <c r="R84" s="179"/>
      <c r="S84" s="179"/>
      <c r="T84" s="179"/>
      <c r="U84" s="179"/>
      <c r="V84" s="179"/>
      <c r="W84" s="179"/>
      <c r="X84" s="179"/>
      <c r="Y84" s="179"/>
      <c r="Z84" s="180"/>
    </row>
    <row r="85" spans="1:26" ht="66" customHeight="1" x14ac:dyDescent="0.15">
      <c r="B85" s="163"/>
      <c r="C85" s="80" t="s">
        <v>130</v>
      </c>
      <c r="D85" s="181" t="s">
        <v>200</v>
      </c>
      <c r="E85" s="181"/>
      <c r="F85" s="181"/>
      <c r="G85" s="181"/>
      <c r="H85" s="181"/>
      <c r="I85" s="181"/>
      <c r="J85" s="181"/>
      <c r="K85" s="181"/>
      <c r="L85" s="181"/>
      <c r="M85" s="181"/>
      <c r="N85" s="181"/>
      <c r="O85" s="181"/>
      <c r="P85" s="181"/>
      <c r="Q85" s="181"/>
      <c r="R85" s="181"/>
      <c r="S85" s="181"/>
      <c r="T85" s="181"/>
      <c r="U85" s="181"/>
      <c r="V85" s="181"/>
      <c r="W85" s="181"/>
      <c r="X85" s="181"/>
      <c r="Y85" s="181"/>
      <c r="Z85" s="182"/>
    </row>
    <row r="86" spans="1:26" ht="66" customHeight="1" x14ac:dyDescent="0.15">
      <c r="B86" s="164" t="s">
        <v>137</v>
      </c>
      <c r="C86" s="83" t="s">
        <v>105</v>
      </c>
      <c r="D86" s="171" t="s">
        <v>201</v>
      </c>
      <c r="E86" s="171"/>
      <c r="F86" s="171"/>
      <c r="G86" s="171"/>
      <c r="H86" s="171"/>
      <c r="I86" s="171"/>
      <c r="J86" s="171"/>
      <c r="K86" s="171"/>
      <c r="L86" s="171"/>
      <c r="M86" s="171"/>
      <c r="N86" s="171"/>
      <c r="O86" s="171"/>
      <c r="P86" s="171"/>
      <c r="Q86" s="171"/>
      <c r="R86" s="171"/>
      <c r="S86" s="171"/>
      <c r="T86" s="171"/>
      <c r="U86" s="171"/>
      <c r="V86" s="171"/>
      <c r="W86" s="171"/>
      <c r="X86" s="171"/>
      <c r="Y86" s="171"/>
      <c r="Z86" s="172"/>
    </row>
    <row r="87" spans="1:26" ht="66" customHeight="1" x14ac:dyDescent="0.15">
      <c r="B87" s="170"/>
      <c r="C87" s="79" t="s">
        <v>107</v>
      </c>
      <c r="D87" s="173" t="s">
        <v>202</v>
      </c>
      <c r="E87" s="173"/>
      <c r="F87" s="173"/>
      <c r="G87" s="173"/>
      <c r="H87" s="173"/>
      <c r="I87" s="173"/>
      <c r="J87" s="173"/>
      <c r="K87" s="173"/>
      <c r="L87" s="173"/>
      <c r="M87" s="173"/>
      <c r="N87" s="173"/>
      <c r="O87" s="173"/>
      <c r="P87" s="173"/>
      <c r="Q87" s="173"/>
      <c r="R87" s="173"/>
      <c r="S87" s="173"/>
      <c r="T87" s="173"/>
      <c r="U87" s="173"/>
      <c r="V87" s="173"/>
      <c r="W87" s="173"/>
      <c r="X87" s="173"/>
      <c r="Y87" s="173"/>
      <c r="Z87" s="174"/>
    </row>
    <row r="88" spans="1:26" ht="55.5" customHeight="1" x14ac:dyDescent="0.15">
      <c r="B88" s="164" t="s">
        <v>138</v>
      </c>
      <c r="C88" s="78" t="s">
        <v>104</v>
      </c>
      <c r="D88" s="166" t="s">
        <v>203</v>
      </c>
      <c r="E88" s="166"/>
      <c r="F88" s="166"/>
      <c r="G88" s="166"/>
      <c r="H88" s="166"/>
      <c r="I88" s="166"/>
      <c r="J88" s="166"/>
      <c r="K88" s="166"/>
      <c r="L88" s="166"/>
      <c r="M88" s="166"/>
      <c r="N88" s="166"/>
      <c r="O88" s="166"/>
      <c r="P88" s="166"/>
      <c r="Q88" s="166"/>
      <c r="R88" s="166"/>
      <c r="S88" s="166"/>
      <c r="T88" s="166"/>
      <c r="U88" s="166"/>
      <c r="V88" s="166"/>
      <c r="W88" s="166"/>
      <c r="X88" s="166"/>
      <c r="Y88" s="166"/>
      <c r="Z88" s="167"/>
    </row>
    <row r="89" spans="1:26" ht="49.5" customHeight="1" x14ac:dyDescent="0.15">
      <c r="B89" s="165"/>
      <c r="C89" s="79" t="s">
        <v>133</v>
      </c>
      <c r="D89" s="243" t="s">
        <v>204</v>
      </c>
      <c r="E89" s="244"/>
      <c r="F89" s="244"/>
      <c r="G89" s="244"/>
      <c r="H89" s="244"/>
      <c r="I89" s="244"/>
      <c r="J89" s="244"/>
      <c r="K89" s="244"/>
      <c r="L89" s="244"/>
      <c r="M89" s="244"/>
      <c r="N89" s="244"/>
      <c r="O89" s="244"/>
      <c r="P89" s="244"/>
      <c r="Q89" s="244"/>
      <c r="R89" s="244"/>
      <c r="S89" s="244"/>
      <c r="T89" s="244"/>
      <c r="U89" s="244"/>
      <c r="V89" s="244"/>
      <c r="W89" s="244"/>
      <c r="X89" s="244"/>
      <c r="Y89" s="244"/>
      <c r="Z89" s="245"/>
    </row>
    <row r="90" spans="1:26" ht="54.75" customHeight="1" x14ac:dyDescent="0.15">
      <c r="B90" s="163"/>
      <c r="C90" s="80" t="s">
        <v>134</v>
      </c>
      <c r="D90" s="168" t="s">
        <v>205</v>
      </c>
      <c r="E90" s="168"/>
      <c r="F90" s="168"/>
      <c r="G90" s="168"/>
      <c r="H90" s="168"/>
      <c r="I90" s="168"/>
      <c r="J90" s="168"/>
      <c r="K90" s="168"/>
      <c r="L90" s="168"/>
      <c r="M90" s="168"/>
      <c r="N90" s="168"/>
      <c r="O90" s="168"/>
      <c r="P90" s="168"/>
      <c r="Q90" s="168"/>
      <c r="R90" s="168"/>
      <c r="S90" s="168"/>
      <c r="T90" s="168"/>
      <c r="U90" s="168"/>
      <c r="V90" s="168"/>
      <c r="W90" s="168"/>
      <c r="X90" s="168"/>
      <c r="Y90" s="168"/>
      <c r="Z90" s="169"/>
    </row>
    <row r="91" spans="1:26" ht="6" customHeight="1" x14ac:dyDescent="0.15"/>
    <row r="92" spans="1:26" ht="18.75" customHeight="1" x14ac:dyDescent="0.15">
      <c r="A92" s="13" t="s">
        <v>142</v>
      </c>
    </row>
    <row r="93" spans="1:26" ht="18.75" customHeight="1" x14ac:dyDescent="0.15">
      <c r="B93" s="228" t="s">
        <v>176</v>
      </c>
      <c r="C93" s="229"/>
      <c r="D93" s="229"/>
      <c r="E93" s="229"/>
      <c r="F93" s="229"/>
      <c r="G93" s="229"/>
      <c r="H93" s="229"/>
      <c r="I93" s="229"/>
      <c r="J93" s="229"/>
      <c r="K93" s="229"/>
      <c r="L93" s="229"/>
      <c r="M93" s="229"/>
      <c r="N93" s="229"/>
      <c r="O93" s="229"/>
      <c r="P93" s="229"/>
      <c r="Q93" s="229"/>
      <c r="R93" s="229"/>
      <c r="S93" s="229"/>
      <c r="T93" s="229"/>
      <c r="U93" s="229"/>
      <c r="V93" s="229"/>
      <c r="W93" s="229"/>
      <c r="X93" s="229"/>
      <c r="Y93" s="229"/>
      <c r="Z93" s="230"/>
    </row>
    <row r="94" spans="1:26" ht="18.75" customHeight="1" x14ac:dyDescent="0.15">
      <c r="B94" s="231"/>
      <c r="C94" s="232"/>
      <c r="D94" s="232"/>
      <c r="E94" s="232"/>
      <c r="F94" s="232"/>
      <c r="G94" s="232"/>
      <c r="H94" s="232"/>
      <c r="I94" s="232"/>
      <c r="J94" s="232"/>
      <c r="K94" s="232"/>
      <c r="L94" s="232"/>
      <c r="M94" s="232"/>
      <c r="N94" s="232"/>
      <c r="O94" s="232"/>
      <c r="P94" s="232"/>
      <c r="Q94" s="232"/>
      <c r="R94" s="232"/>
      <c r="S94" s="232"/>
      <c r="T94" s="232"/>
      <c r="U94" s="232"/>
      <c r="V94" s="232"/>
      <c r="W94" s="232"/>
      <c r="X94" s="232"/>
      <c r="Y94" s="232"/>
      <c r="Z94" s="233"/>
    </row>
    <row r="95" spans="1:26" ht="194.25" customHeight="1" x14ac:dyDescent="0.15">
      <c r="B95" s="234"/>
      <c r="C95" s="235"/>
      <c r="D95" s="235"/>
      <c r="E95" s="235"/>
      <c r="F95" s="235"/>
      <c r="G95" s="235"/>
      <c r="H95" s="235"/>
      <c r="I95" s="235"/>
      <c r="J95" s="235"/>
      <c r="K95" s="235"/>
      <c r="L95" s="235"/>
      <c r="M95" s="235"/>
      <c r="N95" s="235"/>
      <c r="O95" s="235"/>
      <c r="P95" s="235"/>
      <c r="Q95" s="235"/>
      <c r="R95" s="235"/>
      <c r="S95" s="235"/>
      <c r="T95" s="235"/>
      <c r="U95" s="235"/>
      <c r="V95" s="235"/>
      <c r="W95" s="235"/>
      <c r="X95" s="235"/>
      <c r="Y95" s="235"/>
      <c r="Z95" s="236"/>
    </row>
    <row r="96" spans="1:26" ht="6" customHeight="1" x14ac:dyDescent="0.15"/>
    <row r="97" spans="1:26" ht="15" customHeight="1" x14ac:dyDescent="0.15">
      <c r="A97" s="13" t="s">
        <v>143</v>
      </c>
    </row>
    <row r="98" spans="1:26" ht="15" customHeight="1" x14ac:dyDescent="0.15">
      <c r="B98" s="237" t="s">
        <v>180</v>
      </c>
      <c r="C98" s="238"/>
      <c r="D98" s="238"/>
      <c r="E98" s="238"/>
      <c r="F98" s="238"/>
      <c r="G98" s="238"/>
      <c r="H98" s="238"/>
      <c r="I98" s="238"/>
      <c r="J98" s="238"/>
      <c r="K98" s="238"/>
      <c r="L98" s="238"/>
      <c r="M98" s="238"/>
      <c r="N98" s="238"/>
      <c r="O98" s="238"/>
      <c r="P98" s="238"/>
      <c r="Q98" s="238"/>
      <c r="R98" s="238"/>
      <c r="S98" s="238"/>
      <c r="T98" s="238"/>
      <c r="U98" s="238"/>
      <c r="V98" s="238"/>
      <c r="W98" s="238"/>
      <c r="X98" s="238"/>
      <c r="Y98" s="238"/>
      <c r="Z98" s="239"/>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xr:uid="{2C92E296-2E53-49CB-A4B0-DA06C2DDDCBF}">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39B4C7C3-0A8A-4892-8E3A-05D8B989472F}">
      <formula1>"学部・学科によって、修了要件は相違する,学部・学科によって、修了要件は相違しない"</formula1>
    </dataValidation>
    <dataValidation type="list" allowBlank="1" showInputMessage="1" showErrorMessage="1" sqref="Z23 Z34 D34:K34 D23:K23 V16:V22 I27:I33 V27:V33 I49:I55 V38:V44 I38:I44 V49:V55 I16:I22 U60:U66 H60:H66" xr:uid="{54C299BF-85C7-4CDD-9CC6-310864D700EA}">
      <formula1>"全学開講,一部開講"</formula1>
    </dataValidation>
    <dataValidation type="list" allowBlank="1" showInputMessage="1" showErrorMessage="1" sqref="Y16:Z22 Y27:Z33 L38:M44 Y38:Z44 Y49:Z55 K60:K61 L27:M33 U16:U22 X60 U27:U33 H38:H44 U38:U44 L16:M22 U49:U55 L49:M55 T60:T66 Y60:Z66 H27:H33 H16:H22 H49:H55 G60:G66 L60:M66" xr:uid="{E73891E2-2627-4CED-8B2E-7E9DAB8507FE}">
      <formula1>"○"</formula1>
    </dataValidation>
  </dataValidations>
  <printOptions horizontalCentered="1"/>
  <pageMargins left="0.78740157480314965" right="0.78740157480314965" top="0.59055118110236227" bottom="0.19685039370078741" header="0.31496062992125984" footer="0.19685039370078741"/>
  <pageSetup paperSize="9" scale="87" orientation="landscape" r:id="rId1"/>
  <rowBreaks count="4" manualBreakCount="4">
    <brk id="34" max="25" man="1"/>
    <brk id="67" max="25" man="1"/>
    <brk id="83" max="25" man="1"/>
    <brk id="95"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view="pageBreakPreview" topLeftCell="A4" zoomScaleNormal="100" zoomScaleSheetLayoutView="100" workbookViewId="0">
      <selection activeCell="B34" sqref="B34:C34"/>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47" t="s">
        <v>63</v>
      </c>
      <c r="G1" s="247"/>
      <c r="H1" s="247"/>
      <c r="I1" s="247"/>
      <c r="J1" s="247"/>
      <c r="K1" s="247"/>
      <c r="L1" s="247"/>
      <c r="M1" s="247"/>
      <c r="N1" s="247"/>
      <c r="O1" s="247"/>
      <c r="P1" s="247"/>
      <c r="Q1" s="247"/>
      <c r="R1" s="247"/>
    </row>
    <row r="2" spans="1:20" ht="18" customHeight="1" x14ac:dyDescent="0.15">
      <c r="A2" s="248" t="s">
        <v>89</v>
      </c>
      <c r="B2" s="248"/>
      <c r="C2" s="248"/>
      <c r="D2" s="248"/>
      <c r="E2" s="248"/>
      <c r="F2" s="248"/>
      <c r="G2" s="248"/>
      <c r="H2" s="248"/>
      <c r="I2" s="248"/>
      <c r="J2" s="248"/>
      <c r="K2" s="248"/>
      <c r="L2" s="248"/>
      <c r="M2" s="248"/>
      <c r="N2" s="248"/>
      <c r="O2" s="248"/>
      <c r="P2" s="248"/>
      <c r="Q2" s="248"/>
      <c r="R2" s="248"/>
      <c r="S2" s="4"/>
    </row>
    <row r="3" spans="1:20" ht="7.5" customHeight="1" x14ac:dyDescent="0.15">
      <c r="A3" s="36"/>
      <c r="B3" s="36"/>
      <c r="C3" s="36"/>
      <c r="D3" s="36"/>
      <c r="E3" s="36"/>
      <c r="F3" s="36"/>
      <c r="G3" s="36"/>
      <c r="H3" s="36"/>
      <c r="I3" s="36"/>
      <c r="J3" s="36"/>
      <c r="K3" s="36"/>
      <c r="L3" s="36"/>
      <c r="M3" s="36"/>
      <c r="N3" s="36"/>
      <c r="O3" s="36"/>
      <c r="P3" s="36"/>
      <c r="Q3" s="36"/>
      <c r="R3" s="36"/>
    </row>
    <row r="4" spans="1:20" ht="18" customHeight="1" x14ac:dyDescent="0.15">
      <c r="A4" s="4" t="s">
        <v>146</v>
      </c>
      <c r="B4" s="4"/>
      <c r="C4" s="249" t="str">
        <f>'様式１　大学等概要'!E12</f>
        <v>令和3年度</v>
      </c>
      <c r="D4" s="250"/>
      <c r="E4" s="36" t="s">
        <v>112</v>
      </c>
      <c r="F4" s="36"/>
      <c r="G4" s="36"/>
      <c r="H4" s="36"/>
      <c r="I4" s="36"/>
      <c r="J4" s="84"/>
      <c r="K4" s="36"/>
      <c r="L4" s="36"/>
      <c r="M4" s="114"/>
      <c r="N4" s="114"/>
      <c r="O4" s="114"/>
      <c r="P4" s="114"/>
      <c r="Q4" s="114"/>
      <c r="R4" s="114"/>
    </row>
    <row r="5" spans="1:20" ht="6" customHeight="1" x14ac:dyDescent="0.15">
      <c r="A5" s="36"/>
      <c r="B5" s="36"/>
      <c r="C5" s="36"/>
      <c r="D5" s="36"/>
      <c r="E5" s="36"/>
      <c r="F5" s="36"/>
      <c r="G5" s="36"/>
      <c r="H5" s="36"/>
      <c r="I5" s="36"/>
      <c r="J5" s="36"/>
      <c r="K5" s="36"/>
      <c r="L5" s="36"/>
      <c r="M5" s="36"/>
      <c r="N5" s="36"/>
      <c r="O5" s="36"/>
      <c r="P5" s="36"/>
      <c r="Q5" s="36"/>
      <c r="R5" s="36"/>
    </row>
    <row r="6" spans="1:20" ht="18" customHeight="1" x14ac:dyDescent="0.15">
      <c r="A6" s="4" t="s">
        <v>144</v>
      </c>
      <c r="B6" s="36"/>
      <c r="C6" s="36"/>
      <c r="D6" s="36"/>
      <c r="E6" s="36"/>
      <c r="F6" s="36"/>
      <c r="G6" s="36"/>
      <c r="H6" s="36"/>
      <c r="I6" s="36"/>
      <c r="J6" s="36"/>
      <c r="K6" s="36"/>
      <c r="L6" s="36"/>
      <c r="M6" s="36"/>
      <c r="N6" s="36"/>
      <c r="O6" s="36"/>
      <c r="P6" s="36"/>
      <c r="Q6" s="36"/>
      <c r="R6" s="36"/>
    </row>
    <row r="7" spans="1:20" ht="6" customHeight="1" x14ac:dyDescent="0.15">
      <c r="A7" s="4"/>
      <c r="B7" s="36"/>
      <c r="C7" s="36"/>
      <c r="D7" s="36"/>
      <c r="E7" s="36"/>
      <c r="F7" s="36"/>
      <c r="G7" s="36"/>
      <c r="H7" s="36"/>
      <c r="I7" s="36"/>
      <c r="J7" s="36"/>
      <c r="K7" s="36"/>
      <c r="L7" s="36"/>
      <c r="M7" s="36"/>
      <c r="N7" s="36"/>
      <c r="O7" s="36"/>
      <c r="P7" s="36"/>
      <c r="Q7" s="36"/>
      <c r="R7" s="36"/>
    </row>
    <row r="8" spans="1:20" ht="18" customHeight="1" x14ac:dyDescent="0.15">
      <c r="B8" s="251" t="s">
        <v>79</v>
      </c>
      <c r="C8" s="253" t="s">
        <v>84</v>
      </c>
      <c r="D8" s="255" t="s">
        <v>68</v>
      </c>
      <c r="E8" s="257" t="s">
        <v>90</v>
      </c>
      <c r="F8" s="257"/>
      <c r="G8" s="257" t="s">
        <v>91</v>
      </c>
      <c r="H8" s="257"/>
      <c r="I8" s="257" t="s">
        <v>92</v>
      </c>
      <c r="J8" s="257"/>
      <c r="K8" s="258" t="s">
        <v>93</v>
      </c>
      <c r="L8" s="259"/>
      <c r="M8" s="258" t="s">
        <v>94</v>
      </c>
      <c r="N8" s="259"/>
      <c r="O8" s="258" t="s">
        <v>95</v>
      </c>
      <c r="P8" s="259"/>
      <c r="Q8" s="260" t="s">
        <v>62</v>
      </c>
      <c r="R8" s="262" t="s">
        <v>56</v>
      </c>
      <c r="T8" s="32"/>
    </row>
    <row r="9" spans="1:20" ht="18" customHeight="1" x14ac:dyDescent="0.15">
      <c r="A9" s="4"/>
      <c r="B9" s="252"/>
      <c r="C9" s="254"/>
      <c r="D9" s="256"/>
      <c r="E9" s="41" t="s">
        <v>44</v>
      </c>
      <c r="F9" s="42" t="s">
        <v>43</v>
      </c>
      <c r="G9" s="43" t="s">
        <v>44</v>
      </c>
      <c r="H9" s="44" t="s">
        <v>43</v>
      </c>
      <c r="I9" s="41" t="s">
        <v>44</v>
      </c>
      <c r="J9" s="42" t="s">
        <v>43</v>
      </c>
      <c r="K9" s="43" t="s">
        <v>44</v>
      </c>
      <c r="L9" s="44" t="s">
        <v>43</v>
      </c>
      <c r="M9" s="41" t="s">
        <v>44</v>
      </c>
      <c r="N9" s="42" t="s">
        <v>43</v>
      </c>
      <c r="O9" s="43" t="s">
        <v>44</v>
      </c>
      <c r="P9" s="44" t="s">
        <v>43</v>
      </c>
      <c r="Q9" s="261"/>
      <c r="R9" s="263"/>
      <c r="T9" s="32"/>
    </row>
    <row r="10" spans="1:20" ht="18" customHeight="1" x14ac:dyDescent="0.15">
      <c r="A10" s="45"/>
      <c r="B10" s="85" t="s">
        <v>164</v>
      </c>
      <c r="C10" s="45">
        <v>640</v>
      </c>
      <c r="D10" s="46">
        <v>2560</v>
      </c>
      <c r="E10" s="47">
        <v>286</v>
      </c>
      <c r="F10" s="48">
        <v>139</v>
      </c>
      <c r="G10" s="49"/>
      <c r="H10" s="50"/>
      <c r="I10" s="47"/>
      <c r="J10" s="48"/>
      <c r="K10" s="49"/>
      <c r="L10" s="50"/>
      <c r="M10" s="47"/>
      <c r="N10" s="48"/>
      <c r="O10" s="49"/>
      <c r="P10" s="50"/>
      <c r="Q10" s="51">
        <f>E10+G10+I10+K10+M10+O10</f>
        <v>286</v>
      </c>
      <c r="R10" s="52">
        <f>Q10/D10</f>
        <v>0.11171875000000001</v>
      </c>
    </row>
    <row r="11" spans="1:20" ht="18" customHeight="1" x14ac:dyDescent="0.15">
      <c r="A11" s="45"/>
      <c r="B11" s="86" t="s">
        <v>165</v>
      </c>
      <c r="C11" s="61">
        <v>170</v>
      </c>
      <c r="D11" s="54">
        <v>680</v>
      </c>
      <c r="E11" s="55">
        <v>217</v>
      </c>
      <c r="F11" s="56">
        <v>199</v>
      </c>
      <c r="G11" s="57"/>
      <c r="H11" s="58"/>
      <c r="I11" s="55"/>
      <c r="J11" s="56"/>
      <c r="K11" s="57"/>
      <c r="L11" s="58"/>
      <c r="M11" s="55"/>
      <c r="N11" s="56"/>
      <c r="O11" s="57"/>
      <c r="P11" s="58"/>
      <c r="Q11" s="59">
        <f t="shared" ref="Q11:Q29" si="0">E11+G11+I11+K11+M11+O11</f>
        <v>217</v>
      </c>
      <c r="R11" s="60">
        <f t="shared" ref="R11:R29" si="1">Q11/D11</f>
        <v>0.31911764705882351</v>
      </c>
    </row>
    <row r="12" spans="1:20" ht="18" customHeight="1" x14ac:dyDescent="0.15">
      <c r="A12" s="45"/>
      <c r="B12" s="86"/>
      <c r="C12" s="61"/>
      <c r="D12" s="54"/>
      <c r="E12" s="55"/>
      <c r="F12" s="56"/>
      <c r="G12" s="57"/>
      <c r="H12" s="58"/>
      <c r="I12" s="55"/>
      <c r="J12" s="56"/>
      <c r="K12" s="57"/>
      <c r="L12" s="58"/>
      <c r="M12" s="55"/>
      <c r="N12" s="56"/>
      <c r="O12" s="57"/>
      <c r="P12" s="58"/>
      <c r="Q12" s="59">
        <f t="shared" si="0"/>
        <v>0</v>
      </c>
      <c r="R12" s="60" t="e">
        <f t="shared" si="1"/>
        <v>#DIV/0!</v>
      </c>
    </row>
    <row r="13" spans="1:20" ht="18" customHeight="1" x14ac:dyDescent="0.15">
      <c r="A13" s="45"/>
      <c r="B13" s="86"/>
      <c r="C13" s="61"/>
      <c r="D13" s="54"/>
      <c r="E13" s="55"/>
      <c r="F13" s="56"/>
      <c r="G13" s="57"/>
      <c r="H13" s="58"/>
      <c r="I13" s="55"/>
      <c r="J13" s="56"/>
      <c r="K13" s="57"/>
      <c r="L13" s="58"/>
      <c r="M13" s="55"/>
      <c r="N13" s="56"/>
      <c r="O13" s="57"/>
      <c r="P13" s="58"/>
      <c r="Q13" s="59">
        <f t="shared" si="0"/>
        <v>0</v>
      </c>
      <c r="R13" s="60" t="e">
        <f t="shared" si="1"/>
        <v>#DIV/0!</v>
      </c>
    </row>
    <row r="14" spans="1:20" ht="18" customHeight="1" x14ac:dyDescent="0.15">
      <c r="A14" s="45"/>
      <c r="B14" s="86"/>
      <c r="C14" s="61"/>
      <c r="D14" s="54"/>
      <c r="E14" s="55"/>
      <c r="F14" s="56"/>
      <c r="G14" s="57"/>
      <c r="H14" s="58"/>
      <c r="I14" s="55"/>
      <c r="J14" s="56"/>
      <c r="K14" s="57"/>
      <c r="L14" s="58"/>
      <c r="M14" s="55"/>
      <c r="N14" s="56"/>
      <c r="O14" s="57"/>
      <c r="P14" s="58"/>
      <c r="Q14" s="59">
        <f t="shared" si="0"/>
        <v>0</v>
      </c>
      <c r="R14" s="60" t="e">
        <f t="shared" si="1"/>
        <v>#DIV/0!</v>
      </c>
    </row>
    <row r="15" spans="1:20" ht="18" customHeight="1" x14ac:dyDescent="0.15">
      <c r="A15" s="45"/>
      <c r="B15" s="86"/>
      <c r="C15" s="61"/>
      <c r="D15" s="54"/>
      <c r="E15" s="55"/>
      <c r="F15" s="56"/>
      <c r="G15" s="57"/>
      <c r="H15" s="58"/>
      <c r="I15" s="55"/>
      <c r="J15" s="56"/>
      <c r="K15" s="57"/>
      <c r="L15" s="58"/>
      <c r="M15" s="55"/>
      <c r="N15" s="56"/>
      <c r="O15" s="57"/>
      <c r="P15" s="58"/>
      <c r="Q15" s="59">
        <f t="shared" si="0"/>
        <v>0</v>
      </c>
      <c r="R15" s="60" t="e">
        <f t="shared" si="1"/>
        <v>#DIV/0!</v>
      </c>
    </row>
    <row r="16" spans="1:20" ht="18" customHeight="1" x14ac:dyDescent="0.15">
      <c r="A16" s="45"/>
      <c r="B16" s="86"/>
      <c r="C16" s="61"/>
      <c r="D16" s="54"/>
      <c r="E16" s="55"/>
      <c r="F16" s="56"/>
      <c r="G16" s="57"/>
      <c r="H16" s="58"/>
      <c r="I16" s="55"/>
      <c r="J16" s="56"/>
      <c r="K16" s="57"/>
      <c r="L16" s="58"/>
      <c r="M16" s="55"/>
      <c r="N16" s="56"/>
      <c r="O16" s="57"/>
      <c r="P16" s="58"/>
      <c r="Q16" s="59">
        <f t="shared" si="0"/>
        <v>0</v>
      </c>
      <c r="R16" s="60" t="e">
        <f t="shared" si="1"/>
        <v>#DIV/0!</v>
      </c>
    </row>
    <row r="17" spans="1:18" ht="18" customHeight="1" x14ac:dyDescent="0.15">
      <c r="A17" s="45"/>
      <c r="B17" s="86"/>
      <c r="C17" s="61"/>
      <c r="D17" s="54"/>
      <c r="E17" s="55"/>
      <c r="F17" s="56"/>
      <c r="G17" s="57"/>
      <c r="H17" s="58"/>
      <c r="I17" s="55"/>
      <c r="J17" s="56"/>
      <c r="K17" s="57"/>
      <c r="L17" s="58"/>
      <c r="M17" s="55"/>
      <c r="N17" s="56"/>
      <c r="O17" s="57"/>
      <c r="P17" s="58"/>
      <c r="Q17" s="59">
        <f t="shared" si="0"/>
        <v>0</v>
      </c>
      <c r="R17" s="60" t="e">
        <f t="shared" si="1"/>
        <v>#DIV/0!</v>
      </c>
    </row>
    <row r="18" spans="1:18" ht="18" customHeight="1" x14ac:dyDescent="0.15">
      <c r="A18" s="45"/>
      <c r="B18" s="86"/>
      <c r="C18" s="61"/>
      <c r="D18" s="54"/>
      <c r="E18" s="55"/>
      <c r="F18" s="56"/>
      <c r="G18" s="57"/>
      <c r="H18" s="58"/>
      <c r="I18" s="55"/>
      <c r="J18" s="56"/>
      <c r="K18" s="57"/>
      <c r="L18" s="58"/>
      <c r="M18" s="55"/>
      <c r="N18" s="56"/>
      <c r="O18" s="57"/>
      <c r="P18" s="58"/>
      <c r="Q18" s="59">
        <f>E18+G18+I18+K18+M18+O18</f>
        <v>0</v>
      </c>
      <c r="R18" s="60" t="e">
        <f t="shared" si="1"/>
        <v>#DIV/0!</v>
      </c>
    </row>
    <row r="19" spans="1:18" ht="18" customHeight="1" x14ac:dyDescent="0.15">
      <c r="A19" s="45"/>
      <c r="B19" s="86"/>
      <c r="C19" s="61"/>
      <c r="D19" s="54"/>
      <c r="E19" s="55"/>
      <c r="F19" s="56"/>
      <c r="G19" s="57"/>
      <c r="H19" s="58"/>
      <c r="I19" s="55"/>
      <c r="J19" s="56"/>
      <c r="K19" s="57"/>
      <c r="L19" s="58"/>
      <c r="M19" s="55"/>
      <c r="N19" s="56"/>
      <c r="O19" s="57"/>
      <c r="P19" s="58"/>
      <c r="Q19" s="59">
        <f t="shared" si="0"/>
        <v>0</v>
      </c>
      <c r="R19" s="60" t="e">
        <f t="shared" si="1"/>
        <v>#DIV/0!</v>
      </c>
    </row>
    <row r="20" spans="1:18" ht="18" customHeight="1" x14ac:dyDescent="0.15">
      <c r="A20" s="45"/>
      <c r="B20" s="86"/>
      <c r="C20" s="61"/>
      <c r="D20" s="54"/>
      <c r="E20" s="55"/>
      <c r="F20" s="56"/>
      <c r="G20" s="57"/>
      <c r="H20" s="58"/>
      <c r="I20" s="55"/>
      <c r="J20" s="56"/>
      <c r="K20" s="57"/>
      <c r="L20" s="58"/>
      <c r="M20" s="55"/>
      <c r="N20" s="56"/>
      <c r="O20" s="57"/>
      <c r="P20" s="58"/>
      <c r="Q20" s="59">
        <f t="shared" si="0"/>
        <v>0</v>
      </c>
      <c r="R20" s="60" t="e">
        <f t="shared" si="1"/>
        <v>#DIV/0!</v>
      </c>
    </row>
    <row r="21" spans="1:18" ht="18" customHeight="1" x14ac:dyDescent="0.15">
      <c r="A21" s="45"/>
      <c r="B21" s="86"/>
      <c r="C21" s="61"/>
      <c r="D21" s="54"/>
      <c r="E21" s="55"/>
      <c r="F21" s="56"/>
      <c r="G21" s="57"/>
      <c r="H21" s="58"/>
      <c r="I21" s="55"/>
      <c r="J21" s="56"/>
      <c r="K21" s="57"/>
      <c r="L21" s="58"/>
      <c r="M21" s="55"/>
      <c r="N21" s="56"/>
      <c r="O21" s="57"/>
      <c r="P21" s="58"/>
      <c r="Q21" s="59">
        <f t="shared" si="0"/>
        <v>0</v>
      </c>
      <c r="R21" s="60" t="e">
        <f t="shared" si="1"/>
        <v>#DIV/0!</v>
      </c>
    </row>
    <row r="22" spans="1:18" ht="18" customHeight="1" x14ac:dyDescent="0.15">
      <c r="A22" s="45"/>
      <c r="B22" s="86"/>
      <c r="C22" s="61"/>
      <c r="D22" s="54"/>
      <c r="E22" s="55"/>
      <c r="F22" s="56"/>
      <c r="G22" s="57"/>
      <c r="H22" s="58"/>
      <c r="I22" s="55"/>
      <c r="J22" s="56"/>
      <c r="K22" s="57"/>
      <c r="L22" s="58"/>
      <c r="M22" s="55"/>
      <c r="N22" s="56"/>
      <c r="O22" s="57"/>
      <c r="P22" s="58"/>
      <c r="Q22" s="59">
        <f t="shared" si="0"/>
        <v>0</v>
      </c>
      <c r="R22" s="60" t="e">
        <f t="shared" si="1"/>
        <v>#DIV/0!</v>
      </c>
    </row>
    <row r="23" spans="1:18" ht="18" customHeight="1" x14ac:dyDescent="0.15">
      <c r="A23" s="45"/>
      <c r="B23" s="86"/>
      <c r="C23" s="61"/>
      <c r="D23" s="54"/>
      <c r="E23" s="55"/>
      <c r="F23" s="56"/>
      <c r="G23" s="57"/>
      <c r="H23" s="58"/>
      <c r="I23" s="55"/>
      <c r="J23" s="56"/>
      <c r="K23" s="57"/>
      <c r="L23" s="58"/>
      <c r="M23" s="55"/>
      <c r="N23" s="56"/>
      <c r="O23" s="57"/>
      <c r="P23" s="58"/>
      <c r="Q23" s="59">
        <f t="shared" si="0"/>
        <v>0</v>
      </c>
      <c r="R23" s="60" t="e">
        <f t="shared" si="1"/>
        <v>#DIV/0!</v>
      </c>
    </row>
    <row r="24" spans="1:18" ht="18" customHeight="1" x14ac:dyDescent="0.15">
      <c r="A24" s="45"/>
      <c r="B24" s="86"/>
      <c r="C24" s="61"/>
      <c r="D24" s="54"/>
      <c r="E24" s="55"/>
      <c r="F24" s="56"/>
      <c r="G24" s="57"/>
      <c r="H24" s="58"/>
      <c r="I24" s="55"/>
      <c r="J24" s="56"/>
      <c r="K24" s="57"/>
      <c r="L24" s="58"/>
      <c r="M24" s="55"/>
      <c r="N24" s="56"/>
      <c r="O24" s="57"/>
      <c r="P24" s="58"/>
      <c r="Q24" s="59">
        <f t="shared" si="0"/>
        <v>0</v>
      </c>
      <c r="R24" s="60" t="e">
        <f t="shared" si="1"/>
        <v>#DIV/0!</v>
      </c>
    </row>
    <row r="25" spans="1:18" ht="18" customHeight="1" x14ac:dyDescent="0.15">
      <c r="A25" s="45"/>
      <c r="B25" s="86"/>
      <c r="C25" s="61"/>
      <c r="D25" s="54"/>
      <c r="E25" s="55"/>
      <c r="F25" s="56"/>
      <c r="G25" s="57"/>
      <c r="H25" s="58"/>
      <c r="I25" s="55"/>
      <c r="J25" s="56"/>
      <c r="K25" s="57"/>
      <c r="L25" s="58"/>
      <c r="M25" s="55"/>
      <c r="N25" s="56"/>
      <c r="O25" s="57"/>
      <c r="P25" s="58"/>
      <c r="Q25" s="59">
        <f t="shared" si="0"/>
        <v>0</v>
      </c>
      <c r="R25" s="60" t="e">
        <f t="shared" si="1"/>
        <v>#DIV/0!</v>
      </c>
    </row>
    <row r="26" spans="1:18" ht="18" customHeight="1" x14ac:dyDescent="0.15">
      <c r="A26" s="45"/>
      <c r="B26" s="86"/>
      <c r="C26" s="61"/>
      <c r="D26" s="54"/>
      <c r="E26" s="55"/>
      <c r="F26" s="56"/>
      <c r="G26" s="57"/>
      <c r="H26" s="58"/>
      <c r="I26" s="55"/>
      <c r="J26" s="56"/>
      <c r="K26" s="57"/>
      <c r="L26" s="58"/>
      <c r="M26" s="55"/>
      <c r="N26" s="56"/>
      <c r="O26" s="57"/>
      <c r="P26" s="58"/>
      <c r="Q26" s="59">
        <f t="shared" si="0"/>
        <v>0</v>
      </c>
      <c r="R26" s="60" t="e">
        <f t="shared" si="1"/>
        <v>#DIV/0!</v>
      </c>
    </row>
    <row r="27" spans="1:18" ht="18" customHeight="1" x14ac:dyDescent="0.15">
      <c r="A27" s="45"/>
      <c r="B27" s="86"/>
      <c r="C27" s="53"/>
      <c r="D27" s="54"/>
      <c r="E27" s="55"/>
      <c r="F27" s="56"/>
      <c r="G27" s="57"/>
      <c r="H27" s="58"/>
      <c r="I27" s="55"/>
      <c r="J27" s="56"/>
      <c r="K27" s="57"/>
      <c r="L27" s="58"/>
      <c r="M27" s="55"/>
      <c r="N27" s="56"/>
      <c r="O27" s="57"/>
      <c r="P27" s="58"/>
      <c r="Q27" s="59">
        <f t="shared" si="0"/>
        <v>0</v>
      </c>
      <c r="R27" s="60" t="e">
        <f t="shared" si="1"/>
        <v>#DIV/0!</v>
      </c>
    </row>
    <row r="28" spans="1:18" ht="18" customHeight="1" x14ac:dyDescent="0.15">
      <c r="A28" s="45"/>
      <c r="B28" s="86"/>
      <c r="C28" s="53"/>
      <c r="D28" s="54"/>
      <c r="E28" s="55"/>
      <c r="F28" s="56"/>
      <c r="G28" s="57"/>
      <c r="H28" s="58"/>
      <c r="I28" s="55"/>
      <c r="J28" s="56"/>
      <c r="K28" s="57"/>
      <c r="L28" s="58"/>
      <c r="M28" s="55"/>
      <c r="N28" s="56"/>
      <c r="O28" s="57"/>
      <c r="P28" s="58"/>
      <c r="Q28" s="59">
        <f t="shared" si="0"/>
        <v>0</v>
      </c>
      <c r="R28" s="60" t="e">
        <f t="shared" si="1"/>
        <v>#DIV/0!</v>
      </c>
    </row>
    <row r="29" spans="1:18" ht="18" customHeight="1" thickBot="1" x14ac:dyDescent="0.2">
      <c r="A29" s="45"/>
      <c r="B29" s="87"/>
      <c r="C29" s="88"/>
      <c r="D29" s="46"/>
      <c r="E29" s="47"/>
      <c r="F29" s="48"/>
      <c r="G29" s="49"/>
      <c r="H29" s="50"/>
      <c r="I29" s="47"/>
      <c r="J29" s="48"/>
      <c r="K29" s="49"/>
      <c r="L29" s="50"/>
      <c r="M29" s="47"/>
      <c r="N29" s="48"/>
      <c r="O29" s="49"/>
      <c r="P29" s="50"/>
      <c r="Q29" s="62">
        <f t="shared" si="0"/>
        <v>0</v>
      </c>
      <c r="R29" s="52" t="e">
        <f t="shared" si="1"/>
        <v>#DIV/0!</v>
      </c>
    </row>
    <row r="30" spans="1:18" ht="18" customHeight="1" thickTop="1" x14ac:dyDescent="0.15">
      <c r="B30" s="89" t="s">
        <v>57</v>
      </c>
      <c r="C30" s="90">
        <f t="shared" ref="C30:Q30" si="2">SUM(C10:C29)</f>
        <v>810</v>
      </c>
      <c r="D30" s="63">
        <f t="shared" si="2"/>
        <v>3240</v>
      </c>
      <c r="E30" s="64">
        <f t="shared" si="2"/>
        <v>503</v>
      </c>
      <c r="F30" s="65">
        <f t="shared" si="2"/>
        <v>338</v>
      </c>
      <c r="G30" s="66">
        <f t="shared" si="2"/>
        <v>0</v>
      </c>
      <c r="H30" s="67">
        <f t="shared" si="2"/>
        <v>0</v>
      </c>
      <c r="I30" s="64">
        <f t="shared" si="2"/>
        <v>0</v>
      </c>
      <c r="J30" s="65">
        <f t="shared" si="2"/>
        <v>0</v>
      </c>
      <c r="K30" s="66">
        <f t="shared" si="2"/>
        <v>0</v>
      </c>
      <c r="L30" s="67">
        <f t="shared" si="2"/>
        <v>0</v>
      </c>
      <c r="M30" s="64">
        <f t="shared" si="2"/>
        <v>0</v>
      </c>
      <c r="N30" s="65">
        <f t="shared" si="2"/>
        <v>0</v>
      </c>
      <c r="O30" s="66">
        <f t="shared" si="2"/>
        <v>0</v>
      </c>
      <c r="P30" s="67">
        <f t="shared" si="2"/>
        <v>0</v>
      </c>
      <c r="Q30" s="68">
        <f t="shared" si="2"/>
        <v>503</v>
      </c>
      <c r="R30" s="69">
        <f>Q30/D30</f>
        <v>0.15524691358024692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zoomScaleNormal="100" zoomScaleSheetLayoutView="100" workbookViewId="0">
      <selection activeCell="B31" sqref="B31:J44"/>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113</v>
      </c>
      <c r="J1" s="39" t="s">
        <v>114</v>
      </c>
    </row>
    <row r="2" spans="1:11" ht="18.75" customHeight="1" x14ac:dyDescent="0.15">
      <c r="A2" s="248" t="s">
        <v>64</v>
      </c>
      <c r="B2" s="248"/>
      <c r="C2" s="248"/>
      <c r="D2" s="248"/>
      <c r="E2" s="248"/>
      <c r="F2" s="248"/>
      <c r="G2" s="248"/>
      <c r="H2" s="248"/>
      <c r="I2" s="248"/>
      <c r="J2" s="248"/>
    </row>
    <row r="3" spans="1:11" ht="7.5" customHeight="1" x14ac:dyDescent="0.15">
      <c r="B3" s="36"/>
      <c r="C3" s="36"/>
      <c r="D3" s="36"/>
      <c r="E3" s="36"/>
      <c r="F3" s="36"/>
      <c r="G3" s="36"/>
      <c r="H3" s="36"/>
      <c r="I3" s="36"/>
      <c r="J3" s="36"/>
    </row>
    <row r="4" spans="1:11" ht="18.75" customHeight="1" x14ac:dyDescent="0.15">
      <c r="A4" s="1" t="s">
        <v>6</v>
      </c>
      <c r="B4" s="4" t="s">
        <v>72</v>
      </c>
      <c r="C4" s="4"/>
      <c r="D4" s="4"/>
      <c r="E4" s="4"/>
      <c r="F4" s="4"/>
      <c r="G4" s="4"/>
      <c r="H4" s="4"/>
      <c r="I4" s="36"/>
      <c r="J4" s="36"/>
    </row>
    <row r="5" spans="1:11" ht="18.75" customHeight="1" x14ac:dyDescent="0.15">
      <c r="A5" s="1"/>
      <c r="B5" s="137" t="s">
        <v>166</v>
      </c>
      <c r="C5" s="138"/>
      <c r="D5" s="138"/>
      <c r="E5" s="138"/>
      <c r="F5" s="138"/>
      <c r="G5" s="138"/>
      <c r="H5" s="138"/>
      <c r="I5" s="138"/>
      <c r="J5" s="273"/>
      <c r="K5" s="31" t="str">
        <f>IF(B5="","入力してください","")</f>
        <v/>
      </c>
    </row>
    <row r="6" spans="1:11" ht="7.5" customHeight="1" x14ac:dyDescent="0.15">
      <c r="B6" s="36"/>
      <c r="C6" s="36"/>
      <c r="D6" s="36"/>
      <c r="E6" s="36"/>
      <c r="F6" s="36"/>
      <c r="G6" s="36"/>
      <c r="H6" s="36"/>
      <c r="I6" s="36"/>
      <c r="J6" s="36"/>
    </row>
    <row r="7" spans="1:11" s="4" customFormat="1" ht="18.75" customHeight="1" x14ac:dyDescent="0.15">
      <c r="A7" s="1" t="s">
        <v>9</v>
      </c>
      <c r="B7" s="1" t="s">
        <v>39</v>
      </c>
      <c r="C7" s="1"/>
      <c r="D7" s="1"/>
      <c r="E7" s="1"/>
      <c r="F7" s="1"/>
      <c r="G7" s="1"/>
      <c r="H7" s="1"/>
      <c r="I7" s="1"/>
      <c r="J7" s="1"/>
      <c r="K7" s="33"/>
    </row>
    <row r="8" spans="1:11" s="4" customFormat="1" ht="18.75" customHeight="1" x14ac:dyDescent="0.15">
      <c r="A8" s="91"/>
      <c r="B8" s="274" t="s">
        <v>167</v>
      </c>
      <c r="C8" s="275"/>
      <c r="D8" s="275"/>
      <c r="E8" s="275"/>
      <c r="F8" s="275"/>
      <c r="G8" s="275"/>
      <c r="H8" s="275"/>
      <c r="I8" s="276"/>
      <c r="J8" s="277"/>
      <c r="K8" s="31" t="str">
        <f>IF(B8="","入力してください","")</f>
        <v/>
      </c>
    </row>
    <row r="9" spans="1:11" s="4" customFormat="1" ht="18.75" customHeight="1" x14ac:dyDescent="0.15">
      <c r="A9" s="91"/>
      <c r="B9" s="278"/>
      <c r="C9" s="279"/>
      <c r="D9" s="279"/>
      <c r="E9" s="279"/>
      <c r="F9" s="279"/>
      <c r="G9" s="279"/>
      <c r="H9" s="279"/>
      <c r="I9" s="279"/>
      <c r="J9" s="280"/>
      <c r="K9" s="31"/>
    </row>
    <row r="10" spans="1:11" s="4" customFormat="1" ht="18.75" customHeight="1" x14ac:dyDescent="0.15">
      <c r="A10" s="91"/>
      <c r="B10" s="278"/>
      <c r="C10" s="279"/>
      <c r="D10" s="279"/>
      <c r="E10" s="279"/>
      <c r="F10" s="279"/>
      <c r="G10" s="279"/>
      <c r="H10" s="279"/>
      <c r="I10" s="279"/>
      <c r="J10" s="280"/>
      <c r="K10" s="31"/>
    </row>
    <row r="11" spans="1:11" s="4" customFormat="1" ht="18.75" customHeight="1" x14ac:dyDescent="0.15">
      <c r="A11" s="91"/>
      <c r="B11" s="278"/>
      <c r="C11" s="279"/>
      <c r="D11" s="279"/>
      <c r="E11" s="279"/>
      <c r="F11" s="279"/>
      <c r="G11" s="279"/>
      <c r="H11" s="279"/>
      <c r="I11" s="279"/>
      <c r="J11" s="280"/>
      <c r="K11" s="31"/>
    </row>
    <row r="12" spans="1:11" s="4" customFormat="1" ht="18.75" customHeight="1" x14ac:dyDescent="0.15">
      <c r="A12" s="91"/>
      <c r="B12" s="281"/>
      <c r="C12" s="282"/>
      <c r="D12" s="282"/>
      <c r="E12" s="282"/>
      <c r="F12" s="282"/>
      <c r="G12" s="282"/>
      <c r="H12" s="282"/>
      <c r="I12" s="282"/>
      <c r="J12" s="283"/>
      <c r="K12" s="31"/>
    </row>
    <row r="13" spans="1:11" s="4" customFormat="1" ht="7.5" customHeight="1" x14ac:dyDescent="0.15">
      <c r="A13" s="91"/>
      <c r="B13" s="91"/>
      <c r="C13" s="91"/>
      <c r="D13" s="91"/>
      <c r="E13" s="91"/>
      <c r="F13" s="91"/>
      <c r="G13" s="91"/>
      <c r="H13" s="91"/>
      <c r="I13" s="91"/>
      <c r="J13" s="91"/>
      <c r="K13" s="31"/>
    </row>
    <row r="14" spans="1:11" s="4" customFormat="1" ht="18.75" customHeight="1" x14ac:dyDescent="0.15">
      <c r="A14" s="92" t="s">
        <v>10</v>
      </c>
      <c r="B14" s="92" t="s">
        <v>15</v>
      </c>
      <c r="C14" s="92"/>
      <c r="D14" s="92"/>
      <c r="E14" s="92"/>
      <c r="F14" s="92"/>
      <c r="G14" s="92"/>
      <c r="H14" s="92"/>
      <c r="I14" s="92"/>
      <c r="J14" s="92"/>
      <c r="K14" s="31"/>
    </row>
    <row r="15" spans="1:11" s="4" customFormat="1" ht="18.75" customHeight="1" x14ac:dyDescent="0.15">
      <c r="A15" s="91"/>
      <c r="B15" s="274" t="s">
        <v>169</v>
      </c>
      <c r="C15" s="275"/>
      <c r="D15" s="275"/>
      <c r="E15" s="275"/>
      <c r="F15" s="275"/>
      <c r="G15" s="275"/>
      <c r="H15" s="275"/>
      <c r="I15" s="276"/>
      <c r="J15" s="277"/>
      <c r="K15" s="31" t="str">
        <f>IF(B15="","入力してください","")</f>
        <v/>
      </c>
    </row>
    <row r="16" spans="1:11" s="4" customFormat="1" ht="18.75" customHeight="1" x14ac:dyDescent="0.15">
      <c r="A16" s="91"/>
      <c r="B16" s="278"/>
      <c r="C16" s="279"/>
      <c r="D16" s="279"/>
      <c r="E16" s="279"/>
      <c r="F16" s="279"/>
      <c r="G16" s="279"/>
      <c r="H16" s="279"/>
      <c r="I16" s="279"/>
      <c r="J16" s="280"/>
      <c r="K16" s="31"/>
    </row>
    <row r="17" spans="1:11" s="4" customFormat="1" ht="18.75" customHeight="1" x14ac:dyDescent="0.15">
      <c r="A17" s="91"/>
      <c r="B17" s="278"/>
      <c r="C17" s="279"/>
      <c r="D17" s="279"/>
      <c r="E17" s="279"/>
      <c r="F17" s="279"/>
      <c r="G17" s="279"/>
      <c r="H17" s="279"/>
      <c r="I17" s="279"/>
      <c r="J17" s="280"/>
      <c r="K17" s="31"/>
    </row>
    <row r="18" spans="1:11" s="4" customFormat="1" ht="18.75" customHeight="1" x14ac:dyDescent="0.15">
      <c r="A18" s="91"/>
      <c r="B18" s="278"/>
      <c r="C18" s="279"/>
      <c r="D18" s="279"/>
      <c r="E18" s="279"/>
      <c r="F18" s="279"/>
      <c r="G18" s="279"/>
      <c r="H18" s="279"/>
      <c r="I18" s="279"/>
      <c r="J18" s="280"/>
      <c r="K18" s="31"/>
    </row>
    <row r="19" spans="1:11" s="4" customFormat="1" ht="18.75" customHeight="1" x14ac:dyDescent="0.15">
      <c r="A19" s="91"/>
      <c r="B19" s="278"/>
      <c r="C19" s="279"/>
      <c r="D19" s="279"/>
      <c r="E19" s="279"/>
      <c r="F19" s="279"/>
      <c r="G19" s="279"/>
      <c r="H19" s="279"/>
      <c r="I19" s="279"/>
      <c r="J19" s="280"/>
      <c r="K19" s="31"/>
    </row>
    <row r="20" spans="1:11" s="4" customFormat="1" ht="18.75" customHeight="1" x14ac:dyDescent="0.15">
      <c r="A20" s="91"/>
      <c r="B20" s="278"/>
      <c r="C20" s="279"/>
      <c r="D20" s="279"/>
      <c r="E20" s="279"/>
      <c r="F20" s="279"/>
      <c r="G20" s="279"/>
      <c r="H20" s="279"/>
      <c r="I20" s="279"/>
      <c r="J20" s="280"/>
      <c r="K20" s="31"/>
    </row>
    <row r="21" spans="1:11" s="4" customFormat="1" ht="18.75" customHeight="1" x14ac:dyDescent="0.15">
      <c r="A21" s="91"/>
      <c r="B21" s="278"/>
      <c r="C21" s="279"/>
      <c r="D21" s="279"/>
      <c r="E21" s="279"/>
      <c r="F21" s="279"/>
      <c r="G21" s="279"/>
      <c r="H21" s="279"/>
      <c r="I21" s="279"/>
      <c r="J21" s="280"/>
      <c r="K21" s="31"/>
    </row>
    <row r="22" spans="1:11" s="4" customFormat="1" ht="18.75" customHeight="1" x14ac:dyDescent="0.15">
      <c r="A22" s="91"/>
      <c r="B22" s="278"/>
      <c r="C22" s="279"/>
      <c r="D22" s="279"/>
      <c r="E22" s="279"/>
      <c r="F22" s="279"/>
      <c r="G22" s="279"/>
      <c r="H22" s="279"/>
      <c r="I22" s="279"/>
      <c r="J22" s="280"/>
      <c r="K22" s="31"/>
    </row>
    <row r="23" spans="1:11" s="4" customFormat="1" ht="18.75" customHeight="1" x14ac:dyDescent="0.15">
      <c r="A23" s="91"/>
      <c r="B23" s="278"/>
      <c r="C23" s="279"/>
      <c r="D23" s="279"/>
      <c r="E23" s="279"/>
      <c r="F23" s="279"/>
      <c r="G23" s="279"/>
      <c r="H23" s="279"/>
      <c r="I23" s="279"/>
      <c r="J23" s="280"/>
      <c r="K23" s="31"/>
    </row>
    <row r="24" spans="1:11" s="4" customFormat="1" ht="18.75" customHeight="1" x14ac:dyDescent="0.15">
      <c r="A24" s="91"/>
      <c r="B24" s="278"/>
      <c r="C24" s="279"/>
      <c r="D24" s="279"/>
      <c r="E24" s="279"/>
      <c r="F24" s="279"/>
      <c r="G24" s="279"/>
      <c r="H24" s="279"/>
      <c r="I24" s="279"/>
      <c r="J24" s="280"/>
      <c r="K24" s="31"/>
    </row>
    <row r="25" spans="1:11" s="4" customFormat="1" ht="18.75" customHeight="1" x14ac:dyDescent="0.15">
      <c r="A25" s="91"/>
      <c r="B25" s="281"/>
      <c r="C25" s="282"/>
      <c r="D25" s="282"/>
      <c r="E25" s="282"/>
      <c r="F25" s="282"/>
      <c r="G25" s="282"/>
      <c r="H25" s="282"/>
      <c r="I25" s="282"/>
      <c r="J25" s="283"/>
      <c r="K25" s="31"/>
    </row>
    <row r="26" spans="1:11" ht="7.5" customHeight="1" x14ac:dyDescent="0.15">
      <c r="A26" s="37"/>
      <c r="B26" s="37"/>
      <c r="C26" s="37"/>
      <c r="D26" s="37"/>
      <c r="E26" s="37"/>
      <c r="F26" s="37"/>
      <c r="G26" s="37"/>
      <c r="H26" s="37"/>
      <c r="I26" s="37"/>
      <c r="J26" s="37"/>
    </row>
    <row r="27" spans="1:11" s="4" customFormat="1" ht="18.75" customHeight="1" x14ac:dyDescent="0.15">
      <c r="A27" s="1" t="s">
        <v>13</v>
      </c>
      <c r="B27" s="1" t="s">
        <v>26</v>
      </c>
      <c r="C27" s="1"/>
      <c r="D27" s="1"/>
      <c r="E27" s="1"/>
      <c r="F27" s="1"/>
      <c r="G27" s="1"/>
      <c r="H27" s="1"/>
      <c r="I27" s="1"/>
      <c r="J27" s="1"/>
      <c r="K27" s="31"/>
    </row>
    <row r="28" spans="1:11" s="29" customFormat="1" ht="18.75" customHeight="1" x14ac:dyDescent="0.15">
      <c r="B28" s="93" t="s">
        <v>115</v>
      </c>
      <c r="C28" s="94">
        <f>'様式３　履修者等数の実績'!R30</f>
        <v>0.15524691358024692</v>
      </c>
      <c r="D28" s="95"/>
      <c r="E28" s="95" t="s">
        <v>116</v>
      </c>
      <c r="F28" s="94">
        <v>0.25</v>
      </c>
      <c r="G28" s="95"/>
      <c r="H28" s="95" t="s">
        <v>117</v>
      </c>
      <c r="I28" s="96">
        <v>0.5</v>
      </c>
      <c r="J28" s="97"/>
      <c r="K28" s="31"/>
    </row>
    <row r="29" spans="1:11" s="29" customFormat="1" ht="18.75" customHeight="1" x14ac:dyDescent="0.15">
      <c r="B29" s="81" t="s">
        <v>118</v>
      </c>
      <c r="C29" s="98">
        <v>0.75</v>
      </c>
      <c r="D29" s="82"/>
      <c r="E29" s="82" t="s">
        <v>119</v>
      </c>
      <c r="F29" s="98">
        <v>1</v>
      </c>
      <c r="G29" s="82"/>
      <c r="H29" s="82" t="s">
        <v>120</v>
      </c>
      <c r="I29" s="99">
        <f>'様式３　履修者等数の実績'!D30</f>
        <v>3240</v>
      </c>
      <c r="J29" s="100"/>
      <c r="K29" s="33"/>
    </row>
    <row r="30" spans="1:11" s="4" customFormat="1" ht="18.75" customHeight="1" x14ac:dyDescent="0.15">
      <c r="A30" s="1"/>
      <c r="B30" s="159" t="s">
        <v>121</v>
      </c>
      <c r="C30" s="160"/>
      <c r="D30" s="160"/>
      <c r="E30" s="160"/>
      <c r="F30" s="160"/>
      <c r="G30" s="160"/>
      <c r="H30" s="160"/>
      <c r="I30" s="160"/>
      <c r="J30" s="161"/>
      <c r="K30" s="33"/>
    </row>
    <row r="31" spans="1:11" s="4" customFormat="1" ht="18.75" customHeight="1" x14ac:dyDescent="0.15">
      <c r="A31" s="1"/>
      <c r="B31" s="264" t="s">
        <v>182</v>
      </c>
      <c r="C31" s="265"/>
      <c r="D31" s="265"/>
      <c r="E31" s="265"/>
      <c r="F31" s="265"/>
      <c r="G31" s="265"/>
      <c r="H31" s="265"/>
      <c r="I31" s="265"/>
      <c r="J31" s="266"/>
      <c r="K31" s="33" t="str">
        <f>IF(B31="","入力してください","")</f>
        <v/>
      </c>
    </row>
    <row r="32" spans="1:11" s="4" customFormat="1" ht="18.75" customHeight="1" x14ac:dyDescent="0.15">
      <c r="A32" s="1"/>
      <c r="B32" s="267"/>
      <c r="C32" s="268"/>
      <c r="D32" s="268"/>
      <c r="E32" s="268"/>
      <c r="F32" s="268"/>
      <c r="G32" s="268"/>
      <c r="H32" s="268"/>
      <c r="I32" s="268"/>
      <c r="J32" s="269"/>
      <c r="K32" s="33"/>
    </row>
    <row r="33" spans="1:11" s="4" customFormat="1" ht="18.75" customHeight="1" x14ac:dyDescent="0.15">
      <c r="A33" s="1"/>
      <c r="B33" s="267"/>
      <c r="C33" s="268"/>
      <c r="D33" s="268"/>
      <c r="E33" s="268"/>
      <c r="F33" s="268"/>
      <c r="G33" s="268"/>
      <c r="H33" s="268"/>
      <c r="I33" s="268"/>
      <c r="J33" s="269"/>
      <c r="K33" s="33"/>
    </row>
    <row r="34" spans="1:11" s="4" customFormat="1" ht="18.75" customHeight="1" x14ac:dyDescent="0.15">
      <c r="A34" s="1"/>
      <c r="B34" s="267"/>
      <c r="C34" s="268"/>
      <c r="D34" s="268"/>
      <c r="E34" s="268"/>
      <c r="F34" s="268"/>
      <c r="G34" s="268"/>
      <c r="H34" s="268"/>
      <c r="I34" s="268"/>
      <c r="J34" s="269"/>
      <c r="K34" s="33"/>
    </row>
    <row r="35" spans="1:11" s="4" customFormat="1" ht="18.75" customHeight="1" x14ac:dyDescent="0.15">
      <c r="A35" s="1"/>
      <c r="B35" s="267"/>
      <c r="C35" s="268"/>
      <c r="D35" s="268"/>
      <c r="E35" s="268"/>
      <c r="F35" s="268"/>
      <c r="G35" s="268"/>
      <c r="H35" s="268"/>
      <c r="I35" s="268"/>
      <c r="J35" s="269"/>
      <c r="K35" s="33"/>
    </row>
    <row r="36" spans="1:11" s="4" customFormat="1" ht="18.75" customHeight="1" x14ac:dyDescent="0.15">
      <c r="A36" s="1"/>
      <c r="B36" s="267"/>
      <c r="C36" s="268"/>
      <c r="D36" s="268"/>
      <c r="E36" s="268"/>
      <c r="F36" s="268"/>
      <c r="G36" s="268"/>
      <c r="H36" s="268"/>
      <c r="I36" s="268"/>
      <c r="J36" s="269"/>
      <c r="K36" s="33"/>
    </row>
    <row r="37" spans="1:11" s="4" customFormat="1" ht="18.75" customHeight="1" x14ac:dyDescent="0.15">
      <c r="A37" s="1"/>
      <c r="B37" s="267"/>
      <c r="C37" s="268"/>
      <c r="D37" s="268"/>
      <c r="E37" s="268"/>
      <c r="F37" s="268"/>
      <c r="G37" s="268"/>
      <c r="H37" s="268"/>
      <c r="I37" s="268"/>
      <c r="J37" s="269"/>
      <c r="K37" s="33"/>
    </row>
    <row r="38" spans="1:11" s="4" customFormat="1" ht="18.75" customHeight="1" x14ac:dyDescent="0.15">
      <c r="A38" s="1"/>
      <c r="B38" s="267"/>
      <c r="C38" s="268"/>
      <c r="D38" s="268"/>
      <c r="E38" s="268"/>
      <c r="F38" s="268"/>
      <c r="G38" s="268"/>
      <c r="H38" s="268"/>
      <c r="I38" s="268"/>
      <c r="J38" s="269"/>
      <c r="K38" s="33"/>
    </row>
    <row r="39" spans="1:11" s="4" customFormat="1" ht="18.75" customHeight="1" x14ac:dyDescent="0.15">
      <c r="A39" s="1"/>
      <c r="B39" s="267"/>
      <c r="C39" s="268"/>
      <c r="D39" s="268"/>
      <c r="E39" s="268"/>
      <c r="F39" s="268"/>
      <c r="G39" s="268"/>
      <c r="H39" s="268"/>
      <c r="I39" s="268"/>
      <c r="J39" s="269"/>
      <c r="K39" s="33"/>
    </row>
    <row r="40" spans="1:11" s="4" customFormat="1" ht="18.75" customHeight="1" x14ac:dyDescent="0.15">
      <c r="A40" s="1"/>
      <c r="B40" s="267"/>
      <c r="C40" s="268"/>
      <c r="D40" s="268"/>
      <c r="E40" s="268"/>
      <c r="F40" s="268"/>
      <c r="G40" s="268"/>
      <c r="H40" s="268"/>
      <c r="I40" s="268"/>
      <c r="J40" s="269"/>
      <c r="K40" s="33"/>
    </row>
    <row r="41" spans="1:11" s="4" customFormat="1" ht="18.75" customHeight="1" x14ac:dyDescent="0.15">
      <c r="A41" s="1"/>
      <c r="B41" s="267"/>
      <c r="C41" s="268"/>
      <c r="D41" s="268"/>
      <c r="E41" s="268"/>
      <c r="F41" s="268"/>
      <c r="G41" s="268"/>
      <c r="H41" s="268"/>
      <c r="I41" s="268"/>
      <c r="J41" s="269"/>
      <c r="K41" s="33"/>
    </row>
    <row r="42" spans="1:11" s="4" customFormat="1" ht="18.75" customHeight="1" x14ac:dyDescent="0.15">
      <c r="A42" s="1"/>
      <c r="B42" s="267"/>
      <c r="C42" s="268"/>
      <c r="D42" s="268"/>
      <c r="E42" s="268"/>
      <c r="F42" s="268"/>
      <c r="G42" s="268"/>
      <c r="H42" s="268"/>
      <c r="I42" s="268"/>
      <c r="J42" s="269"/>
      <c r="K42" s="33"/>
    </row>
    <row r="43" spans="1:11" ht="18.75" customHeight="1" x14ac:dyDescent="0.15">
      <c r="A43" s="37"/>
      <c r="B43" s="267"/>
      <c r="C43" s="268"/>
      <c r="D43" s="268"/>
      <c r="E43" s="268"/>
      <c r="F43" s="268"/>
      <c r="G43" s="268"/>
      <c r="H43" s="268"/>
      <c r="I43" s="268"/>
      <c r="J43" s="269"/>
      <c r="K43" s="33"/>
    </row>
    <row r="44" spans="1:11" ht="32.25" customHeight="1" x14ac:dyDescent="0.15">
      <c r="A44" s="37"/>
      <c r="B44" s="270"/>
      <c r="C44" s="271"/>
      <c r="D44" s="271"/>
      <c r="E44" s="271"/>
      <c r="F44" s="271"/>
      <c r="G44" s="271"/>
      <c r="H44" s="271"/>
      <c r="I44" s="271"/>
      <c r="J44" s="272"/>
    </row>
    <row r="45" spans="1:11" s="4" customFormat="1" ht="18.75" customHeight="1" x14ac:dyDescent="0.15">
      <c r="A45" s="101" t="s">
        <v>11</v>
      </c>
      <c r="B45" s="1" t="s">
        <v>65</v>
      </c>
      <c r="C45" s="1"/>
      <c r="D45" s="1"/>
      <c r="E45" s="1"/>
      <c r="F45" s="1"/>
      <c r="G45" s="1"/>
      <c r="H45" s="1"/>
      <c r="I45" s="101"/>
      <c r="J45" s="101"/>
      <c r="K45" s="31"/>
    </row>
    <row r="46" spans="1:11" ht="18.75" customHeight="1" x14ac:dyDescent="0.15">
      <c r="A46" s="37"/>
      <c r="B46" s="284" t="s">
        <v>183</v>
      </c>
      <c r="C46" s="285"/>
      <c r="D46" s="285"/>
      <c r="E46" s="285"/>
      <c r="F46" s="285"/>
      <c r="G46" s="285"/>
      <c r="H46" s="285"/>
      <c r="I46" s="285"/>
      <c r="J46" s="286"/>
      <c r="K46" s="31" t="str">
        <f>IF(B46="","入力してください","")</f>
        <v/>
      </c>
    </row>
    <row r="47" spans="1:11" ht="18.75" customHeight="1" x14ac:dyDescent="0.15">
      <c r="A47" s="37"/>
      <c r="B47" s="287"/>
      <c r="C47" s="288"/>
      <c r="D47" s="288"/>
      <c r="E47" s="288"/>
      <c r="F47" s="288"/>
      <c r="G47" s="288"/>
      <c r="H47" s="288"/>
      <c r="I47" s="288"/>
      <c r="J47" s="289"/>
    </row>
    <row r="48" spans="1:11" ht="18.75" customHeight="1" x14ac:dyDescent="0.15">
      <c r="A48" s="37"/>
      <c r="B48" s="287"/>
      <c r="C48" s="288"/>
      <c r="D48" s="288"/>
      <c r="E48" s="288"/>
      <c r="F48" s="288"/>
      <c r="G48" s="288"/>
      <c r="H48" s="288"/>
      <c r="I48" s="288"/>
      <c r="J48" s="289"/>
    </row>
    <row r="49" spans="1:10" ht="18.75" customHeight="1" x14ac:dyDescent="0.15">
      <c r="A49" s="37"/>
      <c r="B49" s="287"/>
      <c r="C49" s="288"/>
      <c r="D49" s="288"/>
      <c r="E49" s="288"/>
      <c r="F49" s="288"/>
      <c r="G49" s="288"/>
      <c r="H49" s="288"/>
      <c r="I49" s="288"/>
      <c r="J49" s="289"/>
    </row>
    <row r="50" spans="1:10" ht="18.75" customHeight="1" x14ac:dyDescent="0.15">
      <c r="A50" s="37"/>
      <c r="B50" s="287"/>
      <c r="C50" s="288"/>
      <c r="D50" s="288"/>
      <c r="E50" s="288"/>
      <c r="F50" s="288"/>
      <c r="G50" s="288"/>
      <c r="H50" s="288"/>
      <c r="I50" s="288"/>
      <c r="J50" s="289"/>
    </row>
    <row r="51" spans="1:10" ht="18.75" customHeight="1" x14ac:dyDescent="0.15">
      <c r="A51" s="37"/>
      <c r="B51" s="287"/>
      <c r="C51" s="288"/>
      <c r="D51" s="288"/>
      <c r="E51" s="288"/>
      <c r="F51" s="288"/>
      <c r="G51" s="288"/>
      <c r="H51" s="288"/>
      <c r="I51" s="288"/>
      <c r="J51" s="289"/>
    </row>
    <row r="52" spans="1:10" ht="18.75" customHeight="1" x14ac:dyDescent="0.15">
      <c r="A52" s="37"/>
      <c r="B52" s="287"/>
      <c r="C52" s="288"/>
      <c r="D52" s="288"/>
      <c r="E52" s="288"/>
      <c r="F52" s="288"/>
      <c r="G52" s="288"/>
      <c r="H52" s="288"/>
      <c r="I52" s="288"/>
      <c r="J52" s="289"/>
    </row>
    <row r="53" spans="1:10" ht="18.75" customHeight="1" x14ac:dyDescent="0.15">
      <c r="A53" s="37"/>
      <c r="B53" s="287"/>
      <c r="C53" s="288"/>
      <c r="D53" s="288"/>
      <c r="E53" s="288"/>
      <c r="F53" s="288"/>
      <c r="G53" s="288"/>
      <c r="H53" s="288"/>
      <c r="I53" s="288"/>
      <c r="J53" s="289"/>
    </row>
    <row r="54" spans="1:10" ht="18.75" customHeight="1" x14ac:dyDescent="0.15">
      <c r="A54" s="37"/>
      <c r="B54" s="287"/>
      <c r="C54" s="288"/>
      <c r="D54" s="288"/>
      <c r="E54" s="288"/>
      <c r="F54" s="288"/>
      <c r="G54" s="288"/>
      <c r="H54" s="288"/>
      <c r="I54" s="288"/>
      <c r="J54" s="289"/>
    </row>
    <row r="55" spans="1:10" ht="18.75" customHeight="1" x14ac:dyDescent="0.15">
      <c r="A55" s="37"/>
      <c r="B55" s="287"/>
      <c r="C55" s="288"/>
      <c r="D55" s="288"/>
      <c r="E55" s="288"/>
      <c r="F55" s="288"/>
      <c r="G55" s="288"/>
      <c r="H55" s="288"/>
      <c r="I55" s="288"/>
      <c r="J55" s="289"/>
    </row>
    <row r="56" spans="1:10" ht="18.75" customHeight="1" x14ac:dyDescent="0.15">
      <c r="A56" s="37"/>
      <c r="B56" s="287"/>
      <c r="C56" s="288"/>
      <c r="D56" s="288"/>
      <c r="E56" s="288"/>
      <c r="F56" s="288"/>
      <c r="G56" s="288"/>
      <c r="H56" s="288"/>
      <c r="I56" s="288"/>
      <c r="J56" s="289"/>
    </row>
    <row r="57" spans="1:10" ht="18.75" customHeight="1" x14ac:dyDescent="0.15">
      <c r="A57" s="37"/>
      <c r="B57" s="287"/>
      <c r="C57" s="288"/>
      <c r="D57" s="288"/>
      <c r="E57" s="288"/>
      <c r="F57" s="288"/>
      <c r="G57" s="288"/>
      <c r="H57" s="288"/>
      <c r="I57" s="288"/>
      <c r="J57" s="289"/>
    </row>
    <row r="58" spans="1:10" ht="18.75" customHeight="1" x14ac:dyDescent="0.15">
      <c r="A58" s="37"/>
      <c r="B58" s="287"/>
      <c r="C58" s="288"/>
      <c r="D58" s="288"/>
      <c r="E58" s="288"/>
      <c r="F58" s="288"/>
      <c r="G58" s="288"/>
      <c r="H58" s="288"/>
      <c r="I58" s="288"/>
      <c r="J58" s="289"/>
    </row>
    <row r="59" spans="1:10" ht="18.75" customHeight="1" x14ac:dyDescent="0.15">
      <c r="A59" s="37"/>
      <c r="B59" s="287"/>
      <c r="C59" s="288"/>
      <c r="D59" s="288"/>
      <c r="E59" s="288"/>
      <c r="F59" s="288"/>
      <c r="G59" s="288"/>
      <c r="H59" s="288"/>
      <c r="I59" s="288"/>
      <c r="J59" s="289"/>
    </row>
    <row r="60" spans="1:10" ht="18.75" customHeight="1" x14ac:dyDescent="0.15">
      <c r="A60" s="37"/>
      <c r="B60" s="287"/>
      <c r="C60" s="288"/>
      <c r="D60" s="288"/>
      <c r="E60" s="288"/>
      <c r="F60" s="288"/>
      <c r="G60" s="288"/>
      <c r="H60" s="288"/>
      <c r="I60" s="288"/>
      <c r="J60" s="289"/>
    </row>
    <row r="61" spans="1:10" ht="18.75" customHeight="1" x14ac:dyDescent="0.15">
      <c r="A61" s="37"/>
      <c r="B61" s="287"/>
      <c r="C61" s="288"/>
      <c r="D61" s="288"/>
      <c r="E61" s="288"/>
      <c r="F61" s="288"/>
      <c r="G61" s="288"/>
      <c r="H61" s="288"/>
      <c r="I61" s="288"/>
      <c r="J61" s="289"/>
    </row>
    <row r="62" spans="1:10" ht="18.75" customHeight="1" x14ac:dyDescent="0.15">
      <c r="A62" s="37"/>
      <c r="B62" s="287"/>
      <c r="C62" s="288"/>
      <c r="D62" s="288"/>
      <c r="E62" s="288"/>
      <c r="F62" s="288"/>
      <c r="G62" s="288"/>
      <c r="H62" s="288"/>
      <c r="I62" s="288"/>
      <c r="J62" s="289"/>
    </row>
    <row r="63" spans="1:10" ht="18.75" customHeight="1" x14ac:dyDescent="0.15">
      <c r="A63" s="37"/>
      <c r="B63" s="287"/>
      <c r="C63" s="288"/>
      <c r="D63" s="288"/>
      <c r="E63" s="288"/>
      <c r="F63" s="288"/>
      <c r="G63" s="288"/>
      <c r="H63" s="288"/>
      <c r="I63" s="288"/>
      <c r="J63" s="289"/>
    </row>
    <row r="64" spans="1:10" ht="18.75" customHeight="1" x14ac:dyDescent="0.15">
      <c r="A64" s="37"/>
      <c r="B64" s="287"/>
      <c r="C64" s="288"/>
      <c r="D64" s="288"/>
      <c r="E64" s="288"/>
      <c r="F64" s="288"/>
      <c r="G64" s="288"/>
      <c r="H64" s="288"/>
      <c r="I64" s="288"/>
      <c r="J64" s="289"/>
    </row>
    <row r="65" spans="1:11" ht="18.75" customHeight="1" x14ac:dyDescent="0.15">
      <c r="A65" s="37"/>
      <c r="B65" s="287"/>
      <c r="C65" s="288"/>
      <c r="D65" s="288"/>
      <c r="E65" s="288"/>
      <c r="F65" s="288"/>
      <c r="G65" s="288"/>
      <c r="H65" s="288"/>
      <c r="I65" s="288"/>
      <c r="J65" s="289"/>
    </row>
    <row r="66" spans="1:11" ht="18.75" customHeight="1" x14ac:dyDescent="0.15">
      <c r="A66" s="37"/>
      <c r="B66" s="290"/>
      <c r="C66" s="291"/>
      <c r="D66" s="291"/>
      <c r="E66" s="291"/>
      <c r="F66" s="291"/>
      <c r="G66" s="291"/>
      <c r="H66" s="291"/>
      <c r="I66" s="291"/>
      <c r="J66" s="292"/>
    </row>
    <row r="67" spans="1:11" ht="7.5" customHeight="1" x14ac:dyDescent="0.15">
      <c r="A67" s="37"/>
      <c r="B67" s="37"/>
      <c r="C67" s="37"/>
      <c r="D67" s="37"/>
      <c r="E67" s="37"/>
      <c r="F67" s="37"/>
      <c r="G67" s="37"/>
      <c r="H67" s="37"/>
      <c r="I67" s="37"/>
      <c r="J67" s="37"/>
    </row>
    <row r="68" spans="1:11" s="4" customFormat="1" ht="18.75" customHeight="1" x14ac:dyDescent="0.15">
      <c r="A68" s="1" t="s">
        <v>14</v>
      </c>
      <c r="B68" s="1" t="s">
        <v>71</v>
      </c>
      <c r="C68" s="1"/>
      <c r="D68" s="1"/>
      <c r="E68" s="1"/>
      <c r="F68" s="1"/>
      <c r="G68" s="1"/>
      <c r="H68" s="1"/>
      <c r="I68" s="1"/>
      <c r="J68" s="1"/>
      <c r="K68" s="31"/>
    </row>
    <row r="69" spans="1:11" s="4" customFormat="1" ht="18.75" customHeight="1" x14ac:dyDescent="0.15">
      <c r="A69" s="1"/>
      <c r="B69" s="284" t="s">
        <v>184</v>
      </c>
      <c r="C69" s="285"/>
      <c r="D69" s="285"/>
      <c r="E69" s="285"/>
      <c r="F69" s="285"/>
      <c r="G69" s="285"/>
      <c r="H69" s="285"/>
      <c r="I69" s="293"/>
      <c r="J69" s="294"/>
      <c r="K69" s="33" t="str">
        <f>IF(B69="","入力してください","")</f>
        <v/>
      </c>
    </row>
    <row r="70" spans="1:11" s="4" customFormat="1" ht="18.75" customHeight="1" x14ac:dyDescent="0.15">
      <c r="A70" s="1"/>
      <c r="B70" s="267"/>
      <c r="C70" s="268"/>
      <c r="D70" s="268"/>
      <c r="E70" s="268"/>
      <c r="F70" s="268"/>
      <c r="G70" s="268"/>
      <c r="H70" s="268"/>
      <c r="I70" s="268"/>
      <c r="J70" s="269"/>
      <c r="K70" s="33"/>
    </row>
    <row r="71" spans="1:11" s="4" customFormat="1" ht="18.75" customHeight="1" x14ac:dyDescent="0.15">
      <c r="A71" s="1"/>
      <c r="B71" s="267"/>
      <c r="C71" s="268"/>
      <c r="D71" s="268"/>
      <c r="E71" s="268"/>
      <c r="F71" s="268"/>
      <c r="G71" s="268"/>
      <c r="H71" s="268"/>
      <c r="I71" s="268"/>
      <c r="J71" s="269"/>
      <c r="K71" s="33"/>
    </row>
    <row r="72" spans="1:11" s="4" customFormat="1" ht="18.75" customHeight="1" x14ac:dyDescent="0.15">
      <c r="A72" s="1"/>
      <c r="B72" s="267"/>
      <c r="C72" s="268"/>
      <c r="D72" s="268"/>
      <c r="E72" s="268"/>
      <c r="F72" s="268"/>
      <c r="G72" s="268"/>
      <c r="H72" s="268"/>
      <c r="I72" s="268"/>
      <c r="J72" s="269"/>
      <c r="K72" s="33"/>
    </row>
    <row r="73" spans="1:11" s="4" customFormat="1" ht="18.75" customHeight="1" x14ac:dyDescent="0.15">
      <c r="A73" s="1"/>
      <c r="B73" s="267"/>
      <c r="C73" s="268"/>
      <c r="D73" s="268"/>
      <c r="E73" s="268"/>
      <c r="F73" s="268"/>
      <c r="G73" s="268"/>
      <c r="H73" s="268"/>
      <c r="I73" s="268"/>
      <c r="J73" s="269"/>
      <c r="K73" s="33"/>
    </row>
    <row r="74" spans="1:11" s="4" customFormat="1" ht="18.75" customHeight="1" x14ac:dyDescent="0.15">
      <c r="A74" s="1"/>
      <c r="B74" s="267"/>
      <c r="C74" s="268"/>
      <c r="D74" s="268"/>
      <c r="E74" s="268"/>
      <c r="F74" s="268"/>
      <c r="G74" s="268"/>
      <c r="H74" s="268"/>
      <c r="I74" s="268"/>
      <c r="J74" s="269"/>
      <c r="K74" s="33"/>
    </row>
    <row r="75" spans="1:11" s="4" customFormat="1" ht="18.75" customHeight="1" x14ac:dyDescent="0.15">
      <c r="A75" s="1"/>
      <c r="B75" s="267"/>
      <c r="C75" s="268"/>
      <c r="D75" s="268"/>
      <c r="E75" s="268"/>
      <c r="F75" s="268"/>
      <c r="G75" s="268"/>
      <c r="H75" s="268"/>
      <c r="I75" s="268"/>
      <c r="J75" s="269"/>
      <c r="K75" s="33"/>
    </row>
    <row r="76" spans="1:11" s="4" customFormat="1" ht="18.75" customHeight="1" x14ac:dyDescent="0.15">
      <c r="A76" s="1"/>
      <c r="B76" s="267"/>
      <c r="C76" s="268"/>
      <c r="D76" s="268"/>
      <c r="E76" s="268"/>
      <c r="F76" s="268"/>
      <c r="G76" s="268"/>
      <c r="H76" s="268"/>
      <c r="I76" s="268"/>
      <c r="J76" s="269"/>
      <c r="K76" s="33"/>
    </row>
    <row r="77" spans="1:11" s="4" customFormat="1" ht="18.75" customHeight="1" x14ac:dyDescent="0.15">
      <c r="A77" s="1"/>
      <c r="B77" s="267"/>
      <c r="C77" s="268"/>
      <c r="D77" s="268"/>
      <c r="E77" s="268"/>
      <c r="F77" s="268"/>
      <c r="G77" s="268"/>
      <c r="H77" s="268"/>
      <c r="I77" s="268"/>
      <c r="J77" s="269"/>
      <c r="K77" s="33"/>
    </row>
    <row r="78" spans="1:11" s="4" customFormat="1" ht="18.75" customHeight="1" x14ac:dyDescent="0.15">
      <c r="A78" s="1"/>
      <c r="B78" s="267"/>
      <c r="C78" s="268"/>
      <c r="D78" s="268"/>
      <c r="E78" s="268"/>
      <c r="F78" s="268"/>
      <c r="G78" s="268"/>
      <c r="H78" s="268"/>
      <c r="I78" s="268"/>
      <c r="J78" s="269"/>
      <c r="K78" s="33"/>
    </row>
    <row r="79" spans="1:11" s="4" customFormat="1" ht="18.75" customHeight="1" x14ac:dyDescent="0.15">
      <c r="A79" s="1"/>
      <c r="B79" s="267"/>
      <c r="C79" s="268"/>
      <c r="D79" s="268"/>
      <c r="E79" s="268"/>
      <c r="F79" s="268"/>
      <c r="G79" s="268"/>
      <c r="H79" s="268"/>
      <c r="I79" s="268"/>
      <c r="J79" s="269"/>
      <c r="K79" s="33"/>
    </row>
    <row r="80" spans="1:11" s="4" customFormat="1" ht="18.75" customHeight="1" x14ac:dyDescent="0.15">
      <c r="A80" s="1"/>
      <c r="B80" s="267"/>
      <c r="C80" s="268"/>
      <c r="D80" s="268"/>
      <c r="E80" s="268"/>
      <c r="F80" s="268"/>
      <c r="G80" s="268"/>
      <c r="H80" s="268"/>
      <c r="I80" s="268"/>
      <c r="J80" s="269"/>
      <c r="K80" s="33"/>
    </row>
    <row r="81" spans="1:11" s="4" customFormat="1" ht="18.75" customHeight="1" x14ac:dyDescent="0.15">
      <c r="A81" s="1"/>
      <c r="B81" s="267"/>
      <c r="C81" s="268"/>
      <c r="D81" s="268"/>
      <c r="E81" s="268"/>
      <c r="F81" s="268"/>
      <c r="G81" s="268"/>
      <c r="H81" s="268"/>
      <c r="I81" s="268"/>
      <c r="J81" s="269"/>
      <c r="K81" s="33"/>
    </row>
    <row r="82" spans="1:11" s="4" customFormat="1" ht="18.75" customHeight="1" x14ac:dyDescent="0.15">
      <c r="A82" s="1"/>
      <c r="B82" s="267"/>
      <c r="C82" s="268"/>
      <c r="D82" s="268"/>
      <c r="E82" s="268"/>
      <c r="F82" s="268"/>
      <c r="G82" s="268"/>
      <c r="H82" s="268"/>
      <c r="I82" s="268"/>
      <c r="J82" s="269"/>
      <c r="K82" s="33"/>
    </row>
    <row r="83" spans="1:11" s="4" customFormat="1" ht="18.75" customHeight="1" x14ac:dyDescent="0.15">
      <c r="A83" s="1"/>
      <c r="B83" s="267"/>
      <c r="C83" s="268"/>
      <c r="D83" s="268"/>
      <c r="E83" s="268"/>
      <c r="F83" s="268"/>
      <c r="G83" s="268"/>
      <c r="H83" s="268"/>
      <c r="I83" s="268"/>
      <c r="J83" s="269"/>
      <c r="K83" s="33"/>
    </row>
    <row r="84" spans="1:11" s="4" customFormat="1" ht="18.75" customHeight="1" x14ac:dyDescent="0.15">
      <c r="A84" s="1"/>
      <c r="B84" s="267"/>
      <c r="C84" s="268"/>
      <c r="D84" s="268"/>
      <c r="E84" s="268"/>
      <c r="F84" s="268"/>
      <c r="G84" s="268"/>
      <c r="H84" s="268"/>
      <c r="I84" s="268"/>
      <c r="J84" s="269"/>
      <c r="K84" s="33"/>
    </row>
    <row r="85" spans="1:11" ht="18.75" customHeight="1" x14ac:dyDescent="0.15">
      <c r="A85" s="37"/>
      <c r="B85" s="267"/>
      <c r="C85" s="268"/>
      <c r="D85" s="268"/>
      <c r="E85" s="268"/>
      <c r="F85" s="268"/>
      <c r="G85" s="268"/>
      <c r="H85" s="268"/>
      <c r="I85" s="268"/>
      <c r="J85" s="269"/>
      <c r="K85" s="33"/>
    </row>
    <row r="86" spans="1:11" ht="18.75" customHeight="1" x14ac:dyDescent="0.15">
      <c r="A86" s="37"/>
      <c r="B86" s="270"/>
      <c r="C86" s="271"/>
      <c r="D86" s="271"/>
      <c r="E86" s="271"/>
      <c r="F86" s="271"/>
      <c r="G86" s="271"/>
      <c r="H86" s="271"/>
      <c r="I86" s="271"/>
      <c r="J86" s="272"/>
      <c r="K86" s="33"/>
    </row>
    <row r="87" spans="1:11" ht="7.5" customHeight="1" x14ac:dyDescent="0.15">
      <c r="A87" s="37"/>
      <c r="B87" s="37"/>
      <c r="C87" s="37"/>
      <c r="D87" s="37"/>
      <c r="E87" s="37"/>
      <c r="F87" s="37"/>
      <c r="G87" s="37"/>
      <c r="H87" s="37"/>
      <c r="I87" s="37"/>
      <c r="J87" s="37"/>
    </row>
    <row r="88" spans="1:11" s="4" customFormat="1" ht="18.75" customHeight="1" x14ac:dyDescent="0.15">
      <c r="A88" s="1" t="s">
        <v>12</v>
      </c>
      <c r="B88" s="1" t="s">
        <v>27</v>
      </c>
      <c r="C88" s="1"/>
      <c r="D88" s="1"/>
      <c r="E88" s="1"/>
      <c r="F88" s="1"/>
      <c r="G88" s="1"/>
      <c r="H88" s="1"/>
      <c r="I88" s="1"/>
      <c r="J88" s="1"/>
      <c r="K88" s="31"/>
    </row>
    <row r="89" spans="1:11" s="4" customFormat="1" ht="18.75" customHeight="1" x14ac:dyDescent="0.15">
      <c r="A89" s="1"/>
      <c r="B89" s="284" t="s">
        <v>185</v>
      </c>
      <c r="C89" s="285"/>
      <c r="D89" s="285"/>
      <c r="E89" s="285"/>
      <c r="F89" s="285"/>
      <c r="G89" s="285"/>
      <c r="H89" s="285"/>
      <c r="I89" s="293"/>
      <c r="J89" s="294"/>
      <c r="K89" s="31"/>
    </row>
    <row r="90" spans="1:11" s="4" customFormat="1" ht="18.75" customHeight="1" x14ac:dyDescent="0.15">
      <c r="A90" s="1"/>
      <c r="B90" s="267"/>
      <c r="C90" s="268"/>
      <c r="D90" s="268"/>
      <c r="E90" s="268"/>
      <c r="F90" s="268"/>
      <c r="G90" s="268"/>
      <c r="H90" s="268"/>
      <c r="I90" s="268"/>
      <c r="J90" s="269"/>
      <c r="K90" s="33"/>
    </row>
    <row r="91" spans="1:11" s="4" customFormat="1" ht="18.75" customHeight="1" x14ac:dyDescent="0.15">
      <c r="A91" s="1"/>
      <c r="B91" s="267"/>
      <c r="C91" s="268"/>
      <c r="D91" s="268"/>
      <c r="E91" s="268"/>
      <c r="F91" s="268"/>
      <c r="G91" s="268"/>
      <c r="H91" s="268"/>
      <c r="I91" s="268"/>
      <c r="J91" s="269"/>
      <c r="K91" s="33" t="str">
        <f>IF(B89="","入力してください","")</f>
        <v/>
      </c>
    </row>
    <row r="92" spans="1:11" s="4" customFormat="1" ht="18.75" customHeight="1" x14ac:dyDescent="0.15">
      <c r="A92" s="1"/>
      <c r="B92" s="267"/>
      <c r="C92" s="268"/>
      <c r="D92" s="268"/>
      <c r="E92" s="268"/>
      <c r="F92" s="268"/>
      <c r="G92" s="268"/>
      <c r="H92" s="268"/>
      <c r="I92" s="268"/>
      <c r="J92" s="269"/>
      <c r="K92" s="33"/>
    </row>
    <row r="93" spans="1:11" s="4" customFormat="1" ht="18.75" customHeight="1" x14ac:dyDescent="0.15">
      <c r="A93" s="1"/>
      <c r="B93" s="267"/>
      <c r="C93" s="268"/>
      <c r="D93" s="268"/>
      <c r="E93" s="268"/>
      <c r="F93" s="268"/>
      <c r="G93" s="268"/>
      <c r="H93" s="268"/>
      <c r="I93" s="268"/>
      <c r="J93" s="269"/>
      <c r="K93" s="33"/>
    </row>
    <row r="94" spans="1:11" s="4" customFormat="1" ht="18.75" customHeight="1" x14ac:dyDescent="0.15">
      <c r="A94" s="1"/>
      <c r="B94" s="267"/>
      <c r="C94" s="268"/>
      <c r="D94" s="268"/>
      <c r="E94" s="268"/>
      <c r="F94" s="268"/>
      <c r="G94" s="268"/>
      <c r="H94" s="268"/>
      <c r="I94" s="268"/>
      <c r="J94" s="269"/>
      <c r="K94" s="33"/>
    </row>
    <row r="95" spans="1:11" s="4" customFormat="1" ht="18.75" customHeight="1" x14ac:dyDescent="0.15">
      <c r="A95" s="1"/>
      <c r="B95" s="267"/>
      <c r="C95" s="268"/>
      <c r="D95" s="268"/>
      <c r="E95" s="268"/>
      <c r="F95" s="268"/>
      <c r="G95" s="268"/>
      <c r="H95" s="268"/>
      <c r="I95" s="268"/>
      <c r="J95" s="269"/>
      <c r="K95" s="33"/>
    </row>
    <row r="96" spans="1:11" s="4" customFormat="1" ht="18.75" customHeight="1" x14ac:dyDescent="0.15">
      <c r="A96" s="1"/>
      <c r="B96" s="267"/>
      <c r="C96" s="268"/>
      <c r="D96" s="268"/>
      <c r="E96" s="268"/>
      <c r="F96" s="268"/>
      <c r="G96" s="268"/>
      <c r="H96" s="268"/>
      <c r="I96" s="268"/>
      <c r="J96" s="269"/>
      <c r="K96" s="33"/>
    </row>
    <row r="97" spans="1:11" s="4" customFormat="1" ht="18.75" customHeight="1" x14ac:dyDescent="0.15">
      <c r="A97" s="1"/>
      <c r="B97" s="267"/>
      <c r="C97" s="268"/>
      <c r="D97" s="268"/>
      <c r="E97" s="268"/>
      <c r="F97" s="268"/>
      <c r="G97" s="268"/>
      <c r="H97" s="268"/>
      <c r="I97" s="268"/>
      <c r="J97" s="269"/>
      <c r="K97" s="33"/>
    </row>
    <row r="98" spans="1:11" s="4" customFormat="1" ht="18.75" customHeight="1" x14ac:dyDescent="0.15">
      <c r="A98" s="1"/>
      <c r="B98" s="267"/>
      <c r="C98" s="268"/>
      <c r="D98" s="268"/>
      <c r="E98" s="268"/>
      <c r="F98" s="268"/>
      <c r="G98" s="268"/>
      <c r="H98" s="268"/>
      <c r="I98" s="268"/>
      <c r="J98" s="269"/>
      <c r="K98" s="33"/>
    </row>
    <row r="99" spans="1:11" s="4" customFormat="1" ht="18.75" customHeight="1" x14ac:dyDescent="0.15">
      <c r="A99" s="1"/>
      <c r="B99" s="267"/>
      <c r="C99" s="268"/>
      <c r="D99" s="268"/>
      <c r="E99" s="268"/>
      <c r="F99" s="268"/>
      <c r="G99" s="268"/>
      <c r="H99" s="268"/>
      <c r="I99" s="268"/>
      <c r="J99" s="269"/>
      <c r="K99" s="33"/>
    </row>
    <row r="100" spans="1:11" s="4" customFormat="1" ht="18.75" customHeight="1" x14ac:dyDescent="0.15">
      <c r="A100" s="1"/>
      <c r="B100" s="267"/>
      <c r="C100" s="268"/>
      <c r="D100" s="268"/>
      <c r="E100" s="268"/>
      <c r="F100" s="268"/>
      <c r="G100" s="268"/>
      <c r="H100" s="268"/>
      <c r="I100" s="268"/>
      <c r="J100" s="269"/>
      <c r="K100" s="33"/>
    </row>
    <row r="101" spans="1:11" s="4" customFormat="1" ht="18.75" customHeight="1" x14ac:dyDescent="0.15">
      <c r="A101" s="1"/>
      <c r="B101" s="267"/>
      <c r="C101" s="268"/>
      <c r="D101" s="268"/>
      <c r="E101" s="268"/>
      <c r="F101" s="268"/>
      <c r="G101" s="268"/>
      <c r="H101" s="268"/>
      <c r="I101" s="268"/>
      <c r="J101" s="269"/>
      <c r="K101" s="33"/>
    </row>
    <row r="102" spans="1:11" s="4" customFormat="1" ht="18.75" customHeight="1" x14ac:dyDescent="0.15">
      <c r="A102" s="1"/>
      <c r="B102" s="267"/>
      <c r="C102" s="268"/>
      <c r="D102" s="268"/>
      <c r="E102" s="268"/>
      <c r="F102" s="268"/>
      <c r="G102" s="268"/>
      <c r="H102" s="268"/>
      <c r="I102" s="268"/>
      <c r="J102" s="269"/>
      <c r="K102" s="33"/>
    </row>
    <row r="103" spans="1:11" s="4" customFormat="1" ht="18.75" customHeight="1" x14ac:dyDescent="0.15">
      <c r="A103" s="1"/>
      <c r="B103" s="267"/>
      <c r="C103" s="268"/>
      <c r="D103" s="268"/>
      <c r="E103" s="268"/>
      <c r="F103" s="268"/>
      <c r="G103" s="268"/>
      <c r="H103" s="268"/>
      <c r="I103" s="268"/>
      <c r="J103" s="269"/>
      <c r="K103" s="33"/>
    </row>
    <row r="104" spans="1:11" s="4" customFormat="1" ht="18.75" customHeight="1" x14ac:dyDescent="0.15">
      <c r="A104" s="1"/>
      <c r="B104" s="267"/>
      <c r="C104" s="268"/>
      <c r="D104" s="268"/>
      <c r="E104" s="268"/>
      <c r="F104" s="268"/>
      <c r="G104" s="268"/>
      <c r="H104" s="268"/>
      <c r="I104" s="268"/>
      <c r="J104" s="269"/>
      <c r="K104" s="33"/>
    </row>
    <row r="105" spans="1:11" s="4" customFormat="1" ht="18.75" customHeight="1" x14ac:dyDescent="0.15">
      <c r="A105" s="1"/>
      <c r="B105" s="267"/>
      <c r="C105" s="268"/>
      <c r="D105" s="268"/>
      <c r="E105" s="268"/>
      <c r="F105" s="268"/>
      <c r="G105" s="268"/>
      <c r="H105" s="268"/>
      <c r="I105" s="268"/>
      <c r="J105" s="269"/>
      <c r="K105" s="33"/>
    </row>
    <row r="106" spans="1:11" s="4" customFormat="1" ht="18.75" customHeight="1" x14ac:dyDescent="0.15">
      <c r="A106" s="1"/>
      <c r="B106" s="267"/>
      <c r="C106" s="268"/>
      <c r="D106" s="268"/>
      <c r="E106" s="268"/>
      <c r="F106" s="268"/>
      <c r="G106" s="268"/>
      <c r="H106" s="268"/>
      <c r="I106" s="268"/>
      <c r="J106" s="269"/>
      <c r="K106" s="33"/>
    </row>
    <row r="107" spans="1:11" ht="18.75" customHeight="1" x14ac:dyDescent="0.15">
      <c r="A107" s="37"/>
      <c r="B107" s="267"/>
      <c r="C107" s="268"/>
      <c r="D107" s="268"/>
      <c r="E107" s="268"/>
      <c r="F107" s="268"/>
      <c r="G107" s="268"/>
      <c r="H107" s="268"/>
      <c r="I107" s="268"/>
      <c r="J107" s="269"/>
      <c r="K107" s="33"/>
    </row>
    <row r="108" spans="1:11" ht="18.75" customHeight="1" x14ac:dyDescent="0.15">
      <c r="A108" s="37"/>
      <c r="B108" s="270"/>
      <c r="C108" s="271"/>
      <c r="D108" s="271"/>
      <c r="E108" s="271"/>
      <c r="F108" s="271"/>
      <c r="G108" s="271"/>
      <c r="H108" s="271"/>
      <c r="I108" s="271"/>
      <c r="J108" s="272"/>
      <c r="K108" s="33"/>
    </row>
    <row r="109" spans="1:11" ht="7.5" customHeight="1" x14ac:dyDescent="0.15">
      <c r="A109" s="37"/>
      <c r="B109" s="37"/>
      <c r="C109" s="37"/>
      <c r="D109" s="37"/>
      <c r="E109" s="37"/>
      <c r="F109" s="37"/>
      <c r="G109" s="37"/>
      <c r="H109" s="37"/>
      <c r="I109" s="37"/>
      <c r="J109" s="37"/>
    </row>
    <row r="110" spans="1:11" s="4" customFormat="1" ht="18.75" customHeight="1" x14ac:dyDescent="0.15">
      <c r="A110" s="1" t="s">
        <v>53</v>
      </c>
      <c r="B110" s="295" t="s">
        <v>82</v>
      </c>
      <c r="C110" s="295"/>
      <c r="D110" s="295"/>
      <c r="E110" s="295"/>
      <c r="F110" s="295"/>
      <c r="G110" s="295"/>
      <c r="H110" s="295"/>
      <c r="I110" s="295"/>
      <c r="J110" s="295"/>
      <c r="K110" s="31"/>
    </row>
    <row r="111" spans="1:11" ht="18.75" customHeight="1" x14ac:dyDescent="0.15">
      <c r="A111" s="37"/>
      <c r="B111" s="284" t="s">
        <v>168</v>
      </c>
      <c r="C111" s="285"/>
      <c r="D111" s="285"/>
      <c r="E111" s="285"/>
      <c r="F111" s="285"/>
      <c r="G111" s="285"/>
      <c r="H111" s="285"/>
      <c r="I111" s="293"/>
      <c r="J111" s="294"/>
    </row>
    <row r="112" spans="1:11" ht="18.75" customHeight="1" x14ac:dyDescent="0.15">
      <c r="A112" s="37"/>
      <c r="B112" s="267"/>
      <c r="C112" s="268"/>
      <c r="D112" s="268"/>
      <c r="E112" s="268"/>
      <c r="F112" s="268"/>
      <c r="G112" s="268"/>
      <c r="H112" s="268"/>
      <c r="I112" s="268"/>
      <c r="J112" s="269"/>
      <c r="K112" s="33"/>
    </row>
    <row r="113" spans="1:11" ht="18.75" customHeight="1" x14ac:dyDescent="0.15">
      <c r="A113" s="37"/>
      <c r="B113" s="267"/>
      <c r="C113" s="268"/>
      <c r="D113" s="268"/>
      <c r="E113" s="268"/>
      <c r="F113" s="268"/>
      <c r="G113" s="268"/>
      <c r="H113" s="268"/>
      <c r="I113" s="268"/>
      <c r="J113" s="269"/>
      <c r="K113" s="31" t="str">
        <f>IF(B111="","入力してください","")</f>
        <v/>
      </c>
    </row>
    <row r="114" spans="1:11" ht="18.75" customHeight="1" x14ac:dyDescent="0.15">
      <c r="A114" s="37"/>
      <c r="B114" s="267"/>
      <c r="C114" s="268"/>
      <c r="D114" s="268"/>
      <c r="E114" s="268"/>
      <c r="F114" s="268"/>
      <c r="G114" s="268"/>
      <c r="H114" s="268"/>
      <c r="I114" s="268"/>
      <c r="J114" s="269"/>
    </row>
    <row r="115" spans="1:11" ht="18.75" customHeight="1" x14ac:dyDescent="0.15">
      <c r="A115" s="37"/>
      <c r="B115" s="267"/>
      <c r="C115" s="268"/>
      <c r="D115" s="268"/>
      <c r="E115" s="268"/>
      <c r="F115" s="268"/>
      <c r="G115" s="268"/>
      <c r="H115" s="268"/>
      <c r="I115" s="268"/>
      <c r="J115" s="269"/>
    </row>
    <row r="116" spans="1:11" ht="18.75" customHeight="1" x14ac:dyDescent="0.15">
      <c r="A116" s="37"/>
      <c r="B116" s="267"/>
      <c r="C116" s="268"/>
      <c r="D116" s="268"/>
      <c r="E116" s="268"/>
      <c r="F116" s="268"/>
      <c r="G116" s="268"/>
      <c r="H116" s="268"/>
      <c r="I116" s="268"/>
      <c r="J116" s="269"/>
    </row>
    <row r="117" spans="1:11" ht="18.75" customHeight="1" x14ac:dyDescent="0.15">
      <c r="A117" s="37"/>
      <c r="B117" s="267"/>
      <c r="C117" s="268"/>
      <c r="D117" s="268"/>
      <c r="E117" s="268"/>
      <c r="F117" s="268"/>
      <c r="G117" s="268"/>
      <c r="H117" s="268"/>
      <c r="I117" s="268"/>
      <c r="J117" s="269"/>
    </row>
    <row r="118" spans="1:11" ht="18.75" customHeight="1" x14ac:dyDescent="0.15">
      <c r="A118" s="37"/>
      <c r="B118" s="267"/>
      <c r="C118" s="268"/>
      <c r="D118" s="268"/>
      <c r="E118" s="268"/>
      <c r="F118" s="268"/>
      <c r="G118" s="268"/>
      <c r="H118" s="268"/>
      <c r="I118" s="268"/>
      <c r="J118" s="269"/>
    </row>
    <row r="119" spans="1:11" ht="18.75" customHeight="1" x14ac:dyDescent="0.15">
      <c r="A119" s="37"/>
      <c r="B119" s="267"/>
      <c r="C119" s="268"/>
      <c r="D119" s="268"/>
      <c r="E119" s="268"/>
      <c r="F119" s="268"/>
      <c r="G119" s="268"/>
      <c r="H119" s="268"/>
      <c r="I119" s="268"/>
      <c r="J119" s="269"/>
    </row>
    <row r="120" spans="1:11" ht="18.75" customHeight="1" x14ac:dyDescent="0.15">
      <c r="A120" s="37"/>
      <c r="B120" s="267"/>
      <c r="C120" s="268"/>
      <c r="D120" s="268"/>
      <c r="E120" s="268"/>
      <c r="F120" s="268"/>
      <c r="G120" s="268"/>
      <c r="H120" s="268"/>
      <c r="I120" s="268"/>
      <c r="J120" s="269"/>
    </row>
    <row r="121" spans="1:11" ht="18.75" customHeight="1" x14ac:dyDescent="0.15">
      <c r="A121" s="37"/>
      <c r="B121" s="267"/>
      <c r="C121" s="268"/>
      <c r="D121" s="268"/>
      <c r="E121" s="268"/>
      <c r="F121" s="268"/>
      <c r="G121" s="268"/>
      <c r="H121" s="268"/>
      <c r="I121" s="268"/>
      <c r="J121" s="269"/>
    </row>
    <row r="122" spans="1:11" ht="18.75" customHeight="1" x14ac:dyDescent="0.15">
      <c r="A122" s="37"/>
      <c r="B122" s="267"/>
      <c r="C122" s="268"/>
      <c r="D122" s="268"/>
      <c r="E122" s="268"/>
      <c r="F122" s="268"/>
      <c r="G122" s="268"/>
      <c r="H122" s="268"/>
      <c r="I122" s="268"/>
      <c r="J122" s="269"/>
    </row>
    <row r="123" spans="1:11" ht="18.75" customHeight="1" x14ac:dyDescent="0.15">
      <c r="A123" s="37"/>
      <c r="B123" s="267"/>
      <c r="C123" s="268"/>
      <c r="D123" s="268"/>
      <c r="E123" s="268"/>
      <c r="F123" s="268"/>
      <c r="G123" s="268"/>
      <c r="H123" s="268"/>
      <c r="I123" s="268"/>
      <c r="J123" s="269"/>
    </row>
    <row r="124" spans="1:11" ht="18.75" customHeight="1" x14ac:dyDescent="0.15">
      <c r="A124" s="37"/>
      <c r="B124" s="267"/>
      <c r="C124" s="268"/>
      <c r="D124" s="268"/>
      <c r="E124" s="268"/>
      <c r="F124" s="268"/>
      <c r="G124" s="268"/>
      <c r="H124" s="268"/>
      <c r="I124" s="268"/>
      <c r="J124" s="269"/>
    </row>
    <row r="125" spans="1:11" ht="18.75" customHeight="1" x14ac:dyDescent="0.15">
      <c r="A125" s="37"/>
      <c r="B125" s="267"/>
      <c r="C125" s="268"/>
      <c r="D125" s="268"/>
      <c r="E125" s="268"/>
      <c r="F125" s="268"/>
      <c r="G125" s="268"/>
      <c r="H125" s="268"/>
      <c r="I125" s="268"/>
      <c r="J125" s="269"/>
    </row>
    <row r="126" spans="1:11" ht="18.75" customHeight="1" x14ac:dyDescent="0.15">
      <c r="A126" s="37"/>
      <c r="B126" s="267"/>
      <c r="C126" s="268"/>
      <c r="D126" s="268"/>
      <c r="E126" s="268"/>
      <c r="F126" s="268"/>
      <c r="G126" s="268"/>
      <c r="H126" s="268"/>
      <c r="I126" s="268"/>
      <c r="J126" s="269"/>
    </row>
    <row r="127" spans="1:11" ht="18.75" customHeight="1" x14ac:dyDescent="0.15">
      <c r="A127" s="37"/>
      <c r="B127" s="267"/>
      <c r="C127" s="268"/>
      <c r="D127" s="268"/>
      <c r="E127" s="268"/>
      <c r="F127" s="268"/>
      <c r="G127" s="268"/>
      <c r="H127" s="268"/>
      <c r="I127" s="268"/>
      <c r="J127" s="269"/>
    </row>
    <row r="128" spans="1:11" ht="18.75" customHeight="1" x14ac:dyDescent="0.15">
      <c r="A128" s="37"/>
      <c r="B128" s="267"/>
      <c r="C128" s="268"/>
      <c r="D128" s="268"/>
      <c r="E128" s="268"/>
      <c r="F128" s="268"/>
      <c r="G128" s="268"/>
      <c r="H128" s="268"/>
      <c r="I128" s="268"/>
      <c r="J128" s="269"/>
    </row>
    <row r="129" spans="1:10" ht="18.75" customHeight="1" x14ac:dyDescent="0.15">
      <c r="A129" s="37"/>
      <c r="B129" s="270"/>
      <c r="C129" s="271"/>
      <c r="D129" s="271"/>
      <c r="E129" s="271"/>
      <c r="F129" s="271"/>
      <c r="G129" s="271"/>
      <c r="H129" s="271"/>
      <c r="I129" s="271"/>
      <c r="J129" s="272"/>
    </row>
    <row r="130" spans="1:10" ht="7.5" customHeight="1" x14ac:dyDescent="0.15">
      <c r="A130" s="37"/>
      <c r="B130" s="102"/>
      <c r="C130" s="102"/>
      <c r="D130" s="102"/>
      <c r="E130" s="102"/>
      <c r="F130" s="102"/>
      <c r="G130" s="102"/>
      <c r="H130" s="102"/>
      <c r="I130" s="102"/>
      <c r="J130" s="102"/>
    </row>
    <row r="131" spans="1:10" ht="18.75" customHeight="1" x14ac:dyDescent="0.15">
      <c r="A131" s="37"/>
      <c r="B131" s="37"/>
      <c r="C131" s="37"/>
      <c r="D131" s="37"/>
      <c r="E131" s="37"/>
      <c r="F131" s="37"/>
      <c r="G131" s="37"/>
      <c r="H131" s="37"/>
      <c r="I131" s="37"/>
      <c r="J131" s="37"/>
    </row>
    <row r="132" spans="1:10" ht="18.75" customHeight="1" x14ac:dyDescent="0.15">
      <c r="A132" s="37"/>
      <c r="B132" s="37"/>
      <c r="C132" s="37"/>
      <c r="D132" s="37"/>
      <c r="E132" s="37"/>
      <c r="F132" s="37"/>
      <c r="G132" s="37"/>
      <c r="H132" s="37"/>
      <c r="I132" s="37"/>
      <c r="J132" s="37"/>
    </row>
    <row r="133" spans="1:10" ht="18.75" customHeight="1" x14ac:dyDescent="0.15">
      <c r="A133" s="37"/>
      <c r="B133" s="37"/>
      <c r="C133" s="37"/>
      <c r="D133" s="37"/>
      <c r="E133" s="37"/>
      <c r="F133" s="37"/>
      <c r="G133" s="37"/>
      <c r="H133" s="37"/>
      <c r="I133" s="37"/>
      <c r="J133" s="37"/>
    </row>
    <row r="134" spans="1:10" ht="18.75" customHeight="1" x14ac:dyDescent="0.15">
      <c r="A134" s="37"/>
      <c r="B134" s="37"/>
      <c r="C134" s="37"/>
      <c r="D134" s="37"/>
      <c r="E134" s="37"/>
      <c r="F134" s="37"/>
      <c r="G134" s="37"/>
      <c r="H134" s="37"/>
      <c r="I134" s="37"/>
      <c r="J134" s="37"/>
    </row>
    <row r="135" spans="1:10" ht="18.75" customHeight="1" x14ac:dyDescent="0.15">
      <c r="A135" s="37"/>
      <c r="B135" s="37"/>
      <c r="C135" s="37"/>
      <c r="D135" s="37"/>
      <c r="E135" s="37"/>
      <c r="F135" s="37"/>
      <c r="G135" s="37"/>
      <c r="H135" s="37"/>
      <c r="I135" s="37"/>
      <c r="J135" s="37"/>
    </row>
    <row r="136" spans="1:10" ht="18.75" customHeight="1" x14ac:dyDescent="0.15">
      <c r="A136" s="37"/>
      <c r="B136" s="37"/>
      <c r="C136" s="37"/>
      <c r="D136" s="37"/>
      <c r="E136" s="37"/>
      <c r="F136" s="37"/>
      <c r="G136" s="37"/>
      <c r="H136" s="37"/>
      <c r="I136" s="37"/>
      <c r="J136" s="37"/>
    </row>
    <row r="137" spans="1:10" ht="18.75" customHeight="1" x14ac:dyDescent="0.15">
      <c r="A137" s="37"/>
      <c r="B137" s="37"/>
      <c r="C137" s="37"/>
      <c r="D137" s="37"/>
      <c r="E137" s="37"/>
      <c r="F137" s="37"/>
      <c r="G137" s="37"/>
      <c r="H137" s="37"/>
      <c r="I137" s="37"/>
      <c r="J137" s="37"/>
    </row>
    <row r="138" spans="1:10" ht="18.75" customHeight="1" x14ac:dyDescent="0.15">
      <c r="A138" s="37"/>
      <c r="B138" s="37"/>
      <c r="C138" s="37"/>
      <c r="D138" s="37"/>
      <c r="E138" s="37"/>
      <c r="F138" s="37"/>
      <c r="G138" s="37"/>
      <c r="H138" s="37"/>
      <c r="I138" s="37"/>
      <c r="J138" s="37"/>
    </row>
    <row r="139" spans="1:10" ht="18.75" customHeight="1" x14ac:dyDescent="0.15">
      <c r="A139" s="37"/>
      <c r="B139" s="37"/>
      <c r="C139" s="37"/>
      <c r="D139" s="37"/>
      <c r="E139" s="37"/>
      <c r="F139" s="37"/>
      <c r="G139" s="37"/>
      <c r="H139" s="37"/>
      <c r="I139" s="37"/>
      <c r="J139" s="37"/>
    </row>
    <row r="140" spans="1:10" ht="18.75" customHeight="1" x14ac:dyDescent="0.15">
      <c r="A140" s="37"/>
      <c r="B140" s="37"/>
      <c r="C140" s="37"/>
      <c r="D140" s="37"/>
      <c r="E140" s="37"/>
      <c r="F140" s="37"/>
      <c r="G140" s="37"/>
      <c r="H140" s="37"/>
      <c r="I140" s="37"/>
      <c r="J140" s="37"/>
    </row>
    <row r="141" spans="1:10" ht="18.75" customHeight="1" x14ac:dyDescent="0.15">
      <c r="A141" s="37"/>
      <c r="B141" s="37"/>
      <c r="C141" s="37"/>
      <c r="D141" s="37"/>
      <c r="E141" s="37"/>
      <c r="F141" s="37"/>
      <c r="G141" s="37"/>
      <c r="H141" s="37"/>
      <c r="I141" s="37"/>
      <c r="J141" s="37"/>
    </row>
    <row r="142" spans="1:10" ht="18.75" customHeight="1" x14ac:dyDescent="0.15">
      <c r="A142" s="37"/>
      <c r="B142" s="37"/>
      <c r="C142" s="37"/>
      <c r="D142" s="37"/>
      <c r="E142" s="37"/>
      <c r="F142" s="37"/>
      <c r="G142" s="37"/>
      <c r="H142" s="37"/>
      <c r="I142" s="37"/>
      <c r="J142" s="37"/>
    </row>
    <row r="143" spans="1:10" ht="14.25" x14ac:dyDescent="0.15">
      <c r="A143" s="37"/>
      <c r="B143" s="37"/>
      <c r="C143" s="37"/>
      <c r="D143" s="37"/>
      <c r="E143" s="37"/>
      <c r="F143" s="37"/>
      <c r="G143" s="37"/>
      <c r="H143" s="37"/>
      <c r="I143" s="37"/>
      <c r="J143" s="37"/>
    </row>
    <row r="144" spans="1:10" ht="7.5" customHeight="1" x14ac:dyDescent="0.15">
      <c r="A144" s="103"/>
      <c r="B144" s="103"/>
      <c r="C144" s="103"/>
      <c r="D144" s="103"/>
      <c r="E144" s="103"/>
      <c r="F144" s="103"/>
      <c r="G144" s="103"/>
      <c r="H144" s="103"/>
      <c r="I144" s="103"/>
      <c r="J144" s="103"/>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view="pageBreakPreview" topLeftCell="A4" zoomScaleNormal="100" zoomScaleSheetLayoutView="100" workbookViewId="0">
      <selection activeCell="J20" sqref="J20"/>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122</v>
      </c>
      <c r="J1" s="39" t="s">
        <v>73</v>
      </c>
    </row>
    <row r="2" spans="1:11" ht="18.75" customHeight="1" x14ac:dyDescent="0.15">
      <c r="A2" s="248" t="s">
        <v>42</v>
      </c>
      <c r="B2" s="248"/>
      <c r="C2" s="248"/>
      <c r="D2" s="248"/>
      <c r="E2" s="248"/>
      <c r="F2" s="248"/>
      <c r="G2" s="248"/>
      <c r="H2" s="248"/>
      <c r="I2" s="248"/>
      <c r="J2" s="248"/>
    </row>
    <row r="3" spans="1:11" ht="7.5" customHeight="1" x14ac:dyDescent="0.15">
      <c r="A3" s="40"/>
      <c r="B3" s="40"/>
      <c r="C3" s="40"/>
      <c r="D3" s="40"/>
      <c r="E3" s="40"/>
      <c r="F3" s="40"/>
      <c r="G3" s="40"/>
      <c r="H3" s="40"/>
      <c r="I3" s="40"/>
      <c r="J3" s="40"/>
    </row>
    <row r="4" spans="1:11" ht="18.75" customHeight="1" x14ac:dyDescent="0.15">
      <c r="A4" s="1" t="s">
        <v>6</v>
      </c>
      <c r="B4" s="4" t="s">
        <v>41</v>
      </c>
      <c r="C4" s="37"/>
      <c r="D4" s="37"/>
      <c r="E4" s="38"/>
      <c r="F4" s="38"/>
      <c r="G4" s="38"/>
      <c r="H4" s="38"/>
      <c r="I4" s="38"/>
      <c r="J4" s="38"/>
    </row>
    <row r="5" spans="1:11" ht="18.75" customHeight="1" x14ac:dyDescent="0.15">
      <c r="B5" s="301" t="s">
        <v>38</v>
      </c>
      <c r="C5" s="302"/>
      <c r="D5" s="303"/>
      <c r="E5" s="304" t="s">
        <v>40</v>
      </c>
      <c r="F5" s="304"/>
      <c r="G5" s="304"/>
      <c r="H5" s="304"/>
      <c r="I5" s="304"/>
      <c r="J5" s="305"/>
    </row>
    <row r="6" spans="1:11" ht="18.75" customHeight="1" x14ac:dyDescent="0.15">
      <c r="B6" s="3" t="s">
        <v>28</v>
      </c>
      <c r="C6" s="37"/>
      <c r="D6" s="7"/>
      <c r="I6" s="38"/>
      <c r="J6" s="5"/>
    </row>
    <row r="7" spans="1:11" ht="207" customHeight="1" x14ac:dyDescent="0.15">
      <c r="B7" s="6"/>
      <c r="C7" s="306" t="s">
        <v>29</v>
      </c>
      <c r="D7" s="307"/>
      <c r="E7" s="298" t="s">
        <v>186</v>
      </c>
      <c r="F7" s="299"/>
      <c r="G7" s="299"/>
      <c r="H7" s="299"/>
      <c r="I7" s="299"/>
      <c r="J7" s="300"/>
      <c r="K7" s="31" t="str">
        <f>IF(E7="","入力してください","")</f>
        <v/>
      </c>
    </row>
    <row r="8" spans="1:11" ht="207" customHeight="1" x14ac:dyDescent="0.15">
      <c r="B8" s="6"/>
      <c r="C8" s="296" t="s">
        <v>30</v>
      </c>
      <c r="D8" s="297"/>
      <c r="E8" s="298" t="s">
        <v>187</v>
      </c>
      <c r="F8" s="299"/>
      <c r="G8" s="299"/>
      <c r="H8" s="299"/>
      <c r="I8" s="299"/>
      <c r="J8" s="300"/>
      <c r="K8" s="31" t="str">
        <f>IF(E8="","入力してください","")</f>
        <v/>
      </c>
    </row>
    <row r="9" spans="1:11" ht="217.5" customHeight="1" x14ac:dyDescent="0.15">
      <c r="B9" s="6"/>
      <c r="C9" s="306" t="s">
        <v>31</v>
      </c>
      <c r="D9" s="307"/>
      <c r="E9" s="298" t="s">
        <v>188</v>
      </c>
      <c r="F9" s="299"/>
      <c r="G9" s="299"/>
      <c r="H9" s="299"/>
      <c r="I9" s="299"/>
      <c r="J9" s="300"/>
      <c r="K9" s="31" t="str">
        <f>IF(E9="","入力してください","")</f>
        <v/>
      </c>
    </row>
    <row r="10" spans="1:11" ht="172.5" customHeight="1" x14ac:dyDescent="0.15">
      <c r="B10" s="6"/>
      <c r="C10" s="306" t="s">
        <v>32</v>
      </c>
      <c r="D10" s="307"/>
      <c r="E10" s="298" t="s">
        <v>194</v>
      </c>
      <c r="F10" s="299"/>
      <c r="G10" s="299"/>
      <c r="H10" s="299"/>
      <c r="I10" s="299"/>
      <c r="J10" s="300"/>
      <c r="K10" s="31" t="str">
        <f t="shared" ref="K10:K14" si="0">IF(E10="","入力してください","")</f>
        <v/>
      </c>
    </row>
    <row r="11" spans="1:11" ht="172.5" customHeight="1" x14ac:dyDescent="0.15">
      <c r="B11" s="6"/>
      <c r="C11" s="306" t="s">
        <v>33</v>
      </c>
      <c r="D11" s="307"/>
      <c r="E11" s="298" t="s">
        <v>189</v>
      </c>
      <c r="F11" s="299"/>
      <c r="G11" s="299"/>
      <c r="H11" s="299"/>
      <c r="I11" s="299"/>
      <c r="J11" s="300"/>
      <c r="K11" s="31" t="str">
        <f t="shared" si="0"/>
        <v/>
      </c>
    </row>
    <row r="12" spans="1:11" ht="18.75" customHeight="1" x14ac:dyDescent="0.15">
      <c r="B12" s="9" t="s">
        <v>34</v>
      </c>
      <c r="C12" s="28"/>
      <c r="D12" s="8"/>
      <c r="E12" s="119"/>
      <c r="F12" s="119"/>
      <c r="G12" s="119"/>
      <c r="H12" s="119"/>
      <c r="I12" s="119"/>
      <c r="J12" s="120"/>
    </row>
    <row r="13" spans="1:11" ht="244.15" customHeight="1" x14ac:dyDescent="0.15">
      <c r="B13" s="6"/>
      <c r="C13" s="306" t="s">
        <v>35</v>
      </c>
      <c r="D13" s="307"/>
      <c r="E13" s="299" t="s">
        <v>190</v>
      </c>
      <c r="F13" s="299"/>
      <c r="G13" s="299"/>
      <c r="H13" s="299"/>
      <c r="I13" s="299"/>
      <c r="J13" s="300"/>
      <c r="K13" s="31" t="str">
        <f t="shared" si="0"/>
        <v/>
      </c>
    </row>
    <row r="14" spans="1:11" ht="255" customHeight="1" x14ac:dyDescent="0.15">
      <c r="B14" s="6"/>
      <c r="C14" s="306" t="s">
        <v>36</v>
      </c>
      <c r="D14" s="307"/>
      <c r="E14" s="299" t="s">
        <v>191</v>
      </c>
      <c r="F14" s="299"/>
      <c r="G14" s="299"/>
      <c r="H14" s="299"/>
      <c r="I14" s="299"/>
      <c r="J14" s="300"/>
      <c r="K14" s="31" t="str">
        <f t="shared" si="0"/>
        <v/>
      </c>
    </row>
    <row r="15" spans="1:11" ht="243" customHeight="1" x14ac:dyDescent="0.15">
      <c r="B15" s="314" t="s">
        <v>37</v>
      </c>
      <c r="C15" s="315"/>
      <c r="D15" s="307"/>
      <c r="E15" s="299" t="s">
        <v>192</v>
      </c>
      <c r="F15" s="299"/>
      <c r="G15" s="299"/>
      <c r="H15" s="299"/>
      <c r="I15" s="299"/>
      <c r="J15" s="300"/>
      <c r="K15" s="31" t="str">
        <f>IF(E15="","入力してください","")</f>
        <v/>
      </c>
    </row>
    <row r="16" spans="1:11" ht="243" customHeight="1" x14ac:dyDescent="0.15">
      <c r="A16" s="31"/>
      <c r="B16" s="308" t="s">
        <v>66</v>
      </c>
      <c r="C16" s="309"/>
      <c r="D16" s="310"/>
      <c r="E16" s="291" t="s">
        <v>193</v>
      </c>
      <c r="F16" s="291"/>
      <c r="G16" s="291"/>
      <c r="H16" s="291"/>
      <c r="I16" s="291"/>
      <c r="J16" s="292"/>
      <c r="K16" s="31" t="str">
        <f>IF(E16="","入力してください","")</f>
        <v/>
      </c>
    </row>
    <row r="17" spans="1:11" ht="7.5" customHeight="1" x14ac:dyDescent="0.15">
      <c r="B17" s="37"/>
      <c r="C17" s="37"/>
      <c r="D17" s="37"/>
      <c r="E17" s="38"/>
      <c r="F17" s="38"/>
      <c r="G17" s="38"/>
      <c r="H17" s="38"/>
      <c r="I17" s="38"/>
      <c r="J17" s="38"/>
    </row>
    <row r="18" spans="1:11" ht="18.75" customHeight="1" x14ac:dyDescent="0.15">
      <c r="A18" s="1" t="s">
        <v>123</v>
      </c>
      <c r="B18" s="4"/>
      <c r="C18" s="37"/>
      <c r="D18" s="37"/>
      <c r="E18" s="38"/>
      <c r="F18" s="92"/>
      <c r="G18" s="311" t="s">
        <v>181</v>
      </c>
      <c r="H18" s="312"/>
      <c r="I18" s="312"/>
      <c r="J18" s="313"/>
      <c r="K18" s="31" t="str">
        <f>IF(G18="","入力してください","")</f>
        <v/>
      </c>
    </row>
    <row r="19" spans="1:11" ht="22.5" customHeight="1" x14ac:dyDescent="0.15">
      <c r="B19" s="37"/>
      <c r="C19" s="37"/>
      <c r="D19" s="37"/>
      <c r="E19" s="38"/>
      <c r="F19" s="38"/>
      <c r="G19" s="38"/>
      <c r="H19" s="38"/>
      <c r="I19" s="38"/>
      <c r="J19" s="38"/>
    </row>
    <row r="20" spans="1:11" ht="22.5" customHeight="1" x14ac:dyDescent="0.15">
      <c r="B20" s="37"/>
      <c r="C20" s="37"/>
      <c r="D20" s="37"/>
      <c r="E20" s="38"/>
      <c r="F20" s="38"/>
      <c r="G20" s="38"/>
      <c r="H20" s="38"/>
      <c r="I20" s="38"/>
      <c r="J20" s="38"/>
    </row>
    <row r="21" spans="1:11" ht="22.5" customHeight="1" x14ac:dyDescent="0.15">
      <c r="B21" s="37"/>
      <c r="C21" s="37"/>
      <c r="D21" s="37"/>
      <c r="E21" s="38"/>
      <c r="F21" s="38"/>
      <c r="G21" s="38"/>
      <c r="H21" s="38"/>
      <c r="I21" s="38"/>
      <c r="J21" s="38"/>
    </row>
    <row r="22" spans="1:11" ht="22.5" customHeight="1" x14ac:dyDescent="0.15">
      <c r="B22" s="37"/>
      <c r="C22" s="37"/>
      <c r="D22" s="37"/>
      <c r="E22" s="38"/>
      <c r="F22" s="38"/>
      <c r="G22" s="38"/>
      <c r="H22" s="38"/>
      <c r="I22" s="38"/>
      <c r="J22" s="38"/>
    </row>
    <row r="23" spans="1:11" ht="22.5" customHeight="1" x14ac:dyDescent="0.15">
      <c r="B23" s="37"/>
      <c r="C23" s="37"/>
      <c r="D23" s="37"/>
      <c r="E23" s="38"/>
      <c r="F23" s="38"/>
      <c r="G23" s="38"/>
      <c r="H23" s="38"/>
      <c r="I23" s="38"/>
      <c r="J23" s="38"/>
    </row>
    <row r="24" spans="1:11" ht="22.5" customHeight="1" x14ac:dyDescent="0.15">
      <c r="B24" s="104"/>
      <c r="C24" s="104"/>
      <c r="D24" s="104"/>
      <c r="E24" s="104"/>
      <c r="F24" s="104"/>
      <c r="G24" s="104"/>
      <c r="H24" s="104"/>
      <c r="I24" s="104"/>
      <c r="J24" s="104"/>
    </row>
    <row r="25" spans="1:11" ht="22.5" customHeight="1" x14ac:dyDescent="0.15">
      <c r="B25" s="104"/>
      <c r="C25" s="104"/>
      <c r="D25" s="104"/>
      <c r="E25" s="104"/>
      <c r="F25" s="104"/>
      <c r="G25" s="104"/>
      <c r="H25" s="104"/>
      <c r="I25" s="104"/>
      <c r="J25" s="104"/>
    </row>
    <row r="26" spans="1:11" ht="22.5" customHeight="1" x14ac:dyDescent="0.15">
      <c r="B26" s="104"/>
      <c r="C26" s="104"/>
      <c r="D26" s="104"/>
      <c r="E26" s="104"/>
      <c r="F26" s="104"/>
      <c r="G26" s="104"/>
      <c r="H26" s="104"/>
      <c r="I26" s="104"/>
      <c r="J26" s="104"/>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printOptions horizontalCentered="1"/>
  <pageMargins left="0.78740157480314965" right="0.78740157480314965" top="0.78740157480314965" bottom="0.78740157480314965" header="0.31496062992125984" footer="0.31496062992125984"/>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様式２-1　プログラムを構成する授業科目</vt:lpstr>
      <vt:lpstr>様式２-2　プログラムを構成する授業科目</vt:lpstr>
      <vt:lpstr>様式３　履修者等数の実績</vt:lpstr>
      <vt:lpstr>様式４　教育の質・履修者数を向上させるための体制・計画</vt:lpstr>
      <vt:lpstr>様式５　自己点検・評価</vt:lpstr>
      <vt:lpstr>'様式１　大学等概要'!Print_Area</vt:lpstr>
      <vt:lpstr>'様式２-1　プログラムを構成する授業科目'!Print_Area</vt:lpstr>
      <vt:lpstr>'様式２-2　プログラムを構成する授業科目'!Print_Area</vt:lpstr>
      <vt:lpstr>'様式３　履修者等数の実績'!Print_Area</vt:lpstr>
      <vt:lpstr>'様式４　教育の質・履修者数を向上させるための体制・計画'!Print_Area</vt:lpstr>
      <vt:lpstr>'様式５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梅川忠典</cp:lastModifiedBy>
  <cp:lastPrinted>2022-05-07T01:11:52Z</cp:lastPrinted>
  <dcterms:created xsi:type="dcterms:W3CDTF">2011-06-14T05:32:50Z</dcterms:created>
  <dcterms:modified xsi:type="dcterms:W3CDTF">2022-06-16T04:48:31Z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