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6"/>
  <workbookPr defaultThemeVersion="124226"/>
  <mc:AlternateContent xmlns:mc="http://schemas.openxmlformats.org/markup-compatibility/2006">
    <mc:Choice Requires="x15">
      <x15ac:absPath xmlns:x15ac="http://schemas.microsoft.com/office/spreadsheetml/2010/11/ac" url="O:\G.調査・補助金・格付等\10.調査・補助金\Ａ．文部科学省\15.公募受託事業\数理・データサイエンス・ＡＩ教育プログラム」の認定等における公募\99_提出\"/>
    </mc:Choice>
  </mc:AlternateContent>
  <xr:revisionPtr revIDLastSave="0" documentId="13_ncr:1_{55FA6C9D-5E02-4C80-A317-1E4D930F636E}" xr6:coauthVersionLast="36" xr6:coauthVersionMax="47" xr10:uidLastSave="{00000000-0000-0000-0000-000000000000}"/>
  <bookViews>
    <workbookView xWindow="0" yWindow="0" windowWidth="28800" windowHeight="12135"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9"/>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R14" i="40"/>
  <c r="Q14" i="40"/>
  <c r="Q13" i="40"/>
  <c r="R13" i="40" s="1"/>
  <c r="R12" i="40"/>
  <c r="Q12" i="40"/>
  <c r="Q11" i="40"/>
  <c r="R11" i="40" s="1"/>
  <c r="Q10" i="40"/>
  <c r="Q30" i="40" l="1"/>
  <c r="R30" i="40"/>
  <c r="C28" i="41" s="1"/>
  <c r="R10" i="40"/>
</calcChain>
</file>

<file path=xl/sharedStrings.xml><?xml version="1.0" encoding="utf-8"?>
<sst xmlns="http://schemas.openxmlformats.org/spreadsheetml/2006/main" count="324" uniqueCount="207">
  <si>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</si>
  <si>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</si>
  <si>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</si>
  <si>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</si>
  <si>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</si>
  <si>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</si>
  <si>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</si>
  <si>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</si>
  <si>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</si>
  <si>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</si>
  <si>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</si>
  <si>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</si>
  <si>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</si>
  <si>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</si>
  <si>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</si>
  <si>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</si>
  <si>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</si>
  <si>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</si>
  <si>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</si>
  <si>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</si>
  <si>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</si>
  <si>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</si>
  <si>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</si>
  <si>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</si>
  <si>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</si>
  <si>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</si>
  <si>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</si>
  <si>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</si>
  <si>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</si>
  <si>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</si>
  <si>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</si>
  <si>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</si>
  <si>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</si>
  <si>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</si>
  <si>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</si>
  <si>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</si>
  <si>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</si>
  <si>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</si>
  <si>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</si>
  <si>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</si>
  <si>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</si>
  <si>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</si>
  <si>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</si>
  <si>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</si>
  <si>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</si>
  <si>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</si>
  <si>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</si>
  <si>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</si>
  <si>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</si>
  <si>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</si>
  <si>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</si>
  <si>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</si>
  <si>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</si>
  <si>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</si>
  <si>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</si>
  <si>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</si>
  <si>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</si>
  <si>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</si>
  <si>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</si>
  <si>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</si>
  <si>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</si>
  <si>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</si>
  <si>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</si>
  <si>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</si>
  <si>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</si>
  <si>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</si>
  <si>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</si>
  <si>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</si>
  <si>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</si>
  <si>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</si>
  <si>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</si>
  <si>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</si>
  <si>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</si>
  <si>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</si>
  <si>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</si>
  <si>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</si>
  <si>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</si>
  <si>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</si>
  <si>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</si>
  <si>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</si>
  <si>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</si>
  <si>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</si>
  <si>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</si>
  <si>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</si>
  <si>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</si>
  <si>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</si>
  <si>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</si>
  <si>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</si>
  <si>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</si>
  <si>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</si>
  <si>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</si>
  <si>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</si>
  <si>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</si>
  <si>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</si>
  <si>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</si>
  <si>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</si>
  <si>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</si>
  <si>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</si>
  <si>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</si>
  <si>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</si>
  <si>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</si>
  <si>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</si>
  <si>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</si>
  <si>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</si>
  <si>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</si>
  <si>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</si>
  <si>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</si>
  <si>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</si>
  <si>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</si>
  <si>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</si>
  <si>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</si>
  <si>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</si>
  <si>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</si>
  <si>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</si>
  <si>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</si>
  <si>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</si>
  <si>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</si>
  <si>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</si>
  <si>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</si>
  <si>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</si>
  <si>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</si>
  <si>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</si>
  <si>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</si>
  <si>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</si>
  <si>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</si>
  <si>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</si>
  <si>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</si>
  <si>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</si>
  <si>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</si>
  <si>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</si>
  <si>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</si>
  <si>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</si>
  <si>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</si>
  <si>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</si>
  <si>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</si>
  <si>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</si>
  <si>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</si>
  <si>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</si>
  <si>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</si>
  <si>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</si>
  <si>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</si>
  <si>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</si>
  <si>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</si>
  <si>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</si>
  <si>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</si>
  <si>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</si>
  <si>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</si>
  <si>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</si>
  <si>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</si>
  <si>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國學院大學</t>
    <rPh sb="0" eb="5">
      <t>コクガクインダイガク</t>
    </rPh>
    <phoneticPr fontId="1"/>
  </si>
  <si>
    <t>学校法人國學院大學</t>
    <rPh sb="0" eb="4">
      <t>ガッコウホウジン</t>
    </rPh>
    <rPh sb="4" eb="9">
      <t>コクガクインダイガク</t>
    </rPh>
    <phoneticPr fontId="1"/>
  </si>
  <si>
    <t>私立大学</t>
  </si>
  <si>
    <t>東京都渋谷区東４－１０－２８</t>
    <rPh sb="0" eb="3">
      <t>トウキョウト</t>
    </rPh>
    <rPh sb="3" eb="6">
      <t>シブヤク</t>
    </rPh>
    <rPh sb="6" eb="7">
      <t>ヒガシ</t>
    </rPh>
    <phoneticPr fontId="1"/>
  </si>
  <si>
    <t>データサイエンス教育プログラム</t>
    <rPh sb="8" eb="10">
      <t>キョウイク</t>
    </rPh>
    <phoneticPr fontId="1"/>
  </si>
  <si>
    <t>令和３</t>
    <rPh sb="0" eb="2">
      <t>レイワ</t>
    </rPh>
    <phoneticPr fontId="1"/>
  </si>
  <si>
    <t>無</t>
  </si>
  <si>
    <t>捧　剛</t>
    <rPh sb="0" eb="1">
      <t>ササゲ</t>
    </rPh>
    <rPh sb="2" eb="3">
      <t>ツヨシ</t>
    </rPh>
    <phoneticPr fontId="1"/>
  </si>
  <si>
    <t>共通教育センター長</t>
    <rPh sb="0" eb="4">
      <t>キョウツウキョウイク</t>
    </rPh>
    <rPh sb="8" eb="9">
      <t>チョウ</t>
    </rPh>
    <phoneticPr fontId="1"/>
  </si>
  <si>
    <t>共通教育センター委員会</t>
    <rPh sb="0" eb="4">
      <t>キョウツウキョウイク</t>
    </rPh>
    <rPh sb="8" eb="11">
      <t>イインカイ</t>
    </rPh>
    <phoneticPr fontId="1"/>
  </si>
  <si>
    <t>認定教育プログラム</t>
  </si>
  <si>
    <t>教学事務部教務課</t>
    <rPh sb="0" eb="5">
      <t>キョウガクジムブ</t>
    </rPh>
    <rPh sb="5" eb="8">
      <t>キョウムカ</t>
    </rPh>
    <phoneticPr fontId="1"/>
  </si>
  <si>
    <t>松本　忠和</t>
    <rPh sb="0" eb="2">
      <t>マツモト</t>
    </rPh>
    <rPh sb="3" eb="5">
      <t>タダカズ</t>
    </rPh>
    <phoneticPr fontId="1"/>
  </si>
  <si>
    <t>kyoumu_s@kokugakuin.ac.jp</t>
    <phoneticPr fontId="1"/>
  </si>
  <si>
    <t>03-5466-0135</t>
    <phoneticPr fontId="1"/>
  </si>
  <si>
    <t>学部・学科によって、修了要件は相違しない</t>
  </si>
  <si>
    <t>○</t>
  </si>
  <si>
    <t>全学開講</t>
  </si>
  <si>
    <t>データ・リテラシー</t>
    <phoneticPr fontId="1"/>
  </si>
  <si>
    <t>コンピュータと情報Ⅱ</t>
    <rPh sb="7" eb="9">
      <t>ジョウホウ</t>
    </rPh>
    <phoneticPr fontId="1"/>
  </si>
  <si>
    <t>プログラムを構成する「データ・リテラシー」２単位、「コンピュータと情報Ⅱ」２単位、合計４単位を取得すること。</t>
    <rPh sb="6" eb="8">
      <t>コウセイ</t>
    </rPh>
    <rPh sb="22" eb="24">
      <t>タンイ</t>
    </rPh>
    <rPh sb="33" eb="35">
      <t>ジョウホウ</t>
    </rPh>
    <rPh sb="38" eb="40">
      <t>タンイ</t>
    </rPh>
    <rPh sb="41" eb="43">
      <t>ゴウケイ</t>
    </rPh>
    <rPh sb="44" eb="46">
      <t>タンイ</t>
    </rPh>
    <rPh sb="47" eb="49">
      <t>シュトク</t>
    </rPh>
    <phoneticPr fontId="1"/>
  </si>
  <si>
    <t>・モデル化とシミュレーション「データ・リテラシー」（１４回目）
・表計算関数、グラフ作成、データベース機能の利用「コンピュータと情報Ⅱ」（６～１１回目）
・Excel入門、Excelの活用、Excelの活用と応用「コンピュータと情報Ⅱ」（５～１５回目）</t>
    <rPh sb="28" eb="30">
      <t>カイメ</t>
    </rPh>
    <rPh sb="42" eb="44">
      <t>サクセイ</t>
    </rPh>
    <rPh sb="51" eb="53">
      <t>キノウ</t>
    </rPh>
    <rPh sb="54" eb="56">
      <t>リヨウ</t>
    </rPh>
    <rPh sb="64" eb="66">
      <t>ジョウホウ</t>
    </rPh>
    <rPh sb="73" eb="74">
      <t>カイ</t>
    </rPh>
    <rPh sb="74" eb="75">
      <t>メ</t>
    </rPh>
    <rPh sb="114" eb="116">
      <t>ジョウホウ</t>
    </rPh>
    <rPh sb="123" eb="125">
      <t>カイメ</t>
    </rPh>
    <phoneticPr fontId="1"/>
  </si>
  <si>
    <t>・モデル化とシミュレーション「データ・リテラシー」（１４回目）
・表計算関数、グラフ作成、データベース機能の利用「コンピュータと情報Ⅱ」（６～１１回目）
・Excel入門、Excelの活用、Excelの活用と応用「コンピュータと情報Ⅱ」（５～１５回目）</t>
    <phoneticPr fontId="1"/>
  </si>
  <si>
    <t>文学部</t>
    <rPh sb="0" eb="3">
      <t>ブンガクブ</t>
    </rPh>
    <phoneticPr fontId="1"/>
  </si>
  <si>
    <t>法学部</t>
    <rPh sb="0" eb="3">
      <t>ホウガクブ</t>
    </rPh>
    <phoneticPr fontId="1"/>
  </si>
  <si>
    <t>経済学部</t>
    <rPh sb="0" eb="4">
      <t>ケイザイガクブ</t>
    </rPh>
    <phoneticPr fontId="1"/>
  </si>
  <si>
    <t>神道文化学部</t>
    <rPh sb="0" eb="4">
      <t>シントウブンカ</t>
    </rPh>
    <rPh sb="4" eb="6">
      <t>ガクブ</t>
    </rPh>
    <phoneticPr fontId="1"/>
  </si>
  <si>
    <t>人間開発学部</t>
    <rPh sb="0" eb="4">
      <t>ニンゲンカイハツ</t>
    </rPh>
    <rPh sb="4" eb="6">
      <t>ガクブ</t>
    </rPh>
    <phoneticPr fontId="1"/>
  </si>
  <si>
    <t>共通教育センター規程</t>
    <rPh sb="0" eb="2">
      <t>キョウツウ</t>
    </rPh>
    <rPh sb="2" eb="4">
      <t>キョウイク</t>
    </rPh>
    <rPh sb="8" eb="10">
      <t>キテイ</t>
    </rPh>
    <phoneticPr fontId="1"/>
  </si>
  <si>
    <t>本学学生の幅広い教養の修得と、それらを通じた人間性の涵養を促進するため、共通教育の一層の充実の支援と、社会が大学に求める人材育成に即応する効果的なカリキュラムの提供を目的として設置。本センターでは、「共通教育プログラムの策定、運営及び評価」「資格課程カリキュラムの策定、運営及び評価」などを通して、本学学生の基礎学力の強化と、人として必要な知識と技能の修得の促進を図るとともに、その評価と検証を行う。</t>
    <phoneticPr fontId="1"/>
  </si>
  <si>
    <t>・データリテラシーを学ぶ意義、情報を取り巻く社会との関係「データ・リテラシー」（１回目）
・情報とコミュニケーション「データ・リテラシー」（２回目）</t>
    <rPh sb="71" eb="73">
      <t>カイメ</t>
    </rPh>
    <phoneticPr fontId="1"/>
  </si>
  <si>
    <t>・データサイエンスと人工知能（ＡＩ）「データ・リテラシー」（１５回目）</t>
    <phoneticPr fontId="1"/>
  </si>
  <si>
    <t>・データベースの基本概念とさまざまなデータベース「データ・リテラシー」（１３回目）</t>
    <phoneticPr fontId="1"/>
  </si>
  <si>
    <t>・情報のデジタル化「データ・リテラシー」（９回目）
・データサイエンスの基礎「データ・リテラシー」（１３回目）</t>
    <phoneticPr fontId="1"/>
  </si>
  <si>
    <t>・社会と情報システム「データ・リテラシー」（４回目）</t>
    <phoneticPr fontId="1"/>
  </si>
  <si>
    <t>・情報倫理「データ・リテラシー」（３回目）</t>
    <rPh sb="18" eb="20">
      <t>カイメ</t>
    </rPh>
    <phoneticPr fontId="1"/>
  </si>
  <si>
    <t>・情報セキュリティ「データ・リテラシー」（７・８回目）</t>
    <phoneticPr fontId="1"/>
  </si>
  <si>
    <t>・情報ネットワーク「データ・リテラシー」（５・６回目）
・アルゴリズムとプログラミング「データ・リテラシー」（１２回目）</t>
    <phoneticPr fontId="1"/>
  </si>
  <si>
    <t>針本　正行</t>
    <rPh sb="0" eb="2">
      <t>ハリモト</t>
    </rPh>
    <rPh sb="3" eb="5">
      <t>マサユキ</t>
    </rPh>
    <phoneticPr fontId="1"/>
  </si>
  <si>
    <t>学長</t>
    <rPh sb="0" eb="2">
      <t>ガクチョウ</t>
    </rPh>
    <phoneticPr fontId="1"/>
  </si>
  <si>
    <t>本教育プログラムは令和３年度に開設し、対象となる学生は令和３年度以降に入学した学生となるため、卒業した学生はいない。そのため、修了者が卒業する令和６年度に、活躍状況や企業等の評価を確認するための仕組みの準備を進めている。</t>
    <rPh sb="71" eb="73">
      <t>レイワ</t>
    </rPh>
    <phoneticPr fontId="1"/>
  </si>
  <si>
    <t>共通教育プログラム科目マネジメント会議</t>
    <rPh sb="0" eb="4">
      <t>キョウツウキョウイク</t>
    </rPh>
    <rPh sb="9" eb="11">
      <t>カモク</t>
    </rPh>
    <rPh sb="17" eb="19">
      <t>カイギ</t>
    </rPh>
    <phoneticPr fontId="1"/>
  </si>
  <si>
    <t>https://www.kokugakuin.ac.jp/education/curriculum/p1</t>
    <phoneticPr fontId="1"/>
  </si>
  <si>
    <t>プログラムを構成する「データ・リテラシー」「コンピュータと情報Ⅱ」は、いずれも共通教育科目として開講している。学部・学科に関係なく希望する学生全員が受講できる体制は整備済みで安定的な運用を行っている。</t>
    <rPh sb="39" eb="41">
      <t>キョウツウ</t>
    </rPh>
    <rPh sb="41" eb="43">
      <t>キョウイク</t>
    </rPh>
    <rPh sb="43" eb="45">
      <t>カモク</t>
    </rPh>
    <rPh sb="48" eb="50">
      <t>カイコウ</t>
    </rPh>
    <rPh sb="55" eb="57">
      <t>ガクブ</t>
    </rPh>
    <rPh sb="58" eb="60">
      <t>ガッカ</t>
    </rPh>
    <rPh sb="61" eb="63">
      <t>カンケイ</t>
    </rPh>
    <rPh sb="65" eb="67">
      <t>キボウ</t>
    </rPh>
    <rPh sb="69" eb="71">
      <t>ガクセイ</t>
    </rPh>
    <rPh sb="71" eb="73">
      <t>ゼンイン</t>
    </rPh>
    <rPh sb="74" eb="76">
      <t>ジュコウ</t>
    </rPh>
    <rPh sb="84" eb="85">
      <t>ズ</t>
    </rPh>
    <rPh sb="94" eb="95">
      <t>オコナ</t>
    </rPh>
    <phoneticPr fontId="1"/>
  </si>
  <si>
    <t>「ＷＥＢ時間割表」や「履修要綱（冊子）」等の学生が必ず目を通す媒体を通して、本教育プログラムの履修に必要な情報を確認できるようにしている。また、新入生に対しては「履修に関する説明会」、２年生以上の学生に対しては学修支援システムを通して、履修漏れのないよう周知徹底をしている。また、ＷＥＢサイト上でも本教育プログラムの周知を行っている。</t>
    <rPh sb="11" eb="15">
      <t>リシュウヨウコウ</t>
    </rPh>
    <rPh sb="16" eb="18">
      <t>サッシ</t>
    </rPh>
    <rPh sb="20" eb="21">
      <t>トウ</t>
    </rPh>
    <rPh sb="22" eb="24">
      <t>ガクセイ</t>
    </rPh>
    <rPh sb="25" eb="26">
      <t>カナラ</t>
    </rPh>
    <rPh sb="27" eb="28">
      <t>メ</t>
    </rPh>
    <rPh sb="29" eb="30">
      <t>トオ</t>
    </rPh>
    <rPh sb="31" eb="33">
      <t>バイタイ</t>
    </rPh>
    <rPh sb="34" eb="35">
      <t>トオ</t>
    </rPh>
    <rPh sb="38" eb="39">
      <t>ホン</t>
    </rPh>
    <rPh sb="39" eb="41">
      <t>キョウイク</t>
    </rPh>
    <rPh sb="105" eb="107">
      <t>ガクシュウ</t>
    </rPh>
    <rPh sb="107" eb="109">
      <t>シエン</t>
    </rPh>
    <rPh sb="114" eb="115">
      <t>トオ</t>
    </rPh>
    <rPh sb="149" eb="150">
      <t>ホン</t>
    </rPh>
    <rPh sb="150" eb="152">
      <t>キョウイク</t>
    </rPh>
    <phoneticPr fontId="1"/>
  </si>
  <si>
    <t>組織的な対応としては、共通教育センター委員会に、専門分野の異なる多様な教員が参画するようにしている。これにより、予備知識や学問的興味の異なる多様な学生に対して、それぞれに見合った支援を行える体制となっている。また、技術的な対応としては、学修支援システム上に教材を蓄積し、学生が自身の理解度に応じて、いつでも予習・復習できる環境を構築している。これにより、できる限り多くの学生が、意欲的に受講し、学修内容を修得できる環境を整えている。</t>
    <rPh sb="11" eb="15">
      <t>キョウツウキョウイク</t>
    </rPh>
    <rPh sb="19" eb="22">
      <t>イインカイ</t>
    </rPh>
    <rPh sb="89" eb="91">
      <t>シエン</t>
    </rPh>
    <rPh sb="92" eb="93">
      <t>オコナ</t>
    </rPh>
    <rPh sb="109" eb="110">
      <t>テキ</t>
    </rPh>
    <rPh sb="118" eb="120">
      <t>ガクシュウ</t>
    </rPh>
    <rPh sb="120" eb="122">
      <t>シエン</t>
    </rPh>
    <rPh sb="153" eb="155">
      <t>ヨシュウ</t>
    </rPh>
    <rPh sb="197" eb="199">
      <t>ガクシュウ</t>
    </rPh>
    <phoneticPr fontId="1"/>
  </si>
  <si>
    <t>従来から設けているオフィスアワーを活用した学修指導や質問対応を行うだけでなく、学修支援システムには本教育プログラムを含む全科目の履修が登録されているため、学生はこのシステムを利用することで疑問点等を確認することができる。また、学修支援システムのＱ＆Ａ機能を利用することによって、学生は担当教員と一対一で質問に関する指導を受けることができる。</t>
    <rPh sb="21" eb="23">
      <t>ガクシュウ</t>
    </rPh>
    <rPh sb="39" eb="43">
      <t>ガクシュウシエン</t>
    </rPh>
    <rPh sb="67" eb="69">
      <t>トウロク</t>
    </rPh>
    <rPh sb="87" eb="89">
      <t>リヨウ</t>
    </rPh>
    <rPh sb="113" eb="115">
      <t>ガクシュウ</t>
    </rPh>
    <rPh sb="115" eb="117">
      <t>シエン</t>
    </rPh>
    <rPh sb="128" eb="130">
      <t>リヨウ</t>
    </rPh>
    <rPh sb="139" eb="141">
      <t>ガクセイ</t>
    </rPh>
    <phoneticPr fontId="1"/>
  </si>
  <si>
    <t>開講している全ての科目の履修・修得状況については、教務課で管理しているデータベースによって確認することができる。そのため、本教育プログラムを構成する科目の履修・取得状況についても、教務課のデータベースを利用して分析している。また、学修支援システムを利用することで、受講者毎の授業進捗状況や課題への取組状況を確認することができる。</t>
    <rPh sb="15" eb="17">
      <t>シュウトク</t>
    </rPh>
    <rPh sb="29" eb="31">
      <t>カンリ</t>
    </rPh>
    <rPh sb="45" eb="47">
      <t>カクニン</t>
    </rPh>
    <rPh sb="61" eb="62">
      <t>ホン</t>
    </rPh>
    <rPh sb="101" eb="103">
      <t>リヨウ</t>
    </rPh>
    <rPh sb="115" eb="119">
      <t>ガクシュウシエン</t>
    </rPh>
    <rPh sb="124" eb="126">
      <t>リヨウ</t>
    </rPh>
    <rPh sb="137" eb="139">
      <t>ジュギョウ</t>
    </rPh>
    <rPh sb="139" eb="141">
      <t>シンチョク</t>
    </rPh>
    <rPh sb="153" eb="155">
      <t>カクニン</t>
    </rPh>
    <phoneticPr fontId="1"/>
  </si>
  <si>
    <t>受講生全員に対して授業評価アンケートを実施して、その結果を分析し、共通教育プログラム科目マネジメント会議で検証する体制を整えている。アンケートでは、定量的評価を目的とした多肢選択式項目に加え、自由記述項目も設けており、本授業内容を理解した結果が、普段の行動に反映されている様子が確認できた。</t>
    <rPh sb="11" eb="13">
      <t>ヒョウカ</t>
    </rPh>
    <rPh sb="33" eb="35">
      <t>キョウツウ</t>
    </rPh>
    <rPh sb="35" eb="37">
      <t>キョウイク</t>
    </rPh>
    <rPh sb="42" eb="44">
      <t>カモク</t>
    </rPh>
    <rPh sb="50" eb="52">
      <t>カイギ</t>
    </rPh>
    <phoneticPr fontId="1"/>
  </si>
  <si>
    <t>本教育プログラムの修了生に対して実施する事後アンケートの一環で、後輩学生や他の学生への推薦内容についても質問項目を設け、その回答を本教育プログラムのウェブサイトに掲載するなどの形で、他の学生の履修と修了を促進する。</t>
    <rPh sb="1" eb="3">
      <t>キョウイク</t>
    </rPh>
    <rPh sb="54" eb="56">
      <t>コウモク</t>
    </rPh>
    <rPh sb="66" eb="68">
      <t>キョウイク</t>
    </rPh>
    <phoneticPr fontId="1"/>
  </si>
  <si>
    <t>本学では共通教育プログラム科目マネジメント会議を設置しており、当会議を中心に本教育プログラムの履修・修得状況を調査する。また、当会議には産業界の外部有識者を招聘し、産業界からの視点を含めた意見を本教育プログラムの運用に反映することができる。</t>
    <rPh sb="4" eb="6">
      <t>キョウツウ</t>
    </rPh>
    <rPh sb="6" eb="8">
      <t>キョウイク</t>
    </rPh>
    <rPh sb="13" eb="15">
      <t>カモク</t>
    </rPh>
    <rPh sb="21" eb="23">
      <t>カイギ</t>
    </rPh>
    <rPh sb="32" eb="34">
      <t>カイギ</t>
    </rPh>
    <rPh sb="38" eb="39">
      <t>ホン</t>
    </rPh>
    <rPh sb="39" eb="41">
      <t>キョウイク</t>
    </rPh>
    <rPh sb="64" eb="66">
      <t>カイギ</t>
    </rPh>
    <rPh sb="72" eb="74">
      <t>ガイブ</t>
    </rPh>
    <rPh sb="98" eb="100">
      <t>キョウイク</t>
    </rPh>
    <phoneticPr fontId="1"/>
  </si>
  <si>
    <t>本教育プログラムでは、学生にとって身近な話題を具体例として取り上げ、演習に活用するデータも実データを使用することで、データサイエンスやＡＩが実社会でどのように活用されているかが理解できるように工夫している。また、学生が使い慣れている表計算ソフトを使って、大規模な実データを取り扱う技術を修得しながら、数理・データサイエンス・ＡＩの活用を実体験できるような演習を取り入れている。</t>
    <phoneticPr fontId="1"/>
  </si>
  <si>
    <t>本学では、本教育プログラムに限らず、全科目に対して授業評価アンケートを実施している。このアンケートから受講生の内容の理解度を把握することにより、内容・水準を維持・向上しつつ、授業内容の理解度を高める工夫が可能となる。</t>
    <rPh sb="6" eb="8">
      <t>キョウイク</t>
    </rPh>
    <rPh sb="51" eb="54">
      <t>ジュコウセイ</t>
    </rPh>
    <rPh sb="102" eb="104">
      <t>カノウ</t>
    </rPh>
    <phoneticPr fontId="1"/>
  </si>
  <si>
    <t>社会において必要な情報学及びデータリテラシー、情報及びデータと経済・経営との関わりへの理解と適用・影響を考えられる能力、情報倫理やセキュリティとそれらに関連する法令知識、情報処理と情報通信技術に関する知識、情報及びデータ処理時に情報倫理やセキュリティに配慮して行動する能力、情報通信技術のニュースや記事を確認して動向を追う能力を身に付けることができる。</t>
    <rPh sb="12" eb="13">
      <t>オヨ</t>
    </rPh>
    <rPh sb="25" eb="26">
      <t>オヨ</t>
    </rPh>
    <rPh sb="43" eb="45">
      <t>リカイ</t>
    </rPh>
    <rPh sb="57" eb="59">
      <t>ノウリョク</t>
    </rPh>
    <rPh sb="85" eb="89">
      <t>ジョウホウショリ</t>
    </rPh>
    <rPh sb="105" eb="106">
      <t>オヨ</t>
    </rPh>
    <rPh sb="110" eb="112">
      <t>ショリ</t>
    </rPh>
    <rPh sb="112" eb="113">
      <t>ジ</t>
    </rPh>
    <rPh sb="134" eb="136">
      <t>ノウリョク</t>
    </rPh>
    <rPh sb="161" eb="163">
      <t>ノウリョク</t>
    </rPh>
    <rPh sb="164" eb="165">
      <t>ミ</t>
    </rPh>
    <rPh sb="166" eb="167">
      <t>ツ</t>
    </rPh>
    <phoneticPr fontId="1"/>
  </si>
  <si>
    <t>法学部教授　捧　剛（共通教育センター長）
教学事務部長　仙北谷　穂高（共通教育センター副センター長）
人間開発学部教授　山田　佳弘（教務部長）
教育開発推進機構教授　久保田　正人（英語教育センター長）
文学部教授　笠間　直穂子
法学部教授　川合　敏樹
経済学部准教授　紺野　由希子
神道文化学部教授　齊藤　智朗
人間開発学部准教授　神事　努
観光まちづくり学部准教授　清野　隆
教育開発推進機構事務課担当次長　原田　佳昌
教務課長　松本　忠和
教務課主任　織田　泰輔（幹事）</t>
    <phoneticPr fontId="1"/>
  </si>
  <si>
    <t>共通教育プログラム科目マネジメント会議が中心となって修了生の成績を分析することで、本教育プログラムによる学修成果を測ることができる。また、修了生による資格試験合格などの履歴を追跡することによっても学修成果を測ることができる。</t>
    <rPh sb="0" eb="4">
      <t>キョウツウキョウイク</t>
    </rPh>
    <rPh sb="9" eb="11">
      <t>カモク</t>
    </rPh>
    <rPh sb="17" eb="19">
      <t>カイギ</t>
    </rPh>
    <rPh sb="42" eb="44">
      <t>キョウイク</t>
    </rPh>
    <phoneticPr fontId="1"/>
  </si>
  <si>
    <t>共通教育プログラム科目マネジメント会議が中心となって、本教育プログラムの履修状況を分析、履修者数や履修率向上に向けた計画を立案し、進捗状況を管理する。また、履修者数や履修率の向上に向けて、履修に関する説明会や学修支援システムなどで広報を継続的に推進する。</t>
    <rPh sb="0" eb="4">
      <t>キョウツウキョウイク</t>
    </rPh>
    <rPh sb="9" eb="11">
      <t>カモク</t>
    </rPh>
    <rPh sb="17" eb="19">
      <t>カイギ</t>
    </rPh>
    <rPh sb="27" eb="30">
      <t>ホンキョウイク</t>
    </rPh>
    <rPh sb="94" eb="96">
      <t>リシュウ</t>
    </rPh>
    <rPh sb="97" eb="98">
      <t>カン</t>
    </rPh>
    <rPh sb="100" eb="103">
      <t>セツメイカイ</t>
    </rPh>
    <rPh sb="104" eb="106">
      <t>ガクシュウ</t>
    </rPh>
    <rPh sb="106" eb="108">
      <t>シエン</t>
    </rPh>
    <phoneticPr fontId="1"/>
  </si>
  <si>
    <t>履修者数・履修率を高めていくために、まずは本教育プログラムの普及に努める。４月当初の履修登録時に、新入生に対してはオリエンテーションで実施している「履修に関する説明会」、２年生以上の学生に対しては本学の学修支援システムを通して広報する。また、履修登録終了後も学修支援システムを通して定期的に広報すると同時に、共通教育センター委員が各々の所属学科にて本教育プログラムを積極的に広報する。
なお、本教育プログラムは令和３年度に開設し、令和３年度以降に入学した学生が対象となる。そのため、上記方法による広報を毎年度実施することで令和４年度から令和６年度までは計画している履修率を達成できると見込みである。また、授業評価アンケートを各年度で実施し、共通教育プログラム科目マネジメント会議で本教育プログラムの自己点検・評価を行う。その結果を共通教育センター委員会で分析し、本教育プログラムを改善・進化させることによって令和７年度以降の履修者数増加につなげる。従って、各年度の目標値を達成するための具体的な方策は以下のとおりとなる。
令和４年度　説明会・学修支援システム等を通した広報、授業評価アンケートの実施と分析
令和５年度　同上
令和６年度　同上、本教育プログラムの改善・進化
令和７年度　同上、新しい教育プログラムの実施</t>
    <rPh sb="0" eb="4">
      <t>リシュウシャスウ</t>
    </rPh>
    <rPh sb="9" eb="10">
      <t>タカ</t>
    </rPh>
    <rPh sb="21" eb="22">
      <t>ホン</t>
    </rPh>
    <rPh sb="22" eb="24">
      <t>キョウイク</t>
    </rPh>
    <rPh sb="38" eb="39">
      <t>ガツ</t>
    </rPh>
    <rPh sb="39" eb="41">
      <t>トウショ</t>
    </rPh>
    <rPh sb="42" eb="46">
      <t>リシュウトウロク</t>
    </rPh>
    <rPh sb="46" eb="47">
      <t>ジ</t>
    </rPh>
    <rPh sb="49" eb="52">
      <t>シンニュウセイ</t>
    </rPh>
    <rPh sb="53" eb="54">
      <t>タイ</t>
    </rPh>
    <rPh sb="67" eb="69">
      <t>ジッシ</t>
    </rPh>
    <rPh sb="88" eb="90">
      <t>イジョウ</t>
    </rPh>
    <rPh sb="91" eb="93">
      <t>ガクセイ</t>
    </rPh>
    <rPh sb="94" eb="95">
      <t>タイ</t>
    </rPh>
    <rPh sb="98" eb="100">
      <t>ホンガク</t>
    </rPh>
    <rPh sb="101" eb="103">
      <t>ガクシュウ</t>
    </rPh>
    <rPh sb="103" eb="105">
      <t>シエン</t>
    </rPh>
    <rPh sb="110" eb="111">
      <t>トオ</t>
    </rPh>
    <rPh sb="113" eb="115">
      <t>コウホウ</t>
    </rPh>
    <rPh sb="121" eb="125">
      <t>リシュウトウロク</t>
    </rPh>
    <rPh sb="125" eb="128">
      <t>シュウリョウゴ</t>
    </rPh>
    <rPh sb="129" eb="133">
      <t>ガクシュウシエン</t>
    </rPh>
    <rPh sb="138" eb="139">
      <t>トオ</t>
    </rPh>
    <rPh sb="141" eb="144">
      <t>テイキテキ</t>
    </rPh>
    <rPh sb="154" eb="158">
      <t>キョウツウキョウイク</t>
    </rPh>
    <rPh sb="162" eb="164">
      <t>イイン</t>
    </rPh>
    <rPh sb="174" eb="175">
      <t>ホン</t>
    </rPh>
    <rPh sb="175" eb="177">
      <t>キョウイク</t>
    </rPh>
    <rPh sb="183" eb="186">
      <t>セッキョクテキ</t>
    </rPh>
    <rPh sb="241" eb="243">
      <t>ジョウキ</t>
    </rPh>
    <rPh sb="243" eb="245">
      <t>ホウホウ</t>
    </rPh>
    <rPh sb="248" eb="250">
      <t>コウホウ</t>
    </rPh>
    <rPh sb="251" eb="254">
      <t>マイネンド</t>
    </rPh>
    <rPh sb="254" eb="256">
      <t>ジッシ</t>
    </rPh>
    <rPh sb="261" eb="263">
      <t>レイワ</t>
    </rPh>
    <rPh sb="264" eb="266">
      <t>ネンド</t>
    </rPh>
    <rPh sb="268" eb="270">
      <t>レイワ</t>
    </rPh>
    <rPh sb="271" eb="273">
      <t>ネンド</t>
    </rPh>
    <rPh sb="276" eb="278">
      <t>ケイカク</t>
    </rPh>
    <rPh sb="282" eb="285">
      <t>リシュウリツ</t>
    </rPh>
    <rPh sb="286" eb="288">
      <t>タッセイ</t>
    </rPh>
    <rPh sb="292" eb="294">
      <t>ミコ</t>
    </rPh>
    <rPh sb="302" eb="304">
      <t>ジュギョウ</t>
    </rPh>
    <rPh sb="304" eb="306">
      <t>ヒョウカ</t>
    </rPh>
    <rPh sb="312" eb="313">
      <t>カク</t>
    </rPh>
    <rPh sb="313" eb="315">
      <t>ネンド</t>
    </rPh>
    <rPh sb="316" eb="318">
      <t>ジッシ</t>
    </rPh>
    <rPh sb="320" eb="322">
      <t>キョウツウ</t>
    </rPh>
    <rPh sb="322" eb="324">
      <t>キョウイク</t>
    </rPh>
    <rPh sb="329" eb="331">
      <t>カモク</t>
    </rPh>
    <rPh sb="337" eb="339">
      <t>カイギ</t>
    </rPh>
    <rPh sb="349" eb="353">
      <t>ジコテンケン</t>
    </rPh>
    <rPh sb="354" eb="356">
      <t>ヒョウカ</t>
    </rPh>
    <rPh sb="357" eb="358">
      <t>オコナ</t>
    </rPh>
    <rPh sb="362" eb="364">
      <t>ケッカ</t>
    </rPh>
    <rPh sb="365" eb="367">
      <t>キョウツウ</t>
    </rPh>
    <rPh sb="367" eb="369">
      <t>キョウイク</t>
    </rPh>
    <rPh sb="373" eb="376">
      <t>イインカイ</t>
    </rPh>
    <rPh sb="377" eb="379">
      <t>ブンセキ</t>
    </rPh>
    <rPh sb="381" eb="384">
      <t>ホンキョウイク</t>
    </rPh>
    <rPh sb="390" eb="392">
      <t>カイゼン</t>
    </rPh>
    <rPh sb="393" eb="395">
      <t>シンカ</t>
    </rPh>
    <rPh sb="404" eb="406">
      <t>レイワ</t>
    </rPh>
    <rPh sb="407" eb="409">
      <t>ネンド</t>
    </rPh>
    <rPh sb="409" eb="411">
      <t>イコウ</t>
    </rPh>
    <rPh sb="412" eb="415">
      <t>リシュウシャ</t>
    </rPh>
    <rPh sb="415" eb="416">
      <t>スウ</t>
    </rPh>
    <rPh sb="416" eb="418">
      <t>ゾウカ</t>
    </rPh>
    <rPh sb="424" eb="425">
      <t>シタガ</t>
    </rPh>
    <rPh sb="428" eb="431">
      <t>カクネンド</t>
    </rPh>
    <rPh sb="432" eb="435">
      <t>モクヒョウチ</t>
    </rPh>
    <rPh sb="436" eb="438">
      <t>タッセイ</t>
    </rPh>
    <rPh sb="443" eb="446">
      <t>グタイテキ</t>
    </rPh>
    <rPh sb="447" eb="449">
      <t>ホウサク</t>
    </rPh>
    <rPh sb="450" eb="452">
      <t>イカ</t>
    </rPh>
    <rPh sb="461" eb="463">
      <t>レイワ</t>
    </rPh>
    <rPh sb="464" eb="466">
      <t>ネンド</t>
    </rPh>
    <rPh sb="467" eb="470">
      <t>セツメイカイ</t>
    </rPh>
    <rPh sb="471" eb="475">
      <t>ガクシュウシエン</t>
    </rPh>
    <rPh sb="479" eb="480">
      <t>トウ</t>
    </rPh>
    <rPh sb="481" eb="482">
      <t>トオ</t>
    </rPh>
    <rPh sb="484" eb="486">
      <t>コウホウ</t>
    </rPh>
    <rPh sb="487" eb="489">
      <t>ジュギョウ</t>
    </rPh>
    <rPh sb="489" eb="491">
      <t>ヒョウカ</t>
    </rPh>
    <rPh sb="497" eb="499">
      <t>ジッシ</t>
    </rPh>
    <rPh sb="500" eb="502">
      <t>ブンセキ</t>
    </rPh>
    <rPh sb="503" eb="505">
      <t>レイワ</t>
    </rPh>
    <rPh sb="506" eb="508">
      <t>ネンド</t>
    </rPh>
    <rPh sb="509" eb="511">
      <t>ドウジョウ</t>
    </rPh>
    <rPh sb="512" eb="514">
      <t>レイワ</t>
    </rPh>
    <rPh sb="515" eb="517">
      <t>ネンド</t>
    </rPh>
    <rPh sb="518" eb="520">
      <t>ドウジョウ</t>
    </rPh>
    <rPh sb="521" eb="524">
      <t>ホンキョウイク</t>
    </rPh>
    <rPh sb="530" eb="532">
      <t>カイゼン</t>
    </rPh>
    <rPh sb="533" eb="535">
      <t>シンカ</t>
    </rPh>
    <rPh sb="536" eb="538">
      <t>レイワ</t>
    </rPh>
    <rPh sb="539" eb="541">
      <t>ネンド</t>
    </rPh>
    <rPh sb="542" eb="544">
      <t>ドウジョウ</t>
    </rPh>
    <rPh sb="545" eb="546">
      <t>アタラ</t>
    </rPh>
    <rPh sb="548" eb="550">
      <t>キョウイク</t>
    </rPh>
    <rPh sb="556" eb="558">
      <t>ジッシ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</si>
</sst>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1">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Fill="1" applyBorder="1" applyAlignment="1">
      <alignment vertical="center" shrinkToFit="1"/>
    </xf>
    <xf numFmtId="0" fontId="9" fillId="0" borderId="3" xfId="0" applyFont="1" applyFill="1" applyBorder="1" applyAlignment="1">
      <alignment vertical="center" shrinkToFit="1"/>
    </xf>
    <xf numFmtId="0" fontId="9" fillId="0" borderId="4" xfId="0" applyFont="1" applyFill="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22" xfId="0" applyFont="1" applyFill="1" applyBorder="1" applyAlignment="1">
      <alignment horizontal="left" vertical="center" wrapText="1" shrinkToFit="1"/>
    </xf>
    <xf numFmtId="0" fontId="8" fillId="0" borderId="22" xfId="0" applyFont="1" applyFill="1" applyBorder="1" applyAlignment="1">
      <alignment horizontal="left" vertical="center" shrinkToFit="1"/>
    </xf>
    <xf numFmtId="0" fontId="8" fillId="0" borderId="21" xfId="0" applyFont="1" applyFill="1" applyBorder="1" applyAlignment="1">
      <alignment horizontal="left" vertical="center" shrinkToFit="1"/>
    </xf>
    <xf numFmtId="0" fontId="8" fillId="0" borderId="6" xfId="0" applyFont="1" applyFill="1" applyBorder="1" applyAlignment="1">
      <alignment horizontal="left" vertical="center" wrapText="1" shrinkToFit="1"/>
    </xf>
    <xf numFmtId="0" fontId="8" fillId="0" borderId="6" xfId="0" applyFont="1" applyFill="1" applyBorder="1" applyAlignment="1">
      <alignment horizontal="left" vertical="center" shrinkToFit="1"/>
    </xf>
    <xf numFmtId="0" fontId="8" fillId="0" borderId="12" xfId="0" applyFont="1" applyFill="1" applyBorder="1" applyAlignment="1">
      <alignment horizontal="left" vertical="center" shrinkToFit="1"/>
    </xf>
    <xf numFmtId="0" fontId="8" fillId="0" borderId="41" xfId="0" applyFont="1" applyFill="1" applyBorder="1" applyAlignment="1">
      <alignment horizontal="left" vertical="center" wrapText="1" shrinkToFit="1"/>
    </xf>
    <xf numFmtId="0" fontId="8" fillId="0" borderId="41" xfId="0" applyFont="1" applyFill="1" applyBorder="1" applyAlignment="1">
      <alignment horizontal="left" vertical="center" shrinkToFit="1"/>
    </xf>
    <xf numFmtId="0" fontId="8" fillId="0" borderId="42" xfId="0" applyFont="1" applyFill="1" applyBorder="1" applyAlignment="1">
      <alignment horizontal="left" vertical="center" shrinkToFit="1"/>
    </xf>
    <xf numFmtId="0" fontId="8" fillId="0" borderId="39" xfId="0" applyFont="1" applyFill="1" applyBorder="1" applyAlignment="1">
      <alignment horizontal="left" vertical="center" wrapText="1" shrinkToFit="1"/>
    </xf>
    <xf numFmtId="0" fontId="8" fillId="0" borderId="39" xfId="0" applyFont="1" applyFill="1" applyBorder="1" applyAlignment="1">
      <alignment horizontal="left" vertical="center" shrinkToFit="1"/>
    </xf>
    <xf numFmtId="0" fontId="8" fillId="0" borderId="38" xfId="0" applyFont="1" applyFill="1" applyBorder="1" applyAlignment="1">
      <alignment horizontal="left" vertical="center" shrinkToFit="1"/>
    </xf>
    <xf numFmtId="0" fontId="8" fillId="0" borderId="0" xfId="0" applyFont="1" applyAlignment="1">
      <alignment vertical="center" wrapText="1"/>
    </xf>
    <xf numFmtId="0" fontId="18" fillId="0" borderId="0" xfId="0" applyFont="1" applyAlignment="1">
      <alignment horizontal="center" vertical="center"/>
    </xf>
    <xf numFmtId="0" fontId="8" fillId="0" borderId="7" xfId="0" applyFont="1" applyBorder="1" applyAlignment="1">
      <alignment horizontal="left" vertical="top"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21"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8" xfId="0" applyFont="1" applyFill="1" applyBorder="1" applyAlignment="1">
      <alignment horizontal="left" vertical="center" wrapText="1" shrinkToFit="1"/>
    </xf>
    <xf numFmtId="0" fontId="8" fillId="0" borderId="8" xfId="0" applyFont="1" applyFill="1" applyBorder="1" applyAlignment="1">
      <alignment horizontal="left" vertical="center" shrinkToFit="1"/>
    </xf>
    <xf numFmtId="0" fontId="8" fillId="0" borderId="9" xfId="0" applyFont="1" applyFill="1" applyBorder="1" applyAlignment="1">
      <alignment horizontal="left" vertical="center" shrinkToFit="1"/>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Fill="1" applyBorder="1" applyAlignment="1">
      <alignment horizontal="center" vertical="center" shrinkToFit="1"/>
    </xf>
    <xf numFmtId="0" fontId="11" fillId="0" borderId="3" xfId="2" applyFont="1" applyFill="1" applyBorder="1" applyAlignment="1">
      <alignment horizontal="center" vertical="center" shrinkToFit="1"/>
    </xf>
    <xf numFmtId="0" fontId="11" fillId="0" borderId="4" xfId="2" applyFont="1" applyFill="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_s@kokugakuin.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kokugakuin.ac.jp/education/curriculum/p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kokugakuin.ac.jp/education/curriculum/p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K15" sqref="K15"/>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38" t="s">
        <v>25</v>
      </c>
      <c r="N1" s="138"/>
    </row>
    <row r="2" spans="1:15" ht="24" customHeight="1" x14ac:dyDescent="0.15">
      <c r="A2" s="142" t="s">
        <v>83</v>
      </c>
      <c r="B2" s="142"/>
      <c r="C2" s="142"/>
      <c r="D2" s="142"/>
      <c r="E2" s="142"/>
      <c r="F2" s="142"/>
      <c r="G2" s="142"/>
      <c r="H2" s="142"/>
      <c r="I2" s="142"/>
      <c r="J2" s="142"/>
      <c r="K2" s="142"/>
      <c r="L2" s="142"/>
      <c r="M2" s="142"/>
      <c r="N2" s="142"/>
    </row>
    <row r="3" spans="1:15" ht="24" customHeight="1" x14ac:dyDescent="0.15"/>
    <row r="4" spans="1:15" ht="24" customHeight="1" x14ac:dyDescent="0.15">
      <c r="A4" s="14" t="s">
        <v>6</v>
      </c>
      <c r="B4" s="15" t="s">
        <v>16</v>
      </c>
      <c r="C4" s="130" t="s">
        <v>149</v>
      </c>
      <c r="D4" s="131"/>
      <c r="E4" s="131"/>
      <c r="F4" s="131"/>
      <c r="G4" s="131"/>
      <c r="H4" s="131"/>
      <c r="I4" s="131"/>
      <c r="J4" s="131"/>
      <c r="K4" s="131"/>
      <c r="L4" s="131"/>
      <c r="M4" s="131"/>
      <c r="N4" s="137"/>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30" t="s">
        <v>150</v>
      </c>
      <c r="E6" s="131"/>
      <c r="F6" s="131"/>
      <c r="G6" s="131"/>
      <c r="H6" s="137"/>
      <c r="I6" s="17" t="s">
        <v>86</v>
      </c>
      <c r="J6" s="37" t="s">
        <v>87</v>
      </c>
      <c r="K6" s="130" t="s">
        <v>151</v>
      </c>
      <c r="L6" s="131"/>
      <c r="M6" s="131"/>
      <c r="N6" s="137"/>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30" t="s">
        <v>152</v>
      </c>
      <c r="D8" s="131"/>
      <c r="E8" s="131"/>
      <c r="F8" s="131"/>
      <c r="G8" s="131"/>
      <c r="H8" s="131"/>
      <c r="I8" s="131"/>
      <c r="J8" s="131"/>
      <c r="K8" s="131"/>
      <c r="L8" s="131"/>
      <c r="M8" s="131"/>
      <c r="N8" s="137"/>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30" t="s">
        <v>153</v>
      </c>
      <c r="F10" s="131"/>
      <c r="G10" s="131"/>
      <c r="H10" s="131"/>
      <c r="I10" s="131"/>
      <c r="J10" s="131"/>
      <c r="K10" s="131"/>
      <c r="L10" s="131"/>
      <c r="M10" s="131"/>
      <c r="N10" s="137"/>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43" t="s">
        <v>154</v>
      </c>
      <c r="F12" s="144"/>
      <c r="G12" s="17" t="s">
        <v>96</v>
      </c>
      <c r="H12" s="14" t="s">
        <v>97</v>
      </c>
      <c r="N12" s="117" t="s">
        <v>155</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39" t="s">
        <v>5</v>
      </c>
      <c r="D14" s="140"/>
      <c r="E14" s="134">
        <v>254</v>
      </c>
      <c r="F14" s="135"/>
      <c r="G14" s="18" t="s">
        <v>7</v>
      </c>
      <c r="I14" s="139" t="s">
        <v>8</v>
      </c>
      <c r="J14" s="140"/>
      <c r="K14" s="134">
        <v>644</v>
      </c>
      <c r="L14" s="141"/>
      <c r="M14" s="135"/>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22">
        <v>4</v>
      </c>
      <c r="L16" s="123"/>
      <c r="M16" s="124"/>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4">
        <v>2210</v>
      </c>
      <c r="F18" s="135"/>
      <c r="G18" s="21" t="s">
        <v>21</v>
      </c>
      <c r="H18" s="20"/>
      <c r="K18" s="136"/>
      <c r="L18" s="136"/>
      <c r="M18" s="136"/>
      <c r="N18" s="136"/>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25">
        <v>9810</v>
      </c>
      <c r="K20" s="126"/>
      <c r="L20" s="127"/>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34">
        <v>2321</v>
      </c>
      <c r="D22" s="135"/>
      <c r="E22" s="10" t="s">
        <v>22</v>
      </c>
      <c r="F22" s="20"/>
      <c r="G22" s="128" t="s">
        <v>18</v>
      </c>
      <c r="H22" s="128"/>
      <c r="I22" s="134">
        <v>2254</v>
      </c>
      <c r="J22" s="135"/>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34">
        <v>2413</v>
      </c>
      <c r="D24" s="135"/>
      <c r="E24" s="10" t="s">
        <v>22</v>
      </c>
      <c r="F24" s="20"/>
      <c r="G24" s="128" t="s">
        <v>20</v>
      </c>
      <c r="H24" s="128"/>
      <c r="I24" s="134">
        <v>2822</v>
      </c>
      <c r="J24" s="135"/>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34"/>
      <c r="D26" s="135"/>
      <c r="E26" s="10" t="s">
        <v>7</v>
      </c>
      <c r="F26" s="20"/>
      <c r="G26" s="128" t="s">
        <v>47</v>
      </c>
      <c r="H26" s="128"/>
      <c r="I26" s="134"/>
      <c r="J26" s="135"/>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29" t="s">
        <v>74</v>
      </c>
      <c r="C29" s="129"/>
      <c r="D29" s="130" t="s">
        <v>187</v>
      </c>
      <c r="E29" s="131"/>
      <c r="F29" s="131"/>
      <c r="G29" s="132" t="s">
        <v>23</v>
      </c>
      <c r="H29" s="129"/>
      <c r="I29" s="133"/>
      <c r="J29" s="130" t="s">
        <v>188</v>
      </c>
      <c r="K29" s="131"/>
      <c r="L29" s="131"/>
      <c r="M29" s="131"/>
      <c r="N29" s="137"/>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0" t="s">
        <v>158</v>
      </c>
      <c r="C32" s="131"/>
      <c r="D32" s="131"/>
      <c r="E32" s="131"/>
      <c r="F32" s="131"/>
      <c r="G32" s="131"/>
      <c r="H32" s="131"/>
      <c r="I32" s="131"/>
      <c r="J32" s="131"/>
      <c r="K32" s="131"/>
      <c r="L32" s="131"/>
      <c r="M32" s="131"/>
      <c r="N32" s="137"/>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29" t="s">
        <v>74</v>
      </c>
      <c r="C34" s="129"/>
      <c r="D34" s="130" t="s">
        <v>156</v>
      </c>
      <c r="E34" s="131"/>
      <c r="F34" s="131"/>
      <c r="G34" s="132" t="s">
        <v>55</v>
      </c>
      <c r="H34" s="129"/>
      <c r="I34" s="133"/>
      <c r="J34" s="130" t="s">
        <v>157</v>
      </c>
      <c r="K34" s="131"/>
      <c r="L34" s="131"/>
      <c r="M34" s="131"/>
      <c r="N34" s="137"/>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30" t="s">
        <v>190</v>
      </c>
      <c r="C37" s="131"/>
      <c r="D37" s="131"/>
      <c r="E37" s="131"/>
      <c r="F37" s="131"/>
      <c r="G37" s="131"/>
      <c r="H37" s="131"/>
      <c r="I37" s="131"/>
      <c r="J37" s="131"/>
      <c r="K37" s="131"/>
      <c r="L37" s="131"/>
      <c r="M37" s="131"/>
      <c r="N37" s="137"/>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29" t="s">
        <v>74</v>
      </c>
      <c r="C39" s="129"/>
      <c r="D39" s="130" t="s">
        <v>156</v>
      </c>
      <c r="E39" s="131"/>
      <c r="F39" s="131"/>
      <c r="G39" s="132" t="s">
        <v>55</v>
      </c>
      <c r="H39" s="129"/>
      <c r="I39" s="133"/>
      <c r="J39" s="130" t="s">
        <v>157</v>
      </c>
      <c r="K39" s="131"/>
      <c r="L39" s="131"/>
      <c r="M39" s="131"/>
      <c r="N39" s="137"/>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3" t="s">
        <v>69</v>
      </c>
      <c r="E41" s="74"/>
      <c r="F41" s="130" t="s">
        <v>159</v>
      </c>
      <c r="G41" s="131"/>
      <c r="H41" s="131"/>
      <c r="I41" s="131"/>
      <c r="J41" s="131"/>
      <c r="K41" s="131"/>
      <c r="L41" s="131"/>
      <c r="M41" s="131"/>
      <c r="N41" s="137"/>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51" t="s">
        <v>160</v>
      </c>
      <c r="D44" s="152"/>
      <c r="E44" s="152"/>
      <c r="F44" s="152"/>
      <c r="G44" s="152"/>
      <c r="H44" s="152"/>
      <c r="I44" s="26" t="s">
        <v>2</v>
      </c>
      <c r="J44" s="27"/>
      <c r="K44" s="130" t="s">
        <v>161</v>
      </c>
      <c r="L44" s="131"/>
      <c r="M44" s="131"/>
      <c r="N44" s="137"/>
      <c r="O44" s="31" t="str">
        <f>IF(OR(C44="",K44=""),"入力してください","")</f>
        <v/>
      </c>
    </row>
    <row r="45" spans="1:15" ht="24" customHeight="1" x14ac:dyDescent="0.15">
      <c r="B45" s="25" t="s">
        <v>4</v>
      </c>
      <c r="C45" s="145" t="s">
        <v>162</v>
      </c>
      <c r="D45" s="146"/>
      <c r="E45" s="146"/>
      <c r="F45" s="146"/>
      <c r="G45" s="146"/>
      <c r="H45" s="147"/>
      <c r="I45" s="26" t="s">
        <v>3</v>
      </c>
      <c r="J45" s="27"/>
      <c r="K45" s="148" t="s">
        <v>163</v>
      </c>
      <c r="L45" s="149"/>
      <c r="M45" s="149"/>
      <c r="N45" s="150"/>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05E25DD0-9CA6-449C-8106-511F3E909FD8}"/>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zoomScaleNormal="100" zoomScaleSheetLayoutView="100" workbookViewId="0">
      <selection activeCell="O4" sqref="O4:Z4"/>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4" t="s">
        <v>113</v>
      </c>
      <c r="X1" s="174"/>
      <c r="Y1" s="174"/>
      <c r="Z1" s="174"/>
    </row>
    <row r="2" spans="1:26" ht="18" customHeight="1" x14ac:dyDescent="0.15">
      <c r="A2" s="215" t="s">
        <v>67</v>
      </c>
      <c r="B2" s="215"/>
      <c r="C2" s="215"/>
      <c r="D2" s="215"/>
      <c r="E2" s="215"/>
      <c r="F2" s="215"/>
      <c r="G2" s="215"/>
      <c r="H2" s="215"/>
      <c r="I2" s="215"/>
      <c r="J2" s="215"/>
      <c r="K2" s="215"/>
      <c r="L2" s="215"/>
      <c r="M2" s="215"/>
      <c r="N2" s="215"/>
      <c r="O2" s="215"/>
      <c r="P2" s="215"/>
      <c r="Q2" s="215"/>
      <c r="R2" s="215"/>
      <c r="S2" s="215"/>
      <c r="T2" s="215"/>
      <c r="U2" s="215"/>
      <c r="V2" s="215"/>
      <c r="W2" s="215"/>
      <c r="X2" s="215"/>
      <c r="Y2" s="215"/>
      <c r="Z2" s="21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22" t="s">
        <v>164</v>
      </c>
      <c r="P4" s="123"/>
      <c r="Q4" s="123"/>
      <c r="R4" s="123"/>
      <c r="S4" s="123"/>
      <c r="T4" s="123"/>
      <c r="U4" s="123"/>
      <c r="V4" s="123"/>
      <c r="W4" s="123"/>
      <c r="X4" s="123"/>
      <c r="Y4" s="123"/>
      <c r="Z4" s="124"/>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16" t="s">
        <v>169</v>
      </c>
      <c r="C6" s="217"/>
      <c r="D6" s="217"/>
      <c r="E6" s="217"/>
      <c r="F6" s="217"/>
      <c r="G6" s="217"/>
      <c r="H6" s="217"/>
      <c r="I6" s="217"/>
      <c r="J6" s="217"/>
      <c r="K6" s="217"/>
      <c r="L6" s="217"/>
      <c r="M6" s="217"/>
      <c r="N6" s="217"/>
      <c r="O6" s="217"/>
      <c r="P6" s="217"/>
      <c r="Q6" s="217"/>
      <c r="R6" s="217"/>
      <c r="S6" s="217"/>
      <c r="T6" s="217"/>
      <c r="U6" s="217"/>
      <c r="V6" s="217"/>
      <c r="W6" s="217"/>
      <c r="X6" s="217"/>
      <c r="Y6" s="217"/>
      <c r="Z6" s="218"/>
    </row>
    <row r="7" spans="1:26" ht="18" customHeight="1" x14ac:dyDescent="0.15">
      <c r="B7" s="219"/>
      <c r="C7" s="220"/>
      <c r="D7" s="220"/>
      <c r="E7" s="220"/>
      <c r="F7" s="220"/>
      <c r="G7" s="220"/>
      <c r="H7" s="220"/>
      <c r="I7" s="220"/>
      <c r="J7" s="220"/>
      <c r="K7" s="220"/>
      <c r="L7" s="220"/>
      <c r="M7" s="220"/>
      <c r="N7" s="220"/>
      <c r="O7" s="220"/>
      <c r="P7" s="220"/>
      <c r="Q7" s="220"/>
      <c r="R7" s="220"/>
      <c r="S7" s="220"/>
      <c r="T7" s="220"/>
      <c r="U7" s="220"/>
      <c r="V7" s="220"/>
      <c r="W7" s="220"/>
      <c r="X7" s="220"/>
      <c r="Y7" s="220"/>
      <c r="Z7" s="221"/>
    </row>
    <row r="8" spans="1:26" ht="18" customHeight="1" x14ac:dyDescent="0.15">
      <c r="B8" s="219"/>
      <c r="C8" s="220"/>
      <c r="D8" s="220"/>
      <c r="E8" s="220"/>
      <c r="F8" s="220"/>
      <c r="G8" s="220"/>
      <c r="H8" s="220"/>
      <c r="I8" s="220"/>
      <c r="J8" s="220"/>
      <c r="K8" s="220"/>
      <c r="L8" s="220"/>
      <c r="M8" s="220"/>
      <c r="N8" s="220"/>
      <c r="O8" s="220"/>
      <c r="P8" s="220"/>
      <c r="Q8" s="220"/>
      <c r="R8" s="220"/>
      <c r="S8" s="220"/>
      <c r="T8" s="220"/>
      <c r="U8" s="220"/>
      <c r="V8" s="220"/>
      <c r="W8" s="220"/>
      <c r="X8" s="220"/>
      <c r="Y8" s="220"/>
      <c r="Z8" s="221"/>
    </row>
    <row r="9" spans="1:26" ht="18" customHeight="1" x14ac:dyDescent="0.15">
      <c r="B9" s="219"/>
      <c r="C9" s="220"/>
      <c r="D9" s="220"/>
      <c r="E9" s="220"/>
      <c r="F9" s="220"/>
      <c r="G9" s="220"/>
      <c r="H9" s="220"/>
      <c r="I9" s="220"/>
      <c r="J9" s="220"/>
      <c r="K9" s="220"/>
      <c r="L9" s="220"/>
      <c r="M9" s="220"/>
      <c r="N9" s="220"/>
      <c r="O9" s="220"/>
      <c r="P9" s="220"/>
      <c r="Q9" s="220"/>
      <c r="R9" s="220"/>
      <c r="S9" s="220"/>
      <c r="T9" s="220"/>
      <c r="U9" s="220"/>
      <c r="V9" s="220"/>
      <c r="W9" s="220"/>
      <c r="X9" s="220"/>
      <c r="Y9" s="220"/>
      <c r="Z9" s="221"/>
    </row>
    <row r="10" spans="1:26" ht="18" customHeight="1" x14ac:dyDescent="0.15">
      <c r="B10" s="219"/>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1"/>
    </row>
    <row r="11" spans="1:26" ht="18" customHeight="1" x14ac:dyDescent="0.15">
      <c r="B11" s="223"/>
      <c r="C11" s="224"/>
      <c r="D11" s="224"/>
      <c r="E11" s="224"/>
      <c r="F11" s="224"/>
      <c r="G11" s="224"/>
      <c r="H11" s="224"/>
      <c r="I11" s="224"/>
      <c r="J11" s="224"/>
      <c r="K11" s="224"/>
      <c r="L11" s="224"/>
      <c r="M11" s="224"/>
      <c r="N11" s="224"/>
      <c r="O11" s="224"/>
      <c r="P11" s="224"/>
      <c r="Q11" s="224"/>
      <c r="R11" s="224"/>
      <c r="S11" s="224"/>
      <c r="T11" s="224"/>
      <c r="U11" s="224"/>
      <c r="V11" s="224"/>
      <c r="W11" s="224"/>
      <c r="X11" s="224"/>
      <c r="Y11" s="224"/>
      <c r="Z11" s="225"/>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4" t="s">
        <v>126</v>
      </c>
      <c r="B13" s="214"/>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row>
    <row r="14" spans="1:26" ht="18" customHeight="1" x14ac:dyDescent="0.15">
      <c r="A14" s="214"/>
      <c r="B14" s="214"/>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row>
    <row r="15" spans="1:26" ht="18" customHeight="1" x14ac:dyDescent="0.15">
      <c r="A15" s="14"/>
      <c r="B15" s="122" t="s">
        <v>100</v>
      </c>
      <c r="C15" s="123"/>
      <c r="D15" s="123"/>
      <c r="E15" s="123"/>
      <c r="F15" s="124"/>
      <c r="G15" s="30" t="s">
        <v>142</v>
      </c>
      <c r="H15" s="112" t="s">
        <v>141</v>
      </c>
      <c r="I15" s="123" t="s">
        <v>101</v>
      </c>
      <c r="J15" s="123"/>
      <c r="K15" s="123"/>
      <c r="L15" s="75" t="s">
        <v>104</v>
      </c>
      <c r="M15" s="75" t="s">
        <v>107</v>
      </c>
      <c r="N15" s="122" t="s">
        <v>100</v>
      </c>
      <c r="O15" s="123"/>
      <c r="P15" s="123"/>
      <c r="Q15" s="123"/>
      <c r="R15" s="123"/>
      <c r="S15" s="124"/>
      <c r="T15" s="30" t="s">
        <v>142</v>
      </c>
      <c r="U15" s="112" t="s">
        <v>141</v>
      </c>
      <c r="V15" s="123" t="s">
        <v>101</v>
      </c>
      <c r="W15" s="123"/>
      <c r="X15" s="123"/>
      <c r="Y15" s="75" t="s">
        <v>104</v>
      </c>
      <c r="Z15" s="75" t="s">
        <v>107</v>
      </c>
    </row>
    <row r="16" spans="1:26" ht="18" customHeight="1" x14ac:dyDescent="0.15">
      <c r="A16" s="14"/>
      <c r="B16" s="175" t="s">
        <v>167</v>
      </c>
      <c r="C16" s="176"/>
      <c r="D16" s="176"/>
      <c r="E16" s="176"/>
      <c r="F16" s="177"/>
      <c r="G16" s="113">
        <v>2</v>
      </c>
      <c r="H16" s="113" t="s">
        <v>165</v>
      </c>
      <c r="I16" s="181" t="s">
        <v>166</v>
      </c>
      <c r="J16" s="182"/>
      <c r="K16" s="183"/>
      <c r="L16" s="113" t="s">
        <v>165</v>
      </c>
      <c r="M16" s="113" t="s">
        <v>165</v>
      </c>
      <c r="N16" s="153"/>
      <c r="O16" s="154"/>
      <c r="P16" s="154"/>
      <c r="Q16" s="154"/>
      <c r="R16" s="154"/>
      <c r="S16" s="155"/>
      <c r="T16" s="113"/>
      <c r="U16" s="113"/>
      <c r="V16" s="181"/>
      <c r="W16" s="182"/>
      <c r="X16" s="183"/>
      <c r="Y16" s="113"/>
      <c r="Z16" s="113"/>
    </row>
    <row r="17" spans="1:26" ht="18" customHeight="1" x14ac:dyDescent="0.15">
      <c r="A17" s="14"/>
      <c r="B17" s="168"/>
      <c r="C17" s="169"/>
      <c r="D17" s="169"/>
      <c r="E17" s="169"/>
      <c r="F17" s="170"/>
      <c r="G17" s="114"/>
      <c r="H17" s="114"/>
      <c r="I17" s="162"/>
      <c r="J17" s="163"/>
      <c r="K17" s="164"/>
      <c r="L17" s="114"/>
      <c r="M17" s="114"/>
      <c r="N17" s="156"/>
      <c r="O17" s="157"/>
      <c r="P17" s="157"/>
      <c r="Q17" s="157"/>
      <c r="R17" s="157"/>
      <c r="S17" s="158"/>
      <c r="T17" s="114"/>
      <c r="U17" s="114"/>
      <c r="V17" s="162"/>
      <c r="W17" s="163"/>
      <c r="X17" s="164"/>
      <c r="Y17" s="114"/>
      <c r="Z17" s="114"/>
    </row>
    <row r="18" spans="1:26" ht="18" customHeight="1" x14ac:dyDescent="0.15">
      <c r="A18" s="14"/>
      <c r="B18" s="168"/>
      <c r="C18" s="169"/>
      <c r="D18" s="169"/>
      <c r="E18" s="169"/>
      <c r="F18" s="170"/>
      <c r="G18" s="114"/>
      <c r="H18" s="114"/>
      <c r="I18" s="162"/>
      <c r="J18" s="163"/>
      <c r="K18" s="164"/>
      <c r="L18" s="114"/>
      <c r="M18" s="114"/>
      <c r="N18" s="156"/>
      <c r="O18" s="157"/>
      <c r="P18" s="157"/>
      <c r="Q18" s="157"/>
      <c r="R18" s="157"/>
      <c r="S18" s="158"/>
      <c r="T18" s="114"/>
      <c r="U18" s="114"/>
      <c r="V18" s="162"/>
      <c r="W18" s="163"/>
      <c r="X18" s="164"/>
      <c r="Y18" s="114"/>
      <c r="Z18" s="114"/>
    </row>
    <row r="19" spans="1:26" ht="18" customHeight="1" x14ac:dyDescent="0.15">
      <c r="A19" s="14"/>
      <c r="B19" s="168"/>
      <c r="C19" s="169"/>
      <c r="D19" s="169"/>
      <c r="E19" s="169"/>
      <c r="F19" s="170"/>
      <c r="G19" s="114"/>
      <c r="H19" s="114"/>
      <c r="I19" s="162"/>
      <c r="J19" s="163"/>
      <c r="K19" s="164"/>
      <c r="L19" s="114"/>
      <c r="M19" s="114"/>
      <c r="N19" s="156"/>
      <c r="O19" s="157"/>
      <c r="P19" s="157"/>
      <c r="Q19" s="157"/>
      <c r="R19" s="157"/>
      <c r="S19" s="158"/>
      <c r="T19" s="114"/>
      <c r="U19" s="114"/>
      <c r="V19" s="162"/>
      <c r="W19" s="163"/>
      <c r="X19" s="164"/>
      <c r="Y19" s="114"/>
      <c r="Z19" s="114"/>
    </row>
    <row r="20" spans="1:26" ht="18" customHeight="1" x14ac:dyDescent="0.15">
      <c r="A20" s="14"/>
      <c r="B20" s="168"/>
      <c r="C20" s="169"/>
      <c r="D20" s="169"/>
      <c r="E20" s="169"/>
      <c r="F20" s="170"/>
      <c r="G20" s="114"/>
      <c r="H20" s="114"/>
      <c r="I20" s="162"/>
      <c r="J20" s="163"/>
      <c r="K20" s="164"/>
      <c r="L20" s="114"/>
      <c r="M20" s="114"/>
      <c r="N20" s="156"/>
      <c r="O20" s="157"/>
      <c r="P20" s="157"/>
      <c r="Q20" s="157"/>
      <c r="R20" s="157"/>
      <c r="S20" s="158"/>
      <c r="T20" s="114"/>
      <c r="U20" s="114"/>
      <c r="V20" s="162"/>
      <c r="W20" s="163"/>
      <c r="X20" s="164"/>
      <c r="Y20" s="114"/>
      <c r="Z20" s="114"/>
    </row>
    <row r="21" spans="1:26" ht="18" customHeight="1" x14ac:dyDescent="0.15">
      <c r="A21" s="29"/>
      <c r="B21" s="168"/>
      <c r="C21" s="169"/>
      <c r="D21" s="169"/>
      <c r="E21" s="169"/>
      <c r="F21" s="170"/>
      <c r="G21" s="114"/>
      <c r="H21" s="114"/>
      <c r="I21" s="162"/>
      <c r="J21" s="163"/>
      <c r="K21" s="164"/>
      <c r="L21" s="114"/>
      <c r="M21" s="114"/>
      <c r="N21" s="156"/>
      <c r="O21" s="157"/>
      <c r="P21" s="157"/>
      <c r="Q21" s="157"/>
      <c r="R21" s="157"/>
      <c r="S21" s="158"/>
      <c r="T21" s="114"/>
      <c r="U21" s="114"/>
      <c r="V21" s="162"/>
      <c r="W21" s="163"/>
      <c r="X21" s="164"/>
      <c r="Y21" s="114"/>
      <c r="Z21" s="114"/>
    </row>
    <row r="22" spans="1:26" ht="18" customHeight="1" x14ac:dyDescent="0.15">
      <c r="A22" s="29"/>
      <c r="B22" s="171"/>
      <c r="C22" s="172"/>
      <c r="D22" s="172"/>
      <c r="E22" s="172"/>
      <c r="F22" s="173"/>
      <c r="G22" s="115"/>
      <c r="H22" s="115"/>
      <c r="I22" s="165"/>
      <c r="J22" s="166"/>
      <c r="K22" s="167"/>
      <c r="L22" s="121"/>
      <c r="M22" s="121"/>
      <c r="N22" s="159"/>
      <c r="O22" s="160"/>
      <c r="P22" s="160"/>
      <c r="Q22" s="160"/>
      <c r="R22" s="160"/>
      <c r="S22" s="161"/>
      <c r="T22" s="115"/>
      <c r="U22" s="115"/>
      <c r="V22" s="165"/>
      <c r="W22" s="166"/>
      <c r="X22" s="167"/>
      <c r="Y22" s="121"/>
      <c r="Z22" s="121"/>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4" t="s">
        <v>127</v>
      </c>
      <c r="B24" s="214"/>
      <c r="C24" s="214"/>
      <c r="D24" s="214"/>
      <c r="E24" s="214"/>
      <c r="F24" s="214"/>
      <c r="G24" s="214"/>
      <c r="H24" s="214"/>
      <c r="I24" s="214"/>
      <c r="J24" s="214"/>
      <c r="K24" s="214"/>
      <c r="L24" s="214"/>
      <c r="M24" s="214"/>
      <c r="N24" s="214"/>
      <c r="O24" s="214"/>
      <c r="P24" s="214"/>
      <c r="Q24" s="214"/>
      <c r="R24" s="214"/>
      <c r="S24" s="214"/>
      <c r="T24" s="214"/>
      <c r="U24" s="214"/>
      <c r="V24" s="214"/>
      <c r="W24" s="214"/>
      <c r="X24" s="214"/>
      <c r="Y24" s="214"/>
      <c r="Z24" s="214"/>
    </row>
    <row r="25" spans="1:26" ht="18" customHeight="1" x14ac:dyDescent="0.15">
      <c r="A25" s="214"/>
      <c r="B25" s="214"/>
      <c r="C25" s="214"/>
      <c r="D25" s="214"/>
      <c r="E25" s="214"/>
      <c r="F25" s="214"/>
      <c r="G25" s="214"/>
      <c r="H25" s="214"/>
      <c r="I25" s="214"/>
      <c r="J25" s="214"/>
      <c r="K25" s="214"/>
      <c r="L25" s="214"/>
      <c r="M25" s="214"/>
      <c r="N25" s="214"/>
      <c r="O25" s="214"/>
      <c r="P25" s="214"/>
      <c r="Q25" s="214"/>
      <c r="R25" s="214"/>
      <c r="S25" s="214"/>
      <c r="T25" s="214"/>
      <c r="U25" s="214"/>
      <c r="V25" s="214"/>
      <c r="W25" s="214"/>
      <c r="X25" s="214"/>
      <c r="Y25" s="214"/>
      <c r="Z25" s="214"/>
    </row>
    <row r="26" spans="1:26" ht="18" customHeight="1" x14ac:dyDescent="0.15">
      <c r="A26" s="14"/>
      <c r="B26" s="122" t="s">
        <v>100</v>
      </c>
      <c r="C26" s="123"/>
      <c r="D26" s="123"/>
      <c r="E26" s="123"/>
      <c r="F26" s="124"/>
      <c r="G26" s="30" t="s">
        <v>142</v>
      </c>
      <c r="H26" s="112" t="s">
        <v>141</v>
      </c>
      <c r="I26" s="123" t="s">
        <v>101</v>
      </c>
      <c r="J26" s="123"/>
      <c r="K26" s="123"/>
      <c r="L26" s="75" t="s">
        <v>128</v>
      </c>
      <c r="M26" s="75" t="s">
        <v>129</v>
      </c>
      <c r="N26" s="122" t="s">
        <v>100</v>
      </c>
      <c r="O26" s="123"/>
      <c r="P26" s="123"/>
      <c r="Q26" s="123"/>
      <c r="R26" s="123"/>
      <c r="S26" s="124"/>
      <c r="T26" s="30" t="s">
        <v>142</v>
      </c>
      <c r="U26" s="112" t="s">
        <v>141</v>
      </c>
      <c r="V26" s="123" t="s">
        <v>101</v>
      </c>
      <c r="W26" s="123"/>
      <c r="X26" s="123"/>
      <c r="Y26" s="75" t="s">
        <v>128</v>
      </c>
      <c r="Z26" s="75" t="s">
        <v>129</v>
      </c>
    </row>
    <row r="27" spans="1:26" ht="18" customHeight="1" x14ac:dyDescent="0.15">
      <c r="A27" s="14"/>
      <c r="B27" s="175" t="s">
        <v>167</v>
      </c>
      <c r="C27" s="176"/>
      <c r="D27" s="176"/>
      <c r="E27" s="176"/>
      <c r="F27" s="177"/>
      <c r="G27" s="113">
        <v>2</v>
      </c>
      <c r="H27" s="113" t="s">
        <v>165</v>
      </c>
      <c r="I27" s="181" t="s">
        <v>166</v>
      </c>
      <c r="J27" s="182"/>
      <c r="K27" s="183"/>
      <c r="L27" s="113" t="s">
        <v>165</v>
      </c>
      <c r="M27" s="113" t="s">
        <v>165</v>
      </c>
      <c r="N27" s="153"/>
      <c r="O27" s="154"/>
      <c r="P27" s="154"/>
      <c r="Q27" s="154"/>
      <c r="R27" s="154"/>
      <c r="S27" s="155"/>
      <c r="T27" s="113"/>
      <c r="U27" s="113"/>
      <c r="V27" s="181"/>
      <c r="W27" s="182"/>
      <c r="X27" s="183"/>
      <c r="Y27" s="113"/>
      <c r="Z27" s="113"/>
    </row>
    <row r="28" spans="1:26" ht="18" customHeight="1" x14ac:dyDescent="0.15">
      <c r="A28" s="14"/>
      <c r="B28" s="168"/>
      <c r="C28" s="169"/>
      <c r="D28" s="169"/>
      <c r="E28" s="169"/>
      <c r="F28" s="170"/>
      <c r="G28" s="114"/>
      <c r="H28" s="114"/>
      <c r="I28" s="162"/>
      <c r="J28" s="163"/>
      <c r="K28" s="164"/>
      <c r="L28" s="114"/>
      <c r="M28" s="114"/>
      <c r="N28" s="156"/>
      <c r="O28" s="157"/>
      <c r="P28" s="157"/>
      <c r="Q28" s="157"/>
      <c r="R28" s="157"/>
      <c r="S28" s="158"/>
      <c r="T28" s="114"/>
      <c r="U28" s="114"/>
      <c r="V28" s="162"/>
      <c r="W28" s="163"/>
      <c r="X28" s="164"/>
      <c r="Y28" s="114"/>
      <c r="Z28" s="114"/>
    </row>
    <row r="29" spans="1:26" ht="18" customHeight="1" x14ac:dyDescent="0.15">
      <c r="A29" s="14"/>
      <c r="B29" s="168"/>
      <c r="C29" s="169"/>
      <c r="D29" s="169"/>
      <c r="E29" s="169"/>
      <c r="F29" s="170"/>
      <c r="G29" s="114"/>
      <c r="H29" s="114"/>
      <c r="I29" s="162"/>
      <c r="J29" s="163"/>
      <c r="K29" s="164"/>
      <c r="L29" s="114"/>
      <c r="M29" s="114"/>
      <c r="N29" s="156"/>
      <c r="O29" s="157"/>
      <c r="P29" s="157"/>
      <c r="Q29" s="157"/>
      <c r="R29" s="157"/>
      <c r="S29" s="158"/>
      <c r="T29" s="114"/>
      <c r="U29" s="114"/>
      <c r="V29" s="162"/>
      <c r="W29" s="163"/>
      <c r="X29" s="164"/>
      <c r="Y29" s="114"/>
      <c r="Z29" s="114"/>
    </row>
    <row r="30" spans="1:26" ht="18" customHeight="1" x14ac:dyDescent="0.15">
      <c r="A30" s="14"/>
      <c r="B30" s="168"/>
      <c r="C30" s="169"/>
      <c r="D30" s="169"/>
      <c r="E30" s="169"/>
      <c r="F30" s="170"/>
      <c r="G30" s="114"/>
      <c r="H30" s="114"/>
      <c r="I30" s="162"/>
      <c r="J30" s="163"/>
      <c r="K30" s="164"/>
      <c r="L30" s="114"/>
      <c r="M30" s="114"/>
      <c r="N30" s="156"/>
      <c r="O30" s="157"/>
      <c r="P30" s="157"/>
      <c r="Q30" s="157"/>
      <c r="R30" s="157"/>
      <c r="S30" s="158"/>
      <c r="T30" s="114"/>
      <c r="U30" s="114"/>
      <c r="V30" s="162"/>
      <c r="W30" s="163"/>
      <c r="X30" s="164"/>
      <c r="Y30" s="114"/>
      <c r="Z30" s="114"/>
    </row>
    <row r="31" spans="1:26" ht="18" customHeight="1" x14ac:dyDescent="0.15">
      <c r="A31" s="14"/>
      <c r="B31" s="168"/>
      <c r="C31" s="169"/>
      <c r="D31" s="169"/>
      <c r="E31" s="169"/>
      <c r="F31" s="170"/>
      <c r="G31" s="114"/>
      <c r="H31" s="114"/>
      <c r="I31" s="162"/>
      <c r="J31" s="163"/>
      <c r="K31" s="164"/>
      <c r="L31" s="114"/>
      <c r="M31" s="114"/>
      <c r="N31" s="156"/>
      <c r="O31" s="157"/>
      <c r="P31" s="157"/>
      <c r="Q31" s="157"/>
      <c r="R31" s="157"/>
      <c r="S31" s="158"/>
      <c r="T31" s="114"/>
      <c r="U31" s="114"/>
      <c r="V31" s="162"/>
      <c r="W31" s="163"/>
      <c r="X31" s="164"/>
      <c r="Y31" s="114"/>
      <c r="Z31" s="114"/>
    </row>
    <row r="32" spans="1:26" ht="18" customHeight="1" x14ac:dyDescent="0.15">
      <c r="A32" s="14"/>
      <c r="B32" s="168"/>
      <c r="C32" s="169"/>
      <c r="D32" s="169"/>
      <c r="E32" s="169"/>
      <c r="F32" s="170"/>
      <c r="G32" s="114"/>
      <c r="H32" s="114"/>
      <c r="I32" s="162"/>
      <c r="J32" s="163"/>
      <c r="K32" s="164"/>
      <c r="L32" s="114"/>
      <c r="M32" s="114"/>
      <c r="N32" s="156"/>
      <c r="O32" s="157"/>
      <c r="P32" s="157"/>
      <c r="Q32" s="157"/>
      <c r="R32" s="157"/>
      <c r="S32" s="158"/>
      <c r="T32" s="114"/>
      <c r="U32" s="114"/>
      <c r="V32" s="162"/>
      <c r="W32" s="163"/>
      <c r="X32" s="164"/>
      <c r="Y32" s="114"/>
      <c r="Z32" s="114"/>
    </row>
    <row r="33" spans="1:26" ht="18" customHeight="1" x14ac:dyDescent="0.15">
      <c r="A33" s="14"/>
      <c r="B33" s="171"/>
      <c r="C33" s="172"/>
      <c r="D33" s="172"/>
      <c r="E33" s="172"/>
      <c r="F33" s="173"/>
      <c r="G33" s="115"/>
      <c r="H33" s="115"/>
      <c r="I33" s="165"/>
      <c r="J33" s="166"/>
      <c r="K33" s="167"/>
      <c r="L33" s="121"/>
      <c r="M33" s="121"/>
      <c r="N33" s="159"/>
      <c r="O33" s="160"/>
      <c r="P33" s="160"/>
      <c r="Q33" s="160"/>
      <c r="R33" s="160"/>
      <c r="S33" s="161"/>
      <c r="T33" s="115"/>
      <c r="U33" s="115"/>
      <c r="V33" s="165"/>
      <c r="W33" s="166"/>
      <c r="X33" s="167"/>
      <c r="Y33" s="121"/>
      <c r="Z33" s="121"/>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4" t="s">
        <v>130</v>
      </c>
      <c r="B35" s="214"/>
      <c r="C35" s="214"/>
      <c r="D35" s="214"/>
      <c r="E35" s="214"/>
      <c r="F35" s="214"/>
      <c r="G35" s="214"/>
      <c r="H35" s="214"/>
      <c r="I35" s="214"/>
      <c r="J35" s="214"/>
      <c r="K35" s="214"/>
      <c r="L35" s="214"/>
      <c r="M35" s="214"/>
      <c r="N35" s="214"/>
      <c r="O35" s="214"/>
      <c r="P35" s="214"/>
      <c r="Q35" s="214"/>
      <c r="R35" s="214"/>
      <c r="S35" s="214"/>
      <c r="T35" s="214"/>
      <c r="U35" s="214"/>
      <c r="V35" s="214"/>
      <c r="W35" s="214"/>
      <c r="X35" s="214"/>
      <c r="Y35" s="214"/>
      <c r="Z35" s="214"/>
    </row>
    <row r="36" spans="1:26" ht="18" customHeight="1" x14ac:dyDescent="0.15">
      <c r="A36" s="214"/>
      <c r="B36" s="214"/>
      <c r="C36" s="214"/>
      <c r="D36" s="214"/>
      <c r="E36" s="214"/>
      <c r="F36" s="214"/>
      <c r="G36" s="214"/>
      <c r="H36" s="214"/>
      <c r="I36" s="214"/>
      <c r="J36" s="214"/>
      <c r="K36" s="214"/>
      <c r="L36" s="214"/>
      <c r="M36" s="214"/>
      <c r="N36" s="214"/>
      <c r="O36" s="214"/>
      <c r="P36" s="214"/>
      <c r="Q36" s="214"/>
      <c r="R36" s="214"/>
      <c r="S36" s="214"/>
      <c r="T36" s="214"/>
      <c r="U36" s="214"/>
      <c r="V36" s="214"/>
      <c r="W36" s="214"/>
      <c r="X36" s="214"/>
      <c r="Y36" s="214"/>
      <c r="Z36" s="214"/>
    </row>
    <row r="37" spans="1:26" ht="18" customHeight="1" x14ac:dyDescent="0.15">
      <c r="A37" s="14"/>
      <c r="B37" s="122" t="s">
        <v>100</v>
      </c>
      <c r="C37" s="123"/>
      <c r="D37" s="123"/>
      <c r="E37" s="123"/>
      <c r="F37" s="124"/>
      <c r="G37" s="30" t="s">
        <v>142</v>
      </c>
      <c r="H37" s="112" t="s">
        <v>141</v>
      </c>
      <c r="I37" s="122" t="s">
        <v>101</v>
      </c>
      <c r="J37" s="123"/>
      <c r="K37" s="124"/>
      <c r="L37" s="75" t="s">
        <v>131</v>
      </c>
      <c r="M37" s="75" t="s">
        <v>132</v>
      </c>
      <c r="N37" s="122" t="s">
        <v>100</v>
      </c>
      <c r="O37" s="123"/>
      <c r="P37" s="123"/>
      <c r="Q37" s="123"/>
      <c r="R37" s="123"/>
      <c r="S37" s="124"/>
      <c r="T37" s="30" t="s">
        <v>142</v>
      </c>
      <c r="U37" s="112" t="s">
        <v>141</v>
      </c>
      <c r="V37" s="122" t="s">
        <v>101</v>
      </c>
      <c r="W37" s="123"/>
      <c r="X37" s="124"/>
      <c r="Y37" s="75" t="s">
        <v>131</v>
      </c>
      <c r="Z37" s="75" t="s">
        <v>132</v>
      </c>
    </row>
    <row r="38" spans="1:26" ht="18" customHeight="1" x14ac:dyDescent="0.15">
      <c r="A38" s="29"/>
      <c r="B38" s="175" t="s">
        <v>167</v>
      </c>
      <c r="C38" s="176"/>
      <c r="D38" s="176"/>
      <c r="E38" s="176"/>
      <c r="F38" s="177"/>
      <c r="G38" s="113">
        <v>2</v>
      </c>
      <c r="H38" s="113" t="s">
        <v>165</v>
      </c>
      <c r="I38" s="181" t="s">
        <v>166</v>
      </c>
      <c r="J38" s="182"/>
      <c r="K38" s="183"/>
      <c r="L38" s="113" t="s">
        <v>165</v>
      </c>
      <c r="M38" s="113" t="s">
        <v>165</v>
      </c>
      <c r="N38" s="153"/>
      <c r="O38" s="154"/>
      <c r="P38" s="154"/>
      <c r="Q38" s="154"/>
      <c r="R38" s="154"/>
      <c r="S38" s="155"/>
      <c r="T38" s="113"/>
      <c r="U38" s="113"/>
      <c r="V38" s="181"/>
      <c r="W38" s="182"/>
      <c r="X38" s="183"/>
      <c r="Y38" s="113"/>
      <c r="Z38" s="113"/>
    </row>
    <row r="39" spans="1:26" ht="18" customHeight="1" x14ac:dyDescent="0.15">
      <c r="A39" s="29"/>
      <c r="B39" s="168"/>
      <c r="C39" s="169"/>
      <c r="D39" s="169"/>
      <c r="E39" s="169"/>
      <c r="F39" s="170"/>
      <c r="G39" s="114"/>
      <c r="H39" s="114"/>
      <c r="I39" s="162"/>
      <c r="J39" s="163"/>
      <c r="K39" s="164"/>
      <c r="L39" s="114"/>
      <c r="M39" s="114"/>
      <c r="N39" s="156"/>
      <c r="O39" s="157"/>
      <c r="P39" s="157"/>
      <c r="Q39" s="157"/>
      <c r="R39" s="157"/>
      <c r="S39" s="158"/>
      <c r="T39" s="114"/>
      <c r="U39" s="114"/>
      <c r="V39" s="162"/>
      <c r="W39" s="163"/>
      <c r="X39" s="164"/>
      <c r="Y39" s="114"/>
      <c r="Z39" s="114"/>
    </row>
    <row r="40" spans="1:26" ht="18" customHeight="1" x14ac:dyDescent="0.15">
      <c r="A40" s="29"/>
      <c r="B40" s="168"/>
      <c r="C40" s="169"/>
      <c r="D40" s="169"/>
      <c r="E40" s="169"/>
      <c r="F40" s="170"/>
      <c r="G40" s="114"/>
      <c r="H40" s="114"/>
      <c r="I40" s="162"/>
      <c r="J40" s="163"/>
      <c r="K40" s="164"/>
      <c r="L40" s="114"/>
      <c r="M40" s="114"/>
      <c r="N40" s="156"/>
      <c r="O40" s="157"/>
      <c r="P40" s="157"/>
      <c r="Q40" s="157"/>
      <c r="R40" s="157"/>
      <c r="S40" s="158"/>
      <c r="T40" s="114"/>
      <c r="U40" s="114"/>
      <c r="V40" s="162"/>
      <c r="W40" s="163"/>
      <c r="X40" s="164"/>
      <c r="Y40" s="114"/>
      <c r="Z40" s="114"/>
    </row>
    <row r="41" spans="1:26" ht="18" customHeight="1" x14ac:dyDescent="0.15">
      <c r="A41" s="29"/>
      <c r="B41" s="168"/>
      <c r="C41" s="169"/>
      <c r="D41" s="169"/>
      <c r="E41" s="169"/>
      <c r="F41" s="170"/>
      <c r="G41" s="114"/>
      <c r="H41" s="114"/>
      <c r="I41" s="162"/>
      <c r="J41" s="163"/>
      <c r="K41" s="164"/>
      <c r="L41" s="114"/>
      <c r="M41" s="114"/>
      <c r="N41" s="156"/>
      <c r="O41" s="157"/>
      <c r="P41" s="157"/>
      <c r="Q41" s="157"/>
      <c r="R41" s="157"/>
      <c r="S41" s="158"/>
      <c r="T41" s="114"/>
      <c r="U41" s="114"/>
      <c r="V41" s="162"/>
      <c r="W41" s="163"/>
      <c r="X41" s="164"/>
      <c r="Y41" s="114"/>
      <c r="Z41" s="114"/>
    </row>
    <row r="42" spans="1:26" ht="18" customHeight="1" x14ac:dyDescent="0.15">
      <c r="A42" s="29"/>
      <c r="B42" s="168"/>
      <c r="C42" s="169"/>
      <c r="D42" s="169"/>
      <c r="E42" s="169"/>
      <c r="F42" s="170"/>
      <c r="G42" s="114"/>
      <c r="H42" s="114"/>
      <c r="I42" s="162"/>
      <c r="J42" s="163"/>
      <c r="K42" s="164"/>
      <c r="L42" s="114"/>
      <c r="M42" s="114"/>
      <c r="N42" s="156"/>
      <c r="O42" s="157"/>
      <c r="P42" s="157"/>
      <c r="Q42" s="157"/>
      <c r="R42" s="157"/>
      <c r="S42" s="158"/>
      <c r="T42" s="114"/>
      <c r="U42" s="114"/>
      <c r="V42" s="162"/>
      <c r="W42" s="163"/>
      <c r="X42" s="164"/>
      <c r="Y42" s="114"/>
      <c r="Z42" s="114"/>
    </row>
    <row r="43" spans="1:26" ht="18" customHeight="1" x14ac:dyDescent="0.15">
      <c r="A43" s="29"/>
      <c r="B43" s="168"/>
      <c r="C43" s="169"/>
      <c r="D43" s="169"/>
      <c r="E43" s="169"/>
      <c r="F43" s="170"/>
      <c r="G43" s="114"/>
      <c r="H43" s="114"/>
      <c r="I43" s="162"/>
      <c r="J43" s="163"/>
      <c r="K43" s="164"/>
      <c r="L43" s="114"/>
      <c r="M43" s="114"/>
      <c r="N43" s="156"/>
      <c r="O43" s="157"/>
      <c r="P43" s="157"/>
      <c r="Q43" s="157"/>
      <c r="R43" s="157"/>
      <c r="S43" s="158"/>
      <c r="T43" s="114"/>
      <c r="U43" s="114"/>
      <c r="V43" s="162"/>
      <c r="W43" s="163"/>
      <c r="X43" s="164"/>
      <c r="Y43" s="114"/>
      <c r="Z43" s="114"/>
    </row>
    <row r="44" spans="1:26" ht="18" customHeight="1" x14ac:dyDescent="0.15">
      <c r="A44" s="29"/>
      <c r="B44" s="171"/>
      <c r="C44" s="172"/>
      <c r="D44" s="172"/>
      <c r="E44" s="172"/>
      <c r="F44" s="173"/>
      <c r="G44" s="115"/>
      <c r="H44" s="115"/>
      <c r="I44" s="165"/>
      <c r="J44" s="166"/>
      <c r="K44" s="167"/>
      <c r="L44" s="121"/>
      <c r="M44" s="121"/>
      <c r="N44" s="159"/>
      <c r="O44" s="160"/>
      <c r="P44" s="160"/>
      <c r="Q44" s="160"/>
      <c r="R44" s="160"/>
      <c r="S44" s="161"/>
      <c r="T44" s="115"/>
      <c r="U44" s="115"/>
      <c r="V44" s="165"/>
      <c r="W44" s="166"/>
      <c r="X44" s="167"/>
      <c r="Y44" s="121"/>
      <c r="Z44" s="121"/>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4" t="s">
        <v>133</v>
      </c>
      <c r="B46" s="214"/>
      <c r="C46" s="214"/>
      <c r="D46" s="214"/>
      <c r="E46" s="214"/>
      <c r="F46" s="214"/>
      <c r="G46" s="214"/>
      <c r="H46" s="214"/>
      <c r="I46" s="214"/>
      <c r="J46" s="214"/>
      <c r="K46" s="214"/>
      <c r="L46" s="214"/>
      <c r="M46" s="214"/>
      <c r="N46" s="214"/>
      <c r="O46" s="214"/>
      <c r="P46" s="214"/>
      <c r="Q46" s="214"/>
      <c r="R46" s="214"/>
      <c r="S46" s="214"/>
      <c r="T46" s="214"/>
      <c r="U46" s="214"/>
      <c r="V46" s="214"/>
      <c r="W46" s="214"/>
      <c r="X46" s="214"/>
      <c r="Y46" s="214"/>
      <c r="Z46" s="214"/>
    </row>
    <row r="47" spans="1:26" ht="18" customHeight="1" x14ac:dyDescent="0.15">
      <c r="A47" s="214"/>
      <c r="B47" s="214"/>
      <c r="C47" s="214"/>
      <c r="D47" s="214"/>
      <c r="E47" s="214"/>
      <c r="F47" s="214"/>
      <c r="G47" s="214"/>
      <c r="H47" s="214"/>
      <c r="I47" s="214"/>
      <c r="J47" s="214"/>
      <c r="K47" s="214"/>
      <c r="L47" s="214"/>
      <c r="M47" s="214"/>
      <c r="N47" s="214"/>
      <c r="O47" s="214"/>
      <c r="P47" s="214"/>
      <c r="Q47" s="214"/>
      <c r="R47" s="214"/>
      <c r="S47" s="214"/>
      <c r="T47" s="214"/>
      <c r="U47" s="214"/>
      <c r="V47" s="214"/>
      <c r="W47" s="214"/>
      <c r="X47" s="214"/>
      <c r="Y47" s="214"/>
      <c r="Z47" s="214"/>
    </row>
    <row r="48" spans="1:26" ht="18" customHeight="1" x14ac:dyDescent="0.15">
      <c r="A48" s="14"/>
      <c r="B48" s="122" t="s">
        <v>100</v>
      </c>
      <c r="C48" s="123"/>
      <c r="D48" s="123"/>
      <c r="E48" s="123"/>
      <c r="F48" s="124"/>
      <c r="G48" s="30" t="s">
        <v>142</v>
      </c>
      <c r="H48" s="112" t="s">
        <v>141</v>
      </c>
      <c r="I48" s="122" t="s">
        <v>101</v>
      </c>
      <c r="J48" s="123"/>
      <c r="K48" s="124"/>
      <c r="L48" s="75" t="s">
        <v>106</v>
      </c>
      <c r="M48" s="75" t="s">
        <v>108</v>
      </c>
      <c r="N48" s="122" t="s">
        <v>100</v>
      </c>
      <c r="O48" s="123"/>
      <c r="P48" s="123"/>
      <c r="Q48" s="123"/>
      <c r="R48" s="123"/>
      <c r="S48" s="124"/>
      <c r="T48" s="30" t="s">
        <v>142</v>
      </c>
      <c r="U48" s="112" t="s">
        <v>141</v>
      </c>
      <c r="V48" s="122" t="s">
        <v>101</v>
      </c>
      <c r="W48" s="123"/>
      <c r="X48" s="124"/>
      <c r="Y48" s="75" t="s">
        <v>106</v>
      </c>
      <c r="Z48" s="75" t="s">
        <v>108</v>
      </c>
    </row>
    <row r="49" spans="1:26" ht="18" customHeight="1" x14ac:dyDescent="0.15">
      <c r="A49" s="29"/>
      <c r="B49" s="175" t="s">
        <v>167</v>
      </c>
      <c r="C49" s="176"/>
      <c r="D49" s="176"/>
      <c r="E49" s="176"/>
      <c r="F49" s="177"/>
      <c r="G49" s="113">
        <v>2</v>
      </c>
      <c r="H49" s="113" t="s">
        <v>165</v>
      </c>
      <c r="I49" s="181" t="s">
        <v>166</v>
      </c>
      <c r="J49" s="182"/>
      <c r="K49" s="183"/>
      <c r="L49" s="113" t="s">
        <v>165</v>
      </c>
      <c r="M49" s="113" t="s">
        <v>165</v>
      </c>
      <c r="N49" s="153"/>
      <c r="O49" s="154"/>
      <c r="P49" s="154"/>
      <c r="Q49" s="154"/>
      <c r="R49" s="154"/>
      <c r="S49" s="155"/>
      <c r="T49" s="113"/>
      <c r="U49" s="113"/>
      <c r="V49" s="181"/>
      <c r="W49" s="182"/>
      <c r="X49" s="183"/>
      <c r="Y49" s="113"/>
      <c r="Z49" s="113"/>
    </row>
    <row r="50" spans="1:26" ht="18" customHeight="1" x14ac:dyDescent="0.15">
      <c r="A50" s="29"/>
      <c r="B50" s="168"/>
      <c r="C50" s="169"/>
      <c r="D50" s="169"/>
      <c r="E50" s="169"/>
      <c r="F50" s="170"/>
      <c r="G50" s="114"/>
      <c r="H50" s="114"/>
      <c r="I50" s="162"/>
      <c r="J50" s="163"/>
      <c r="K50" s="164"/>
      <c r="L50" s="114"/>
      <c r="M50" s="114"/>
      <c r="N50" s="156"/>
      <c r="O50" s="157"/>
      <c r="P50" s="157"/>
      <c r="Q50" s="157"/>
      <c r="R50" s="157"/>
      <c r="S50" s="158"/>
      <c r="T50" s="114"/>
      <c r="U50" s="114"/>
      <c r="V50" s="162"/>
      <c r="W50" s="163"/>
      <c r="X50" s="164"/>
      <c r="Y50" s="114"/>
      <c r="Z50" s="114"/>
    </row>
    <row r="51" spans="1:26" ht="18" customHeight="1" x14ac:dyDescent="0.15">
      <c r="A51" s="29"/>
      <c r="B51" s="168"/>
      <c r="C51" s="169"/>
      <c r="D51" s="169"/>
      <c r="E51" s="169"/>
      <c r="F51" s="170"/>
      <c r="G51" s="114"/>
      <c r="H51" s="114"/>
      <c r="I51" s="162"/>
      <c r="J51" s="163"/>
      <c r="K51" s="164"/>
      <c r="L51" s="114"/>
      <c r="M51" s="114"/>
      <c r="N51" s="156"/>
      <c r="O51" s="157"/>
      <c r="P51" s="157"/>
      <c r="Q51" s="157"/>
      <c r="R51" s="157"/>
      <c r="S51" s="158"/>
      <c r="T51" s="114"/>
      <c r="U51" s="114"/>
      <c r="V51" s="162"/>
      <c r="W51" s="163"/>
      <c r="X51" s="164"/>
      <c r="Y51" s="114"/>
      <c r="Z51" s="114"/>
    </row>
    <row r="52" spans="1:26" ht="18" customHeight="1" x14ac:dyDescent="0.15">
      <c r="A52" s="29"/>
      <c r="B52" s="168"/>
      <c r="C52" s="169"/>
      <c r="D52" s="169"/>
      <c r="E52" s="169"/>
      <c r="F52" s="170"/>
      <c r="G52" s="114"/>
      <c r="H52" s="114"/>
      <c r="I52" s="162"/>
      <c r="J52" s="163"/>
      <c r="K52" s="164"/>
      <c r="L52" s="114"/>
      <c r="M52" s="114"/>
      <c r="N52" s="156"/>
      <c r="O52" s="157"/>
      <c r="P52" s="157"/>
      <c r="Q52" s="157"/>
      <c r="R52" s="157"/>
      <c r="S52" s="158"/>
      <c r="T52" s="114"/>
      <c r="U52" s="114"/>
      <c r="V52" s="162"/>
      <c r="W52" s="163"/>
      <c r="X52" s="164"/>
      <c r="Y52" s="114"/>
      <c r="Z52" s="114"/>
    </row>
    <row r="53" spans="1:26" ht="18" customHeight="1" x14ac:dyDescent="0.15">
      <c r="A53" s="29"/>
      <c r="B53" s="168"/>
      <c r="C53" s="169"/>
      <c r="D53" s="169"/>
      <c r="E53" s="169"/>
      <c r="F53" s="170"/>
      <c r="G53" s="114"/>
      <c r="H53" s="114"/>
      <c r="I53" s="162"/>
      <c r="J53" s="163"/>
      <c r="K53" s="164"/>
      <c r="L53" s="114"/>
      <c r="M53" s="114"/>
      <c r="N53" s="156"/>
      <c r="O53" s="157"/>
      <c r="P53" s="157"/>
      <c r="Q53" s="157"/>
      <c r="R53" s="157"/>
      <c r="S53" s="158"/>
      <c r="T53" s="114"/>
      <c r="U53" s="114"/>
      <c r="V53" s="162"/>
      <c r="W53" s="163"/>
      <c r="X53" s="164"/>
      <c r="Y53" s="114"/>
      <c r="Z53" s="114"/>
    </row>
    <row r="54" spans="1:26" ht="18" customHeight="1" x14ac:dyDescent="0.15">
      <c r="A54" s="29"/>
      <c r="B54" s="168"/>
      <c r="C54" s="169"/>
      <c r="D54" s="169"/>
      <c r="E54" s="169"/>
      <c r="F54" s="170"/>
      <c r="G54" s="114"/>
      <c r="H54" s="114"/>
      <c r="I54" s="162"/>
      <c r="J54" s="163"/>
      <c r="K54" s="164"/>
      <c r="L54" s="114"/>
      <c r="M54" s="114"/>
      <c r="N54" s="156"/>
      <c r="O54" s="157"/>
      <c r="P54" s="157"/>
      <c r="Q54" s="157"/>
      <c r="R54" s="157"/>
      <c r="S54" s="158"/>
      <c r="T54" s="114"/>
      <c r="U54" s="114"/>
      <c r="V54" s="162"/>
      <c r="W54" s="163"/>
      <c r="X54" s="164"/>
      <c r="Y54" s="114"/>
      <c r="Z54" s="114"/>
    </row>
    <row r="55" spans="1:26" ht="18" customHeight="1" x14ac:dyDescent="0.15">
      <c r="A55" s="29"/>
      <c r="B55" s="171"/>
      <c r="C55" s="172"/>
      <c r="D55" s="172"/>
      <c r="E55" s="172"/>
      <c r="F55" s="173"/>
      <c r="G55" s="115"/>
      <c r="H55" s="115"/>
      <c r="I55" s="165"/>
      <c r="J55" s="166"/>
      <c r="K55" s="167"/>
      <c r="L55" s="121"/>
      <c r="M55" s="121"/>
      <c r="N55" s="159"/>
      <c r="O55" s="160"/>
      <c r="P55" s="160"/>
      <c r="Q55" s="160"/>
      <c r="R55" s="160"/>
      <c r="S55" s="161"/>
      <c r="T55" s="115"/>
      <c r="U55" s="115"/>
      <c r="V55" s="165"/>
      <c r="W55" s="166"/>
      <c r="X55" s="167"/>
      <c r="Y55" s="121"/>
      <c r="Z55" s="121"/>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4" t="s">
        <v>134</v>
      </c>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row>
    <row r="58" spans="1:26" ht="18" customHeight="1" x14ac:dyDescent="0.15">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row>
    <row r="59" spans="1:26" ht="18" customHeight="1" x14ac:dyDescent="0.15">
      <c r="A59" s="14"/>
      <c r="B59" s="122" t="s">
        <v>100</v>
      </c>
      <c r="C59" s="123"/>
      <c r="D59" s="123"/>
      <c r="E59" s="124"/>
      <c r="F59" s="30" t="s">
        <v>142</v>
      </c>
      <c r="G59" s="112" t="s">
        <v>141</v>
      </c>
      <c r="H59" s="107" t="s">
        <v>101</v>
      </c>
      <c r="I59" s="108"/>
      <c r="J59" s="109"/>
      <c r="K59" s="75" t="s">
        <v>105</v>
      </c>
      <c r="L59" s="75" t="s">
        <v>135</v>
      </c>
      <c r="M59" s="75" t="s">
        <v>136</v>
      </c>
      <c r="N59" s="122" t="s">
        <v>100</v>
      </c>
      <c r="O59" s="123"/>
      <c r="P59" s="123"/>
      <c r="Q59" s="123"/>
      <c r="R59" s="124"/>
      <c r="S59" s="30" t="s">
        <v>142</v>
      </c>
      <c r="T59" s="112" t="s">
        <v>141</v>
      </c>
      <c r="U59" s="107" t="s">
        <v>101</v>
      </c>
      <c r="V59" s="108"/>
      <c r="W59" s="109"/>
      <c r="X59" s="75" t="s">
        <v>105</v>
      </c>
      <c r="Y59" s="75" t="s">
        <v>135</v>
      </c>
      <c r="Z59" s="75" t="s">
        <v>136</v>
      </c>
    </row>
    <row r="60" spans="1:26" ht="18" customHeight="1" x14ac:dyDescent="0.15">
      <c r="A60" s="29"/>
      <c r="B60" s="153" t="s">
        <v>167</v>
      </c>
      <c r="C60" s="154"/>
      <c r="D60" s="154"/>
      <c r="E60" s="155"/>
      <c r="F60" s="113">
        <v>2</v>
      </c>
      <c r="G60" s="113" t="s">
        <v>165</v>
      </c>
      <c r="H60" s="181" t="s">
        <v>166</v>
      </c>
      <c r="I60" s="182"/>
      <c r="J60" s="183"/>
      <c r="K60" s="113" t="s">
        <v>165</v>
      </c>
      <c r="L60" s="113" t="s">
        <v>165</v>
      </c>
      <c r="M60" s="113" t="s">
        <v>165</v>
      </c>
      <c r="N60" s="153"/>
      <c r="O60" s="154"/>
      <c r="P60" s="154"/>
      <c r="Q60" s="154"/>
      <c r="R60" s="155"/>
      <c r="S60" s="113"/>
      <c r="T60" s="113"/>
      <c r="U60" s="181"/>
      <c r="V60" s="182"/>
      <c r="W60" s="183"/>
      <c r="X60" s="120"/>
      <c r="Y60" s="113"/>
      <c r="Z60" s="113"/>
    </row>
    <row r="61" spans="1:26" ht="18" customHeight="1" x14ac:dyDescent="0.15">
      <c r="A61" s="29"/>
      <c r="B61" s="156" t="s">
        <v>168</v>
      </c>
      <c r="C61" s="157"/>
      <c r="D61" s="157"/>
      <c r="E61" s="158"/>
      <c r="F61" s="114">
        <v>2</v>
      </c>
      <c r="G61" s="114" t="s">
        <v>165</v>
      </c>
      <c r="H61" s="162" t="s">
        <v>166</v>
      </c>
      <c r="I61" s="163"/>
      <c r="J61" s="164"/>
      <c r="K61" s="114" t="s">
        <v>165</v>
      </c>
      <c r="L61" s="114" t="s">
        <v>165</v>
      </c>
      <c r="M61" s="114" t="s">
        <v>165</v>
      </c>
      <c r="N61" s="156"/>
      <c r="O61" s="157"/>
      <c r="P61" s="157"/>
      <c r="Q61" s="157"/>
      <c r="R61" s="158"/>
      <c r="S61" s="114"/>
      <c r="T61" s="114"/>
      <c r="U61" s="162"/>
      <c r="V61" s="163"/>
      <c r="W61" s="164"/>
      <c r="X61" s="118"/>
      <c r="Y61" s="114"/>
      <c r="Z61" s="114"/>
    </row>
    <row r="62" spans="1:26" ht="18" customHeight="1" x14ac:dyDescent="0.15">
      <c r="A62" s="29"/>
      <c r="B62" s="156"/>
      <c r="C62" s="157"/>
      <c r="D62" s="157"/>
      <c r="E62" s="158"/>
      <c r="F62" s="114"/>
      <c r="G62" s="114"/>
      <c r="H62" s="162"/>
      <c r="I62" s="163"/>
      <c r="J62" s="164"/>
      <c r="K62" s="118"/>
      <c r="L62" s="114"/>
      <c r="M62" s="114"/>
      <c r="N62" s="156"/>
      <c r="O62" s="157"/>
      <c r="P62" s="157"/>
      <c r="Q62" s="157"/>
      <c r="R62" s="158"/>
      <c r="S62" s="114"/>
      <c r="T62" s="114"/>
      <c r="U62" s="162"/>
      <c r="V62" s="163"/>
      <c r="W62" s="164"/>
      <c r="X62" s="118"/>
      <c r="Y62" s="114"/>
      <c r="Z62" s="114"/>
    </row>
    <row r="63" spans="1:26" ht="18" customHeight="1" x14ac:dyDescent="0.15">
      <c r="A63" s="29"/>
      <c r="B63" s="156"/>
      <c r="C63" s="157"/>
      <c r="D63" s="157"/>
      <c r="E63" s="158"/>
      <c r="F63" s="114"/>
      <c r="G63" s="114"/>
      <c r="H63" s="162"/>
      <c r="I63" s="163"/>
      <c r="J63" s="164"/>
      <c r="K63" s="118"/>
      <c r="L63" s="114"/>
      <c r="M63" s="114"/>
      <c r="N63" s="156"/>
      <c r="O63" s="157"/>
      <c r="P63" s="157"/>
      <c r="Q63" s="157"/>
      <c r="R63" s="158"/>
      <c r="S63" s="114"/>
      <c r="T63" s="114"/>
      <c r="U63" s="162"/>
      <c r="V63" s="163"/>
      <c r="W63" s="164"/>
      <c r="X63" s="118"/>
      <c r="Y63" s="114"/>
      <c r="Z63" s="114"/>
    </row>
    <row r="64" spans="1:26" ht="18" customHeight="1" x14ac:dyDescent="0.15">
      <c r="A64" s="29"/>
      <c r="B64" s="156"/>
      <c r="C64" s="157"/>
      <c r="D64" s="157"/>
      <c r="E64" s="158"/>
      <c r="F64" s="114"/>
      <c r="G64" s="114"/>
      <c r="H64" s="162"/>
      <c r="I64" s="163"/>
      <c r="J64" s="164"/>
      <c r="K64" s="118"/>
      <c r="L64" s="114"/>
      <c r="M64" s="114"/>
      <c r="N64" s="156"/>
      <c r="O64" s="157"/>
      <c r="P64" s="157"/>
      <c r="Q64" s="157"/>
      <c r="R64" s="158"/>
      <c r="S64" s="114"/>
      <c r="T64" s="114"/>
      <c r="U64" s="162"/>
      <c r="V64" s="163"/>
      <c r="W64" s="164"/>
      <c r="X64" s="118"/>
      <c r="Y64" s="114"/>
      <c r="Z64" s="114"/>
    </row>
    <row r="65" spans="1:26" ht="18" customHeight="1" x14ac:dyDescent="0.15">
      <c r="A65" s="29"/>
      <c r="B65" s="156"/>
      <c r="C65" s="157"/>
      <c r="D65" s="157"/>
      <c r="E65" s="158"/>
      <c r="F65" s="114"/>
      <c r="G65" s="114"/>
      <c r="H65" s="162"/>
      <c r="I65" s="163"/>
      <c r="J65" s="164"/>
      <c r="K65" s="118"/>
      <c r="L65" s="114"/>
      <c r="M65" s="114"/>
      <c r="N65" s="156"/>
      <c r="O65" s="157"/>
      <c r="P65" s="157"/>
      <c r="Q65" s="157"/>
      <c r="R65" s="158"/>
      <c r="S65" s="114"/>
      <c r="T65" s="114"/>
      <c r="U65" s="162"/>
      <c r="V65" s="163"/>
      <c r="W65" s="164"/>
      <c r="X65" s="118"/>
      <c r="Y65" s="114"/>
      <c r="Z65" s="114"/>
    </row>
    <row r="66" spans="1:26" ht="18" customHeight="1" x14ac:dyDescent="0.15">
      <c r="A66" s="29"/>
      <c r="B66" s="159"/>
      <c r="C66" s="160"/>
      <c r="D66" s="160"/>
      <c r="E66" s="161"/>
      <c r="F66" s="115"/>
      <c r="G66" s="115"/>
      <c r="H66" s="165"/>
      <c r="I66" s="166"/>
      <c r="J66" s="167"/>
      <c r="K66" s="119"/>
      <c r="L66" s="121"/>
      <c r="M66" s="121"/>
      <c r="N66" s="159"/>
      <c r="O66" s="160"/>
      <c r="P66" s="160"/>
      <c r="Q66" s="160"/>
      <c r="R66" s="161"/>
      <c r="S66" s="115"/>
      <c r="T66" s="115"/>
      <c r="U66" s="165"/>
      <c r="V66" s="166"/>
      <c r="W66" s="167"/>
      <c r="X66" s="119"/>
      <c r="Y66" s="121"/>
      <c r="Z66" s="121"/>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137</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2" t="s">
        <v>100</v>
      </c>
      <c r="C69" s="123"/>
      <c r="D69" s="123"/>
      <c r="E69" s="123"/>
      <c r="F69" s="124"/>
      <c r="G69" s="122" t="s">
        <v>147</v>
      </c>
      <c r="H69" s="123"/>
      <c r="I69" s="123"/>
      <c r="J69" s="123"/>
      <c r="K69" s="123"/>
      <c r="L69" s="123"/>
      <c r="M69" s="124"/>
      <c r="N69" s="178" t="s">
        <v>100</v>
      </c>
      <c r="O69" s="179"/>
      <c r="P69" s="179"/>
      <c r="Q69" s="179"/>
      <c r="R69" s="179"/>
      <c r="S69" s="180"/>
      <c r="T69" s="122" t="s">
        <v>147</v>
      </c>
      <c r="U69" s="123"/>
      <c r="V69" s="123"/>
      <c r="W69" s="123"/>
      <c r="X69" s="123"/>
      <c r="Y69" s="123"/>
      <c r="Z69" s="124"/>
    </row>
    <row r="70" spans="1:26" ht="18" customHeight="1" x14ac:dyDescent="0.15">
      <c r="A70" s="29"/>
      <c r="B70" s="153"/>
      <c r="C70" s="154"/>
      <c r="D70" s="154"/>
      <c r="E70" s="154"/>
      <c r="F70" s="155"/>
      <c r="G70" s="226"/>
      <c r="H70" s="227"/>
      <c r="I70" s="227"/>
      <c r="J70" s="227"/>
      <c r="K70" s="227"/>
      <c r="L70" s="227"/>
      <c r="M70" s="228"/>
      <c r="N70" s="153"/>
      <c r="O70" s="154"/>
      <c r="P70" s="154"/>
      <c r="Q70" s="154"/>
      <c r="R70" s="154"/>
      <c r="S70" s="155"/>
      <c r="T70" s="226"/>
      <c r="U70" s="227"/>
      <c r="V70" s="227"/>
      <c r="W70" s="227"/>
      <c r="X70" s="227"/>
      <c r="Y70" s="227"/>
      <c r="Z70" s="228"/>
    </row>
    <row r="71" spans="1:26" ht="18" customHeight="1" x14ac:dyDescent="0.15">
      <c r="A71" s="29"/>
      <c r="B71" s="156"/>
      <c r="C71" s="157"/>
      <c r="D71" s="157"/>
      <c r="E71" s="157"/>
      <c r="F71" s="158"/>
      <c r="G71" s="199"/>
      <c r="H71" s="200"/>
      <c r="I71" s="200"/>
      <c r="J71" s="200"/>
      <c r="K71" s="200"/>
      <c r="L71" s="200"/>
      <c r="M71" s="201"/>
      <c r="N71" s="156"/>
      <c r="O71" s="157"/>
      <c r="P71" s="157"/>
      <c r="Q71" s="157"/>
      <c r="R71" s="157"/>
      <c r="S71" s="158"/>
      <c r="T71" s="199"/>
      <c r="U71" s="200"/>
      <c r="V71" s="200"/>
      <c r="W71" s="200"/>
      <c r="X71" s="200"/>
      <c r="Y71" s="200"/>
      <c r="Z71" s="201"/>
    </row>
    <row r="72" spans="1:26" ht="18" customHeight="1" x14ac:dyDescent="0.15">
      <c r="A72" s="29"/>
      <c r="B72" s="156"/>
      <c r="C72" s="157"/>
      <c r="D72" s="157"/>
      <c r="E72" s="157"/>
      <c r="F72" s="158"/>
      <c r="G72" s="199"/>
      <c r="H72" s="200"/>
      <c r="I72" s="200"/>
      <c r="J72" s="200"/>
      <c r="K72" s="200"/>
      <c r="L72" s="200"/>
      <c r="M72" s="201"/>
      <c r="N72" s="156"/>
      <c r="O72" s="157"/>
      <c r="P72" s="157"/>
      <c r="Q72" s="157"/>
      <c r="R72" s="157"/>
      <c r="S72" s="158"/>
      <c r="T72" s="199"/>
      <c r="U72" s="200"/>
      <c r="V72" s="200"/>
      <c r="W72" s="200"/>
      <c r="X72" s="200"/>
      <c r="Y72" s="200"/>
      <c r="Z72" s="201"/>
    </row>
    <row r="73" spans="1:26" ht="18" customHeight="1" x14ac:dyDescent="0.15">
      <c r="A73" s="29"/>
      <c r="B73" s="156"/>
      <c r="C73" s="157"/>
      <c r="D73" s="157"/>
      <c r="E73" s="157"/>
      <c r="F73" s="158"/>
      <c r="G73" s="199"/>
      <c r="H73" s="200"/>
      <c r="I73" s="200"/>
      <c r="J73" s="200"/>
      <c r="K73" s="200"/>
      <c r="L73" s="200"/>
      <c r="M73" s="201"/>
      <c r="N73" s="156"/>
      <c r="O73" s="157"/>
      <c r="P73" s="157"/>
      <c r="Q73" s="157"/>
      <c r="R73" s="157"/>
      <c r="S73" s="158"/>
      <c r="T73" s="199"/>
      <c r="U73" s="200"/>
      <c r="V73" s="200"/>
      <c r="W73" s="200"/>
      <c r="X73" s="200"/>
      <c r="Y73" s="200"/>
      <c r="Z73" s="201"/>
    </row>
    <row r="74" spans="1:26" ht="18" customHeight="1" x14ac:dyDescent="0.15">
      <c r="A74" s="29"/>
      <c r="B74" s="156"/>
      <c r="C74" s="157"/>
      <c r="D74" s="157"/>
      <c r="E74" s="157"/>
      <c r="F74" s="158"/>
      <c r="G74" s="199"/>
      <c r="H74" s="200"/>
      <c r="I74" s="200"/>
      <c r="J74" s="200"/>
      <c r="K74" s="200"/>
      <c r="L74" s="200"/>
      <c r="M74" s="201"/>
      <c r="N74" s="156"/>
      <c r="O74" s="157"/>
      <c r="P74" s="157"/>
      <c r="Q74" s="157"/>
      <c r="R74" s="157"/>
      <c r="S74" s="158"/>
      <c r="T74" s="199"/>
      <c r="U74" s="200"/>
      <c r="V74" s="200"/>
      <c r="W74" s="200"/>
      <c r="X74" s="200"/>
      <c r="Y74" s="200"/>
      <c r="Z74" s="201"/>
    </row>
    <row r="75" spans="1:26" ht="18" customHeight="1" x14ac:dyDescent="0.15">
      <c r="A75" s="29"/>
      <c r="B75" s="156"/>
      <c r="C75" s="157"/>
      <c r="D75" s="157"/>
      <c r="E75" s="157"/>
      <c r="F75" s="158"/>
      <c r="G75" s="199"/>
      <c r="H75" s="200"/>
      <c r="I75" s="200"/>
      <c r="J75" s="200"/>
      <c r="K75" s="200"/>
      <c r="L75" s="200"/>
      <c r="M75" s="201"/>
      <c r="N75" s="156"/>
      <c r="O75" s="157"/>
      <c r="P75" s="157"/>
      <c r="Q75" s="157"/>
      <c r="R75" s="157"/>
      <c r="S75" s="158"/>
      <c r="T75" s="199"/>
      <c r="U75" s="200"/>
      <c r="V75" s="200"/>
      <c r="W75" s="200"/>
      <c r="X75" s="200"/>
      <c r="Y75" s="200"/>
      <c r="Z75" s="201"/>
    </row>
    <row r="76" spans="1:26" ht="18" customHeight="1" x14ac:dyDescent="0.15">
      <c r="A76" s="29"/>
      <c r="B76" s="159"/>
      <c r="C76" s="160"/>
      <c r="D76" s="160"/>
      <c r="E76" s="160"/>
      <c r="F76" s="161"/>
      <c r="G76" s="196"/>
      <c r="H76" s="197"/>
      <c r="I76" s="197"/>
      <c r="J76" s="197"/>
      <c r="K76" s="197"/>
      <c r="L76" s="197"/>
      <c r="M76" s="198"/>
      <c r="N76" s="159"/>
      <c r="O76" s="160"/>
      <c r="P76" s="160"/>
      <c r="Q76" s="160"/>
      <c r="R76" s="160"/>
      <c r="S76" s="161"/>
      <c r="T76" s="196"/>
      <c r="U76" s="197"/>
      <c r="V76" s="197"/>
      <c r="W76" s="197"/>
      <c r="X76" s="197"/>
      <c r="Y76" s="197"/>
      <c r="Z76" s="198"/>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143</v>
      </c>
    </row>
    <row r="79" spans="1:26" ht="18.75" customHeight="1" x14ac:dyDescent="0.15">
      <c r="B79" s="78" t="s">
        <v>102</v>
      </c>
      <c r="C79" s="79"/>
      <c r="D79" s="247" t="s">
        <v>103</v>
      </c>
      <c r="E79" s="247"/>
      <c r="F79" s="247"/>
      <c r="G79" s="247"/>
      <c r="H79" s="247"/>
      <c r="I79" s="247"/>
      <c r="J79" s="247"/>
      <c r="K79" s="247"/>
      <c r="L79" s="247"/>
      <c r="M79" s="247"/>
      <c r="N79" s="247"/>
      <c r="O79" s="247"/>
      <c r="P79" s="247"/>
      <c r="Q79" s="247"/>
      <c r="R79" s="247"/>
      <c r="S79" s="247"/>
      <c r="T79" s="247"/>
      <c r="U79" s="247"/>
      <c r="V79" s="247"/>
      <c r="W79" s="247"/>
      <c r="X79" s="247"/>
      <c r="Y79" s="247"/>
      <c r="Z79" s="248"/>
    </row>
    <row r="80" spans="1:26" ht="78" customHeight="1" x14ac:dyDescent="0.15">
      <c r="B80" s="234" t="s">
        <v>109</v>
      </c>
      <c r="C80" s="85" t="s">
        <v>104</v>
      </c>
      <c r="D80" s="249" t="s">
        <v>179</v>
      </c>
      <c r="E80" s="250"/>
      <c r="F80" s="250"/>
      <c r="G80" s="250"/>
      <c r="H80" s="250"/>
      <c r="I80" s="250"/>
      <c r="J80" s="250"/>
      <c r="K80" s="250"/>
      <c r="L80" s="250"/>
      <c r="M80" s="250"/>
      <c r="N80" s="250"/>
      <c r="O80" s="250"/>
      <c r="P80" s="250"/>
      <c r="Q80" s="250"/>
      <c r="R80" s="250"/>
      <c r="S80" s="250"/>
      <c r="T80" s="250"/>
      <c r="U80" s="250"/>
      <c r="V80" s="250"/>
      <c r="W80" s="250"/>
      <c r="X80" s="250"/>
      <c r="Y80" s="250"/>
      <c r="Z80" s="251"/>
    </row>
    <row r="81" spans="1:26" ht="78" customHeight="1" x14ac:dyDescent="0.15">
      <c r="B81" s="235"/>
      <c r="C81" s="110" t="s">
        <v>138</v>
      </c>
      <c r="D81" s="202" t="s">
        <v>180</v>
      </c>
      <c r="E81" s="203"/>
      <c r="F81" s="203"/>
      <c r="G81" s="203"/>
      <c r="H81" s="203"/>
      <c r="I81" s="203"/>
      <c r="J81" s="203"/>
      <c r="K81" s="203"/>
      <c r="L81" s="203"/>
      <c r="M81" s="203"/>
      <c r="N81" s="203"/>
      <c r="O81" s="203"/>
      <c r="P81" s="203"/>
      <c r="Q81" s="203"/>
      <c r="R81" s="203"/>
      <c r="S81" s="203"/>
      <c r="T81" s="203"/>
      <c r="U81" s="203"/>
      <c r="V81" s="203"/>
      <c r="W81" s="203"/>
      <c r="X81" s="203"/>
      <c r="Y81" s="203"/>
      <c r="Z81" s="204"/>
    </row>
    <row r="82" spans="1:26" ht="78" customHeight="1" x14ac:dyDescent="0.15">
      <c r="B82" s="232" t="s">
        <v>110</v>
      </c>
      <c r="C82" s="80" t="s">
        <v>128</v>
      </c>
      <c r="D82" s="202" t="s">
        <v>181</v>
      </c>
      <c r="E82" s="203"/>
      <c r="F82" s="203"/>
      <c r="G82" s="203"/>
      <c r="H82" s="203"/>
      <c r="I82" s="203"/>
      <c r="J82" s="203"/>
      <c r="K82" s="203"/>
      <c r="L82" s="203"/>
      <c r="M82" s="203"/>
      <c r="N82" s="203"/>
      <c r="O82" s="203"/>
      <c r="P82" s="203"/>
      <c r="Q82" s="203"/>
      <c r="R82" s="203"/>
      <c r="S82" s="203"/>
      <c r="T82" s="203"/>
      <c r="U82" s="203"/>
      <c r="V82" s="203"/>
      <c r="W82" s="203"/>
      <c r="X82" s="203"/>
      <c r="Y82" s="203"/>
      <c r="Z82" s="204"/>
    </row>
    <row r="83" spans="1:26" ht="78" customHeight="1" x14ac:dyDescent="0.15">
      <c r="B83" s="233"/>
      <c r="C83" s="111" t="s">
        <v>129</v>
      </c>
      <c r="D83" s="208" t="s">
        <v>182</v>
      </c>
      <c r="E83" s="209"/>
      <c r="F83" s="209"/>
      <c r="G83" s="209"/>
      <c r="H83" s="209"/>
      <c r="I83" s="209"/>
      <c r="J83" s="209"/>
      <c r="K83" s="209"/>
      <c r="L83" s="209"/>
      <c r="M83" s="209"/>
      <c r="N83" s="209"/>
      <c r="O83" s="209"/>
      <c r="P83" s="209"/>
      <c r="Q83" s="209"/>
      <c r="R83" s="209"/>
      <c r="S83" s="209"/>
      <c r="T83" s="209"/>
      <c r="U83" s="209"/>
      <c r="V83" s="209"/>
      <c r="W83" s="209"/>
      <c r="X83" s="209"/>
      <c r="Y83" s="209"/>
      <c r="Z83" s="210"/>
    </row>
    <row r="84" spans="1:26" ht="66" customHeight="1" x14ac:dyDescent="0.15">
      <c r="B84" s="232" t="s">
        <v>111</v>
      </c>
      <c r="C84" s="80" t="s">
        <v>131</v>
      </c>
      <c r="D84" s="211" t="s">
        <v>186</v>
      </c>
      <c r="E84" s="212"/>
      <c r="F84" s="212"/>
      <c r="G84" s="212"/>
      <c r="H84" s="212"/>
      <c r="I84" s="212"/>
      <c r="J84" s="212"/>
      <c r="K84" s="212"/>
      <c r="L84" s="212"/>
      <c r="M84" s="212"/>
      <c r="N84" s="212"/>
      <c r="O84" s="212"/>
      <c r="P84" s="212"/>
      <c r="Q84" s="212"/>
      <c r="R84" s="212"/>
      <c r="S84" s="212"/>
      <c r="T84" s="212"/>
      <c r="U84" s="212"/>
      <c r="V84" s="212"/>
      <c r="W84" s="212"/>
      <c r="X84" s="212"/>
      <c r="Y84" s="212"/>
      <c r="Z84" s="213"/>
    </row>
    <row r="85" spans="1:26" ht="66" customHeight="1" x14ac:dyDescent="0.15">
      <c r="B85" s="233"/>
      <c r="C85" s="82" t="s">
        <v>132</v>
      </c>
      <c r="D85" s="205" t="s">
        <v>183</v>
      </c>
      <c r="E85" s="206"/>
      <c r="F85" s="206"/>
      <c r="G85" s="206"/>
      <c r="H85" s="206"/>
      <c r="I85" s="206"/>
      <c r="J85" s="206"/>
      <c r="K85" s="206"/>
      <c r="L85" s="206"/>
      <c r="M85" s="206"/>
      <c r="N85" s="206"/>
      <c r="O85" s="206"/>
      <c r="P85" s="206"/>
      <c r="Q85" s="206"/>
      <c r="R85" s="206"/>
      <c r="S85" s="206"/>
      <c r="T85" s="206"/>
      <c r="U85" s="206"/>
      <c r="V85" s="206"/>
      <c r="W85" s="206"/>
      <c r="X85" s="206"/>
      <c r="Y85" s="206"/>
      <c r="Z85" s="207"/>
    </row>
    <row r="86" spans="1:26" ht="66" customHeight="1" x14ac:dyDescent="0.15">
      <c r="B86" s="234" t="s">
        <v>139</v>
      </c>
      <c r="C86" s="85" t="s">
        <v>106</v>
      </c>
      <c r="D86" s="241" t="s">
        <v>184</v>
      </c>
      <c r="E86" s="242"/>
      <c r="F86" s="242"/>
      <c r="G86" s="242"/>
      <c r="H86" s="242"/>
      <c r="I86" s="242"/>
      <c r="J86" s="242"/>
      <c r="K86" s="242"/>
      <c r="L86" s="242"/>
      <c r="M86" s="242"/>
      <c r="N86" s="242"/>
      <c r="O86" s="242"/>
      <c r="P86" s="242"/>
      <c r="Q86" s="242"/>
      <c r="R86" s="242"/>
      <c r="S86" s="242"/>
      <c r="T86" s="242"/>
      <c r="U86" s="242"/>
      <c r="V86" s="242"/>
      <c r="W86" s="242"/>
      <c r="X86" s="242"/>
      <c r="Y86" s="242"/>
      <c r="Z86" s="243"/>
    </row>
    <row r="87" spans="1:26" ht="66" customHeight="1" x14ac:dyDescent="0.15">
      <c r="B87" s="240"/>
      <c r="C87" s="81" t="s">
        <v>108</v>
      </c>
      <c r="D87" s="244" t="s">
        <v>185</v>
      </c>
      <c r="E87" s="245"/>
      <c r="F87" s="245"/>
      <c r="G87" s="245"/>
      <c r="H87" s="245"/>
      <c r="I87" s="245"/>
      <c r="J87" s="245"/>
      <c r="K87" s="245"/>
      <c r="L87" s="245"/>
      <c r="M87" s="245"/>
      <c r="N87" s="245"/>
      <c r="O87" s="245"/>
      <c r="P87" s="245"/>
      <c r="Q87" s="245"/>
      <c r="R87" s="245"/>
      <c r="S87" s="245"/>
      <c r="T87" s="245"/>
      <c r="U87" s="245"/>
      <c r="V87" s="245"/>
      <c r="W87" s="245"/>
      <c r="X87" s="245"/>
      <c r="Y87" s="245"/>
      <c r="Z87" s="246"/>
    </row>
    <row r="88" spans="1:26" ht="66" customHeight="1" x14ac:dyDescent="0.15">
      <c r="B88" s="234" t="s">
        <v>140</v>
      </c>
      <c r="C88" s="80" t="s">
        <v>105</v>
      </c>
      <c r="D88" s="236" t="s">
        <v>170</v>
      </c>
      <c r="E88" s="237"/>
      <c r="F88" s="237"/>
      <c r="G88" s="237"/>
      <c r="H88" s="237"/>
      <c r="I88" s="237"/>
      <c r="J88" s="237"/>
      <c r="K88" s="237"/>
      <c r="L88" s="237"/>
      <c r="M88" s="237"/>
      <c r="N88" s="237"/>
      <c r="O88" s="237"/>
      <c r="P88" s="237"/>
      <c r="Q88" s="237"/>
      <c r="R88" s="237"/>
      <c r="S88" s="237"/>
      <c r="T88" s="237"/>
      <c r="U88" s="237"/>
      <c r="V88" s="237"/>
      <c r="W88" s="237"/>
      <c r="X88" s="237"/>
      <c r="Y88" s="237"/>
      <c r="Z88" s="238"/>
    </row>
    <row r="89" spans="1:26" ht="66" customHeight="1" x14ac:dyDescent="0.15">
      <c r="B89" s="235"/>
      <c r="C89" s="81" t="s">
        <v>135</v>
      </c>
      <c r="D89" s="229" t="s">
        <v>171</v>
      </c>
      <c r="E89" s="230"/>
      <c r="F89" s="230"/>
      <c r="G89" s="230"/>
      <c r="H89" s="230"/>
      <c r="I89" s="230"/>
      <c r="J89" s="230"/>
      <c r="K89" s="230"/>
      <c r="L89" s="230"/>
      <c r="M89" s="230"/>
      <c r="N89" s="230"/>
      <c r="O89" s="230"/>
      <c r="P89" s="230"/>
      <c r="Q89" s="230"/>
      <c r="R89" s="230"/>
      <c r="S89" s="230"/>
      <c r="T89" s="230"/>
      <c r="U89" s="230"/>
      <c r="V89" s="230"/>
      <c r="W89" s="230"/>
      <c r="X89" s="230"/>
      <c r="Y89" s="230"/>
      <c r="Z89" s="231"/>
    </row>
    <row r="90" spans="1:26" ht="66" customHeight="1" x14ac:dyDescent="0.15">
      <c r="B90" s="233"/>
      <c r="C90" s="82" t="s">
        <v>136</v>
      </c>
      <c r="D90" s="239" t="s">
        <v>171</v>
      </c>
      <c r="E90" s="191"/>
      <c r="F90" s="191"/>
      <c r="G90" s="191"/>
      <c r="H90" s="191"/>
      <c r="I90" s="191"/>
      <c r="J90" s="191"/>
      <c r="K90" s="191"/>
      <c r="L90" s="191"/>
      <c r="M90" s="191"/>
      <c r="N90" s="191"/>
      <c r="O90" s="191"/>
      <c r="P90" s="191"/>
      <c r="Q90" s="191"/>
      <c r="R90" s="191"/>
      <c r="S90" s="191"/>
      <c r="T90" s="191"/>
      <c r="U90" s="191"/>
      <c r="V90" s="191"/>
      <c r="W90" s="191"/>
      <c r="X90" s="191"/>
      <c r="Y90" s="191"/>
      <c r="Z90" s="192"/>
    </row>
    <row r="91" spans="1:26" ht="6" customHeight="1" x14ac:dyDescent="0.15"/>
    <row r="92" spans="1:26" ht="18.75" customHeight="1" x14ac:dyDescent="0.15">
      <c r="A92" s="13" t="s">
        <v>144</v>
      </c>
    </row>
    <row r="93" spans="1:26" ht="18.75" customHeight="1" x14ac:dyDescent="0.15">
      <c r="B93" s="184" t="s">
        <v>202</v>
      </c>
      <c r="C93" s="185"/>
      <c r="D93" s="185"/>
      <c r="E93" s="185"/>
      <c r="F93" s="185"/>
      <c r="G93" s="185"/>
      <c r="H93" s="185"/>
      <c r="I93" s="185"/>
      <c r="J93" s="185"/>
      <c r="K93" s="185"/>
      <c r="L93" s="185"/>
      <c r="M93" s="185"/>
      <c r="N93" s="185"/>
      <c r="O93" s="185"/>
      <c r="P93" s="185"/>
      <c r="Q93" s="185"/>
      <c r="R93" s="185"/>
      <c r="S93" s="185"/>
      <c r="T93" s="185"/>
      <c r="U93" s="185"/>
      <c r="V93" s="185"/>
      <c r="W93" s="185"/>
      <c r="X93" s="185"/>
      <c r="Y93" s="185"/>
      <c r="Z93" s="186"/>
    </row>
    <row r="94" spans="1:26" ht="18.75" customHeight="1" x14ac:dyDescent="0.15">
      <c r="B94" s="187"/>
      <c r="C94" s="188"/>
      <c r="D94" s="188"/>
      <c r="E94" s="188"/>
      <c r="F94" s="188"/>
      <c r="G94" s="188"/>
      <c r="H94" s="188"/>
      <c r="I94" s="188"/>
      <c r="J94" s="188"/>
      <c r="K94" s="188"/>
      <c r="L94" s="188"/>
      <c r="M94" s="188"/>
      <c r="N94" s="188"/>
      <c r="O94" s="188"/>
      <c r="P94" s="188"/>
      <c r="Q94" s="188"/>
      <c r="R94" s="188"/>
      <c r="S94" s="188"/>
      <c r="T94" s="188"/>
      <c r="U94" s="188"/>
      <c r="V94" s="188"/>
      <c r="W94" s="188"/>
      <c r="X94" s="188"/>
      <c r="Y94" s="188"/>
      <c r="Z94" s="189"/>
    </row>
    <row r="95" spans="1:26" ht="18.75" customHeight="1" x14ac:dyDescent="0.15">
      <c r="B95" s="190"/>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2"/>
    </row>
    <row r="96" spans="1:26" ht="6" customHeight="1" x14ac:dyDescent="0.15"/>
    <row r="97" spans="1:26" ht="15" customHeight="1" x14ac:dyDescent="0.15">
      <c r="A97" s="13" t="s">
        <v>145</v>
      </c>
    </row>
    <row r="98" spans="1:26" ht="15" customHeight="1" x14ac:dyDescent="0.15">
      <c r="B98" s="193" t="s">
        <v>191</v>
      </c>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5"/>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U63:W63"/>
    <mergeCell ref="V48:X48"/>
    <mergeCell ref="I49:K49"/>
    <mergeCell ref="V49:X49"/>
    <mergeCell ref="I51:K51"/>
    <mergeCell ref="V51:X51"/>
    <mergeCell ref="I52:K52"/>
    <mergeCell ref="V52:X52"/>
    <mergeCell ref="V55:X55"/>
    <mergeCell ref="A57:Z58"/>
    <mergeCell ref="I53:K53"/>
    <mergeCell ref="V53:X53"/>
    <mergeCell ref="V54:X54"/>
    <mergeCell ref="I55:K55"/>
    <mergeCell ref="V43:X43"/>
    <mergeCell ref="I44:K44"/>
    <mergeCell ref="A35:Z36"/>
    <mergeCell ref="V41:X41"/>
    <mergeCell ref="V31:X31"/>
    <mergeCell ref="I31:K31"/>
    <mergeCell ref="I32:K32"/>
    <mergeCell ref="I33:K33"/>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U62:W62"/>
    <mergeCell ref="A24:Z25"/>
    <mergeCell ref="A2:Z2"/>
    <mergeCell ref="B6:Z11"/>
    <mergeCell ref="A13:Z14"/>
    <mergeCell ref="I15:K15"/>
    <mergeCell ref="I16:K16"/>
    <mergeCell ref="V15:X15"/>
    <mergeCell ref="V16:X16"/>
    <mergeCell ref="O4:Z4"/>
    <mergeCell ref="V17:X17"/>
    <mergeCell ref="V20:X20"/>
    <mergeCell ref="V21:X21"/>
    <mergeCell ref="V22:X22"/>
    <mergeCell ref="I20:K20"/>
    <mergeCell ref="I19:K19"/>
    <mergeCell ref="V18:X18"/>
    <mergeCell ref="V19:X19"/>
    <mergeCell ref="N18:S18"/>
    <mergeCell ref="I18:K18"/>
    <mergeCell ref="B18:F18"/>
    <mergeCell ref="V44:X44"/>
    <mergeCell ref="I50:K50"/>
    <mergeCell ref="I54:K54"/>
    <mergeCell ref="B37:F37"/>
    <mergeCell ref="B38:F38"/>
    <mergeCell ref="B39:F39"/>
    <mergeCell ref="B40:F40"/>
    <mergeCell ref="A46:Z47"/>
    <mergeCell ref="I48:K48"/>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20:F20"/>
    <mergeCell ref="B19:F19"/>
    <mergeCell ref="B21:F21"/>
    <mergeCell ref="B22:F22"/>
    <mergeCell ref="N15:S15"/>
    <mergeCell ref="N16:S16"/>
    <mergeCell ref="N17:S17"/>
    <mergeCell ref="N20:S20"/>
    <mergeCell ref="N19:S19"/>
    <mergeCell ref="N21:S21"/>
    <mergeCell ref="N22:S22"/>
    <mergeCell ref="I17:K17"/>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N49:S49"/>
    <mergeCell ref="N50:S50"/>
    <mergeCell ref="N51:S51"/>
    <mergeCell ref="N52:S52"/>
    <mergeCell ref="N53:S53"/>
    <mergeCell ref="N54:S54"/>
    <mergeCell ref="N55:S55"/>
    <mergeCell ref="B59:E59"/>
    <mergeCell ref="N59:R59"/>
    <mergeCell ref="B51:F51"/>
    <mergeCell ref="B52:F52"/>
    <mergeCell ref="B53:F53"/>
    <mergeCell ref="B54:F54"/>
    <mergeCell ref="B55:F55"/>
    <mergeCell ref="N60:R60"/>
    <mergeCell ref="N61:R61"/>
    <mergeCell ref="N62:R62"/>
    <mergeCell ref="N63:R63"/>
    <mergeCell ref="N64:R64"/>
    <mergeCell ref="N65:R65"/>
    <mergeCell ref="N66:R66"/>
    <mergeCell ref="H64:J64"/>
    <mergeCell ref="H65:J65"/>
    <mergeCell ref="H66:J66"/>
    <mergeCell ref="H63:J63"/>
    <mergeCell ref="H62:J62"/>
  </mergeCells>
  <phoneticPr fontId="1"/>
  <dataValidations count="4">
    <dataValidation type="list" allowBlank="1" showInputMessage="1" showErrorMessage="1" sqref="Y16:Z22 L16:M22 Y27:Z33 L27:M33 L38:M44 Y38:Z44 H49:H55 Y49:Z55 Y60:Z66 K60:M60 H16:H22 U16:U22 H27:H33 U27:U33 H38:H44 U38:U44 T60:T66 U49:U55 G60:G66 L49:M55 L61:M66 K61" xr:uid="{4C0986EB-3601-4249-85F7-B678A400A117}">
      <formula1>"○"</formula1>
    </dataValidation>
    <dataValidation type="list" allowBlank="1" showInputMessage="1" showErrorMessage="1" sqref="Z23 Z34 D34:K34 D23:K23 V16:V22 I16:I22 V27:V33 I27:I33 V38:V44 I38:I44 V49:V55 H60:H66 U60:U66 I49:I55"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2AFEABDB-A376-4757-AFA9-9FF2676DD687}"/>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election activeCell="C4" sqref="C4:D4"/>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52" t="s">
        <v>63</v>
      </c>
      <c r="G1" s="252"/>
      <c r="H1" s="252"/>
      <c r="I1" s="252"/>
      <c r="J1" s="252"/>
      <c r="K1" s="252"/>
      <c r="L1" s="252"/>
      <c r="M1" s="252"/>
      <c r="N1" s="252"/>
      <c r="O1" s="252"/>
      <c r="P1" s="252"/>
      <c r="Q1" s="252"/>
      <c r="R1" s="252"/>
    </row>
    <row r="2" spans="1:20" ht="18" customHeight="1" x14ac:dyDescent="0.15">
      <c r="A2" s="253" t="s">
        <v>89</v>
      </c>
      <c r="B2" s="253"/>
      <c r="C2" s="253"/>
      <c r="D2" s="253"/>
      <c r="E2" s="253"/>
      <c r="F2" s="253"/>
      <c r="G2" s="253"/>
      <c r="H2" s="253"/>
      <c r="I2" s="253"/>
      <c r="J2" s="253"/>
      <c r="K2" s="253"/>
      <c r="L2" s="253"/>
      <c r="M2" s="253"/>
      <c r="N2" s="253"/>
      <c r="O2" s="253"/>
      <c r="P2" s="253"/>
      <c r="Q2" s="253"/>
      <c r="R2" s="253"/>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148</v>
      </c>
      <c r="B4" s="4"/>
      <c r="C4" s="254" t="str">
        <f>'様式１　大学等概要'!E12</f>
        <v>令和３</v>
      </c>
      <c r="D4" s="255"/>
      <c r="E4" s="38" t="s">
        <v>114</v>
      </c>
      <c r="F4" s="38"/>
      <c r="G4" s="38"/>
      <c r="H4" s="38"/>
      <c r="I4" s="38"/>
      <c r="J4" s="86"/>
      <c r="K4" s="38"/>
      <c r="L4" s="38"/>
      <c r="M4" s="116"/>
      <c r="N4" s="116"/>
      <c r="O4" s="116"/>
      <c r="P4" s="116"/>
      <c r="Q4" s="116"/>
      <c r="R4" s="116"/>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146</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56" t="s">
        <v>79</v>
      </c>
      <c r="C8" s="258" t="s">
        <v>84</v>
      </c>
      <c r="D8" s="260" t="s">
        <v>68</v>
      </c>
      <c r="E8" s="262" t="s">
        <v>90</v>
      </c>
      <c r="F8" s="262"/>
      <c r="G8" s="262" t="s">
        <v>91</v>
      </c>
      <c r="H8" s="262"/>
      <c r="I8" s="262" t="s">
        <v>92</v>
      </c>
      <c r="J8" s="262"/>
      <c r="K8" s="263" t="s">
        <v>93</v>
      </c>
      <c r="L8" s="264"/>
      <c r="M8" s="263" t="s">
        <v>94</v>
      </c>
      <c r="N8" s="264"/>
      <c r="O8" s="263" t="s">
        <v>95</v>
      </c>
      <c r="P8" s="264"/>
      <c r="Q8" s="265" t="s">
        <v>62</v>
      </c>
      <c r="R8" s="267" t="s">
        <v>56</v>
      </c>
      <c r="T8" s="34"/>
    </row>
    <row r="9" spans="1:20" ht="18" customHeight="1" x14ac:dyDescent="0.15">
      <c r="A9" s="4"/>
      <c r="B9" s="257"/>
      <c r="C9" s="259"/>
      <c r="D9" s="261"/>
      <c r="E9" s="43" t="s">
        <v>44</v>
      </c>
      <c r="F9" s="44" t="s">
        <v>43</v>
      </c>
      <c r="G9" s="45" t="s">
        <v>44</v>
      </c>
      <c r="H9" s="46" t="s">
        <v>43</v>
      </c>
      <c r="I9" s="43" t="s">
        <v>44</v>
      </c>
      <c r="J9" s="44" t="s">
        <v>43</v>
      </c>
      <c r="K9" s="45" t="s">
        <v>44</v>
      </c>
      <c r="L9" s="46" t="s">
        <v>43</v>
      </c>
      <c r="M9" s="43" t="s">
        <v>44</v>
      </c>
      <c r="N9" s="44" t="s">
        <v>43</v>
      </c>
      <c r="O9" s="45" t="s">
        <v>44</v>
      </c>
      <c r="P9" s="46" t="s">
        <v>43</v>
      </c>
      <c r="Q9" s="266"/>
      <c r="R9" s="268"/>
      <c r="T9" s="34"/>
    </row>
    <row r="10" spans="1:20" ht="18" customHeight="1" x14ac:dyDescent="0.15">
      <c r="A10" s="47"/>
      <c r="B10" s="87" t="s">
        <v>172</v>
      </c>
      <c r="C10" s="47">
        <v>690</v>
      </c>
      <c r="D10" s="48">
        <v>2760</v>
      </c>
      <c r="E10" s="49">
        <v>43</v>
      </c>
      <c r="F10" s="50">
        <v>0</v>
      </c>
      <c r="G10" s="51"/>
      <c r="H10" s="52"/>
      <c r="I10" s="49"/>
      <c r="J10" s="50"/>
      <c r="K10" s="51"/>
      <c r="L10" s="52"/>
      <c r="M10" s="49"/>
      <c r="N10" s="50"/>
      <c r="O10" s="51"/>
      <c r="P10" s="52"/>
      <c r="Q10" s="53">
        <f>E10+G10+I10+K10+M10+O10</f>
        <v>43</v>
      </c>
      <c r="R10" s="54">
        <f>Q10/D10</f>
        <v>1.5579710144927537E-2</v>
      </c>
    </row>
    <row r="11" spans="1:20" ht="18" customHeight="1" x14ac:dyDescent="0.15">
      <c r="A11" s="47"/>
      <c r="B11" s="88" t="s">
        <v>173</v>
      </c>
      <c r="C11" s="63">
        <v>500</v>
      </c>
      <c r="D11" s="56">
        <v>2000</v>
      </c>
      <c r="E11" s="57">
        <v>37</v>
      </c>
      <c r="F11" s="58">
        <v>0</v>
      </c>
      <c r="G11" s="59"/>
      <c r="H11" s="60"/>
      <c r="I11" s="57"/>
      <c r="J11" s="58"/>
      <c r="K11" s="59"/>
      <c r="L11" s="60"/>
      <c r="M11" s="57"/>
      <c r="N11" s="58"/>
      <c r="O11" s="59"/>
      <c r="P11" s="60"/>
      <c r="Q11" s="61">
        <f t="shared" ref="Q11:Q14" si="0">E11+G11+I11+K11+M11+O11</f>
        <v>37</v>
      </c>
      <c r="R11" s="62">
        <f t="shared" ref="R11:R14" si="1">Q11/D11</f>
        <v>1.8499999999999999E-2</v>
      </c>
    </row>
    <row r="12" spans="1:20" ht="18" customHeight="1" x14ac:dyDescent="0.15">
      <c r="A12" s="47"/>
      <c r="B12" s="88" t="s">
        <v>174</v>
      </c>
      <c r="C12" s="63">
        <v>510</v>
      </c>
      <c r="D12" s="56">
        <v>2040</v>
      </c>
      <c r="E12" s="57">
        <v>172</v>
      </c>
      <c r="F12" s="58">
        <v>0</v>
      </c>
      <c r="G12" s="59"/>
      <c r="H12" s="60"/>
      <c r="I12" s="57"/>
      <c r="J12" s="58"/>
      <c r="K12" s="59"/>
      <c r="L12" s="60"/>
      <c r="M12" s="57"/>
      <c r="N12" s="58"/>
      <c r="O12" s="59"/>
      <c r="P12" s="60"/>
      <c r="Q12" s="61">
        <f t="shared" si="0"/>
        <v>172</v>
      </c>
      <c r="R12" s="62">
        <f t="shared" si="1"/>
        <v>8.4313725490196084E-2</v>
      </c>
    </row>
    <row r="13" spans="1:20" ht="18" customHeight="1" x14ac:dyDescent="0.15">
      <c r="A13" s="47"/>
      <c r="B13" s="88" t="s">
        <v>175</v>
      </c>
      <c r="C13" s="63">
        <v>180</v>
      </c>
      <c r="D13" s="56">
        <v>720</v>
      </c>
      <c r="E13" s="57">
        <v>6</v>
      </c>
      <c r="F13" s="58">
        <v>0</v>
      </c>
      <c r="G13" s="59"/>
      <c r="H13" s="60"/>
      <c r="I13" s="57"/>
      <c r="J13" s="58"/>
      <c r="K13" s="59"/>
      <c r="L13" s="60"/>
      <c r="M13" s="57"/>
      <c r="N13" s="58"/>
      <c r="O13" s="59"/>
      <c r="P13" s="60"/>
      <c r="Q13" s="61">
        <f t="shared" si="0"/>
        <v>6</v>
      </c>
      <c r="R13" s="62">
        <f t="shared" si="1"/>
        <v>8.3333333333333332E-3</v>
      </c>
    </row>
    <row r="14" spans="1:20" ht="18" customHeight="1" x14ac:dyDescent="0.15">
      <c r="A14" s="47"/>
      <c r="B14" s="88" t="s">
        <v>176</v>
      </c>
      <c r="C14" s="63">
        <v>330</v>
      </c>
      <c r="D14" s="56">
        <v>1320</v>
      </c>
      <c r="E14" s="57">
        <v>19</v>
      </c>
      <c r="F14" s="58">
        <v>0</v>
      </c>
      <c r="G14" s="59"/>
      <c r="H14" s="60"/>
      <c r="I14" s="57"/>
      <c r="J14" s="58"/>
      <c r="K14" s="59"/>
      <c r="L14" s="60"/>
      <c r="M14" s="57"/>
      <c r="N14" s="58"/>
      <c r="O14" s="59"/>
      <c r="P14" s="60"/>
      <c r="Q14" s="61">
        <f t="shared" si="0"/>
        <v>19</v>
      </c>
      <c r="R14" s="62">
        <f t="shared" si="1"/>
        <v>1.4393939393939395E-2</v>
      </c>
    </row>
    <row r="15" spans="1:20" ht="18" customHeight="1" x14ac:dyDescent="0.15">
      <c r="A15" s="47"/>
      <c r="B15" s="88"/>
      <c r="C15" s="63"/>
      <c r="D15" s="56"/>
      <c r="E15" s="57"/>
      <c r="F15" s="58"/>
      <c r="G15" s="59"/>
      <c r="H15" s="60"/>
      <c r="I15" s="57"/>
      <c r="J15" s="58"/>
      <c r="K15" s="59"/>
      <c r="L15" s="60"/>
      <c r="M15" s="57"/>
      <c r="N15" s="58"/>
      <c r="O15" s="59"/>
      <c r="P15" s="60"/>
      <c r="Q15" s="61"/>
      <c r="R15" s="62"/>
    </row>
    <row r="16" spans="1:20" ht="18" customHeight="1" x14ac:dyDescent="0.15">
      <c r="A16" s="47"/>
      <c r="B16" s="88"/>
      <c r="C16" s="63"/>
      <c r="D16" s="56"/>
      <c r="E16" s="57"/>
      <c r="F16" s="58"/>
      <c r="G16" s="59"/>
      <c r="H16" s="60"/>
      <c r="I16" s="57"/>
      <c r="J16" s="58"/>
      <c r="K16" s="59"/>
      <c r="L16" s="60"/>
      <c r="M16" s="57"/>
      <c r="N16" s="58"/>
      <c r="O16" s="59"/>
      <c r="P16" s="60"/>
      <c r="Q16" s="61"/>
      <c r="R16" s="62"/>
    </row>
    <row r="17" spans="1:18" ht="18" customHeight="1" x14ac:dyDescent="0.15">
      <c r="A17" s="47"/>
      <c r="B17" s="88"/>
      <c r="C17" s="63"/>
      <c r="D17" s="56"/>
      <c r="E17" s="57"/>
      <c r="F17" s="58"/>
      <c r="G17" s="59"/>
      <c r="H17" s="60"/>
      <c r="I17" s="57"/>
      <c r="J17" s="58"/>
      <c r="K17" s="59"/>
      <c r="L17" s="60"/>
      <c r="M17" s="57"/>
      <c r="N17" s="58"/>
      <c r="O17" s="59"/>
      <c r="P17" s="60"/>
      <c r="Q17" s="61"/>
      <c r="R17" s="62"/>
    </row>
    <row r="18" spans="1:18" ht="18" customHeight="1" x14ac:dyDescent="0.15">
      <c r="A18" s="47"/>
      <c r="B18" s="88"/>
      <c r="C18" s="63"/>
      <c r="D18" s="56"/>
      <c r="E18" s="57"/>
      <c r="F18" s="58"/>
      <c r="G18" s="59"/>
      <c r="H18" s="60"/>
      <c r="I18" s="57"/>
      <c r="J18" s="58"/>
      <c r="K18" s="59"/>
      <c r="L18" s="60"/>
      <c r="M18" s="57"/>
      <c r="N18" s="58"/>
      <c r="O18" s="59"/>
      <c r="P18" s="60"/>
      <c r="Q18" s="61"/>
      <c r="R18" s="62"/>
    </row>
    <row r="19" spans="1:18" ht="18" customHeight="1" x14ac:dyDescent="0.15">
      <c r="A19" s="47"/>
      <c r="B19" s="88"/>
      <c r="C19" s="63"/>
      <c r="D19" s="56"/>
      <c r="E19" s="57"/>
      <c r="F19" s="58"/>
      <c r="G19" s="59"/>
      <c r="H19" s="60"/>
      <c r="I19" s="57"/>
      <c r="J19" s="58"/>
      <c r="K19" s="59"/>
      <c r="L19" s="60"/>
      <c r="M19" s="57"/>
      <c r="N19" s="58"/>
      <c r="O19" s="59"/>
      <c r="P19" s="60"/>
      <c r="Q19" s="61"/>
      <c r="R19" s="62"/>
    </row>
    <row r="20" spans="1:18" ht="18" customHeight="1" x14ac:dyDescent="0.15">
      <c r="A20" s="47"/>
      <c r="B20" s="88"/>
      <c r="C20" s="63"/>
      <c r="D20" s="56"/>
      <c r="E20" s="57"/>
      <c r="F20" s="58"/>
      <c r="G20" s="59"/>
      <c r="H20" s="60"/>
      <c r="I20" s="57"/>
      <c r="J20" s="58"/>
      <c r="K20" s="59"/>
      <c r="L20" s="60"/>
      <c r="M20" s="57"/>
      <c r="N20" s="58"/>
      <c r="O20" s="59"/>
      <c r="P20" s="60"/>
      <c r="Q20" s="61"/>
      <c r="R20" s="62"/>
    </row>
    <row r="21" spans="1:18" ht="18" customHeight="1" x14ac:dyDescent="0.15">
      <c r="A21" s="47"/>
      <c r="B21" s="88"/>
      <c r="C21" s="63"/>
      <c r="D21" s="56"/>
      <c r="E21" s="57"/>
      <c r="F21" s="58"/>
      <c r="G21" s="59"/>
      <c r="H21" s="60"/>
      <c r="I21" s="57"/>
      <c r="J21" s="58"/>
      <c r="K21" s="59"/>
      <c r="L21" s="60"/>
      <c r="M21" s="57"/>
      <c r="N21" s="58"/>
      <c r="O21" s="59"/>
      <c r="P21" s="60"/>
      <c r="Q21" s="61"/>
      <c r="R21" s="62"/>
    </row>
    <row r="22" spans="1:18" ht="18" customHeight="1" x14ac:dyDescent="0.15">
      <c r="A22" s="47"/>
      <c r="B22" s="88"/>
      <c r="C22" s="63"/>
      <c r="D22" s="56"/>
      <c r="E22" s="57"/>
      <c r="F22" s="58"/>
      <c r="G22" s="59"/>
      <c r="H22" s="60"/>
      <c r="I22" s="57"/>
      <c r="J22" s="58"/>
      <c r="K22" s="59"/>
      <c r="L22" s="60"/>
      <c r="M22" s="57"/>
      <c r="N22" s="58"/>
      <c r="O22" s="59"/>
      <c r="P22" s="60"/>
      <c r="Q22" s="61"/>
      <c r="R22" s="62"/>
    </row>
    <row r="23" spans="1:18" ht="18" customHeight="1" x14ac:dyDescent="0.15">
      <c r="A23" s="47"/>
      <c r="B23" s="88"/>
      <c r="C23" s="63"/>
      <c r="D23" s="56"/>
      <c r="E23" s="57"/>
      <c r="F23" s="58"/>
      <c r="G23" s="59"/>
      <c r="H23" s="60"/>
      <c r="I23" s="57"/>
      <c r="J23" s="58"/>
      <c r="K23" s="59"/>
      <c r="L23" s="60"/>
      <c r="M23" s="57"/>
      <c r="N23" s="58"/>
      <c r="O23" s="59"/>
      <c r="P23" s="60"/>
      <c r="Q23" s="61"/>
      <c r="R23" s="62"/>
    </row>
    <row r="24" spans="1:18" ht="18" customHeight="1" x14ac:dyDescent="0.15">
      <c r="A24" s="47"/>
      <c r="B24" s="88"/>
      <c r="C24" s="63"/>
      <c r="D24" s="56"/>
      <c r="E24" s="57"/>
      <c r="F24" s="58"/>
      <c r="G24" s="59"/>
      <c r="H24" s="60"/>
      <c r="I24" s="57"/>
      <c r="J24" s="58"/>
      <c r="K24" s="59"/>
      <c r="L24" s="60"/>
      <c r="M24" s="57"/>
      <c r="N24" s="58"/>
      <c r="O24" s="59"/>
      <c r="P24" s="60"/>
      <c r="Q24" s="61"/>
      <c r="R24" s="62"/>
    </row>
    <row r="25" spans="1:18" ht="18" customHeight="1" x14ac:dyDescent="0.15">
      <c r="A25" s="47"/>
      <c r="B25" s="88"/>
      <c r="C25" s="63"/>
      <c r="D25" s="56"/>
      <c r="E25" s="57"/>
      <c r="F25" s="58"/>
      <c r="G25" s="59"/>
      <c r="H25" s="60"/>
      <c r="I25" s="57"/>
      <c r="J25" s="58"/>
      <c r="K25" s="59"/>
      <c r="L25" s="60"/>
      <c r="M25" s="57"/>
      <c r="N25" s="58"/>
      <c r="O25" s="59"/>
      <c r="P25" s="60"/>
      <c r="Q25" s="61"/>
      <c r="R25" s="62"/>
    </row>
    <row r="26" spans="1:18" ht="18" customHeight="1" x14ac:dyDescent="0.15">
      <c r="A26" s="47"/>
      <c r="B26" s="88"/>
      <c r="C26" s="63"/>
      <c r="D26" s="56"/>
      <c r="E26" s="57"/>
      <c r="F26" s="58"/>
      <c r="G26" s="59"/>
      <c r="H26" s="60"/>
      <c r="I26" s="57"/>
      <c r="J26" s="58"/>
      <c r="K26" s="59"/>
      <c r="L26" s="60"/>
      <c r="M26" s="57"/>
      <c r="N26" s="58"/>
      <c r="O26" s="59"/>
      <c r="P26" s="60"/>
      <c r="Q26" s="61"/>
      <c r="R26" s="62"/>
    </row>
    <row r="27" spans="1:18" ht="18" customHeight="1" x14ac:dyDescent="0.15">
      <c r="A27" s="47"/>
      <c r="B27" s="88"/>
      <c r="C27" s="55"/>
      <c r="D27" s="56"/>
      <c r="E27" s="57"/>
      <c r="F27" s="58"/>
      <c r="G27" s="59"/>
      <c r="H27" s="60"/>
      <c r="I27" s="57"/>
      <c r="J27" s="58"/>
      <c r="K27" s="59"/>
      <c r="L27" s="60"/>
      <c r="M27" s="57"/>
      <c r="N27" s="58"/>
      <c r="O27" s="59"/>
      <c r="P27" s="60"/>
      <c r="Q27" s="61"/>
      <c r="R27" s="62"/>
    </row>
    <row r="28" spans="1:18" ht="18" customHeight="1" x14ac:dyDescent="0.15">
      <c r="A28" s="47"/>
      <c r="B28" s="88"/>
      <c r="C28" s="55"/>
      <c r="D28" s="56"/>
      <c r="E28" s="57"/>
      <c r="F28" s="58"/>
      <c r="G28" s="59"/>
      <c r="H28" s="60"/>
      <c r="I28" s="57"/>
      <c r="J28" s="58"/>
      <c r="K28" s="59"/>
      <c r="L28" s="60"/>
      <c r="M28" s="57"/>
      <c r="N28" s="58"/>
      <c r="O28" s="59"/>
      <c r="P28" s="60"/>
      <c r="Q28" s="61"/>
      <c r="R28" s="62"/>
    </row>
    <row r="29" spans="1:18" ht="18" customHeight="1" thickBot="1" x14ac:dyDescent="0.2">
      <c r="A29" s="47"/>
      <c r="B29" s="89"/>
      <c r="C29" s="90"/>
      <c r="D29" s="48"/>
      <c r="E29" s="49"/>
      <c r="F29" s="50"/>
      <c r="G29" s="51"/>
      <c r="H29" s="52"/>
      <c r="I29" s="49"/>
      <c r="J29" s="50"/>
      <c r="K29" s="51"/>
      <c r="L29" s="52"/>
      <c r="M29" s="49"/>
      <c r="N29" s="50"/>
      <c r="O29" s="51"/>
      <c r="P29" s="52"/>
      <c r="Q29" s="64"/>
      <c r="R29" s="54"/>
    </row>
    <row r="30" spans="1:18" ht="18" customHeight="1" thickTop="1" x14ac:dyDescent="0.15">
      <c r="B30" s="91" t="s">
        <v>57</v>
      </c>
      <c r="C30" s="92">
        <f t="shared" ref="C30:Q30" si="2">SUM(C10:C29)</f>
        <v>2210</v>
      </c>
      <c r="D30" s="65">
        <f t="shared" si="2"/>
        <v>8840</v>
      </c>
      <c r="E30" s="66">
        <f t="shared" si="2"/>
        <v>277</v>
      </c>
      <c r="F30" s="67">
        <f t="shared" si="2"/>
        <v>0</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277</v>
      </c>
      <c r="R30" s="71">
        <f>Q30/D30</f>
        <v>3.1334841628959276E-2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topLeftCell="A18" zoomScaleNormal="100" zoomScaleSheetLayoutView="100" workbookViewId="0">
      <selection activeCell="B31" sqref="B31:J44"/>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115</v>
      </c>
      <c r="J1" s="41" t="s">
        <v>116</v>
      </c>
    </row>
    <row r="2" spans="1:11" ht="18.75" customHeight="1" x14ac:dyDescent="0.15">
      <c r="A2" s="253" t="s">
        <v>64</v>
      </c>
      <c r="B2" s="253"/>
      <c r="C2" s="253"/>
      <c r="D2" s="253"/>
      <c r="E2" s="253"/>
      <c r="F2" s="253"/>
      <c r="G2" s="253"/>
      <c r="H2" s="253"/>
      <c r="I2" s="253"/>
      <c r="J2" s="253"/>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151" t="s">
        <v>177</v>
      </c>
      <c r="C5" s="152"/>
      <c r="D5" s="152"/>
      <c r="E5" s="152"/>
      <c r="F5" s="152"/>
      <c r="G5" s="152"/>
      <c r="H5" s="152"/>
      <c r="I5" s="152"/>
      <c r="J5" s="290"/>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93"/>
      <c r="B8" s="269" t="s">
        <v>178</v>
      </c>
      <c r="C8" s="270"/>
      <c r="D8" s="270"/>
      <c r="E8" s="270"/>
      <c r="F8" s="270"/>
      <c r="G8" s="270"/>
      <c r="H8" s="270"/>
      <c r="I8" s="278"/>
      <c r="J8" s="279"/>
      <c r="K8" s="31" t="str">
        <f>IF(B8="","入力してください","")</f>
        <v/>
      </c>
    </row>
    <row r="9" spans="1:11" s="4" customFormat="1" ht="18.75" customHeight="1" x14ac:dyDescent="0.15">
      <c r="A9" s="93"/>
      <c r="B9" s="280"/>
      <c r="C9" s="281"/>
      <c r="D9" s="281"/>
      <c r="E9" s="281"/>
      <c r="F9" s="281"/>
      <c r="G9" s="281"/>
      <c r="H9" s="281"/>
      <c r="I9" s="281"/>
      <c r="J9" s="282"/>
      <c r="K9" s="31"/>
    </row>
    <row r="10" spans="1:11" s="4" customFormat="1" ht="18.75" customHeight="1" x14ac:dyDescent="0.15">
      <c r="A10" s="93"/>
      <c r="B10" s="280"/>
      <c r="C10" s="281"/>
      <c r="D10" s="281"/>
      <c r="E10" s="281"/>
      <c r="F10" s="281"/>
      <c r="G10" s="281"/>
      <c r="H10" s="281"/>
      <c r="I10" s="281"/>
      <c r="J10" s="282"/>
      <c r="K10" s="31"/>
    </row>
    <row r="11" spans="1:11" s="4" customFormat="1" ht="18.75" customHeight="1" x14ac:dyDescent="0.15">
      <c r="A11" s="93"/>
      <c r="B11" s="280"/>
      <c r="C11" s="281"/>
      <c r="D11" s="281"/>
      <c r="E11" s="281"/>
      <c r="F11" s="281"/>
      <c r="G11" s="281"/>
      <c r="H11" s="281"/>
      <c r="I11" s="281"/>
      <c r="J11" s="282"/>
      <c r="K11" s="31"/>
    </row>
    <row r="12" spans="1:11" s="4" customFormat="1" ht="18.75" customHeight="1" x14ac:dyDescent="0.15">
      <c r="A12" s="93"/>
      <c r="B12" s="283"/>
      <c r="C12" s="284"/>
      <c r="D12" s="284"/>
      <c r="E12" s="284"/>
      <c r="F12" s="284"/>
      <c r="G12" s="284"/>
      <c r="H12" s="284"/>
      <c r="I12" s="284"/>
      <c r="J12" s="285"/>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10</v>
      </c>
      <c r="B14" s="94" t="s">
        <v>15</v>
      </c>
      <c r="C14" s="94"/>
      <c r="D14" s="94"/>
      <c r="E14" s="94"/>
      <c r="F14" s="94"/>
      <c r="G14" s="94"/>
      <c r="H14" s="94"/>
      <c r="I14" s="94"/>
      <c r="J14" s="94"/>
      <c r="K14" s="31"/>
    </row>
    <row r="15" spans="1:11" s="4" customFormat="1" ht="18.75" customHeight="1" x14ac:dyDescent="0.15">
      <c r="A15" s="93"/>
      <c r="B15" s="269" t="s">
        <v>203</v>
      </c>
      <c r="C15" s="270"/>
      <c r="D15" s="270"/>
      <c r="E15" s="270"/>
      <c r="F15" s="270"/>
      <c r="G15" s="270"/>
      <c r="H15" s="270"/>
      <c r="I15" s="278"/>
      <c r="J15" s="279"/>
      <c r="K15" s="31" t="str">
        <f>IF(B15="","入力してください","")</f>
        <v/>
      </c>
    </row>
    <row r="16" spans="1:11" s="4" customFormat="1" ht="18.75" customHeight="1" x14ac:dyDescent="0.15">
      <c r="A16" s="93"/>
      <c r="B16" s="280"/>
      <c r="C16" s="281"/>
      <c r="D16" s="281"/>
      <c r="E16" s="281"/>
      <c r="F16" s="281"/>
      <c r="G16" s="281"/>
      <c r="H16" s="281"/>
      <c r="I16" s="281"/>
      <c r="J16" s="282"/>
      <c r="K16" s="31"/>
    </row>
    <row r="17" spans="1:11" s="4" customFormat="1" ht="18.75" customHeight="1" x14ac:dyDescent="0.15">
      <c r="A17" s="93"/>
      <c r="B17" s="280"/>
      <c r="C17" s="281"/>
      <c r="D17" s="281"/>
      <c r="E17" s="281"/>
      <c r="F17" s="281"/>
      <c r="G17" s="281"/>
      <c r="H17" s="281"/>
      <c r="I17" s="281"/>
      <c r="J17" s="282"/>
      <c r="K17" s="31"/>
    </row>
    <row r="18" spans="1:11" s="4" customFormat="1" ht="18.75" customHeight="1" x14ac:dyDescent="0.15">
      <c r="A18" s="93"/>
      <c r="B18" s="280"/>
      <c r="C18" s="281"/>
      <c r="D18" s="281"/>
      <c r="E18" s="281"/>
      <c r="F18" s="281"/>
      <c r="G18" s="281"/>
      <c r="H18" s="281"/>
      <c r="I18" s="281"/>
      <c r="J18" s="282"/>
      <c r="K18" s="31"/>
    </row>
    <row r="19" spans="1:11" s="4" customFormat="1" ht="18.75" customHeight="1" x14ac:dyDescent="0.15">
      <c r="A19" s="93"/>
      <c r="B19" s="280"/>
      <c r="C19" s="281"/>
      <c r="D19" s="281"/>
      <c r="E19" s="281"/>
      <c r="F19" s="281"/>
      <c r="G19" s="281"/>
      <c r="H19" s="281"/>
      <c r="I19" s="281"/>
      <c r="J19" s="282"/>
      <c r="K19" s="31"/>
    </row>
    <row r="20" spans="1:11" s="4" customFormat="1" ht="18.75" customHeight="1" x14ac:dyDescent="0.15">
      <c r="A20" s="93"/>
      <c r="B20" s="280"/>
      <c r="C20" s="281"/>
      <c r="D20" s="281"/>
      <c r="E20" s="281"/>
      <c r="F20" s="281"/>
      <c r="G20" s="281"/>
      <c r="H20" s="281"/>
      <c r="I20" s="281"/>
      <c r="J20" s="282"/>
      <c r="K20" s="31"/>
    </row>
    <row r="21" spans="1:11" s="4" customFormat="1" ht="18.75" customHeight="1" x14ac:dyDescent="0.15">
      <c r="A21" s="93"/>
      <c r="B21" s="280"/>
      <c r="C21" s="281"/>
      <c r="D21" s="281"/>
      <c r="E21" s="281"/>
      <c r="F21" s="281"/>
      <c r="G21" s="281"/>
      <c r="H21" s="281"/>
      <c r="I21" s="281"/>
      <c r="J21" s="282"/>
      <c r="K21" s="31"/>
    </row>
    <row r="22" spans="1:11" s="4" customFormat="1" ht="18.75" customHeight="1" x14ac:dyDescent="0.15">
      <c r="A22" s="93"/>
      <c r="B22" s="280"/>
      <c r="C22" s="281"/>
      <c r="D22" s="281"/>
      <c r="E22" s="281"/>
      <c r="F22" s="281"/>
      <c r="G22" s="281"/>
      <c r="H22" s="281"/>
      <c r="I22" s="281"/>
      <c r="J22" s="282"/>
      <c r="K22" s="31"/>
    </row>
    <row r="23" spans="1:11" s="4" customFormat="1" ht="18.75" customHeight="1" x14ac:dyDescent="0.15">
      <c r="A23" s="93"/>
      <c r="B23" s="280"/>
      <c r="C23" s="281"/>
      <c r="D23" s="281"/>
      <c r="E23" s="281"/>
      <c r="F23" s="281"/>
      <c r="G23" s="281"/>
      <c r="H23" s="281"/>
      <c r="I23" s="281"/>
      <c r="J23" s="282"/>
      <c r="K23" s="31"/>
    </row>
    <row r="24" spans="1:11" s="4" customFormat="1" ht="18.75" customHeight="1" x14ac:dyDescent="0.15">
      <c r="A24" s="93"/>
      <c r="B24" s="280"/>
      <c r="C24" s="281"/>
      <c r="D24" s="281"/>
      <c r="E24" s="281"/>
      <c r="F24" s="281"/>
      <c r="G24" s="281"/>
      <c r="H24" s="281"/>
      <c r="I24" s="281"/>
      <c r="J24" s="282"/>
      <c r="K24" s="31"/>
    </row>
    <row r="25" spans="1:11" s="4" customFormat="1" ht="18.75" customHeight="1" x14ac:dyDescent="0.15">
      <c r="A25" s="93"/>
      <c r="B25" s="283"/>
      <c r="C25" s="284"/>
      <c r="D25" s="284"/>
      <c r="E25" s="284"/>
      <c r="F25" s="284"/>
      <c r="G25" s="284"/>
      <c r="H25" s="284"/>
      <c r="I25" s="284"/>
      <c r="J25" s="285"/>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5" t="s">
        <v>117</v>
      </c>
      <c r="C28" s="96">
        <f>'様式３　履修者等数の実績'!R30</f>
        <v>3.1334841628959276E-2</v>
      </c>
      <c r="D28" s="97"/>
      <c r="E28" s="97" t="s">
        <v>118</v>
      </c>
      <c r="F28" s="96">
        <v>0.1</v>
      </c>
      <c r="G28" s="97"/>
      <c r="H28" s="97" t="s">
        <v>119</v>
      </c>
      <c r="I28" s="98">
        <v>0.2</v>
      </c>
      <c r="J28" s="99"/>
      <c r="K28" s="31"/>
    </row>
    <row r="29" spans="1:11" s="29" customFormat="1" ht="18.75" customHeight="1" x14ac:dyDescent="0.15">
      <c r="B29" s="83" t="s">
        <v>120</v>
      </c>
      <c r="C29" s="100">
        <v>0.4</v>
      </c>
      <c r="D29" s="84"/>
      <c r="E29" s="84" t="s">
        <v>121</v>
      </c>
      <c r="F29" s="100">
        <v>0.6</v>
      </c>
      <c r="G29" s="84"/>
      <c r="H29" s="84" t="s">
        <v>122</v>
      </c>
      <c r="I29" s="101">
        <f>'様式３　履修者等数の実績'!D30</f>
        <v>8840</v>
      </c>
      <c r="J29" s="102"/>
      <c r="K29" s="35"/>
    </row>
    <row r="30" spans="1:11" s="4" customFormat="1" ht="18.75" customHeight="1" x14ac:dyDescent="0.15">
      <c r="A30" s="1"/>
      <c r="B30" s="199" t="s">
        <v>123</v>
      </c>
      <c r="C30" s="200"/>
      <c r="D30" s="200"/>
      <c r="E30" s="200"/>
      <c r="F30" s="200"/>
      <c r="G30" s="200"/>
      <c r="H30" s="200"/>
      <c r="I30" s="200"/>
      <c r="J30" s="201"/>
      <c r="K30" s="35"/>
    </row>
    <row r="31" spans="1:11" s="4" customFormat="1" ht="18.75" customHeight="1" x14ac:dyDescent="0.15">
      <c r="A31" s="1"/>
      <c r="B31" s="287" t="s">
        <v>206</v>
      </c>
      <c r="C31" s="288"/>
      <c r="D31" s="288"/>
      <c r="E31" s="288"/>
      <c r="F31" s="288"/>
      <c r="G31" s="288"/>
      <c r="H31" s="288"/>
      <c r="I31" s="288"/>
      <c r="J31" s="289"/>
      <c r="K31" s="35" t="str">
        <f>IF(B31="","入力してください","")</f>
        <v/>
      </c>
    </row>
    <row r="32" spans="1:11" s="4" customFormat="1" ht="18.75" customHeight="1" x14ac:dyDescent="0.15">
      <c r="A32" s="1"/>
      <c r="B32" s="280"/>
      <c r="C32" s="281"/>
      <c r="D32" s="281"/>
      <c r="E32" s="281"/>
      <c r="F32" s="281"/>
      <c r="G32" s="281"/>
      <c r="H32" s="281"/>
      <c r="I32" s="281"/>
      <c r="J32" s="282"/>
      <c r="K32" s="35"/>
    </row>
    <row r="33" spans="1:11" s="4" customFormat="1" ht="18.75" customHeight="1" x14ac:dyDescent="0.15">
      <c r="A33" s="1"/>
      <c r="B33" s="280"/>
      <c r="C33" s="281"/>
      <c r="D33" s="281"/>
      <c r="E33" s="281"/>
      <c r="F33" s="281"/>
      <c r="G33" s="281"/>
      <c r="H33" s="281"/>
      <c r="I33" s="281"/>
      <c r="J33" s="282"/>
      <c r="K33" s="35"/>
    </row>
    <row r="34" spans="1:11" s="4" customFormat="1" ht="18.75" customHeight="1" x14ac:dyDescent="0.15">
      <c r="A34" s="1"/>
      <c r="B34" s="280"/>
      <c r="C34" s="281"/>
      <c r="D34" s="281"/>
      <c r="E34" s="281"/>
      <c r="F34" s="281"/>
      <c r="G34" s="281"/>
      <c r="H34" s="281"/>
      <c r="I34" s="281"/>
      <c r="J34" s="282"/>
      <c r="K34" s="35"/>
    </row>
    <row r="35" spans="1:11" s="4" customFormat="1" ht="18.75" customHeight="1" x14ac:dyDescent="0.15">
      <c r="A35" s="1"/>
      <c r="B35" s="280"/>
      <c r="C35" s="281"/>
      <c r="D35" s="281"/>
      <c r="E35" s="281"/>
      <c r="F35" s="281"/>
      <c r="G35" s="281"/>
      <c r="H35" s="281"/>
      <c r="I35" s="281"/>
      <c r="J35" s="282"/>
      <c r="K35" s="35"/>
    </row>
    <row r="36" spans="1:11" s="4" customFormat="1" ht="18.75" customHeight="1" x14ac:dyDescent="0.15">
      <c r="A36" s="1"/>
      <c r="B36" s="280"/>
      <c r="C36" s="281"/>
      <c r="D36" s="281"/>
      <c r="E36" s="281"/>
      <c r="F36" s="281"/>
      <c r="G36" s="281"/>
      <c r="H36" s="281"/>
      <c r="I36" s="281"/>
      <c r="J36" s="282"/>
      <c r="K36" s="35"/>
    </row>
    <row r="37" spans="1:11" s="4" customFormat="1" ht="18.75" customHeight="1" x14ac:dyDescent="0.15">
      <c r="A37" s="1"/>
      <c r="B37" s="280"/>
      <c r="C37" s="281"/>
      <c r="D37" s="281"/>
      <c r="E37" s="281"/>
      <c r="F37" s="281"/>
      <c r="G37" s="281"/>
      <c r="H37" s="281"/>
      <c r="I37" s="281"/>
      <c r="J37" s="282"/>
      <c r="K37" s="35"/>
    </row>
    <row r="38" spans="1:11" s="4" customFormat="1" ht="18.75" customHeight="1" x14ac:dyDescent="0.15">
      <c r="A38" s="1"/>
      <c r="B38" s="280"/>
      <c r="C38" s="281"/>
      <c r="D38" s="281"/>
      <c r="E38" s="281"/>
      <c r="F38" s="281"/>
      <c r="G38" s="281"/>
      <c r="H38" s="281"/>
      <c r="I38" s="281"/>
      <c r="J38" s="282"/>
      <c r="K38" s="35"/>
    </row>
    <row r="39" spans="1:11" s="4" customFormat="1" ht="18.75" customHeight="1" x14ac:dyDescent="0.15">
      <c r="A39" s="1"/>
      <c r="B39" s="280"/>
      <c r="C39" s="281"/>
      <c r="D39" s="281"/>
      <c r="E39" s="281"/>
      <c r="F39" s="281"/>
      <c r="G39" s="281"/>
      <c r="H39" s="281"/>
      <c r="I39" s="281"/>
      <c r="J39" s="282"/>
      <c r="K39" s="35"/>
    </row>
    <row r="40" spans="1:11" s="4" customFormat="1" ht="18.75" customHeight="1" x14ac:dyDescent="0.15">
      <c r="A40" s="1"/>
      <c r="B40" s="280"/>
      <c r="C40" s="281"/>
      <c r="D40" s="281"/>
      <c r="E40" s="281"/>
      <c r="F40" s="281"/>
      <c r="G40" s="281"/>
      <c r="H40" s="281"/>
      <c r="I40" s="281"/>
      <c r="J40" s="282"/>
      <c r="K40" s="35"/>
    </row>
    <row r="41" spans="1:11" s="4" customFormat="1" ht="18.75" customHeight="1" x14ac:dyDescent="0.15">
      <c r="A41" s="1"/>
      <c r="B41" s="280"/>
      <c r="C41" s="281"/>
      <c r="D41" s="281"/>
      <c r="E41" s="281"/>
      <c r="F41" s="281"/>
      <c r="G41" s="281"/>
      <c r="H41" s="281"/>
      <c r="I41" s="281"/>
      <c r="J41" s="282"/>
      <c r="K41" s="35"/>
    </row>
    <row r="42" spans="1:11" s="4" customFormat="1" ht="18.75" customHeight="1" x14ac:dyDescent="0.15">
      <c r="A42" s="1"/>
      <c r="B42" s="280"/>
      <c r="C42" s="281"/>
      <c r="D42" s="281"/>
      <c r="E42" s="281"/>
      <c r="F42" s="281"/>
      <c r="G42" s="281"/>
      <c r="H42" s="281"/>
      <c r="I42" s="281"/>
      <c r="J42" s="282"/>
      <c r="K42" s="35"/>
    </row>
    <row r="43" spans="1:11" ht="18.75" customHeight="1" x14ac:dyDescent="0.15">
      <c r="A43" s="39"/>
      <c r="B43" s="280"/>
      <c r="C43" s="281"/>
      <c r="D43" s="281"/>
      <c r="E43" s="281"/>
      <c r="F43" s="281"/>
      <c r="G43" s="281"/>
      <c r="H43" s="281"/>
      <c r="I43" s="281"/>
      <c r="J43" s="282"/>
      <c r="K43" s="35"/>
    </row>
    <row r="44" spans="1:11" ht="18.75" customHeight="1" x14ac:dyDescent="0.15">
      <c r="A44" s="39"/>
      <c r="B44" s="283"/>
      <c r="C44" s="284"/>
      <c r="D44" s="284"/>
      <c r="E44" s="284"/>
      <c r="F44" s="284"/>
      <c r="G44" s="284"/>
      <c r="H44" s="284"/>
      <c r="I44" s="284"/>
      <c r="J44" s="285"/>
    </row>
    <row r="45" spans="1:11" s="4" customFormat="1" ht="18.75" customHeight="1" x14ac:dyDescent="0.15">
      <c r="A45" s="103" t="s">
        <v>11</v>
      </c>
      <c r="B45" s="1" t="s">
        <v>65</v>
      </c>
      <c r="C45" s="1"/>
      <c r="D45" s="1"/>
      <c r="E45" s="1"/>
      <c r="F45" s="1"/>
      <c r="G45" s="1"/>
      <c r="H45" s="1"/>
      <c r="I45" s="103"/>
      <c r="J45" s="103"/>
      <c r="K45" s="31"/>
    </row>
    <row r="46" spans="1:11" ht="18.75" customHeight="1" x14ac:dyDescent="0.15">
      <c r="A46" s="39"/>
      <c r="B46" s="269" t="s">
        <v>192</v>
      </c>
      <c r="C46" s="270"/>
      <c r="D46" s="270"/>
      <c r="E46" s="270"/>
      <c r="F46" s="270"/>
      <c r="G46" s="270"/>
      <c r="H46" s="270"/>
      <c r="I46" s="270"/>
      <c r="J46" s="271"/>
      <c r="K46" s="31" t="str">
        <f>IF(B46="","入力してください","")</f>
        <v/>
      </c>
    </row>
    <row r="47" spans="1:11" ht="18.75" customHeight="1" x14ac:dyDescent="0.15">
      <c r="A47" s="39"/>
      <c r="B47" s="272"/>
      <c r="C47" s="273"/>
      <c r="D47" s="273"/>
      <c r="E47" s="273"/>
      <c r="F47" s="273"/>
      <c r="G47" s="273"/>
      <c r="H47" s="273"/>
      <c r="I47" s="273"/>
      <c r="J47" s="274"/>
    </row>
    <row r="48" spans="1:11" ht="18.75" customHeight="1" x14ac:dyDescent="0.15">
      <c r="A48" s="39"/>
      <c r="B48" s="272"/>
      <c r="C48" s="273"/>
      <c r="D48" s="273"/>
      <c r="E48" s="273"/>
      <c r="F48" s="273"/>
      <c r="G48" s="273"/>
      <c r="H48" s="273"/>
      <c r="I48" s="273"/>
      <c r="J48" s="274"/>
    </row>
    <row r="49" spans="1:10" ht="18.75" customHeight="1" x14ac:dyDescent="0.15">
      <c r="A49" s="39"/>
      <c r="B49" s="272"/>
      <c r="C49" s="273"/>
      <c r="D49" s="273"/>
      <c r="E49" s="273"/>
      <c r="F49" s="273"/>
      <c r="G49" s="273"/>
      <c r="H49" s="273"/>
      <c r="I49" s="273"/>
      <c r="J49" s="274"/>
    </row>
    <row r="50" spans="1:10" ht="18.75" customHeight="1" x14ac:dyDescent="0.15">
      <c r="A50" s="39"/>
      <c r="B50" s="272"/>
      <c r="C50" s="273"/>
      <c r="D50" s="273"/>
      <c r="E50" s="273"/>
      <c r="F50" s="273"/>
      <c r="G50" s="273"/>
      <c r="H50" s="273"/>
      <c r="I50" s="273"/>
      <c r="J50" s="274"/>
    </row>
    <row r="51" spans="1:10" ht="18.75" customHeight="1" x14ac:dyDescent="0.15">
      <c r="A51" s="39"/>
      <c r="B51" s="272"/>
      <c r="C51" s="273"/>
      <c r="D51" s="273"/>
      <c r="E51" s="273"/>
      <c r="F51" s="273"/>
      <c r="G51" s="273"/>
      <c r="H51" s="273"/>
      <c r="I51" s="273"/>
      <c r="J51" s="274"/>
    </row>
    <row r="52" spans="1:10" ht="18.75" customHeight="1" x14ac:dyDescent="0.15">
      <c r="A52" s="39"/>
      <c r="B52" s="272"/>
      <c r="C52" s="273"/>
      <c r="D52" s="273"/>
      <c r="E52" s="273"/>
      <c r="F52" s="273"/>
      <c r="G52" s="273"/>
      <c r="H52" s="273"/>
      <c r="I52" s="273"/>
      <c r="J52" s="274"/>
    </row>
    <row r="53" spans="1:10" ht="18.75" customHeight="1" x14ac:dyDescent="0.15">
      <c r="A53" s="39"/>
      <c r="B53" s="272"/>
      <c r="C53" s="273"/>
      <c r="D53" s="273"/>
      <c r="E53" s="273"/>
      <c r="F53" s="273"/>
      <c r="G53" s="273"/>
      <c r="H53" s="273"/>
      <c r="I53" s="273"/>
      <c r="J53" s="274"/>
    </row>
    <row r="54" spans="1:10" ht="18.75" customHeight="1" x14ac:dyDescent="0.15">
      <c r="A54" s="39"/>
      <c r="B54" s="272"/>
      <c r="C54" s="273"/>
      <c r="D54" s="273"/>
      <c r="E54" s="273"/>
      <c r="F54" s="273"/>
      <c r="G54" s="273"/>
      <c r="H54" s="273"/>
      <c r="I54" s="273"/>
      <c r="J54" s="274"/>
    </row>
    <row r="55" spans="1:10" ht="18.75" customHeight="1" x14ac:dyDescent="0.15">
      <c r="A55" s="39"/>
      <c r="B55" s="272"/>
      <c r="C55" s="273"/>
      <c r="D55" s="273"/>
      <c r="E55" s="273"/>
      <c r="F55" s="273"/>
      <c r="G55" s="273"/>
      <c r="H55" s="273"/>
      <c r="I55" s="273"/>
      <c r="J55" s="274"/>
    </row>
    <row r="56" spans="1:10" ht="18.75" customHeight="1" x14ac:dyDescent="0.15">
      <c r="A56" s="39"/>
      <c r="B56" s="272"/>
      <c r="C56" s="273"/>
      <c r="D56" s="273"/>
      <c r="E56" s="273"/>
      <c r="F56" s="273"/>
      <c r="G56" s="273"/>
      <c r="H56" s="273"/>
      <c r="I56" s="273"/>
      <c r="J56" s="274"/>
    </row>
    <row r="57" spans="1:10" ht="18.75" customHeight="1" x14ac:dyDescent="0.15">
      <c r="A57" s="39"/>
      <c r="B57" s="272"/>
      <c r="C57" s="273"/>
      <c r="D57" s="273"/>
      <c r="E57" s="273"/>
      <c r="F57" s="273"/>
      <c r="G57" s="273"/>
      <c r="H57" s="273"/>
      <c r="I57" s="273"/>
      <c r="J57" s="274"/>
    </row>
    <row r="58" spans="1:10" ht="18.75" customHeight="1" x14ac:dyDescent="0.15">
      <c r="A58" s="39"/>
      <c r="B58" s="272"/>
      <c r="C58" s="273"/>
      <c r="D58" s="273"/>
      <c r="E58" s="273"/>
      <c r="F58" s="273"/>
      <c r="G58" s="273"/>
      <c r="H58" s="273"/>
      <c r="I58" s="273"/>
      <c r="J58" s="274"/>
    </row>
    <row r="59" spans="1:10" ht="18.75" customHeight="1" x14ac:dyDescent="0.15">
      <c r="A59" s="39"/>
      <c r="B59" s="272"/>
      <c r="C59" s="273"/>
      <c r="D59" s="273"/>
      <c r="E59" s="273"/>
      <c r="F59" s="273"/>
      <c r="G59" s="273"/>
      <c r="H59" s="273"/>
      <c r="I59" s="273"/>
      <c r="J59" s="274"/>
    </row>
    <row r="60" spans="1:10" ht="18.75" customHeight="1" x14ac:dyDescent="0.15">
      <c r="A60" s="39"/>
      <c r="B60" s="272"/>
      <c r="C60" s="273"/>
      <c r="D60" s="273"/>
      <c r="E60" s="273"/>
      <c r="F60" s="273"/>
      <c r="G60" s="273"/>
      <c r="H60" s="273"/>
      <c r="I60" s="273"/>
      <c r="J60" s="274"/>
    </row>
    <row r="61" spans="1:10" ht="18.75" customHeight="1" x14ac:dyDescent="0.15">
      <c r="A61" s="39"/>
      <c r="B61" s="272"/>
      <c r="C61" s="273"/>
      <c r="D61" s="273"/>
      <c r="E61" s="273"/>
      <c r="F61" s="273"/>
      <c r="G61" s="273"/>
      <c r="H61" s="273"/>
      <c r="I61" s="273"/>
      <c r="J61" s="274"/>
    </row>
    <row r="62" spans="1:10" ht="18.75" customHeight="1" x14ac:dyDescent="0.15">
      <c r="A62" s="39"/>
      <c r="B62" s="272"/>
      <c r="C62" s="273"/>
      <c r="D62" s="273"/>
      <c r="E62" s="273"/>
      <c r="F62" s="273"/>
      <c r="G62" s="273"/>
      <c r="H62" s="273"/>
      <c r="I62" s="273"/>
      <c r="J62" s="274"/>
    </row>
    <row r="63" spans="1:10" ht="18.75" customHeight="1" x14ac:dyDescent="0.15">
      <c r="A63" s="39"/>
      <c r="B63" s="272"/>
      <c r="C63" s="273"/>
      <c r="D63" s="273"/>
      <c r="E63" s="273"/>
      <c r="F63" s="273"/>
      <c r="G63" s="273"/>
      <c r="H63" s="273"/>
      <c r="I63" s="273"/>
      <c r="J63" s="274"/>
    </row>
    <row r="64" spans="1:10" ht="18.75" customHeight="1" x14ac:dyDescent="0.15">
      <c r="A64" s="39"/>
      <c r="B64" s="272"/>
      <c r="C64" s="273"/>
      <c r="D64" s="273"/>
      <c r="E64" s="273"/>
      <c r="F64" s="273"/>
      <c r="G64" s="273"/>
      <c r="H64" s="273"/>
      <c r="I64" s="273"/>
      <c r="J64" s="274"/>
    </row>
    <row r="65" spans="1:11" ht="18.75" customHeight="1" x14ac:dyDescent="0.15">
      <c r="A65" s="39"/>
      <c r="B65" s="272"/>
      <c r="C65" s="273"/>
      <c r="D65" s="273"/>
      <c r="E65" s="273"/>
      <c r="F65" s="273"/>
      <c r="G65" s="273"/>
      <c r="H65" s="273"/>
      <c r="I65" s="273"/>
      <c r="J65" s="274"/>
    </row>
    <row r="66" spans="1:11" ht="18.75" customHeight="1" x14ac:dyDescent="0.15">
      <c r="A66" s="39"/>
      <c r="B66" s="275"/>
      <c r="C66" s="276"/>
      <c r="D66" s="276"/>
      <c r="E66" s="276"/>
      <c r="F66" s="276"/>
      <c r="G66" s="276"/>
      <c r="H66" s="276"/>
      <c r="I66" s="276"/>
      <c r="J66" s="277"/>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269" t="s">
        <v>193</v>
      </c>
      <c r="C69" s="270"/>
      <c r="D69" s="270"/>
      <c r="E69" s="270"/>
      <c r="F69" s="270"/>
      <c r="G69" s="270"/>
      <c r="H69" s="270"/>
      <c r="I69" s="278"/>
      <c r="J69" s="279"/>
      <c r="K69" s="35" t="str">
        <f>IF(B69="","入力してください","")</f>
        <v/>
      </c>
    </row>
    <row r="70" spans="1:11" s="4" customFormat="1" ht="18.75" customHeight="1" x14ac:dyDescent="0.15">
      <c r="A70" s="1"/>
      <c r="B70" s="280"/>
      <c r="C70" s="281"/>
      <c r="D70" s="281"/>
      <c r="E70" s="281"/>
      <c r="F70" s="281"/>
      <c r="G70" s="281"/>
      <c r="H70" s="281"/>
      <c r="I70" s="281"/>
      <c r="J70" s="282"/>
      <c r="K70" s="35"/>
    </row>
    <row r="71" spans="1:11" s="4" customFormat="1" ht="18.75" customHeight="1" x14ac:dyDescent="0.15">
      <c r="A71" s="1"/>
      <c r="B71" s="280"/>
      <c r="C71" s="281"/>
      <c r="D71" s="281"/>
      <c r="E71" s="281"/>
      <c r="F71" s="281"/>
      <c r="G71" s="281"/>
      <c r="H71" s="281"/>
      <c r="I71" s="281"/>
      <c r="J71" s="282"/>
      <c r="K71" s="35"/>
    </row>
    <row r="72" spans="1:11" s="4" customFormat="1" ht="18.75" customHeight="1" x14ac:dyDescent="0.15">
      <c r="A72" s="1"/>
      <c r="B72" s="280"/>
      <c r="C72" s="281"/>
      <c r="D72" s="281"/>
      <c r="E72" s="281"/>
      <c r="F72" s="281"/>
      <c r="G72" s="281"/>
      <c r="H72" s="281"/>
      <c r="I72" s="281"/>
      <c r="J72" s="282"/>
      <c r="K72" s="35"/>
    </row>
    <row r="73" spans="1:11" s="4" customFormat="1" ht="18.75" customHeight="1" x14ac:dyDescent="0.15">
      <c r="A73" s="1"/>
      <c r="B73" s="280"/>
      <c r="C73" s="281"/>
      <c r="D73" s="281"/>
      <c r="E73" s="281"/>
      <c r="F73" s="281"/>
      <c r="G73" s="281"/>
      <c r="H73" s="281"/>
      <c r="I73" s="281"/>
      <c r="J73" s="282"/>
      <c r="K73" s="35"/>
    </row>
    <row r="74" spans="1:11" s="4" customFormat="1" ht="18.75" customHeight="1" x14ac:dyDescent="0.15">
      <c r="A74" s="1"/>
      <c r="B74" s="280"/>
      <c r="C74" s="281"/>
      <c r="D74" s="281"/>
      <c r="E74" s="281"/>
      <c r="F74" s="281"/>
      <c r="G74" s="281"/>
      <c r="H74" s="281"/>
      <c r="I74" s="281"/>
      <c r="J74" s="282"/>
      <c r="K74" s="35"/>
    </row>
    <row r="75" spans="1:11" s="4" customFormat="1" ht="18.75" customHeight="1" x14ac:dyDescent="0.15">
      <c r="A75" s="1"/>
      <c r="B75" s="280"/>
      <c r="C75" s="281"/>
      <c r="D75" s="281"/>
      <c r="E75" s="281"/>
      <c r="F75" s="281"/>
      <c r="G75" s="281"/>
      <c r="H75" s="281"/>
      <c r="I75" s="281"/>
      <c r="J75" s="282"/>
      <c r="K75" s="35"/>
    </row>
    <row r="76" spans="1:11" s="4" customFormat="1" ht="18.75" customHeight="1" x14ac:dyDescent="0.15">
      <c r="A76" s="1"/>
      <c r="B76" s="280"/>
      <c r="C76" s="281"/>
      <c r="D76" s="281"/>
      <c r="E76" s="281"/>
      <c r="F76" s="281"/>
      <c r="G76" s="281"/>
      <c r="H76" s="281"/>
      <c r="I76" s="281"/>
      <c r="J76" s="282"/>
      <c r="K76" s="35"/>
    </row>
    <row r="77" spans="1:11" s="4" customFormat="1" ht="18.75" customHeight="1" x14ac:dyDescent="0.15">
      <c r="A77" s="1"/>
      <c r="B77" s="280"/>
      <c r="C77" s="281"/>
      <c r="D77" s="281"/>
      <c r="E77" s="281"/>
      <c r="F77" s="281"/>
      <c r="G77" s="281"/>
      <c r="H77" s="281"/>
      <c r="I77" s="281"/>
      <c r="J77" s="282"/>
      <c r="K77" s="35"/>
    </row>
    <row r="78" spans="1:11" s="4" customFormat="1" ht="18.75" customHeight="1" x14ac:dyDescent="0.15">
      <c r="A78" s="1"/>
      <c r="B78" s="280"/>
      <c r="C78" s="281"/>
      <c r="D78" s="281"/>
      <c r="E78" s="281"/>
      <c r="F78" s="281"/>
      <c r="G78" s="281"/>
      <c r="H78" s="281"/>
      <c r="I78" s="281"/>
      <c r="J78" s="282"/>
      <c r="K78" s="35"/>
    </row>
    <row r="79" spans="1:11" s="4" customFormat="1" ht="18.75" customHeight="1" x14ac:dyDescent="0.15">
      <c r="A79" s="1"/>
      <c r="B79" s="280"/>
      <c r="C79" s="281"/>
      <c r="D79" s="281"/>
      <c r="E79" s="281"/>
      <c r="F79" s="281"/>
      <c r="G79" s="281"/>
      <c r="H79" s="281"/>
      <c r="I79" s="281"/>
      <c r="J79" s="282"/>
      <c r="K79" s="35"/>
    </row>
    <row r="80" spans="1:11" s="4" customFormat="1" ht="18.75" customHeight="1" x14ac:dyDescent="0.15">
      <c r="A80" s="1"/>
      <c r="B80" s="280"/>
      <c r="C80" s="281"/>
      <c r="D80" s="281"/>
      <c r="E80" s="281"/>
      <c r="F80" s="281"/>
      <c r="G80" s="281"/>
      <c r="H80" s="281"/>
      <c r="I80" s="281"/>
      <c r="J80" s="282"/>
      <c r="K80" s="35"/>
    </row>
    <row r="81" spans="1:11" s="4" customFormat="1" ht="18.75" customHeight="1" x14ac:dyDescent="0.15">
      <c r="A81" s="1"/>
      <c r="B81" s="280"/>
      <c r="C81" s="281"/>
      <c r="D81" s="281"/>
      <c r="E81" s="281"/>
      <c r="F81" s="281"/>
      <c r="G81" s="281"/>
      <c r="H81" s="281"/>
      <c r="I81" s="281"/>
      <c r="J81" s="282"/>
      <c r="K81" s="35"/>
    </row>
    <row r="82" spans="1:11" s="4" customFormat="1" ht="18.75" customHeight="1" x14ac:dyDescent="0.15">
      <c r="A82" s="1"/>
      <c r="B82" s="280"/>
      <c r="C82" s="281"/>
      <c r="D82" s="281"/>
      <c r="E82" s="281"/>
      <c r="F82" s="281"/>
      <c r="G82" s="281"/>
      <c r="H82" s="281"/>
      <c r="I82" s="281"/>
      <c r="J82" s="282"/>
      <c r="K82" s="35"/>
    </row>
    <row r="83" spans="1:11" s="4" customFormat="1" ht="18.75" customHeight="1" x14ac:dyDescent="0.15">
      <c r="A83" s="1"/>
      <c r="B83" s="280"/>
      <c r="C83" s="281"/>
      <c r="D83" s="281"/>
      <c r="E83" s="281"/>
      <c r="F83" s="281"/>
      <c r="G83" s="281"/>
      <c r="H83" s="281"/>
      <c r="I83" s="281"/>
      <c r="J83" s="282"/>
      <c r="K83" s="35"/>
    </row>
    <row r="84" spans="1:11" s="4" customFormat="1" ht="18.75" customHeight="1" x14ac:dyDescent="0.15">
      <c r="A84" s="1"/>
      <c r="B84" s="280"/>
      <c r="C84" s="281"/>
      <c r="D84" s="281"/>
      <c r="E84" s="281"/>
      <c r="F84" s="281"/>
      <c r="G84" s="281"/>
      <c r="H84" s="281"/>
      <c r="I84" s="281"/>
      <c r="J84" s="282"/>
      <c r="K84" s="35"/>
    </row>
    <row r="85" spans="1:11" ht="18.75" customHeight="1" x14ac:dyDescent="0.15">
      <c r="A85" s="39"/>
      <c r="B85" s="280"/>
      <c r="C85" s="281"/>
      <c r="D85" s="281"/>
      <c r="E85" s="281"/>
      <c r="F85" s="281"/>
      <c r="G85" s="281"/>
      <c r="H85" s="281"/>
      <c r="I85" s="281"/>
      <c r="J85" s="282"/>
      <c r="K85" s="35"/>
    </row>
    <row r="86" spans="1:11" ht="18.75" customHeight="1" x14ac:dyDescent="0.15">
      <c r="A86" s="39"/>
      <c r="B86" s="283"/>
      <c r="C86" s="284"/>
      <c r="D86" s="284"/>
      <c r="E86" s="284"/>
      <c r="F86" s="284"/>
      <c r="G86" s="284"/>
      <c r="H86" s="284"/>
      <c r="I86" s="284"/>
      <c r="J86" s="285"/>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69" t="s">
        <v>194</v>
      </c>
      <c r="C89" s="270"/>
      <c r="D89" s="270"/>
      <c r="E89" s="270"/>
      <c r="F89" s="270"/>
      <c r="G89" s="270"/>
      <c r="H89" s="270"/>
      <c r="I89" s="278"/>
      <c r="J89" s="279"/>
      <c r="K89" s="31"/>
    </row>
    <row r="90" spans="1:11" s="4" customFormat="1" ht="18.75" customHeight="1" x14ac:dyDescent="0.15">
      <c r="A90" s="1"/>
      <c r="B90" s="280"/>
      <c r="C90" s="281"/>
      <c r="D90" s="281"/>
      <c r="E90" s="281"/>
      <c r="F90" s="281"/>
      <c r="G90" s="281"/>
      <c r="H90" s="281"/>
      <c r="I90" s="281"/>
      <c r="J90" s="282"/>
      <c r="K90" s="35"/>
    </row>
    <row r="91" spans="1:11" s="4" customFormat="1" ht="18.75" customHeight="1" x14ac:dyDescent="0.15">
      <c r="A91" s="1"/>
      <c r="B91" s="280"/>
      <c r="C91" s="281"/>
      <c r="D91" s="281"/>
      <c r="E91" s="281"/>
      <c r="F91" s="281"/>
      <c r="G91" s="281"/>
      <c r="H91" s="281"/>
      <c r="I91" s="281"/>
      <c r="J91" s="282"/>
      <c r="K91" s="35" t="str">
        <f>IF(B89="","入力してください","")</f>
        <v/>
      </c>
    </row>
    <row r="92" spans="1:11" s="4" customFormat="1" ht="18.75" customHeight="1" x14ac:dyDescent="0.15">
      <c r="A92" s="1"/>
      <c r="B92" s="280"/>
      <c r="C92" s="281"/>
      <c r="D92" s="281"/>
      <c r="E92" s="281"/>
      <c r="F92" s="281"/>
      <c r="G92" s="281"/>
      <c r="H92" s="281"/>
      <c r="I92" s="281"/>
      <c r="J92" s="282"/>
      <c r="K92" s="35"/>
    </row>
    <row r="93" spans="1:11" s="4" customFormat="1" ht="18.75" customHeight="1" x14ac:dyDescent="0.15">
      <c r="A93" s="1"/>
      <c r="B93" s="280"/>
      <c r="C93" s="281"/>
      <c r="D93" s="281"/>
      <c r="E93" s="281"/>
      <c r="F93" s="281"/>
      <c r="G93" s="281"/>
      <c r="H93" s="281"/>
      <c r="I93" s="281"/>
      <c r="J93" s="282"/>
      <c r="K93" s="35"/>
    </row>
    <row r="94" spans="1:11" s="4" customFormat="1" ht="18.75" customHeight="1" x14ac:dyDescent="0.15">
      <c r="A94" s="1"/>
      <c r="B94" s="280"/>
      <c r="C94" s="281"/>
      <c r="D94" s="281"/>
      <c r="E94" s="281"/>
      <c r="F94" s="281"/>
      <c r="G94" s="281"/>
      <c r="H94" s="281"/>
      <c r="I94" s="281"/>
      <c r="J94" s="282"/>
      <c r="K94" s="35"/>
    </row>
    <row r="95" spans="1:11" s="4" customFormat="1" ht="18.75" customHeight="1" x14ac:dyDescent="0.15">
      <c r="A95" s="1"/>
      <c r="B95" s="280"/>
      <c r="C95" s="281"/>
      <c r="D95" s="281"/>
      <c r="E95" s="281"/>
      <c r="F95" s="281"/>
      <c r="G95" s="281"/>
      <c r="H95" s="281"/>
      <c r="I95" s="281"/>
      <c r="J95" s="282"/>
      <c r="K95" s="35"/>
    </row>
    <row r="96" spans="1:11" s="4" customFormat="1" ht="18.75" customHeight="1" x14ac:dyDescent="0.15">
      <c r="A96" s="1"/>
      <c r="B96" s="280"/>
      <c r="C96" s="281"/>
      <c r="D96" s="281"/>
      <c r="E96" s="281"/>
      <c r="F96" s="281"/>
      <c r="G96" s="281"/>
      <c r="H96" s="281"/>
      <c r="I96" s="281"/>
      <c r="J96" s="282"/>
      <c r="K96" s="35"/>
    </row>
    <row r="97" spans="1:11" s="4" customFormat="1" ht="18.75" customHeight="1" x14ac:dyDescent="0.15">
      <c r="A97" s="1"/>
      <c r="B97" s="280"/>
      <c r="C97" s="281"/>
      <c r="D97" s="281"/>
      <c r="E97" s="281"/>
      <c r="F97" s="281"/>
      <c r="G97" s="281"/>
      <c r="H97" s="281"/>
      <c r="I97" s="281"/>
      <c r="J97" s="282"/>
      <c r="K97" s="35"/>
    </row>
    <row r="98" spans="1:11" s="4" customFormat="1" ht="18.75" customHeight="1" x14ac:dyDescent="0.15">
      <c r="A98" s="1"/>
      <c r="B98" s="280"/>
      <c r="C98" s="281"/>
      <c r="D98" s="281"/>
      <c r="E98" s="281"/>
      <c r="F98" s="281"/>
      <c r="G98" s="281"/>
      <c r="H98" s="281"/>
      <c r="I98" s="281"/>
      <c r="J98" s="282"/>
      <c r="K98" s="35"/>
    </row>
    <row r="99" spans="1:11" s="4" customFormat="1" ht="18.75" customHeight="1" x14ac:dyDescent="0.15">
      <c r="A99" s="1"/>
      <c r="B99" s="280"/>
      <c r="C99" s="281"/>
      <c r="D99" s="281"/>
      <c r="E99" s="281"/>
      <c r="F99" s="281"/>
      <c r="G99" s="281"/>
      <c r="H99" s="281"/>
      <c r="I99" s="281"/>
      <c r="J99" s="282"/>
      <c r="K99" s="35"/>
    </row>
    <row r="100" spans="1:11" s="4" customFormat="1" ht="18.75" customHeight="1" x14ac:dyDescent="0.15">
      <c r="A100" s="1"/>
      <c r="B100" s="280"/>
      <c r="C100" s="281"/>
      <c r="D100" s="281"/>
      <c r="E100" s="281"/>
      <c r="F100" s="281"/>
      <c r="G100" s="281"/>
      <c r="H100" s="281"/>
      <c r="I100" s="281"/>
      <c r="J100" s="282"/>
      <c r="K100" s="35"/>
    </row>
    <row r="101" spans="1:11" s="4" customFormat="1" ht="18.75" customHeight="1" x14ac:dyDescent="0.15">
      <c r="A101" s="1"/>
      <c r="B101" s="280"/>
      <c r="C101" s="281"/>
      <c r="D101" s="281"/>
      <c r="E101" s="281"/>
      <c r="F101" s="281"/>
      <c r="G101" s="281"/>
      <c r="H101" s="281"/>
      <c r="I101" s="281"/>
      <c r="J101" s="282"/>
      <c r="K101" s="35"/>
    </row>
    <row r="102" spans="1:11" s="4" customFormat="1" ht="18.75" customHeight="1" x14ac:dyDescent="0.15">
      <c r="A102" s="1"/>
      <c r="B102" s="280"/>
      <c r="C102" s="281"/>
      <c r="D102" s="281"/>
      <c r="E102" s="281"/>
      <c r="F102" s="281"/>
      <c r="G102" s="281"/>
      <c r="H102" s="281"/>
      <c r="I102" s="281"/>
      <c r="J102" s="282"/>
      <c r="K102" s="35"/>
    </row>
    <row r="103" spans="1:11" s="4" customFormat="1" ht="18.75" customHeight="1" x14ac:dyDescent="0.15">
      <c r="A103" s="1"/>
      <c r="B103" s="280"/>
      <c r="C103" s="281"/>
      <c r="D103" s="281"/>
      <c r="E103" s="281"/>
      <c r="F103" s="281"/>
      <c r="G103" s="281"/>
      <c r="H103" s="281"/>
      <c r="I103" s="281"/>
      <c r="J103" s="282"/>
      <c r="K103" s="35"/>
    </row>
    <row r="104" spans="1:11" s="4" customFormat="1" ht="18.75" customHeight="1" x14ac:dyDescent="0.15">
      <c r="A104" s="1"/>
      <c r="B104" s="280"/>
      <c r="C104" s="281"/>
      <c r="D104" s="281"/>
      <c r="E104" s="281"/>
      <c r="F104" s="281"/>
      <c r="G104" s="281"/>
      <c r="H104" s="281"/>
      <c r="I104" s="281"/>
      <c r="J104" s="282"/>
      <c r="K104" s="35"/>
    </row>
    <row r="105" spans="1:11" s="4" customFormat="1" ht="18.75" customHeight="1" x14ac:dyDescent="0.15">
      <c r="A105" s="1"/>
      <c r="B105" s="280"/>
      <c r="C105" s="281"/>
      <c r="D105" s="281"/>
      <c r="E105" s="281"/>
      <c r="F105" s="281"/>
      <c r="G105" s="281"/>
      <c r="H105" s="281"/>
      <c r="I105" s="281"/>
      <c r="J105" s="282"/>
      <c r="K105" s="35"/>
    </row>
    <row r="106" spans="1:11" s="4" customFormat="1" ht="18.75" customHeight="1" x14ac:dyDescent="0.15">
      <c r="A106" s="1"/>
      <c r="B106" s="280"/>
      <c r="C106" s="281"/>
      <c r="D106" s="281"/>
      <c r="E106" s="281"/>
      <c r="F106" s="281"/>
      <c r="G106" s="281"/>
      <c r="H106" s="281"/>
      <c r="I106" s="281"/>
      <c r="J106" s="282"/>
      <c r="K106" s="35"/>
    </row>
    <row r="107" spans="1:11" ht="18.75" customHeight="1" x14ac:dyDescent="0.15">
      <c r="A107" s="39"/>
      <c r="B107" s="280"/>
      <c r="C107" s="281"/>
      <c r="D107" s="281"/>
      <c r="E107" s="281"/>
      <c r="F107" s="281"/>
      <c r="G107" s="281"/>
      <c r="H107" s="281"/>
      <c r="I107" s="281"/>
      <c r="J107" s="282"/>
      <c r="K107" s="35"/>
    </row>
    <row r="108" spans="1:11" ht="18.75" customHeight="1" x14ac:dyDescent="0.15">
      <c r="A108" s="39"/>
      <c r="B108" s="283"/>
      <c r="C108" s="284"/>
      <c r="D108" s="284"/>
      <c r="E108" s="284"/>
      <c r="F108" s="284"/>
      <c r="G108" s="284"/>
      <c r="H108" s="284"/>
      <c r="I108" s="284"/>
      <c r="J108" s="285"/>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286" t="s">
        <v>82</v>
      </c>
      <c r="C110" s="286"/>
      <c r="D110" s="286"/>
      <c r="E110" s="286"/>
      <c r="F110" s="286"/>
      <c r="G110" s="286"/>
      <c r="H110" s="286"/>
      <c r="I110" s="286"/>
      <c r="J110" s="286"/>
      <c r="K110" s="31"/>
    </row>
    <row r="111" spans="1:11" ht="18.75" customHeight="1" x14ac:dyDescent="0.15">
      <c r="A111" s="39"/>
      <c r="B111" s="269" t="s">
        <v>195</v>
      </c>
      <c r="C111" s="270"/>
      <c r="D111" s="270"/>
      <c r="E111" s="270"/>
      <c r="F111" s="270"/>
      <c r="G111" s="270"/>
      <c r="H111" s="270"/>
      <c r="I111" s="278"/>
      <c r="J111" s="279"/>
    </row>
    <row r="112" spans="1:11" ht="18.75" customHeight="1" x14ac:dyDescent="0.15">
      <c r="A112" s="39"/>
      <c r="B112" s="280"/>
      <c r="C112" s="281"/>
      <c r="D112" s="281"/>
      <c r="E112" s="281"/>
      <c r="F112" s="281"/>
      <c r="G112" s="281"/>
      <c r="H112" s="281"/>
      <c r="I112" s="281"/>
      <c r="J112" s="282"/>
      <c r="K112" s="35"/>
    </row>
    <row r="113" spans="1:11" ht="18.75" customHeight="1" x14ac:dyDescent="0.15">
      <c r="A113" s="39"/>
      <c r="B113" s="280"/>
      <c r="C113" s="281"/>
      <c r="D113" s="281"/>
      <c r="E113" s="281"/>
      <c r="F113" s="281"/>
      <c r="G113" s="281"/>
      <c r="H113" s="281"/>
      <c r="I113" s="281"/>
      <c r="J113" s="282"/>
      <c r="K113" s="31" t="str">
        <f>IF(B111="","入力してください","")</f>
        <v/>
      </c>
    </row>
    <row r="114" spans="1:11" ht="18.75" customHeight="1" x14ac:dyDescent="0.15">
      <c r="A114" s="39"/>
      <c r="B114" s="280"/>
      <c r="C114" s="281"/>
      <c r="D114" s="281"/>
      <c r="E114" s="281"/>
      <c r="F114" s="281"/>
      <c r="G114" s="281"/>
      <c r="H114" s="281"/>
      <c r="I114" s="281"/>
      <c r="J114" s="282"/>
    </row>
    <row r="115" spans="1:11" ht="18.75" customHeight="1" x14ac:dyDescent="0.15">
      <c r="A115" s="39"/>
      <c r="B115" s="280"/>
      <c r="C115" s="281"/>
      <c r="D115" s="281"/>
      <c r="E115" s="281"/>
      <c r="F115" s="281"/>
      <c r="G115" s="281"/>
      <c r="H115" s="281"/>
      <c r="I115" s="281"/>
      <c r="J115" s="282"/>
    </row>
    <row r="116" spans="1:11" ht="18.75" customHeight="1" x14ac:dyDescent="0.15">
      <c r="A116" s="39"/>
      <c r="B116" s="280"/>
      <c r="C116" s="281"/>
      <c r="D116" s="281"/>
      <c r="E116" s="281"/>
      <c r="F116" s="281"/>
      <c r="G116" s="281"/>
      <c r="H116" s="281"/>
      <c r="I116" s="281"/>
      <c r="J116" s="282"/>
    </row>
    <row r="117" spans="1:11" ht="18.75" customHeight="1" x14ac:dyDescent="0.15">
      <c r="A117" s="39"/>
      <c r="B117" s="280"/>
      <c r="C117" s="281"/>
      <c r="D117" s="281"/>
      <c r="E117" s="281"/>
      <c r="F117" s="281"/>
      <c r="G117" s="281"/>
      <c r="H117" s="281"/>
      <c r="I117" s="281"/>
      <c r="J117" s="282"/>
    </row>
    <row r="118" spans="1:11" ht="18.75" customHeight="1" x14ac:dyDescent="0.15">
      <c r="A118" s="39"/>
      <c r="B118" s="280"/>
      <c r="C118" s="281"/>
      <c r="D118" s="281"/>
      <c r="E118" s="281"/>
      <c r="F118" s="281"/>
      <c r="G118" s="281"/>
      <c r="H118" s="281"/>
      <c r="I118" s="281"/>
      <c r="J118" s="282"/>
    </row>
    <row r="119" spans="1:11" ht="18.75" customHeight="1" x14ac:dyDescent="0.15">
      <c r="A119" s="39"/>
      <c r="B119" s="280"/>
      <c r="C119" s="281"/>
      <c r="D119" s="281"/>
      <c r="E119" s="281"/>
      <c r="F119" s="281"/>
      <c r="G119" s="281"/>
      <c r="H119" s="281"/>
      <c r="I119" s="281"/>
      <c r="J119" s="282"/>
    </row>
    <row r="120" spans="1:11" ht="18.75" customHeight="1" x14ac:dyDescent="0.15">
      <c r="A120" s="39"/>
      <c r="B120" s="280"/>
      <c r="C120" s="281"/>
      <c r="D120" s="281"/>
      <c r="E120" s="281"/>
      <c r="F120" s="281"/>
      <c r="G120" s="281"/>
      <c r="H120" s="281"/>
      <c r="I120" s="281"/>
      <c r="J120" s="282"/>
    </row>
    <row r="121" spans="1:11" ht="18.75" customHeight="1" x14ac:dyDescent="0.15">
      <c r="A121" s="39"/>
      <c r="B121" s="280"/>
      <c r="C121" s="281"/>
      <c r="D121" s="281"/>
      <c r="E121" s="281"/>
      <c r="F121" s="281"/>
      <c r="G121" s="281"/>
      <c r="H121" s="281"/>
      <c r="I121" s="281"/>
      <c r="J121" s="282"/>
    </row>
    <row r="122" spans="1:11" ht="18.75" customHeight="1" x14ac:dyDescent="0.15">
      <c r="A122" s="39"/>
      <c r="B122" s="280"/>
      <c r="C122" s="281"/>
      <c r="D122" s="281"/>
      <c r="E122" s="281"/>
      <c r="F122" s="281"/>
      <c r="G122" s="281"/>
      <c r="H122" s="281"/>
      <c r="I122" s="281"/>
      <c r="J122" s="282"/>
    </row>
    <row r="123" spans="1:11" ht="18.75" customHeight="1" x14ac:dyDescent="0.15">
      <c r="A123" s="39"/>
      <c r="B123" s="280"/>
      <c r="C123" s="281"/>
      <c r="D123" s="281"/>
      <c r="E123" s="281"/>
      <c r="F123" s="281"/>
      <c r="G123" s="281"/>
      <c r="H123" s="281"/>
      <c r="I123" s="281"/>
      <c r="J123" s="282"/>
    </row>
    <row r="124" spans="1:11" ht="18.75" customHeight="1" x14ac:dyDescent="0.15">
      <c r="A124" s="39"/>
      <c r="B124" s="280"/>
      <c r="C124" s="281"/>
      <c r="D124" s="281"/>
      <c r="E124" s="281"/>
      <c r="F124" s="281"/>
      <c r="G124" s="281"/>
      <c r="H124" s="281"/>
      <c r="I124" s="281"/>
      <c r="J124" s="282"/>
    </row>
    <row r="125" spans="1:11" ht="18.75" customHeight="1" x14ac:dyDescent="0.15">
      <c r="A125" s="39"/>
      <c r="B125" s="280"/>
      <c r="C125" s="281"/>
      <c r="D125" s="281"/>
      <c r="E125" s="281"/>
      <c r="F125" s="281"/>
      <c r="G125" s="281"/>
      <c r="H125" s="281"/>
      <c r="I125" s="281"/>
      <c r="J125" s="282"/>
    </row>
    <row r="126" spans="1:11" ht="18.75" customHeight="1" x14ac:dyDescent="0.15">
      <c r="A126" s="39"/>
      <c r="B126" s="280"/>
      <c r="C126" s="281"/>
      <c r="D126" s="281"/>
      <c r="E126" s="281"/>
      <c r="F126" s="281"/>
      <c r="G126" s="281"/>
      <c r="H126" s="281"/>
      <c r="I126" s="281"/>
      <c r="J126" s="282"/>
    </row>
    <row r="127" spans="1:11" ht="18.75" customHeight="1" x14ac:dyDescent="0.15">
      <c r="A127" s="39"/>
      <c r="B127" s="280"/>
      <c r="C127" s="281"/>
      <c r="D127" s="281"/>
      <c r="E127" s="281"/>
      <c r="F127" s="281"/>
      <c r="G127" s="281"/>
      <c r="H127" s="281"/>
      <c r="I127" s="281"/>
      <c r="J127" s="282"/>
    </row>
    <row r="128" spans="1:11" ht="18.75" customHeight="1" x14ac:dyDescent="0.15">
      <c r="A128" s="39"/>
      <c r="B128" s="280"/>
      <c r="C128" s="281"/>
      <c r="D128" s="281"/>
      <c r="E128" s="281"/>
      <c r="F128" s="281"/>
      <c r="G128" s="281"/>
      <c r="H128" s="281"/>
      <c r="I128" s="281"/>
      <c r="J128" s="282"/>
    </row>
    <row r="129" spans="1:10" ht="18.75" customHeight="1" x14ac:dyDescent="0.15">
      <c r="A129" s="39"/>
      <c r="B129" s="283"/>
      <c r="C129" s="284"/>
      <c r="D129" s="284"/>
      <c r="E129" s="284"/>
      <c r="F129" s="284"/>
      <c r="G129" s="284"/>
      <c r="H129" s="284"/>
      <c r="I129" s="284"/>
      <c r="J129" s="285"/>
    </row>
    <row r="130" spans="1:10" ht="7.5" customHeight="1" x14ac:dyDescent="0.15">
      <c r="A130" s="39"/>
      <c r="B130" s="104"/>
      <c r="C130" s="104"/>
      <c r="D130" s="104"/>
      <c r="E130" s="104"/>
      <c r="F130" s="104"/>
      <c r="G130" s="104"/>
      <c r="H130" s="104"/>
      <c r="I130" s="104"/>
      <c r="J130" s="10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5"/>
      <c r="B144" s="105"/>
      <c r="C144" s="105"/>
      <c r="D144" s="105"/>
      <c r="E144" s="105"/>
      <c r="F144" s="105"/>
      <c r="G144" s="105"/>
      <c r="H144" s="105"/>
      <c r="I144" s="105"/>
      <c r="J144" s="10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Normal="100" zoomScaleSheetLayoutView="100" workbookViewId="0">
      <selection activeCell="E7" sqref="E7:J7"/>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124</v>
      </c>
      <c r="J1" s="41" t="s">
        <v>73</v>
      </c>
    </row>
    <row r="2" spans="1:11" ht="18.75" customHeight="1" x14ac:dyDescent="0.15">
      <c r="A2" s="253" t="s">
        <v>42</v>
      </c>
      <c r="B2" s="253"/>
      <c r="C2" s="253"/>
      <c r="D2" s="253"/>
      <c r="E2" s="253"/>
      <c r="F2" s="253"/>
      <c r="G2" s="253"/>
      <c r="H2" s="253"/>
      <c r="I2" s="253"/>
      <c r="J2" s="253"/>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306" t="s">
        <v>38</v>
      </c>
      <c r="C5" s="307"/>
      <c r="D5" s="308"/>
      <c r="E5" s="309" t="s">
        <v>40</v>
      </c>
      <c r="F5" s="309"/>
      <c r="G5" s="309"/>
      <c r="H5" s="309"/>
      <c r="I5" s="309"/>
      <c r="J5" s="310"/>
    </row>
    <row r="6" spans="1:11" ht="18.75" customHeight="1" x14ac:dyDescent="0.15">
      <c r="B6" s="3" t="s">
        <v>28</v>
      </c>
      <c r="C6" s="39"/>
      <c r="D6" s="7"/>
      <c r="I6" s="40"/>
      <c r="J6" s="5"/>
    </row>
    <row r="7" spans="1:11" ht="207" customHeight="1" x14ac:dyDescent="0.15">
      <c r="B7" s="6"/>
      <c r="C7" s="297" t="s">
        <v>29</v>
      </c>
      <c r="D7" s="298"/>
      <c r="E7" s="303" t="s">
        <v>196</v>
      </c>
      <c r="F7" s="299"/>
      <c r="G7" s="299"/>
      <c r="H7" s="299"/>
      <c r="I7" s="299"/>
      <c r="J7" s="300"/>
      <c r="K7" s="31" t="str">
        <f>IF(E7="","入力してください","")</f>
        <v/>
      </c>
    </row>
    <row r="8" spans="1:11" ht="207" customHeight="1" x14ac:dyDescent="0.15">
      <c r="B8" s="6"/>
      <c r="C8" s="304" t="s">
        <v>30</v>
      </c>
      <c r="D8" s="305"/>
      <c r="E8" s="303" t="s">
        <v>204</v>
      </c>
      <c r="F8" s="299"/>
      <c r="G8" s="299"/>
      <c r="H8" s="299"/>
      <c r="I8" s="299"/>
      <c r="J8" s="300"/>
      <c r="K8" s="31" t="str">
        <f>IF(E8="","入力してください","")</f>
        <v/>
      </c>
    </row>
    <row r="9" spans="1:11" ht="172.5" customHeight="1" x14ac:dyDescent="0.15">
      <c r="B9" s="6"/>
      <c r="C9" s="297" t="s">
        <v>31</v>
      </c>
      <c r="D9" s="298"/>
      <c r="E9" s="303" t="s">
        <v>197</v>
      </c>
      <c r="F9" s="299"/>
      <c r="G9" s="299"/>
      <c r="H9" s="299"/>
      <c r="I9" s="299"/>
      <c r="J9" s="300"/>
      <c r="K9" s="31" t="str">
        <f>IF(E9="","入力してください","")</f>
        <v/>
      </c>
    </row>
    <row r="10" spans="1:11" ht="172.5" customHeight="1" x14ac:dyDescent="0.15">
      <c r="B10" s="6"/>
      <c r="C10" s="297" t="s">
        <v>32</v>
      </c>
      <c r="D10" s="298"/>
      <c r="E10" s="303" t="s">
        <v>198</v>
      </c>
      <c r="F10" s="299"/>
      <c r="G10" s="299"/>
      <c r="H10" s="299"/>
      <c r="I10" s="299"/>
      <c r="J10" s="300"/>
      <c r="K10" s="31" t="str">
        <f t="shared" ref="K10:K14" si="0">IF(E10="","入力してください","")</f>
        <v/>
      </c>
    </row>
    <row r="11" spans="1:11" ht="172.5" customHeight="1" x14ac:dyDescent="0.15">
      <c r="B11" s="6"/>
      <c r="C11" s="297" t="s">
        <v>33</v>
      </c>
      <c r="D11" s="298"/>
      <c r="E11" s="303" t="s">
        <v>205</v>
      </c>
      <c r="F11" s="299"/>
      <c r="G11" s="299"/>
      <c r="H11" s="299"/>
      <c r="I11" s="299"/>
      <c r="J11" s="300"/>
      <c r="K11" s="31" t="str">
        <f t="shared" si="0"/>
        <v/>
      </c>
    </row>
    <row r="12" spans="1:11" ht="18.75" customHeight="1" x14ac:dyDescent="0.15">
      <c r="B12" s="9" t="s">
        <v>34</v>
      </c>
      <c r="C12" s="28"/>
      <c r="D12" s="8"/>
      <c r="E12" s="32"/>
      <c r="F12" s="32"/>
      <c r="G12" s="32"/>
      <c r="H12" s="32"/>
      <c r="I12" s="32"/>
      <c r="J12" s="33"/>
    </row>
    <row r="13" spans="1:11" ht="244.15" customHeight="1" x14ac:dyDescent="0.15">
      <c r="B13" s="6"/>
      <c r="C13" s="297" t="s">
        <v>35</v>
      </c>
      <c r="D13" s="298"/>
      <c r="E13" s="299" t="s">
        <v>189</v>
      </c>
      <c r="F13" s="299"/>
      <c r="G13" s="299"/>
      <c r="H13" s="299"/>
      <c r="I13" s="299"/>
      <c r="J13" s="300"/>
      <c r="K13" s="31" t="str">
        <f t="shared" si="0"/>
        <v/>
      </c>
    </row>
    <row r="14" spans="1:11" ht="255" customHeight="1" x14ac:dyDescent="0.15">
      <c r="B14" s="6"/>
      <c r="C14" s="297" t="s">
        <v>36</v>
      </c>
      <c r="D14" s="298"/>
      <c r="E14" s="299" t="s">
        <v>199</v>
      </c>
      <c r="F14" s="299"/>
      <c r="G14" s="299"/>
      <c r="H14" s="299"/>
      <c r="I14" s="299"/>
      <c r="J14" s="300"/>
      <c r="K14" s="31" t="str">
        <f t="shared" si="0"/>
        <v/>
      </c>
    </row>
    <row r="15" spans="1:11" ht="243" customHeight="1" x14ac:dyDescent="0.15">
      <c r="B15" s="301" t="s">
        <v>37</v>
      </c>
      <c r="C15" s="302"/>
      <c r="D15" s="298"/>
      <c r="E15" s="299" t="s">
        <v>200</v>
      </c>
      <c r="F15" s="299"/>
      <c r="G15" s="299"/>
      <c r="H15" s="299"/>
      <c r="I15" s="299"/>
      <c r="J15" s="300"/>
      <c r="K15" s="31" t="str">
        <f>IF(E15="","入力してください","")</f>
        <v/>
      </c>
    </row>
    <row r="16" spans="1:11" ht="243" customHeight="1" x14ac:dyDescent="0.15">
      <c r="A16" s="31"/>
      <c r="B16" s="291" t="s">
        <v>66</v>
      </c>
      <c r="C16" s="292"/>
      <c r="D16" s="293"/>
      <c r="E16" s="276" t="s">
        <v>201</v>
      </c>
      <c r="F16" s="276"/>
      <c r="G16" s="276"/>
      <c r="H16" s="276"/>
      <c r="I16" s="276"/>
      <c r="J16" s="277"/>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125</v>
      </c>
      <c r="B18" s="4"/>
      <c r="C18" s="39"/>
      <c r="D18" s="39"/>
      <c r="E18" s="40"/>
      <c r="F18" s="94"/>
      <c r="G18" s="294" t="s">
        <v>191</v>
      </c>
      <c r="H18" s="295"/>
      <c r="I18" s="295"/>
      <c r="J18" s="296"/>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6"/>
      <c r="C24" s="106"/>
      <c r="D24" s="106"/>
      <c r="E24" s="106"/>
      <c r="F24" s="106"/>
      <c r="G24" s="106"/>
      <c r="H24" s="106"/>
      <c r="I24" s="106"/>
      <c r="J24" s="106"/>
    </row>
    <row r="25" spans="1:11" ht="22.5" customHeight="1" x14ac:dyDescent="0.15">
      <c r="B25" s="106"/>
      <c r="C25" s="106"/>
      <c r="D25" s="106"/>
      <c r="E25" s="106"/>
      <c r="F25" s="106"/>
      <c r="G25" s="106"/>
      <c r="H25" s="106"/>
      <c r="I25" s="106"/>
      <c r="J25" s="106"/>
    </row>
    <row r="26" spans="1:11" ht="22.5" customHeight="1" x14ac:dyDescent="0.15">
      <c r="B26" s="106"/>
      <c r="C26" s="106"/>
      <c r="D26" s="106"/>
      <c r="E26" s="106"/>
      <c r="F26" s="106"/>
      <c r="G26" s="106"/>
      <c r="H26" s="106"/>
      <c r="I26" s="106"/>
      <c r="J26" s="10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1D6D735D-518C-4B5F-B0F1-E9199E8FBCE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Saitoh Daisuke</cp:lastModifiedBy>
  <cp:lastPrinted>2022-05-10T09:29:10Z</cp:lastPrinted>
  <dcterms:created xsi:type="dcterms:W3CDTF">2011-06-14T05:32:50Z</dcterms:created>
  <dcterms:modified xsi:type="dcterms:W3CDTF">2022-05-14T06:38:12Z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