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C:\Users\yamamura\Desktop\"/>
    </mc:Choice>
  </mc:AlternateContent>
  <xr:revisionPtr revIDLastSave="0" documentId="13_ncr:1_{8A84CD7D-65D5-41F4-8F44-5E69856D9E86}" xr6:coauthVersionLast="47" xr6:coauthVersionMax="47" xr10:uidLastSave="{00000000-0000-0000-0000-000000000000}"/>
  <bookViews>
    <workbookView xWindow="-120" yWindow="-120" windowWidth="20730" windowHeight="11160" tabRatio="885" firstSheet="1" activeTab="3"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R10" i="40"/>
  <c r="Q10" i="40"/>
  <c r="Q30" i="40" l="1"/>
  <c r="R30" i="40" s="1"/>
  <c r="C28" i="41" s="1"/>
</calcChain>
</file>

<file path=xl/sharedStrings.xml><?xml version="1.0" encoding="utf-8"?>
<sst xmlns="http://schemas.openxmlformats.org/spreadsheetml/2006/main" count="348" uniqueCount="205">
  <si>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</si>
  <si>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</si>
  <si>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</si>
  <si>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</si>
  <si>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新潟リハビリテーション大学</t>
    <phoneticPr fontId="1"/>
  </si>
  <si>
    <t>②</t>
    <phoneticPr fontId="1"/>
  </si>
  <si>
    <t>大学等の設置者</t>
  </si>
  <si>
    <t>学校法人　北都健勝学園</t>
    <phoneticPr fontId="1"/>
  </si>
  <si>
    <t>③</t>
  </si>
  <si>
    <t>設置形態</t>
    <phoneticPr fontId="1"/>
  </si>
  <si>
    <t>私立大学</t>
  </si>
  <si>
    <t>④</t>
    <phoneticPr fontId="1"/>
  </si>
  <si>
    <t>所在地</t>
    <phoneticPr fontId="1"/>
  </si>
  <si>
    <t>新潟県村上市上の山2番16号</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</si>
  <si>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</si>
  <si>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</si>
  <si>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</si>
  <si>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</si>
  <si>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</si>
  <si>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</si>
  <si>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</si>
  <si>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</si>
  <si>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</si>
  <si>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</si>
  <si>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</si>
  <si>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</si>
  <si>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</si>
  <si>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</si>
  <si>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</si>
  <si>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</si>
  <si>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</si>
  <si>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</si>
  <si>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</si>
  <si>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</si>
  <si>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</si>
  <si>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</si>
  <si>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</si>
  <si>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</si>
  <si>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</si>
  <si>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</si>
  <si>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</si>
  <si>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</si>
  <si>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</si>
  <si>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阿久津　洋巳</t>
    <phoneticPr fontId="1"/>
  </si>
  <si>
    <t>（役職名）</t>
    <rPh sb="1" eb="4">
      <t>ヤクショクメイ</t>
    </rPh>
    <phoneticPr fontId="1"/>
  </si>
  <si>
    <t>特任教授</t>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</si>
  <si>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</si>
  <si>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</si>
  <si>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データサイエンスセンター</t>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</si>
  <si>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</si>
  <si>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</si>
  <si>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</si>
  <si>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</si>
  <si>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</si>
  <si>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</si>
  <si>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</si>
  <si>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学務課</t>
    <phoneticPr fontId="1"/>
  </si>
  <si>
    <t>担当者名</t>
    <rPh sb="0" eb="2">
      <t>タントウ</t>
    </rPh>
    <rPh sb="2" eb="3">
      <t>シャ</t>
    </rPh>
    <rPh sb="3" eb="4">
      <t>メイ</t>
    </rPh>
    <phoneticPr fontId="1"/>
  </si>
  <si>
    <t>石村　優子</t>
    <phoneticPr fontId="1"/>
  </si>
  <si>
    <t>E-mail</t>
  </si>
  <si>
    <t>ishimura@nur.ac.jp</t>
    <phoneticPr fontId="1"/>
  </si>
  <si>
    <t>電話番号</t>
  </si>
  <si>
    <t>0254-56-8292</t>
    <phoneticPr fontId="1"/>
  </si>
  <si>
    <t>様式２</t>
    <phoneticPr fontId="1"/>
  </si>
  <si>
    <t>プログラムを構成する授業科目について</t>
    <phoneticPr fontId="1"/>
  </si>
  <si>
    <t>①具体的な修了要件</t>
    <phoneticPr fontId="1"/>
  </si>
  <si>
    <t>②教育プログラムの修了要件</t>
    <phoneticPr fontId="1"/>
  </si>
  <si>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</si>
  <si>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</si>
  <si>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</si>
  <si>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</si>
  <si>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</si>
  <si>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</si>
  <si>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</si>
  <si>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</si>
  <si>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情報処理技法Ⅰ</t>
    <rPh sb="0" eb="2">
      <t>ジョウホウ</t>
    </rPh>
    <rPh sb="2" eb="4">
      <t>ショリ</t>
    </rPh>
    <rPh sb="4" eb="6">
      <t>ギホウ</t>
    </rPh>
    <phoneticPr fontId="1"/>
  </si>
  <si>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</si>
  <si>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</si>
  <si>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</si>
  <si>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</si>
  <si>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</si>
  <si>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情報処理技法Ⅰ</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</si>
  <si>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</si>
  <si>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</si>
  <si>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</si>
  <si>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</si>
  <si>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</si>
  <si>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</si>
  <si>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</si>
  <si>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</si>
  <si>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</si>
  <si>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</si>
  <si>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〇</t>
    <phoneticPr fontId="1"/>
  </si>
  <si>
    <t>情報処理技法Ⅱ</t>
    <phoneticPr fontId="1"/>
  </si>
  <si>
    <t>統計学Ⅰ</t>
    <rPh sb="0" eb="3">
      <t>トウケイガク</t>
    </rPh>
    <phoneticPr fontId="1"/>
  </si>
  <si>
    <t>心理学統計法Ⅰ</t>
    <rPh sb="0" eb="2">
      <t>シンリ</t>
    </rPh>
    <rPh sb="2" eb="3">
      <t>ガク</t>
    </rPh>
    <rPh sb="3" eb="6">
      <t>トウケイホウ</t>
    </rPh>
    <phoneticPr fontId="1"/>
  </si>
  <si>
    <t>基礎ゼミⅢ</t>
    <rPh sb="0" eb="2">
      <t>キソ</t>
    </rPh>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</si>
  <si>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</si>
  <si>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</si>
  <si>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4-1統計および数理基礎</t>
  </si>
  <si>
    <t>基礎ゼミⅢ</t>
    <phoneticPr fontId="1"/>
  </si>
  <si>
    <t>4‐7データハンドリング</t>
  </si>
  <si>
    <t>統計学Ⅰ</t>
    <phoneticPr fontId="1"/>
  </si>
  <si>
    <t>心理学統計法Ⅰ</t>
    <phoneticPr fontId="1"/>
  </si>
  <si>
    <t>4‐3データ構造とプログラミング基礎</t>
  </si>
  <si>
    <t>4‐4時系列データ解析</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</si>
  <si>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</si>
  <si>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</si>
  <si>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</si>
  <si>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</si>
  <si>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</si>
  <si>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</si>
  <si>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</si>
  <si>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</si>
  <si>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</si>
  <si>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</si>
  <si>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社会・職場で発生する多くの問題を科学的に解決する手法として、統計学・情報処理技法・AI・Iotの基礎的知識を修得し大学卒業後の職場で活用できる能力を獲得する。</t>
    <phoneticPr fontId="1"/>
  </si>
  <si>
    <t>⑪プログラムの授業内容等を公表しているアドレス</t>
    <phoneticPr fontId="1"/>
  </si>
  <si>
    <t>https://nur.ac.jp/dsc/program/</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</si>
  <si>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</si>
  <si>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</si>
  <si>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</si>
  <si>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</si>
  <si>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</si>
  <si>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</si>
  <si>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</si>
  <si>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</si>
  <si>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</si>
  <si>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</si>
  <si>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</si>
  <si>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</si>
  <si>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</si>
  <si>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</si>
  <si>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</si>
  <si>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</si>
  <si>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</si>
  <si>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医療学部　(リハビリテーション学科)</t>
    <phoneticPr fontId="1"/>
  </si>
  <si>
    <t>　　理学療法学専攻</t>
    <phoneticPr fontId="1"/>
  </si>
  <si>
    <t>　　作業療法学専攻</t>
    <phoneticPr fontId="1"/>
  </si>
  <si>
    <t>　　リハビリテーション心理学専攻</t>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</si>
  <si>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</si>
  <si>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</si>
  <si>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</si>
  <si>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</si>
  <si>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</si>
  <si>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</si>
  <si>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</si>
  <si>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</si>
  <si>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</si>
  <si>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</si>
  <si>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</si>
  <si>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</si>
  <si>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</si>
  <si>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</si>
  <si>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</si>
  <si>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</si>
  <si>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</si>
  <si>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</si>
  <si>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</si>
  <si>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</si>
  <si>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</si>
  <si>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</si>
  <si>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</si>
  <si>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</si>
  <si>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</si>
  <si>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</si>
  <si>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</si>
  <si>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</si>
  <si>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</si>
  <si>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MicrosoftTeamsを用いて受講者毎の日頃の課題提出、修得状況を確認できる。また学務システムにおいて本教育プログラムの対象科目の履修・修得状況、定期テスト結果を把握することができる。</t>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</si>
  <si>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</si>
  <si>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</si>
  <si>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データサイエンスセンターにおいて本教育プログラムの対象科目の最終コマ時に「数理・データサイエンス教育プログラム　共通アンケート」で①授業内容の学生の理解度、②その科目における最も難しく感じた項目、③その科目についての意見　の項目を分析することによって本教育プログラムの評価・改善に活用している。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</si>
  <si>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</si>
  <si>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</si>
  <si>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</si>
  <si>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</si>
  <si>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</si>
  <si>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の附属機関（新潟リハビリテーションクリニック等）に対してアンケートを実施し、本学教育プログラムが学修目的に沿った講義内容であるか、および実データを活用した研究発表の手法について意見を収集するとともに、データサイエンスセンターにおいて改善、進化に向けて活用している。PDCAサイクルを円滑に実行できるよう、目標と期間の明確化を図っている。</t>
    <rPh sb="24" eb="25">
      <t>トウ</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</si>
  <si>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</si>
  <si>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数理・データサイエンス・AI関連科目を開講するにあたり、事前に基礎ゼミⅠでのパソコンの設定やキーボード入力練習・基本的ソフトの扱いを学習することにより、前述の関連科目への導入を容易としている。また情報処理技法・統計学等の科目構成においては理論だけでなく演習を併用して具体的事例を学習することにより実社会での活用を想定した授業を行っている。さらに情報処理技法Ⅰの後半での総合演習、研究入門としての基礎ゼミⅢにおいてはグループワークを用い学生自身による主体的学びを推進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</si>
  <si>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</si>
  <si>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データサイエンスセンターにて学生アンケート及び提携団体からの意見を参考に、学生の「わかりやすさ」の観点から講義の内容・実施方法の見直しを検討している。</t>
    <phoneticPr fontId="1"/>
  </si>
  <si>
    <t>②自己点検・評価体制における意見等を公表しているアドレス</t>
    <phoneticPr fontId="1"/>
  </si>
  <si>
    <t>https://nur.ac.jp/dsc/assurance/</t>
    <phoneticPr fontId="1"/>
  </si>
  <si>
    <t>　社会で起きている変化; 情報技術の発展、データ・AI利活用の最新動向、「情報処理技法Ⅰ」(1回目)</t>
    <phoneticPr fontId="1"/>
  </si>
  <si>
    <t>　現代社会で活用されているデータの種類; データ・AIの活用領域、「情報処理技法Ⅰ」(2回目)</t>
    <phoneticPr fontId="1"/>
  </si>
  <si>
    <t>　データ・AI利活用のための技術と利活用の現状、「情報処理技法Ⅰ」(3回目)</t>
    <rPh sb="21" eb="23">
      <t>ゲンジョウ</t>
    </rPh>
    <phoneticPr fontId="1"/>
  </si>
  <si>
    <t>　データ・AI利活用のための技術と利活用の現状、「情報処理技法Ⅰ」(3回目)</t>
    <phoneticPr fontId="1"/>
  </si>
  <si>
    <t>　データを守る上での留意事項、「情報処理技法Ⅰ」(１回目)
　データ・AIを扱う上での留意事項とセキュリティーについて、「情報処理技法Ⅰ」(4回目)</t>
    <phoneticPr fontId="1"/>
  </si>
  <si>
    <t>　情報漏洩とPC・モバイル情報のセキュリティー設定について、「情報処理技法Ⅰ」(4回目)
　</t>
    <phoneticPr fontId="1"/>
  </si>
  <si>
    <t>本学では毎年就職先に卒後アンケートを行っている。該当する令和6年度卒業生より、従来のアンケート項目に関連項目（PC操作やデータを使用したプレゼン能力等）を追加し調査する予定である。</t>
    <phoneticPr fontId="1"/>
  </si>
  <si>
    <t>令和3</t>
    <rPh sb="0" eb="2">
      <t>レイワ</t>
    </rPh>
    <phoneticPr fontId="1"/>
  </si>
  <si>
    <t>データサイエンスセンターでは現在、数理・データサイエンス・AI教育プログラムのカリキュラムにおいてオンデマンド教材・動画を作成している。Microsoft Teamsを用い認定制度の該当科目の動画（ダイジェスト版やピックアップ版）をアップロードしていることにより、学部・学科に関係なく興味を持った学生や受講を希望している学生すべてがいつでも閲覧できる環境を提供している。履修登録前には該当カリキュラムに関して興味を持ってもらうよう、履修内容を紹介する時間を設けている。事務局の学務課や担当教員も全学的な履修を支援・促進している。</t>
    <phoneticPr fontId="1"/>
  </si>
  <si>
    <t>数理・データサイエンス・AI教育プログラム</t>
    <phoneticPr fontId="1"/>
  </si>
  <si>
    <t>本学での数理・データサイエンス・AI教育プログラムのカリキュラムをできる限り多くの学生が修得できるようにMicrosoft Teamsにて講義資料、動画等を蓄積していつでも閲覧可能な状態にしている。また、講義2コマにつき課題を与え、課題解決の作業で知識の定着を図っている。</t>
    <rPh sb="36" eb="37">
      <t>カギ</t>
    </rPh>
    <rPh sb="38" eb="39">
      <t>オオ</t>
    </rPh>
    <rPh sb="41" eb="43">
      <t>ガクセイ</t>
    </rPh>
    <phoneticPr fontId="1"/>
  </si>
  <si>
    <t>データサイエンスセンター規程、数理・データサイエンス・AI教育プログラムの認定に関する規程、情報セキュリティー委員会規程</t>
    <rPh sb="12" eb="14">
      <t>キテイ</t>
    </rPh>
    <phoneticPr fontId="1"/>
  </si>
  <si>
    <t>他大学との連携促進と学内諸部門のデータ解析の支援を主な目的として、学内にデータサイエンスセンターを設置した。データサイエンスセンターは、次の業務を行う。①本学の特色を活かした数理・データサイエンス教育プログラムの開発と改善および支援、②数理・データサイエンス教育強化拠点コンソーシアムの連携校としてFD活動や会議の参加を通じて県内および近県地域の大学と連携し、数理・データサイエンス教育の普及と促進を図ること、③学内の様々な部局における数理・データサイエンスに関連する課題の解決の提供と人材の育成の促進、④データサイエンスの教育研究</t>
    <rPh sb="68" eb="69">
      <t>ツギ</t>
    </rPh>
    <rPh sb="70" eb="72">
      <t>ギョウム</t>
    </rPh>
    <rPh sb="73" eb="74">
      <t>オコナ</t>
    </rPh>
    <phoneticPr fontId="1"/>
  </si>
  <si>
    <t>入学後のガイダンスや本学のホームページで紹介している。ホームページではできるだけ興味を持ってもらうようMicrosoft Teamsを用いたオンデマンド配信のイメージ（一部紹介）や授業科目・コマ毎の到達目標、各コマでの授業内容、成績評価方法等に関する学生に分かりやすいシラバスの表示、カリキュラムマップ表示で履修を促している。また全学生対象にMicrosoft Teamsを用い認定制度の該当科目の動画（ダイジェスト版やピックアップ版）をアップロードしていることをHPとLMSのお知らせで全学生に定期的に周知している。</t>
    <rPh sb="244" eb="245">
      <t>ゼン</t>
    </rPh>
    <rPh sb="245" eb="247">
      <t>ガクセイ</t>
    </rPh>
    <phoneticPr fontId="1"/>
  </si>
  <si>
    <t>「情報処理技法Ⅰ」、「情報処理技法Ⅱ」、「基礎ゼミⅢ」、「統計学Ⅰ」、「心理学統計法Ⅰ」の５科目のうち、医療学部共通で「情報処理技法Ⅰ」、「基礎ゼミⅢ」、「統計学Ⅰ」が必修である。また理学療法学専攻、作業療法学専攻では「統計学Ⅰ」、リハビリテーション心理学専攻は「心理統計法Ⅰ」を必修としている。このことによって履修者数を確保し、履修率の向上を図る。また数理・データサイエンス共通アンケートを実施しその都度フィードバックを行い授業の質の向上に努め、学生の履修に結びつくようにしている。</t>
    <rPh sb="29" eb="32">
      <t>トウケイガク</t>
    </rPh>
    <rPh sb="140" eb="142">
      <t>ヒッシュウ</t>
    </rPh>
    <rPh sb="161" eb="163">
      <t>カクホ</t>
    </rPh>
    <rPh sb="172" eb="173">
      <t>ハカ</t>
    </rPh>
    <rPh sb="213" eb="215">
      <t>ジュギョウ</t>
    </rPh>
    <phoneticPr fontId="1"/>
  </si>
  <si>
    <t>データサイエンスセンターにおいて、本教育プログラムの対象科目の最終コマ時に「数理・データサイエンス教育プログラム　共通アンケート」を実施している。そのアンケートに「後輩学生や他の学生等への推奨」についての項目を設け確認している。また受講科目の感想や意見もアンケート項目に取り入れ、アンケート回収の都度、教員に講義に関するフィードバックを行い、質の向上に努め、学生への推奨度の向上を図っている。</t>
    <rPh sb="151" eb="153">
      <t>キョウイン</t>
    </rPh>
    <rPh sb="157" eb="158">
      <t>カン</t>
    </rPh>
    <phoneticPr fontId="1"/>
  </si>
  <si>
    <t>対象科目すべてにMicrosoft Teamsのチームが設定（投稿、チャット）してあり、その中で「質疑応答コーナー」や「【データサイエンス教育プログラム対象科目】質問入力フォーム」を設置している。そこでは各担当教員より質問や疑問に関する回答が得られるように環境を整備している。また、可能な限り個別の対応もしている。学生がつまずかないよう、少しでも疑問があれば気軽に質問できるように授業内でも案内している。</t>
    <rPh sb="31" eb="33">
      <t>トウコウ</t>
    </rPh>
    <rPh sb="131" eb="133">
      <t>セイビ</t>
    </rPh>
    <phoneticPr fontId="1"/>
  </si>
  <si>
    <t>データサイエンスセンター長　　　特任教授　 阿久津　洋巳
　　　医療学部　理学療法学専攻  　　　　　　　 　　講師　木村　和樹　（情報セキュリティー委員長）　
　　　医療学部　リハビリテーション心理学専攻　　講師　中川　明仁   （情報セキュリティー委員）
　　　新潟リハビリテーション大学名誉教授　　　 　浅海　岩生　(情報セキュリティー委員会オブザーバ）
　　　学務課　　　　　　　　　　　　　　　　 　　　　　 　  職員 　石村　優子  （情報セキュリティー委員）</t>
    <rPh sb="16" eb="18">
      <t>トクニン</t>
    </rPh>
    <rPh sb="18" eb="20">
      <t>キョウジュ</t>
    </rPh>
    <rPh sb="32" eb="34">
      <t>イリョウ</t>
    </rPh>
    <rPh sb="34" eb="36">
      <t>ガクブ</t>
    </rPh>
    <rPh sb="77" eb="78">
      <t>チョウ</t>
    </rPh>
    <phoneticPr fontId="1"/>
  </si>
  <si>
    <t>本学で行っている「授業評価アンケート」とともに、データサイエンスセンターにおいて本教育プログラムの対象科目の最終コマ時に「数理・データサイエンス教育プログラム　共通アンケート」で①授業内容の学生の理解度、②その科目における最も難しく感じた項目、③その科目についての意見　の項目を分析している。また、小テストや定期テストを実施し上記アンケートと合わせ、総合的に評価・改善に活用している。</t>
    <phoneticPr fontId="1"/>
  </si>
  <si>
    <t xml:space="preserve">「情報処理技法Ⅰ」、「情報処理技法Ⅱ」、「基礎ゼミⅢ」、「統計学Ⅰ」、「心理学統計法Ⅰ」
の５科目のうち、医療学部共通で「情報処理技法Ⅰ（１年）」、「基礎ゼミⅢ（２年）」が必修である。また理学療法学専攻、作業療法学専攻では「統計学Ⅰ（１年）」、リハビリテーション心理学専攻は「心理学統計法Ⅰ（１年又は２年）」が必修である。よって、必修科目を履修するだけで本プログラムの認定に必要な単位を修得できる。
なお、本プログラムは令和3年度の１年次から開始しているので、修了条件となる３単位を取得できた者は、１年次で必修の「情報処理技法Ⅰ」、「統計学Ⅰ」又は「心理学統計法Ⅰ」、選択の「情報処理技法Ⅱ」を全て履修した者となる。「情報処理技法Ⅱ」を選択履修した者は４名だったため、令和３年度は修了者が４名と少なかった。令和４年度以降は、２年次で「基礎ゼミⅢ」（必修）が該当科目となるため、履修者数・修了者数は大きく増加する。
「情報処理技法Ⅱ」は、本領域に興味を持つ学生が、より高度な段階に進めるよう選択科目として用意している。多くの学生が本科目も履修し実力がつくよう、履修することの利点や面白さを学生に周知していく。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</si>
</sst>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1"/>
      <color rgb="FFFF0000"/>
      <name val="ＭＳ Ｐゴシック"/>
      <family val="3"/>
      <charset val="128"/>
      <scheme val="minor"/>
    </font>
    <font>
      <sz val="12"/>
      <color rgb="FF000000"/>
      <name val="ＭＳ Ｐゴシック"/>
      <family val="2"/>
      <charset val="128"/>
      <scheme val="minor"/>
    </font>
  </fonts>
  <fills count="3">
    <fill>
      <patternFill patternType="none"/>
    </fill>
    <fill>
      <patternFill patternType="gray125"/>
    </fill>
    <fill>
      <patternFill patternType="solid">
        <fgColor rgb="FFFFFFFF"/>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16" fillId="0" borderId="14" xfId="0" applyFont="1" applyBorder="1" applyAlignment="1">
      <alignment horizontal="left" vertical="center" shrinkToFit="1"/>
    </xf>
    <xf numFmtId="0" fontId="16" fillId="0" borderId="23" xfId="0" applyFont="1" applyBorder="1" applyAlignment="1">
      <alignment horizontal="left" vertical="center" shrinkToFit="1"/>
    </xf>
    <xf numFmtId="0" fontId="5" fillId="0" borderId="20" xfId="0" applyFont="1" applyBorder="1" applyAlignment="1">
      <alignment vertical="top" shrinkToFit="1"/>
    </xf>
    <xf numFmtId="0" fontId="5" fillId="0" borderId="18" xfId="0" applyFont="1" applyBorder="1" applyAlignment="1">
      <alignment vertical="top" shrinkToFit="1"/>
    </xf>
    <xf numFmtId="0" fontId="3" fillId="2" borderId="20" xfId="0" applyFont="1" applyFill="1" applyBorder="1" applyAlignment="1">
      <alignment vertical="center" shrinkToFit="1"/>
    </xf>
    <xf numFmtId="0" fontId="11" fillId="2" borderId="23" xfId="0" applyFont="1" applyFill="1" applyBorder="1" applyAlignment="1">
      <alignment horizontal="center" vertical="center" shrinkToFit="1"/>
    </xf>
    <xf numFmtId="0" fontId="11" fillId="0" borderId="0" xfId="0" applyFont="1" applyAlignment="1">
      <alignment vertical="top"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2" borderId="2" xfId="0" applyNumberFormat="1" applyFont="1" applyFill="1" applyBorder="1" applyAlignment="1">
      <alignment horizontal="center" vertical="center"/>
    </xf>
    <xf numFmtId="176" fontId="8" fillId="2" borderId="3" xfId="0" applyNumberFormat="1" applyFont="1" applyFill="1" applyBorder="1" applyAlignment="1">
      <alignment horizontal="center" vertical="center"/>
    </xf>
    <xf numFmtId="176" fontId="8" fillId="2" borderId="4" xfId="0" applyNumberFormat="1" applyFont="1" applyFill="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176" fontId="8" fillId="2" borderId="2" xfId="0" applyNumberFormat="1" applyFont="1" applyFill="1" applyBorder="1" applyAlignment="1">
      <alignment horizontal="center" vertical="center" shrinkToFit="1"/>
    </xf>
    <xf numFmtId="176" fontId="8" fillId="2" borderId="4" xfId="0" applyNumberFormat="1" applyFont="1" applyFill="1" applyBorder="1" applyAlignment="1">
      <alignment horizontal="center" vertical="center" shrinkToFit="1"/>
    </xf>
    <xf numFmtId="0" fontId="8" fillId="0" borderId="0" xfId="0" applyFont="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4" fillId="0" borderId="37" xfId="0" applyFont="1" applyBorder="1" applyAlignment="1">
      <alignment horizontal="left" vertical="center" wrapText="1"/>
    </xf>
    <xf numFmtId="0" fontId="24" fillId="0" borderId="39" xfId="0" applyFont="1" applyBorder="1" applyAlignment="1">
      <alignment horizontal="left" vertical="center" wrapText="1"/>
    </xf>
    <xf numFmtId="0" fontId="24" fillId="0" borderId="38" xfId="0" applyFont="1" applyBorder="1" applyAlignment="1">
      <alignment horizontal="left" vertical="center" wrapText="1"/>
    </xf>
    <xf numFmtId="0" fontId="8" fillId="0" borderId="0" xfId="0" applyFont="1" applyAlignment="1">
      <alignment vertical="center" wrapText="1"/>
    </xf>
    <xf numFmtId="0" fontId="18" fillId="0" borderId="0" xfId="0" applyFont="1" applyAlignment="1">
      <alignment horizontal="center" vertical="center"/>
    </xf>
    <xf numFmtId="0" fontId="11" fillId="0" borderId="7" xfId="0" applyFont="1" applyBorder="1" applyAlignment="1">
      <alignment horizontal="lef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Alignment="1">
      <alignment horizontal="left" vertical="top" shrinkToFit="1"/>
    </xf>
    <xf numFmtId="0" fontId="11" fillId="0" borderId="10" xfId="0" applyFont="1" applyBorder="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xf>
    <xf numFmtId="0" fontId="9" fillId="0" borderId="20" xfId="0" applyFont="1" applyBorder="1" applyAlignment="1">
      <alignment vertical="center" wrapText="1"/>
    </xf>
    <xf numFmtId="0" fontId="9" fillId="0" borderId="18" xfId="0" applyFont="1" applyBorder="1" applyAlignment="1">
      <alignment vertical="center" wrapTex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xf>
    <xf numFmtId="0" fontId="9" fillId="0" borderId="38"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21" fillId="0" borderId="32" xfId="0" applyFont="1" applyBorder="1" applyAlignment="1">
      <alignment vertical="center" wrapText="1"/>
    </xf>
    <xf numFmtId="0" fontId="24" fillId="0" borderId="8" xfId="0" applyFont="1" applyBorder="1" applyAlignment="1">
      <alignment horizontal="left" vertical="center" wrapText="1"/>
    </xf>
    <xf numFmtId="0" fontId="24" fillId="0" borderId="9" xfId="0" applyFont="1" applyBorder="1" applyAlignment="1">
      <alignment horizontal="left" vertical="center" wrapText="1"/>
    </xf>
    <xf numFmtId="0" fontId="24" fillId="0" borderId="20" xfId="0" applyFont="1" applyBorder="1" applyAlignment="1">
      <alignment horizontal="left" vertical="center" wrapText="1"/>
    </xf>
    <xf numFmtId="0" fontId="24" fillId="0" borderId="18" xfId="0" applyFont="1" applyBorder="1" applyAlignment="1">
      <alignment horizontal="left" vertical="center" wrapTex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pplyAlignment="1">
      <alignment vertical="center"/>
    </xf>
    <xf numFmtId="0" fontId="3"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13" fillId="0" borderId="7" xfId="0" applyFont="1" applyBorder="1" applyAlignment="1">
      <alignment vertical="top" wrapText="1" shrinkToFit="1"/>
    </xf>
    <xf numFmtId="0" fontId="23" fillId="0" borderId="8" xfId="0" applyFont="1" applyBorder="1" applyAlignment="1">
      <alignment vertical="top" wrapText="1" shrinkToFit="1"/>
    </xf>
    <xf numFmtId="0" fontId="23" fillId="0" borderId="8" xfId="0" applyFont="1" applyBorder="1" applyAlignment="1">
      <alignment vertical="top" shrinkToFit="1"/>
    </xf>
    <xf numFmtId="0" fontId="23" fillId="0" borderId="9" xfId="0" applyFont="1" applyBorder="1" applyAlignment="1">
      <alignment vertical="top" shrinkToFit="1"/>
    </xf>
    <xf numFmtId="0" fontId="23" fillId="0" borderId="5" xfId="0" applyFont="1" applyBorder="1" applyAlignment="1">
      <alignment vertical="top" shrinkToFit="1"/>
    </xf>
    <xf numFmtId="0" fontId="23" fillId="0" borderId="0" xfId="0" applyFont="1" applyAlignment="1">
      <alignment vertical="top" shrinkToFit="1"/>
    </xf>
    <xf numFmtId="0" fontId="23" fillId="0" borderId="10" xfId="0" applyFont="1" applyBorder="1" applyAlignment="1">
      <alignment vertical="top" shrinkToFit="1"/>
    </xf>
    <xf numFmtId="0" fontId="23" fillId="0" borderId="11" xfId="0" applyFont="1" applyBorder="1" applyAlignment="1">
      <alignment vertical="top" shrinkToFit="1"/>
    </xf>
    <xf numFmtId="0" fontId="23" fillId="0" borderId="6" xfId="0" applyFont="1" applyBorder="1" applyAlignment="1">
      <alignment vertical="top" shrinkToFit="1"/>
    </xf>
    <xf numFmtId="0" fontId="23" fillId="0" borderId="12"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19" xfId="0" applyFont="1" applyBorder="1" applyAlignment="1">
      <alignment vertical="top" wrapText="1" shrinkToFit="1"/>
    </xf>
    <xf numFmtId="0" fontId="2" fillId="0" borderId="17" xfId="0" applyFont="1" applyBorder="1" applyAlignment="1">
      <alignment vertical="center"/>
    </xf>
    <xf numFmtId="0" fontId="0" fillId="0" borderId="18"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19050</xdr:colOff>
      <xdr:row>4</xdr:row>
      <xdr:rowOff>57150</xdr:rowOff>
    </xdr:from>
    <xdr:ext cx="8238666" cy="1376018"/>
    <xdr:sp macro="" textlink="">
      <xdr:nvSpPr>
        <xdr:cNvPr id="2" name="テキスト ボックス 1">
          <a:extLst>
            <a:ext uri="{FF2B5EF4-FFF2-40B4-BE49-F238E27FC236}">
              <a16:creationId xmlns:a16="http://schemas.microsoft.com/office/drawing/2014/main" id="{358190DE-046B-4AEE-A5E6-62A3A236DB60}"/>
            </a:ext>
          </a:extLst>
        </xdr:cNvPr>
        <xdr:cNvSpPr txBox="1"/>
      </xdr:nvSpPr>
      <xdr:spPr>
        <a:xfrm>
          <a:off x="200025" y="895350"/>
          <a:ext cx="8238666" cy="137601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tx1"/>
              </a:solidFill>
            </a:rPr>
            <a:t>プログラムを構成する科目群（下記</a:t>
          </a:r>
          <a:r>
            <a:rPr kumimoji="1" lang="en-US" altLang="ja-JP" sz="1100">
              <a:solidFill>
                <a:schemeClr val="tx1"/>
              </a:solidFill>
            </a:rPr>
            <a:t>1</a:t>
          </a:r>
          <a:r>
            <a:rPr kumimoji="1" lang="ja-JP" altLang="en-US" sz="1100">
              <a:solidFill>
                <a:schemeClr val="tx1"/>
              </a:solidFill>
            </a:rPr>
            <a:t>～</a:t>
          </a:r>
          <a:r>
            <a:rPr kumimoji="1" lang="en-US" altLang="ja-JP" sz="1100">
              <a:solidFill>
                <a:schemeClr val="tx1"/>
              </a:solidFill>
            </a:rPr>
            <a:t>5</a:t>
          </a:r>
          <a:r>
            <a:rPr kumimoji="1" lang="ja-JP" altLang="en-US" sz="1100">
              <a:solidFill>
                <a:schemeClr val="tx1"/>
              </a:solidFill>
            </a:rPr>
            <a:t>）の</a:t>
          </a:r>
          <a:r>
            <a:rPr kumimoji="1" lang="en-US" altLang="ja-JP" sz="1100">
              <a:solidFill>
                <a:schemeClr val="tx1"/>
              </a:solidFill>
            </a:rPr>
            <a:t>5</a:t>
          </a:r>
          <a:r>
            <a:rPr kumimoji="1" lang="ja-JP" altLang="en-US" sz="1100">
              <a:solidFill>
                <a:schemeClr val="tx1"/>
              </a:solidFill>
            </a:rPr>
            <a:t>科目から、「</a:t>
          </a:r>
          <a:r>
            <a:rPr kumimoji="1" lang="en-US" altLang="ja-JP" sz="1100">
              <a:solidFill>
                <a:schemeClr val="tx1"/>
              </a:solidFill>
            </a:rPr>
            <a:t>1.</a:t>
          </a:r>
          <a:r>
            <a:rPr kumimoji="1" lang="ja-JP" altLang="en-US" sz="1100">
              <a:solidFill>
                <a:schemeClr val="tx1"/>
              </a:solidFill>
            </a:rPr>
            <a:t>情報処理技法</a:t>
          </a:r>
          <a:r>
            <a:rPr kumimoji="1" lang="en-US" altLang="ja-JP" sz="1100">
              <a:solidFill>
                <a:schemeClr val="tx1"/>
              </a:solidFill>
            </a:rPr>
            <a:t>Ⅰ</a:t>
          </a:r>
          <a:r>
            <a:rPr kumimoji="1" lang="ja-JP" altLang="en-US" sz="1100">
              <a:solidFill>
                <a:schemeClr val="tx1"/>
              </a:solidFill>
            </a:rPr>
            <a:t>」及び「</a:t>
          </a:r>
          <a:r>
            <a:rPr kumimoji="1" lang="en-US" altLang="ja-JP" sz="1100">
              <a:solidFill>
                <a:schemeClr val="tx1"/>
              </a:solidFill>
            </a:rPr>
            <a:t>3.</a:t>
          </a:r>
          <a:r>
            <a:rPr kumimoji="1" lang="ja-JP" altLang="en-US" sz="1100">
              <a:solidFill>
                <a:schemeClr val="tx1"/>
              </a:solidFill>
            </a:rPr>
            <a:t>基礎ゼミ</a:t>
          </a:r>
          <a:r>
            <a:rPr kumimoji="1" lang="en-US" altLang="ja-JP" sz="1100">
              <a:solidFill>
                <a:schemeClr val="tx1"/>
              </a:solidFill>
            </a:rPr>
            <a:t>Ⅲ</a:t>
          </a:r>
          <a:r>
            <a:rPr kumimoji="1" lang="ja-JP" altLang="en-US" sz="1100">
              <a:solidFill>
                <a:schemeClr val="tx1"/>
              </a:solidFill>
            </a:rPr>
            <a:t>」を含めて</a:t>
          </a:r>
          <a:r>
            <a:rPr kumimoji="1" lang="en-US" altLang="ja-JP" sz="1100">
              <a:solidFill>
                <a:schemeClr val="tx1"/>
              </a:solidFill>
            </a:rPr>
            <a:t>3</a:t>
          </a:r>
          <a:r>
            <a:rPr kumimoji="1" lang="ja-JP" altLang="en-US" sz="1100">
              <a:solidFill>
                <a:schemeClr val="tx1"/>
              </a:solidFill>
            </a:rPr>
            <a:t>単位以上を修得すること　</a:t>
          </a:r>
          <a:br>
            <a:rPr kumimoji="1" lang="en-US" altLang="ja-JP" sz="1100">
              <a:solidFill>
                <a:schemeClr val="tx1"/>
              </a:solidFill>
            </a:rPr>
          </a:br>
          <a:r>
            <a:rPr kumimoji="1" lang="ja-JP" altLang="en-US" sz="1100">
              <a:solidFill>
                <a:schemeClr val="tx1"/>
              </a:solidFill>
            </a:rPr>
            <a:t>科目群：　</a:t>
          </a:r>
          <a:r>
            <a:rPr kumimoji="1" lang="en-US" altLang="ja-JP" sz="1100">
              <a:solidFill>
                <a:schemeClr val="tx1"/>
              </a:solidFill>
            </a:rPr>
            <a:t>1.</a:t>
          </a:r>
          <a:r>
            <a:rPr kumimoji="1" lang="ja-JP" altLang="en-US" sz="1100">
              <a:solidFill>
                <a:schemeClr val="tx1"/>
              </a:solidFill>
            </a:rPr>
            <a:t>　情報処理技法</a:t>
          </a:r>
          <a:r>
            <a:rPr kumimoji="1" lang="en-US" altLang="ja-JP" sz="1100">
              <a:solidFill>
                <a:schemeClr val="tx1"/>
              </a:solidFill>
            </a:rPr>
            <a:t>Ⅰ</a:t>
          </a:r>
        </a:p>
        <a:p>
          <a:r>
            <a:rPr kumimoji="1" lang="ja-JP" altLang="en-US" sz="1100">
              <a:solidFill>
                <a:schemeClr val="tx1"/>
              </a:solidFill>
            </a:rPr>
            <a:t>　　　　　　</a:t>
          </a:r>
          <a:r>
            <a:rPr kumimoji="1" lang="ja-JP" altLang="en-US" sz="1100" baseline="0">
              <a:solidFill>
                <a:schemeClr val="tx1"/>
              </a:solidFill>
            </a:rPr>
            <a:t> </a:t>
          </a:r>
          <a:r>
            <a:rPr kumimoji="1" lang="en-US" altLang="ja-JP" sz="1100" baseline="0">
              <a:solidFill>
                <a:schemeClr val="tx1"/>
              </a:solidFill>
            </a:rPr>
            <a:t>2.</a:t>
          </a:r>
          <a:r>
            <a:rPr kumimoji="1" lang="ja-JP" altLang="en-US" sz="1100" baseline="0">
              <a:solidFill>
                <a:schemeClr val="tx1"/>
              </a:solidFill>
            </a:rPr>
            <a:t>　情報処理技法</a:t>
          </a:r>
          <a:r>
            <a:rPr kumimoji="1" lang="en-US" altLang="ja-JP" sz="1100" baseline="0">
              <a:solidFill>
                <a:schemeClr val="tx1"/>
              </a:solidFill>
            </a:rPr>
            <a:t>Ⅱ</a:t>
          </a:r>
          <a:br>
            <a:rPr kumimoji="1" lang="en-US" altLang="ja-JP" sz="1100" baseline="0">
              <a:solidFill>
                <a:schemeClr val="tx1"/>
              </a:solidFill>
            </a:rPr>
          </a:br>
          <a:r>
            <a:rPr kumimoji="1" lang="ja-JP" altLang="en-US" sz="1100" baseline="0">
              <a:solidFill>
                <a:schemeClr val="tx1"/>
              </a:solidFill>
            </a:rPr>
            <a:t>　　　　　　 </a:t>
          </a:r>
          <a:r>
            <a:rPr kumimoji="1" lang="en-US" altLang="ja-JP" sz="1100" baseline="0">
              <a:solidFill>
                <a:schemeClr val="tx1"/>
              </a:solidFill>
            </a:rPr>
            <a:t>3.</a:t>
          </a:r>
          <a:r>
            <a:rPr kumimoji="1" lang="ja-JP" altLang="en-US" sz="1100" baseline="0">
              <a:solidFill>
                <a:schemeClr val="tx1"/>
              </a:solidFill>
            </a:rPr>
            <a:t>　基礎ゼミ</a:t>
          </a:r>
          <a:r>
            <a:rPr kumimoji="1" lang="en-US" altLang="ja-JP" sz="1100" baseline="0">
              <a:solidFill>
                <a:schemeClr val="tx1"/>
              </a:solidFill>
            </a:rPr>
            <a:t>Ⅲ</a:t>
          </a:r>
          <a:br>
            <a:rPr kumimoji="1" lang="en-US" altLang="ja-JP" sz="1100" baseline="0">
              <a:solidFill>
                <a:schemeClr val="tx1"/>
              </a:solidFill>
            </a:rPr>
          </a:br>
          <a:r>
            <a:rPr kumimoji="1" lang="ja-JP" altLang="en-US" sz="1100" baseline="0">
              <a:solidFill>
                <a:schemeClr val="tx1"/>
              </a:solidFill>
            </a:rPr>
            <a:t>　　　　　　 </a:t>
          </a:r>
          <a:r>
            <a:rPr kumimoji="1" lang="en-US" altLang="ja-JP" sz="1100" baseline="0">
              <a:solidFill>
                <a:schemeClr val="tx1"/>
              </a:solidFill>
            </a:rPr>
            <a:t>4.</a:t>
          </a:r>
          <a:r>
            <a:rPr kumimoji="1" lang="ja-JP" altLang="en-US" sz="1100" baseline="0">
              <a:solidFill>
                <a:schemeClr val="tx1"/>
              </a:solidFill>
            </a:rPr>
            <a:t>　統計学</a:t>
          </a:r>
          <a:r>
            <a:rPr kumimoji="1" lang="en-US" altLang="ja-JP" sz="1100" baseline="0">
              <a:solidFill>
                <a:schemeClr val="tx1"/>
              </a:solidFill>
            </a:rPr>
            <a:t>Ⅰ</a:t>
          </a:r>
          <a:br>
            <a:rPr kumimoji="1" lang="en-US" altLang="ja-JP" sz="1100" baseline="0">
              <a:solidFill>
                <a:schemeClr val="tx1"/>
              </a:solidFill>
            </a:rPr>
          </a:br>
          <a:r>
            <a:rPr kumimoji="1" lang="ja-JP" altLang="en-US" sz="1100" baseline="0">
              <a:solidFill>
                <a:schemeClr val="tx1"/>
              </a:solidFill>
            </a:rPr>
            <a:t>　　　　　　 </a:t>
          </a:r>
          <a:r>
            <a:rPr kumimoji="1" lang="en-US" altLang="ja-JP" sz="1100" baseline="0">
              <a:solidFill>
                <a:schemeClr val="tx1"/>
              </a:solidFill>
            </a:rPr>
            <a:t>5.</a:t>
          </a:r>
          <a:r>
            <a:rPr kumimoji="1" lang="ja-JP" altLang="en-US" sz="1100" baseline="0">
              <a:solidFill>
                <a:schemeClr val="tx1"/>
              </a:solidFill>
            </a:rPr>
            <a:t>　心理学統計法</a:t>
          </a:r>
          <a:r>
            <a:rPr kumimoji="1" lang="en-US" altLang="ja-JP" sz="1100" baseline="0">
              <a:solidFill>
                <a:schemeClr val="tx1"/>
              </a:solidFill>
            </a:rPr>
            <a:t>Ⅰ</a:t>
          </a:r>
          <a:br>
            <a:rPr kumimoji="1" lang="en-US" altLang="ja-JP" sz="1100" baseline="0">
              <a:solidFill>
                <a:srgbClr val="FF0000"/>
              </a:solidFill>
            </a:rPr>
          </a:br>
          <a:r>
            <a:rPr kumimoji="1" lang="ja-JP" altLang="en-US" sz="1100">
              <a:solidFill>
                <a:srgbClr val="FF0000"/>
              </a:solidFill>
            </a:rPr>
            <a:t>　　</a:t>
          </a:r>
        </a:p>
      </xdr:txBody>
    </xdr:sp>
    <xdr:clientData/>
  </xdr:oneCellAnchor>
  <xdr:oneCellAnchor>
    <xdr:from>
      <xdr:col>3</xdr:col>
      <xdr:colOff>28575</xdr:colOff>
      <xdr:row>88</xdr:row>
      <xdr:rowOff>0</xdr:rowOff>
    </xdr:from>
    <xdr:ext cx="5575372" cy="1014765"/>
    <xdr:sp macro="" textlink="">
      <xdr:nvSpPr>
        <xdr:cNvPr id="3" name="テキスト ボックス 2">
          <a:extLst>
            <a:ext uri="{FF2B5EF4-FFF2-40B4-BE49-F238E27FC236}">
              <a16:creationId xmlns:a16="http://schemas.microsoft.com/office/drawing/2014/main" id="{46A7351E-C051-45B1-8A1B-06271703D22A}"/>
            </a:ext>
            <a:ext uri="{147F2762-F138-4A5C-976F-8EAC2B608ADB}">
              <a16:predDERef xmlns:a16="http://schemas.microsoft.com/office/drawing/2014/main" pred="{358190DE-046B-4AEE-A5E6-62A3A236DB60}"/>
            </a:ext>
          </a:extLst>
        </xdr:cNvPr>
        <xdr:cNvSpPr txBox="1"/>
      </xdr:nvSpPr>
      <xdr:spPr>
        <a:xfrm>
          <a:off x="2581275" y="25203150"/>
          <a:ext cx="5575372" cy="101476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収集したデータを説明・分析するための基本的技術、公開データを用い総合演習「情報処理技法</a:t>
          </a:r>
          <a:r>
            <a:rPr kumimoji="1" lang="en-US" altLang="ja-JP" sz="900"/>
            <a:t>Ⅰ</a:t>
          </a:r>
          <a:r>
            <a:rPr kumimoji="1" lang="ja-JP" altLang="en-US" sz="900"/>
            <a:t>」</a:t>
          </a:r>
          <a:r>
            <a:rPr kumimoji="1" lang="en-US" altLang="ja-JP" sz="900"/>
            <a:t>(9-30</a:t>
          </a:r>
          <a:r>
            <a:rPr kumimoji="1" lang="ja-JP" altLang="en-US" sz="900"/>
            <a:t>回目</a:t>
          </a:r>
          <a:r>
            <a:rPr kumimoji="1" lang="en-US" altLang="ja-JP" sz="900"/>
            <a:t>)</a:t>
          </a:r>
          <a:r>
            <a:rPr kumimoji="1" lang="ja-JP" altLang="en-US" sz="900"/>
            <a:t>　</a:t>
          </a:r>
          <a:endParaRPr kumimoji="1" lang="en-US" altLang="ja-JP" sz="9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mn-lt"/>
              <a:ea typeface="+mn-ea"/>
              <a:cs typeface="+mn-cs"/>
            </a:rPr>
            <a:t>統計学の基礎知識「統計学</a:t>
          </a:r>
          <a:r>
            <a:rPr kumimoji="1" lang="en-US" altLang="ja-JP" sz="900">
              <a:solidFill>
                <a:schemeClr val="tx1"/>
              </a:solidFill>
              <a:effectLst/>
              <a:latin typeface="+mn-lt"/>
              <a:ea typeface="+mn-ea"/>
              <a:cs typeface="+mn-cs"/>
            </a:rPr>
            <a:t>Ⅰ</a:t>
          </a:r>
          <a:r>
            <a:rPr kumimoji="1" lang="ja-JP" altLang="ja-JP" sz="900">
              <a:solidFill>
                <a:schemeClr val="tx1"/>
              </a:solidFill>
              <a:effectLst/>
              <a:latin typeface="+mn-lt"/>
              <a:ea typeface="+mn-ea"/>
              <a:cs typeface="+mn-cs"/>
            </a:rPr>
            <a:t>」（</a:t>
          </a:r>
          <a:r>
            <a:rPr kumimoji="1" lang="en-US" altLang="ja-JP" sz="900">
              <a:solidFill>
                <a:schemeClr val="tx1"/>
              </a:solidFill>
              <a:effectLst/>
              <a:latin typeface="+mn-lt"/>
              <a:ea typeface="+mn-ea"/>
              <a:cs typeface="+mn-cs"/>
            </a:rPr>
            <a:t>1-20</a:t>
          </a:r>
          <a:r>
            <a:rPr kumimoji="1" lang="ja-JP" altLang="ja-JP" sz="900">
              <a:solidFill>
                <a:schemeClr val="tx1"/>
              </a:solidFill>
              <a:effectLst/>
              <a:latin typeface="+mn-lt"/>
              <a:ea typeface="+mn-ea"/>
              <a:cs typeface="+mn-cs"/>
            </a:rPr>
            <a:t>回目）</a:t>
          </a:r>
          <a:endParaRPr lang="ja-JP" altLang="ja-JP"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mn-lt"/>
              <a:ea typeface="+mn-ea"/>
              <a:cs typeface="+mn-cs"/>
            </a:rPr>
            <a:t>統計可視化ソフト「</a:t>
          </a:r>
          <a:r>
            <a:rPr kumimoji="1" lang="en-US" altLang="ja-JP" sz="900">
              <a:solidFill>
                <a:schemeClr val="tx1"/>
              </a:solidFill>
              <a:effectLst/>
              <a:latin typeface="+mn-lt"/>
              <a:ea typeface="+mn-ea"/>
              <a:cs typeface="+mn-cs"/>
            </a:rPr>
            <a:t>Microsoft Power BI</a:t>
          </a:r>
          <a:r>
            <a:rPr kumimoji="1" lang="ja-JP" altLang="ja-JP" sz="900">
              <a:solidFill>
                <a:schemeClr val="tx1"/>
              </a:solidFill>
              <a:effectLst/>
              <a:latin typeface="+mn-lt"/>
              <a:ea typeface="+mn-ea"/>
              <a:cs typeface="+mn-cs"/>
            </a:rPr>
            <a:t>」を用いたデータ処理技法「基礎ゼミ</a:t>
          </a:r>
          <a:r>
            <a:rPr kumimoji="1" lang="en-US" altLang="ja-JP" sz="900">
              <a:solidFill>
                <a:schemeClr val="tx1"/>
              </a:solidFill>
              <a:effectLst/>
              <a:latin typeface="+mn-lt"/>
              <a:ea typeface="+mn-ea"/>
              <a:cs typeface="+mn-cs"/>
            </a:rPr>
            <a:t>Ⅲ</a:t>
          </a:r>
          <a:r>
            <a:rPr kumimoji="1" lang="ja-JP" altLang="ja-JP" sz="900">
              <a:solidFill>
                <a:schemeClr val="tx1"/>
              </a:solidFill>
              <a:effectLst/>
              <a:latin typeface="+mn-lt"/>
              <a:ea typeface="+mn-ea"/>
              <a:cs typeface="+mn-cs"/>
            </a:rPr>
            <a:t>」（</a:t>
          </a:r>
          <a:r>
            <a:rPr kumimoji="1" lang="en-US" altLang="ja-JP" sz="900">
              <a:solidFill>
                <a:schemeClr val="tx1"/>
              </a:solidFill>
              <a:effectLst/>
              <a:latin typeface="+mn-lt"/>
              <a:ea typeface="+mn-ea"/>
              <a:cs typeface="+mn-cs"/>
            </a:rPr>
            <a:t>9-10</a:t>
          </a:r>
          <a:r>
            <a:rPr kumimoji="1" lang="ja-JP" altLang="ja-JP" sz="900">
              <a:solidFill>
                <a:schemeClr val="tx1"/>
              </a:solidFill>
              <a:effectLst/>
              <a:latin typeface="+mn-lt"/>
              <a:ea typeface="+mn-ea"/>
              <a:cs typeface="+mn-cs"/>
            </a:rPr>
            <a:t>回目、</a:t>
          </a:r>
          <a:r>
            <a:rPr kumimoji="1" lang="en-US" altLang="ja-JP" sz="900">
              <a:solidFill>
                <a:schemeClr val="tx1"/>
              </a:solidFill>
              <a:effectLst/>
              <a:latin typeface="+mn-lt"/>
              <a:ea typeface="+mn-ea"/>
              <a:cs typeface="+mn-cs"/>
            </a:rPr>
            <a:t>13-18</a:t>
          </a:r>
          <a:r>
            <a:rPr kumimoji="1" lang="ja-JP" altLang="ja-JP" sz="900">
              <a:solidFill>
                <a:schemeClr val="tx1"/>
              </a:solidFill>
              <a:effectLst/>
              <a:latin typeface="+mn-lt"/>
              <a:ea typeface="+mn-ea"/>
              <a:cs typeface="+mn-cs"/>
            </a:rPr>
            <a:t>回目）</a:t>
          </a:r>
          <a:endParaRPr kumimoji="1" lang="en-US" altLang="ja-JP" sz="9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ja-JP" sz="900">
              <a:solidFill>
                <a:schemeClr val="tx1"/>
              </a:solidFill>
              <a:effectLst/>
              <a:latin typeface="+mn-lt"/>
              <a:ea typeface="+mn-ea"/>
              <a:cs typeface="+mn-cs"/>
            </a:rPr>
            <a:t>代表値や散布度からそのデータの統計学的な特徴を説明する「心理学統計法</a:t>
          </a:r>
          <a:r>
            <a:rPr lang="en-US" altLang="ja-JP" sz="900">
              <a:solidFill>
                <a:schemeClr val="tx1"/>
              </a:solidFill>
              <a:effectLst/>
              <a:latin typeface="+mn-lt"/>
              <a:ea typeface="+mn-ea"/>
              <a:cs typeface="+mn-cs"/>
            </a:rPr>
            <a:t>Ⅰ</a:t>
          </a:r>
          <a:r>
            <a:rPr lang="ja-JP" altLang="ja-JP" sz="900">
              <a:solidFill>
                <a:schemeClr val="tx1"/>
              </a:solidFill>
              <a:effectLst/>
              <a:latin typeface="+mn-lt"/>
              <a:ea typeface="+mn-ea"/>
              <a:cs typeface="+mn-cs"/>
            </a:rPr>
            <a:t>」</a:t>
          </a:r>
          <a:r>
            <a:rPr lang="en-US" altLang="ja-JP" sz="900">
              <a:solidFill>
                <a:schemeClr val="tx1"/>
              </a:solidFill>
              <a:effectLst/>
              <a:latin typeface="+mn-lt"/>
              <a:ea typeface="+mn-ea"/>
              <a:cs typeface="+mn-cs"/>
            </a:rPr>
            <a:t>(5-10</a:t>
          </a:r>
          <a:r>
            <a:rPr lang="ja-JP" altLang="ja-JP" sz="900">
              <a:solidFill>
                <a:schemeClr val="tx1"/>
              </a:solidFill>
              <a:effectLst/>
              <a:latin typeface="+mn-lt"/>
              <a:ea typeface="+mn-ea"/>
              <a:cs typeface="+mn-cs"/>
            </a:rPr>
            <a:t>回</a:t>
          </a:r>
          <a:r>
            <a:rPr lang="en-US" altLang="ja-JP" sz="900">
              <a:solidFill>
                <a:schemeClr val="tx1"/>
              </a:solidFill>
              <a:effectLst/>
              <a:latin typeface="+mn-lt"/>
              <a:ea typeface="+mn-ea"/>
              <a:cs typeface="+mn-cs"/>
            </a:rPr>
            <a:t>)</a:t>
          </a:r>
          <a:endParaRPr lang="ja-JP" altLang="ja-JP"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900">
              <a:effectLst/>
            </a:rPr>
            <a:t>公開されたビッグデータの特徴を要約し説明する「情報処理技法</a:t>
          </a:r>
          <a:r>
            <a:rPr lang="en-US" altLang="ja-JP" sz="900">
              <a:effectLst/>
            </a:rPr>
            <a:t>Ⅰ</a:t>
          </a:r>
          <a:r>
            <a:rPr lang="ja-JP" altLang="en-US" sz="900">
              <a:effectLst/>
            </a:rPr>
            <a:t>」</a:t>
          </a:r>
          <a:r>
            <a:rPr lang="en-US" altLang="ja-JP" sz="900">
              <a:effectLst/>
            </a:rPr>
            <a:t>(29-30</a:t>
          </a:r>
          <a:r>
            <a:rPr lang="ja-JP" altLang="en-US" sz="900">
              <a:effectLst/>
            </a:rPr>
            <a:t>回目</a:t>
          </a:r>
          <a:r>
            <a:rPr lang="en-US" altLang="ja-JP" sz="900">
              <a:effectLst/>
            </a:rPr>
            <a:t>)</a:t>
          </a:r>
          <a:endParaRPr lang="ja-JP" altLang="ja-JP" sz="900">
            <a:effectLst/>
          </a:endParaRPr>
        </a:p>
        <a:p>
          <a:endParaRPr kumimoji="1" lang="ja-JP" altLang="en-US" sz="1100"/>
        </a:p>
      </xdr:txBody>
    </xdr:sp>
    <xdr:clientData/>
  </xdr:oneCellAnchor>
  <xdr:oneCellAnchor>
    <xdr:from>
      <xdr:col>3</xdr:col>
      <xdr:colOff>38100</xdr:colOff>
      <xdr:row>88</xdr:row>
      <xdr:rowOff>800100</xdr:rowOff>
    </xdr:from>
    <xdr:ext cx="5291705" cy="1014765"/>
    <xdr:sp macro="" textlink="">
      <xdr:nvSpPr>
        <xdr:cNvPr id="22" name="テキスト ボックス 3">
          <a:extLst>
            <a:ext uri="{FF2B5EF4-FFF2-40B4-BE49-F238E27FC236}">
              <a16:creationId xmlns:a16="http://schemas.microsoft.com/office/drawing/2014/main" id="{2A1F509A-3DF8-4888-9D78-FFFA60FF0ABA}"/>
            </a:ext>
            <a:ext uri="{147F2762-F138-4A5C-976F-8EAC2B608ADB}">
              <a16:predDERef xmlns:a16="http://schemas.microsoft.com/office/drawing/2014/main" pred="{46A7351E-C051-45B1-8A1B-06271703D22A}"/>
            </a:ext>
          </a:extLst>
        </xdr:cNvPr>
        <xdr:cNvSpPr txBox="1"/>
      </xdr:nvSpPr>
      <xdr:spPr>
        <a:xfrm>
          <a:off x="2590800" y="26003250"/>
          <a:ext cx="5291705" cy="101476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ブロックプログラムと記述型プログラム言語</a:t>
          </a:r>
          <a:r>
            <a:rPr kumimoji="1" lang="ja-JP" altLang="ja-JP" sz="900">
              <a:solidFill>
                <a:schemeClr val="tx1"/>
              </a:solidFill>
              <a:effectLst/>
              <a:latin typeface="+mn-lt"/>
              <a:ea typeface="+mn-ea"/>
              <a:cs typeface="+mn-cs"/>
            </a:rPr>
            <a:t>「情報処理技法</a:t>
          </a:r>
          <a:r>
            <a:rPr kumimoji="1" lang="en-US" altLang="ja-JP" sz="900">
              <a:solidFill>
                <a:schemeClr val="tx1"/>
              </a:solidFill>
              <a:effectLst/>
              <a:latin typeface="+mn-lt"/>
              <a:ea typeface="+mn-ea"/>
              <a:cs typeface="+mn-cs"/>
            </a:rPr>
            <a:t>Ⅱ</a:t>
          </a:r>
          <a:r>
            <a:rPr kumimoji="1" lang="ja-JP" altLang="ja-JP" sz="900">
              <a:solidFill>
                <a:schemeClr val="tx1"/>
              </a:solidFill>
              <a:effectLst/>
              <a:latin typeface="+mn-lt"/>
              <a:ea typeface="+mn-ea"/>
              <a:cs typeface="+mn-cs"/>
            </a:rPr>
            <a:t>」</a:t>
          </a:r>
          <a:r>
            <a:rPr kumimoji="1" lang="en-US" altLang="ja-JP" sz="900">
              <a:solidFill>
                <a:schemeClr val="tx1"/>
              </a:solidFill>
              <a:effectLst/>
              <a:latin typeface="+mn-lt"/>
              <a:ea typeface="+mn-ea"/>
              <a:cs typeface="+mn-cs"/>
            </a:rPr>
            <a:t>(</a:t>
          </a:r>
          <a:r>
            <a:rPr kumimoji="1" lang="en-US" altLang="ja-JP" sz="900"/>
            <a:t>1-15</a:t>
          </a:r>
          <a:r>
            <a:rPr kumimoji="1" lang="ja-JP" altLang="en-US" sz="900"/>
            <a:t>回目</a:t>
          </a:r>
          <a:r>
            <a:rPr kumimoji="1" lang="en-US" altLang="ja-JP" sz="900"/>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mn-lt"/>
              <a:ea typeface="+mn-ea"/>
              <a:cs typeface="+mn-cs"/>
            </a:rPr>
            <a:t>統計学の基礎知識「統計学</a:t>
          </a:r>
          <a:r>
            <a:rPr kumimoji="1" lang="en-US" altLang="ja-JP" sz="900">
              <a:solidFill>
                <a:schemeClr val="tx1"/>
              </a:solidFill>
              <a:effectLst/>
              <a:latin typeface="+mn-lt"/>
              <a:ea typeface="+mn-ea"/>
              <a:cs typeface="+mn-cs"/>
            </a:rPr>
            <a:t>Ⅰ</a:t>
          </a:r>
          <a:r>
            <a:rPr kumimoji="1" lang="ja-JP" altLang="ja-JP" sz="900">
              <a:solidFill>
                <a:schemeClr val="tx1"/>
              </a:solidFill>
              <a:effectLst/>
              <a:latin typeface="+mn-lt"/>
              <a:ea typeface="+mn-ea"/>
              <a:cs typeface="+mn-cs"/>
            </a:rPr>
            <a:t>」（</a:t>
          </a:r>
          <a:r>
            <a:rPr kumimoji="1" lang="en-US" altLang="ja-JP" sz="900">
              <a:solidFill>
                <a:schemeClr val="tx1"/>
              </a:solidFill>
              <a:effectLst/>
              <a:latin typeface="+mn-lt"/>
              <a:ea typeface="+mn-ea"/>
              <a:cs typeface="+mn-cs"/>
            </a:rPr>
            <a:t>1-20</a:t>
          </a:r>
          <a:r>
            <a:rPr kumimoji="1" lang="ja-JP" altLang="ja-JP" sz="900">
              <a:solidFill>
                <a:schemeClr val="tx1"/>
              </a:solidFill>
              <a:effectLst/>
              <a:latin typeface="+mn-lt"/>
              <a:ea typeface="+mn-ea"/>
              <a:cs typeface="+mn-cs"/>
            </a:rPr>
            <a:t>回目）</a:t>
          </a:r>
          <a:endParaRPr kumimoji="1" lang="en-US" altLang="ja-JP" sz="9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mn-lt"/>
              <a:ea typeface="+mn-ea"/>
              <a:cs typeface="+mn-cs"/>
            </a:rPr>
            <a:t>統計可視化ソフト「</a:t>
          </a:r>
          <a:r>
            <a:rPr kumimoji="1" lang="en-US" altLang="ja-JP" sz="900">
              <a:solidFill>
                <a:schemeClr val="tx1"/>
              </a:solidFill>
              <a:effectLst/>
              <a:latin typeface="+mn-lt"/>
              <a:ea typeface="+mn-ea"/>
              <a:cs typeface="+mn-cs"/>
            </a:rPr>
            <a:t>Microsoft Power BI</a:t>
          </a:r>
          <a:r>
            <a:rPr kumimoji="1" lang="ja-JP" altLang="ja-JP" sz="900">
              <a:solidFill>
                <a:schemeClr val="tx1"/>
              </a:solidFill>
              <a:effectLst/>
              <a:latin typeface="+mn-lt"/>
              <a:ea typeface="+mn-ea"/>
              <a:cs typeface="+mn-cs"/>
            </a:rPr>
            <a:t>」を用いたデータ処理技法「基礎ゼミ</a:t>
          </a:r>
          <a:r>
            <a:rPr kumimoji="1" lang="en-US" altLang="ja-JP" sz="900">
              <a:solidFill>
                <a:schemeClr val="tx1"/>
              </a:solidFill>
              <a:effectLst/>
              <a:latin typeface="+mn-lt"/>
              <a:ea typeface="+mn-ea"/>
              <a:cs typeface="+mn-cs"/>
            </a:rPr>
            <a:t>Ⅲ</a:t>
          </a:r>
          <a:r>
            <a:rPr kumimoji="1" lang="ja-JP" altLang="ja-JP" sz="900">
              <a:solidFill>
                <a:schemeClr val="tx1"/>
              </a:solidFill>
              <a:effectLst/>
              <a:latin typeface="+mn-lt"/>
              <a:ea typeface="+mn-ea"/>
              <a:cs typeface="+mn-cs"/>
            </a:rPr>
            <a:t>」（</a:t>
          </a:r>
          <a:r>
            <a:rPr kumimoji="1" lang="en-US" altLang="ja-JP" sz="900">
              <a:solidFill>
                <a:schemeClr val="tx1"/>
              </a:solidFill>
              <a:effectLst/>
              <a:latin typeface="+mn-lt"/>
              <a:ea typeface="+mn-ea"/>
              <a:cs typeface="+mn-cs"/>
            </a:rPr>
            <a:t>9-10</a:t>
          </a:r>
          <a:r>
            <a:rPr kumimoji="1" lang="ja-JP" altLang="ja-JP" sz="900">
              <a:solidFill>
                <a:schemeClr val="tx1"/>
              </a:solidFill>
              <a:effectLst/>
              <a:latin typeface="+mn-lt"/>
              <a:ea typeface="+mn-ea"/>
              <a:cs typeface="+mn-cs"/>
            </a:rPr>
            <a:t>回目、</a:t>
          </a:r>
          <a:r>
            <a:rPr kumimoji="1" lang="en-US" altLang="ja-JP" sz="900">
              <a:solidFill>
                <a:schemeClr val="tx1"/>
              </a:solidFill>
              <a:effectLst/>
              <a:latin typeface="+mn-lt"/>
              <a:ea typeface="+mn-ea"/>
              <a:cs typeface="+mn-cs"/>
            </a:rPr>
            <a:t>13-18</a:t>
          </a:r>
          <a:r>
            <a:rPr kumimoji="1" lang="ja-JP" altLang="ja-JP" sz="900">
              <a:solidFill>
                <a:schemeClr val="tx1"/>
              </a:solidFill>
              <a:effectLst/>
              <a:latin typeface="+mn-lt"/>
              <a:ea typeface="+mn-ea"/>
              <a:cs typeface="+mn-cs"/>
            </a:rPr>
            <a:t>回目）</a:t>
          </a:r>
          <a:endParaRPr kumimoji="1" lang="en-US" altLang="ja-JP" sz="9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ja-JP" sz="900">
              <a:solidFill>
                <a:schemeClr val="tx1"/>
              </a:solidFill>
              <a:effectLst/>
              <a:latin typeface="+mn-lt"/>
              <a:ea typeface="+mn-ea"/>
              <a:cs typeface="+mn-cs"/>
            </a:rPr>
            <a:t>仮想データを用いた基礎統計量および相関係数を算出するプロセスの理解「心理学統計法</a:t>
          </a:r>
          <a:r>
            <a:rPr lang="en-US" altLang="ja-JP" sz="900">
              <a:solidFill>
                <a:schemeClr val="tx1"/>
              </a:solidFill>
              <a:effectLst/>
              <a:latin typeface="+mn-lt"/>
              <a:ea typeface="+mn-ea"/>
              <a:cs typeface="+mn-cs"/>
            </a:rPr>
            <a:t>Ⅰ</a:t>
          </a:r>
          <a:r>
            <a:rPr lang="ja-JP" altLang="ja-JP" sz="900">
              <a:solidFill>
                <a:schemeClr val="tx1"/>
              </a:solidFill>
              <a:effectLst/>
              <a:latin typeface="+mn-lt"/>
              <a:ea typeface="+mn-ea"/>
              <a:cs typeface="+mn-cs"/>
            </a:rPr>
            <a:t>」（</a:t>
          </a:r>
          <a:r>
            <a:rPr lang="en-US" altLang="ja-JP" sz="900">
              <a:solidFill>
                <a:schemeClr val="tx1"/>
              </a:solidFill>
              <a:effectLst/>
              <a:latin typeface="+mn-lt"/>
              <a:ea typeface="+mn-ea"/>
              <a:cs typeface="+mn-cs"/>
            </a:rPr>
            <a:t>1-15</a:t>
          </a:r>
          <a:r>
            <a:rPr lang="ja-JP" altLang="ja-JP" sz="900">
              <a:solidFill>
                <a:schemeClr val="tx1"/>
              </a:solidFill>
              <a:effectLst/>
              <a:latin typeface="+mn-lt"/>
              <a:ea typeface="+mn-ea"/>
              <a:cs typeface="+mn-cs"/>
            </a:rPr>
            <a:t>回目）</a:t>
          </a:r>
          <a:endParaRPr lang="ja-JP" altLang="ja-JP"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900">
              <a:effectLst/>
            </a:rPr>
            <a:t>公開されたビッグデータの抽出、統計処理やグラフ化「情報処理技法</a:t>
          </a:r>
          <a:r>
            <a:rPr lang="en-US" altLang="ja-JP" sz="900">
              <a:effectLst/>
            </a:rPr>
            <a:t>Ⅰ</a:t>
          </a:r>
          <a:r>
            <a:rPr lang="ja-JP" altLang="en-US" sz="900">
              <a:effectLst/>
            </a:rPr>
            <a:t>」</a:t>
          </a:r>
          <a:r>
            <a:rPr lang="en-US" altLang="ja-JP" sz="900">
              <a:effectLst/>
            </a:rPr>
            <a:t>(23-28</a:t>
          </a:r>
          <a:r>
            <a:rPr lang="ja-JP" altLang="en-US" sz="900">
              <a:effectLst/>
            </a:rPr>
            <a:t>回目</a:t>
          </a:r>
          <a:r>
            <a:rPr lang="en-US" altLang="ja-JP" sz="900">
              <a:effectLst/>
            </a:rPr>
            <a:t>)</a:t>
          </a:r>
          <a:endParaRPr lang="ja-JP" altLang="ja-JP" sz="900">
            <a:effectLst/>
          </a:endParaRPr>
        </a:p>
        <a:p>
          <a:endParaRPr kumimoji="1" lang="ja-JP" altLang="en-US" sz="1100"/>
        </a:p>
      </xdr:txBody>
    </xdr:sp>
    <xdr:clientData/>
  </xdr:oneCellAnchor>
  <xdr:oneCellAnchor>
    <xdr:from>
      <xdr:col>3</xdr:col>
      <xdr:colOff>0</xdr:colOff>
      <xdr:row>87</xdr:row>
      <xdr:rowOff>19050</xdr:rowOff>
    </xdr:from>
    <xdr:ext cx="6100260" cy="900435"/>
    <xdr:sp macro="" textlink="">
      <xdr:nvSpPr>
        <xdr:cNvPr id="35" name="テキスト ボックス 4">
          <a:extLst>
            <a:ext uri="{FF2B5EF4-FFF2-40B4-BE49-F238E27FC236}">
              <a16:creationId xmlns:a16="http://schemas.microsoft.com/office/drawing/2014/main" id="{930F8FAF-F194-49B6-9D19-FCDA4E5302E7}"/>
            </a:ext>
            <a:ext uri="{147F2762-F138-4A5C-976F-8EAC2B608ADB}">
              <a16:predDERef xmlns:a16="http://schemas.microsoft.com/office/drawing/2014/main" pred="{2A1F509A-3DF8-4888-9D78-FFFA60FF0ABA}"/>
            </a:ext>
          </a:extLst>
        </xdr:cNvPr>
        <xdr:cNvSpPr txBox="1"/>
      </xdr:nvSpPr>
      <xdr:spPr>
        <a:xfrm>
          <a:off x="2552700" y="24384000"/>
          <a:ext cx="6100260" cy="900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t>統計学の基礎知識「統計学</a:t>
          </a:r>
          <a:r>
            <a:rPr kumimoji="1" lang="en-US" altLang="ja-JP" sz="900"/>
            <a:t>Ⅰ</a:t>
          </a:r>
          <a:r>
            <a:rPr kumimoji="1" lang="ja-JP" altLang="en-US" sz="900"/>
            <a:t>」（</a:t>
          </a:r>
          <a:r>
            <a:rPr kumimoji="1" lang="en-US" altLang="ja-JP" sz="900"/>
            <a:t>1-20</a:t>
          </a:r>
          <a:r>
            <a:rPr kumimoji="1" lang="ja-JP" altLang="en-US" sz="900"/>
            <a:t>回目）</a:t>
          </a:r>
          <a:endParaRPr kumimoji="1" lang="en-US" altLang="ja-JP" sz="900"/>
        </a:p>
        <a:p>
          <a:r>
            <a:rPr kumimoji="1" lang="ja-JP" altLang="en-US" sz="900"/>
            <a:t>統計可視化ソフト「</a:t>
          </a:r>
          <a:r>
            <a:rPr kumimoji="1" lang="en-US" altLang="ja-JP" sz="900"/>
            <a:t>Microsoft Power BI</a:t>
          </a:r>
          <a:r>
            <a:rPr kumimoji="1" lang="ja-JP" altLang="en-US" sz="900"/>
            <a:t>」を用いたデータ処理技法「基礎ゼミ</a:t>
          </a:r>
          <a:r>
            <a:rPr kumimoji="1" lang="en-US" altLang="ja-JP" sz="900"/>
            <a:t>Ⅲ</a:t>
          </a:r>
          <a:r>
            <a:rPr kumimoji="1" lang="ja-JP" altLang="en-US" sz="900"/>
            <a:t>」（</a:t>
          </a:r>
          <a:r>
            <a:rPr kumimoji="1" lang="en-US" altLang="ja-JP" sz="900"/>
            <a:t>9-10</a:t>
          </a:r>
          <a:r>
            <a:rPr kumimoji="1" lang="ja-JP" altLang="en-US" sz="900"/>
            <a:t>回目、</a:t>
          </a:r>
          <a:r>
            <a:rPr kumimoji="1" lang="en-US" altLang="ja-JP" sz="900"/>
            <a:t>13-18</a:t>
          </a:r>
          <a:r>
            <a:rPr kumimoji="1" lang="ja-JP" altLang="en-US" sz="900"/>
            <a:t>回目）</a:t>
          </a:r>
          <a:endParaRPr kumimoji="1" lang="en-US" altLang="ja-JP" sz="900"/>
        </a:p>
        <a:p>
          <a:pPr marL="0" marR="0" lvl="0" indent="0" defTabSz="914400" eaLnBrk="1" fontAlgn="auto" latinLnBrk="0" hangingPunct="1">
            <a:lnSpc>
              <a:spcPct val="100000"/>
            </a:lnSpc>
            <a:spcBef>
              <a:spcPts val="0"/>
            </a:spcBef>
            <a:spcAft>
              <a:spcPts val="0"/>
            </a:spcAft>
            <a:buClrTx/>
            <a:buSzTx/>
            <a:buFontTx/>
            <a:buNone/>
            <a:tabLst/>
            <a:defRPr/>
          </a:pPr>
          <a:r>
            <a:rPr lang="ja-JP" altLang="ja-JP" sz="900" b="0" i="0">
              <a:solidFill>
                <a:schemeClr val="tx1"/>
              </a:solidFill>
              <a:effectLst/>
              <a:latin typeface="+mn-lt"/>
              <a:ea typeface="+mn-ea"/>
              <a:cs typeface="+mn-cs"/>
            </a:rPr>
            <a:t>仮想データからそのデータの特徴を読み取る「心理学統計法</a:t>
          </a:r>
          <a:r>
            <a:rPr lang="en-US" altLang="ja-JP" sz="900" b="0" i="0">
              <a:solidFill>
                <a:schemeClr val="tx1"/>
              </a:solidFill>
              <a:effectLst/>
              <a:latin typeface="+mn-lt"/>
              <a:ea typeface="+mn-ea"/>
              <a:cs typeface="+mn-cs"/>
            </a:rPr>
            <a:t>Ⅰ</a:t>
          </a:r>
          <a:r>
            <a:rPr lang="ja-JP" altLang="ja-JP" sz="900" b="0" i="0">
              <a:solidFill>
                <a:schemeClr val="tx1"/>
              </a:solidFill>
              <a:effectLst/>
              <a:latin typeface="+mn-lt"/>
              <a:ea typeface="+mn-ea"/>
              <a:cs typeface="+mn-cs"/>
            </a:rPr>
            <a:t>」（</a:t>
          </a:r>
          <a:r>
            <a:rPr lang="en-US" altLang="ja-JP" sz="900" b="0" i="0">
              <a:solidFill>
                <a:schemeClr val="tx1"/>
              </a:solidFill>
              <a:effectLst/>
              <a:latin typeface="+mn-lt"/>
              <a:ea typeface="+mn-ea"/>
              <a:cs typeface="+mn-cs"/>
            </a:rPr>
            <a:t>5-15</a:t>
          </a:r>
          <a:r>
            <a:rPr lang="ja-JP" altLang="ja-JP" sz="900" b="0" i="0">
              <a:solidFill>
                <a:schemeClr val="tx1"/>
              </a:solidFill>
              <a:effectLst/>
              <a:latin typeface="+mn-lt"/>
              <a:ea typeface="+mn-ea"/>
              <a:cs typeface="+mn-cs"/>
            </a:rPr>
            <a:t>回</a:t>
          </a:r>
          <a:r>
            <a:rPr lang="en-US" altLang="ja-JP" sz="900" b="0" i="0">
              <a:solidFill>
                <a:schemeClr val="tx1"/>
              </a:solidFill>
              <a:effectLst/>
              <a:latin typeface="+mn-lt"/>
              <a:ea typeface="+mn-ea"/>
              <a:cs typeface="+mn-cs"/>
            </a:rPr>
            <a:t>)</a:t>
          </a:r>
          <a:endParaRPr lang="ja-JP" altLang="ja-JP" sz="900">
            <a:effectLst/>
          </a:endParaRPr>
        </a:p>
        <a:p>
          <a:r>
            <a:rPr kumimoji="1" lang="ja-JP" altLang="en-US" sz="900"/>
            <a:t>公開されたビッグデータを用いデータの特徴を読み取る。「情報処理技法</a:t>
          </a:r>
          <a:r>
            <a:rPr kumimoji="1" lang="en-US" altLang="ja-JP" sz="900"/>
            <a:t>Ⅰ</a:t>
          </a:r>
          <a:r>
            <a:rPr kumimoji="1" lang="ja-JP" altLang="en-US" sz="900"/>
            <a:t>」</a:t>
          </a:r>
          <a:r>
            <a:rPr kumimoji="1" lang="en-US" altLang="ja-JP" sz="900"/>
            <a:t>(23-28</a:t>
          </a:r>
          <a:r>
            <a:rPr kumimoji="1" lang="ja-JP" altLang="en-US" sz="900"/>
            <a:t>回目</a:t>
          </a:r>
          <a:r>
            <a:rPr kumimoji="1" lang="en-US" altLang="ja-JP" sz="900"/>
            <a:t>)</a:t>
          </a:r>
          <a:endParaRPr kumimoji="1" lang="ja-JP" altLang="en-US" sz="9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210112</xdr:colOff>
      <xdr:row>39</xdr:row>
      <xdr:rowOff>177333</xdr:rowOff>
    </xdr:from>
    <xdr:ext cx="6343650" cy="292452"/>
    <xdr:sp macro="" textlink="">
      <xdr:nvSpPr>
        <xdr:cNvPr id="2" name="テキスト ボックス 1">
          <a:extLst>
            <a:ext uri="{FF2B5EF4-FFF2-40B4-BE49-F238E27FC236}">
              <a16:creationId xmlns:a16="http://schemas.microsoft.com/office/drawing/2014/main" id="{AF7CD9AA-04B7-A13D-2B4A-BFA941F894A8}"/>
            </a:ext>
          </a:extLst>
        </xdr:cNvPr>
        <xdr:cNvSpPr txBox="1"/>
      </xdr:nvSpPr>
      <xdr:spPr>
        <a:xfrm>
          <a:off x="420222" y="8903914"/>
          <a:ext cx="6343650"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kumimoji="1" lang="ja-JP" altLang="en-US" sz="1200">
            <a:latin typeface="ＭＳ Ｐゴシック" panose="020B0600070205080204" pitchFamily="50" charset="-128"/>
            <a:ea typeface="ＭＳ Ｐゴシック" panose="020B060007020508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4</xdr:col>
      <xdr:colOff>85725</xdr:colOff>
      <xdr:row>7</xdr:row>
      <xdr:rowOff>1733549</xdr:rowOff>
    </xdr:from>
    <xdr:ext cx="7467600" cy="280205"/>
    <xdr:sp macro="" textlink="">
      <xdr:nvSpPr>
        <xdr:cNvPr id="2" name="テキスト ボックス 1">
          <a:extLst>
            <a:ext uri="{FF2B5EF4-FFF2-40B4-BE49-F238E27FC236}">
              <a16:creationId xmlns:a16="http://schemas.microsoft.com/office/drawing/2014/main" id="{B2106EE4-5AC1-9076-CC82-ACD3447EC40A}"/>
            </a:ext>
          </a:extLst>
        </xdr:cNvPr>
        <xdr:cNvSpPr txBox="1"/>
      </xdr:nvSpPr>
      <xdr:spPr>
        <a:xfrm>
          <a:off x="2409825" y="5648324"/>
          <a:ext cx="74676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kumimoji="1" lang="ja-JP" altLang="en-US" sz="1200"/>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shimura@nur.ac.jp"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nur.ac.jp/dsc/progra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nur.ac.jp/dsc/assur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125" zoomScaleNormal="100" zoomScaleSheetLayoutView="125"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375" style="14" customWidth="1"/>
    <col min="15" max="15" width="9" style="27"/>
    <col min="16" max="16384" width="9" style="13"/>
  </cols>
  <sheetData>
    <row r="1" spans="1:15" ht="24" customHeight="1" x14ac:dyDescent="0.15">
      <c r="M1" s="132" t="s">
        <v>0</v>
      </c>
      <c r="N1" s="132"/>
    </row>
    <row r="2" spans="1:15" ht="24" customHeight="1" x14ac:dyDescent="0.15">
      <c r="A2" s="135" t="s">
        <v>1</v>
      </c>
      <c r="B2" s="135"/>
      <c r="C2" s="135"/>
      <c r="D2" s="135"/>
      <c r="E2" s="135"/>
      <c r="F2" s="135"/>
      <c r="G2" s="135"/>
      <c r="H2" s="135"/>
      <c r="I2" s="135"/>
      <c r="J2" s="135"/>
      <c r="K2" s="135"/>
      <c r="L2" s="135"/>
      <c r="M2" s="135"/>
      <c r="N2" s="135"/>
    </row>
    <row r="3" spans="1:15" ht="24" customHeight="1" x14ac:dyDescent="0.15"/>
    <row r="4" spans="1:15" ht="24" customHeight="1" x14ac:dyDescent="0.15">
      <c r="A4" s="14" t="s">
        <v>2</v>
      </c>
      <c r="B4" s="14" t="s">
        <v>3</v>
      </c>
      <c r="C4" s="122" t="s">
        <v>4</v>
      </c>
      <c r="D4" s="123"/>
      <c r="E4" s="123"/>
      <c r="F4" s="123"/>
      <c r="G4" s="123"/>
      <c r="H4" s="123"/>
      <c r="I4" s="123"/>
      <c r="J4" s="123"/>
      <c r="K4" s="123"/>
      <c r="L4" s="123"/>
      <c r="M4" s="123"/>
      <c r="N4" s="131"/>
      <c r="O4" s="27" t="str">
        <f>IF(C4="","入力してください","")</f>
        <v/>
      </c>
    </row>
    <row r="5" spans="1:15" ht="7.5" customHeight="1" x14ac:dyDescent="0.15">
      <c r="E5" s="15"/>
      <c r="F5" s="29"/>
      <c r="G5" s="29"/>
      <c r="H5" s="29"/>
      <c r="I5" s="29"/>
      <c r="J5" s="29"/>
      <c r="K5" s="29"/>
      <c r="L5" s="29"/>
      <c r="M5" s="29"/>
      <c r="N5" s="29"/>
    </row>
    <row r="6" spans="1:15" ht="24" customHeight="1" x14ac:dyDescent="0.15">
      <c r="A6" s="14" t="s">
        <v>5</v>
      </c>
      <c r="B6" s="14" t="s">
        <v>6</v>
      </c>
      <c r="D6" s="122" t="s">
        <v>7</v>
      </c>
      <c r="E6" s="123"/>
      <c r="F6" s="123"/>
      <c r="G6" s="123"/>
      <c r="H6" s="131"/>
      <c r="I6" s="14" t="s">
        <v>8</v>
      </c>
      <c r="J6" s="29" t="s">
        <v>9</v>
      </c>
      <c r="K6" s="122" t="s">
        <v>10</v>
      </c>
      <c r="L6" s="123"/>
      <c r="M6" s="123"/>
      <c r="N6" s="131"/>
      <c r="O6" s="27" t="str">
        <f>IF(D6="","入力してください","")</f>
        <v/>
      </c>
    </row>
    <row r="7" spans="1:15" ht="7.5" customHeight="1" x14ac:dyDescent="0.15">
      <c r="E7" s="15"/>
      <c r="F7" s="29"/>
      <c r="G7" s="29"/>
      <c r="H7" s="29"/>
      <c r="I7" s="29"/>
      <c r="J7" s="29"/>
      <c r="K7" s="29"/>
      <c r="L7" s="29"/>
      <c r="M7" s="29"/>
      <c r="N7" s="29"/>
    </row>
    <row r="8" spans="1:15" ht="24" customHeight="1" x14ac:dyDescent="0.15">
      <c r="A8" s="14" t="s">
        <v>11</v>
      </c>
      <c r="B8" s="14" t="s">
        <v>12</v>
      </c>
      <c r="C8" s="122" t="s">
        <v>13</v>
      </c>
      <c r="D8" s="123"/>
      <c r="E8" s="123"/>
      <c r="F8" s="123"/>
      <c r="G8" s="123"/>
      <c r="H8" s="123"/>
      <c r="I8" s="123"/>
      <c r="J8" s="123"/>
      <c r="K8" s="123"/>
      <c r="L8" s="123"/>
      <c r="M8" s="123"/>
      <c r="N8" s="131"/>
      <c r="O8" s="27" t="str">
        <f>IF(C8="","入力してください","")</f>
        <v/>
      </c>
    </row>
    <row r="9" spans="1:15" ht="7.5" customHeight="1" x14ac:dyDescent="0.15">
      <c r="E9" s="15"/>
      <c r="F9" s="29"/>
      <c r="G9" s="29"/>
      <c r="H9" s="29"/>
      <c r="I9" s="29"/>
      <c r="J9" s="29"/>
      <c r="K9" s="29"/>
      <c r="L9" s="29"/>
      <c r="M9" s="29"/>
      <c r="N9" s="29"/>
    </row>
    <row r="10" spans="1:15" ht="24" customHeight="1" x14ac:dyDescent="0.15">
      <c r="A10" s="14" t="s">
        <v>14</v>
      </c>
      <c r="B10" s="14" t="s">
        <v>15</v>
      </c>
      <c r="E10" s="122" t="s">
        <v>194</v>
      </c>
      <c r="F10" s="123"/>
      <c r="G10" s="123"/>
      <c r="H10" s="123"/>
      <c r="I10" s="123"/>
      <c r="J10" s="123"/>
      <c r="K10" s="123"/>
      <c r="L10" s="123"/>
      <c r="M10" s="123"/>
      <c r="N10" s="131"/>
      <c r="O10" s="27" t="str">
        <f>IF(E10="","入力してください","")</f>
        <v/>
      </c>
    </row>
    <row r="11" spans="1:15" ht="7.5" customHeight="1" x14ac:dyDescent="0.15">
      <c r="B11" s="15"/>
      <c r="C11" s="15"/>
      <c r="D11" s="15"/>
      <c r="E11" s="15"/>
      <c r="F11" s="29"/>
      <c r="G11" s="29"/>
      <c r="H11" s="29"/>
      <c r="I11" s="29"/>
      <c r="J11" s="29"/>
      <c r="K11" s="29"/>
      <c r="L11" s="29"/>
      <c r="M11" s="29"/>
      <c r="N11" s="29"/>
    </row>
    <row r="12" spans="1:15" ht="24" customHeight="1" x14ac:dyDescent="0.15">
      <c r="A12" s="14" t="s">
        <v>16</v>
      </c>
      <c r="B12" s="15" t="s">
        <v>17</v>
      </c>
      <c r="C12" s="15"/>
      <c r="D12" s="15"/>
      <c r="E12" s="136" t="s">
        <v>192</v>
      </c>
      <c r="F12" s="137"/>
      <c r="G12" s="14" t="s">
        <v>18</v>
      </c>
      <c r="H12" s="14" t="s">
        <v>19</v>
      </c>
      <c r="N12" s="102" t="s">
        <v>20</v>
      </c>
      <c r="O12" s="27" t="str">
        <f>IF(E12="","入力してください","")</f>
        <v/>
      </c>
    </row>
    <row r="13" spans="1:15" ht="7.5" customHeight="1" x14ac:dyDescent="0.15">
      <c r="B13" s="15"/>
      <c r="C13" s="15"/>
      <c r="D13" s="15"/>
      <c r="E13" s="15"/>
      <c r="F13" s="29"/>
      <c r="G13" s="29"/>
      <c r="H13" s="29"/>
      <c r="I13" s="29"/>
      <c r="J13" s="29"/>
      <c r="K13" s="29"/>
      <c r="L13" s="29"/>
      <c r="M13" s="29"/>
      <c r="N13" s="29"/>
    </row>
    <row r="14" spans="1:15" ht="24" customHeight="1" x14ac:dyDescent="0.15">
      <c r="A14" s="14" t="s">
        <v>21</v>
      </c>
      <c r="B14" s="14" t="s">
        <v>22</v>
      </c>
      <c r="C14" s="132" t="s">
        <v>23</v>
      </c>
      <c r="D14" s="133"/>
      <c r="E14" s="126">
        <v>30</v>
      </c>
      <c r="F14" s="127"/>
      <c r="G14" s="16" t="s">
        <v>24</v>
      </c>
      <c r="I14" s="132" t="s">
        <v>25</v>
      </c>
      <c r="J14" s="133"/>
      <c r="K14" s="126">
        <v>48</v>
      </c>
      <c r="L14" s="134"/>
      <c r="M14" s="127"/>
      <c r="N14" s="17" t="s">
        <v>24</v>
      </c>
      <c r="O14" s="27" t="str">
        <f>IF(OR(E14="",K14=""),"入力してください","")</f>
        <v/>
      </c>
    </row>
    <row r="15" spans="1:15" ht="7.5" customHeight="1" x14ac:dyDescent="0.15">
      <c r="M15" s="17"/>
      <c r="N15" s="17"/>
    </row>
    <row r="16" spans="1:15" ht="24" customHeight="1" x14ac:dyDescent="0.15">
      <c r="A16" s="14" t="s">
        <v>26</v>
      </c>
      <c r="B16" s="14" t="s">
        <v>27</v>
      </c>
      <c r="K16" s="114">
        <v>8</v>
      </c>
      <c r="L16" s="115"/>
      <c r="M16" s="116"/>
      <c r="N16" s="17" t="s">
        <v>24</v>
      </c>
      <c r="O16" s="27" t="str">
        <f>IF(K16="","入力してください","")</f>
        <v/>
      </c>
    </row>
    <row r="17" spans="1:15" ht="7.5" customHeight="1" x14ac:dyDescent="0.15">
      <c r="M17" s="17"/>
      <c r="N17" s="17"/>
    </row>
    <row r="18" spans="1:15" ht="24" customHeight="1" x14ac:dyDescent="0.15">
      <c r="A18" s="14" t="s">
        <v>28</v>
      </c>
      <c r="B18" s="14" t="s">
        <v>29</v>
      </c>
      <c r="E18" s="126">
        <v>75</v>
      </c>
      <c r="F18" s="127"/>
      <c r="G18" s="18" t="s">
        <v>30</v>
      </c>
      <c r="K18" s="130"/>
      <c r="L18" s="130"/>
      <c r="M18" s="130"/>
      <c r="N18" s="130"/>
      <c r="O18" s="27" t="str">
        <f>IF(E18="","入力してください","")</f>
        <v/>
      </c>
    </row>
    <row r="19" spans="1:15" ht="7.5" customHeight="1" x14ac:dyDescent="0.15">
      <c r="E19" s="10"/>
      <c r="L19" s="25"/>
      <c r="M19" s="25"/>
      <c r="N19" s="17"/>
    </row>
    <row r="20" spans="1:15" ht="24" customHeight="1" x14ac:dyDescent="0.15">
      <c r="A20" s="14" t="s">
        <v>31</v>
      </c>
      <c r="B20" s="14" t="s">
        <v>32</v>
      </c>
      <c r="E20" s="10"/>
      <c r="H20" s="14" t="s">
        <v>33</v>
      </c>
      <c r="J20" s="117">
        <v>251</v>
      </c>
      <c r="K20" s="118"/>
      <c r="L20" s="119"/>
      <c r="M20" s="25" t="s">
        <v>24</v>
      </c>
      <c r="N20" s="17"/>
      <c r="O20" s="27" t="str">
        <f>IF(J20="","入力してください","")</f>
        <v/>
      </c>
    </row>
    <row r="21" spans="1:15" ht="7.5" customHeight="1" x14ac:dyDescent="0.15">
      <c r="E21" s="10"/>
      <c r="L21" s="25"/>
      <c r="M21" s="25"/>
      <c r="N21" s="17"/>
    </row>
    <row r="22" spans="1:15" ht="24" customHeight="1" x14ac:dyDescent="0.15">
      <c r="B22" s="25" t="s">
        <v>34</v>
      </c>
      <c r="C22" s="128">
        <v>49</v>
      </c>
      <c r="D22" s="129"/>
      <c r="E22" s="10" t="s">
        <v>24</v>
      </c>
      <c r="G22" s="120" t="s">
        <v>35</v>
      </c>
      <c r="H22" s="120"/>
      <c r="I22" s="128">
        <v>72</v>
      </c>
      <c r="J22" s="129"/>
      <c r="K22" s="14" t="s">
        <v>24</v>
      </c>
      <c r="M22" s="25"/>
      <c r="N22" s="17"/>
    </row>
    <row r="23" spans="1:15" ht="7.5" customHeight="1" x14ac:dyDescent="0.15">
      <c r="B23" s="25"/>
      <c r="C23" s="11"/>
      <c r="D23" s="11"/>
      <c r="E23" s="10"/>
      <c r="G23" s="25"/>
      <c r="H23" s="25"/>
      <c r="I23" s="11"/>
      <c r="J23" s="11"/>
      <c r="M23" s="25"/>
      <c r="N23" s="17"/>
    </row>
    <row r="24" spans="1:15" ht="24" customHeight="1" x14ac:dyDescent="0.15">
      <c r="B24" s="25" t="s">
        <v>36</v>
      </c>
      <c r="C24" s="128">
        <v>68</v>
      </c>
      <c r="D24" s="129"/>
      <c r="E24" s="10" t="s">
        <v>24</v>
      </c>
      <c r="G24" s="120" t="s">
        <v>37</v>
      </c>
      <c r="H24" s="120"/>
      <c r="I24" s="128">
        <v>62</v>
      </c>
      <c r="J24" s="129"/>
      <c r="K24" s="14" t="s">
        <v>24</v>
      </c>
      <c r="M24" s="25"/>
      <c r="N24" s="17"/>
    </row>
    <row r="25" spans="1:15" ht="7.5" customHeight="1" x14ac:dyDescent="0.15">
      <c r="B25" s="25"/>
      <c r="C25" s="11"/>
      <c r="D25" s="11"/>
      <c r="E25" s="10"/>
      <c r="G25" s="25"/>
      <c r="H25" s="25"/>
      <c r="I25" s="11"/>
      <c r="J25" s="11"/>
      <c r="M25" s="25"/>
      <c r="N25" s="17"/>
    </row>
    <row r="26" spans="1:15" ht="24" customHeight="1" x14ac:dyDescent="0.15">
      <c r="B26" s="25" t="s">
        <v>38</v>
      </c>
      <c r="C26" s="126"/>
      <c r="D26" s="127"/>
      <c r="E26" s="10" t="s">
        <v>24</v>
      </c>
      <c r="G26" s="120" t="s">
        <v>39</v>
      </c>
      <c r="H26" s="120"/>
      <c r="I26" s="128"/>
      <c r="J26" s="129"/>
      <c r="K26" s="14" t="s">
        <v>24</v>
      </c>
      <c r="M26" s="25"/>
      <c r="N26" s="17"/>
    </row>
    <row r="27" spans="1:15" ht="7.5" customHeight="1" x14ac:dyDescent="0.15">
      <c r="M27" s="19"/>
      <c r="N27" s="19"/>
    </row>
    <row r="28" spans="1:15" ht="24" customHeight="1" x14ac:dyDescent="0.15">
      <c r="A28" s="14" t="s">
        <v>40</v>
      </c>
      <c r="B28" s="14" t="s">
        <v>41</v>
      </c>
      <c r="G28" s="29"/>
      <c r="H28" s="29"/>
      <c r="I28" s="29"/>
      <c r="J28" s="20"/>
      <c r="K28" s="20"/>
      <c r="L28" s="20"/>
      <c r="M28" s="20"/>
      <c r="N28" s="20"/>
    </row>
    <row r="29" spans="1:15" s="14" customFormat="1" ht="24" customHeight="1" x14ac:dyDescent="0.15">
      <c r="B29" s="121" t="s">
        <v>42</v>
      </c>
      <c r="C29" s="121"/>
      <c r="D29" s="122" t="s">
        <v>43</v>
      </c>
      <c r="E29" s="123"/>
      <c r="F29" s="123"/>
      <c r="G29" s="124" t="s">
        <v>44</v>
      </c>
      <c r="H29" s="121"/>
      <c r="I29" s="125"/>
      <c r="J29" s="122" t="s">
        <v>45</v>
      </c>
      <c r="K29" s="123"/>
      <c r="L29" s="123"/>
      <c r="M29" s="123"/>
      <c r="N29" s="131"/>
      <c r="O29" s="27" t="str">
        <f>IF(OR(D29="",J29=""),"入力してください","")</f>
        <v/>
      </c>
    </row>
    <row r="30" spans="1:15" ht="7.5" customHeight="1" x14ac:dyDescent="0.15">
      <c r="M30" s="19"/>
      <c r="N30" s="19"/>
    </row>
    <row r="31" spans="1:15" ht="24" customHeight="1" x14ac:dyDescent="0.15">
      <c r="A31" s="14" t="s">
        <v>46</v>
      </c>
      <c r="B31" s="14" t="s">
        <v>47</v>
      </c>
      <c r="G31" s="20"/>
      <c r="H31" s="20"/>
      <c r="I31" s="20"/>
      <c r="J31" s="20"/>
      <c r="K31" s="20"/>
      <c r="L31" s="20"/>
      <c r="M31" s="20"/>
      <c r="N31" s="20"/>
    </row>
    <row r="32" spans="1:15" ht="24" customHeight="1" x14ac:dyDescent="0.15">
      <c r="B32" s="122" t="s">
        <v>48</v>
      </c>
      <c r="C32" s="123"/>
      <c r="D32" s="123"/>
      <c r="E32" s="123"/>
      <c r="F32" s="123"/>
      <c r="G32" s="123"/>
      <c r="H32" s="123"/>
      <c r="I32" s="123"/>
      <c r="J32" s="123"/>
      <c r="K32" s="123"/>
      <c r="L32" s="123"/>
      <c r="M32" s="123"/>
      <c r="N32" s="131"/>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1" t="s">
        <v>42</v>
      </c>
      <c r="C34" s="121"/>
      <c r="D34" s="122" t="s">
        <v>43</v>
      </c>
      <c r="E34" s="123"/>
      <c r="F34" s="123"/>
      <c r="G34" s="124" t="s">
        <v>44</v>
      </c>
      <c r="H34" s="121"/>
      <c r="I34" s="125"/>
      <c r="J34" s="122" t="s">
        <v>45</v>
      </c>
      <c r="K34" s="123"/>
      <c r="L34" s="123"/>
      <c r="M34" s="123"/>
      <c r="N34" s="131"/>
      <c r="O34" s="27" t="str">
        <f>IF(OR(D34="",J34=""),"入力してください","")</f>
        <v/>
      </c>
    </row>
    <row r="35" spans="1:15" ht="7.5" customHeight="1" x14ac:dyDescent="0.15">
      <c r="F35" s="29"/>
      <c r="G35" s="29"/>
      <c r="H35" s="29"/>
      <c r="I35" s="29"/>
      <c r="J35" s="29"/>
      <c r="K35" s="29"/>
      <c r="L35" s="29"/>
      <c r="M35" s="29"/>
      <c r="N35" s="29"/>
    </row>
    <row r="36" spans="1:15" ht="24" customHeight="1" x14ac:dyDescent="0.15">
      <c r="A36" s="14" t="s">
        <v>49</v>
      </c>
      <c r="B36" s="14" t="s">
        <v>50</v>
      </c>
      <c r="M36" s="19"/>
      <c r="N36" s="19"/>
    </row>
    <row r="37" spans="1:15" ht="24" customHeight="1" x14ac:dyDescent="0.15">
      <c r="B37" s="122" t="s">
        <v>48</v>
      </c>
      <c r="C37" s="123"/>
      <c r="D37" s="123"/>
      <c r="E37" s="123"/>
      <c r="F37" s="123"/>
      <c r="G37" s="123"/>
      <c r="H37" s="123"/>
      <c r="I37" s="123"/>
      <c r="J37" s="123"/>
      <c r="K37" s="123"/>
      <c r="L37" s="123"/>
      <c r="M37" s="123"/>
      <c r="N37" s="131"/>
      <c r="O37" s="27" t="str">
        <f>IF(B37="","入力してください","")</f>
        <v/>
      </c>
    </row>
    <row r="38" spans="1:15" ht="7.5" customHeight="1" x14ac:dyDescent="0.15">
      <c r="F38" s="29"/>
      <c r="G38" s="29"/>
      <c r="H38" s="29"/>
      <c r="I38" s="29"/>
      <c r="J38" s="29"/>
      <c r="K38" s="29"/>
      <c r="L38" s="29"/>
      <c r="M38" s="29"/>
      <c r="N38" s="29"/>
    </row>
    <row r="39" spans="1:15" s="14" customFormat="1" ht="24" customHeight="1" x14ac:dyDescent="0.15">
      <c r="B39" s="121" t="s">
        <v>42</v>
      </c>
      <c r="C39" s="121"/>
      <c r="D39" s="122" t="s">
        <v>43</v>
      </c>
      <c r="E39" s="123"/>
      <c r="F39" s="123"/>
      <c r="G39" s="124" t="s">
        <v>44</v>
      </c>
      <c r="H39" s="121"/>
      <c r="I39" s="125"/>
      <c r="J39" s="122" t="s">
        <v>45</v>
      </c>
      <c r="K39" s="123"/>
      <c r="L39" s="123"/>
      <c r="M39" s="123"/>
      <c r="N39" s="131"/>
      <c r="O39" s="27" t="str">
        <f>IF(OR(D39="",J39=""),"入力してください","")</f>
        <v/>
      </c>
    </row>
    <row r="40" spans="1:15" ht="7.5" customHeight="1" x14ac:dyDescent="0.15">
      <c r="F40" s="29"/>
      <c r="G40" s="29"/>
      <c r="H40" s="29"/>
      <c r="I40" s="29"/>
      <c r="J40" s="29"/>
      <c r="K40" s="29"/>
      <c r="L40" s="29"/>
      <c r="M40" s="29"/>
      <c r="N40" s="29"/>
    </row>
    <row r="41" spans="1:15" ht="24" customHeight="1" x14ac:dyDescent="0.15">
      <c r="A41" s="14" t="s">
        <v>51</v>
      </c>
      <c r="B41" s="14" t="s">
        <v>52</v>
      </c>
      <c r="E41" s="64"/>
      <c r="F41" s="122" t="s">
        <v>53</v>
      </c>
      <c r="G41" s="123"/>
      <c r="H41" s="123"/>
      <c r="I41" s="123"/>
      <c r="J41" s="123"/>
      <c r="K41" s="123"/>
      <c r="L41" s="123"/>
      <c r="M41" s="123"/>
      <c r="N41" s="131"/>
      <c r="O41" s="27" t="str">
        <f>IF(F41="","入力してください","")</f>
        <v/>
      </c>
    </row>
    <row r="42" spans="1:15" ht="7.5" customHeight="1" x14ac:dyDescent="0.15">
      <c r="F42" s="29"/>
      <c r="G42" s="29"/>
      <c r="H42" s="29"/>
      <c r="I42" s="29"/>
      <c r="J42" s="29"/>
      <c r="K42" s="29"/>
      <c r="L42" s="29"/>
      <c r="M42" s="29"/>
      <c r="N42" s="29"/>
    </row>
    <row r="43" spans="1:15" ht="24" customHeight="1" x14ac:dyDescent="0.15">
      <c r="A43" s="14" t="s">
        <v>54</v>
      </c>
    </row>
    <row r="44" spans="1:15" ht="24" customHeight="1" x14ac:dyDescent="0.15">
      <c r="B44" s="26" t="s">
        <v>55</v>
      </c>
      <c r="C44" s="144" t="s">
        <v>56</v>
      </c>
      <c r="D44" s="145"/>
      <c r="E44" s="145"/>
      <c r="F44" s="145"/>
      <c r="G44" s="145"/>
      <c r="H44" s="145"/>
      <c r="I44" s="22" t="s">
        <v>57</v>
      </c>
      <c r="J44" s="23"/>
      <c r="K44" s="122" t="s">
        <v>58</v>
      </c>
      <c r="L44" s="123"/>
      <c r="M44" s="123"/>
      <c r="N44" s="131"/>
      <c r="O44" s="27" t="str">
        <f>IF(OR(C44="",K44=""),"入力してください","")</f>
        <v/>
      </c>
    </row>
    <row r="45" spans="1:15" ht="24" customHeight="1" x14ac:dyDescent="0.15">
      <c r="B45" s="21" t="s">
        <v>59</v>
      </c>
      <c r="C45" s="138" t="s">
        <v>60</v>
      </c>
      <c r="D45" s="139"/>
      <c r="E45" s="139"/>
      <c r="F45" s="139"/>
      <c r="G45" s="139"/>
      <c r="H45" s="140"/>
      <c r="I45" s="22" t="s">
        <v>61</v>
      </c>
      <c r="J45" s="23"/>
      <c r="K45" s="141" t="s">
        <v>62</v>
      </c>
      <c r="L45" s="142"/>
      <c r="M45" s="142"/>
      <c r="N45" s="143"/>
      <c r="O45" s="27"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49BC99A0-8A50-4E7F-86BC-1C9DFE0F24F5}"/>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zoomScaleNormal="100" zoomScaleSheetLayoutView="100" workbookViewId="0">
      <selection activeCell="L20" sqref="L20"/>
    </sheetView>
  </sheetViews>
  <sheetFormatPr defaultColWidth="9" defaultRowHeight="18.75" customHeight="1" x14ac:dyDescent="0.15"/>
  <cols>
    <col min="1" max="1" width="2.375" style="13" customWidth="1"/>
    <col min="2" max="2" width="27.75" style="13" customWidth="1"/>
    <col min="3" max="13" width="3.375" style="13" customWidth="1"/>
    <col min="14" max="14" width="8.875" style="13" customWidth="1"/>
    <col min="15" max="15" width="18.875" style="13" customWidth="1"/>
    <col min="16" max="26" width="3.375" style="13" customWidth="1"/>
    <col min="27" max="16384" width="9" style="13"/>
  </cols>
  <sheetData>
    <row r="1" spans="1:26" ht="15" customHeight="1" x14ac:dyDescent="0.15">
      <c r="W1" s="167" t="s">
        <v>63</v>
      </c>
      <c r="X1" s="167"/>
      <c r="Y1" s="167"/>
      <c r="Z1" s="167"/>
    </row>
    <row r="2" spans="1:26" ht="18" customHeight="1" x14ac:dyDescent="0.15">
      <c r="A2" s="199" t="s">
        <v>64</v>
      </c>
      <c r="B2" s="199"/>
      <c r="C2" s="199"/>
      <c r="D2" s="199"/>
      <c r="E2" s="199"/>
      <c r="F2" s="199"/>
      <c r="G2" s="199"/>
      <c r="H2" s="199"/>
      <c r="I2" s="199"/>
      <c r="J2" s="199"/>
      <c r="K2" s="199"/>
      <c r="L2" s="199"/>
      <c r="M2" s="199"/>
      <c r="N2" s="199"/>
      <c r="O2" s="199"/>
      <c r="P2" s="199"/>
      <c r="Q2" s="199"/>
      <c r="R2" s="199"/>
      <c r="S2" s="199"/>
      <c r="T2" s="199"/>
      <c r="U2" s="199"/>
      <c r="V2" s="199"/>
      <c r="W2" s="199"/>
      <c r="X2" s="199"/>
      <c r="Y2" s="199"/>
      <c r="Z2" s="199"/>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65</v>
      </c>
      <c r="B4" s="25"/>
      <c r="C4" s="25"/>
      <c r="D4" s="25"/>
      <c r="E4" s="25"/>
      <c r="F4" s="25"/>
      <c r="G4" s="25"/>
      <c r="H4" s="14" t="s">
        <v>66</v>
      </c>
      <c r="I4" s="25"/>
      <c r="J4" s="25"/>
      <c r="K4" s="25"/>
      <c r="L4" s="25"/>
      <c r="M4" s="25"/>
      <c r="N4" s="25"/>
      <c r="O4" s="114" t="s">
        <v>67</v>
      </c>
      <c r="P4" s="115"/>
      <c r="Q4" s="115"/>
      <c r="R4" s="115"/>
      <c r="S4" s="115"/>
      <c r="T4" s="115"/>
      <c r="U4" s="115"/>
      <c r="V4" s="115"/>
      <c r="W4" s="115"/>
      <c r="X4" s="115"/>
      <c r="Y4" s="115"/>
      <c r="Z4" s="116"/>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00"/>
      <c r="C6" s="201"/>
      <c r="D6" s="201"/>
      <c r="E6" s="201"/>
      <c r="F6" s="201"/>
      <c r="G6" s="201"/>
      <c r="H6" s="201"/>
      <c r="I6" s="201"/>
      <c r="J6" s="201"/>
      <c r="K6" s="201"/>
      <c r="L6" s="201"/>
      <c r="M6" s="201"/>
      <c r="N6" s="201"/>
      <c r="O6" s="201"/>
      <c r="P6" s="201"/>
      <c r="Q6" s="201"/>
      <c r="R6" s="201"/>
      <c r="S6" s="201"/>
      <c r="T6" s="201"/>
      <c r="U6" s="201"/>
      <c r="V6" s="201"/>
      <c r="W6" s="201"/>
      <c r="X6" s="201"/>
      <c r="Y6" s="201"/>
      <c r="Z6" s="202"/>
    </row>
    <row r="7" spans="1:26" ht="18" customHeight="1" x14ac:dyDescent="0.15">
      <c r="B7" s="203"/>
      <c r="C7" s="204"/>
      <c r="D7" s="204"/>
      <c r="E7" s="204"/>
      <c r="F7" s="204"/>
      <c r="G7" s="204"/>
      <c r="H7" s="204"/>
      <c r="I7" s="204"/>
      <c r="J7" s="204"/>
      <c r="K7" s="204"/>
      <c r="L7" s="204"/>
      <c r="M7" s="204"/>
      <c r="N7" s="204"/>
      <c r="O7" s="204"/>
      <c r="P7" s="204"/>
      <c r="Q7" s="204"/>
      <c r="R7" s="204"/>
      <c r="S7" s="204"/>
      <c r="T7" s="204"/>
      <c r="U7" s="204"/>
      <c r="V7" s="204"/>
      <c r="W7" s="204"/>
      <c r="X7" s="204"/>
      <c r="Y7" s="204"/>
      <c r="Z7" s="205"/>
    </row>
    <row r="8" spans="1:26" ht="18" customHeight="1" x14ac:dyDescent="0.15">
      <c r="B8" s="203"/>
      <c r="C8" s="204"/>
      <c r="D8" s="204"/>
      <c r="E8" s="204"/>
      <c r="F8" s="204"/>
      <c r="G8" s="204"/>
      <c r="H8" s="204"/>
      <c r="I8" s="204"/>
      <c r="J8" s="204"/>
      <c r="K8" s="204"/>
      <c r="L8" s="204"/>
      <c r="M8" s="204"/>
      <c r="N8" s="204"/>
      <c r="O8" s="204"/>
      <c r="P8" s="204"/>
      <c r="Q8" s="204"/>
      <c r="R8" s="204"/>
      <c r="S8" s="204"/>
      <c r="T8" s="204"/>
      <c r="U8" s="204"/>
      <c r="V8" s="204"/>
      <c r="W8" s="204"/>
      <c r="X8" s="204"/>
      <c r="Y8" s="204"/>
      <c r="Z8" s="205"/>
    </row>
    <row r="9" spans="1:26" ht="18" customHeight="1" x14ac:dyDescent="0.15">
      <c r="B9" s="203"/>
      <c r="C9" s="204"/>
      <c r="D9" s="204"/>
      <c r="E9" s="204"/>
      <c r="F9" s="204"/>
      <c r="G9" s="204"/>
      <c r="H9" s="204"/>
      <c r="I9" s="204"/>
      <c r="J9" s="204"/>
      <c r="K9" s="204"/>
      <c r="L9" s="204"/>
      <c r="M9" s="204"/>
      <c r="N9" s="204"/>
      <c r="O9" s="204"/>
      <c r="P9" s="204"/>
      <c r="Q9" s="204"/>
      <c r="R9" s="204"/>
      <c r="S9" s="204"/>
      <c r="T9" s="204"/>
      <c r="U9" s="204"/>
      <c r="V9" s="204"/>
      <c r="W9" s="204"/>
      <c r="X9" s="204"/>
      <c r="Y9" s="204"/>
      <c r="Z9" s="205"/>
    </row>
    <row r="10" spans="1:26" ht="18" customHeight="1" x14ac:dyDescent="0.15">
      <c r="B10" s="203"/>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5"/>
    </row>
    <row r="11" spans="1:26" ht="18" customHeight="1" x14ac:dyDescent="0.15">
      <c r="B11" s="206"/>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8"/>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8" t="s">
        <v>68</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14" t="s">
        <v>69</v>
      </c>
      <c r="C15" s="115"/>
      <c r="D15" s="115"/>
      <c r="E15" s="115"/>
      <c r="F15" s="116"/>
      <c r="G15" s="26" t="s">
        <v>70</v>
      </c>
      <c r="H15" s="98" t="s">
        <v>71</v>
      </c>
      <c r="I15" s="115" t="s">
        <v>72</v>
      </c>
      <c r="J15" s="115"/>
      <c r="K15" s="115"/>
      <c r="L15" s="65" t="s">
        <v>73</v>
      </c>
      <c r="M15" s="65" t="s">
        <v>74</v>
      </c>
      <c r="N15" s="114" t="s">
        <v>69</v>
      </c>
      <c r="O15" s="115"/>
      <c r="P15" s="115"/>
      <c r="Q15" s="115"/>
      <c r="R15" s="115"/>
      <c r="S15" s="116"/>
      <c r="T15" s="26" t="s">
        <v>70</v>
      </c>
      <c r="U15" s="98" t="s">
        <v>71</v>
      </c>
      <c r="V15" s="115" t="s">
        <v>72</v>
      </c>
      <c r="W15" s="115"/>
      <c r="X15" s="115"/>
      <c r="Y15" s="65" t="s">
        <v>73</v>
      </c>
      <c r="Z15" s="65" t="s">
        <v>74</v>
      </c>
    </row>
    <row r="16" spans="1:26" ht="18" customHeight="1" x14ac:dyDescent="0.15">
      <c r="A16" s="14"/>
      <c r="B16" s="168" t="s">
        <v>75</v>
      </c>
      <c r="C16" s="169"/>
      <c r="D16" s="169"/>
      <c r="E16" s="169"/>
      <c r="F16" s="170"/>
      <c r="G16" s="99">
        <v>1</v>
      </c>
      <c r="H16" s="99" t="s">
        <v>76</v>
      </c>
      <c r="I16" s="174" t="s">
        <v>77</v>
      </c>
      <c r="J16" s="175"/>
      <c r="K16" s="176"/>
      <c r="L16" s="99" t="s">
        <v>76</v>
      </c>
      <c r="M16" s="99" t="s">
        <v>76</v>
      </c>
      <c r="N16" s="146"/>
      <c r="O16" s="147"/>
      <c r="P16" s="147"/>
      <c r="Q16" s="147"/>
      <c r="R16" s="147"/>
      <c r="S16" s="148"/>
      <c r="T16" s="99"/>
      <c r="U16" s="99"/>
      <c r="V16" s="174"/>
      <c r="W16" s="175"/>
      <c r="X16" s="176"/>
      <c r="Y16" s="99"/>
      <c r="Z16" s="99"/>
    </row>
    <row r="17" spans="1:26" ht="18" customHeight="1" x14ac:dyDescent="0.15">
      <c r="A17" s="14"/>
      <c r="B17" s="161"/>
      <c r="C17" s="162"/>
      <c r="D17" s="162"/>
      <c r="E17" s="162"/>
      <c r="F17" s="163"/>
      <c r="G17" s="100"/>
      <c r="H17" s="100"/>
      <c r="I17" s="155"/>
      <c r="J17" s="156"/>
      <c r="K17" s="157"/>
      <c r="L17" s="100"/>
      <c r="M17" s="100"/>
      <c r="N17" s="149"/>
      <c r="O17" s="150"/>
      <c r="P17" s="150"/>
      <c r="Q17" s="150"/>
      <c r="R17" s="150"/>
      <c r="S17" s="151"/>
      <c r="T17" s="100"/>
      <c r="U17" s="100"/>
      <c r="V17" s="155"/>
      <c r="W17" s="156"/>
      <c r="X17" s="157"/>
      <c r="Y17" s="100"/>
      <c r="Z17" s="100"/>
    </row>
    <row r="18" spans="1:26" ht="18" customHeight="1" x14ac:dyDescent="0.15">
      <c r="A18" s="14"/>
      <c r="B18" s="161"/>
      <c r="C18" s="162"/>
      <c r="D18" s="162"/>
      <c r="E18" s="162"/>
      <c r="F18" s="163"/>
      <c r="G18" s="100"/>
      <c r="H18" s="100"/>
      <c r="I18" s="155"/>
      <c r="J18" s="156"/>
      <c r="K18" s="157"/>
      <c r="L18" s="100"/>
      <c r="M18" s="100"/>
      <c r="N18" s="149"/>
      <c r="O18" s="150"/>
      <c r="P18" s="150"/>
      <c r="Q18" s="150"/>
      <c r="R18" s="150"/>
      <c r="S18" s="151"/>
      <c r="T18" s="100"/>
      <c r="U18" s="100"/>
      <c r="V18" s="155"/>
      <c r="W18" s="156"/>
      <c r="X18" s="157"/>
      <c r="Y18" s="100"/>
      <c r="Z18" s="100"/>
    </row>
    <row r="19" spans="1:26" ht="18" customHeight="1" x14ac:dyDescent="0.15">
      <c r="A19" s="14"/>
      <c r="B19" s="161"/>
      <c r="C19" s="162"/>
      <c r="D19" s="162"/>
      <c r="E19" s="162"/>
      <c r="F19" s="163"/>
      <c r="G19" s="100"/>
      <c r="H19" s="100"/>
      <c r="I19" s="155"/>
      <c r="J19" s="156"/>
      <c r="K19" s="157"/>
      <c r="L19" s="100"/>
      <c r="M19" s="100"/>
      <c r="N19" s="149"/>
      <c r="O19" s="150"/>
      <c r="P19" s="150"/>
      <c r="Q19" s="150"/>
      <c r="R19" s="150"/>
      <c r="S19" s="151"/>
      <c r="T19" s="100"/>
      <c r="U19" s="100"/>
      <c r="V19" s="155"/>
      <c r="W19" s="156"/>
      <c r="X19" s="157"/>
      <c r="Y19" s="100"/>
      <c r="Z19" s="100"/>
    </row>
    <row r="20" spans="1:26" ht="18" customHeight="1" x14ac:dyDescent="0.15">
      <c r="A20" s="14"/>
      <c r="B20" s="161"/>
      <c r="C20" s="162"/>
      <c r="D20" s="162"/>
      <c r="E20" s="162"/>
      <c r="F20" s="163"/>
      <c r="G20" s="100"/>
      <c r="H20" s="100"/>
      <c r="I20" s="155"/>
      <c r="J20" s="156"/>
      <c r="K20" s="157"/>
      <c r="L20" s="100"/>
      <c r="M20" s="100"/>
      <c r="N20" s="149"/>
      <c r="O20" s="150"/>
      <c r="P20" s="150"/>
      <c r="Q20" s="150"/>
      <c r="R20" s="150"/>
      <c r="S20" s="151"/>
      <c r="T20" s="100"/>
      <c r="U20" s="100"/>
      <c r="V20" s="155"/>
      <c r="W20" s="156"/>
      <c r="X20" s="157"/>
      <c r="Y20" s="100"/>
      <c r="Z20" s="100"/>
    </row>
    <row r="21" spans="1:26" ht="18" customHeight="1" x14ac:dyDescent="0.15">
      <c r="A21" s="25"/>
      <c r="B21" s="161"/>
      <c r="C21" s="162"/>
      <c r="D21" s="162"/>
      <c r="E21" s="162"/>
      <c r="F21" s="163"/>
      <c r="G21" s="100"/>
      <c r="H21" s="100"/>
      <c r="I21" s="155"/>
      <c r="J21" s="156"/>
      <c r="K21" s="157"/>
      <c r="L21" s="100"/>
      <c r="M21" s="100"/>
      <c r="N21" s="149"/>
      <c r="O21" s="150"/>
      <c r="P21" s="150"/>
      <c r="Q21" s="150"/>
      <c r="R21" s="150"/>
      <c r="S21" s="151"/>
      <c r="T21" s="100"/>
      <c r="U21" s="100"/>
      <c r="V21" s="155"/>
      <c r="W21" s="156"/>
      <c r="X21" s="157"/>
      <c r="Y21" s="100"/>
      <c r="Z21" s="100"/>
    </row>
    <row r="22" spans="1:26" ht="18" customHeight="1" x14ac:dyDescent="0.15">
      <c r="A22" s="25"/>
      <c r="B22" s="164"/>
      <c r="C22" s="165"/>
      <c r="D22" s="165"/>
      <c r="E22" s="165"/>
      <c r="F22" s="166"/>
      <c r="G22" s="101"/>
      <c r="H22" s="101"/>
      <c r="I22" s="158"/>
      <c r="J22" s="159"/>
      <c r="K22" s="160"/>
      <c r="L22" s="106"/>
      <c r="M22" s="106"/>
      <c r="N22" s="152"/>
      <c r="O22" s="153"/>
      <c r="P22" s="153"/>
      <c r="Q22" s="153"/>
      <c r="R22" s="153"/>
      <c r="S22" s="154"/>
      <c r="T22" s="101"/>
      <c r="U22" s="101"/>
      <c r="V22" s="158"/>
      <c r="W22" s="159"/>
      <c r="X22" s="160"/>
      <c r="Y22" s="106"/>
      <c r="Z22" s="106"/>
    </row>
    <row r="23" spans="1:26" ht="7.5" customHeight="1" x14ac:dyDescent="0.15">
      <c r="A23" s="25"/>
      <c r="B23" s="29"/>
      <c r="C23" s="29"/>
      <c r="D23" s="25"/>
      <c r="E23" s="25"/>
      <c r="F23" s="25"/>
      <c r="G23" s="25"/>
      <c r="H23" s="25"/>
      <c r="I23" s="25"/>
      <c r="J23" s="25"/>
      <c r="K23" s="25"/>
      <c r="L23" s="29"/>
      <c r="M23" s="29"/>
      <c r="N23" s="29"/>
      <c r="O23" s="29"/>
      <c r="P23" s="29"/>
      <c r="Q23" s="29"/>
      <c r="R23" s="29"/>
      <c r="S23" s="29"/>
      <c r="T23" s="29"/>
      <c r="U23" s="29"/>
      <c r="V23" s="29"/>
      <c r="W23" s="29"/>
      <c r="X23" s="29"/>
      <c r="Y23" s="29"/>
      <c r="Z23" s="25"/>
    </row>
    <row r="24" spans="1:26" ht="18" customHeight="1" x14ac:dyDescent="0.15">
      <c r="A24" s="198" t="s">
        <v>78</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14" t="s">
        <v>69</v>
      </c>
      <c r="C26" s="115"/>
      <c r="D26" s="115"/>
      <c r="E26" s="115"/>
      <c r="F26" s="116"/>
      <c r="G26" s="26" t="s">
        <v>70</v>
      </c>
      <c r="H26" s="98" t="s">
        <v>71</v>
      </c>
      <c r="I26" s="115" t="s">
        <v>72</v>
      </c>
      <c r="J26" s="115"/>
      <c r="K26" s="115"/>
      <c r="L26" s="65" t="s">
        <v>79</v>
      </c>
      <c r="M26" s="65" t="s">
        <v>80</v>
      </c>
      <c r="N26" s="114" t="s">
        <v>69</v>
      </c>
      <c r="O26" s="115"/>
      <c r="P26" s="115"/>
      <c r="Q26" s="115"/>
      <c r="R26" s="115"/>
      <c r="S26" s="116"/>
      <c r="T26" s="26" t="s">
        <v>70</v>
      </c>
      <c r="U26" s="98" t="s">
        <v>71</v>
      </c>
      <c r="V26" s="115" t="s">
        <v>72</v>
      </c>
      <c r="W26" s="115"/>
      <c r="X26" s="115"/>
      <c r="Y26" s="65" t="s">
        <v>79</v>
      </c>
      <c r="Z26" s="65" t="s">
        <v>80</v>
      </c>
    </row>
    <row r="27" spans="1:26" ht="18" customHeight="1" x14ac:dyDescent="0.15">
      <c r="A27" s="14"/>
      <c r="B27" s="168" t="s">
        <v>81</v>
      </c>
      <c r="C27" s="169"/>
      <c r="D27" s="169"/>
      <c r="E27" s="169"/>
      <c r="F27" s="170"/>
      <c r="G27" s="99">
        <v>1</v>
      </c>
      <c r="H27" s="99" t="s">
        <v>76</v>
      </c>
      <c r="I27" s="174" t="s">
        <v>77</v>
      </c>
      <c r="J27" s="175"/>
      <c r="K27" s="176"/>
      <c r="L27" s="99" t="s">
        <v>76</v>
      </c>
      <c r="M27" s="99" t="s">
        <v>76</v>
      </c>
      <c r="N27" s="146"/>
      <c r="O27" s="147"/>
      <c r="P27" s="147"/>
      <c r="Q27" s="147"/>
      <c r="R27" s="147"/>
      <c r="S27" s="148"/>
      <c r="T27" s="99"/>
      <c r="U27" s="99"/>
      <c r="V27" s="174"/>
      <c r="W27" s="175"/>
      <c r="X27" s="176"/>
      <c r="Y27" s="99"/>
      <c r="Z27" s="99"/>
    </row>
    <row r="28" spans="1:26" ht="18" customHeight="1" x14ac:dyDescent="0.15">
      <c r="A28" s="14"/>
      <c r="B28" s="161"/>
      <c r="C28" s="162"/>
      <c r="D28" s="162"/>
      <c r="E28" s="162"/>
      <c r="F28" s="163"/>
      <c r="G28" s="100"/>
      <c r="H28" s="100"/>
      <c r="I28" s="155"/>
      <c r="J28" s="156"/>
      <c r="K28" s="157"/>
      <c r="L28" s="100"/>
      <c r="M28" s="100"/>
      <c r="N28" s="149"/>
      <c r="O28" s="150"/>
      <c r="P28" s="150"/>
      <c r="Q28" s="150"/>
      <c r="R28" s="150"/>
      <c r="S28" s="151"/>
      <c r="T28" s="100"/>
      <c r="U28" s="100"/>
      <c r="V28" s="155"/>
      <c r="W28" s="156"/>
      <c r="X28" s="157"/>
      <c r="Y28" s="100"/>
      <c r="Z28" s="100"/>
    </row>
    <row r="29" spans="1:26" ht="18" customHeight="1" x14ac:dyDescent="0.15">
      <c r="A29" s="14"/>
      <c r="B29" s="161"/>
      <c r="C29" s="162"/>
      <c r="D29" s="162"/>
      <c r="E29" s="162"/>
      <c r="F29" s="163"/>
      <c r="G29" s="100"/>
      <c r="H29" s="100"/>
      <c r="I29" s="155"/>
      <c r="J29" s="156"/>
      <c r="K29" s="157"/>
      <c r="L29" s="100"/>
      <c r="M29" s="100"/>
      <c r="N29" s="149"/>
      <c r="O29" s="150"/>
      <c r="P29" s="150"/>
      <c r="Q29" s="150"/>
      <c r="R29" s="150"/>
      <c r="S29" s="151"/>
      <c r="T29" s="100"/>
      <c r="U29" s="100"/>
      <c r="V29" s="155"/>
      <c r="W29" s="156"/>
      <c r="X29" s="157"/>
      <c r="Y29" s="100"/>
      <c r="Z29" s="100"/>
    </row>
    <row r="30" spans="1:26" ht="18" customHeight="1" x14ac:dyDescent="0.15">
      <c r="A30" s="14"/>
      <c r="B30" s="161"/>
      <c r="C30" s="162"/>
      <c r="D30" s="162"/>
      <c r="E30" s="162"/>
      <c r="F30" s="163"/>
      <c r="G30" s="100"/>
      <c r="H30" s="100"/>
      <c r="I30" s="155"/>
      <c r="J30" s="156"/>
      <c r="K30" s="157"/>
      <c r="L30" s="100"/>
      <c r="M30" s="100"/>
      <c r="N30" s="149"/>
      <c r="O30" s="150"/>
      <c r="P30" s="150"/>
      <c r="Q30" s="150"/>
      <c r="R30" s="150"/>
      <c r="S30" s="151"/>
      <c r="T30" s="100"/>
      <c r="U30" s="100"/>
      <c r="V30" s="155"/>
      <c r="W30" s="156"/>
      <c r="X30" s="157"/>
      <c r="Y30" s="100"/>
      <c r="Z30" s="100"/>
    </row>
    <row r="31" spans="1:26" ht="18" customHeight="1" x14ac:dyDescent="0.15">
      <c r="A31" s="14"/>
      <c r="B31" s="161"/>
      <c r="C31" s="162"/>
      <c r="D31" s="162"/>
      <c r="E31" s="162"/>
      <c r="F31" s="163"/>
      <c r="G31" s="100"/>
      <c r="H31" s="100"/>
      <c r="I31" s="155"/>
      <c r="J31" s="156"/>
      <c r="K31" s="157"/>
      <c r="L31" s="100"/>
      <c r="M31" s="100"/>
      <c r="N31" s="149"/>
      <c r="O31" s="150"/>
      <c r="P31" s="150"/>
      <c r="Q31" s="150"/>
      <c r="R31" s="150"/>
      <c r="S31" s="151"/>
      <c r="T31" s="100"/>
      <c r="U31" s="100"/>
      <c r="V31" s="155"/>
      <c r="W31" s="156"/>
      <c r="X31" s="157"/>
      <c r="Y31" s="100"/>
      <c r="Z31" s="100"/>
    </row>
    <row r="32" spans="1:26" ht="18" customHeight="1" x14ac:dyDescent="0.15">
      <c r="A32" s="14"/>
      <c r="B32" s="161"/>
      <c r="C32" s="162"/>
      <c r="D32" s="162"/>
      <c r="E32" s="162"/>
      <c r="F32" s="163"/>
      <c r="G32" s="100"/>
      <c r="H32" s="100"/>
      <c r="I32" s="155"/>
      <c r="J32" s="156"/>
      <c r="K32" s="157"/>
      <c r="L32" s="100"/>
      <c r="M32" s="100"/>
      <c r="N32" s="149"/>
      <c r="O32" s="150"/>
      <c r="P32" s="150"/>
      <c r="Q32" s="150"/>
      <c r="R32" s="150"/>
      <c r="S32" s="151"/>
      <c r="T32" s="100"/>
      <c r="U32" s="100"/>
      <c r="V32" s="155"/>
      <c r="W32" s="156"/>
      <c r="X32" s="157"/>
      <c r="Y32" s="100"/>
      <c r="Z32" s="100"/>
    </row>
    <row r="33" spans="1:26" ht="18" customHeight="1" x14ac:dyDescent="0.15">
      <c r="A33" s="14"/>
      <c r="B33" s="164"/>
      <c r="C33" s="165"/>
      <c r="D33" s="165"/>
      <c r="E33" s="165"/>
      <c r="F33" s="166"/>
      <c r="G33" s="101"/>
      <c r="H33" s="101"/>
      <c r="I33" s="158"/>
      <c r="J33" s="159"/>
      <c r="K33" s="160"/>
      <c r="L33" s="106"/>
      <c r="M33" s="106"/>
      <c r="N33" s="152"/>
      <c r="O33" s="153"/>
      <c r="P33" s="153"/>
      <c r="Q33" s="153"/>
      <c r="R33" s="153"/>
      <c r="S33" s="154"/>
      <c r="T33" s="101"/>
      <c r="U33" s="101"/>
      <c r="V33" s="158"/>
      <c r="W33" s="159"/>
      <c r="X33" s="160"/>
      <c r="Y33" s="106"/>
      <c r="Z33" s="106"/>
    </row>
    <row r="34" spans="1:26" ht="7.5" customHeight="1" x14ac:dyDescent="0.15">
      <c r="A34" s="25"/>
      <c r="B34" s="29"/>
      <c r="C34" s="29"/>
      <c r="D34" s="25"/>
      <c r="E34" s="25"/>
      <c r="F34" s="25"/>
      <c r="G34" s="25"/>
      <c r="H34" s="25"/>
      <c r="I34" s="25"/>
      <c r="J34" s="25"/>
      <c r="K34" s="25"/>
      <c r="L34" s="29"/>
      <c r="M34" s="29"/>
      <c r="N34" s="29"/>
      <c r="O34" s="29"/>
      <c r="P34" s="29"/>
      <c r="Q34" s="29"/>
      <c r="R34" s="29"/>
      <c r="S34" s="29"/>
      <c r="T34" s="29"/>
      <c r="U34" s="29"/>
      <c r="V34" s="29"/>
      <c r="W34" s="29"/>
      <c r="X34" s="29"/>
      <c r="Y34" s="29"/>
      <c r="Z34" s="25"/>
    </row>
    <row r="35" spans="1:26" ht="18" customHeight="1" x14ac:dyDescent="0.15">
      <c r="A35" s="198" t="s">
        <v>82</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14" t="s">
        <v>69</v>
      </c>
      <c r="C37" s="115"/>
      <c r="D37" s="115"/>
      <c r="E37" s="115"/>
      <c r="F37" s="116"/>
      <c r="G37" s="26" t="s">
        <v>70</v>
      </c>
      <c r="H37" s="98" t="s">
        <v>71</v>
      </c>
      <c r="I37" s="114" t="s">
        <v>72</v>
      </c>
      <c r="J37" s="115"/>
      <c r="K37" s="116"/>
      <c r="L37" s="65" t="s">
        <v>83</v>
      </c>
      <c r="M37" s="65" t="s">
        <v>84</v>
      </c>
      <c r="N37" s="114" t="s">
        <v>69</v>
      </c>
      <c r="O37" s="115"/>
      <c r="P37" s="115"/>
      <c r="Q37" s="115"/>
      <c r="R37" s="115"/>
      <c r="S37" s="116"/>
      <c r="T37" s="26" t="s">
        <v>70</v>
      </c>
      <c r="U37" s="98" t="s">
        <v>71</v>
      </c>
      <c r="V37" s="114" t="s">
        <v>72</v>
      </c>
      <c r="W37" s="115"/>
      <c r="X37" s="116"/>
      <c r="Y37" s="65" t="s">
        <v>83</v>
      </c>
      <c r="Z37" s="65" t="s">
        <v>84</v>
      </c>
    </row>
    <row r="38" spans="1:26" ht="18" customHeight="1" x14ac:dyDescent="0.15">
      <c r="A38" s="25"/>
      <c r="B38" s="168" t="s">
        <v>81</v>
      </c>
      <c r="C38" s="169"/>
      <c r="D38" s="169"/>
      <c r="E38" s="169"/>
      <c r="F38" s="170"/>
      <c r="G38" s="99">
        <v>1</v>
      </c>
      <c r="H38" s="99" t="s">
        <v>76</v>
      </c>
      <c r="I38" s="174" t="s">
        <v>77</v>
      </c>
      <c r="J38" s="175"/>
      <c r="K38" s="176"/>
      <c r="L38" s="99" t="s">
        <v>76</v>
      </c>
      <c r="M38" s="99" t="s">
        <v>76</v>
      </c>
      <c r="N38" s="146"/>
      <c r="O38" s="147"/>
      <c r="P38" s="147"/>
      <c r="Q38" s="147"/>
      <c r="R38" s="147"/>
      <c r="S38" s="148"/>
      <c r="T38" s="99"/>
      <c r="U38" s="99"/>
      <c r="V38" s="174"/>
      <c r="W38" s="175"/>
      <c r="X38" s="176"/>
      <c r="Y38" s="99"/>
      <c r="Z38" s="99"/>
    </row>
    <row r="39" spans="1:26" ht="18" customHeight="1" x14ac:dyDescent="0.15">
      <c r="A39" s="25"/>
      <c r="B39" s="161"/>
      <c r="C39" s="162"/>
      <c r="D39" s="162"/>
      <c r="E39" s="162"/>
      <c r="F39" s="163"/>
      <c r="G39" s="100"/>
      <c r="H39" s="100"/>
      <c r="I39" s="155"/>
      <c r="J39" s="156"/>
      <c r="K39" s="157"/>
      <c r="L39" s="100"/>
      <c r="M39" s="100"/>
      <c r="N39" s="149"/>
      <c r="O39" s="150"/>
      <c r="P39" s="150"/>
      <c r="Q39" s="150"/>
      <c r="R39" s="150"/>
      <c r="S39" s="151"/>
      <c r="T39" s="100"/>
      <c r="U39" s="100"/>
      <c r="V39" s="155"/>
      <c r="W39" s="156"/>
      <c r="X39" s="157"/>
      <c r="Y39" s="100"/>
      <c r="Z39" s="100"/>
    </row>
    <row r="40" spans="1:26" ht="18" customHeight="1" x14ac:dyDescent="0.15">
      <c r="A40" s="25"/>
      <c r="B40" s="161"/>
      <c r="C40" s="162"/>
      <c r="D40" s="162"/>
      <c r="E40" s="162"/>
      <c r="F40" s="163"/>
      <c r="G40" s="100"/>
      <c r="H40" s="100"/>
      <c r="I40" s="155"/>
      <c r="J40" s="156"/>
      <c r="K40" s="157"/>
      <c r="L40" s="100"/>
      <c r="M40" s="100"/>
      <c r="N40" s="149"/>
      <c r="O40" s="150"/>
      <c r="P40" s="150"/>
      <c r="Q40" s="150"/>
      <c r="R40" s="150"/>
      <c r="S40" s="151"/>
      <c r="T40" s="100"/>
      <c r="U40" s="100"/>
      <c r="V40" s="155"/>
      <c r="W40" s="156"/>
      <c r="X40" s="157"/>
      <c r="Y40" s="100"/>
      <c r="Z40" s="100"/>
    </row>
    <row r="41" spans="1:26" ht="18" customHeight="1" x14ac:dyDescent="0.15">
      <c r="A41" s="25"/>
      <c r="B41" s="161"/>
      <c r="C41" s="162"/>
      <c r="D41" s="162"/>
      <c r="E41" s="162"/>
      <c r="F41" s="163"/>
      <c r="G41" s="100"/>
      <c r="H41" s="100"/>
      <c r="I41" s="155"/>
      <c r="J41" s="156"/>
      <c r="K41" s="157"/>
      <c r="L41" s="100"/>
      <c r="M41" s="100"/>
      <c r="N41" s="149"/>
      <c r="O41" s="150"/>
      <c r="P41" s="150"/>
      <c r="Q41" s="150"/>
      <c r="R41" s="150"/>
      <c r="S41" s="151"/>
      <c r="T41" s="100"/>
      <c r="U41" s="100"/>
      <c r="V41" s="155"/>
      <c r="W41" s="156"/>
      <c r="X41" s="157"/>
      <c r="Y41" s="100"/>
      <c r="Z41" s="100"/>
    </row>
    <row r="42" spans="1:26" ht="18" customHeight="1" x14ac:dyDescent="0.15">
      <c r="A42" s="25"/>
      <c r="B42" s="161"/>
      <c r="C42" s="162"/>
      <c r="D42" s="162"/>
      <c r="E42" s="162"/>
      <c r="F42" s="163"/>
      <c r="G42" s="100"/>
      <c r="H42" s="100"/>
      <c r="I42" s="155"/>
      <c r="J42" s="156"/>
      <c r="K42" s="157"/>
      <c r="L42" s="100"/>
      <c r="M42" s="100"/>
      <c r="N42" s="149"/>
      <c r="O42" s="150"/>
      <c r="P42" s="150"/>
      <c r="Q42" s="150"/>
      <c r="R42" s="150"/>
      <c r="S42" s="151"/>
      <c r="T42" s="100"/>
      <c r="U42" s="100"/>
      <c r="V42" s="155"/>
      <c r="W42" s="156"/>
      <c r="X42" s="157"/>
      <c r="Y42" s="100"/>
      <c r="Z42" s="100"/>
    </row>
    <row r="43" spans="1:26" ht="18" customHeight="1" x14ac:dyDescent="0.15">
      <c r="A43" s="25"/>
      <c r="B43" s="161"/>
      <c r="C43" s="162"/>
      <c r="D43" s="162"/>
      <c r="E43" s="162"/>
      <c r="F43" s="163"/>
      <c r="G43" s="100"/>
      <c r="H43" s="100"/>
      <c r="I43" s="155"/>
      <c r="J43" s="156"/>
      <c r="K43" s="157"/>
      <c r="L43" s="100"/>
      <c r="M43" s="100"/>
      <c r="N43" s="149"/>
      <c r="O43" s="150"/>
      <c r="P43" s="150"/>
      <c r="Q43" s="150"/>
      <c r="R43" s="150"/>
      <c r="S43" s="151"/>
      <c r="T43" s="100"/>
      <c r="U43" s="100"/>
      <c r="V43" s="155"/>
      <c r="W43" s="156"/>
      <c r="X43" s="157"/>
      <c r="Y43" s="100"/>
      <c r="Z43" s="100"/>
    </row>
    <row r="44" spans="1:26" ht="18" customHeight="1" x14ac:dyDescent="0.15">
      <c r="A44" s="25"/>
      <c r="B44" s="164"/>
      <c r="C44" s="165"/>
      <c r="D44" s="165"/>
      <c r="E44" s="165"/>
      <c r="F44" s="166"/>
      <c r="G44" s="101"/>
      <c r="H44" s="101"/>
      <c r="I44" s="158"/>
      <c r="J44" s="159"/>
      <c r="K44" s="160"/>
      <c r="L44" s="106"/>
      <c r="M44" s="106"/>
      <c r="N44" s="152"/>
      <c r="O44" s="153"/>
      <c r="P44" s="153"/>
      <c r="Q44" s="153"/>
      <c r="R44" s="153"/>
      <c r="S44" s="154"/>
      <c r="T44" s="101"/>
      <c r="U44" s="101"/>
      <c r="V44" s="158"/>
      <c r="W44" s="159"/>
      <c r="X44" s="160"/>
      <c r="Y44" s="106"/>
      <c r="Z44" s="106"/>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8" t="s">
        <v>85</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14" t="s">
        <v>69</v>
      </c>
      <c r="C48" s="115"/>
      <c r="D48" s="115"/>
      <c r="E48" s="115"/>
      <c r="F48" s="116"/>
      <c r="G48" s="26" t="s">
        <v>70</v>
      </c>
      <c r="H48" s="98" t="s">
        <v>71</v>
      </c>
      <c r="I48" s="114" t="s">
        <v>72</v>
      </c>
      <c r="J48" s="115"/>
      <c r="K48" s="116"/>
      <c r="L48" s="65" t="s">
        <v>86</v>
      </c>
      <c r="M48" s="65" t="s">
        <v>87</v>
      </c>
      <c r="N48" s="114" t="s">
        <v>69</v>
      </c>
      <c r="O48" s="115"/>
      <c r="P48" s="115"/>
      <c r="Q48" s="115"/>
      <c r="R48" s="115"/>
      <c r="S48" s="116"/>
      <c r="T48" s="26" t="s">
        <v>70</v>
      </c>
      <c r="U48" s="98" t="s">
        <v>71</v>
      </c>
      <c r="V48" s="114" t="s">
        <v>72</v>
      </c>
      <c r="W48" s="115"/>
      <c r="X48" s="116"/>
      <c r="Y48" s="65" t="s">
        <v>86</v>
      </c>
      <c r="Z48" s="65" t="s">
        <v>87</v>
      </c>
    </row>
    <row r="49" spans="1:26" ht="18" customHeight="1" x14ac:dyDescent="0.15">
      <c r="A49" s="25"/>
      <c r="B49" s="168" t="s">
        <v>81</v>
      </c>
      <c r="C49" s="169"/>
      <c r="D49" s="169"/>
      <c r="E49" s="169"/>
      <c r="F49" s="170"/>
      <c r="G49" s="99">
        <v>1</v>
      </c>
      <c r="H49" s="99" t="s">
        <v>76</v>
      </c>
      <c r="I49" s="174" t="s">
        <v>77</v>
      </c>
      <c r="J49" s="175"/>
      <c r="K49" s="176"/>
      <c r="L49" s="99" t="s">
        <v>76</v>
      </c>
      <c r="M49" s="99" t="s">
        <v>76</v>
      </c>
      <c r="N49" s="146"/>
      <c r="O49" s="147"/>
      <c r="P49" s="147"/>
      <c r="Q49" s="147"/>
      <c r="R49" s="147"/>
      <c r="S49" s="148"/>
      <c r="T49" s="99"/>
      <c r="U49" s="99"/>
      <c r="V49" s="174"/>
      <c r="W49" s="175"/>
      <c r="X49" s="176"/>
      <c r="Y49" s="99"/>
      <c r="Z49" s="99"/>
    </row>
    <row r="50" spans="1:26" ht="18" customHeight="1" x14ac:dyDescent="0.15">
      <c r="A50" s="25"/>
      <c r="B50" s="161"/>
      <c r="C50" s="162"/>
      <c r="D50" s="162"/>
      <c r="E50" s="162"/>
      <c r="F50" s="163"/>
      <c r="G50" s="100"/>
      <c r="H50" s="100"/>
      <c r="I50" s="155"/>
      <c r="J50" s="156"/>
      <c r="K50" s="157"/>
      <c r="L50" s="100"/>
      <c r="M50" s="100"/>
      <c r="N50" s="149"/>
      <c r="O50" s="150"/>
      <c r="P50" s="150"/>
      <c r="Q50" s="150"/>
      <c r="R50" s="150"/>
      <c r="S50" s="151"/>
      <c r="T50" s="100"/>
      <c r="U50" s="100"/>
      <c r="V50" s="155"/>
      <c r="W50" s="156"/>
      <c r="X50" s="157"/>
      <c r="Y50" s="100"/>
      <c r="Z50" s="100"/>
    </row>
    <row r="51" spans="1:26" ht="18" customHeight="1" x14ac:dyDescent="0.15">
      <c r="A51" s="25"/>
      <c r="B51" s="161"/>
      <c r="C51" s="162"/>
      <c r="D51" s="162"/>
      <c r="E51" s="162"/>
      <c r="F51" s="163"/>
      <c r="G51" s="100"/>
      <c r="H51" s="100"/>
      <c r="I51" s="155"/>
      <c r="J51" s="156"/>
      <c r="K51" s="157"/>
      <c r="L51" s="100"/>
      <c r="M51" s="100"/>
      <c r="N51" s="149"/>
      <c r="O51" s="150"/>
      <c r="P51" s="150"/>
      <c r="Q51" s="150"/>
      <c r="R51" s="150"/>
      <c r="S51" s="151"/>
      <c r="T51" s="100"/>
      <c r="U51" s="100"/>
      <c r="V51" s="155"/>
      <c r="W51" s="156"/>
      <c r="X51" s="157"/>
      <c r="Y51" s="100"/>
      <c r="Z51" s="100"/>
    </row>
    <row r="52" spans="1:26" ht="18" customHeight="1" x14ac:dyDescent="0.15">
      <c r="A52" s="25"/>
      <c r="B52" s="161"/>
      <c r="C52" s="162"/>
      <c r="D52" s="162"/>
      <c r="E52" s="162"/>
      <c r="F52" s="163"/>
      <c r="G52" s="100"/>
      <c r="H52" s="100"/>
      <c r="I52" s="155"/>
      <c r="J52" s="156"/>
      <c r="K52" s="157"/>
      <c r="L52" s="100"/>
      <c r="M52" s="100"/>
      <c r="N52" s="149"/>
      <c r="O52" s="150"/>
      <c r="P52" s="150"/>
      <c r="Q52" s="150"/>
      <c r="R52" s="150"/>
      <c r="S52" s="151"/>
      <c r="T52" s="100"/>
      <c r="U52" s="100"/>
      <c r="V52" s="155"/>
      <c r="W52" s="156"/>
      <c r="X52" s="157"/>
      <c r="Y52" s="100"/>
      <c r="Z52" s="100"/>
    </row>
    <row r="53" spans="1:26" ht="18" customHeight="1" x14ac:dyDescent="0.15">
      <c r="A53" s="25"/>
      <c r="B53" s="161"/>
      <c r="C53" s="162"/>
      <c r="D53" s="162"/>
      <c r="E53" s="162"/>
      <c r="F53" s="163"/>
      <c r="G53" s="100"/>
      <c r="H53" s="100"/>
      <c r="I53" s="155"/>
      <c r="J53" s="156"/>
      <c r="K53" s="157"/>
      <c r="L53" s="100"/>
      <c r="M53" s="100"/>
      <c r="N53" s="149"/>
      <c r="O53" s="150"/>
      <c r="P53" s="150"/>
      <c r="Q53" s="150"/>
      <c r="R53" s="150"/>
      <c r="S53" s="151"/>
      <c r="T53" s="100"/>
      <c r="U53" s="100"/>
      <c r="V53" s="155"/>
      <c r="W53" s="156"/>
      <c r="X53" s="157"/>
      <c r="Y53" s="100"/>
      <c r="Z53" s="100"/>
    </row>
    <row r="54" spans="1:26" ht="18" customHeight="1" x14ac:dyDescent="0.15">
      <c r="A54" s="25"/>
      <c r="B54" s="161"/>
      <c r="C54" s="162"/>
      <c r="D54" s="162"/>
      <c r="E54" s="162"/>
      <c r="F54" s="163"/>
      <c r="G54" s="100"/>
      <c r="H54" s="100"/>
      <c r="I54" s="155"/>
      <c r="J54" s="156"/>
      <c r="K54" s="157"/>
      <c r="L54" s="100"/>
      <c r="M54" s="100"/>
      <c r="N54" s="149"/>
      <c r="O54" s="150"/>
      <c r="P54" s="150"/>
      <c r="Q54" s="150"/>
      <c r="R54" s="150"/>
      <c r="S54" s="151"/>
      <c r="T54" s="100"/>
      <c r="U54" s="100"/>
      <c r="V54" s="155"/>
      <c r="W54" s="156"/>
      <c r="X54" s="157"/>
      <c r="Y54" s="100"/>
      <c r="Z54" s="100"/>
    </row>
    <row r="55" spans="1:26" ht="18" customHeight="1" x14ac:dyDescent="0.15">
      <c r="A55" s="25"/>
      <c r="B55" s="164"/>
      <c r="C55" s="165"/>
      <c r="D55" s="165"/>
      <c r="E55" s="165"/>
      <c r="F55" s="166"/>
      <c r="G55" s="101"/>
      <c r="H55" s="101"/>
      <c r="I55" s="158"/>
      <c r="J55" s="159"/>
      <c r="K55" s="160"/>
      <c r="L55" s="106"/>
      <c r="M55" s="106"/>
      <c r="N55" s="152"/>
      <c r="O55" s="153"/>
      <c r="P55" s="153"/>
      <c r="Q55" s="153"/>
      <c r="R55" s="153"/>
      <c r="S55" s="154"/>
      <c r="T55" s="101"/>
      <c r="U55" s="101"/>
      <c r="V55" s="158"/>
      <c r="W55" s="159"/>
      <c r="X55" s="160"/>
      <c r="Y55" s="106"/>
      <c r="Z55" s="106"/>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8" t="s">
        <v>88</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14" t="s">
        <v>69</v>
      </c>
      <c r="C59" s="115"/>
      <c r="D59" s="115"/>
      <c r="E59" s="116"/>
      <c r="F59" s="26" t="s">
        <v>70</v>
      </c>
      <c r="G59" s="98" t="s">
        <v>71</v>
      </c>
      <c r="H59" s="22" t="s">
        <v>72</v>
      </c>
      <c r="I59" s="95"/>
      <c r="J59" s="23"/>
      <c r="K59" s="65" t="s">
        <v>89</v>
      </c>
      <c r="L59" s="65" t="s">
        <v>90</v>
      </c>
      <c r="M59" s="65" t="s">
        <v>91</v>
      </c>
      <c r="N59" s="114" t="s">
        <v>69</v>
      </c>
      <c r="O59" s="115"/>
      <c r="P59" s="115"/>
      <c r="Q59" s="115"/>
      <c r="R59" s="116"/>
      <c r="S59" s="26" t="s">
        <v>70</v>
      </c>
      <c r="T59" s="98" t="s">
        <v>71</v>
      </c>
      <c r="U59" s="22" t="s">
        <v>72</v>
      </c>
      <c r="V59" s="95"/>
      <c r="W59" s="23"/>
      <c r="X59" s="65" t="s">
        <v>89</v>
      </c>
      <c r="Y59" s="65" t="s">
        <v>90</v>
      </c>
      <c r="Z59" s="65" t="s">
        <v>91</v>
      </c>
    </row>
    <row r="60" spans="1:26" ht="18" customHeight="1" x14ac:dyDescent="0.15">
      <c r="A60" s="25"/>
      <c r="B60" s="146" t="s">
        <v>81</v>
      </c>
      <c r="C60" s="147"/>
      <c r="D60" s="147"/>
      <c r="E60" s="148"/>
      <c r="F60" s="99">
        <v>1</v>
      </c>
      <c r="G60" s="99" t="s">
        <v>76</v>
      </c>
      <c r="H60" s="174" t="s">
        <v>77</v>
      </c>
      <c r="I60" s="175"/>
      <c r="J60" s="176"/>
      <c r="K60" s="105" t="s">
        <v>92</v>
      </c>
      <c r="L60" s="99" t="s">
        <v>76</v>
      </c>
      <c r="M60" s="99" t="s">
        <v>76</v>
      </c>
      <c r="N60" s="146"/>
      <c r="O60" s="147"/>
      <c r="P60" s="147"/>
      <c r="Q60" s="147"/>
      <c r="R60" s="148"/>
      <c r="S60" s="99"/>
      <c r="T60" s="99"/>
      <c r="U60" s="174"/>
      <c r="V60" s="175"/>
      <c r="W60" s="176"/>
      <c r="X60" s="105"/>
      <c r="Y60" s="99"/>
      <c r="Z60" s="99"/>
    </row>
    <row r="61" spans="1:26" ht="18" customHeight="1" x14ac:dyDescent="0.15">
      <c r="A61" s="25"/>
      <c r="B61" s="149" t="s">
        <v>93</v>
      </c>
      <c r="C61" s="150"/>
      <c r="D61" s="150"/>
      <c r="E61" s="151"/>
      <c r="F61" s="100">
        <v>1</v>
      </c>
      <c r="G61" s="100"/>
      <c r="H61" s="155" t="s">
        <v>77</v>
      </c>
      <c r="I61" s="156"/>
      <c r="J61" s="157"/>
      <c r="K61" s="103"/>
      <c r="L61" s="100"/>
      <c r="M61" s="100" t="s">
        <v>76</v>
      </c>
      <c r="N61" s="149"/>
      <c r="O61" s="150"/>
      <c r="P61" s="150"/>
      <c r="Q61" s="150"/>
      <c r="R61" s="151"/>
      <c r="S61" s="100"/>
      <c r="T61" s="100"/>
      <c r="U61" s="155"/>
      <c r="V61" s="156"/>
      <c r="W61" s="157"/>
      <c r="X61" s="103"/>
      <c r="Y61" s="100"/>
      <c r="Z61" s="100"/>
    </row>
    <row r="62" spans="1:26" ht="18" customHeight="1" x14ac:dyDescent="0.15">
      <c r="A62" s="25"/>
      <c r="B62" s="149" t="s">
        <v>94</v>
      </c>
      <c r="C62" s="150"/>
      <c r="D62" s="150"/>
      <c r="E62" s="151"/>
      <c r="F62" s="100">
        <v>1</v>
      </c>
      <c r="G62" s="112"/>
      <c r="H62" s="155" t="s">
        <v>77</v>
      </c>
      <c r="I62" s="156"/>
      <c r="J62" s="157"/>
      <c r="K62" s="103" t="s">
        <v>92</v>
      </c>
      <c r="L62" s="100" t="s">
        <v>76</v>
      </c>
      <c r="M62" s="100" t="s">
        <v>76</v>
      </c>
      <c r="N62" s="149"/>
      <c r="O62" s="150"/>
      <c r="P62" s="150"/>
      <c r="Q62" s="150"/>
      <c r="R62" s="151"/>
      <c r="S62" s="100"/>
      <c r="T62" s="100"/>
      <c r="U62" s="155"/>
      <c r="V62" s="156"/>
      <c r="W62" s="157"/>
      <c r="X62" s="103"/>
      <c r="Y62" s="100"/>
      <c r="Z62" s="100"/>
    </row>
    <row r="63" spans="1:26" ht="18" customHeight="1" x14ac:dyDescent="0.15">
      <c r="A63" s="25"/>
      <c r="B63" s="149" t="s">
        <v>95</v>
      </c>
      <c r="C63" s="150"/>
      <c r="D63" s="150"/>
      <c r="E63" s="151"/>
      <c r="F63" s="100">
        <v>1</v>
      </c>
      <c r="G63" s="112"/>
      <c r="H63" s="155" t="s">
        <v>77</v>
      </c>
      <c r="I63" s="156"/>
      <c r="J63" s="157"/>
      <c r="K63" s="103" t="s">
        <v>92</v>
      </c>
      <c r="L63" s="100" t="s">
        <v>76</v>
      </c>
      <c r="M63" s="100" t="s">
        <v>76</v>
      </c>
      <c r="N63" s="149"/>
      <c r="O63" s="150"/>
      <c r="P63" s="150"/>
      <c r="Q63" s="150"/>
      <c r="R63" s="151"/>
      <c r="S63" s="100"/>
      <c r="T63" s="100"/>
      <c r="U63" s="155"/>
      <c r="V63" s="156"/>
      <c r="W63" s="157"/>
      <c r="X63" s="103"/>
      <c r="Y63" s="100"/>
      <c r="Z63" s="100"/>
    </row>
    <row r="64" spans="1:26" ht="18" customHeight="1" x14ac:dyDescent="0.15">
      <c r="A64" s="25"/>
      <c r="B64" s="149" t="s">
        <v>96</v>
      </c>
      <c r="C64" s="150"/>
      <c r="D64" s="150"/>
      <c r="E64" s="151"/>
      <c r="F64" s="100">
        <v>1</v>
      </c>
      <c r="G64" s="100" t="s">
        <v>76</v>
      </c>
      <c r="H64" s="155" t="s">
        <v>77</v>
      </c>
      <c r="I64" s="156"/>
      <c r="J64" s="157"/>
      <c r="K64" s="103" t="s">
        <v>92</v>
      </c>
      <c r="L64" s="100" t="s">
        <v>76</v>
      </c>
      <c r="M64" s="100" t="s">
        <v>76</v>
      </c>
      <c r="N64" s="149"/>
      <c r="O64" s="150"/>
      <c r="P64" s="150"/>
      <c r="Q64" s="150"/>
      <c r="R64" s="151"/>
      <c r="S64" s="100"/>
      <c r="T64" s="100"/>
      <c r="U64" s="155"/>
      <c r="V64" s="156"/>
      <c r="W64" s="157"/>
      <c r="X64" s="103"/>
      <c r="Y64" s="100"/>
      <c r="Z64" s="100"/>
    </row>
    <row r="65" spans="1:26" ht="18" customHeight="1" x14ac:dyDescent="0.15">
      <c r="A65" s="25"/>
      <c r="B65" s="149"/>
      <c r="C65" s="150"/>
      <c r="D65" s="150"/>
      <c r="E65" s="151"/>
      <c r="F65" s="100"/>
      <c r="G65" s="100"/>
      <c r="H65" s="155"/>
      <c r="I65" s="156"/>
      <c r="J65" s="157"/>
      <c r="K65" s="103"/>
      <c r="L65" s="100"/>
      <c r="M65" s="100"/>
      <c r="N65" s="149"/>
      <c r="O65" s="150"/>
      <c r="P65" s="150"/>
      <c r="Q65" s="150"/>
      <c r="R65" s="151"/>
      <c r="S65" s="100"/>
      <c r="T65" s="100"/>
      <c r="U65" s="155"/>
      <c r="V65" s="156"/>
      <c r="W65" s="157"/>
      <c r="X65" s="103"/>
      <c r="Y65" s="100"/>
      <c r="Z65" s="100"/>
    </row>
    <row r="66" spans="1:26" ht="18" customHeight="1" x14ac:dyDescent="0.15">
      <c r="A66" s="25"/>
      <c r="B66" s="152"/>
      <c r="C66" s="153"/>
      <c r="D66" s="153"/>
      <c r="E66" s="154"/>
      <c r="F66" s="101"/>
      <c r="G66" s="101"/>
      <c r="H66" s="158"/>
      <c r="I66" s="159"/>
      <c r="J66" s="160"/>
      <c r="K66" s="104"/>
      <c r="L66" s="106"/>
      <c r="M66" s="106"/>
      <c r="N66" s="152"/>
      <c r="O66" s="153"/>
      <c r="P66" s="153"/>
      <c r="Q66" s="153"/>
      <c r="R66" s="154"/>
      <c r="S66" s="101"/>
      <c r="T66" s="101"/>
      <c r="U66" s="158"/>
      <c r="V66" s="159"/>
      <c r="W66" s="160"/>
      <c r="X66" s="104"/>
      <c r="Y66" s="106"/>
      <c r="Z66" s="106"/>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97</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14" t="s">
        <v>69</v>
      </c>
      <c r="C69" s="115"/>
      <c r="D69" s="115"/>
      <c r="E69" s="115"/>
      <c r="F69" s="116"/>
      <c r="G69" s="114" t="s">
        <v>98</v>
      </c>
      <c r="H69" s="115"/>
      <c r="I69" s="115"/>
      <c r="J69" s="115"/>
      <c r="K69" s="115"/>
      <c r="L69" s="115"/>
      <c r="M69" s="116"/>
      <c r="N69" s="171" t="s">
        <v>69</v>
      </c>
      <c r="O69" s="172"/>
      <c r="P69" s="172"/>
      <c r="Q69" s="172"/>
      <c r="R69" s="172"/>
      <c r="S69" s="173"/>
      <c r="T69" s="114" t="s">
        <v>98</v>
      </c>
      <c r="U69" s="115"/>
      <c r="V69" s="115"/>
      <c r="W69" s="115"/>
      <c r="X69" s="115"/>
      <c r="Y69" s="115"/>
      <c r="Z69" s="116"/>
    </row>
    <row r="70" spans="1:26" ht="18" customHeight="1" x14ac:dyDescent="0.15">
      <c r="A70" s="25"/>
      <c r="B70" s="146" t="s">
        <v>81</v>
      </c>
      <c r="C70" s="147"/>
      <c r="D70" s="147"/>
      <c r="E70" s="147"/>
      <c r="F70" s="148"/>
      <c r="G70" s="209" t="s">
        <v>99</v>
      </c>
      <c r="H70" s="210"/>
      <c r="I70" s="210"/>
      <c r="J70" s="210"/>
      <c r="K70" s="210"/>
      <c r="L70" s="210"/>
      <c r="M70" s="211"/>
      <c r="N70" s="146" t="s">
        <v>100</v>
      </c>
      <c r="O70" s="147"/>
      <c r="P70" s="147"/>
      <c r="Q70" s="147"/>
      <c r="R70" s="147"/>
      <c r="S70" s="148"/>
      <c r="T70" s="209" t="s">
        <v>101</v>
      </c>
      <c r="U70" s="210"/>
      <c r="V70" s="210"/>
      <c r="W70" s="210"/>
      <c r="X70" s="210"/>
      <c r="Y70" s="210"/>
      <c r="Z70" s="211"/>
    </row>
    <row r="71" spans="1:26" ht="18" customHeight="1" x14ac:dyDescent="0.15">
      <c r="A71" s="25"/>
      <c r="B71" s="149" t="s">
        <v>102</v>
      </c>
      <c r="C71" s="150"/>
      <c r="D71" s="150"/>
      <c r="E71" s="150"/>
      <c r="F71" s="151"/>
      <c r="G71" s="192" t="s">
        <v>99</v>
      </c>
      <c r="H71" s="193"/>
      <c r="I71" s="193"/>
      <c r="J71" s="193"/>
      <c r="K71" s="193"/>
      <c r="L71" s="193"/>
      <c r="M71" s="194"/>
      <c r="N71" s="149"/>
      <c r="O71" s="150"/>
      <c r="P71" s="150"/>
      <c r="Q71" s="150"/>
      <c r="R71" s="150"/>
      <c r="S71" s="151"/>
      <c r="T71" s="192"/>
      <c r="U71" s="193"/>
      <c r="V71" s="193"/>
      <c r="W71" s="193"/>
      <c r="X71" s="193"/>
      <c r="Y71" s="193"/>
      <c r="Z71" s="194"/>
    </row>
    <row r="72" spans="1:26" ht="18" customHeight="1" x14ac:dyDescent="0.15">
      <c r="A72" s="25"/>
      <c r="B72" s="149" t="s">
        <v>103</v>
      </c>
      <c r="C72" s="150"/>
      <c r="D72" s="150"/>
      <c r="E72" s="150"/>
      <c r="F72" s="151"/>
      <c r="G72" s="192" t="s">
        <v>99</v>
      </c>
      <c r="H72" s="193"/>
      <c r="I72" s="193"/>
      <c r="J72" s="193"/>
      <c r="K72" s="193"/>
      <c r="L72" s="193"/>
      <c r="M72" s="194"/>
      <c r="N72" s="149"/>
      <c r="O72" s="150"/>
      <c r="P72" s="150"/>
      <c r="Q72" s="150"/>
      <c r="R72" s="150"/>
      <c r="S72" s="151"/>
      <c r="T72" s="192"/>
      <c r="U72" s="193"/>
      <c r="V72" s="193"/>
      <c r="W72" s="193"/>
      <c r="X72" s="193"/>
      <c r="Y72" s="193"/>
      <c r="Z72" s="194"/>
    </row>
    <row r="73" spans="1:26" ht="18" customHeight="1" x14ac:dyDescent="0.15">
      <c r="A73" s="25"/>
      <c r="B73" s="149" t="s">
        <v>93</v>
      </c>
      <c r="C73" s="150"/>
      <c r="D73" s="150"/>
      <c r="E73" s="150"/>
      <c r="F73" s="151"/>
      <c r="G73" s="192" t="s">
        <v>104</v>
      </c>
      <c r="H73" s="193"/>
      <c r="I73" s="193"/>
      <c r="J73" s="193"/>
      <c r="K73" s="193"/>
      <c r="L73" s="193"/>
      <c r="M73" s="194"/>
      <c r="N73" s="149"/>
      <c r="O73" s="150"/>
      <c r="P73" s="150"/>
      <c r="Q73" s="150"/>
      <c r="R73" s="150"/>
      <c r="S73" s="151"/>
      <c r="T73" s="192"/>
      <c r="U73" s="193"/>
      <c r="V73" s="193"/>
      <c r="W73" s="193"/>
      <c r="X73" s="193"/>
      <c r="Y73" s="193"/>
      <c r="Z73" s="194"/>
    </row>
    <row r="74" spans="1:26" ht="18" customHeight="1" x14ac:dyDescent="0.15">
      <c r="A74" s="25"/>
      <c r="B74" s="149" t="s">
        <v>100</v>
      </c>
      <c r="C74" s="150"/>
      <c r="D74" s="150"/>
      <c r="E74" s="150"/>
      <c r="F74" s="151"/>
      <c r="G74" s="192" t="s">
        <v>105</v>
      </c>
      <c r="H74" s="193"/>
      <c r="I74" s="193"/>
      <c r="J74" s="193"/>
      <c r="K74" s="193"/>
      <c r="L74" s="193"/>
      <c r="M74" s="194"/>
      <c r="N74" s="149"/>
      <c r="O74" s="150"/>
      <c r="P74" s="150"/>
      <c r="Q74" s="150"/>
      <c r="R74" s="150"/>
      <c r="S74" s="151"/>
      <c r="T74" s="192"/>
      <c r="U74" s="193"/>
      <c r="V74" s="193"/>
      <c r="W74" s="193"/>
      <c r="X74" s="193"/>
      <c r="Y74" s="193"/>
      <c r="Z74" s="194"/>
    </row>
    <row r="75" spans="1:26" ht="18" customHeight="1" x14ac:dyDescent="0.15">
      <c r="A75" s="25"/>
      <c r="B75" s="149" t="s">
        <v>81</v>
      </c>
      <c r="C75" s="150"/>
      <c r="D75" s="150"/>
      <c r="E75" s="150"/>
      <c r="F75" s="151"/>
      <c r="G75" s="192" t="s">
        <v>101</v>
      </c>
      <c r="H75" s="193"/>
      <c r="I75" s="193"/>
      <c r="J75" s="193"/>
      <c r="K75" s="193"/>
      <c r="L75" s="193"/>
      <c r="M75" s="194"/>
      <c r="N75" s="149"/>
      <c r="O75" s="150"/>
      <c r="P75" s="150"/>
      <c r="Q75" s="150"/>
      <c r="R75" s="150"/>
      <c r="S75" s="151"/>
      <c r="T75" s="192"/>
      <c r="U75" s="193"/>
      <c r="V75" s="193"/>
      <c r="W75" s="193"/>
      <c r="X75" s="193"/>
      <c r="Y75" s="193"/>
      <c r="Z75" s="194"/>
    </row>
    <row r="76" spans="1:26" ht="18" customHeight="1" x14ac:dyDescent="0.15">
      <c r="A76" s="25"/>
      <c r="B76" s="152" t="s">
        <v>93</v>
      </c>
      <c r="C76" s="153"/>
      <c r="D76" s="153"/>
      <c r="E76" s="153"/>
      <c r="F76" s="154"/>
      <c r="G76" s="189" t="s">
        <v>101</v>
      </c>
      <c r="H76" s="190"/>
      <c r="I76" s="190"/>
      <c r="J76" s="190"/>
      <c r="K76" s="190"/>
      <c r="L76" s="190"/>
      <c r="M76" s="191"/>
      <c r="N76" s="152"/>
      <c r="O76" s="153"/>
      <c r="P76" s="153"/>
      <c r="Q76" s="153"/>
      <c r="R76" s="153"/>
      <c r="S76" s="154"/>
      <c r="T76" s="189"/>
      <c r="U76" s="190"/>
      <c r="V76" s="190"/>
      <c r="W76" s="190"/>
      <c r="X76" s="190"/>
      <c r="Y76" s="190"/>
      <c r="Z76" s="191"/>
    </row>
    <row r="77" spans="1:26" ht="18" customHeight="1" x14ac:dyDescent="0.15">
      <c r="A77" s="25"/>
      <c r="B77" s="29"/>
      <c r="C77" s="29"/>
      <c r="D77" s="29"/>
      <c r="E77" s="29"/>
      <c r="F77" s="29"/>
      <c r="G77" s="12"/>
      <c r="H77" s="12"/>
      <c r="I77" s="12"/>
      <c r="J77" s="12"/>
      <c r="K77" s="12"/>
      <c r="L77" s="12"/>
      <c r="M77" s="12"/>
      <c r="N77" s="29"/>
      <c r="O77" s="29"/>
      <c r="P77" s="29"/>
      <c r="Q77" s="29"/>
      <c r="R77" s="29"/>
      <c r="S77" s="29"/>
      <c r="T77" s="12"/>
      <c r="U77" s="12"/>
      <c r="V77" s="12"/>
      <c r="W77" s="12"/>
      <c r="X77" s="12"/>
      <c r="Y77" s="12"/>
      <c r="Z77" s="12"/>
    </row>
    <row r="78" spans="1:26" ht="18.75" customHeight="1" x14ac:dyDescent="0.15">
      <c r="A78" s="13" t="s">
        <v>106</v>
      </c>
    </row>
    <row r="79" spans="1:26" ht="18.75" customHeight="1" x14ac:dyDescent="0.15">
      <c r="B79" s="67" t="s">
        <v>107</v>
      </c>
      <c r="C79" s="68"/>
      <c r="D79" s="228" t="s">
        <v>108</v>
      </c>
      <c r="E79" s="228"/>
      <c r="F79" s="228"/>
      <c r="G79" s="228"/>
      <c r="H79" s="228"/>
      <c r="I79" s="228"/>
      <c r="J79" s="228"/>
      <c r="K79" s="228"/>
      <c r="L79" s="228"/>
      <c r="M79" s="228"/>
      <c r="N79" s="228"/>
      <c r="O79" s="228"/>
      <c r="P79" s="228"/>
      <c r="Q79" s="228"/>
      <c r="R79" s="228"/>
      <c r="S79" s="228"/>
      <c r="T79" s="228"/>
      <c r="U79" s="228"/>
      <c r="V79" s="228"/>
      <c r="W79" s="228"/>
      <c r="X79" s="228"/>
      <c r="Y79" s="228"/>
      <c r="Z79" s="229"/>
    </row>
    <row r="80" spans="1:26" ht="78" customHeight="1" x14ac:dyDescent="0.15">
      <c r="B80" s="217" t="s">
        <v>109</v>
      </c>
      <c r="C80" s="74" t="s">
        <v>73</v>
      </c>
      <c r="D80" s="195" t="s">
        <v>185</v>
      </c>
      <c r="E80" s="196"/>
      <c r="F80" s="196"/>
      <c r="G80" s="196"/>
      <c r="H80" s="196"/>
      <c r="I80" s="196"/>
      <c r="J80" s="196"/>
      <c r="K80" s="196"/>
      <c r="L80" s="196"/>
      <c r="M80" s="196"/>
      <c r="N80" s="196"/>
      <c r="O80" s="196"/>
      <c r="P80" s="196"/>
      <c r="Q80" s="196"/>
      <c r="R80" s="196"/>
      <c r="S80" s="196"/>
      <c r="T80" s="196"/>
      <c r="U80" s="196"/>
      <c r="V80" s="196"/>
      <c r="W80" s="196"/>
      <c r="X80" s="196"/>
      <c r="Y80" s="196"/>
      <c r="Z80" s="197"/>
    </row>
    <row r="81" spans="1:26" ht="78" customHeight="1" x14ac:dyDescent="0.15">
      <c r="B81" s="218"/>
      <c r="C81" s="96" t="s">
        <v>110</v>
      </c>
      <c r="D81" s="195" t="s">
        <v>185</v>
      </c>
      <c r="E81" s="196"/>
      <c r="F81" s="196"/>
      <c r="G81" s="196"/>
      <c r="H81" s="196"/>
      <c r="I81" s="196"/>
      <c r="J81" s="196"/>
      <c r="K81" s="196"/>
      <c r="L81" s="196"/>
      <c r="M81" s="196"/>
      <c r="N81" s="196"/>
      <c r="O81" s="196"/>
      <c r="P81" s="196"/>
      <c r="Q81" s="196"/>
      <c r="R81" s="196"/>
      <c r="S81" s="196"/>
      <c r="T81" s="196"/>
      <c r="U81" s="196"/>
      <c r="V81" s="196"/>
      <c r="W81" s="196"/>
      <c r="X81" s="196"/>
      <c r="Y81" s="196"/>
      <c r="Z81" s="197"/>
    </row>
    <row r="82" spans="1:26" ht="78" customHeight="1" x14ac:dyDescent="0.15">
      <c r="B82" s="215" t="s">
        <v>111</v>
      </c>
      <c r="C82" s="69" t="s">
        <v>79</v>
      </c>
      <c r="D82" s="196" t="s">
        <v>186</v>
      </c>
      <c r="E82" s="196"/>
      <c r="F82" s="196"/>
      <c r="G82" s="196"/>
      <c r="H82" s="196"/>
      <c r="I82" s="196"/>
      <c r="J82" s="196"/>
      <c r="K82" s="196"/>
      <c r="L82" s="196"/>
      <c r="M82" s="196"/>
      <c r="N82" s="196"/>
      <c r="O82" s="196"/>
      <c r="P82" s="196"/>
      <c r="Q82" s="196"/>
      <c r="R82" s="196"/>
      <c r="S82" s="196"/>
      <c r="T82" s="196"/>
      <c r="U82" s="196"/>
      <c r="V82" s="196"/>
      <c r="W82" s="196"/>
      <c r="X82" s="196"/>
      <c r="Y82" s="196"/>
      <c r="Z82" s="197"/>
    </row>
    <row r="83" spans="1:26" ht="78" customHeight="1" x14ac:dyDescent="0.15">
      <c r="B83" s="216"/>
      <c r="C83" s="97" t="s">
        <v>80</v>
      </c>
      <c r="D83" s="196" t="s">
        <v>186</v>
      </c>
      <c r="E83" s="196"/>
      <c r="F83" s="196"/>
      <c r="G83" s="196"/>
      <c r="H83" s="196"/>
      <c r="I83" s="196"/>
      <c r="J83" s="196"/>
      <c r="K83" s="196"/>
      <c r="L83" s="196"/>
      <c r="M83" s="196"/>
      <c r="N83" s="196"/>
      <c r="O83" s="196"/>
      <c r="P83" s="196"/>
      <c r="Q83" s="196"/>
      <c r="R83" s="196"/>
      <c r="S83" s="196"/>
      <c r="T83" s="196"/>
      <c r="U83" s="196"/>
      <c r="V83" s="196"/>
      <c r="W83" s="196"/>
      <c r="X83" s="196"/>
      <c r="Y83" s="196"/>
      <c r="Z83" s="197"/>
    </row>
    <row r="84" spans="1:26" ht="66" customHeight="1" x14ac:dyDescent="0.15">
      <c r="B84" s="215" t="s">
        <v>112</v>
      </c>
      <c r="C84" s="69" t="s">
        <v>83</v>
      </c>
      <c r="D84" s="196" t="s">
        <v>187</v>
      </c>
      <c r="E84" s="196"/>
      <c r="F84" s="196"/>
      <c r="G84" s="196"/>
      <c r="H84" s="196"/>
      <c r="I84" s="196"/>
      <c r="J84" s="196"/>
      <c r="K84" s="196"/>
      <c r="L84" s="196"/>
      <c r="M84" s="196"/>
      <c r="N84" s="196"/>
      <c r="O84" s="196"/>
      <c r="P84" s="196"/>
      <c r="Q84" s="196"/>
      <c r="R84" s="196"/>
      <c r="S84" s="196"/>
      <c r="T84" s="196"/>
      <c r="U84" s="196"/>
      <c r="V84" s="196"/>
      <c r="W84" s="196"/>
      <c r="X84" s="196"/>
      <c r="Y84" s="196"/>
      <c r="Z84" s="197"/>
    </row>
    <row r="85" spans="1:26" ht="66" customHeight="1" x14ac:dyDescent="0.15">
      <c r="B85" s="216"/>
      <c r="C85" s="71" t="s">
        <v>84</v>
      </c>
      <c r="D85" s="196" t="s">
        <v>188</v>
      </c>
      <c r="E85" s="196"/>
      <c r="F85" s="196"/>
      <c r="G85" s="196"/>
      <c r="H85" s="196"/>
      <c r="I85" s="196"/>
      <c r="J85" s="196"/>
      <c r="K85" s="196"/>
      <c r="L85" s="196"/>
      <c r="M85" s="196"/>
      <c r="N85" s="196"/>
      <c r="O85" s="196"/>
      <c r="P85" s="196"/>
      <c r="Q85" s="196"/>
      <c r="R85" s="196"/>
      <c r="S85" s="196"/>
      <c r="T85" s="196"/>
      <c r="U85" s="196"/>
      <c r="V85" s="196"/>
      <c r="W85" s="196"/>
      <c r="X85" s="196"/>
      <c r="Y85" s="196"/>
      <c r="Z85" s="197"/>
    </row>
    <row r="86" spans="1:26" ht="66" customHeight="1" x14ac:dyDescent="0.15">
      <c r="B86" s="217" t="s">
        <v>113</v>
      </c>
      <c r="C86" s="74" t="s">
        <v>86</v>
      </c>
      <c r="D86" s="224" t="s">
        <v>189</v>
      </c>
      <c r="E86" s="224"/>
      <c r="F86" s="224"/>
      <c r="G86" s="224"/>
      <c r="H86" s="224"/>
      <c r="I86" s="224"/>
      <c r="J86" s="224"/>
      <c r="K86" s="224"/>
      <c r="L86" s="224"/>
      <c r="M86" s="224"/>
      <c r="N86" s="224"/>
      <c r="O86" s="224"/>
      <c r="P86" s="224"/>
      <c r="Q86" s="224"/>
      <c r="R86" s="224"/>
      <c r="S86" s="224"/>
      <c r="T86" s="224"/>
      <c r="U86" s="224"/>
      <c r="V86" s="224"/>
      <c r="W86" s="224"/>
      <c r="X86" s="224"/>
      <c r="Y86" s="224"/>
      <c r="Z86" s="225"/>
    </row>
    <row r="87" spans="1:26" ht="66" customHeight="1" x14ac:dyDescent="0.15">
      <c r="B87" s="223"/>
      <c r="C87" s="70" t="s">
        <v>87</v>
      </c>
      <c r="D87" s="226" t="s">
        <v>190</v>
      </c>
      <c r="E87" s="226"/>
      <c r="F87" s="226"/>
      <c r="G87" s="226"/>
      <c r="H87" s="226"/>
      <c r="I87" s="226"/>
      <c r="J87" s="226"/>
      <c r="K87" s="226"/>
      <c r="L87" s="226"/>
      <c r="M87" s="226"/>
      <c r="N87" s="226"/>
      <c r="O87" s="226"/>
      <c r="P87" s="226"/>
      <c r="Q87" s="226"/>
      <c r="R87" s="226"/>
      <c r="S87" s="226"/>
      <c r="T87" s="226"/>
      <c r="U87" s="226"/>
      <c r="V87" s="226"/>
      <c r="W87" s="226"/>
      <c r="X87" s="226"/>
      <c r="Y87" s="226"/>
      <c r="Z87" s="227"/>
    </row>
    <row r="88" spans="1:26" ht="66" customHeight="1" x14ac:dyDescent="0.15">
      <c r="B88" s="217" t="s">
        <v>114</v>
      </c>
      <c r="C88" s="69" t="s">
        <v>89</v>
      </c>
      <c r="D88" s="219"/>
      <c r="E88" s="219"/>
      <c r="F88" s="219"/>
      <c r="G88" s="219"/>
      <c r="H88" s="219"/>
      <c r="I88" s="219"/>
      <c r="J88" s="219"/>
      <c r="K88" s="219"/>
      <c r="L88" s="219"/>
      <c r="M88" s="219"/>
      <c r="N88" s="219"/>
      <c r="O88" s="219"/>
      <c r="P88" s="219"/>
      <c r="Q88" s="219"/>
      <c r="R88" s="219"/>
      <c r="S88" s="219"/>
      <c r="T88" s="219"/>
      <c r="U88" s="219"/>
      <c r="V88" s="219"/>
      <c r="W88" s="219"/>
      <c r="X88" s="219"/>
      <c r="Y88" s="219"/>
      <c r="Z88" s="220"/>
    </row>
    <row r="89" spans="1:26" ht="66" customHeight="1" x14ac:dyDescent="0.15">
      <c r="B89" s="218"/>
      <c r="C89" s="70" t="s">
        <v>90</v>
      </c>
      <c r="D89" s="212"/>
      <c r="E89" s="213"/>
      <c r="F89" s="213"/>
      <c r="G89" s="213"/>
      <c r="H89" s="213"/>
      <c r="I89" s="213"/>
      <c r="J89" s="213"/>
      <c r="K89" s="213"/>
      <c r="L89" s="213"/>
      <c r="M89" s="213"/>
      <c r="N89" s="213"/>
      <c r="O89" s="213"/>
      <c r="P89" s="213"/>
      <c r="Q89" s="213"/>
      <c r="R89" s="213"/>
      <c r="S89" s="213"/>
      <c r="T89" s="213"/>
      <c r="U89" s="213"/>
      <c r="V89" s="213"/>
      <c r="W89" s="213"/>
      <c r="X89" s="213"/>
      <c r="Y89" s="213"/>
      <c r="Z89" s="214"/>
    </row>
    <row r="90" spans="1:26" ht="66" customHeight="1" x14ac:dyDescent="0.15">
      <c r="B90" s="216"/>
      <c r="C90" s="71" t="s">
        <v>91</v>
      </c>
      <c r="D90" s="221"/>
      <c r="E90" s="221"/>
      <c r="F90" s="221"/>
      <c r="G90" s="221"/>
      <c r="H90" s="221"/>
      <c r="I90" s="221"/>
      <c r="J90" s="221"/>
      <c r="K90" s="221"/>
      <c r="L90" s="221"/>
      <c r="M90" s="221"/>
      <c r="N90" s="221"/>
      <c r="O90" s="221"/>
      <c r="P90" s="221"/>
      <c r="Q90" s="221"/>
      <c r="R90" s="221"/>
      <c r="S90" s="221"/>
      <c r="T90" s="221"/>
      <c r="U90" s="221"/>
      <c r="V90" s="221"/>
      <c r="W90" s="221"/>
      <c r="X90" s="221"/>
      <c r="Y90" s="221"/>
      <c r="Z90" s="222"/>
    </row>
    <row r="91" spans="1:26" ht="6" customHeight="1" x14ac:dyDescent="0.15"/>
    <row r="92" spans="1:26" ht="18.75" customHeight="1" x14ac:dyDescent="0.15">
      <c r="A92" s="13" t="s">
        <v>115</v>
      </c>
    </row>
    <row r="93" spans="1:26" ht="18.75" customHeight="1" x14ac:dyDescent="0.15">
      <c r="B93" s="177" t="s">
        <v>116</v>
      </c>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9"/>
    </row>
    <row r="94" spans="1:26" ht="18.75" customHeight="1" x14ac:dyDescent="0.15">
      <c r="B94" s="180"/>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2"/>
    </row>
    <row r="95" spans="1:26" ht="18.75" customHeight="1" x14ac:dyDescent="0.15">
      <c r="B95" s="183"/>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5"/>
    </row>
    <row r="96" spans="1:26" ht="6" customHeight="1" x14ac:dyDescent="0.15"/>
    <row r="97" spans="1:26" ht="15" customHeight="1" x14ac:dyDescent="0.15">
      <c r="A97" s="13" t="s">
        <v>117</v>
      </c>
    </row>
    <row r="98" spans="1:26" ht="15" customHeight="1" x14ac:dyDescent="0.15">
      <c r="B98" s="186" t="s">
        <v>118</v>
      </c>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8"/>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FEC1A773-F375-461C-A462-DF8AD8228ED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election activeCell="C4" sqref="C4:D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30" t="s">
        <v>119</v>
      </c>
      <c r="G1" s="230"/>
      <c r="H1" s="230"/>
      <c r="I1" s="230"/>
      <c r="J1" s="230"/>
      <c r="K1" s="230"/>
      <c r="L1" s="230"/>
      <c r="M1" s="230"/>
      <c r="N1" s="230"/>
      <c r="O1" s="230"/>
      <c r="P1" s="230"/>
      <c r="Q1" s="230"/>
      <c r="R1" s="230"/>
    </row>
    <row r="2" spans="1:20" ht="18" customHeight="1" x14ac:dyDescent="0.15">
      <c r="A2" s="231" t="s">
        <v>120</v>
      </c>
      <c r="B2" s="231"/>
      <c r="C2" s="231"/>
      <c r="D2" s="231"/>
      <c r="E2" s="231"/>
      <c r="F2" s="231"/>
      <c r="G2" s="231"/>
      <c r="H2" s="231"/>
      <c r="I2" s="231"/>
      <c r="J2" s="231"/>
      <c r="K2" s="231"/>
      <c r="L2" s="231"/>
      <c r="M2" s="231"/>
      <c r="N2" s="231"/>
      <c r="O2" s="231"/>
      <c r="P2" s="231"/>
      <c r="Q2" s="231"/>
      <c r="R2" s="231"/>
      <c r="S2" s="4"/>
    </row>
    <row r="3" spans="1:20" ht="7.5" customHeight="1" x14ac:dyDescent="0.15">
      <c r="A3" s="30"/>
      <c r="B3" s="30"/>
      <c r="C3" s="30"/>
      <c r="D3" s="30"/>
      <c r="E3" s="30"/>
      <c r="F3" s="30"/>
      <c r="G3" s="30"/>
      <c r="H3" s="30"/>
      <c r="I3" s="30"/>
      <c r="J3" s="30"/>
      <c r="K3" s="30"/>
      <c r="L3" s="30"/>
      <c r="M3" s="30"/>
      <c r="N3" s="30"/>
      <c r="O3" s="30"/>
      <c r="P3" s="30"/>
      <c r="Q3" s="30"/>
      <c r="R3" s="30"/>
    </row>
    <row r="4" spans="1:20" ht="18" customHeight="1" x14ac:dyDescent="0.15">
      <c r="A4" s="4" t="s">
        <v>121</v>
      </c>
      <c r="B4" s="4"/>
      <c r="C4" s="232" t="str">
        <f>'様式１　大学等概要'!E12</f>
        <v>令和3</v>
      </c>
      <c r="D4" s="233"/>
      <c r="E4" s="30" t="s">
        <v>18</v>
      </c>
      <c r="F4" s="30"/>
      <c r="G4" s="30"/>
      <c r="H4" s="30"/>
      <c r="I4" s="30"/>
      <c r="J4" s="75"/>
      <c r="K4" s="30"/>
      <c r="L4" s="30"/>
      <c r="M4" s="39"/>
      <c r="N4" s="39"/>
      <c r="O4" s="39"/>
      <c r="P4" s="39"/>
      <c r="Q4" s="39"/>
      <c r="R4" s="39"/>
    </row>
    <row r="5" spans="1:20" ht="6" customHeight="1" x14ac:dyDescent="0.15">
      <c r="A5" s="30"/>
      <c r="B5" s="30"/>
      <c r="C5" s="30"/>
      <c r="D5" s="30"/>
      <c r="E5" s="30"/>
      <c r="F5" s="30"/>
      <c r="G5" s="30"/>
      <c r="H5" s="30"/>
      <c r="I5" s="30"/>
      <c r="J5" s="30"/>
      <c r="K5" s="30"/>
      <c r="L5" s="30"/>
      <c r="M5" s="30"/>
      <c r="N5" s="30"/>
      <c r="O5" s="30"/>
      <c r="P5" s="30"/>
      <c r="Q5" s="30"/>
      <c r="R5" s="30"/>
    </row>
    <row r="6" spans="1:20" ht="18" customHeight="1" x14ac:dyDescent="0.15">
      <c r="A6" s="4" t="s">
        <v>122</v>
      </c>
      <c r="B6" s="30"/>
      <c r="C6" s="30"/>
      <c r="D6" s="30"/>
      <c r="E6" s="30"/>
      <c r="F6" s="30"/>
      <c r="G6" s="30"/>
      <c r="H6" s="30"/>
      <c r="I6" s="30"/>
      <c r="J6" s="30"/>
      <c r="K6" s="30"/>
      <c r="L6" s="30"/>
      <c r="M6" s="30"/>
      <c r="N6" s="30"/>
      <c r="O6" s="30"/>
      <c r="P6" s="30"/>
      <c r="Q6" s="30"/>
      <c r="R6" s="30"/>
    </row>
    <row r="7" spans="1:20" ht="6" customHeight="1" x14ac:dyDescent="0.15">
      <c r="A7" s="4"/>
      <c r="B7" s="30"/>
      <c r="C7" s="30"/>
      <c r="D7" s="30"/>
      <c r="E7" s="30"/>
      <c r="F7" s="30"/>
      <c r="G7" s="30"/>
      <c r="H7" s="30"/>
      <c r="I7" s="30"/>
      <c r="J7" s="30"/>
      <c r="K7" s="30"/>
      <c r="L7" s="30"/>
      <c r="M7" s="30"/>
      <c r="N7" s="30"/>
      <c r="O7" s="30"/>
      <c r="P7" s="30"/>
      <c r="Q7" s="30"/>
      <c r="R7" s="30"/>
    </row>
    <row r="8" spans="1:20" ht="18" customHeight="1" x14ac:dyDescent="0.15">
      <c r="B8" s="234" t="s">
        <v>123</v>
      </c>
      <c r="C8" s="236" t="s">
        <v>124</v>
      </c>
      <c r="D8" s="238" t="s">
        <v>125</v>
      </c>
      <c r="E8" s="240" t="s">
        <v>126</v>
      </c>
      <c r="F8" s="240"/>
      <c r="G8" s="240" t="s">
        <v>127</v>
      </c>
      <c r="H8" s="240"/>
      <c r="I8" s="240" t="s">
        <v>128</v>
      </c>
      <c r="J8" s="240"/>
      <c r="K8" s="241" t="s">
        <v>129</v>
      </c>
      <c r="L8" s="242"/>
      <c r="M8" s="241" t="s">
        <v>130</v>
      </c>
      <c r="N8" s="242"/>
      <c r="O8" s="241" t="s">
        <v>131</v>
      </c>
      <c r="P8" s="242"/>
      <c r="Q8" s="243" t="s">
        <v>132</v>
      </c>
      <c r="R8" s="245" t="s">
        <v>133</v>
      </c>
      <c r="T8" s="28"/>
    </row>
    <row r="9" spans="1:20" ht="18" customHeight="1" x14ac:dyDescent="0.15">
      <c r="A9" s="4"/>
      <c r="B9" s="235"/>
      <c r="C9" s="237"/>
      <c r="D9" s="239"/>
      <c r="E9" s="35" t="s">
        <v>134</v>
      </c>
      <c r="F9" s="36" t="s">
        <v>135</v>
      </c>
      <c r="G9" s="37" t="s">
        <v>134</v>
      </c>
      <c r="H9" s="38" t="s">
        <v>135</v>
      </c>
      <c r="I9" s="35" t="s">
        <v>134</v>
      </c>
      <c r="J9" s="36" t="s">
        <v>135</v>
      </c>
      <c r="K9" s="37" t="s">
        <v>134</v>
      </c>
      <c r="L9" s="38" t="s">
        <v>135</v>
      </c>
      <c r="M9" s="35" t="s">
        <v>134</v>
      </c>
      <c r="N9" s="36" t="s">
        <v>135</v>
      </c>
      <c r="O9" s="37" t="s">
        <v>134</v>
      </c>
      <c r="P9" s="38" t="s">
        <v>135</v>
      </c>
      <c r="Q9" s="244"/>
      <c r="R9" s="246"/>
      <c r="T9" s="28"/>
    </row>
    <row r="10" spans="1:20" ht="18" customHeight="1" x14ac:dyDescent="0.15">
      <c r="A10" s="39"/>
      <c r="B10" s="107" t="s">
        <v>136</v>
      </c>
      <c r="C10" s="39"/>
      <c r="D10" s="40"/>
      <c r="E10" s="41"/>
      <c r="F10" s="42"/>
      <c r="G10" s="43"/>
      <c r="H10" s="44"/>
      <c r="I10" s="41"/>
      <c r="J10" s="42"/>
      <c r="K10" s="43"/>
      <c r="L10" s="44"/>
      <c r="M10" s="41"/>
      <c r="N10" s="42"/>
      <c r="O10" s="43"/>
      <c r="P10" s="44"/>
      <c r="Q10" s="45">
        <f>E10+G10+I10+K10+M10+O10</f>
        <v>0</v>
      </c>
      <c r="R10" s="46" t="e">
        <f>Q10/D10</f>
        <v>#DIV/0!</v>
      </c>
    </row>
    <row r="11" spans="1:20" ht="18" customHeight="1" x14ac:dyDescent="0.15">
      <c r="A11" s="39"/>
      <c r="B11" s="108" t="s">
        <v>137</v>
      </c>
      <c r="C11" s="111">
        <v>40</v>
      </c>
      <c r="D11" s="48">
        <v>160</v>
      </c>
      <c r="E11" s="49">
        <v>79</v>
      </c>
      <c r="F11" s="50">
        <v>2</v>
      </c>
      <c r="G11" s="51"/>
      <c r="H11" s="52"/>
      <c r="I11" s="49"/>
      <c r="J11" s="50"/>
      <c r="K11" s="51"/>
      <c r="L11" s="52"/>
      <c r="M11" s="49"/>
      <c r="N11" s="50"/>
      <c r="O11" s="51"/>
      <c r="P11" s="52"/>
      <c r="Q11" s="53">
        <f t="shared" ref="Q11:Q29" si="0">E11+G11+I11+K11+M11+O11</f>
        <v>79</v>
      </c>
      <c r="R11" s="54">
        <f t="shared" ref="R11:R29" si="1">Q11/D11</f>
        <v>0.49375000000000002</v>
      </c>
    </row>
    <row r="12" spans="1:20" ht="18" customHeight="1" x14ac:dyDescent="0.15">
      <c r="A12" s="39"/>
      <c r="B12" s="108" t="s">
        <v>138</v>
      </c>
      <c r="C12" s="111">
        <v>20</v>
      </c>
      <c r="D12" s="48">
        <v>120</v>
      </c>
      <c r="E12" s="49">
        <v>21</v>
      </c>
      <c r="F12" s="50">
        <v>2</v>
      </c>
      <c r="G12" s="51"/>
      <c r="H12" s="52"/>
      <c r="I12" s="49"/>
      <c r="J12" s="50"/>
      <c r="K12" s="51"/>
      <c r="L12" s="52"/>
      <c r="M12" s="49"/>
      <c r="N12" s="50"/>
      <c r="O12" s="51"/>
      <c r="P12" s="52"/>
      <c r="Q12" s="53">
        <f t="shared" si="0"/>
        <v>21</v>
      </c>
      <c r="R12" s="54">
        <f t="shared" si="1"/>
        <v>0.17499999999999999</v>
      </c>
    </row>
    <row r="13" spans="1:20" ht="18" customHeight="1" x14ac:dyDescent="0.15">
      <c r="A13" s="39"/>
      <c r="B13" s="108" t="s">
        <v>139</v>
      </c>
      <c r="C13" s="111">
        <v>15</v>
      </c>
      <c r="D13" s="48">
        <v>60</v>
      </c>
      <c r="E13" s="49">
        <v>17</v>
      </c>
      <c r="F13" s="50">
        <v>0</v>
      </c>
      <c r="G13" s="51"/>
      <c r="H13" s="52"/>
      <c r="I13" s="49"/>
      <c r="J13" s="50"/>
      <c r="K13" s="51"/>
      <c r="L13" s="52"/>
      <c r="M13" s="49"/>
      <c r="N13" s="50"/>
      <c r="O13" s="51"/>
      <c r="P13" s="52"/>
      <c r="Q13" s="53">
        <f t="shared" si="0"/>
        <v>17</v>
      </c>
      <c r="R13" s="54">
        <f t="shared" si="1"/>
        <v>0.28333333333333333</v>
      </c>
    </row>
    <row r="14" spans="1:20" ht="18" customHeight="1" x14ac:dyDescent="0.15">
      <c r="A14" s="39"/>
      <c r="B14" s="76"/>
      <c r="C14" s="55"/>
      <c r="D14" s="48"/>
      <c r="E14" s="49"/>
      <c r="F14" s="50"/>
      <c r="G14" s="51"/>
      <c r="H14" s="52"/>
      <c r="I14" s="49"/>
      <c r="J14" s="50"/>
      <c r="K14" s="51"/>
      <c r="L14" s="52"/>
      <c r="M14" s="49"/>
      <c r="N14" s="50"/>
      <c r="O14" s="51"/>
      <c r="P14" s="52"/>
      <c r="Q14" s="53">
        <f t="shared" si="0"/>
        <v>0</v>
      </c>
      <c r="R14" s="54" t="e">
        <f t="shared" si="1"/>
        <v>#DIV/0!</v>
      </c>
    </row>
    <row r="15" spans="1:20" ht="18" customHeight="1" x14ac:dyDescent="0.15">
      <c r="A15" s="39"/>
      <c r="B15" s="76"/>
      <c r="C15" s="55"/>
      <c r="D15" s="48"/>
      <c r="E15" s="49"/>
      <c r="F15" s="50"/>
      <c r="G15" s="51"/>
      <c r="H15" s="52"/>
      <c r="I15" s="49"/>
      <c r="J15" s="50"/>
      <c r="K15" s="51"/>
      <c r="L15" s="52"/>
      <c r="M15" s="49"/>
      <c r="N15" s="50"/>
      <c r="O15" s="51"/>
      <c r="P15" s="52"/>
      <c r="Q15" s="53">
        <f t="shared" si="0"/>
        <v>0</v>
      </c>
      <c r="R15" s="54" t="e">
        <f t="shared" si="1"/>
        <v>#DIV/0!</v>
      </c>
    </row>
    <row r="16" spans="1:20" ht="18" customHeight="1" x14ac:dyDescent="0.15">
      <c r="A16" s="39"/>
      <c r="B16" s="76"/>
      <c r="C16" s="55"/>
      <c r="D16" s="48"/>
      <c r="E16" s="49"/>
      <c r="F16" s="50"/>
      <c r="G16" s="51"/>
      <c r="H16" s="52"/>
      <c r="I16" s="49"/>
      <c r="J16" s="50"/>
      <c r="K16" s="51"/>
      <c r="L16" s="52"/>
      <c r="M16" s="49"/>
      <c r="N16" s="50"/>
      <c r="O16" s="51"/>
      <c r="P16" s="52"/>
      <c r="Q16" s="53">
        <f t="shared" si="0"/>
        <v>0</v>
      </c>
      <c r="R16" s="54" t="e">
        <f t="shared" si="1"/>
        <v>#DIV/0!</v>
      </c>
    </row>
    <row r="17" spans="1:18" ht="18" customHeight="1" x14ac:dyDescent="0.15">
      <c r="A17" s="39"/>
      <c r="B17" s="76"/>
      <c r="C17" s="55"/>
      <c r="D17" s="48"/>
      <c r="E17" s="49"/>
      <c r="F17" s="50"/>
      <c r="G17" s="51"/>
      <c r="H17" s="52"/>
      <c r="I17" s="49"/>
      <c r="J17" s="50"/>
      <c r="K17" s="51"/>
      <c r="L17" s="52"/>
      <c r="M17" s="49"/>
      <c r="N17" s="50"/>
      <c r="O17" s="51"/>
      <c r="P17" s="52"/>
      <c r="Q17" s="53">
        <f t="shared" si="0"/>
        <v>0</v>
      </c>
      <c r="R17" s="54" t="e">
        <f t="shared" si="1"/>
        <v>#DIV/0!</v>
      </c>
    </row>
    <row r="18" spans="1:18" ht="18" customHeight="1" x14ac:dyDescent="0.15">
      <c r="A18" s="39"/>
      <c r="B18" s="76"/>
      <c r="C18" s="55"/>
      <c r="D18" s="48"/>
      <c r="E18" s="49"/>
      <c r="F18" s="50"/>
      <c r="G18" s="51"/>
      <c r="H18" s="52"/>
      <c r="I18" s="49"/>
      <c r="J18" s="50"/>
      <c r="K18" s="51"/>
      <c r="L18" s="52"/>
      <c r="M18" s="49"/>
      <c r="N18" s="50"/>
      <c r="O18" s="51"/>
      <c r="P18" s="52"/>
      <c r="Q18" s="53">
        <f>E18+G18+I18+K18+M18+O18</f>
        <v>0</v>
      </c>
      <c r="R18" s="54" t="e">
        <f t="shared" si="1"/>
        <v>#DIV/0!</v>
      </c>
    </row>
    <row r="19" spans="1:18" ht="18" customHeight="1" x14ac:dyDescent="0.15">
      <c r="A19" s="39"/>
      <c r="B19" s="76"/>
      <c r="C19" s="55"/>
      <c r="D19" s="48"/>
      <c r="E19" s="49"/>
      <c r="F19" s="50"/>
      <c r="G19" s="51"/>
      <c r="H19" s="52"/>
      <c r="I19" s="49"/>
      <c r="J19" s="50"/>
      <c r="K19" s="51"/>
      <c r="L19" s="52"/>
      <c r="M19" s="49"/>
      <c r="N19" s="50"/>
      <c r="O19" s="51"/>
      <c r="P19" s="52"/>
      <c r="Q19" s="53">
        <f t="shared" si="0"/>
        <v>0</v>
      </c>
      <c r="R19" s="54" t="e">
        <f t="shared" si="1"/>
        <v>#DIV/0!</v>
      </c>
    </row>
    <row r="20" spans="1:18" ht="18" customHeight="1" x14ac:dyDescent="0.15">
      <c r="A20" s="39"/>
      <c r="B20" s="76"/>
      <c r="C20" s="55"/>
      <c r="D20" s="48"/>
      <c r="E20" s="49"/>
      <c r="F20" s="50"/>
      <c r="G20" s="51"/>
      <c r="H20" s="52"/>
      <c r="I20" s="49"/>
      <c r="J20" s="50"/>
      <c r="K20" s="51"/>
      <c r="L20" s="52"/>
      <c r="M20" s="49"/>
      <c r="N20" s="50"/>
      <c r="O20" s="51"/>
      <c r="P20" s="52"/>
      <c r="Q20" s="53">
        <f t="shared" si="0"/>
        <v>0</v>
      </c>
      <c r="R20" s="54" t="e">
        <f t="shared" si="1"/>
        <v>#DIV/0!</v>
      </c>
    </row>
    <row r="21" spans="1:18" ht="18" customHeight="1" x14ac:dyDescent="0.15">
      <c r="A21" s="39"/>
      <c r="B21" s="76"/>
      <c r="C21" s="55"/>
      <c r="D21" s="48"/>
      <c r="E21" s="49"/>
      <c r="F21" s="50"/>
      <c r="G21" s="51"/>
      <c r="H21" s="52"/>
      <c r="I21" s="49"/>
      <c r="J21" s="50"/>
      <c r="K21" s="51"/>
      <c r="L21" s="52"/>
      <c r="M21" s="49"/>
      <c r="N21" s="50"/>
      <c r="O21" s="51"/>
      <c r="P21" s="52"/>
      <c r="Q21" s="53">
        <f t="shared" si="0"/>
        <v>0</v>
      </c>
      <c r="R21" s="54" t="e">
        <f t="shared" si="1"/>
        <v>#DIV/0!</v>
      </c>
    </row>
    <row r="22" spans="1:18" ht="18" customHeight="1" x14ac:dyDescent="0.15">
      <c r="A22" s="39"/>
      <c r="B22" s="76"/>
      <c r="C22" s="55"/>
      <c r="D22" s="48"/>
      <c r="E22" s="49"/>
      <c r="F22" s="50"/>
      <c r="G22" s="51"/>
      <c r="H22" s="52"/>
      <c r="I22" s="49"/>
      <c r="J22" s="50"/>
      <c r="K22" s="51"/>
      <c r="L22" s="52"/>
      <c r="M22" s="49"/>
      <c r="N22" s="50"/>
      <c r="O22" s="51"/>
      <c r="P22" s="52"/>
      <c r="Q22" s="53">
        <f t="shared" si="0"/>
        <v>0</v>
      </c>
      <c r="R22" s="54" t="e">
        <f t="shared" si="1"/>
        <v>#DIV/0!</v>
      </c>
    </row>
    <row r="23" spans="1:18" ht="18" customHeight="1" x14ac:dyDescent="0.15">
      <c r="A23" s="39"/>
      <c r="B23" s="76"/>
      <c r="C23" s="55"/>
      <c r="D23" s="48"/>
      <c r="E23" s="49"/>
      <c r="F23" s="50"/>
      <c r="G23" s="51"/>
      <c r="H23" s="52"/>
      <c r="I23" s="49"/>
      <c r="J23" s="50"/>
      <c r="K23" s="51"/>
      <c r="L23" s="52"/>
      <c r="M23" s="49"/>
      <c r="N23" s="50"/>
      <c r="O23" s="51"/>
      <c r="P23" s="52"/>
      <c r="Q23" s="53">
        <f t="shared" si="0"/>
        <v>0</v>
      </c>
      <c r="R23" s="54" t="e">
        <f t="shared" si="1"/>
        <v>#DIV/0!</v>
      </c>
    </row>
    <row r="24" spans="1:18" ht="18" customHeight="1" x14ac:dyDescent="0.15">
      <c r="A24" s="39"/>
      <c r="B24" s="76"/>
      <c r="C24" s="55"/>
      <c r="D24" s="48"/>
      <c r="E24" s="49"/>
      <c r="F24" s="50"/>
      <c r="G24" s="51"/>
      <c r="H24" s="52"/>
      <c r="I24" s="49"/>
      <c r="J24" s="50"/>
      <c r="K24" s="51"/>
      <c r="L24" s="52"/>
      <c r="M24" s="49"/>
      <c r="N24" s="50"/>
      <c r="O24" s="51"/>
      <c r="P24" s="52"/>
      <c r="Q24" s="53">
        <f t="shared" si="0"/>
        <v>0</v>
      </c>
      <c r="R24" s="54" t="e">
        <f t="shared" si="1"/>
        <v>#DIV/0!</v>
      </c>
    </row>
    <row r="25" spans="1:18" ht="18" customHeight="1" x14ac:dyDescent="0.15">
      <c r="A25" s="39"/>
      <c r="B25" s="76"/>
      <c r="C25" s="55"/>
      <c r="D25" s="48"/>
      <c r="E25" s="49"/>
      <c r="F25" s="50"/>
      <c r="G25" s="51"/>
      <c r="H25" s="52"/>
      <c r="I25" s="49"/>
      <c r="J25" s="50"/>
      <c r="K25" s="51"/>
      <c r="L25" s="52"/>
      <c r="M25" s="49"/>
      <c r="N25" s="50"/>
      <c r="O25" s="51"/>
      <c r="P25" s="52"/>
      <c r="Q25" s="53">
        <f t="shared" si="0"/>
        <v>0</v>
      </c>
      <c r="R25" s="54" t="e">
        <f t="shared" si="1"/>
        <v>#DIV/0!</v>
      </c>
    </row>
    <row r="26" spans="1:18" ht="18" customHeight="1" x14ac:dyDescent="0.15">
      <c r="A26" s="39"/>
      <c r="B26" s="76"/>
      <c r="C26" s="55"/>
      <c r="D26" s="48"/>
      <c r="E26" s="49"/>
      <c r="F26" s="50"/>
      <c r="G26" s="51"/>
      <c r="H26" s="52"/>
      <c r="I26" s="49"/>
      <c r="J26" s="50"/>
      <c r="K26" s="51"/>
      <c r="L26" s="52"/>
      <c r="M26" s="49"/>
      <c r="N26" s="50"/>
      <c r="O26" s="51"/>
      <c r="P26" s="52"/>
      <c r="Q26" s="53">
        <f t="shared" si="0"/>
        <v>0</v>
      </c>
      <c r="R26" s="54" t="e">
        <f t="shared" si="1"/>
        <v>#DIV/0!</v>
      </c>
    </row>
    <row r="27" spans="1:18" ht="18" customHeight="1" x14ac:dyDescent="0.15">
      <c r="A27" s="39"/>
      <c r="B27" s="76"/>
      <c r="C27" s="47"/>
      <c r="D27" s="48"/>
      <c r="E27" s="49"/>
      <c r="F27" s="50"/>
      <c r="G27" s="51"/>
      <c r="H27" s="52"/>
      <c r="I27" s="49"/>
      <c r="J27" s="50"/>
      <c r="K27" s="51"/>
      <c r="L27" s="52"/>
      <c r="M27" s="49"/>
      <c r="N27" s="50"/>
      <c r="O27" s="51"/>
      <c r="P27" s="52"/>
      <c r="Q27" s="53">
        <f t="shared" si="0"/>
        <v>0</v>
      </c>
      <c r="R27" s="54" t="e">
        <f t="shared" si="1"/>
        <v>#DIV/0!</v>
      </c>
    </row>
    <row r="28" spans="1:18" ht="18" customHeight="1" x14ac:dyDescent="0.15">
      <c r="A28" s="39"/>
      <c r="B28" s="76"/>
      <c r="C28" s="47"/>
      <c r="D28" s="48"/>
      <c r="E28" s="49"/>
      <c r="F28" s="50"/>
      <c r="G28" s="51"/>
      <c r="H28" s="52"/>
      <c r="I28" s="49"/>
      <c r="J28" s="50"/>
      <c r="K28" s="51"/>
      <c r="L28" s="52"/>
      <c r="M28" s="49"/>
      <c r="N28" s="50"/>
      <c r="O28" s="51"/>
      <c r="P28" s="52"/>
      <c r="Q28" s="53">
        <f t="shared" si="0"/>
        <v>0</v>
      </c>
      <c r="R28" s="54" t="e">
        <f t="shared" si="1"/>
        <v>#DIV/0!</v>
      </c>
    </row>
    <row r="29" spans="1:18" ht="18" customHeight="1" thickBot="1" x14ac:dyDescent="0.2">
      <c r="A29" s="39"/>
      <c r="B29" s="77"/>
      <c r="C29" s="78"/>
      <c r="D29" s="40"/>
      <c r="E29" s="41"/>
      <c r="F29" s="42"/>
      <c r="G29" s="43"/>
      <c r="H29" s="44"/>
      <c r="I29" s="41"/>
      <c r="J29" s="42"/>
      <c r="K29" s="43"/>
      <c r="L29" s="44"/>
      <c r="M29" s="41"/>
      <c r="N29" s="42"/>
      <c r="O29" s="43"/>
      <c r="P29" s="44"/>
      <c r="Q29" s="56">
        <f t="shared" si="0"/>
        <v>0</v>
      </c>
      <c r="R29" s="46" t="e">
        <f t="shared" si="1"/>
        <v>#DIV/0!</v>
      </c>
    </row>
    <row r="30" spans="1:18" ht="18" customHeight="1" thickTop="1" x14ac:dyDescent="0.15">
      <c r="B30" s="79" t="s">
        <v>140</v>
      </c>
      <c r="C30" s="80">
        <f t="shared" ref="C30:Q30" si="2">SUM(C10:C29)</f>
        <v>75</v>
      </c>
      <c r="D30" s="57">
        <f t="shared" si="2"/>
        <v>340</v>
      </c>
      <c r="E30" s="58">
        <f t="shared" si="2"/>
        <v>117</v>
      </c>
      <c r="F30" s="59">
        <f t="shared" si="2"/>
        <v>4</v>
      </c>
      <c r="G30" s="60">
        <f t="shared" si="2"/>
        <v>0</v>
      </c>
      <c r="H30" s="61">
        <f t="shared" si="2"/>
        <v>0</v>
      </c>
      <c r="I30" s="58">
        <f t="shared" si="2"/>
        <v>0</v>
      </c>
      <c r="J30" s="59">
        <f t="shared" si="2"/>
        <v>0</v>
      </c>
      <c r="K30" s="60">
        <f t="shared" si="2"/>
        <v>0</v>
      </c>
      <c r="L30" s="61">
        <f t="shared" si="2"/>
        <v>0</v>
      </c>
      <c r="M30" s="58">
        <f t="shared" si="2"/>
        <v>0</v>
      </c>
      <c r="N30" s="59">
        <f t="shared" si="2"/>
        <v>0</v>
      </c>
      <c r="O30" s="60">
        <f t="shared" si="2"/>
        <v>0</v>
      </c>
      <c r="P30" s="61">
        <f t="shared" si="2"/>
        <v>0</v>
      </c>
      <c r="Q30" s="62">
        <f t="shared" si="2"/>
        <v>117</v>
      </c>
      <c r="R30" s="63">
        <f>Q30/D30</f>
        <v>0.34411764705882353</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tabSelected="1" view="pageBreakPreview" topLeftCell="A27" zoomScaleNormal="100" zoomScaleSheetLayoutView="100" workbookViewId="0">
      <selection activeCell="N37" sqref="N37"/>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7"/>
    <col min="12" max="16384" width="11.375" style="1"/>
  </cols>
  <sheetData>
    <row r="1" spans="1:11" ht="18.75" customHeight="1" x14ac:dyDescent="0.15">
      <c r="A1" s="2" t="s">
        <v>141</v>
      </c>
      <c r="J1" s="33" t="s">
        <v>142</v>
      </c>
    </row>
    <row r="2" spans="1:11" ht="18.75" customHeight="1" x14ac:dyDescent="0.15">
      <c r="A2" s="231" t="s">
        <v>143</v>
      </c>
      <c r="B2" s="231"/>
      <c r="C2" s="231"/>
      <c r="D2" s="231"/>
      <c r="E2" s="231"/>
      <c r="F2" s="231"/>
      <c r="G2" s="231"/>
      <c r="H2" s="231"/>
      <c r="I2" s="231"/>
      <c r="J2" s="231"/>
    </row>
    <row r="3" spans="1:11" ht="7.5" customHeight="1" x14ac:dyDescent="0.15">
      <c r="B3" s="30"/>
      <c r="C3" s="30"/>
      <c r="D3" s="30"/>
      <c r="E3" s="30"/>
      <c r="F3" s="30"/>
      <c r="G3" s="30"/>
      <c r="H3" s="30"/>
      <c r="I3" s="30"/>
      <c r="J3" s="30"/>
    </row>
    <row r="4" spans="1:11" ht="18.75" customHeight="1" x14ac:dyDescent="0.15">
      <c r="A4" s="1" t="s">
        <v>2</v>
      </c>
      <c r="B4" s="4" t="s">
        <v>144</v>
      </c>
      <c r="C4" s="4"/>
      <c r="D4" s="4"/>
      <c r="E4" s="4"/>
      <c r="F4" s="4"/>
      <c r="G4" s="4"/>
      <c r="H4" s="4"/>
      <c r="I4" s="30"/>
      <c r="J4" s="30"/>
    </row>
    <row r="5" spans="1:11" ht="18.75" customHeight="1" x14ac:dyDescent="0.15">
      <c r="A5" s="1"/>
      <c r="B5" s="269" t="s">
        <v>196</v>
      </c>
      <c r="C5" s="270"/>
      <c r="D5" s="270"/>
      <c r="E5" s="270"/>
      <c r="F5" s="270"/>
      <c r="G5" s="270"/>
      <c r="H5" s="270"/>
      <c r="I5" s="270"/>
      <c r="J5" s="271"/>
      <c r="K5" s="27" t="str">
        <f>IF(B5="","入力してください","")</f>
        <v/>
      </c>
    </row>
    <row r="6" spans="1:11" ht="7.5" customHeight="1" x14ac:dyDescent="0.15">
      <c r="B6" s="30"/>
      <c r="C6" s="30"/>
      <c r="D6" s="30"/>
      <c r="E6" s="30"/>
      <c r="F6" s="30"/>
      <c r="G6" s="30"/>
      <c r="H6" s="30"/>
      <c r="I6" s="30"/>
      <c r="J6" s="30"/>
    </row>
    <row r="7" spans="1:11" s="4" customFormat="1" ht="18.75" customHeight="1" x14ac:dyDescent="0.15">
      <c r="A7" s="1" t="s">
        <v>5</v>
      </c>
      <c r="B7" s="1" t="s">
        <v>145</v>
      </c>
      <c r="C7" s="1"/>
      <c r="D7" s="1"/>
      <c r="E7" s="1"/>
      <c r="F7" s="1"/>
      <c r="G7" s="1"/>
      <c r="H7" s="1"/>
      <c r="I7" s="1"/>
      <c r="J7" s="1"/>
      <c r="K7" s="27"/>
    </row>
    <row r="8" spans="1:11" s="4" customFormat="1" ht="18.75" customHeight="1" x14ac:dyDescent="0.15">
      <c r="A8" s="81"/>
      <c r="B8" s="272" t="s">
        <v>197</v>
      </c>
      <c r="C8" s="273"/>
      <c r="D8" s="273"/>
      <c r="E8" s="273"/>
      <c r="F8" s="273"/>
      <c r="G8" s="273"/>
      <c r="H8" s="273"/>
      <c r="I8" s="274"/>
      <c r="J8" s="275"/>
      <c r="K8" s="27" t="str">
        <f>IF(B8="","入力してください","")</f>
        <v/>
      </c>
    </row>
    <row r="9" spans="1:11" s="4" customFormat="1" ht="18.75" customHeight="1" x14ac:dyDescent="0.15">
      <c r="A9" s="81"/>
      <c r="B9" s="276"/>
      <c r="C9" s="277"/>
      <c r="D9" s="277"/>
      <c r="E9" s="277"/>
      <c r="F9" s="277"/>
      <c r="G9" s="277"/>
      <c r="H9" s="277"/>
      <c r="I9" s="277"/>
      <c r="J9" s="278"/>
      <c r="K9" s="27"/>
    </row>
    <row r="10" spans="1:11" s="4" customFormat="1" ht="18.75" customHeight="1" x14ac:dyDescent="0.15">
      <c r="A10" s="81"/>
      <c r="B10" s="276"/>
      <c r="C10" s="277"/>
      <c r="D10" s="277"/>
      <c r="E10" s="277"/>
      <c r="F10" s="277"/>
      <c r="G10" s="277"/>
      <c r="H10" s="277"/>
      <c r="I10" s="277"/>
      <c r="J10" s="278"/>
      <c r="K10" s="27"/>
    </row>
    <row r="11" spans="1:11" s="4" customFormat="1" ht="18.75" customHeight="1" x14ac:dyDescent="0.15">
      <c r="A11" s="81"/>
      <c r="B11" s="276"/>
      <c r="C11" s="277"/>
      <c r="D11" s="277"/>
      <c r="E11" s="277"/>
      <c r="F11" s="277"/>
      <c r="G11" s="277"/>
      <c r="H11" s="277"/>
      <c r="I11" s="277"/>
      <c r="J11" s="278"/>
      <c r="K11" s="27"/>
    </row>
    <row r="12" spans="1:11" s="4" customFormat="1" ht="18.75" customHeight="1" x14ac:dyDescent="0.15">
      <c r="A12" s="81"/>
      <c r="B12" s="279"/>
      <c r="C12" s="280"/>
      <c r="D12" s="280"/>
      <c r="E12" s="280"/>
      <c r="F12" s="280"/>
      <c r="G12" s="280"/>
      <c r="H12" s="280"/>
      <c r="I12" s="280"/>
      <c r="J12" s="281"/>
      <c r="K12" s="27"/>
    </row>
    <row r="13" spans="1:11" s="4" customFormat="1" ht="7.5" customHeight="1" x14ac:dyDescent="0.15">
      <c r="A13" s="81"/>
      <c r="B13" s="81"/>
      <c r="C13" s="81"/>
      <c r="D13" s="81"/>
      <c r="E13" s="81"/>
      <c r="F13" s="113"/>
      <c r="G13" s="81"/>
      <c r="H13" s="81"/>
      <c r="I13" s="81"/>
      <c r="J13" s="81"/>
      <c r="K13" s="27"/>
    </row>
    <row r="14" spans="1:11" s="4" customFormat="1" ht="18.75" customHeight="1" x14ac:dyDescent="0.15">
      <c r="A14" s="82" t="s">
        <v>146</v>
      </c>
      <c r="B14" s="82" t="s">
        <v>147</v>
      </c>
      <c r="C14" s="82"/>
      <c r="D14" s="82"/>
      <c r="E14" s="82"/>
      <c r="F14" s="82"/>
      <c r="G14" s="82"/>
      <c r="H14" s="82"/>
      <c r="I14" s="82"/>
      <c r="J14" s="82"/>
      <c r="K14" s="27"/>
    </row>
    <row r="15" spans="1:11" s="4" customFormat="1" ht="18.75" customHeight="1" x14ac:dyDescent="0.15">
      <c r="A15" s="81"/>
      <c r="B15" s="272" t="s">
        <v>202</v>
      </c>
      <c r="C15" s="248"/>
      <c r="D15" s="248"/>
      <c r="E15" s="248"/>
      <c r="F15" s="248"/>
      <c r="G15" s="248"/>
      <c r="H15" s="248"/>
      <c r="I15" s="282"/>
      <c r="J15" s="283"/>
      <c r="K15" s="27" t="str">
        <f>IF(B15="","入力してください","")</f>
        <v/>
      </c>
    </row>
    <row r="16" spans="1:11" s="4" customFormat="1" ht="18.75" customHeight="1" x14ac:dyDescent="0.15">
      <c r="A16" s="81"/>
      <c r="B16" s="284"/>
      <c r="C16" s="285"/>
      <c r="D16" s="285"/>
      <c r="E16" s="285"/>
      <c r="F16" s="285"/>
      <c r="G16" s="285"/>
      <c r="H16" s="285"/>
      <c r="I16" s="285"/>
      <c r="J16" s="286"/>
      <c r="K16" s="27"/>
    </row>
    <row r="17" spans="1:11" s="4" customFormat="1" ht="18.75" customHeight="1" x14ac:dyDescent="0.15">
      <c r="A17" s="81"/>
      <c r="B17" s="284"/>
      <c r="C17" s="285"/>
      <c r="D17" s="285"/>
      <c r="E17" s="285"/>
      <c r="F17" s="285"/>
      <c r="G17" s="285"/>
      <c r="H17" s="285"/>
      <c r="I17" s="285"/>
      <c r="J17" s="286"/>
      <c r="K17" s="27"/>
    </row>
    <row r="18" spans="1:11" s="4" customFormat="1" ht="18.75" customHeight="1" x14ac:dyDescent="0.15">
      <c r="A18" s="81"/>
      <c r="B18" s="284"/>
      <c r="C18" s="285"/>
      <c r="D18" s="285"/>
      <c r="E18" s="285"/>
      <c r="F18" s="285"/>
      <c r="G18" s="285"/>
      <c r="H18" s="285"/>
      <c r="I18" s="285"/>
      <c r="J18" s="286"/>
      <c r="K18" s="27"/>
    </row>
    <row r="19" spans="1:11" s="4" customFormat="1" ht="18.75" customHeight="1" x14ac:dyDescent="0.15">
      <c r="A19" s="81"/>
      <c r="B19" s="284"/>
      <c r="C19" s="285"/>
      <c r="D19" s="285"/>
      <c r="E19" s="285"/>
      <c r="F19" s="285"/>
      <c r="G19" s="285"/>
      <c r="H19" s="285"/>
      <c r="I19" s="285"/>
      <c r="J19" s="286"/>
      <c r="K19" s="27"/>
    </row>
    <row r="20" spans="1:11" s="4" customFormat="1" ht="18.75" customHeight="1" x14ac:dyDescent="0.15">
      <c r="A20" s="81"/>
      <c r="B20" s="284"/>
      <c r="C20" s="285"/>
      <c r="D20" s="285"/>
      <c r="E20" s="285"/>
      <c r="F20" s="285"/>
      <c r="G20" s="285"/>
      <c r="H20" s="285"/>
      <c r="I20" s="285"/>
      <c r="J20" s="286"/>
      <c r="K20" s="27"/>
    </row>
    <row r="21" spans="1:11" s="4" customFormat="1" ht="18.75" customHeight="1" x14ac:dyDescent="0.15">
      <c r="A21" s="81"/>
      <c r="B21" s="284"/>
      <c r="C21" s="285"/>
      <c r="D21" s="285"/>
      <c r="E21" s="285"/>
      <c r="F21" s="285"/>
      <c r="G21" s="285"/>
      <c r="H21" s="285"/>
      <c r="I21" s="285"/>
      <c r="J21" s="286"/>
      <c r="K21" s="27"/>
    </row>
    <row r="22" spans="1:11" s="4" customFormat="1" ht="18.75" customHeight="1" x14ac:dyDescent="0.15">
      <c r="A22" s="81"/>
      <c r="B22" s="284"/>
      <c r="C22" s="285"/>
      <c r="D22" s="285"/>
      <c r="E22" s="285"/>
      <c r="F22" s="285"/>
      <c r="G22" s="285"/>
      <c r="H22" s="285"/>
      <c r="I22" s="285"/>
      <c r="J22" s="286"/>
      <c r="K22" s="27"/>
    </row>
    <row r="23" spans="1:11" s="4" customFormat="1" ht="18.75" customHeight="1" x14ac:dyDescent="0.15">
      <c r="A23" s="81"/>
      <c r="B23" s="284"/>
      <c r="C23" s="285"/>
      <c r="D23" s="285"/>
      <c r="E23" s="285"/>
      <c r="F23" s="285"/>
      <c r="G23" s="285"/>
      <c r="H23" s="285"/>
      <c r="I23" s="285"/>
      <c r="J23" s="286"/>
      <c r="K23" s="27"/>
    </row>
    <row r="24" spans="1:11" s="4" customFormat="1" ht="18.75" customHeight="1" x14ac:dyDescent="0.15">
      <c r="A24" s="81"/>
      <c r="B24" s="284"/>
      <c r="C24" s="285"/>
      <c r="D24" s="285"/>
      <c r="E24" s="285"/>
      <c r="F24" s="285"/>
      <c r="G24" s="285"/>
      <c r="H24" s="285"/>
      <c r="I24" s="285"/>
      <c r="J24" s="286"/>
      <c r="K24" s="27"/>
    </row>
    <row r="25" spans="1:11" s="4" customFormat="1" ht="18.75" customHeight="1" x14ac:dyDescent="0.15">
      <c r="A25" s="81"/>
      <c r="B25" s="287"/>
      <c r="C25" s="288"/>
      <c r="D25" s="288"/>
      <c r="E25" s="288"/>
      <c r="F25" s="288"/>
      <c r="G25" s="288"/>
      <c r="H25" s="288"/>
      <c r="I25" s="288"/>
      <c r="J25" s="289"/>
      <c r="K25" s="27"/>
    </row>
    <row r="26" spans="1:11" ht="7.5" customHeight="1" x14ac:dyDescent="0.15">
      <c r="A26" s="31"/>
      <c r="B26" s="31"/>
      <c r="C26" s="31"/>
      <c r="D26" s="31"/>
      <c r="E26" s="31"/>
      <c r="F26" s="31"/>
      <c r="G26" s="31"/>
      <c r="H26" s="31"/>
      <c r="I26" s="31"/>
      <c r="J26" s="31"/>
    </row>
    <row r="27" spans="1:11" s="4" customFormat="1" ht="18.75" customHeight="1" x14ac:dyDescent="0.15">
      <c r="A27" s="1" t="s">
        <v>11</v>
      </c>
      <c r="B27" s="1" t="s">
        <v>148</v>
      </c>
      <c r="C27" s="1"/>
      <c r="D27" s="1"/>
      <c r="E27" s="1"/>
      <c r="F27" s="1"/>
      <c r="G27" s="1"/>
      <c r="H27" s="1"/>
      <c r="I27" s="1"/>
      <c r="J27" s="1"/>
      <c r="K27" s="27"/>
    </row>
    <row r="28" spans="1:11" s="25" customFormat="1" ht="18.75" customHeight="1" x14ac:dyDescent="0.15">
      <c r="B28" s="83" t="s">
        <v>149</v>
      </c>
      <c r="C28" s="84">
        <f>'様式３　履修者等数の実績'!R30</f>
        <v>0.34411764705882353</v>
      </c>
      <c r="D28" s="85"/>
      <c r="E28" s="85" t="s">
        <v>150</v>
      </c>
      <c r="F28" s="84">
        <v>0.6</v>
      </c>
      <c r="G28" s="85"/>
      <c r="H28" s="85" t="s">
        <v>151</v>
      </c>
      <c r="I28" s="86">
        <v>0.89</v>
      </c>
      <c r="J28" s="87"/>
      <c r="K28" s="27"/>
    </row>
    <row r="29" spans="1:11" s="25" customFormat="1" ht="18.75" customHeight="1" x14ac:dyDescent="0.15">
      <c r="B29" s="72" t="s">
        <v>152</v>
      </c>
      <c r="C29" s="88">
        <v>0.91</v>
      </c>
      <c r="D29" s="73"/>
      <c r="E29" s="73" t="s">
        <v>153</v>
      </c>
      <c r="F29" s="88">
        <v>1</v>
      </c>
      <c r="G29" s="73"/>
      <c r="H29" s="73" t="s">
        <v>154</v>
      </c>
      <c r="I29" s="89">
        <f>'様式３　履修者等数の実績'!D30</f>
        <v>340</v>
      </c>
      <c r="J29" s="90"/>
      <c r="K29" s="27"/>
    </row>
    <row r="30" spans="1:11" s="4" customFormat="1" ht="18.75" customHeight="1" x14ac:dyDescent="0.15">
      <c r="A30" s="1"/>
      <c r="B30" s="192" t="s">
        <v>155</v>
      </c>
      <c r="C30" s="193"/>
      <c r="D30" s="193"/>
      <c r="E30" s="193"/>
      <c r="F30" s="193"/>
      <c r="G30" s="193"/>
      <c r="H30" s="193"/>
      <c r="I30" s="193"/>
      <c r="J30" s="194"/>
      <c r="K30" s="27"/>
    </row>
    <row r="31" spans="1:11" s="4" customFormat="1" ht="18.75" customHeight="1" x14ac:dyDescent="0.15">
      <c r="A31" s="1"/>
      <c r="B31" s="266" t="s">
        <v>204</v>
      </c>
      <c r="C31" s="267"/>
      <c r="D31" s="267"/>
      <c r="E31" s="267"/>
      <c r="F31" s="267"/>
      <c r="G31" s="267"/>
      <c r="H31" s="267"/>
      <c r="I31" s="267"/>
      <c r="J31" s="268"/>
      <c r="K31" s="27" t="str">
        <f>IF(B31="","入力してください","")</f>
        <v/>
      </c>
    </row>
    <row r="32" spans="1:11" s="4" customFormat="1" ht="18.75" customHeight="1" x14ac:dyDescent="0.15">
      <c r="A32" s="1"/>
      <c r="B32" s="259"/>
      <c r="C32" s="260"/>
      <c r="D32" s="260"/>
      <c r="E32" s="260"/>
      <c r="F32" s="260"/>
      <c r="G32" s="260"/>
      <c r="H32" s="260"/>
      <c r="I32" s="260"/>
      <c r="J32" s="261"/>
      <c r="K32" s="27"/>
    </row>
    <row r="33" spans="1:11" s="4" customFormat="1" ht="18.75" customHeight="1" x14ac:dyDescent="0.15">
      <c r="A33" s="1"/>
      <c r="B33" s="259"/>
      <c r="C33" s="260"/>
      <c r="D33" s="260"/>
      <c r="E33" s="260"/>
      <c r="F33" s="260"/>
      <c r="G33" s="260"/>
      <c r="H33" s="260"/>
      <c r="I33" s="260"/>
      <c r="J33" s="261"/>
      <c r="K33" s="27"/>
    </row>
    <row r="34" spans="1:11" s="4" customFormat="1" ht="18.75" customHeight="1" x14ac:dyDescent="0.15">
      <c r="A34" s="1"/>
      <c r="B34" s="259"/>
      <c r="C34" s="260"/>
      <c r="D34" s="260"/>
      <c r="E34" s="260"/>
      <c r="F34" s="260"/>
      <c r="G34" s="260"/>
      <c r="H34" s="260"/>
      <c r="I34" s="260"/>
      <c r="J34" s="261"/>
      <c r="K34" s="27"/>
    </row>
    <row r="35" spans="1:11" s="4" customFormat="1" ht="18.75" customHeight="1" x14ac:dyDescent="0.15">
      <c r="A35" s="1"/>
      <c r="B35" s="259"/>
      <c r="C35" s="260"/>
      <c r="D35" s="260"/>
      <c r="E35" s="260"/>
      <c r="F35" s="260"/>
      <c r="G35" s="260"/>
      <c r="H35" s="260"/>
      <c r="I35" s="260"/>
      <c r="J35" s="261"/>
      <c r="K35" s="27"/>
    </row>
    <row r="36" spans="1:11" s="4" customFormat="1" ht="18.75" customHeight="1" x14ac:dyDescent="0.15">
      <c r="A36" s="1"/>
      <c r="B36" s="259"/>
      <c r="C36" s="260"/>
      <c r="D36" s="260"/>
      <c r="E36" s="260"/>
      <c r="F36" s="260"/>
      <c r="G36" s="260"/>
      <c r="H36" s="260"/>
      <c r="I36" s="260"/>
      <c r="J36" s="261"/>
      <c r="K36" s="27"/>
    </row>
    <row r="37" spans="1:11" s="4" customFormat="1" ht="18.75" customHeight="1" x14ac:dyDescent="0.15">
      <c r="A37" s="1"/>
      <c r="B37" s="259"/>
      <c r="C37" s="260"/>
      <c r="D37" s="260"/>
      <c r="E37" s="260"/>
      <c r="F37" s="260"/>
      <c r="G37" s="260"/>
      <c r="H37" s="260"/>
      <c r="I37" s="260"/>
      <c r="J37" s="261"/>
      <c r="K37" s="27"/>
    </row>
    <row r="38" spans="1:11" s="4" customFormat="1" ht="18.75" customHeight="1" x14ac:dyDescent="0.15">
      <c r="A38" s="1"/>
      <c r="B38" s="259"/>
      <c r="C38" s="260"/>
      <c r="D38" s="260"/>
      <c r="E38" s="260"/>
      <c r="F38" s="260"/>
      <c r="G38" s="260"/>
      <c r="H38" s="260"/>
      <c r="I38" s="260"/>
      <c r="J38" s="261"/>
      <c r="K38" s="27"/>
    </row>
    <row r="39" spans="1:11" s="4" customFormat="1" ht="18.75" customHeight="1" x14ac:dyDescent="0.15">
      <c r="A39" s="1"/>
      <c r="B39" s="259"/>
      <c r="C39" s="260"/>
      <c r="D39" s="260"/>
      <c r="E39" s="260"/>
      <c r="F39" s="260"/>
      <c r="G39" s="260"/>
      <c r="H39" s="260"/>
      <c r="I39" s="260"/>
      <c r="J39" s="261"/>
      <c r="K39" s="27"/>
    </row>
    <row r="40" spans="1:11" s="4" customFormat="1" ht="18.75" customHeight="1" x14ac:dyDescent="0.15">
      <c r="A40" s="1"/>
      <c r="B40" s="259"/>
      <c r="C40" s="260"/>
      <c r="D40" s="260"/>
      <c r="E40" s="260"/>
      <c r="F40" s="260"/>
      <c r="G40" s="260"/>
      <c r="H40" s="260"/>
      <c r="I40" s="260"/>
      <c r="J40" s="261"/>
      <c r="K40" s="27"/>
    </row>
    <row r="41" spans="1:11" s="4" customFormat="1" ht="18.75" customHeight="1" x14ac:dyDescent="0.15">
      <c r="A41" s="1"/>
      <c r="B41" s="259"/>
      <c r="C41" s="260"/>
      <c r="D41" s="260"/>
      <c r="E41" s="260"/>
      <c r="F41" s="260"/>
      <c r="G41" s="260"/>
      <c r="H41" s="260"/>
      <c r="I41" s="260"/>
      <c r="J41" s="261"/>
      <c r="K41" s="27"/>
    </row>
    <row r="42" spans="1:11" s="4" customFormat="1" ht="18.75" customHeight="1" x14ac:dyDescent="0.15">
      <c r="A42" s="1"/>
      <c r="B42" s="259"/>
      <c r="C42" s="260"/>
      <c r="D42" s="260"/>
      <c r="E42" s="260"/>
      <c r="F42" s="260"/>
      <c r="G42" s="260"/>
      <c r="H42" s="260"/>
      <c r="I42" s="260"/>
      <c r="J42" s="261"/>
      <c r="K42" s="27"/>
    </row>
    <row r="43" spans="1:11" ht="18.75" customHeight="1" x14ac:dyDescent="0.15">
      <c r="A43" s="31"/>
      <c r="B43" s="259"/>
      <c r="C43" s="260"/>
      <c r="D43" s="260"/>
      <c r="E43" s="260"/>
      <c r="F43" s="260"/>
      <c r="G43" s="260"/>
      <c r="H43" s="260"/>
      <c r="I43" s="260"/>
      <c r="J43" s="261"/>
    </row>
    <row r="44" spans="1:11" ht="18.75" customHeight="1" x14ac:dyDescent="0.15">
      <c r="A44" s="31"/>
      <c r="B44" s="262"/>
      <c r="C44" s="263"/>
      <c r="D44" s="263"/>
      <c r="E44" s="263"/>
      <c r="F44" s="263"/>
      <c r="G44" s="263"/>
      <c r="H44" s="263"/>
      <c r="I44" s="263"/>
      <c r="J44" s="264"/>
    </row>
    <row r="45" spans="1:11" s="4" customFormat="1" ht="18.75" customHeight="1" x14ac:dyDescent="0.15">
      <c r="A45" s="91" t="s">
        <v>14</v>
      </c>
      <c r="B45" s="1" t="s">
        <v>156</v>
      </c>
      <c r="C45" s="1"/>
      <c r="D45" s="1"/>
      <c r="E45" s="1"/>
      <c r="F45" s="1"/>
      <c r="G45" s="1"/>
      <c r="H45" s="1"/>
      <c r="I45" s="91"/>
      <c r="J45" s="91"/>
      <c r="K45" s="27"/>
    </row>
    <row r="46" spans="1:11" ht="18.75" customHeight="1" x14ac:dyDescent="0.15">
      <c r="A46" s="31"/>
      <c r="B46" s="247" t="s">
        <v>193</v>
      </c>
      <c r="C46" s="248"/>
      <c r="D46" s="248"/>
      <c r="E46" s="248"/>
      <c r="F46" s="248"/>
      <c r="G46" s="248"/>
      <c r="H46" s="248"/>
      <c r="I46" s="248"/>
      <c r="J46" s="249"/>
      <c r="K46" s="27" t="str">
        <f>IF(B46="","入力してください","")</f>
        <v/>
      </c>
    </row>
    <row r="47" spans="1:11" ht="18.75" customHeight="1" x14ac:dyDescent="0.15">
      <c r="A47" s="31"/>
      <c r="B47" s="250"/>
      <c r="C47" s="251"/>
      <c r="D47" s="251"/>
      <c r="E47" s="251"/>
      <c r="F47" s="251"/>
      <c r="G47" s="251"/>
      <c r="H47" s="251"/>
      <c r="I47" s="251"/>
      <c r="J47" s="252"/>
    </row>
    <row r="48" spans="1:11" ht="18.75" customHeight="1" x14ac:dyDescent="0.15">
      <c r="A48" s="31"/>
      <c r="B48" s="250"/>
      <c r="C48" s="251"/>
      <c r="D48" s="251"/>
      <c r="E48" s="251"/>
      <c r="F48" s="251"/>
      <c r="G48" s="251"/>
      <c r="H48" s="251"/>
      <c r="I48" s="251"/>
      <c r="J48" s="252"/>
    </row>
    <row r="49" spans="1:10" ht="18.75" customHeight="1" x14ac:dyDescent="0.15">
      <c r="A49" s="31"/>
      <c r="B49" s="250"/>
      <c r="C49" s="251"/>
      <c r="D49" s="251"/>
      <c r="E49" s="251"/>
      <c r="F49" s="251"/>
      <c r="G49" s="251"/>
      <c r="H49" s="251"/>
      <c r="I49" s="251"/>
      <c r="J49" s="252"/>
    </row>
    <row r="50" spans="1:10" ht="18.75" customHeight="1" x14ac:dyDescent="0.15">
      <c r="A50" s="31"/>
      <c r="B50" s="250"/>
      <c r="C50" s="251"/>
      <c r="D50" s="251"/>
      <c r="E50" s="251"/>
      <c r="F50" s="251"/>
      <c r="G50" s="251"/>
      <c r="H50" s="251"/>
      <c r="I50" s="251"/>
      <c r="J50" s="252"/>
    </row>
    <row r="51" spans="1:10" ht="18.75" customHeight="1" x14ac:dyDescent="0.15">
      <c r="A51" s="31"/>
      <c r="B51" s="250"/>
      <c r="C51" s="251"/>
      <c r="D51" s="251"/>
      <c r="E51" s="251"/>
      <c r="F51" s="251"/>
      <c r="G51" s="251"/>
      <c r="H51" s="251"/>
      <c r="I51" s="251"/>
      <c r="J51" s="252"/>
    </row>
    <row r="52" spans="1:10" ht="18.75" customHeight="1" x14ac:dyDescent="0.15">
      <c r="A52" s="31"/>
      <c r="B52" s="250"/>
      <c r="C52" s="251"/>
      <c r="D52" s="251"/>
      <c r="E52" s="251"/>
      <c r="F52" s="251"/>
      <c r="G52" s="251"/>
      <c r="H52" s="251"/>
      <c r="I52" s="251"/>
      <c r="J52" s="252"/>
    </row>
    <row r="53" spans="1:10" ht="18.75" customHeight="1" x14ac:dyDescent="0.15">
      <c r="A53" s="31"/>
      <c r="B53" s="250"/>
      <c r="C53" s="251"/>
      <c r="D53" s="251"/>
      <c r="E53" s="251"/>
      <c r="F53" s="251"/>
      <c r="G53" s="251"/>
      <c r="H53" s="251"/>
      <c r="I53" s="251"/>
      <c r="J53" s="252"/>
    </row>
    <row r="54" spans="1:10" ht="18.75" customHeight="1" x14ac:dyDescent="0.15">
      <c r="A54" s="31"/>
      <c r="B54" s="250"/>
      <c r="C54" s="251"/>
      <c r="D54" s="251"/>
      <c r="E54" s="251"/>
      <c r="F54" s="251"/>
      <c r="G54" s="251"/>
      <c r="H54" s="251"/>
      <c r="I54" s="251"/>
      <c r="J54" s="252"/>
    </row>
    <row r="55" spans="1:10" ht="18.75" customHeight="1" x14ac:dyDescent="0.15">
      <c r="A55" s="31"/>
      <c r="B55" s="250"/>
      <c r="C55" s="251"/>
      <c r="D55" s="251"/>
      <c r="E55" s="251"/>
      <c r="F55" s="251"/>
      <c r="G55" s="251"/>
      <c r="H55" s="251"/>
      <c r="I55" s="251"/>
      <c r="J55" s="252"/>
    </row>
    <row r="56" spans="1:10" ht="18.75" customHeight="1" x14ac:dyDescent="0.15">
      <c r="A56" s="31"/>
      <c r="B56" s="250"/>
      <c r="C56" s="251"/>
      <c r="D56" s="251"/>
      <c r="E56" s="251"/>
      <c r="F56" s="251"/>
      <c r="G56" s="251"/>
      <c r="H56" s="251"/>
      <c r="I56" s="251"/>
      <c r="J56" s="252"/>
    </row>
    <row r="57" spans="1:10" ht="18.75" customHeight="1" x14ac:dyDescent="0.15">
      <c r="A57" s="31"/>
      <c r="B57" s="250"/>
      <c r="C57" s="251"/>
      <c r="D57" s="251"/>
      <c r="E57" s="251"/>
      <c r="F57" s="251"/>
      <c r="G57" s="251"/>
      <c r="H57" s="251"/>
      <c r="I57" s="251"/>
      <c r="J57" s="252"/>
    </row>
    <row r="58" spans="1:10" ht="18.75" customHeight="1" x14ac:dyDescent="0.15">
      <c r="A58" s="31"/>
      <c r="B58" s="250"/>
      <c r="C58" s="251"/>
      <c r="D58" s="251"/>
      <c r="E58" s="251"/>
      <c r="F58" s="251"/>
      <c r="G58" s="251"/>
      <c r="H58" s="251"/>
      <c r="I58" s="251"/>
      <c r="J58" s="252"/>
    </row>
    <row r="59" spans="1:10" ht="18.75" customHeight="1" x14ac:dyDescent="0.15">
      <c r="A59" s="31"/>
      <c r="B59" s="250"/>
      <c r="C59" s="251"/>
      <c r="D59" s="251"/>
      <c r="E59" s="251"/>
      <c r="F59" s="251"/>
      <c r="G59" s="251"/>
      <c r="H59" s="251"/>
      <c r="I59" s="251"/>
      <c r="J59" s="252"/>
    </row>
    <row r="60" spans="1:10" ht="18.75" customHeight="1" x14ac:dyDescent="0.15">
      <c r="A60" s="31"/>
      <c r="B60" s="250"/>
      <c r="C60" s="251"/>
      <c r="D60" s="251"/>
      <c r="E60" s="251"/>
      <c r="F60" s="251"/>
      <c r="G60" s="251"/>
      <c r="H60" s="251"/>
      <c r="I60" s="251"/>
      <c r="J60" s="252"/>
    </row>
    <row r="61" spans="1:10" ht="18.75" customHeight="1" x14ac:dyDescent="0.15">
      <c r="A61" s="31"/>
      <c r="B61" s="250"/>
      <c r="C61" s="251"/>
      <c r="D61" s="251"/>
      <c r="E61" s="251"/>
      <c r="F61" s="251"/>
      <c r="G61" s="251"/>
      <c r="H61" s="251"/>
      <c r="I61" s="251"/>
      <c r="J61" s="252"/>
    </row>
    <row r="62" spans="1:10" ht="18.75" customHeight="1" x14ac:dyDescent="0.15">
      <c r="A62" s="31"/>
      <c r="B62" s="250"/>
      <c r="C62" s="251"/>
      <c r="D62" s="251"/>
      <c r="E62" s="251"/>
      <c r="F62" s="251"/>
      <c r="G62" s="251"/>
      <c r="H62" s="251"/>
      <c r="I62" s="251"/>
      <c r="J62" s="252"/>
    </row>
    <row r="63" spans="1:10" ht="18.75" customHeight="1" x14ac:dyDescent="0.15">
      <c r="A63" s="31"/>
      <c r="B63" s="250"/>
      <c r="C63" s="251"/>
      <c r="D63" s="251"/>
      <c r="E63" s="251"/>
      <c r="F63" s="251"/>
      <c r="G63" s="251"/>
      <c r="H63" s="251"/>
      <c r="I63" s="251"/>
      <c r="J63" s="252"/>
    </row>
    <row r="64" spans="1:10" ht="18.75" customHeight="1" x14ac:dyDescent="0.15">
      <c r="A64" s="31"/>
      <c r="B64" s="250"/>
      <c r="C64" s="251"/>
      <c r="D64" s="251"/>
      <c r="E64" s="251"/>
      <c r="F64" s="251"/>
      <c r="G64" s="251"/>
      <c r="H64" s="251"/>
      <c r="I64" s="251"/>
      <c r="J64" s="252"/>
    </row>
    <row r="65" spans="1:11" ht="18.75" customHeight="1" x14ac:dyDescent="0.15">
      <c r="A65" s="31"/>
      <c r="B65" s="250"/>
      <c r="C65" s="251"/>
      <c r="D65" s="251"/>
      <c r="E65" s="251"/>
      <c r="F65" s="251"/>
      <c r="G65" s="251"/>
      <c r="H65" s="251"/>
      <c r="I65" s="251"/>
      <c r="J65" s="252"/>
    </row>
    <row r="66" spans="1:11" ht="18.75" customHeight="1" x14ac:dyDescent="0.15">
      <c r="A66" s="31"/>
      <c r="B66" s="253"/>
      <c r="C66" s="254"/>
      <c r="D66" s="254"/>
      <c r="E66" s="254"/>
      <c r="F66" s="254"/>
      <c r="G66" s="254"/>
      <c r="H66" s="254"/>
      <c r="I66" s="254"/>
      <c r="J66" s="255"/>
    </row>
    <row r="67" spans="1:11" ht="7.5" customHeight="1" x14ac:dyDescent="0.15">
      <c r="A67" s="31"/>
      <c r="B67" s="31"/>
      <c r="C67" s="31"/>
      <c r="D67" s="31"/>
      <c r="E67" s="31"/>
      <c r="F67" s="31"/>
      <c r="G67" s="31"/>
      <c r="H67" s="31"/>
      <c r="I67" s="31"/>
      <c r="J67" s="31"/>
    </row>
    <row r="68" spans="1:11" s="4" customFormat="1" ht="18.75" customHeight="1" x14ac:dyDescent="0.15">
      <c r="A68" s="1" t="s">
        <v>16</v>
      </c>
      <c r="B68" s="1" t="s">
        <v>157</v>
      </c>
      <c r="C68" s="1"/>
      <c r="D68" s="1"/>
      <c r="E68" s="1"/>
      <c r="F68" s="1"/>
      <c r="G68" s="1"/>
      <c r="H68" s="1"/>
      <c r="I68" s="1"/>
      <c r="J68" s="1"/>
      <c r="K68" s="27"/>
    </row>
    <row r="69" spans="1:11" s="4" customFormat="1" ht="18.75" customHeight="1" x14ac:dyDescent="0.15">
      <c r="A69" s="1"/>
      <c r="B69" s="247" t="s">
        <v>198</v>
      </c>
      <c r="C69" s="256"/>
      <c r="D69" s="256"/>
      <c r="E69" s="256"/>
      <c r="F69" s="256"/>
      <c r="G69" s="256"/>
      <c r="H69" s="256"/>
      <c r="I69" s="257"/>
      <c r="J69" s="258"/>
      <c r="K69" s="27" t="str">
        <f>IF(B69="","入力してください","")</f>
        <v/>
      </c>
    </row>
    <row r="70" spans="1:11" s="4" customFormat="1" ht="18.75" customHeight="1" x14ac:dyDescent="0.15">
      <c r="A70" s="1"/>
      <c r="B70" s="259"/>
      <c r="C70" s="260"/>
      <c r="D70" s="260"/>
      <c r="E70" s="260"/>
      <c r="F70" s="260"/>
      <c r="G70" s="260"/>
      <c r="H70" s="260"/>
      <c r="I70" s="260"/>
      <c r="J70" s="261"/>
      <c r="K70" s="27"/>
    </row>
    <row r="71" spans="1:11" s="4" customFormat="1" ht="18.75" customHeight="1" x14ac:dyDescent="0.15">
      <c r="A71" s="1"/>
      <c r="B71" s="259"/>
      <c r="C71" s="260"/>
      <c r="D71" s="260"/>
      <c r="E71" s="260"/>
      <c r="F71" s="260"/>
      <c r="G71" s="260"/>
      <c r="H71" s="260"/>
      <c r="I71" s="260"/>
      <c r="J71" s="261"/>
      <c r="K71" s="27"/>
    </row>
    <row r="72" spans="1:11" s="4" customFormat="1" ht="18.75" customHeight="1" x14ac:dyDescent="0.15">
      <c r="A72" s="1"/>
      <c r="B72" s="259"/>
      <c r="C72" s="260"/>
      <c r="D72" s="260"/>
      <c r="E72" s="260"/>
      <c r="F72" s="260"/>
      <c r="G72" s="260"/>
      <c r="H72" s="260"/>
      <c r="I72" s="260"/>
      <c r="J72" s="261"/>
      <c r="K72" s="27"/>
    </row>
    <row r="73" spans="1:11" s="4" customFormat="1" ht="18.75" customHeight="1" x14ac:dyDescent="0.15">
      <c r="A73" s="1"/>
      <c r="B73" s="259"/>
      <c r="C73" s="260"/>
      <c r="D73" s="260"/>
      <c r="E73" s="260"/>
      <c r="F73" s="260"/>
      <c r="G73" s="260"/>
      <c r="H73" s="260"/>
      <c r="I73" s="260"/>
      <c r="J73" s="261"/>
      <c r="K73" s="27"/>
    </row>
    <row r="74" spans="1:11" s="4" customFormat="1" ht="18.75" customHeight="1" x14ac:dyDescent="0.15">
      <c r="A74" s="1"/>
      <c r="B74" s="259"/>
      <c r="C74" s="260"/>
      <c r="D74" s="260"/>
      <c r="E74" s="260"/>
      <c r="F74" s="260"/>
      <c r="G74" s="260"/>
      <c r="H74" s="260"/>
      <c r="I74" s="260"/>
      <c r="J74" s="261"/>
      <c r="K74" s="27"/>
    </row>
    <row r="75" spans="1:11" s="4" customFormat="1" ht="18.75" customHeight="1" x14ac:dyDescent="0.15">
      <c r="A75" s="1"/>
      <c r="B75" s="259"/>
      <c r="C75" s="260"/>
      <c r="D75" s="260"/>
      <c r="E75" s="260"/>
      <c r="F75" s="260"/>
      <c r="G75" s="260"/>
      <c r="H75" s="260"/>
      <c r="I75" s="260"/>
      <c r="J75" s="261"/>
      <c r="K75" s="27"/>
    </row>
    <row r="76" spans="1:11" s="4" customFormat="1" ht="18.75" customHeight="1" x14ac:dyDescent="0.15">
      <c r="A76" s="1"/>
      <c r="B76" s="259"/>
      <c r="C76" s="260"/>
      <c r="D76" s="260"/>
      <c r="E76" s="260"/>
      <c r="F76" s="260"/>
      <c r="G76" s="260"/>
      <c r="H76" s="260"/>
      <c r="I76" s="260"/>
      <c r="J76" s="261"/>
      <c r="K76" s="27"/>
    </row>
    <row r="77" spans="1:11" s="4" customFormat="1" ht="18.75" customHeight="1" x14ac:dyDescent="0.15">
      <c r="A77" s="1"/>
      <c r="B77" s="259"/>
      <c r="C77" s="260"/>
      <c r="D77" s="260"/>
      <c r="E77" s="260"/>
      <c r="F77" s="260"/>
      <c r="G77" s="260"/>
      <c r="H77" s="260"/>
      <c r="I77" s="260"/>
      <c r="J77" s="261"/>
      <c r="K77" s="27"/>
    </row>
    <row r="78" spans="1:11" s="4" customFormat="1" ht="18.75" customHeight="1" x14ac:dyDescent="0.15">
      <c r="A78" s="1"/>
      <c r="B78" s="259"/>
      <c r="C78" s="260"/>
      <c r="D78" s="260"/>
      <c r="E78" s="260"/>
      <c r="F78" s="260"/>
      <c r="G78" s="260"/>
      <c r="H78" s="260"/>
      <c r="I78" s="260"/>
      <c r="J78" s="261"/>
      <c r="K78" s="27"/>
    </row>
    <row r="79" spans="1:11" s="4" customFormat="1" ht="18.75" customHeight="1" x14ac:dyDescent="0.15">
      <c r="A79" s="1"/>
      <c r="B79" s="259"/>
      <c r="C79" s="260"/>
      <c r="D79" s="260"/>
      <c r="E79" s="260"/>
      <c r="F79" s="260"/>
      <c r="G79" s="260"/>
      <c r="H79" s="260"/>
      <c r="I79" s="260"/>
      <c r="J79" s="261"/>
      <c r="K79" s="27"/>
    </row>
    <row r="80" spans="1:11" s="4" customFormat="1" ht="18.75" customHeight="1" x14ac:dyDescent="0.15">
      <c r="A80" s="1"/>
      <c r="B80" s="259"/>
      <c r="C80" s="260"/>
      <c r="D80" s="260"/>
      <c r="E80" s="260"/>
      <c r="F80" s="260"/>
      <c r="G80" s="260"/>
      <c r="H80" s="260"/>
      <c r="I80" s="260"/>
      <c r="J80" s="261"/>
      <c r="K80" s="27"/>
    </row>
    <row r="81" spans="1:11" s="4" customFormat="1" ht="18.75" customHeight="1" x14ac:dyDescent="0.15">
      <c r="A81" s="1"/>
      <c r="B81" s="259"/>
      <c r="C81" s="260"/>
      <c r="D81" s="260"/>
      <c r="E81" s="260"/>
      <c r="F81" s="260"/>
      <c r="G81" s="260"/>
      <c r="H81" s="260"/>
      <c r="I81" s="260"/>
      <c r="J81" s="261"/>
      <c r="K81" s="27"/>
    </row>
    <row r="82" spans="1:11" s="4" customFormat="1" ht="18.75" customHeight="1" x14ac:dyDescent="0.15">
      <c r="A82" s="1"/>
      <c r="B82" s="259"/>
      <c r="C82" s="260"/>
      <c r="D82" s="260"/>
      <c r="E82" s="260"/>
      <c r="F82" s="260"/>
      <c r="G82" s="260"/>
      <c r="H82" s="260"/>
      <c r="I82" s="260"/>
      <c r="J82" s="261"/>
      <c r="K82" s="27"/>
    </row>
    <row r="83" spans="1:11" s="4" customFormat="1" ht="18.75" customHeight="1" x14ac:dyDescent="0.15">
      <c r="A83" s="1"/>
      <c r="B83" s="259"/>
      <c r="C83" s="260"/>
      <c r="D83" s="260"/>
      <c r="E83" s="260"/>
      <c r="F83" s="260"/>
      <c r="G83" s="260"/>
      <c r="H83" s="260"/>
      <c r="I83" s="260"/>
      <c r="J83" s="261"/>
      <c r="K83" s="27"/>
    </row>
    <row r="84" spans="1:11" s="4" customFormat="1" ht="18.75" customHeight="1" x14ac:dyDescent="0.15">
      <c r="A84" s="1"/>
      <c r="B84" s="259"/>
      <c r="C84" s="260"/>
      <c r="D84" s="260"/>
      <c r="E84" s="260"/>
      <c r="F84" s="260"/>
      <c r="G84" s="260"/>
      <c r="H84" s="260"/>
      <c r="I84" s="260"/>
      <c r="J84" s="261"/>
      <c r="K84" s="27"/>
    </row>
    <row r="85" spans="1:11" ht="18.75" customHeight="1" x14ac:dyDescent="0.15">
      <c r="A85" s="31"/>
      <c r="B85" s="259"/>
      <c r="C85" s="260"/>
      <c r="D85" s="260"/>
      <c r="E85" s="260"/>
      <c r="F85" s="260"/>
      <c r="G85" s="260"/>
      <c r="H85" s="260"/>
      <c r="I85" s="260"/>
      <c r="J85" s="261"/>
    </row>
    <row r="86" spans="1:11" ht="18.75" customHeight="1" x14ac:dyDescent="0.15">
      <c r="A86" s="31"/>
      <c r="B86" s="262"/>
      <c r="C86" s="263"/>
      <c r="D86" s="263"/>
      <c r="E86" s="263"/>
      <c r="F86" s="263"/>
      <c r="G86" s="263"/>
      <c r="H86" s="263"/>
      <c r="I86" s="263"/>
      <c r="J86" s="264"/>
    </row>
    <row r="87" spans="1:11" ht="7.5" customHeight="1" x14ac:dyDescent="0.15">
      <c r="A87" s="31"/>
      <c r="B87" s="31"/>
      <c r="C87" s="31"/>
      <c r="D87" s="31"/>
      <c r="E87" s="31"/>
      <c r="F87" s="31"/>
      <c r="G87" s="31"/>
      <c r="H87" s="31"/>
      <c r="I87" s="31"/>
      <c r="J87" s="31"/>
    </row>
    <row r="88" spans="1:11" s="4" customFormat="1" ht="18.75" customHeight="1" x14ac:dyDescent="0.15">
      <c r="A88" s="1" t="s">
        <v>158</v>
      </c>
      <c r="B88" s="1" t="s">
        <v>159</v>
      </c>
      <c r="C88" s="1"/>
      <c r="D88" s="1"/>
      <c r="E88" s="1"/>
      <c r="F88" s="1"/>
      <c r="G88" s="1"/>
      <c r="H88" s="1"/>
      <c r="I88" s="1"/>
      <c r="J88" s="1"/>
      <c r="K88" s="27"/>
    </row>
    <row r="89" spans="1:11" s="4" customFormat="1" ht="18.75" customHeight="1" x14ac:dyDescent="0.15">
      <c r="A89" s="1"/>
      <c r="B89" s="247" t="s">
        <v>195</v>
      </c>
      <c r="C89" s="256"/>
      <c r="D89" s="256"/>
      <c r="E89" s="256"/>
      <c r="F89" s="256"/>
      <c r="G89" s="256"/>
      <c r="H89" s="256"/>
      <c r="I89" s="257"/>
      <c r="J89" s="258"/>
      <c r="K89" s="27"/>
    </row>
    <row r="90" spans="1:11" s="4" customFormat="1" ht="18.75" customHeight="1" x14ac:dyDescent="0.15">
      <c r="A90" s="1"/>
      <c r="B90" s="259"/>
      <c r="C90" s="260"/>
      <c r="D90" s="260"/>
      <c r="E90" s="260"/>
      <c r="F90" s="260"/>
      <c r="G90" s="260"/>
      <c r="H90" s="260"/>
      <c r="I90" s="260"/>
      <c r="J90" s="261"/>
      <c r="K90" s="27"/>
    </row>
    <row r="91" spans="1:11" s="4" customFormat="1" ht="18.75" customHeight="1" x14ac:dyDescent="0.15">
      <c r="A91" s="1"/>
      <c r="B91" s="259"/>
      <c r="C91" s="260"/>
      <c r="D91" s="260"/>
      <c r="E91" s="260"/>
      <c r="F91" s="260"/>
      <c r="G91" s="260"/>
      <c r="H91" s="260"/>
      <c r="I91" s="260"/>
      <c r="J91" s="261"/>
      <c r="K91" s="27" t="str">
        <f>IF(B89="","入力してください","")</f>
        <v/>
      </c>
    </row>
    <row r="92" spans="1:11" s="4" customFormat="1" ht="18.75" customHeight="1" x14ac:dyDescent="0.15">
      <c r="A92" s="1"/>
      <c r="B92" s="259"/>
      <c r="C92" s="260"/>
      <c r="D92" s="260"/>
      <c r="E92" s="260"/>
      <c r="F92" s="260"/>
      <c r="G92" s="260"/>
      <c r="H92" s="260"/>
      <c r="I92" s="260"/>
      <c r="J92" s="261"/>
      <c r="K92" s="27"/>
    </row>
    <row r="93" spans="1:11" s="4" customFormat="1" ht="18.75" customHeight="1" x14ac:dyDescent="0.15">
      <c r="A93" s="1"/>
      <c r="B93" s="259"/>
      <c r="C93" s="260"/>
      <c r="D93" s="260"/>
      <c r="E93" s="260"/>
      <c r="F93" s="260"/>
      <c r="G93" s="260"/>
      <c r="H93" s="260"/>
      <c r="I93" s="260"/>
      <c r="J93" s="261"/>
      <c r="K93" s="27"/>
    </row>
    <row r="94" spans="1:11" s="4" customFormat="1" ht="18.75" customHeight="1" x14ac:dyDescent="0.15">
      <c r="A94" s="1"/>
      <c r="B94" s="259"/>
      <c r="C94" s="260"/>
      <c r="D94" s="260"/>
      <c r="E94" s="260"/>
      <c r="F94" s="260"/>
      <c r="G94" s="260"/>
      <c r="H94" s="260"/>
      <c r="I94" s="260"/>
      <c r="J94" s="261"/>
      <c r="K94" s="27"/>
    </row>
    <row r="95" spans="1:11" s="4" customFormat="1" ht="18.75" customHeight="1" x14ac:dyDescent="0.15">
      <c r="A95" s="1"/>
      <c r="B95" s="259"/>
      <c r="C95" s="260"/>
      <c r="D95" s="260"/>
      <c r="E95" s="260"/>
      <c r="F95" s="260"/>
      <c r="G95" s="260"/>
      <c r="H95" s="260"/>
      <c r="I95" s="260"/>
      <c r="J95" s="261"/>
      <c r="K95" s="27"/>
    </row>
    <row r="96" spans="1:11" s="4" customFormat="1" ht="18.75" customHeight="1" x14ac:dyDescent="0.15">
      <c r="A96" s="1"/>
      <c r="B96" s="259"/>
      <c r="C96" s="260"/>
      <c r="D96" s="260"/>
      <c r="E96" s="260"/>
      <c r="F96" s="260"/>
      <c r="G96" s="260"/>
      <c r="H96" s="260"/>
      <c r="I96" s="260"/>
      <c r="J96" s="261"/>
      <c r="K96" s="27"/>
    </row>
    <row r="97" spans="1:11" s="4" customFormat="1" ht="18.75" customHeight="1" x14ac:dyDescent="0.15">
      <c r="A97" s="1"/>
      <c r="B97" s="259"/>
      <c r="C97" s="260"/>
      <c r="D97" s="260"/>
      <c r="E97" s="260"/>
      <c r="F97" s="260"/>
      <c r="G97" s="260"/>
      <c r="H97" s="260"/>
      <c r="I97" s="260"/>
      <c r="J97" s="261"/>
      <c r="K97" s="27"/>
    </row>
    <row r="98" spans="1:11" s="4" customFormat="1" ht="18.75" customHeight="1" x14ac:dyDescent="0.15">
      <c r="A98" s="1"/>
      <c r="B98" s="259"/>
      <c r="C98" s="260"/>
      <c r="D98" s="260"/>
      <c r="E98" s="260"/>
      <c r="F98" s="260"/>
      <c r="G98" s="260"/>
      <c r="H98" s="260"/>
      <c r="I98" s="260"/>
      <c r="J98" s="261"/>
      <c r="K98" s="27"/>
    </row>
    <row r="99" spans="1:11" s="4" customFormat="1" ht="18.75" customHeight="1" x14ac:dyDescent="0.15">
      <c r="A99" s="1"/>
      <c r="B99" s="259"/>
      <c r="C99" s="260"/>
      <c r="D99" s="260"/>
      <c r="E99" s="260"/>
      <c r="F99" s="260"/>
      <c r="G99" s="260"/>
      <c r="H99" s="260"/>
      <c r="I99" s="260"/>
      <c r="J99" s="261"/>
      <c r="K99" s="27"/>
    </row>
    <row r="100" spans="1:11" s="4" customFormat="1" ht="18.75" customHeight="1" x14ac:dyDescent="0.15">
      <c r="A100" s="1"/>
      <c r="B100" s="259"/>
      <c r="C100" s="260"/>
      <c r="D100" s="260"/>
      <c r="E100" s="260"/>
      <c r="F100" s="260"/>
      <c r="G100" s="260"/>
      <c r="H100" s="260"/>
      <c r="I100" s="260"/>
      <c r="J100" s="261"/>
      <c r="K100" s="27"/>
    </row>
    <row r="101" spans="1:11" s="4" customFormat="1" ht="18.75" customHeight="1" x14ac:dyDescent="0.15">
      <c r="A101" s="1"/>
      <c r="B101" s="259"/>
      <c r="C101" s="260"/>
      <c r="D101" s="260"/>
      <c r="E101" s="260"/>
      <c r="F101" s="260"/>
      <c r="G101" s="260"/>
      <c r="H101" s="260"/>
      <c r="I101" s="260"/>
      <c r="J101" s="261"/>
      <c r="K101" s="27"/>
    </row>
    <row r="102" spans="1:11" s="4" customFormat="1" ht="18.75" customHeight="1" x14ac:dyDescent="0.15">
      <c r="A102" s="1"/>
      <c r="B102" s="259"/>
      <c r="C102" s="260"/>
      <c r="D102" s="260"/>
      <c r="E102" s="260"/>
      <c r="F102" s="260"/>
      <c r="G102" s="260"/>
      <c r="H102" s="260"/>
      <c r="I102" s="260"/>
      <c r="J102" s="261"/>
      <c r="K102" s="27"/>
    </row>
    <row r="103" spans="1:11" s="4" customFormat="1" ht="18.75" customHeight="1" x14ac:dyDescent="0.15">
      <c r="A103" s="1"/>
      <c r="B103" s="259"/>
      <c r="C103" s="260"/>
      <c r="D103" s="260"/>
      <c r="E103" s="260"/>
      <c r="F103" s="260"/>
      <c r="G103" s="260"/>
      <c r="H103" s="260"/>
      <c r="I103" s="260"/>
      <c r="J103" s="261"/>
      <c r="K103" s="27"/>
    </row>
    <row r="104" spans="1:11" s="4" customFormat="1" ht="18.75" customHeight="1" x14ac:dyDescent="0.15">
      <c r="A104" s="1"/>
      <c r="B104" s="259"/>
      <c r="C104" s="260"/>
      <c r="D104" s="260"/>
      <c r="E104" s="260"/>
      <c r="F104" s="260"/>
      <c r="G104" s="260"/>
      <c r="H104" s="260"/>
      <c r="I104" s="260"/>
      <c r="J104" s="261"/>
      <c r="K104" s="27"/>
    </row>
    <row r="105" spans="1:11" s="4" customFormat="1" ht="18.75" customHeight="1" x14ac:dyDescent="0.15">
      <c r="A105" s="1"/>
      <c r="B105" s="259"/>
      <c r="C105" s="260"/>
      <c r="D105" s="260"/>
      <c r="E105" s="260"/>
      <c r="F105" s="260"/>
      <c r="G105" s="260"/>
      <c r="H105" s="260"/>
      <c r="I105" s="260"/>
      <c r="J105" s="261"/>
      <c r="K105" s="27"/>
    </row>
    <row r="106" spans="1:11" s="4" customFormat="1" ht="18.75" customHeight="1" x14ac:dyDescent="0.15">
      <c r="A106" s="1"/>
      <c r="B106" s="259"/>
      <c r="C106" s="260"/>
      <c r="D106" s="260"/>
      <c r="E106" s="260"/>
      <c r="F106" s="260"/>
      <c r="G106" s="260"/>
      <c r="H106" s="260"/>
      <c r="I106" s="260"/>
      <c r="J106" s="261"/>
      <c r="K106" s="27"/>
    </row>
    <row r="107" spans="1:11" ht="18.75" customHeight="1" x14ac:dyDescent="0.15">
      <c r="A107" s="31"/>
      <c r="B107" s="259"/>
      <c r="C107" s="260"/>
      <c r="D107" s="260"/>
      <c r="E107" s="260"/>
      <c r="F107" s="260"/>
      <c r="G107" s="260"/>
      <c r="H107" s="260"/>
      <c r="I107" s="260"/>
      <c r="J107" s="261"/>
    </row>
    <row r="108" spans="1:11" ht="18.75" customHeight="1" x14ac:dyDescent="0.15">
      <c r="A108" s="31"/>
      <c r="B108" s="262"/>
      <c r="C108" s="263"/>
      <c r="D108" s="263"/>
      <c r="E108" s="263"/>
      <c r="F108" s="263"/>
      <c r="G108" s="263"/>
      <c r="H108" s="263"/>
      <c r="I108" s="263"/>
      <c r="J108" s="264"/>
    </row>
    <row r="109" spans="1:11" ht="7.5" customHeight="1" x14ac:dyDescent="0.15">
      <c r="A109" s="31"/>
      <c r="B109" s="31"/>
      <c r="C109" s="31"/>
      <c r="D109" s="31"/>
      <c r="E109" s="31"/>
      <c r="F109" s="31"/>
      <c r="G109" s="31"/>
      <c r="H109" s="31"/>
      <c r="I109" s="31"/>
      <c r="J109" s="31"/>
    </row>
    <row r="110" spans="1:11" s="4" customFormat="1" ht="18.75" customHeight="1" x14ac:dyDescent="0.15">
      <c r="A110" s="1" t="s">
        <v>21</v>
      </c>
      <c r="B110" s="265" t="s">
        <v>160</v>
      </c>
      <c r="C110" s="265"/>
      <c r="D110" s="265"/>
      <c r="E110" s="265"/>
      <c r="F110" s="265"/>
      <c r="G110" s="265"/>
      <c r="H110" s="265"/>
      <c r="I110" s="265"/>
      <c r="J110" s="265"/>
      <c r="K110" s="27"/>
    </row>
    <row r="111" spans="1:11" ht="18.75" customHeight="1" x14ac:dyDescent="0.15">
      <c r="A111" s="31"/>
      <c r="B111" s="247" t="s">
        <v>201</v>
      </c>
      <c r="C111" s="256"/>
      <c r="D111" s="256"/>
      <c r="E111" s="256"/>
      <c r="F111" s="256"/>
      <c r="G111" s="256"/>
      <c r="H111" s="256"/>
      <c r="I111" s="257"/>
      <c r="J111" s="258"/>
    </row>
    <row r="112" spans="1:11" ht="18.75" customHeight="1" x14ac:dyDescent="0.15">
      <c r="A112" s="31"/>
      <c r="B112" s="259"/>
      <c r="C112" s="260"/>
      <c r="D112" s="260"/>
      <c r="E112" s="260"/>
      <c r="F112" s="260"/>
      <c r="G112" s="260"/>
      <c r="H112" s="260"/>
      <c r="I112" s="260"/>
      <c r="J112" s="261"/>
    </row>
    <row r="113" spans="1:11" ht="18.75" customHeight="1" x14ac:dyDescent="0.15">
      <c r="A113" s="31"/>
      <c r="B113" s="259"/>
      <c r="C113" s="260"/>
      <c r="D113" s="260"/>
      <c r="E113" s="260"/>
      <c r="F113" s="260"/>
      <c r="G113" s="260"/>
      <c r="H113" s="260"/>
      <c r="I113" s="260"/>
      <c r="J113" s="261"/>
      <c r="K113" s="27" t="str">
        <f>IF(B111="","入力してください","")</f>
        <v/>
      </c>
    </row>
    <row r="114" spans="1:11" ht="18.75" customHeight="1" x14ac:dyDescent="0.15">
      <c r="A114" s="31"/>
      <c r="B114" s="259"/>
      <c r="C114" s="260"/>
      <c r="D114" s="260"/>
      <c r="E114" s="260"/>
      <c r="F114" s="260"/>
      <c r="G114" s="260"/>
      <c r="H114" s="260"/>
      <c r="I114" s="260"/>
      <c r="J114" s="261"/>
    </row>
    <row r="115" spans="1:11" ht="18.75" customHeight="1" x14ac:dyDescent="0.15">
      <c r="A115" s="31"/>
      <c r="B115" s="259"/>
      <c r="C115" s="260"/>
      <c r="D115" s="260"/>
      <c r="E115" s="260"/>
      <c r="F115" s="260"/>
      <c r="G115" s="260"/>
      <c r="H115" s="260"/>
      <c r="I115" s="260"/>
      <c r="J115" s="261"/>
    </row>
    <row r="116" spans="1:11" ht="18.75" customHeight="1" x14ac:dyDescent="0.15">
      <c r="A116" s="31"/>
      <c r="B116" s="259"/>
      <c r="C116" s="260"/>
      <c r="D116" s="260"/>
      <c r="E116" s="260"/>
      <c r="F116" s="260"/>
      <c r="G116" s="260"/>
      <c r="H116" s="260"/>
      <c r="I116" s="260"/>
      <c r="J116" s="261"/>
    </row>
    <row r="117" spans="1:11" ht="18.75" customHeight="1" x14ac:dyDescent="0.15">
      <c r="A117" s="31"/>
      <c r="B117" s="259"/>
      <c r="C117" s="260"/>
      <c r="D117" s="260"/>
      <c r="E117" s="260"/>
      <c r="F117" s="260"/>
      <c r="G117" s="260"/>
      <c r="H117" s="260"/>
      <c r="I117" s="260"/>
      <c r="J117" s="261"/>
    </row>
    <row r="118" spans="1:11" ht="18.75" customHeight="1" x14ac:dyDescent="0.15">
      <c r="A118" s="31"/>
      <c r="B118" s="259"/>
      <c r="C118" s="260"/>
      <c r="D118" s="260"/>
      <c r="E118" s="260"/>
      <c r="F118" s="260"/>
      <c r="G118" s="260"/>
      <c r="H118" s="260"/>
      <c r="I118" s="260"/>
      <c r="J118" s="261"/>
    </row>
    <row r="119" spans="1:11" ht="18.75" customHeight="1" x14ac:dyDescent="0.15">
      <c r="A119" s="31"/>
      <c r="B119" s="259"/>
      <c r="C119" s="260"/>
      <c r="D119" s="260"/>
      <c r="E119" s="260"/>
      <c r="F119" s="260"/>
      <c r="G119" s="260"/>
      <c r="H119" s="260"/>
      <c r="I119" s="260"/>
      <c r="J119" s="261"/>
    </row>
    <row r="120" spans="1:11" ht="18.75" customHeight="1" x14ac:dyDescent="0.15">
      <c r="A120" s="31"/>
      <c r="B120" s="259"/>
      <c r="C120" s="260"/>
      <c r="D120" s="260"/>
      <c r="E120" s="260"/>
      <c r="F120" s="260"/>
      <c r="G120" s="260"/>
      <c r="H120" s="260"/>
      <c r="I120" s="260"/>
      <c r="J120" s="261"/>
    </row>
    <row r="121" spans="1:11" ht="18.75" customHeight="1" x14ac:dyDescent="0.15">
      <c r="A121" s="31"/>
      <c r="B121" s="259"/>
      <c r="C121" s="260"/>
      <c r="D121" s="260"/>
      <c r="E121" s="260"/>
      <c r="F121" s="260"/>
      <c r="G121" s="260"/>
      <c r="H121" s="260"/>
      <c r="I121" s="260"/>
      <c r="J121" s="261"/>
    </row>
    <row r="122" spans="1:11" ht="18.75" customHeight="1" x14ac:dyDescent="0.15">
      <c r="A122" s="31"/>
      <c r="B122" s="259"/>
      <c r="C122" s="260"/>
      <c r="D122" s="260"/>
      <c r="E122" s="260"/>
      <c r="F122" s="260"/>
      <c r="G122" s="260"/>
      <c r="H122" s="260"/>
      <c r="I122" s="260"/>
      <c r="J122" s="261"/>
    </row>
    <row r="123" spans="1:11" ht="18.75" customHeight="1" x14ac:dyDescent="0.15">
      <c r="A123" s="31"/>
      <c r="B123" s="259"/>
      <c r="C123" s="260"/>
      <c r="D123" s="260"/>
      <c r="E123" s="260"/>
      <c r="F123" s="260"/>
      <c r="G123" s="260"/>
      <c r="H123" s="260"/>
      <c r="I123" s="260"/>
      <c r="J123" s="261"/>
    </row>
    <row r="124" spans="1:11" ht="18.75" customHeight="1" x14ac:dyDescent="0.15">
      <c r="A124" s="31"/>
      <c r="B124" s="259"/>
      <c r="C124" s="260"/>
      <c r="D124" s="260"/>
      <c r="E124" s="260"/>
      <c r="F124" s="260"/>
      <c r="G124" s="260"/>
      <c r="H124" s="260"/>
      <c r="I124" s="260"/>
      <c r="J124" s="261"/>
    </row>
    <row r="125" spans="1:11" ht="18.75" customHeight="1" x14ac:dyDescent="0.15">
      <c r="A125" s="31"/>
      <c r="B125" s="259"/>
      <c r="C125" s="260"/>
      <c r="D125" s="260"/>
      <c r="E125" s="260"/>
      <c r="F125" s="260"/>
      <c r="G125" s="260"/>
      <c r="H125" s="260"/>
      <c r="I125" s="260"/>
      <c r="J125" s="261"/>
    </row>
    <row r="126" spans="1:11" ht="18.75" customHeight="1" x14ac:dyDescent="0.15">
      <c r="A126" s="31"/>
      <c r="B126" s="259"/>
      <c r="C126" s="260"/>
      <c r="D126" s="260"/>
      <c r="E126" s="260"/>
      <c r="F126" s="260"/>
      <c r="G126" s="260"/>
      <c r="H126" s="260"/>
      <c r="I126" s="260"/>
      <c r="J126" s="261"/>
    </row>
    <row r="127" spans="1:11" ht="18.75" customHeight="1" x14ac:dyDescent="0.15">
      <c r="A127" s="31"/>
      <c r="B127" s="259"/>
      <c r="C127" s="260"/>
      <c r="D127" s="260"/>
      <c r="E127" s="260"/>
      <c r="F127" s="260"/>
      <c r="G127" s="260"/>
      <c r="H127" s="260"/>
      <c r="I127" s="260"/>
      <c r="J127" s="261"/>
    </row>
    <row r="128" spans="1:11" ht="18.75" customHeight="1" x14ac:dyDescent="0.15">
      <c r="A128" s="31"/>
      <c r="B128" s="259"/>
      <c r="C128" s="260"/>
      <c r="D128" s="260"/>
      <c r="E128" s="260"/>
      <c r="F128" s="260"/>
      <c r="G128" s="260"/>
      <c r="H128" s="260"/>
      <c r="I128" s="260"/>
      <c r="J128" s="261"/>
    </row>
    <row r="129" spans="1:10" ht="18.75" customHeight="1" x14ac:dyDescent="0.15">
      <c r="A129" s="31"/>
      <c r="B129" s="262"/>
      <c r="C129" s="263"/>
      <c r="D129" s="263"/>
      <c r="E129" s="263"/>
      <c r="F129" s="263"/>
      <c r="G129" s="263"/>
      <c r="H129" s="263"/>
      <c r="I129" s="263"/>
      <c r="J129" s="264"/>
    </row>
    <row r="130" spans="1:10" ht="7.5" customHeight="1" x14ac:dyDescent="0.15">
      <c r="A130" s="31"/>
      <c r="B130" s="92"/>
      <c r="C130" s="92"/>
      <c r="D130" s="92"/>
      <c r="E130" s="92"/>
      <c r="F130" s="92"/>
      <c r="G130" s="92"/>
      <c r="H130" s="92"/>
      <c r="I130" s="92"/>
      <c r="J130" s="92"/>
    </row>
    <row r="131" spans="1:10" ht="18.75" customHeight="1" x14ac:dyDescent="0.15">
      <c r="A131" s="31"/>
      <c r="B131" s="31"/>
      <c r="C131" s="31"/>
      <c r="D131" s="31"/>
      <c r="E131" s="31"/>
      <c r="F131" s="31"/>
      <c r="G131" s="31"/>
      <c r="H131" s="31"/>
      <c r="I131" s="31"/>
      <c r="J131" s="31"/>
    </row>
    <row r="132" spans="1:10" ht="18.75" customHeight="1" x14ac:dyDescent="0.15">
      <c r="A132" s="31"/>
      <c r="B132" s="31"/>
      <c r="C132" s="31"/>
      <c r="D132" s="31"/>
      <c r="E132" s="31"/>
      <c r="F132" s="31"/>
      <c r="G132" s="31"/>
      <c r="H132" s="31"/>
      <c r="I132" s="31"/>
      <c r="J132" s="31"/>
    </row>
    <row r="133" spans="1:10" ht="18.75" customHeight="1" x14ac:dyDescent="0.15">
      <c r="A133" s="31"/>
      <c r="B133" s="31"/>
      <c r="C133" s="31"/>
      <c r="D133" s="31"/>
      <c r="E133" s="31"/>
      <c r="F133" s="31"/>
      <c r="G133" s="31"/>
      <c r="H133" s="31"/>
      <c r="I133" s="31"/>
      <c r="J133" s="31"/>
    </row>
    <row r="134" spans="1:10" ht="18.75" customHeight="1" x14ac:dyDescent="0.15">
      <c r="A134" s="31"/>
      <c r="B134" s="31"/>
      <c r="C134" s="31"/>
      <c r="D134" s="31"/>
      <c r="E134" s="31"/>
      <c r="F134" s="31"/>
      <c r="G134" s="31"/>
      <c r="H134" s="31"/>
      <c r="I134" s="31"/>
      <c r="J134" s="31"/>
    </row>
    <row r="135" spans="1:10" ht="18.75" customHeight="1" x14ac:dyDescent="0.15">
      <c r="A135" s="31"/>
      <c r="B135" s="31"/>
      <c r="C135" s="31"/>
      <c r="D135" s="31"/>
      <c r="E135" s="31"/>
      <c r="F135" s="31"/>
      <c r="G135" s="31"/>
      <c r="H135" s="31"/>
      <c r="I135" s="31"/>
      <c r="J135" s="31"/>
    </row>
    <row r="136" spans="1:10" ht="18.75" customHeight="1" x14ac:dyDescent="0.15">
      <c r="A136" s="31"/>
      <c r="B136" s="31"/>
      <c r="C136" s="31"/>
      <c r="D136" s="31"/>
      <c r="E136" s="31"/>
      <c r="F136" s="31"/>
      <c r="G136" s="31"/>
      <c r="H136" s="31"/>
      <c r="I136" s="31"/>
      <c r="J136" s="31"/>
    </row>
    <row r="137" spans="1:10" ht="18.75" customHeight="1" x14ac:dyDescent="0.15">
      <c r="A137" s="31"/>
      <c r="B137" s="31"/>
      <c r="C137" s="31"/>
      <c r="D137" s="31"/>
      <c r="E137" s="31"/>
      <c r="F137" s="31"/>
      <c r="G137" s="31"/>
      <c r="H137" s="31"/>
      <c r="I137" s="31"/>
      <c r="J137" s="31"/>
    </row>
    <row r="138" spans="1:10" ht="18.75" customHeight="1" x14ac:dyDescent="0.15">
      <c r="A138" s="31"/>
      <c r="B138" s="31"/>
      <c r="C138" s="31"/>
      <c r="D138" s="31"/>
      <c r="E138" s="31"/>
      <c r="F138" s="31"/>
      <c r="G138" s="31"/>
      <c r="H138" s="31"/>
      <c r="I138" s="31"/>
      <c r="J138" s="31"/>
    </row>
    <row r="139" spans="1:10" ht="18.75" customHeight="1" x14ac:dyDescent="0.15">
      <c r="A139" s="31"/>
      <c r="B139" s="31"/>
      <c r="C139" s="31"/>
      <c r="D139" s="31"/>
      <c r="E139" s="31"/>
      <c r="F139" s="31"/>
      <c r="G139" s="31"/>
      <c r="H139" s="31"/>
      <c r="I139" s="31"/>
      <c r="J139" s="31"/>
    </row>
    <row r="140" spans="1:10" ht="18.75" customHeight="1" x14ac:dyDescent="0.15">
      <c r="A140" s="31"/>
      <c r="B140" s="31"/>
      <c r="C140" s="31"/>
      <c r="D140" s="31"/>
      <c r="E140" s="31"/>
      <c r="F140" s="31"/>
      <c r="G140" s="31"/>
      <c r="H140" s="31"/>
      <c r="I140" s="31"/>
      <c r="J140" s="31"/>
    </row>
    <row r="141" spans="1:10" ht="18.75" customHeight="1" x14ac:dyDescent="0.15">
      <c r="A141" s="31"/>
      <c r="B141" s="31"/>
      <c r="C141" s="31"/>
      <c r="D141" s="31"/>
      <c r="E141" s="31"/>
      <c r="F141" s="31"/>
      <c r="G141" s="31"/>
      <c r="H141" s="31"/>
      <c r="I141" s="31"/>
      <c r="J141" s="31"/>
    </row>
    <row r="142" spans="1:10" ht="18.75" customHeight="1" x14ac:dyDescent="0.15">
      <c r="A142" s="31"/>
      <c r="B142" s="31"/>
      <c r="C142" s="31"/>
      <c r="D142" s="31"/>
      <c r="E142" s="31"/>
      <c r="F142" s="31"/>
      <c r="G142" s="31"/>
      <c r="H142" s="31"/>
      <c r="I142" s="31"/>
      <c r="J142" s="31"/>
    </row>
    <row r="143" spans="1:10" ht="14.25" x14ac:dyDescent="0.15">
      <c r="A143" s="31"/>
      <c r="B143" s="31"/>
      <c r="C143" s="31"/>
      <c r="D143" s="31"/>
      <c r="E143" s="31"/>
      <c r="F143" s="31"/>
      <c r="G143" s="31"/>
      <c r="H143" s="31"/>
      <c r="I143" s="31"/>
      <c r="J143" s="31"/>
    </row>
    <row r="144" spans="1:10" ht="7.5" customHeight="1" x14ac:dyDescent="0.15">
      <c r="A144" s="93"/>
      <c r="B144" s="93"/>
      <c r="C144" s="93"/>
      <c r="D144" s="93"/>
      <c r="E144" s="93"/>
      <c r="F144" s="93"/>
      <c r="G144" s="93"/>
      <c r="H144" s="93"/>
      <c r="I144" s="93"/>
      <c r="J144" s="93"/>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E9" sqref="E9:J9"/>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375" style="1" customWidth="1"/>
    <col min="10" max="10" width="5.375" style="1" customWidth="1"/>
    <col min="11" max="11" width="4.125" style="27" customWidth="1"/>
    <col min="12" max="16384" width="11.375" style="1"/>
  </cols>
  <sheetData>
    <row r="1" spans="1:11" ht="18.75" customHeight="1" x14ac:dyDescent="0.15">
      <c r="A1" s="1" t="s">
        <v>161</v>
      </c>
      <c r="J1" s="33" t="s">
        <v>162</v>
      </c>
    </row>
    <row r="2" spans="1:11" ht="18.75" customHeight="1" x14ac:dyDescent="0.15">
      <c r="A2" s="231" t="s">
        <v>163</v>
      </c>
      <c r="B2" s="231"/>
      <c r="C2" s="231"/>
      <c r="D2" s="231"/>
      <c r="E2" s="231"/>
      <c r="F2" s="231"/>
      <c r="G2" s="231"/>
      <c r="H2" s="231"/>
      <c r="I2" s="231"/>
      <c r="J2" s="231"/>
    </row>
    <row r="3" spans="1:11" ht="7.5" customHeight="1" x14ac:dyDescent="0.15">
      <c r="A3" s="34"/>
      <c r="B3" s="34"/>
      <c r="C3" s="34"/>
      <c r="D3" s="34"/>
      <c r="E3" s="34"/>
      <c r="F3" s="34"/>
      <c r="G3" s="34"/>
      <c r="H3" s="34"/>
      <c r="I3" s="34"/>
      <c r="J3" s="34"/>
    </row>
    <row r="4" spans="1:11" ht="18.75" customHeight="1" x14ac:dyDescent="0.15">
      <c r="A4" s="1" t="s">
        <v>2</v>
      </c>
      <c r="B4" s="4" t="s">
        <v>164</v>
      </c>
      <c r="C4" s="31"/>
      <c r="D4" s="31"/>
      <c r="E4" s="32"/>
      <c r="F4" s="32"/>
      <c r="G4" s="32"/>
      <c r="H4" s="32"/>
      <c r="I4" s="32"/>
      <c r="J4" s="32"/>
    </row>
    <row r="5" spans="1:11" ht="18.75" customHeight="1" x14ac:dyDescent="0.15">
      <c r="B5" s="305" t="s">
        <v>165</v>
      </c>
      <c r="C5" s="306"/>
      <c r="D5" s="307"/>
      <c r="E5" s="308" t="s">
        <v>166</v>
      </c>
      <c r="F5" s="308"/>
      <c r="G5" s="308"/>
      <c r="H5" s="308"/>
      <c r="I5" s="308"/>
      <c r="J5" s="137"/>
    </row>
    <row r="6" spans="1:11" ht="18.75" customHeight="1" x14ac:dyDescent="0.15">
      <c r="B6" s="3" t="s">
        <v>167</v>
      </c>
      <c r="C6" s="31"/>
      <c r="D6" s="7"/>
      <c r="I6" s="32"/>
      <c r="J6" s="5"/>
    </row>
    <row r="7" spans="1:11" ht="207" customHeight="1" x14ac:dyDescent="0.15">
      <c r="B7" s="6"/>
      <c r="C7" s="296" t="s">
        <v>168</v>
      </c>
      <c r="D7" s="297"/>
      <c r="E7" s="302" t="s">
        <v>169</v>
      </c>
      <c r="F7" s="298"/>
      <c r="G7" s="298"/>
      <c r="H7" s="298"/>
      <c r="I7" s="298"/>
      <c r="J7" s="299"/>
      <c r="K7" s="27" t="str">
        <f>IF(E7="","入力してください","")</f>
        <v/>
      </c>
    </row>
    <row r="8" spans="1:11" ht="207" customHeight="1" x14ac:dyDescent="0.15">
      <c r="B8" s="6"/>
      <c r="C8" s="303" t="s">
        <v>170</v>
      </c>
      <c r="D8" s="304"/>
      <c r="E8" s="302" t="s">
        <v>203</v>
      </c>
      <c r="F8" s="298"/>
      <c r="G8" s="298"/>
      <c r="H8" s="298"/>
      <c r="I8" s="298"/>
      <c r="J8" s="299"/>
      <c r="K8" s="27" t="str">
        <f>IF(E8="","入力してください","")</f>
        <v/>
      </c>
    </row>
    <row r="9" spans="1:11" ht="172.5" customHeight="1" x14ac:dyDescent="0.15">
      <c r="B9" s="6"/>
      <c r="C9" s="296" t="s">
        <v>171</v>
      </c>
      <c r="D9" s="297"/>
      <c r="E9" s="302" t="s">
        <v>172</v>
      </c>
      <c r="F9" s="298"/>
      <c r="G9" s="298"/>
      <c r="H9" s="298"/>
      <c r="I9" s="298"/>
      <c r="J9" s="299"/>
      <c r="K9" s="27" t="str">
        <f>IF(E9="","入力してください","")</f>
        <v/>
      </c>
    </row>
    <row r="10" spans="1:11" ht="172.5" customHeight="1" x14ac:dyDescent="0.15">
      <c r="B10" s="6"/>
      <c r="C10" s="296" t="s">
        <v>173</v>
      </c>
      <c r="D10" s="297"/>
      <c r="E10" s="302" t="s">
        <v>200</v>
      </c>
      <c r="F10" s="298"/>
      <c r="G10" s="298"/>
      <c r="H10" s="298"/>
      <c r="I10" s="298"/>
      <c r="J10" s="299"/>
      <c r="K10" s="27" t="str">
        <f t="shared" ref="K10:K14" si="0">IF(E10="","入力してください","")</f>
        <v/>
      </c>
    </row>
    <row r="11" spans="1:11" ht="172.5" customHeight="1" x14ac:dyDescent="0.15">
      <c r="B11" s="6"/>
      <c r="C11" s="296" t="s">
        <v>174</v>
      </c>
      <c r="D11" s="297"/>
      <c r="E11" s="302" t="s">
        <v>199</v>
      </c>
      <c r="F11" s="298"/>
      <c r="G11" s="298"/>
      <c r="H11" s="298"/>
      <c r="I11" s="298"/>
      <c r="J11" s="299"/>
      <c r="K11" s="27" t="str">
        <f t="shared" si="0"/>
        <v/>
      </c>
    </row>
    <row r="12" spans="1:11" ht="18.75" customHeight="1" x14ac:dyDescent="0.15">
      <c r="B12" s="9" t="s">
        <v>175</v>
      </c>
      <c r="C12" s="24"/>
      <c r="D12" s="8"/>
      <c r="E12" s="109"/>
      <c r="F12" s="109"/>
      <c r="G12" s="109"/>
      <c r="H12" s="109"/>
      <c r="I12" s="109"/>
      <c r="J12" s="110"/>
    </row>
    <row r="13" spans="1:11" ht="244.15" customHeight="1" x14ac:dyDescent="0.15">
      <c r="B13" s="6"/>
      <c r="C13" s="296" t="s">
        <v>176</v>
      </c>
      <c r="D13" s="297"/>
      <c r="E13" s="298" t="s">
        <v>191</v>
      </c>
      <c r="F13" s="298"/>
      <c r="G13" s="298"/>
      <c r="H13" s="298"/>
      <c r="I13" s="298"/>
      <c r="J13" s="299"/>
      <c r="K13" s="27" t="str">
        <f t="shared" si="0"/>
        <v/>
      </c>
    </row>
    <row r="14" spans="1:11" ht="255" customHeight="1" x14ac:dyDescent="0.15">
      <c r="B14" s="6"/>
      <c r="C14" s="296" t="s">
        <v>177</v>
      </c>
      <c r="D14" s="297"/>
      <c r="E14" s="298" t="s">
        <v>178</v>
      </c>
      <c r="F14" s="298"/>
      <c r="G14" s="298"/>
      <c r="H14" s="298"/>
      <c r="I14" s="298"/>
      <c r="J14" s="299"/>
      <c r="K14" s="27" t="str">
        <f t="shared" si="0"/>
        <v/>
      </c>
    </row>
    <row r="15" spans="1:11" ht="243" customHeight="1" x14ac:dyDescent="0.15">
      <c r="B15" s="300" t="s">
        <v>179</v>
      </c>
      <c r="C15" s="301"/>
      <c r="D15" s="297"/>
      <c r="E15" s="298" t="s">
        <v>180</v>
      </c>
      <c r="F15" s="298"/>
      <c r="G15" s="298"/>
      <c r="H15" s="298"/>
      <c r="I15" s="298"/>
      <c r="J15" s="299"/>
      <c r="K15" s="27" t="str">
        <f>IF(E15="","入力してください","")</f>
        <v/>
      </c>
    </row>
    <row r="16" spans="1:11" ht="243" customHeight="1" x14ac:dyDescent="0.15">
      <c r="A16" s="27"/>
      <c r="B16" s="290" t="s">
        <v>181</v>
      </c>
      <c r="C16" s="291"/>
      <c r="D16" s="292"/>
      <c r="E16" s="254" t="s">
        <v>182</v>
      </c>
      <c r="F16" s="254"/>
      <c r="G16" s="254"/>
      <c r="H16" s="254"/>
      <c r="I16" s="254"/>
      <c r="J16" s="255"/>
      <c r="K16" s="27" t="str">
        <f>IF(E16="","入力してください","")</f>
        <v/>
      </c>
    </row>
    <row r="17" spans="1:11" ht="7.5" customHeight="1" x14ac:dyDescent="0.15">
      <c r="B17" s="31"/>
      <c r="C17" s="31"/>
      <c r="D17" s="31"/>
      <c r="E17" s="32"/>
      <c r="F17" s="32"/>
      <c r="G17" s="32"/>
      <c r="H17" s="32"/>
      <c r="I17" s="32"/>
      <c r="J17" s="32"/>
    </row>
    <row r="18" spans="1:11" ht="18.75" customHeight="1" x14ac:dyDescent="0.15">
      <c r="A18" s="1" t="s">
        <v>183</v>
      </c>
      <c r="B18" s="4"/>
      <c r="C18" s="31"/>
      <c r="D18" s="31"/>
      <c r="E18" s="32"/>
      <c r="F18" s="82"/>
      <c r="G18" s="293" t="s">
        <v>184</v>
      </c>
      <c r="H18" s="294"/>
      <c r="I18" s="294"/>
      <c r="J18" s="295"/>
      <c r="K18" s="27" t="str">
        <f>IF(G18="","入力してください","")</f>
        <v/>
      </c>
    </row>
    <row r="19" spans="1:11" ht="22.5" customHeight="1" x14ac:dyDescent="0.15">
      <c r="B19" s="31"/>
      <c r="C19" s="31"/>
      <c r="D19" s="31"/>
      <c r="E19" s="32"/>
      <c r="F19" s="32"/>
      <c r="G19" s="32"/>
      <c r="H19" s="32"/>
      <c r="I19" s="32"/>
      <c r="J19" s="32"/>
    </row>
    <row r="20" spans="1:11" ht="22.5" customHeight="1" x14ac:dyDescent="0.15">
      <c r="B20" s="31"/>
      <c r="C20" s="31"/>
      <c r="D20" s="31"/>
      <c r="E20" s="32"/>
      <c r="F20" s="32"/>
      <c r="G20" s="32"/>
      <c r="H20" s="32"/>
      <c r="I20" s="32"/>
      <c r="J20" s="32"/>
    </row>
    <row r="21" spans="1:11" ht="22.5" customHeight="1" x14ac:dyDescent="0.15">
      <c r="B21" s="31"/>
      <c r="C21" s="31"/>
      <c r="D21" s="31"/>
      <c r="E21" s="32"/>
      <c r="F21" s="32"/>
      <c r="G21" s="32"/>
      <c r="H21" s="32"/>
      <c r="I21" s="32"/>
      <c r="J21" s="32"/>
    </row>
    <row r="22" spans="1:11" ht="22.5" customHeight="1" x14ac:dyDescent="0.15">
      <c r="B22" s="31"/>
      <c r="C22" s="31"/>
      <c r="D22" s="31"/>
      <c r="E22" s="32"/>
      <c r="F22" s="32"/>
      <c r="G22" s="32"/>
      <c r="H22" s="32"/>
      <c r="I22" s="32"/>
      <c r="J22" s="32"/>
    </row>
    <row r="23" spans="1:11" ht="22.5" customHeight="1" x14ac:dyDescent="0.15">
      <c r="B23" s="31"/>
      <c r="C23" s="31"/>
      <c r="D23" s="31"/>
      <c r="E23" s="32"/>
      <c r="F23" s="32"/>
      <c r="G23" s="32"/>
      <c r="H23" s="32"/>
      <c r="I23" s="32"/>
      <c r="J23" s="32"/>
    </row>
    <row r="24" spans="1:11" ht="22.5" customHeight="1" x14ac:dyDescent="0.15">
      <c r="B24" s="94"/>
      <c r="C24" s="94"/>
      <c r="D24" s="94"/>
      <c r="E24" s="94"/>
      <c r="F24" s="94"/>
      <c r="G24" s="94"/>
      <c r="H24" s="94"/>
      <c r="I24" s="94"/>
      <c r="J24" s="94"/>
    </row>
    <row r="25" spans="1:11" ht="22.5" customHeight="1" x14ac:dyDescent="0.15">
      <c r="B25" s="94"/>
      <c r="C25" s="94"/>
      <c r="D25" s="94"/>
      <c r="E25" s="94"/>
      <c r="F25" s="94"/>
      <c r="G25" s="94"/>
      <c r="H25" s="94"/>
      <c r="I25" s="94"/>
      <c r="J25" s="94"/>
    </row>
    <row r="26" spans="1:11" ht="22.5" customHeight="1" x14ac:dyDescent="0.15">
      <c r="B26" s="94"/>
      <c r="C26" s="94"/>
      <c r="D26" s="94"/>
      <c r="E26" s="94"/>
      <c r="F26" s="94"/>
      <c r="G26" s="94"/>
      <c r="H26" s="94"/>
      <c r="I26" s="94"/>
      <c r="J26" s="94"/>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296E956F-097D-4B6F-A422-3B9364A1F867}"/>
  </hyperlinks>
  <printOptions horizontalCentered="1"/>
  <pageMargins left="0.78740157480314965" right="0.78740157480314965" top="0.78740157480314965" bottom="0.78740157480314965" header="0.31496062992125984" footer="0.31496062992125984"/>
  <pageSetup paperSize="9"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D5FB2A3749BCC45A69420DC5518D7D6" ma:contentTypeVersion="7" ma:contentTypeDescription="新しいドキュメントを作成します。" ma:contentTypeScope="" ma:versionID="55fd1fd16e95c25e5a1b7b5a7a2ccfaa">
  <xsd:schema xmlns:xsd="http://www.w3.org/2001/XMLSchema" xmlns:xs="http://www.w3.org/2001/XMLSchema" xmlns:p="http://schemas.microsoft.com/office/2006/metadata/properties" xmlns:ns2="a52bb972-6bf8-4965-ac55-2b4e2f4c2d80" targetNamespace="http://schemas.microsoft.com/office/2006/metadata/properties" ma:root="true" ma:fieldsID="11712d9488edc5e1b5f5f997774fa0cb" ns2:_="">
    <xsd:import namespace="a52bb972-6bf8-4965-ac55-2b4e2f4c2d8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2bb972-6bf8-4965-ac55-2b4e2f4c2d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1766DE-5952-4AA6-A841-888477C98E74}">
  <ds:schemaRefs>
    <ds:schemaRef ds:uri="a52bb972-6bf8-4965-ac55-2b4e2f4c2d80"/>
    <ds:schemaRef ds:uri="http://purl.org/dc/dcmitype/"/>
    <ds:schemaRef ds:uri="http://purl.org/dc/elements/1.1/"/>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EF43E2A-CD1B-4CEC-B908-A7CAAA3BF04A}">
  <ds:schemaRefs>
    <ds:schemaRef ds:uri="http://schemas.microsoft.com/sharepoint/v3/contenttype/forms"/>
  </ds:schemaRefs>
</ds:datastoreItem>
</file>

<file path=customXml/itemProps3.xml><?xml version="1.0" encoding="utf-8"?>
<ds:datastoreItem xmlns:ds="http://schemas.openxmlformats.org/officeDocument/2006/customXml" ds:itemID="{2F7DF96E-49D4-488A-82F3-43183EB950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2bb972-6bf8-4965-ac55-2b4e2f4c2d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yamamura</cp:lastModifiedBy>
  <cp:revision/>
  <cp:lastPrinted>2022-05-18T00:42:06Z</cp:lastPrinted>
  <dcterms:created xsi:type="dcterms:W3CDTF">2011-06-14T05:32:50Z</dcterms:created>
  <dcterms:modified xsi:type="dcterms:W3CDTF">2022-05-19T01:21:28Z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0x0101002D5FB2A3749BCC45A69420DC5518D7D6</vt:lpwstr>
  </property>
</Properties>
</file>