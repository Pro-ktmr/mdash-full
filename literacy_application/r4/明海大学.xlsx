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24226"/>
  <mc:AlternateContent xmlns:mc="http://schemas.openxmlformats.org/markup-compatibility/2006">
    <mc:Choice Requires="x15">
      <x15ac:absPath xmlns:x15ac="http://schemas.microsoft.com/office/spreadsheetml/2010/11/ac" url="\\ura-nas\B 作業場\B25 教務\１　学部\て　データサイエンス\2022データサイエンスプログラム申請書類\文部科学省アップロード資料（申請様式再提出）【20220526】\"/>
    </mc:Choice>
  </mc:AlternateContent>
  <xr:revisionPtr revIDLastSave="0" documentId="13_ncr:1_{AA821890-7466-4F8E-B653-3904B1EC0349}" xr6:coauthVersionLast="36" xr6:coauthVersionMax="36" xr10:uidLastSave="{00000000-0000-0000-0000-000000000000}"/>
  <bookViews>
    <workbookView xWindow="1875" yWindow="0" windowWidth="23655" windowHeight="15510" tabRatio="885" activeTab="2" xr2:uid="{00000000-000D-0000-FFFF-FFFF00000000}"/>
  </bookViews>
  <sheets>
    <sheet name="様式１　大学等概要" sheetId="8" r:id="rId1"/>
    <sheet name="様式2-1　プログラムを構成する授業科目 （浦安キャンパス）" sheetId="45" r:id="rId2"/>
    <sheet name="様式２-2　プログラムを構成する授業科目（歯学部）" sheetId="39" r:id="rId3"/>
    <sheet name="様式３　履修者等数の実績" sheetId="40" r:id="rId4"/>
    <sheet name="様式４　教育の質・履修者数を向上させるための体制・計画" sheetId="41" r:id="rId5"/>
    <sheet name="様式５　自己点検・評価" sheetId="44" r:id="rId6"/>
    <sheet name="様式６　特色ある取組" sheetId="43" r:id="rId7"/>
  </sheets>
  <externalReferences>
    <externalReference r:id="rId8"/>
  </externalReferences>
  <definedNames>
    <definedName name="_xlnm._FilterDatabase" localSheetId="1" hidden="1">'様式2-1　プログラムを構成する授業科目 （浦安キャンパス）'!#REF!</definedName>
    <definedName name="_xlnm._FilterDatabase" localSheetId="2" hidden="1">'様式２-2　プログラムを構成する授業科目（歯学部）'!#REF!</definedName>
    <definedName name="_xlnm._FilterDatabase" localSheetId="3" hidden="1">'様式３　履修者等数の実績'!#REF!</definedName>
    <definedName name="_xlnm.Print_Area" localSheetId="0">'様式１　大学等概要'!$A$1:$N$45</definedName>
    <definedName name="_xlnm.Print_Area" localSheetId="1">'様式2-1　プログラムを構成する授業科目 （浦安キャンパス）'!$A$1:$Z$99</definedName>
    <definedName name="_xlnm.Print_Area" localSheetId="2">'様式２-2　プログラムを構成する授業科目（歯学部）'!$A$1:$Z$99</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6">'様式６　特色ある取組'!$A$1:$F$124</definedName>
  </definedNames>
  <calcPr calcId="191029"/>
</workbook>
</file>

<file path=xl/calcChain.xml><?xml version="1.0" encoding="utf-8"?>
<calcChain xmlns="http://schemas.openxmlformats.org/spreadsheetml/2006/main">
  <c r="K7" i="44" l="1"/>
  <c r="K8" i="44"/>
  <c r="K9" i="44"/>
  <c r="K10" i="44"/>
  <c r="K11" i="44"/>
  <c r="K13" i="44"/>
  <c r="K14" i="44"/>
  <c r="K15" i="44"/>
  <c r="K16" i="44"/>
  <c r="K18" i="44"/>
  <c r="P30" i="40" l="1"/>
  <c r="O30" i="40"/>
  <c r="N30" i="40"/>
  <c r="M30" i="40"/>
  <c r="L30" i="40"/>
  <c r="K30" i="40"/>
  <c r="J30" i="40"/>
  <c r="I30" i="40"/>
  <c r="H30" i="40"/>
  <c r="G30" i="40"/>
  <c r="F30" i="40"/>
  <c r="E30" i="40"/>
  <c r="D30" i="40"/>
  <c r="I29" i="41" s="1"/>
  <c r="C30" i="40"/>
  <c r="Q15" i="40"/>
  <c r="R15" i="40" s="1"/>
  <c r="Q14" i="40"/>
  <c r="R14" i="40" s="1"/>
  <c r="Q13" i="40"/>
  <c r="R13" i="40" s="1"/>
  <c r="Q12" i="40"/>
  <c r="R12" i="40" s="1"/>
  <c r="Q11" i="40"/>
  <c r="R11" i="40" s="1"/>
  <c r="Q10" i="40"/>
  <c r="C4" i="40"/>
  <c r="Q30" i="40" l="1"/>
  <c r="R30" i="40" s="1"/>
  <c r="C28" i="41" s="1"/>
  <c r="R10" i="40"/>
  <c r="O12" i="8" l="1"/>
  <c r="O10" i="8"/>
  <c r="O4" i="8" l="1"/>
  <c r="O45" i="8"/>
  <c r="O44" i="8"/>
  <c r="O41" i="8"/>
  <c r="O37" i="8"/>
  <c r="O39" i="8"/>
  <c r="O34" i="8"/>
  <c r="O29" i="8"/>
  <c r="O32" i="8"/>
  <c r="O20" i="8"/>
  <c r="O18" i="8"/>
  <c r="O16" i="8"/>
  <c r="O14" i="8"/>
  <c r="O8" i="8"/>
  <c r="O6" i="8"/>
</calcChain>
</file>

<file path=xl/sharedStrings.xml><?xml version="1.0" encoding="utf-8"?>
<sst xmlns="http://schemas.openxmlformats.org/spreadsheetml/2006/main" count="485" uniqueCount="230">
  <si>
    <t>教員数</t>
    <rPh sb="0" eb="2">
      <t>キョウイン</t>
    </rPh>
    <rPh sb="2" eb="3">
      <t>スウ</t>
    </rPh>
    <phoneticPr fontId="3"/>
  </si>
  <si>
    <t>所属部署名</t>
    <rPh sb="0" eb="2">
      <t>ショゾク</t>
    </rPh>
    <rPh sb="2" eb="4">
      <t>ブショ</t>
    </rPh>
    <rPh sb="4" eb="5">
      <t>メイ</t>
    </rPh>
    <phoneticPr fontId="3"/>
  </si>
  <si>
    <t>担当者名</t>
    <rPh sb="0" eb="2">
      <t>タントウ</t>
    </rPh>
    <rPh sb="2" eb="3">
      <t>シャ</t>
    </rPh>
    <rPh sb="3" eb="4">
      <t>メイ</t>
    </rPh>
    <phoneticPr fontId="3"/>
  </si>
  <si>
    <t>電話番号</t>
  </si>
  <si>
    <t>E-mail</t>
  </si>
  <si>
    <t>（常勤）</t>
    <rPh sb="1" eb="3">
      <t>ジョウキン</t>
    </rPh>
    <phoneticPr fontId="3"/>
  </si>
  <si>
    <t>①</t>
    <phoneticPr fontId="3"/>
  </si>
  <si>
    <t>様式６</t>
    <rPh sb="0" eb="2">
      <t>ヨウシキ</t>
    </rPh>
    <phoneticPr fontId="3"/>
  </si>
  <si>
    <t>人</t>
    <rPh sb="0" eb="1">
      <t>ニン</t>
    </rPh>
    <phoneticPr fontId="3"/>
  </si>
  <si>
    <t>（非常勤）</t>
    <rPh sb="1" eb="4">
      <t>ヒジョウキン</t>
    </rPh>
    <phoneticPr fontId="3"/>
  </si>
  <si>
    <t>②</t>
    <phoneticPr fontId="3"/>
  </si>
  <si>
    <t>③</t>
    <phoneticPr fontId="3"/>
  </si>
  <si>
    <t>⑤</t>
    <phoneticPr fontId="3"/>
  </si>
  <si>
    <t>⑦</t>
    <phoneticPr fontId="3"/>
  </si>
  <si>
    <t>④</t>
    <phoneticPr fontId="3"/>
  </si>
  <si>
    <t>⑥</t>
    <phoneticPr fontId="3"/>
  </si>
  <si>
    <t>具体的な構成員</t>
    <rPh sb="0" eb="3">
      <t>グタイテキ</t>
    </rPh>
    <rPh sb="4" eb="7">
      <t>コウセイイン</t>
    </rPh>
    <phoneticPr fontId="3"/>
  </si>
  <si>
    <t>学校名</t>
    <rPh sb="0" eb="2">
      <t>ガッコウ</t>
    </rPh>
    <rPh sb="2" eb="3">
      <t>メイ</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</si>
  <si>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</si>
  <si>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</si>
  <si>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</si>
  <si>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</si>
  <si>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人</t>
  </si>
  <si>
    <t>（役職名）</t>
    <rPh sb="1" eb="4">
      <t>ヤクショクメイ</t>
    </rPh>
    <phoneticPr fontId="3"/>
  </si>
  <si>
    <t>⑩</t>
    <phoneticPr fontId="3"/>
  </si>
  <si>
    <t>様式１</t>
    <rPh sb="0" eb="2">
      <t>ヨウシキ</t>
    </rPh>
    <phoneticPr fontId="3"/>
  </si>
  <si>
    <t>履修者数・履修率の向上に向けた計画</t>
    <rPh sb="5" eb="7">
      <t>リシュウ</t>
    </rPh>
    <rPh sb="7" eb="8">
      <t>リツ</t>
    </rPh>
    <phoneticPr fontId="3"/>
  </si>
  <si>
    <t>授業内容</t>
    <rPh sb="0" eb="2">
      <t>ジュギョウ</t>
    </rPh>
    <rPh sb="2" eb="4">
      <t>ナイヨウ</t>
    </rPh>
    <phoneticPr fontId="3"/>
  </si>
  <si>
    <t>できる限り多くの学生が履修・修得できるようなサポート体制</t>
    <rPh sb="26" eb="28">
      <t>タイセイ</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</si>
  <si>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</si>
  <si>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</si>
  <si>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学修成果</t>
    <rPh sb="0" eb="2">
      <t>ガクシュウ</t>
    </rPh>
    <rPh sb="2" eb="4">
      <t>セイカ</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</si>
  <si>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</si>
  <si>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</si>
  <si>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</si>
  <si>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</si>
  <si>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</si>
  <si>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</si>
  <si>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</si>
  <si>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自己点検・評価の視点</t>
    <rPh sb="0" eb="2">
      <t>ジコ</t>
    </rPh>
    <rPh sb="2" eb="4">
      <t>テンケン</t>
    </rPh>
    <rPh sb="5" eb="7">
      <t>ヒョウカ</t>
    </rPh>
    <rPh sb="8" eb="10">
      <t>シテン</t>
    </rPh>
    <phoneticPr fontId="3"/>
  </si>
  <si>
    <t>体制の目的</t>
    <rPh sb="0" eb="2">
      <t>タイセイ</t>
    </rPh>
    <rPh sb="3" eb="5">
      <t>モクテキ</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</si>
  <si>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</si>
  <si>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自己点検・評価体制における意見等</t>
    <rPh sb="15" eb="16">
      <t>トウ</t>
    </rPh>
    <phoneticPr fontId="3"/>
  </si>
  <si>
    <t>自己点検・評価について</t>
    <rPh sb="0" eb="2">
      <t>ジコ</t>
    </rPh>
    <rPh sb="2" eb="4">
      <t>テンケン</t>
    </rPh>
    <rPh sb="5" eb="7">
      <t>ヒョウカ</t>
    </rPh>
    <phoneticPr fontId="3"/>
  </si>
  <si>
    <t>修了者数</t>
    <rPh sb="0" eb="3">
      <t>シュウリョウシャ</t>
    </rPh>
    <rPh sb="3" eb="4">
      <t>スウ</t>
    </rPh>
    <phoneticPr fontId="3"/>
  </si>
  <si>
    <t>履修者数</t>
    <rPh sb="0" eb="2">
      <t>リシュウ</t>
    </rPh>
    <rPh sb="2" eb="3">
      <t>シャ</t>
    </rPh>
    <rPh sb="3" eb="4">
      <t>スウ</t>
    </rPh>
    <phoneticPr fontId="3"/>
  </si>
  <si>
    <t>所在地</t>
    <phoneticPr fontId="3"/>
  </si>
  <si>
    <t>５年次</t>
    <rPh sb="1" eb="2">
      <t>ネン</t>
    </rPh>
    <rPh sb="2" eb="3">
      <t>ツギ</t>
    </rPh>
    <phoneticPr fontId="3"/>
  </si>
  <si>
    <t>６年次</t>
    <rPh sb="1" eb="2">
      <t>ネン</t>
    </rPh>
    <rPh sb="2" eb="3">
      <t>ツギ</t>
    </rPh>
    <phoneticPr fontId="3"/>
  </si>
  <si>
    <t>②</t>
    <phoneticPr fontId="3"/>
  </si>
  <si>
    <t>大学等の設置者</t>
  </si>
  <si>
    <t>⑫</t>
    <phoneticPr fontId="3"/>
  </si>
  <si>
    <t>総数</t>
    <rPh sb="0" eb="2">
      <t>ソウスウ</t>
    </rPh>
    <phoneticPr fontId="3"/>
  </si>
  <si>
    <t>⑧</t>
    <phoneticPr fontId="3"/>
  </si>
  <si>
    <t>⑬</t>
    <phoneticPr fontId="3"/>
  </si>
  <si>
    <t>（役職名）</t>
    <rPh sb="1" eb="4">
      <t>ヤクショクメイ</t>
    </rPh>
    <phoneticPr fontId="3"/>
  </si>
  <si>
    <t>履修率</t>
    <rPh sb="0" eb="2">
      <t>リシュウ</t>
    </rPh>
    <rPh sb="2" eb="3">
      <t>リツ</t>
    </rPh>
    <phoneticPr fontId="3"/>
  </si>
  <si>
    <t>合　計</t>
    <phoneticPr fontId="3"/>
  </si>
  <si>
    <t>⑥</t>
    <phoneticPr fontId="3"/>
  </si>
  <si>
    <t>プログラムの開設年度</t>
    <rPh sb="6" eb="8">
      <t>カイセツ</t>
    </rPh>
    <rPh sb="8" eb="10">
      <t>ネンド</t>
    </rPh>
    <phoneticPr fontId="3"/>
  </si>
  <si>
    <t>⑨</t>
    <phoneticPr fontId="3"/>
  </si>
  <si>
    <t>⑭</t>
    <phoneticPr fontId="3"/>
  </si>
  <si>
    <t>履修者数
合計</t>
    <rPh sb="0" eb="2">
      <t>リシュウ</t>
    </rPh>
    <rPh sb="2" eb="3">
      <t>シャ</t>
    </rPh>
    <rPh sb="3" eb="4">
      <t>スウ</t>
    </rPh>
    <rPh sb="5" eb="7">
      <t>ゴウケイ</t>
    </rPh>
    <phoneticPr fontId="3"/>
  </si>
  <si>
    <t>様式３</t>
    <rPh sb="0" eb="2">
      <t>ヨウシキ</t>
    </rPh>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</si>
  <si>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</si>
  <si>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</si>
  <si>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</si>
  <si>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プログラムを構成する授業科目について</t>
    <phoneticPr fontId="3"/>
  </si>
  <si>
    <t>収容
定員</t>
    <rPh sb="0" eb="2">
      <t>シュウヨウ</t>
    </rPh>
    <rPh sb="3" eb="5">
      <t>テイイン</t>
    </rPh>
    <phoneticPr fontId="3"/>
  </si>
  <si>
    <t>申請する認定プログラム</t>
    <rPh sb="0" eb="2">
      <t>シンセイ</t>
    </rPh>
    <rPh sb="4" eb="6">
      <t>ニンテイ</t>
    </rPh>
    <phoneticPr fontId="3"/>
  </si>
  <si>
    <t>プログラムの授業を教えている教員数</t>
    <rPh sb="6" eb="8">
      <t>ジュギョウ</t>
    </rPh>
    <rPh sb="9" eb="10">
      <t>オシ</t>
    </rPh>
    <rPh sb="14" eb="16">
      <t>キョウイン</t>
    </rPh>
    <rPh sb="16" eb="17">
      <t>スウ</t>
    </rPh>
    <phoneticPr fontId="3"/>
  </si>
  <si>
    <t>学生への学習支援</t>
    <rPh sb="0" eb="2">
      <t>ガクセイ</t>
    </rPh>
    <rPh sb="4" eb="6">
      <t>ガクシュウ</t>
    </rPh>
    <rPh sb="6" eb="8">
      <t>シエン</t>
    </rPh>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</si>
  <si>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</si>
  <si>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</si>
  <si>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プログラムを改善・進化させるための体制を定める規則名称</t>
    <phoneticPr fontId="3"/>
  </si>
  <si>
    <t>様式５</t>
    <rPh sb="0" eb="2">
      <t>ヨウシキ</t>
    </rPh>
    <phoneticPr fontId="3"/>
  </si>
  <si>
    <t>（責任者名）</t>
    <rPh sb="1" eb="4">
      <t>セキニンシャ</t>
    </rPh>
    <rPh sb="4" eb="5">
      <t>メイ</t>
    </rPh>
    <phoneticPr fontId="3"/>
  </si>
  <si>
    <t>プログラムの運営責任者</t>
    <phoneticPr fontId="3"/>
  </si>
  <si>
    <t>⑪</t>
    <phoneticPr fontId="3"/>
  </si>
  <si>
    <t>全学部・学科の入学定員</t>
    <rPh sb="0" eb="1">
      <t>ゼン</t>
    </rPh>
    <rPh sb="4" eb="6">
      <t>ガッカ</t>
    </rPh>
    <rPh sb="7" eb="9">
      <t>ニュウガク</t>
    </rPh>
    <rPh sb="9" eb="11">
      <t>テイイン</t>
    </rPh>
    <phoneticPr fontId="3"/>
  </si>
  <si>
    <t>全学部・学科の学生数（学年別）</t>
    <rPh sb="0" eb="1">
      <t>ゼン</t>
    </rPh>
    <rPh sb="4" eb="6">
      <t>ガッカ</t>
    </rPh>
    <rPh sb="7" eb="10">
      <t>ガクセイスウ</t>
    </rPh>
    <rPh sb="11" eb="13">
      <t>ガクネン</t>
    </rPh>
    <rPh sb="13" eb="14">
      <t>ベツ</t>
    </rPh>
    <phoneticPr fontId="3"/>
  </si>
  <si>
    <t>学部・学科名称</t>
    <rPh sb="0" eb="2">
      <t>ガクブ</t>
    </rPh>
    <rPh sb="3" eb="5">
      <t>ガッカ</t>
    </rPh>
    <rPh sb="5" eb="7">
      <t>メイショウ</t>
    </rPh>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</si>
  <si>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</si>
  <si>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</si>
  <si>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授業時間内外で学習指導、質問を受け付ける具体的な仕組み</t>
    <rPh sb="20" eb="23">
      <t>グタイテキ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</si>
  <si>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</si>
  <si>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入学
定員</t>
    <rPh sb="0" eb="2">
      <t>ニュウガク</t>
    </rPh>
    <rPh sb="3" eb="5">
      <t>テイイン</t>
    </rPh>
    <phoneticPr fontId="3"/>
  </si>
  <si>
    <t>申請するプログラム名称</t>
    <rPh sb="0" eb="2">
      <t>シンセイ</t>
    </rPh>
    <rPh sb="9" eb="11">
      <t>メイショウ</t>
    </rPh>
    <phoneticPr fontId="3"/>
  </si>
  <si>
    <t>⑮</t>
    <phoneticPr fontId="3"/>
  </si>
  <si>
    <t>プログラムの履修者数等の実績について</t>
    <phoneticPr fontId="3"/>
  </si>
  <si>
    <t>令和3年度</t>
    <rPh sb="0" eb="2">
      <t>レイワ</t>
    </rPh>
    <rPh sb="3" eb="5">
      <t>ネンド</t>
    </rPh>
    <phoneticPr fontId="3"/>
  </si>
  <si>
    <t>令和2年度</t>
    <rPh sb="0" eb="2">
      <t>レイワ</t>
    </rPh>
    <rPh sb="3" eb="5">
      <t>ネンド</t>
    </rPh>
    <phoneticPr fontId="3"/>
  </si>
  <si>
    <t>令和元年度</t>
    <rPh sb="0" eb="2">
      <t>レイワ</t>
    </rPh>
    <rPh sb="2" eb="3">
      <t>モト</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</si>
  <si>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</si>
  <si>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</si>
  <si>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</si>
  <si>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年度</t>
    <rPh sb="0" eb="2">
      <t>ネンド</t>
    </rPh>
    <phoneticPr fontId="3"/>
  </si>
  <si>
    <t>⑦応用基礎レベルの申請の有無</t>
    <phoneticPr fontId="3"/>
  </si>
  <si>
    <t>連絡先</t>
  </si>
  <si>
    <t>①具体的な修了要件</t>
    <phoneticPr fontId="3"/>
  </si>
  <si>
    <t>授業科目</t>
    <rPh sb="0" eb="2">
      <t>ジュギョウ</t>
    </rPh>
    <rPh sb="2" eb="4">
      <t>カモク</t>
    </rPh>
    <phoneticPr fontId="3"/>
  </si>
  <si>
    <t>開講状況</t>
    <phoneticPr fontId="3"/>
  </si>
  <si>
    <t>授業に含まれている内容・要素</t>
    <phoneticPr fontId="3"/>
  </si>
  <si>
    <t>講義内容</t>
    <rPh sb="0" eb="2">
      <t>コウギ</t>
    </rPh>
    <rPh sb="2" eb="4">
      <t>ナイヨウ</t>
    </rPh>
    <phoneticPr fontId="3"/>
  </si>
  <si>
    <t>1-1</t>
    <phoneticPr fontId="3"/>
  </si>
  <si>
    <t>2-1</t>
    <phoneticPr fontId="3"/>
  </si>
  <si>
    <t>3-1</t>
    <phoneticPr fontId="3"/>
  </si>
  <si>
    <t>1-6</t>
  </si>
  <si>
    <t>3-2</t>
    <phoneticPr fontId="3"/>
  </si>
  <si>
    <t>選択</t>
    <rPh sb="0" eb="2">
      <t>センタク</t>
    </rPh>
    <phoneticPr fontId="3"/>
  </si>
  <si>
    <t>（１）現在進行中の社会変化（第４次産業革命、Society 5.0、データ駆動型社会等）に深く寄与しているものであり、それが自らの生活と密接に結びついている</t>
    <phoneticPr fontId="3"/>
  </si>
  <si>
    <t>（２）「社会で活用されているデータ」や「データの活用領域」は非常に広範囲であって、日常生活や社会の課題を解決する有用なツールになり得るもの</t>
    <phoneticPr fontId="3"/>
  </si>
  <si>
    <t>（３）様々なデータ利活用の現場におけるデータ利活用事例が示され、様々な適用領域（流通、製造、金融、サービス、インフラ、公共、ヘルスケア等）の知見と組み合わせることで価値を創出するもの</t>
    <phoneticPr fontId="3"/>
  </si>
  <si>
    <t>②教育プログラムの修了要件</t>
    <phoneticPr fontId="3"/>
  </si>
  <si>
    <t>　　　　　　　　　　　　　　　　　　　　　　　　　　　　　　　　　　　　　　　　　　　　　　　　　　　　　　　　　　　　　　　　　　　　　　　　　　　　　　　　　　　　　　　　　　　　　　　　　　　　　　　　　　　　　　　　　　　　　　　　　　　　　　　　　　　　　　　　　　　　　　　　　　　　　　　　　　　　　　　　　　　　　　　　　　　　　　　　　　　　　　　　　　　　　　　　　　　　　　　　　　　　　　　　　　　　　　　　　　　　　　　　　　　　　　　　　　　　　　　　　　　　　　　　　　　　　　　　　　　　　　　　　　　　　　　　　　　　　　　　　　　　　　　　　　　　　　　　　　　　　　　　　　　　　　　　　　　　　　　　　　　　　　　　　　　　　　　　　　　　　　　　　　　　　　　　　　　　　　　　　　　　　　　　　　　　　　　　　　　　　　　　　　　　　　　　　　　　　　　　　　　　　　　　　　　　　　　　　　　　　　　　　　　　　　　　　　　　　　　　　　　　　　　　　　　　　　　　　　　　　　　　　　　　　　　　　　　　　　　　　　　　　　　　　　　　　　　　　　　　　　　　　　　　　　　　　　　　　　　　　　　　　　　　　　　　　　　　　　　　　　　　　　　　　　　　　　　　　　　　　　　　　　　　　　　　　　　　　　　　　　　　　　　　　　　　　　　　　　　　　　　　　　　　　　　　　　　　　　　　　　　　　　　　　　　　　　　　　　　　　　　　　　　　　　　　　　　　　　　　　　　　　　　　　　　　　　　　　　　　　　　　　　　　　　　　　　　　　　　　　　　　　　　　　　　　　　　　　　　　　　　　　　　　　　　　　　</t>
    <phoneticPr fontId="3"/>
  </si>
  <si>
    <t>様式４</t>
    <rPh sb="0" eb="2">
      <t>ヨウシキ</t>
    </rPh>
    <phoneticPr fontId="3"/>
  </si>
  <si>
    <t>令和３年度実績</t>
    <rPh sb="0" eb="2">
      <t>レイワ</t>
    </rPh>
    <rPh sb="3" eb="5">
      <t>ネンド</t>
    </rPh>
    <rPh sb="5" eb="7">
      <t>ジッセキ</t>
    </rPh>
    <phoneticPr fontId="3"/>
  </si>
  <si>
    <t>令和４年度予定</t>
    <rPh sb="0" eb="2">
      <t>レイワ</t>
    </rPh>
    <rPh sb="3" eb="5">
      <t>ネンド</t>
    </rPh>
    <rPh sb="5" eb="7">
      <t>ヨテイ</t>
    </rPh>
    <phoneticPr fontId="3"/>
  </si>
  <si>
    <t>令和５年度予定</t>
    <rPh sb="0" eb="2">
      <t>レイワ</t>
    </rPh>
    <rPh sb="3" eb="5">
      <t>ネンド</t>
    </rPh>
    <rPh sb="5" eb="7">
      <t>ヨテイ</t>
    </rPh>
    <phoneticPr fontId="3"/>
  </si>
  <si>
    <t>令和６年度予定</t>
    <rPh sb="0" eb="2">
      <t>レイワ</t>
    </rPh>
    <rPh sb="3" eb="5">
      <t>ネンド</t>
    </rPh>
    <rPh sb="5" eb="7">
      <t>ヨテイ</t>
    </rPh>
    <phoneticPr fontId="3"/>
  </si>
  <si>
    <t>令和７年度予定</t>
    <rPh sb="0" eb="2">
      <t>レイワ</t>
    </rPh>
    <rPh sb="3" eb="5">
      <t>ネンド</t>
    </rPh>
    <rPh sb="5" eb="7">
      <t>ヨテイ</t>
    </rPh>
    <phoneticPr fontId="3"/>
  </si>
  <si>
    <t>収容定員（名）</t>
    <rPh sb="0" eb="4">
      <t>シュウヨウテイイン</t>
    </rPh>
    <rPh sb="5" eb="6">
      <t>メイ</t>
    </rPh>
    <phoneticPr fontId="3"/>
  </si>
  <si>
    <t>具体的な計画</t>
    <rPh sb="0" eb="3">
      <t>グタイテキ</t>
    </rPh>
    <rPh sb="4" eb="6">
      <t>ケイカク</t>
    </rPh>
    <phoneticPr fontId="3"/>
  </si>
  <si>
    <t>　　　　　　　　　　　　　　　　　　　　　　　　　　　　　　　　　　　　　　　　　　　　　　　　　　　　　　　　　　　　　　　　　　　　　　　　　</t>
    <phoneticPr fontId="3"/>
  </si>
  <si>
    <t>②自己点検・評価体制における意見等を公表しているアドレス</t>
    <phoneticPr fontId="3"/>
  </si>
  <si>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3"/>
  </si>
  <si>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3"/>
  </si>
  <si>
    <t>1-2</t>
    <phoneticPr fontId="3"/>
  </si>
  <si>
    <t>1-3</t>
    <phoneticPr fontId="3"/>
  </si>
  <si>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3"/>
  </si>
  <si>
    <t>1-4</t>
    <phoneticPr fontId="3"/>
  </si>
  <si>
    <t>1-5</t>
    <phoneticPr fontId="3"/>
  </si>
  <si>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3"/>
  </si>
  <si>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3"/>
  </si>
  <si>
    <t>2-2</t>
    <phoneticPr fontId="3"/>
  </si>
  <si>
    <t>2-3</t>
    <phoneticPr fontId="3"/>
  </si>
  <si>
    <t>⑧選択「４．オプション」の内容を含む授業科目</t>
    <rPh sb="13" eb="15">
      <t>ナイヨウ</t>
    </rPh>
    <rPh sb="16" eb="17">
      <t>フク</t>
    </rPh>
    <rPh sb="18" eb="20">
      <t>ジュギョウ</t>
    </rPh>
    <rPh sb="20" eb="22">
      <t>カモク</t>
    </rPh>
    <phoneticPr fontId="3"/>
  </si>
  <si>
    <t>1-6</t>
    <phoneticPr fontId="3"/>
  </si>
  <si>
    <t>（４）活用に当たっての様々な留意事項（ELSI、個人情報、データ倫理、ＡＩ社会原則等）を考慮し、情報セキュリティや情報漏洩等、データを守る上での留意事項への理解をする</t>
    <phoneticPr fontId="3"/>
  </si>
  <si>
    <t>（５）実データ・実課題（学術データ等を含む）を用いた演習など、社会での実例を題材として、「データを読む、説明する、扱う」といった数理・データサイエンス・ＡＩの基本的な活用法に関するもの</t>
    <phoneticPr fontId="3"/>
  </si>
  <si>
    <t>必修</t>
    <rPh sb="0" eb="2">
      <t>ヒッシュウ</t>
    </rPh>
    <phoneticPr fontId="3"/>
  </si>
  <si>
    <t>単位数</t>
    <rPh sb="0" eb="3">
      <t>タンイスウ</t>
    </rPh>
    <phoneticPr fontId="3"/>
  </si>
  <si>
    <t>⑨プログラムを構成する授業の内容</t>
    <phoneticPr fontId="3"/>
  </si>
  <si>
    <t>⑩プログラムの学修成果（学生等が身に付けられる能力等）</t>
    <phoneticPr fontId="3"/>
  </si>
  <si>
    <t>⑪プログラムの授業内容等を公表しているアドレス</t>
    <phoneticPr fontId="3"/>
  </si>
  <si>
    <t>②履修者・修了者の実績</t>
    <rPh sb="1" eb="3">
      <t>リシュウ</t>
    </rPh>
    <rPh sb="3" eb="4">
      <t>シャ</t>
    </rPh>
    <rPh sb="5" eb="8">
      <t>シュウリョウシャ</t>
    </rPh>
    <rPh sb="9" eb="11">
      <t>ジッセキ</t>
    </rPh>
    <phoneticPr fontId="3"/>
  </si>
  <si>
    <t>○</t>
  </si>
  <si>
    <t>①プログラム開設年度</t>
    <rPh sb="6" eb="8">
      <t>カイセツ</t>
    </rPh>
    <rPh sb="8" eb="10">
      <t>ネンド</t>
    </rPh>
    <phoneticPr fontId="3"/>
  </si>
  <si>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3"/>
  </si>
  <si>
    <t>一部開講</t>
  </si>
  <si>
    <t>学修の基礎III-b</t>
    <rPh sb="0" eb="2">
      <t xml:space="preserve">ガクシュウノキソ１ </t>
    </rPh>
    <phoneticPr fontId="3"/>
  </si>
  <si>
    <t>医療情報処理学II</t>
    <rPh sb="0" eb="7">
      <t>イリョウ</t>
    </rPh>
    <phoneticPr fontId="3"/>
  </si>
  <si>
    <t>医療情報処理学II</t>
    <rPh sb="0" eb="7">
      <t>イリョウｊ</t>
    </rPh>
    <phoneticPr fontId="3"/>
  </si>
  <si>
    <t>学修の基礎III-a</t>
    <rPh sb="0" eb="2">
      <t xml:space="preserve">ガクシュウノキソ </t>
    </rPh>
    <phoneticPr fontId="3"/>
  </si>
  <si>
    <t>学修の基礎III-b</t>
    <phoneticPr fontId="3"/>
  </si>
  <si>
    <t>医療情報処理学II</t>
    <rPh sb="0" eb="7">
      <t>イリョウジョウ</t>
    </rPh>
    <phoneticPr fontId="3"/>
  </si>
  <si>
    <t>学部・学科によって、修了要件は相違する</t>
  </si>
  <si>
    <t>明海大学</t>
    <phoneticPr fontId="3"/>
  </si>
  <si>
    <t>私立大学</t>
  </si>
  <si>
    <t>AI・データサイエンス教育プログラム</t>
    <phoneticPr fontId="3"/>
  </si>
  <si>
    <t>令和３</t>
    <rPh sb="0" eb="2">
      <t>レイワ</t>
    </rPh>
    <phoneticPr fontId="3"/>
  </si>
  <si>
    <t>無</t>
  </si>
  <si>
    <t>学長</t>
    <phoneticPr fontId="3"/>
  </si>
  <si>
    <t>認定教育プログラム</t>
  </si>
  <si>
    <t>浦安キャンパス学務部学事課（教務担当）</t>
    <rPh sb="0" eb="2">
      <t>ウラヤス</t>
    </rPh>
    <rPh sb="7" eb="10">
      <t>ガクムブ</t>
    </rPh>
    <rPh sb="10" eb="13">
      <t>ガクジカ</t>
    </rPh>
    <rPh sb="14" eb="18">
      <t>キョウムタントウ</t>
    </rPh>
    <phoneticPr fontId="3"/>
  </si>
  <si>
    <t>佐久間　健二</t>
    <rPh sb="0" eb="3">
      <t>サクマ</t>
    </rPh>
    <rPh sb="4" eb="6">
      <t>ケンジ</t>
    </rPh>
    <phoneticPr fontId="3"/>
  </si>
  <si>
    <t>047-350-4993</t>
    <phoneticPr fontId="3"/>
  </si>
  <si>
    <t>明海大学総合協議会規程</t>
    <rPh sb="0" eb="4">
      <t>メイカイダイガク</t>
    </rPh>
    <rPh sb="4" eb="9">
      <t>ソウゴウキョウギカイ</t>
    </rPh>
    <rPh sb="9" eb="11">
      <t>キテイ</t>
    </rPh>
    <phoneticPr fontId="3"/>
  </si>
  <si>
    <t>医療情報処理学IV</t>
    <rPh sb="0" eb="1">
      <t>イｒ</t>
    </rPh>
    <phoneticPr fontId="3"/>
  </si>
  <si>
    <t>https://www.meikai.ac.jp/department-graduateschool/urayasu/datascience.html</t>
    <phoneticPr fontId="3"/>
  </si>
  <si>
    <t>③</t>
  </si>
  <si>
    <t>設置形態</t>
    <phoneticPr fontId="3"/>
  </si>
  <si>
    <t>安井　利一</t>
    <phoneticPr fontId="3"/>
  </si>
  <si>
    <t>data-science@meikai.ac.jp</t>
    <phoneticPr fontId="3"/>
  </si>
  <si>
    <t>外国語学部</t>
    <rPh sb="0" eb="5">
      <t>ガイコクゴガクブ</t>
    </rPh>
    <phoneticPr fontId="3"/>
  </si>
  <si>
    <t>経済学部</t>
    <rPh sb="0" eb="4">
      <t>ケイザイガクブ</t>
    </rPh>
    <phoneticPr fontId="3"/>
  </si>
  <si>
    <t>不動産学部</t>
    <rPh sb="0" eb="5">
      <t>フドウサンガクブ</t>
    </rPh>
    <phoneticPr fontId="3"/>
  </si>
  <si>
    <t>ホスピタリティ・ツーリズム学部</t>
    <rPh sb="13" eb="15">
      <t>ガクブ</t>
    </rPh>
    <phoneticPr fontId="3"/>
  </si>
  <si>
    <t>歯学部</t>
    <rPh sb="0" eb="3">
      <t>シガクブ</t>
    </rPh>
    <phoneticPr fontId="3"/>
  </si>
  <si>
    <t>保健医療学部</t>
    <rPh sb="0" eb="6">
      <t>ホケンイリョウガクブ</t>
    </rPh>
    <phoneticPr fontId="3"/>
  </si>
  <si>
    <t>学校法人明海大学</t>
    <rPh sb="0" eb="4">
      <t>ガッコウホウジン</t>
    </rPh>
    <rPh sb="4" eb="8">
      <t>メイカイダイガク</t>
    </rPh>
    <phoneticPr fontId="3"/>
  </si>
  <si>
    <t>埼玉県坂戸市けやき台１－１</t>
    <phoneticPr fontId="3"/>
  </si>
  <si>
    <r>
      <t>本教育プログラムは必修科目のみから構成され、卒業要件として全員履修することが前提となっている</t>
    </r>
    <r>
      <rPr>
        <sz val="12"/>
        <color theme="1"/>
        <rFont val="ＭＳ Ｐゴシック"/>
        <family val="2"/>
        <charset val="128"/>
        <scheme val="minor"/>
      </rPr>
      <t>ため、</t>
    </r>
    <r>
      <rPr>
        <sz val="12"/>
        <rFont val="ＭＳ Ｐゴシック"/>
        <family val="3"/>
        <charset val="128"/>
        <scheme val="minor"/>
      </rPr>
      <t>本項目に関する特段の取り組みは行われていない。</t>
    </r>
    <rPh sb="24" eb="26">
      <t>ヨウケン</t>
    </rPh>
    <rPh sb="49" eb="50">
      <t>ホン</t>
    </rPh>
    <rPh sb="50" eb="52">
      <t>コウモク</t>
    </rPh>
    <rPh sb="53" eb="54">
      <t>カン</t>
    </rPh>
    <rPh sb="56" eb="58">
      <t>トクダン</t>
    </rPh>
    <rPh sb="59" eb="60">
      <t>ト</t>
    </rPh>
    <rPh sb="61" eb="62">
      <t>ク</t>
    </rPh>
    <rPh sb="64" eb="65">
      <t>オコナ</t>
    </rPh>
    <phoneticPr fontId="3"/>
  </si>
  <si>
    <r>
      <t>本教育プログラムは必修科目のみから構成され、卒業要件として全員履修することが前提となっている</t>
    </r>
    <r>
      <rPr>
        <sz val="12"/>
        <color theme="1"/>
        <rFont val="ＭＳ Ｐゴシック"/>
        <family val="2"/>
        <charset val="128"/>
        <scheme val="minor"/>
      </rPr>
      <t>ため</t>
    </r>
    <r>
      <rPr>
        <sz val="12"/>
        <rFont val="ＭＳ Ｐゴシック"/>
        <family val="3"/>
        <charset val="128"/>
        <scheme val="minor"/>
      </rPr>
      <t>、本項目に関する特段の取り組みは行われていない。</t>
    </r>
    <rPh sb="24" eb="26">
      <t>ヨウケン</t>
    </rPh>
    <rPh sb="49" eb="50">
      <t>ホン</t>
    </rPh>
    <rPh sb="50" eb="52">
      <t>コウモク</t>
    </rPh>
    <rPh sb="53" eb="54">
      <t>カン</t>
    </rPh>
    <rPh sb="56" eb="58">
      <t>トクダン</t>
    </rPh>
    <rPh sb="59" eb="60">
      <t>ト</t>
    </rPh>
    <rPh sb="61" eb="62">
      <t>ク</t>
    </rPh>
    <rPh sb="64" eb="65">
      <t>オコナ</t>
    </rPh>
    <phoneticPr fontId="3"/>
  </si>
  <si>
    <t xml:space="preserve">授業評価アンケート結果はウェブページにおいて公開されており、後輩学生や他の学生はその評価結果を履修前に確認することができるようになっている。
</t>
    <rPh sb="2" eb="4">
      <t>ヒョウカ</t>
    </rPh>
    <rPh sb="9" eb="11">
      <t>ケッカ</t>
    </rPh>
    <rPh sb="22" eb="24">
      <t>コウカイ</t>
    </rPh>
    <rPh sb="42" eb="44">
      <t>ヒョウカ</t>
    </rPh>
    <rPh sb="44" eb="46">
      <t>ケッカ</t>
    </rPh>
    <rPh sb="47" eb="50">
      <t>リシュウマエ</t>
    </rPh>
    <phoneticPr fontId="3"/>
  </si>
  <si>
    <t>浦安キャンパスでは、毎年、キャリアサポートの行事の一環として「OB・OGから学ぶ業界・職種研究セミナー」を実施しており、本教育プログラムを修了した卒業生の進路先や活躍状況の把握が可能である。本プログラム修了者は未卒業のため、2025年度から実施する。</t>
    <rPh sb="0" eb="2">
      <t>ウラヤス</t>
    </rPh>
    <rPh sb="10" eb="12">
      <t>マイトシ</t>
    </rPh>
    <rPh sb="22" eb="24">
      <t>ギョウジ</t>
    </rPh>
    <rPh sb="25" eb="27">
      <t>イッカン</t>
    </rPh>
    <rPh sb="38" eb="39">
      <t>マナ</t>
    </rPh>
    <rPh sb="40" eb="42">
      <t>ギョウカイ</t>
    </rPh>
    <rPh sb="43" eb="45">
      <t>ショクシュ</t>
    </rPh>
    <rPh sb="45" eb="47">
      <t>ケンキュウ</t>
    </rPh>
    <rPh sb="53" eb="55">
      <t>ジッシ</t>
    </rPh>
    <rPh sb="60" eb="61">
      <t>ホン</t>
    </rPh>
    <rPh sb="95" eb="96">
      <t>ホン</t>
    </rPh>
    <rPh sb="101" eb="104">
      <t>シュウリョウシャ</t>
    </rPh>
    <rPh sb="105" eb="108">
      <t>ミソツギョウ</t>
    </rPh>
    <rPh sb="116" eb="118">
      <t>ネンド</t>
    </rPh>
    <rPh sb="120" eb="122">
      <t>ジッシ</t>
    </rPh>
    <phoneticPr fontId="3"/>
  </si>
  <si>
    <t>浦安キャンパスでは、毎年実施しているPROGテストにおいて、1年次と3年次の各学科の学生のジェネリックスキルの分析を行っており、本教育プログラムの成果について産業界からの意見を求め、講評をしていただいている。また、各種のスキルの推移を分析する中で、本教育プログラムの講義内容及び実データを活用した演習等の手法について意見を収集するとともに、総合協議会においてプログラムの改善に活用している。</t>
    <rPh sb="0" eb="2">
      <t>ウラヤス</t>
    </rPh>
    <rPh sb="38" eb="41">
      <t>カクガッカ</t>
    </rPh>
    <rPh sb="42" eb="44">
      <t>ガクセイ</t>
    </rPh>
    <rPh sb="55" eb="57">
      <t>ブンセキ</t>
    </rPh>
    <rPh sb="58" eb="59">
      <t>オコナ</t>
    </rPh>
    <rPh sb="64" eb="65">
      <t>ホン</t>
    </rPh>
    <rPh sb="73" eb="75">
      <t>セイカ</t>
    </rPh>
    <rPh sb="79" eb="82">
      <t>サンギョウカイ</t>
    </rPh>
    <rPh sb="85" eb="87">
      <t>イケン</t>
    </rPh>
    <rPh sb="88" eb="89">
      <t>モト</t>
    </rPh>
    <rPh sb="91" eb="93">
      <t>コウヒョウ</t>
    </rPh>
    <rPh sb="107" eb="109">
      <t>カクシュ</t>
    </rPh>
    <rPh sb="114" eb="116">
      <t>スイイ</t>
    </rPh>
    <rPh sb="117" eb="119">
      <t>ブンセキ</t>
    </rPh>
    <rPh sb="121" eb="122">
      <t>ナカ</t>
    </rPh>
    <rPh sb="124" eb="127">
      <t>ホンキョウイク</t>
    </rPh>
    <phoneticPr fontId="3"/>
  </si>
  <si>
    <t>明海大学総合協議会</t>
    <rPh sb="0" eb="4">
      <t>メイカイダイガク</t>
    </rPh>
    <phoneticPr fontId="3"/>
  </si>
  <si>
    <t>明海大学自己点検評価委員会</t>
    <rPh sb="0" eb="4">
      <t>メイカイダイガク</t>
    </rPh>
    <phoneticPr fontId="3"/>
  </si>
  <si>
    <t>人文社会系・歯学が中心の本学の学生には、実社会で役立てるためのデータサイエンス・AIリテラシーを身につけることを学修成果と考えている。具体的には、単にデータ解析の専門家が提示した結果やアドバイスのみで物事を判断するのではなく、専門家とその結果について議論し、最終的な判断を人間が行うことの重要性を理解させることが学修成果と考える。また、全ての分野でこれらのスキルが共通していることを認識させることも重要な成果と考えている。</t>
    <rPh sb="0" eb="2">
      <t>ジンブン</t>
    </rPh>
    <rPh sb="2" eb="4">
      <t>シャカイ</t>
    </rPh>
    <rPh sb="4" eb="5">
      <t>ケイ</t>
    </rPh>
    <rPh sb="6" eb="7">
      <t xml:space="preserve">ハ </t>
    </rPh>
    <rPh sb="7" eb="8">
      <t xml:space="preserve">イガク </t>
    </rPh>
    <rPh sb="9" eb="11">
      <t xml:space="preserve">チュウシｎ </t>
    </rPh>
    <rPh sb="12" eb="14">
      <t xml:space="preserve">ホンガク </t>
    </rPh>
    <rPh sb="15" eb="17">
      <t xml:space="preserve">ガクセイ </t>
    </rPh>
    <rPh sb="43" eb="45">
      <t xml:space="preserve">テイジ </t>
    </rPh>
    <rPh sb="47" eb="49">
      <t xml:space="preserve">ケッカ </t>
    </rPh>
    <rPh sb="56" eb="58">
      <t xml:space="preserve">ガクシュウ </t>
    </rPh>
    <rPh sb="59" eb="61">
      <t xml:space="preserve">ハンダｎ </t>
    </rPh>
    <rPh sb="67" eb="70">
      <t xml:space="preserve">グタイテキニハ </t>
    </rPh>
    <rPh sb="75" eb="78">
      <t xml:space="preserve">センモンカ </t>
    </rPh>
    <rPh sb="81" eb="83">
      <t xml:space="preserve">ケッカ </t>
    </rPh>
    <rPh sb="87" eb="89">
      <t xml:space="preserve">ギロｎ </t>
    </rPh>
    <rPh sb="91" eb="94">
      <t xml:space="preserve">サイシュウテキナ </t>
    </rPh>
    <rPh sb="95" eb="97">
      <t xml:space="preserve">ハンダｎ </t>
    </rPh>
    <rPh sb="98" eb="100">
      <t xml:space="preserve">ニンゲｎ </t>
    </rPh>
    <rPh sb="101" eb="102">
      <t xml:space="preserve">オコナウコト </t>
    </rPh>
    <rPh sb="106" eb="108">
      <t xml:space="preserve">ジュウヨウセイ </t>
    </rPh>
    <rPh sb="108" eb="109">
      <t xml:space="preserve">セイ </t>
    </rPh>
    <rPh sb="110" eb="112">
      <t xml:space="preserve">リカイ </t>
    </rPh>
    <rPh sb="118" eb="120">
      <t xml:space="preserve">ヤクダテル </t>
    </rPh>
    <rPh sb="131" eb="132">
      <t xml:space="preserve">ミニツケル </t>
    </rPh>
    <rPh sb="141" eb="145">
      <t xml:space="preserve">ガクシュウセイカ </t>
    </rPh>
    <rPh sb="146" eb="147">
      <t xml:space="preserve">カンガエル </t>
    </rPh>
    <rPh sb="156" eb="158">
      <t xml:space="preserve">ガクシュウ </t>
    </rPh>
    <rPh sb="158" eb="160">
      <t xml:space="preserve">セイカ </t>
    </rPh>
    <rPh sb="161" eb="162">
      <t xml:space="preserve">カンガエル </t>
    </rPh>
    <phoneticPr fontId="3"/>
  </si>
  <si>
    <t>本教育プログラムを構成する授業科目で授業評価アンケートを実施しており、各キャンパスの委員会又はセンターが理解度を分析している。この分析結果は全学の総合協議会及び自己点検評価委員会に報告され、情報を共有している。授業評価アンケートでは、授業内容の理解度が想定より高いものになったが、分析結果を基に、さらに理解度が向上するよう授業内容の改善に取組む。</t>
    <rPh sb="78" eb="79">
      <t>オヨ</t>
    </rPh>
    <rPh sb="82" eb="84">
      <t>テンケン</t>
    </rPh>
    <rPh sb="140" eb="144">
      <t>ブンセキケッカ</t>
    </rPh>
    <rPh sb="145" eb="146">
      <t>モト</t>
    </rPh>
    <rPh sb="151" eb="154">
      <t>リカイド</t>
    </rPh>
    <rPh sb="155" eb="157">
      <t>コウジョウ</t>
    </rPh>
    <rPh sb="161" eb="165">
      <t>ジュギョウナイヨウ</t>
    </rPh>
    <rPh sb="166" eb="168">
      <t>カイゼン</t>
    </rPh>
    <rPh sb="169" eb="171">
      <t>トリク</t>
    </rPh>
    <phoneticPr fontId="3"/>
  </si>
  <si>
    <t>学長　　 　　　　　　　　　　　  　　　　　　　　　 安井 利一
副学長　                          　　　　　　　　　 高野 敬三
副学長・保健医療学部長　 　　　　　　　　　  藤内 祝
副学長・歯学部長・歯学研究科長・病院長　申 基喆
外国語学部長・応用言語学研究科長        中川 仁
経済学部長・経済学研究科長　　　　　　　　下田 直樹
不動産学部長・不動産学研究科長　　　　　中城 康彦
ホスピタリティ・ツーリズム学部長 　　　　　　内苑 孝美
浦安キャンパスメディアセンター長　　　　　 小林 裕子
歯学部メディアセンター長　                     藤澤　政紀　　
浦安キャンパス教務部長　　　　　　　　　　  佐々木 文彦
歯学部教務部長　                                 坂　　英樹　　　　　　
浦安キャンパス学生部長　　　　　             原 孝公
歯学部学生部長　                                 日比野　靖
事務局長　　　　　　　　　　　　　　　            中山 浩之</t>
    <rPh sb="62" eb="63">
      <t>カク</t>
    </rPh>
    <rPh sb="78" eb="80">
      <t>カツヨウ</t>
    </rPh>
    <rPh sb="82" eb="84">
      <t>シャカイ</t>
    </rPh>
    <rPh sb="88" eb="90">
      <t>サマザマ</t>
    </rPh>
    <rPh sb="91" eb="93">
      <t>カダイ</t>
    </rPh>
    <rPh sb="94" eb="96">
      <t>ハッケン</t>
    </rPh>
    <rPh sb="97" eb="99">
      <t>カイケツ</t>
    </rPh>
    <rPh sb="102" eb="106">
      <t>ジンザイイクセイ</t>
    </rPh>
    <rPh sb="212" eb="214">
      <t>ウンエイ</t>
    </rPh>
    <rPh sb="216" eb="221">
      <t>ソウゴウキョウギカイ</t>
    </rPh>
    <rPh sb="223" eb="225">
      <t>レンケイ</t>
    </rPh>
    <phoneticPr fontId="3"/>
  </si>
  <si>
    <t>本学において数理・データサイエンス・AIを「学ぶ楽しさ」を理解するには、学生等が専攻したいと考えている外国語学、経済学、不動産学、ホスピタリティ・ツーリズム学、歯学、保健医療学の各分野での応用事例を示すことで実現できると考えている。また、日常生活と密接な関係にある検索エンジンでの検索キーワードランキング分析について演習を行うなど、工夫を施している。また、「学ぶことの意義」を理解させるには、就職活動や就職後に有用であることを示すことが重要であると考えている。</t>
    <phoneticPr fontId="3"/>
  </si>
  <si>
    <t>本プログラムでは、水準を維持しながら分かり易い授業を行うために、本学の学生の特性に合った授業コンテンツの作成に力を入れている。例えば、学生が身近に利用しているコンビニやスーパ−のレジ、ECサイトでのレコメンド機能、ファストフード等、歯学部では歯科医療の現場での事例を提示しながら、これらの仕組みがわかるように授業を実施しており、興味を持ってもらうことで水準を維持しつつ分かり易い授業を展開できるよう努力している。また浦安キャンパスでは、「データサイエンス」が身近なものと感じられるよう、授業テーマに合った5分程度の動画を授業導入部で提示し、興味・関心が持てるようにしている。</t>
    <rPh sb="63" eb="64">
      <t>タト</t>
    </rPh>
    <rPh sb="114" eb="115">
      <t>トウ</t>
    </rPh>
    <rPh sb="116" eb="117">
      <t>シ</t>
    </rPh>
    <rPh sb="117" eb="118">
      <t>ガク</t>
    </rPh>
    <rPh sb="118" eb="119">
      <t>ブ</t>
    </rPh>
    <rPh sb="121" eb="123">
      <t>シカ</t>
    </rPh>
    <rPh sb="123" eb="125">
      <t>イリョウ</t>
    </rPh>
    <rPh sb="126" eb="128">
      <t>ゲンバ</t>
    </rPh>
    <rPh sb="208" eb="210">
      <t>ウラヤス</t>
    </rPh>
    <phoneticPr fontId="3"/>
  </si>
  <si>
    <t xml:space="preserve">教学についての全学的な重要事項を審議するための組織として総合協議会を設置している。なお、各キャンパスにあっては、データを活用し、社会における様々な課題を発見・解決できる人材育成のため、坂戸キャンパス（歯学部）では歯学部数理・データサイエンス教育推進委員会、浦安キャンパス（外国語学部、経済学部、不動産学部、ホスピタリティ・ツーリズム学部及び保健医療学部）では総合教育センターがプログラムを運営し、総合協議会との連携を図っている。 </t>
    <rPh sb="44" eb="45">
      <t>カク</t>
    </rPh>
    <rPh sb="60" eb="62">
      <t>カツヨウ</t>
    </rPh>
    <rPh sb="64" eb="66">
      <t>シャカイ</t>
    </rPh>
    <rPh sb="70" eb="72">
      <t>サマザマ</t>
    </rPh>
    <rPh sb="73" eb="75">
      <t>カダイ</t>
    </rPh>
    <rPh sb="76" eb="78">
      <t>ハッケン</t>
    </rPh>
    <rPh sb="79" eb="81">
      <t>カイケツ</t>
    </rPh>
    <rPh sb="84" eb="88">
      <t>ジンザイイクセイ</t>
    </rPh>
    <rPh sb="194" eb="196">
      <t>ウンエイ</t>
    </rPh>
    <rPh sb="198" eb="203">
      <t>ソウゴウキョウギカイ</t>
    </rPh>
    <rPh sb="205" eb="207">
      <t>レンケイ</t>
    </rPh>
    <phoneticPr fontId="3"/>
  </si>
  <si>
    <t xml:space="preserve">本教育プログラムは必修科目のみの構成であり、卒業要件として全員履修することを前提としているため、本項目に関する特段の取り組みは行われていない。なお、浦安キャンパスにあっては、学則上、外国人留学生及び社会人が他の科目の単位の修得をもって本教育プログラムである必修科目の単位に代えることができるとしているため、本教育プログラムの履修率が100％とならない場合がある。 </t>
    <rPh sb="87" eb="90">
      <t>ガクソクジョウ</t>
    </rPh>
    <rPh sb="97" eb="98">
      <t>オヨ</t>
    </rPh>
    <rPh sb="99" eb="102">
      <t>シャカイジン</t>
    </rPh>
    <rPh sb="103" eb="104">
      <t>タ</t>
    </rPh>
    <rPh sb="105" eb="107">
      <t>カモク</t>
    </rPh>
    <rPh sb="108" eb="110">
      <t>タンイ</t>
    </rPh>
    <rPh sb="111" eb="113">
      <t>シュウトク</t>
    </rPh>
    <rPh sb="133" eb="135">
      <t>タンイ</t>
    </rPh>
    <rPh sb="153" eb="154">
      <t>ホン</t>
    </rPh>
    <rPh sb="154" eb="156">
      <t>キョウイク</t>
    </rPh>
    <rPh sb="175" eb="177">
      <t>バアイ</t>
    </rPh>
    <phoneticPr fontId="3"/>
  </si>
  <si>
    <t xml:space="preserve">本教育プログラムは必修科目のみから構成され、卒業要件として全員履修することが前提となっているため、本項目に関する特段の取り組みは行われていない。
修得率を向上させるためのサポート体制としては、LMSを利用して学生はいつでも担当教員に個別に質問や相談が可能であり、担当教員により迅速に対応が行われている。
</t>
    <rPh sb="9" eb="13">
      <t>ヒッシュウカモク</t>
    </rPh>
    <rPh sb="17" eb="19">
      <t>コウセイ</t>
    </rPh>
    <rPh sb="27" eb="31">
      <t>ゼンインリシュウ</t>
    </rPh>
    <rPh sb="36" eb="38">
      <t>ゼンテイ</t>
    </rPh>
    <rPh sb="75" eb="77">
      <t>コウジョウ</t>
    </rPh>
    <rPh sb="89" eb="91">
      <t>タイセイ</t>
    </rPh>
    <rPh sb="98" eb="100">
      <t>リヨウ</t>
    </rPh>
    <rPh sb="102" eb="104">
      <t>ガクセイ</t>
    </rPh>
    <rPh sb="109" eb="113">
      <t>タントウキョウイン</t>
    </rPh>
    <rPh sb="114" eb="116">
      <t>コベツ</t>
    </rPh>
    <rPh sb="117" eb="119">
      <t>シツモン</t>
    </rPh>
    <rPh sb="120" eb="122">
      <t>ソウダン</t>
    </rPh>
    <rPh sb="123" eb="125">
      <t>デキ</t>
    </rPh>
    <rPh sb="125" eb="127">
      <t>カノウ</t>
    </rPh>
    <rPh sb="144" eb="145">
      <t>オコナ</t>
    </rPh>
    <phoneticPr fontId="3"/>
  </si>
  <si>
    <t xml:space="preserve">本教育プログラムに限らず、本学の授業はすべてLMSを活用することになっている。授業時間内に質問の時間を必ず確保していることに加え、学生は授業時間以外でも不明点等をLMSを利用して個別に担当教員に質問や相談が可能であり、担当教員はそれに対して直接LMSで回答、指導が行われている。
</t>
    <rPh sb="9" eb="10">
      <t>カギ</t>
    </rPh>
    <rPh sb="13" eb="15">
      <t>ホンガク</t>
    </rPh>
    <rPh sb="16" eb="18">
      <t>ジュギョウ</t>
    </rPh>
    <rPh sb="26" eb="28">
      <t>カツヨウ</t>
    </rPh>
    <rPh sb="85" eb="87">
      <t>リヨウ</t>
    </rPh>
    <rPh sb="89" eb="91">
      <t>コベツ</t>
    </rPh>
    <rPh sb="92" eb="96">
      <t>タントウキョウイン</t>
    </rPh>
    <rPh sb="97" eb="99">
      <t>シツモン</t>
    </rPh>
    <rPh sb="100" eb="102">
      <t>ソウダン</t>
    </rPh>
    <rPh sb="103" eb="105">
      <t>カノウ</t>
    </rPh>
    <rPh sb="109" eb="113">
      <t>タントウキョウイン</t>
    </rPh>
    <rPh sb="117" eb="118">
      <t>タイ</t>
    </rPh>
    <rPh sb="120" eb="122">
      <t>チョクセツ</t>
    </rPh>
    <rPh sb="126" eb="128">
      <t>カイトウ</t>
    </rPh>
    <rPh sb="129" eb="131">
      <t>シドウ</t>
    </rPh>
    <rPh sb="132" eb="133">
      <t>オコナ</t>
    </rPh>
    <phoneticPr fontId="3"/>
  </si>
  <si>
    <t>本教育プログラムを構成する科目は全学必修科目であり、卒業要件として全員このプログラムを修了することが前提となっているため、履修者数・履修率向上に向けての取り組みは行っていないが、学生が履修を完了できるように、LMSの個別連絡機能や提出された課題へのフィードバックによって、履修者の状況に応じて対応している。</t>
    <rPh sb="20" eb="22">
      <t xml:space="preserve">カモクデアル </t>
    </rPh>
    <rPh sb="26" eb="28">
      <t>ソツギョウ</t>
    </rPh>
    <rPh sb="28" eb="30">
      <t>ヨウケン</t>
    </rPh>
    <rPh sb="33" eb="35">
      <t xml:space="preserve">ゼンイン </t>
    </rPh>
    <rPh sb="43" eb="45">
      <t xml:space="preserve">シュウリョウスル </t>
    </rPh>
    <rPh sb="50" eb="52">
      <t xml:space="preserve">ゼンテイトナッテイル </t>
    </rPh>
    <rPh sb="61" eb="65">
      <t>リシュウシャスウ</t>
    </rPh>
    <rPh sb="66" eb="69">
      <t>リシュウリツ</t>
    </rPh>
    <rPh sb="69" eb="71">
      <t>コウジョウ</t>
    </rPh>
    <rPh sb="72" eb="73">
      <t>ム</t>
    </rPh>
    <rPh sb="76" eb="77">
      <t>ト</t>
    </rPh>
    <rPh sb="78" eb="79">
      <t>ク</t>
    </rPh>
    <rPh sb="81" eb="82">
      <t>オコナ</t>
    </rPh>
    <phoneticPr fontId="3"/>
  </si>
  <si>
    <t>全学において実施している授業評価アンケート調査のうち、本プログラムに含まれる科目に関する履修者回答データを分析することによって、授業内容の学生の理解度を把握している。分析結果は全学の自己点検評価委員会で報告され、各キャンパスの委員会又はセンターと連携し、本プログラムの評価・改善に活用している。本プログラムの修得は、全学部・学科の卒業要件と合致する。つまり、プログラム修得のために履修した授業単位は卒業単位として認められるため、卒業を目指した履修指導は、プログラム修得を目指した履修指導を兼ねるため、全学的な不断の改善等が実施される。</t>
    <rPh sb="250" eb="253">
      <t>ゼンガクテキ</t>
    </rPh>
    <rPh sb="254" eb="256">
      <t>フダン</t>
    </rPh>
    <rPh sb="257" eb="259">
      <t>カイゼン</t>
    </rPh>
    <rPh sb="259" eb="260">
      <t>トウ</t>
    </rPh>
    <rPh sb="261" eb="263">
      <t>ジッシ</t>
    </rPh>
    <phoneticPr fontId="3"/>
  </si>
  <si>
    <t>本学坂戸キャンパスの歯学部数理・データサイエンス教育推進委員会、浦安キャンパスの総合教育センターにおいてLMSから得られる受講者毎の講義演習進捗状況や課題への回答状況から、学生たちのプログラム内容の履修・修得状況を把握・分析している。この分析結果は、全学の総合協議会及び自己点検評価委員会に報告され、全学で本プログラム全体の履修・修得状況を把握している。履修率をみると、浦安キャンパスが14～28％、坂戸キャンパスが18％と高いとは言えない値を示しているが、これは令和3年度に本プログラムがスタートしたためであり、卒業要件の必修科目であることから、年次進行により約95％の履修率を達成できるものと予想している。</t>
    <rPh sb="0" eb="2">
      <t>ホンガク</t>
    </rPh>
    <rPh sb="13" eb="15">
      <t>スウリ</t>
    </rPh>
    <rPh sb="177" eb="180">
      <t>リシュウリツ</t>
    </rPh>
    <rPh sb="185" eb="187">
      <t>ウラヤス</t>
    </rPh>
    <rPh sb="200" eb="202">
      <t>サカド</t>
    </rPh>
    <rPh sb="220" eb="221">
      <t>アタイ</t>
    </rPh>
    <rPh sb="222" eb="223">
      <t>シメ</t>
    </rPh>
    <rPh sb="232" eb="234">
      <t>レイワ</t>
    </rPh>
    <rPh sb="235" eb="237">
      <t>ネンド</t>
    </rPh>
    <rPh sb="238" eb="239">
      <t>ホン</t>
    </rPh>
    <rPh sb="257" eb="261">
      <t>ソツギョウヨウケン</t>
    </rPh>
    <rPh sb="262" eb="264">
      <t>ヒッシュウ</t>
    </rPh>
    <rPh sb="264" eb="266">
      <t>カモク</t>
    </rPh>
    <rPh sb="274" eb="278">
      <t>ネンジシンコウ</t>
    </rPh>
    <rPh sb="281" eb="282">
      <t>ヤク</t>
    </rPh>
    <rPh sb="286" eb="289">
      <t>リシュウリツ</t>
    </rPh>
    <rPh sb="290" eb="292">
      <t>タッセイ</t>
    </rPh>
    <rPh sb="298" eb="300">
      <t>ヨソウ</t>
    </rPh>
    <phoneticPr fontId="3"/>
  </si>
  <si>
    <t>様式２－１</t>
    <phoneticPr fontId="3"/>
  </si>
  <si>
    <t>・ビッグデータ、IoT 、 AI 、 ロボット「学修の基礎III-b」（１、6回目）
・データ量の増加、計算機の処理性能の向上、AI の進化「学修の基礎III-b」（１回目）
・第4 次産業革命、 Society 5.0 、 データ駆動型社会「学修の基礎III-b」（１回目）
・データを起点としたものの見方、人間の知的活動を起点としたものの見方「学修の基礎III-b」（1回）</t>
    <rPh sb="24" eb="26">
      <t xml:space="preserve">ガクシュウノ </t>
    </rPh>
    <rPh sb="27" eb="29">
      <t xml:space="preserve">キソ </t>
    </rPh>
    <rPh sb="39" eb="41">
      <t>カイメ</t>
    </rPh>
    <rPh sb="71" eb="73">
      <t xml:space="preserve">ガクシュウノキソ </t>
    </rPh>
    <rPh sb="84" eb="86">
      <t>カイメ</t>
    </rPh>
    <rPh sb="106" eb="108">
      <t xml:space="preserve">ガクシュウノキソ </t>
    </rPh>
    <rPh sb="124" eb="131">
      <t>イリョウ</t>
    </rPh>
    <rPh sb="174" eb="176">
      <t>ガク</t>
    </rPh>
    <phoneticPr fontId="3"/>
  </si>
  <si>
    <t>・AI等を活用した新しいビジネスモデル(シェアリングエコノミー、商品のレコメンデーションなど)「学修の基礎III-b」（5回）
・AI最新技術の活用例（深層生成モデル、敵対的生成ネットワーク、強化学習、転移学習など）「学修の基礎III-b」（6回）</t>
    <rPh sb="48" eb="50">
      <t xml:space="preserve">ガクシュウノキソ </t>
    </rPh>
    <rPh sb="109" eb="111">
      <t>ガｋ</t>
    </rPh>
    <phoneticPr fontId="3"/>
  </si>
  <si>
    <t>・調査データ、実験データ、人の行動ログデータ、機械の稼働ログデータなど「学修の基礎III-b」（1回）
・構造化データ、非構造化データ（文章、画像/動画、音声/音楽など）「学修の基礎III-b」（6回）
・データのオープン化（オープンデータ）「学修の基礎III-b」（12回）</t>
    <rPh sb="36" eb="38">
      <t>ガ</t>
    </rPh>
    <rPh sb="49" eb="50">
      <t xml:space="preserve">カイ </t>
    </rPh>
    <phoneticPr fontId="3"/>
  </si>
  <si>
    <t>・データ・AI活用領域の広がり(生産、消費、文化活動など）「学修の基礎III-b」（1回）</t>
    <rPh sb="16" eb="18">
      <t>セイサン</t>
    </rPh>
    <rPh sb="19" eb="21">
      <t>ショウヒ</t>
    </rPh>
    <rPh sb="22" eb="26">
      <t>ブンカカツドウ</t>
    </rPh>
    <phoneticPr fontId="3"/>
  </si>
  <si>
    <t>・データ解析：予測、グルーピング、パターン発見「学修の基礎III-b」（5回）
・データの可視化：関係性の可視化「学修の基礎III-b」（5回）
・特化型AIと汎用AI、今のAIで出来ることと出来ないこと、AIとビッグデータ「学修の基礎III-b」（6回）
・非構造化データ処理：言語処理、画像/動画処理、音声/音楽処理など「学修の基礎III-b」（6回）
・認識技術、ルールベース、自動化技術「学修の基礎III-b」（6回）</t>
    <rPh sb="4" eb="6">
      <t>カイセキ</t>
    </rPh>
    <rPh sb="45" eb="48">
      <t xml:space="preserve">カシカ </t>
    </rPh>
    <rPh sb="53" eb="56">
      <t>カシカ</t>
    </rPh>
    <rPh sb="163" eb="165">
      <t>_x0000_'_x0000_</t>
    </rPh>
    <phoneticPr fontId="3"/>
  </si>
  <si>
    <t>・データサイエンスのサイクル（課題抽出と定式化、データの取得・管理・加工、探索的データ解析、データ解析と推論、結果の共有・伝達、課題解決に向けた提案）「学修の基礎III-b」（6回）
・流通、製造、金融、サービス、インフラ、公共、ヘルスケア等におけるデータ・AI利活用事例紹介「学修の基礎III-b」（6回）</t>
    <phoneticPr fontId="3"/>
  </si>
  <si>
    <t>・ELSI（Ethical、 Legal and Social Issues）「学修の基礎III-b」（4回）
・個人情報保護、EU一般データ保護規則(GDPR)「学修の基礎III-b」（4回）
・データ倫理：データのねつ造、改ざん、盗用、プライバシー保護「学修の基礎III-b」（4回）
・AI社会原則（公平性、説明責任、透明性、人間中心の判断）「学修の基礎III-b：（4回）
・データバイアス、アルゴリズムバイアス「学修の基礎III-b」（4回）</t>
    <rPh sb="175" eb="177">
      <t>ガク</t>
    </rPh>
    <rPh sb="188" eb="189">
      <t xml:space="preserve">カイ </t>
    </rPh>
    <phoneticPr fontId="3"/>
  </si>
  <si>
    <t>・情報セキュリティ：機密性、完全性、可用性「学修の基礎III-b」（4回）
・匿名加工情報、暗号化、パスワード、悪意ある情報搾取（学修の基礎III-b」（4回）
・情報漏洩等によるセキュリティ事故の事例紹介「学修の基礎III-b」（4回）</t>
    <rPh sb="65" eb="67">
      <t>ガク</t>
    </rPh>
    <rPh sb="104" eb="106">
      <t>ガｋ</t>
    </rPh>
    <phoneticPr fontId="3"/>
  </si>
  <si>
    <t>・データの分布(ヒストグラム)と代表値（平均値、中央値、最頻値）「学修の基礎III-a」（14回）、「学修の基礎III-b」（11回）
・代表値の性質の違い「学修の基礎III-a」（14回）
・相関と因果（擬似相関、交絡）「学修の基礎III-b」（6回）
・クロス集計表「学修の基礎III-b」（12回）
・統計情報の正しい理解（誇張表現に惑わされない）「学修の基礎III-b」（6回）</t>
    <rPh sb="33" eb="35">
      <t>ガクシュウカイ イｒガクシュウノキソ _x0000_!_x0002_	!_x0002__x0012_3_x0002__x0014_A_x0001__x0017_O_x0002_ _x0002_"_x0002_$_x0007_&amp;®_x0002_+¼</t>
    </rPh>
    <phoneticPr fontId="3"/>
  </si>
  <si>
    <t>・データ表現（棒グラフ、折線グラフ、散布図、ヒートマップ）「学修の基礎III-b」（12回）
・不適切なグラフ表現（チャートジャンク、不必要な視覚的要素）「学修の基礎III-b」（12回）
・優れた可視化事例の紹介（可視化することによって新たな気づきがあった事例など）「学修の基礎III-b」（12回）</t>
    <rPh sb="10" eb="12">
      <t xml:space="preserve">カイシャク </t>
    </rPh>
    <rPh sb="13" eb="15">
      <t>ガクシュウノ</t>
    </rPh>
    <rPh sb="30" eb="32">
      <t xml:space="preserve">ガクシュウノキソ </t>
    </rPh>
    <rPh sb="78" eb="80">
      <t xml:space="preserve">ガクシュウノキソ </t>
    </rPh>
    <rPh sb="119" eb="121">
      <t xml:space="preserve">ガクシュウノキソ </t>
    </rPh>
    <phoneticPr fontId="3"/>
  </si>
  <si>
    <t>・データの集計（和、平均）「学修の基礎III-b」（7回、11回）
・表形式のデータ（csv）「学修の基礎III-b」（12回）</t>
    <rPh sb="7" eb="9">
      <t xml:space="preserve">テジュｎ </t>
    </rPh>
    <rPh sb="10" eb="12">
      <t xml:space="preserve">ガクシュウノキソ </t>
    </rPh>
    <rPh sb="14" eb="16">
      <t xml:space="preserve">ガクシュウノキソ </t>
    </rPh>
    <rPh sb="48" eb="50">
      <t>_x0000__x0007_</t>
    </rPh>
    <rPh sb="62" eb="63">
      <t/>
    </rPh>
    <phoneticPr fontId="3"/>
  </si>
  <si>
    <t>様式２－２</t>
    <phoneticPr fontId="3"/>
  </si>
  <si>
    <t>・ビッグデータ、IoT 、 AI 、 ロボット「医療情報処理学II」（1回）
・データ量の増加、計算機の処理性能の向上、AI の進化「医療情報処理学II」（1回）
・第4 次産業革命、 Society 5.0 、 データ駆動型社会「医療情報処理学II」（1回）
・データを起点としたものの見方、人間の知的活動を起点としたものの見方「医療情報処理学II」（1回）</t>
    <rPh sb="24" eb="31">
      <t>イｒ</t>
    </rPh>
    <rPh sb="100" eb="102">
      <t xml:space="preserve">ガクシュウノキソ </t>
    </rPh>
    <phoneticPr fontId="3"/>
  </si>
  <si>
    <t>・AI等を活用した新しいビジネスモデル(シェアリングエコノミー、商品のレコメンデーションなど)「医療情報処理学II」（1回）
・AI最新技術の活用例（深層生成モデル、敵対的生成ネットワーク、強化学習、転移学習など）「医療情報処理学II」（1回）</t>
    <rPh sb="48" eb="55">
      <t>イリョウ</t>
    </rPh>
    <phoneticPr fontId="3"/>
  </si>
  <si>
    <t>・データ・AI活用領域の広がり(生産、消費、文化活動など）「医療情報処理学II」（2回）
・研究開発、調達、製造、物流、販売、マーケティング、サービスなど「医療情報処理学Ⅱ」（2回）</t>
    <rPh sb="16" eb="18">
      <t>セイサン</t>
    </rPh>
    <rPh sb="19" eb="21">
      <t>ショウヒ</t>
    </rPh>
    <rPh sb="22" eb="26">
      <t>ブンカカツドウ</t>
    </rPh>
    <rPh sb="78" eb="85">
      <t>イリョウ</t>
    </rPh>
    <phoneticPr fontId="3"/>
  </si>
  <si>
    <t>・データの可視化：関係性の可視化「医療情報処理学IV」（3回）
・地図上の可視化「医療情報処理学II」）（3回）</t>
    <rPh sb="5" eb="8">
      <t xml:space="preserve">カシカ </t>
    </rPh>
    <rPh sb="13" eb="16">
      <t>カシカ</t>
    </rPh>
    <phoneticPr fontId="3"/>
  </si>
  <si>
    <t>・データサイエンスのサイクル（課題抽出と定式化、データの取得・管理・加工、探索的データ解析、データ解析と推論、結果の共有・伝達、課題解決に向けた提案）医療情報処理学IV（1回）
・流通、製造、金融、サービス、インフラ、公共、ヘルスケア等におけるデータ・AI利活用事例紹介「医療情報処理学IV」（1回）</t>
    <phoneticPr fontId="3"/>
  </si>
  <si>
    <t>・ELSI（Ethical、 Legal and Social Issues）「医療情報処理学II」（7回）
・個人情報保護、EU一般データ保護規則(GDPR)「医療情報処理学II」（7回）
・データ倫理：データのねつ造、改ざん、盗用、プライバシー保護「医療情報処理学II」（7回）
・AI社会原則（公平性、説明責任、透明性、人間中心の判断）「医療情報処理学II」（7回）
・データバイアス、アルゴリズムバイアス「医療情報処理学II」（7回）</t>
    <phoneticPr fontId="3"/>
  </si>
  <si>
    <t>・データの分布(ヒストグラム)と代表値（平均値、中央値、最頻値）「医療情報処理学IV」（4回）
・データのばらつき（分散、標準偏差、偏差値）「医療情報処理学II」（5回）
・相関と因果（擬似相関、交絡）「医療情報処理学IV」（4回）
・クロス集計表「医療情報処理学IV」（4回）
・統計情報の正しい理解（誇張表現に惑わされない）「医療情報処理学IV」（4回）</t>
    <phoneticPr fontId="3"/>
  </si>
  <si>
    <t>・データ表現（棒グラフ、折線グラフ、散布図、ヒートマップ）「医療情報処理学II」（5回）
・不適切なグラフ表現（チャートジャンク、不必要な視覚的要素）「医療情報処理学IV」（4回）
・優れた可視化事例の紹介（可視化することによって新たな気づきがあった事例など）「医療情報処理学IV」（4回）</t>
    <rPh sb="10" eb="12">
      <t xml:space="preserve">カイシャク </t>
    </rPh>
    <rPh sb="13" eb="15">
      <t>ガクシュウノ</t>
    </rPh>
    <rPh sb="30" eb="37">
      <t>イ</t>
    </rPh>
    <rPh sb="115" eb="117">
      <t xml:space="preserve">ガクシュウノキソ </t>
    </rPh>
    <phoneticPr fontId="3"/>
  </si>
  <si>
    <t>・データの並び替え「医療情報処理学II」（5回）
・表形式のデータ（csv）医療情報処理学IV（4回）</t>
    <rPh sb="10" eb="17">
      <t>イリョウジョウ</t>
    </rPh>
    <rPh sb="38" eb="45">
      <t>イリョウｊ</t>
    </rPh>
    <phoneticPr fontId="3"/>
  </si>
  <si>
    <t>・構造化データ、非構造化データ（文章、画像/動画、音声/音楽など）「医療情報処理学II」（2回）
・データ作成（ビッグデータとアノテーション）「医療情報処理学II」（2回）
・データのオープン化（オープンデータ）「医療情報処理学II」（2回）</t>
    <phoneticPr fontId="3"/>
  </si>
  <si>
    <t>・情報セキュリティ：機密性、完全性、可用性「医療情報処理学II」（7回）</t>
    <phoneticPr fontId="3"/>
  </si>
  <si>
    <t xml:space="preserve">【歯学部】
　人間力形成科目の「医療情報処理学II（1単位/1年次配当/必修）」及び「医療情報処理学IV（1単位/2年次配当/必修）」の合計2単位を取得すること                                                                    
                                                                                                                                                                                                                                                          </t>
    <phoneticPr fontId="3"/>
  </si>
  <si>
    <r>
      <t>【浦安キャンパス（外国語学部、経済学部、不動産学部、ホスピタリティー・ツーリズム学部及び保健医療学部共通】
　共通科目の「学修の基礎III-a（2単位/1年次配当/必修）」及び「学修の基礎III-b（2単位/1年次配当/必修）」の合計4単位を取得すること</t>
    </r>
    <r>
      <rPr>
        <strike/>
        <sz val="11"/>
        <rFont val="ＭＳ Ｐゴシック"/>
        <family val="3"/>
        <charset val="128"/>
      </rPr>
      <t xml:space="preserve">
</t>
    </r>
    <r>
      <rPr>
        <sz val="11"/>
        <rFont val="ＭＳ Ｐゴシック"/>
        <family val="3"/>
        <charset val="128"/>
      </rPr>
      <t xml:space="preserve">
</t>
    </r>
    <rPh sb="1" eb="3">
      <t>ウラヤス</t>
    </rPh>
    <rPh sb="9" eb="12">
      <t xml:space="preserve">ガイコクゴ </t>
    </rPh>
    <rPh sb="12" eb="14">
      <t xml:space="preserve">ガクブ </t>
    </rPh>
    <rPh sb="15" eb="19">
      <t xml:space="preserve">ケイザイガクブ </t>
    </rPh>
    <rPh sb="20" eb="23">
      <t xml:space="preserve">フドウサｎ </t>
    </rPh>
    <rPh sb="23" eb="25">
      <t xml:space="preserve">ガクブ </t>
    </rPh>
    <rPh sb="40" eb="42">
      <t xml:space="preserve">ガクブ </t>
    </rPh>
    <rPh sb="42" eb="43">
      <t>オヨ</t>
    </rPh>
    <rPh sb="44" eb="46">
      <t xml:space="preserve">ホケｎ </t>
    </rPh>
    <rPh sb="46" eb="50">
      <t xml:space="preserve">イリョウガクブ </t>
    </rPh>
    <rPh sb="50" eb="52">
      <t>キョウツウ</t>
    </rPh>
    <rPh sb="55" eb="59">
      <t>キョウツウカモク</t>
    </rPh>
    <rPh sb="62" eb="64">
      <t xml:space="preserve">ガクシュウノキソ </t>
    </rPh>
    <rPh sb="73" eb="75">
      <t>タンイ</t>
    </rPh>
    <rPh sb="77" eb="81">
      <t>ネンジハイトウ</t>
    </rPh>
    <rPh sb="82" eb="84">
      <t>ヒッシュウ</t>
    </rPh>
    <rPh sb="86" eb="87">
      <t>オヨ</t>
    </rPh>
    <rPh sb="90" eb="92">
      <t xml:space="preserve">ガクシュウノキソ </t>
    </rPh>
    <rPh sb="101" eb="103">
      <t>タンイ</t>
    </rPh>
    <rPh sb="105" eb="107">
      <t>ネンジ</t>
    </rPh>
    <rPh sb="107" eb="109">
      <t>ハイトウ</t>
    </rPh>
    <rPh sb="115" eb="117">
      <t xml:space="preserve">ゴウケイ </t>
    </rPh>
    <rPh sb="121" eb="123">
      <t xml:space="preserve">シュトク </t>
    </rPh>
    <phoneticPr fontId="3"/>
  </si>
  <si>
    <t>4-1統計および数理基礎</t>
    <phoneticPr fontId="3"/>
  </si>
  <si>
    <t>4‐2アルゴリズム基礎</t>
    <phoneticPr fontId="3"/>
  </si>
  <si>
    <t>4‐3データ構造とプログラミング基礎</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</si>
</sst>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26"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1"/>
      <name val="ＭＳ Ｐゴシック"/>
      <family val="3"/>
      <charset val="128"/>
    </font>
    <font>
      <sz val="12"/>
      <color rgb="FFFF0000"/>
      <name val="ＭＳ Ｐゴシック"/>
      <family val="3"/>
      <charset val="128"/>
      <scheme val="minor"/>
    </font>
    <font>
      <sz val="12"/>
      <color rgb="FF0000FF"/>
      <name val="ＭＳ Ｐゴシック"/>
      <family val="3"/>
      <charset val="128"/>
      <scheme val="minor"/>
    </font>
    <font>
      <strike/>
      <sz val="12"/>
      <color rgb="FFFF0000"/>
      <name val="ＭＳ Ｐゴシック"/>
      <family val="3"/>
      <charset val="128"/>
      <scheme val="minor"/>
    </font>
    <font>
      <strike/>
      <sz val="12"/>
      <color rgb="FF0070C0"/>
      <name val="ＭＳ Ｐゴシック"/>
      <family val="3"/>
      <charset val="128"/>
      <scheme val="minor"/>
    </font>
    <font>
      <sz val="12"/>
      <name val="ＭＳ Ｐゴシック"/>
      <family val="3"/>
      <charset val="128"/>
      <scheme val="major"/>
    </font>
    <font>
      <strike/>
      <sz val="11"/>
      <name val="ＭＳ Ｐゴシック"/>
      <family val="3"/>
      <charset val="128"/>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404">
    <xf numFmtId="0" fontId="0" fillId="0" borderId="0" xfId="0">
      <alignment vertical="center"/>
    </xf>
    <xf numFmtId="0" fontId="4" fillId="0" borderId="0" xfId="0" applyFont="1">
      <alignment vertical="center"/>
    </xf>
    <xf numFmtId="0" fontId="5" fillId="0" borderId="0" xfId="0" applyFont="1">
      <alignment vertical="center"/>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0" xfId="0"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1" xfId="0" applyFont="1" applyBorder="1" applyAlignment="1">
      <alignment vertical="center" shrinkToFit="1"/>
    </xf>
    <xf numFmtId="0" fontId="5" fillId="0" borderId="0" xfId="0" applyFont="1" applyAlignment="1">
      <alignment horizontal="center" vertical="center"/>
    </xf>
    <xf numFmtId="0" fontId="8" fillId="0" borderId="0" xfId="0" applyFont="1" applyFill="1">
      <alignment vertical="center"/>
    </xf>
    <xf numFmtId="0" fontId="8" fillId="0" borderId="10" xfId="0" applyFont="1" applyBorder="1" applyAlignment="1">
      <alignment vertical="center" shrinkToFit="1"/>
    </xf>
    <xf numFmtId="49" fontId="12" fillId="0" borderId="1" xfId="0" applyNumberFormat="1" applyFont="1" applyBorder="1" applyAlignment="1">
      <alignment horizontal="center" vertical="center"/>
    </xf>
    <xf numFmtId="0" fontId="8" fillId="0" borderId="14" xfId="0" applyFont="1" applyBorder="1" applyAlignment="1">
      <alignment vertical="center" shrinkToFit="1"/>
    </xf>
    <xf numFmtId="0" fontId="8" fillId="0" borderId="23" xfId="0" applyFont="1" applyBorder="1" applyAlignment="1">
      <alignment vertical="center" shrinkToFit="1"/>
    </xf>
    <xf numFmtId="0" fontId="8" fillId="0" borderId="43" xfId="0" applyFont="1" applyBorder="1" applyAlignment="1">
      <alignment vertical="center" shrinkToFit="1"/>
    </xf>
    <xf numFmtId="0" fontId="8" fillId="0" borderId="0" xfId="0" applyFont="1" applyAlignment="1">
      <alignment vertical="center" shrinkToFit="1"/>
    </xf>
    <xf numFmtId="0" fontId="9" fillId="0" borderId="2" xfId="0" applyFont="1" applyBorder="1">
      <alignment vertical="center"/>
    </xf>
    <xf numFmtId="0" fontId="9" fillId="0" borderId="4" xfId="0" applyFont="1" applyBorder="1">
      <alignment vertical="center"/>
    </xf>
    <xf numFmtId="49" fontId="12" fillId="0" borderId="47" xfId="0" applyNumberFormat="1" applyFont="1" applyBorder="1" applyAlignment="1">
      <alignment horizontal="center" vertical="center"/>
    </xf>
    <xf numFmtId="49" fontId="12" fillId="0" borderId="33" xfId="0" applyNumberFormat="1" applyFont="1" applyBorder="1" applyAlignment="1">
      <alignment horizontal="center" vertical="center"/>
    </xf>
    <xf numFmtId="49" fontId="12" fillId="0" borderId="50" xfId="0" applyNumberFormat="1" applyFont="1" applyBorder="1" applyAlignment="1">
      <alignment horizontal="center" vertical="center"/>
    </xf>
    <xf numFmtId="49" fontId="12" fillId="0" borderId="51" xfId="0" applyNumberFormat="1" applyFont="1" applyBorder="1" applyAlignment="1">
      <alignment horizontal="center" vertical="center"/>
    </xf>
    <xf numFmtId="49" fontId="12" fillId="0" borderId="52" xfId="0" applyNumberFormat="1" applyFont="1" applyBorder="1" applyAlignment="1">
      <alignment horizontal="center" vertical="center"/>
    </xf>
    <xf numFmtId="49" fontId="12" fillId="0" borderId="29" xfId="0" applyNumberFormat="1" applyFont="1" applyBorder="1" applyAlignment="1">
      <alignment horizontal="center" vertical="center"/>
    </xf>
    <xf numFmtId="0" fontId="15"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0" xfId="0" applyFont="1" applyBorder="1" applyAlignment="1">
      <alignment vertical="center" shrinkToFit="1"/>
    </xf>
    <xf numFmtId="0" fontId="14" fillId="0" borderId="0" xfId="0" applyFont="1">
      <alignment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9" fontId="8" fillId="0" borderId="10"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3" xfId="0" applyNumberFormat="1" applyFont="1" applyBorder="1" applyAlignment="1">
      <alignment vertical="center" shrinkToFit="1"/>
    </xf>
    <xf numFmtId="9" fontId="8" fillId="0" borderId="23" xfId="0" applyNumberFormat="1" applyFont="1" applyBorder="1" applyAlignment="1">
      <alignment vertical="center" shrinkToFit="1"/>
    </xf>
    <xf numFmtId="0" fontId="8" fillId="0" borderId="24" xfId="0" applyFont="1" applyBorder="1" applyAlignment="1">
      <alignment horizontal="left" vertical="center" shrinkToFit="1"/>
    </xf>
    <xf numFmtId="176" fontId="8" fillId="0" borderId="24" xfId="0" applyNumberFormat="1" applyFont="1" applyBorder="1" applyAlignment="1">
      <alignment vertical="center" shrinkToFit="1"/>
    </xf>
    <xf numFmtId="0" fontId="8" fillId="0" borderId="28" xfId="0" applyFont="1" applyBorder="1" applyAlignment="1">
      <alignment horizontal="center" vertical="center" shrinkToFit="1"/>
    </xf>
    <xf numFmtId="9" fontId="8" fillId="0" borderId="27" xfId="0" applyNumberFormat="1" applyFont="1" applyBorder="1" applyAlignment="1">
      <alignment vertical="center" shrinkToFit="1"/>
    </xf>
    <xf numFmtId="0" fontId="8" fillId="0" borderId="0" xfId="0" applyFont="1">
      <alignment vertical="center"/>
    </xf>
    <xf numFmtId="0" fontId="8" fillId="0" borderId="0" xfId="0" applyFont="1" applyAlignment="1">
      <alignment vertical="center"/>
    </xf>
    <xf numFmtId="0" fontId="8" fillId="0" borderId="5" xfId="0" applyFont="1" applyBorder="1">
      <alignment vertical="center"/>
    </xf>
    <xf numFmtId="0" fontId="8" fillId="0" borderId="0" xfId="0" applyFont="1" applyAlignment="1">
      <alignment horizontal="center" vertical="center"/>
    </xf>
    <xf numFmtId="0" fontId="8" fillId="0" borderId="0" xfId="0" applyFont="1" applyAlignment="1">
      <alignment vertical="top" wrapText="1"/>
    </xf>
    <xf numFmtId="0" fontId="8" fillId="0" borderId="7"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0" xfId="0" applyFont="1" applyAlignment="1">
      <alignment horizontal="right" vertical="center"/>
    </xf>
    <xf numFmtId="0" fontId="8" fillId="0" borderId="23" xfId="0" applyFont="1" applyBorder="1" applyAlignment="1">
      <alignment horizontal="left" vertical="center" shrinkToFit="1"/>
    </xf>
    <xf numFmtId="0" fontId="12" fillId="0" borderId="0" xfId="0" applyFont="1">
      <alignment vertical="center"/>
    </xf>
    <xf numFmtId="9" fontId="8" fillId="0" borderId="8" xfId="0" applyNumberFormat="1"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12" fillId="0" borderId="0" xfId="0" applyFont="1" applyAlignment="1">
      <alignment vertical="top" wrapText="1"/>
    </xf>
    <xf numFmtId="0" fontId="12" fillId="0" borderId="10" xfId="0" applyFont="1" applyBorder="1" applyAlignment="1">
      <alignment vertical="top" wrapText="1"/>
    </xf>
    <xf numFmtId="0" fontId="12" fillId="0" borderId="5" xfId="0" applyFont="1" applyBorder="1" applyAlignment="1">
      <alignment vertical="top" wrapText="1"/>
    </xf>
    <xf numFmtId="0" fontId="8" fillId="0" borderId="16" xfId="0" applyFont="1" applyBorder="1">
      <alignment vertical="center"/>
    </xf>
    <xf numFmtId="0" fontId="12" fillId="0" borderId="20" xfId="0" applyFont="1" applyBorder="1" applyAlignment="1">
      <alignment vertical="top" wrapText="1"/>
    </xf>
    <xf numFmtId="0" fontId="12" fillId="0" borderId="18" xfId="0" applyFont="1" applyBorder="1" applyAlignment="1">
      <alignment vertical="top" wrapText="1"/>
    </xf>
    <xf numFmtId="0" fontId="12" fillId="0" borderId="20" xfId="0" applyFont="1" applyBorder="1" applyAlignment="1">
      <alignment vertical="top" shrinkToFit="1"/>
    </xf>
    <xf numFmtId="0" fontId="12" fillId="0" borderId="18" xfId="0" applyFont="1" applyBorder="1" applyAlignment="1">
      <alignment vertical="top" shrinkToFit="1"/>
    </xf>
    <xf numFmtId="0" fontId="8" fillId="0" borderId="0" xfId="0" applyFont="1" applyAlignment="1">
      <alignment vertical="center" wrapText="1"/>
    </xf>
    <xf numFmtId="0" fontId="12" fillId="0" borderId="0" xfId="0" applyFont="1" applyAlignment="1">
      <alignment vertical="top" shrinkToFit="1"/>
    </xf>
    <xf numFmtId="0" fontId="12" fillId="0" borderId="0" xfId="0" applyFont="1" applyAlignment="1">
      <alignment vertical="center" wrapTex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5" fillId="0" borderId="15" xfId="0" applyFont="1" applyBorder="1" applyAlignment="1">
      <alignment horizontal="left" vertical="center" shrinkToFit="1"/>
    </xf>
    <xf numFmtId="0" fontId="5" fillId="0" borderId="23" xfId="0" applyFont="1" applyBorder="1" applyAlignment="1">
      <alignment horizontal="left" vertical="center" shrinkToFit="1"/>
    </xf>
    <xf numFmtId="0" fontId="8" fillId="2" borderId="0" xfId="0" applyFont="1" applyFill="1" applyAlignment="1">
      <alignment horizontal="left" vertical="center"/>
    </xf>
    <xf numFmtId="0" fontId="8" fillId="2" borderId="0" xfId="0" applyFont="1" applyFill="1" applyBorder="1" applyAlignment="1">
      <alignment vertical="center"/>
    </xf>
    <xf numFmtId="0" fontId="8" fillId="2" borderId="0" xfId="0" applyFont="1" applyFill="1">
      <alignment vertical="center"/>
    </xf>
    <xf numFmtId="0" fontId="8" fillId="2" borderId="1" xfId="0" applyFont="1" applyFill="1" applyBorder="1" applyAlignment="1">
      <alignment vertical="center" shrinkToFit="1"/>
    </xf>
    <xf numFmtId="0" fontId="8" fillId="2" borderId="0" xfId="0" applyFont="1" applyFill="1" applyBorder="1" applyAlignment="1">
      <alignment vertical="center" shrinkToFit="1"/>
    </xf>
    <xf numFmtId="0" fontId="8" fillId="2" borderId="5" xfId="0" applyFont="1" applyFill="1" applyBorder="1">
      <alignment vertical="center"/>
    </xf>
    <xf numFmtId="176" fontId="8" fillId="2" borderId="0" xfId="0" applyNumberFormat="1" applyFont="1" applyFill="1" applyAlignment="1">
      <alignment vertical="center" wrapText="1"/>
    </xf>
    <xf numFmtId="176" fontId="8" fillId="2" borderId="5" xfId="0" applyNumberFormat="1" applyFont="1" applyFill="1" applyBorder="1">
      <alignment vertical="center"/>
    </xf>
    <xf numFmtId="176" fontId="8" fillId="2" borderId="0" xfId="0" applyNumberFormat="1" applyFont="1" applyFill="1">
      <alignment vertical="center"/>
    </xf>
    <xf numFmtId="0" fontId="8" fillId="2" borderId="0" xfId="0" applyFont="1" applyFill="1" applyAlignment="1">
      <alignment horizontal="center" vertical="center"/>
    </xf>
    <xf numFmtId="176" fontId="8" fillId="2" borderId="3" xfId="0" applyNumberFormat="1" applyFont="1" applyFill="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21" fillId="0" borderId="23" xfId="0" applyFont="1" applyBorder="1" applyAlignment="1">
      <alignment horizontal="center" vertical="center" shrinkToFit="1"/>
    </xf>
    <xf numFmtId="0" fontId="21" fillId="0" borderId="23" xfId="0" applyFont="1" applyBorder="1" applyAlignment="1">
      <alignment vertical="center" shrinkToFit="1"/>
    </xf>
    <xf numFmtId="0" fontId="8" fillId="0" borderId="15" xfId="0" applyFont="1" applyBorder="1" applyAlignment="1">
      <alignment horizontal="center" vertical="center" shrinkToFit="1"/>
    </xf>
    <xf numFmtId="0" fontId="9" fillId="0" borderId="23" xfId="0" applyFont="1" applyBorder="1" applyAlignment="1">
      <alignment horizontal="center" vertical="center" shrinkToFit="1"/>
    </xf>
    <xf numFmtId="0" fontId="22" fillId="0" borderId="23" xfId="0" applyFont="1" applyBorder="1" applyAlignment="1">
      <alignment horizontal="center" vertical="center" shrinkToFit="1"/>
    </xf>
    <xf numFmtId="0" fontId="22" fillId="0" borderId="23" xfId="0" applyFont="1" applyBorder="1" applyAlignment="1">
      <alignment vertical="center" shrinkToFit="1"/>
    </xf>
    <xf numFmtId="0" fontId="8" fillId="0" borderId="53" xfId="0" applyFont="1" applyBorder="1" applyAlignment="1">
      <alignment horizontal="center" vertical="center" shrinkToFit="1"/>
    </xf>
    <xf numFmtId="0" fontId="8" fillId="0" borderId="53" xfId="0" applyFont="1" applyBorder="1" applyAlignment="1">
      <alignment vertical="center" shrinkToFit="1"/>
    </xf>
    <xf numFmtId="0" fontId="8" fillId="0" borderId="13" xfId="0" applyFont="1" applyBorder="1" applyAlignment="1">
      <alignment vertical="center" shrinkToFit="1"/>
    </xf>
    <xf numFmtId="0" fontId="8" fillId="0" borderId="3" xfId="0" applyFont="1" applyBorder="1">
      <alignment vertical="center"/>
    </xf>
    <xf numFmtId="0" fontId="8" fillId="0" borderId="38" xfId="0" applyFont="1" applyBorder="1">
      <alignment vertical="center"/>
    </xf>
    <xf numFmtId="0" fontId="8" fillId="0" borderId="18" xfId="0" applyFont="1" applyBorder="1">
      <alignment vertical="center"/>
    </xf>
    <xf numFmtId="0" fontId="8" fillId="0" borderId="42" xfId="0" applyFont="1" applyBorder="1">
      <alignment vertical="center"/>
    </xf>
    <xf numFmtId="0" fontId="8" fillId="0" borderId="0" xfId="0" applyFont="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5" fillId="0" borderId="20" xfId="0" applyFont="1" applyFill="1" applyBorder="1" applyAlignment="1">
      <alignment vertical="center" shrinkToFit="1"/>
    </xf>
    <xf numFmtId="0" fontId="5" fillId="0" borderId="19" xfId="0" applyFont="1" applyFill="1" applyBorder="1" applyAlignment="1">
      <alignment vertical="center" shrinkToFit="1"/>
    </xf>
    <xf numFmtId="176" fontId="5" fillId="0" borderId="19" xfId="0" applyNumberFormat="1" applyFont="1" applyFill="1" applyBorder="1" applyAlignment="1">
      <alignment vertical="center" shrinkToFit="1"/>
    </xf>
    <xf numFmtId="176" fontId="5" fillId="0" borderId="33" xfId="0" applyNumberFormat="1" applyFont="1" applyFill="1" applyBorder="1" applyAlignment="1">
      <alignment vertical="center" shrinkToFit="1"/>
    </xf>
    <xf numFmtId="177" fontId="5" fillId="0" borderId="0" xfId="0" applyNumberFormat="1" applyFont="1" applyFill="1" applyAlignment="1">
      <alignment vertical="center" shrinkToFit="1"/>
    </xf>
    <xf numFmtId="177" fontId="5" fillId="0" borderId="5" xfId="0" applyNumberFormat="1" applyFont="1" applyFill="1" applyBorder="1" applyAlignment="1">
      <alignment vertical="center" shrinkToFit="1"/>
    </xf>
    <xf numFmtId="177" fontId="5" fillId="0" borderId="31" xfId="0" applyNumberFormat="1" applyFont="1" applyFill="1" applyBorder="1" applyAlignment="1">
      <alignment vertical="center" shrinkToFit="1"/>
    </xf>
    <xf numFmtId="177" fontId="5" fillId="0" borderId="20" xfId="0" applyNumberFormat="1" applyFont="1" applyFill="1" applyBorder="1" applyAlignment="1">
      <alignment vertical="center" shrinkToFit="1"/>
    </xf>
    <xf numFmtId="177" fontId="5" fillId="0" borderId="19" xfId="0" applyNumberFormat="1" applyFont="1" applyFill="1" applyBorder="1" applyAlignment="1">
      <alignment vertical="center" shrinkToFit="1"/>
    </xf>
    <xf numFmtId="177" fontId="5" fillId="0" borderId="33" xfId="0" applyNumberFormat="1" applyFont="1" applyFill="1" applyBorder="1" applyAlignment="1">
      <alignment vertical="center" shrinkToFit="1"/>
    </xf>
    <xf numFmtId="177" fontId="8" fillId="0" borderId="26" xfId="0" applyNumberFormat="1" applyFont="1" applyBorder="1" applyAlignment="1">
      <alignment vertical="center" shrinkToFit="1"/>
    </xf>
    <xf numFmtId="177" fontId="8" fillId="0" borderId="25" xfId="0" applyNumberFormat="1" applyFont="1" applyBorder="1" applyAlignment="1">
      <alignment vertical="center" shrinkToFit="1"/>
    </xf>
    <xf numFmtId="177" fontId="8" fillId="0" borderId="35" xfId="0" applyNumberFormat="1" applyFont="1" applyBorder="1" applyAlignment="1">
      <alignment vertical="center" shrinkToFit="1"/>
    </xf>
    <xf numFmtId="177" fontId="8" fillId="0" borderId="36" xfId="0" applyNumberFormat="1" applyFont="1" applyBorder="1" applyAlignment="1">
      <alignment vertical="center" shrinkToFit="1"/>
    </xf>
    <xf numFmtId="177" fontId="8" fillId="0" borderId="27" xfId="0" applyNumberFormat="1" applyFont="1" applyBorder="1" applyAlignment="1">
      <alignment vertical="center" shrinkToFit="1"/>
    </xf>
    <xf numFmtId="177" fontId="8" fillId="0" borderId="28" xfId="0" applyNumberFormat="1" applyFont="1" applyBorder="1" applyAlignment="1">
      <alignment vertical="center" shrinkToFit="1"/>
    </xf>
    <xf numFmtId="0" fontId="8" fillId="0" borderId="0" xfId="0" applyFont="1" applyAlignment="1">
      <alignment horizontal="right" vertical="center"/>
    </xf>
    <xf numFmtId="0" fontId="8" fillId="0" borderId="0" xfId="0" applyFont="1" applyAlignment="1">
      <alignment vertical="center" wrapText="1"/>
    </xf>
    <xf numFmtId="0" fontId="11" fillId="0" borderId="0" xfId="0" applyFont="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2" borderId="0" xfId="0" applyFont="1" applyFill="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2" borderId="2"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0" fontId="8" fillId="0" borderId="0" xfId="0" applyFont="1" applyAlignment="1">
      <alignment horizontal="right" vertical="center"/>
    </xf>
    <xf numFmtId="0" fontId="8" fillId="2" borderId="0" xfId="0" applyFont="1" applyFill="1" applyAlignment="1">
      <alignment horizontal="right" vertical="center"/>
    </xf>
    <xf numFmtId="0" fontId="8" fillId="2" borderId="10" xfId="0" applyFont="1" applyFill="1" applyBorder="1" applyAlignment="1">
      <alignment horizontal="right" vertical="center"/>
    </xf>
    <xf numFmtId="176" fontId="8" fillId="2" borderId="3" xfId="0" applyNumberFormat="1" applyFont="1" applyFill="1" applyBorder="1" applyAlignment="1">
      <alignment horizontal="center" vertical="center" shrinkToFit="1"/>
    </xf>
    <xf numFmtId="0" fontId="10" fillId="0" borderId="0" xfId="0" applyFont="1" applyAlignment="1">
      <alignment horizontal="center" vertical="center"/>
    </xf>
    <xf numFmtId="0" fontId="8" fillId="2" borderId="2" xfId="0" applyNumberFormat="1" applyFont="1" applyFill="1" applyBorder="1" applyAlignment="1">
      <alignment horizontal="center" vertical="center"/>
    </xf>
    <xf numFmtId="0" fontId="8" fillId="2" borderId="4" xfId="0" applyNumberFormat="1"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3" fontId="8" fillId="2" borderId="2" xfId="0" applyNumberFormat="1" applyFont="1" applyFill="1" applyBorder="1" applyAlignment="1">
      <alignment horizontal="center" vertical="center"/>
    </xf>
    <xf numFmtId="0" fontId="8" fillId="2" borderId="0" xfId="0" applyFont="1" applyFill="1" applyAlignment="1">
      <alignment vertical="center" shrinkToFit="1"/>
    </xf>
    <xf numFmtId="0" fontId="13" fillId="0" borderId="48" xfId="0" applyFont="1" applyBorder="1" applyAlignment="1">
      <alignment vertical="center" wrapText="1"/>
    </xf>
    <xf numFmtId="0" fontId="13" fillId="0" borderId="32" xfId="0" applyFont="1" applyBorder="1" applyAlignment="1">
      <alignment vertical="center" wrapText="1"/>
    </xf>
    <xf numFmtId="0" fontId="14" fillId="0" borderId="49" xfId="0" applyFont="1" applyBorder="1" applyAlignment="1">
      <alignment vertical="center" wrapTex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wrapText="1" shrinkToFit="1"/>
    </xf>
    <xf numFmtId="0" fontId="8" fillId="0" borderId="9" xfId="0" applyFont="1" applyBorder="1" applyAlignment="1">
      <alignment vertical="center" wrapText="1" shrinkToFit="1"/>
    </xf>
    <xf numFmtId="0" fontId="8" fillId="0" borderId="5" xfId="0" applyFont="1" applyBorder="1" applyAlignment="1">
      <alignment vertical="center" wrapText="1" shrinkToFit="1"/>
    </xf>
    <xf numFmtId="0" fontId="8" fillId="0" borderId="0" xfId="0" applyFont="1" applyAlignment="1">
      <alignment vertical="center" wrapText="1" shrinkToFit="1"/>
    </xf>
    <xf numFmtId="0" fontId="8" fillId="0" borderId="10" xfId="0" applyFont="1" applyBorder="1" applyAlignment="1">
      <alignment vertical="center" wrapText="1" shrinkToFit="1"/>
    </xf>
    <xf numFmtId="0" fontId="8" fillId="0" borderId="11" xfId="0" applyFont="1" applyBorder="1" applyAlignment="1">
      <alignment vertical="center" wrapText="1" shrinkToFit="1"/>
    </xf>
    <xf numFmtId="0" fontId="8" fillId="0" borderId="12" xfId="0" applyFont="1" applyBorder="1" applyAlignment="1">
      <alignment vertical="center" wrapText="1" shrinkToFit="1"/>
    </xf>
    <xf numFmtId="0" fontId="7" fillId="0" borderId="2" xfId="2" applyBorder="1" applyAlignment="1">
      <alignment vertical="center" shrinkToFit="1"/>
    </xf>
    <xf numFmtId="0" fontId="8" fillId="0" borderId="4" xfId="0" applyFont="1" applyBorder="1" applyAlignment="1">
      <alignment vertical="center" shrinkToFit="1"/>
    </xf>
    <xf numFmtId="0" fontId="14" fillId="0" borderId="48" xfId="0" applyFont="1" applyBorder="1" applyAlignment="1">
      <alignment vertical="center" wrapText="1"/>
    </xf>
    <xf numFmtId="0" fontId="8" fillId="0" borderId="39"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14"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23" fillId="0" borderId="20" xfId="0" applyFont="1" applyBorder="1" applyAlignment="1">
      <alignment vertical="center" shrinkToFit="1"/>
    </xf>
    <xf numFmtId="0" fontId="23" fillId="0" borderId="18"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0" fillId="0" borderId="19" xfId="0" applyFont="1" applyBorder="1" applyAlignment="1">
      <alignment vertical="center" shrinkToFit="1"/>
    </xf>
    <xf numFmtId="0" fontId="20" fillId="0" borderId="20" xfId="0" applyFont="1" applyBorder="1" applyAlignment="1">
      <alignment vertical="center" shrinkToFit="1"/>
    </xf>
    <xf numFmtId="0" fontId="20" fillId="0" borderId="18" xfId="0" applyFont="1" applyBorder="1" applyAlignment="1">
      <alignment vertical="center" shrinkToFit="1"/>
    </xf>
    <xf numFmtId="0" fontId="8" fillId="0" borderId="0" xfId="0" applyFont="1" applyAlignment="1">
      <alignment vertical="center" wrapTex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37" xfId="0" applyFont="1" applyBorder="1" applyAlignment="1">
      <alignment horizontal="left" vertical="center" shrinkToFit="1"/>
    </xf>
    <xf numFmtId="0" fontId="21" fillId="0" borderId="19" xfId="0" applyFont="1" applyBorder="1" applyAlignment="1">
      <alignment horizontal="left" vertical="center" shrinkToFit="1"/>
    </xf>
    <xf numFmtId="0" fontId="21" fillId="0" borderId="20" xfId="0" applyFont="1" applyBorder="1" applyAlignment="1">
      <alignment horizontal="left" vertical="center" shrinkToFit="1"/>
    </xf>
    <xf numFmtId="0" fontId="21" fillId="0" borderId="18" xfId="0" applyFont="1" applyBorder="1" applyAlignment="1">
      <alignment horizontal="left" vertical="center" shrinkToFit="1"/>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18" xfId="0" applyFont="1" applyBorder="1" applyAlignment="1">
      <alignment horizontal="center" vertical="center"/>
    </xf>
    <xf numFmtId="0" fontId="8" fillId="0" borderId="11" xfId="0" applyFont="1" applyBorder="1" applyAlignment="1">
      <alignment horizontal="left" vertical="center" shrinkToFit="1"/>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12" xfId="0" applyFont="1" applyBorder="1" applyAlignment="1">
      <alignment horizontal="center" vertical="center"/>
    </xf>
    <xf numFmtId="0" fontId="20" fillId="0" borderId="5" xfId="0" applyFont="1" applyBorder="1" applyAlignment="1">
      <alignment horizontal="left" vertical="center" shrinkToFit="1"/>
    </xf>
    <xf numFmtId="0" fontId="20" fillId="0" borderId="0" xfId="0" applyFont="1" applyAlignment="1">
      <alignment horizontal="left" vertical="center" shrinkToFit="1"/>
    </xf>
    <xf numFmtId="0" fontId="20" fillId="0" borderId="10" xfId="0" applyFont="1" applyBorder="1" applyAlignment="1">
      <alignment horizontal="left" vertical="center" shrinkToFit="1"/>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22" fillId="0" borderId="19" xfId="0" applyFont="1" applyBorder="1" applyAlignment="1">
      <alignment horizontal="left" vertical="center" shrinkToFit="1"/>
    </xf>
    <xf numFmtId="0" fontId="22" fillId="0" borderId="20" xfId="0" applyFont="1" applyBorder="1" applyAlignment="1">
      <alignment horizontal="left" vertical="center" shrinkToFit="1"/>
    </xf>
    <xf numFmtId="0" fontId="22" fillId="0" borderId="18" xfId="0" applyFont="1" applyBorder="1" applyAlignment="1">
      <alignment horizontal="left" vertical="center" shrinkToFit="1"/>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18" xfId="0" applyFont="1" applyBorder="1" applyAlignment="1">
      <alignment horizontal="center" vertical="center"/>
    </xf>
    <xf numFmtId="0" fontId="8" fillId="0" borderId="7" xfId="0" applyFont="1" applyBorder="1" applyAlignment="1">
      <alignment horizontal="left" vertical="center" shrinkToFit="1"/>
    </xf>
    <xf numFmtId="0" fontId="9" fillId="0" borderId="0" xfId="0" applyFont="1" applyAlignment="1">
      <alignment horizontal="center" vertical="center"/>
    </xf>
    <xf numFmtId="0" fontId="11" fillId="0" borderId="0" xfId="0" applyFont="1" applyAlignment="1">
      <alignment horizontal="center" vertical="center"/>
    </xf>
    <xf numFmtId="0" fontId="19"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8" fillId="0" borderId="14"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5"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8" xfId="0" applyFont="1" applyBorder="1" applyAlignment="1">
      <alignment vertical="top"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8" fillId="0" borderId="6" xfId="0" applyFont="1" applyBorder="1">
      <alignment vertical="center"/>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2" borderId="6" xfId="0" applyFont="1" applyFill="1" applyBorder="1" applyAlignment="1">
      <alignment vertical="top" wrapText="1" shrinkToFit="1"/>
    </xf>
    <xf numFmtId="0" fontId="8" fillId="2" borderId="12" xfId="0" applyFont="1" applyFill="1" applyBorder="1" applyAlignment="1">
      <alignment vertical="top" wrapText="1" shrinkToFit="1"/>
    </xf>
    <xf numFmtId="0" fontId="7" fillId="0" borderId="2" xfId="2" applyBorder="1" applyAlignment="1">
      <alignment horizontal="center" vertical="center" shrinkToFit="1"/>
    </xf>
    <xf numFmtId="0" fontId="16" fillId="0" borderId="3" xfId="2" applyFont="1" applyBorder="1" applyAlignment="1">
      <alignment horizontal="center" vertical="center" shrinkToFit="1"/>
    </xf>
    <xf numFmtId="0" fontId="16" fillId="0" borderId="4" xfId="2" applyFont="1" applyBorder="1" applyAlignment="1">
      <alignment horizontal="center" vertical="center"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2" borderId="19" xfId="0" applyFont="1" applyFill="1" applyBorder="1" applyAlignment="1">
      <alignment vertical="top" wrapText="1" shrinkToFit="1"/>
    </xf>
    <xf numFmtId="0" fontId="8" fillId="2" borderId="20" xfId="0" applyFont="1" applyFill="1" applyBorder="1" applyAlignment="1">
      <alignment vertical="top" wrapText="1" shrinkToFit="1"/>
    </xf>
    <xf numFmtId="0" fontId="8" fillId="2" borderId="18" xfId="0" applyFont="1" applyFill="1" applyBorder="1" applyAlignment="1">
      <alignment vertical="top" wrapText="1" shrinkToFit="1"/>
    </xf>
    <xf numFmtId="0" fontId="8" fillId="0" borderId="19" xfId="0" applyFont="1" applyBorder="1" applyAlignment="1">
      <alignment vertical="top" wrapText="1" shrinkToFit="1"/>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8" fillId="0" borderId="17" xfId="0" applyFont="1" applyBorder="1">
      <alignment vertical="center"/>
    </xf>
    <xf numFmtId="0" fontId="14" fillId="0" borderId="18" xfId="0" applyFont="1" applyBorder="1">
      <alignment vertical="center"/>
    </xf>
    <xf numFmtId="0" fontId="24" fillId="0" borderId="19" xfId="0" applyFont="1" applyBorder="1" applyAlignment="1">
      <alignment vertical="top" wrapText="1" shrinkToFit="1"/>
    </xf>
    <xf numFmtId="0" fontId="24" fillId="0" borderId="20" xfId="0" applyFont="1" applyBorder="1" applyAlignment="1">
      <alignment vertical="top" wrapText="1" shrinkToFit="1"/>
    </xf>
    <xf numFmtId="0" fontId="24" fillId="0" borderId="18" xfId="0" applyFont="1" applyBorder="1" applyAlignment="1">
      <alignment vertical="top" wrapText="1" shrinkToFit="1"/>
    </xf>
    <xf numFmtId="0" fontId="4" fillId="0" borderId="0" xfId="0" applyFont="1" applyAlignment="1">
      <alignment horizontal="right" vertical="center"/>
    </xf>
    <xf numFmtId="0" fontId="5" fillId="0" borderId="0" xfId="0" applyFont="1" applyAlignment="1">
      <alignment horizontal="center" vertical="center"/>
    </xf>
    <xf numFmtId="0" fontId="5" fillId="0" borderId="8" xfId="0" applyFont="1" applyBorder="1" applyAlignment="1">
      <alignment vertical="top" wrapText="1" shrinkToFit="1"/>
    </xf>
    <xf numFmtId="0" fontId="5" fillId="0" borderId="9"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5" fillId="0" borderId="39"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37" xfId="0" applyFont="1" applyBorder="1" applyAlignment="1">
      <alignment horizontal="center" vertical="center" shrinkToFit="1"/>
    </xf>
    <xf numFmtId="0" fontId="5" fillId="0" borderId="19" xfId="0" applyFont="1"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sakif/Google%20&#12489;&#12521;&#12452;&#12502;/&#22823;&#23398;/&#25968;&#29702;&#12539;&#12487;&#12540;&#12479;&#12469;&#12452;&#12456;&#12531;&#12473;/2022&#30003;&#35531;&#27096;&#24335;4&#26376;26&#26085;/2022&#24180;&#24230;_&#35469;&#23450;&#12501;&#12442;&#12525;&#12463;&#12441;&#12521;&#12512;_20220509&#65288;&#23665;&#26412;+&#20304;&#12293;&#26408;+&#20304;&#20037;&#38291;&#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大学等概要"/>
      <sheetName val="様式２　プログラムを構成する授業科目"/>
      <sheetName val="様式３　履修者等数の実績"/>
      <sheetName val="様式４　教育の質・履修者数を向上させるための体制・計画"/>
      <sheetName val="様式５　自己点検・評価"/>
      <sheetName val="様式６　特色ある取組"/>
    </sheetNames>
    <sheetDataSet>
      <sheetData sheetId="0">
        <row r="12">
          <cell r="E12" t="str">
            <v>令和３</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science@meika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eikai.ac.jp/department-graduateschool/urayasu/datascience.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eikai.ac.jp/department-graduateschool/urayasu/datascienc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eikai.ac.jp/department-graduateschool/urayasu/datascience.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9" zoomScaleNormal="100" zoomScaleSheetLayoutView="100" workbookViewId="0">
      <selection activeCell="B37" sqref="B37:N37"/>
    </sheetView>
  </sheetViews>
  <sheetFormatPr defaultColWidth="9" defaultRowHeight="18.75" customHeight="1" x14ac:dyDescent="0.15"/>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625" style="5" customWidth="1"/>
    <col min="13" max="13" width="3.375" style="5" customWidth="1"/>
    <col min="14" max="14" width="4.5" style="5" customWidth="1"/>
    <col min="15" max="16384" width="9" style="5"/>
  </cols>
  <sheetData>
    <row r="1" spans="1:15" ht="24" customHeight="1" x14ac:dyDescent="0.15">
      <c r="M1" s="170" t="s">
        <v>25</v>
      </c>
      <c r="N1" s="170"/>
    </row>
    <row r="2" spans="1:15" ht="24" customHeight="1" x14ac:dyDescent="0.15">
      <c r="A2" s="174" t="s">
        <v>85</v>
      </c>
      <c r="B2" s="174"/>
      <c r="C2" s="174"/>
      <c r="D2" s="174"/>
      <c r="E2" s="174"/>
      <c r="F2" s="174"/>
      <c r="G2" s="174"/>
      <c r="H2" s="174"/>
      <c r="I2" s="174"/>
      <c r="J2" s="174"/>
      <c r="K2" s="174"/>
      <c r="L2" s="174"/>
      <c r="M2" s="174"/>
      <c r="N2" s="174"/>
    </row>
    <row r="3" spans="1:15" ht="24" customHeight="1" x14ac:dyDescent="0.15"/>
    <row r="4" spans="1:15" ht="24" customHeight="1" x14ac:dyDescent="0.15">
      <c r="A4" s="5" t="s">
        <v>6</v>
      </c>
      <c r="B4" s="6" t="s">
        <v>17</v>
      </c>
      <c r="C4" s="157" t="s">
        <v>157</v>
      </c>
      <c r="D4" s="158"/>
      <c r="E4" s="158"/>
      <c r="F4" s="158"/>
      <c r="G4" s="158"/>
      <c r="H4" s="158"/>
      <c r="I4" s="158"/>
      <c r="J4" s="158"/>
      <c r="K4" s="158"/>
      <c r="L4" s="158"/>
      <c r="M4" s="158"/>
      <c r="N4" s="159"/>
      <c r="O4" s="5" t="str">
        <f>IF(C4="","入力してください","")</f>
        <v/>
      </c>
    </row>
    <row r="5" spans="1:15" ht="7.5" customHeight="1" x14ac:dyDescent="0.15">
      <c r="B5" s="6"/>
      <c r="C5" s="6"/>
      <c r="D5" s="6"/>
      <c r="E5" s="7"/>
      <c r="F5" s="36"/>
      <c r="G5" s="36"/>
      <c r="H5" s="36"/>
      <c r="I5" s="36"/>
      <c r="J5" s="36"/>
      <c r="K5" s="36"/>
      <c r="L5" s="36"/>
      <c r="M5" s="36"/>
      <c r="N5" s="36"/>
    </row>
    <row r="6" spans="1:15" ht="24" customHeight="1" x14ac:dyDescent="0.15">
      <c r="A6" s="5" t="s">
        <v>49</v>
      </c>
      <c r="B6" s="6" t="s">
        <v>50</v>
      </c>
      <c r="C6" s="6"/>
      <c r="D6" s="157" t="s">
        <v>180</v>
      </c>
      <c r="E6" s="158"/>
      <c r="F6" s="158"/>
      <c r="G6" s="158"/>
      <c r="H6" s="159"/>
      <c r="I6" s="8" t="s">
        <v>170</v>
      </c>
      <c r="J6" s="36" t="s">
        <v>171</v>
      </c>
      <c r="K6" s="157" t="s">
        <v>158</v>
      </c>
      <c r="L6" s="158"/>
      <c r="M6" s="158"/>
      <c r="N6" s="159"/>
      <c r="O6" s="5" t="str">
        <f>IF(D6="","入力してください","")</f>
        <v/>
      </c>
    </row>
    <row r="7" spans="1:15" ht="7.5" customHeight="1" x14ac:dyDescent="0.15">
      <c r="B7" s="6"/>
      <c r="C7" s="6"/>
      <c r="D7" s="6"/>
      <c r="E7" s="7"/>
      <c r="F7" s="36"/>
      <c r="G7" s="36"/>
      <c r="H7" s="36"/>
      <c r="I7" s="36"/>
      <c r="J7" s="36"/>
      <c r="K7" s="36"/>
      <c r="L7" s="36"/>
      <c r="M7" s="36"/>
      <c r="N7" s="36"/>
    </row>
    <row r="8" spans="1:15" ht="24" customHeight="1" x14ac:dyDescent="0.15">
      <c r="A8" s="5" t="s">
        <v>14</v>
      </c>
      <c r="B8" s="6" t="s">
        <v>46</v>
      </c>
      <c r="C8" s="157" t="s">
        <v>181</v>
      </c>
      <c r="D8" s="158"/>
      <c r="E8" s="158"/>
      <c r="F8" s="158"/>
      <c r="G8" s="158"/>
      <c r="H8" s="158"/>
      <c r="I8" s="158"/>
      <c r="J8" s="158"/>
      <c r="K8" s="158"/>
      <c r="L8" s="158"/>
      <c r="M8" s="158"/>
      <c r="N8" s="159"/>
      <c r="O8" s="5" t="str">
        <f>IF(C8="","入力してください","")</f>
        <v/>
      </c>
    </row>
    <row r="9" spans="1:15" ht="7.5" customHeight="1" x14ac:dyDescent="0.15">
      <c r="B9" s="6"/>
      <c r="C9" s="6"/>
      <c r="D9" s="6"/>
      <c r="E9" s="7"/>
      <c r="F9" s="36"/>
      <c r="G9" s="36"/>
      <c r="H9" s="36"/>
      <c r="I9" s="36"/>
      <c r="J9" s="36"/>
      <c r="K9" s="36"/>
      <c r="L9" s="36"/>
      <c r="M9" s="36"/>
      <c r="N9" s="36"/>
    </row>
    <row r="10" spans="1:15" ht="24" customHeight="1" x14ac:dyDescent="0.15">
      <c r="A10" s="5" t="s">
        <v>12</v>
      </c>
      <c r="B10" s="6" t="s">
        <v>87</v>
      </c>
      <c r="C10" s="6"/>
      <c r="D10" s="6"/>
      <c r="E10" s="157" t="s">
        <v>159</v>
      </c>
      <c r="F10" s="158"/>
      <c r="G10" s="158"/>
      <c r="H10" s="158"/>
      <c r="I10" s="158"/>
      <c r="J10" s="158"/>
      <c r="K10" s="158"/>
      <c r="L10" s="158"/>
      <c r="M10" s="158"/>
      <c r="N10" s="159"/>
      <c r="O10" s="5" t="str">
        <f>IF(E10="","入力してください","")</f>
        <v/>
      </c>
    </row>
    <row r="11" spans="1:15" ht="7.5" customHeight="1" x14ac:dyDescent="0.15">
      <c r="B11" s="7"/>
      <c r="C11" s="7"/>
      <c r="D11" s="7"/>
      <c r="E11" s="7"/>
      <c r="F11" s="36"/>
      <c r="G11" s="36"/>
      <c r="H11" s="36"/>
      <c r="I11" s="36"/>
      <c r="J11" s="36"/>
      <c r="K11" s="36"/>
      <c r="L11" s="36"/>
      <c r="M11" s="36"/>
      <c r="N11" s="36"/>
    </row>
    <row r="12" spans="1:15" ht="24" customHeight="1" x14ac:dyDescent="0.15">
      <c r="A12" s="5" t="s">
        <v>58</v>
      </c>
      <c r="B12" s="91" t="s">
        <v>59</v>
      </c>
      <c r="C12" s="91"/>
      <c r="D12" s="91"/>
      <c r="E12" s="175" t="s">
        <v>160</v>
      </c>
      <c r="F12" s="176"/>
      <c r="G12" s="92" t="s">
        <v>96</v>
      </c>
      <c r="H12" s="93" t="s">
        <v>97</v>
      </c>
      <c r="I12" s="93"/>
      <c r="J12" s="93"/>
      <c r="K12" s="93"/>
      <c r="L12" s="93"/>
      <c r="M12" s="93"/>
      <c r="N12" s="94" t="s">
        <v>161</v>
      </c>
      <c r="O12" s="5" t="str">
        <f>IF(E12="","入力してください","")</f>
        <v/>
      </c>
    </row>
    <row r="13" spans="1:15" ht="7.5" customHeight="1" x14ac:dyDescent="0.15">
      <c r="B13" s="91"/>
      <c r="C13" s="91"/>
      <c r="D13" s="91"/>
      <c r="E13" s="91"/>
      <c r="F13" s="95"/>
      <c r="G13" s="95"/>
      <c r="H13" s="95"/>
      <c r="I13" s="95"/>
      <c r="J13" s="95"/>
      <c r="K13" s="95"/>
      <c r="L13" s="95"/>
      <c r="M13" s="95"/>
      <c r="N13" s="95"/>
    </row>
    <row r="14" spans="1:15" ht="24" customHeight="1" x14ac:dyDescent="0.15">
      <c r="A14" s="58" t="s">
        <v>53</v>
      </c>
      <c r="B14" s="93" t="s">
        <v>0</v>
      </c>
      <c r="C14" s="171" t="s">
        <v>5</v>
      </c>
      <c r="D14" s="172"/>
      <c r="E14" s="160">
        <v>270</v>
      </c>
      <c r="F14" s="161"/>
      <c r="G14" s="96" t="s">
        <v>8</v>
      </c>
      <c r="H14" s="93"/>
      <c r="I14" s="171" t="s">
        <v>9</v>
      </c>
      <c r="J14" s="172"/>
      <c r="K14" s="160">
        <v>268</v>
      </c>
      <c r="L14" s="173"/>
      <c r="M14" s="161"/>
      <c r="N14" s="97" t="s">
        <v>8</v>
      </c>
      <c r="O14" s="5" t="str">
        <f>IF(OR(E14="",K14=""),"入力してください","")</f>
        <v/>
      </c>
    </row>
    <row r="15" spans="1:15" ht="7.5" customHeight="1" x14ac:dyDescent="0.15">
      <c r="A15" s="58"/>
      <c r="B15" s="93"/>
      <c r="C15" s="93"/>
      <c r="D15" s="93"/>
      <c r="E15" s="93"/>
      <c r="F15" s="93"/>
      <c r="G15" s="93"/>
      <c r="H15" s="93"/>
      <c r="I15" s="93"/>
      <c r="J15" s="93"/>
      <c r="K15" s="93"/>
      <c r="L15" s="93"/>
      <c r="M15" s="97"/>
      <c r="N15" s="97"/>
    </row>
    <row r="16" spans="1:15" ht="24" customHeight="1" x14ac:dyDescent="0.15">
      <c r="A16" s="58" t="s">
        <v>60</v>
      </c>
      <c r="B16" s="93" t="s">
        <v>70</v>
      </c>
      <c r="C16" s="93"/>
      <c r="D16" s="93"/>
      <c r="E16" s="93"/>
      <c r="F16" s="93"/>
      <c r="G16" s="93"/>
      <c r="H16" s="93"/>
      <c r="I16" s="93"/>
      <c r="J16" s="93"/>
      <c r="K16" s="177">
        <v>12</v>
      </c>
      <c r="L16" s="178"/>
      <c r="M16" s="179"/>
      <c r="N16" s="97" t="s">
        <v>8</v>
      </c>
      <c r="O16" s="5" t="str">
        <f>IF(K16="","入力してください","")</f>
        <v/>
      </c>
    </row>
    <row r="17" spans="1:15" ht="7.5" customHeight="1" x14ac:dyDescent="0.15">
      <c r="A17" s="58"/>
      <c r="B17" s="93"/>
      <c r="C17" s="93"/>
      <c r="D17" s="93"/>
      <c r="E17" s="93"/>
      <c r="F17" s="93"/>
      <c r="G17" s="93"/>
      <c r="H17" s="93"/>
      <c r="I17" s="93"/>
      <c r="J17" s="93"/>
      <c r="K17" s="93"/>
      <c r="L17" s="93"/>
      <c r="M17" s="97"/>
      <c r="N17" s="97"/>
    </row>
    <row r="18" spans="1:15" ht="24" customHeight="1" x14ac:dyDescent="0.15">
      <c r="A18" s="58" t="s">
        <v>24</v>
      </c>
      <c r="B18" s="93" t="s">
        <v>79</v>
      </c>
      <c r="C18" s="93"/>
      <c r="D18" s="93"/>
      <c r="E18" s="160">
        <v>1150</v>
      </c>
      <c r="F18" s="161"/>
      <c r="G18" s="98" t="s">
        <v>22</v>
      </c>
      <c r="H18" s="93"/>
      <c r="I18" s="93"/>
      <c r="J18" s="93"/>
      <c r="K18" s="181"/>
      <c r="L18" s="181"/>
      <c r="M18" s="181"/>
      <c r="N18" s="181"/>
      <c r="O18" s="5" t="str">
        <f>IF(E18="","入力してください","")</f>
        <v/>
      </c>
    </row>
    <row r="19" spans="1:15" ht="7.5" customHeight="1" x14ac:dyDescent="0.15">
      <c r="A19" s="58"/>
      <c r="B19" s="93"/>
      <c r="C19" s="93"/>
      <c r="D19" s="93"/>
      <c r="E19" s="99"/>
      <c r="F19" s="93"/>
      <c r="G19" s="93"/>
      <c r="H19" s="93"/>
      <c r="I19" s="93"/>
      <c r="J19" s="93"/>
      <c r="K19" s="93"/>
      <c r="L19" s="100"/>
      <c r="M19" s="100"/>
      <c r="N19" s="97"/>
    </row>
    <row r="20" spans="1:15" ht="24" customHeight="1" x14ac:dyDescent="0.15">
      <c r="A20" s="58" t="s">
        <v>78</v>
      </c>
      <c r="B20" s="93" t="s">
        <v>80</v>
      </c>
      <c r="C20" s="93"/>
      <c r="D20" s="93"/>
      <c r="E20" s="99"/>
      <c r="F20" s="93"/>
      <c r="G20" s="93"/>
      <c r="H20" s="93" t="s">
        <v>52</v>
      </c>
      <c r="I20" s="93"/>
      <c r="J20" s="180">
        <v>4776</v>
      </c>
      <c r="K20" s="178"/>
      <c r="L20" s="179"/>
      <c r="M20" s="100" t="s">
        <v>8</v>
      </c>
      <c r="N20" s="97"/>
      <c r="O20" s="5" t="str">
        <f>IF(J20="","入力してください","")</f>
        <v/>
      </c>
    </row>
    <row r="21" spans="1:15" ht="7.5" customHeight="1" x14ac:dyDescent="0.15">
      <c r="A21" s="58"/>
      <c r="B21" s="93"/>
      <c r="C21" s="93"/>
      <c r="D21" s="93"/>
      <c r="E21" s="99"/>
      <c r="F21" s="93"/>
      <c r="G21" s="93"/>
      <c r="H21" s="93"/>
      <c r="I21" s="93"/>
      <c r="J21" s="93"/>
      <c r="K21" s="93"/>
      <c r="L21" s="100"/>
      <c r="M21" s="100"/>
      <c r="N21" s="97"/>
    </row>
    <row r="22" spans="1:15" ht="24" customHeight="1" x14ac:dyDescent="0.15">
      <c r="A22" s="58"/>
      <c r="B22" s="100" t="s">
        <v>18</v>
      </c>
      <c r="C22" s="160">
        <v>1220</v>
      </c>
      <c r="D22" s="161"/>
      <c r="E22" s="99" t="s">
        <v>8</v>
      </c>
      <c r="F22" s="93"/>
      <c r="G22" s="156" t="s">
        <v>19</v>
      </c>
      <c r="H22" s="156"/>
      <c r="I22" s="160">
        <v>1331</v>
      </c>
      <c r="J22" s="161"/>
      <c r="K22" s="93" t="s">
        <v>8</v>
      </c>
      <c r="L22" s="93"/>
      <c r="M22" s="100"/>
      <c r="N22" s="97"/>
    </row>
    <row r="23" spans="1:15" ht="7.5" customHeight="1" x14ac:dyDescent="0.15">
      <c r="A23" s="58"/>
      <c r="B23" s="100"/>
      <c r="C23" s="101"/>
      <c r="D23" s="101"/>
      <c r="E23" s="99"/>
      <c r="F23" s="93"/>
      <c r="G23" s="100"/>
      <c r="H23" s="100"/>
      <c r="I23" s="101"/>
      <c r="J23" s="101"/>
      <c r="K23" s="93"/>
      <c r="L23" s="93"/>
      <c r="M23" s="100"/>
      <c r="N23" s="97"/>
    </row>
    <row r="24" spans="1:15" ht="24" customHeight="1" x14ac:dyDescent="0.15">
      <c r="A24" s="58"/>
      <c r="B24" s="100" t="s">
        <v>20</v>
      </c>
      <c r="C24" s="160">
        <v>1079</v>
      </c>
      <c r="D24" s="161"/>
      <c r="E24" s="99" t="s">
        <v>8</v>
      </c>
      <c r="F24" s="93"/>
      <c r="G24" s="156" t="s">
        <v>21</v>
      </c>
      <c r="H24" s="156"/>
      <c r="I24" s="160">
        <v>900</v>
      </c>
      <c r="J24" s="161"/>
      <c r="K24" s="93" t="s">
        <v>8</v>
      </c>
      <c r="L24" s="93"/>
      <c r="M24" s="100"/>
      <c r="N24" s="97"/>
    </row>
    <row r="25" spans="1:15" ht="7.5" customHeight="1" x14ac:dyDescent="0.15">
      <c r="A25" s="58"/>
      <c r="B25" s="100"/>
      <c r="C25" s="101"/>
      <c r="D25" s="101"/>
      <c r="E25" s="99"/>
      <c r="F25" s="93"/>
      <c r="G25" s="100"/>
      <c r="H25" s="100"/>
      <c r="I25" s="101"/>
      <c r="J25" s="101"/>
      <c r="K25" s="93"/>
      <c r="L25" s="93"/>
      <c r="M25" s="100"/>
      <c r="N25" s="97"/>
    </row>
    <row r="26" spans="1:15" ht="24" customHeight="1" x14ac:dyDescent="0.15">
      <c r="A26" s="58"/>
      <c r="B26" s="100" t="s">
        <v>47</v>
      </c>
      <c r="C26" s="160">
        <v>99</v>
      </c>
      <c r="D26" s="161"/>
      <c r="E26" s="99" t="s">
        <v>8</v>
      </c>
      <c r="F26" s="93"/>
      <c r="G26" s="156" t="s">
        <v>48</v>
      </c>
      <c r="H26" s="156"/>
      <c r="I26" s="160">
        <v>147</v>
      </c>
      <c r="J26" s="161"/>
      <c r="K26" s="93" t="s">
        <v>8</v>
      </c>
      <c r="L26" s="93"/>
      <c r="M26" s="100"/>
      <c r="N26" s="97"/>
    </row>
    <row r="27" spans="1:15" ht="7.5" customHeight="1" x14ac:dyDescent="0.15">
      <c r="F27" s="9"/>
      <c r="G27" s="9"/>
      <c r="M27" s="10"/>
      <c r="N27" s="10"/>
    </row>
    <row r="28" spans="1:15" ht="24" customHeight="1" x14ac:dyDescent="0.15">
      <c r="A28" s="5" t="s">
        <v>51</v>
      </c>
      <c r="B28" s="6" t="s">
        <v>77</v>
      </c>
      <c r="C28" s="6"/>
      <c r="D28" s="6"/>
      <c r="E28" s="6"/>
      <c r="F28" s="8"/>
      <c r="G28" s="36"/>
      <c r="H28" s="36"/>
      <c r="I28" s="36"/>
      <c r="J28" s="11"/>
      <c r="K28" s="11"/>
      <c r="L28" s="11"/>
      <c r="M28" s="11"/>
      <c r="N28" s="11"/>
    </row>
    <row r="29" spans="1:15" ht="24" customHeight="1" x14ac:dyDescent="0.15">
      <c r="B29" s="164" t="s">
        <v>76</v>
      </c>
      <c r="C29" s="164"/>
      <c r="D29" s="157" t="s">
        <v>172</v>
      </c>
      <c r="E29" s="158"/>
      <c r="F29" s="158"/>
      <c r="G29" s="165" t="s">
        <v>23</v>
      </c>
      <c r="H29" s="164"/>
      <c r="I29" s="166"/>
      <c r="J29" s="157" t="s">
        <v>162</v>
      </c>
      <c r="K29" s="158"/>
      <c r="L29" s="158"/>
      <c r="M29" s="158"/>
      <c r="N29" s="159"/>
      <c r="O29" s="5" t="str">
        <f>IF(OR(D29="",J29=""),"入力してください","")</f>
        <v/>
      </c>
    </row>
    <row r="30" spans="1:15" ht="7.5" customHeight="1" x14ac:dyDescent="0.15">
      <c r="F30" s="9"/>
      <c r="G30" s="9"/>
      <c r="M30" s="10"/>
      <c r="N30" s="10"/>
    </row>
    <row r="31" spans="1:15" ht="24" customHeight="1" x14ac:dyDescent="0.15">
      <c r="A31" s="5" t="s">
        <v>54</v>
      </c>
      <c r="B31" s="6" t="s">
        <v>82</v>
      </c>
      <c r="C31" s="6"/>
      <c r="D31" s="6"/>
      <c r="E31" s="6"/>
      <c r="F31" s="8"/>
      <c r="G31" s="11"/>
      <c r="H31" s="11"/>
      <c r="I31" s="11"/>
      <c r="J31" s="11"/>
      <c r="K31" s="11"/>
      <c r="L31" s="11"/>
      <c r="M31" s="11"/>
      <c r="N31" s="11"/>
    </row>
    <row r="32" spans="1:15" ht="24" customHeight="1" x14ac:dyDescent="0.15">
      <c r="B32" s="157" t="s">
        <v>187</v>
      </c>
      <c r="C32" s="158"/>
      <c r="D32" s="158"/>
      <c r="E32" s="158"/>
      <c r="F32" s="158"/>
      <c r="G32" s="158"/>
      <c r="H32" s="158"/>
      <c r="I32" s="158"/>
      <c r="J32" s="158"/>
      <c r="K32" s="158"/>
      <c r="L32" s="158"/>
      <c r="M32" s="158"/>
      <c r="N32" s="159"/>
      <c r="O32" s="5" t="str">
        <f>IF(B32="","入力してください","")</f>
        <v/>
      </c>
    </row>
    <row r="33" spans="1:15" ht="7.5" customHeight="1" x14ac:dyDescent="0.15">
      <c r="B33" s="3"/>
      <c r="C33" s="3"/>
      <c r="D33" s="3"/>
      <c r="E33" s="3"/>
      <c r="F33" s="3"/>
      <c r="G33" s="3"/>
      <c r="H33" s="3"/>
      <c r="I33" s="3"/>
      <c r="J33" s="3"/>
      <c r="K33" s="3"/>
      <c r="L33" s="3"/>
      <c r="M33" s="3"/>
      <c r="N33" s="3"/>
    </row>
    <row r="34" spans="1:15" ht="24" customHeight="1" x14ac:dyDescent="0.15">
      <c r="B34" s="164" t="s">
        <v>76</v>
      </c>
      <c r="C34" s="164"/>
      <c r="D34" s="157" t="s">
        <v>172</v>
      </c>
      <c r="E34" s="158"/>
      <c r="F34" s="158"/>
      <c r="G34" s="165" t="s">
        <v>55</v>
      </c>
      <c r="H34" s="164"/>
      <c r="I34" s="166"/>
      <c r="J34" s="157" t="s">
        <v>162</v>
      </c>
      <c r="K34" s="158"/>
      <c r="L34" s="158"/>
      <c r="M34" s="158"/>
      <c r="N34" s="159"/>
      <c r="O34" s="5" t="str">
        <f>IF(OR(D34="",J39=""),"入力してください","")</f>
        <v/>
      </c>
    </row>
    <row r="35" spans="1:15" ht="7.5" customHeight="1" x14ac:dyDescent="0.15">
      <c r="F35" s="36"/>
      <c r="G35" s="36"/>
      <c r="H35" s="36"/>
      <c r="I35" s="36"/>
      <c r="J35" s="36"/>
      <c r="K35" s="36"/>
      <c r="L35" s="36"/>
      <c r="M35" s="36"/>
      <c r="N35" s="36"/>
    </row>
    <row r="36" spans="1:15" ht="24" customHeight="1" x14ac:dyDescent="0.15">
      <c r="A36" s="5" t="s">
        <v>61</v>
      </c>
      <c r="B36" s="5" t="s">
        <v>83</v>
      </c>
      <c r="M36" s="10"/>
      <c r="N36" s="10"/>
    </row>
    <row r="37" spans="1:15" ht="24" customHeight="1" x14ac:dyDescent="0.15">
      <c r="B37" s="157" t="s">
        <v>188</v>
      </c>
      <c r="C37" s="158"/>
      <c r="D37" s="158"/>
      <c r="E37" s="158"/>
      <c r="F37" s="158"/>
      <c r="G37" s="158"/>
      <c r="H37" s="158"/>
      <c r="I37" s="158"/>
      <c r="J37" s="158"/>
      <c r="K37" s="158"/>
      <c r="L37" s="158"/>
      <c r="M37" s="158"/>
      <c r="N37" s="159"/>
      <c r="O37" s="5" t="str">
        <f>IF(B37="","入力してください","")</f>
        <v/>
      </c>
    </row>
    <row r="38" spans="1:15" ht="7.5" customHeight="1" x14ac:dyDescent="0.15">
      <c r="F38" s="36"/>
      <c r="G38" s="36"/>
      <c r="H38" s="36"/>
      <c r="I38" s="36"/>
      <c r="J38" s="36"/>
      <c r="K38" s="36"/>
      <c r="L38" s="36"/>
      <c r="M38" s="36"/>
      <c r="N38" s="36"/>
    </row>
    <row r="39" spans="1:15" ht="24" customHeight="1" x14ac:dyDescent="0.15">
      <c r="B39" s="164" t="s">
        <v>76</v>
      </c>
      <c r="C39" s="164"/>
      <c r="D39" s="157" t="s">
        <v>172</v>
      </c>
      <c r="E39" s="158"/>
      <c r="F39" s="158"/>
      <c r="G39" s="165" t="s">
        <v>55</v>
      </c>
      <c r="H39" s="164"/>
      <c r="I39" s="166"/>
      <c r="J39" s="157" t="s">
        <v>162</v>
      </c>
      <c r="K39" s="158"/>
      <c r="L39" s="158"/>
      <c r="M39" s="158"/>
      <c r="N39" s="159"/>
      <c r="O39" s="5" t="e">
        <f>IF(OR(D39="",#REF!=""),"入力してください","")</f>
        <v>#REF!</v>
      </c>
    </row>
    <row r="40" spans="1:15" ht="7.5" customHeight="1" x14ac:dyDescent="0.15">
      <c r="F40" s="36"/>
      <c r="G40" s="36"/>
      <c r="H40" s="36"/>
      <c r="I40" s="36"/>
      <c r="J40" s="36"/>
      <c r="K40" s="36"/>
      <c r="L40" s="36"/>
      <c r="M40" s="36"/>
      <c r="N40" s="36"/>
    </row>
    <row r="41" spans="1:15" ht="24" customHeight="1" x14ac:dyDescent="0.15">
      <c r="A41" s="5" t="s">
        <v>88</v>
      </c>
      <c r="B41" s="17" t="s">
        <v>69</v>
      </c>
      <c r="E41" s="18"/>
      <c r="F41" s="167" t="s">
        <v>163</v>
      </c>
      <c r="G41" s="168"/>
      <c r="H41" s="168"/>
      <c r="I41" s="168"/>
      <c r="J41" s="168"/>
      <c r="K41" s="168"/>
      <c r="L41" s="168"/>
      <c r="M41" s="168"/>
      <c r="N41" s="169"/>
      <c r="O41" s="5" t="str">
        <f>IF(F41="","入力してください","")</f>
        <v/>
      </c>
    </row>
    <row r="42" spans="1:15" ht="7.5" customHeight="1" x14ac:dyDescent="0.15">
      <c r="F42" s="36"/>
      <c r="G42" s="36"/>
      <c r="H42" s="36"/>
      <c r="I42" s="36"/>
      <c r="J42" s="36"/>
      <c r="K42" s="36"/>
      <c r="L42" s="36"/>
      <c r="M42" s="36"/>
      <c r="N42" s="36"/>
    </row>
    <row r="43" spans="1:15" ht="24" customHeight="1" x14ac:dyDescent="0.15">
      <c r="A43" s="5" t="s">
        <v>98</v>
      </c>
    </row>
    <row r="44" spans="1:15" ht="24" customHeight="1" x14ac:dyDescent="0.15">
      <c r="B44" s="15" t="s">
        <v>1</v>
      </c>
      <c r="C44" s="162" t="s">
        <v>164</v>
      </c>
      <c r="D44" s="163"/>
      <c r="E44" s="163"/>
      <c r="F44" s="163"/>
      <c r="G44" s="163"/>
      <c r="H44" s="163"/>
      <c r="I44" s="13" t="s">
        <v>2</v>
      </c>
      <c r="J44" s="14"/>
      <c r="K44" s="157" t="s">
        <v>165</v>
      </c>
      <c r="L44" s="158"/>
      <c r="M44" s="158"/>
      <c r="N44" s="159"/>
      <c r="O44" s="5" t="str">
        <f>IF(OR(C44="",K44=""),"入力してください","")</f>
        <v/>
      </c>
    </row>
    <row r="45" spans="1:15" ht="24" customHeight="1" x14ac:dyDescent="0.15">
      <c r="B45" s="12" t="s">
        <v>4</v>
      </c>
      <c r="C45" s="150" t="s">
        <v>173</v>
      </c>
      <c r="D45" s="151"/>
      <c r="E45" s="151"/>
      <c r="F45" s="151"/>
      <c r="G45" s="151"/>
      <c r="H45" s="152"/>
      <c r="I45" s="13" t="s">
        <v>3</v>
      </c>
      <c r="J45" s="14"/>
      <c r="K45" s="153" t="s">
        <v>166</v>
      </c>
      <c r="L45" s="154"/>
      <c r="M45" s="154"/>
      <c r="N45" s="155"/>
      <c r="O45" s="5"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29:N29"/>
    <mergeCell ref="B37:N37"/>
    <mergeCell ref="G26:H26"/>
    <mergeCell ref="I26:J26"/>
    <mergeCell ref="J34:N34"/>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9:N39"/>
    <mergeCell ref="D34:F34"/>
    <mergeCell ref="G34:I34"/>
    <mergeCell ref="B39:C39"/>
    <mergeCell ref="D39:F39"/>
    <mergeCell ref="C24:D24"/>
    <mergeCell ref="G39:I39"/>
    <mergeCell ref="F41:N41"/>
    <mergeCell ref="B32:N32"/>
  </mergeCells>
  <phoneticPr fontId="3"/>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D7EE-80E2-4973-B07F-3CC17324F940}">
  <dimension ref="A1:Z99"/>
  <sheetViews>
    <sheetView showZeros="0" view="pageBreakPreview" topLeftCell="A52" zoomScaleNormal="100" zoomScaleSheetLayoutView="100" workbookViewId="0">
      <selection activeCell="G71" sqref="G71:M73"/>
    </sheetView>
  </sheetViews>
  <sheetFormatPr defaultColWidth="9" defaultRowHeight="18.75" customHeight="1" x14ac:dyDescent="0.15"/>
  <cols>
    <col min="1" max="1" width="2.5" style="4" customWidth="1"/>
    <col min="2" max="2" width="27.62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x14ac:dyDescent="0.15">
      <c r="W1" s="295" t="s">
        <v>201</v>
      </c>
      <c r="X1" s="295"/>
      <c r="Y1" s="295"/>
      <c r="Z1" s="295"/>
    </row>
    <row r="2" spans="1:26" ht="18" customHeight="1" x14ac:dyDescent="0.15">
      <c r="A2" s="296" t="s">
        <v>67</v>
      </c>
      <c r="B2" s="296"/>
      <c r="C2" s="296"/>
      <c r="D2" s="296"/>
      <c r="E2" s="296"/>
      <c r="F2" s="296"/>
      <c r="G2" s="296"/>
      <c r="H2" s="296"/>
      <c r="I2" s="296"/>
      <c r="J2" s="296"/>
      <c r="K2" s="296"/>
      <c r="L2" s="296"/>
      <c r="M2" s="296"/>
      <c r="N2" s="296"/>
      <c r="O2" s="296"/>
      <c r="P2" s="296"/>
      <c r="Q2" s="296"/>
      <c r="R2" s="296"/>
      <c r="S2" s="296"/>
      <c r="T2" s="296"/>
      <c r="U2" s="296"/>
      <c r="V2" s="296"/>
      <c r="W2" s="296"/>
      <c r="X2" s="296"/>
      <c r="Y2" s="296"/>
      <c r="Z2" s="296"/>
    </row>
    <row r="3" spans="1:26" ht="15" customHeight="1" x14ac:dyDescent="0.15">
      <c r="B3" s="149"/>
      <c r="C3" s="149"/>
      <c r="D3" s="149"/>
      <c r="E3" s="149"/>
      <c r="F3" s="149"/>
      <c r="G3" s="149"/>
      <c r="H3" s="149"/>
      <c r="I3" s="149"/>
      <c r="J3" s="149"/>
      <c r="K3" s="149"/>
      <c r="L3" s="149"/>
      <c r="M3" s="149"/>
      <c r="N3" s="149"/>
      <c r="O3" s="149"/>
      <c r="P3" s="149"/>
      <c r="Q3" s="149"/>
      <c r="R3" s="149"/>
      <c r="S3" s="149"/>
      <c r="T3" s="149"/>
      <c r="U3" s="149"/>
      <c r="V3" s="149"/>
      <c r="W3" s="149"/>
      <c r="X3" s="149"/>
      <c r="Y3" s="149"/>
      <c r="Z3" s="149"/>
    </row>
    <row r="4" spans="1:26" ht="18" customHeight="1" x14ac:dyDescent="0.15">
      <c r="A4" s="4" t="s">
        <v>99</v>
      </c>
      <c r="B4" s="149"/>
      <c r="C4" s="149"/>
      <c r="D4" s="149"/>
      <c r="E4" s="149"/>
      <c r="F4" s="149"/>
      <c r="G4" s="149"/>
      <c r="H4" s="58" t="s">
        <v>113</v>
      </c>
      <c r="I4" s="149"/>
      <c r="J4" s="149"/>
      <c r="K4" s="149"/>
      <c r="L4" s="149"/>
      <c r="M4" s="149"/>
      <c r="N4" s="149"/>
      <c r="O4" s="236" t="s">
        <v>156</v>
      </c>
      <c r="P4" s="237"/>
      <c r="Q4" s="237"/>
      <c r="R4" s="237"/>
      <c r="S4" s="237"/>
      <c r="T4" s="237"/>
      <c r="U4" s="237"/>
      <c r="V4" s="237"/>
      <c r="W4" s="237"/>
      <c r="X4" s="237"/>
      <c r="Y4" s="237"/>
      <c r="Z4" s="238"/>
    </row>
    <row r="5" spans="1:26" ht="6" customHeight="1" x14ac:dyDescent="0.15">
      <c r="B5" s="149"/>
      <c r="C5" s="149"/>
      <c r="D5" s="149"/>
      <c r="E5" s="149"/>
      <c r="F5" s="149"/>
      <c r="G5" s="149"/>
      <c r="H5" s="149"/>
      <c r="I5" s="149"/>
      <c r="J5" s="149"/>
      <c r="K5" s="149"/>
      <c r="L5" s="149"/>
      <c r="M5" s="149"/>
      <c r="N5" s="149"/>
      <c r="O5" s="7"/>
      <c r="P5" s="149"/>
      <c r="Q5" s="149"/>
      <c r="R5" s="149"/>
      <c r="S5" s="149"/>
      <c r="T5" s="149"/>
      <c r="U5" s="149"/>
      <c r="V5" s="149"/>
      <c r="W5" s="149"/>
      <c r="X5" s="149"/>
      <c r="Y5" s="149"/>
      <c r="Z5" s="149"/>
    </row>
    <row r="6" spans="1:26" ht="18" customHeight="1" x14ac:dyDescent="0.15">
      <c r="B6" s="297" t="s">
        <v>226</v>
      </c>
      <c r="C6" s="298"/>
      <c r="D6" s="298"/>
      <c r="E6" s="298"/>
      <c r="F6" s="298"/>
      <c r="G6" s="298"/>
      <c r="H6" s="298"/>
      <c r="I6" s="298"/>
      <c r="J6" s="298"/>
      <c r="K6" s="298"/>
      <c r="L6" s="298"/>
      <c r="M6" s="298"/>
      <c r="N6" s="298"/>
      <c r="O6" s="298"/>
      <c r="P6" s="298"/>
      <c r="Q6" s="298"/>
      <c r="R6" s="298"/>
      <c r="S6" s="298"/>
      <c r="T6" s="298"/>
      <c r="U6" s="298"/>
      <c r="V6" s="298"/>
      <c r="W6" s="298"/>
      <c r="X6" s="298"/>
      <c r="Y6" s="298"/>
      <c r="Z6" s="299"/>
    </row>
    <row r="7" spans="1:26" ht="18" customHeight="1" x14ac:dyDescent="0.15">
      <c r="B7" s="300"/>
      <c r="C7" s="301"/>
      <c r="D7" s="301"/>
      <c r="E7" s="301"/>
      <c r="F7" s="301"/>
      <c r="G7" s="301"/>
      <c r="H7" s="301"/>
      <c r="I7" s="301"/>
      <c r="J7" s="301"/>
      <c r="K7" s="301"/>
      <c r="L7" s="301"/>
      <c r="M7" s="301"/>
      <c r="N7" s="301"/>
      <c r="O7" s="301"/>
      <c r="P7" s="301"/>
      <c r="Q7" s="301"/>
      <c r="R7" s="301"/>
      <c r="S7" s="301"/>
      <c r="T7" s="301"/>
      <c r="U7" s="301"/>
      <c r="V7" s="301"/>
      <c r="W7" s="301"/>
      <c r="X7" s="301"/>
      <c r="Y7" s="301"/>
      <c r="Z7" s="302"/>
    </row>
    <row r="8" spans="1:26" ht="18" customHeight="1" x14ac:dyDescent="0.15">
      <c r="B8" s="300"/>
      <c r="C8" s="301"/>
      <c r="D8" s="301"/>
      <c r="E8" s="301"/>
      <c r="F8" s="301"/>
      <c r="G8" s="301"/>
      <c r="H8" s="301"/>
      <c r="I8" s="301"/>
      <c r="J8" s="301"/>
      <c r="K8" s="301"/>
      <c r="L8" s="301"/>
      <c r="M8" s="301"/>
      <c r="N8" s="301"/>
      <c r="O8" s="301"/>
      <c r="P8" s="301"/>
      <c r="Q8" s="301"/>
      <c r="R8" s="301"/>
      <c r="S8" s="301"/>
      <c r="T8" s="301"/>
      <c r="U8" s="301"/>
      <c r="V8" s="301"/>
      <c r="W8" s="301"/>
      <c r="X8" s="301"/>
      <c r="Y8" s="301"/>
      <c r="Z8" s="302"/>
    </row>
    <row r="9" spans="1:26" ht="18" customHeight="1" x14ac:dyDescent="0.15">
      <c r="B9" s="300"/>
      <c r="C9" s="301"/>
      <c r="D9" s="301"/>
      <c r="E9" s="301"/>
      <c r="F9" s="301"/>
      <c r="G9" s="301"/>
      <c r="H9" s="301"/>
      <c r="I9" s="301"/>
      <c r="J9" s="301"/>
      <c r="K9" s="301"/>
      <c r="L9" s="301"/>
      <c r="M9" s="301"/>
      <c r="N9" s="301"/>
      <c r="O9" s="301"/>
      <c r="P9" s="301"/>
      <c r="Q9" s="301"/>
      <c r="R9" s="301"/>
      <c r="S9" s="301"/>
      <c r="T9" s="301"/>
      <c r="U9" s="301"/>
      <c r="V9" s="301"/>
      <c r="W9" s="301"/>
      <c r="X9" s="301"/>
      <c r="Y9" s="301"/>
      <c r="Z9" s="302"/>
    </row>
    <row r="10" spans="1:26" ht="18" customHeight="1" x14ac:dyDescent="0.15">
      <c r="B10" s="300"/>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2"/>
    </row>
    <row r="11" spans="1:26" ht="18" customHeight="1" x14ac:dyDescent="0.15">
      <c r="B11" s="303"/>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5"/>
    </row>
    <row r="12" spans="1:26" ht="7.5" customHeight="1" x14ac:dyDescent="0.15">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row>
    <row r="13" spans="1:26" ht="18" customHeight="1" x14ac:dyDescent="0.15">
      <c r="A13" s="260" t="s">
        <v>125</v>
      </c>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row>
    <row r="14" spans="1:26" ht="18" customHeight="1" x14ac:dyDescent="0.15">
      <c r="A14" s="260"/>
      <c r="B14" s="260"/>
      <c r="C14" s="260"/>
      <c r="D14" s="260"/>
      <c r="E14" s="260"/>
      <c r="F14" s="260"/>
      <c r="G14" s="260"/>
      <c r="H14" s="260"/>
      <c r="I14" s="260"/>
      <c r="J14" s="260"/>
      <c r="K14" s="260"/>
      <c r="L14" s="260"/>
      <c r="M14" s="260"/>
      <c r="N14" s="260"/>
      <c r="O14" s="260"/>
      <c r="P14" s="260"/>
      <c r="Q14" s="260"/>
      <c r="R14" s="260"/>
      <c r="S14" s="260"/>
      <c r="T14" s="260"/>
      <c r="U14" s="260"/>
      <c r="V14" s="260"/>
      <c r="W14" s="260"/>
      <c r="X14" s="260"/>
      <c r="Y14" s="260"/>
      <c r="Z14" s="260"/>
    </row>
    <row r="15" spans="1:26" ht="18" customHeight="1" x14ac:dyDescent="0.15">
      <c r="A15" s="58"/>
      <c r="B15" s="236" t="s">
        <v>100</v>
      </c>
      <c r="C15" s="237"/>
      <c r="D15" s="237"/>
      <c r="E15" s="237"/>
      <c r="F15" s="238"/>
      <c r="G15" s="15" t="s">
        <v>141</v>
      </c>
      <c r="H15" s="32" t="s">
        <v>140</v>
      </c>
      <c r="I15" s="237" t="s">
        <v>101</v>
      </c>
      <c r="J15" s="237"/>
      <c r="K15" s="237"/>
      <c r="L15" s="19" t="s">
        <v>104</v>
      </c>
      <c r="M15" s="19" t="s">
        <v>107</v>
      </c>
      <c r="N15" s="236" t="s">
        <v>100</v>
      </c>
      <c r="O15" s="237"/>
      <c r="P15" s="237"/>
      <c r="Q15" s="237"/>
      <c r="R15" s="237"/>
      <c r="S15" s="238"/>
      <c r="T15" s="15" t="s">
        <v>141</v>
      </c>
      <c r="U15" s="32" t="s">
        <v>140</v>
      </c>
      <c r="V15" s="237" t="s">
        <v>101</v>
      </c>
      <c r="W15" s="237"/>
      <c r="X15" s="237"/>
      <c r="Y15" s="19" t="s">
        <v>104</v>
      </c>
      <c r="Z15" s="19" t="s">
        <v>107</v>
      </c>
    </row>
    <row r="16" spans="1:26" ht="18" customHeight="1" x14ac:dyDescent="0.15">
      <c r="A16" s="58"/>
      <c r="B16" s="266" t="s">
        <v>150</v>
      </c>
      <c r="C16" s="206"/>
      <c r="D16" s="206"/>
      <c r="E16" s="206"/>
      <c r="F16" s="207"/>
      <c r="G16" s="33">
        <v>2</v>
      </c>
      <c r="H16" s="33" t="s">
        <v>146</v>
      </c>
      <c r="I16" s="261" t="s">
        <v>149</v>
      </c>
      <c r="J16" s="262"/>
      <c r="K16" s="263"/>
      <c r="L16" s="33" t="s">
        <v>146</v>
      </c>
      <c r="M16" s="33" t="s">
        <v>146</v>
      </c>
      <c r="N16" s="242"/>
      <c r="O16" s="186"/>
      <c r="P16" s="186"/>
      <c r="Q16" s="186"/>
      <c r="R16" s="186"/>
      <c r="S16" s="187"/>
      <c r="T16" s="33"/>
      <c r="U16" s="33"/>
      <c r="V16" s="261"/>
      <c r="W16" s="262"/>
      <c r="X16" s="263"/>
      <c r="Y16" s="20"/>
      <c r="Z16" s="20"/>
    </row>
    <row r="17" spans="1:26" ht="18" customHeight="1" x14ac:dyDescent="0.15">
      <c r="A17" s="58"/>
      <c r="B17" s="264"/>
      <c r="C17" s="216"/>
      <c r="D17" s="216"/>
      <c r="E17" s="216"/>
      <c r="F17" s="217"/>
      <c r="G17" s="34"/>
      <c r="H17" s="34"/>
      <c r="I17" s="246"/>
      <c r="J17" s="247"/>
      <c r="K17" s="248"/>
      <c r="L17" s="34"/>
      <c r="M17" s="34"/>
      <c r="N17" s="226"/>
      <c r="O17" s="189"/>
      <c r="P17" s="189"/>
      <c r="Q17" s="189"/>
      <c r="R17" s="189"/>
      <c r="S17" s="190"/>
      <c r="T17" s="34"/>
      <c r="U17" s="34"/>
      <c r="V17" s="246"/>
      <c r="W17" s="247"/>
      <c r="X17" s="248"/>
      <c r="Y17" s="21"/>
      <c r="Z17" s="21"/>
    </row>
    <row r="18" spans="1:26" ht="18" customHeight="1" x14ac:dyDescent="0.15">
      <c r="A18" s="58"/>
      <c r="B18" s="264"/>
      <c r="C18" s="216"/>
      <c r="D18" s="216"/>
      <c r="E18" s="216"/>
      <c r="F18" s="217"/>
      <c r="G18" s="107"/>
      <c r="H18" s="34"/>
      <c r="I18" s="246"/>
      <c r="J18" s="247"/>
      <c r="K18" s="248"/>
      <c r="L18" s="21"/>
      <c r="M18" s="21"/>
      <c r="N18" s="226"/>
      <c r="O18" s="189"/>
      <c r="P18" s="189"/>
      <c r="Q18" s="189"/>
      <c r="R18" s="189"/>
      <c r="S18" s="190"/>
      <c r="T18" s="34"/>
      <c r="U18" s="34"/>
      <c r="V18" s="246"/>
      <c r="W18" s="247"/>
      <c r="X18" s="248"/>
      <c r="Y18" s="21"/>
      <c r="Z18" s="21"/>
    </row>
    <row r="19" spans="1:26" ht="18" customHeight="1" x14ac:dyDescent="0.15">
      <c r="A19" s="58"/>
      <c r="B19" s="264"/>
      <c r="C19" s="216"/>
      <c r="D19" s="216"/>
      <c r="E19" s="216"/>
      <c r="F19" s="217"/>
      <c r="G19" s="34"/>
      <c r="H19" s="34"/>
      <c r="I19" s="246"/>
      <c r="J19" s="247"/>
      <c r="K19" s="248"/>
      <c r="L19" s="21"/>
      <c r="M19" s="21"/>
      <c r="N19" s="226"/>
      <c r="O19" s="189"/>
      <c r="P19" s="189"/>
      <c r="Q19" s="189"/>
      <c r="R19" s="189"/>
      <c r="S19" s="190"/>
      <c r="T19" s="34"/>
      <c r="U19" s="34"/>
      <c r="V19" s="246"/>
      <c r="W19" s="247"/>
      <c r="X19" s="248"/>
      <c r="Y19" s="21"/>
      <c r="Z19" s="21"/>
    </row>
    <row r="20" spans="1:26" ht="18" customHeight="1" x14ac:dyDescent="0.15">
      <c r="A20" s="58"/>
      <c r="B20" s="264"/>
      <c r="C20" s="216"/>
      <c r="D20" s="216"/>
      <c r="E20" s="216"/>
      <c r="F20" s="217"/>
      <c r="G20" s="34"/>
      <c r="H20" s="34"/>
      <c r="I20" s="246"/>
      <c r="J20" s="247"/>
      <c r="K20" s="248"/>
      <c r="L20" s="21"/>
      <c r="M20" s="21"/>
      <c r="N20" s="226"/>
      <c r="O20" s="189"/>
      <c r="P20" s="189"/>
      <c r="Q20" s="189"/>
      <c r="R20" s="189"/>
      <c r="S20" s="190"/>
      <c r="T20" s="34"/>
      <c r="U20" s="34"/>
      <c r="V20" s="246"/>
      <c r="W20" s="247"/>
      <c r="X20" s="248"/>
      <c r="Y20" s="21"/>
      <c r="Z20" s="21"/>
    </row>
    <row r="21" spans="1:26" ht="18" customHeight="1" x14ac:dyDescent="0.15">
      <c r="A21" s="149"/>
      <c r="B21" s="264"/>
      <c r="C21" s="216"/>
      <c r="D21" s="216"/>
      <c r="E21" s="216"/>
      <c r="F21" s="217"/>
      <c r="G21" s="34"/>
      <c r="H21" s="34"/>
      <c r="I21" s="246"/>
      <c r="J21" s="247"/>
      <c r="K21" s="248"/>
      <c r="L21" s="21"/>
      <c r="M21" s="21"/>
      <c r="N21" s="226"/>
      <c r="O21" s="189"/>
      <c r="P21" s="189"/>
      <c r="Q21" s="189"/>
      <c r="R21" s="189"/>
      <c r="S21" s="190"/>
      <c r="T21" s="34"/>
      <c r="U21" s="34"/>
      <c r="V21" s="246"/>
      <c r="W21" s="247"/>
      <c r="X21" s="248"/>
      <c r="Y21" s="21"/>
      <c r="Z21" s="21"/>
    </row>
    <row r="22" spans="1:26" ht="18" customHeight="1" x14ac:dyDescent="0.15">
      <c r="A22" s="149"/>
      <c r="B22" s="265"/>
      <c r="C22" s="224"/>
      <c r="D22" s="224"/>
      <c r="E22" s="224"/>
      <c r="F22" s="225"/>
      <c r="G22" s="35"/>
      <c r="H22" s="35"/>
      <c r="I22" s="249"/>
      <c r="J22" s="250"/>
      <c r="K22" s="251"/>
      <c r="L22" s="22"/>
      <c r="M22" s="22"/>
      <c r="N22" s="230"/>
      <c r="O22" s="231"/>
      <c r="P22" s="231"/>
      <c r="Q22" s="231"/>
      <c r="R22" s="231"/>
      <c r="S22" s="232"/>
      <c r="T22" s="35"/>
      <c r="U22" s="35"/>
      <c r="V22" s="249"/>
      <c r="W22" s="250"/>
      <c r="X22" s="251"/>
      <c r="Y22" s="22"/>
      <c r="Z22" s="22"/>
    </row>
    <row r="23" spans="1:26" ht="7.5" customHeight="1" x14ac:dyDescent="0.15">
      <c r="A23" s="149"/>
      <c r="B23" s="23"/>
      <c r="C23" s="23"/>
      <c r="D23" s="149"/>
      <c r="E23" s="149"/>
      <c r="F23" s="149"/>
      <c r="G23" s="149"/>
      <c r="H23" s="149"/>
      <c r="I23" s="149"/>
      <c r="J23" s="149"/>
      <c r="K23" s="149"/>
      <c r="L23" s="23"/>
      <c r="M23" s="23"/>
      <c r="N23" s="23"/>
      <c r="O23" s="23"/>
      <c r="P23" s="23"/>
      <c r="Q23" s="23"/>
      <c r="R23" s="23"/>
      <c r="S23" s="23"/>
      <c r="T23" s="23"/>
      <c r="U23" s="23"/>
      <c r="V23" s="23"/>
      <c r="W23" s="23"/>
      <c r="X23" s="23"/>
      <c r="Y23" s="23"/>
      <c r="Z23" s="149"/>
    </row>
    <row r="24" spans="1:26" ht="18" customHeight="1" x14ac:dyDescent="0.15">
      <c r="A24" s="260" t="s">
        <v>126</v>
      </c>
      <c r="B24" s="260"/>
      <c r="C24" s="260"/>
      <c r="D24" s="260"/>
      <c r="E24" s="260"/>
      <c r="F24" s="260"/>
      <c r="G24" s="260"/>
      <c r="H24" s="260"/>
      <c r="I24" s="260"/>
      <c r="J24" s="260"/>
      <c r="K24" s="260"/>
      <c r="L24" s="260"/>
      <c r="M24" s="260"/>
      <c r="N24" s="260"/>
      <c r="O24" s="260"/>
      <c r="P24" s="260"/>
      <c r="Q24" s="260"/>
      <c r="R24" s="260"/>
      <c r="S24" s="260"/>
      <c r="T24" s="260"/>
      <c r="U24" s="260"/>
      <c r="V24" s="260"/>
      <c r="W24" s="260"/>
      <c r="X24" s="260"/>
      <c r="Y24" s="260"/>
      <c r="Z24" s="260"/>
    </row>
    <row r="25" spans="1:26" ht="18" customHeight="1" x14ac:dyDescent="0.15">
      <c r="A25" s="260"/>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row>
    <row r="26" spans="1:26" ht="18" customHeight="1" x14ac:dyDescent="0.15">
      <c r="A26" s="58"/>
      <c r="B26" s="236" t="s">
        <v>100</v>
      </c>
      <c r="C26" s="237"/>
      <c r="D26" s="237"/>
      <c r="E26" s="237"/>
      <c r="F26" s="238"/>
      <c r="G26" s="15" t="s">
        <v>141</v>
      </c>
      <c r="H26" s="32" t="s">
        <v>140</v>
      </c>
      <c r="I26" s="237" t="s">
        <v>101</v>
      </c>
      <c r="J26" s="237"/>
      <c r="K26" s="237"/>
      <c r="L26" s="19" t="s">
        <v>127</v>
      </c>
      <c r="M26" s="19" t="s">
        <v>128</v>
      </c>
      <c r="N26" s="236" t="s">
        <v>100</v>
      </c>
      <c r="O26" s="237"/>
      <c r="P26" s="237"/>
      <c r="Q26" s="237"/>
      <c r="R26" s="237"/>
      <c r="S26" s="238"/>
      <c r="T26" s="15" t="s">
        <v>141</v>
      </c>
      <c r="U26" s="32" t="s">
        <v>140</v>
      </c>
      <c r="V26" s="237" t="s">
        <v>101</v>
      </c>
      <c r="W26" s="237"/>
      <c r="X26" s="237"/>
      <c r="Y26" s="19" t="s">
        <v>127</v>
      </c>
      <c r="Z26" s="19" t="s">
        <v>128</v>
      </c>
    </row>
    <row r="27" spans="1:26" ht="18" customHeight="1" x14ac:dyDescent="0.15">
      <c r="A27" s="58"/>
      <c r="B27" s="266" t="s">
        <v>150</v>
      </c>
      <c r="C27" s="206"/>
      <c r="D27" s="206"/>
      <c r="E27" s="206"/>
      <c r="F27" s="207"/>
      <c r="G27" s="33">
        <v>2</v>
      </c>
      <c r="H27" s="33" t="s">
        <v>146</v>
      </c>
      <c r="I27" s="261" t="s">
        <v>149</v>
      </c>
      <c r="J27" s="262"/>
      <c r="K27" s="263"/>
      <c r="L27" s="33" t="s">
        <v>146</v>
      </c>
      <c r="M27" s="33" t="s">
        <v>146</v>
      </c>
      <c r="N27" s="242"/>
      <c r="O27" s="186"/>
      <c r="P27" s="186"/>
      <c r="Q27" s="186"/>
      <c r="R27" s="186"/>
      <c r="S27" s="187"/>
      <c r="T27" s="33"/>
      <c r="U27" s="33"/>
      <c r="V27" s="261"/>
      <c r="W27" s="262"/>
      <c r="X27" s="263"/>
      <c r="Y27" s="20"/>
      <c r="Z27" s="20"/>
    </row>
    <row r="28" spans="1:26" ht="18" customHeight="1" x14ac:dyDescent="0.15">
      <c r="A28" s="58"/>
      <c r="B28" s="264"/>
      <c r="C28" s="216"/>
      <c r="D28" s="216"/>
      <c r="E28" s="216"/>
      <c r="F28" s="217"/>
      <c r="G28" s="34"/>
      <c r="H28" s="34"/>
      <c r="I28" s="246"/>
      <c r="J28" s="247"/>
      <c r="K28" s="248"/>
      <c r="L28" s="34"/>
      <c r="M28" s="34"/>
      <c r="N28" s="226"/>
      <c r="O28" s="189"/>
      <c r="P28" s="189"/>
      <c r="Q28" s="189"/>
      <c r="R28" s="189"/>
      <c r="S28" s="190"/>
      <c r="T28" s="34"/>
      <c r="U28" s="34"/>
      <c r="V28" s="246"/>
      <c r="W28" s="247"/>
      <c r="X28" s="248"/>
      <c r="Y28" s="21"/>
      <c r="Z28" s="21"/>
    </row>
    <row r="29" spans="1:26" ht="18" customHeight="1" x14ac:dyDescent="0.15">
      <c r="A29" s="58"/>
      <c r="B29" s="264"/>
      <c r="C29" s="216"/>
      <c r="D29" s="216"/>
      <c r="E29" s="216"/>
      <c r="F29" s="217"/>
      <c r="G29" s="107"/>
      <c r="H29" s="34"/>
      <c r="I29" s="246"/>
      <c r="J29" s="247"/>
      <c r="K29" s="248"/>
      <c r="L29" s="21"/>
      <c r="M29" s="21"/>
      <c r="N29" s="226"/>
      <c r="O29" s="189"/>
      <c r="P29" s="189"/>
      <c r="Q29" s="189"/>
      <c r="R29" s="189"/>
      <c r="S29" s="190"/>
      <c r="T29" s="34"/>
      <c r="U29" s="34"/>
      <c r="V29" s="246"/>
      <c r="W29" s="247"/>
      <c r="X29" s="248"/>
      <c r="Y29" s="21"/>
      <c r="Z29" s="21"/>
    </row>
    <row r="30" spans="1:26" ht="18" customHeight="1" x14ac:dyDescent="0.15">
      <c r="A30" s="58"/>
      <c r="B30" s="267"/>
      <c r="C30" s="268"/>
      <c r="D30" s="268"/>
      <c r="E30" s="268"/>
      <c r="F30" s="269"/>
      <c r="G30" s="107"/>
      <c r="H30" s="107"/>
      <c r="I30" s="270"/>
      <c r="J30" s="271"/>
      <c r="K30" s="272"/>
      <c r="L30" s="108"/>
      <c r="M30" s="108"/>
      <c r="N30" s="226"/>
      <c r="O30" s="189"/>
      <c r="P30" s="189"/>
      <c r="Q30" s="189"/>
      <c r="R30" s="189"/>
      <c r="S30" s="190"/>
      <c r="T30" s="34"/>
      <c r="U30" s="34"/>
      <c r="V30" s="246"/>
      <c r="W30" s="247"/>
      <c r="X30" s="248"/>
      <c r="Y30" s="21"/>
      <c r="Z30" s="21"/>
    </row>
    <row r="31" spans="1:26" ht="18" customHeight="1" x14ac:dyDescent="0.15">
      <c r="A31" s="58"/>
      <c r="B31" s="264"/>
      <c r="C31" s="216"/>
      <c r="D31" s="216"/>
      <c r="E31" s="216"/>
      <c r="F31" s="217"/>
      <c r="G31" s="34"/>
      <c r="H31" s="34"/>
      <c r="I31" s="246"/>
      <c r="J31" s="247"/>
      <c r="K31" s="248"/>
      <c r="L31" s="21"/>
      <c r="M31" s="21"/>
      <c r="N31" s="226"/>
      <c r="O31" s="189"/>
      <c r="P31" s="189"/>
      <c r="Q31" s="189"/>
      <c r="R31" s="189"/>
      <c r="S31" s="190"/>
      <c r="T31" s="34"/>
      <c r="U31" s="34"/>
      <c r="V31" s="246"/>
      <c r="W31" s="247"/>
      <c r="X31" s="248"/>
      <c r="Y31" s="21"/>
      <c r="Z31" s="21"/>
    </row>
    <row r="32" spans="1:26" ht="18" customHeight="1" x14ac:dyDescent="0.15">
      <c r="A32" s="58"/>
      <c r="B32" s="264"/>
      <c r="C32" s="216"/>
      <c r="D32" s="216"/>
      <c r="E32" s="216"/>
      <c r="F32" s="217"/>
      <c r="G32" s="34"/>
      <c r="H32" s="34"/>
      <c r="I32" s="246"/>
      <c r="J32" s="247"/>
      <c r="K32" s="248"/>
      <c r="L32" s="21"/>
      <c r="M32" s="21"/>
      <c r="N32" s="226"/>
      <c r="O32" s="189"/>
      <c r="P32" s="189"/>
      <c r="Q32" s="189"/>
      <c r="R32" s="189"/>
      <c r="S32" s="190"/>
      <c r="T32" s="34"/>
      <c r="U32" s="34"/>
      <c r="V32" s="246"/>
      <c r="W32" s="247"/>
      <c r="X32" s="248"/>
      <c r="Y32" s="21"/>
      <c r="Z32" s="21"/>
    </row>
    <row r="33" spans="1:26" ht="18" customHeight="1" x14ac:dyDescent="0.15">
      <c r="A33" s="58"/>
      <c r="B33" s="265"/>
      <c r="C33" s="224"/>
      <c r="D33" s="224"/>
      <c r="E33" s="224"/>
      <c r="F33" s="225"/>
      <c r="G33" s="35"/>
      <c r="H33" s="35"/>
      <c r="I33" s="249"/>
      <c r="J33" s="250"/>
      <c r="K33" s="251"/>
      <c r="L33" s="22"/>
      <c r="M33" s="22"/>
      <c r="N33" s="230"/>
      <c r="O33" s="231"/>
      <c r="P33" s="231"/>
      <c r="Q33" s="231"/>
      <c r="R33" s="231"/>
      <c r="S33" s="232"/>
      <c r="T33" s="35"/>
      <c r="U33" s="35"/>
      <c r="V33" s="249"/>
      <c r="W33" s="250"/>
      <c r="X33" s="251"/>
      <c r="Y33" s="22"/>
      <c r="Z33" s="22"/>
    </row>
    <row r="34" spans="1:26" ht="7.5" customHeight="1" x14ac:dyDescent="0.15">
      <c r="A34" s="149"/>
      <c r="B34" s="23"/>
      <c r="C34" s="23"/>
      <c r="D34" s="149"/>
      <c r="E34" s="149"/>
      <c r="F34" s="149"/>
      <c r="G34" s="149"/>
      <c r="H34" s="149"/>
      <c r="I34" s="149"/>
      <c r="J34" s="149"/>
      <c r="K34" s="149"/>
      <c r="L34" s="23"/>
      <c r="M34" s="23"/>
      <c r="N34" s="23"/>
      <c r="O34" s="23"/>
      <c r="P34" s="23"/>
      <c r="Q34" s="23"/>
      <c r="R34" s="23"/>
      <c r="S34" s="23"/>
      <c r="T34" s="23"/>
      <c r="U34" s="23"/>
      <c r="V34" s="23"/>
      <c r="W34" s="23"/>
      <c r="X34" s="23"/>
      <c r="Y34" s="23"/>
      <c r="Z34" s="149"/>
    </row>
    <row r="35" spans="1:26" ht="18" customHeight="1" x14ac:dyDescent="0.15">
      <c r="A35" s="260" t="s">
        <v>129</v>
      </c>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spans="1:26" ht="18" customHeight="1" x14ac:dyDescent="0.15">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spans="1:26" ht="18" customHeight="1" x14ac:dyDescent="0.15">
      <c r="A37" s="58"/>
      <c r="B37" s="236" t="s">
        <v>100</v>
      </c>
      <c r="C37" s="237"/>
      <c r="D37" s="237"/>
      <c r="E37" s="237"/>
      <c r="F37" s="238"/>
      <c r="G37" s="15" t="s">
        <v>141</v>
      </c>
      <c r="H37" s="32" t="s">
        <v>140</v>
      </c>
      <c r="I37" s="236" t="s">
        <v>101</v>
      </c>
      <c r="J37" s="237"/>
      <c r="K37" s="238"/>
      <c r="L37" s="19" t="s">
        <v>130</v>
      </c>
      <c r="M37" s="19" t="s">
        <v>131</v>
      </c>
      <c r="N37" s="236" t="s">
        <v>100</v>
      </c>
      <c r="O37" s="237"/>
      <c r="P37" s="237"/>
      <c r="Q37" s="237"/>
      <c r="R37" s="237"/>
      <c r="S37" s="238"/>
      <c r="T37" s="15" t="s">
        <v>141</v>
      </c>
      <c r="U37" s="32" t="s">
        <v>140</v>
      </c>
      <c r="V37" s="236" t="s">
        <v>101</v>
      </c>
      <c r="W37" s="237"/>
      <c r="X37" s="238"/>
      <c r="Y37" s="19" t="s">
        <v>130</v>
      </c>
      <c r="Z37" s="19" t="s">
        <v>131</v>
      </c>
    </row>
    <row r="38" spans="1:26" ht="18" customHeight="1" x14ac:dyDescent="0.15">
      <c r="A38" s="149"/>
      <c r="B38" s="294" t="s">
        <v>150</v>
      </c>
      <c r="C38" s="213"/>
      <c r="D38" s="213"/>
      <c r="E38" s="213"/>
      <c r="F38" s="214"/>
      <c r="G38" s="109">
        <v>2</v>
      </c>
      <c r="H38" s="109" t="s">
        <v>146</v>
      </c>
      <c r="I38" s="239" t="s">
        <v>149</v>
      </c>
      <c r="J38" s="240"/>
      <c r="K38" s="241"/>
      <c r="L38" s="109" t="s">
        <v>146</v>
      </c>
      <c r="M38" s="109" t="s">
        <v>146</v>
      </c>
      <c r="N38" s="242"/>
      <c r="O38" s="186"/>
      <c r="P38" s="186"/>
      <c r="Q38" s="186"/>
      <c r="R38" s="186"/>
      <c r="S38" s="187"/>
      <c r="T38" s="33"/>
      <c r="U38" s="33"/>
      <c r="V38" s="261"/>
      <c r="W38" s="262"/>
      <c r="X38" s="263"/>
      <c r="Y38" s="20"/>
      <c r="Z38" s="20"/>
    </row>
    <row r="39" spans="1:26" ht="18" customHeight="1" x14ac:dyDescent="0.15">
      <c r="A39" s="149"/>
      <c r="B39" s="264"/>
      <c r="C39" s="283"/>
      <c r="D39" s="283"/>
      <c r="E39" s="283"/>
      <c r="F39" s="284"/>
      <c r="G39" s="110"/>
      <c r="H39" s="110"/>
      <c r="I39" s="285"/>
      <c r="J39" s="286"/>
      <c r="K39" s="287"/>
      <c r="L39" s="110"/>
      <c r="M39" s="110"/>
      <c r="N39" s="189"/>
      <c r="O39" s="189"/>
      <c r="P39" s="189"/>
      <c r="Q39" s="189"/>
      <c r="R39" s="189"/>
      <c r="S39" s="190"/>
      <c r="T39" s="34"/>
      <c r="U39" s="34"/>
      <c r="V39" s="246"/>
      <c r="W39" s="247"/>
      <c r="X39" s="248"/>
      <c r="Y39" s="21"/>
      <c r="Z39" s="21"/>
    </row>
    <row r="40" spans="1:26" ht="18" customHeight="1" x14ac:dyDescent="0.15">
      <c r="A40" s="149"/>
      <c r="B40" s="264"/>
      <c r="C40" s="283"/>
      <c r="D40" s="283"/>
      <c r="E40" s="283"/>
      <c r="F40" s="284"/>
      <c r="G40" s="110"/>
      <c r="H40" s="110"/>
      <c r="I40" s="285"/>
      <c r="J40" s="286"/>
      <c r="K40" s="287"/>
      <c r="L40" s="110"/>
      <c r="M40" s="110"/>
      <c r="N40" s="189"/>
      <c r="O40" s="189"/>
      <c r="P40" s="189"/>
      <c r="Q40" s="189"/>
      <c r="R40" s="189"/>
      <c r="S40" s="190"/>
      <c r="T40" s="34"/>
      <c r="U40" s="34"/>
      <c r="V40" s="246"/>
      <c r="W40" s="247"/>
      <c r="X40" s="248"/>
      <c r="Y40" s="21"/>
      <c r="Z40" s="21"/>
    </row>
    <row r="41" spans="1:26" ht="18" customHeight="1" x14ac:dyDescent="0.15">
      <c r="A41" s="149"/>
      <c r="B41" s="288"/>
      <c r="C41" s="289"/>
      <c r="D41" s="289"/>
      <c r="E41" s="289"/>
      <c r="F41" s="290"/>
      <c r="G41" s="111"/>
      <c r="H41" s="111"/>
      <c r="I41" s="291"/>
      <c r="J41" s="292"/>
      <c r="K41" s="293"/>
      <c r="L41" s="112"/>
      <c r="M41" s="112"/>
      <c r="N41" s="189"/>
      <c r="O41" s="189"/>
      <c r="P41" s="189"/>
      <c r="Q41" s="189"/>
      <c r="R41" s="189"/>
      <c r="S41" s="190"/>
      <c r="T41" s="34"/>
      <c r="U41" s="34"/>
      <c r="V41" s="246"/>
      <c r="W41" s="247"/>
      <c r="X41" s="248"/>
      <c r="Y41" s="21"/>
      <c r="Z41" s="21"/>
    </row>
    <row r="42" spans="1:26" ht="18" customHeight="1" x14ac:dyDescent="0.15">
      <c r="A42" s="149"/>
      <c r="B42" s="277"/>
      <c r="C42" s="278"/>
      <c r="D42" s="278"/>
      <c r="E42" s="278"/>
      <c r="F42" s="279"/>
      <c r="G42" s="113"/>
      <c r="H42" s="113"/>
      <c r="I42" s="280"/>
      <c r="J42" s="281"/>
      <c r="K42" s="282"/>
      <c r="L42" s="114"/>
      <c r="M42" s="114"/>
      <c r="N42" s="226"/>
      <c r="O42" s="189"/>
      <c r="P42" s="189"/>
      <c r="Q42" s="189"/>
      <c r="R42" s="189"/>
      <c r="S42" s="190"/>
      <c r="T42" s="34"/>
      <c r="U42" s="34"/>
      <c r="V42" s="246"/>
      <c r="W42" s="247"/>
      <c r="X42" s="248"/>
      <c r="Y42" s="21"/>
      <c r="Z42" s="21"/>
    </row>
    <row r="43" spans="1:26" ht="18" customHeight="1" x14ac:dyDescent="0.15">
      <c r="A43" s="149"/>
      <c r="B43" s="267"/>
      <c r="C43" s="268"/>
      <c r="D43" s="268"/>
      <c r="E43" s="268"/>
      <c r="F43" s="269"/>
      <c r="G43" s="107"/>
      <c r="H43" s="107"/>
      <c r="I43" s="270"/>
      <c r="J43" s="271"/>
      <c r="K43" s="272"/>
      <c r="L43" s="108"/>
      <c r="M43" s="108"/>
      <c r="N43" s="143"/>
      <c r="O43" s="143"/>
      <c r="P43" s="143"/>
      <c r="Q43" s="143"/>
      <c r="R43" s="143"/>
      <c r="S43" s="144"/>
      <c r="T43" s="34"/>
      <c r="U43" s="34"/>
      <c r="V43" s="145"/>
      <c r="W43" s="146"/>
      <c r="X43" s="147"/>
      <c r="Y43" s="21"/>
      <c r="Z43" s="21"/>
    </row>
    <row r="44" spans="1:26" ht="18" customHeight="1" x14ac:dyDescent="0.15">
      <c r="A44" s="149"/>
      <c r="B44" s="267"/>
      <c r="C44" s="268"/>
      <c r="D44" s="268"/>
      <c r="E44" s="268"/>
      <c r="F44" s="269"/>
      <c r="G44" s="107"/>
      <c r="H44" s="107"/>
      <c r="I44" s="270"/>
      <c r="J44" s="271"/>
      <c r="K44" s="272"/>
      <c r="L44" s="108"/>
      <c r="M44" s="108"/>
      <c r="N44" s="189"/>
      <c r="O44" s="189"/>
      <c r="P44" s="189"/>
      <c r="Q44" s="189"/>
      <c r="R44" s="189"/>
      <c r="S44" s="190"/>
      <c r="T44" s="34"/>
      <c r="U44" s="34"/>
      <c r="V44" s="246"/>
      <c r="W44" s="247"/>
      <c r="X44" s="248"/>
      <c r="Y44" s="21"/>
      <c r="Z44" s="21"/>
    </row>
    <row r="45" spans="1:26" ht="18" customHeight="1" x14ac:dyDescent="0.15">
      <c r="A45" s="149"/>
      <c r="B45" s="273"/>
      <c r="C45" s="209"/>
      <c r="D45" s="209"/>
      <c r="E45" s="209"/>
      <c r="F45" s="210"/>
      <c r="G45" s="35"/>
      <c r="H45" s="35"/>
      <c r="I45" s="274"/>
      <c r="J45" s="275"/>
      <c r="K45" s="276"/>
      <c r="L45" s="115"/>
      <c r="M45" s="115"/>
      <c r="N45" s="230"/>
      <c r="O45" s="231"/>
      <c r="P45" s="231"/>
      <c r="Q45" s="231"/>
      <c r="R45" s="231"/>
      <c r="S45" s="232"/>
      <c r="T45" s="35"/>
      <c r="U45" s="35"/>
      <c r="V45" s="249"/>
      <c r="W45" s="250"/>
      <c r="X45" s="251"/>
      <c r="Y45" s="22"/>
      <c r="Z45" s="22"/>
    </row>
    <row r="46" spans="1:26" ht="7.5" customHeight="1" x14ac:dyDescent="0.15">
      <c r="B46" s="62"/>
      <c r="C46" s="62"/>
      <c r="D46" s="62"/>
      <c r="E46" s="62"/>
      <c r="F46" s="62"/>
      <c r="G46" s="62"/>
      <c r="H46" s="62"/>
      <c r="I46" s="62"/>
      <c r="J46" s="62"/>
      <c r="K46" s="62"/>
      <c r="L46" s="62"/>
      <c r="M46" s="62"/>
      <c r="N46" s="62"/>
      <c r="O46" s="62"/>
      <c r="P46" s="62"/>
      <c r="Q46" s="62"/>
      <c r="R46" s="62"/>
      <c r="S46" s="62"/>
      <c r="T46" s="62"/>
      <c r="U46" s="62"/>
      <c r="V46" s="62"/>
      <c r="W46" s="62"/>
      <c r="X46" s="62"/>
      <c r="Y46" s="62"/>
    </row>
    <row r="47" spans="1:26" ht="18" customHeight="1" x14ac:dyDescent="0.15">
      <c r="A47" s="260" t="s">
        <v>132</v>
      </c>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spans="1:26" ht="18" customHeight="1" x14ac:dyDescent="0.15">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spans="1:26" ht="18" customHeight="1" x14ac:dyDescent="0.15">
      <c r="A49" s="58"/>
      <c r="B49" s="236" t="s">
        <v>100</v>
      </c>
      <c r="C49" s="237"/>
      <c r="D49" s="237"/>
      <c r="E49" s="237"/>
      <c r="F49" s="238"/>
      <c r="G49" s="15" t="s">
        <v>141</v>
      </c>
      <c r="H49" s="32" t="s">
        <v>140</v>
      </c>
      <c r="I49" s="236" t="s">
        <v>101</v>
      </c>
      <c r="J49" s="237"/>
      <c r="K49" s="238"/>
      <c r="L49" s="19" t="s">
        <v>106</v>
      </c>
      <c r="M49" s="19" t="s">
        <v>108</v>
      </c>
      <c r="N49" s="236" t="s">
        <v>100</v>
      </c>
      <c r="O49" s="237"/>
      <c r="P49" s="237"/>
      <c r="Q49" s="237"/>
      <c r="R49" s="237"/>
      <c r="S49" s="238"/>
      <c r="T49" s="15" t="s">
        <v>141</v>
      </c>
      <c r="U49" s="32" t="s">
        <v>140</v>
      </c>
      <c r="V49" s="236" t="s">
        <v>101</v>
      </c>
      <c r="W49" s="237"/>
      <c r="X49" s="238"/>
      <c r="Y49" s="19" t="s">
        <v>106</v>
      </c>
      <c r="Z49" s="19" t="s">
        <v>108</v>
      </c>
    </row>
    <row r="50" spans="1:26" ht="18" customHeight="1" x14ac:dyDescent="0.15">
      <c r="A50" s="149"/>
      <c r="B50" s="266" t="s">
        <v>150</v>
      </c>
      <c r="C50" s="206"/>
      <c r="D50" s="206"/>
      <c r="E50" s="206"/>
      <c r="F50" s="207"/>
      <c r="G50" s="33">
        <v>2</v>
      </c>
      <c r="H50" s="33" t="s">
        <v>146</v>
      </c>
      <c r="I50" s="261" t="s">
        <v>149</v>
      </c>
      <c r="J50" s="262"/>
      <c r="K50" s="263"/>
      <c r="L50" s="33" t="s">
        <v>146</v>
      </c>
      <c r="M50" s="33" t="s">
        <v>146</v>
      </c>
      <c r="N50" s="242"/>
      <c r="O50" s="186"/>
      <c r="P50" s="186"/>
      <c r="Q50" s="186"/>
      <c r="R50" s="186"/>
      <c r="S50" s="187"/>
      <c r="T50" s="33"/>
      <c r="U50" s="33"/>
      <c r="V50" s="261"/>
      <c r="W50" s="262"/>
      <c r="X50" s="263"/>
      <c r="Y50" s="20"/>
      <c r="Z50" s="20"/>
    </row>
    <row r="51" spans="1:26" ht="18" customHeight="1" x14ac:dyDescent="0.15">
      <c r="A51" s="149"/>
      <c r="B51" s="264"/>
      <c r="C51" s="216"/>
      <c r="D51" s="216"/>
      <c r="E51" s="216"/>
      <c r="F51" s="217"/>
      <c r="G51" s="34"/>
      <c r="H51" s="34"/>
      <c r="I51" s="246"/>
      <c r="J51" s="247"/>
      <c r="K51" s="248"/>
      <c r="L51" s="34"/>
      <c r="M51" s="34"/>
      <c r="N51" s="226"/>
      <c r="O51" s="189"/>
      <c r="P51" s="189"/>
      <c r="Q51" s="189"/>
      <c r="R51" s="189"/>
      <c r="S51" s="190"/>
      <c r="T51" s="34"/>
      <c r="U51" s="34"/>
      <c r="V51" s="246"/>
      <c r="W51" s="247"/>
      <c r="X51" s="248"/>
      <c r="Y51" s="21"/>
      <c r="Z51" s="21"/>
    </row>
    <row r="52" spans="1:26" ht="18" customHeight="1" x14ac:dyDescent="0.15">
      <c r="A52" s="149"/>
      <c r="B52" s="264"/>
      <c r="C52" s="216"/>
      <c r="D52" s="216"/>
      <c r="E52" s="216"/>
      <c r="F52" s="217"/>
      <c r="G52" s="107"/>
      <c r="H52" s="34"/>
      <c r="I52" s="246"/>
      <c r="J52" s="247"/>
      <c r="K52" s="248"/>
      <c r="L52" s="21"/>
      <c r="M52" s="21"/>
      <c r="N52" s="226"/>
      <c r="O52" s="189"/>
      <c r="P52" s="189"/>
      <c r="Q52" s="189"/>
      <c r="R52" s="189"/>
      <c r="S52" s="190"/>
      <c r="T52" s="34"/>
      <c r="U52" s="34"/>
      <c r="V52" s="246"/>
      <c r="W52" s="247"/>
      <c r="X52" s="248"/>
      <c r="Y52" s="21"/>
      <c r="Z52" s="21"/>
    </row>
    <row r="53" spans="1:26" ht="18" customHeight="1" x14ac:dyDescent="0.15">
      <c r="A53" s="149"/>
      <c r="B53" s="264"/>
      <c r="C53" s="216"/>
      <c r="D53" s="216"/>
      <c r="E53" s="216"/>
      <c r="F53" s="217"/>
      <c r="G53" s="34"/>
      <c r="H53" s="34"/>
      <c r="I53" s="246"/>
      <c r="J53" s="247"/>
      <c r="K53" s="248"/>
      <c r="L53" s="21"/>
      <c r="M53" s="21"/>
      <c r="N53" s="226"/>
      <c r="O53" s="189"/>
      <c r="P53" s="189"/>
      <c r="Q53" s="189"/>
      <c r="R53" s="189"/>
      <c r="S53" s="190"/>
      <c r="T53" s="34"/>
      <c r="U53" s="34"/>
      <c r="V53" s="246"/>
      <c r="W53" s="247"/>
      <c r="X53" s="248"/>
      <c r="Y53" s="21"/>
      <c r="Z53" s="21"/>
    </row>
    <row r="54" spans="1:26" ht="18" customHeight="1" x14ac:dyDescent="0.15">
      <c r="A54" s="149"/>
      <c r="B54" s="264"/>
      <c r="C54" s="216"/>
      <c r="D54" s="216"/>
      <c r="E54" s="216"/>
      <c r="F54" s="217"/>
      <c r="G54" s="34"/>
      <c r="H54" s="34"/>
      <c r="I54" s="246"/>
      <c r="J54" s="247"/>
      <c r="K54" s="248"/>
      <c r="L54" s="21"/>
      <c r="M54" s="21"/>
      <c r="N54" s="226"/>
      <c r="O54" s="189"/>
      <c r="P54" s="189"/>
      <c r="Q54" s="189"/>
      <c r="R54" s="189"/>
      <c r="S54" s="190"/>
      <c r="T54" s="34"/>
      <c r="U54" s="34"/>
      <c r="V54" s="246"/>
      <c r="W54" s="247"/>
      <c r="X54" s="248"/>
      <c r="Y54" s="21"/>
      <c r="Z54" s="21"/>
    </row>
    <row r="55" spans="1:26" ht="18" customHeight="1" x14ac:dyDescent="0.15">
      <c r="A55" s="149"/>
      <c r="B55" s="264"/>
      <c r="C55" s="216"/>
      <c r="D55" s="216"/>
      <c r="E55" s="216"/>
      <c r="F55" s="217"/>
      <c r="G55" s="34"/>
      <c r="H55" s="34"/>
      <c r="I55" s="246"/>
      <c r="J55" s="247"/>
      <c r="K55" s="248"/>
      <c r="L55" s="21"/>
      <c r="M55" s="21"/>
      <c r="N55" s="226"/>
      <c r="O55" s="189"/>
      <c r="P55" s="189"/>
      <c r="Q55" s="189"/>
      <c r="R55" s="189"/>
      <c r="S55" s="190"/>
      <c r="T55" s="34"/>
      <c r="U55" s="34"/>
      <c r="V55" s="246"/>
      <c r="W55" s="247"/>
      <c r="X55" s="248"/>
      <c r="Y55" s="21"/>
      <c r="Z55" s="21"/>
    </row>
    <row r="56" spans="1:26" ht="18" customHeight="1" x14ac:dyDescent="0.15">
      <c r="A56" s="149"/>
      <c r="B56" s="265"/>
      <c r="C56" s="224"/>
      <c r="D56" s="224"/>
      <c r="E56" s="224"/>
      <c r="F56" s="225"/>
      <c r="G56" s="35"/>
      <c r="H56" s="35"/>
      <c r="I56" s="249"/>
      <c r="J56" s="250"/>
      <c r="K56" s="251"/>
      <c r="L56" s="22"/>
      <c r="M56" s="22"/>
      <c r="N56" s="230"/>
      <c r="O56" s="231"/>
      <c r="P56" s="231"/>
      <c r="Q56" s="231"/>
      <c r="R56" s="231"/>
      <c r="S56" s="232"/>
      <c r="T56" s="35"/>
      <c r="U56" s="35"/>
      <c r="V56" s="249"/>
      <c r="W56" s="250"/>
      <c r="X56" s="251"/>
      <c r="Y56" s="22"/>
      <c r="Z56" s="22"/>
    </row>
    <row r="57" spans="1:26" ht="7.5" customHeight="1" x14ac:dyDescent="0.15">
      <c r="B57" s="62"/>
      <c r="C57" s="62"/>
      <c r="D57" s="62"/>
      <c r="E57" s="62"/>
      <c r="F57" s="62"/>
      <c r="G57" s="62"/>
      <c r="H57" s="62"/>
      <c r="I57" s="62"/>
      <c r="J57" s="62"/>
      <c r="K57" s="62"/>
      <c r="L57" s="62"/>
      <c r="M57" s="62"/>
      <c r="N57" s="62"/>
      <c r="O57" s="62"/>
      <c r="P57" s="62"/>
      <c r="Q57" s="62"/>
      <c r="R57" s="62"/>
      <c r="S57" s="62"/>
      <c r="T57" s="62"/>
      <c r="U57" s="62"/>
      <c r="V57" s="62"/>
      <c r="W57" s="62"/>
      <c r="X57" s="62"/>
      <c r="Y57" s="62"/>
    </row>
    <row r="58" spans="1:26" ht="18" customHeight="1" x14ac:dyDescent="0.15">
      <c r="A58" s="260" t="s">
        <v>133</v>
      </c>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spans="1:26" ht="18" customHeight="1" x14ac:dyDescent="0.15">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spans="1:26" ht="18" customHeight="1" x14ac:dyDescent="0.15">
      <c r="A60" s="58"/>
      <c r="B60" s="236" t="s">
        <v>100</v>
      </c>
      <c r="C60" s="237"/>
      <c r="D60" s="237"/>
      <c r="E60" s="238"/>
      <c r="F60" s="15" t="s">
        <v>141</v>
      </c>
      <c r="G60" s="32" t="s">
        <v>140</v>
      </c>
      <c r="H60" s="13" t="s">
        <v>101</v>
      </c>
      <c r="I60" s="116"/>
      <c r="J60" s="14"/>
      <c r="K60" s="19" t="s">
        <v>105</v>
      </c>
      <c r="L60" s="19" t="s">
        <v>134</v>
      </c>
      <c r="M60" s="19" t="s">
        <v>135</v>
      </c>
      <c r="N60" s="236" t="s">
        <v>100</v>
      </c>
      <c r="O60" s="237"/>
      <c r="P60" s="237"/>
      <c r="Q60" s="237"/>
      <c r="R60" s="238"/>
      <c r="S60" s="15" t="s">
        <v>141</v>
      </c>
      <c r="T60" s="32" t="s">
        <v>140</v>
      </c>
      <c r="U60" s="13" t="s">
        <v>101</v>
      </c>
      <c r="V60" s="116"/>
      <c r="W60" s="14"/>
      <c r="X60" s="19" t="s">
        <v>105</v>
      </c>
      <c r="Y60" s="19" t="s">
        <v>134</v>
      </c>
      <c r="Z60" s="19" t="s">
        <v>135</v>
      </c>
    </row>
    <row r="61" spans="1:26" ht="18" customHeight="1" x14ac:dyDescent="0.15">
      <c r="A61" s="149"/>
      <c r="B61" s="242" t="s">
        <v>153</v>
      </c>
      <c r="C61" s="186"/>
      <c r="D61" s="186"/>
      <c r="E61" s="187"/>
      <c r="F61" s="33">
        <v>2</v>
      </c>
      <c r="G61" s="33" t="s">
        <v>146</v>
      </c>
      <c r="H61" s="261" t="s">
        <v>149</v>
      </c>
      <c r="I61" s="262"/>
      <c r="J61" s="263"/>
      <c r="K61" s="148" t="s">
        <v>146</v>
      </c>
      <c r="L61" s="33"/>
      <c r="M61" s="33"/>
      <c r="N61" s="242"/>
      <c r="O61" s="186"/>
      <c r="P61" s="186"/>
      <c r="Q61" s="186"/>
      <c r="R61" s="187"/>
      <c r="S61" s="33"/>
      <c r="T61" s="33"/>
      <c r="U61" s="261"/>
      <c r="V61" s="262"/>
      <c r="W61" s="263"/>
      <c r="X61" s="117"/>
      <c r="Y61" s="20"/>
      <c r="Z61" s="20"/>
    </row>
    <row r="62" spans="1:26" ht="18" customHeight="1" x14ac:dyDescent="0.15">
      <c r="A62" s="149"/>
      <c r="B62" s="226" t="s">
        <v>154</v>
      </c>
      <c r="C62" s="189"/>
      <c r="D62" s="189"/>
      <c r="E62" s="190"/>
      <c r="F62" s="34">
        <v>2</v>
      </c>
      <c r="G62" s="34" t="s">
        <v>146</v>
      </c>
      <c r="H62" s="246" t="s">
        <v>149</v>
      </c>
      <c r="I62" s="247"/>
      <c r="J62" s="248"/>
      <c r="K62" s="147" t="s">
        <v>146</v>
      </c>
      <c r="L62" s="34" t="s">
        <v>146</v>
      </c>
      <c r="M62" s="34" t="s">
        <v>146</v>
      </c>
      <c r="N62" s="226"/>
      <c r="O62" s="189"/>
      <c r="P62" s="189"/>
      <c r="Q62" s="189"/>
      <c r="R62" s="190"/>
      <c r="S62" s="34"/>
      <c r="T62" s="34"/>
      <c r="U62" s="246"/>
      <c r="V62" s="247"/>
      <c r="W62" s="248"/>
      <c r="X62" s="118"/>
      <c r="Y62" s="21"/>
      <c r="Z62" s="21"/>
    </row>
    <row r="63" spans="1:26" ht="18" customHeight="1" x14ac:dyDescent="0.15">
      <c r="A63" s="149"/>
      <c r="B63" s="226"/>
      <c r="C63" s="189"/>
      <c r="D63" s="189"/>
      <c r="E63" s="190"/>
      <c r="F63" s="34"/>
      <c r="G63" s="34"/>
      <c r="H63" s="246"/>
      <c r="I63" s="247"/>
      <c r="J63" s="248"/>
      <c r="K63" s="147"/>
      <c r="L63" s="34"/>
      <c r="M63" s="34"/>
      <c r="N63" s="226"/>
      <c r="O63" s="189"/>
      <c r="P63" s="189"/>
      <c r="Q63" s="189"/>
      <c r="R63" s="190"/>
      <c r="S63" s="34"/>
      <c r="T63" s="34"/>
      <c r="U63" s="246"/>
      <c r="V63" s="247"/>
      <c r="W63" s="248"/>
      <c r="X63" s="118"/>
      <c r="Y63" s="21"/>
      <c r="Z63" s="21"/>
    </row>
    <row r="64" spans="1:26" ht="18" customHeight="1" x14ac:dyDescent="0.15">
      <c r="A64" s="149"/>
      <c r="B64" s="226"/>
      <c r="C64" s="252"/>
      <c r="D64" s="252"/>
      <c r="E64" s="253"/>
      <c r="F64" s="110"/>
      <c r="G64" s="110"/>
      <c r="H64" s="246"/>
      <c r="I64" s="247"/>
      <c r="J64" s="248"/>
      <c r="K64" s="147"/>
      <c r="L64" s="34"/>
      <c r="M64" s="34"/>
      <c r="N64" s="254"/>
      <c r="O64" s="255"/>
      <c r="P64" s="255"/>
      <c r="Q64" s="255"/>
      <c r="R64" s="256"/>
      <c r="S64" s="34"/>
      <c r="T64" s="34"/>
      <c r="U64" s="246"/>
      <c r="V64" s="247"/>
      <c r="W64" s="248"/>
      <c r="X64" s="118"/>
      <c r="Y64" s="21"/>
      <c r="Z64" s="21"/>
    </row>
    <row r="65" spans="1:26" ht="18" customHeight="1" x14ac:dyDescent="0.15">
      <c r="A65" s="149"/>
      <c r="B65" s="257"/>
      <c r="C65" s="258"/>
      <c r="D65" s="258"/>
      <c r="E65" s="259"/>
      <c r="F65" s="34"/>
      <c r="G65" s="34"/>
      <c r="H65" s="246"/>
      <c r="I65" s="247"/>
      <c r="J65" s="248"/>
      <c r="K65" s="118"/>
      <c r="L65" s="21"/>
      <c r="M65" s="21"/>
      <c r="N65" s="226"/>
      <c r="O65" s="189"/>
      <c r="P65" s="189"/>
      <c r="Q65" s="189"/>
      <c r="R65" s="190"/>
      <c r="S65" s="34"/>
      <c r="T65" s="34"/>
      <c r="U65" s="246"/>
      <c r="V65" s="247"/>
      <c r="W65" s="248"/>
      <c r="X65" s="118"/>
      <c r="Y65" s="21"/>
      <c r="Z65" s="21"/>
    </row>
    <row r="66" spans="1:26" ht="18" customHeight="1" x14ac:dyDescent="0.15">
      <c r="A66" s="149"/>
      <c r="B66" s="226"/>
      <c r="C66" s="189"/>
      <c r="D66" s="189"/>
      <c r="E66" s="190"/>
      <c r="F66" s="34"/>
      <c r="G66" s="34"/>
      <c r="H66" s="246"/>
      <c r="I66" s="247"/>
      <c r="J66" s="248"/>
      <c r="K66" s="118"/>
      <c r="L66" s="21"/>
      <c r="M66" s="21"/>
      <c r="N66" s="226"/>
      <c r="O66" s="189"/>
      <c r="P66" s="189"/>
      <c r="Q66" s="189"/>
      <c r="R66" s="190"/>
      <c r="S66" s="34"/>
      <c r="T66" s="34"/>
      <c r="U66" s="246"/>
      <c r="V66" s="247"/>
      <c r="W66" s="248"/>
      <c r="X66" s="118"/>
      <c r="Y66" s="21"/>
      <c r="Z66" s="21"/>
    </row>
    <row r="67" spans="1:26" ht="18" customHeight="1" x14ac:dyDescent="0.15">
      <c r="A67" s="149"/>
      <c r="B67" s="230"/>
      <c r="C67" s="231"/>
      <c r="D67" s="231"/>
      <c r="E67" s="232"/>
      <c r="F67" s="35"/>
      <c r="G67" s="35"/>
      <c r="H67" s="249"/>
      <c r="I67" s="250"/>
      <c r="J67" s="251"/>
      <c r="K67" s="119"/>
      <c r="L67" s="22"/>
      <c r="M67" s="22"/>
      <c r="N67" s="230"/>
      <c r="O67" s="231"/>
      <c r="P67" s="231"/>
      <c r="Q67" s="231"/>
      <c r="R67" s="232"/>
      <c r="S67" s="35"/>
      <c r="T67" s="35"/>
      <c r="U67" s="249"/>
      <c r="V67" s="250"/>
      <c r="W67" s="251"/>
      <c r="X67" s="119"/>
      <c r="Y67" s="22"/>
      <c r="Z67" s="22"/>
    </row>
    <row r="68" spans="1:26" ht="7.5" customHeight="1" x14ac:dyDescent="0.15">
      <c r="B68" s="62"/>
      <c r="C68" s="62"/>
      <c r="D68" s="62"/>
      <c r="E68" s="62"/>
      <c r="F68" s="62"/>
      <c r="G68" s="62"/>
      <c r="H68" s="62"/>
      <c r="I68" s="62"/>
      <c r="J68" s="62"/>
      <c r="K68" s="62"/>
      <c r="L68" s="62"/>
      <c r="M68" s="62"/>
      <c r="N68" s="62"/>
      <c r="O68" s="62"/>
      <c r="P68" s="62"/>
      <c r="Q68" s="62"/>
      <c r="R68" s="62"/>
      <c r="S68" s="62"/>
      <c r="T68" s="62"/>
      <c r="U68" s="62"/>
      <c r="V68" s="62"/>
      <c r="W68" s="62"/>
      <c r="X68" s="62"/>
      <c r="Y68" s="62"/>
    </row>
    <row r="69" spans="1:26" ht="18" customHeight="1" x14ac:dyDescent="0.15">
      <c r="A69" s="58" t="s">
        <v>136</v>
      </c>
      <c r="B69" s="58"/>
      <c r="C69" s="58"/>
      <c r="D69" s="58"/>
      <c r="E69" s="58"/>
      <c r="F69" s="58"/>
      <c r="G69" s="58"/>
      <c r="H69" s="58"/>
      <c r="I69" s="58"/>
      <c r="J69" s="58"/>
      <c r="K69" s="58"/>
      <c r="L69" s="149"/>
      <c r="M69" s="149"/>
      <c r="N69" s="149"/>
      <c r="O69" s="149"/>
      <c r="P69" s="149"/>
      <c r="Q69" s="149"/>
      <c r="R69" s="149"/>
      <c r="S69" s="149"/>
      <c r="T69" s="149"/>
      <c r="U69" s="149"/>
      <c r="V69" s="149"/>
      <c r="W69" s="149"/>
      <c r="X69" s="149"/>
      <c r="Y69" s="149"/>
      <c r="Z69" s="149"/>
    </row>
    <row r="70" spans="1:26" ht="18" customHeight="1" x14ac:dyDescent="0.15">
      <c r="A70" s="58"/>
      <c r="B70" s="236" t="s">
        <v>100</v>
      </c>
      <c r="C70" s="237"/>
      <c r="D70" s="237"/>
      <c r="E70" s="237"/>
      <c r="F70" s="238"/>
      <c r="G70" s="236" t="s">
        <v>109</v>
      </c>
      <c r="H70" s="237"/>
      <c r="I70" s="237"/>
      <c r="J70" s="237"/>
      <c r="K70" s="237"/>
      <c r="L70" s="237"/>
      <c r="M70" s="238"/>
      <c r="N70" s="239" t="s">
        <v>100</v>
      </c>
      <c r="O70" s="240"/>
      <c r="P70" s="240"/>
      <c r="Q70" s="240"/>
      <c r="R70" s="240"/>
      <c r="S70" s="241"/>
      <c r="T70" s="236" t="s">
        <v>109</v>
      </c>
      <c r="U70" s="237"/>
      <c r="V70" s="237"/>
      <c r="W70" s="237"/>
      <c r="X70" s="237"/>
      <c r="Y70" s="237"/>
      <c r="Z70" s="238"/>
    </row>
    <row r="71" spans="1:26" ht="18" customHeight="1" x14ac:dyDescent="0.15">
      <c r="A71" s="149"/>
      <c r="B71" s="242"/>
      <c r="C71" s="186"/>
      <c r="D71" s="186"/>
      <c r="E71" s="186"/>
      <c r="F71" s="187"/>
      <c r="G71" s="402" t="s">
        <v>227</v>
      </c>
      <c r="H71" s="398"/>
      <c r="I71" s="398"/>
      <c r="J71" s="398"/>
      <c r="K71" s="398"/>
      <c r="L71" s="398"/>
      <c r="M71" s="399"/>
      <c r="N71" s="242"/>
      <c r="O71" s="186"/>
      <c r="P71" s="186"/>
      <c r="Q71" s="186"/>
      <c r="R71" s="186"/>
      <c r="S71" s="187"/>
      <c r="T71" s="243"/>
      <c r="U71" s="244"/>
      <c r="V71" s="244"/>
      <c r="W71" s="244"/>
      <c r="X71" s="244"/>
      <c r="Y71" s="244"/>
      <c r="Z71" s="245"/>
    </row>
    <row r="72" spans="1:26" ht="18" customHeight="1" x14ac:dyDescent="0.15">
      <c r="A72" s="149"/>
      <c r="B72" s="226"/>
      <c r="C72" s="189"/>
      <c r="D72" s="189"/>
      <c r="E72" s="189"/>
      <c r="F72" s="190"/>
      <c r="G72" s="403" t="s">
        <v>228</v>
      </c>
      <c r="H72" s="400"/>
      <c r="I72" s="400"/>
      <c r="J72" s="400"/>
      <c r="K72" s="400"/>
      <c r="L72" s="400"/>
      <c r="M72" s="401"/>
      <c r="N72" s="226"/>
      <c r="O72" s="189"/>
      <c r="P72" s="189"/>
      <c r="Q72" s="189"/>
      <c r="R72" s="189"/>
      <c r="S72" s="190"/>
      <c r="T72" s="227"/>
      <c r="U72" s="228"/>
      <c r="V72" s="228"/>
      <c r="W72" s="228"/>
      <c r="X72" s="228"/>
      <c r="Y72" s="228"/>
      <c r="Z72" s="229"/>
    </row>
    <row r="73" spans="1:26" ht="18" customHeight="1" x14ac:dyDescent="0.15">
      <c r="A73" s="149"/>
      <c r="B73" s="226"/>
      <c r="C73" s="189"/>
      <c r="D73" s="189"/>
      <c r="E73" s="189"/>
      <c r="F73" s="190"/>
      <c r="G73" s="403" t="s">
        <v>229</v>
      </c>
      <c r="H73" s="400"/>
      <c r="I73" s="400"/>
      <c r="J73" s="400"/>
      <c r="K73" s="400"/>
      <c r="L73" s="400"/>
      <c r="M73" s="401"/>
      <c r="N73" s="226"/>
      <c r="O73" s="189"/>
      <c r="P73" s="189"/>
      <c r="Q73" s="189"/>
      <c r="R73" s="189"/>
      <c r="S73" s="190"/>
      <c r="T73" s="227"/>
      <c r="U73" s="228"/>
      <c r="V73" s="228"/>
      <c r="W73" s="228"/>
      <c r="X73" s="228"/>
      <c r="Y73" s="228"/>
      <c r="Z73" s="229"/>
    </row>
    <row r="74" spans="1:26" ht="18" customHeight="1" x14ac:dyDescent="0.15">
      <c r="A74" s="149"/>
      <c r="B74" s="226"/>
      <c r="C74" s="189"/>
      <c r="D74" s="189"/>
      <c r="E74" s="189"/>
      <c r="F74" s="190"/>
      <c r="G74" s="227"/>
      <c r="H74" s="228"/>
      <c r="I74" s="228"/>
      <c r="J74" s="228"/>
      <c r="K74" s="228"/>
      <c r="L74" s="228"/>
      <c r="M74" s="229"/>
      <c r="N74" s="226"/>
      <c r="O74" s="189"/>
      <c r="P74" s="189"/>
      <c r="Q74" s="189"/>
      <c r="R74" s="189"/>
      <c r="S74" s="190"/>
      <c r="T74" s="227"/>
      <c r="U74" s="228"/>
      <c r="V74" s="228"/>
      <c r="W74" s="228"/>
      <c r="X74" s="228"/>
      <c r="Y74" s="228"/>
      <c r="Z74" s="229"/>
    </row>
    <row r="75" spans="1:26" ht="18" customHeight="1" x14ac:dyDescent="0.15">
      <c r="A75" s="149"/>
      <c r="B75" s="226"/>
      <c r="C75" s="189"/>
      <c r="D75" s="189"/>
      <c r="E75" s="189"/>
      <c r="F75" s="190"/>
      <c r="G75" s="227"/>
      <c r="H75" s="228"/>
      <c r="I75" s="228"/>
      <c r="J75" s="228"/>
      <c r="K75" s="228"/>
      <c r="L75" s="228"/>
      <c r="M75" s="229"/>
      <c r="N75" s="226"/>
      <c r="O75" s="189"/>
      <c r="P75" s="189"/>
      <c r="Q75" s="189"/>
      <c r="R75" s="189"/>
      <c r="S75" s="190"/>
      <c r="T75" s="227"/>
      <c r="U75" s="228"/>
      <c r="V75" s="228"/>
      <c r="W75" s="228"/>
      <c r="X75" s="228"/>
      <c r="Y75" s="228"/>
      <c r="Z75" s="229"/>
    </row>
    <row r="76" spans="1:26" ht="18" customHeight="1" x14ac:dyDescent="0.15">
      <c r="A76" s="149"/>
      <c r="B76" s="226"/>
      <c r="C76" s="189"/>
      <c r="D76" s="189"/>
      <c r="E76" s="189"/>
      <c r="F76" s="190"/>
      <c r="G76" s="227"/>
      <c r="H76" s="228"/>
      <c r="I76" s="228"/>
      <c r="J76" s="228"/>
      <c r="K76" s="228"/>
      <c r="L76" s="228"/>
      <c r="M76" s="229"/>
      <c r="N76" s="226"/>
      <c r="O76" s="189"/>
      <c r="P76" s="189"/>
      <c r="Q76" s="189"/>
      <c r="R76" s="189"/>
      <c r="S76" s="190"/>
      <c r="T76" s="227"/>
      <c r="U76" s="228"/>
      <c r="V76" s="228"/>
      <c r="W76" s="228"/>
      <c r="X76" s="228"/>
      <c r="Y76" s="228"/>
      <c r="Z76" s="229"/>
    </row>
    <row r="77" spans="1:26" ht="18" customHeight="1" x14ac:dyDescent="0.15">
      <c r="A77" s="149"/>
      <c r="B77" s="230"/>
      <c r="C77" s="231"/>
      <c r="D77" s="231"/>
      <c r="E77" s="231"/>
      <c r="F77" s="232"/>
      <c r="G77" s="233"/>
      <c r="H77" s="234"/>
      <c r="I77" s="234"/>
      <c r="J77" s="234"/>
      <c r="K77" s="234"/>
      <c r="L77" s="234"/>
      <c r="M77" s="235"/>
      <c r="N77" s="230"/>
      <c r="O77" s="231"/>
      <c r="P77" s="231"/>
      <c r="Q77" s="231"/>
      <c r="R77" s="231"/>
      <c r="S77" s="232"/>
      <c r="T77" s="233"/>
      <c r="U77" s="234"/>
      <c r="V77" s="234"/>
      <c r="W77" s="234"/>
      <c r="X77" s="234"/>
      <c r="Y77" s="234"/>
      <c r="Z77" s="235"/>
    </row>
    <row r="78" spans="1:26" ht="18" customHeight="1" x14ac:dyDescent="0.15">
      <c r="A78" s="149"/>
      <c r="B78" s="23"/>
      <c r="C78" s="23"/>
      <c r="D78" s="23"/>
      <c r="E78" s="23"/>
      <c r="F78" s="23"/>
      <c r="G78" s="120"/>
      <c r="H78" s="120"/>
      <c r="I78" s="120"/>
      <c r="J78" s="120"/>
      <c r="K78" s="120"/>
      <c r="L78" s="120"/>
      <c r="M78" s="120"/>
      <c r="N78" s="23"/>
      <c r="O78" s="23"/>
      <c r="P78" s="23"/>
      <c r="Q78" s="23"/>
      <c r="R78" s="23"/>
      <c r="S78" s="23"/>
      <c r="T78" s="120"/>
      <c r="U78" s="120"/>
      <c r="V78" s="120"/>
      <c r="W78" s="120"/>
      <c r="X78" s="120"/>
      <c r="Y78" s="120"/>
      <c r="Z78" s="120"/>
    </row>
    <row r="79" spans="1:26" ht="18.75" customHeight="1" x14ac:dyDescent="0.15">
      <c r="A79" s="4" t="s">
        <v>142</v>
      </c>
    </row>
    <row r="80" spans="1:26" ht="18.75" customHeight="1" x14ac:dyDescent="0.15">
      <c r="B80" s="24" t="s">
        <v>102</v>
      </c>
      <c r="C80" s="25"/>
      <c r="D80" s="218" t="s">
        <v>103</v>
      </c>
      <c r="E80" s="218"/>
      <c r="F80" s="218"/>
      <c r="G80" s="218"/>
      <c r="H80" s="218"/>
      <c r="I80" s="218"/>
      <c r="J80" s="218"/>
      <c r="K80" s="218"/>
      <c r="L80" s="218"/>
      <c r="M80" s="218"/>
      <c r="N80" s="218"/>
      <c r="O80" s="218"/>
      <c r="P80" s="218"/>
      <c r="Q80" s="218"/>
      <c r="R80" s="218"/>
      <c r="S80" s="218"/>
      <c r="T80" s="218"/>
      <c r="U80" s="218"/>
      <c r="V80" s="218"/>
      <c r="W80" s="218"/>
      <c r="X80" s="218"/>
      <c r="Y80" s="218"/>
      <c r="Z80" s="219"/>
    </row>
    <row r="81" spans="1:26" ht="103.5" customHeight="1" x14ac:dyDescent="0.15">
      <c r="B81" s="182" t="s">
        <v>110</v>
      </c>
      <c r="C81" s="29" t="s">
        <v>104</v>
      </c>
      <c r="D81" s="212" t="s">
        <v>202</v>
      </c>
      <c r="E81" s="213"/>
      <c r="F81" s="213"/>
      <c r="G81" s="213"/>
      <c r="H81" s="213"/>
      <c r="I81" s="213"/>
      <c r="J81" s="213"/>
      <c r="K81" s="213"/>
      <c r="L81" s="213"/>
      <c r="M81" s="213"/>
      <c r="N81" s="213"/>
      <c r="O81" s="213"/>
      <c r="P81" s="213"/>
      <c r="Q81" s="213"/>
      <c r="R81" s="213"/>
      <c r="S81" s="213"/>
      <c r="T81" s="213"/>
      <c r="U81" s="213"/>
      <c r="V81" s="213"/>
      <c r="W81" s="213"/>
      <c r="X81" s="213"/>
      <c r="Y81" s="213"/>
      <c r="Z81" s="214"/>
    </row>
    <row r="82" spans="1:26" ht="86.25" customHeight="1" x14ac:dyDescent="0.15">
      <c r="B82" s="183"/>
      <c r="C82" s="30" t="s">
        <v>137</v>
      </c>
      <c r="D82" s="220" t="s">
        <v>203</v>
      </c>
      <c r="E82" s="221"/>
      <c r="F82" s="221"/>
      <c r="G82" s="221"/>
      <c r="H82" s="221"/>
      <c r="I82" s="221"/>
      <c r="J82" s="221"/>
      <c r="K82" s="221"/>
      <c r="L82" s="221"/>
      <c r="M82" s="221"/>
      <c r="N82" s="221"/>
      <c r="O82" s="221"/>
      <c r="P82" s="221"/>
      <c r="Q82" s="221"/>
      <c r="R82" s="221"/>
      <c r="S82" s="221"/>
      <c r="T82" s="221"/>
      <c r="U82" s="221"/>
      <c r="V82" s="221"/>
      <c r="W82" s="221"/>
      <c r="X82" s="221"/>
      <c r="Y82" s="221"/>
      <c r="Z82" s="222"/>
    </row>
    <row r="83" spans="1:26" ht="123.75" customHeight="1" x14ac:dyDescent="0.15">
      <c r="B83" s="204" t="s">
        <v>111</v>
      </c>
      <c r="C83" s="26" t="s">
        <v>127</v>
      </c>
      <c r="D83" s="205" t="s">
        <v>204</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8.099999999999994" customHeight="1" x14ac:dyDescent="0.15">
      <c r="B84" s="184"/>
      <c r="C84" s="31" t="s">
        <v>128</v>
      </c>
      <c r="D84" s="223" t="s">
        <v>205</v>
      </c>
      <c r="E84" s="224"/>
      <c r="F84" s="224"/>
      <c r="G84" s="224"/>
      <c r="H84" s="224"/>
      <c r="I84" s="224"/>
      <c r="J84" s="224"/>
      <c r="K84" s="224"/>
      <c r="L84" s="224"/>
      <c r="M84" s="224"/>
      <c r="N84" s="224"/>
      <c r="O84" s="224"/>
      <c r="P84" s="224"/>
      <c r="Q84" s="224"/>
      <c r="R84" s="224"/>
      <c r="S84" s="224"/>
      <c r="T84" s="224"/>
      <c r="U84" s="224"/>
      <c r="V84" s="224"/>
      <c r="W84" s="224"/>
      <c r="X84" s="224"/>
      <c r="Y84" s="224"/>
      <c r="Z84" s="225"/>
    </row>
    <row r="85" spans="1:26" ht="126" customHeight="1" x14ac:dyDescent="0.15">
      <c r="B85" s="204" t="s">
        <v>112</v>
      </c>
      <c r="C85" s="26" t="s">
        <v>130</v>
      </c>
      <c r="D85" s="205" t="s">
        <v>206</v>
      </c>
      <c r="E85" s="206"/>
      <c r="F85" s="206"/>
      <c r="G85" s="206"/>
      <c r="H85" s="206"/>
      <c r="I85" s="206"/>
      <c r="J85" s="206"/>
      <c r="K85" s="206"/>
      <c r="L85" s="206"/>
      <c r="M85" s="206"/>
      <c r="N85" s="206"/>
      <c r="O85" s="206"/>
      <c r="P85" s="206"/>
      <c r="Q85" s="206"/>
      <c r="R85" s="206"/>
      <c r="S85" s="206"/>
      <c r="T85" s="206"/>
      <c r="U85" s="206"/>
      <c r="V85" s="206"/>
      <c r="W85" s="206"/>
      <c r="X85" s="206"/>
      <c r="Y85" s="206"/>
      <c r="Z85" s="207"/>
    </row>
    <row r="86" spans="1:26" ht="81" customHeight="1" x14ac:dyDescent="0.15">
      <c r="B86" s="184"/>
      <c r="C86" s="28" t="s">
        <v>131</v>
      </c>
      <c r="D86" s="208" t="s">
        <v>207</v>
      </c>
      <c r="E86" s="209"/>
      <c r="F86" s="209"/>
      <c r="G86" s="209"/>
      <c r="H86" s="209"/>
      <c r="I86" s="209"/>
      <c r="J86" s="209"/>
      <c r="K86" s="209"/>
      <c r="L86" s="209"/>
      <c r="M86" s="209"/>
      <c r="N86" s="209"/>
      <c r="O86" s="209"/>
      <c r="P86" s="209"/>
      <c r="Q86" s="209"/>
      <c r="R86" s="209"/>
      <c r="S86" s="209"/>
      <c r="T86" s="209"/>
      <c r="U86" s="209"/>
      <c r="V86" s="209"/>
      <c r="W86" s="209"/>
      <c r="X86" s="209"/>
      <c r="Y86" s="209"/>
      <c r="Z86" s="210"/>
    </row>
    <row r="87" spans="1:26" ht="122.25" customHeight="1" x14ac:dyDescent="0.15">
      <c r="B87" s="182" t="s">
        <v>138</v>
      </c>
      <c r="C87" s="29" t="s">
        <v>106</v>
      </c>
      <c r="D87" s="212" t="s">
        <v>208</v>
      </c>
      <c r="E87" s="213"/>
      <c r="F87" s="213"/>
      <c r="G87" s="213"/>
      <c r="H87" s="213"/>
      <c r="I87" s="213"/>
      <c r="J87" s="213"/>
      <c r="K87" s="213"/>
      <c r="L87" s="213"/>
      <c r="M87" s="213"/>
      <c r="N87" s="213"/>
      <c r="O87" s="213"/>
      <c r="P87" s="213"/>
      <c r="Q87" s="213"/>
      <c r="R87" s="213"/>
      <c r="S87" s="213"/>
      <c r="T87" s="213"/>
      <c r="U87" s="213"/>
      <c r="V87" s="213"/>
      <c r="W87" s="213"/>
      <c r="X87" s="213"/>
      <c r="Y87" s="213"/>
      <c r="Z87" s="214"/>
    </row>
    <row r="88" spans="1:26" ht="66" customHeight="1" x14ac:dyDescent="0.15">
      <c r="B88" s="211"/>
      <c r="C88" s="27" t="s">
        <v>108</v>
      </c>
      <c r="D88" s="215" t="s">
        <v>209</v>
      </c>
      <c r="E88" s="216"/>
      <c r="F88" s="216"/>
      <c r="G88" s="216"/>
      <c r="H88" s="216"/>
      <c r="I88" s="216"/>
      <c r="J88" s="216"/>
      <c r="K88" s="216"/>
      <c r="L88" s="216"/>
      <c r="M88" s="216"/>
      <c r="N88" s="216"/>
      <c r="O88" s="216"/>
      <c r="P88" s="216"/>
      <c r="Q88" s="216"/>
      <c r="R88" s="216"/>
      <c r="S88" s="216"/>
      <c r="T88" s="216"/>
      <c r="U88" s="216"/>
      <c r="V88" s="216"/>
      <c r="W88" s="216"/>
      <c r="X88" s="216"/>
      <c r="Y88" s="216"/>
      <c r="Z88" s="217"/>
    </row>
    <row r="89" spans="1:26" ht="143.25" customHeight="1" x14ac:dyDescent="0.15">
      <c r="B89" s="182" t="s">
        <v>139</v>
      </c>
      <c r="C89" s="26" t="s">
        <v>105</v>
      </c>
      <c r="D89" s="185" t="s">
        <v>210</v>
      </c>
      <c r="E89" s="186"/>
      <c r="F89" s="186"/>
      <c r="G89" s="186"/>
      <c r="H89" s="186"/>
      <c r="I89" s="186"/>
      <c r="J89" s="186"/>
      <c r="K89" s="186"/>
      <c r="L89" s="186"/>
      <c r="M89" s="186"/>
      <c r="N89" s="186"/>
      <c r="O89" s="186"/>
      <c r="P89" s="186"/>
      <c r="Q89" s="186"/>
      <c r="R89" s="186"/>
      <c r="S89" s="186"/>
      <c r="T89" s="186"/>
      <c r="U89" s="186"/>
      <c r="V89" s="186"/>
      <c r="W89" s="186"/>
      <c r="X89" s="186"/>
      <c r="Y89" s="186"/>
      <c r="Z89" s="187"/>
    </row>
    <row r="90" spans="1:26" ht="109.5" customHeight="1" x14ac:dyDescent="0.15">
      <c r="B90" s="183"/>
      <c r="C90" s="27" t="s">
        <v>134</v>
      </c>
      <c r="D90" s="188" t="s">
        <v>211</v>
      </c>
      <c r="E90" s="189"/>
      <c r="F90" s="189"/>
      <c r="G90" s="189"/>
      <c r="H90" s="189"/>
      <c r="I90" s="189"/>
      <c r="J90" s="189"/>
      <c r="K90" s="189"/>
      <c r="L90" s="189"/>
      <c r="M90" s="189"/>
      <c r="N90" s="189"/>
      <c r="O90" s="189"/>
      <c r="P90" s="189"/>
      <c r="Q90" s="189"/>
      <c r="R90" s="189"/>
      <c r="S90" s="189"/>
      <c r="T90" s="189"/>
      <c r="U90" s="189"/>
      <c r="V90" s="189"/>
      <c r="W90" s="189"/>
      <c r="X90" s="189"/>
      <c r="Y90" s="189"/>
      <c r="Z90" s="190"/>
    </row>
    <row r="91" spans="1:26" ht="81.75" customHeight="1" x14ac:dyDescent="0.15">
      <c r="B91" s="184"/>
      <c r="C91" s="28" t="s">
        <v>135</v>
      </c>
      <c r="D91" s="191" t="s">
        <v>212</v>
      </c>
      <c r="E91" s="192"/>
      <c r="F91" s="192"/>
      <c r="G91" s="192"/>
      <c r="H91" s="192"/>
      <c r="I91" s="192"/>
      <c r="J91" s="192"/>
      <c r="K91" s="192"/>
      <c r="L91" s="192"/>
      <c r="M91" s="192"/>
      <c r="N91" s="192"/>
      <c r="O91" s="192"/>
      <c r="P91" s="192"/>
      <c r="Q91" s="192"/>
      <c r="R91" s="192"/>
      <c r="S91" s="192"/>
      <c r="T91" s="192"/>
      <c r="U91" s="192"/>
      <c r="V91" s="192"/>
      <c r="W91" s="192"/>
      <c r="X91" s="192"/>
      <c r="Y91" s="192"/>
      <c r="Z91" s="193"/>
    </row>
    <row r="92" spans="1:26" ht="6" customHeight="1" x14ac:dyDescent="0.15"/>
    <row r="93" spans="1:26" ht="18.75" customHeight="1" x14ac:dyDescent="0.15">
      <c r="A93" s="4" t="s">
        <v>143</v>
      </c>
    </row>
    <row r="94" spans="1:26" ht="18.75" customHeight="1" x14ac:dyDescent="0.15">
      <c r="B94" s="194" t="s">
        <v>189</v>
      </c>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6"/>
    </row>
    <row r="95" spans="1:26" ht="18.75" customHeight="1" x14ac:dyDescent="0.15">
      <c r="B95" s="197"/>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9"/>
    </row>
    <row r="96" spans="1:26" ht="44.1" customHeight="1" x14ac:dyDescent="0.15">
      <c r="B96" s="200"/>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201"/>
    </row>
    <row r="97" spans="1:26" ht="6" customHeight="1" x14ac:dyDescent="0.15"/>
    <row r="98" spans="1:26" ht="15" customHeight="1" x14ac:dyDescent="0.15">
      <c r="A98" s="4" t="s">
        <v>144</v>
      </c>
    </row>
    <row r="99" spans="1:26" ht="34.5" customHeight="1" x14ac:dyDescent="0.15">
      <c r="B99" s="202" t="s">
        <v>169</v>
      </c>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203"/>
    </row>
  </sheetData>
  <mergeCells count="220">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3:F33"/>
    <mergeCell ref="I33:K33"/>
    <mergeCell ref="N33:S33"/>
    <mergeCell ref="V33:X33"/>
    <mergeCell ref="A35:Z36"/>
    <mergeCell ref="B37:F37"/>
    <mergeCell ref="I37:K37"/>
    <mergeCell ref="N37:S37"/>
    <mergeCell ref="V37:X37"/>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44:F44"/>
    <mergeCell ref="I44:K44"/>
    <mergeCell ref="N44:S44"/>
    <mergeCell ref="V44:X44"/>
    <mergeCell ref="B45:F45"/>
    <mergeCell ref="I45:K45"/>
    <mergeCell ref="N45:S45"/>
    <mergeCell ref="V45:X45"/>
    <mergeCell ref="B42:F42"/>
    <mergeCell ref="I42:K42"/>
    <mergeCell ref="N42:S42"/>
    <mergeCell ref="V42:X42"/>
    <mergeCell ref="B43:F43"/>
    <mergeCell ref="I43:K43"/>
    <mergeCell ref="A47:Z48"/>
    <mergeCell ref="B49:F49"/>
    <mergeCell ref="I49:K49"/>
    <mergeCell ref="N49:S49"/>
    <mergeCell ref="V49:X49"/>
    <mergeCell ref="B50:F50"/>
    <mergeCell ref="I50:K50"/>
    <mergeCell ref="N50:S50"/>
    <mergeCell ref="V50:X50"/>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A58:Z59"/>
    <mergeCell ref="B60:E60"/>
    <mergeCell ref="N60:R60"/>
    <mergeCell ref="B61:E61"/>
    <mergeCell ref="H61:J61"/>
    <mergeCell ref="N61:R61"/>
    <mergeCell ref="U61:W61"/>
    <mergeCell ref="B55:F55"/>
    <mergeCell ref="I55:K55"/>
    <mergeCell ref="N55:S55"/>
    <mergeCell ref="V55:X55"/>
    <mergeCell ref="B56:F56"/>
    <mergeCell ref="I56:K56"/>
    <mergeCell ref="N56:S56"/>
    <mergeCell ref="V56:X56"/>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7:E67"/>
    <mergeCell ref="H67:J67"/>
    <mergeCell ref="N67:R67"/>
    <mergeCell ref="U67:W67"/>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D80:Z80"/>
    <mergeCell ref="B81:B82"/>
    <mergeCell ref="D81:Z81"/>
    <mergeCell ref="D82:Z82"/>
    <mergeCell ref="B83:B84"/>
    <mergeCell ref="D83:Z83"/>
    <mergeCell ref="D84:Z84"/>
    <mergeCell ref="B76:F76"/>
    <mergeCell ref="G76:M76"/>
    <mergeCell ref="N76:S76"/>
    <mergeCell ref="T76:Z76"/>
    <mergeCell ref="B77:F77"/>
    <mergeCell ref="G77:M77"/>
    <mergeCell ref="N77:S77"/>
    <mergeCell ref="T77:Z77"/>
    <mergeCell ref="B89:B91"/>
    <mergeCell ref="D89:Z89"/>
    <mergeCell ref="D90:Z90"/>
    <mergeCell ref="D91:Z91"/>
    <mergeCell ref="B94:Z96"/>
    <mergeCell ref="B99:Z99"/>
    <mergeCell ref="B85:B86"/>
    <mergeCell ref="D85:Z85"/>
    <mergeCell ref="D86:Z86"/>
    <mergeCell ref="B87:B88"/>
    <mergeCell ref="D87:Z87"/>
    <mergeCell ref="D88:Z88"/>
  </mergeCells>
  <phoneticPr fontId="3"/>
  <dataValidations count="4">
    <dataValidation type="list" allowBlank="1" showInputMessage="1" showErrorMessage="1" sqref="H75:M78 U71:Z72 U75:Z78 T71:T78 G71:G78 H71:M72" xr:uid="{976ECA30-B7C0-471D-8C68-89FAE42D607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6FCF562A-942E-432D-8F53-013881259477}">
      <formula1>"学部・学科によって、修了要件は相違する,学部・学科によって、修了要件は相違しない"</formula1>
    </dataValidation>
    <dataValidation type="list" allowBlank="1" showInputMessage="1" showErrorMessage="1" sqref="Z23 Z34 D34:K34 D23:K23 V16:V22 I27:I33 V27:V33 I16:I22 V38:V45 I50:I56 V50:V56 H61:H67 U61:U67 I38:I45" xr:uid="{700BEE0F-8570-45B4-AE81-09702D2B0869}">
      <formula1>"全学開講,一部開講"</formula1>
    </dataValidation>
    <dataValidation type="list" allowBlank="1" showInputMessage="1" showErrorMessage="1" sqref="Y16:Z22 L16:M22 Y27:Z33 L50:M56 Y38:Z45 Y50:Z56 Y61:Z67 H16:H22 U16:U22 U27:U33 U38:U45 U50:U56 H50:H56 T61:T67 H38:H45 G61:G67 H27:H33 L27:M33 L38:M45 L61:M67 K61:K65" xr:uid="{75C7CA1B-B5D4-4F0F-AD8F-8A03430DFD36}">
      <formula1>"○"</formula1>
    </dataValidation>
  </dataValidations>
  <hyperlinks>
    <hyperlink ref="B99" r:id="rId1" xr:uid="{A6CF860B-4B58-490C-8846-ABBEF7D644D5}"/>
  </hyperlinks>
  <printOptions horizontalCentered="1"/>
  <pageMargins left="0.78740157480314965" right="0.78740157480314965" top="0.59055118110236227" bottom="0.19685039370078741" header="0.31496062992125984" footer="0.31496062992125984"/>
  <pageSetup paperSize="9" scale="61" orientation="portrait" r:id="rId2"/>
  <rowBreaks count="1" manualBreakCount="1">
    <brk id="7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
  <sheetViews>
    <sheetView showZeros="0" tabSelected="1" view="pageBreakPreview" topLeftCell="A55" zoomScaleNormal="100" zoomScaleSheetLayoutView="100" workbookViewId="0">
      <selection activeCell="G71" sqref="G71:M73"/>
    </sheetView>
  </sheetViews>
  <sheetFormatPr defaultColWidth="9" defaultRowHeight="18.75" customHeight="1" x14ac:dyDescent="0.15"/>
  <cols>
    <col min="1" max="1" width="2.5" style="4" customWidth="1"/>
    <col min="2" max="2" width="27.62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x14ac:dyDescent="0.15">
      <c r="W1" s="295" t="s">
        <v>213</v>
      </c>
      <c r="X1" s="295"/>
      <c r="Y1" s="295"/>
      <c r="Z1" s="295"/>
    </row>
    <row r="2" spans="1:26" ht="18" customHeight="1" x14ac:dyDescent="0.15">
      <c r="A2" s="296" t="s">
        <v>67</v>
      </c>
      <c r="B2" s="296"/>
      <c r="C2" s="296"/>
      <c r="D2" s="296"/>
      <c r="E2" s="296"/>
      <c r="F2" s="296"/>
      <c r="G2" s="296"/>
      <c r="H2" s="296"/>
      <c r="I2" s="296"/>
      <c r="J2" s="296"/>
      <c r="K2" s="296"/>
      <c r="L2" s="296"/>
      <c r="M2" s="296"/>
      <c r="N2" s="296"/>
      <c r="O2" s="296"/>
      <c r="P2" s="296"/>
      <c r="Q2" s="296"/>
      <c r="R2" s="296"/>
      <c r="S2" s="296"/>
      <c r="T2" s="296"/>
      <c r="U2" s="296"/>
      <c r="V2" s="296"/>
      <c r="W2" s="296"/>
      <c r="X2" s="296"/>
      <c r="Y2" s="296"/>
      <c r="Z2" s="296"/>
    </row>
    <row r="3" spans="1:26" ht="15" customHeight="1" x14ac:dyDescent="0.15">
      <c r="B3" s="61"/>
      <c r="C3" s="61"/>
      <c r="D3" s="61"/>
      <c r="E3" s="61"/>
      <c r="F3" s="61"/>
      <c r="G3" s="61"/>
      <c r="H3" s="61"/>
      <c r="I3" s="61"/>
      <c r="J3" s="61"/>
      <c r="K3" s="61"/>
      <c r="L3" s="61"/>
      <c r="M3" s="61"/>
      <c r="N3" s="61"/>
      <c r="O3" s="61"/>
      <c r="P3" s="61"/>
      <c r="Q3" s="61"/>
      <c r="R3" s="61"/>
      <c r="S3" s="61"/>
      <c r="T3" s="61"/>
      <c r="U3" s="61"/>
      <c r="V3" s="61"/>
      <c r="W3" s="61"/>
      <c r="X3" s="61"/>
      <c r="Y3" s="61"/>
      <c r="Z3" s="61"/>
    </row>
    <row r="4" spans="1:26" ht="18" customHeight="1" x14ac:dyDescent="0.15">
      <c r="A4" s="4" t="s">
        <v>99</v>
      </c>
      <c r="B4" s="61"/>
      <c r="C4" s="61"/>
      <c r="D4" s="61"/>
      <c r="E4" s="61"/>
      <c r="F4" s="61"/>
      <c r="G4" s="61"/>
      <c r="H4" s="58" t="s">
        <v>113</v>
      </c>
      <c r="I4" s="61"/>
      <c r="J4" s="61"/>
      <c r="K4" s="61"/>
      <c r="L4" s="61"/>
      <c r="M4" s="61"/>
      <c r="N4" s="61"/>
      <c r="O4" s="236" t="s">
        <v>156</v>
      </c>
      <c r="P4" s="237"/>
      <c r="Q4" s="237"/>
      <c r="R4" s="237"/>
      <c r="S4" s="237"/>
      <c r="T4" s="237"/>
      <c r="U4" s="237"/>
      <c r="V4" s="237"/>
      <c r="W4" s="237"/>
      <c r="X4" s="237"/>
      <c r="Y4" s="237"/>
      <c r="Z4" s="238"/>
    </row>
    <row r="5" spans="1:26" ht="6" customHeight="1" x14ac:dyDescent="0.15">
      <c r="B5" s="61"/>
      <c r="C5" s="61"/>
      <c r="D5" s="61"/>
      <c r="E5" s="61"/>
      <c r="F5" s="61"/>
      <c r="G5" s="61"/>
      <c r="H5" s="61"/>
      <c r="I5" s="61"/>
      <c r="J5" s="61"/>
      <c r="K5" s="61"/>
      <c r="L5" s="61"/>
      <c r="M5" s="61"/>
      <c r="N5" s="61"/>
      <c r="O5" s="7"/>
      <c r="P5" s="61"/>
      <c r="Q5" s="61"/>
      <c r="R5" s="61"/>
      <c r="S5" s="61"/>
      <c r="T5" s="61"/>
      <c r="U5" s="61"/>
      <c r="V5" s="61"/>
      <c r="W5" s="61"/>
      <c r="X5" s="61"/>
      <c r="Y5" s="61"/>
      <c r="Z5" s="61"/>
    </row>
    <row r="6" spans="1:26" ht="18" customHeight="1" x14ac:dyDescent="0.15">
      <c r="B6" s="297" t="s">
        <v>225</v>
      </c>
      <c r="C6" s="298"/>
      <c r="D6" s="298"/>
      <c r="E6" s="298"/>
      <c r="F6" s="298"/>
      <c r="G6" s="298"/>
      <c r="H6" s="298"/>
      <c r="I6" s="298"/>
      <c r="J6" s="298"/>
      <c r="K6" s="298"/>
      <c r="L6" s="298"/>
      <c r="M6" s="298"/>
      <c r="N6" s="298"/>
      <c r="O6" s="298"/>
      <c r="P6" s="298"/>
      <c r="Q6" s="298"/>
      <c r="R6" s="298"/>
      <c r="S6" s="298"/>
      <c r="T6" s="298"/>
      <c r="U6" s="298"/>
      <c r="V6" s="298"/>
      <c r="W6" s="298"/>
      <c r="X6" s="298"/>
      <c r="Y6" s="298"/>
      <c r="Z6" s="299"/>
    </row>
    <row r="7" spans="1:26" ht="18" customHeight="1" x14ac:dyDescent="0.15">
      <c r="B7" s="300"/>
      <c r="C7" s="301"/>
      <c r="D7" s="301"/>
      <c r="E7" s="301"/>
      <c r="F7" s="301"/>
      <c r="G7" s="301"/>
      <c r="H7" s="301"/>
      <c r="I7" s="301"/>
      <c r="J7" s="301"/>
      <c r="K7" s="301"/>
      <c r="L7" s="301"/>
      <c r="M7" s="301"/>
      <c r="N7" s="301"/>
      <c r="O7" s="301"/>
      <c r="P7" s="301"/>
      <c r="Q7" s="301"/>
      <c r="R7" s="301"/>
      <c r="S7" s="301"/>
      <c r="T7" s="301"/>
      <c r="U7" s="301"/>
      <c r="V7" s="301"/>
      <c r="W7" s="301"/>
      <c r="X7" s="301"/>
      <c r="Y7" s="301"/>
      <c r="Z7" s="302"/>
    </row>
    <row r="8" spans="1:26" ht="18" customHeight="1" x14ac:dyDescent="0.15">
      <c r="B8" s="300"/>
      <c r="C8" s="301"/>
      <c r="D8" s="301"/>
      <c r="E8" s="301"/>
      <c r="F8" s="301"/>
      <c r="G8" s="301"/>
      <c r="H8" s="301"/>
      <c r="I8" s="301"/>
      <c r="J8" s="301"/>
      <c r="K8" s="301"/>
      <c r="L8" s="301"/>
      <c r="M8" s="301"/>
      <c r="N8" s="301"/>
      <c r="O8" s="301"/>
      <c r="P8" s="301"/>
      <c r="Q8" s="301"/>
      <c r="R8" s="301"/>
      <c r="S8" s="301"/>
      <c r="T8" s="301"/>
      <c r="U8" s="301"/>
      <c r="V8" s="301"/>
      <c r="W8" s="301"/>
      <c r="X8" s="301"/>
      <c r="Y8" s="301"/>
      <c r="Z8" s="302"/>
    </row>
    <row r="9" spans="1:26" ht="18" customHeight="1" x14ac:dyDescent="0.15">
      <c r="B9" s="300"/>
      <c r="C9" s="301"/>
      <c r="D9" s="301"/>
      <c r="E9" s="301"/>
      <c r="F9" s="301"/>
      <c r="G9" s="301"/>
      <c r="H9" s="301"/>
      <c r="I9" s="301"/>
      <c r="J9" s="301"/>
      <c r="K9" s="301"/>
      <c r="L9" s="301"/>
      <c r="M9" s="301"/>
      <c r="N9" s="301"/>
      <c r="O9" s="301"/>
      <c r="P9" s="301"/>
      <c r="Q9" s="301"/>
      <c r="R9" s="301"/>
      <c r="S9" s="301"/>
      <c r="T9" s="301"/>
      <c r="U9" s="301"/>
      <c r="V9" s="301"/>
      <c r="W9" s="301"/>
      <c r="X9" s="301"/>
      <c r="Y9" s="301"/>
      <c r="Z9" s="302"/>
    </row>
    <row r="10" spans="1:26" ht="18" customHeight="1" x14ac:dyDescent="0.15">
      <c r="B10" s="300"/>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2"/>
    </row>
    <row r="11" spans="1:26" ht="18" customHeight="1" x14ac:dyDescent="0.15">
      <c r="B11" s="303"/>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5"/>
    </row>
    <row r="12" spans="1:26" ht="7.5" customHeight="1" x14ac:dyDescent="0.15">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18" customHeight="1" x14ac:dyDescent="0.15">
      <c r="A13" s="260" t="s">
        <v>125</v>
      </c>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row>
    <row r="14" spans="1:26" ht="18" customHeight="1" x14ac:dyDescent="0.15">
      <c r="A14" s="260"/>
      <c r="B14" s="260"/>
      <c r="C14" s="260"/>
      <c r="D14" s="260"/>
      <c r="E14" s="260"/>
      <c r="F14" s="260"/>
      <c r="G14" s="260"/>
      <c r="H14" s="260"/>
      <c r="I14" s="260"/>
      <c r="J14" s="260"/>
      <c r="K14" s="260"/>
      <c r="L14" s="260"/>
      <c r="M14" s="260"/>
      <c r="N14" s="260"/>
      <c r="O14" s="260"/>
      <c r="P14" s="260"/>
      <c r="Q14" s="260"/>
      <c r="R14" s="260"/>
      <c r="S14" s="260"/>
      <c r="T14" s="260"/>
      <c r="U14" s="260"/>
      <c r="V14" s="260"/>
      <c r="W14" s="260"/>
      <c r="X14" s="260"/>
      <c r="Y14" s="260"/>
      <c r="Z14" s="260"/>
    </row>
    <row r="15" spans="1:26" ht="18" customHeight="1" x14ac:dyDescent="0.15">
      <c r="A15" s="58"/>
      <c r="B15" s="236" t="s">
        <v>100</v>
      </c>
      <c r="C15" s="237"/>
      <c r="D15" s="237"/>
      <c r="E15" s="237"/>
      <c r="F15" s="238"/>
      <c r="G15" s="15" t="s">
        <v>141</v>
      </c>
      <c r="H15" s="32" t="s">
        <v>140</v>
      </c>
      <c r="I15" s="237" t="s">
        <v>101</v>
      </c>
      <c r="J15" s="237"/>
      <c r="K15" s="237"/>
      <c r="L15" s="19" t="s">
        <v>104</v>
      </c>
      <c r="M15" s="19" t="s">
        <v>107</v>
      </c>
      <c r="N15" s="236" t="s">
        <v>100</v>
      </c>
      <c r="O15" s="237"/>
      <c r="P15" s="237"/>
      <c r="Q15" s="237"/>
      <c r="R15" s="237"/>
      <c r="S15" s="238"/>
      <c r="T15" s="15" t="s">
        <v>141</v>
      </c>
      <c r="U15" s="32" t="s">
        <v>140</v>
      </c>
      <c r="V15" s="237" t="s">
        <v>101</v>
      </c>
      <c r="W15" s="237"/>
      <c r="X15" s="237"/>
      <c r="Y15" s="19" t="s">
        <v>104</v>
      </c>
      <c r="Z15" s="19" t="s">
        <v>107</v>
      </c>
    </row>
    <row r="16" spans="1:26" ht="18" customHeight="1" x14ac:dyDescent="0.15">
      <c r="A16" s="58"/>
      <c r="B16" s="264" t="s">
        <v>155</v>
      </c>
      <c r="C16" s="216"/>
      <c r="D16" s="216"/>
      <c r="E16" s="216"/>
      <c r="F16" s="217"/>
      <c r="G16" s="34">
        <v>1</v>
      </c>
      <c r="H16" s="34" t="s">
        <v>146</v>
      </c>
      <c r="I16" s="246" t="s">
        <v>149</v>
      </c>
      <c r="J16" s="247"/>
      <c r="K16" s="248"/>
      <c r="L16" s="34" t="s">
        <v>146</v>
      </c>
      <c r="M16" s="34" t="s">
        <v>146</v>
      </c>
      <c r="N16" s="242"/>
      <c r="O16" s="186"/>
      <c r="P16" s="186"/>
      <c r="Q16" s="186"/>
      <c r="R16" s="186"/>
      <c r="S16" s="187"/>
      <c r="T16" s="33"/>
      <c r="U16" s="33"/>
      <c r="V16" s="261"/>
      <c r="W16" s="262"/>
      <c r="X16" s="263"/>
      <c r="Y16" s="20"/>
      <c r="Z16" s="20"/>
    </row>
    <row r="17" spans="1:26" ht="18" customHeight="1" x14ac:dyDescent="0.15">
      <c r="A17" s="58"/>
      <c r="B17" s="264"/>
      <c r="C17" s="216"/>
      <c r="D17" s="216"/>
      <c r="E17" s="216"/>
      <c r="F17" s="217"/>
      <c r="G17" s="34"/>
      <c r="H17" s="34"/>
      <c r="I17" s="246"/>
      <c r="J17" s="247"/>
      <c r="K17" s="248"/>
      <c r="L17" s="34"/>
      <c r="M17" s="34"/>
      <c r="N17" s="226"/>
      <c r="O17" s="189"/>
      <c r="P17" s="189"/>
      <c r="Q17" s="189"/>
      <c r="R17" s="189"/>
      <c r="S17" s="190"/>
      <c r="T17" s="34"/>
      <c r="U17" s="34"/>
      <c r="V17" s="246"/>
      <c r="W17" s="247"/>
      <c r="X17" s="248"/>
      <c r="Y17" s="21"/>
      <c r="Z17" s="21"/>
    </row>
    <row r="18" spans="1:26" ht="18" customHeight="1" x14ac:dyDescent="0.15">
      <c r="A18" s="58"/>
      <c r="B18" s="264"/>
      <c r="C18" s="216"/>
      <c r="D18" s="216"/>
      <c r="E18" s="216"/>
      <c r="F18" s="217"/>
      <c r="G18" s="107"/>
      <c r="H18" s="34"/>
      <c r="I18" s="246"/>
      <c r="J18" s="247"/>
      <c r="K18" s="248"/>
      <c r="L18" s="21"/>
      <c r="M18" s="21"/>
      <c r="N18" s="226"/>
      <c r="O18" s="189"/>
      <c r="P18" s="189"/>
      <c r="Q18" s="189"/>
      <c r="R18" s="189"/>
      <c r="S18" s="190"/>
      <c r="T18" s="34"/>
      <c r="U18" s="34"/>
      <c r="V18" s="246"/>
      <c r="W18" s="247"/>
      <c r="X18" s="248"/>
      <c r="Y18" s="21"/>
      <c r="Z18" s="21"/>
    </row>
    <row r="19" spans="1:26" ht="18" customHeight="1" x14ac:dyDescent="0.15">
      <c r="A19" s="58"/>
      <c r="B19" s="264"/>
      <c r="C19" s="216"/>
      <c r="D19" s="216"/>
      <c r="E19" s="216"/>
      <c r="F19" s="217"/>
      <c r="G19" s="34"/>
      <c r="H19" s="34"/>
      <c r="I19" s="246"/>
      <c r="J19" s="247"/>
      <c r="K19" s="248"/>
      <c r="L19" s="21"/>
      <c r="M19" s="21"/>
      <c r="N19" s="226"/>
      <c r="O19" s="189"/>
      <c r="P19" s="189"/>
      <c r="Q19" s="189"/>
      <c r="R19" s="189"/>
      <c r="S19" s="190"/>
      <c r="T19" s="34"/>
      <c r="U19" s="34"/>
      <c r="V19" s="246"/>
      <c r="W19" s="247"/>
      <c r="X19" s="248"/>
      <c r="Y19" s="21"/>
      <c r="Z19" s="21"/>
    </row>
    <row r="20" spans="1:26" ht="18" customHeight="1" x14ac:dyDescent="0.15">
      <c r="A20" s="58"/>
      <c r="B20" s="264"/>
      <c r="C20" s="216"/>
      <c r="D20" s="216"/>
      <c r="E20" s="216"/>
      <c r="F20" s="217"/>
      <c r="G20" s="34"/>
      <c r="H20" s="34"/>
      <c r="I20" s="246"/>
      <c r="J20" s="247"/>
      <c r="K20" s="248"/>
      <c r="L20" s="21"/>
      <c r="M20" s="21"/>
      <c r="N20" s="226"/>
      <c r="O20" s="189"/>
      <c r="P20" s="189"/>
      <c r="Q20" s="189"/>
      <c r="R20" s="189"/>
      <c r="S20" s="190"/>
      <c r="T20" s="34"/>
      <c r="U20" s="34"/>
      <c r="V20" s="246"/>
      <c r="W20" s="247"/>
      <c r="X20" s="248"/>
      <c r="Y20" s="21"/>
      <c r="Z20" s="21"/>
    </row>
    <row r="21" spans="1:26" ht="18" customHeight="1" x14ac:dyDescent="0.15">
      <c r="A21" s="61"/>
      <c r="B21" s="264"/>
      <c r="C21" s="216"/>
      <c r="D21" s="216"/>
      <c r="E21" s="216"/>
      <c r="F21" s="217"/>
      <c r="G21" s="34"/>
      <c r="H21" s="34"/>
      <c r="I21" s="246"/>
      <c r="J21" s="247"/>
      <c r="K21" s="248"/>
      <c r="L21" s="21"/>
      <c r="M21" s="21"/>
      <c r="N21" s="226"/>
      <c r="O21" s="189"/>
      <c r="P21" s="189"/>
      <c r="Q21" s="189"/>
      <c r="R21" s="189"/>
      <c r="S21" s="190"/>
      <c r="T21" s="34"/>
      <c r="U21" s="34"/>
      <c r="V21" s="246"/>
      <c r="W21" s="247"/>
      <c r="X21" s="248"/>
      <c r="Y21" s="21"/>
      <c r="Z21" s="21"/>
    </row>
    <row r="22" spans="1:26" ht="18" customHeight="1" x14ac:dyDescent="0.15">
      <c r="A22" s="61"/>
      <c r="B22" s="265"/>
      <c r="C22" s="224"/>
      <c r="D22" s="224"/>
      <c r="E22" s="224"/>
      <c r="F22" s="225"/>
      <c r="G22" s="35"/>
      <c r="H22" s="35"/>
      <c r="I22" s="249"/>
      <c r="J22" s="250"/>
      <c r="K22" s="251"/>
      <c r="L22" s="22"/>
      <c r="M22" s="22"/>
      <c r="N22" s="230"/>
      <c r="O22" s="231"/>
      <c r="P22" s="231"/>
      <c r="Q22" s="231"/>
      <c r="R22" s="231"/>
      <c r="S22" s="232"/>
      <c r="T22" s="35"/>
      <c r="U22" s="35"/>
      <c r="V22" s="249"/>
      <c r="W22" s="250"/>
      <c r="X22" s="251"/>
      <c r="Y22" s="22"/>
      <c r="Z22" s="22"/>
    </row>
    <row r="23" spans="1:26" ht="7.5" customHeight="1" x14ac:dyDescent="0.15">
      <c r="A23" s="61"/>
      <c r="B23" s="23"/>
      <c r="C23" s="23"/>
      <c r="D23" s="61"/>
      <c r="E23" s="61"/>
      <c r="F23" s="61"/>
      <c r="G23" s="61"/>
      <c r="H23" s="61"/>
      <c r="I23" s="61"/>
      <c r="J23" s="61"/>
      <c r="K23" s="61"/>
      <c r="L23" s="23"/>
      <c r="M23" s="23"/>
      <c r="N23" s="23"/>
      <c r="O23" s="23"/>
      <c r="P23" s="23"/>
      <c r="Q23" s="23"/>
      <c r="R23" s="23"/>
      <c r="S23" s="23"/>
      <c r="T23" s="23"/>
      <c r="U23" s="23"/>
      <c r="V23" s="23"/>
      <c r="W23" s="23"/>
      <c r="X23" s="23"/>
      <c r="Y23" s="23"/>
      <c r="Z23" s="61"/>
    </row>
    <row r="24" spans="1:26" ht="18" customHeight="1" x14ac:dyDescent="0.15">
      <c r="A24" s="260" t="s">
        <v>126</v>
      </c>
      <c r="B24" s="260"/>
      <c r="C24" s="260"/>
      <c r="D24" s="260"/>
      <c r="E24" s="260"/>
      <c r="F24" s="260"/>
      <c r="G24" s="260"/>
      <c r="H24" s="260"/>
      <c r="I24" s="260"/>
      <c r="J24" s="260"/>
      <c r="K24" s="260"/>
      <c r="L24" s="260"/>
      <c r="M24" s="260"/>
      <c r="N24" s="260"/>
      <c r="O24" s="260"/>
      <c r="P24" s="260"/>
      <c r="Q24" s="260"/>
      <c r="R24" s="260"/>
      <c r="S24" s="260"/>
      <c r="T24" s="260"/>
      <c r="U24" s="260"/>
      <c r="V24" s="260"/>
      <c r="W24" s="260"/>
      <c r="X24" s="260"/>
      <c r="Y24" s="260"/>
      <c r="Z24" s="260"/>
    </row>
    <row r="25" spans="1:26" ht="18" customHeight="1" x14ac:dyDescent="0.15">
      <c r="A25" s="260"/>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row>
    <row r="26" spans="1:26" ht="18" customHeight="1" x14ac:dyDescent="0.15">
      <c r="A26" s="58"/>
      <c r="B26" s="236" t="s">
        <v>100</v>
      </c>
      <c r="C26" s="237"/>
      <c r="D26" s="237"/>
      <c r="E26" s="237"/>
      <c r="F26" s="238"/>
      <c r="G26" s="15" t="s">
        <v>141</v>
      </c>
      <c r="H26" s="32" t="s">
        <v>140</v>
      </c>
      <c r="I26" s="237" t="s">
        <v>101</v>
      </c>
      <c r="J26" s="237"/>
      <c r="K26" s="237"/>
      <c r="L26" s="19" t="s">
        <v>127</v>
      </c>
      <c r="M26" s="19" t="s">
        <v>128</v>
      </c>
      <c r="N26" s="236" t="s">
        <v>100</v>
      </c>
      <c r="O26" s="237"/>
      <c r="P26" s="237"/>
      <c r="Q26" s="237"/>
      <c r="R26" s="237"/>
      <c r="S26" s="238"/>
      <c r="T26" s="15" t="s">
        <v>141</v>
      </c>
      <c r="U26" s="32" t="s">
        <v>140</v>
      </c>
      <c r="V26" s="237" t="s">
        <v>101</v>
      </c>
      <c r="W26" s="237"/>
      <c r="X26" s="237"/>
      <c r="Y26" s="19" t="s">
        <v>127</v>
      </c>
      <c r="Z26" s="19" t="s">
        <v>128</v>
      </c>
    </row>
    <row r="27" spans="1:26" ht="18" customHeight="1" x14ac:dyDescent="0.15">
      <c r="A27" s="58"/>
      <c r="B27" s="264" t="s">
        <v>152</v>
      </c>
      <c r="C27" s="216"/>
      <c r="D27" s="216"/>
      <c r="E27" s="216"/>
      <c r="F27" s="217"/>
      <c r="G27" s="34">
        <v>1</v>
      </c>
      <c r="H27" s="34" t="s">
        <v>146</v>
      </c>
      <c r="I27" s="246" t="s">
        <v>149</v>
      </c>
      <c r="J27" s="247"/>
      <c r="K27" s="248"/>
      <c r="L27" s="34" t="s">
        <v>146</v>
      </c>
      <c r="M27" s="34" t="s">
        <v>146</v>
      </c>
      <c r="N27" s="242"/>
      <c r="O27" s="186"/>
      <c r="P27" s="186"/>
      <c r="Q27" s="186"/>
      <c r="R27" s="186"/>
      <c r="S27" s="187"/>
      <c r="T27" s="33"/>
      <c r="U27" s="33"/>
      <c r="V27" s="261"/>
      <c r="W27" s="262"/>
      <c r="X27" s="263"/>
      <c r="Y27" s="20"/>
      <c r="Z27" s="20"/>
    </row>
    <row r="28" spans="1:26" ht="18" customHeight="1" x14ac:dyDescent="0.15">
      <c r="A28" s="58"/>
      <c r="B28" s="264"/>
      <c r="C28" s="216"/>
      <c r="D28" s="216"/>
      <c r="E28" s="216"/>
      <c r="F28" s="217"/>
      <c r="G28" s="34"/>
      <c r="H28" s="34"/>
      <c r="I28" s="246"/>
      <c r="J28" s="247"/>
      <c r="K28" s="248"/>
      <c r="L28" s="34"/>
      <c r="M28" s="34"/>
      <c r="N28" s="226"/>
      <c r="O28" s="189"/>
      <c r="P28" s="189"/>
      <c r="Q28" s="189"/>
      <c r="R28" s="189"/>
      <c r="S28" s="190"/>
      <c r="T28" s="34"/>
      <c r="U28" s="34"/>
      <c r="V28" s="246"/>
      <c r="W28" s="247"/>
      <c r="X28" s="248"/>
      <c r="Y28" s="21"/>
      <c r="Z28" s="21"/>
    </row>
    <row r="29" spans="1:26" ht="18" customHeight="1" x14ac:dyDescent="0.15">
      <c r="A29" s="58"/>
      <c r="B29" s="264"/>
      <c r="C29" s="216"/>
      <c r="D29" s="216"/>
      <c r="E29" s="216"/>
      <c r="F29" s="217"/>
      <c r="G29" s="107"/>
      <c r="H29" s="34"/>
      <c r="I29" s="246"/>
      <c r="J29" s="247"/>
      <c r="K29" s="248"/>
      <c r="L29" s="21"/>
      <c r="M29" s="21"/>
      <c r="N29" s="226"/>
      <c r="O29" s="189"/>
      <c r="P29" s="189"/>
      <c r="Q29" s="189"/>
      <c r="R29" s="189"/>
      <c r="S29" s="190"/>
      <c r="T29" s="34"/>
      <c r="U29" s="34"/>
      <c r="V29" s="246"/>
      <c r="W29" s="247"/>
      <c r="X29" s="248"/>
      <c r="Y29" s="21"/>
      <c r="Z29" s="21"/>
    </row>
    <row r="30" spans="1:26" ht="18" customHeight="1" x14ac:dyDescent="0.15">
      <c r="A30" s="58"/>
      <c r="B30" s="267"/>
      <c r="C30" s="268"/>
      <c r="D30" s="268"/>
      <c r="E30" s="268"/>
      <c r="F30" s="269"/>
      <c r="G30" s="107"/>
      <c r="H30" s="107"/>
      <c r="I30" s="270"/>
      <c r="J30" s="271"/>
      <c r="K30" s="272"/>
      <c r="L30" s="108"/>
      <c r="M30" s="108"/>
      <c r="N30" s="226"/>
      <c r="O30" s="189"/>
      <c r="P30" s="189"/>
      <c r="Q30" s="189"/>
      <c r="R30" s="189"/>
      <c r="S30" s="190"/>
      <c r="T30" s="34"/>
      <c r="U30" s="34"/>
      <c r="V30" s="246"/>
      <c r="W30" s="247"/>
      <c r="X30" s="248"/>
      <c r="Y30" s="21"/>
      <c r="Z30" s="21"/>
    </row>
    <row r="31" spans="1:26" ht="18" customHeight="1" x14ac:dyDescent="0.15">
      <c r="A31" s="58"/>
      <c r="B31" s="264"/>
      <c r="C31" s="216"/>
      <c r="D31" s="216"/>
      <c r="E31" s="216"/>
      <c r="F31" s="217"/>
      <c r="G31" s="34"/>
      <c r="H31" s="34"/>
      <c r="I31" s="246"/>
      <c r="J31" s="247"/>
      <c r="K31" s="248"/>
      <c r="L31" s="21"/>
      <c r="M31" s="21"/>
      <c r="N31" s="226"/>
      <c r="O31" s="189"/>
      <c r="P31" s="189"/>
      <c r="Q31" s="189"/>
      <c r="R31" s="189"/>
      <c r="S31" s="190"/>
      <c r="T31" s="34"/>
      <c r="U31" s="34"/>
      <c r="V31" s="246"/>
      <c r="W31" s="247"/>
      <c r="X31" s="248"/>
      <c r="Y31" s="21"/>
      <c r="Z31" s="21"/>
    </row>
    <row r="32" spans="1:26" ht="18" customHeight="1" x14ac:dyDescent="0.15">
      <c r="A32" s="58"/>
      <c r="B32" s="264"/>
      <c r="C32" s="216"/>
      <c r="D32" s="216"/>
      <c r="E32" s="216"/>
      <c r="F32" s="217"/>
      <c r="G32" s="34"/>
      <c r="H32" s="34"/>
      <c r="I32" s="246"/>
      <c r="J32" s="247"/>
      <c r="K32" s="248"/>
      <c r="L32" s="21"/>
      <c r="M32" s="21"/>
      <c r="N32" s="226"/>
      <c r="O32" s="189"/>
      <c r="P32" s="189"/>
      <c r="Q32" s="189"/>
      <c r="R32" s="189"/>
      <c r="S32" s="190"/>
      <c r="T32" s="34"/>
      <c r="U32" s="34"/>
      <c r="V32" s="246"/>
      <c r="W32" s="247"/>
      <c r="X32" s="248"/>
      <c r="Y32" s="21"/>
      <c r="Z32" s="21"/>
    </row>
    <row r="33" spans="1:26" ht="18" customHeight="1" x14ac:dyDescent="0.15">
      <c r="A33" s="58"/>
      <c r="B33" s="265"/>
      <c r="C33" s="224"/>
      <c r="D33" s="224"/>
      <c r="E33" s="224"/>
      <c r="F33" s="225"/>
      <c r="G33" s="35"/>
      <c r="H33" s="35"/>
      <c r="I33" s="249"/>
      <c r="J33" s="250"/>
      <c r="K33" s="251"/>
      <c r="L33" s="22"/>
      <c r="M33" s="22"/>
      <c r="N33" s="230"/>
      <c r="O33" s="231"/>
      <c r="P33" s="231"/>
      <c r="Q33" s="231"/>
      <c r="R33" s="231"/>
      <c r="S33" s="232"/>
      <c r="T33" s="35"/>
      <c r="U33" s="35"/>
      <c r="V33" s="249"/>
      <c r="W33" s="250"/>
      <c r="X33" s="251"/>
      <c r="Y33" s="22"/>
      <c r="Z33" s="22"/>
    </row>
    <row r="34" spans="1:26" ht="7.5" customHeight="1" x14ac:dyDescent="0.15">
      <c r="A34" s="61"/>
      <c r="B34" s="23"/>
      <c r="C34" s="23"/>
      <c r="D34" s="61"/>
      <c r="E34" s="61"/>
      <c r="F34" s="61"/>
      <c r="G34" s="61"/>
      <c r="H34" s="61"/>
      <c r="I34" s="61"/>
      <c r="J34" s="61"/>
      <c r="K34" s="61"/>
      <c r="L34" s="23"/>
      <c r="M34" s="23"/>
      <c r="N34" s="23"/>
      <c r="O34" s="23"/>
      <c r="P34" s="23"/>
      <c r="Q34" s="23"/>
      <c r="R34" s="23"/>
      <c r="S34" s="23"/>
      <c r="T34" s="23"/>
      <c r="U34" s="23"/>
      <c r="V34" s="23"/>
      <c r="W34" s="23"/>
      <c r="X34" s="23"/>
      <c r="Y34" s="23"/>
      <c r="Z34" s="61"/>
    </row>
    <row r="35" spans="1:26" ht="18" customHeight="1" x14ac:dyDescent="0.15">
      <c r="A35" s="260" t="s">
        <v>129</v>
      </c>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spans="1:26" ht="18" customHeight="1" x14ac:dyDescent="0.15">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spans="1:26" ht="18" customHeight="1" x14ac:dyDescent="0.15">
      <c r="A37" s="58"/>
      <c r="B37" s="236" t="s">
        <v>100</v>
      </c>
      <c r="C37" s="237"/>
      <c r="D37" s="237"/>
      <c r="E37" s="237"/>
      <c r="F37" s="238"/>
      <c r="G37" s="15" t="s">
        <v>141</v>
      </c>
      <c r="H37" s="32" t="s">
        <v>140</v>
      </c>
      <c r="I37" s="236" t="s">
        <v>101</v>
      </c>
      <c r="J37" s="237"/>
      <c r="K37" s="238"/>
      <c r="L37" s="19" t="s">
        <v>130</v>
      </c>
      <c r="M37" s="19" t="s">
        <v>131</v>
      </c>
      <c r="N37" s="236" t="s">
        <v>100</v>
      </c>
      <c r="O37" s="237"/>
      <c r="P37" s="237"/>
      <c r="Q37" s="237"/>
      <c r="R37" s="237"/>
      <c r="S37" s="238"/>
      <c r="T37" s="15" t="s">
        <v>141</v>
      </c>
      <c r="U37" s="32" t="s">
        <v>140</v>
      </c>
      <c r="V37" s="236" t="s">
        <v>101</v>
      </c>
      <c r="W37" s="237"/>
      <c r="X37" s="238"/>
      <c r="Y37" s="19" t="s">
        <v>130</v>
      </c>
      <c r="Z37" s="19" t="s">
        <v>131</v>
      </c>
    </row>
    <row r="38" spans="1:26" ht="18" customHeight="1" x14ac:dyDescent="0.15">
      <c r="A38" s="61"/>
      <c r="B38" s="264" t="s">
        <v>152</v>
      </c>
      <c r="C38" s="216"/>
      <c r="D38" s="216"/>
      <c r="E38" s="216"/>
      <c r="F38" s="217"/>
      <c r="G38" s="110">
        <v>1</v>
      </c>
      <c r="H38" s="110" t="s">
        <v>146</v>
      </c>
      <c r="I38" s="285" t="s">
        <v>149</v>
      </c>
      <c r="J38" s="286"/>
      <c r="K38" s="287"/>
      <c r="L38" s="110" t="s">
        <v>146</v>
      </c>
      <c r="M38" s="110"/>
      <c r="N38" s="242"/>
      <c r="O38" s="186"/>
      <c r="P38" s="186"/>
      <c r="Q38" s="186"/>
      <c r="R38" s="186"/>
      <c r="S38" s="187"/>
      <c r="T38" s="33"/>
      <c r="U38" s="33"/>
      <c r="V38" s="261"/>
      <c r="W38" s="262"/>
      <c r="X38" s="263"/>
      <c r="Y38" s="20"/>
      <c r="Z38" s="20"/>
    </row>
    <row r="39" spans="1:26" ht="18" customHeight="1" x14ac:dyDescent="0.15">
      <c r="A39" s="61"/>
      <c r="B39" s="264" t="s">
        <v>168</v>
      </c>
      <c r="C39" s="283"/>
      <c r="D39" s="283"/>
      <c r="E39" s="283"/>
      <c r="F39" s="284"/>
      <c r="G39" s="110">
        <v>1</v>
      </c>
      <c r="H39" s="110" t="s">
        <v>146</v>
      </c>
      <c r="I39" s="285" t="s">
        <v>149</v>
      </c>
      <c r="J39" s="286"/>
      <c r="K39" s="287"/>
      <c r="L39" s="110" t="s">
        <v>146</v>
      </c>
      <c r="M39" s="110" t="s">
        <v>146</v>
      </c>
      <c r="N39" s="189"/>
      <c r="O39" s="189"/>
      <c r="P39" s="189"/>
      <c r="Q39" s="189"/>
      <c r="R39" s="189"/>
      <c r="S39" s="190"/>
      <c r="T39" s="34"/>
      <c r="U39" s="34"/>
      <c r="V39" s="246"/>
      <c r="W39" s="247"/>
      <c r="X39" s="248"/>
      <c r="Y39" s="21"/>
      <c r="Z39" s="21"/>
    </row>
    <row r="40" spans="1:26" ht="18" customHeight="1" x14ac:dyDescent="0.15">
      <c r="A40" s="61"/>
      <c r="B40" s="264"/>
      <c r="C40" s="283"/>
      <c r="D40" s="283"/>
      <c r="E40" s="283"/>
      <c r="F40" s="284"/>
      <c r="G40" s="110"/>
      <c r="H40" s="110"/>
      <c r="I40" s="285"/>
      <c r="J40" s="286"/>
      <c r="K40" s="287"/>
      <c r="L40" s="110"/>
      <c r="M40" s="110"/>
      <c r="N40" s="189"/>
      <c r="O40" s="189"/>
      <c r="P40" s="189"/>
      <c r="Q40" s="189"/>
      <c r="R40" s="189"/>
      <c r="S40" s="190"/>
      <c r="T40" s="34"/>
      <c r="U40" s="34"/>
      <c r="V40" s="246"/>
      <c r="W40" s="247"/>
      <c r="X40" s="248"/>
      <c r="Y40" s="21"/>
      <c r="Z40" s="21"/>
    </row>
    <row r="41" spans="1:26" ht="18" customHeight="1" x14ac:dyDescent="0.15">
      <c r="A41" s="61"/>
      <c r="B41" s="288"/>
      <c r="C41" s="289"/>
      <c r="D41" s="289"/>
      <c r="E41" s="289"/>
      <c r="F41" s="290"/>
      <c r="G41" s="111"/>
      <c r="H41" s="111"/>
      <c r="I41" s="291"/>
      <c r="J41" s="292"/>
      <c r="K41" s="293"/>
      <c r="L41" s="112"/>
      <c r="M41" s="112"/>
      <c r="N41" s="189"/>
      <c r="O41" s="189"/>
      <c r="P41" s="189"/>
      <c r="Q41" s="189"/>
      <c r="R41" s="189"/>
      <c r="S41" s="190"/>
      <c r="T41" s="34"/>
      <c r="U41" s="34"/>
      <c r="V41" s="246"/>
      <c r="W41" s="247"/>
      <c r="X41" s="248"/>
      <c r="Y41" s="21"/>
      <c r="Z41" s="21"/>
    </row>
    <row r="42" spans="1:26" ht="18" customHeight="1" x14ac:dyDescent="0.15">
      <c r="A42" s="61"/>
      <c r="B42" s="277"/>
      <c r="C42" s="278"/>
      <c r="D42" s="278"/>
      <c r="E42" s="278"/>
      <c r="F42" s="279"/>
      <c r="G42" s="113"/>
      <c r="H42" s="113"/>
      <c r="I42" s="280"/>
      <c r="J42" s="281"/>
      <c r="K42" s="282"/>
      <c r="L42" s="114"/>
      <c r="M42" s="114"/>
      <c r="N42" s="226"/>
      <c r="O42" s="189"/>
      <c r="P42" s="189"/>
      <c r="Q42" s="189"/>
      <c r="R42" s="189"/>
      <c r="S42" s="190"/>
      <c r="T42" s="34"/>
      <c r="U42" s="34"/>
      <c r="V42" s="246"/>
      <c r="W42" s="247"/>
      <c r="X42" s="248"/>
      <c r="Y42" s="21"/>
      <c r="Z42" s="21"/>
    </row>
    <row r="43" spans="1:26" ht="18" customHeight="1" x14ac:dyDescent="0.15">
      <c r="A43" s="61"/>
      <c r="B43" s="267"/>
      <c r="C43" s="268"/>
      <c r="D43" s="268"/>
      <c r="E43" s="268"/>
      <c r="F43" s="269"/>
      <c r="G43" s="107"/>
      <c r="H43" s="107"/>
      <c r="I43" s="270"/>
      <c r="J43" s="271"/>
      <c r="K43" s="272"/>
      <c r="L43" s="108"/>
      <c r="M43" s="108"/>
      <c r="N43" s="102"/>
      <c r="O43" s="102"/>
      <c r="P43" s="102"/>
      <c r="Q43" s="102"/>
      <c r="R43" s="102"/>
      <c r="S43" s="103"/>
      <c r="T43" s="34"/>
      <c r="U43" s="34"/>
      <c r="V43" s="104"/>
      <c r="W43" s="105"/>
      <c r="X43" s="106"/>
      <c r="Y43" s="21"/>
      <c r="Z43" s="21"/>
    </row>
    <row r="44" spans="1:26" ht="18" customHeight="1" x14ac:dyDescent="0.15">
      <c r="A44" s="61"/>
      <c r="B44" s="267"/>
      <c r="C44" s="268"/>
      <c r="D44" s="268"/>
      <c r="E44" s="268"/>
      <c r="F44" s="269"/>
      <c r="G44" s="107"/>
      <c r="H44" s="107"/>
      <c r="I44" s="270"/>
      <c r="J44" s="271"/>
      <c r="K44" s="272"/>
      <c r="L44" s="108"/>
      <c r="M44" s="108"/>
      <c r="N44" s="189"/>
      <c r="O44" s="189"/>
      <c r="P44" s="189"/>
      <c r="Q44" s="189"/>
      <c r="R44" s="189"/>
      <c r="S44" s="190"/>
      <c r="T44" s="34"/>
      <c r="U44" s="34"/>
      <c r="V44" s="246"/>
      <c r="W44" s="247"/>
      <c r="X44" s="248"/>
      <c r="Y44" s="21"/>
      <c r="Z44" s="21"/>
    </row>
    <row r="45" spans="1:26" ht="18" customHeight="1" x14ac:dyDescent="0.15">
      <c r="A45" s="61"/>
      <c r="B45" s="273"/>
      <c r="C45" s="209"/>
      <c r="D45" s="209"/>
      <c r="E45" s="209"/>
      <c r="F45" s="210"/>
      <c r="G45" s="35"/>
      <c r="H45" s="35"/>
      <c r="I45" s="274"/>
      <c r="J45" s="275"/>
      <c r="K45" s="276"/>
      <c r="L45" s="115"/>
      <c r="M45" s="115"/>
      <c r="N45" s="230"/>
      <c r="O45" s="231"/>
      <c r="P45" s="231"/>
      <c r="Q45" s="231"/>
      <c r="R45" s="231"/>
      <c r="S45" s="232"/>
      <c r="T45" s="35"/>
      <c r="U45" s="35"/>
      <c r="V45" s="249"/>
      <c r="W45" s="250"/>
      <c r="X45" s="251"/>
      <c r="Y45" s="22"/>
      <c r="Z45" s="22"/>
    </row>
    <row r="46" spans="1:26" ht="7.5" customHeight="1" x14ac:dyDescent="0.15">
      <c r="B46" s="62"/>
      <c r="C46" s="62"/>
      <c r="D46" s="62"/>
      <c r="E46" s="62"/>
      <c r="F46" s="62"/>
      <c r="G46" s="62"/>
      <c r="H46" s="62"/>
      <c r="I46" s="62"/>
      <c r="J46" s="62"/>
      <c r="K46" s="62"/>
      <c r="L46" s="62"/>
      <c r="M46" s="62"/>
      <c r="N46" s="62"/>
      <c r="O46" s="62"/>
      <c r="P46" s="62"/>
      <c r="Q46" s="62"/>
      <c r="R46" s="62"/>
      <c r="S46" s="62"/>
      <c r="T46" s="62"/>
      <c r="U46" s="62"/>
      <c r="V46" s="62"/>
      <c r="W46" s="62"/>
      <c r="X46" s="62"/>
      <c r="Y46" s="62"/>
    </row>
    <row r="47" spans="1:26" ht="18" customHeight="1" x14ac:dyDescent="0.15">
      <c r="A47" s="260" t="s">
        <v>132</v>
      </c>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spans="1:26" ht="18" customHeight="1" x14ac:dyDescent="0.15">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spans="1:26" ht="18" customHeight="1" x14ac:dyDescent="0.15">
      <c r="A49" s="58"/>
      <c r="B49" s="236" t="s">
        <v>100</v>
      </c>
      <c r="C49" s="237"/>
      <c r="D49" s="237"/>
      <c r="E49" s="237"/>
      <c r="F49" s="238"/>
      <c r="G49" s="15" t="s">
        <v>141</v>
      </c>
      <c r="H49" s="32" t="s">
        <v>140</v>
      </c>
      <c r="I49" s="236" t="s">
        <v>101</v>
      </c>
      <c r="J49" s="237"/>
      <c r="K49" s="238"/>
      <c r="L49" s="19" t="s">
        <v>106</v>
      </c>
      <c r="M49" s="19" t="s">
        <v>108</v>
      </c>
      <c r="N49" s="236" t="s">
        <v>100</v>
      </c>
      <c r="O49" s="237"/>
      <c r="P49" s="237"/>
      <c r="Q49" s="237"/>
      <c r="R49" s="237"/>
      <c r="S49" s="238"/>
      <c r="T49" s="15" t="s">
        <v>141</v>
      </c>
      <c r="U49" s="32" t="s">
        <v>140</v>
      </c>
      <c r="V49" s="236" t="s">
        <v>101</v>
      </c>
      <c r="W49" s="237"/>
      <c r="X49" s="238"/>
      <c r="Y49" s="19" t="s">
        <v>106</v>
      </c>
      <c r="Z49" s="19" t="s">
        <v>108</v>
      </c>
    </row>
    <row r="50" spans="1:26" ht="18" customHeight="1" x14ac:dyDescent="0.15">
      <c r="A50" s="61"/>
      <c r="B50" s="264" t="s">
        <v>151</v>
      </c>
      <c r="C50" s="216"/>
      <c r="D50" s="216"/>
      <c r="E50" s="216"/>
      <c r="F50" s="217"/>
      <c r="G50" s="34">
        <v>1</v>
      </c>
      <c r="H50" s="34" t="s">
        <v>146</v>
      </c>
      <c r="I50" s="246" t="s">
        <v>149</v>
      </c>
      <c r="J50" s="247"/>
      <c r="K50" s="248"/>
      <c r="L50" s="34" t="s">
        <v>146</v>
      </c>
      <c r="M50" s="34" t="s">
        <v>146</v>
      </c>
      <c r="N50" s="242"/>
      <c r="O50" s="186"/>
      <c r="P50" s="186"/>
      <c r="Q50" s="186"/>
      <c r="R50" s="186"/>
      <c r="S50" s="187"/>
      <c r="T50" s="33"/>
      <c r="U50" s="33"/>
      <c r="V50" s="261"/>
      <c r="W50" s="262"/>
      <c r="X50" s="263"/>
      <c r="Y50" s="20"/>
      <c r="Z50" s="20"/>
    </row>
    <row r="51" spans="1:26" ht="18" customHeight="1" x14ac:dyDescent="0.15">
      <c r="A51" s="61"/>
      <c r="B51" s="264"/>
      <c r="C51" s="216"/>
      <c r="D51" s="216"/>
      <c r="E51" s="216"/>
      <c r="F51" s="217"/>
      <c r="G51" s="34"/>
      <c r="H51" s="34"/>
      <c r="I51" s="246"/>
      <c r="J51" s="247"/>
      <c r="K51" s="248"/>
      <c r="L51" s="34"/>
      <c r="M51" s="34"/>
      <c r="N51" s="226"/>
      <c r="O51" s="189"/>
      <c r="P51" s="189"/>
      <c r="Q51" s="189"/>
      <c r="R51" s="189"/>
      <c r="S51" s="190"/>
      <c r="T51" s="34"/>
      <c r="U51" s="34"/>
      <c r="V51" s="246"/>
      <c r="W51" s="247"/>
      <c r="X51" s="248"/>
      <c r="Y51" s="21"/>
      <c r="Z51" s="21"/>
    </row>
    <row r="52" spans="1:26" ht="18" customHeight="1" x14ac:dyDescent="0.15">
      <c r="A52" s="61"/>
      <c r="B52" s="264"/>
      <c r="C52" s="216"/>
      <c r="D52" s="216"/>
      <c r="E52" s="216"/>
      <c r="F52" s="217"/>
      <c r="G52" s="107"/>
      <c r="H52" s="34"/>
      <c r="I52" s="246"/>
      <c r="J52" s="247"/>
      <c r="K52" s="248"/>
      <c r="L52" s="21"/>
      <c r="M52" s="21"/>
      <c r="N52" s="226"/>
      <c r="O52" s="189"/>
      <c r="P52" s="189"/>
      <c r="Q52" s="189"/>
      <c r="R52" s="189"/>
      <c r="S52" s="190"/>
      <c r="T52" s="34"/>
      <c r="U52" s="34"/>
      <c r="V52" s="246"/>
      <c r="W52" s="247"/>
      <c r="X52" s="248"/>
      <c r="Y52" s="21"/>
      <c r="Z52" s="21"/>
    </row>
    <row r="53" spans="1:26" ht="18" customHeight="1" x14ac:dyDescent="0.15">
      <c r="A53" s="61"/>
      <c r="B53" s="264"/>
      <c r="C53" s="216"/>
      <c r="D53" s="216"/>
      <c r="E53" s="216"/>
      <c r="F53" s="217"/>
      <c r="G53" s="34"/>
      <c r="H53" s="34"/>
      <c r="I53" s="246"/>
      <c r="J53" s="247"/>
      <c r="K53" s="248"/>
      <c r="L53" s="21"/>
      <c r="M53" s="21"/>
      <c r="N53" s="226"/>
      <c r="O53" s="189"/>
      <c r="P53" s="189"/>
      <c r="Q53" s="189"/>
      <c r="R53" s="189"/>
      <c r="S53" s="190"/>
      <c r="T53" s="34"/>
      <c r="U53" s="34"/>
      <c r="V53" s="246"/>
      <c r="W53" s="247"/>
      <c r="X53" s="248"/>
      <c r="Y53" s="21"/>
      <c r="Z53" s="21"/>
    </row>
    <row r="54" spans="1:26" ht="18" customHeight="1" x14ac:dyDescent="0.15">
      <c r="A54" s="61"/>
      <c r="B54" s="264"/>
      <c r="C54" s="216"/>
      <c r="D54" s="216"/>
      <c r="E54" s="216"/>
      <c r="F54" s="217"/>
      <c r="G54" s="34"/>
      <c r="H54" s="34"/>
      <c r="I54" s="246"/>
      <c r="J54" s="247"/>
      <c r="K54" s="248"/>
      <c r="L54" s="21"/>
      <c r="M54" s="21"/>
      <c r="N54" s="226"/>
      <c r="O54" s="189"/>
      <c r="P54" s="189"/>
      <c r="Q54" s="189"/>
      <c r="R54" s="189"/>
      <c r="S54" s="190"/>
      <c r="T54" s="34"/>
      <c r="U54" s="34"/>
      <c r="V54" s="246"/>
      <c r="W54" s="247"/>
      <c r="X54" s="248"/>
      <c r="Y54" s="21"/>
      <c r="Z54" s="21"/>
    </row>
    <row r="55" spans="1:26" ht="18" customHeight="1" x14ac:dyDescent="0.15">
      <c r="A55" s="61"/>
      <c r="B55" s="264"/>
      <c r="C55" s="216"/>
      <c r="D55" s="216"/>
      <c r="E55" s="216"/>
      <c r="F55" s="217"/>
      <c r="G55" s="34"/>
      <c r="H55" s="34"/>
      <c r="I55" s="246"/>
      <c r="J55" s="247"/>
      <c r="K55" s="248"/>
      <c r="L55" s="21"/>
      <c r="M55" s="21"/>
      <c r="N55" s="226"/>
      <c r="O55" s="189"/>
      <c r="P55" s="189"/>
      <c r="Q55" s="189"/>
      <c r="R55" s="189"/>
      <c r="S55" s="190"/>
      <c r="T55" s="34"/>
      <c r="U55" s="34"/>
      <c r="V55" s="246"/>
      <c r="W55" s="247"/>
      <c r="X55" s="248"/>
      <c r="Y55" s="21"/>
      <c r="Z55" s="21"/>
    </row>
    <row r="56" spans="1:26" ht="18" customHeight="1" x14ac:dyDescent="0.15">
      <c r="A56" s="61"/>
      <c r="B56" s="265"/>
      <c r="C56" s="224"/>
      <c r="D56" s="224"/>
      <c r="E56" s="224"/>
      <c r="F56" s="225"/>
      <c r="G56" s="35"/>
      <c r="H56" s="35"/>
      <c r="I56" s="249"/>
      <c r="J56" s="250"/>
      <c r="K56" s="251"/>
      <c r="L56" s="22"/>
      <c r="M56" s="22"/>
      <c r="N56" s="230"/>
      <c r="O56" s="231"/>
      <c r="P56" s="231"/>
      <c r="Q56" s="231"/>
      <c r="R56" s="231"/>
      <c r="S56" s="232"/>
      <c r="T56" s="35"/>
      <c r="U56" s="35"/>
      <c r="V56" s="249"/>
      <c r="W56" s="250"/>
      <c r="X56" s="251"/>
      <c r="Y56" s="22"/>
      <c r="Z56" s="22"/>
    </row>
    <row r="57" spans="1:26" ht="7.5" customHeight="1" x14ac:dyDescent="0.15">
      <c r="B57" s="62"/>
      <c r="C57" s="62"/>
      <c r="D57" s="62"/>
      <c r="E57" s="62"/>
      <c r="F57" s="62"/>
      <c r="G57" s="62"/>
      <c r="H57" s="62"/>
      <c r="I57" s="62"/>
      <c r="J57" s="62"/>
      <c r="K57" s="62"/>
      <c r="L57" s="62"/>
      <c r="M57" s="62"/>
      <c r="N57" s="62"/>
      <c r="O57" s="62"/>
      <c r="P57" s="62"/>
      <c r="Q57" s="62"/>
      <c r="R57" s="62"/>
      <c r="S57" s="62"/>
      <c r="T57" s="62"/>
      <c r="U57" s="62"/>
      <c r="V57" s="62"/>
      <c r="W57" s="62"/>
      <c r="X57" s="62"/>
      <c r="Y57" s="62"/>
    </row>
    <row r="58" spans="1:26" ht="18" customHeight="1" x14ac:dyDescent="0.15">
      <c r="A58" s="260" t="s">
        <v>133</v>
      </c>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spans="1:26" ht="18" customHeight="1" x14ac:dyDescent="0.15">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spans="1:26" ht="18" customHeight="1" x14ac:dyDescent="0.15">
      <c r="A60" s="58"/>
      <c r="B60" s="236" t="s">
        <v>100</v>
      </c>
      <c r="C60" s="237"/>
      <c r="D60" s="237"/>
      <c r="E60" s="238"/>
      <c r="F60" s="15" t="s">
        <v>141</v>
      </c>
      <c r="G60" s="32" t="s">
        <v>140</v>
      </c>
      <c r="H60" s="13" t="s">
        <v>101</v>
      </c>
      <c r="I60" s="116"/>
      <c r="J60" s="14"/>
      <c r="K60" s="19" t="s">
        <v>105</v>
      </c>
      <c r="L60" s="19" t="s">
        <v>134</v>
      </c>
      <c r="M60" s="19" t="s">
        <v>135</v>
      </c>
      <c r="N60" s="236" t="s">
        <v>100</v>
      </c>
      <c r="O60" s="237"/>
      <c r="P60" s="237"/>
      <c r="Q60" s="237"/>
      <c r="R60" s="238"/>
      <c r="S60" s="15" t="s">
        <v>141</v>
      </c>
      <c r="T60" s="32" t="s">
        <v>140</v>
      </c>
      <c r="U60" s="13" t="s">
        <v>101</v>
      </c>
      <c r="V60" s="116"/>
      <c r="W60" s="14"/>
      <c r="X60" s="19" t="s">
        <v>105</v>
      </c>
      <c r="Y60" s="19" t="s">
        <v>134</v>
      </c>
      <c r="Z60" s="19" t="s">
        <v>135</v>
      </c>
    </row>
    <row r="61" spans="1:26" ht="18" customHeight="1" x14ac:dyDescent="0.15">
      <c r="A61" s="61"/>
      <c r="B61" s="226" t="s">
        <v>151</v>
      </c>
      <c r="C61" s="189"/>
      <c r="D61" s="189"/>
      <c r="E61" s="190"/>
      <c r="F61" s="34">
        <v>1</v>
      </c>
      <c r="G61" s="34" t="s">
        <v>146</v>
      </c>
      <c r="H61" s="246" t="s">
        <v>149</v>
      </c>
      <c r="I61" s="247"/>
      <c r="J61" s="248"/>
      <c r="K61" s="147" t="s">
        <v>146</v>
      </c>
      <c r="L61" s="34" t="s">
        <v>146</v>
      </c>
      <c r="M61" s="34" t="s">
        <v>146</v>
      </c>
      <c r="N61" s="242"/>
      <c r="O61" s="186"/>
      <c r="P61" s="186"/>
      <c r="Q61" s="186"/>
      <c r="R61" s="187"/>
      <c r="S61" s="33"/>
      <c r="T61" s="33"/>
      <c r="U61" s="261"/>
      <c r="V61" s="262"/>
      <c r="W61" s="263"/>
      <c r="X61" s="117"/>
      <c r="Y61" s="20"/>
      <c r="Z61" s="20"/>
    </row>
    <row r="62" spans="1:26" ht="18" customHeight="1" x14ac:dyDescent="0.15">
      <c r="A62" s="61"/>
      <c r="B62" s="226" t="s">
        <v>168</v>
      </c>
      <c r="C62" s="252"/>
      <c r="D62" s="252"/>
      <c r="E62" s="253"/>
      <c r="F62" s="110">
        <v>1</v>
      </c>
      <c r="G62" s="110" t="s">
        <v>146</v>
      </c>
      <c r="H62" s="246" t="s">
        <v>149</v>
      </c>
      <c r="I62" s="247"/>
      <c r="J62" s="248"/>
      <c r="K62" s="147" t="s">
        <v>146</v>
      </c>
      <c r="L62" s="34" t="s">
        <v>146</v>
      </c>
      <c r="M62" s="34" t="s">
        <v>146</v>
      </c>
      <c r="N62" s="226"/>
      <c r="O62" s="189"/>
      <c r="P62" s="189"/>
      <c r="Q62" s="189"/>
      <c r="R62" s="190"/>
      <c r="S62" s="34"/>
      <c r="T62" s="34"/>
      <c r="U62" s="246"/>
      <c r="V62" s="247"/>
      <c r="W62" s="248"/>
      <c r="X62" s="118"/>
      <c r="Y62" s="21"/>
      <c r="Z62" s="21"/>
    </row>
    <row r="63" spans="1:26" ht="18" customHeight="1" x14ac:dyDescent="0.15">
      <c r="A63" s="61"/>
      <c r="B63" s="226"/>
      <c r="C63" s="189"/>
      <c r="D63" s="189"/>
      <c r="E63" s="190"/>
      <c r="F63" s="34"/>
      <c r="G63" s="34"/>
      <c r="H63" s="246"/>
      <c r="I63" s="247"/>
      <c r="J63" s="248"/>
      <c r="K63" s="142"/>
      <c r="L63" s="34"/>
      <c r="M63" s="34"/>
      <c r="N63" s="226"/>
      <c r="O63" s="189"/>
      <c r="P63" s="189"/>
      <c r="Q63" s="189"/>
      <c r="R63" s="190"/>
      <c r="S63" s="34"/>
      <c r="T63" s="34"/>
      <c r="U63" s="246"/>
      <c r="V63" s="247"/>
      <c r="W63" s="248"/>
      <c r="X63" s="118"/>
      <c r="Y63" s="21"/>
      <c r="Z63" s="21"/>
    </row>
    <row r="64" spans="1:26" ht="18" customHeight="1" x14ac:dyDescent="0.15">
      <c r="A64" s="61"/>
      <c r="B64" s="226"/>
      <c r="C64" s="252"/>
      <c r="D64" s="252"/>
      <c r="E64" s="253"/>
      <c r="F64" s="110"/>
      <c r="G64" s="110"/>
      <c r="H64" s="246"/>
      <c r="I64" s="247"/>
      <c r="J64" s="248"/>
      <c r="K64" s="142"/>
      <c r="L64" s="34"/>
      <c r="M64" s="34"/>
      <c r="N64" s="254"/>
      <c r="O64" s="255"/>
      <c r="P64" s="255"/>
      <c r="Q64" s="255"/>
      <c r="R64" s="256"/>
      <c r="S64" s="34"/>
      <c r="T64" s="34"/>
      <c r="U64" s="246"/>
      <c r="V64" s="247"/>
      <c r="W64" s="248"/>
      <c r="X64" s="118"/>
      <c r="Y64" s="21"/>
      <c r="Z64" s="21"/>
    </row>
    <row r="65" spans="1:26" ht="18" customHeight="1" x14ac:dyDescent="0.15">
      <c r="A65" s="61"/>
      <c r="B65" s="257"/>
      <c r="C65" s="258"/>
      <c r="D65" s="258"/>
      <c r="E65" s="259"/>
      <c r="F65" s="34"/>
      <c r="G65" s="34"/>
      <c r="H65" s="246"/>
      <c r="I65" s="247"/>
      <c r="J65" s="248"/>
      <c r="K65" s="118"/>
      <c r="L65" s="21"/>
      <c r="M65" s="21"/>
      <c r="N65" s="226"/>
      <c r="O65" s="189"/>
      <c r="P65" s="189"/>
      <c r="Q65" s="189"/>
      <c r="R65" s="190"/>
      <c r="S65" s="34"/>
      <c r="T65" s="34"/>
      <c r="U65" s="246"/>
      <c r="V65" s="247"/>
      <c r="W65" s="248"/>
      <c r="X65" s="118"/>
      <c r="Y65" s="21"/>
      <c r="Z65" s="21"/>
    </row>
    <row r="66" spans="1:26" ht="18" customHeight="1" x14ac:dyDescent="0.15">
      <c r="A66" s="61"/>
      <c r="B66" s="226"/>
      <c r="C66" s="189"/>
      <c r="D66" s="189"/>
      <c r="E66" s="190"/>
      <c r="F66" s="34"/>
      <c r="G66" s="34"/>
      <c r="H66" s="246"/>
      <c r="I66" s="247"/>
      <c r="J66" s="248"/>
      <c r="K66" s="118"/>
      <c r="L66" s="21"/>
      <c r="M66" s="21"/>
      <c r="N66" s="226"/>
      <c r="O66" s="189"/>
      <c r="P66" s="189"/>
      <c r="Q66" s="189"/>
      <c r="R66" s="190"/>
      <c r="S66" s="34"/>
      <c r="T66" s="34"/>
      <c r="U66" s="246"/>
      <c r="V66" s="247"/>
      <c r="W66" s="248"/>
      <c r="X66" s="118"/>
      <c r="Y66" s="21"/>
      <c r="Z66" s="21"/>
    </row>
    <row r="67" spans="1:26" ht="18" customHeight="1" x14ac:dyDescent="0.15">
      <c r="A67" s="61"/>
      <c r="B67" s="230"/>
      <c r="C67" s="231"/>
      <c r="D67" s="231"/>
      <c r="E67" s="232"/>
      <c r="F67" s="35"/>
      <c r="G67" s="35"/>
      <c r="H67" s="249"/>
      <c r="I67" s="250"/>
      <c r="J67" s="251"/>
      <c r="K67" s="119"/>
      <c r="L67" s="22"/>
      <c r="M67" s="22"/>
      <c r="N67" s="230"/>
      <c r="O67" s="231"/>
      <c r="P67" s="231"/>
      <c r="Q67" s="231"/>
      <c r="R67" s="232"/>
      <c r="S67" s="35"/>
      <c r="T67" s="35"/>
      <c r="U67" s="249"/>
      <c r="V67" s="250"/>
      <c r="W67" s="251"/>
      <c r="X67" s="119"/>
      <c r="Y67" s="22"/>
      <c r="Z67" s="22"/>
    </row>
    <row r="68" spans="1:26" ht="7.5" customHeight="1" x14ac:dyDescent="0.15">
      <c r="B68" s="62"/>
      <c r="C68" s="62"/>
      <c r="D68" s="62"/>
      <c r="E68" s="62"/>
      <c r="F68" s="62"/>
      <c r="G68" s="62"/>
      <c r="H68" s="62"/>
      <c r="I68" s="62"/>
      <c r="J68" s="62"/>
      <c r="K68" s="62"/>
      <c r="L68" s="62"/>
      <c r="M68" s="62"/>
      <c r="N68" s="62"/>
      <c r="O68" s="62"/>
      <c r="P68" s="62"/>
      <c r="Q68" s="62"/>
      <c r="R68" s="62"/>
      <c r="S68" s="62"/>
      <c r="T68" s="62"/>
      <c r="U68" s="62"/>
      <c r="V68" s="62"/>
      <c r="W68" s="62"/>
      <c r="X68" s="62"/>
      <c r="Y68" s="62"/>
    </row>
    <row r="69" spans="1:26" ht="18" customHeight="1" x14ac:dyDescent="0.15">
      <c r="A69" s="58" t="s">
        <v>136</v>
      </c>
      <c r="B69" s="58"/>
      <c r="C69" s="58"/>
      <c r="D69" s="58"/>
      <c r="E69" s="58"/>
      <c r="F69" s="58"/>
      <c r="G69" s="58"/>
      <c r="H69" s="58"/>
      <c r="I69" s="58"/>
      <c r="J69" s="58"/>
      <c r="K69" s="58"/>
      <c r="L69" s="61"/>
      <c r="M69" s="61"/>
      <c r="N69" s="61"/>
      <c r="O69" s="61"/>
      <c r="P69" s="61"/>
      <c r="Q69" s="61"/>
      <c r="R69" s="61"/>
      <c r="S69" s="61"/>
      <c r="T69" s="61"/>
      <c r="U69" s="61"/>
      <c r="V69" s="61"/>
      <c r="W69" s="61"/>
      <c r="X69" s="61"/>
      <c r="Y69" s="61"/>
      <c r="Z69" s="61"/>
    </row>
    <row r="70" spans="1:26" ht="18" customHeight="1" x14ac:dyDescent="0.15">
      <c r="A70" s="58"/>
      <c r="B70" s="236" t="s">
        <v>100</v>
      </c>
      <c r="C70" s="237"/>
      <c r="D70" s="237"/>
      <c r="E70" s="237"/>
      <c r="F70" s="238"/>
      <c r="G70" s="236" t="s">
        <v>109</v>
      </c>
      <c r="H70" s="237"/>
      <c r="I70" s="237"/>
      <c r="J70" s="237"/>
      <c r="K70" s="237"/>
      <c r="L70" s="237"/>
      <c r="M70" s="238"/>
      <c r="N70" s="239" t="s">
        <v>100</v>
      </c>
      <c r="O70" s="240"/>
      <c r="P70" s="240"/>
      <c r="Q70" s="240"/>
      <c r="R70" s="240"/>
      <c r="S70" s="241"/>
      <c r="T70" s="236" t="s">
        <v>109</v>
      </c>
      <c r="U70" s="237"/>
      <c r="V70" s="237"/>
      <c r="W70" s="237"/>
      <c r="X70" s="237"/>
      <c r="Y70" s="237"/>
      <c r="Z70" s="238"/>
    </row>
    <row r="71" spans="1:26" ht="18" customHeight="1" x14ac:dyDescent="0.15">
      <c r="A71" s="61"/>
      <c r="B71" s="242"/>
      <c r="C71" s="186"/>
      <c r="D71" s="186"/>
      <c r="E71" s="186"/>
      <c r="F71" s="187"/>
      <c r="G71" s="402" t="s">
        <v>227</v>
      </c>
      <c r="H71" s="398"/>
      <c r="I71" s="398"/>
      <c r="J71" s="398"/>
      <c r="K71" s="398"/>
      <c r="L71" s="398"/>
      <c r="M71" s="399"/>
      <c r="N71" s="242"/>
      <c r="O71" s="186"/>
      <c r="P71" s="186"/>
      <c r="Q71" s="186"/>
      <c r="R71" s="186"/>
      <c r="S71" s="187"/>
      <c r="T71" s="243"/>
      <c r="U71" s="244"/>
      <c r="V71" s="244"/>
      <c r="W71" s="244"/>
      <c r="X71" s="244"/>
      <c r="Y71" s="244"/>
      <c r="Z71" s="245"/>
    </row>
    <row r="72" spans="1:26" ht="18" customHeight="1" x14ac:dyDescent="0.15">
      <c r="A72" s="61"/>
      <c r="B72" s="226"/>
      <c r="C72" s="189"/>
      <c r="D72" s="189"/>
      <c r="E72" s="189"/>
      <c r="F72" s="190"/>
      <c r="G72" s="403" t="s">
        <v>228</v>
      </c>
      <c r="H72" s="400"/>
      <c r="I72" s="400"/>
      <c r="J72" s="400"/>
      <c r="K72" s="400"/>
      <c r="L72" s="400"/>
      <c r="M72" s="401"/>
      <c r="N72" s="226"/>
      <c r="O72" s="189"/>
      <c r="P72" s="189"/>
      <c r="Q72" s="189"/>
      <c r="R72" s="189"/>
      <c r="S72" s="190"/>
      <c r="T72" s="227"/>
      <c r="U72" s="228"/>
      <c r="V72" s="228"/>
      <c r="W72" s="228"/>
      <c r="X72" s="228"/>
      <c r="Y72" s="228"/>
      <c r="Z72" s="229"/>
    </row>
    <row r="73" spans="1:26" ht="18" customHeight="1" x14ac:dyDescent="0.15">
      <c r="A73" s="61"/>
      <c r="B73" s="226"/>
      <c r="C73" s="189"/>
      <c r="D73" s="189"/>
      <c r="E73" s="189"/>
      <c r="F73" s="190"/>
      <c r="G73" s="403" t="s">
        <v>229</v>
      </c>
      <c r="H73" s="400"/>
      <c r="I73" s="400"/>
      <c r="J73" s="400"/>
      <c r="K73" s="400"/>
      <c r="L73" s="400"/>
      <c r="M73" s="401"/>
      <c r="N73" s="226"/>
      <c r="O73" s="189"/>
      <c r="P73" s="189"/>
      <c r="Q73" s="189"/>
      <c r="R73" s="189"/>
      <c r="S73" s="190"/>
      <c r="T73" s="227"/>
      <c r="U73" s="228"/>
      <c r="V73" s="228"/>
      <c r="W73" s="228"/>
      <c r="X73" s="228"/>
      <c r="Y73" s="228"/>
      <c r="Z73" s="229"/>
    </row>
    <row r="74" spans="1:26" ht="18" customHeight="1" x14ac:dyDescent="0.15">
      <c r="A74" s="61"/>
      <c r="B74" s="226"/>
      <c r="C74" s="189"/>
      <c r="D74" s="189"/>
      <c r="E74" s="189"/>
      <c r="F74" s="190"/>
      <c r="G74" s="227"/>
      <c r="H74" s="228"/>
      <c r="I74" s="228"/>
      <c r="J74" s="228"/>
      <c r="K74" s="228"/>
      <c r="L74" s="228"/>
      <c r="M74" s="229"/>
      <c r="N74" s="226"/>
      <c r="O74" s="189"/>
      <c r="P74" s="189"/>
      <c r="Q74" s="189"/>
      <c r="R74" s="189"/>
      <c r="S74" s="190"/>
      <c r="T74" s="227"/>
      <c r="U74" s="228"/>
      <c r="V74" s="228"/>
      <c r="W74" s="228"/>
      <c r="X74" s="228"/>
      <c r="Y74" s="228"/>
      <c r="Z74" s="229"/>
    </row>
    <row r="75" spans="1:26" ht="18" customHeight="1" x14ac:dyDescent="0.15">
      <c r="A75" s="61"/>
      <c r="B75" s="226"/>
      <c r="C75" s="189"/>
      <c r="D75" s="189"/>
      <c r="E75" s="189"/>
      <c r="F75" s="190"/>
      <c r="G75" s="227"/>
      <c r="H75" s="228"/>
      <c r="I75" s="228"/>
      <c r="J75" s="228"/>
      <c r="K75" s="228"/>
      <c r="L75" s="228"/>
      <c r="M75" s="229"/>
      <c r="N75" s="226"/>
      <c r="O75" s="189"/>
      <c r="P75" s="189"/>
      <c r="Q75" s="189"/>
      <c r="R75" s="189"/>
      <c r="S75" s="190"/>
      <c r="T75" s="227"/>
      <c r="U75" s="228"/>
      <c r="V75" s="228"/>
      <c r="W75" s="228"/>
      <c r="X75" s="228"/>
      <c r="Y75" s="228"/>
      <c r="Z75" s="229"/>
    </row>
    <row r="76" spans="1:26" ht="18" customHeight="1" x14ac:dyDescent="0.15">
      <c r="A76" s="61"/>
      <c r="B76" s="226"/>
      <c r="C76" s="189"/>
      <c r="D76" s="189"/>
      <c r="E76" s="189"/>
      <c r="F76" s="190"/>
      <c r="G76" s="227"/>
      <c r="H76" s="228"/>
      <c r="I76" s="228"/>
      <c r="J76" s="228"/>
      <c r="K76" s="228"/>
      <c r="L76" s="228"/>
      <c r="M76" s="229"/>
      <c r="N76" s="226"/>
      <c r="O76" s="189"/>
      <c r="P76" s="189"/>
      <c r="Q76" s="189"/>
      <c r="R76" s="189"/>
      <c r="S76" s="190"/>
      <c r="T76" s="227"/>
      <c r="U76" s="228"/>
      <c r="V76" s="228"/>
      <c r="W76" s="228"/>
      <c r="X76" s="228"/>
      <c r="Y76" s="228"/>
      <c r="Z76" s="229"/>
    </row>
    <row r="77" spans="1:26" ht="18" customHeight="1" x14ac:dyDescent="0.15">
      <c r="A77" s="61"/>
      <c r="B77" s="230"/>
      <c r="C77" s="231"/>
      <c r="D77" s="231"/>
      <c r="E77" s="231"/>
      <c r="F77" s="232"/>
      <c r="G77" s="233"/>
      <c r="H77" s="234"/>
      <c r="I77" s="234"/>
      <c r="J77" s="234"/>
      <c r="K77" s="234"/>
      <c r="L77" s="234"/>
      <c r="M77" s="235"/>
      <c r="N77" s="230"/>
      <c r="O77" s="231"/>
      <c r="P77" s="231"/>
      <c r="Q77" s="231"/>
      <c r="R77" s="231"/>
      <c r="S77" s="232"/>
      <c r="T77" s="233"/>
      <c r="U77" s="234"/>
      <c r="V77" s="234"/>
      <c r="W77" s="234"/>
      <c r="X77" s="234"/>
      <c r="Y77" s="234"/>
      <c r="Z77" s="235"/>
    </row>
    <row r="78" spans="1:26" ht="18" customHeight="1" x14ac:dyDescent="0.15">
      <c r="A78" s="61"/>
      <c r="B78" s="23"/>
      <c r="C78" s="23"/>
      <c r="D78" s="23"/>
      <c r="E78" s="23"/>
      <c r="F78" s="23"/>
      <c r="G78" s="120"/>
      <c r="H78" s="120"/>
      <c r="I78" s="120"/>
      <c r="J78" s="120"/>
      <c r="K78" s="120"/>
      <c r="L78" s="120"/>
      <c r="M78" s="120"/>
      <c r="N78" s="23"/>
      <c r="O78" s="23"/>
      <c r="P78" s="23"/>
      <c r="Q78" s="23"/>
      <c r="R78" s="23"/>
      <c r="S78" s="23"/>
      <c r="T78" s="120"/>
      <c r="U78" s="120"/>
      <c r="V78" s="120"/>
      <c r="W78" s="120"/>
      <c r="X78" s="120"/>
      <c r="Y78" s="120"/>
      <c r="Z78" s="120"/>
    </row>
    <row r="79" spans="1:26" ht="18.75" customHeight="1" x14ac:dyDescent="0.15">
      <c r="A79" s="4" t="s">
        <v>142</v>
      </c>
    </row>
    <row r="80" spans="1:26" ht="18.75" customHeight="1" x14ac:dyDescent="0.15">
      <c r="B80" s="24" t="s">
        <v>102</v>
      </c>
      <c r="C80" s="25"/>
      <c r="D80" s="218" t="s">
        <v>103</v>
      </c>
      <c r="E80" s="218"/>
      <c r="F80" s="218"/>
      <c r="G80" s="218"/>
      <c r="H80" s="218"/>
      <c r="I80" s="218"/>
      <c r="J80" s="218"/>
      <c r="K80" s="218"/>
      <c r="L80" s="218"/>
      <c r="M80" s="218"/>
      <c r="N80" s="218"/>
      <c r="O80" s="218"/>
      <c r="P80" s="218"/>
      <c r="Q80" s="218"/>
      <c r="R80" s="218"/>
      <c r="S80" s="218"/>
      <c r="T80" s="218"/>
      <c r="U80" s="218"/>
      <c r="V80" s="218"/>
      <c r="W80" s="218"/>
      <c r="X80" s="218"/>
      <c r="Y80" s="218"/>
      <c r="Z80" s="219"/>
    </row>
    <row r="81" spans="1:26" ht="103.5" customHeight="1" x14ac:dyDescent="0.15">
      <c r="B81" s="182" t="s">
        <v>110</v>
      </c>
      <c r="C81" s="29" t="s">
        <v>104</v>
      </c>
      <c r="D81" s="212" t="s">
        <v>214</v>
      </c>
      <c r="E81" s="213"/>
      <c r="F81" s="213"/>
      <c r="G81" s="213"/>
      <c r="H81" s="213"/>
      <c r="I81" s="213"/>
      <c r="J81" s="213"/>
      <c r="K81" s="213"/>
      <c r="L81" s="213"/>
      <c r="M81" s="213"/>
      <c r="N81" s="213"/>
      <c r="O81" s="213"/>
      <c r="P81" s="213"/>
      <c r="Q81" s="213"/>
      <c r="R81" s="213"/>
      <c r="S81" s="213"/>
      <c r="T81" s="213"/>
      <c r="U81" s="213"/>
      <c r="V81" s="213"/>
      <c r="W81" s="213"/>
      <c r="X81" s="213"/>
      <c r="Y81" s="213"/>
      <c r="Z81" s="214"/>
    </row>
    <row r="82" spans="1:26" ht="86.25" customHeight="1" x14ac:dyDescent="0.15">
      <c r="B82" s="183"/>
      <c r="C82" s="30" t="s">
        <v>137</v>
      </c>
      <c r="D82" s="220" t="s">
        <v>215</v>
      </c>
      <c r="E82" s="221"/>
      <c r="F82" s="221"/>
      <c r="G82" s="221"/>
      <c r="H82" s="221"/>
      <c r="I82" s="221"/>
      <c r="J82" s="221"/>
      <c r="K82" s="221"/>
      <c r="L82" s="221"/>
      <c r="M82" s="221"/>
      <c r="N82" s="221"/>
      <c r="O82" s="221"/>
      <c r="P82" s="221"/>
      <c r="Q82" s="221"/>
      <c r="R82" s="221"/>
      <c r="S82" s="221"/>
      <c r="T82" s="221"/>
      <c r="U82" s="221"/>
      <c r="V82" s="221"/>
      <c r="W82" s="221"/>
      <c r="X82" s="221"/>
      <c r="Y82" s="221"/>
      <c r="Z82" s="222"/>
    </row>
    <row r="83" spans="1:26" ht="123.75" customHeight="1" x14ac:dyDescent="0.15">
      <c r="B83" s="204" t="s">
        <v>111</v>
      </c>
      <c r="C83" s="26" t="s">
        <v>127</v>
      </c>
      <c r="D83" s="205" t="s">
        <v>223</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8.099999999999994" customHeight="1" x14ac:dyDescent="0.15">
      <c r="B84" s="184"/>
      <c r="C84" s="31" t="s">
        <v>128</v>
      </c>
      <c r="D84" s="223" t="s">
        <v>216</v>
      </c>
      <c r="E84" s="224"/>
      <c r="F84" s="224"/>
      <c r="G84" s="224"/>
      <c r="H84" s="224"/>
      <c r="I84" s="224"/>
      <c r="J84" s="224"/>
      <c r="K84" s="224"/>
      <c r="L84" s="224"/>
      <c r="M84" s="224"/>
      <c r="N84" s="224"/>
      <c r="O84" s="224"/>
      <c r="P84" s="224"/>
      <c r="Q84" s="224"/>
      <c r="R84" s="224"/>
      <c r="S84" s="224"/>
      <c r="T84" s="224"/>
      <c r="U84" s="224"/>
      <c r="V84" s="224"/>
      <c r="W84" s="224"/>
      <c r="X84" s="224"/>
      <c r="Y84" s="224"/>
      <c r="Z84" s="225"/>
    </row>
    <row r="85" spans="1:26" ht="126" customHeight="1" x14ac:dyDescent="0.15">
      <c r="B85" s="204" t="s">
        <v>112</v>
      </c>
      <c r="C85" s="26" t="s">
        <v>130</v>
      </c>
      <c r="D85" s="205" t="s">
        <v>217</v>
      </c>
      <c r="E85" s="206"/>
      <c r="F85" s="206"/>
      <c r="G85" s="206"/>
      <c r="H85" s="206"/>
      <c r="I85" s="206"/>
      <c r="J85" s="206"/>
      <c r="K85" s="206"/>
      <c r="L85" s="206"/>
      <c r="M85" s="206"/>
      <c r="N85" s="206"/>
      <c r="O85" s="206"/>
      <c r="P85" s="206"/>
      <c r="Q85" s="206"/>
      <c r="R85" s="206"/>
      <c r="S85" s="206"/>
      <c r="T85" s="206"/>
      <c r="U85" s="206"/>
      <c r="V85" s="206"/>
      <c r="W85" s="206"/>
      <c r="X85" s="206"/>
      <c r="Y85" s="206"/>
      <c r="Z85" s="207"/>
    </row>
    <row r="86" spans="1:26" ht="81" customHeight="1" x14ac:dyDescent="0.15">
      <c r="B86" s="184"/>
      <c r="C86" s="28" t="s">
        <v>131</v>
      </c>
      <c r="D86" s="208" t="s">
        <v>218</v>
      </c>
      <c r="E86" s="209"/>
      <c r="F86" s="209"/>
      <c r="G86" s="209"/>
      <c r="H86" s="209"/>
      <c r="I86" s="209"/>
      <c r="J86" s="209"/>
      <c r="K86" s="209"/>
      <c r="L86" s="209"/>
      <c r="M86" s="209"/>
      <c r="N86" s="209"/>
      <c r="O86" s="209"/>
      <c r="P86" s="209"/>
      <c r="Q86" s="209"/>
      <c r="R86" s="209"/>
      <c r="S86" s="209"/>
      <c r="T86" s="209"/>
      <c r="U86" s="209"/>
      <c r="V86" s="209"/>
      <c r="W86" s="209"/>
      <c r="X86" s="209"/>
      <c r="Y86" s="209"/>
      <c r="Z86" s="210"/>
    </row>
    <row r="87" spans="1:26" ht="122.25" customHeight="1" x14ac:dyDescent="0.15">
      <c r="B87" s="182" t="s">
        <v>138</v>
      </c>
      <c r="C87" s="29" t="s">
        <v>106</v>
      </c>
      <c r="D87" s="212" t="s">
        <v>219</v>
      </c>
      <c r="E87" s="213"/>
      <c r="F87" s="213"/>
      <c r="G87" s="213"/>
      <c r="H87" s="213"/>
      <c r="I87" s="213"/>
      <c r="J87" s="213"/>
      <c r="K87" s="213"/>
      <c r="L87" s="213"/>
      <c r="M87" s="213"/>
      <c r="N87" s="213"/>
      <c r="O87" s="213"/>
      <c r="P87" s="213"/>
      <c r="Q87" s="213"/>
      <c r="R87" s="213"/>
      <c r="S87" s="213"/>
      <c r="T87" s="213"/>
      <c r="U87" s="213"/>
      <c r="V87" s="213"/>
      <c r="W87" s="213"/>
      <c r="X87" s="213"/>
      <c r="Y87" s="213"/>
      <c r="Z87" s="214"/>
    </row>
    <row r="88" spans="1:26" ht="66" customHeight="1" x14ac:dyDescent="0.15">
      <c r="B88" s="211"/>
      <c r="C88" s="27" t="s">
        <v>108</v>
      </c>
      <c r="D88" s="215" t="s">
        <v>224</v>
      </c>
      <c r="E88" s="216"/>
      <c r="F88" s="216"/>
      <c r="G88" s="216"/>
      <c r="H88" s="216"/>
      <c r="I88" s="216"/>
      <c r="J88" s="216"/>
      <c r="K88" s="216"/>
      <c r="L88" s="216"/>
      <c r="M88" s="216"/>
      <c r="N88" s="216"/>
      <c r="O88" s="216"/>
      <c r="P88" s="216"/>
      <c r="Q88" s="216"/>
      <c r="R88" s="216"/>
      <c r="S88" s="216"/>
      <c r="T88" s="216"/>
      <c r="U88" s="216"/>
      <c r="V88" s="216"/>
      <c r="W88" s="216"/>
      <c r="X88" s="216"/>
      <c r="Y88" s="216"/>
      <c r="Z88" s="217"/>
    </row>
    <row r="89" spans="1:26" ht="143.25" customHeight="1" x14ac:dyDescent="0.15">
      <c r="B89" s="182" t="s">
        <v>139</v>
      </c>
      <c r="C89" s="26" t="s">
        <v>105</v>
      </c>
      <c r="D89" s="185" t="s">
        <v>220</v>
      </c>
      <c r="E89" s="186"/>
      <c r="F89" s="186"/>
      <c r="G89" s="186"/>
      <c r="H89" s="186"/>
      <c r="I89" s="186"/>
      <c r="J89" s="186"/>
      <c r="K89" s="186"/>
      <c r="L89" s="186"/>
      <c r="M89" s="186"/>
      <c r="N89" s="186"/>
      <c r="O89" s="186"/>
      <c r="P89" s="186"/>
      <c r="Q89" s="186"/>
      <c r="R89" s="186"/>
      <c r="S89" s="186"/>
      <c r="T89" s="186"/>
      <c r="U89" s="186"/>
      <c r="V89" s="186"/>
      <c r="W89" s="186"/>
      <c r="X89" s="186"/>
      <c r="Y89" s="186"/>
      <c r="Z89" s="187"/>
    </row>
    <row r="90" spans="1:26" ht="109.5" customHeight="1" x14ac:dyDescent="0.15">
      <c r="B90" s="183"/>
      <c r="C90" s="27" t="s">
        <v>134</v>
      </c>
      <c r="D90" s="188" t="s">
        <v>221</v>
      </c>
      <c r="E90" s="189"/>
      <c r="F90" s="189"/>
      <c r="G90" s="189"/>
      <c r="H90" s="189"/>
      <c r="I90" s="189"/>
      <c r="J90" s="189"/>
      <c r="K90" s="189"/>
      <c r="L90" s="189"/>
      <c r="M90" s="189"/>
      <c r="N90" s="189"/>
      <c r="O90" s="189"/>
      <c r="P90" s="189"/>
      <c r="Q90" s="189"/>
      <c r="R90" s="189"/>
      <c r="S90" s="189"/>
      <c r="T90" s="189"/>
      <c r="U90" s="189"/>
      <c r="V90" s="189"/>
      <c r="W90" s="189"/>
      <c r="X90" s="189"/>
      <c r="Y90" s="189"/>
      <c r="Z90" s="190"/>
    </row>
    <row r="91" spans="1:26" ht="81.75" customHeight="1" x14ac:dyDescent="0.15">
      <c r="B91" s="184"/>
      <c r="C91" s="28" t="s">
        <v>135</v>
      </c>
      <c r="D91" s="191" t="s">
        <v>222</v>
      </c>
      <c r="E91" s="192"/>
      <c r="F91" s="192"/>
      <c r="G91" s="192"/>
      <c r="H91" s="192"/>
      <c r="I91" s="192"/>
      <c r="J91" s="192"/>
      <c r="K91" s="192"/>
      <c r="L91" s="192"/>
      <c r="M91" s="192"/>
      <c r="N91" s="192"/>
      <c r="O91" s="192"/>
      <c r="P91" s="192"/>
      <c r="Q91" s="192"/>
      <c r="R91" s="192"/>
      <c r="S91" s="192"/>
      <c r="T91" s="192"/>
      <c r="U91" s="192"/>
      <c r="V91" s="192"/>
      <c r="W91" s="192"/>
      <c r="X91" s="192"/>
      <c r="Y91" s="192"/>
      <c r="Z91" s="193"/>
    </row>
    <row r="92" spans="1:26" ht="6" customHeight="1" x14ac:dyDescent="0.15"/>
    <row r="93" spans="1:26" ht="18.75" customHeight="1" x14ac:dyDescent="0.15">
      <c r="A93" s="4" t="s">
        <v>143</v>
      </c>
    </row>
    <row r="94" spans="1:26" ht="18.75" customHeight="1" x14ac:dyDescent="0.15">
      <c r="B94" s="194" t="s">
        <v>189</v>
      </c>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6"/>
    </row>
    <row r="95" spans="1:26" ht="18.75" customHeight="1" x14ac:dyDescent="0.15">
      <c r="B95" s="197"/>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9"/>
    </row>
    <row r="96" spans="1:26" ht="44.1" customHeight="1" x14ac:dyDescent="0.15">
      <c r="B96" s="200"/>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201"/>
    </row>
    <row r="97" spans="1:26" ht="6" customHeight="1" x14ac:dyDescent="0.15"/>
    <row r="98" spans="1:26" ht="15" customHeight="1" x14ac:dyDescent="0.15">
      <c r="A98" s="4" t="s">
        <v>144</v>
      </c>
    </row>
    <row r="99" spans="1:26" ht="34.5" customHeight="1" x14ac:dyDescent="0.15">
      <c r="B99" s="202" t="s">
        <v>169</v>
      </c>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203"/>
    </row>
  </sheetData>
  <mergeCells count="220">
    <mergeCell ref="B94:Z96"/>
    <mergeCell ref="B99:Z99"/>
    <mergeCell ref="B67:E67"/>
    <mergeCell ref="H67:J67"/>
    <mergeCell ref="N67:R67"/>
    <mergeCell ref="U67:W67"/>
    <mergeCell ref="B77:F77"/>
    <mergeCell ref="G77:M77"/>
    <mergeCell ref="N77:S77"/>
    <mergeCell ref="T77:Z77"/>
    <mergeCell ref="B81:B82"/>
    <mergeCell ref="T76:Z76"/>
    <mergeCell ref="B71:F71"/>
    <mergeCell ref="G71:M71"/>
    <mergeCell ref="N71:S71"/>
    <mergeCell ref="T71:Z71"/>
    <mergeCell ref="B74:F74"/>
    <mergeCell ref="G74:M74"/>
    <mergeCell ref="N74:S74"/>
    <mergeCell ref="T74:Z74"/>
    <mergeCell ref="B72:F72"/>
    <mergeCell ref="D90:Z90"/>
    <mergeCell ref="D86:Z86"/>
    <mergeCell ref="D87:Z87"/>
    <mergeCell ref="N49:S49"/>
    <mergeCell ref="N50:S50"/>
    <mergeCell ref="N51:S51"/>
    <mergeCell ref="N52:S52"/>
    <mergeCell ref="N53:S53"/>
    <mergeCell ref="N54:S54"/>
    <mergeCell ref="N55:S55"/>
    <mergeCell ref="I51:K51"/>
    <mergeCell ref="V51:X51"/>
    <mergeCell ref="I52:K52"/>
    <mergeCell ref="V52:X52"/>
    <mergeCell ref="V55:X55"/>
    <mergeCell ref="I53:K53"/>
    <mergeCell ref="V53:X53"/>
    <mergeCell ref="I54:K54"/>
    <mergeCell ref="V54:X54"/>
    <mergeCell ref="I55:K55"/>
    <mergeCell ref="I49:K49"/>
    <mergeCell ref="V44:X44"/>
    <mergeCell ref="I50:K50"/>
    <mergeCell ref="V50:X50"/>
    <mergeCell ref="B49:F49"/>
    <mergeCell ref="B50:F50"/>
    <mergeCell ref="B37:F37"/>
    <mergeCell ref="B38:F38"/>
    <mergeCell ref="B39:F39"/>
    <mergeCell ref="B40:F40"/>
    <mergeCell ref="V49:X49"/>
    <mergeCell ref="B45:F45"/>
    <mergeCell ref="I45:K45"/>
    <mergeCell ref="N45:S45"/>
    <mergeCell ref="V45:X45"/>
    <mergeCell ref="A47:Z48"/>
    <mergeCell ref="B41:F41"/>
    <mergeCell ref="B42:F42"/>
    <mergeCell ref="B43:F43"/>
    <mergeCell ref="B44:F44"/>
    <mergeCell ref="N37:S37"/>
    <mergeCell ref="N38:S38"/>
    <mergeCell ref="N39:S39"/>
    <mergeCell ref="N40:S40"/>
    <mergeCell ref="N41:S41"/>
    <mergeCell ref="N42:S42"/>
    <mergeCell ref="N44:S44"/>
    <mergeCell ref="I43:K43"/>
    <mergeCell ref="I44:K44"/>
    <mergeCell ref="B29:F29"/>
    <mergeCell ref="B30:F30"/>
    <mergeCell ref="B31:F31"/>
    <mergeCell ref="B32:F32"/>
    <mergeCell ref="B33:F33"/>
    <mergeCell ref="I42:K42"/>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5:E65"/>
    <mergeCell ref="B66:E66"/>
    <mergeCell ref="D81:Z81"/>
    <mergeCell ref="D82:Z82"/>
    <mergeCell ref="U65:W65"/>
    <mergeCell ref="U66:W66"/>
    <mergeCell ref="N70:S70"/>
    <mergeCell ref="T70:Z70"/>
    <mergeCell ref="B70:F70"/>
    <mergeCell ref="G70:M70"/>
    <mergeCell ref="N65:R65"/>
    <mergeCell ref="N66:R66"/>
    <mergeCell ref="H65:J65"/>
    <mergeCell ref="H66:J66"/>
    <mergeCell ref="D80:Z80"/>
    <mergeCell ref="V42:X42"/>
    <mergeCell ref="V37:X37"/>
    <mergeCell ref="I38:K38"/>
    <mergeCell ref="V38:X38"/>
    <mergeCell ref="I39:K39"/>
    <mergeCell ref="V39:X39"/>
    <mergeCell ref="I37:K37"/>
    <mergeCell ref="D85:Z85"/>
    <mergeCell ref="D83:Z83"/>
    <mergeCell ref="D84:Z84"/>
    <mergeCell ref="B75:F75"/>
    <mergeCell ref="G75:M75"/>
    <mergeCell ref="N75:S75"/>
    <mergeCell ref="T75:Z75"/>
    <mergeCell ref="B76:F76"/>
    <mergeCell ref="G76:M76"/>
    <mergeCell ref="N76:S76"/>
    <mergeCell ref="B83:B84"/>
    <mergeCell ref="B85:B86"/>
    <mergeCell ref="B60:E60"/>
    <mergeCell ref="B61:E61"/>
    <mergeCell ref="B62:E62"/>
    <mergeCell ref="B63:E63"/>
    <mergeCell ref="B64:E64"/>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B51:F51"/>
    <mergeCell ref="B52:F52"/>
    <mergeCell ref="B53:F53"/>
    <mergeCell ref="B54:F54"/>
    <mergeCell ref="B55:F55"/>
    <mergeCell ref="U61:W61"/>
    <mergeCell ref="U64:W64"/>
    <mergeCell ref="H62:J62"/>
    <mergeCell ref="H63:J63"/>
    <mergeCell ref="U62:W62"/>
    <mergeCell ref="U63:W63"/>
    <mergeCell ref="A58:Z59"/>
    <mergeCell ref="N60:R60"/>
    <mergeCell ref="N61:R61"/>
    <mergeCell ref="N62:R62"/>
    <mergeCell ref="N63:R63"/>
    <mergeCell ref="N64:R64"/>
    <mergeCell ref="H64:J64"/>
    <mergeCell ref="H61:J61"/>
    <mergeCell ref="B56:F56"/>
    <mergeCell ref="I56:K56"/>
    <mergeCell ref="N56:S56"/>
    <mergeCell ref="V56:X56"/>
    <mergeCell ref="V26:X26"/>
    <mergeCell ref="V27:X27"/>
    <mergeCell ref="V28:X28"/>
    <mergeCell ref="I26:K26"/>
    <mergeCell ref="I27:K27"/>
    <mergeCell ref="I28:K28"/>
    <mergeCell ref="B26:F26"/>
    <mergeCell ref="B27:F27"/>
    <mergeCell ref="B28:F28"/>
    <mergeCell ref="N26:S26"/>
    <mergeCell ref="N27:S27"/>
    <mergeCell ref="N28:S28"/>
    <mergeCell ref="V29:X29"/>
    <mergeCell ref="V30:X30"/>
    <mergeCell ref="I40:K40"/>
    <mergeCell ref="I41:K41"/>
    <mergeCell ref="V40:X40"/>
    <mergeCell ref="A35:Z36"/>
    <mergeCell ref="V41:X41"/>
    <mergeCell ref="V31:X31"/>
    <mergeCell ref="I31:K31"/>
    <mergeCell ref="I32:K32"/>
    <mergeCell ref="I33:K33"/>
    <mergeCell ref="V32:X32"/>
    <mergeCell ref="V33:X33"/>
    <mergeCell ref="N29:S29"/>
    <mergeCell ref="N30:S30"/>
    <mergeCell ref="N31:S31"/>
    <mergeCell ref="N32:S32"/>
    <mergeCell ref="N33:S33"/>
    <mergeCell ref="I29:K29"/>
    <mergeCell ref="I30:K30"/>
    <mergeCell ref="D89:Z89"/>
    <mergeCell ref="B73:F73"/>
    <mergeCell ref="G72:M72"/>
    <mergeCell ref="G73:M73"/>
    <mergeCell ref="N72:S72"/>
    <mergeCell ref="N73:S73"/>
    <mergeCell ref="T72:Z72"/>
    <mergeCell ref="T73:Z73"/>
    <mergeCell ref="D88:Z88"/>
    <mergeCell ref="B87:B88"/>
    <mergeCell ref="B89:B91"/>
    <mergeCell ref="D91:Z91"/>
  </mergeCells>
  <phoneticPr fontId="3"/>
  <dataValidations count="4">
    <dataValidation type="list" allowBlank="1" showInputMessage="1" showErrorMessage="1" sqref="Y16:Z22 H16:H22 Y27:Z33 H50:H56 Y38:Z45 Y50:Z56 Y61:Z67 G61:G67 U16:U22 U27:U33 U38:U45 U50:U56 L38:M45 T61:T67 L61:M67 L27:M33 L16:M22 H27:H33 L50:M56 H38:H45 K61:K65" xr:uid="{00000000-0002-0000-0100-000000000000}">
      <formula1>"○"</formula1>
    </dataValidation>
    <dataValidation type="list" allowBlank="1" showInputMessage="1" showErrorMessage="1" sqref="Z23 Z34 D34:K34 D23:K23 V16:V22 I16:I22 V27:V33 I27:I33 V38:V45 I38:I45 V50:V56 I50:I56 U61:U67 H61:H67"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5:M78 U71:Z72 U75:Z78 T71:T78 G71:G78 H71:M72"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9" r:id="rId1" xr:uid="{00000000-0004-0000-0100-000000000000}"/>
  </hyperlinks>
  <printOptions horizontalCentered="1"/>
  <pageMargins left="0.78740157480314965" right="0.78740157480314965" top="0.59055118110236227" bottom="0.19685039370078741" header="0.31496062992125984" footer="0.31496062992125984"/>
  <pageSetup paperSize="9" scale="61" orientation="portrait" r:id="rId2"/>
  <rowBreaks count="1" manualBreakCount="1">
    <brk id="77"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E12" sqref="E12"/>
    </sheetView>
  </sheetViews>
  <sheetFormatPr defaultColWidth="9" defaultRowHeight="18.75" customHeight="1" x14ac:dyDescent="0.15"/>
  <cols>
    <col min="1" max="1" width="2.625" style="58" customWidth="1"/>
    <col min="2" max="2" width="30" style="58" customWidth="1"/>
    <col min="3" max="17" width="6.125" style="58" customWidth="1"/>
    <col min="18" max="18" width="6.625" style="58" customWidth="1"/>
    <col min="19" max="16384" width="9" style="58"/>
  </cols>
  <sheetData>
    <row r="1" spans="1:20" ht="18" customHeight="1" x14ac:dyDescent="0.15">
      <c r="F1" s="170" t="s">
        <v>63</v>
      </c>
      <c r="G1" s="170"/>
      <c r="H1" s="170"/>
      <c r="I1" s="170"/>
      <c r="J1" s="170"/>
      <c r="K1" s="170"/>
      <c r="L1" s="170"/>
      <c r="M1" s="170"/>
      <c r="N1" s="170"/>
      <c r="O1" s="170"/>
      <c r="P1" s="170"/>
      <c r="Q1" s="170"/>
      <c r="R1" s="170"/>
    </row>
    <row r="2" spans="1:20" ht="18" customHeight="1" x14ac:dyDescent="0.15">
      <c r="A2" s="296" t="s">
        <v>89</v>
      </c>
      <c r="B2" s="296"/>
      <c r="C2" s="296"/>
      <c r="D2" s="296"/>
      <c r="E2" s="296"/>
      <c r="F2" s="296"/>
      <c r="G2" s="296"/>
      <c r="H2" s="296"/>
      <c r="I2" s="296"/>
      <c r="J2" s="296"/>
      <c r="K2" s="296"/>
      <c r="L2" s="296"/>
      <c r="M2" s="296"/>
      <c r="N2" s="296"/>
      <c r="O2" s="296"/>
      <c r="P2" s="296"/>
      <c r="Q2" s="296"/>
      <c r="R2" s="296"/>
    </row>
    <row r="3" spans="1:20" ht="7.5" customHeight="1" x14ac:dyDescent="0.15">
      <c r="A3" s="61"/>
      <c r="B3" s="61"/>
      <c r="C3" s="61"/>
      <c r="D3" s="61"/>
      <c r="E3" s="61"/>
      <c r="F3" s="61"/>
      <c r="G3" s="61"/>
      <c r="H3" s="61"/>
      <c r="I3" s="61"/>
      <c r="J3" s="61"/>
      <c r="K3" s="61"/>
      <c r="L3" s="61"/>
      <c r="M3" s="61"/>
      <c r="N3" s="61"/>
      <c r="O3" s="61"/>
      <c r="P3" s="61"/>
      <c r="Q3" s="61"/>
      <c r="R3" s="61"/>
    </row>
    <row r="4" spans="1:20" ht="18" customHeight="1" x14ac:dyDescent="0.15">
      <c r="A4" s="58" t="s">
        <v>147</v>
      </c>
      <c r="C4" s="157" t="str">
        <f>'[1]様式１　大学等概要'!E12</f>
        <v>令和３</v>
      </c>
      <c r="D4" s="159"/>
      <c r="E4" s="61" t="s">
        <v>96</v>
      </c>
      <c r="F4" s="61"/>
      <c r="G4" s="61"/>
      <c r="H4" s="61"/>
      <c r="I4" s="61"/>
      <c r="J4" s="7"/>
      <c r="K4" s="61"/>
      <c r="L4" s="61"/>
      <c r="M4" s="23"/>
      <c r="N4" s="23"/>
      <c r="O4" s="23"/>
      <c r="P4" s="23"/>
      <c r="Q4" s="23"/>
      <c r="R4" s="23"/>
    </row>
    <row r="5" spans="1:20" ht="6" customHeight="1" x14ac:dyDescent="0.15">
      <c r="A5" s="61"/>
      <c r="B5" s="61"/>
      <c r="C5" s="61"/>
      <c r="D5" s="61"/>
      <c r="E5" s="61"/>
      <c r="F5" s="61"/>
      <c r="G5" s="61"/>
      <c r="H5" s="61"/>
      <c r="I5" s="61"/>
      <c r="J5" s="61"/>
      <c r="K5" s="61"/>
      <c r="L5" s="61"/>
      <c r="M5" s="61"/>
      <c r="N5" s="61"/>
      <c r="O5" s="61"/>
      <c r="P5" s="61"/>
      <c r="Q5" s="61"/>
      <c r="R5" s="61"/>
    </row>
    <row r="6" spans="1:20" ht="18" customHeight="1" x14ac:dyDescent="0.15">
      <c r="A6" s="58" t="s">
        <v>145</v>
      </c>
      <c r="B6" s="61"/>
      <c r="C6" s="61"/>
      <c r="D6" s="61"/>
      <c r="E6" s="61"/>
      <c r="F6" s="61"/>
      <c r="G6" s="61"/>
      <c r="H6" s="61"/>
      <c r="I6" s="61"/>
      <c r="J6" s="61"/>
      <c r="K6" s="61"/>
      <c r="L6" s="61"/>
      <c r="M6" s="61"/>
      <c r="N6" s="61"/>
      <c r="O6" s="61"/>
      <c r="P6" s="61"/>
      <c r="Q6" s="61"/>
      <c r="R6" s="61"/>
    </row>
    <row r="7" spans="1:20" ht="6" customHeight="1" x14ac:dyDescent="0.15">
      <c r="B7" s="61"/>
      <c r="C7" s="61"/>
      <c r="D7" s="61"/>
      <c r="E7" s="61"/>
      <c r="F7" s="61"/>
      <c r="G7" s="61"/>
      <c r="H7" s="61"/>
      <c r="I7" s="61"/>
      <c r="J7" s="61"/>
      <c r="K7" s="61"/>
      <c r="L7" s="61"/>
      <c r="M7" s="61"/>
      <c r="N7" s="61"/>
      <c r="O7" s="61"/>
      <c r="P7" s="61"/>
      <c r="Q7" s="61"/>
      <c r="R7" s="61"/>
    </row>
    <row r="8" spans="1:20" ht="18" customHeight="1" x14ac:dyDescent="0.15">
      <c r="B8" s="306" t="s">
        <v>81</v>
      </c>
      <c r="C8" s="308" t="s">
        <v>86</v>
      </c>
      <c r="D8" s="310" t="s">
        <v>68</v>
      </c>
      <c r="E8" s="312" t="s">
        <v>90</v>
      </c>
      <c r="F8" s="312"/>
      <c r="G8" s="312" t="s">
        <v>91</v>
      </c>
      <c r="H8" s="312"/>
      <c r="I8" s="312" t="s">
        <v>92</v>
      </c>
      <c r="J8" s="312"/>
      <c r="K8" s="261" t="s">
        <v>93</v>
      </c>
      <c r="L8" s="263"/>
      <c r="M8" s="261" t="s">
        <v>94</v>
      </c>
      <c r="N8" s="263"/>
      <c r="O8" s="261" t="s">
        <v>95</v>
      </c>
      <c r="P8" s="263"/>
      <c r="Q8" s="313" t="s">
        <v>62</v>
      </c>
      <c r="R8" s="315" t="s">
        <v>56</v>
      </c>
      <c r="T8" s="37"/>
    </row>
    <row r="9" spans="1:20" ht="18" customHeight="1" x14ac:dyDescent="0.15">
      <c r="B9" s="307"/>
      <c r="C9" s="309"/>
      <c r="D9" s="311"/>
      <c r="E9" s="38" t="s">
        <v>45</v>
      </c>
      <c r="F9" s="39" t="s">
        <v>44</v>
      </c>
      <c r="G9" s="40" t="s">
        <v>45</v>
      </c>
      <c r="H9" s="41" t="s">
        <v>44</v>
      </c>
      <c r="I9" s="38" t="s">
        <v>45</v>
      </c>
      <c r="J9" s="39" t="s">
        <v>44</v>
      </c>
      <c r="K9" s="40" t="s">
        <v>45</v>
      </c>
      <c r="L9" s="41" t="s">
        <v>44</v>
      </c>
      <c r="M9" s="38" t="s">
        <v>45</v>
      </c>
      <c r="N9" s="39" t="s">
        <v>44</v>
      </c>
      <c r="O9" s="40" t="s">
        <v>45</v>
      </c>
      <c r="P9" s="41" t="s">
        <v>44</v>
      </c>
      <c r="Q9" s="314"/>
      <c r="R9" s="316"/>
      <c r="T9" s="37"/>
    </row>
    <row r="10" spans="1:20" ht="18" customHeight="1" x14ac:dyDescent="0.15">
      <c r="A10" s="23"/>
      <c r="B10" s="89" t="s">
        <v>174</v>
      </c>
      <c r="C10" s="127">
        <v>280</v>
      </c>
      <c r="D10" s="128">
        <v>1190</v>
      </c>
      <c r="E10" s="128">
        <v>298</v>
      </c>
      <c r="F10" s="129">
        <v>251</v>
      </c>
      <c r="G10" s="45"/>
      <c r="H10" s="46"/>
      <c r="I10" s="43"/>
      <c r="J10" s="44"/>
      <c r="K10" s="45"/>
      <c r="L10" s="46"/>
      <c r="M10" s="43"/>
      <c r="N10" s="44"/>
      <c r="O10" s="45"/>
      <c r="P10" s="46"/>
      <c r="Q10" s="52">
        <f t="shared" ref="Q10:Q15" si="0">E10+G10+I10+K10+M10+O10</f>
        <v>298</v>
      </c>
      <c r="R10" s="47">
        <f t="shared" ref="R10:R15" si="1">Q10/D10</f>
        <v>0.25042016806722689</v>
      </c>
    </row>
    <row r="11" spans="1:20" ht="18" customHeight="1" x14ac:dyDescent="0.15">
      <c r="A11" s="23"/>
      <c r="B11" s="90" t="s">
        <v>175</v>
      </c>
      <c r="C11" s="130">
        <v>300</v>
      </c>
      <c r="D11" s="131">
        <v>1200</v>
      </c>
      <c r="E11" s="131">
        <v>335</v>
      </c>
      <c r="F11" s="132">
        <v>263</v>
      </c>
      <c r="G11" s="50"/>
      <c r="H11" s="51"/>
      <c r="I11" s="48"/>
      <c r="J11" s="49"/>
      <c r="K11" s="50"/>
      <c r="L11" s="51"/>
      <c r="M11" s="48"/>
      <c r="N11" s="49"/>
      <c r="O11" s="50"/>
      <c r="P11" s="51"/>
      <c r="Q11" s="52">
        <f t="shared" si="0"/>
        <v>335</v>
      </c>
      <c r="R11" s="53">
        <f t="shared" si="1"/>
        <v>0.27916666666666667</v>
      </c>
    </row>
    <row r="12" spans="1:20" ht="18" customHeight="1" x14ac:dyDescent="0.15">
      <c r="A12" s="23"/>
      <c r="B12" s="90" t="s">
        <v>176</v>
      </c>
      <c r="C12" s="130">
        <v>180</v>
      </c>
      <c r="D12" s="131">
        <v>720</v>
      </c>
      <c r="E12" s="131">
        <v>190</v>
      </c>
      <c r="F12" s="132">
        <v>134</v>
      </c>
      <c r="G12" s="50"/>
      <c r="H12" s="51"/>
      <c r="I12" s="48"/>
      <c r="J12" s="49"/>
      <c r="K12" s="50"/>
      <c r="L12" s="51"/>
      <c r="M12" s="48"/>
      <c r="N12" s="49"/>
      <c r="O12" s="50"/>
      <c r="P12" s="51"/>
      <c r="Q12" s="52">
        <f t="shared" si="0"/>
        <v>190</v>
      </c>
      <c r="R12" s="53">
        <f t="shared" si="1"/>
        <v>0.2638888888888889</v>
      </c>
    </row>
    <row r="13" spans="1:20" ht="18" customHeight="1" x14ac:dyDescent="0.15">
      <c r="A13" s="23"/>
      <c r="B13" s="90" t="s">
        <v>177</v>
      </c>
      <c r="C13" s="130">
        <v>200</v>
      </c>
      <c r="D13" s="131">
        <v>800</v>
      </c>
      <c r="E13" s="131">
        <v>115</v>
      </c>
      <c r="F13" s="132">
        <v>93</v>
      </c>
      <c r="G13" s="50"/>
      <c r="H13" s="51"/>
      <c r="I13" s="48"/>
      <c r="J13" s="49"/>
      <c r="K13" s="50"/>
      <c r="L13" s="51"/>
      <c r="M13" s="48"/>
      <c r="N13" s="49"/>
      <c r="O13" s="50"/>
      <c r="P13" s="51"/>
      <c r="Q13" s="52">
        <f t="shared" si="0"/>
        <v>115</v>
      </c>
      <c r="R13" s="53">
        <f t="shared" si="1"/>
        <v>0.14374999999999999</v>
      </c>
    </row>
    <row r="14" spans="1:20" ht="18" customHeight="1" x14ac:dyDescent="0.15">
      <c r="A14" s="23"/>
      <c r="B14" s="90" t="s">
        <v>178</v>
      </c>
      <c r="C14" s="130">
        <v>120</v>
      </c>
      <c r="D14" s="131">
        <v>720</v>
      </c>
      <c r="E14" s="131">
        <v>132</v>
      </c>
      <c r="F14" s="132">
        <v>0</v>
      </c>
      <c r="G14" s="50"/>
      <c r="H14" s="51"/>
      <c r="I14" s="48"/>
      <c r="J14" s="49"/>
      <c r="K14" s="50"/>
      <c r="L14" s="51"/>
      <c r="M14" s="48"/>
      <c r="N14" s="49"/>
      <c r="O14" s="50"/>
      <c r="P14" s="51"/>
      <c r="Q14" s="52">
        <f t="shared" si="0"/>
        <v>132</v>
      </c>
      <c r="R14" s="53">
        <f t="shared" si="1"/>
        <v>0.18333333333333332</v>
      </c>
    </row>
    <row r="15" spans="1:20" ht="18" customHeight="1" x14ac:dyDescent="0.15">
      <c r="A15" s="23"/>
      <c r="B15" s="90" t="s">
        <v>179</v>
      </c>
      <c r="C15" s="130">
        <v>70</v>
      </c>
      <c r="D15" s="131">
        <v>280</v>
      </c>
      <c r="E15" s="131">
        <v>71</v>
      </c>
      <c r="F15" s="132">
        <v>68</v>
      </c>
      <c r="G15" s="50"/>
      <c r="H15" s="51"/>
      <c r="I15" s="48"/>
      <c r="J15" s="49"/>
      <c r="K15" s="50"/>
      <c r="L15" s="51"/>
      <c r="M15" s="48"/>
      <c r="N15" s="49"/>
      <c r="O15" s="50"/>
      <c r="P15" s="51"/>
      <c r="Q15" s="52">
        <f t="shared" si="0"/>
        <v>71</v>
      </c>
      <c r="R15" s="53">
        <f t="shared" si="1"/>
        <v>0.25357142857142856</v>
      </c>
    </row>
    <row r="16" spans="1:20" ht="18" customHeight="1" x14ac:dyDescent="0.15">
      <c r="A16" s="23"/>
      <c r="B16" s="90"/>
      <c r="C16" s="123"/>
      <c r="D16" s="124"/>
      <c r="E16" s="125"/>
      <c r="F16" s="126"/>
      <c r="G16" s="50"/>
      <c r="H16" s="51"/>
      <c r="I16" s="48"/>
      <c r="J16" s="49"/>
      <c r="K16" s="50"/>
      <c r="L16" s="51"/>
      <c r="M16" s="48"/>
      <c r="N16" s="49"/>
      <c r="O16" s="50"/>
      <c r="P16" s="51"/>
      <c r="Q16" s="52"/>
      <c r="R16" s="53"/>
    </row>
    <row r="17" spans="1:18" ht="18" customHeight="1" x14ac:dyDescent="0.15">
      <c r="A17" s="23"/>
      <c r="B17" s="90"/>
      <c r="C17" s="123"/>
      <c r="D17" s="124"/>
      <c r="E17" s="125"/>
      <c r="F17" s="126"/>
      <c r="G17" s="50"/>
      <c r="H17" s="51"/>
      <c r="I17" s="48"/>
      <c r="J17" s="49"/>
      <c r="K17" s="50"/>
      <c r="L17" s="51"/>
      <c r="M17" s="48"/>
      <c r="N17" s="49"/>
      <c r="O17" s="50"/>
      <c r="P17" s="51"/>
      <c r="Q17" s="52"/>
      <c r="R17" s="53"/>
    </row>
    <row r="18" spans="1:18" ht="18" customHeight="1" x14ac:dyDescent="0.15">
      <c r="A18" s="23"/>
      <c r="B18" s="70"/>
      <c r="C18" s="86"/>
      <c r="D18" s="88"/>
      <c r="E18" s="48"/>
      <c r="F18" s="49"/>
      <c r="G18" s="50"/>
      <c r="H18" s="51"/>
      <c r="I18" s="48"/>
      <c r="J18" s="49"/>
      <c r="K18" s="50"/>
      <c r="L18" s="51"/>
      <c r="M18" s="48"/>
      <c r="N18" s="49"/>
      <c r="O18" s="50"/>
      <c r="P18" s="51"/>
      <c r="Q18" s="52"/>
      <c r="R18" s="53"/>
    </row>
    <row r="19" spans="1:18" ht="18" customHeight="1" x14ac:dyDescent="0.15">
      <c r="A19" s="23"/>
      <c r="B19" s="70"/>
      <c r="C19" s="86"/>
      <c r="D19" s="88"/>
      <c r="E19" s="48"/>
      <c r="F19" s="49"/>
      <c r="G19" s="50"/>
      <c r="H19" s="51"/>
      <c r="I19" s="48"/>
      <c r="J19" s="49"/>
      <c r="K19" s="50"/>
      <c r="L19" s="51"/>
      <c r="M19" s="48"/>
      <c r="N19" s="49"/>
      <c r="O19" s="50"/>
      <c r="P19" s="51"/>
      <c r="Q19" s="52"/>
      <c r="R19" s="53"/>
    </row>
    <row r="20" spans="1:18" ht="18" customHeight="1" x14ac:dyDescent="0.15">
      <c r="A20" s="23"/>
      <c r="B20" s="70"/>
      <c r="C20" s="86"/>
      <c r="D20" s="88"/>
      <c r="E20" s="48"/>
      <c r="F20" s="49"/>
      <c r="G20" s="50"/>
      <c r="H20" s="51"/>
      <c r="I20" s="48"/>
      <c r="J20" s="49"/>
      <c r="K20" s="50"/>
      <c r="L20" s="51"/>
      <c r="M20" s="48"/>
      <c r="N20" s="49"/>
      <c r="O20" s="50"/>
      <c r="P20" s="51"/>
      <c r="Q20" s="52"/>
      <c r="R20" s="53"/>
    </row>
    <row r="21" spans="1:18" ht="18" customHeight="1" x14ac:dyDescent="0.15">
      <c r="A21" s="23"/>
      <c r="B21" s="70"/>
      <c r="C21" s="86"/>
      <c r="D21" s="88"/>
      <c r="E21" s="48"/>
      <c r="F21" s="49"/>
      <c r="G21" s="50"/>
      <c r="H21" s="51"/>
      <c r="I21" s="48"/>
      <c r="J21" s="49"/>
      <c r="K21" s="50"/>
      <c r="L21" s="51"/>
      <c r="M21" s="48"/>
      <c r="N21" s="49"/>
      <c r="O21" s="50"/>
      <c r="P21" s="51"/>
      <c r="Q21" s="52"/>
      <c r="R21" s="53"/>
    </row>
    <row r="22" spans="1:18" ht="18" customHeight="1" x14ac:dyDescent="0.15">
      <c r="A22" s="23"/>
      <c r="B22" s="70"/>
      <c r="C22" s="86"/>
      <c r="D22" s="88"/>
      <c r="E22" s="48"/>
      <c r="F22" s="49"/>
      <c r="G22" s="50"/>
      <c r="H22" s="51"/>
      <c r="I22" s="48"/>
      <c r="J22" s="49"/>
      <c r="K22" s="50"/>
      <c r="L22" s="51"/>
      <c r="M22" s="48"/>
      <c r="N22" s="49"/>
      <c r="O22" s="50"/>
      <c r="P22" s="51"/>
      <c r="Q22" s="52"/>
      <c r="R22" s="53"/>
    </row>
    <row r="23" spans="1:18" ht="18" customHeight="1" x14ac:dyDescent="0.15">
      <c r="A23" s="23"/>
      <c r="B23" s="70"/>
      <c r="C23" s="86"/>
      <c r="D23" s="88"/>
      <c r="E23" s="48"/>
      <c r="F23" s="49"/>
      <c r="G23" s="50"/>
      <c r="H23" s="51"/>
      <c r="I23" s="48"/>
      <c r="J23" s="49"/>
      <c r="K23" s="50"/>
      <c r="L23" s="51"/>
      <c r="M23" s="48"/>
      <c r="N23" s="49"/>
      <c r="O23" s="50"/>
      <c r="P23" s="51"/>
      <c r="Q23" s="52"/>
      <c r="R23" s="53"/>
    </row>
    <row r="24" spans="1:18" ht="18" customHeight="1" x14ac:dyDescent="0.15">
      <c r="A24" s="23"/>
      <c r="B24" s="70"/>
      <c r="C24" s="86"/>
      <c r="D24" s="88"/>
      <c r="E24" s="48"/>
      <c r="F24" s="49"/>
      <c r="G24" s="50"/>
      <c r="H24" s="51"/>
      <c r="I24" s="48"/>
      <c r="J24" s="49"/>
      <c r="K24" s="50"/>
      <c r="L24" s="51"/>
      <c r="M24" s="48"/>
      <c r="N24" s="49"/>
      <c r="O24" s="50"/>
      <c r="P24" s="51"/>
      <c r="Q24" s="52"/>
      <c r="R24" s="53"/>
    </row>
    <row r="25" spans="1:18" ht="18" customHeight="1" x14ac:dyDescent="0.15">
      <c r="A25" s="23"/>
      <c r="B25" s="70"/>
      <c r="C25" s="86"/>
      <c r="D25" s="88"/>
      <c r="E25" s="48"/>
      <c r="F25" s="49"/>
      <c r="G25" s="50"/>
      <c r="H25" s="51"/>
      <c r="I25" s="48"/>
      <c r="J25" s="49"/>
      <c r="K25" s="50"/>
      <c r="L25" s="51"/>
      <c r="M25" s="48"/>
      <c r="N25" s="49"/>
      <c r="O25" s="50"/>
      <c r="P25" s="51"/>
      <c r="Q25" s="52"/>
      <c r="R25" s="53"/>
    </row>
    <row r="26" spans="1:18" ht="18" customHeight="1" x14ac:dyDescent="0.15">
      <c r="A26" s="23"/>
      <c r="B26" s="70"/>
      <c r="C26" s="86"/>
      <c r="D26" s="88"/>
      <c r="E26" s="48"/>
      <c r="F26" s="49"/>
      <c r="G26" s="50"/>
      <c r="H26" s="51"/>
      <c r="I26" s="48"/>
      <c r="J26" s="49"/>
      <c r="K26" s="50"/>
      <c r="L26" s="51"/>
      <c r="M26" s="48"/>
      <c r="N26" s="49"/>
      <c r="O26" s="50"/>
      <c r="P26" s="51"/>
      <c r="Q26" s="52"/>
      <c r="R26" s="53"/>
    </row>
    <row r="27" spans="1:18" ht="18" customHeight="1" x14ac:dyDescent="0.15">
      <c r="A27" s="23"/>
      <c r="B27" s="70"/>
      <c r="C27" s="87"/>
      <c r="D27" s="88"/>
      <c r="E27" s="48"/>
      <c r="F27" s="49"/>
      <c r="G27" s="50"/>
      <c r="H27" s="51"/>
      <c r="I27" s="48"/>
      <c r="J27" s="49"/>
      <c r="K27" s="50"/>
      <c r="L27" s="51"/>
      <c r="M27" s="48"/>
      <c r="N27" s="49"/>
      <c r="O27" s="50"/>
      <c r="P27" s="51"/>
      <c r="Q27" s="52"/>
      <c r="R27" s="53"/>
    </row>
    <row r="28" spans="1:18" ht="18" customHeight="1" x14ac:dyDescent="0.15">
      <c r="A28" s="23"/>
      <c r="B28" s="70"/>
      <c r="C28" s="87"/>
      <c r="D28" s="88"/>
      <c r="E28" s="48"/>
      <c r="F28" s="49"/>
      <c r="G28" s="50"/>
      <c r="H28" s="51"/>
      <c r="I28" s="48"/>
      <c r="J28" s="49"/>
      <c r="K28" s="50"/>
      <c r="L28" s="51"/>
      <c r="M28" s="48"/>
      <c r="N28" s="49"/>
      <c r="O28" s="50"/>
      <c r="P28" s="51"/>
      <c r="Q28" s="52"/>
      <c r="R28" s="53"/>
    </row>
    <row r="29" spans="1:18" ht="18" customHeight="1" thickBot="1" x14ac:dyDescent="0.2">
      <c r="A29" s="23"/>
      <c r="B29" s="54"/>
      <c r="C29" s="18"/>
      <c r="D29" s="42"/>
      <c r="E29" s="43"/>
      <c r="F29" s="44"/>
      <c r="G29" s="45"/>
      <c r="H29" s="46"/>
      <c r="I29" s="43"/>
      <c r="J29" s="44"/>
      <c r="K29" s="45"/>
      <c r="L29" s="46"/>
      <c r="M29" s="43"/>
      <c r="N29" s="44"/>
      <c r="O29" s="45"/>
      <c r="P29" s="46"/>
      <c r="Q29" s="55"/>
      <c r="R29" s="47"/>
    </row>
    <row r="30" spans="1:18" ht="18" customHeight="1" thickTop="1" x14ac:dyDescent="0.15">
      <c r="B30" s="56" t="s">
        <v>57</v>
      </c>
      <c r="C30" s="133">
        <f t="shared" ref="C30:Q30" si="2">SUM(C10:C29)</f>
        <v>1150</v>
      </c>
      <c r="D30" s="134">
        <f t="shared" si="2"/>
        <v>4910</v>
      </c>
      <c r="E30" s="134">
        <f t="shared" si="2"/>
        <v>1141</v>
      </c>
      <c r="F30" s="135">
        <f t="shared" si="2"/>
        <v>809</v>
      </c>
      <c r="G30" s="136">
        <f t="shared" si="2"/>
        <v>0</v>
      </c>
      <c r="H30" s="137">
        <f t="shared" si="2"/>
        <v>0</v>
      </c>
      <c r="I30" s="134">
        <f t="shared" si="2"/>
        <v>0</v>
      </c>
      <c r="J30" s="135">
        <f t="shared" si="2"/>
        <v>0</v>
      </c>
      <c r="K30" s="136">
        <f t="shared" si="2"/>
        <v>0</v>
      </c>
      <c r="L30" s="137">
        <f t="shared" si="2"/>
        <v>0</v>
      </c>
      <c r="M30" s="134">
        <f t="shared" si="2"/>
        <v>0</v>
      </c>
      <c r="N30" s="135">
        <f t="shared" si="2"/>
        <v>0</v>
      </c>
      <c r="O30" s="136">
        <f t="shared" si="2"/>
        <v>0</v>
      </c>
      <c r="P30" s="137">
        <f t="shared" si="2"/>
        <v>0</v>
      </c>
      <c r="Q30" s="138">
        <f t="shared" si="2"/>
        <v>1141</v>
      </c>
      <c r="R30" s="57">
        <f>Q30/D30</f>
        <v>0.23238289205702647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3"/>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topLeftCell="A13" zoomScaleNormal="100" zoomScaleSheetLayoutView="100" workbookViewId="0">
      <selection activeCell="D135" sqref="D135"/>
    </sheetView>
  </sheetViews>
  <sheetFormatPr defaultColWidth="11.375" defaultRowHeight="18.75" customHeight="1" x14ac:dyDescent="0.15"/>
  <cols>
    <col min="1" max="1" width="2.625" style="71" customWidth="1"/>
    <col min="2" max="2" width="16.625" style="58" customWidth="1"/>
    <col min="3" max="3" width="8.875" style="58" customWidth="1"/>
    <col min="4" max="4" width="2.125" style="58" customWidth="1"/>
    <col min="5" max="5" width="16.625" style="58" customWidth="1"/>
    <col min="6" max="6" width="8.875" style="58" customWidth="1"/>
    <col min="7" max="7" width="2.125" style="58" customWidth="1"/>
    <col min="8" max="8" width="16.625" style="58" customWidth="1"/>
    <col min="9" max="9" width="8.875" style="58" customWidth="1"/>
    <col min="10" max="10" width="2.125" style="58" customWidth="1"/>
    <col min="11" max="16384" width="11.375" style="58"/>
  </cols>
  <sheetData>
    <row r="1" spans="1:11" ht="18.75" customHeight="1" x14ac:dyDescent="0.15">
      <c r="A1" s="71" t="s">
        <v>114</v>
      </c>
      <c r="J1" s="69" t="s">
        <v>115</v>
      </c>
    </row>
    <row r="2" spans="1:11" ht="18.75" customHeight="1" x14ac:dyDescent="0.15">
      <c r="A2" s="296" t="s">
        <v>64</v>
      </c>
      <c r="B2" s="296"/>
      <c r="C2" s="296"/>
      <c r="D2" s="296"/>
      <c r="E2" s="296"/>
      <c r="F2" s="296"/>
      <c r="G2" s="296"/>
      <c r="H2" s="296"/>
      <c r="I2" s="296"/>
      <c r="J2" s="296"/>
    </row>
    <row r="3" spans="1:11" ht="7.5" customHeight="1" x14ac:dyDescent="0.15">
      <c r="B3" s="61"/>
      <c r="C3" s="61"/>
      <c r="D3" s="61"/>
      <c r="E3" s="61"/>
      <c r="F3" s="61"/>
      <c r="G3" s="61"/>
      <c r="H3" s="61"/>
      <c r="I3" s="61"/>
      <c r="J3" s="61"/>
    </row>
    <row r="4" spans="1:11" ht="18.75" customHeight="1" x14ac:dyDescent="0.15">
      <c r="A4" s="58" t="s">
        <v>6</v>
      </c>
      <c r="B4" s="58" t="s">
        <v>74</v>
      </c>
      <c r="I4" s="61"/>
      <c r="J4" s="61"/>
    </row>
    <row r="5" spans="1:11" ht="18.75" customHeight="1" x14ac:dyDescent="0.15">
      <c r="A5" s="58"/>
      <c r="B5" s="162" t="s">
        <v>167</v>
      </c>
      <c r="C5" s="163"/>
      <c r="D5" s="163"/>
      <c r="E5" s="163"/>
      <c r="F5" s="163"/>
      <c r="G5" s="163"/>
      <c r="H5" s="163"/>
      <c r="I5" s="163"/>
      <c r="J5" s="203"/>
    </row>
    <row r="6" spans="1:11" ht="7.5" customHeight="1" x14ac:dyDescent="0.15">
      <c r="B6" s="61"/>
      <c r="C6" s="61"/>
      <c r="D6" s="61"/>
      <c r="E6" s="61"/>
      <c r="F6" s="61"/>
      <c r="G6" s="61"/>
      <c r="H6" s="61"/>
      <c r="I6" s="61"/>
      <c r="J6" s="61"/>
    </row>
    <row r="7" spans="1:11" ht="18.75" customHeight="1" x14ac:dyDescent="0.15">
      <c r="A7" s="58" t="s">
        <v>10</v>
      </c>
      <c r="B7" s="58" t="s">
        <v>40</v>
      </c>
      <c r="K7" s="59"/>
    </row>
    <row r="8" spans="1:11" ht="18.75" customHeight="1" x14ac:dyDescent="0.15">
      <c r="A8" s="62"/>
      <c r="B8" s="326" t="s">
        <v>194</v>
      </c>
      <c r="C8" s="327"/>
      <c r="D8" s="327"/>
      <c r="E8" s="327"/>
      <c r="F8" s="327"/>
      <c r="G8" s="327"/>
      <c r="H8" s="327"/>
      <c r="I8" s="328"/>
      <c r="J8" s="329"/>
    </row>
    <row r="9" spans="1:11" ht="18.75" customHeight="1" x14ac:dyDescent="0.15">
      <c r="A9" s="62"/>
      <c r="B9" s="330"/>
      <c r="C9" s="331"/>
      <c r="D9" s="331"/>
      <c r="E9" s="331"/>
      <c r="F9" s="331"/>
      <c r="G9" s="331"/>
      <c r="H9" s="331"/>
      <c r="I9" s="331"/>
      <c r="J9" s="332"/>
    </row>
    <row r="10" spans="1:11" ht="18.75" customHeight="1" x14ac:dyDescent="0.15">
      <c r="A10" s="62"/>
      <c r="B10" s="330"/>
      <c r="C10" s="331"/>
      <c r="D10" s="331"/>
      <c r="E10" s="331"/>
      <c r="F10" s="331"/>
      <c r="G10" s="331"/>
      <c r="H10" s="331"/>
      <c r="I10" s="331"/>
      <c r="J10" s="332"/>
    </row>
    <row r="11" spans="1:11" ht="18.75" customHeight="1" x14ac:dyDescent="0.15">
      <c r="A11" s="62"/>
      <c r="B11" s="330"/>
      <c r="C11" s="331"/>
      <c r="D11" s="331"/>
      <c r="E11" s="331"/>
      <c r="F11" s="331"/>
      <c r="G11" s="331"/>
      <c r="H11" s="331"/>
      <c r="I11" s="331"/>
      <c r="J11" s="332"/>
    </row>
    <row r="12" spans="1:11" ht="33.75" customHeight="1" x14ac:dyDescent="0.15">
      <c r="A12" s="62"/>
      <c r="B12" s="333"/>
      <c r="C12" s="334"/>
      <c r="D12" s="334"/>
      <c r="E12" s="334"/>
      <c r="F12" s="334"/>
      <c r="G12" s="334"/>
      <c r="H12" s="334"/>
      <c r="I12" s="334"/>
      <c r="J12" s="335"/>
    </row>
    <row r="13" spans="1:11" ht="7.5" customHeight="1" x14ac:dyDescent="0.15">
      <c r="A13" s="62"/>
      <c r="B13" s="62"/>
      <c r="C13" s="62"/>
      <c r="D13" s="62"/>
      <c r="E13" s="62"/>
      <c r="F13" s="62"/>
      <c r="G13" s="62"/>
      <c r="H13" s="62"/>
      <c r="I13" s="62"/>
      <c r="J13" s="62"/>
    </row>
    <row r="14" spans="1:11" ht="18.75" customHeight="1" x14ac:dyDescent="0.15">
      <c r="A14" s="83" t="s">
        <v>11</v>
      </c>
      <c r="B14" s="83" t="s">
        <v>16</v>
      </c>
      <c r="C14" s="83"/>
      <c r="D14" s="83"/>
      <c r="E14" s="83"/>
      <c r="F14" s="83"/>
      <c r="G14" s="83"/>
      <c r="H14" s="83"/>
      <c r="I14" s="83"/>
      <c r="J14" s="83"/>
    </row>
    <row r="15" spans="1:11" ht="18.75" customHeight="1" x14ac:dyDescent="0.15">
      <c r="A15" s="62"/>
      <c r="B15" s="326" t="s">
        <v>191</v>
      </c>
      <c r="C15" s="327"/>
      <c r="D15" s="327"/>
      <c r="E15" s="327"/>
      <c r="F15" s="327"/>
      <c r="G15" s="327"/>
      <c r="H15" s="327"/>
      <c r="I15" s="328"/>
      <c r="J15" s="329"/>
    </row>
    <row r="16" spans="1:11" ht="18.75" customHeight="1" x14ac:dyDescent="0.15">
      <c r="A16" s="62"/>
      <c r="B16" s="330"/>
      <c r="C16" s="331"/>
      <c r="D16" s="331"/>
      <c r="E16" s="331"/>
      <c r="F16" s="331"/>
      <c r="G16" s="331"/>
      <c r="H16" s="331"/>
      <c r="I16" s="331"/>
      <c r="J16" s="332"/>
    </row>
    <row r="17" spans="1:11" ht="18.75" customHeight="1" x14ac:dyDescent="0.15">
      <c r="A17" s="62"/>
      <c r="B17" s="330"/>
      <c r="C17" s="331"/>
      <c r="D17" s="331"/>
      <c r="E17" s="331"/>
      <c r="F17" s="331"/>
      <c r="G17" s="331"/>
      <c r="H17" s="331"/>
      <c r="I17" s="331"/>
      <c r="J17" s="332"/>
    </row>
    <row r="18" spans="1:11" ht="18.75" customHeight="1" x14ac:dyDescent="0.15">
      <c r="A18" s="62"/>
      <c r="B18" s="330"/>
      <c r="C18" s="331"/>
      <c r="D18" s="331"/>
      <c r="E18" s="331"/>
      <c r="F18" s="331"/>
      <c r="G18" s="331"/>
      <c r="H18" s="331"/>
      <c r="I18" s="331"/>
      <c r="J18" s="332"/>
    </row>
    <row r="19" spans="1:11" ht="18.75" customHeight="1" x14ac:dyDescent="0.15">
      <c r="A19" s="62"/>
      <c r="B19" s="330"/>
      <c r="C19" s="331"/>
      <c r="D19" s="331"/>
      <c r="E19" s="331"/>
      <c r="F19" s="331"/>
      <c r="G19" s="331"/>
      <c r="H19" s="331"/>
      <c r="I19" s="331"/>
      <c r="J19" s="332"/>
    </row>
    <row r="20" spans="1:11" ht="18.75" customHeight="1" x14ac:dyDescent="0.15">
      <c r="A20" s="62"/>
      <c r="B20" s="330"/>
      <c r="C20" s="331"/>
      <c r="D20" s="331"/>
      <c r="E20" s="331"/>
      <c r="F20" s="331"/>
      <c r="G20" s="331"/>
      <c r="H20" s="331"/>
      <c r="I20" s="331"/>
      <c r="J20" s="332"/>
    </row>
    <row r="21" spans="1:11" ht="18.75" customHeight="1" x14ac:dyDescent="0.15">
      <c r="A21" s="62"/>
      <c r="B21" s="330"/>
      <c r="C21" s="331"/>
      <c r="D21" s="331"/>
      <c r="E21" s="331"/>
      <c r="F21" s="331"/>
      <c r="G21" s="331"/>
      <c r="H21" s="331"/>
      <c r="I21" s="331"/>
      <c r="J21" s="332"/>
    </row>
    <row r="22" spans="1:11" ht="18.75" customHeight="1" x14ac:dyDescent="0.15">
      <c r="A22" s="62"/>
      <c r="B22" s="330"/>
      <c r="C22" s="331"/>
      <c r="D22" s="331"/>
      <c r="E22" s="331"/>
      <c r="F22" s="331"/>
      <c r="G22" s="331"/>
      <c r="H22" s="331"/>
      <c r="I22" s="331"/>
      <c r="J22" s="332"/>
    </row>
    <row r="23" spans="1:11" ht="18.75" customHeight="1" x14ac:dyDescent="0.15">
      <c r="A23" s="62"/>
      <c r="B23" s="330"/>
      <c r="C23" s="331"/>
      <c r="D23" s="331"/>
      <c r="E23" s="331"/>
      <c r="F23" s="331"/>
      <c r="G23" s="331"/>
      <c r="H23" s="331"/>
      <c r="I23" s="331"/>
      <c r="J23" s="332"/>
    </row>
    <row r="24" spans="1:11" ht="18.75" customHeight="1" x14ac:dyDescent="0.15">
      <c r="A24" s="62"/>
      <c r="B24" s="330"/>
      <c r="C24" s="331"/>
      <c r="D24" s="331"/>
      <c r="E24" s="331"/>
      <c r="F24" s="331"/>
      <c r="G24" s="331"/>
      <c r="H24" s="331"/>
      <c r="I24" s="331"/>
      <c r="J24" s="332"/>
    </row>
    <row r="25" spans="1:11" ht="42.75" customHeight="1" x14ac:dyDescent="0.15">
      <c r="A25" s="62"/>
      <c r="B25" s="333"/>
      <c r="C25" s="334"/>
      <c r="D25" s="334"/>
      <c r="E25" s="334"/>
      <c r="F25" s="334"/>
      <c r="G25" s="334"/>
      <c r="H25" s="334"/>
      <c r="I25" s="334"/>
      <c r="J25" s="335"/>
    </row>
    <row r="26" spans="1:11" ht="7.5" customHeight="1" x14ac:dyDescent="0.15">
      <c r="A26" s="75"/>
      <c r="B26" s="75"/>
      <c r="C26" s="75"/>
      <c r="D26" s="75"/>
      <c r="E26" s="75"/>
      <c r="F26" s="75"/>
      <c r="G26" s="75"/>
      <c r="H26" s="75"/>
      <c r="I26" s="75"/>
      <c r="J26" s="75"/>
    </row>
    <row r="27" spans="1:11" ht="18.75" customHeight="1" x14ac:dyDescent="0.15">
      <c r="A27" s="58" t="s">
        <v>14</v>
      </c>
      <c r="B27" s="58" t="s">
        <v>26</v>
      </c>
    </row>
    <row r="28" spans="1:11" s="61" customFormat="1" ht="18.75" customHeight="1" x14ac:dyDescent="0.15">
      <c r="B28" s="63" t="s">
        <v>116</v>
      </c>
      <c r="C28" s="72">
        <f>'様式３　履修者等数の実績'!R30</f>
        <v>0.23238289205702647</v>
      </c>
      <c r="D28" s="64"/>
      <c r="E28" s="64" t="s">
        <v>117</v>
      </c>
      <c r="F28" s="72">
        <v>0.45041322314049598</v>
      </c>
      <c r="G28" s="64"/>
      <c r="H28" s="64" t="s">
        <v>118</v>
      </c>
      <c r="I28" s="73">
        <v>0.68801652892562004</v>
      </c>
      <c r="J28" s="65"/>
      <c r="K28" s="58"/>
    </row>
    <row r="29" spans="1:11" s="61" customFormat="1" ht="18.75" customHeight="1" x14ac:dyDescent="0.15">
      <c r="B29" s="66" t="s">
        <v>119</v>
      </c>
      <c r="C29" s="74">
        <v>0.92561983471074405</v>
      </c>
      <c r="D29" s="67"/>
      <c r="E29" s="67" t="s">
        <v>120</v>
      </c>
      <c r="F29" s="74">
        <v>0.95041322314049603</v>
      </c>
      <c r="G29" s="67"/>
      <c r="H29" s="121" t="s">
        <v>121</v>
      </c>
      <c r="I29" s="122">
        <f>'様式３　履修者等数の実績'!D30</f>
        <v>4910</v>
      </c>
      <c r="J29" s="68"/>
      <c r="K29" s="59"/>
    </row>
    <row r="30" spans="1:11" ht="18.75" customHeight="1" x14ac:dyDescent="0.15">
      <c r="A30" s="58"/>
      <c r="B30" s="227" t="s">
        <v>122</v>
      </c>
      <c r="C30" s="228"/>
      <c r="D30" s="228"/>
      <c r="E30" s="228"/>
      <c r="F30" s="228"/>
      <c r="G30" s="228"/>
      <c r="H30" s="228"/>
      <c r="I30" s="228"/>
      <c r="J30" s="229"/>
      <c r="K30" s="59"/>
    </row>
    <row r="31" spans="1:11" ht="18.75" customHeight="1" x14ac:dyDescent="0.15">
      <c r="A31" s="58"/>
      <c r="B31" s="317" t="s">
        <v>195</v>
      </c>
      <c r="C31" s="318"/>
      <c r="D31" s="318"/>
      <c r="E31" s="318"/>
      <c r="F31" s="318"/>
      <c r="G31" s="318"/>
      <c r="H31" s="318"/>
      <c r="I31" s="318"/>
      <c r="J31" s="319"/>
      <c r="K31" s="59"/>
    </row>
    <row r="32" spans="1:11" ht="18.75" customHeight="1" x14ac:dyDescent="0.15">
      <c r="A32" s="58"/>
      <c r="B32" s="320"/>
      <c r="C32" s="321"/>
      <c r="D32" s="321"/>
      <c r="E32" s="321"/>
      <c r="F32" s="321"/>
      <c r="G32" s="321"/>
      <c r="H32" s="321"/>
      <c r="I32" s="321"/>
      <c r="J32" s="322"/>
      <c r="K32" s="59"/>
    </row>
    <row r="33" spans="1:11" ht="15.75" customHeight="1" x14ac:dyDescent="0.15">
      <c r="A33" s="58"/>
      <c r="B33" s="320"/>
      <c r="C33" s="321"/>
      <c r="D33" s="321"/>
      <c r="E33" s="321"/>
      <c r="F33" s="321"/>
      <c r="G33" s="321"/>
      <c r="H33" s="321"/>
      <c r="I33" s="321"/>
      <c r="J33" s="322"/>
      <c r="K33" s="59"/>
    </row>
    <row r="34" spans="1:11" ht="18.75" hidden="1" customHeight="1" x14ac:dyDescent="0.15">
      <c r="A34" s="58"/>
      <c r="B34" s="320"/>
      <c r="C34" s="321"/>
      <c r="D34" s="321"/>
      <c r="E34" s="321"/>
      <c r="F34" s="321"/>
      <c r="G34" s="321"/>
      <c r="H34" s="321"/>
      <c r="I34" s="321"/>
      <c r="J34" s="322"/>
      <c r="K34" s="59"/>
    </row>
    <row r="35" spans="1:11" ht="18.75" hidden="1" customHeight="1" x14ac:dyDescent="0.15">
      <c r="A35" s="58"/>
      <c r="B35" s="320"/>
      <c r="C35" s="321"/>
      <c r="D35" s="321"/>
      <c r="E35" s="321"/>
      <c r="F35" s="321"/>
      <c r="G35" s="321"/>
      <c r="H35" s="321"/>
      <c r="I35" s="321"/>
      <c r="J35" s="322"/>
      <c r="K35" s="59"/>
    </row>
    <row r="36" spans="1:11" ht="18.75" hidden="1" customHeight="1" x14ac:dyDescent="0.15">
      <c r="A36" s="58"/>
      <c r="B36" s="320"/>
      <c r="C36" s="321"/>
      <c r="D36" s="321"/>
      <c r="E36" s="321"/>
      <c r="F36" s="321"/>
      <c r="G36" s="321"/>
      <c r="H36" s="321"/>
      <c r="I36" s="321"/>
      <c r="J36" s="322"/>
      <c r="K36" s="59"/>
    </row>
    <row r="37" spans="1:11" ht="18.75" hidden="1" customHeight="1" x14ac:dyDescent="0.15">
      <c r="A37" s="58"/>
      <c r="B37" s="320"/>
      <c r="C37" s="321"/>
      <c r="D37" s="321"/>
      <c r="E37" s="321"/>
      <c r="F37" s="321"/>
      <c r="G37" s="321"/>
      <c r="H37" s="321"/>
      <c r="I37" s="321"/>
      <c r="J37" s="322"/>
      <c r="K37" s="59"/>
    </row>
    <row r="38" spans="1:11" ht="18.75" hidden="1" customHeight="1" x14ac:dyDescent="0.15">
      <c r="A38" s="58"/>
      <c r="B38" s="320"/>
      <c r="C38" s="321"/>
      <c r="D38" s="321"/>
      <c r="E38" s="321"/>
      <c r="F38" s="321"/>
      <c r="G38" s="321"/>
      <c r="H38" s="321"/>
      <c r="I38" s="321"/>
      <c r="J38" s="322"/>
      <c r="K38" s="59"/>
    </row>
    <row r="39" spans="1:11" ht="18.75" hidden="1" customHeight="1" x14ac:dyDescent="0.15">
      <c r="A39" s="58"/>
      <c r="B39" s="320"/>
      <c r="C39" s="321"/>
      <c r="D39" s="321"/>
      <c r="E39" s="321"/>
      <c r="F39" s="321"/>
      <c r="G39" s="321"/>
      <c r="H39" s="321"/>
      <c r="I39" s="321"/>
      <c r="J39" s="322"/>
      <c r="K39" s="59"/>
    </row>
    <row r="40" spans="1:11" ht="18.75" hidden="1" customHeight="1" x14ac:dyDescent="0.15">
      <c r="A40" s="58"/>
      <c r="B40" s="320"/>
      <c r="C40" s="321"/>
      <c r="D40" s="321"/>
      <c r="E40" s="321"/>
      <c r="F40" s="321"/>
      <c r="G40" s="321"/>
      <c r="H40" s="321"/>
      <c r="I40" s="321"/>
      <c r="J40" s="322"/>
      <c r="K40" s="59"/>
    </row>
    <row r="41" spans="1:11" ht="18.75" hidden="1" customHeight="1" x14ac:dyDescent="0.15">
      <c r="A41" s="58"/>
      <c r="B41" s="320"/>
      <c r="C41" s="321"/>
      <c r="D41" s="321"/>
      <c r="E41" s="321"/>
      <c r="F41" s="321"/>
      <c r="G41" s="321"/>
      <c r="H41" s="321"/>
      <c r="I41" s="321"/>
      <c r="J41" s="322"/>
      <c r="K41" s="59"/>
    </row>
    <row r="42" spans="1:11" ht="18.75" hidden="1" customHeight="1" x14ac:dyDescent="0.15">
      <c r="A42" s="58"/>
      <c r="B42" s="320"/>
      <c r="C42" s="321"/>
      <c r="D42" s="321"/>
      <c r="E42" s="321"/>
      <c r="F42" s="321"/>
      <c r="G42" s="321"/>
      <c r="H42" s="321"/>
      <c r="I42" s="321"/>
      <c r="J42" s="322"/>
      <c r="K42" s="59"/>
    </row>
    <row r="43" spans="1:11" ht="28.5" customHeight="1" x14ac:dyDescent="0.15">
      <c r="A43" s="75"/>
      <c r="B43" s="320"/>
      <c r="C43" s="321"/>
      <c r="D43" s="321"/>
      <c r="E43" s="321"/>
      <c r="F43" s="321"/>
      <c r="G43" s="321"/>
      <c r="H43" s="321"/>
      <c r="I43" s="321"/>
      <c r="J43" s="322"/>
      <c r="K43" s="59"/>
    </row>
    <row r="44" spans="1:11" ht="8.25" customHeight="1" x14ac:dyDescent="0.15">
      <c r="A44" s="75"/>
      <c r="B44" s="323"/>
      <c r="C44" s="324"/>
      <c r="D44" s="324"/>
      <c r="E44" s="324"/>
      <c r="F44" s="324"/>
      <c r="G44" s="324"/>
      <c r="H44" s="324"/>
      <c r="I44" s="324"/>
      <c r="J44" s="325"/>
    </row>
    <row r="45" spans="1:11" ht="18.75" customHeight="1" x14ac:dyDescent="0.15">
      <c r="A45" s="83" t="s">
        <v>12</v>
      </c>
      <c r="B45" s="58" t="s">
        <v>65</v>
      </c>
      <c r="I45" s="83"/>
      <c r="J45" s="83"/>
    </row>
    <row r="46" spans="1:11" ht="18.75" customHeight="1" x14ac:dyDescent="0.15">
      <c r="A46" s="75"/>
      <c r="B46" s="336" t="s">
        <v>183</v>
      </c>
      <c r="C46" s="337"/>
      <c r="D46" s="337"/>
      <c r="E46" s="337"/>
      <c r="F46" s="337"/>
      <c r="G46" s="337"/>
      <c r="H46" s="337"/>
      <c r="I46" s="337"/>
      <c r="J46" s="338"/>
    </row>
    <row r="47" spans="1:11" ht="18.75" customHeight="1" x14ac:dyDescent="0.15">
      <c r="A47" s="75"/>
      <c r="B47" s="339"/>
      <c r="C47" s="340"/>
      <c r="D47" s="340"/>
      <c r="E47" s="340"/>
      <c r="F47" s="340"/>
      <c r="G47" s="340"/>
      <c r="H47" s="340"/>
      <c r="I47" s="340"/>
      <c r="J47" s="341"/>
    </row>
    <row r="48" spans="1:11" ht="18.75" customHeight="1" x14ac:dyDescent="0.15">
      <c r="A48" s="75"/>
      <c r="B48" s="339"/>
      <c r="C48" s="340"/>
      <c r="D48" s="340"/>
      <c r="E48" s="340"/>
      <c r="F48" s="340"/>
      <c r="G48" s="340"/>
      <c r="H48" s="340"/>
      <c r="I48" s="340"/>
      <c r="J48" s="341"/>
    </row>
    <row r="49" spans="1:10" ht="12" customHeight="1" x14ac:dyDescent="0.15">
      <c r="A49" s="75"/>
      <c r="B49" s="339"/>
      <c r="C49" s="340"/>
      <c r="D49" s="340"/>
      <c r="E49" s="340"/>
      <c r="F49" s="340"/>
      <c r="G49" s="340"/>
      <c r="H49" s="340"/>
      <c r="I49" s="340"/>
      <c r="J49" s="341"/>
    </row>
    <row r="50" spans="1:10" ht="18.75" hidden="1" customHeight="1" x14ac:dyDescent="0.15">
      <c r="A50" s="75"/>
      <c r="B50" s="339"/>
      <c r="C50" s="340"/>
      <c r="D50" s="340"/>
      <c r="E50" s="340"/>
      <c r="F50" s="340"/>
      <c r="G50" s="340"/>
      <c r="H50" s="340"/>
      <c r="I50" s="340"/>
      <c r="J50" s="341"/>
    </row>
    <row r="51" spans="1:10" ht="18.75" hidden="1" customHeight="1" x14ac:dyDescent="0.15">
      <c r="A51" s="75"/>
      <c r="B51" s="339"/>
      <c r="C51" s="340"/>
      <c r="D51" s="340"/>
      <c r="E51" s="340"/>
      <c r="F51" s="340"/>
      <c r="G51" s="340"/>
      <c r="H51" s="340"/>
      <c r="I51" s="340"/>
      <c r="J51" s="341"/>
    </row>
    <row r="52" spans="1:10" ht="18.75" hidden="1" customHeight="1" x14ac:dyDescent="0.15">
      <c r="A52" s="75"/>
      <c r="B52" s="339"/>
      <c r="C52" s="340"/>
      <c r="D52" s="340"/>
      <c r="E52" s="340"/>
      <c r="F52" s="340"/>
      <c r="G52" s="340"/>
      <c r="H52" s="340"/>
      <c r="I52" s="340"/>
      <c r="J52" s="341"/>
    </row>
    <row r="53" spans="1:10" ht="18.75" hidden="1" customHeight="1" x14ac:dyDescent="0.15">
      <c r="A53" s="75"/>
      <c r="B53" s="339"/>
      <c r="C53" s="340"/>
      <c r="D53" s="340"/>
      <c r="E53" s="340"/>
      <c r="F53" s="340"/>
      <c r="G53" s="340"/>
      <c r="H53" s="340"/>
      <c r="I53" s="340"/>
      <c r="J53" s="341"/>
    </row>
    <row r="54" spans="1:10" ht="18.75" hidden="1" customHeight="1" x14ac:dyDescent="0.15">
      <c r="A54" s="75"/>
      <c r="B54" s="339"/>
      <c r="C54" s="340"/>
      <c r="D54" s="340"/>
      <c r="E54" s="340"/>
      <c r="F54" s="340"/>
      <c r="G54" s="340"/>
      <c r="H54" s="340"/>
      <c r="I54" s="340"/>
      <c r="J54" s="341"/>
    </row>
    <row r="55" spans="1:10" ht="18.75" hidden="1" customHeight="1" x14ac:dyDescent="0.15">
      <c r="A55" s="75"/>
      <c r="B55" s="339"/>
      <c r="C55" s="340"/>
      <c r="D55" s="340"/>
      <c r="E55" s="340"/>
      <c r="F55" s="340"/>
      <c r="G55" s="340"/>
      <c r="H55" s="340"/>
      <c r="I55" s="340"/>
      <c r="J55" s="341"/>
    </row>
    <row r="56" spans="1:10" ht="18.75" hidden="1" customHeight="1" x14ac:dyDescent="0.15">
      <c r="A56" s="75"/>
      <c r="B56" s="339"/>
      <c r="C56" s="340"/>
      <c r="D56" s="340"/>
      <c r="E56" s="340"/>
      <c r="F56" s="340"/>
      <c r="G56" s="340"/>
      <c r="H56" s="340"/>
      <c r="I56" s="340"/>
      <c r="J56" s="341"/>
    </row>
    <row r="57" spans="1:10" ht="18.75" hidden="1" customHeight="1" x14ac:dyDescent="0.15">
      <c r="A57" s="75"/>
      <c r="B57" s="339"/>
      <c r="C57" s="340"/>
      <c r="D57" s="340"/>
      <c r="E57" s="340"/>
      <c r="F57" s="340"/>
      <c r="G57" s="340"/>
      <c r="H57" s="340"/>
      <c r="I57" s="340"/>
      <c r="J57" s="341"/>
    </row>
    <row r="58" spans="1:10" ht="18.75" hidden="1" customHeight="1" x14ac:dyDescent="0.15">
      <c r="A58" s="75"/>
      <c r="B58" s="339"/>
      <c r="C58" s="340"/>
      <c r="D58" s="340"/>
      <c r="E58" s="340"/>
      <c r="F58" s="340"/>
      <c r="G58" s="340"/>
      <c r="H58" s="340"/>
      <c r="I58" s="340"/>
      <c r="J58" s="341"/>
    </row>
    <row r="59" spans="1:10" ht="18.75" hidden="1" customHeight="1" x14ac:dyDescent="0.15">
      <c r="A59" s="75"/>
      <c r="B59" s="339"/>
      <c r="C59" s="340"/>
      <c r="D59" s="340"/>
      <c r="E59" s="340"/>
      <c r="F59" s="340"/>
      <c r="G59" s="340"/>
      <c r="H59" s="340"/>
      <c r="I59" s="340"/>
      <c r="J59" s="341"/>
    </row>
    <row r="60" spans="1:10" ht="18.75" hidden="1" customHeight="1" x14ac:dyDescent="0.15">
      <c r="A60" s="75"/>
      <c r="B60" s="339"/>
      <c r="C60" s="340"/>
      <c r="D60" s="340"/>
      <c r="E60" s="340"/>
      <c r="F60" s="340"/>
      <c r="G60" s="340"/>
      <c r="H60" s="340"/>
      <c r="I60" s="340"/>
      <c r="J60" s="341"/>
    </row>
    <row r="61" spans="1:10" ht="18.75" hidden="1" customHeight="1" x14ac:dyDescent="0.15">
      <c r="A61" s="75"/>
      <c r="B61" s="339"/>
      <c r="C61" s="340"/>
      <c r="D61" s="340"/>
      <c r="E61" s="340"/>
      <c r="F61" s="340"/>
      <c r="G61" s="340"/>
      <c r="H61" s="340"/>
      <c r="I61" s="340"/>
      <c r="J61" s="341"/>
    </row>
    <row r="62" spans="1:10" ht="18.75" hidden="1" customHeight="1" x14ac:dyDescent="0.15">
      <c r="A62" s="75"/>
      <c r="B62" s="339"/>
      <c r="C62" s="340"/>
      <c r="D62" s="340"/>
      <c r="E62" s="340"/>
      <c r="F62" s="340"/>
      <c r="G62" s="340"/>
      <c r="H62" s="340"/>
      <c r="I62" s="340"/>
      <c r="J62" s="341"/>
    </row>
    <row r="63" spans="1:10" ht="18.75" hidden="1" customHeight="1" x14ac:dyDescent="0.15">
      <c r="A63" s="75"/>
      <c r="B63" s="339"/>
      <c r="C63" s="340"/>
      <c r="D63" s="340"/>
      <c r="E63" s="340"/>
      <c r="F63" s="340"/>
      <c r="G63" s="340"/>
      <c r="H63" s="340"/>
      <c r="I63" s="340"/>
      <c r="J63" s="341"/>
    </row>
    <row r="64" spans="1:10" ht="18.75" hidden="1" customHeight="1" x14ac:dyDescent="0.15">
      <c r="A64" s="75"/>
      <c r="B64" s="339"/>
      <c r="C64" s="340"/>
      <c r="D64" s="340"/>
      <c r="E64" s="340"/>
      <c r="F64" s="340"/>
      <c r="G64" s="340"/>
      <c r="H64" s="340"/>
      <c r="I64" s="340"/>
      <c r="J64" s="341"/>
    </row>
    <row r="65" spans="1:11" ht="18.75" hidden="1" customHeight="1" x14ac:dyDescent="0.15">
      <c r="A65" s="75"/>
      <c r="B65" s="339"/>
      <c r="C65" s="340"/>
      <c r="D65" s="340"/>
      <c r="E65" s="340"/>
      <c r="F65" s="340"/>
      <c r="G65" s="340"/>
      <c r="H65" s="340"/>
      <c r="I65" s="340"/>
      <c r="J65" s="341"/>
    </row>
    <row r="66" spans="1:11" ht="3" customHeight="1" x14ac:dyDescent="0.15">
      <c r="A66" s="75"/>
      <c r="B66" s="342"/>
      <c r="C66" s="343"/>
      <c r="D66" s="343"/>
      <c r="E66" s="343"/>
      <c r="F66" s="343"/>
      <c r="G66" s="343"/>
      <c r="H66" s="343"/>
      <c r="I66" s="343"/>
      <c r="J66" s="344"/>
    </row>
    <row r="67" spans="1:11" ht="7.5" customHeight="1" x14ac:dyDescent="0.15">
      <c r="A67" s="75"/>
      <c r="B67" s="75"/>
      <c r="C67" s="75"/>
      <c r="D67" s="75"/>
      <c r="E67" s="75"/>
      <c r="F67" s="75"/>
      <c r="G67" s="75"/>
      <c r="H67" s="75"/>
      <c r="I67" s="75"/>
      <c r="J67" s="75"/>
    </row>
    <row r="68" spans="1:11" ht="18.75" customHeight="1" x14ac:dyDescent="0.15">
      <c r="A68" s="58" t="s">
        <v>15</v>
      </c>
      <c r="B68" s="58" t="s">
        <v>73</v>
      </c>
    </row>
    <row r="69" spans="1:11" ht="18.75" customHeight="1" x14ac:dyDescent="0.15">
      <c r="A69" s="58"/>
      <c r="B69" s="336" t="s">
        <v>182</v>
      </c>
      <c r="C69" s="337"/>
      <c r="D69" s="337"/>
      <c r="E69" s="337"/>
      <c r="F69" s="337"/>
      <c r="G69" s="337"/>
      <c r="H69" s="337"/>
      <c r="I69" s="345"/>
      <c r="J69" s="346"/>
      <c r="K69" s="59"/>
    </row>
    <row r="70" spans="1:11" ht="18.75" customHeight="1" x14ac:dyDescent="0.15">
      <c r="A70" s="58"/>
      <c r="B70" s="347"/>
      <c r="C70" s="348"/>
      <c r="D70" s="348"/>
      <c r="E70" s="348"/>
      <c r="F70" s="348"/>
      <c r="G70" s="348"/>
      <c r="H70" s="348"/>
      <c r="I70" s="348"/>
      <c r="J70" s="349"/>
      <c r="K70" s="59"/>
    </row>
    <row r="71" spans="1:11" ht="18.75" customHeight="1" x14ac:dyDescent="0.15">
      <c r="A71" s="58"/>
      <c r="B71" s="347"/>
      <c r="C71" s="348"/>
      <c r="D71" s="348"/>
      <c r="E71" s="348"/>
      <c r="F71" s="348"/>
      <c r="G71" s="348"/>
      <c r="H71" s="348"/>
      <c r="I71" s="348"/>
      <c r="J71" s="349"/>
      <c r="K71" s="59"/>
    </row>
    <row r="72" spans="1:11" ht="12" customHeight="1" x14ac:dyDescent="0.15">
      <c r="A72" s="58"/>
      <c r="B72" s="347"/>
      <c r="C72" s="348"/>
      <c r="D72" s="348"/>
      <c r="E72" s="348"/>
      <c r="F72" s="348"/>
      <c r="G72" s="348"/>
      <c r="H72" s="348"/>
      <c r="I72" s="348"/>
      <c r="J72" s="349"/>
      <c r="K72" s="59"/>
    </row>
    <row r="73" spans="1:11" ht="18.75" hidden="1" customHeight="1" x14ac:dyDescent="0.15">
      <c r="A73" s="58"/>
      <c r="B73" s="347"/>
      <c r="C73" s="348"/>
      <c r="D73" s="348"/>
      <c r="E73" s="348"/>
      <c r="F73" s="348"/>
      <c r="G73" s="348"/>
      <c r="H73" s="348"/>
      <c r="I73" s="348"/>
      <c r="J73" s="349"/>
      <c r="K73" s="59"/>
    </row>
    <row r="74" spans="1:11" ht="18.75" hidden="1" customHeight="1" x14ac:dyDescent="0.15">
      <c r="A74" s="58"/>
      <c r="B74" s="347"/>
      <c r="C74" s="348"/>
      <c r="D74" s="348"/>
      <c r="E74" s="348"/>
      <c r="F74" s="348"/>
      <c r="G74" s="348"/>
      <c r="H74" s="348"/>
      <c r="I74" s="348"/>
      <c r="J74" s="349"/>
      <c r="K74" s="59"/>
    </row>
    <row r="75" spans="1:11" ht="18.75" hidden="1" customHeight="1" x14ac:dyDescent="0.15">
      <c r="A75" s="58"/>
      <c r="B75" s="347"/>
      <c r="C75" s="348"/>
      <c r="D75" s="348"/>
      <c r="E75" s="348"/>
      <c r="F75" s="348"/>
      <c r="G75" s="348"/>
      <c r="H75" s="348"/>
      <c r="I75" s="348"/>
      <c r="J75" s="349"/>
      <c r="K75" s="59"/>
    </row>
    <row r="76" spans="1:11" ht="18.75" hidden="1" customHeight="1" x14ac:dyDescent="0.15">
      <c r="A76" s="58"/>
      <c r="B76" s="347"/>
      <c r="C76" s="348"/>
      <c r="D76" s="348"/>
      <c r="E76" s="348"/>
      <c r="F76" s="348"/>
      <c r="G76" s="348"/>
      <c r="H76" s="348"/>
      <c r="I76" s="348"/>
      <c r="J76" s="349"/>
      <c r="K76" s="59"/>
    </row>
    <row r="77" spans="1:11" ht="18.75" hidden="1" customHeight="1" x14ac:dyDescent="0.15">
      <c r="A77" s="58"/>
      <c r="B77" s="347"/>
      <c r="C77" s="348"/>
      <c r="D77" s="348"/>
      <c r="E77" s="348"/>
      <c r="F77" s="348"/>
      <c r="G77" s="348"/>
      <c r="H77" s="348"/>
      <c r="I77" s="348"/>
      <c r="J77" s="349"/>
      <c r="K77" s="59"/>
    </row>
    <row r="78" spans="1:11" ht="18.75" hidden="1" customHeight="1" x14ac:dyDescent="0.15">
      <c r="A78" s="58"/>
      <c r="B78" s="347"/>
      <c r="C78" s="348"/>
      <c r="D78" s="348"/>
      <c r="E78" s="348"/>
      <c r="F78" s="348"/>
      <c r="G78" s="348"/>
      <c r="H78" s="348"/>
      <c r="I78" s="348"/>
      <c r="J78" s="349"/>
      <c r="K78" s="59"/>
    </row>
    <row r="79" spans="1:11" ht="18.75" hidden="1" customHeight="1" x14ac:dyDescent="0.15">
      <c r="A79" s="58"/>
      <c r="B79" s="347"/>
      <c r="C79" s="348"/>
      <c r="D79" s="348"/>
      <c r="E79" s="348"/>
      <c r="F79" s="348"/>
      <c r="G79" s="348"/>
      <c r="H79" s="348"/>
      <c r="I79" s="348"/>
      <c r="J79" s="349"/>
      <c r="K79" s="59"/>
    </row>
    <row r="80" spans="1:11" ht="18.75" hidden="1" customHeight="1" x14ac:dyDescent="0.15">
      <c r="A80" s="58"/>
      <c r="B80" s="347"/>
      <c r="C80" s="348"/>
      <c r="D80" s="348"/>
      <c r="E80" s="348"/>
      <c r="F80" s="348"/>
      <c r="G80" s="348"/>
      <c r="H80" s="348"/>
      <c r="I80" s="348"/>
      <c r="J80" s="349"/>
      <c r="K80" s="59"/>
    </row>
    <row r="81" spans="1:11" ht="18.75" hidden="1" customHeight="1" x14ac:dyDescent="0.15">
      <c r="A81" s="58"/>
      <c r="B81" s="347"/>
      <c r="C81" s="348"/>
      <c r="D81" s="348"/>
      <c r="E81" s="348"/>
      <c r="F81" s="348"/>
      <c r="G81" s="348"/>
      <c r="H81" s="348"/>
      <c r="I81" s="348"/>
      <c r="J81" s="349"/>
      <c r="K81" s="59"/>
    </row>
    <row r="82" spans="1:11" ht="18.75" hidden="1" customHeight="1" x14ac:dyDescent="0.15">
      <c r="A82" s="58"/>
      <c r="B82" s="347"/>
      <c r="C82" s="348"/>
      <c r="D82" s="348"/>
      <c r="E82" s="348"/>
      <c r="F82" s="348"/>
      <c r="G82" s="348"/>
      <c r="H82" s="348"/>
      <c r="I82" s="348"/>
      <c r="J82" s="349"/>
      <c r="K82" s="59"/>
    </row>
    <row r="83" spans="1:11" ht="18.75" hidden="1" customHeight="1" x14ac:dyDescent="0.15">
      <c r="A83" s="58"/>
      <c r="B83" s="347"/>
      <c r="C83" s="348"/>
      <c r="D83" s="348"/>
      <c r="E83" s="348"/>
      <c r="F83" s="348"/>
      <c r="G83" s="348"/>
      <c r="H83" s="348"/>
      <c r="I83" s="348"/>
      <c r="J83" s="349"/>
      <c r="K83" s="59"/>
    </row>
    <row r="84" spans="1:11" ht="18.75" hidden="1" customHeight="1" x14ac:dyDescent="0.15">
      <c r="A84" s="58"/>
      <c r="B84" s="347"/>
      <c r="C84" s="348"/>
      <c r="D84" s="348"/>
      <c r="E84" s="348"/>
      <c r="F84" s="348"/>
      <c r="G84" s="348"/>
      <c r="H84" s="348"/>
      <c r="I84" s="348"/>
      <c r="J84" s="349"/>
      <c r="K84" s="59"/>
    </row>
    <row r="85" spans="1:11" ht="18.75" hidden="1" customHeight="1" x14ac:dyDescent="0.15">
      <c r="A85" s="75"/>
      <c r="B85" s="347"/>
      <c r="C85" s="348"/>
      <c r="D85" s="348"/>
      <c r="E85" s="348"/>
      <c r="F85" s="348"/>
      <c r="G85" s="348"/>
      <c r="H85" s="348"/>
      <c r="I85" s="348"/>
      <c r="J85" s="349"/>
      <c r="K85" s="59"/>
    </row>
    <row r="86" spans="1:11" ht="1.5" customHeight="1" x14ac:dyDescent="0.15">
      <c r="A86" s="75"/>
      <c r="B86" s="350"/>
      <c r="C86" s="351"/>
      <c r="D86" s="351"/>
      <c r="E86" s="351"/>
      <c r="F86" s="351"/>
      <c r="G86" s="351"/>
      <c r="H86" s="351"/>
      <c r="I86" s="351"/>
      <c r="J86" s="352"/>
      <c r="K86" s="59"/>
    </row>
    <row r="87" spans="1:11" ht="7.5" customHeight="1" x14ac:dyDescent="0.15">
      <c r="A87" s="75"/>
      <c r="B87" s="75"/>
      <c r="C87" s="75"/>
      <c r="D87" s="75"/>
      <c r="E87" s="75"/>
      <c r="F87" s="75"/>
      <c r="G87" s="75"/>
      <c r="H87" s="75"/>
      <c r="I87" s="75"/>
      <c r="J87" s="75"/>
    </row>
    <row r="88" spans="1:11" ht="18.75" customHeight="1" x14ac:dyDescent="0.15">
      <c r="A88" s="58" t="s">
        <v>13</v>
      </c>
      <c r="B88" s="58" t="s">
        <v>28</v>
      </c>
    </row>
    <row r="89" spans="1:11" ht="18.75" customHeight="1" x14ac:dyDescent="0.15">
      <c r="A89" s="58"/>
      <c r="B89" s="326" t="s">
        <v>196</v>
      </c>
      <c r="C89" s="327"/>
      <c r="D89" s="327"/>
      <c r="E89" s="327"/>
      <c r="F89" s="327"/>
      <c r="G89" s="327"/>
      <c r="H89" s="327"/>
      <c r="I89" s="328"/>
      <c r="J89" s="329"/>
    </row>
    <row r="90" spans="1:11" ht="18.75" customHeight="1" x14ac:dyDescent="0.15">
      <c r="A90" s="58"/>
      <c r="B90" s="330"/>
      <c r="C90" s="331"/>
      <c r="D90" s="331"/>
      <c r="E90" s="331"/>
      <c r="F90" s="331"/>
      <c r="G90" s="331"/>
      <c r="H90" s="331"/>
      <c r="I90" s="331"/>
      <c r="J90" s="332"/>
      <c r="K90" s="59"/>
    </row>
    <row r="91" spans="1:11" ht="18.75" customHeight="1" x14ac:dyDescent="0.15">
      <c r="A91" s="58"/>
      <c r="B91" s="330"/>
      <c r="C91" s="331"/>
      <c r="D91" s="331"/>
      <c r="E91" s="331"/>
      <c r="F91" s="331"/>
      <c r="G91" s="331"/>
      <c r="H91" s="331"/>
      <c r="I91" s="331"/>
      <c r="J91" s="332"/>
      <c r="K91" s="59"/>
    </row>
    <row r="92" spans="1:11" ht="18.75" customHeight="1" x14ac:dyDescent="0.15">
      <c r="A92" s="58"/>
      <c r="B92" s="330"/>
      <c r="C92" s="331"/>
      <c r="D92" s="331"/>
      <c r="E92" s="331"/>
      <c r="F92" s="331"/>
      <c r="G92" s="331"/>
      <c r="H92" s="331"/>
      <c r="I92" s="331"/>
      <c r="J92" s="332"/>
      <c r="K92" s="59"/>
    </row>
    <row r="93" spans="1:11" ht="11.25" customHeight="1" x14ac:dyDescent="0.15">
      <c r="A93" s="58"/>
      <c r="B93" s="330"/>
      <c r="C93" s="331"/>
      <c r="D93" s="331"/>
      <c r="E93" s="331"/>
      <c r="F93" s="331"/>
      <c r="G93" s="331"/>
      <c r="H93" s="331"/>
      <c r="I93" s="331"/>
      <c r="J93" s="332"/>
      <c r="K93" s="59"/>
    </row>
    <row r="94" spans="1:11" ht="18.75" hidden="1" customHeight="1" x14ac:dyDescent="0.15">
      <c r="A94" s="58"/>
      <c r="B94" s="330"/>
      <c r="C94" s="331"/>
      <c r="D94" s="331"/>
      <c r="E94" s="331"/>
      <c r="F94" s="331"/>
      <c r="G94" s="331"/>
      <c r="H94" s="331"/>
      <c r="I94" s="331"/>
      <c r="J94" s="332"/>
      <c r="K94" s="59"/>
    </row>
    <row r="95" spans="1:11" ht="18.75" hidden="1" customHeight="1" x14ac:dyDescent="0.15">
      <c r="A95" s="58"/>
      <c r="B95" s="330"/>
      <c r="C95" s="331"/>
      <c r="D95" s="331"/>
      <c r="E95" s="331"/>
      <c r="F95" s="331"/>
      <c r="G95" s="331"/>
      <c r="H95" s="331"/>
      <c r="I95" s="331"/>
      <c r="J95" s="332"/>
      <c r="K95" s="59"/>
    </row>
    <row r="96" spans="1:11" ht="18.75" hidden="1" customHeight="1" x14ac:dyDescent="0.15">
      <c r="A96" s="58"/>
      <c r="B96" s="330"/>
      <c r="C96" s="331"/>
      <c r="D96" s="331"/>
      <c r="E96" s="331"/>
      <c r="F96" s="331"/>
      <c r="G96" s="331"/>
      <c r="H96" s="331"/>
      <c r="I96" s="331"/>
      <c r="J96" s="332"/>
      <c r="K96" s="59"/>
    </row>
    <row r="97" spans="1:11" ht="15.75" hidden="1" customHeight="1" x14ac:dyDescent="0.15">
      <c r="A97" s="58"/>
      <c r="B97" s="330"/>
      <c r="C97" s="331"/>
      <c r="D97" s="331"/>
      <c r="E97" s="331"/>
      <c r="F97" s="331"/>
      <c r="G97" s="331"/>
      <c r="H97" s="331"/>
      <c r="I97" s="331"/>
      <c r="J97" s="332"/>
      <c r="K97" s="59"/>
    </row>
    <row r="98" spans="1:11" ht="18.75" hidden="1" customHeight="1" x14ac:dyDescent="0.15">
      <c r="A98" s="58"/>
      <c r="B98" s="330"/>
      <c r="C98" s="331"/>
      <c r="D98" s="331"/>
      <c r="E98" s="331"/>
      <c r="F98" s="331"/>
      <c r="G98" s="331"/>
      <c r="H98" s="331"/>
      <c r="I98" s="331"/>
      <c r="J98" s="332"/>
      <c r="K98" s="59"/>
    </row>
    <row r="99" spans="1:11" ht="18.75" hidden="1" customHeight="1" x14ac:dyDescent="0.15">
      <c r="A99" s="58"/>
      <c r="B99" s="330"/>
      <c r="C99" s="331"/>
      <c r="D99" s="331"/>
      <c r="E99" s="331"/>
      <c r="F99" s="331"/>
      <c r="G99" s="331"/>
      <c r="H99" s="331"/>
      <c r="I99" s="331"/>
      <c r="J99" s="332"/>
      <c r="K99" s="59"/>
    </row>
    <row r="100" spans="1:11" ht="18.75" hidden="1" customHeight="1" x14ac:dyDescent="0.15">
      <c r="A100" s="58"/>
      <c r="B100" s="330"/>
      <c r="C100" s="331"/>
      <c r="D100" s="331"/>
      <c r="E100" s="331"/>
      <c r="F100" s="331"/>
      <c r="G100" s="331"/>
      <c r="H100" s="331"/>
      <c r="I100" s="331"/>
      <c r="J100" s="332"/>
      <c r="K100" s="59"/>
    </row>
    <row r="101" spans="1:11" ht="18.75" hidden="1" customHeight="1" x14ac:dyDescent="0.15">
      <c r="A101" s="58"/>
      <c r="B101" s="330"/>
      <c r="C101" s="331"/>
      <c r="D101" s="331"/>
      <c r="E101" s="331"/>
      <c r="F101" s="331"/>
      <c r="G101" s="331"/>
      <c r="H101" s="331"/>
      <c r="I101" s="331"/>
      <c r="J101" s="332"/>
      <c r="K101" s="59"/>
    </row>
    <row r="102" spans="1:11" ht="18.75" hidden="1" customHeight="1" x14ac:dyDescent="0.15">
      <c r="A102" s="58"/>
      <c r="B102" s="330"/>
      <c r="C102" s="331"/>
      <c r="D102" s="331"/>
      <c r="E102" s="331"/>
      <c r="F102" s="331"/>
      <c r="G102" s="331"/>
      <c r="H102" s="331"/>
      <c r="I102" s="331"/>
      <c r="J102" s="332"/>
      <c r="K102" s="59"/>
    </row>
    <row r="103" spans="1:11" ht="18.75" hidden="1" customHeight="1" x14ac:dyDescent="0.15">
      <c r="A103" s="58"/>
      <c r="B103" s="330"/>
      <c r="C103" s="331"/>
      <c r="D103" s="331"/>
      <c r="E103" s="331"/>
      <c r="F103" s="331"/>
      <c r="G103" s="331"/>
      <c r="H103" s="331"/>
      <c r="I103" s="331"/>
      <c r="J103" s="332"/>
      <c r="K103" s="59"/>
    </row>
    <row r="104" spans="1:11" ht="18.75" hidden="1" customHeight="1" x14ac:dyDescent="0.15">
      <c r="A104" s="58"/>
      <c r="B104" s="330"/>
      <c r="C104" s="331"/>
      <c r="D104" s="331"/>
      <c r="E104" s="331"/>
      <c r="F104" s="331"/>
      <c r="G104" s="331"/>
      <c r="H104" s="331"/>
      <c r="I104" s="331"/>
      <c r="J104" s="332"/>
      <c r="K104" s="59"/>
    </row>
    <row r="105" spans="1:11" ht="18.75" hidden="1" customHeight="1" x14ac:dyDescent="0.15">
      <c r="A105" s="58"/>
      <c r="B105" s="330"/>
      <c r="C105" s="331"/>
      <c r="D105" s="331"/>
      <c r="E105" s="331"/>
      <c r="F105" s="331"/>
      <c r="G105" s="331"/>
      <c r="H105" s="331"/>
      <c r="I105" s="331"/>
      <c r="J105" s="332"/>
      <c r="K105" s="59"/>
    </row>
    <row r="106" spans="1:11" ht="18.75" hidden="1" customHeight="1" x14ac:dyDescent="0.15">
      <c r="A106" s="58"/>
      <c r="B106" s="330"/>
      <c r="C106" s="331"/>
      <c r="D106" s="331"/>
      <c r="E106" s="331"/>
      <c r="F106" s="331"/>
      <c r="G106" s="331"/>
      <c r="H106" s="331"/>
      <c r="I106" s="331"/>
      <c r="J106" s="332"/>
      <c r="K106" s="59"/>
    </row>
    <row r="107" spans="1:11" ht="18.75" hidden="1" customHeight="1" x14ac:dyDescent="0.15">
      <c r="A107" s="75"/>
      <c r="B107" s="330"/>
      <c r="C107" s="331"/>
      <c r="D107" s="331"/>
      <c r="E107" s="331"/>
      <c r="F107" s="331"/>
      <c r="G107" s="331"/>
      <c r="H107" s="331"/>
      <c r="I107" s="331"/>
      <c r="J107" s="332"/>
      <c r="K107" s="59"/>
    </row>
    <row r="108" spans="1:11" ht="4.5" customHeight="1" x14ac:dyDescent="0.15">
      <c r="A108" s="75"/>
      <c r="B108" s="333"/>
      <c r="C108" s="334"/>
      <c r="D108" s="334"/>
      <c r="E108" s="334"/>
      <c r="F108" s="334"/>
      <c r="G108" s="334"/>
      <c r="H108" s="334"/>
      <c r="I108" s="334"/>
      <c r="J108" s="335"/>
      <c r="K108" s="59"/>
    </row>
    <row r="109" spans="1:11" ht="7.5" customHeight="1" x14ac:dyDescent="0.15">
      <c r="A109" s="75"/>
      <c r="B109" s="75"/>
      <c r="C109" s="75"/>
      <c r="D109" s="75"/>
      <c r="E109" s="75"/>
      <c r="F109" s="75"/>
      <c r="G109" s="75"/>
      <c r="H109" s="75"/>
      <c r="I109" s="75"/>
      <c r="J109" s="75"/>
    </row>
    <row r="110" spans="1:11" ht="18.75" customHeight="1" x14ac:dyDescent="0.15">
      <c r="A110" s="58" t="s">
        <v>53</v>
      </c>
      <c r="B110" s="353" t="s">
        <v>84</v>
      </c>
      <c r="C110" s="353"/>
      <c r="D110" s="353"/>
      <c r="E110" s="353"/>
      <c r="F110" s="353"/>
      <c r="G110" s="353"/>
      <c r="H110" s="353"/>
      <c r="I110" s="353"/>
      <c r="J110" s="353"/>
    </row>
    <row r="111" spans="1:11" ht="18.75" customHeight="1" x14ac:dyDescent="0.15">
      <c r="A111" s="75"/>
      <c r="B111" s="326" t="s">
        <v>197</v>
      </c>
      <c r="C111" s="327"/>
      <c r="D111" s="327"/>
      <c r="E111" s="327"/>
      <c r="F111" s="327"/>
      <c r="G111" s="327"/>
      <c r="H111" s="327"/>
      <c r="I111" s="328"/>
      <c r="J111" s="329"/>
    </row>
    <row r="112" spans="1:11" ht="18.75" customHeight="1" x14ac:dyDescent="0.15">
      <c r="A112" s="75"/>
      <c r="B112" s="330"/>
      <c r="C112" s="331"/>
      <c r="D112" s="331"/>
      <c r="E112" s="331"/>
      <c r="F112" s="331"/>
      <c r="G112" s="331"/>
      <c r="H112" s="331"/>
      <c r="I112" s="331"/>
      <c r="J112" s="332"/>
      <c r="K112" s="59"/>
    </row>
    <row r="113" spans="1:10" ht="18.75" customHeight="1" x14ac:dyDescent="0.15">
      <c r="A113" s="75"/>
      <c r="B113" s="330"/>
      <c r="C113" s="331"/>
      <c r="D113" s="331"/>
      <c r="E113" s="331"/>
      <c r="F113" s="331"/>
      <c r="G113" s="331"/>
      <c r="H113" s="331"/>
      <c r="I113" s="331"/>
      <c r="J113" s="332"/>
    </row>
    <row r="114" spans="1:10" ht="18.75" customHeight="1" x14ac:dyDescent="0.15">
      <c r="A114" s="75"/>
      <c r="B114" s="330"/>
      <c r="C114" s="331"/>
      <c r="D114" s="331"/>
      <c r="E114" s="331"/>
      <c r="F114" s="331"/>
      <c r="G114" s="331"/>
      <c r="H114" s="331"/>
      <c r="I114" s="331"/>
      <c r="J114" s="332"/>
    </row>
    <row r="115" spans="1:10" ht="5.25" customHeight="1" x14ac:dyDescent="0.15">
      <c r="A115" s="75"/>
      <c r="B115" s="330"/>
      <c r="C115" s="331"/>
      <c r="D115" s="331"/>
      <c r="E115" s="331"/>
      <c r="F115" s="331"/>
      <c r="G115" s="331"/>
      <c r="H115" s="331"/>
      <c r="I115" s="331"/>
      <c r="J115" s="332"/>
    </row>
    <row r="116" spans="1:10" ht="18.75" hidden="1" customHeight="1" x14ac:dyDescent="0.15">
      <c r="A116" s="75"/>
      <c r="B116" s="330"/>
      <c r="C116" s="331"/>
      <c r="D116" s="331"/>
      <c r="E116" s="331"/>
      <c r="F116" s="331"/>
      <c r="G116" s="331"/>
      <c r="H116" s="331"/>
      <c r="I116" s="331"/>
      <c r="J116" s="332"/>
    </row>
    <row r="117" spans="1:10" ht="24.75" hidden="1" customHeight="1" x14ac:dyDescent="0.15">
      <c r="A117" s="75"/>
      <c r="B117" s="330"/>
      <c r="C117" s="331"/>
      <c r="D117" s="331"/>
      <c r="E117" s="331"/>
      <c r="F117" s="331"/>
      <c r="G117" s="331"/>
      <c r="H117" s="331"/>
      <c r="I117" s="331"/>
      <c r="J117" s="332"/>
    </row>
    <row r="118" spans="1:10" ht="0.75" hidden="1" customHeight="1" x14ac:dyDescent="0.15">
      <c r="A118" s="75"/>
      <c r="B118" s="330"/>
      <c r="C118" s="331"/>
      <c r="D118" s="331"/>
      <c r="E118" s="331"/>
      <c r="F118" s="331"/>
      <c r="G118" s="331"/>
      <c r="H118" s="331"/>
      <c r="I118" s="331"/>
      <c r="J118" s="332"/>
    </row>
    <row r="119" spans="1:10" ht="18.75" hidden="1" customHeight="1" x14ac:dyDescent="0.15">
      <c r="A119" s="75"/>
      <c r="B119" s="330"/>
      <c r="C119" s="331"/>
      <c r="D119" s="331"/>
      <c r="E119" s="331"/>
      <c r="F119" s="331"/>
      <c r="G119" s="331"/>
      <c r="H119" s="331"/>
      <c r="I119" s="331"/>
      <c r="J119" s="332"/>
    </row>
    <row r="120" spans="1:10" ht="18.75" hidden="1" customHeight="1" x14ac:dyDescent="0.15">
      <c r="A120" s="75"/>
      <c r="B120" s="330"/>
      <c r="C120" s="331"/>
      <c r="D120" s="331"/>
      <c r="E120" s="331"/>
      <c r="F120" s="331"/>
      <c r="G120" s="331"/>
      <c r="H120" s="331"/>
      <c r="I120" s="331"/>
      <c r="J120" s="332"/>
    </row>
    <row r="121" spans="1:10" ht="18.75" hidden="1" customHeight="1" x14ac:dyDescent="0.15">
      <c r="A121" s="75"/>
      <c r="B121" s="330"/>
      <c r="C121" s="331"/>
      <c r="D121" s="331"/>
      <c r="E121" s="331"/>
      <c r="F121" s="331"/>
      <c r="G121" s="331"/>
      <c r="H121" s="331"/>
      <c r="I121" s="331"/>
      <c r="J121" s="332"/>
    </row>
    <row r="122" spans="1:10" ht="18.75" hidden="1" customHeight="1" x14ac:dyDescent="0.15">
      <c r="A122" s="75"/>
      <c r="B122" s="330"/>
      <c r="C122" s="331"/>
      <c r="D122" s="331"/>
      <c r="E122" s="331"/>
      <c r="F122" s="331"/>
      <c r="G122" s="331"/>
      <c r="H122" s="331"/>
      <c r="I122" s="331"/>
      <c r="J122" s="332"/>
    </row>
    <row r="123" spans="1:10" ht="18.75" hidden="1" customHeight="1" x14ac:dyDescent="0.15">
      <c r="A123" s="75"/>
      <c r="B123" s="330"/>
      <c r="C123" s="331"/>
      <c r="D123" s="331"/>
      <c r="E123" s="331"/>
      <c r="F123" s="331"/>
      <c r="G123" s="331"/>
      <c r="H123" s="331"/>
      <c r="I123" s="331"/>
      <c r="J123" s="332"/>
    </row>
    <row r="124" spans="1:10" ht="18.75" hidden="1" customHeight="1" x14ac:dyDescent="0.15">
      <c r="A124" s="75"/>
      <c r="B124" s="330"/>
      <c r="C124" s="331"/>
      <c r="D124" s="331"/>
      <c r="E124" s="331"/>
      <c r="F124" s="331"/>
      <c r="G124" s="331"/>
      <c r="H124" s="331"/>
      <c r="I124" s="331"/>
      <c r="J124" s="332"/>
    </row>
    <row r="125" spans="1:10" ht="18.75" hidden="1" customHeight="1" x14ac:dyDescent="0.15">
      <c r="A125" s="75"/>
      <c r="B125" s="330"/>
      <c r="C125" s="331"/>
      <c r="D125" s="331"/>
      <c r="E125" s="331"/>
      <c r="F125" s="331"/>
      <c r="G125" s="331"/>
      <c r="H125" s="331"/>
      <c r="I125" s="331"/>
      <c r="J125" s="332"/>
    </row>
    <row r="126" spans="1:10" ht="18.75" hidden="1" customHeight="1" x14ac:dyDescent="0.15">
      <c r="A126" s="75"/>
      <c r="B126" s="330"/>
      <c r="C126" s="331"/>
      <c r="D126" s="331"/>
      <c r="E126" s="331"/>
      <c r="F126" s="331"/>
      <c r="G126" s="331"/>
      <c r="H126" s="331"/>
      <c r="I126" s="331"/>
      <c r="J126" s="332"/>
    </row>
    <row r="127" spans="1:10" ht="18.75" hidden="1" customHeight="1" x14ac:dyDescent="0.15">
      <c r="A127" s="75"/>
      <c r="B127" s="330"/>
      <c r="C127" s="331"/>
      <c r="D127" s="331"/>
      <c r="E127" s="331"/>
      <c r="F127" s="331"/>
      <c r="G127" s="331"/>
      <c r="H127" s="331"/>
      <c r="I127" s="331"/>
      <c r="J127" s="332"/>
    </row>
    <row r="128" spans="1:10" ht="18.75" hidden="1" customHeight="1" x14ac:dyDescent="0.15">
      <c r="A128" s="75"/>
      <c r="B128" s="330"/>
      <c r="C128" s="331"/>
      <c r="D128" s="331"/>
      <c r="E128" s="331"/>
      <c r="F128" s="331"/>
      <c r="G128" s="331"/>
      <c r="H128" s="331"/>
      <c r="I128" s="331"/>
      <c r="J128" s="332"/>
    </row>
    <row r="129" spans="1:10" ht="5.25" customHeight="1" x14ac:dyDescent="0.15">
      <c r="A129" s="75"/>
      <c r="B129" s="333"/>
      <c r="C129" s="334"/>
      <c r="D129" s="334"/>
      <c r="E129" s="334"/>
      <c r="F129" s="334"/>
      <c r="G129" s="334"/>
      <c r="H129" s="334"/>
      <c r="I129" s="334"/>
      <c r="J129" s="335"/>
    </row>
    <row r="130" spans="1:10" ht="7.5" customHeight="1" x14ac:dyDescent="0.15">
      <c r="A130" s="75"/>
      <c r="B130" s="84"/>
      <c r="C130" s="84"/>
      <c r="D130" s="84"/>
      <c r="E130" s="84"/>
      <c r="F130" s="84"/>
      <c r="G130" s="84"/>
      <c r="H130" s="84"/>
      <c r="I130" s="84"/>
      <c r="J130" s="84"/>
    </row>
    <row r="131" spans="1:10" ht="18.75" customHeight="1" x14ac:dyDescent="0.15">
      <c r="A131" s="75"/>
      <c r="B131" s="75"/>
      <c r="C131" s="75"/>
      <c r="D131" s="75"/>
      <c r="E131" s="75"/>
      <c r="F131" s="75"/>
      <c r="G131" s="75"/>
      <c r="H131" s="75"/>
      <c r="I131" s="75"/>
      <c r="J131" s="75"/>
    </row>
    <row r="132" spans="1:10" ht="18.75" customHeight="1" x14ac:dyDescent="0.15">
      <c r="A132" s="75"/>
      <c r="B132" s="75"/>
      <c r="C132" s="75"/>
      <c r="D132" s="75"/>
      <c r="E132" s="75"/>
      <c r="F132" s="75"/>
      <c r="G132" s="75"/>
      <c r="H132" s="75"/>
      <c r="I132" s="75"/>
      <c r="J132" s="75"/>
    </row>
    <row r="133" spans="1:10" ht="18.75" customHeight="1" x14ac:dyDescent="0.15">
      <c r="A133" s="75"/>
      <c r="B133" s="75"/>
      <c r="C133" s="75"/>
      <c r="D133" s="75"/>
      <c r="E133" s="75"/>
      <c r="F133" s="75"/>
      <c r="G133" s="75"/>
      <c r="H133" s="75"/>
      <c r="I133" s="75"/>
      <c r="J133" s="75"/>
    </row>
    <row r="134" spans="1:10" ht="18.75" customHeight="1" x14ac:dyDescent="0.15">
      <c r="A134" s="75"/>
      <c r="B134" s="75"/>
      <c r="C134" s="75"/>
      <c r="D134" s="75"/>
      <c r="E134" s="75"/>
      <c r="F134" s="75"/>
      <c r="G134" s="75"/>
      <c r="H134" s="75"/>
      <c r="I134" s="75"/>
      <c r="J134" s="75"/>
    </row>
    <row r="135" spans="1:10" ht="18.75" customHeight="1" x14ac:dyDescent="0.15">
      <c r="A135" s="75"/>
      <c r="B135" s="75"/>
      <c r="C135" s="75"/>
      <c r="D135" s="75"/>
      <c r="E135" s="75"/>
      <c r="F135" s="75"/>
      <c r="G135" s="75"/>
      <c r="H135" s="75"/>
      <c r="I135" s="75"/>
      <c r="J135" s="75"/>
    </row>
    <row r="136" spans="1:10" ht="18.75" customHeight="1" x14ac:dyDescent="0.15">
      <c r="A136" s="75"/>
      <c r="B136" s="75"/>
      <c r="C136" s="75"/>
      <c r="D136" s="75"/>
      <c r="E136" s="75"/>
      <c r="F136" s="75"/>
      <c r="G136" s="75"/>
      <c r="H136" s="75"/>
      <c r="I136" s="75"/>
      <c r="J136" s="75"/>
    </row>
    <row r="137" spans="1:10" ht="18.75" customHeight="1" x14ac:dyDescent="0.15">
      <c r="A137" s="75"/>
      <c r="B137" s="75"/>
      <c r="C137" s="75"/>
      <c r="D137" s="75"/>
      <c r="E137" s="75"/>
      <c r="F137" s="75"/>
      <c r="G137" s="75"/>
      <c r="H137" s="75"/>
      <c r="I137" s="75"/>
      <c r="J137" s="75"/>
    </row>
    <row r="138" spans="1:10" ht="18.75" customHeight="1" x14ac:dyDescent="0.15">
      <c r="A138" s="75"/>
      <c r="B138" s="75"/>
      <c r="C138" s="75"/>
      <c r="D138" s="75"/>
      <c r="E138" s="75"/>
      <c r="F138" s="75"/>
      <c r="G138" s="75"/>
      <c r="H138" s="75"/>
      <c r="I138" s="75"/>
      <c r="J138" s="75"/>
    </row>
    <row r="139" spans="1:10" ht="18.75" customHeight="1" x14ac:dyDescent="0.15">
      <c r="A139" s="75"/>
      <c r="B139" s="75"/>
      <c r="C139" s="75"/>
      <c r="D139" s="75"/>
      <c r="E139" s="75"/>
      <c r="F139" s="75"/>
      <c r="G139" s="75"/>
      <c r="H139" s="75"/>
      <c r="I139" s="75"/>
      <c r="J139" s="75"/>
    </row>
    <row r="140" spans="1:10" ht="18.75" customHeight="1" x14ac:dyDescent="0.15">
      <c r="A140" s="75"/>
      <c r="B140" s="75"/>
      <c r="C140" s="75"/>
      <c r="D140" s="75"/>
      <c r="E140" s="75"/>
      <c r="F140" s="75"/>
      <c r="G140" s="75"/>
      <c r="H140" s="75"/>
      <c r="I140" s="75"/>
      <c r="J140" s="75"/>
    </row>
    <row r="141" spans="1:10" ht="18.75" customHeight="1" x14ac:dyDescent="0.15">
      <c r="A141" s="75"/>
      <c r="B141" s="75"/>
      <c r="C141" s="75"/>
      <c r="D141" s="75"/>
      <c r="E141" s="75"/>
      <c r="F141" s="75"/>
      <c r="G141" s="75"/>
      <c r="H141" s="75"/>
      <c r="I141" s="75"/>
      <c r="J141" s="75"/>
    </row>
    <row r="142" spans="1:10" ht="18.75" customHeight="1" x14ac:dyDescent="0.15">
      <c r="A142" s="75"/>
      <c r="B142" s="75"/>
      <c r="C142" s="75"/>
      <c r="D142" s="75"/>
      <c r="E142" s="75"/>
      <c r="F142" s="75"/>
      <c r="G142" s="75"/>
      <c r="H142" s="75"/>
      <c r="I142" s="75"/>
      <c r="J142" s="75"/>
    </row>
    <row r="143" spans="1:10" ht="14.25" x14ac:dyDescent="0.15">
      <c r="A143" s="75"/>
      <c r="B143" s="75"/>
      <c r="C143" s="75"/>
      <c r="D143" s="75"/>
      <c r="E143" s="75"/>
      <c r="F143" s="75"/>
      <c r="G143" s="75"/>
      <c r="H143" s="75"/>
      <c r="I143" s="75"/>
      <c r="J143" s="75"/>
    </row>
    <row r="144" spans="1:10" ht="7.5" customHeight="1" x14ac:dyDescent="0.15">
      <c r="A144" s="85"/>
      <c r="B144" s="85"/>
      <c r="C144" s="85"/>
      <c r="D144" s="85"/>
      <c r="E144" s="85"/>
      <c r="F144" s="85"/>
      <c r="G144" s="85"/>
      <c r="H144" s="85"/>
      <c r="I144" s="85"/>
      <c r="J144" s="8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3"/>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6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80" zoomScaleNormal="100" zoomScaleSheetLayoutView="80" workbookViewId="0">
      <selection activeCell="E8" sqref="E8:J8"/>
    </sheetView>
  </sheetViews>
  <sheetFormatPr defaultColWidth="11.375" defaultRowHeight="22.5" customHeight="1" x14ac:dyDescent="0.15"/>
  <cols>
    <col min="1" max="3" width="2.625" style="58" customWidth="1"/>
    <col min="4" max="4" width="22.125" style="58" customWidth="1"/>
    <col min="5" max="5" width="21.625" style="58" customWidth="1"/>
    <col min="6" max="7" width="7.625" style="58" customWidth="1"/>
    <col min="8" max="8" width="33.375" style="58" customWidth="1"/>
    <col min="9" max="9" width="24.5" style="58" customWidth="1"/>
    <col min="10" max="10" width="5.5" style="58" customWidth="1"/>
    <col min="11" max="11" width="4.125" style="58" customWidth="1"/>
    <col min="12" max="16384" width="11.375" style="58"/>
  </cols>
  <sheetData>
    <row r="1" spans="1:11" ht="18.75" customHeight="1" x14ac:dyDescent="0.15">
      <c r="A1" s="58" t="s">
        <v>123</v>
      </c>
      <c r="J1" s="139" t="s">
        <v>75</v>
      </c>
    </row>
    <row r="2" spans="1:11" ht="18.75" customHeight="1" x14ac:dyDescent="0.15">
      <c r="A2" s="296" t="s">
        <v>43</v>
      </c>
      <c r="B2" s="296"/>
      <c r="C2" s="296"/>
      <c r="D2" s="296"/>
      <c r="E2" s="296"/>
      <c r="F2" s="296"/>
      <c r="G2" s="296"/>
      <c r="H2" s="296"/>
      <c r="I2" s="296"/>
      <c r="J2" s="296"/>
    </row>
    <row r="3" spans="1:11" ht="7.5" customHeight="1" x14ac:dyDescent="0.15">
      <c r="A3" s="141"/>
      <c r="B3" s="141"/>
      <c r="C3" s="141"/>
      <c r="D3" s="141"/>
      <c r="E3" s="141"/>
      <c r="F3" s="141"/>
      <c r="G3" s="141"/>
      <c r="H3" s="141"/>
      <c r="I3" s="141"/>
      <c r="J3" s="141"/>
    </row>
    <row r="4" spans="1:11" ht="18.75" customHeight="1" x14ac:dyDescent="0.15">
      <c r="A4" s="58" t="s">
        <v>6</v>
      </c>
      <c r="B4" s="58" t="s">
        <v>42</v>
      </c>
      <c r="C4" s="75"/>
      <c r="D4" s="75"/>
      <c r="E4" s="75"/>
      <c r="F4" s="75"/>
      <c r="G4" s="75"/>
      <c r="H4" s="75"/>
      <c r="I4" s="75"/>
      <c r="J4" s="75"/>
    </row>
    <row r="5" spans="1:11" ht="18.75" customHeight="1" x14ac:dyDescent="0.15">
      <c r="B5" s="236" t="s">
        <v>39</v>
      </c>
      <c r="C5" s="237"/>
      <c r="D5" s="238"/>
      <c r="E5" s="237" t="s">
        <v>41</v>
      </c>
      <c r="F5" s="237"/>
      <c r="G5" s="237"/>
      <c r="H5" s="237"/>
      <c r="I5" s="237"/>
      <c r="J5" s="238"/>
    </row>
    <row r="6" spans="1:11" ht="18.75" customHeight="1" x14ac:dyDescent="0.15">
      <c r="B6" s="60" t="s">
        <v>29</v>
      </c>
      <c r="C6" s="75"/>
      <c r="D6" s="76"/>
      <c r="I6" s="75"/>
      <c r="J6" s="76"/>
    </row>
    <row r="7" spans="1:11" ht="107.25" customHeight="1" x14ac:dyDescent="0.15">
      <c r="B7" s="77"/>
      <c r="C7" s="362" t="s">
        <v>30</v>
      </c>
      <c r="D7" s="363"/>
      <c r="E7" s="377" t="s">
        <v>200</v>
      </c>
      <c r="F7" s="378"/>
      <c r="G7" s="378"/>
      <c r="H7" s="378"/>
      <c r="I7" s="378"/>
      <c r="J7" s="379"/>
      <c r="K7" s="58" t="str">
        <f>IF(E7="","入力してください","")</f>
        <v/>
      </c>
    </row>
    <row r="8" spans="1:11" ht="92.25" customHeight="1" x14ac:dyDescent="0.15">
      <c r="B8" s="77"/>
      <c r="C8" s="375" t="s">
        <v>31</v>
      </c>
      <c r="D8" s="376"/>
      <c r="E8" s="377" t="s">
        <v>199</v>
      </c>
      <c r="F8" s="378"/>
      <c r="G8" s="378"/>
      <c r="H8" s="378"/>
      <c r="I8" s="378"/>
      <c r="J8" s="379"/>
      <c r="K8" s="58" t="str">
        <f>IF(E8="","入力してください","")</f>
        <v/>
      </c>
    </row>
    <row r="9" spans="1:11" ht="72.75" customHeight="1" x14ac:dyDescent="0.15">
      <c r="B9" s="77"/>
      <c r="C9" s="362" t="s">
        <v>32</v>
      </c>
      <c r="D9" s="363"/>
      <c r="E9" s="371" t="s">
        <v>190</v>
      </c>
      <c r="F9" s="364"/>
      <c r="G9" s="364"/>
      <c r="H9" s="364"/>
      <c r="I9" s="364"/>
      <c r="J9" s="365"/>
      <c r="K9" s="58" t="str">
        <f>IF(E9="","入力してください","")</f>
        <v/>
      </c>
    </row>
    <row r="10" spans="1:11" ht="56.25" customHeight="1" x14ac:dyDescent="0.15">
      <c r="B10" s="77"/>
      <c r="C10" s="362" t="s">
        <v>33</v>
      </c>
      <c r="D10" s="363"/>
      <c r="E10" s="368" t="s">
        <v>184</v>
      </c>
      <c r="F10" s="369"/>
      <c r="G10" s="369"/>
      <c r="H10" s="369"/>
      <c r="I10" s="369"/>
      <c r="J10" s="370"/>
      <c r="K10" s="58" t="str">
        <f>IF(E10="","入力してください","")</f>
        <v/>
      </c>
    </row>
    <row r="11" spans="1:11" ht="84" customHeight="1" x14ac:dyDescent="0.15">
      <c r="B11" s="77"/>
      <c r="C11" s="362" t="s">
        <v>34</v>
      </c>
      <c r="D11" s="363"/>
      <c r="E11" s="372" t="s">
        <v>198</v>
      </c>
      <c r="F11" s="373"/>
      <c r="G11" s="373"/>
      <c r="H11" s="373"/>
      <c r="I11" s="373"/>
      <c r="J11" s="374"/>
      <c r="K11" s="58" t="str">
        <f>IF(E11="","入力してください","")</f>
        <v/>
      </c>
    </row>
    <row r="12" spans="1:11" ht="18.75" customHeight="1" x14ac:dyDescent="0.15">
      <c r="B12" s="78" t="s">
        <v>35</v>
      </c>
      <c r="C12" s="79"/>
      <c r="D12" s="80"/>
      <c r="E12" s="81"/>
      <c r="F12" s="81"/>
      <c r="G12" s="81"/>
      <c r="H12" s="81"/>
      <c r="I12" s="81"/>
      <c r="J12" s="82"/>
    </row>
    <row r="13" spans="1:11" ht="64.5" customHeight="1" x14ac:dyDescent="0.15">
      <c r="B13" s="77"/>
      <c r="C13" s="362" t="s">
        <v>36</v>
      </c>
      <c r="D13" s="363"/>
      <c r="E13" s="364" t="s">
        <v>185</v>
      </c>
      <c r="F13" s="364"/>
      <c r="G13" s="364"/>
      <c r="H13" s="364"/>
      <c r="I13" s="364"/>
      <c r="J13" s="365"/>
      <c r="K13" s="58" t="str">
        <f>IF(E13="","入力してください","")</f>
        <v/>
      </c>
    </row>
    <row r="14" spans="1:11" ht="77.25" customHeight="1" x14ac:dyDescent="0.15">
      <c r="B14" s="77"/>
      <c r="C14" s="362" t="s">
        <v>37</v>
      </c>
      <c r="D14" s="363"/>
      <c r="E14" s="364" t="s">
        <v>186</v>
      </c>
      <c r="F14" s="364"/>
      <c r="G14" s="364"/>
      <c r="H14" s="364"/>
      <c r="I14" s="364"/>
      <c r="J14" s="365"/>
      <c r="K14" s="58" t="str">
        <f>IF(E14="","入力してください","")</f>
        <v/>
      </c>
    </row>
    <row r="15" spans="1:11" ht="126" customHeight="1" x14ac:dyDescent="0.15">
      <c r="B15" s="366" t="s">
        <v>38</v>
      </c>
      <c r="C15" s="367"/>
      <c r="D15" s="363"/>
      <c r="E15" s="368" t="s">
        <v>192</v>
      </c>
      <c r="F15" s="369"/>
      <c r="G15" s="369"/>
      <c r="H15" s="369"/>
      <c r="I15" s="369"/>
      <c r="J15" s="370"/>
      <c r="K15" s="58" t="str">
        <f>IF(E15="","入力してください","")</f>
        <v/>
      </c>
    </row>
    <row r="16" spans="1:11" ht="143.25" customHeight="1" x14ac:dyDescent="0.15">
      <c r="B16" s="354" t="s">
        <v>66</v>
      </c>
      <c r="C16" s="355"/>
      <c r="D16" s="356"/>
      <c r="E16" s="357" t="s">
        <v>193</v>
      </c>
      <c r="F16" s="357"/>
      <c r="G16" s="357"/>
      <c r="H16" s="357"/>
      <c r="I16" s="357"/>
      <c r="J16" s="358"/>
      <c r="K16" s="58" t="str">
        <f>IF(E16="","入力してください","")</f>
        <v/>
      </c>
    </row>
    <row r="17" spans="1:11" ht="7.5" customHeight="1" x14ac:dyDescent="0.15">
      <c r="B17" s="75"/>
      <c r="C17" s="75"/>
      <c r="D17" s="75"/>
      <c r="E17" s="75"/>
      <c r="F17" s="75"/>
      <c r="G17" s="75"/>
      <c r="H17" s="75"/>
      <c r="I17" s="75"/>
      <c r="J17" s="75"/>
    </row>
    <row r="18" spans="1:11" ht="33" customHeight="1" x14ac:dyDescent="0.15">
      <c r="A18" s="58" t="s">
        <v>124</v>
      </c>
      <c r="C18" s="75"/>
      <c r="D18" s="75"/>
      <c r="E18" s="75"/>
      <c r="F18" s="140"/>
      <c r="G18" s="359" t="s">
        <v>169</v>
      </c>
      <c r="H18" s="360"/>
      <c r="I18" s="360"/>
      <c r="J18" s="361"/>
      <c r="K18" s="58" t="str">
        <f>IF(G18="","公表は必須事項です","")</f>
        <v/>
      </c>
    </row>
    <row r="19" spans="1:11" ht="22.5" customHeight="1" x14ac:dyDescent="0.15">
      <c r="B19" s="75"/>
      <c r="C19" s="75"/>
      <c r="D19" s="75"/>
      <c r="E19" s="75"/>
      <c r="F19" s="75"/>
      <c r="G19" s="75"/>
      <c r="H19" s="75"/>
      <c r="I19" s="75"/>
      <c r="J19" s="75"/>
    </row>
    <row r="20" spans="1:11" ht="22.5" customHeight="1" x14ac:dyDescent="0.15">
      <c r="B20" s="75"/>
      <c r="C20" s="75"/>
      <c r="D20" s="75"/>
      <c r="E20" s="75"/>
      <c r="F20" s="75"/>
      <c r="G20" s="75"/>
      <c r="H20" s="75"/>
      <c r="I20" s="75"/>
      <c r="J20" s="75"/>
    </row>
    <row r="21" spans="1:11" ht="22.5" customHeight="1" x14ac:dyDescent="0.15">
      <c r="B21" s="75"/>
      <c r="C21" s="75"/>
      <c r="D21" s="75"/>
      <c r="E21" s="75"/>
      <c r="F21" s="75"/>
      <c r="G21" s="75"/>
      <c r="H21" s="75"/>
      <c r="I21" s="75"/>
      <c r="J21" s="75"/>
    </row>
    <row r="22" spans="1:11" ht="22.5" customHeight="1" x14ac:dyDescent="0.15">
      <c r="B22" s="75"/>
      <c r="C22" s="75"/>
      <c r="D22" s="75"/>
      <c r="E22" s="75"/>
      <c r="F22" s="75"/>
      <c r="G22" s="75"/>
      <c r="H22" s="75"/>
      <c r="I22" s="75"/>
      <c r="J22" s="75"/>
    </row>
    <row r="23" spans="1:11" ht="22.5" customHeight="1" x14ac:dyDescent="0.15">
      <c r="B23" s="75"/>
      <c r="C23" s="75"/>
      <c r="D23" s="75"/>
      <c r="E23" s="75"/>
      <c r="F23" s="75"/>
      <c r="G23" s="75"/>
      <c r="H23" s="75"/>
      <c r="I23" s="75"/>
      <c r="J23" s="75"/>
    </row>
    <row r="24" spans="1:11" ht="22.5" customHeight="1" x14ac:dyDescent="0.15">
      <c r="B24" s="62"/>
      <c r="C24" s="62"/>
      <c r="D24" s="62"/>
      <c r="E24" s="62"/>
      <c r="F24" s="62"/>
      <c r="G24" s="62"/>
      <c r="H24" s="62"/>
      <c r="I24" s="62"/>
      <c r="J24" s="62"/>
    </row>
    <row r="25" spans="1:11" ht="22.5" customHeight="1" x14ac:dyDescent="0.15">
      <c r="B25" s="62"/>
      <c r="C25" s="62"/>
      <c r="D25" s="62"/>
      <c r="E25" s="62"/>
      <c r="F25" s="62"/>
      <c r="G25" s="62"/>
      <c r="H25" s="62"/>
      <c r="I25" s="62"/>
      <c r="J25" s="62"/>
    </row>
    <row r="26" spans="1:11" ht="22.5" customHeight="1" x14ac:dyDescent="0.15">
      <c r="B26" s="62"/>
      <c r="C26" s="62"/>
      <c r="D26" s="62"/>
      <c r="E26" s="62"/>
      <c r="F26" s="62"/>
      <c r="G26" s="62"/>
      <c r="H26" s="62"/>
      <c r="I26" s="62"/>
      <c r="J26" s="6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3"/>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scale="98" orientation="landscape" horizontalDpi="4294967293" r:id="rId2"/>
  <rowBreaks count="1" manualBreakCount="1">
    <brk id="1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election activeCell="K7" sqref="K7"/>
    </sheetView>
  </sheetViews>
  <sheetFormatPr defaultColWidth="11.375" defaultRowHeight="18.75" customHeight="1" x14ac:dyDescent="0.15"/>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x14ac:dyDescent="0.15">
      <c r="E1" s="380" t="s">
        <v>7</v>
      </c>
      <c r="F1" s="380"/>
    </row>
    <row r="2" spans="1:6" ht="18.75" customHeight="1" x14ac:dyDescent="0.15">
      <c r="A2" s="381" t="s">
        <v>148</v>
      </c>
      <c r="B2" s="381"/>
      <c r="C2" s="381"/>
      <c r="D2" s="381"/>
      <c r="E2" s="381"/>
      <c r="F2" s="381"/>
    </row>
    <row r="3" spans="1:6" ht="7.5" customHeight="1" x14ac:dyDescent="0.15">
      <c r="A3" s="16"/>
      <c r="B3" s="16"/>
      <c r="C3" s="16"/>
      <c r="D3" s="16"/>
      <c r="E3" s="16"/>
      <c r="F3" s="16"/>
    </row>
    <row r="4" spans="1:6" ht="18.75" customHeight="1" x14ac:dyDescent="0.15">
      <c r="A4" s="16" t="s">
        <v>6</v>
      </c>
      <c r="B4" s="2" t="s">
        <v>27</v>
      </c>
      <c r="C4" s="16"/>
      <c r="D4" s="16"/>
      <c r="E4" s="16"/>
      <c r="F4" s="16"/>
    </row>
    <row r="5" spans="1:6" ht="18.75" customHeight="1" x14ac:dyDescent="0.15">
      <c r="A5" s="16"/>
      <c r="B5" s="336"/>
      <c r="C5" s="382"/>
      <c r="D5" s="382"/>
      <c r="E5" s="382"/>
      <c r="F5" s="383"/>
    </row>
    <row r="6" spans="1:6" ht="18.75" customHeight="1" x14ac:dyDescent="0.15">
      <c r="A6" s="16"/>
      <c r="B6" s="384"/>
      <c r="C6" s="385"/>
      <c r="D6" s="385"/>
      <c r="E6" s="385"/>
      <c r="F6" s="386"/>
    </row>
    <row r="7" spans="1:6" ht="18.75" customHeight="1" x14ac:dyDescent="0.15">
      <c r="A7" s="16"/>
      <c r="B7" s="384"/>
      <c r="C7" s="385"/>
      <c r="D7" s="385"/>
      <c r="E7" s="385"/>
      <c r="F7" s="386"/>
    </row>
    <row r="8" spans="1:6" ht="18.75" customHeight="1" x14ac:dyDescent="0.15">
      <c r="A8" s="16"/>
      <c r="B8" s="384"/>
      <c r="C8" s="385"/>
      <c r="D8" s="385"/>
      <c r="E8" s="385"/>
      <c r="F8" s="386"/>
    </row>
    <row r="9" spans="1:6" ht="18.75" customHeight="1" x14ac:dyDescent="0.15">
      <c r="A9" s="16"/>
      <c r="B9" s="384"/>
      <c r="C9" s="385"/>
      <c r="D9" s="385"/>
      <c r="E9" s="385"/>
      <c r="F9" s="386"/>
    </row>
    <row r="10" spans="1:6" ht="18.75" customHeight="1" x14ac:dyDescent="0.15">
      <c r="A10" s="16"/>
      <c r="B10" s="384"/>
      <c r="C10" s="385"/>
      <c r="D10" s="385"/>
      <c r="E10" s="385"/>
      <c r="F10" s="386"/>
    </row>
    <row r="11" spans="1:6" ht="18.75" customHeight="1" x14ac:dyDescent="0.15">
      <c r="A11" s="16"/>
      <c r="B11" s="384"/>
      <c r="C11" s="385"/>
      <c r="D11" s="385"/>
      <c r="E11" s="385"/>
      <c r="F11" s="386"/>
    </row>
    <row r="12" spans="1:6" ht="18.75" customHeight="1" x14ac:dyDescent="0.15">
      <c r="A12" s="16"/>
      <c r="B12" s="384"/>
      <c r="C12" s="385"/>
      <c r="D12" s="385"/>
      <c r="E12" s="385"/>
      <c r="F12" s="386"/>
    </row>
    <row r="13" spans="1:6" ht="18.75" customHeight="1" x14ac:dyDescent="0.15">
      <c r="A13" s="16"/>
      <c r="B13" s="384"/>
      <c r="C13" s="385"/>
      <c r="D13" s="385"/>
      <c r="E13" s="385"/>
      <c r="F13" s="386"/>
    </row>
    <row r="14" spans="1:6" ht="18.75" customHeight="1" x14ac:dyDescent="0.15">
      <c r="A14" s="16"/>
      <c r="B14" s="384"/>
      <c r="C14" s="385"/>
      <c r="D14" s="385"/>
      <c r="E14" s="385"/>
      <c r="F14" s="386"/>
    </row>
    <row r="15" spans="1:6" ht="18.75" customHeight="1" x14ac:dyDescent="0.15">
      <c r="A15" s="16"/>
      <c r="B15" s="384"/>
      <c r="C15" s="385"/>
      <c r="D15" s="385"/>
      <c r="E15" s="385"/>
      <c r="F15" s="386"/>
    </row>
    <row r="16" spans="1:6" ht="18.75" customHeight="1" x14ac:dyDescent="0.15">
      <c r="A16" s="16"/>
      <c r="B16" s="384"/>
      <c r="C16" s="385"/>
      <c r="D16" s="385"/>
      <c r="E16" s="385"/>
      <c r="F16" s="386"/>
    </row>
    <row r="17" spans="1:6" ht="18.75" customHeight="1" x14ac:dyDescent="0.15">
      <c r="A17" s="16"/>
      <c r="B17" s="384"/>
      <c r="C17" s="385"/>
      <c r="D17" s="385"/>
      <c r="E17" s="385"/>
      <c r="F17" s="386"/>
    </row>
    <row r="18" spans="1:6" ht="18.75" customHeight="1" x14ac:dyDescent="0.15">
      <c r="A18" s="16"/>
      <c r="B18" s="384"/>
      <c r="C18" s="385"/>
      <c r="D18" s="385"/>
      <c r="E18" s="385"/>
      <c r="F18" s="386"/>
    </row>
    <row r="19" spans="1:6" ht="18.75" customHeight="1" x14ac:dyDescent="0.15">
      <c r="A19" s="16"/>
      <c r="B19" s="384"/>
      <c r="C19" s="385"/>
      <c r="D19" s="385"/>
      <c r="E19" s="385"/>
      <c r="F19" s="386"/>
    </row>
    <row r="20" spans="1:6" ht="18.75" customHeight="1" x14ac:dyDescent="0.15">
      <c r="A20" s="16"/>
      <c r="B20" s="384"/>
      <c r="C20" s="385"/>
      <c r="D20" s="385"/>
      <c r="E20" s="385"/>
      <c r="F20" s="386"/>
    </row>
    <row r="21" spans="1:6" ht="18.75" customHeight="1" x14ac:dyDescent="0.15">
      <c r="A21" s="16"/>
      <c r="B21" s="384"/>
      <c r="C21" s="385"/>
      <c r="D21" s="385"/>
      <c r="E21" s="385"/>
      <c r="F21" s="386"/>
    </row>
    <row r="22" spans="1:6" ht="18.75" customHeight="1" x14ac:dyDescent="0.15">
      <c r="A22" s="16"/>
      <c r="B22" s="384"/>
      <c r="C22" s="385"/>
      <c r="D22" s="385"/>
      <c r="E22" s="385"/>
      <c r="F22" s="386"/>
    </row>
    <row r="23" spans="1:6" ht="18.75" customHeight="1" x14ac:dyDescent="0.15">
      <c r="A23" s="16"/>
      <c r="B23" s="384"/>
      <c r="C23" s="385"/>
      <c r="D23" s="385"/>
      <c r="E23" s="385"/>
      <c r="F23" s="386"/>
    </row>
    <row r="24" spans="1:6" ht="18.75" customHeight="1" x14ac:dyDescent="0.15">
      <c r="A24" s="16"/>
      <c r="B24" s="384"/>
      <c r="C24" s="385"/>
      <c r="D24" s="385"/>
      <c r="E24" s="385"/>
      <c r="F24" s="386"/>
    </row>
    <row r="25" spans="1:6" ht="18.75" customHeight="1" x14ac:dyDescent="0.15">
      <c r="A25" s="16"/>
      <c r="B25" s="384"/>
      <c r="C25" s="385"/>
      <c r="D25" s="385"/>
      <c r="E25" s="385"/>
      <c r="F25" s="386"/>
    </row>
    <row r="26" spans="1:6" ht="18.75" customHeight="1" x14ac:dyDescent="0.15">
      <c r="A26" s="16"/>
      <c r="B26" s="384"/>
      <c r="C26" s="385"/>
      <c r="D26" s="385"/>
      <c r="E26" s="385"/>
      <c r="F26" s="386"/>
    </row>
    <row r="27" spans="1:6" ht="18.75" customHeight="1" x14ac:dyDescent="0.15">
      <c r="A27" s="16"/>
      <c r="B27" s="384"/>
      <c r="C27" s="385"/>
      <c r="D27" s="385"/>
      <c r="E27" s="385"/>
      <c r="F27" s="386"/>
    </row>
    <row r="28" spans="1:6" ht="18.75" customHeight="1" x14ac:dyDescent="0.15">
      <c r="A28" s="16"/>
      <c r="B28" s="384"/>
      <c r="C28" s="385"/>
      <c r="D28" s="385"/>
      <c r="E28" s="385"/>
      <c r="F28" s="386"/>
    </row>
    <row r="29" spans="1:6" ht="18.75" customHeight="1" x14ac:dyDescent="0.15">
      <c r="A29" s="16"/>
      <c r="B29" s="384"/>
      <c r="C29" s="385"/>
      <c r="D29" s="385"/>
      <c r="E29" s="385"/>
      <c r="F29" s="386"/>
    </row>
    <row r="30" spans="1:6" ht="18.75" customHeight="1" x14ac:dyDescent="0.15">
      <c r="A30" s="16"/>
      <c r="B30" s="384"/>
      <c r="C30" s="385"/>
      <c r="D30" s="385"/>
      <c r="E30" s="385"/>
      <c r="F30" s="386"/>
    </row>
    <row r="31" spans="1:6" ht="18.75" customHeight="1" x14ac:dyDescent="0.15">
      <c r="A31" s="16"/>
      <c r="B31" s="384"/>
      <c r="C31" s="385"/>
      <c r="D31" s="385"/>
      <c r="E31" s="385"/>
      <c r="F31" s="386"/>
    </row>
    <row r="32" spans="1:6" ht="18.75" customHeight="1" x14ac:dyDescent="0.15">
      <c r="A32" s="16"/>
      <c r="B32" s="384"/>
      <c r="C32" s="385"/>
      <c r="D32" s="385"/>
      <c r="E32" s="385"/>
      <c r="F32" s="386"/>
    </row>
    <row r="33" spans="1:6" ht="18.75" customHeight="1" x14ac:dyDescent="0.15">
      <c r="A33" s="16"/>
      <c r="B33" s="384"/>
      <c r="C33" s="385"/>
      <c r="D33" s="385"/>
      <c r="E33" s="385"/>
      <c r="F33" s="386"/>
    </row>
    <row r="34" spans="1:6" ht="18.75" customHeight="1" x14ac:dyDescent="0.15">
      <c r="A34" s="16"/>
      <c r="B34" s="384"/>
      <c r="C34" s="385"/>
      <c r="D34" s="385"/>
      <c r="E34" s="385"/>
      <c r="F34" s="386"/>
    </row>
    <row r="35" spans="1:6" ht="18.75" customHeight="1" x14ac:dyDescent="0.15">
      <c r="A35" s="16"/>
      <c r="B35" s="384"/>
      <c r="C35" s="385"/>
      <c r="D35" s="385"/>
      <c r="E35" s="385"/>
      <c r="F35" s="386"/>
    </row>
    <row r="36" spans="1:6" ht="18.75" customHeight="1" x14ac:dyDescent="0.15">
      <c r="A36" s="16"/>
      <c r="B36" s="384"/>
      <c r="C36" s="385"/>
      <c r="D36" s="385"/>
      <c r="E36" s="385"/>
      <c r="F36" s="386"/>
    </row>
    <row r="37" spans="1:6" ht="18.75" customHeight="1" x14ac:dyDescent="0.15">
      <c r="A37" s="16"/>
      <c r="B37" s="384"/>
      <c r="C37" s="385"/>
      <c r="D37" s="385"/>
      <c r="E37" s="385"/>
      <c r="F37" s="386"/>
    </row>
    <row r="38" spans="1:6" ht="18.75" customHeight="1" x14ac:dyDescent="0.15">
      <c r="A38" s="16"/>
      <c r="B38" s="384"/>
      <c r="C38" s="385"/>
      <c r="D38" s="385"/>
      <c r="E38" s="385"/>
      <c r="F38" s="386"/>
    </row>
    <row r="39" spans="1:6" ht="18.75" customHeight="1" x14ac:dyDescent="0.15">
      <c r="A39" s="16"/>
      <c r="B39" s="384"/>
      <c r="C39" s="385"/>
      <c r="D39" s="385"/>
      <c r="E39" s="385"/>
      <c r="F39" s="386"/>
    </row>
    <row r="40" spans="1:6" ht="18.75" customHeight="1" x14ac:dyDescent="0.15">
      <c r="A40" s="16"/>
      <c r="B40" s="384"/>
      <c r="C40" s="385"/>
      <c r="D40" s="385"/>
      <c r="E40" s="385"/>
      <c r="F40" s="386"/>
    </row>
    <row r="41" spans="1:6" ht="18.75" customHeight="1" x14ac:dyDescent="0.15">
      <c r="A41" s="16"/>
      <c r="B41" s="384"/>
      <c r="C41" s="385"/>
      <c r="D41" s="385"/>
      <c r="E41" s="385"/>
      <c r="F41" s="386"/>
    </row>
    <row r="42" spans="1:6" ht="18.75" customHeight="1" x14ac:dyDescent="0.15">
      <c r="A42" s="16"/>
      <c r="B42" s="387"/>
      <c r="C42" s="388"/>
      <c r="D42" s="388"/>
      <c r="E42" s="388"/>
      <c r="F42" s="389"/>
    </row>
    <row r="43" spans="1:6" ht="18.75" customHeight="1" x14ac:dyDescent="0.15">
      <c r="A43" s="16" t="s">
        <v>10</v>
      </c>
      <c r="B43" s="2" t="s">
        <v>71</v>
      </c>
      <c r="C43" s="16"/>
      <c r="D43" s="16"/>
      <c r="E43" s="16"/>
      <c r="F43" s="16"/>
    </row>
    <row r="44" spans="1:6" ht="18.75" customHeight="1" x14ac:dyDescent="0.15">
      <c r="A44" s="16"/>
      <c r="B44" s="336"/>
      <c r="C44" s="390"/>
      <c r="D44" s="390"/>
      <c r="E44" s="390"/>
      <c r="F44" s="391"/>
    </row>
    <row r="45" spans="1:6" ht="18.75" customHeight="1" x14ac:dyDescent="0.15">
      <c r="A45" s="16"/>
      <c r="B45" s="392"/>
      <c r="C45" s="393"/>
      <c r="D45" s="393"/>
      <c r="E45" s="393"/>
      <c r="F45" s="394"/>
    </row>
    <row r="46" spans="1:6" ht="18.75" customHeight="1" x14ac:dyDescent="0.15">
      <c r="A46" s="16"/>
      <c r="B46" s="392"/>
      <c r="C46" s="393"/>
      <c r="D46" s="393"/>
      <c r="E46" s="393"/>
      <c r="F46" s="394"/>
    </row>
    <row r="47" spans="1:6" ht="18.75" customHeight="1" x14ac:dyDescent="0.15">
      <c r="A47" s="16"/>
      <c r="B47" s="392"/>
      <c r="C47" s="393"/>
      <c r="D47" s="393"/>
      <c r="E47" s="393"/>
      <c r="F47" s="394"/>
    </row>
    <row r="48" spans="1:6" ht="18.75" customHeight="1" x14ac:dyDescent="0.15">
      <c r="A48" s="16"/>
      <c r="B48" s="392"/>
      <c r="C48" s="393"/>
      <c r="D48" s="393"/>
      <c r="E48" s="393"/>
      <c r="F48" s="394"/>
    </row>
    <row r="49" spans="1:6" ht="18.75" customHeight="1" x14ac:dyDescent="0.15">
      <c r="A49" s="16"/>
      <c r="B49" s="392"/>
      <c r="C49" s="393"/>
      <c r="D49" s="393"/>
      <c r="E49" s="393"/>
      <c r="F49" s="394"/>
    </row>
    <row r="50" spans="1:6" ht="18.75" customHeight="1" x14ac:dyDescent="0.15">
      <c r="A50" s="16"/>
      <c r="B50" s="392"/>
      <c r="C50" s="393"/>
      <c r="D50" s="393"/>
      <c r="E50" s="393"/>
      <c r="F50" s="394"/>
    </row>
    <row r="51" spans="1:6" ht="18.75" customHeight="1" x14ac:dyDescent="0.15">
      <c r="A51" s="16"/>
      <c r="B51" s="392"/>
      <c r="C51" s="393"/>
      <c r="D51" s="393"/>
      <c r="E51" s="393"/>
      <c r="F51" s="394"/>
    </row>
    <row r="52" spans="1:6" ht="18.75" customHeight="1" x14ac:dyDescent="0.15">
      <c r="A52" s="16"/>
      <c r="B52" s="392"/>
      <c r="C52" s="393"/>
      <c r="D52" s="393"/>
      <c r="E52" s="393"/>
      <c r="F52" s="394"/>
    </row>
    <row r="53" spans="1:6" ht="18.75" customHeight="1" x14ac:dyDescent="0.15">
      <c r="A53" s="16"/>
      <c r="B53" s="392"/>
      <c r="C53" s="393"/>
      <c r="D53" s="393"/>
      <c r="E53" s="393"/>
      <c r="F53" s="394"/>
    </row>
    <row r="54" spans="1:6" ht="18.75" customHeight="1" x14ac:dyDescent="0.15">
      <c r="A54" s="16"/>
      <c r="B54" s="392"/>
      <c r="C54" s="393"/>
      <c r="D54" s="393"/>
      <c r="E54" s="393"/>
      <c r="F54" s="394"/>
    </row>
    <row r="55" spans="1:6" ht="18.75" customHeight="1" x14ac:dyDescent="0.15">
      <c r="A55" s="16"/>
      <c r="B55" s="392"/>
      <c r="C55" s="393"/>
      <c r="D55" s="393"/>
      <c r="E55" s="393"/>
      <c r="F55" s="394"/>
    </row>
    <row r="56" spans="1:6" ht="18.75" customHeight="1" x14ac:dyDescent="0.15">
      <c r="A56" s="16"/>
      <c r="B56" s="392"/>
      <c r="C56" s="393"/>
      <c r="D56" s="393"/>
      <c r="E56" s="393"/>
      <c r="F56" s="394"/>
    </row>
    <row r="57" spans="1:6" ht="18.75" customHeight="1" x14ac:dyDescent="0.15">
      <c r="A57" s="16"/>
      <c r="B57" s="392"/>
      <c r="C57" s="393"/>
      <c r="D57" s="393"/>
      <c r="E57" s="393"/>
      <c r="F57" s="394"/>
    </row>
    <row r="58" spans="1:6" ht="18.75" customHeight="1" x14ac:dyDescent="0.15">
      <c r="A58" s="16"/>
      <c r="B58" s="392"/>
      <c r="C58" s="393"/>
      <c r="D58" s="393"/>
      <c r="E58" s="393"/>
      <c r="F58" s="394"/>
    </row>
    <row r="59" spans="1:6" ht="18.75" customHeight="1" x14ac:dyDescent="0.15">
      <c r="A59" s="16"/>
      <c r="B59" s="392"/>
      <c r="C59" s="393"/>
      <c r="D59" s="393"/>
      <c r="E59" s="393"/>
      <c r="F59" s="394"/>
    </row>
    <row r="60" spans="1:6" ht="18.75" customHeight="1" x14ac:dyDescent="0.15">
      <c r="A60" s="16"/>
      <c r="B60" s="392"/>
      <c r="C60" s="393"/>
      <c r="D60" s="393"/>
      <c r="E60" s="393"/>
      <c r="F60" s="394"/>
    </row>
    <row r="61" spans="1:6" ht="18.75" customHeight="1" x14ac:dyDescent="0.15">
      <c r="A61" s="16"/>
      <c r="B61" s="392"/>
      <c r="C61" s="393"/>
      <c r="D61" s="393"/>
      <c r="E61" s="393"/>
      <c r="F61" s="394"/>
    </row>
    <row r="62" spans="1:6" ht="18.75" customHeight="1" x14ac:dyDescent="0.15">
      <c r="A62" s="16"/>
      <c r="B62" s="392"/>
      <c r="C62" s="393"/>
      <c r="D62" s="393"/>
      <c r="E62" s="393"/>
      <c r="F62" s="394"/>
    </row>
    <row r="63" spans="1:6" ht="18.75" customHeight="1" x14ac:dyDescent="0.15">
      <c r="A63" s="16"/>
      <c r="B63" s="392"/>
      <c r="C63" s="393"/>
      <c r="D63" s="393"/>
      <c r="E63" s="393"/>
      <c r="F63" s="394"/>
    </row>
    <row r="64" spans="1:6" ht="18.75" customHeight="1" x14ac:dyDescent="0.15">
      <c r="A64" s="16"/>
      <c r="B64" s="392"/>
      <c r="C64" s="393"/>
      <c r="D64" s="393"/>
      <c r="E64" s="393"/>
      <c r="F64" s="394"/>
    </row>
    <row r="65" spans="1:6" ht="18.75" customHeight="1" x14ac:dyDescent="0.15">
      <c r="A65" s="16"/>
      <c r="B65" s="392"/>
      <c r="C65" s="393"/>
      <c r="D65" s="393"/>
      <c r="E65" s="393"/>
      <c r="F65" s="394"/>
    </row>
    <row r="66" spans="1:6" ht="18.75" customHeight="1" x14ac:dyDescent="0.15">
      <c r="A66" s="16"/>
      <c r="B66" s="392"/>
      <c r="C66" s="393"/>
      <c r="D66" s="393"/>
      <c r="E66" s="393"/>
      <c r="F66" s="394"/>
    </row>
    <row r="67" spans="1:6" ht="18.75" customHeight="1" x14ac:dyDescent="0.15">
      <c r="A67" s="16"/>
      <c r="B67" s="392"/>
      <c r="C67" s="393"/>
      <c r="D67" s="393"/>
      <c r="E67" s="393"/>
      <c r="F67" s="394"/>
    </row>
    <row r="68" spans="1:6" ht="18.75" customHeight="1" x14ac:dyDescent="0.15">
      <c r="A68" s="16"/>
      <c r="B68" s="392"/>
      <c r="C68" s="393"/>
      <c r="D68" s="393"/>
      <c r="E68" s="393"/>
      <c r="F68" s="394"/>
    </row>
    <row r="69" spans="1:6" ht="18.75" customHeight="1" x14ac:dyDescent="0.15">
      <c r="A69" s="16"/>
      <c r="B69" s="392"/>
      <c r="C69" s="393"/>
      <c r="D69" s="393"/>
      <c r="E69" s="393"/>
      <c r="F69" s="394"/>
    </row>
    <row r="70" spans="1:6" ht="18.75" customHeight="1" x14ac:dyDescent="0.15">
      <c r="A70" s="16"/>
      <c r="B70" s="392"/>
      <c r="C70" s="393"/>
      <c r="D70" s="393"/>
      <c r="E70" s="393"/>
      <c r="F70" s="394"/>
    </row>
    <row r="71" spans="1:6" ht="18.75" customHeight="1" x14ac:dyDescent="0.15">
      <c r="A71" s="16"/>
      <c r="B71" s="392"/>
      <c r="C71" s="393"/>
      <c r="D71" s="393"/>
      <c r="E71" s="393"/>
      <c r="F71" s="394"/>
    </row>
    <row r="72" spans="1:6" ht="18.75" customHeight="1" x14ac:dyDescent="0.15">
      <c r="A72" s="16"/>
      <c r="B72" s="392"/>
      <c r="C72" s="393"/>
      <c r="D72" s="393"/>
      <c r="E72" s="393"/>
      <c r="F72" s="394"/>
    </row>
    <row r="73" spans="1:6" ht="18.75" customHeight="1" x14ac:dyDescent="0.15">
      <c r="A73" s="16"/>
      <c r="B73" s="392"/>
      <c r="C73" s="393"/>
      <c r="D73" s="393"/>
      <c r="E73" s="393"/>
      <c r="F73" s="394"/>
    </row>
    <row r="74" spans="1:6" ht="18.75" customHeight="1" x14ac:dyDescent="0.15">
      <c r="A74" s="16"/>
      <c r="B74" s="392"/>
      <c r="C74" s="393"/>
      <c r="D74" s="393"/>
      <c r="E74" s="393"/>
      <c r="F74" s="394"/>
    </row>
    <row r="75" spans="1:6" ht="18.75" customHeight="1" x14ac:dyDescent="0.15">
      <c r="A75" s="16"/>
      <c r="B75" s="392"/>
      <c r="C75" s="393"/>
      <c r="D75" s="393"/>
      <c r="E75" s="393"/>
      <c r="F75" s="394"/>
    </row>
    <row r="76" spans="1:6" ht="18.75" customHeight="1" x14ac:dyDescent="0.15">
      <c r="A76" s="16"/>
      <c r="B76" s="392"/>
      <c r="C76" s="393"/>
      <c r="D76" s="393"/>
      <c r="E76" s="393"/>
      <c r="F76" s="394"/>
    </row>
    <row r="77" spans="1:6" ht="18.75" customHeight="1" x14ac:dyDescent="0.15">
      <c r="A77" s="16"/>
      <c r="B77" s="392"/>
      <c r="C77" s="393"/>
      <c r="D77" s="393"/>
      <c r="E77" s="393"/>
      <c r="F77" s="394"/>
    </row>
    <row r="78" spans="1:6" ht="18.75" customHeight="1" x14ac:dyDescent="0.15">
      <c r="A78" s="16"/>
      <c r="B78" s="392"/>
      <c r="C78" s="393"/>
      <c r="D78" s="393"/>
      <c r="E78" s="393"/>
      <c r="F78" s="394"/>
    </row>
    <row r="79" spans="1:6" ht="18.75" customHeight="1" x14ac:dyDescent="0.15">
      <c r="A79" s="16"/>
      <c r="B79" s="392"/>
      <c r="C79" s="393"/>
      <c r="D79" s="393"/>
      <c r="E79" s="393"/>
      <c r="F79" s="394"/>
    </row>
    <row r="80" spans="1:6" ht="18.75" customHeight="1" x14ac:dyDescent="0.15">
      <c r="A80" s="16"/>
      <c r="B80" s="392"/>
      <c r="C80" s="393"/>
      <c r="D80" s="393"/>
      <c r="E80" s="393"/>
      <c r="F80" s="394"/>
    </row>
    <row r="81" spans="1:6" ht="18.75" customHeight="1" x14ac:dyDescent="0.15">
      <c r="A81" s="16"/>
      <c r="B81" s="392"/>
      <c r="C81" s="393"/>
      <c r="D81" s="393"/>
      <c r="E81" s="393"/>
      <c r="F81" s="394"/>
    </row>
    <row r="82" spans="1:6" ht="18.75" customHeight="1" x14ac:dyDescent="0.15">
      <c r="A82" s="16"/>
      <c r="B82" s="392"/>
      <c r="C82" s="393"/>
      <c r="D82" s="393"/>
      <c r="E82" s="393"/>
      <c r="F82" s="394"/>
    </row>
    <row r="83" spans="1:6" ht="18.75" customHeight="1" x14ac:dyDescent="0.15">
      <c r="A83" s="16"/>
      <c r="B83" s="395"/>
      <c r="C83" s="396"/>
      <c r="D83" s="396"/>
      <c r="E83" s="396"/>
      <c r="F83" s="397"/>
    </row>
    <row r="84" spans="1:6" ht="18.75" customHeight="1" x14ac:dyDescent="0.15">
      <c r="A84" s="2" t="s">
        <v>11</v>
      </c>
      <c r="B84" s="2" t="s">
        <v>72</v>
      </c>
      <c r="C84" s="2"/>
      <c r="D84" s="2"/>
      <c r="E84" s="2"/>
      <c r="F84" s="2"/>
    </row>
    <row r="85" spans="1:6" ht="18.75" customHeight="1" x14ac:dyDescent="0.15">
      <c r="A85" s="16"/>
      <c r="B85" s="336"/>
      <c r="C85" s="390"/>
      <c r="D85" s="390"/>
      <c r="E85" s="390"/>
      <c r="F85" s="391"/>
    </row>
    <row r="86" spans="1:6" ht="18.75" customHeight="1" x14ac:dyDescent="0.15">
      <c r="A86" s="16"/>
      <c r="B86" s="392"/>
      <c r="C86" s="393"/>
      <c r="D86" s="393"/>
      <c r="E86" s="393"/>
      <c r="F86" s="394"/>
    </row>
    <row r="87" spans="1:6" ht="18.75" customHeight="1" x14ac:dyDescent="0.15">
      <c r="A87" s="16"/>
      <c r="B87" s="392"/>
      <c r="C87" s="393"/>
      <c r="D87" s="393"/>
      <c r="E87" s="393"/>
      <c r="F87" s="394"/>
    </row>
    <row r="88" spans="1:6" ht="18.75" customHeight="1" x14ac:dyDescent="0.15">
      <c r="A88" s="16"/>
      <c r="B88" s="392"/>
      <c r="C88" s="393"/>
      <c r="D88" s="393"/>
      <c r="E88" s="393"/>
      <c r="F88" s="394"/>
    </row>
    <row r="89" spans="1:6" ht="18.75" customHeight="1" x14ac:dyDescent="0.15">
      <c r="A89" s="16"/>
      <c r="B89" s="392"/>
      <c r="C89" s="393"/>
      <c r="D89" s="393"/>
      <c r="E89" s="393"/>
      <c r="F89" s="394"/>
    </row>
    <row r="90" spans="1:6" ht="18.75" customHeight="1" x14ac:dyDescent="0.15">
      <c r="A90" s="16"/>
      <c r="B90" s="392"/>
      <c r="C90" s="393"/>
      <c r="D90" s="393"/>
      <c r="E90" s="393"/>
      <c r="F90" s="394"/>
    </row>
    <row r="91" spans="1:6" ht="18.75" customHeight="1" x14ac:dyDescent="0.15">
      <c r="A91" s="16"/>
      <c r="B91" s="392"/>
      <c r="C91" s="393"/>
      <c r="D91" s="393"/>
      <c r="E91" s="393"/>
      <c r="F91" s="394"/>
    </row>
    <row r="92" spans="1:6" ht="18.75" customHeight="1" x14ac:dyDescent="0.15">
      <c r="A92" s="16"/>
      <c r="B92" s="392"/>
      <c r="C92" s="393"/>
      <c r="D92" s="393"/>
      <c r="E92" s="393"/>
      <c r="F92" s="394"/>
    </row>
    <row r="93" spans="1:6" ht="18.75" customHeight="1" x14ac:dyDescent="0.15">
      <c r="A93" s="16"/>
      <c r="B93" s="392"/>
      <c r="C93" s="393"/>
      <c r="D93" s="393"/>
      <c r="E93" s="393"/>
      <c r="F93" s="394"/>
    </row>
    <row r="94" spans="1:6" ht="18.75" customHeight="1" x14ac:dyDescent="0.15">
      <c r="A94" s="16"/>
      <c r="B94" s="392"/>
      <c r="C94" s="393"/>
      <c r="D94" s="393"/>
      <c r="E94" s="393"/>
      <c r="F94" s="394"/>
    </row>
    <row r="95" spans="1:6" ht="18.75" customHeight="1" x14ac:dyDescent="0.15">
      <c r="A95" s="16"/>
      <c r="B95" s="392"/>
      <c r="C95" s="393"/>
      <c r="D95" s="393"/>
      <c r="E95" s="393"/>
      <c r="F95" s="394"/>
    </row>
    <row r="96" spans="1:6" ht="18.75" customHeight="1" x14ac:dyDescent="0.15">
      <c r="A96" s="16"/>
      <c r="B96" s="392"/>
      <c r="C96" s="393"/>
      <c r="D96" s="393"/>
      <c r="E96" s="393"/>
      <c r="F96" s="394"/>
    </row>
    <row r="97" spans="1:6" ht="18.75" customHeight="1" x14ac:dyDescent="0.15">
      <c r="A97" s="16"/>
      <c r="B97" s="392"/>
      <c r="C97" s="393"/>
      <c r="D97" s="393"/>
      <c r="E97" s="393"/>
      <c r="F97" s="394"/>
    </row>
    <row r="98" spans="1:6" ht="18.75" customHeight="1" x14ac:dyDescent="0.15">
      <c r="A98" s="16"/>
      <c r="B98" s="392"/>
      <c r="C98" s="393"/>
      <c r="D98" s="393"/>
      <c r="E98" s="393"/>
      <c r="F98" s="394"/>
    </row>
    <row r="99" spans="1:6" ht="18.75" customHeight="1" x14ac:dyDescent="0.15">
      <c r="A99" s="16"/>
      <c r="B99" s="392"/>
      <c r="C99" s="393"/>
      <c r="D99" s="393"/>
      <c r="E99" s="393"/>
      <c r="F99" s="394"/>
    </row>
    <row r="100" spans="1:6" ht="18.75" customHeight="1" x14ac:dyDescent="0.15">
      <c r="A100" s="16"/>
      <c r="B100" s="392"/>
      <c r="C100" s="393"/>
      <c r="D100" s="393"/>
      <c r="E100" s="393"/>
      <c r="F100" s="394"/>
    </row>
    <row r="101" spans="1:6" ht="18.75" customHeight="1" x14ac:dyDescent="0.15">
      <c r="A101" s="16"/>
      <c r="B101" s="392"/>
      <c r="C101" s="393"/>
      <c r="D101" s="393"/>
      <c r="E101" s="393"/>
      <c r="F101" s="394"/>
    </row>
    <row r="102" spans="1:6" ht="18.75" customHeight="1" x14ac:dyDescent="0.15">
      <c r="A102" s="16"/>
      <c r="B102" s="392"/>
      <c r="C102" s="393"/>
      <c r="D102" s="393"/>
      <c r="E102" s="393"/>
      <c r="F102" s="394"/>
    </row>
    <row r="103" spans="1:6" ht="18.75" customHeight="1" x14ac:dyDescent="0.15">
      <c r="A103" s="16"/>
      <c r="B103" s="392"/>
      <c r="C103" s="393"/>
      <c r="D103" s="393"/>
      <c r="E103" s="393"/>
      <c r="F103" s="394"/>
    </row>
    <row r="104" spans="1:6" ht="18.75" customHeight="1" x14ac:dyDescent="0.15">
      <c r="A104" s="16"/>
      <c r="B104" s="392"/>
      <c r="C104" s="393"/>
      <c r="D104" s="393"/>
      <c r="E104" s="393"/>
      <c r="F104" s="394"/>
    </row>
    <row r="105" spans="1:6" ht="18.75" customHeight="1" x14ac:dyDescent="0.15">
      <c r="A105" s="16"/>
      <c r="B105" s="392"/>
      <c r="C105" s="393"/>
      <c r="D105" s="393"/>
      <c r="E105" s="393"/>
      <c r="F105" s="394"/>
    </row>
    <row r="106" spans="1:6" ht="18.75" customHeight="1" x14ac:dyDescent="0.15">
      <c r="A106" s="16"/>
      <c r="B106" s="392"/>
      <c r="C106" s="393"/>
      <c r="D106" s="393"/>
      <c r="E106" s="393"/>
      <c r="F106" s="394"/>
    </row>
    <row r="107" spans="1:6" ht="18.75" customHeight="1" x14ac:dyDescent="0.15">
      <c r="A107" s="16"/>
      <c r="B107" s="392"/>
      <c r="C107" s="393"/>
      <c r="D107" s="393"/>
      <c r="E107" s="393"/>
      <c r="F107" s="394"/>
    </row>
    <row r="108" spans="1:6" ht="18.75" customHeight="1" x14ac:dyDescent="0.15">
      <c r="A108" s="16"/>
      <c r="B108" s="392"/>
      <c r="C108" s="393"/>
      <c r="D108" s="393"/>
      <c r="E108" s="393"/>
      <c r="F108" s="394"/>
    </row>
    <row r="109" spans="1:6" ht="18.75" customHeight="1" x14ac:dyDescent="0.15">
      <c r="A109" s="16"/>
      <c r="B109" s="392"/>
      <c r="C109" s="393"/>
      <c r="D109" s="393"/>
      <c r="E109" s="393"/>
      <c r="F109" s="394"/>
    </row>
    <row r="110" spans="1:6" ht="18.75" customHeight="1" x14ac:dyDescent="0.15">
      <c r="A110" s="16"/>
      <c r="B110" s="392"/>
      <c r="C110" s="393"/>
      <c r="D110" s="393"/>
      <c r="E110" s="393"/>
      <c r="F110" s="394"/>
    </row>
    <row r="111" spans="1:6" ht="18.75" customHeight="1" x14ac:dyDescent="0.15">
      <c r="A111" s="16"/>
      <c r="B111" s="392"/>
      <c r="C111" s="393"/>
      <c r="D111" s="393"/>
      <c r="E111" s="393"/>
      <c r="F111" s="394"/>
    </row>
    <row r="112" spans="1:6" ht="18.75" customHeight="1" x14ac:dyDescent="0.15">
      <c r="A112" s="16"/>
      <c r="B112" s="392"/>
      <c r="C112" s="393"/>
      <c r="D112" s="393"/>
      <c r="E112" s="393"/>
      <c r="F112" s="394"/>
    </row>
    <row r="113" spans="1:6" ht="18.75" customHeight="1" x14ac:dyDescent="0.15">
      <c r="A113" s="16"/>
      <c r="B113" s="392"/>
      <c r="C113" s="393"/>
      <c r="D113" s="393"/>
      <c r="E113" s="393"/>
      <c r="F113" s="394"/>
    </row>
    <row r="114" spans="1:6" ht="18.75" customHeight="1" x14ac:dyDescent="0.15">
      <c r="A114" s="16"/>
      <c r="B114" s="392"/>
      <c r="C114" s="393"/>
      <c r="D114" s="393"/>
      <c r="E114" s="393"/>
      <c r="F114" s="394"/>
    </row>
    <row r="115" spans="1:6" ht="18.75" customHeight="1" x14ac:dyDescent="0.15">
      <c r="A115" s="16"/>
      <c r="B115" s="392"/>
      <c r="C115" s="393"/>
      <c r="D115" s="393"/>
      <c r="E115" s="393"/>
      <c r="F115" s="394"/>
    </row>
    <row r="116" spans="1:6" ht="18.75" customHeight="1" x14ac:dyDescent="0.15">
      <c r="A116" s="16"/>
      <c r="B116" s="392"/>
      <c r="C116" s="393"/>
      <c r="D116" s="393"/>
      <c r="E116" s="393"/>
      <c r="F116" s="394"/>
    </row>
    <row r="117" spans="1:6" ht="18.75" customHeight="1" x14ac:dyDescent="0.15">
      <c r="A117" s="16"/>
      <c r="B117" s="392"/>
      <c r="C117" s="393"/>
      <c r="D117" s="393"/>
      <c r="E117" s="393"/>
      <c r="F117" s="394"/>
    </row>
    <row r="118" spans="1:6" ht="18.75" customHeight="1" x14ac:dyDescent="0.15">
      <c r="A118" s="16"/>
      <c r="B118" s="392"/>
      <c r="C118" s="393"/>
      <c r="D118" s="393"/>
      <c r="E118" s="393"/>
      <c r="F118" s="394"/>
    </row>
    <row r="119" spans="1:6" ht="18.75" customHeight="1" x14ac:dyDescent="0.15">
      <c r="A119" s="16"/>
      <c r="B119" s="392"/>
      <c r="C119" s="393"/>
      <c r="D119" s="393"/>
      <c r="E119" s="393"/>
      <c r="F119" s="394"/>
    </row>
    <row r="120" spans="1:6" ht="18.75" customHeight="1" x14ac:dyDescent="0.15">
      <c r="A120" s="16"/>
      <c r="B120" s="392"/>
      <c r="C120" s="393"/>
      <c r="D120" s="393"/>
      <c r="E120" s="393"/>
      <c r="F120" s="394"/>
    </row>
    <row r="121" spans="1:6" ht="18.75" customHeight="1" x14ac:dyDescent="0.15">
      <c r="A121" s="16"/>
      <c r="B121" s="392"/>
      <c r="C121" s="393"/>
      <c r="D121" s="393"/>
      <c r="E121" s="393"/>
      <c r="F121" s="394"/>
    </row>
    <row r="122" spans="1:6" ht="18.75" customHeight="1" x14ac:dyDescent="0.15">
      <c r="A122" s="16"/>
      <c r="B122" s="392"/>
      <c r="C122" s="393"/>
      <c r="D122" s="393"/>
      <c r="E122" s="393"/>
      <c r="F122" s="394"/>
    </row>
    <row r="123" spans="1:6" ht="18.75" customHeight="1" x14ac:dyDescent="0.15">
      <c r="A123" s="16"/>
      <c r="B123" s="392"/>
      <c r="C123" s="393"/>
      <c r="D123" s="393"/>
      <c r="E123" s="393"/>
      <c r="F123" s="394"/>
    </row>
    <row r="124" spans="1:6" ht="18.75" customHeight="1" x14ac:dyDescent="0.15">
      <c r="A124" s="16"/>
      <c r="B124" s="395"/>
      <c r="C124" s="396"/>
      <c r="D124" s="396"/>
      <c r="E124" s="396"/>
      <c r="F124" s="397"/>
    </row>
  </sheetData>
  <mergeCells count="5">
    <mergeCell ref="E1:F1"/>
    <mergeCell ref="A2:F2"/>
    <mergeCell ref="B5:F42"/>
    <mergeCell ref="B44:F83"/>
    <mergeCell ref="B85:F124"/>
  </mergeCells>
  <phoneticPr fontId="3"/>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様式2-1　プログラムを構成する授業科目 （浦安キャンパス）</vt:lpstr>
      <vt:lpstr>様式２-2　プログラムを構成する授業科目（歯学部）</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'様式2-1　プログラムを構成する授業科目 （浦安キャンパス）'!Print_Area</vt:lpstr>
      <vt:lpstr>'様式２-2　プログラムを構成する授業科目（歯学部）'!Print_Area</vt:lpstr>
      <vt:lpstr>'様式３　履修者等数の実績'!Print_Area</vt:lpstr>
      <vt:lpstr>'様式４　教育の質・履修者数を向上させるための体制・計画'!Print_Area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佐久間　健二</cp:lastModifiedBy>
  <cp:lastPrinted>2022-05-31T09:04:30Z</cp:lastPrinted>
  <dcterms:created xsi:type="dcterms:W3CDTF">2011-06-14T05:32:50Z</dcterms:created>
  <dcterms:modified xsi:type="dcterms:W3CDTF">2022-06-01T01:01:58Z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