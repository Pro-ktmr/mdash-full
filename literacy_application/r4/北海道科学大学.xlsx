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11"/>
  <workbookPr defaultThemeVersion="124226"/>
  <mc:AlternateContent xmlns:mc="http://schemas.openxmlformats.org/markup-compatibility/2006">
    <mc:Choice Requires="x15">
      <x15ac:absPath xmlns:x15ac="http://schemas.microsoft.com/office/spreadsheetml/2010/11/ac" url="https://hithus.sharepoint.com/sites/DSWG/Shared Documents/MDash対応/●R4申請書類（文科省提出用）/"/>
    </mc:Choice>
  </mc:AlternateContent>
  <xr:revisionPtr revIDLastSave="0" documentId="11_CCA5889B323434F16C8DD5FDF2B73A291DEA9644" xr6:coauthVersionLast="47" xr6:coauthVersionMax="47" xr10:uidLastSave="{00000000-0000-0000-0000-000000000000}"/>
  <bookViews>
    <workbookView xWindow="10080" yWindow="135" windowWidth="18540" windowHeight="14910" tabRatio="885" xr2:uid="{00000000-000D-0000-FFFF-FFFF00000000}"/>
  </bookViews>
  <sheets>
    <sheet name="様式１　大学等概要" sheetId="8" r:id="rId1"/>
    <sheet name="様式２-１　プログラムを構成する授業科目" sheetId="44" r:id="rId2"/>
    <sheet name="様式２-２　プログラムを構成する授業科目" sheetId="39"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大学等概要'!$A$1:$N$45</definedName>
    <definedName name="_xlnm.Print_Area" localSheetId="1">'様式２-１　プログラムを構成する授業科目'!$A$1:$Z$98</definedName>
    <definedName name="_xlnm.Print_Area" localSheetId="2">'様式２-２　プログラムを構成する授業科目'!$A$1:$Z$98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10" i="42" l="1"/>
  <c r="L11" i="42"/>
  <c r="L12" i="42"/>
  <c r="L13" i="42"/>
  <c r="L14" i="42"/>
  <c r="L15" i="42"/>
  <c r="L16" i="42"/>
  <c r="L9" i="42"/>
  <c r="L8" i="42"/>
  <c r="L7" i="42"/>
  <c r="K18" i="42"/>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<sst xmlns="http://schemas.openxmlformats.org/spreadsheetml/2006/main" count="474" uniqueCount="222">
  <si>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</si>
  <si>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</si>
  <si>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</si>
  <si>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</si>
  <si>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北海道科学大学</t>
    <rPh sb="0" eb="7">
      <t>ホク</t>
    </rPh>
    <phoneticPr fontId="1"/>
  </si>
  <si>
    <t>②</t>
    <phoneticPr fontId="1"/>
  </si>
  <si>
    <t>大学等の設置者</t>
  </si>
  <si>
    <t>学校法人北海道科学大学</t>
    <rPh sb="0" eb="4">
      <t>ガッコウホウジン</t>
    </rPh>
    <rPh sb="4" eb="11">
      <t>ホク</t>
    </rPh>
    <phoneticPr fontId="1"/>
  </si>
  <si>
    <t>③</t>
  </si>
  <si>
    <t>設置形態</t>
    <phoneticPr fontId="1"/>
  </si>
  <si>
    <t>私立大学</t>
  </si>
  <si>
    <t>④</t>
    <phoneticPr fontId="1"/>
  </si>
  <si>
    <t>所在地</t>
    <phoneticPr fontId="1"/>
  </si>
  <si>
    <t>北海道札幌市手稲区前田7条15丁目4-1</t>
    <rPh sb="0" eb="3">
      <t>ホッカイドウ</t>
    </rPh>
    <rPh sb="3" eb="6">
      <t>サッポロシ</t>
    </rPh>
    <rPh sb="6" eb="9">
      <t>テイネク</t>
    </rPh>
    <rPh sb="9" eb="11">
      <t>マエダ</t>
    </rPh>
    <rPh sb="12" eb="13">
      <t>ジョウ</t>
    </rPh>
    <rPh sb="15" eb="17">
      <t>チョウメ</t>
    </rPh>
    <phoneticPr fontId="1"/>
  </si>
  <si>
    <t>⑤</t>
    <phoneticPr fontId="1"/>
  </si>
  <si>
    <t>申請するプログラム名称</t>
    <rPh sb="0" eb="2">
      <t>シンセイ</t>
    </rPh>
    <rPh sb="9" eb="11">
      <t>メイショウ</t>
    </rPh>
    <phoneticPr fontId="1"/>
  </si>
  <si>
    <t>HUS　数理・データサイエンス・AI教育プログラム（リテラシーレベル）</t>
  </si>
  <si>
    <t>⑥</t>
    <phoneticPr fontId="1"/>
  </si>
  <si>
    <t>プログラムの開設年度</t>
    <rPh sb="6" eb="8">
      <t>カイセツ</t>
    </rPh>
    <rPh sb="8" eb="10">
      <t>ネンド</t>
    </rPh>
    <phoneticPr fontId="1"/>
  </si>
  <si>
    <t>令和３</t>
    <rPh sb="0" eb="2">
      <t>レイワ</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</si>
  <si>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</si>
  <si>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</si>
  <si>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</si>
  <si>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</si>
  <si>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</si>
  <si>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</si>
  <si>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</si>
  <si>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</si>
  <si>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</si>
  <si>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</si>
  <si>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</si>
  <si>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</si>
  <si>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</si>
  <si>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</si>
  <si>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</si>
  <si>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</si>
  <si>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</si>
  <si>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</si>
  <si>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</si>
  <si>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</si>
  <si>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</si>
  <si>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</si>
  <si>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</si>
  <si>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</si>
  <si>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</si>
  <si>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川上　　敬</t>
    <rPh sb="0" eb="2">
      <t>カワカミ</t>
    </rPh>
    <rPh sb="4" eb="5">
      <t>タカシ</t>
    </rPh>
    <phoneticPr fontId="1"/>
  </si>
  <si>
    <t>（役職名）</t>
    <rPh sb="1" eb="4">
      <t>ヤクショクメイ</t>
    </rPh>
    <phoneticPr fontId="1"/>
  </si>
  <si>
    <t>学　長</t>
    <rPh sb="0" eb="1">
      <t>ガク</t>
    </rPh>
    <rPh sb="2" eb="3">
      <t>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</si>
  <si>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</si>
  <si>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</si>
  <si>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数理・データサイエンス・AI教育プログラム運営委員会</t>
    <phoneticPr fontId="1"/>
  </si>
  <si>
    <t>真田　博文</t>
    <rPh sb="0" eb="2">
      <t>サナダ</t>
    </rPh>
    <rPh sb="3" eb="5">
      <t>ヒロフミ</t>
    </rPh>
    <phoneticPr fontId="1"/>
  </si>
  <si>
    <t>副学長</t>
    <rPh sb="0" eb="3">
      <t>フクガクチョウ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</si>
  <si>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</si>
  <si>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</si>
  <si>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自己点検・評価委員会、数理・データサイエンス・AI教育プログラム運営委員会</t>
    <phoneticPr fontId="1"/>
  </si>
  <si>
    <t>　</t>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</si>
  <si>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</si>
  <si>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</si>
  <si>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</si>
  <si>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</si>
  <si>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</si>
  <si>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学務部　教務企画課</t>
    <rPh sb="0" eb="2">
      <t>ガクム</t>
    </rPh>
    <rPh sb="2" eb="3">
      <t>ブ</t>
    </rPh>
    <rPh sb="4" eb="6">
      <t>キョウム</t>
    </rPh>
    <rPh sb="6" eb="8">
      <t>キカク</t>
    </rPh>
    <rPh sb="8" eb="9">
      <t>カ</t>
    </rPh>
    <phoneticPr fontId="3"/>
  </si>
  <si>
    <t>担当者名</t>
    <rPh sb="0" eb="2">
      <t>タントウ</t>
    </rPh>
    <rPh sb="2" eb="3">
      <t>シャ</t>
    </rPh>
    <rPh sb="3" eb="4">
      <t>メイ</t>
    </rPh>
    <phoneticPr fontId="1"/>
  </si>
  <si>
    <t>星　　芳宜</t>
    <phoneticPr fontId="3"/>
  </si>
  <si>
    <t>E-mail</t>
  </si>
  <si>
    <t>k-kikaku@hus.ac.jp</t>
    <phoneticPr fontId="1"/>
  </si>
  <si>
    <t>電話番号</t>
  </si>
  <si>
    <t>011-688-2262</t>
    <phoneticPr fontId="1"/>
  </si>
  <si>
    <t>様式２－１</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</si>
  <si>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</si>
  <si>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</si>
  <si>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</si>
  <si>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</si>
  <si>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 xml:space="preserve">・工学部、保健医療学部、未来デザイン学部においては、１、２年次に開講される以下の３科目を履修し、単位を取得すること。
　　基本教育科目：（１）情報処理法（１単位、必修科目）
　　基本教育科目：（２）データサイエンス（１単位、必修科目）
　　基本教育科目：（３）統計分析法（１単位、必修科目）
</t>
    <rPh sb="32" eb="34">
      <t>カイコウ</t>
    </rPh>
    <rPh sb="61" eb="67">
      <t>キホンキョウイクカモク</t>
    </rPh>
    <rPh sb="78" eb="80">
      <t>タンイ</t>
    </rPh>
    <rPh sb="81" eb="85">
      <t>ヒッシュウカモク</t>
    </rPh>
    <rPh sb="89" eb="93">
      <t>キホンキョウイク</t>
    </rPh>
    <rPh sb="93" eb="95">
      <t>カモク</t>
    </rPh>
    <rPh sb="112" eb="116">
      <t>ヒッシュウカモク</t>
    </rPh>
    <rPh sb="120" eb="124">
      <t>キホンキョウイク</t>
    </rPh>
    <rPh sb="124" eb="126">
      <t>カモク</t>
    </rPh>
    <rPh sb="140" eb="144">
      <t>ヒッシュウカモク</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</si>
  <si>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</si>
  <si>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</si>
  <si>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</si>
  <si>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</si>
  <si>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</si>
  <si>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</si>
  <si>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</si>
  <si>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データサイエンス</t>
    <phoneticPr fontId="1"/>
  </si>
  <si>
    <t>○</t>
  </si>
  <si>
    <t>一部開講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</si>
  <si>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</si>
  <si>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</si>
  <si>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</si>
  <si>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</si>
  <si>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</si>
  <si>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</si>
  <si>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</si>
  <si>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</si>
  <si>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</si>
  <si>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情報処理法</t>
  </si>
  <si>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</si>
  <si>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</si>
  <si>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</si>
  <si>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</si>
  <si>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〇</t>
  </si>
  <si>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</si>
  <si>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</si>
  <si>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統計分析法</t>
  </si>
  <si>
    <t>4-1統計および数理基礎</t>
  </si>
  <si>
    <t>4‐2アルゴリズム基礎</t>
  </si>
  <si>
    <t>4‐3データ構造とプログラミング基礎</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</si>
  <si>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</si>
  <si>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</si>
  <si>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</si>
  <si>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</si>
  <si>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　　　　「データサイエンス」（１回目）
・データ量の増加、計算機の処理性能の向上、AIの非連続的進化　　　　「データサイエンス」（１回目）
・第4次産業革命、Society 5.0、データ駆動型社会　　　　「データサイエンス」（１回目）
・複数技術を組み合わせたAIサービス　　　「データサイエンス」（１回目）
・人間の知的活動とAIの関係性　　　「データサイエンス」（１回目）
・データを起点としたものの見方、人間の知的活動を起点としたものの見方　　　「データサイエンス」（１回目）</t>
    <phoneticPr fontId="1"/>
  </si>
  <si>
    <t>1-6</t>
    <phoneticPr fontId="1"/>
  </si>
  <si>
    <t>・AI等を活用した新しいビジネスモデル(シェアリングエコノミー、商品のレコメンデーションなど)　　「データサイエンス」（１回目）
・AI最新技術の活用例（深層生成モデル、敵対的生成ネットワーク、強化学習、転移学習など）　　「データサイエンス」（１回目）</t>
    <phoneticPr fontId="1"/>
  </si>
  <si>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</si>
  <si>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　「データサイエンス」（２回目）
・1次データ、2次データ、データのメタ化　　「データサイエンス」（２回目）
・構造化データ、非構造化データ（文章、画像/動画、音声/音楽など）　　「データサイエンス」（２回目）
・データ作成（ビッグデータとアノテーション）　「データサイエンス」（２回目）
・データのオープン化（オープンデータ）　　「データサイエンス」（２回目）</t>
    <phoneticPr fontId="1"/>
  </si>
  <si>
    <t>・データ・AI活用領域の広がり(生産、消費、文化活動など)　　「データサイエンス」（１回目）
・研究開発、調達、製造、物流、販売、マーケティング、サービスなど　　「データサイエンス」（１回目）
・仮説検証、知識発見、原因究明、計画策定、判断支援、活動代替、新規生成など　　「データサイエンス」（１回目）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</si>
  <si>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</si>
  <si>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・データ解析：予測、グルーピング、パターン発見、最適化、シミュレーション・データ同化など　　「データサイエンス」（１回目、９回目、12回目）
・データ可視化：２軸グラフ、関係性の可視化、挙動・軌跡の可視化、リアルタイム可視化など　　「データサイエンス」（３～５回目，９回目）
・非構造化データ処理：言語処理、画像/動画処理、音声/音楽処理など　　「データサイエンス」（２回目）
・特化型AIと汎用AI、今のAIで出来ることと出来ないこと、AIとビッグデータ　　「データサイエンス」（１回目）
・認識技術、ルールベース、自動化技術　　「データサイエンス」（１回目）</t>
    <phoneticPr fontId="1"/>
  </si>
  <si>
    <t>・データサイエンスのサイクル（課題抽出と定式化、データの取得・管理・加工、探索的データ解析、データ解析と推論、結果の共有・伝達、課題解決に向けた提案）　「データサイエンス」（３回目）
・流通、製造、金融、サービス、インフラ、公共、ヘルスケア等におけるデータ・AI利活用事例紹介　「データサイエンス」（１回目）</t>
    <phoneticPr fontId="1"/>
  </si>
  <si>
    <t>（４）活用に当たっての様々な留意事項（ELSI、個人情報、データ倫理、ＡＩ社会原則等）を考慮し、情報セキュリティや情報漏洩等、データを守る上での留意事項への理解をする</t>
    <phoneticPr fontId="1"/>
  </si>
  <si>
    <t>・ELSI（Ethical, Legal and Social Issues）　「データサイエンス」（１回目）
・個人情報保護　「情報処理法」（11回目）
・データ倫理：データのねつ造、改ざん、盗用、プライバシー保護　「データサイエンス」（１回目）
・AI社会原則（公平性、説明責任、透明性、人間中心の判断）　「データサイエンス」（１回目）
・データバイアス、アルゴリズムバイアス　「データサイエンス」（１回目）
・AIサービスの責任論　「データサイエンス」（１回目）
・データ・AI活用における負の事例紹介　「データサイエンス」（１回目）</t>
    <rPh sb="65" eb="70">
      <t>ジョウホウショリホウ</t>
    </rPh>
    <rPh sb="74" eb="76">
      <t>カイメ</t>
    </rPh>
    <phoneticPr fontId="1"/>
  </si>
  <si>
    <t>・情報セキュリティ：機密性、完全性、可用性　　　「情報処理法」（11回目～12回目）
・匿名加工情報、暗号化、パスワード、悪意ある情報搾取　　　「情報処理法」（11回目～12回目）
・情報漏洩等によるセキュリティ事故の事例紹介　　　「情報処理法」（11回目～12回目）</t>
    <rPh sb="39" eb="41">
      <t>カイメ</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</si>
  <si>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</si>
  <si>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・データの種類（量的変数、質的変数）　　「データサイエンス」（２回目）
・データの分布(ヒストグラム)と代表値（平均値、中央値、最頻値）　　「データサイエンス」（２回目）
・代表値の性質の違い（実社会では平均値＝最頻値でないことが多い）　　「データサイエンス」（２回目）
・データのばらつき（分散、標準偏差、偏差値）　　「データサイエンス」（２回目）
・観測データに含まれる誤差の扱い　　「データサイエンス」（５回目）
・打ち切りや脱落を含むデータ、層別の必要なデータ　　「データサイエンス」（２回目、５回目）
・相関と因果（相関係数、擬似相関、交絡）　　「データサイエンス」（４回目）
・母集団と標本抽出（国勢調査、アンケート調査、全数調査、単純無作為抽出、層別抽出、多段抽出）　　「データサイエンス」（５回目）
・統計情報の正しい理解（誇張表現に惑わされない）　　「データサイエンス」（５回目）</t>
    <phoneticPr fontId="1"/>
  </si>
  <si>
    <t>・データ表現（棒グラフ、折線グラフ、散布図）　　「データサイエンス」（３回目、５回目）
・データの図表表現（チャート化）　　「データサイエンス」（６回目）
・データの比較（条件をそろえた比較、処理の前後での比較)　　「データサイエンス」（７回目）
・不適切なグラフ表現（チャートジャンク、不必要な視覚的要素）　　「データサイエンス」（６回目）
・優れた可視化事例の紹介（可視化することによって新たな気づきがあった事例など）　　「データサイエンス」（６回目、８回目）</t>
    <phoneticPr fontId="1"/>
  </si>
  <si>
    <t>・データの集計（和、平均）　　「データサイエンス」（３回目、７回目）
・データの並び替え、ランキング　　「データサイエンス」（７回目）
・データ解析ツール（スプレッドシート）　　「データサイエンス」（６～８回目）
・表形式のデータ（csv）　　「データサイエンス」（６回目、７回目）</t>
    <phoneticPr fontId="1"/>
  </si>
  <si>
    <t>⑩プログラムの学修成果（学生等が身に付けられる能力等）</t>
    <phoneticPr fontId="1"/>
  </si>
  <si>
    <t>　スマートフォンやインターネットをはじめとする情報通信サービスの発展により、私たちの暮らしの中から数多くのデータを収集できるようになった。得られたデータを正しく扱い、適切な方法で分析し、価値のある情報を見出して活用する力はどの分野の人材にとっても必須である。
　このプログラムでは、データに基づいて課題解決する際に必要な基本的知識と技術、すなわち、データの収集・加工・整形、分析手法、分析結果の可視化などの基本的な事項について学ぶ。さらに、学んだ知識・技術を実際のデータに適用し、問題発見、仮設設定、検証のプロセスを体験する。これにより、以下に示す能力を身に付ける。
・情報を扱う上で法制度に則った倫理的判断および情報セキュリティの知識が理解ができ、PCを用いた情報の構築と管理ができる。
・基礎的なプログラム構造を理解し、制御構造などを使った手続きを論理的に考えて記述できる。
・データ分析に必要な数学的基礎知識を持ち、適切に利用できる。
・データ分析に必要なツールを適切に利用できる。
・結果のわかっている課題を、必要な知識・技術を用いて分析し、まとめられる。
・現実的な課題を、必要な知識・技術を用いて分析し、まとめられる。</t>
    <phoneticPr fontId="1"/>
  </si>
  <si>
    <t>⑪プログラムの授業内容等を公表しているアドレス</t>
    <phoneticPr fontId="1"/>
  </si>
  <si>
    <t>https://www.hus.ac.jp/news/detail/data-science-13643/</t>
    <phoneticPr fontId="1"/>
  </si>
  <si>
    <t>様式２－２</t>
    <phoneticPr fontId="1"/>
  </si>
  <si>
    <t>・薬学部においては、１年次に開講される以下の２科目を履修し、単位を取得すること。
　薬学専門科目：　（１）情報処理法（１単位、必修科目）
　基本教育科目：　（２）データサイエンス（１単位、必修科目）</t>
    <rPh sb="11" eb="13">
      <t>ネンジ</t>
    </rPh>
    <rPh sb="14" eb="16">
      <t>カイコウ</t>
    </rPh>
    <rPh sb="63" eb="67">
      <t>ヒッシュウカモク</t>
    </rPh>
    <rPh sb="94" eb="98">
      <t>ヒッシュウカモク</t>
    </rPh>
    <phoneticPr fontId="1"/>
  </si>
  <si>
    <t>・ビッグデータ、IoT、AI、ロボット　　　　「データサイエンス」（１回目）　
・データ量の増加、計算機の処理性能の向上、AIの非連続的進化　　　　「データサイエンス」（１回目）　
・第4次産業革命、Society 5.0、データ駆動型社会　　　　「データサイエンス」（１回目）　
・複数技術を組み合わせたAIサービス　　　「データサイエンス」（１回目）　
・人間の知的活動とAIの関係性　　　「データサイエンス」（１回目）　
・データを起点としたものの見方、人間の知的活動を起点としたものの見方　　　「データサイエンス」（１回目）　</t>
    <phoneticPr fontId="1"/>
  </si>
  <si>
    <t>・AI等を活用した新しいビジネスモデル(シェアリングエコノミー、商品のレコメンデーションなど)　「データサイエンス」（１回目）</t>
    <rPh sb="60" eb="62">
      <t>カイメ</t>
    </rPh>
    <phoneticPr fontId="1"/>
  </si>
  <si>
    <t>・調査データ、実験データ、人の行動ログデータ、機械の稼働ログデータなど　　「データサイエンス」（１回目）　
・1次データ、2次データ、データのメタ化　　　　「データサイエンス」（１回目）　
・構造化データ、非構造化データ（文章、画像/動画、音声/音楽など）　「データサイエンス」（１回目）　
・データ作成（ビッグデータとアノテーション）　　　　「データサイエンス」（１回目）　
・データのオープン化（オープンデータ）　　　「データサイエンス」（１回目）　</t>
    <phoneticPr fontId="1"/>
  </si>
  <si>
    <t>・データ・AI活用領域の広がり(生産、消費、文化活動など)　　　「データサイエンス」（１回目）　
・研究開発、調達、製造、物流、販売、マーケティング、サービスなど　　　「データサイエンス」（１回目）　
・仮説検証、知識発見、原因究明、計画策定、判断支援、活動代替、新規生成など　　　「データサイエンス」（１回目）　</t>
    <phoneticPr fontId="1"/>
  </si>
  <si>
    <t>・データ解析：予測、グルーピング、パターン発見、最適化、シミュレーションなど　　「データサイエンス」（１回目）
・データ可視化：複合グラフ、2軸グラフ、多次元の可視化、関係性の可視化など　　「データサイエンス」（１回目）
・非構造化データ処理：言語処理、画像/動画処理、音声/音楽処理など　　　「データサイエンス」（１回目）
・特化型AIと汎用AI、今のAIで出来ることと出来ないこと、AIとビッグデータ　　「データサイエンス」（６回目）
・認識技術、ルールベース、自動化技術　　　　「データサイエンス」（１回目）</t>
    <phoneticPr fontId="1"/>
  </si>
  <si>
    <t>・データサイエンスのサイクル（課題抽出と定式化、データの取得・管理・加工、探索的データ解析、データ解析と推論、結果の共有・伝達、課題解決に向けた提案）　　　「データサイエンス」（１回目）
・流通、製造、金融、サービス、インフラ、公共、ヘルスケア等におけるデータ・AI利活用事例紹介　　「データサイエンス」（１回目）</t>
    <phoneticPr fontId="1"/>
  </si>
  <si>
    <t>・ELSI（Ethical, Legal and Social Issues）　　　「データサイエンス」（６回目）
・個人情報保護など　　　　「情報処理法」（１回目）
・データ倫理：データのねつ造、改ざん、盗用、プライバシー保護　　　「データサイエンス」（６回目）
・データバイアス、アルゴリズムバイアス　　　「データサイエンス」（６回目）
・AIサービスの責任論　　　　「データサイエンス」（６回目）
・データ・AI活用における負の事例紹介　　　　「データサイエンス」（１回目、６回目）</t>
    <rPh sb="72" eb="77">
      <t>ジョウホウショリホウ</t>
    </rPh>
    <rPh sb="237" eb="239">
      <t>カイメ</t>
    </rPh>
    <phoneticPr fontId="1"/>
  </si>
  <si>
    <t>・情報セキュリティ：機密性、完全性、可用性　　　「情報処理法」（４回目）
・匿名加工情報、暗号化、パスワード、悪意ある情報搾取　　　「情報処理法」（４回目）
・情報漏洩等によるセキュリティ事故の事例紹介　　　「情報処理法」（４回目）</t>
    <phoneticPr fontId="1"/>
  </si>
  <si>
    <t>・データの種類（量的変数、質的変数）　　「データサイエンス」（１回目）
・データの分布(ヒストグラム)と代表値（平均値、中央値、最頻値）　　「データサイエンス」（２回目）
・代表値の性質の違い（実社会では平均値＝最頻値でないことが多い）　「データサイエンス」（２回目）
・データのばらつき（分散、標準偏差、偏差値）　「データサイエンス」（２回目）
・観測データに含まれる誤差の扱い　　　「データサイエンス」（５回目）
・打ち切りや脱落を含むデータ、層別の必要なデータ　　　「データサイエンス」（５回目）
・相関と因果（相関係数、擬似相関、交絡）　　　「データサイエンス」（３回目）
・母集団と標本抽出（国勢調査、アンケート調査、全数調査、単純無作為抽出、層別抽出、多段抽出）　　「データサイエンス」（３回目）
・統計情報の正しい理解（誇張表現に惑わされない）　　「データサイエンス」（６回目）</t>
    <phoneticPr fontId="1"/>
  </si>
  <si>
    <t>・データ表現（棒グラフ、折線グラフ、散布図、ヒートマップ）　「データサイエンス」（２回目、４～８回目）
・データの図表表現（チャート化）　　「データサイエンス」（２回目）
・データの比較（条件をそろえた比較、処理の前後での比較、A/Bテスト)　　「データサイエンス」（１回目、４回目）
・不適切なグラフ表現（チャートジャンク、不必要な視覚的要素）　　　「データサイエンス」（４回目）
・優れた可視化事例の紹介（可視化することによって新たな気づきがあった事例など）　　「データサイエンス」（４回目）</t>
    <rPh sb="48" eb="50">
      <t>カイメ</t>
    </rPh>
    <rPh sb="135" eb="137">
      <t>カイメ</t>
    </rPh>
    <phoneticPr fontId="1"/>
  </si>
  <si>
    <t>・データの集計（和、平均）　　　「データサイエンス」（２回目）
・データの並び替え、ランキング　　　　「データサイエンス」（５回目）
・データ解析ツール（スプレッドシート）　　　「データサイエンス」（５回目～８回目）
・表形式のデータ（csv）　　　「データサイエンス」（４回目）</t>
    <rPh sb="105" eb="107">
      <t>カイメ</t>
    </rPh>
    <phoneticPr fontId="1"/>
  </si>
  <si>
    <t>　データに基づいて課題解決する際に必要な基本的知識と技術について学び、データの収集・加工・整形、分析手法、分析結果の可視化などの基本的な事項について修得する。 また、 学んだ知識、技術を実際のデータに適用し、問題発見、仮設設定、検証のプロセスを理解する。 これにより、以下に示す能力を身に付ける。
　・データサイエンスの社会的意義について説明できる。
　・データの種類と尺度について説明できる。
　・データ分析に必要な数学的基礎知識を持ち、適切に利用できる。 
　・データ分析に必要なツールを適切に利用できる。
　・基本的な統計量（平均値、中央値、標準偏差、標準誤差、信頼区間など）を説明できる。
　・相関と回帰について説明できる。
　・得られた情報を論理的に統合・整理し、自らの考えとともに分かりやすく表現できる。
　・現実的な課題について必要な知識・技術を用いて分析し、まとめられる。</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</si>
  <si>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</si>
  <si>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</si>
  <si>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</si>
  <si>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</si>
  <si>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</si>
  <si>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</si>
  <si>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</si>
  <si>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</si>
  <si>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</si>
  <si>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</si>
  <si>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</si>
  <si>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</si>
  <si>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</si>
  <si>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</si>
  <si>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</si>
  <si>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</si>
  <si>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</si>
  <si>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工学部</t>
    <rPh sb="0" eb="3">
      <t>コウガクブ</t>
    </rPh>
    <phoneticPr fontId="1"/>
  </si>
  <si>
    <t>薬学部</t>
    <rPh sb="0" eb="3">
      <t>ヤクガクブ</t>
    </rPh>
    <phoneticPr fontId="1"/>
  </si>
  <si>
    <t>保健医療学部</t>
    <rPh sb="0" eb="4">
      <t>ホケンイリョウ</t>
    </rPh>
    <rPh sb="4" eb="6">
      <t>ガクブ</t>
    </rPh>
    <phoneticPr fontId="1"/>
  </si>
  <si>
    <t>未来デザイン学部</t>
    <rPh sb="0" eb="2">
      <t>ミライ</t>
    </rPh>
    <rPh sb="6" eb="8">
      <t>ガクブ</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</si>
  <si>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</si>
  <si>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</si>
  <si>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</si>
  <si>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</si>
  <si>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</si>
  <si>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北海道科学大学 数理・データサイエンス・AI教育プログラム運営委員会規程</t>
    <phoneticPr fontId="1"/>
  </si>
  <si>
    <t>体制の目的</t>
    <rPh sb="0" eb="2">
      <t>タイセイ</t>
    </rPh>
    <rPh sb="3" eb="5">
      <t>モクテキ</t>
    </rPh>
    <phoneticPr fontId="1"/>
  </si>
  <si>
    <t>数理・データサイエンス・AI教育プログラム運営委員会は、データを活用して社会の課題を発見・解決できる人材の育成を目指し、次の事項についての諸活動を行う。
（１）数理・データサイエンス・AI教育の全学的な普及、及び関連科目整備
（２）数理・データサイエンス・AI教育プログラムの自己点検・評価のために必要なデータの収集・分析
（３）その他必要な事項</t>
    <phoneticPr fontId="1"/>
  </si>
  <si>
    <t>③</t>
    <phoneticPr fontId="1"/>
  </si>
  <si>
    <t>具体的な構成員</t>
    <rPh sb="0" eb="3">
      <t>グタイテキ</t>
    </rPh>
    <rPh sb="4" eb="7">
      <t>コウセイイン</t>
    </rPh>
    <phoneticPr fontId="1"/>
  </si>
  <si>
    <t xml:space="preserve">
委員会は、次に掲げる者をもって構成する。
（１）委員長 　　
　　　　真田　博文　　（副学長、工学部情報工学科教授）
（２）委 員
　　　　松川　　瞬      (工学部 情報工学科 講師)
　　　　伊藤　佳卓　　（工学部 電気電子工学科 講師）
　　　　光岡　俊成     (薬学部 薬学科 教授)
　　　　加藤　士雄　　（保健医療学部 理学療法学科 准教授）
　　　　西川　孝二　　（未来デザイン学部 メディアデザイン学科 准教授）
　　　　内田　尚志　　（全学共通教育部 教授）
　　　　竹腰　敏志　　（総務課長）
　　　　星　　芳宜　　 （教務企画課長）
　　　　西谷　　強　　 （教務課長）</t>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</si>
  <si>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</si>
  <si>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</si>
  <si>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</si>
  <si>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</si>
  <si>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</si>
  <si>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</si>
  <si>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</si>
  <si>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</si>
  <si>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xml:space="preserve">
　本学のプログラムはすべて必修科目で構成しているため、履修者数・履修率は年次進行で増えていき、令和8年度には全学生が履修する状態となる予定である（薬学部が6年制であるため、令和8年度に完成予定）。
　履修する学生に対してはホームページで本プログラムについて広報するとともに、ガイダンス時にプログラムの目的等を説明している。プログラムを構成する各科目には本学で定めた形式のシラバスがあり、授業の目的、授業内容、達成目標、評価方法等を示している。科目間の関係については、カリキュラムフロー、科目系統表で学生に示している。</t>
  </si>
  <si>
    <t>学部・学科に関係なく希望する学生全員が受講可能となるような必要な体制・取組等</t>
    <rPh sb="29" eb="31">
      <t>ヒツヨウ</t>
    </rPh>
    <rPh sb="32" eb="34">
      <t>タイセイ</t>
    </rPh>
    <rPh sb="35" eb="37">
      <t>トリクミ</t>
    </rPh>
    <rPh sb="37" eb="38">
      <t>トウ</t>
    </rPh>
    <phoneticPr fontId="1"/>
  </si>
  <si>
    <t>　
　全学生に対して必修科目で構成されたプログラムとして開講している。そのため学部・学科に関係なく、リテラシーレベルの数理・データサイエンス・AIについて学ぶことができる。
　プログラム内の各授業で扱う大項目は統一しているが、本学は多様な分野の４学部を持つため、それぞれの特徴に合わせた授業となるように、数理・データサイエンス・AI教育プログラム運営委員会に所属する各学部の教員が教材の開発・改善を行っている。
　プログラムの状況については、定期的に教授会等で報告し、同プログラムに関する全学的な情報共有を行っている。それらの情報に基づいて各学科においても学生のサポートが可能となっている。</t>
    <rPh sb="4" eb="6">
      <t>ガクセイ</t>
    </rPh>
    <rPh sb="15" eb="17">
      <t>コウセイ</t>
    </rPh>
    <rPh sb="28" eb="30">
      <t>カイコウ</t>
    </rPh>
    <rPh sb="39" eb="41">
      <t>ガクブ</t>
    </rPh>
    <rPh sb="42" eb="44">
      <t>ガッカ</t>
    </rPh>
    <rPh sb="45" eb="47">
      <t>カンケイ</t>
    </rPh>
    <rPh sb="59" eb="61">
      <t>スウリ</t>
    </rPh>
    <rPh sb="77" eb="78">
      <t>マナ</t>
    </rPh>
    <rPh sb="94" eb="95">
      <t>ナイ</t>
    </rPh>
    <rPh sb="96" eb="99">
      <t>カクジュギョウ</t>
    </rPh>
    <rPh sb="100" eb="101">
      <t>アツカ</t>
    </rPh>
    <rPh sb="102" eb="105">
      <t>ダイコウモク</t>
    </rPh>
    <rPh sb="106" eb="108">
      <t>トウイツ</t>
    </rPh>
    <rPh sb="114" eb="116">
      <t>ホンガク</t>
    </rPh>
    <rPh sb="117" eb="119">
      <t>タヨウ</t>
    </rPh>
    <rPh sb="120" eb="122">
      <t>ブンヤ</t>
    </rPh>
    <rPh sb="124" eb="126">
      <t>ガクブ</t>
    </rPh>
    <rPh sb="127" eb="128">
      <t>モ</t>
    </rPh>
    <rPh sb="137" eb="139">
      <t>トクチョウ</t>
    </rPh>
    <rPh sb="140" eb="141">
      <t>ア</t>
    </rPh>
    <rPh sb="144" eb="146">
      <t>ジュギョウ</t>
    </rPh>
    <rPh sb="180" eb="182">
      <t>ショゾク</t>
    </rPh>
    <rPh sb="184" eb="185">
      <t>カク</t>
    </rPh>
    <rPh sb="185" eb="187">
      <t>ガクブ</t>
    </rPh>
    <rPh sb="188" eb="190">
      <t>キョウイン</t>
    </rPh>
    <rPh sb="191" eb="193">
      <t>キョウザイ</t>
    </rPh>
    <rPh sb="194" eb="196">
      <t>カイハツ</t>
    </rPh>
    <rPh sb="197" eb="199">
      <t>カイゼン</t>
    </rPh>
    <rPh sb="200" eb="201">
      <t>オコナ</t>
    </rPh>
    <rPh sb="215" eb="217">
      <t>ジョウキョウ</t>
    </rPh>
    <rPh sb="223" eb="226">
      <t>テイキテキ</t>
    </rPh>
    <rPh sb="227" eb="230">
      <t>キョウジュカイ</t>
    </rPh>
    <rPh sb="230" eb="231">
      <t>ナド</t>
    </rPh>
    <rPh sb="232" eb="234">
      <t>ホウコク</t>
    </rPh>
    <rPh sb="236" eb="237">
      <t>ドウ</t>
    </rPh>
    <rPh sb="243" eb="244">
      <t>カン</t>
    </rPh>
    <rPh sb="246" eb="249">
      <t>ゼンガクテキ</t>
    </rPh>
    <rPh sb="250" eb="254">
      <t>ジョウホウキョウユウ</t>
    </rPh>
    <rPh sb="255" eb="256">
      <t>オコナ</t>
    </rPh>
    <rPh sb="265" eb="267">
      <t>ジョウホウ</t>
    </rPh>
    <rPh sb="268" eb="269">
      <t>モト</t>
    </rPh>
    <rPh sb="272" eb="275">
      <t>カクガッカ</t>
    </rPh>
    <rPh sb="280" eb="282">
      <t>ガクセイ</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</si>
  <si>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</si>
  <si>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xml:space="preserve">
　全学生に対して必修科目で構成されたプログラムとして開講している。そのため全学生がリテラシーレベルの数理・データサイエンス・AIについて学ぶことができる。
　学生や地域に対してはホームページで本プログラムについて広報するとともに、実際に履修する学生達にはガイダンス時等にプログラムの目的と内容を説明している。
</t>
    <rPh sb="38" eb="41">
      <t>ゼンガクセイ</t>
    </rPh>
    <rPh sb="84" eb="86">
      <t>チイキ</t>
    </rPh>
    <rPh sb="98" eb="99">
      <t>ホン</t>
    </rPh>
    <rPh sb="108" eb="110">
      <t>コウホウ</t>
    </rPh>
    <rPh sb="117" eb="119">
      <t>ジッサイ</t>
    </rPh>
    <rPh sb="120" eb="122">
      <t>リシュウ</t>
    </rPh>
    <rPh sb="124" eb="126">
      <t>ガクセイ</t>
    </rPh>
    <rPh sb="126" eb="127">
      <t>タチ</t>
    </rPh>
    <rPh sb="146" eb="148">
      <t>ナイヨウ</t>
    </rPh>
    <phoneticPr fontId="1"/>
  </si>
  <si>
    <t>⑦</t>
    <phoneticPr fontId="1"/>
  </si>
  <si>
    <t>できる限り多くの学生が履修・修得できるようなサポート体制</t>
    <rPh sb="26" eb="28">
      <t>タイセイ</t>
    </rPh>
    <phoneticPr fontId="1"/>
  </si>
  <si>
    <t>　
　　全学生に対して必修科目として開講しており、通常の授業科目として履修が可能である。本学で学生に対して提供されている学びのサポート体制（オフィスアワー、オンラインでのサポート等）はプログラム構成科目においても同様である。
　学生に対するサポート体制の一例として、データサイエンスでは、授業内容を録画し、クラウドストレージで共有することにより学生が講義の振り返りが出来るようにしている。さらに単純な操作で分析結果を出せる学習用資料を独自に作成することで、学生間のITリテラシー格差を埋め、講義内容そのものに集中できるようにしている。講義においては単元ごとに理解度アンケートを取っている。その結果に応じて、授業内容を調整している。さらに、出席状況や課題点等を各学生に公開し、自分の理解度の把握とミスの復習を促している。多角的な視点による理解を深めるため、外部の情報サイトの情報も提供している。</t>
    <phoneticPr fontId="1"/>
  </si>
  <si>
    <t>授業時間内外で学習指導、質問を受け付ける具体的な仕組み</t>
    <rPh sb="20" eb="23">
      <t>グタイテキ</t>
    </rPh>
    <phoneticPr fontId="1"/>
  </si>
  <si>
    <t xml:space="preserve">
　授業はLMSにて管理しており、システム内に質問フォーラムを作成して、常に履修学生・教員が質問を閲覧・投稿・回答し内容を共有できるようにしている。個別に質問したい場合は、メッセージ機能を通して教員と直接やり取りができる。また、学生間でリアルタイムに情報交換できるよう、チャットルームを用意している。さらに、内容のまとまりごとにアンケートを取り意見や質問を受け付けている。　オンライン講義の場合、上記の他、Web会議ツールのチャット機能や挙手機能を利用して質問を受け付け、教員が適宜、回答している。授業時間外には、メール、LMS、チャットを通しての対応や来室対応を行い、演習・課題における不明点をフォローしている。
</t>
    <rPh sb="2" eb="4">
      <t>ジュギョウ</t>
    </rPh>
    <rPh sb="170" eb="171">
      <t>ト</t>
    </rPh>
    <rPh sb="195" eb="197">
      <t>バアイ</t>
    </rPh>
    <rPh sb="249" eb="254">
      <t>ジュギョウジカンガイ</t>
    </rPh>
    <rPh sb="270" eb="271">
      <t>トオ</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</si>
  <si>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</si>
  <si>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</si>
  <si>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</si>
  <si>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</si>
  <si>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</si>
  <si>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</si>
  <si>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</si>
  <si>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</si>
  <si>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本プログラムは、令和３年度から全学必修のプログラムとして開始した。令和３年度以降の入学生は全員がリテラシーレベルの数理・データサイエンス・AIについて学ぶことになる。
　令和３年度に開講したプログラム構成科目については、単位修得率、成績分布を確認し、次年度に向けた内容および難易度の調整を行っている。また、大学全体で実施している授業改善アンケートを含め複数回のアンケートを行い、学生が内容や難易度についてどのように捉えているかを検証し、分析の題材として用いる実データの選択などに反映させている。</t>
    <rPh sb="210" eb="211">
      <t>トラ</t>
    </rPh>
    <phoneticPr fontId="1"/>
  </si>
  <si>
    <t>学修成果</t>
    <rPh sb="0" eb="2">
      <t>ガクシュウ</t>
    </rPh>
    <rPh sb="2" eb="4">
      <t>セイカ</t>
    </rPh>
    <phoneticPr fontId="1"/>
  </si>
  <si>
    <t>　
　数理・データサイエンス・AI教育プログラム運営委員会において、プログラムを構成する各科目の単位修得率、成績分布の評価を行っている。その結果から、受講学生が設定された達成目標に到達している割合の適切性を確認している。また、授業改善アンケートの結果から、学生の主観的評価としての理解度、教材、授業内容、教授方法の適切性を評価している。
　プログラムの進展と受講者数の増加に合わせて、所属学部学科、高校までの学習歴、プレイスメントテスト、PCスキル、GPAなどと、最終的な成績の相関についてさらに分析を進め、十分な学習成果を得るために必要なサポートを提供していく。</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</si>
  <si>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</si>
  <si>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本プログラムを構成する各授業の受講学生に対し、授業改善アンケートを実施している。各授業の担当者、数理・データサイエンス・AI教育プログラム運営委員会、自己点検・評価委員会において、アンケート結果を通じて学生の理解度を確認し、本学のアセスメント・ポリシーに示す点検改善サイクルに基づいて、授業改善につなげている。
　また、プログラムの進展に伴い、学生調査として全学で行っている、ディプロマ・ポリシーの達成度を問う教育目的達成度調査や学生生活アンケートおよび卒業時調査の結果も活用し、授業の改善を行っていく。</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</si>
  <si>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</si>
  <si>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r>
      <t xml:space="preserve">
　</t>
    </r>
    <r>
      <rPr>
        <sz val="12"/>
        <rFont val="ＭＳ Ｐゴシック"/>
        <family val="3"/>
        <charset val="128"/>
        <scheme val="minor"/>
      </rPr>
      <t>全学必修プログラムとしているため、他学生への推奨度については調査を行っていないが、主要な科目である「データサイエンス」に関して授業改善アンケートにおける授業への満足度は高い。その結果から推察するに、本プログラムは学生から一定水準の好意的評価を受けたと考えている。</t>
    </r>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</si>
  <si>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</si>
  <si>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xml:space="preserve">
　全学必修プログラムとしているため、令和８年度には、すべての在学生がプログラム履修者となる予定である。</t>
    <rPh sb="19" eb="21">
      <t>レイワ</t>
    </rPh>
    <rPh sb="22" eb="24">
      <t>ネンド</t>
    </rPh>
    <rPh sb="31" eb="34">
      <t>ザイガクセイ</t>
    </rPh>
    <rPh sb="40" eb="43">
      <t>リシュウシャ</t>
    </rPh>
    <rPh sb="46" eb="48">
      <t>ヨテイ</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</si>
  <si>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</si>
  <si>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</si>
  <si>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xml:space="preserve">
　令和３年度からスタートしたプログラムであり、まだ卒業生を輩出していないため評価できない。令和６年度にプログラムを履修した学生が初めて卒業するが、その後は既に本学で行っている卒業生に関するアンケートに本プログラムで養成された力や学生の活躍状況に関する質問を加え、評価を行う予定であ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</si>
  <si>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</si>
  <si>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xml:space="preserve">
  本プログラムの運営責任者である数理・データサイエンス・AI教育プログラム運営委員会委員長が、令和４年２月に道内IT企業幹部に対して、本学の数理・データサイエンス・AI教育について講演および意見交換を行った。
　・中堅・ベテラン・若手を問わず、IT技術者として基本的な当該分野の知識・スキルが不十分な場合が
　　多いのでこのプログラムの教育は非常に重要である
　・非IT企業の社員においても基本的なスキルを持ち、社会全体のレベルアップを目指すべきである
　・分野によっては、最新の手法を含んだ、よりレベルの高い教育を進めるべきである
といった意見が得られた。
</t>
  </si>
  <si>
    <t>数理・データサイエンス・ＡＩを「学ぶ楽しさ」「学ぶことの意義」を理解させること</t>
  </si>
  <si>
    <t xml:space="preserve">
　受講後の授業改善アンケートでは、
　　・実際に手を動かし、実践的に覚えることが出来た
　　・関連する資格を取ろうと思った
　　・社会人に向けての第一歩であると感じた
　といった肯定的な回答が得られた。
　実践的な演習を通じ、データの入手から分析処理まで学生が体験することで多くの学生が意欲的に講義に取り組み、また数理・データサイエンス・AIへの新たな興味や問題意識を持ってもらえたことがアンケート結果から読み取れた。
　今後、対面・オンライン講義に関わらず、学生の反応を見つつ各人に合わせた指導を行うことで、学ぶことの楽しさ・意義への理解をより深めさせていく。</t>
  </si>
  <si>
    <t>内容・水準を維持・向上しつつ、より「分かりやすい」授業とすること</t>
  </si>
  <si>
    <t xml:space="preserve">
　受講後の授業改善アンケートでは、
　　・データ分析への抵抗感がかなり解消された
　　・知識のインプットがしっかりされる内容だった
　　・解説が分かりやすかった
　　・将来役立つような説明が多かった
といった回答が得られた。
　演習を通じ分析処理プロセスを実体験することにより、座学だけでは理解していなかった部分を理解させる
ことが出来た。その他、単純な操作で結果を出せる独自資料により、学生間のITリテラシー格差を埋め、講
義内容に集中させることが出来た。</t>
  </si>
  <si>
    <t>②自己点検・評価体制における意見等を公表しているアドレス</t>
    <phoneticPr fontId="1"/>
  </si>
  <si>
    <t>https://d3brbkfaf9ko4e.cloudfront.net/news/assets/2022/docs/data_science001.pdf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</si>
</sst>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5">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000000"/>
      <name val="ＭＳ Ｐゴシック"/>
      <family val="3"/>
      <charset val="128"/>
      <scheme val="minor"/>
    </font>
  </fonts>
  <fills count="2">
    <fill>
      <patternFill patternType="none"/>
    </fill>
    <fill>
      <patternFill patternType="gray125"/>
    </fill>
  </fills>
  <borders count="5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hair">
        <color auto="1"/>
      </right>
      <top/>
      <bottom style="hair">
        <color auto="1"/>
      </bottom>
      <diagonal/>
    </border>
    <border>
      <left style="thin">
        <color auto="1"/>
      </left>
      <right style="hair">
        <color auto="1"/>
      </right>
      <top style="thin">
        <color auto="1"/>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87">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0" xfId="0" applyFont="1" applyBorder="1" applyAlignment="1">
      <alignment vertical="center" shrinkToFit="1"/>
    </xf>
    <xf numFmtId="0" fontId="8" fillId="0" borderId="1" xfId="0" applyFont="1" applyBorder="1">
      <alignment vertical="center"/>
    </xf>
    <xf numFmtId="0" fontId="3" fillId="0" borderId="14" xfId="0" applyFont="1" applyBorder="1" applyAlignment="1">
      <alignment horizontal="left" vertical="center" shrinkToFi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0" fontId="8" fillId="0" borderId="44" xfId="0" applyFont="1" applyBorder="1" applyAlignment="1">
      <alignment horizontal="center" vertical="center" shrinkToFit="1"/>
    </xf>
    <xf numFmtId="9" fontId="8" fillId="0" borderId="45" xfId="0" applyNumberFormat="1" applyFont="1" applyBorder="1" applyAlignment="1">
      <alignment horizontal="center" vertical="center" shrinkToFit="1"/>
    </xf>
    <xf numFmtId="0" fontId="8" fillId="0" borderId="45" xfId="0"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4" fillId="0" borderId="53" xfId="0" applyFont="1" applyBorder="1" applyAlignment="1">
      <alignment vertical="top" wrapText="1"/>
    </xf>
    <xf numFmtId="176" fontId="3" fillId="0" borderId="54"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47" xfId="0" applyNumberFormat="1" applyFont="1" applyBorder="1" applyAlignment="1">
      <alignment vertical="center" shrinkToFit="1"/>
    </xf>
    <xf numFmtId="49" fontId="7" fillId="0" borderId="2" xfId="2" applyNumberFormat="1" applyFill="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Fill="1" applyBorder="1" applyAlignment="1">
      <alignment horizontal="center" vertical="center" shrinkToFit="1"/>
    </xf>
    <xf numFmtId="49" fontId="8" fillId="0" borderId="3" xfId="1" applyNumberFormat="1" applyFont="1" applyFill="1" applyBorder="1" applyAlignment="1">
      <alignment horizontal="center" vertical="center" shrinkToFit="1"/>
    </xf>
    <xf numFmtId="49" fontId="8" fillId="0" borderId="4" xfId="1" applyNumberFormat="1" applyFont="1" applyFill="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horizontal="center" vertical="center" wrapText="1" shrinkToFit="1"/>
    </xf>
    <xf numFmtId="0" fontId="8" fillId="0" borderId="3"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vertical="center" shrinkToFit="1"/>
    </xf>
    <xf numFmtId="0" fontId="9" fillId="0" borderId="7"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7" fillId="0" borderId="2" xfId="2" applyFill="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21" fillId="0" borderId="48" xfId="0" applyFont="1" applyBorder="1" applyAlignment="1">
      <alignment vertical="center" wrapText="1"/>
    </xf>
    <xf numFmtId="0" fontId="22" fillId="0" borderId="49" xfId="0" applyFont="1" applyBorder="1" applyAlignment="1">
      <alignment vertical="center" wrapText="1"/>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41" xfId="0" applyFont="1" applyBorder="1" applyAlignment="1">
      <alignment horizontal="left" vertical="center" wrapText="1"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21" fillId="0" borderId="32" xfId="0" applyFont="1" applyBorder="1" applyAlignment="1">
      <alignment vertical="center" wrapText="1"/>
    </xf>
    <xf numFmtId="0" fontId="8" fillId="0" borderId="39" xfId="0" applyFont="1" applyBorder="1" applyAlignment="1">
      <alignment vertical="center" wrapText="1"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wrapText="1"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6" xfId="0" applyFont="1" applyBorder="1" applyAlignment="1">
      <alignment vertical="center" wrapText="1"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22" fillId="0" borderId="48" xfId="0" applyFont="1" applyBorder="1" applyAlignment="1">
      <alignment vertical="center" wrapText="1"/>
    </xf>
    <xf numFmtId="0" fontId="8" fillId="0" borderId="39" xfId="0" applyFont="1" applyBorder="1" applyAlignment="1">
      <alignment horizontal="left" vertical="center" wrapText="1"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6" xfId="0" applyFont="1" applyBorder="1" applyAlignment="1">
      <alignment horizontal="left" vertical="center" wrapText="1"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8"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22" xfId="0" applyFont="1" applyBorder="1" applyAlignment="1">
      <alignment horizontal="left" vertical="center" wrapText="1"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19"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7"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40" xfId="0" applyFont="1" applyBorder="1" applyAlignment="1">
      <alignment horizontal="left" vertical="center" shrinkToFit="1"/>
    </xf>
    <xf numFmtId="0" fontId="8" fillId="0" borderId="0" xfId="0" applyFont="1" applyAlignment="1">
      <alignment vertical="center" wrapTex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37" xfId="0" applyFont="1" applyBorder="1" applyAlignment="1">
      <alignment horizontal="left" vertical="center" shrinkToFit="1"/>
    </xf>
    <xf numFmtId="0" fontId="9" fillId="0" borderId="0" xfId="0" applyFont="1" applyAlignment="1">
      <alignment horizontal="center" vertical="center"/>
    </xf>
    <xf numFmtId="0" fontId="19"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4" fillId="0" borderId="19" xfId="0" applyFont="1" applyBorder="1" applyAlignment="1">
      <alignment vertical="top" wrapText="1" shrinkToFit="1"/>
    </xf>
    <xf numFmtId="0" fontId="24" fillId="0" borderId="20" xfId="0" applyFont="1" applyBorder="1" applyAlignment="1">
      <alignment vertical="top" wrapText="1" shrinkToFit="1"/>
    </xf>
    <xf numFmtId="0" fontId="24"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kikaku@hus.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hus.ac.jp/news/detail/data-science-13643/"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hus.ac.jp/news/detail/data-science-1364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d3brbkfaf9ko4e.cloudfront.net/news/assets/2022/docs/data_science0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heetViews>
  <sheetFormatPr defaultColWidth="9" defaultRowHeight="18.75" customHeight="1"/>
  <cols>
    <col min="1" max="1" width="3.375" style="12" customWidth="1"/>
    <col min="2" max="2" width="11.125" style="12" customWidth="1"/>
    <col min="3" max="8" width="6.625" style="12" customWidth="1"/>
    <col min="9" max="9" width="3.375" style="12" customWidth="1"/>
    <col min="10" max="10" width="10" style="12" customWidth="1"/>
    <col min="11" max="11" width="3.375" style="12" customWidth="1"/>
    <col min="12" max="12" width="7.75" style="12" customWidth="1"/>
    <col min="13" max="13" width="3.375" style="12" customWidth="1"/>
    <col min="14" max="14" width="4.5" style="12" customWidth="1"/>
    <col min="15" max="15" width="9" style="19"/>
    <col min="16" max="16384" width="9" style="11"/>
  </cols>
  <sheetData>
    <row r="1" spans="1:15" ht="24" customHeight="1">
      <c r="M1" s="132" t="s">
        <v>0</v>
      </c>
      <c r="N1" s="132"/>
    </row>
    <row r="2" spans="1:15" ht="24" customHeight="1">
      <c r="A2" s="135" t="s">
        <v>1</v>
      </c>
      <c r="B2" s="135"/>
      <c r="C2" s="135"/>
      <c r="D2" s="135"/>
      <c r="E2" s="135"/>
      <c r="F2" s="135"/>
      <c r="G2" s="135"/>
      <c r="H2" s="135"/>
      <c r="I2" s="135"/>
      <c r="J2" s="135"/>
      <c r="K2" s="135"/>
      <c r="L2" s="135"/>
      <c r="M2" s="135"/>
      <c r="N2" s="135"/>
    </row>
    <row r="3" spans="1:15" ht="24" customHeight="1"/>
    <row r="4" spans="1:15" ht="24" customHeight="1">
      <c r="A4" s="12" t="s">
        <v>2</v>
      </c>
      <c r="B4" s="12" t="s">
        <v>3</v>
      </c>
      <c r="C4" s="122" t="s">
        <v>4</v>
      </c>
      <c r="D4" s="123"/>
      <c r="E4" s="123"/>
      <c r="F4" s="123"/>
      <c r="G4" s="123"/>
      <c r="H4" s="123"/>
      <c r="I4" s="123"/>
      <c r="J4" s="123"/>
      <c r="K4" s="123"/>
      <c r="L4" s="123"/>
      <c r="M4" s="123"/>
      <c r="N4" s="124"/>
      <c r="O4" s="19" t="str">
        <f>IF(C4="","入力してください","")</f>
        <v/>
      </c>
    </row>
    <row r="5" spans="1:15" ht="7.5" customHeight="1">
      <c r="E5" s="13"/>
      <c r="F5" s="23"/>
      <c r="G5" s="23"/>
      <c r="H5" s="23"/>
      <c r="I5" s="23"/>
      <c r="J5" s="23"/>
      <c r="K5" s="23"/>
      <c r="L5" s="23"/>
      <c r="M5" s="23"/>
      <c r="N5" s="23"/>
    </row>
    <row r="6" spans="1:15" ht="24" customHeight="1">
      <c r="A6" s="12" t="s">
        <v>5</v>
      </c>
      <c r="B6" s="12" t="s">
        <v>6</v>
      </c>
      <c r="D6" s="122" t="s">
        <v>7</v>
      </c>
      <c r="E6" s="123"/>
      <c r="F6" s="123"/>
      <c r="G6" s="123"/>
      <c r="H6" s="124"/>
      <c r="I6" s="12" t="s">
        <v>8</v>
      </c>
      <c r="J6" s="23" t="s">
        <v>9</v>
      </c>
      <c r="K6" s="122" t="s">
        <v>10</v>
      </c>
      <c r="L6" s="123"/>
      <c r="M6" s="123"/>
      <c r="N6" s="124"/>
      <c r="O6" s="19" t="str">
        <f>IF(D6="","入力してください","")</f>
        <v/>
      </c>
    </row>
    <row r="7" spans="1:15" ht="7.5" customHeight="1">
      <c r="E7" s="13"/>
      <c r="F7" s="23"/>
      <c r="G7" s="23"/>
      <c r="H7" s="23"/>
      <c r="I7" s="23"/>
      <c r="J7" s="23"/>
      <c r="K7" s="23"/>
      <c r="L7" s="23"/>
      <c r="M7" s="23"/>
      <c r="N7" s="23"/>
    </row>
    <row r="8" spans="1:15" ht="24" customHeight="1">
      <c r="A8" s="12" t="s">
        <v>11</v>
      </c>
      <c r="B8" s="12" t="s">
        <v>12</v>
      </c>
      <c r="C8" s="122" t="s">
        <v>13</v>
      </c>
      <c r="D8" s="123"/>
      <c r="E8" s="123"/>
      <c r="F8" s="123"/>
      <c r="G8" s="123"/>
      <c r="H8" s="123"/>
      <c r="I8" s="123"/>
      <c r="J8" s="123"/>
      <c r="K8" s="123"/>
      <c r="L8" s="123"/>
      <c r="M8" s="123"/>
      <c r="N8" s="124"/>
      <c r="O8" s="19" t="str">
        <f>IF(C8="","入力してください","")</f>
        <v/>
      </c>
    </row>
    <row r="9" spans="1:15" ht="7.5" customHeight="1">
      <c r="E9" s="13"/>
      <c r="F9" s="23"/>
      <c r="G9" s="23"/>
      <c r="H9" s="23"/>
      <c r="I9" s="23"/>
      <c r="J9" s="23"/>
      <c r="K9" s="23"/>
      <c r="L9" s="23"/>
      <c r="M9" s="23"/>
      <c r="N9" s="23"/>
    </row>
    <row r="10" spans="1:15" ht="24" customHeight="1">
      <c r="A10" s="12" t="s">
        <v>14</v>
      </c>
      <c r="B10" s="12" t="s">
        <v>15</v>
      </c>
      <c r="E10" s="122" t="s">
        <v>16</v>
      </c>
      <c r="F10" s="123"/>
      <c r="G10" s="123"/>
      <c r="H10" s="123"/>
      <c r="I10" s="123"/>
      <c r="J10" s="123"/>
      <c r="K10" s="123"/>
      <c r="L10" s="123"/>
      <c r="M10" s="123"/>
      <c r="N10" s="124"/>
      <c r="O10" s="19" t="str">
        <f>IF(E10="","入力してください","")</f>
        <v/>
      </c>
    </row>
    <row r="11" spans="1:15" ht="7.5" customHeight="1">
      <c r="B11" s="13"/>
      <c r="C11" s="13"/>
      <c r="D11" s="13"/>
      <c r="E11" s="13"/>
      <c r="F11" s="23"/>
      <c r="G11" s="23"/>
      <c r="H11" s="23"/>
      <c r="I11" s="23"/>
      <c r="J11" s="23"/>
      <c r="K11" s="23"/>
      <c r="L11" s="23"/>
      <c r="M11" s="23"/>
      <c r="N11" s="23"/>
    </row>
    <row r="12" spans="1:15" ht="24" customHeight="1">
      <c r="A12" s="12" t="s">
        <v>17</v>
      </c>
      <c r="B12" s="13" t="s">
        <v>18</v>
      </c>
      <c r="C12" s="13"/>
      <c r="D12" s="13"/>
      <c r="E12" s="136" t="s">
        <v>19</v>
      </c>
      <c r="F12" s="137"/>
      <c r="G12" s="12" t="s">
        <v>20</v>
      </c>
      <c r="H12" s="12" t="s">
        <v>21</v>
      </c>
      <c r="N12" s="89" t="s">
        <v>22</v>
      </c>
      <c r="O12" s="19" t="str">
        <f>IF(E12="","入力してください","")</f>
        <v/>
      </c>
    </row>
    <row r="13" spans="1:15" ht="7.5" customHeight="1">
      <c r="B13" s="13"/>
      <c r="C13" s="13"/>
      <c r="D13" s="13"/>
      <c r="E13" s="13"/>
      <c r="F13" s="23"/>
      <c r="G13" s="23"/>
      <c r="H13" s="23"/>
      <c r="I13" s="23"/>
      <c r="J13" s="23"/>
      <c r="K13" s="23"/>
      <c r="L13" s="23"/>
      <c r="M13" s="23"/>
      <c r="N13" s="23"/>
    </row>
    <row r="14" spans="1:15" ht="24" customHeight="1">
      <c r="A14" s="12" t="s">
        <v>23</v>
      </c>
      <c r="B14" s="12" t="s">
        <v>24</v>
      </c>
      <c r="C14" s="132" t="s">
        <v>25</v>
      </c>
      <c r="D14" s="133"/>
      <c r="E14" s="125">
        <v>239</v>
      </c>
      <c r="F14" s="126"/>
      <c r="G14" s="90" t="s">
        <v>26</v>
      </c>
      <c r="I14" s="132" t="s">
        <v>27</v>
      </c>
      <c r="J14" s="133"/>
      <c r="K14" s="125">
        <v>221</v>
      </c>
      <c r="L14" s="134"/>
      <c r="M14" s="126"/>
      <c r="N14" s="91" t="s">
        <v>26</v>
      </c>
      <c r="O14" s="19" t="str">
        <f>IF(OR(E14="",K14=""),"入力してください","")</f>
        <v/>
      </c>
    </row>
    <row r="15" spans="1:15" ht="7.5" customHeight="1">
      <c r="M15" s="91"/>
      <c r="N15" s="91"/>
    </row>
    <row r="16" spans="1:15" ht="24" customHeight="1">
      <c r="A16" s="12" t="s">
        <v>28</v>
      </c>
      <c r="B16" s="12" t="s">
        <v>29</v>
      </c>
      <c r="K16" s="136">
        <v>7</v>
      </c>
      <c r="L16" s="139"/>
      <c r="M16" s="137"/>
      <c r="N16" s="91" t="s">
        <v>26</v>
      </c>
      <c r="O16" s="19" t="str">
        <f>IF(K16="","入力してください","")</f>
        <v/>
      </c>
    </row>
    <row r="17" spans="1:15" ht="7.5" customHeight="1">
      <c r="M17" s="91"/>
      <c r="N17" s="91"/>
    </row>
    <row r="18" spans="1:15" ht="24" customHeight="1">
      <c r="A18" s="12" t="s">
        <v>30</v>
      </c>
      <c r="B18" s="12" t="s">
        <v>31</v>
      </c>
      <c r="E18" s="125">
        <v>992</v>
      </c>
      <c r="F18" s="126"/>
      <c r="G18" s="92" t="s">
        <v>32</v>
      </c>
      <c r="K18" s="143"/>
      <c r="L18" s="143"/>
      <c r="M18" s="143"/>
      <c r="N18" s="143"/>
      <c r="O18" s="19" t="str">
        <f>IF(E18="","入力してください","")</f>
        <v/>
      </c>
    </row>
    <row r="19" spans="1:15" ht="7.5" customHeight="1">
      <c r="E19" s="93"/>
      <c r="L19" s="17"/>
      <c r="M19" s="17"/>
      <c r="N19" s="91"/>
    </row>
    <row r="20" spans="1:15" ht="24" customHeight="1">
      <c r="A20" s="12" t="s">
        <v>33</v>
      </c>
      <c r="B20" s="12" t="s">
        <v>34</v>
      </c>
      <c r="E20" s="93"/>
      <c r="H20" s="12" t="s">
        <v>35</v>
      </c>
      <c r="J20" s="140">
        <v>4551</v>
      </c>
      <c r="K20" s="141"/>
      <c r="L20" s="142"/>
      <c r="M20" s="17" t="s">
        <v>26</v>
      </c>
      <c r="N20" s="91"/>
      <c r="O20" s="19" t="str">
        <f>IF(J20="","入力してください","")</f>
        <v/>
      </c>
    </row>
    <row r="21" spans="1:15" ht="7.5" customHeight="1">
      <c r="E21" s="93"/>
      <c r="L21" s="17"/>
      <c r="M21" s="17"/>
      <c r="N21" s="91"/>
    </row>
    <row r="22" spans="1:15" ht="24" customHeight="1">
      <c r="B22" s="17" t="s">
        <v>36</v>
      </c>
      <c r="C22" s="125">
        <v>1049</v>
      </c>
      <c r="D22" s="126"/>
      <c r="E22" s="93" t="s">
        <v>26</v>
      </c>
      <c r="G22" s="121" t="s">
        <v>37</v>
      </c>
      <c r="H22" s="121"/>
      <c r="I22" s="125">
        <v>1153</v>
      </c>
      <c r="J22" s="126"/>
      <c r="K22" s="12" t="s">
        <v>26</v>
      </c>
      <c r="M22" s="17"/>
      <c r="N22" s="91"/>
    </row>
    <row r="23" spans="1:15" ht="7.5" customHeight="1">
      <c r="B23" s="17"/>
      <c r="C23" s="94"/>
      <c r="D23" s="94"/>
      <c r="E23" s="93"/>
      <c r="G23" s="17"/>
      <c r="H23" s="17"/>
      <c r="I23" s="94"/>
      <c r="J23" s="94"/>
      <c r="M23" s="17"/>
      <c r="N23" s="91"/>
    </row>
    <row r="24" spans="1:15" ht="24" customHeight="1">
      <c r="B24" s="17" t="s">
        <v>38</v>
      </c>
      <c r="C24" s="125">
        <v>1043</v>
      </c>
      <c r="D24" s="126"/>
      <c r="E24" s="93" t="s">
        <v>26</v>
      </c>
      <c r="G24" s="121" t="s">
        <v>39</v>
      </c>
      <c r="H24" s="121"/>
      <c r="I24" s="125">
        <v>927</v>
      </c>
      <c r="J24" s="126"/>
      <c r="K24" s="12" t="s">
        <v>26</v>
      </c>
      <c r="M24" s="17"/>
      <c r="N24" s="91"/>
    </row>
    <row r="25" spans="1:15" ht="7.5" customHeight="1">
      <c r="B25" s="17"/>
      <c r="C25" s="94"/>
      <c r="D25" s="94"/>
      <c r="E25" s="93"/>
      <c r="G25" s="17"/>
      <c r="H25" s="17"/>
      <c r="I25" s="94"/>
      <c r="J25" s="94"/>
      <c r="M25" s="17"/>
      <c r="N25" s="91"/>
    </row>
    <row r="26" spans="1:15" ht="24" customHeight="1">
      <c r="B26" s="17" t="s">
        <v>40</v>
      </c>
      <c r="C26" s="125">
        <v>176</v>
      </c>
      <c r="D26" s="126"/>
      <c r="E26" s="93" t="s">
        <v>26</v>
      </c>
      <c r="G26" s="121" t="s">
        <v>41</v>
      </c>
      <c r="H26" s="121"/>
      <c r="I26" s="125">
        <v>203</v>
      </c>
      <c r="J26" s="126"/>
      <c r="K26" s="12" t="s">
        <v>26</v>
      </c>
      <c r="M26" s="17"/>
      <c r="N26" s="91"/>
    </row>
    <row r="27" spans="1:15" ht="7.5" customHeight="1">
      <c r="M27" s="95"/>
      <c r="N27" s="95"/>
    </row>
    <row r="28" spans="1:15" ht="24" customHeight="1">
      <c r="A28" s="12" t="s">
        <v>42</v>
      </c>
      <c r="B28" s="12" t="s">
        <v>43</v>
      </c>
      <c r="G28" s="23"/>
      <c r="H28" s="23"/>
      <c r="I28" s="23"/>
      <c r="J28" s="96"/>
      <c r="K28" s="96"/>
      <c r="L28" s="96"/>
      <c r="M28" s="96"/>
      <c r="N28" s="96"/>
    </row>
    <row r="29" spans="1:15" s="12" customFormat="1" ht="24" customHeight="1">
      <c r="B29" s="129" t="s">
        <v>44</v>
      </c>
      <c r="C29" s="129"/>
      <c r="D29" s="122" t="s">
        <v>45</v>
      </c>
      <c r="E29" s="123"/>
      <c r="F29" s="123"/>
      <c r="G29" s="130" t="s">
        <v>46</v>
      </c>
      <c r="H29" s="129"/>
      <c r="I29" s="131"/>
      <c r="J29" s="122" t="s">
        <v>47</v>
      </c>
      <c r="K29" s="123"/>
      <c r="L29" s="123"/>
      <c r="M29" s="123"/>
      <c r="N29" s="124"/>
      <c r="O29" s="19" t="str">
        <f>IF(OR(D29="",J29=""),"入力してください","")</f>
        <v/>
      </c>
    </row>
    <row r="30" spans="1:15" ht="7.5" customHeight="1">
      <c r="M30" s="95"/>
      <c r="N30" s="95"/>
    </row>
    <row r="31" spans="1:15" ht="24" customHeight="1">
      <c r="A31" s="12" t="s">
        <v>48</v>
      </c>
      <c r="B31" s="12" t="s">
        <v>49</v>
      </c>
      <c r="G31" s="96"/>
      <c r="H31" s="96"/>
      <c r="I31" s="96"/>
      <c r="J31" s="96"/>
      <c r="K31" s="96"/>
      <c r="L31" s="96"/>
      <c r="M31" s="96"/>
      <c r="N31" s="96"/>
    </row>
    <row r="32" spans="1:15" ht="24" customHeight="1">
      <c r="B32" s="138" t="s">
        <v>50</v>
      </c>
      <c r="C32" s="123"/>
      <c r="D32" s="123"/>
      <c r="E32" s="123"/>
      <c r="F32" s="123"/>
      <c r="G32" s="123"/>
      <c r="H32" s="123"/>
      <c r="I32" s="123"/>
      <c r="J32" s="123"/>
      <c r="K32" s="123"/>
      <c r="L32" s="123"/>
      <c r="M32" s="123"/>
      <c r="N32" s="124"/>
      <c r="O32" s="19" t="str">
        <f>IF(B32="","入力してください","")</f>
        <v/>
      </c>
    </row>
    <row r="33" spans="1:15" ht="7.5" customHeight="1">
      <c r="B33" s="10"/>
      <c r="C33" s="10"/>
      <c r="D33" s="10"/>
      <c r="E33" s="10"/>
      <c r="F33" s="10"/>
      <c r="G33" s="10"/>
      <c r="H33" s="10"/>
      <c r="I33" s="10"/>
      <c r="J33" s="10"/>
      <c r="K33" s="10"/>
      <c r="L33" s="10"/>
      <c r="M33" s="10"/>
      <c r="N33" s="10"/>
    </row>
    <row r="34" spans="1:15" s="12" customFormat="1" ht="24" customHeight="1">
      <c r="B34" s="129" t="s">
        <v>44</v>
      </c>
      <c r="C34" s="129"/>
      <c r="D34" s="122" t="s">
        <v>51</v>
      </c>
      <c r="E34" s="123"/>
      <c r="F34" s="123"/>
      <c r="G34" s="130" t="s">
        <v>46</v>
      </c>
      <c r="H34" s="129"/>
      <c r="I34" s="131"/>
      <c r="J34" s="122" t="s">
        <v>52</v>
      </c>
      <c r="K34" s="123"/>
      <c r="L34" s="123"/>
      <c r="M34" s="123"/>
      <c r="N34" s="124"/>
      <c r="O34" s="19" t="str">
        <f>IF(OR(D34="",J34=""),"入力してください","")</f>
        <v/>
      </c>
    </row>
    <row r="35" spans="1:15" ht="7.5" customHeight="1">
      <c r="F35" s="23"/>
      <c r="G35" s="23"/>
      <c r="H35" s="23"/>
      <c r="I35" s="23"/>
      <c r="J35" s="23"/>
      <c r="K35" s="23"/>
      <c r="L35" s="23"/>
      <c r="M35" s="23"/>
      <c r="N35" s="23"/>
    </row>
    <row r="36" spans="1:15" ht="24" customHeight="1">
      <c r="A36" s="12" t="s">
        <v>53</v>
      </c>
      <c r="B36" s="12" t="s">
        <v>54</v>
      </c>
      <c r="M36" s="95"/>
      <c r="N36" s="95"/>
    </row>
    <row r="37" spans="1:15" ht="24" customHeight="1">
      <c r="B37" s="122" t="s">
        <v>55</v>
      </c>
      <c r="C37" s="123"/>
      <c r="D37" s="123"/>
      <c r="E37" s="123"/>
      <c r="F37" s="123"/>
      <c r="G37" s="123"/>
      <c r="H37" s="123"/>
      <c r="I37" s="123"/>
      <c r="J37" s="123"/>
      <c r="K37" s="123"/>
      <c r="L37" s="123"/>
      <c r="M37" s="123"/>
      <c r="N37" s="124"/>
      <c r="O37" s="19" t="str">
        <f>IF(B37="","入力してください","")</f>
        <v/>
      </c>
    </row>
    <row r="38" spans="1:15" ht="7.5" customHeight="1">
      <c r="F38" s="23"/>
      <c r="G38" s="23"/>
      <c r="H38" s="23"/>
      <c r="I38" s="23"/>
      <c r="J38" s="23"/>
      <c r="K38" s="23"/>
      <c r="L38" s="23"/>
      <c r="M38" s="23"/>
      <c r="N38" s="23"/>
    </row>
    <row r="39" spans="1:15" s="12" customFormat="1" ht="24" customHeight="1">
      <c r="B39" s="129" t="s">
        <v>44</v>
      </c>
      <c r="C39" s="129"/>
      <c r="D39" s="122" t="s">
        <v>45</v>
      </c>
      <c r="E39" s="123"/>
      <c r="F39" s="123"/>
      <c r="G39" s="130" t="s">
        <v>56</v>
      </c>
      <c r="H39" s="129"/>
      <c r="I39" s="131"/>
      <c r="J39" s="122" t="s">
        <v>47</v>
      </c>
      <c r="K39" s="123"/>
      <c r="L39" s="123"/>
      <c r="M39" s="123"/>
      <c r="N39" s="124"/>
      <c r="O39" s="19" t="str">
        <f>IF(OR(D39="",J39=""),"入力してください","")</f>
        <v/>
      </c>
    </row>
    <row r="40" spans="1:15" ht="7.5" customHeight="1">
      <c r="F40" s="23"/>
      <c r="G40" s="23"/>
      <c r="H40" s="23"/>
      <c r="I40" s="23"/>
      <c r="J40" s="23"/>
      <c r="K40" s="23"/>
      <c r="L40" s="23"/>
      <c r="M40" s="23"/>
      <c r="N40" s="23"/>
    </row>
    <row r="41" spans="1:15" ht="24" customHeight="1">
      <c r="A41" s="12" t="s">
        <v>57</v>
      </c>
      <c r="B41" s="12" t="s">
        <v>58</v>
      </c>
      <c r="E41" s="97"/>
      <c r="F41" s="122" t="s">
        <v>59</v>
      </c>
      <c r="G41" s="123"/>
      <c r="H41" s="123"/>
      <c r="I41" s="123"/>
      <c r="J41" s="123"/>
      <c r="K41" s="123"/>
      <c r="L41" s="123"/>
      <c r="M41" s="123"/>
      <c r="N41" s="124"/>
      <c r="O41" s="19" t="str">
        <f>IF(F41="","入力してください","")</f>
        <v/>
      </c>
    </row>
    <row r="42" spans="1:15" ht="7.5" customHeight="1">
      <c r="F42" s="23"/>
      <c r="G42" s="23"/>
      <c r="H42" s="23"/>
      <c r="I42" s="23"/>
      <c r="J42" s="23"/>
      <c r="K42" s="23"/>
      <c r="L42" s="23"/>
      <c r="M42" s="23"/>
      <c r="N42" s="23"/>
    </row>
    <row r="43" spans="1:15" ht="24" customHeight="1">
      <c r="A43" s="12" t="s">
        <v>60</v>
      </c>
    </row>
    <row r="44" spans="1:15" ht="24" customHeight="1">
      <c r="B44" s="18" t="s">
        <v>61</v>
      </c>
      <c r="C44" s="127" t="s">
        <v>62</v>
      </c>
      <c r="D44" s="128"/>
      <c r="E44" s="128"/>
      <c r="F44" s="128"/>
      <c r="G44" s="128"/>
      <c r="H44" s="128"/>
      <c r="I44" s="14" t="s">
        <v>63</v>
      </c>
      <c r="J44" s="15"/>
      <c r="K44" s="122" t="s">
        <v>64</v>
      </c>
      <c r="L44" s="123"/>
      <c r="M44" s="123"/>
      <c r="N44" s="124"/>
      <c r="O44" s="19" t="str">
        <f>IF(OR(C44="",K44=""),"入力してください","")</f>
        <v/>
      </c>
    </row>
    <row r="45" spans="1:15" ht="24" customHeight="1">
      <c r="B45" s="98" t="s">
        <v>65</v>
      </c>
      <c r="C45" s="115" t="s">
        <v>66</v>
      </c>
      <c r="D45" s="116"/>
      <c r="E45" s="116"/>
      <c r="F45" s="116"/>
      <c r="G45" s="116"/>
      <c r="H45" s="117"/>
      <c r="I45" s="14" t="s">
        <v>67</v>
      </c>
      <c r="J45" s="15"/>
      <c r="K45" s="118" t="s">
        <v>68</v>
      </c>
      <c r="L45" s="119"/>
      <c r="M45" s="119"/>
      <c r="N45" s="120"/>
      <c r="O45" s="19"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disablePrompts="1"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8"/>
  <sheetViews>
    <sheetView showZeros="0" view="pageBreakPreview" topLeftCell="B93" zoomScaleNormal="100" zoomScaleSheetLayoutView="100" workbookViewId="0">
      <selection activeCell="B34" sqref="B34:C34"/>
    </sheetView>
  </sheetViews>
  <sheetFormatPr defaultColWidth="9" defaultRowHeight="18.75" customHeight="1"/>
  <cols>
    <col min="1" max="1" width="2.5" style="11" customWidth="1"/>
    <col min="2" max="2" width="27.75" style="11" customWidth="1"/>
    <col min="3" max="13" width="3.375" style="11" customWidth="1"/>
    <col min="14" max="14" width="8.875" style="11" customWidth="1"/>
    <col min="15" max="15" width="18.875" style="11" customWidth="1"/>
    <col min="16" max="19" width="3.375" style="11" customWidth="1"/>
    <col min="20" max="20" width="3.5" style="11" customWidth="1"/>
    <col min="21" max="26" width="3.375" style="11" customWidth="1"/>
    <col min="27" max="16384" width="9" style="11"/>
  </cols>
  <sheetData>
    <row r="1" spans="1:26" ht="15" customHeight="1">
      <c r="W1" s="221" t="s">
        <v>69</v>
      </c>
      <c r="X1" s="221"/>
      <c r="Y1" s="221"/>
      <c r="Z1" s="221"/>
    </row>
    <row r="2" spans="1:26" ht="18" customHeight="1">
      <c r="A2" s="222" t="s">
        <v>70</v>
      </c>
      <c r="B2" s="222"/>
      <c r="C2" s="222"/>
      <c r="D2" s="222"/>
      <c r="E2" s="222"/>
      <c r="F2" s="222"/>
      <c r="G2" s="222"/>
      <c r="H2" s="222"/>
      <c r="I2" s="222"/>
      <c r="J2" s="222"/>
      <c r="K2" s="222"/>
      <c r="L2" s="222"/>
      <c r="M2" s="222"/>
      <c r="N2" s="222"/>
      <c r="O2" s="222"/>
      <c r="P2" s="222"/>
      <c r="Q2" s="222"/>
      <c r="R2" s="222"/>
      <c r="S2" s="222"/>
      <c r="T2" s="222"/>
      <c r="U2" s="222"/>
      <c r="V2" s="222"/>
      <c r="W2" s="222"/>
      <c r="X2" s="222"/>
      <c r="Y2" s="222"/>
      <c r="Z2" s="222"/>
    </row>
    <row r="3" spans="1:26" ht="15" customHeight="1">
      <c r="B3" s="17"/>
      <c r="C3" s="17"/>
      <c r="D3" s="17"/>
      <c r="E3" s="17"/>
      <c r="F3" s="17"/>
      <c r="G3" s="17"/>
      <c r="H3" s="17"/>
      <c r="I3" s="17"/>
      <c r="J3" s="17"/>
      <c r="K3" s="17"/>
      <c r="L3" s="17"/>
      <c r="M3" s="17"/>
      <c r="N3" s="17"/>
      <c r="O3" s="17"/>
      <c r="P3" s="17"/>
      <c r="Q3" s="17"/>
      <c r="R3" s="17"/>
      <c r="S3" s="17"/>
      <c r="T3" s="17"/>
      <c r="U3" s="17"/>
      <c r="V3" s="17"/>
      <c r="W3" s="17"/>
      <c r="X3" s="17"/>
      <c r="Y3" s="17"/>
      <c r="Z3" s="17"/>
    </row>
    <row r="4" spans="1:26" ht="18" customHeight="1">
      <c r="A4" s="11" t="s">
        <v>71</v>
      </c>
      <c r="B4" s="17"/>
      <c r="C4" s="17"/>
      <c r="D4" s="17"/>
      <c r="E4" s="17"/>
      <c r="F4" s="17"/>
      <c r="G4" s="17"/>
      <c r="H4" s="12" t="s">
        <v>72</v>
      </c>
      <c r="I4" s="17"/>
      <c r="J4" s="17"/>
      <c r="K4" s="17"/>
      <c r="L4" s="17"/>
      <c r="M4" s="17"/>
      <c r="N4" s="17"/>
      <c r="O4" s="136" t="s">
        <v>73</v>
      </c>
      <c r="P4" s="139"/>
      <c r="Q4" s="139"/>
      <c r="R4" s="139"/>
      <c r="S4" s="139"/>
      <c r="T4" s="139"/>
      <c r="U4" s="139"/>
      <c r="V4" s="139"/>
      <c r="W4" s="139"/>
      <c r="X4" s="139"/>
      <c r="Y4" s="139"/>
      <c r="Z4" s="137"/>
    </row>
    <row r="5" spans="1:26" ht="6" customHeight="1">
      <c r="B5" s="17"/>
      <c r="C5" s="17"/>
      <c r="D5" s="17"/>
      <c r="E5" s="17"/>
      <c r="F5" s="17"/>
      <c r="G5" s="17"/>
      <c r="H5" s="17"/>
      <c r="I5" s="17"/>
      <c r="J5" s="17"/>
      <c r="K5" s="17"/>
      <c r="L5" s="17"/>
      <c r="M5" s="17"/>
      <c r="N5" s="17"/>
      <c r="O5" s="13"/>
      <c r="P5" s="17"/>
      <c r="Q5" s="17"/>
      <c r="R5" s="17"/>
      <c r="S5" s="17"/>
      <c r="T5" s="17"/>
      <c r="U5" s="17"/>
      <c r="V5" s="17"/>
      <c r="W5" s="17"/>
      <c r="X5" s="17"/>
      <c r="Y5" s="17"/>
      <c r="Z5" s="17"/>
    </row>
    <row r="6" spans="1:26" ht="18" customHeight="1">
      <c r="B6" s="223" t="s">
        <v>74</v>
      </c>
      <c r="C6" s="190"/>
      <c r="D6" s="190"/>
      <c r="E6" s="190"/>
      <c r="F6" s="190"/>
      <c r="G6" s="190"/>
      <c r="H6" s="190"/>
      <c r="I6" s="190"/>
      <c r="J6" s="190"/>
      <c r="K6" s="190"/>
      <c r="L6" s="190"/>
      <c r="M6" s="190"/>
      <c r="N6" s="190"/>
      <c r="O6" s="190"/>
      <c r="P6" s="190"/>
      <c r="Q6" s="190"/>
      <c r="R6" s="190"/>
      <c r="S6" s="190"/>
      <c r="T6" s="190"/>
      <c r="U6" s="190"/>
      <c r="V6" s="190"/>
      <c r="W6" s="190"/>
      <c r="X6" s="190"/>
      <c r="Y6" s="190"/>
      <c r="Z6" s="191"/>
    </row>
    <row r="7" spans="1:26" ht="18" customHeight="1">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c r="B10" s="224"/>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6"/>
    </row>
    <row r="11" spans="1:26" ht="18" customHeight="1">
      <c r="B11" s="227"/>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9"/>
    </row>
    <row r="12" spans="1:26" ht="7.5" customHeight="1">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ht="18" customHeight="1">
      <c r="A13" s="216" t="s">
        <v>75</v>
      </c>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row>
    <row r="14" spans="1:26" ht="18" customHeight="1">
      <c r="A14" s="216"/>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1:26" ht="18" customHeight="1">
      <c r="A15" s="12"/>
      <c r="B15" s="136" t="s">
        <v>76</v>
      </c>
      <c r="C15" s="139"/>
      <c r="D15" s="139"/>
      <c r="E15" s="139"/>
      <c r="F15" s="137"/>
      <c r="G15" s="18" t="s">
        <v>77</v>
      </c>
      <c r="H15" s="81" t="s">
        <v>78</v>
      </c>
      <c r="I15" s="139" t="s">
        <v>79</v>
      </c>
      <c r="J15" s="139"/>
      <c r="K15" s="139"/>
      <c r="L15" s="58" t="s">
        <v>80</v>
      </c>
      <c r="M15" s="58" t="s">
        <v>81</v>
      </c>
      <c r="N15" s="136" t="s">
        <v>76</v>
      </c>
      <c r="O15" s="139"/>
      <c r="P15" s="139"/>
      <c r="Q15" s="139"/>
      <c r="R15" s="139"/>
      <c r="S15" s="137"/>
      <c r="T15" s="18" t="s">
        <v>77</v>
      </c>
      <c r="U15" s="81" t="s">
        <v>78</v>
      </c>
      <c r="V15" s="139" t="s">
        <v>79</v>
      </c>
      <c r="W15" s="139"/>
      <c r="X15" s="139"/>
      <c r="Y15" s="58" t="s">
        <v>80</v>
      </c>
      <c r="Z15" s="58" t="s">
        <v>81</v>
      </c>
    </row>
    <row r="16" spans="1:26" ht="18" customHeight="1">
      <c r="A16" s="12"/>
      <c r="B16" s="220" t="s">
        <v>82</v>
      </c>
      <c r="C16" s="176"/>
      <c r="D16" s="176"/>
      <c r="E16" s="176"/>
      <c r="F16" s="177"/>
      <c r="G16" s="82">
        <v>1</v>
      </c>
      <c r="H16" s="82" t="s">
        <v>83</v>
      </c>
      <c r="I16" s="212" t="s">
        <v>84</v>
      </c>
      <c r="J16" s="213"/>
      <c r="K16" s="214"/>
      <c r="L16" s="82" t="s">
        <v>83</v>
      </c>
      <c r="M16" s="82" t="s">
        <v>83</v>
      </c>
      <c r="N16" s="199"/>
      <c r="O16" s="166"/>
      <c r="P16" s="166"/>
      <c r="Q16" s="166"/>
      <c r="R16" s="166"/>
      <c r="S16" s="167"/>
      <c r="T16" s="82"/>
      <c r="U16" s="82"/>
      <c r="V16" s="212"/>
      <c r="W16" s="213"/>
      <c r="X16" s="214"/>
      <c r="Y16" s="82"/>
      <c r="Z16" s="82"/>
    </row>
    <row r="17" spans="1:26" ht="18" customHeight="1">
      <c r="A17" s="12"/>
      <c r="B17" s="217"/>
      <c r="C17" s="218"/>
      <c r="D17" s="218"/>
      <c r="E17" s="218"/>
      <c r="F17" s="219"/>
      <c r="G17" s="83"/>
      <c r="H17" s="83"/>
      <c r="I17" s="209"/>
      <c r="J17" s="210"/>
      <c r="K17" s="211"/>
      <c r="L17" s="83"/>
      <c r="M17" s="83"/>
      <c r="N17" s="195"/>
      <c r="O17" s="169"/>
      <c r="P17" s="169"/>
      <c r="Q17" s="169"/>
      <c r="R17" s="169"/>
      <c r="S17" s="170"/>
      <c r="T17" s="83"/>
      <c r="U17" s="83"/>
      <c r="V17" s="209"/>
      <c r="W17" s="210"/>
      <c r="X17" s="211"/>
      <c r="Y17" s="83"/>
      <c r="Z17" s="83"/>
    </row>
    <row r="18" spans="1:26" ht="18" customHeight="1">
      <c r="A18" s="12"/>
      <c r="B18" s="217"/>
      <c r="C18" s="218"/>
      <c r="D18" s="218"/>
      <c r="E18" s="218"/>
      <c r="F18" s="219"/>
      <c r="G18" s="83"/>
      <c r="H18" s="83"/>
      <c r="I18" s="209"/>
      <c r="J18" s="210"/>
      <c r="K18" s="211"/>
      <c r="L18" s="83"/>
      <c r="M18" s="83"/>
      <c r="N18" s="195"/>
      <c r="O18" s="169"/>
      <c r="P18" s="169"/>
      <c r="Q18" s="169"/>
      <c r="R18" s="169"/>
      <c r="S18" s="170"/>
      <c r="T18" s="83"/>
      <c r="U18" s="83"/>
      <c r="V18" s="209"/>
      <c r="W18" s="210"/>
      <c r="X18" s="211"/>
      <c r="Y18" s="83"/>
      <c r="Z18" s="83"/>
    </row>
    <row r="19" spans="1:26" ht="18" customHeight="1">
      <c r="A19" s="12"/>
      <c r="B19" s="217"/>
      <c r="C19" s="218"/>
      <c r="D19" s="218"/>
      <c r="E19" s="218"/>
      <c r="F19" s="219"/>
      <c r="G19" s="83"/>
      <c r="H19" s="83"/>
      <c r="I19" s="209"/>
      <c r="J19" s="210"/>
      <c r="K19" s="211"/>
      <c r="L19" s="83"/>
      <c r="M19" s="83"/>
      <c r="N19" s="195"/>
      <c r="O19" s="169"/>
      <c r="P19" s="169"/>
      <c r="Q19" s="169"/>
      <c r="R19" s="169"/>
      <c r="S19" s="170"/>
      <c r="T19" s="83"/>
      <c r="U19" s="83"/>
      <c r="V19" s="209"/>
      <c r="W19" s="210"/>
      <c r="X19" s="211"/>
      <c r="Y19" s="83"/>
      <c r="Z19" s="83"/>
    </row>
    <row r="20" spans="1:26" ht="18" customHeight="1">
      <c r="A20" s="12"/>
      <c r="B20" s="217"/>
      <c r="C20" s="218"/>
      <c r="D20" s="218"/>
      <c r="E20" s="218"/>
      <c r="F20" s="219"/>
      <c r="G20" s="83"/>
      <c r="H20" s="83"/>
      <c r="I20" s="209"/>
      <c r="J20" s="210"/>
      <c r="K20" s="211"/>
      <c r="L20" s="83"/>
      <c r="M20" s="83"/>
      <c r="N20" s="195"/>
      <c r="O20" s="169"/>
      <c r="P20" s="169"/>
      <c r="Q20" s="169"/>
      <c r="R20" s="169"/>
      <c r="S20" s="170"/>
      <c r="T20" s="83"/>
      <c r="U20" s="83"/>
      <c r="V20" s="209"/>
      <c r="W20" s="210"/>
      <c r="X20" s="211"/>
      <c r="Y20" s="83"/>
      <c r="Z20" s="83"/>
    </row>
    <row r="21" spans="1:26" ht="18" customHeight="1">
      <c r="A21" s="17"/>
      <c r="B21" s="217"/>
      <c r="C21" s="218"/>
      <c r="D21" s="218"/>
      <c r="E21" s="218"/>
      <c r="F21" s="219"/>
      <c r="G21" s="83"/>
      <c r="H21" s="83"/>
      <c r="I21" s="209"/>
      <c r="J21" s="210"/>
      <c r="K21" s="211"/>
      <c r="L21" s="83"/>
      <c r="M21" s="83"/>
      <c r="N21" s="195"/>
      <c r="O21" s="169"/>
      <c r="P21" s="169"/>
      <c r="Q21" s="169"/>
      <c r="R21" s="169"/>
      <c r="S21" s="170"/>
      <c r="T21" s="83"/>
      <c r="U21" s="83"/>
      <c r="V21" s="209"/>
      <c r="W21" s="210"/>
      <c r="X21" s="211"/>
      <c r="Y21" s="83"/>
      <c r="Z21" s="83"/>
    </row>
    <row r="22" spans="1:26" ht="18" customHeight="1">
      <c r="A22" s="17"/>
      <c r="B22" s="215"/>
      <c r="C22" s="162"/>
      <c r="D22" s="162"/>
      <c r="E22" s="162"/>
      <c r="F22" s="163"/>
      <c r="G22" s="84"/>
      <c r="H22" s="84"/>
      <c r="I22" s="203"/>
      <c r="J22" s="204"/>
      <c r="K22" s="205"/>
      <c r="L22" s="88"/>
      <c r="M22" s="88"/>
      <c r="N22" s="181"/>
      <c r="O22" s="182"/>
      <c r="P22" s="182"/>
      <c r="Q22" s="182"/>
      <c r="R22" s="182"/>
      <c r="S22" s="183"/>
      <c r="T22" s="84"/>
      <c r="U22" s="84"/>
      <c r="V22" s="203"/>
      <c r="W22" s="204"/>
      <c r="X22" s="205"/>
      <c r="Y22" s="88"/>
      <c r="Z22" s="88"/>
    </row>
    <row r="23" spans="1:26" ht="7.5" customHeight="1">
      <c r="A23" s="17"/>
      <c r="B23" s="23"/>
      <c r="C23" s="23"/>
      <c r="D23" s="17"/>
      <c r="E23" s="17"/>
      <c r="F23" s="17"/>
      <c r="G23" s="17"/>
      <c r="H23" s="17"/>
      <c r="I23" s="17"/>
      <c r="J23" s="17"/>
      <c r="K23" s="17"/>
      <c r="L23" s="23"/>
      <c r="M23" s="23"/>
      <c r="N23" s="23"/>
      <c r="O23" s="23"/>
      <c r="P23" s="23"/>
      <c r="Q23" s="23"/>
      <c r="R23" s="23"/>
      <c r="S23" s="23"/>
      <c r="T23" s="23"/>
      <c r="U23" s="23"/>
      <c r="V23" s="23"/>
      <c r="W23" s="23"/>
      <c r="X23" s="23"/>
      <c r="Y23" s="23"/>
      <c r="Z23" s="17"/>
    </row>
    <row r="24" spans="1:26" ht="18" customHeight="1">
      <c r="A24" s="216" t="s">
        <v>85</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spans="1:26" ht="18" customHeight="1">
      <c r="A25" s="216"/>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row>
    <row r="26" spans="1:26" ht="18" customHeight="1">
      <c r="A26" s="12"/>
      <c r="B26" s="136" t="s">
        <v>76</v>
      </c>
      <c r="C26" s="139"/>
      <c r="D26" s="139"/>
      <c r="E26" s="139"/>
      <c r="F26" s="137"/>
      <c r="G26" s="18" t="s">
        <v>77</v>
      </c>
      <c r="H26" s="81" t="s">
        <v>78</v>
      </c>
      <c r="I26" s="139" t="s">
        <v>79</v>
      </c>
      <c r="J26" s="139"/>
      <c r="K26" s="139"/>
      <c r="L26" s="58" t="s">
        <v>86</v>
      </c>
      <c r="M26" s="58" t="s">
        <v>87</v>
      </c>
      <c r="N26" s="136" t="s">
        <v>76</v>
      </c>
      <c r="O26" s="139"/>
      <c r="P26" s="139"/>
      <c r="Q26" s="139"/>
      <c r="R26" s="139"/>
      <c r="S26" s="137"/>
      <c r="T26" s="18" t="s">
        <v>77</v>
      </c>
      <c r="U26" s="81" t="s">
        <v>78</v>
      </c>
      <c r="V26" s="139" t="s">
        <v>79</v>
      </c>
      <c r="W26" s="139"/>
      <c r="X26" s="139"/>
      <c r="Y26" s="58" t="s">
        <v>86</v>
      </c>
      <c r="Z26" s="58" t="s">
        <v>87</v>
      </c>
    </row>
    <row r="27" spans="1:26" ht="18" customHeight="1">
      <c r="A27" s="12"/>
      <c r="B27" s="220" t="s">
        <v>82</v>
      </c>
      <c r="C27" s="176"/>
      <c r="D27" s="176"/>
      <c r="E27" s="176"/>
      <c r="F27" s="177"/>
      <c r="G27" s="82">
        <v>1</v>
      </c>
      <c r="H27" s="82" t="s">
        <v>83</v>
      </c>
      <c r="I27" s="212" t="s">
        <v>84</v>
      </c>
      <c r="J27" s="213"/>
      <c r="K27" s="214"/>
      <c r="L27" s="82" t="s">
        <v>83</v>
      </c>
      <c r="M27" s="82" t="s">
        <v>83</v>
      </c>
      <c r="N27" s="199"/>
      <c r="O27" s="166"/>
      <c r="P27" s="166"/>
      <c r="Q27" s="166"/>
      <c r="R27" s="166"/>
      <c r="S27" s="167"/>
      <c r="T27" s="82"/>
      <c r="U27" s="82"/>
      <c r="V27" s="212"/>
      <c r="W27" s="213"/>
      <c r="X27" s="214"/>
      <c r="Y27" s="82"/>
      <c r="Z27" s="82"/>
    </row>
    <row r="28" spans="1:26" ht="18" customHeight="1">
      <c r="A28" s="12"/>
      <c r="B28" s="217"/>
      <c r="C28" s="218"/>
      <c r="D28" s="218"/>
      <c r="E28" s="218"/>
      <c r="F28" s="219"/>
      <c r="G28" s="83"/>
      <c r="H28" s="83"/>
      <c r="I28" s="209"/>
      <c r="J28" s="210"/>
      <c r="K28" s="211"/>
      <c r="L28" s="83"/>
      <c r="M28" s="83"/>
      <c r="N28" s="195"/>
      <c r="O28" s="169"/>
      <c r="P28" s="169"/>
      <c r="Q28" s="169"/>
      <c r="R28" s="169"/>
      <c r="S28" s="170"/>
      <c r="T28" s="83"/>
      <c r="U28" s="83"/>
      <c r="V28" s="209"/>
      <c r="W28" s="210"/>
      <c r="X28" s="211"/>
      <c r="Y28" s="83"/>
      <c r="Z28" s="83"/>
    </row>
    <row r="29" spans="1:26" ht="18" customHeight="1">
      <c r="A29" s="12"/>
      <c r="B29" s="217"/>
      <c r="C29" s="218"/>
      <c r="D29" s="218"/>
      <c r="E29" s="218"/>
      <c r="F29" s="219"/>
      <c r="G29" s="83"/>
      <c r="H29" s="83"/>
      <c r="I29" s="209"/>
      <c r="J29" s="210"/>
      <c r="K29" s="211"/>
      <c r="L29" s="83"/>
      <c r="M29" s="83"/>
      <c r="N29" s="195"/>
      <c r="O29" s="169"/>
      <c r="P29" s="169"/>
      <c r="Q29" s="169"/>
      <c r="R29" s="169"/>
      <c r="S29" s="170"/>
      <c r="T29" s="83"/>
      <c r="U29" s="83"/>
      <c r="V29" s="209"/>
      <c r="W29" s="210"/>
      <c r="X29" s="211"/>
      <c r="Y29" s="83"/>
      <c r="Z29" s="83"/>
    </row>
    <row r="30" spans="1:26" ht="18" customHeight="1">
      <c r="A30" s="12"/>
      <c r="B30" s="217"/>
      <c r="C30" s="218"/>
      <c r="D30" s="218"/>
      <c r="E30" s="218"/>
      <c r="F30" s="219"/>
      <c r="G30" s="83"/>
      <c r="H30" s="83"/>
      <c r="I30" s="209"/>
      <c r="J30" s="210"/>
      <c r="K30" s="211"/>
      <c r="L30" s="83"/>
      <c r="M30" s="83"/>
      <c r="N30" s="195"/>
      <c r="O30" s="169"/>
      <c r="P30" s="169"/>
      <c r="Q30" s="169"/>
      <c r="R30" s="169"/>
      <c r="S30" s="170"/>
      <c r="T30" s="83"/>
      <c r="U30" s="83"/>
      <c r="V30" s="209"/>
      <c r="W30" s="210"/>
      <c r="X30" s="211"/>
      <c r="Y30" s="83"/>
      <c r="Z30" s="83"/>
    </row>
    <row r="31" spans="1:26" ht="18" customHeight="1">
      <c r="A31" s="12"/>
      <c r="B31" s="217"/>
      <c r="C31" s="218"/>
      <c r="D31" s="218"/>
      <c r="E31" s="218"/>
      <c r="F31" s="219"/>
      <c r="G31" s="83"/>
      <c r="H31" s="83"/>
      <c r="I31" s="209"/>
      <c r="J31" s="210"/>
      <c r="K31" s="211"/>
      <c r="L31" s="83"/>
      <c r="M31" s="83"/>
      <c r="N31" s="195"/>
      <c r="O31" s="169"/>
      <c r="P31" s="169"/>
      <c r="Q31" s="169"/>
      <c r="R31" s="169"/>
      <c r="S31" s="170"/>
      <c r="T31" s="83"/>
      <c r="U31" s="83"/>
      <c r="V31" s="209"/>
      <c r="W31" s="210"/>
      <c r="X31" s="211"/>
      <c r="Y31" s="83"/>
      <c r="Z31" s="83"/>
    </row>
    <row r="32" spans="1:26" ht="18" customHeight="1">
      <c r="A32" s="12"/>
      <c r="B32" s="217"/>
      <c r="C32" s="218"/>
      <c r="D32" s="218"/>
      <c r="E32" s="218"/>
      <c r="F32" s="219"/>
      <c r="G32" s="83"/>
      <c r="H32" s="83"/>
      <c r="I32" s="209"/>
      <c r="J32" s="210"/>
      <c r="K32" s="211"/>
      <c r="L32" s="83"/>
      <c r="M32" s="83"/>
      <c r="N32" s="195"/>
      <c r="O32" s="169"/>
      <c r="P32" s="169"/>
      <c r="Q32" s="169"/>
      <c r="R32" s="169"/>
      <c r="S32" s="170"/>
      <c r="T32" s="83"/>
      <c r="U32" s="83"/>
      <c r="V32" s="209"/>
      <c r="W32" s="210"/>
      <c r="X32" s="211"/>
      <c r="Y32" s="83"/>
      <c r="Z32" s="83"/>
    </row>
    <row r="33" spans="1:26" ht="18" customHeight="1">
      <c r="A33" s="12"/>
      <c r="B33" s="215"/>
      <c r="C33" s="162"/>
      <c r="D33" s="162"/>
      <c r="E33" s="162"/>
      <c r="F33" s="163"/>
      <c r="G33" s="84"/>
      <c r="H33" s="84"/>
      <c r="I33" s="203"/>
      <c r="J33" s="204"/>
      <c r="K33" s="205"/>
      <c r="L33" s="88"/>
      <c r="M33" s="88"/>
      <c r="N33" s="181"/>
      <c r="O33" s="182"/>
      <c r="P33" s="182"/>
      <c r="Q33" s="182"/>
      <c r="R33" s="182"/>
      <c r="S33" s="183"/>
      <c r="T33" s="84"/>
      <c r="U33" s="84"/>
      <c r="V33" s="203"/>
      <c r="W33" s="204"/>
      <c r="X33" s="205"/>
      <c r="Y33" s="88"/>
      <c r="Z33" s="88"/>
    </row>
    <row r="34" spans="1:26" ht="7.5" customHeight="1">
      <c r="A34" s="17"/>
      <c r="B34" s="23"/>
      <c r="C34" s="23"/>
      <c r="D34" s="17"/>
      <c r="E34" s="17"/>
      <c r="F34" s="17"/>
      <c r="G34" s="17"/>
      <c r="H34" s="17"/>
      <c r="I34" s="17"/>
      <c r="J34" s="17"/>
      <c r="K34" s="17"/>
      <c r="L34" s="23"/>
      <c r="M34" s="23"/>
      <c r="N34" s="23"/>
      <c r="O34" s="23"/>
      <c r="P34" s="23"/>
      <c r="Q34" s="23"/>
      <c r="R34" s="23"/>
      <c r="S34" s="23"/>
      <c r="T34" s="23"/>
      <c r="U34" s="23"/>
      <c r="V34" s="23"/>
      <c r="W34" s="23"/>
      <c r="X34" s="23"/>
      <c r="Y34" s="23"/>
      <c r="Z34" s="17"/>
    </row>
    <row r="35" spans="1:26" ht="18" customHeight="1">
      <c r="A35" s="216" t="s">
        <v>88</v>
      </c>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spans="1:26" ht="18" customHeight="1">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spans="1:26" ht="18" customHeight="1">
      <c r="A37" s="12"/>
      <c r="B37" s="136" t="s">
        <v>76</v>
      </c>
      <c r="C37" s="139"/>
      <c r="D37" s="139"/>
      <c r="E37" s="139"/>
      <c r="F37" s="137"/>
      <c r="G37" s="18" t="s">
        <v>77</v>
      </c>
      <c r="H37" s="81" t="s">
        <v>78</v>
      </c>
      <c r="I37" s="136" t="s">
        <v>79</v>
      </c>
      <c r="J37" s="139"/>
      <c r="K37" s="137"/>
      <c r="L37" s="58" t="s">
        <v>89</v>
      </c>
      <c r="M37" s="58" t="s">
        <v>90</v>
      </c>
      <c r="N37" s="136" t="s">
        <v>76</v>
      </c>
      <c r="O37" s="139"/>
      <c r="P37" s="139"/>
      <c r="Q37" s="139"/>
      <c r="R37" s="139"/>
      <c r="S37" s="137"/>
      <c r="T37" s="18" t="s">
        <v>77</v>
      </c>
      <c r="U37" s="81" t="s">
        <v>78</v>
      </c>
      <c r="V37" s="136" t="s">
        <v>79</v>
      </c>
      <c r="W37" s="139"/>
      <c r="X37" s="137"/>
      <c r="Y37" s="58" t="s">
        <v>89</v>
      </c>
      <c r="Z37" s="58" t="s">
        <v>90</v>
      </c>
    </row>
    <row r="38" spans="1:26" ht="18" customHeight="1">
      <c r="A38" s="17"/>
      <c r="B38" s="220" t="s">
        <v>82</v>
      </c>
      <c r="C38" s="176"/>
      <c r="D38" s="176"/>
      <c r="E38" s="176"/>
      <c r="F38" s="177"/>
      <c r="G38" s="82">
        <v>1</v>
      </c>
      <c r="H38" s="82" t="s">
        <v>83</v>
      </c>
      <c r="I38" s="212" t="s">
        <v>84</v>
      </c>
      <c r="J38" s="213"/>
      <c r="K38" s="214"/>
      <c r="L38" s="82" t="s">
        <v>83</v>
      </c>
      <c r="M38" s="82" t="s">
        <v>83</v>
      </c>
      <c r="N38" s="199"/>
      <c r="O38" s="166"/>
      <c r="P38" s="166"/>
      <c r="Q38" s="166"/>
      <c r="R38" s="166"/>
      <c r="S38" s="167"/>
      <c r="T38" s="82"/>
      <c r="U38" s="82"/>
      <c r="V38" s="212"/>
      <c r="W38" s="213"/>
      <c r="X38" s="214"/>
      <c r="Y38" s="82"/>
      <c r="Z38" s="82"/>
    </row>
    <row r="39" spans="1:26" ht="18" customHeight="1">
      <c r="A39" s="17"/>
      <c r="B39" s="217"/>
      <c r="C39" s="218"/>
      <c r="D39" s="218"/>
      <c r="E39" s="218"/>
      <c r="F39" s="219"/>
      <c r="G39" s="83"/>
      <c r="H39" s="83"/>
      <c r="I39" s="209"/>
      <c r="J39" s="210"/>
      <c r="K39" s="211"/>
      <c r="L39" s="83"/>
      <c r="M39" s="83"/>
      <c r="N39" s="195"/>
      <c r="O39" s="169"/>
      <c r="P39" s="169"/>
      <c r="Q39" s="169"/>
      <c r="R39" s="169"/>
      <c r="S39" s="170"/>
      <c r="T39" s="83"/>
      <c r="U39" s="83"/>
      <c r="V39" s="209"/>
      <c r="W39" s="210"/>
      <c r="X39" s="211"/>
      <c r="Y39" s="83"/>
      <c r="Z39" s="83"/>
    </row>
    <row r="40" spans="1:26" ht="18" customHeight="1">
      <c r="A40" s="17"/>
      <c r="B40" s="217"/>
      <c r="C40" s="218"/>
      <c r="D40" s="218"/>
      <c r="E40" s="218"/>
      <c r="F40" s="219"/>
      <c r="G40" s="83"/>
      <c r="H40" s="83"/>
      <c r="I40" s="209"/>
      <c r="J40" s="210"/>
      <c r="K40" s="211"/>
      <c r="L40" s="83"/>
      <c r="M40" s="83"/>
      <c r="N40" s="195"/>
      <c r="O40" s="169"/>
      <c r="P40" s="169"/>
      <c r="Q40" s="169"/>
      <c r="R40" s="169"/>
      <c r="S40" s="170"/>
      <c r="T40" s="83"/>
      <c r="U40" s="83"/>
      <c r="V40" s="209"/>
      <c r="W40" s="210"/>
      <c r="X40" s="211"/>
      <c r="Y40" s="83"/>
      <c r="Z40" s="83"/>
    </row>
    <row r="41" spans="1:26" ht="18" customHeight="1">
      <c r="A41" s="17"/>
      <c r="B41" s="217"/>
      <c r="C41" s="218"/>
      <c r="D41" s="218"/>
      <c r="E41" s="218"/>
      <c r="F41" s="219"/>
      <c r="G41" s="83"/>
      <c r="H41" s="83"/>
      <c r="I41" s="209"/>
      <c r="J41" s="210"/>
      <c r="K41" s="211"/>
      <c r="L41" s="83"/>
      <c r="M41" s="83"/>
      <c r="N41" s="195"/>
      <c r="O41" s="169"/>
      <c r="P41" s="169"/>
      <c r="Q41" s="169"/>
      <c r="R41" s="169"/>
      <c r="S41" s="170"/>
      <c r="T41" s="83"/>
      <c r="U41" s="83"/>
      <c r="V41" s="209"/>
      <c r="W41" s="210"/>
      <c r="X41" s="211"/>
      <c r="Y41" s="83"/>
      <c r="Z41" s="83"/>
    </row>
    <row r="42" spans="1:26" ht="18" customHeight="1">
      <c r="A42" s="17"/>
      <c r="B42" s="217"/>
      <c r="C42" s="218"/>
      <c r="D42" s="218"/>
      <c r="E42" s="218"/>
      <c r="F42" s="219"/>
      <c r="G42" s="83"/>
      <c r="H42" s="83"/>
      <c r="I42" s="209"/>
      <c r="J42" s="210"/>
      <c r="K42" s="211"/>
      <c r="L42" s="83"/>
      <c r="M42" s="83"/>
      <c r="N42" s="195"/>
      <c r="O42" s="169"/>
      <c r="P42" s="169"/>
      <c r="Q42" s="169"/>
      <c r="R42" s="169"/>
      <c r="S42" s="170"/>
      <c r="T42" s="83"/>
      <c r="U42" s="83"/>
      <c r="V42" s="209"/>
      <c r="W42" s="210"/>
      <c r="X42" s="211"/>
      <c r="Y42" s="83"/>
      <c r="Z42" s="83"/>
    </row>
    <row r="43" spans="1:26" ht="18" customHeight="1">
      <c r="A43" s="17"/>
      <c r="B43" s="217"/>
      <c r="C43" s="218"/>
      <c r="D43" s="218"/>
      <c r="E43" s="218"/>
      <c r="F43" s="219"/>
      <c r="G43" s="83"/>
      <c r="H43" s="83"/>
      <c r="I43" s="209"/>
      <c r="J43" s="210"/>
      <c r="K43" s="211"/>
      <c r="L43" s="83"/>
      <c r="M43" s="83"/>
      <c r="N43" s="195"/>
      <c r="O43" s="169"/>
      <c r="P43" s="169"/>
      <c r="Q43" s="169"/>
      <c r="R43" s="169"/>
      <c r="S43" s="170"/>
      <c r="T43" s="83"/>
      <c r="U43" s="83"/>
      <c r="V43" s="209"/>
      <c r="W43" s="210"/>
      <c r="X43" s="211"/>
      <c r="Y43" s="83"/>
      <c r="Z43" s="83"/>
    </row>
    <row r="44" spans="1:26" ht="18" customHeight="1">
      <c r="A44" s="17"/>
      <c r="B44" s="215"/>
      <c r="C44" s="162"/>
      <c r="D44" s="162"/>
      <c r="E44" s="162"/>
      <c r="F44" s="163"/>
      <c r="G44" s="84"/>
      <c r="H44" s="84"/>
      <c r="I44" s="203"/>
      <c r="J44" s="204"/>
      <c r="K44" s="205"/>
      <c r="L44" s="88"/>
      <c r="M44" s="88"/>
      <c r="N44" s="181"/>
      <c r="O44" s="182"/>
      <c r="P44" s="182"/>
      <c r="Q44" s="182"/>
      <c r="R44" s="182"/>
      <c r="S44" s="183"/>
      <c r="T44" s="84"/>
      <c r="U44" s="84"/>
      <c r="V44" s="203"/>
      <c r="W44" s="204"/>
      <c r="X44" s="205"/>
      <c r="Y44" s="88"/>
      <c r="Z44" s="88"/>
    </row>
    <row r="45" spans="1:26" ht="7.5" customHeight="1">
      <c r="B45" s="59"/>
      <c r="C45" s="59"/>
      <c r="D45" s="59"/>
      <c r="E45" s="59"/>
      <c r="F45" s="59"/>
      <c r="G45" s="59"/>
      <c r="H45" s="59"/>
      <c r="I45" s="59"/>
      <c r="J45" s="59"/>
      <c r="K45" s="59"/>
      <c r="L45" s="59"/>
      <c r="M45" s="59"/>
      <c r="N45" s="59"/>
      <c r="O45" s="59"/>
      <c r="P45" s="59"/>
      <c r="Q45" s="59"/>
      <c r="R45" s="59"/>
      <c r="S45" s="59"/>
      <c r="T45" s="59"/>
      <c r="U45" s="59"/>
      <c r="V45" s="59"/>
      <c r="W45" s="59"/>
      <c r="X45" s="59"/>
      <c r="Y45" s="59"/>
    </row>
    <row r="46" spans="1:26" ht="18" customHeight="1">
      <c r="A46" s="216" t="s">
        <v>91</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spans="1:26" ht="18" customHeight="1">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spans="1:26" ht="18" customHeight="1">
      <c r="A48" s="12"/>
      <c r="B48" s="136" t="s">
        <v>76</v>
      </c>
      <c r="C48" s="139"/>
      <c r="D48" s="139"/>
      <c r="E48" s="139"/>
      <c r="F48" s="137"/>
      <c r="G48" s="18" t="s">
        <v>77</v>
      </c>
      <c r="H48" s="81" t="s">
        <v>78</v>
      </c>
      <c r="I48" s="136" t="s">
        <v>79</v>
      </c>
      <c r="J48" s="139"/>
      <c r="K48" s="137"/>
      <c r="L48" s="58" t="s">
        <v>92</v>
      </c>
      <c r="M48" s="58" t="s">
        <v>93</v>
      </c>
      <c r="N48" s="136" t="s">
        <v>76</v>
      </c>
      <c r="O48" s="139"/>
      <c r="P48" s="139"/>
      <c r="Q48" s="139"/>
      <c r="R48" s="139"/>
      <c r="S48" s="137"/>
      <c r="T48" s="18" t="s">
        <v>77</v>
      </c>
      <c r="U48" s="81" t="s">
        <v>78</v>
      </c>
      <c r="V48" s="136" t="s">
        <v>79</v>
      </c>
      <c r="W48" s="139"/>
      <c r="X48" s="137"/>
      <c r="Y48" s="58" t="s">
        <v>92</v>
      </c>
      <c r="Z48" s="58" t="s">
        <v>93</v>
      </c>
    </row>
    <row r="49" spans="1:26" ht="18" customHeight="1">
      <c r="A49" s="17"/>
      <c r="B49" s="220" t="s">
        <v>82</v>
      </c>
      <c r="C49" s="176"/>
      <c r="D49" s="176"/>
      <c r="E49" s="176"/>
      <c r="F49" s="177"/>
      <c r="G49" s="82">
        <v>1</v>
      </c>
      <c r="H49" s="82" t="s">
        <v>83</v>
      </c>
      <c r="I49" s="212" t="s">
        <v>84</v>
      </c>
      <c r="J49" s="213"/>
      <c r="K49" s="214"/>
      <c r="L49" s="82" t="s">
        <v>83</v>
      </c>
      <c r="M49" s="82" t="s">
        <v>83</v>
      </c>
      <c r="N49" s="199"/>
      <c r="O49" s="166"/>
      <c r="P49" s="166"/>
      <c r="Q49" s="166"/>
      <c r="R49" s="166"/>
      <c r="S49" s="167"/>
      <c r="T49" s="82"/>
      <c r="U49" s="82"/>
      <c r="V49" s="212"/>
      <c r="W49" s="213"/>
      <c r="X49" s="214"/>
      <c r="Y49" s="82"/>
      <c r="Z49" s="82"/>
    </row>
    <row r="50" spans="1:26" ht="18" customHeight="1">
      <c r="A50" s="17"/>
      <c r="B50" s="217" t="s">
        <v>94</v>
      </c>
      <c r="C50" s="218"/>
      <c r="D50" s="218"/>
      <c r="E50" s="218"/>
      <c r="F50" s="219"/>
      <c r="G50" s="83">
        <v>1</v>
      </c>
      <c r="H50" s="83" t="s">
        <v>83</v>
      </c>
      <c r="I50" s="209" t="s">
        <v>84</v>
      </c>
      <c r="J50" s="210"/>
      <c r="K50" s="211"/>
      <c r="L50" s="83" t="s">
        <v>83</v>
      </c>
      <c r="M50" s="83" t="s">
        <v>83</v>
      </c>
      <c r="N50" s="195"/>
      <c r="O50" s="169"/>
      <c r="P50" s="169"/>
      <c r="Q50" s="169"/>
      <c r="R50" s="169"/>
      <c r="S50" s="170"/>
      <c r="T50" s="83"/>
      <c r="U50" s="83"/>
      <c r="V50" s="209"/>
      <c r="W50" s="210"/>
      <c r="X50" s="211"/>
      <c r="Y50" s="83"/>
      <c r="Z50" s="83"/>
    </row>
    <row r="51" spans="1:26" ht="18" customHeight="1">
      <c r="A51" s="17"/>
      <c r="B51" s="217"/>
      <c r="C51" s="218"/>
      <c r="D51" s="218"/>
      <c r="E51" s="218"/>
      <c r="F51" s="219"/>
      <c r="G51" s="83"/>
      <c r="H51" s="83"/>
      <c r="I51" s="209"/>
      <c r="J51" s="210"/>
      <c r="K51" s="211"/>
      <c r="L51" s="83"/>
      <c r="M51" s="83"/>
      <c r="N51" s="195"/>
      <c r="O51" s="169"/>
      <c r="P51" s="169"/>
      <c r="Q51" s="169"/>
      <c r="R51" s="169"/>
      <c r="S51" s="170"/>
      <c r="T51" s="83"/>
      <c r="U51" s="83"/>
      <c r="V51" s="209"/>
      <c r="W51" s="210"/>
      <c r="X51" s="211"/>
      <c r="Y51" s="83"/>
      <c r="Z51" s="83"/>
    </row>
    <row r="52" spans="1:26" ht="18" customHeight="1">
      <c r="A52" s="17"/>
      <c r="B52" s="217"/>
      <c r="C52" s="218"/>
      <c r="D52" s="218"/>
      <c r="E52" s="218"/>
      <c r="F52" s="219"/>
      <c r="G52" s="83"/>
      <c r="H52" s="83"/>
      <c r="I52" s="209"/>
      <c r="J52" s="210"/>
      <c r="K52" s="211"/>
      <c r="L52" s="83"/>
      <c r="M52" s="83"/>
      <c r="N52" s="195"/>
      <c r="O52" s="169"/>
      <c r="P52" s="169"/>
      <c r="Q52" s="169"/>
      <c r="R52" s="169"/>
      <c r="S52" s="170"/>
      <c r="T52" s="83"/>
      <c r="U52" s="83"/>
      <c r="V52" s="209"/>
      <c r="W52" s="210"/>
      <c r="X52" s="211"/>
      <c r="Y52" s="83"/>
      <c r="Z52" s="83"/>
    </row>
    <row r="53" spans="1:26" ht="18" customHeight="1">
      <c r="A53" s="17"/>
      <c r="B53" s="217"/>
      <c r="C53" s="218"/>
      <c r="D53" s="218"/>
      <c r="E53" s="218"/>
      <c r="F53" s="219"/>
      <c r="G53" s="83"/>
      <c r="H53" s="83"/>
      <c r="I53" s="209"/>
      <c r="J53" s="210"/>
      <c r="K53" s="211"/>
      <c r="L53" s="83"/>
      <c r="M53" s="83"/>
      <c r="N53" s="195"/>
      <c r="O53" s="169"/>
      <c r="P53" s="169"/>
      <c r="Q53" s="169"/>
      <c r="R53" s="169"/>
      <c r="S53" s="170"/>
      <c r="T53" s="83"/>
      <c r="U53" s="83"/>
      <c r="V53" s="209"/>
      <c r="W53" s="210"/>
      <c r="X53" s="211"/>
      <c r="Y53" s="83"/>
      <c r="Z53" s="83"/>
    </row>
    <row r="54" spans="1:26" ht="18" customHeight="1">
      <c r="A54" s="17"/>
      <c r="B54" s="217"/>
      <c r="C54" s="218"/>
      <c r="D54" s="218"/>
      <c r="E54" s="218"/>
      <c r="F54" s="219"/>
      <c r="G54" s="83"/>
      <c r="H54" s="83"/>
      <c r="I54" s="209"/>
      <c r="J54" s="210"/>
      <c r="K54" s="211"/>
      <c r="L54" s="83"/>
      <c r="M54" s="83"/>
      <c r="N54" s="195"/>
      <c r="O54" s="169"/>
      <c r="P54" s="169"/>
      <c r="Q54" s="169"/>
      <c r="R54" s="169"/>
      <c r="S54" s="170"/>
      <c r="T54" s="83"/>
      <c r="U54" s="83"/>
      <c r="V54" s="209"/>
      <c r="W54" s="210"/>
      <c r="X54" s="211"/>
      <c r="Y54" s="83"/>
      <c r="Z54" s="83"/>
    </row>
    <row r="55" spans="1:26" ht="18" customHeight="1">
      <c r="A55" s="17"/>
      <c r="B55" s="215"/>
      <c r="C55" s="162"/>
      <c r="D55" s="162"/>
      <c r="E55" s="162"/>
      <c r="F55" s="163"/>
      <c r="G55" s="84"/>
      <c r="H55" s="84"/>
      <c r="I55" s="203"/>
      <c r="J55" s="204"/>
      <c r="K55" s="205"/>
      <c r="L55" s="88"/>
      <c r="M55" s="88"/>
      <c r="N55" s="181"/>
      <c r="O55" s="182"/>
      <c r="P55" s="182"/>
      <c r="Q55" s="182"/>
      <c r="R55" s="182"/>
      <c r="S55" s="183"/>
      <c r="T55" s="84"/>
      <c r="U55" s="84"/>
      <c r="V55" s="203"/>
      <c r="W55" s="204"/>
      <c r="X55" s="205"/>
      <c r="Y55" s="88"/>
      <c r="Z55" s="88"/>
    </row>
    <row r="56" spans="1:26" ht="7.5" customHeight="1">
      <c r="B56" s="59"/>
      <c r="C56" s="59"/>
      <c r="D56" s="59"/>
      <c r="E56" s="59"/>
      <c r="F56" s="59"/>
      <c r="G56" s="59"/>
      <c r="H56" s="59"/>
      <c r="I56" s="59"/>
      <c r="J56" s="59"/>
      <c r="K56" s="59"/>
      <c r="L56" s="59"/>
      <c r="M56" s="59"/>
      <c r="N56" s="59"/>
      <c r="O56" s="59"/>
      <c r="P56" s="59"/>
      <c r="Q56" s="59"/>
      <c r="R56" s="59"/>
      <c r="S56" s="59"/>
      <c r="T56" s="59"/>
      <c r="U56" s="59"/>
      <c r="V56" s="59"/>
      <c r="W56" s="59"/>
      <c r="X56" s="59"/>
      <c r="Y56" s="59"/>
    </row>
    <row r="57" spans="1:26" ht="18" customHeight="1">
      <c r="A57" s="216" t="s">
        <v>95</v>
      </c>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spans="1:26" ht="18" customHeight="1">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spans="1:26" ht="18" customHeight="1">
      <c r="A59" s="12"/>
      <c r="B59" s="136" t="s">
        <v>76</v>
      </c>
      <c r="C59" s="139"/>
      <c r="D59" s="139"/>
      <c r="E59" s="137"/>
      <c r="F59" s="18" t="s">
        <v>77</v>
      </c>
      <c r="G59" s="81" t="s">
        <v>78</v>
      </c>
      <c r="H59" s="14" t="s">
        <v>79</v>
      </c>
      <c r="I59" s="78"/>
      <c r="J59" s="15"/>
      <c r="K59" s="58" t="s">
        <v>96</v>
      </c>
      <c r="L59" s="58" t="s">
        <v>97</v>
      </c>
      <c r="M59" s="58" t="s">
        <v>98</v>
      </c>
      <c r="N59" s="136" t="s">
        <v>76</v>
      </c>
      <c r="O59" s="139"/>
      <c r="P59" s="139"/>
      <c r="Q59" s="139"/>
      <c r="R59" s="137"/>
      <c r="S59" s="18" t="s">
        <v>77</v>
      </c>
      <c r="T59" s="81" t="s">
        <v>78</v>
      </c>
      <c r="U59" s="14" t="s">
        <v>79</v>
      </c>
      <c r="V59" s="78"/>
      <c r="W59" s="15"/>
      <c r="X59" s="58" t="s">
        <v>96</v>
      </c>
      <c r="Y59" s="58" t="s">
        <v>97</v>
      </c>
      <c r="Z59" s="58" t="s">
        <v>98</v>
      </c>
    </row>
    <row r="60" spans="1:26" ht="18" customHeight="1">
      <c r="A60" s="17"/>
      <c r="B60" s="199" t="s">
        <v>82</v>
      </c>
      <c r="C60" s="166"/>
      <c r="D60" s="166"/>
      <c r="E60" s="167"/>
      <c r="F60" s="82">
        <v>1</v>
      </c>
      <c r="G60" s="82" t="s">
        <v>83</v>
      </c>
      <c r="H60" s="212" t="s">
        <v>84</v>
      </c>
      <c r="I60" s="213"/>
      <c r="J60" s="214"/>
      <c r="K60" s="87" t="s">
        <v>99</v>
      </c>
      <c r="L60" s="82" t="s">
        <v>83</v>
      </c>
      <c r="M60" s="82" t="s">
        <v>83</v>
      </c>
      <c r="N60" s="199"/>
      <c r="O60" s="166"/>
      <c r="P60" s="166"/>
      <c r="Q60" s="166"/>
      <c r="R60" s="167"/>
      <c r="S60" s="82"/>
      <c r="T60" s="82"/>
      <c r="U60" s="212"/>
      <c r="V60" s="213"/>
      <c r="W60" s="214"/>
      <c r="X60" s="87"/>
      <c r="Y60" s="82"/>
      <c r="Z60" s="82"/>
    </row>
    <row r="61" spans="1:26" ht="18" customHeight="1">
      <c r="A61" s="17"/>
      <c r="B61" s="195"/>
      <c r="C61" s="169"/>
      <c r="D61" s="169"/>
      <c r="E61" s="170"/>
      <c r="F61" s="83"/>
      <c r="G61" s="83"/>
      <c r="H61" s="209"/>
      <c r="I61" s="210"/>
      <c r="J61" s="211"/>
      <c r="K61" s="85"/>
      <c r="L61" s="83"/>
      <c r="M61" s="83"/>
      <c r="N61" s="195"/>
      <c r="O61" s="169"/>
      <c r="P61" s="169"/>
      <c r="Q61" s="169"/>
      <c r="R61" s="170"/>
      <c r="S61" s="83"/>
      <c r="T61" s="83"/>
      <c r="U61" s="209"/>
      <c r="V61" s="210"/>
      <c r="W61" s="211"/>
      <c r="X61" s="85"/>
      <c r="Y61" s="83"/>
      <c r="Z61" s="83"/>
    </row>
    <row r="62" spans="1:26" ht="18" customHeight="1">
      <c r="A62" s="17"/>
      <c r="B62" s="195"/>
      <c r="C62" s="169"/>
      <c r="D62" s="169"/>
      <c r="E62" s="170"/>
      <c r="F62" s="83"/>
      <c r="G62" s="83"/>
      <c r="H62" s="209"/>
      <c r="I62" s="210"/>
      <c r="J62" s="211"/>
      <c r="K62" s="85"/>
      <c r="L62" s="83"/>
      <c r="M62" s="83"/>
      <c r="N62" s="195"/>
      <c r="O62" s="169"/>
      <c r="P62" s="169"/>
      <c r="Q62" s="169"/>
      <c r="R62" s="170"/>
      <c r="S62" s="83"/>
      <c r="T62" s="83"/>
      <c r="U62" s="209"/>
      <c r="V62" s="210"/>
      <c r="W62" s="211"/>
      <c r="X62" s="85"/>
      <c r="Y62" s="83"/>
      <c r="Z62" s="83"/>
    </row>
    <row r="63" spans="1:26" ht="18" customHeight="1">
      <c r="A63" s="17"/>
      <c r="B63" s="195"/>
      <c r="C63" s="169"/>
      <c r="D63" s="169"/>
      <c r="E63" s="170"/>
      <c r="F63" s="83"/>
      <c r="G63" s="83"/>
      <c r="H63" s="209"/>
      <c r="I63" s="210"/>
      <c r="J63" s="211"/>
      <c r="K63" s="85"/>
      <c r="L63" s="83"/>
      <c r="M63" s="83"/>
      <c r="N63" s="195"/>
      <c r="O63" s="169"/>
      <c r="P63" s="169"/>
      <c r="Q63" s="169"/>
      <c r="R63" s="170"/>
      <c r="S63" s="83"/>
      <c r="T63" s="83"/>
      <c r="U63" s="209"/>
      <c r="V63" s="210"/>
      <c r="W63" s="211"/>
      <c r="X63" s="85"/>
      <c r="Y63" s="83"/>
      <c r="Z63" s="83"/>
    </row>
    <row r="64" spans="1:26" ht="18" customHeight="1">
      <c r="A64" s="17"/>
      <c r="B64" s="195"/>
      <c r="C64" s="169"/>
      <c r="D64" s="169"/>
      <c r="E64" s="170"/>
      <c r="F64" s="83"/>
      <c r="G64" s="83"/>
      <c r="H64" s="209"/>
      <c r="I64" s="210"/>
      <c r="J64" s="211"/>
      <c r="K64" s="85"/>
      <c r="L64" s="83"/>
      <c r="M64" s="83"/>
      <c r="N64" s="195"/>
      <c r="O64" s="169"/>
      <c r="P64" s="169"/>
      <c r="Q64" s="169"/>
      <c r="R64" s="170"/>
      <c r="S64" s="83"/>
      <c r="T64" s="83"/>
      <c r="U64" s="209"/>
      <c r="V64" s="210"/>
      <c r="W64" s="211"/>
      <c r="X64" s="85"/>
      <c r="Y64" s="83"/>
      <c r="Z64" s="83"/>
    </row>
    <row r="65" spans="1:26" ht="18" customHeight="1">
      <c r="A65" s="17"/>
      <c r="B65" s="195"/>
      <c r="C65" s="169"/>
      <c r="D65" s="169"/>
      <c r="E65" s="170"/>
      <c r="F65" s="83"/>
      <c r="G65" s="83"/>
      <c r="H65" s="209"/>
      <c r="I65" s="210"/>
      <c r="J65" s="211"/>
      <c r="K65" s="85"/>
      <c r="L65" s="83"/>
      <c r="M65" s="83"/>
      <c r="N65" s="195"/>
      <c r="O65" s="169"/>
      <c r="P65" s="169"/>
      <c r="Q65" s="169"/>
      <c r="R65" s="170"/>
      <c r="S65" s="83"/>
      <c r="T65" s="83"/>
      <c r="U65" s="209"/>
      <c r="V65" s="210"/>
      <c r="W65" s="211"/>
      <c r="X65" s="85"/>
      <c r="Y65" s="83"/>
      <c r="Z65" s="83"/>
    </row>
    <row r="66" spans="1:26" ht="18" customHeight="1">
      <c r="A66" s="17"/>
      <c r="B66" s="181"/>
      <c r="C66" s="182"/>
      <c r="D66" s="182"/>
      <c r="E66" s="183"/>
      <c r="F66" s="84"/>
      <c r="G66" s="84"/>
      <c r="H66" s="203"/>
      <c r="I66" s="204"/>
      <c r="J66" s="205"/>
      <c r="K66" s="86"/>
      <c r="L66" s="88"/>
      <c r="M66" s="88"/>
      <c r="N66" s="181"/>
      <c r="O66" s="182"/>
      <c r="P66" s="182"/>
      <c r="Q66" s="182"/>
      <c r="R66" s="183"/>
      <c r="S66" s="84"/>
      <c r="T66" s="84"/>
      <c r="U66" s="203"/>
      <c r="V66" s="204"/>
      <c r="W66" s="205"/>
      <c r="X66" s="86"/>
      <c r="Y66" s="88"/>
      <c r="Z66" s="88"/>
    </row>
    <row r="67" spans="1:26" ht="7.5" customHeight="1">
      <c r="B67" s="59"/>
      <c r="C67" s="59"/>
      <c r="D67" s="59"/>
      <c r="E67" s="59"/>
      <c r="F67" s="59"/>
      <c r="G67" s="59"/>
      <c r="H67" s="59"/>
      <c r="I67" s="59"/>
      <c r="J67" s="59"/>
      <c r="K67" s="59"/>
      <c r="L67" s="59"/>
      <c r="M67" s="59"/>
      <c r="N67" s="59"/>
      <c r="O67" s="59"/>
      <c r="P67" s="59"/>
      <c r="Q67" s="59"/>
      <c r="R67" s="59"/>
      <c r="S67" s="59"/>
      <c r="T67" s="59"/>
      <c r="U67" s="59"/>
      <c r="V67" s="59"/>
      <c r="W67" s="59"/>
      <c r="X67" s="59"/>
      <c r="Y67" s="59"/>
    </row>
    <row r="68" spans="1:26" ht="18" customHeight="1">
      <c r="A68" s="12" t="s">
        <v>100</v>
      </c>
      <c r="B68" s="12"/>
      <c r="C68" s="12"/>
      <c r="D68" s="12"/>
      <c r="E68" s="12"/>
      <c r="F68" s="12"/>
      <c r="G68" s="12"/>
      <c r="H68" s="12"/>
      <c r="I68" s="12"/>
      <c r="J68" s="12"/>
      <c r="K68" s="12"/>
      <c r="L68" s="17"/>
      <c r="M68" s="17"/>
      <c r="N68" s="17"/>
      <c r="O68" s="17"/>
      <c r="P68" s="17"/>
      <c r="Q68" s="17"/>
      <c r="R68" s="17"/>
      <c r="S68" s="17"/>
      <c r="T68" s="17"/>
      <c r="U68" s="17"/>
      <c r="V68" s="17"/>
      <c r="W68" s="17"/>
      <c r="X68" s="17"/>
      <c r="Y68" s="17"/>
      <c r="Z68" s="17"/>
    </row>
    <row r="69" spans="1:26" ht="18" customHeight="1">
      <c r="A69" s="12"/>
      <c r="B69" s="136" t="s">
        <v>76</v>
      </c>
      <c r="C69" s="139"/>
      <c r="D69" s="139"/>
      <c r="E69" s="139"/>
      <c r="F69" s="137"/>
      <c r="G69" s="136" t="s">
        <v>101</v>
      </c>
      <c r="H69" s="139"/>
      <c r="I69" s="139"/>
      <c r="J69" s="139"/>
      <c r="K69" s="139"/>
      <c r="L69" s="139"/>
      <c r="M69" s="137"/>
      <c r="N69" s="206" t="s">
        <v>76</v>
      </c>
      <c r="O69" s="207"/>
      <c r="P69" s="207"/>
      <c r="Q69" s="207"/>
      <c r="R69" s="207"/>
      <c r="S69" s="208"/>
      <c r="T69" s="136" t="s">
        <v>101</v>
      </c>
      <c r="U69" s="139"/>
      <c r="V69" s="139"/>
      <c r="W69" s="139"/>
      <c r="X69" s="139"/>
      <c r="Y69" s="139"/>
      <c r="Z69" s="137"/>
    </row>
    <row r="70" spans="1:26" ht="18" customHeight="1">
      <c r="A70" s="17"/>
      <c r="B70" s="199" t="s">
        <v>102</v>
      </c>
      <c r="C70" s="166"/>
      <c r="D70" s="166"/>
      <c r="E70" s="166"/>
      <c r="F70" s="167"/>
      <c r="G70" s="200" t="s">
        <v>103</v>
      </c>
      <c r="H70" s="201"/>
      <c r="I70" s="201"/>
      <c r="J70" s="201"/>
      <c r="K70" s="201"/>
      <c r="L70" s="201"/>
      <c r="M70" s="202"/>
      <c r="N70" s="199"/>
      <c r="O70" s="166"/>
      <c r="P70" s="166"/>
      <c r="Q70" s="166"/>
      <c r="R70" s="166"/>
      <c r="S70" s="167"/>
      <c r="T70" s="200"/>
      <c r="U70" s="201"/>
      <c r="V70" s="201"/>
      <c r="W70" s="201"/>
      <c r="X70" s="201"/>
      <c r="Y70" s="201"/>
      <c r="Z70" s="202"/>
    </row>
    <row r="71" spans="1:26" ht="18" customHeight="1">
      <c r="A71" s="17"/>
      <c r="B71" s="195" t="s">
        <v>94</v>
      </c>
      <c r="C71" s="169"/>
      <c r="D71" s="169"/>
      <c r="E71" s="169"/>
      <c r="F71" s="170"/>
      <c r="G71" s="196" t="s">
        <v>104</v>
      </c>
      <c r="H71" s="197"/>
      <c r="I71" s="197"/>
      <c r="J71" s="197"/>
      <c r="K71" s="197"/>
      <c r="L71" s="197"/>
      <c r="M71" s="198"/>
      <c r="N71" s="195"/>
      <c r="O71" s="169"/>
      <c r="P71" s="169"/>
      <c r="Q71" s="169"/>
      <c r="R71" s="169"/>
      <c r="S71" s="170"/>
      <c r="T71" s="196"/>
      <c r="U71" s="197"/>
      <c r="V71" s="197"/>
      <c r="W71" s="197"/>
      <c r="X71" s="197"/>
      <c r="Y71" s="197"/>
      <c r="Z71" s="198"/>
    </row>
    <row r="72" spans="1:26" ht="18" customHeight="1">
      <c r="A72" s="17"/>
      <c r="B72" s="195" t="s">
        <v>94</v>
      </c>
      <c r="C72" s="169"/>
      <c r="D72" s="169"/>
      <c r="E72" s="169"/>
      <c r="F72" s="170"/>
      <c r="G72" s="196" t="s">
        <v>105</v>
      </c>
      <c r="H72" s="197"/>
      <c r="I72" s="197"/>
      <c r="J72" s="197"/>
      <c r="K72" s="197"/>
      <c r="L72" s="197"/>
      <c r="M72" s="198"/>
      <c r="N72" s="195"/>
      <c r="O72" s="169"/>
      <c r="P72" s="169"/>
      <c r="Q72" s="169"/>
      <c r="R72" s="169"/>
      <c r="S72" s="170"/>
      <c r="T72" s="196"/>
      <c r="U72" s="197"/>
      <c r="V72" s="197"/>
      <c r="W72" s="197"/>
      <c r="X72" s="197"/>
      <c r="Y72" s="197"/>
      <c r="Z72" s="198"/>
    </row>
    <row r="73" spans="1:26" ht="18" customHeight="1">
      <c r="A73" s="17"/>
      <c r="B73" s="195"/>
      <c r="C73" s="169"/>
      <c r="D73" s="169"/>
      <c r="E73" s="169"/>
      <c r="F73" s="170"/>
      <c r="G73" s="196"/>
      <c r="H73" s="197"/>
      <c r="I73" s="197"/>
      <c r="J73" s="197"/>
      <c r="K73" s="197"/>
      <c r="L73" s="197"/>
      <c r="M73" s="198"/>
      <c r="N73" s="195"/>
      <c r="O73" s="169"/>
      <c r="P73" s="169"/>
      <c r="Q73" s="169"/>
      <c r="R73" s="169"/>
      <c r="S73" s="170"/>
      <c r="T73" s="196"/>
      <c r="U73" s="197"/>
      <c r="V73" s="197"/>
      <c r="W73" s="197"/>
      <c r="X73" s="197"/>
      <c r="Y73" s="197"/>
      <c r="Z73" s="198"/>
    </row>
    <row r="74" spans="1:26" ht="18" customHeight="1">
      <c r="A74" s="17"/>
      <c r="B74" s="195"/>
      <c r="C74" s="169"/>
      <c r="D74" s="169"/>
      <c r="E74" s="169"/>
      <c r="F74" s="170"/>
      <c r="G74" s="196"/>
      <c r="H74" s="197"/>
      <c r="I74" s="197"/>
      <c r="J74" s="197"/>
      <c r="K74" s="197"/>
      <c r="L74" s="197"/>
      <c r="M74" s="198"/>
      <c r="N74" s="195"/>
      <c r="O74" s="169"/>
      <c r="P74" s="169"/>
      <c r="Q74" s="169"/>
      <c r="R74" s="169"/>
      <c r="S74" s="170"/>
      <c r="T74" s="196"/>
      <c r="U74" s="197"/>
      <c r="V74" s="197"/>
      <c r="W74" s="197"/>
      <c r="X74" s="197"/>
      <c r="Y74" s="197"/>
      <c r="Z74" s="198"/>
    </row>
    <row r="75" spans="1:26" ht="18" customHeight="1">
      <c r="A75" s="17"/>
      <c r="B75" s="195"/>
      <c r="C75" s="169"/>
      <c r="D75" s="169"/>
      <c r="E75" s="169"/>
      <c r="F75" s="170"/>
      <c r="G75" s="196"/>
      <c r="H75" s="197"/>
      <c r="I75" s="197"/>
      <c r="J75" s="197"/>
      <c r="K75" s="197"/>
      <c r="L75" s="197"/>
      <c r="M75" s="198"/>
      <c r="N75" s="195"/>
      <c r="O75" s="169"/>
      <c r="P75" s="169"/>
      <c r="Q75" s="169"/>
      <c r="R75" s="169"/>
      <c r="S75" s="170"/>
      <c r="T75" s="196"/>
      <c r="U75" s="197"/>
      <c r="V75" s="197"/>
      <c r="W75" s="197"/>
      <c r="X75" s="197"/>
      <c r="Y75" s="197"/>
      <c r="Z75" s="198"/>
    </row>
    <row r="76" spans="1:26" ht="18" customHeight="1">
      <c r="A76" s="17"/>
      <c r="B76" s="181"/>
      <c r="C76" s="182"/>
      <c r="D76" s="182"/>
      <c r="E76" s="182"/>
      <c r="F76" s="183"/>
      <c r="G76" s="184"/>
      <c r="H76" s="185"/>
      <c r="I76" s="185"/>
      <c r="J76" s="185"/>
      <c r="K76" s="185"/>
      <c r="L76" s="185"/>
      <c r="M76" s="186"/>
      <c r="N76" s="181"/>
      <c r="O76" s="182"/>
      <c r="P76" s="182"/>
      <c r="Q76" s="182"/>
      <c r="R76" s="182"/>
      <c r="S76" s="183"/>
      <c r="T76" s="184"/>
      <c r="U76" s="185"/>
      <c r="V76" s="185"/>
      <c r="W76" s="185"/>
      <c r="X76" s="185"/>
      <c r="Y76" s="185"/>
      <c r="Z76" s="186"/>
    </row>
    <row r="77" spans="1:26" ht="18" customHeight="1">
      <c r="A77" s="17"/>
      <c r="B77" s="23"/>
      <c r="C77" s="23"/>
      <c r="D77" s="23"/>
      <c r="E77" s="23"/>
      <c r="F77" s="23"/>
      <c r="G77" s="10"/>
      <c r="H77" s="10"/>
      <c r="I77" s="10"/>
      <c r="J77" s="10"/>
      <c r="K77" s="10"/>
      <c r="L77" s="10"/>
      <c r="M77" s="10"/>
      <c r="N77" s="23"/>
      <c r="O77" s="23"/>
      <c r="P77" s="23"/>
      <c r="Q77" s="23"/>
      <c r="R77" s="23"/>
      <c r="S77" s="23"/>
      <c r="T77" s="10"/>
      <c r="U77" s="10"/>
      <c r="V77" s="10"/>
      <c r="W77" s="10"/>
      <c r="X77" s="10"/>
      <c r="Y77" s="10"/>
      <c r="Z77" s="10"/>
    </row>
    <row r="78" spans="1:26" ht="18.75" customHeight="1">
      <c r="A78" s="11" t="s">
        <v>106</v>
      </c>
    </row>
    <row r="79" spans="1:26" ht="18.75" customHeight="1">
      <c r="B79" s="60" t="s">
        <v>107</v>
      </c>
      <c r="C79" s="61"/>
      <c r="D79" s="187" t="s">
        <v>108</v>
      </c>
      <c r="E79" s="187"/>
      <c r="F79" s="187"/>
      <c r="G79" s="187"/>
      <c r="H79" s="187"/>
      <c r="I79" s="187"/>
      <c r="J79" s="187"/>
      <c r="K79" s="187"/>
      <c r="L79" s="187"/>
      <c r="M79" s="187"/>
      <c r="N79" s="187"/>
      <c r="O79" s="187"/>
      <c r="P79" s="187"/>
      <c r="Q79" s="187"/>
      <c r="R79" s="187"/>
      <c r="S79" s="187"/>
      <c r="T79" s="187"/>
      <c r="U79" s="187"/>
      <c r="V79" s="187"/>
      <c r="W79" s="187"/>
      <c r="X79" s="187"/>
      <c r="Y79" s="187"/>
      <c r="Z79" s="188"/>
    </row>
    <row r="80" spans="1:26" ht="98.25" customHeight="1">
      <c r="B80" s="156" t="s">
        <v>109</v>
      </c>
      <c r="C80" s="65" t="s">
        <v>80</v>
      </c>
      <c r="D80" s="189" t="s">
        <v>110</v>
      </c>
      <c r="E80" s="190"/>
      <c r="F80" s="190"/>
      <c r="G80" s="190"/>
      <c r="H80" s="190"/>
      <c r="I80" s="190"/>
      <c r="J80" s="190"/>
      <c r="K80" s="190"/>
      <c r="L80" s="190"/>
      <c r="M80" s="190"/>
      <c r="N80" s="190"/>
      <c r="O80" s="190"/>
      <c r="P80" s="190"/>
      <c r="Q80" s="190"/>
      <c r="R80" s="190"/>
      <c r="S80" s="190"/>
      <c r="T80" s="190"/>
      <c r="U80" s="190"/>
      <c r="V80" s="190"/>
      <c r="W80" s="190"/>
      <c r="X80" s="190"/>
      <c r="Y80" s="190"/>
      <c r="Z80" s="191"/>
    </row>
    <row r="81" spans="1:26" ht="78" customHeight="1">
      <c r="B81" s="164"/>
      <c r="C81" s="79" t="s">
        <v>111</v>
      </c>
      <c r="D81" s="192" t="s">
        <v>112</v>
      </c>
      <c r="E81" s="193"/>
      <c r="F81" s="193"/>
      <c r="G81" s="193"/>
      <c r="H81" s="193"/>
      <c r="I81" s="193"/>
      <c r="J81" s="193"/>
      <c r="K81" s="193"/>
      <c r="L81" s="193"/>
      <c r="M81" s="193"/>
      <c r="N81" s="193"/>
      <c r="O81" s="193"/>
      <c r="P81" s="193"/>
      <c r="Q81" s="193"/>
      <c r="R81" s="193"/>
      <c r="S81" s="193"/>
      <c r="T81" s="193"/>
      <c r="U81" s="193"/>
      <c r="V81" s="193"/>
      <c r="W81" s="193"/>
      <c r="X81" s="193"/>
      <c r="Y81" s="193"/>
      <c r="Z81" s="194"/>
    </row>
    <row r="82" spans="1:26" ht="78" customHeight="1">
      <c r="B82" s="174" t="s">
        <v>113</v>
      </c>
      <c r="C82" s="62" t="s">
        <v>86</v>
      </c>
      <c r="D82" s="175" t="s">
        <v>114</v>
      </c>
      <c r="E82" s="176"/>
      <c r="F82" s="176"/>
      <c r="G82" s="176"/>
      <c r="H82" s="176"/>
      <c r="I82" s="176"/>
      <c r="J82" s="176"/>
      <c r="K82" s="176"/>
      <c r="L82" s="176"/>
      <c r="M82" s="176"/>
      <c r="N82" s="176"/>
      <c r="O82" s="176"/>
      <c r="P82" s="176"/>
      <c r="Q82" s="176"/>
      <c r="R82" s="176"/>
      <c r="S82" s="176"/>
      <c r="T82" s="176"/>
      <c r="U82" s="176"/>
      <c r="V82" s="176"/>
      <c r="W82" s="176"/>
      <c r="X82" s="176"/>
      <c r="Y82" s="176"/>
      <c r="Z82" s="177"/>
    </row>
    <row r="83" spans="1:26" ht="78" customHeight="1">
      <c r="B83" s="157"/>
      <c r="C83" s="80" t="s">
        <v>87</v>
      </c>
      <c r="D83" s="161" t="s">
        <v>115</v>
      </c>
      <c r="E83" s="162"/>
      <c r="F83" s="162"/>
      <c r="G83" s="162"/>
      <c r="H83" s="162"/>
      <c r="I83" s="162"/>
      <c r="J83" s="162"/>
      <c r="K83" s="162"/>
      <c r="L83" s="162"/>
      <c r="M83" s="162"/>
      <c r="N83" s="162"/>
      <c r="O83" s="162"/>
      <c r="P83" s="162"/>
      <c r="Q83" s="162"/>
      <c r="R83" s="162"/>
      <c r="S83" s="162"/>
      <c r="T83" s="162"/>
      <c r="U83" s="162"/>
      <c r="V83" s="162"/>
      <c r="W83" s="162"/>
      <c r="X83" s="162"/>
      <c r="Y83" s="162"/>
      <c r="Z83" s="163"/>
    </row>
    <row r="84" spans="1:26" ht="109.5" customHeight="1">
      <c r="B84" s="174" t="s">
        <v>116</v>
      </c>
      <c r="C84" s="62" t="s">
        <v>89</v>
      </c>
      <c r="D84" s="175" t="s">
        <v>117</v>
      </c>
      <c r="E84" s="176"/>
      <c r="F84" s="176"/>
      <c r="G84" s="176"/>
      <c r="H84" s="176"/>
      <c r="I84" s="176"/>
      <c r="J84" s="176"/>
      <c r="K84" s="176"/>
      <c r="L84" s="176"/>
      <c r="M84" s="176"/>
      <c r="N84" s="176"/>
      <c r="O84" s="176"/>
      <c r="P84" s="176"/>
      <c r="Q84" s="176"/>
      <c r="R84" s="176"/>
      <c r="S84" s="176"/>
      <c r="T84" s="176"/>
      <c r="U84" s="176"/>
      <c r="V84" s="176"/>
      <c r="W84" s="176"/>
      <c r="X84" s="176"/>
      <c r="Y84" s="176"/>
      <c r="Z84" s="177"/>
    </row>
    <row r="85" spans="1:26" ht="66" customHeight="1">
      <c r="B85" s="157"/>
      <c r="C85" s="64" t="s">
        <v>90</v>
      </c>
      <c r="D85" s="178" t="s">
        <v>118</v>
      </c>
      <c r="E85" s="179"/>
      <c r="F85" s="179"/>
      <c r="G85" s="179"/>
      <c r="H85" s="179"/>
      <c r="I85" s="179"/>
      <c r="J85" s="179"/>
      <c r="K85" s="179"/>
      <c r="L85" s="179"/>
      <c r="M85" s="179"/>
      <c r="N85" s="179"/>
      <c r="O85" s="179"/>
      <c r="P85" s="179"/>
      <c r="Q85" s="179"/>
      <c r="R85" s="179"/>
      <c r="S85" s="179"/>
      <c r="T85" s="179"/>
      <c r="U85" s="179"/>
      <c r="V85" s="179"/>
      <c r="W85" s="179"/>
      <c r="X85" s="179"/>
      <c r="Y85" s="179"/>
      <c r="Z85" s="180"/>
    </row>
    <row r="86" spans="1:26" ht="102.75" customHeight="1">
      <c r="B86" s="156" t="s">
        <v>119</v>
      </c>
      <c r="C86" s="65" t="s">
        <v>92</v>
      </c>
      <c r="D86" s="158" t="s">
        <v>120</v>
      </c>
      <c r="E86" s="159"/>
      <c r="F86" s="159"/>
      <c r="G86" s="159"/>
      <c r="H86" s="159"/>
      <c r="I86" s="159"/>
      <c r="J86" s="159"/>
      <c r="K86" s="159"/>
      <c r="L86" s="159"/>
      <c r="M86" s="159"/>
      <c r="N86" s="159"/>
      <c r="O86" s="159"/>
      <c r="P86" s="159"/>
      <c r="Q86" s="159"/>
      <c r="R86" s="159"/>
      <c r="S86" s="159"/>
      <c r="T86" s="159"/>
      <c r="U86" s="159"/>
      <c r="V86" s="159"/>
      <c r="W86" s="159"/>
      <c r="X86" s="159"/>
      <c r="Y86" s="159"/>
      <c r="Z86" s="160"/>
    </row>
    <row r="87" spans="1:26" ht="66" customHeight="1">
      <c r="B87" s="157"/>
      <c r="C87" s="80" t="s">
        <v>93</v>
      </c>
      <c r="D87" s="161" t="s">
        <v>121</v>
      </c>
      <c r="E87" s="162"/>
      <c r="F87" s="162"/>
      <c r="G87" s="162"/>
      <c r="H87" s="162"/>
      <c r="I87" s="162"/>
      <c r="J87" s="162"/>
      <c r="K87" s="162"/>
      <c r="L87" s="162"/>
      <c r="M87" s="162"/>
      <c r="N87" s="162"/>
      <c r="O87" s="162"/>
      <c r="P87" s="162"/>
      <c r="Q87" s="162"/>
      <c r="R87" s="162"/>
      <c r="S87" s="162"/>
      <c r="T87" s="162"/>
      <c r="U87" s="162"/>
      <c r="V87" s="162"/>
      <c r="W87" s="162"/>
      <c r="X87" s="162"/>
      <c r="Y87" s="162"/>
      <c r="Z87" s="163"/>
    </row>
    <row r="88" spans="1:26" ht="162" customHeight="1">
      <c r="B88" s="156" t="s">
        <v>122</v>
      </c>
      <c r="C88" s="62" t="s">
        <v>96</v>
      </c>
      <c r="D88" s="165" t="s">
        <v>123</v>
      </c>
      <c r="E88" s="166"/>
      <c r="F88" s="166"/>
      <c r="G88" s="166"/>
      <c r="H88" s="166"/>
      <c r="I88" s="166"/>
      <c r="J88" s="166"/>
      <c r="K88" s="166"/>
      <c r="L88" s="166"/>
      <c r="M88" s="166"/>
      <c r="N88" s="166"/>
      <c r="O88" s="166"/>
      <c r="P88" s="166"/>
      <c r="Q88" s="166"/>
      <c r="R88" s="166"/>
      <c r="S88" s="166"/>
      <c r="T88" s="166"/>
      <c r="U88" s="166"/>
      <c r="V88" s="166"/>
      <c r="W88" s="166"/>
      <c r="X88" s="166"/>
      <c r="Y88" s="166"/>
      <c r="Z88" s="167"/>
    </row>
    <row r="89" spans="1:26" ht="96.75" customHeight="1">
      <c r="B89" s="164"/>
      <c r="C89" s="63" t="s">
        <v>97</v>
      </c>
      <c r="D89" s="168" t="s">
        <v>124</v>
      </c>
      <c r="E89" s="169"/>
      <c r="F89" s="169"/>
      <c r="G89" s="169"/>
      <c r="H89" s="169"/>
      <c r="I89" s="169"/>
      <c r="J89" s="169"/>
      <c r="K89" s="169"/>
      <c r="L89" s="169"/>
      <c r="M89" s="169"/>
      <c r="N89" s="169"/>
      <c r="O89" s="169"/>
      <c r="P89" s="169"/>
      <c r="Q89" s="169"/>
      <c r="R89" s="169"/>
      <c r="S89" s="169"/>
      <c r="T89" s="169"/>
      <c r="U89" s="169"/>
      <c r="V89" s="169"/>
      <c r="W89" s="169"/>
      <c r="X89" s="169"/>
      <c r="Y89" s="169"/>
      <c r="Z89" s="170"/>
    </row>
    <row r="90" spans="1:26" ht="66" customHeight="1">
      <c r="B90" s="157"/>
      <c r="C90" s="64" t="s">
        <v>98</v>
      </c>
      <c r="D90" s="171" t="s">
        <v>125</v>
      </c>
      <c r="E90" s="172"/>
      <c r="F90" s="172"/>
      <c r="G90" s="172"/>
      <c r="H90" s="172"/>
      <c r="I90" s="172"/>
      <c r="J90" s="172"/>
      <c r="K90" s="172"/>
      <c r="L90" s="172"/>
      <c r="M90" s="172"/>
      <c r="N90" s="172"/>
      <c r="O90" s="172"/>
      <c r="P90" s="172"/>
      <c r="Q90" s="172"/>
      <c r="R90" s="172"/>
      <c r="S90" s="172"/>
      <c r="T90" s="172"/>
      <c r="U90" s="172"/>
      <c r="V90" s="172"/>
      <c r="W90" s="172"/>
      <c r="X90" s="172"/>
      <c r="Y90" s="172"/>
      <c r="Z90" s="173"/>
    </row>
    <row r="91" spans="1:26" ht="6" customHeight="1"/>
    <row r="92" spans="1:26" ht="18.75" customHeight="1">
      <c r="A92" s="11" t="s">
        <v>126</v>
      </c>
    </row>
    <row r="93" spans="1:26" ht="69.75" customHeight="1">
      <c r="B93" s="144" t="s">
        <v>127</v>
      </c>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6"/>
    </row>
    <row r="94" spans="1:26" ht="69.75" customHeight="1">
      <c r="B94" s="147"/>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9"/>
    </row>
    <row r="95" spans="1:26" ht="69.75" customHeight="1">
      <c r="B95" s="150"/>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2"/>
    </row>
    <row r="96" spans="1:26" ht="6" customHeight="1"/>
    <row r="97" spans="1:26" ht="15" customHeight="1">
      <c r="A97" s="11" t="s">
        <v>128</v>
      </c>
    </row>
    <row r="98" spans="1:26" ht="15" customHeight="1">
      <c r="B98" s="153" t="s">
        <v>129</v>
      </c>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5"/>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00000000-0002-0000-01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100-000001000000}">
      <formula1>"学部・学科によって、修了要件は相違する,学部・学科によって、修了要件は相違しない"</formula1>
    </dataValidation>
    <dataValidation type="list" allowBlank="1" showInputMessage="1" showErrorMessage="1" sqref="Z23 Z34 D34:K34 D23:K23 V16:V22 I16:I22 V27:V33 I27:I33 V38:V44 H60:H66 V49:V55 I38:I44 U60:U66 I49:I55" xr:uid="{00000000-0002-0000-0100-000002000000}">
      <formula1>"全学開講,一部開講"</formula1>
    </dataValidation>
    <dataValidation type="list" allowBlank="1" showInputMessage="1" showErrorMessage="1" sqref="Y16:Z22 L16:M22 Y27:Z33 L27:M33 H38:H44 Y38:Z44 H49:H55 Y49:Z55 Y60:Z66 L60:M66 H16:H22 U16:U22 H27:H33 U27:U33 T60:T66 U38:U44 L38:M44 U49:U55 G60:G66 L49:M55" xr:uid="{00000000-0002-0000-0100-000003000000}">
      <formula1>"○"</formula1>
    </dataValidation>
  </dataValidations>
  <hyperlinks>
    <hyperlink ref="B98" r:id="rId1" xr:uid="{00000000-0004-0000-0100-000000000000}"/>
  </hyperlinks>
  <printOptions horizontalCentered="1"/>
  <pageMargins left="0.78740157480314965" right="0.78740157480314965" top="0.59055118110236227" bottom="0.19685039370078741" header="0.31496062992125984" footer="0.19685039370078741"/>
  <pageSetup paperSize="9" scale="98" fitToHeight="0" orientation="landscape" r:id="rId2"/>
  <rowBreaks count="4" manualBreakCount="4">
    <brk id="34" max="25" man="1"/>
    <brk id="67" max="25" man="1"/>
    <brk id="83" max="25" man="1"/>
    <brk id="87"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98"/>
  <sheetViews>
    <sheetView showZeros="0" view="pageBreakPreview" topLeftCell="A54" zoomScaleNormal="100" zoomScaleSheetLayoutView="100" workbookViewId="0">
      <selection activeCell="B98" sqref="B98:Z98"/>
    </sheetView>
  </sheetViews>
  <sheetFormatPr defaultColWidth="9" defaultRowHeight="18.75" customHeight="1"/>
  <cols>
    <col min="1" max="1" width="2.5" style="11" customWidth="1"/>
    <col min="2" max="2" width="27.75" style="11" customWidth="1"/>
    <col min="3" max="13" width="3.375" style="11" customWidth="1"/>
    <col min="14" max="14" width="8.875" style="11" customWidth="1"/>
    <col min="15" max="15" width="18.875" style="11" customWidth="1"/>
    <col min="16" max="19" width="3.375" style="11" customWidth="1"/>
    <col min="20" max="20" width="3.5" style="11" customWidth="1"/>
    <col min="21" max="26" width="3.375" style="11" customWidth="1"/>
    <col min="27" max="16384" width="9" style="11"/>
  </cols>
  <sheetData>
    <row r="1" spans="1:26" ht="15" customHeight="1">
      <c r="W1" s="221" t="s">
        <v>130</v>
      </c>
      <c r="X1" s="221"/>
      <c r="Y1" s="221"/>
      <c r="Z1" s="221"/>
    </row>
    <row r="2" spans="1:26" ht="18" customHeight="1">
      <c r="A2" s="222" t="s">
        <v>70</v>
      </c>
      <c r="B2" s="222"/>
      <c r="C2" s="222"/>
      <c r="D2" s="222"/>
      <c r="E2" s="222"/>
      <c r="F2" s="222"/>
      <c r="G2" s="222"/>
      <c r="H2" s="222"/>
      <c r="I2" s="222"/>
      <c r="J2" s="222"/>
      <c r="K2" s="222"/>
      <c r="L2" s="222"/>
      <c r="M2" s="222"/>
      <c r="N2" s="222"/>
      <c r="O2" s="222"/>
      <c r="P2" s="222"/>
      <c r="Q2" s="222"/>
      <c r="R2" s="222"/>
      <c r="S2" s="222"/>
      <c r="T2" s="222"/>
      <c r="U2" s="222"/>
      <c r="V2" s="222"/>
      <c r="W2" s="222"/>
      <c r="X2" s="222"/>
      <c r="Y2" s="222"/>
      <c r="Z2" s="222"/>
    </row>
    <row r="3" spans="1:26" ht="15" customHeight="1">
      <c r="B3" s="17"/>
      <c r="C3" s="17"/>
      <c r="D3" s="17"/>
      <c r="E3" s="17"/>
      <c r="F3" s="17"/>
      <c r="G3" s="17"/>
      <c r="H3" s="17"/>
      <c r="I3" s="17"/>
      <c r="J3" s="17"/>
      <c r="K3" s="17"/>
      <c r="L3" s="17"/>
      <c r="M3" s="17"/>
      <c r="N3" s="17"/>
      <c r="O3" s="17"/>
      <c r="P3" s="17"/>
      <c r="Q3" s="17"/>
      <c r="R3" s="17"/>
      <c r="S3" s="17"/>
      <c r="T3" s="17"/>
      <c r="U3" s="17"/>
      <c r="V3" s="17"/>
      <c r="W3" s="17"/>
      <c r="X3" s="17"/>
      <c r="Y3" s="17"/>
      <c r="Z3" s="17"/>
    </row>
    <row r="4" spans="1:26" ht="18" customHeight="1">
      <c r="A4" s="11" t="s">
        <v>71</v>
      </c>
      <c r="B4" s="17"/>
      <c r="C4" s="17"/>
      <c r="D4" s="17"/>
      <c r="E4" s="17"/>
      <c r="F4" s="17"/>
      <c r="G4" s="17"/>
      <c r="H4" s="12" t="s">
        <v>72</v>
      </c>
      <c r="I4" s="17"/>
      <c r="J4" s="17"/>
      <c r="K4" s="17"/>
      <c r="L4" s="17"/>
      <c r="M4" s="17"/>
      <c r="N4" s="17"/>
      <c r="O4" s="136" t="s">
        <v>73</v>
      </c>
      <c r="P4" s="139"/>
      <c r="Q4" s="139"/>
      <c r="R4" s="139"/>
      <c r="S4" s="139"/>
      <c r="T4" s="139"/>
      <c r="U4" s="139"/>
      <c r="V4" s="139"/>
      <c r="W4" s="139"/>
      <c r="X4" s="139"/>
      <c r="Y4" s="139"/>
      <c r="Z4" s="137"/>
    </row>
    <row r="5" spans="1:26" ht="6" customHeight="1">
      <c r="B5" s="17"/>
      <c r="C5" s="17"/>
      <c r="D5" s="17"/>
      <c r="E5" s="17"/>
      <c r="F5" s="17"/>
      <c r="G5" s="17"/>
      <c r="H5" s="17"/>
      <c r="I5" s="17"/>
      <c r="J5" s="17"/>
      <c r="K5" s="17"/>
      <c r="L5" s="17"/>
      <c r="M5" s="17"/>
      <c r="N5" s="17"/>
      <c r="O5" s="13"/>
      <c r="P5" s="17"/>
      <c r="Q5" s="17"/>
      <c r="R5" s="17"/>
      <c r="S5" s="17"/>
      <c r="T5" s="17"/>
      <c r="U5" s="17"/>
      <c r="V5" s="17"/>
      <c r="W5" s="17"/>
      <c r="X5" s="17"/>
      <c r="Y5" s="17"/>
      <c r="Z5" s="17"/>
    </row>
    <row r="6" spans="1:26" ht="18" customHeight="1">
      <c r="B6" s="223" t="s">
        <v>131</v>
      </c>
      <c r="C6" s="190"/>
      <c r="D6" s="190"/>
      <c r="E6" s="190"/>
      <c r="F6" s="190"/>
      <c r="G6" s="190"/>
      <c r="H6" s="190"/>
      <c r="I6" s="190"/>
      <c r="J6" s="190"/>
      <c r="K6" s="190"/>
      <c r="L6" s="190"/>
      <c r="M6" s="190"/>
      <c r="N6" s="190"/>
      <c r="O6" s="190"/>
      <c r="P6" s="190"/>
      <c r="Q6" s="190"/>
      <c r="R6" s="190"/>
      <c r="S6" s="190"/>
      <c r="T6" s="190"/>
      <c r="U6" s="190"/>
      <c r="V6" s="190"/>
      <c r="W6" s="190"/>
      <c r="X6" s="190"/>
      <c r="Y6" s="190"/>
      <c r="Z6" s="191"/>
    </row>
    <row r="7" spans="1:26" ht="18" customHeight="1">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c r="B10" s="224"/>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6"/>
    </row>
    <row r="11" spans="1:26" ht="18" customHeight="1">
      <c r="B11" s="227"/>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9"/>
    </row>
    <row r="12" spans="1:26" ht="7.5" customHeight="1">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ht="18" customHeight="1">
      <c r="A13" s="216" t="s">
        <v>75</v>
      </c>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row>
    <row r="14" spans="1:26" ht="18" customHeight="1">
      <c r="A14" s="216"/>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1:26" ht="18" customHeight="1">
      <c r="A15" s="12"/>
      <c r="B15" s="136" t="s">
        <v>76</v>
      </c>
      <c r="C15" s="139"/>
      <c r="D15" s="139"/>
      <c r="E15" s="139"/>
      <c r="F15" s="137"/>
      <c r="G15" s="18" t="s">
        <v>77</v>
      </c>
      <c r="H15" s="81" t="s">
        <v>78</v>
      </c>
      <c r="I15" s="139" t="s">
        <v>79</v>
      </c>
      <c r="J15" s="139"/>
      <c r="K15" s="139"/>
      <c r="L15" s="58" t="s">
        <v>80</v>
      </c>
      <c r="M15" s="58" t="s">
        <v>81</v>
      </c>
      <c r="N15" s="136" t="s">
        <v>76</v>
      </c>
      <c r="O15" s="139"/>
      <c r="P15" s="139"/>
      <c r="Q15" s="139"/>
      <c r="R15" s="139"/>
      <c r="S15" s="137"/>
      <c r="T15" s="18" t="s">
        <v>77</v>
      </c>
      <c r="U15" s="81" t="s">
        <v>78</v>
      </c>
      <c r="V15" s="139" t="s">
        <v>79</v>
      </c>
      <c r="W15" s="139"/>
      <c r="X15" s="139"/>
      <c r="Y15" s="58" t="s">
        <v>80</v>
      </c>
      <c r="Z15" s="58" t="s">
        <v>81</v>
      </c>
    </row>
    <row r="16" spans="1:26" ht="18" customHeight="1">
      <c r="A16" s="12"/>
      <c r="B16" s="220" t="s">
        <v>82</v>
      </c>
      <c r="C16" s="176"/>
      <c r="D16" s="176"/>
      <c r="E16" s="176"/>
      <c r="F16" s="177"/>
      <c r="G16" s="82">
        <v>1</v>
      </c>
      <c r="H16" s="82" t="s">
        <v>83</v>
      </c>
      <c r="I16" s="212" t="s">
        <v>84</v>
      </c>
      <c r="J16" s="213"/>
      <c r="K16" s="214"/>
      <c r="L16" s="82" t="s">
        <v>83</v>
      </c>
      <c r="M16" s="82" t="s">
        <v>83</v>
      </c>
      <c r="N16" s="199"/>
      <c r="O16" s="166"/>
      <c r="P16" s="166"/>
      <c r="Q16" s="166"/>
      <c r="R16" s="166"/>
      <c r="S16" s="167"/>
      <c r="T16" s="82"/>
      <c r="U16" s="82"/>
      <c r="V16" s="212"/>
      <c r="W16" s="213"/>
      <c r="X16" s="214"/>
      <c r="Y16" s="82"/>
      <c r="Z16" s="82"/>
    </row>
    <row r="17" spans="1:26" ht="18" customHeight="1">
      <c r="A17" s="12"/>
      <c r="B17" s="217"/>
      <c r="C17" s="218"/>
      <c r="D17" s="218"/>
      <c r="E17" s="218"/>
      <c r="F17" s="219"/>
      <c r="G17" s="83"/>
      <c r="H17" s="83"/>
      <c r="I17" s="209"/>
      <c r="J17" s="210"/>
      <c r="K17" s="211"/>
      <c r="L17" s="83"/>
      <c r="M17" s="83"/>
      <c r="N17" s="195"/>
      <c r="O17" s="169"/>
      <c r="P17" s="169"/>
      <c r="Q17" s="169"/>
      <c r="R17" s="169"/>
      <c r="S17" s="170"/>
      <c r="T17" s="83"/>
      <c r="U17" s="83"/>
      <c r="V17" s="209"/>
      <c r="W17" s="210"/>
      <c r="X17" s="211"/>
      <c r="Y17" s="83"/>
      <c r="Z17" s="83"/>
    </row>
    <row r="18" spans="1:26" ht="18" customHeight="1">
      <c r="A18" s="12"/>
      <c r="B18" s="217"/>
      <c r="C18" s="218"/>
      <c r="D18" s="218"/>
      <c r="E18" s="218"/>
      <c r="F18" s="219"/>
      <c r="G18" s="83"/>
      <c r="H18" s="83"/>
      <c r="I18" s="209"/>
      <c r="J18" s="210"/>
      <c r="K18" s="211"/>
      <c r="L18" s="83"/>
      <c r="M18" s="83"/>
      <c r="N18" s="195"/>
      <c r="O18" s="169"/>
      <c r="P18" s="169"/>
      <c r="Q18" s="169"/>
      <c r="R18" s="169"/>
      <c r="S18" s="170"/>
      <c r="T18" s="83"/>
      <c r="U18" s="83"/>
      <c r="V18" s="209"/>
      <c r="W18" s="210"/>
      <c r="X18" s="211"/>
      <c r="Y18" s="83"/>
      <c r="Z18" s="83"/>
    </row>
    <row r="19" spans="1:26" ht="18" customHeight="1">
      <c r="A19" s="12"/>
      <c r="B19" s="217"/>
      <c r="C19" s="218"/>
      <c r="D19" s="218"/>
      <c r="E19" s="218"/>
      <c r="F19" s="219"/>
      <c r="G19" s="83"/>
      <c r="H19" s="83"/>
      <c r="I19" s="209"/>
      <c r="J19" s="210"/>
      <c r="K19" s="211"/>
      <c r="L19" s="83"/>
      <c r="M19" s="83"/>
      <c r="N19" s="195"/>
      <c r="O19" s="169"/>
      <c r="P19" s="169"/>
      <c r="Q19" s="169"/>
      <c r="R19" s="169"/>
      <c r="S19" s="170"/>
      <c r="T19" s="83"/>
      <c r="U19" s="83"/>
      <c r="V19" s="209"/>
      <c r="W19" s="210"/>
      <c r="X19" s="211"/>
      <c r="Y19" s="83"/>
      <c r="Z19" s="83"/>
    </row>
    <row r="20" spans="1:26" ht="18" customHeight="1">
      <c r="A20" s="12"/>
      <c r="B20" s="217"/>
      <c r="C20" s="218"/>
      <c r="D20" s="218"/>
      <c r="E20" s="218"/>
      <c r="F20" s="219"/>
      <c r="G20" s="83"/>
      <c r="H20" s="83"/>
      <c r="I20" s="209"/>
      <c r="J20" s="210"/>
      <c r="K20" s="211"/>
      <c r="L20" s="83"/>
      <c r="M20" s="83"/>
      <c r="N20" s="195"/>
      <c r="O20" s="169"/>
      <c r="P20" s="169"/>
      <c r="Q20" s="169"/>
      <c r="R20" s="169"/>
      <c r="S20" s="170"/>
      <c r="T20" s="83"/>
      <c r="U20" s="83"/>
      <c r="V20" s="209"/>
      <c r="W20" s="210"/>
      <c r="X20" s="211"/>
      <c r="Y20" s="83"/>
      <c r="Z20" s="83"/>
    </row>
    <row r="21" spans="1:26" ht="18" customHeight="1">
      <c r="A21" s="17"/>
      <c r="B21" s="217"/>
      <c r="C21" s="218"/>
      <c r="D21" s="218"/>
      <c r="E21" s="218"/>
      <c r="F21" s="219"/>
      <c r="G21" s="83"/>
      <c r="H21" s="83"/>
      <c r="I21" s="209"/>
      <c r="J21" s="210"/>
      <c r="K21" s="211"/>
      <c r="L21" s="83"/>
      <c r="M21" s="83"/>
      <c r="N21" s="195"/>
      <c r="O21" s="169"/>
      <c r="P21" s="169"/>
      <c r="Q21" s="169"/>
      <c r="R21" s="169"/>
      <c r="S21" s="170"/>
      <c r="T21" s="83"/>
      <c r="U21" s="83"/>
      <c r="V21" s="209"/>
      <c r="W21" s="210"/>
      <c r="X21" s="211"/>
      <c r="Y21" s="83"/>
      <c r="Z21" s="83"/>
    </row>
    <row r="22" spans="1:26" ht="18" customHeight="1">
      <c r="A22" s="17"/>
      <c r="B22" s="215"/>
      <c r="C22" s="162"/>
      <c r="D22" s="162"/>
      <c r="E22" s="162"/>
      <c r="F22" s="163"/>
      <c r="G22" s="84"/>
      <c r="H22" s="84"/>
      <c r="I22" s="203"/>
      <c r="J22" s="204"/>
      <c r="K22" s="205"/>
      <c r="L22" s="88"/>
      <c r="M22" s="88"/>
      <c r="N22" s="181"/>
      <c r="O22" s="182"/>
      <c r="P22" s="182"/>
      <c r="Q22" s="182"/>
      <c r="R22" s="182"/>
      <c r="S22" s="183"/>
      <c r="T22" s="84"/>
      <c r="U22" s="84"/>
      <c r="V22" s="203"/>
      <c r="W22" s="204"/>
      <c r="X22" s="205"/>
      <c r="Y22" s="88"/>
      <c r="Z22" s="88"/>
    </row>
    <row r="23" spans="1:26" ht="7.5" customHeight="1">
      <c r="A23" s="17"/>
      <c r="B23" s="23"/>
      <c r="C23" s="23"/>
      <c r="D23" s="17"/>
      <c r="E23" s="17"/>
      <c r="F23" s="17"/>
      <c r="G23" s="17"/>
      <c r="H23" s="17"/>
      <c r="I23" s="17"/>
      <c r="J23" s="17"/>
      <c r="K23" s="17"/>
      <c r="L23" s="23"/>
      <c r="M23" s="23"/>
      <c r="N23" s="23"/>
      <c r="O23" s="23"/>
      <c r="P23" s="23"/>
      <c r="Q23" s="23"/>
      <c r="R23" s="23"/>
      <c r="S23" s="23"/>
      <c r="T23" s="23"/>
      <c r="U23" s="23"/>
      <c r="V23" s="23"/>
      <c r="W23" s="23"/>
      <c r="X23" s="23"/>
      <c r="Y23" s="23"/>
      <c r="Z23" s="17"/>
    </row>
    <row r="24" spans="1:26" ht="18" customHeight="1">
      <c r="A24" s="216" t="s">
        <v>85</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spans="1:26" ht="18" customHeight="1">
      <c r="A25" s="216"/>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row>
    <row r="26" spans="1:26" ht="18" customHeight="1">
      <c r="A26" s="12"/>
      <c r="B26" s="136" t="s">
        <v>76</v>
      </c>
      <c r="C26" s="139"/>
      <c r="D26" s="139"/>
      <c r="E26" s="139"/>
      <c r="F26" s="137"/>
      <c r="G26" s="18" t="s">
        <v>77</v>
      </c>
      <c r="H26" s="81" t="s">
        <v>78</v>
      </c>
      <c r="I26" s="139" t="s">
        <v>79</v>
      </c>
      <c r="J26" s="139"/>
      <c r="K26" s="139"/>
      <c r="L26" s="58" t="s">
        <v>86</v>
      </c>
      <c r="M26" s="58" t="s">
        <v>87</v>
      </c>
      <c r="N26" s="136" t="s">
        <v>76</v>
      </c>
      <c r="O26" s="139"/>
      <c r="P26" s="139"/>
      <c r="Q26" s="139"/>
      <c r="R26" s="139"/>
      <c r="S26" s="137"/>
      <c r="T26" s="18" t="s">
        <v>77</v>
      </c>
      <c r="U26" s="81" t="s">
        <v>78</v>
      </c>
      <c r="V26" s="139" t="s">
        <v>79</v>
      </c>
      <c r="W26" s="139"/>
      <c r="X26" s="139"/>
      <c r="Y26" s="58" t="s">
        <v>86</v>
      </c>
      <c r="Z26" s="58" t="s">
        <v>87</v>
      </c>
    </row>
    <row r="27" spans="1:26" ht="18" customHeight="1">
      <c r="A27" s="12"/>
      <c r="B27" s="220" t="s">
        <v>82</v>
      </c>
      <c r="C27" s="176"/>
      <c r="D27" s="176"/>
      <c r="E27" s="176"/>
      <c r="F27" s="177"/>
      <c r="G27" s="82">
        <v>1</v>
      </c>
      <c r="H27" s="82" t="s">
        <v>83</v>
      </c>
      <c r="I27" s="212" t="s">
        <v>84</v>
      </c>
      <c r="J27" s="213"/>
      <c r="K27" s="214"/>
      <c r="L27" s="82" t="s">
        <v>83</v>
      </c>
      <c r="M27" s="82" t="s">
        <v>83</v>
      </c>
      <c r="N27" s="199"/>
      <c r="O27" s="166"/>
      <c r="P27" s="166"/>
      <c r="Q27" s="166"/>
      <c r="R27" s="166"/>
      <c r="S27" s="167"/>
      <c r="T27" s="82"/>
      <c r="U27" s="82"/>
      <c r="V27" s="212"/>
      <c r="W27" s="213"/>
      <c r="X27" s="214"/>
      <c r="Y27" s="82"/>
      <c r="Z27" s="82"/>
    </row>
    <row r="28" spans="1:26" ht="18" customHeight="1">
      <c r="A28" s="12"/>
      <c r="B28" s="217"/>
      <c r="C28" s="218"/>
      <c r="D28" s="218"/>
      <c r="E28" s="218"/>
      <c r="F28" s="219"/>
      <c r="G28" s="83"/>
      <c r="H28" s="83"/>
      <c r="I28" s="209"/>
      <c r="J28" s="210"/>
      <c r="K28" s="211"/>
      <c r="L28" s="83"/>
      <c r="M28" s="83"/>
      <c r="N28" s="195"/>
      <c r="O28" s="169"/>
      <c r="P28" s="169"/>
      <c r="Q28" s="169"/>
      <c r="R28" s="169"/>
      <c r="S28" s="170"/>
      <c r="T28" s="83"/>
      <c r="U28" s="83"/>
      <c r="V28" s="209"/>
      <c r="W28" s="210"/>
      <c r="X28" s="211"/>
      <c r="Y28" s="83"/>
      <c r="Z28" s="83"/>
    </row>
    <row r="29" spans="1:26" ht="18" customHeight="1">
      <c r="A29" s="12"/>
      <c r="B29" s="217"/>
      <c r="C29" s="218"/>
      <c r="D29" s="218"/>
      <c r="E29" s="218"/>
      <c r="F29" s="219"/>
      <c r="G29" s="83"/>
      <c r="H29" s="83"/>
      <c r="I29" s="209"/>
      <c r="J29" s="210"/>
      <c r="K29" s="211"/>
      <c r="L29" s="83"/>
      <c r="M29" s="83"/>
      <c r="N29" s="195"/>
      <c r="O29" s="169"/>
      <c r="P29" s="169"/>
      <c r="Q29" s="169"/>
      <c r="R29" s="169"/>
      <c r="S29" s="170"/>
      <c r="T29" s="83"/>
      <c r="U29" s="83"/>
      <c r="V29" s="209"/>
      <c r="W29" s="210"/>
      <c r="X29" s="211"/>
      <c r="Y29" s="83"/>
      <c r="Z29" s="83"/>
    </row>
    <row r="30" spans="1:26" ht="18" customHeight="1">
      <c r="A30" s="12"/>
      <c r="B30" s="217"/>
      <c r="C30" s="218"/>
      <c r="D30" s="218"/>
      <c r="E30" s="218"/>
      <c r="F30" s="219"/>
      <c r="G30" s="83"/>
      <c r="H30" s="83"/>
      <c r="I30" s="209"/>
      <c r="J30" s="210"/>
      <c r="K30" s="211"/>
      <c r="L30" s="83"/>
      <c r="M30" s="83"/>
      <c r="N30" s="195"/>
      <c r="O30" s="169"/>
      <c r="P30" s="169"/>
      <c r="Q30" s="169"/>
      <c r="R30" s="169"/>
      <c r="S30" s="170"/>
      <c r="T30" s="83"/>
      <c r="U30" s="83"/>
      <c r="V30" s="209"/>
      <c r="W30" s="210"/>
      <c r="X30" s="211"/>
      <c r="Y30" s="83"/>
      <c r="Z30" s="83"/>
    </row>
    <row r="31" spans="1:26" ht="18" customHeight="1">
      <c r="A31" s="12"/>
      <c r="B31" s="217"/>
      <c r="C31" s="218"/>
      <c r="D31" s="218"/>
      <c r="E31" s="218"/>
      <c r="F31" s="219"/>
      <c r="G31" s="83"/>
      <c r="H31" s="83"/>
      <c r="I31" s="209"/>
      <c r="J31" s="210"/>
      <c r="K31" s="211"/>
      <c r="L31" s="83"/>
      <c r="M31" s="83"/>
      <c r="N31" s="195"/>
      <c r="O31" s="169"/>
      <c r="P31" s="169"/>
      <c r="Q31" s="169"/>
      <c r="R31" s="169"/>
      <c r="S31" s="170"/>
      <c r="T31" s="83"/>
      <c r="U31" s="83"/>
      <c r="V31" s="209"/>
      <c r="W31" s="210"/>
      <c r="X31" s="211"/>
      <c r="Y31" s="83"/>
      <c r="Z31" s="83"/>
    </row>
    <row r="32" spans="1:26" ht="18" customHeight="1">
      <c r="A32" s="12"/>
      <c r="B32" s="217"/>
      <c r="C32" s="218"/>
      <c r="D32" s="218"/>
      <c r="E32" s="218"/>
      <c r="F32" s="219"/>
      <c r="G32" s="83"/>
      <c r="H32" s="83"/>
      <c r="I32" s="209"/>
      <c r="J32" s="210"/>
      <c r="K32" s="211"/>
      <c r="L32" s="83"/>
      <c r="M32" s="83"/>
      <c r="N32" s="195"/>
      <c r="O32" s="169"/>
      <c r="P32" s="169"/>
      <c r="Q32" s="169"/>
      <c r="R32" s="169"/>
      <c r="S32" s="170"/>
      <c r="T32" s="83"/>
      <c r="U32" s="83"/>
      <c r="V32" s="209"/>
      <c r="W32" s="210"/>
      <c r="X32" s="211"/>
      <c r="Y32" s="83"/>
      <c r="Z32" s="83"/>
    </row>
    <row r="33" spans="1:26" ht="18" customHeight="1">
      <c r="A33" s="12"/>
      <c r="B33" s="215"/>
      <c r="C33" s="162"/>
      <c r="D33" s="162"/>
      <c r="E33" s="162"/>
      <c r="F33" s="163"/>
      <c r="G33" s="84"/>
      <c r="H33" s="84"/>
      <c r="I33" s="203"/>
      <c r="J33" s="204"/>
      <c r="K33" s="205"/>
      <c r="L33" s="88"/>
      <c r="M33" s="88"/>
      <c r="N33" s="181"/>
      <c r="O33" s="182"/>
      <c r="P33" s="182"/>
      <c r="Q33" s="182"/>
      <c r="R33" s="182"/>
      <c r="S33" s="183"/>
      <c r="T33" s="84"/>
      <c r="U33" s="84"/>
      <c r="V33" s="203"/>
      <c r="W33" s="204"/>
      <c r="X33" s="205"/>
      <c r="Y33" s="88"/>
      <c r="Z33" s="88"/>
    </row>
    <row r="34" spans="1:26" ht="7.5" customHeight="1">
      <c r="A34" s="17"/>
      <c r="B34" s="23"/>
      <c r="C34" s="23"/>
      <c r="D34" s="17"/>
      <c r="E34" s="17"/>
      <c r="F34" s="17"/>
      <c r="G34" s="17"/>
      <c r="H34" s="17"/>
      <c r="I34" s="17"/>
      <c r="J34" s="17"/>
      <c r="K34" s="17"/>
      <c r="L34" s="23"/>
      <c r="M34" s="23"/>
      <c r="N34" s="23"/>
      <c r="O34" s="23"/>
      <c r="P34" s="23"/>
      <c r="Q34" s="23"/>
      <c r="R34" s="23"/>
      <c r="S34" s="23"/>
      <c r="T34" s="23"/>
      <c r="U34" s="23"/>
      <c r="V34" s="23"/>
      <c r="W34" s="23"/>
      <c r="X34" s="23"/>
      <c r="Y34" s="23"/>
      <c r="Z34" s="17"/>
    </row>
    <row r="35" spans="1:26" ht="18" customHeight="1">
      <c r="A35" s="216" t="s">
        <v>88</v>
      </c>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spans="1:26" ht="18" customHeight="1">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spans="1:26" ht="18" customHeight="1">
      <c r="A37" s="12"/>
      <c r="B37" s="136" t="s">
        <v>76</v>
      </c>
      <c r="C37" s="139"/>
      <c r="D37" s="139"/>
      <c r="E37" s="139"/>
      <c r="F37" s="137"/>
      <c r="G37" s="18" t="s">
        <v>77</v>
      </c>
      <c r="H37" s="81" t="s">
        <v>78</v>
      </c>
      <c r="I37" s="136" t="s">
        <v>79</v>
      </c>
      <c r="J37" s="139"/>
      <c r="K37" s="137"/>
      <c r="L37" s="58" t="s">
        <v>89</v>
      </c>
      <c r="M37" s="58" t="s">
        <v>90</v>
      </c>
      <c r="N37" s="136" t="s">
        <v>76</v>
      </c>
      <c r="O37" s="139"/>
      <c r="P37" s="139"/>
      <c r="Q37" s="139"/>
      <c r="R37" s="139"/>
      <c r="S37" s="137"/>
      <c r="T37" s="18" t="s">
        <v>77</v>
      </c>
      <c r="U37" s="81" t="s">
        <v>78</v>
      </c>
      <c r="V37" s="136" t="s">
        <v>79</v>
      </c>
      <c r="W37" s="139"/>
      <c r="X37" s="137"/>
      <c r="Y37" s="58" t="s">
        <v>89</v>
      </c>
      <c r="Z37" s="58" t="s">
        <v>90</v>
      </c>
    </row>
    <row r="38" spans="1:26" ht="18" customHeight="1">
      <c r="A38" s="17"/>
      <c r="B38" s="220" t="s">
        <v>82</v>
      </c>
      <c r="C38" s="176"/>
      <c r="D38" s="176"/>
      <c r="E38" s="176"/>
      <c r="F38" s="177"/>
      <c r="G38" s="82">
        <v>1</v>
      </c>
      <c r="H38" s="82" t="s">
        <v>83</v>
      </c>
      <c r="I38" s="212" t="s">
        <v>84</v>
      </c>
      <c r="J38" s="213"/>
      <c r="K38" s="214"/>
      <c r="L38" s="82" t="s">
        <v>83</v>
      </c>
      <c r="M38" s="82" t="s">
        <v>83</v>
      </c>
      <c r="N38" s="199"/>
      <c r="O38" s="166"/>
      <c r="P38" s="166"/>
      <c r="Q38" s="166"/>
      <c r="R38" s="166"/>
      <c r="S38" s="167"/>
      <c r="T38" s="82"/>
      <c r="U38" s="82"/>
      <c r="V38" s="212"/>
      <c r="W38" s="213"/>
      <c r="X38" s="214"/>
      <c r="Y38" s="82"/>
      <c r="Z38" s="82"/>
    </row>
    <row r="39" spans="1:26" ht="18" customHeight="1">
      <c r="A39" s="17"/>
      <c r="B39" s="217"/>
      <c r="C39" s="218"/>
      <c r="D39" s="218"/>
      <c r="E39" s="218"/>
      <c r="F39" s="219"/>
      <c r="G39" s="83"/>
      <c r="H39" s="83"/>
      <c r="I39" s="209"/>
      <c r="J39" s="210"/>
      <c r="K39" s="211"/>
      <c r="L39" s="83"/>
      <c r="M39" s="83"/>
      <c r="N39" s="195"/>
      <c r="O39" s="169"/>
      <c r="P39" s="169"/>
      <c r="Q39" s="169"/>
      <c r="R39" s="169"/>
      <c r="S39" s="170"/>
      <c r="T39" s="83"/>
      <c r="U39" s="83"/>
      <c r="V39" s="209"/>
      <c r="W39" s="210"/>
      <c r="X39" s="211"/>
      <c r="Y39" s="83"/>
      <c r="Z39" s="83"/>
    </row>
    <row r="40" spans="1:26" ht="18" customHeight="1">
      <c r="A40" s="17"/>
      <c r="B40" s="217"/>
      <c r="C40" s="218"/>
      <c r="D40" s="218"/>
      <c r="E40" s="218"/>
      <c r="F40" s="219"/>
      <c r="G40" s="83"/>
      <c r="H40" s="83"/>
      <c r="I40" s="209"/>
      <c r="J40" s="210"/>
      <c r="K40" s="211"/>
      <c r="L40" s="83"/>
      <c r="M40" s="83"/>
      <c r="N40" s="195"/>
      <c r="O40" s="169"/>
      <c r="P40" s="169"/>
      <c r="Q40" s="169"/>
      <c r="R40" s="169"/>
      <c r="S40" s="170"/>
      <c r="T40" s="83"/>
      <c r="U40" s="83"/>
      <c r="V40" s="209"/>
      <c r="W40" s="210"/>
      <c r="X40" s="211"/>
      <c r="Y40" s="83"/>
      <c r="Z40" s="83"/>
    </row>
    <row r="41" spans="1:26" ht="18" customHeight="1">
      <c r="A41" s="17"/>
      <c r="B41" s="217"/>
      <c r="C41" s="218"/>
      <c r="D41" s="218"/>
      <c r="E41" s="218"/>
      <c r="F41" s="219"/>
      <c r="G41" s="83"/>
      <c r="H41" s="83"/>
      <c r="I41" s="209"/>
      <c r="J41" s="210"/>
      <c r="K41" s="211"/>
      <c r="L41" s="83"/>
      <c r="M41" s="83"/>
      <c r="N41" s="195"/>
      <c r="O41" s="169"/>
      <c r="P41" s="169"/>
      <c r="Q41" s="169"/>
      <c r="R41" s="169"/>
      <c r="S41" s="170"/>
      <c r="T41" s="83"/>
      <c r="U41" s="83"/>
      <c r="V41" s="209"/>
      <c r="W41" s="210"/>
      <c r="X41" s="211"/>
      <c r="Y41" s="83"/>
      <c r="Z41" s="83"/>
    </row>
    <row r="42" spans="1:26" ht="18" customHeight="1">
      <c r="A42" s="17"/>
      <c r="B42" s="217"/>
      <c r="C42" s="218"/>
      <c r="D42" s="218"/>
      <c r="E42" s="218"/>
      <c r="F42" s="219"/>
      <c r="G42" s="83"/>
      <c r="H42" s="83"/>
      <c r="I42" s="209"/>
      <c r="J42" s="210"/>
      <c r="K42" s="211"/>
      <c r="L42" s="83"/>
      <c r="M42" s="83"/>
      <c r="N42" s="195"/>
      <c r="O42" s="169"/>
      <c r="P42" s="169"/>
      <c r="Q42" s="169"/>
      <c r="R42" s="169"/>
      <c r="S42" s="170"/>
      <c r="T42" s="83"/>
      <c r="U42" s="83"/>
      <c r="V42" s="209"/>
      <c r="W42" s="210"/>
      <c r="X42" s="211"/>
      <c r="Y42" s="83"/>
      <c r="Z42" s="83"/>
    </row>
    <row r="43" spans="1:26" ht="18" customHeight="1">
      <c r="A43" s="17"/>
      <c r="B43" s="217"/>
      <c r="C43" s="218"/>
      <c r="D43" s="218"/>
      <c r="E43" s="218"/>
      <c r="F43" s="219"/>
      <c r="G43" s="83"/>
      <c r="H43" s="83"/>
      <c r="I43" s="209"/>
      <c r="J43" s="210"/>
      <c r="K43" s="211"/>
      <c r="L43" s="83"/>
      <c r="M43" s="83"/>
      <c r="N43" s="195"/>
      <c r="O43" s="169"/>
      <c r="P43" s="169"/>
      <c r="Q43" s="169"/>
      <c r="R43" s="169"/>
      <c r="S43" s="170"/>
      <c r="T43" s="83"/>
      <c r="U43" s="83"/>
      <c r="V43" s="209"/>
      <c r="W43" s="210"/>
      <c r="X43" s="211"/>
      <c r="Y43" s="83"/>
      <c r="Z43" s="83"/>
    </row>
    <row r="44" spans="1:26" ht="18" customHeight="1">
      <c r="A44" s="17"/>
      <c r="B44" s="215"/>
      <c r="C44" s="162"/>
      <c r="D44" s="162"/>
      <c r="E44" s="162"/>
      <c r="F44" s="163"/>
      <c r="G44" s="84"/>
      <c r="H44" s="84"/>
      <c r="I44" s="203"/>
      <c r="J44" s="204"/>
      <c r="K44" s="205"/>
      <c r="L44" s="88"/>
      <c r="M44" s="88"/>
      <c r="N44" s="181"/>
      <c r="O44" s="182"/>
      <c r="P44" s="182"/>
      <c r="Q44" s="182"/>
      <c r="R44" s="182"/>
      <c r="S44" s="183"/>
      <c r="T44" s="84"/>
      <c r="U44" s="84"/>
      <c r="V44" s="203"/>
      <c r="W44" s="204"/>
      <c r="X44" s="205"/>
      <c r="Y44" s="88"/>
      <c r="Z44" s="88"/>
    </row>
    <row r="45" spans="1:26" ht="7.5" customHeight="1">
      <c r="B45" s="59"/>
      <c r="C45" s="59"/>
      <c r="D45" s="59"/>
      <c r="E45" s="59"/>
      <c r="F45" s="59"/>
      <c r="G45" s="59"/>
      <c r="H45" s="59"/>
      <c r="I45" s="59"/>
      <c r="J45" s="59"/>
      <c r="K45" s="59"/>
      <c r="L45" s="59"/>
      <c r="M45" s="59"/>
      <c r="N45" s="59"/>
      <c r="O45" s="59"/>
      <c r="P45" s="59"/>
      <c r="Q45" s="59"/>
      <c r="R45" s="59"/>
      <c r="S45" s="59"/>
      <c r="T45" s="59"/>
      <c r="U45" s="59"/>
      <c r="V45" s="59"/>
      <c r="W45" s="59"/>
      <c r="X45" s="59"/>
      <c r="Y45" s="59"/>
    </row>
    <row r="46" spans="1:26" ht="18" customHeight="1">
      <c r="A46" s="216" t="s">
        <v>91</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spans="1:26" ht="18" customHeight="1">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spans="1:26" ht="18" customHeight="1">
      <c r="A48" s="12"/>
      <c r="B48" s="136" t="s">
        <v>76</v>
      </c>
      <c r="C48" s="139"/>
      <c r="D48" s="139"/>
      <c r="E48" s="139"/>
      <c r="F48" s="137"/>
      <c r="G48" s="18" t="s">
        <v>77</v>
      </c>
      <c r="H48" s="81" t="s">
        <v>78</v>
      </c>
      <c r="I48" s="136" t="s">
        <v>79</v>
      </c>
      <c r="J48" s="139"/>
      <c r="K48" s="137"/>
      <c r="L48" s="58" t="s">
        <v>92</v>
      </c>
      <c r="M48" s="58" t="s">
        <v>93</v>
      </c>
      <c r="N48" s="136" t="s">
        <v>76</v>
      </c>
      <c r="O48" s="139"/>
      <c r="P48" s="139"/>
      <c r="Q48" s="139"/>
      <c r="R48" s="139"/>
      <c r="S48" s="137"/>
      <c r="T48" s="18" t="s">
        <v>77</v>
      </c>
      <c r="U48" s="81" t="s">
        <v>78</v>
      </c>
      <c r="V48" s="136" t="s">
        <v>79</v>
      </c>
      <c r="W48" s="139"/>
      <c r="X48" s="137"/>
      <c r="Y48" s="58" t="s">
        <v>92</v>
      </c>
      <c r="Z48" s="58" t="s">
        <v>93</v>
      </c>
    </row>
    <row r="49" spans="1:26" ht="18" customHeight="1">
      <c r="A49" s="17"/>
      <c r="B49" s="220" t="s">
        <v>82</v>
      </c>
      <c r="C49" s="176"/>
      <c r="D49" s="176"/>
      <c r="E49" s="176"/>
      <c r="F49" s="177"/>
      <c r="G49" s="82">
        <v>1</v>
      </c>
      <c r="H49" s="82" t="s">
        <v>83</v>
      </c>
      <c r="I49" s="212" t="s">
        <v>84</v>
      </c>
      <c r="J49" s="213"/>
      <c r="K49" s="214"/>
      <c r="L49" s="82" t="s">
        <v>83</v>
      </c>
      <c r="M49" s="82" t="s">
        <v>83</v>
      </c>
      <c r="N49" s="199"/>
      <c r="O49" s="166"/>
      <c r="P49" s="166"/>
      <c r="Q49" s="166"/>
      <c r="R49" s="166"/>
      <c r="S49" s="167"/>
      <c r="T49" s="82"/>
      <c r="U49" s="82"/>
      <c r="V49" s="212"/>
      <c r="W49" s="213"/>
      <c r="X49" s="214"/>
      <c r="Y49" s="82"/>
      <c r="Z49" s="82"/>
    </row>
    <row r="50" spans="1:26" ht="18" customHeight="1">
      <c r="A50" s="17"/>
      <c r="B50" s="217" t="s">
        <v>94</v>
      </c>
      <c r="C50" s="218"/>
      <c r="D50" s="218"/>
      <c r="E50" s="218"/>
      <c r="F50" s="219"/>
      <c r="G50" s="83">
        <v>1</v>
      </c>
      <c r="H50" s="83" t="s">
        <v>83</v>
      </c>
      <c r="I50" s="209" t="s">
        <v>84</v>
      </c>
      <c r="J50" s="210"/>
      <c r="K50" s="211"/>
      <c r="L50" s="83" t="s">
        <v>83</v>
      </c>
      <c r="M50" s="83" t="s">
        <v>83</v>
      </c>
      <c r="N50" s="195"/>
      <c r="O50" s="169"/>
      <c r="P50" s="169"/>
      <c r="Q50" s="169"/>
      <c r="R50" s="169"/>
      <c r="S50" s="170"/>
      <c r="T50" s="83"/>
      <c r="U50" s="83"/>
      <c r="V50" s="209"/>
      <c r="W50" s="210"/>
      <c r="X50" s="211"/>
      <c r="Y50" s="83"/>
      <c r="Z50" s="83"/>
    </row>
    <row r="51" spans="1:26" ht="18" customHeight="1">
      <c r="A51" s="17"/>
      <c r="B51" s="217"/>
      <c r="C51" s="218"/>
      <c r="D51" s="218"/>
      <c r="E51" s="218"/>
      <c r="F51" s="219"/>
      <c r="G51" s="83"/>
      <c r="H51" s="83"/>
      <c r="I51" s="209"/>
      <c r="J51" s="210"/>
      <c r="K51" s="211"/>
      <c r="L51" s="83"/>
      <c r="M51" s="83"/>
      <c r="N51" s="195"/>
      <c r="O51" s="169"/>
      <c r="P51" s="169"/>
      <c r="Q51" s="169"/>
      <c r="R51" s="169"/>
      <c r="S51" s="170"/>
      <c r="T51" s="83"/>
      <c r="U51" s="83"/>
      <c r="V51" s="209"/>
      <c r="W51" s="210"/>
      <c r="X51" s="211"/>
      <c r="Y51" s="83"/>
      <c r="Z51" s="83"/>
    </row>
    <row r="52" spans="1:26" ht="18" customHeight="1">
      <c r="A52" s="17"/>
      <c r="B52" s="217"/>
      <c r="C52" s="218"/>
      <c r="D52" s="218"/>
      <c r="E52" s="218"/>
      <c r="F52" s="219"/>
      <c r="G52" s="83"/>
      <c r="H52" s="83"/>
      <c r="I52" s="209"/>
      <c r="J52" s="210"/>
      <c r="K52" s="211"/>
      <c r="L52" s="83"/>
      <c r="M52" s="83"/>
      <c r="N52" s="195"/>
      <c r="O52" s="169"/>
      <c r="P52" s="169"/>
      <c r="Q52" s="169"/>
      <c r="R52" s="169"/>
      <c r="S52" s="170"/>
      <c r="T52" s="83"/>
      <c r="U52" s="83"/>
      <c r="V52" s="209"/>
      <c r="W52" s="210"/>
      <c r="X52" s="211"/>
      <c r="Y52" s="83"/>
      <c r="Z52" s="83"/>
    </row>
    <row r="53" spans="1:26" ht="18" customHeight="1">
      <c r="A53" s="17"/>
      <c r="B53" s="217"/>
      <c r="C53" s="218"/>
      <c r="D53" s="218"/>
      <c r="E53" s="218"/>
      <c r="F53" s="219"/>
      <c r="G53" s="83"/>
      <c r="H53" s="83"/>
      <c r="I53" s="209"/>
      <c r="J53" s="210"/>
      <c r="K53" s="211"/>
      <c r="L53" s="83"/>
      <c r="M53" s="83"/>
      <c r="N53" s="195"/>
      <c r="O53" s="169"/>
      <c r="P53" s="169"/>
      <c r="Q53" s="169"/>
      <c r="R53" s="169"/>
      <c r="S53" s="170"/>
      <c r="T53" s="83"/>
      <c r="U53" s="83"/>
      <c r="V53" s="209"/>
      <c r="W53" s="210"/>
      <c r="X53" s="211"/>
      <c r="Y53" s="83"/>
      <c r="Z53" s="83"/>
    </row>
    <row r="54" spans="1:26" ht="18" customHeight="1">
      <c r="A54" s="17"/>
      <c r="B54" s="217"/>
      <c r="C54" s="218"/>
      <c r="D54" s="218"/>
      <c r="E54" s="218"/>
      <c r="F54" s="219"/>
      <c r="G54" s="83"/>
      <c r="H54" s="83"/>
      <c r="I54" s="209"/>
      <c r="J54" s="210"/>
      <c r="K54" s="211"/>
      <c r="L54" s="83"/>
      <c r="M54" s="83"/>
      <c r="N54" s="195"/>
      <c r="O54" s="169"/>
      <c r="P54" s="169"/>
      <c r="Q54" s="169"/>
      <c r="R54" s="169"/>
      <c r="S54" s="170"/>
      <c r="T54" s="83"/>
      <c r="U54" s="83"/>
      <c r="V54" s="209"/>
      <c r="W54" s="210"/>
      <c r="X54" s="211"/>
      <c r="Y54" s="83"/>
      <c r="Z54" s="83"/>
    </row>
    <row r="55" spans="1:26" ht="18" customHeight="1">
      <c r="A55" s="17"/>
      <c r="B55" s="215"/>
      <c r="C55" s="162"/>
      <c r="D55" s="162"/>
      <c r="E55" s="162"/>
      <c r="F55" s="163"/>
      <c r="G55" s="84"/>
      <c r="H55" s="84"/>
      <c r="I55" s="203"/>
      <c r="J55" s="204"/>
      <c r="K55" s="205"/>
      <c r="L55" s="88"/>
      <c r="M55" s="88"/>
      <c r="N55" s="181"/>
      <c r="O55" s="182"/>
      <c r="P55" s="182"/>
      <c r="Q55" s="182"/>
      <c r="R55" s="182"/>
      <c r="S55" s="183"/>
      <c r="T55" s="84"/>
      <c r="U55" s="84"/>
      <c r="V55" s="203"/>
      <c r="W55" s="204"/>
      <c r="X55" s="205"/>
      <c r="Y55" s="88"/>
      <c r="Z55" s="88"/>
    </row>
    <row r="56" spans="1:26" ht="7.5" customHeight="1">
      <c r="B56" s="59"/>
      <c r="C56" s="59"/>
      <c r="D56" s="59"/>
      <c r="E56" s="59"/>
      <c r="F56" s="59"/>
      <c r="G56" s="59"/>
      <c r="H56" s="59"/>
      <c r="I56" s="59"/>
      <c r="J56" s="59"/>
      <c r="K56" s="59"/>
      <c r="L56" s="59"/>
      <c r="M56" s="59"/>
      <c r="N56" s="59"/>
      <c r="O56" s="59"/>
      <c r="P56" s="59"/>
      <c r="Q56" s="59"/>
      <c r="R56" s="59"/>
      <c r="S56" s="59"/>
      <c r="T56" s="59"/>
      <c r="U56" s="59"/>
      <c r="V56" s="59"/>
      <c r="W56" s="59"/>
      <c r="X56" s="59"/>
      <c r="Y56" s="59"/>
    </row>
    <row r="57" spans="1:26" ht="18" customHeight="1">
      <c r="A57" s="216" t="s">
        <v>95</v>
      </c>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spans="1:26" ht="18" customHeight="1">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spans="1:26" ht="18" customHeight="1">
      <c r="A59" s="12"/>
      <c r="B59" s="136" t="s">
        <v>76</v>
      </c>
      <c r="C59" s="139"/>
      <c r="D59" s="139"/>
      <c r="E59" s="137"/>
      <c r="F59" s="18" t="s">
        <v>77</v>
      </c>
      <c r="G59" s="81" t="s">
        <v>78</v>
      </c>
      <c r="H59" s="14" t="s">
        <v>79</v>
      </c>
      <c r="I59" s="78"/>
      <c r="J59" s="15"/>
      <c r="K59" s="58" t="s">
        <v>96</v>
      </c>
      <c r="L59" s="58" t="s">
        <v>97</v>
      </c>
      <c r="M59" s="58" t="s">
        <v>98</v>
      </c>
      <c r="N59" s="136" t="s">
        <v>76</v>
      </c>
      <c r="O59" s="139"/>
      <c r="P59" s="139"/>
      <c r="Q59" s="139"/>
      <c r="R59" s="137"/>
      <c r="S59" s="18" t="s">
        <v>77</v>
      </c>
      <c r="T59" s="81" t="s">
        <v>78</v>
      </c>
      <c r="U59" s="14" t="s">
        <v>79</v>
      </c>
      <c r="V59" s="78"/>
      <c r="W59" s="15"/>
      <c r="X59" s="58" t="s">
        <v>96</v>
      </c>
      <c r="Y59" s="58" t="s">
        <v>97</v>
      </c>
      <c r="Z59" s="58" t="s">
        <v>98</v>
      </c>
    </row>
    <row r="60" spans="1:26" ht="18" customHeight="1">
      <c r="A60" s="17"/>
      <c r="B60" s="199" t="s">
        <v>82</v>
      </c>
      <c r="C60" s="166"/>
      <c r="D60" s="166"/>
      <c r="E60" s="167"/>
      <c r="F60" s="82">
        <v>1</v>
      </c>
      <c r="G60" s="82" t="s">
        <v>83</v>
      </c>
      <c r="H60" s="212" t="s">
        <v>84</v>
      </c>
      <c r="I60" s="213"/>
      <c r="J60" s="214"/>
      <c r="K60" s="87" t="s">
        <v>99</v>
      </c>
      <c r="L60" s="82" t="s">
        <v>83</v>
      </c>
      <c r="M60" s="82" t="s">
        <v>83</v>
      </c>
      <c r="N60" s="199"/>
      <c r="O60" s="166"/>
      <c r="P60" s="166"/>
      <c r="Q60" s="166"/>
      <c r="R60" s="167"/>
      <c r="S60" s="82"/>
      <c r="T60" s="82"/>
      <c r="U60" s="212"/>
      <c r="V60" s="213"/>
      <c r="W60" s="214"/>
      <c r="X60" s="87"/>
      <c r="Y60" s="82"/>
      <c r="Z60" s="82"/>
    </row>
    <row r="61" spans="1:26" ht="18" customHeight="1">
      <c r="A61" s="17"/>
      <c r="B61" s="195"/>
      <c r="C61" s="169"/>
      <c r="D61" s="169"/>
      <c r="E61" s="170"/>
      <c r="F61" s="83"/>
      <c r="G61" s="83"/>
      <c r="H61" s="209"/>
      <c r="I61" s="210"/>
      <c r="J61" s="211"/>
      <c r="K61" s="85"/>
      <c r="L61" s="83"/>
      <c r="M61" s="83"/>
      <c r="N61" s="195"/>
      <c r="O61" s="169"/>
      <c r="P61" s="169"/>
      <c r="Q61" s="169"/>
      <c r="R61" s="170"/>
      <c r="S61" s="83"/>
      <c r="T61" s="83"/>
      <c r="U61" s="209"/>
      <c r="V61" s="210"/>
      <c r="W61" s="211"/>
      <c r="X61" s="85"/>
      <c r="Y61" s="83"/>
      <c r="Z61" s="83"/>
    </row>
    <row r="62" spans="1:26" ht="18" customHeight="1">
      <c r="A62" s="17"/>
      <c r="B62" s="195"/>
      <c r="C62" s="169"/>
      <c r="D62" s="169"/>
      <c r="E62" s="170"/>
      <c r="F62" s="83"/>
      <c r="G62" s="83"/>
      <c r="H62" s="209"/>
      <c r="I62" s="210"/>
      <c r="J62" s="211"/>
      <c r="K62" s="85"/>
      <c r="L62" s="83"/>
      <c r="M62" s="83"/>
      <c r="N62" s="195"/>
      <c r="O62" s="169"/>
      <c r="P62" s="169"/>
      <c r="Q62" s="169"/>
      <c r="R62" s="170"/>
      <c r="S62" s="83"/>
      <c r="T62" s="83"/>
      <c r="U62" s="209"/>
      <c r="V62" s="210"/>
      <c r="W62" s="211"/>
      <c r="X62" s="85"/>
      <c r="Y62" s="83"/>
      <c r="Z62" s="83"/>
    </row>
    <row r="63" spans="1:26" ht="18" customHeight="1">
      <c r="A63" s="17"/>
      <c r="B63" s="195"/>
      <c r="C63" s="169"/>
      <c r="D63" s="169"/>
      <c r="E63" s="170"/>
      <c r="F63" s="83"/>
      <c r="G63" s="83"/>
      <c r="H63" s="209"/>
      <c r="I63" s="210"/>
      <c r="J63" s="211"/>
      <c r="K63" s="85"/>
      <c r="L63" s="83"/>
      <c r="M63" s="83"/>
      <c r="N63" s="195"/>
      <c r="O63" s="169"/>
      <c r="P63" s="169"/>
      <c r="Q63" s="169"/>
      <c r="R63" s="170"/>
      <c r="S63" s="83"/>
      <c r="T63" s="83"/>
      <c r="U63" s="209"/>
      <c r="V63" s="210"/>
      <c r="W63" s="211"/>
      <c r="X63" s="85"/>
      <c r="Y63" s="83"/>
      <c r="Z63" s="83"/>
    </row>
    <row r="64" spans="1:26" ht="18" customHeight="1">
      <c r="A64" s="17"/>
      <c r="B64" s="195"/>
      <c r="C64" s="169"/>
      <c r="D64" s="169"/>
      <c r="E64" s="170"/>
      <c r="F64" s="83"/>
      <c r="G64" s="83"/>
      <c r="H64" s="209"/>
      <c r="I64" s="210"/>
      <c r="J64" s="211"/>
      <c r="K64" s="85"/>
      <c r="L64" s="83"/>
      <c r="M64" s="83"/>
      <c r="N64" s="195"/>
      <c r="O64" s="169"/>
      <c r="P64" s="169"/>
      <c r="Q64" s="169"/>
      <c r="R64" s="170"/>
      <c r="S64" s="83"/>
      <c r="T64" s="83"/>
      <c r="U64" s="209"/>
      <c r="V64" s="210"/>
      <c r="W64" s="211"/>
      <c r="X64" s="85"/>
      <c r="Y64" s="83"/>
      <c r="Z64" s="83"/>
    </row>
    <row r="65" spans="1:26" ht="18" customHeight="1">
      <c r="A65" s="17"/>
      <c r="B65" s="195"/>
      <c r="C65" s="169"/>
      <c r="D65" s="169"/>
      <c r="E65" s="170"/>
      <c r="F65" s="83"/>
      <c r="G65" s="83"/>
      <c r="H65" s="209"/>
      <c r="I65" s="210"/>
      <c r="J65" s="211"/>
      <c r="K65" s="85"/>
      <c r="L65" s="83"/>
      <c r="M65" s="83"/>
      <c r="N65" s="195"/>
      <c r="O65" s="169"/>
      <c r="P65" s="169"/>
      <c r="Q65" s="169"/>
      <c r="R65" s="170"/>
      <c r="S65" s="83"/>
      <c r="T65" s="83"/>
      <c r="U65" s="209"/>
      <c r="V65" s="210"/>
      <c r="W65" s="211"/>
      <c r="X65" s="85"/>
      <c r="Y65" s="83"/>
      <c r="Z65" s="83"/>
    </row>
    <row r="66" spans="1:26" ht="18" customHeight="1">
      <c r="A66" s="17"/>
      <c r="B66" s="181"/>
      <c r="C66" s="182"/>
      <c r="D66" s="182"/>
      <c r="E66" s="183"/>
      <c r="F66" s="84"/>
      <c r="G66" s="84"/>
      <c r="H66" s="203"/>
      <c r="I66" s="204"/>
      <c r="J66" s="205"/>
      <c r="K66" s="86"/>
      <c r="L66" s="88"/>
      <c r="M66" s="88"/>
      <c r="N66" s="181"/>
      <c r="O66" s="182"/>
      <c r="P66" s="182"/>
      <c r="Q66" s="182"/>
      <c r="R66" s="183"/>
      <c r="S66" s="84"/>
      <c r="T66" s="84"/>
      <c r="U66" s="203"/>
      <c r="V66" s="204"/>
      <c r="W66" s="205"/>
      <c r="X66" s="86"/>
      <c r="Y66" s="88"/>
      <c r="Z66" s="88"/>
    </row>
    <row r="67" spans="1:26" ht="7.5" customHeight="1">
      <c r="B67" s="59"/>
      <c r="C67" s="59"/>
      <c r="D67" s="59"/>
      <c r="E67" s="59"/>
      <c r="F67" s="59"/>
      <c r="G67" s="59"/>
      <c r="H67" s="59"/>
      <c r="I67" s="59"/>
      <c r="J67" s="59"/>
      <c r="K67" s="59"/>
      <c r="L67" s="59"/>
      <c r="M67" s="59"/>
      <c r="N67" s="59"/>
      <c r="O67" s="59"/>
      <c r="P67" s="59"/>
      <c r="Q67" s="59"/>
      <c r="R67" s="59"/>
      <c r="S67" s="59"/>
      <c r="T67" s="59"/>
      <c r="U67" s="59"/>
      <c r="V67" s="59"/>
      <c r="W67" s="59"/>
      <c r="X67" s="59"/>
      <c r="Y67" s="59"/>
    </row>
    <row r="68" spans="1:26" ht="18" customHeight="1">
      <c r="A68" s="12" t="s">
        <v>100</v>
      </c>
      <c r="B68" s="12"/>
      <c r="C68" s="12"/>
      <c r="D68" s="12"/>
      <c r="E68" s="12"/>
      <c r="F68" s="12"/>
      <c r="G68" s="12"/>
      <c r="H68" s="12"/>
      <c r="I68" s="12"/>
      <c r="J68" s="12"/>
      <c r="K68" s="12"/>
      <c r="L68" s="17"/>
      <c r="M68" s="17"/>
      <c r="N68" s="17"/>
      <c r="O68" s="17"/>
      <c r="P68" s="17"/>
      <c r="Q68" s="17"/>
      <c r="R68" s="17"/>
      <c r="S68" s="17"/>
      <c r="T68" s="17"/>
      <c r="U68" s="17"/>
      <c r="V68" s="17"/>
      <c r="W68" s="17"/>
      <c r="X68" s="17"/>
      <c r="Y68" s="17"/>
      <c r="Z68" s="17"/>
    </row>
    <row r="69" spans="1:26" ht="18" customHeight="1">
      <c r="A69" s="12"/>
      <c r="B69" s="136" t="s">
        <v>76</v>
      </c>
      <c r="C69" s="139"/>
      <c r="D69" s="139"/>
      <c r="E69" s="139"/>
      <c r="F69" s="137"/>
      <c r="G69" s="136" t="s">
        <v>101</v>
      </c>
      <c r="H69" s="139"/>
      <c r="I69" s="139"/>
      <c r="J69" s="139"/>
      <c r="K69" s="139"/>
      <c r="L69" s="139"/>
      <c r="M69" s="137"/>
      <c r="N69" s="206" t="s">
        <v>76</v>
      </c>
      <c r="O69" s="207"/>
      <c r="P69" s="207"/>
      <c r="Q69" s="207"/>
      <c r="R69" s="207"/>
      <c r="S69" s="208"/>
      <c r="T69" s="136" t="s">
        <v>101</v>
      </c>
      <c r="U69" s="139"/>
      <c r="V69" s="139"/>
      <c r="W69" s="139"/>
      <c r="X69" s="139"/>
      <c r="Y69" s="139"/>
      <c r="Z69" s="137"/>
    </row>
    <row r="70" spans="1:26" ht="18" customHeight="1">
      <c r="A70" s="17"/>
      <c r="B70" s="199" t="s">
        <v>102</v>
      </c>
      <c r="C70" s="166"/>
      <c r="D70" s="166"/>
      <c r="E70" s="166"/>
      <c r="F70" s="167"/>
      <c r="G70" s="200" t="s">
        <v>103</v>
      </c>
      <c r="H70" s="201"/>
      <c r="I70" s="201"/>
      <c r="J70" s="201"/>
      <c r="K70" s="201"/>
      <c r="L70" s="201"/>
      <c r="M70" s="202"/>
      <c r="N70" s="199"/>
      <c r="O70" s="166"/>
      <c r="P70" s="166"/>
      <c r="Q70" s="166"/>
      <c r="R70" s="166"/>
      <c r="S70" s="167"/>
      <c r="T70" s="200"/>
      <c r="U70" s="201"/>
      <c r="V70" s="201"/>
      <c r="W70" s="201"/>
      <c r="X70" s="201"/>
      <c r="Y70" s="201"/>
      <c r="Z70" s="202"/>
    </row>
    <row r="71" spans="1:26" ht="18" customHeight="1">
      <c r="A71" s="17"/>
      <c r="B71" s="195"/>
      <c r="C71" s="169"/>
      <c r="D71" s="169"/>
      <c r="E71" s="169"/>
      <c r="F71" s="170"/>
      <c r="G71" s="196"/>
      <c r="H71" s="197"/>
      <c r="I71" s="197"/>
      <c r="J71" s="197"/>
      <c r="K71" s="197"/>
      <c r="L71" s="197"/>
      <c r="M71" s="198"/>
      <c r="N71" s="195"/>
      <c r="O71" s="169"/>
      <c r="P71" s="169"/>
      <c r="Q71" s="169"/>
      <c r="R71" s="169"/>
      <c r="S71" s="170"/>
      <c r="T71" s="196"/>
      <c r="U71" s="197"/>
      <c r="V71" s="197"/>
      <c r="W71" s="197"/>
      <c r="X71" s="197"/>
      <c r="Y71" s="197"/>
      <c r="Z71" s="198"/>
    </row>
    <row r="72" spans="1:26" ht="18" customHeight="1">
      <c r="A72" s="17"/>
      <c r="B72" s="195"/>
      <c r="C72" s="169"/>
      <c r="D72" s="169"/>
      <c r="E72" s="169"/>
      <c r="F72" s="170"/>
      <c r="G72" s="196"/>
      <c r="H72" s="197"/>
      <c r="I72" s="197"/>
      <c r="J72" s="197"/>
      <c r="K72" s="197"/>
      <c r="L72" s="197"/>
      <c r="M72" s="198"/>
      <c r="N72" s="195"/>
      <c r="O72" s="169"/>
      <c r="P72" s="169"/>
      <c r="Q72" s="169"/>
      <c r="R72" s="169"/>
      <c r="S72" s="170"/>
      <c r="T72" s="196"/>
      <c r="U72" s="197"/>
      <c r="V72" s="197"/>
      <c r="W72" s="197"/>
      <c r="X72" s="197"/>
      <c r="Y72" s="197"/>
      <c r="Z72" s="198"/>
    </row>
    <row r="73" spans="1:26" ht="18" customHeight="1">
      <c r="A73" s="17"/>
      <c r="B73" s="195"/>
      <c r="C73" s="169"/>
      <c r="D73" s="169"/>
      <c r="E73" s="169"/>
      <c r="F73" s="170"/>
      <c r="G73" s="196"/>
      <c r="H73" s="197"/>
      <c r="I73" s="197"/>
      <c r="J73" s="197"/>
      <c r="K73" s="197"/>
      <c r="L73" s="197"/>
      <c r="M73" s="198"/>
      <c r="N73" s="195"/>
      <c r="O73" s="169"/>
      <c r="P73" s="169"/>
      <c r="Q73" s="169"/>
      <c r="R73" s="169"/>
      <c r="S73" s="170"/>
      <c r="T73" s="196"/>
      <c r="U73" s="197"/>
      <c r="V73" s="197"/>
      <c r="W73" s="197"/>
      <c r="X73" s="197"/>
      <c r="Y73" s="197"/>
      <c r="Z73" s="198"/>
    </row>
    <row r="74" spans="1:26" ht="18" customHeight="1">
      <c r="A74" s="17"/>
      <c r="B74" s="195"/>
      <c r="C74" s="169"/>
      <c r="D74" s="169"/>
      <c r="E74" s="169"/>
      <c r="F74" s="170"/>
      <c r="G74" s="196"/>
      <c r="H74" s="197"/>
      <c r="I74" s="197"/>
      <c r="J74" s="197"/>
      <c r="K74" s="197"/>
      <c r="L74" s="197"/>
      <c r="M74" s="198"/>
      <c r="N74" s="195"/>
      <c r="O74" s="169"/>
      <c r="P74" s="169"/>
      <c r="Q74" s="169"/>
      <c r="R74" s="169"/>
      <c r="S74" s="170"/>
      <c r="T74" s="196"/>
      <c r="U74" s="197"/>
      <c r="V74" s="197"/>
      <c r="W74" s="197"/>
      <c r="X74" s="197"/>
      <c r="Y74" s="197"/>
      <c r="Z74" s="198"/>
    </row>
    <row r="75" spans="1:26" ht="18" customHeight="1">
      <c r="A75" s="17"/>
      <c r="B75" s="195"/>
      <c r="C75" s="169"/>
      <c r="D75" s="169"/>
      <c r="E75" s="169"/>
      <c r="F75" s="170"/>
      <c r="G75" s="196"/>
      <c r="H75" s="197"/>
      <c r="I75" s="197"/>
      <c r="J75" s="197"/>
      <c r="K75" s="197"/>
      <c r="L75" s="197"/>
      <c r="M75" s="198"/>
      <c r="N75" s="195"/>
      <c r="O75" s="169"/>
      <c r="P75" s="169"/>
      <c r="Q75" s="169"/>
      <c r="R75" s="169"/>
      <c r="S75" s="170"/>
      <c r="T75" s="196"/>
      <c r="U75" s="197"/>
      <c r="V75" s="197"/>
      <c r="W75" s="197"/>
      <c r="X75" s="197"/>
      <c r="Y75" s="197"/>
      <c r="Z75" s="198"/>
    </row>
    <row r="76" spans="1:26" ht="18" customHeight="1">
      <c r="A76" s="17"/>
      <c r="B76" s="181"/>
      <c r="C76" s="182"/>
      <c r="D76" s="182"/>
      <c r="E76" s="182"/>
      <c r="F76" s="183"/>
      <c r="G76" s="184"/>
      <c r="H76" s="185"/>
      <c r="I76" s="185"/>
      <c r="J76" s="185"/>
      <c r="K76" s="185"/>
      <c r="L76" s="185"/>
      <c r="M76" s="186"/>
      <c r="N76" s="181"/>
      <c r="O76" s="182"/>
      <c r="P76" s="182"/>
      <c r="Q76" s="182"/>
      <c r="R76" s="182"/>
      <c r="S76" s="183"/>
      <c r="T76" s="184"/>
      <c r="U76" s="185"/>
      <c r="V76" s="185"/>
      <c r="W76" s="185"/>
      <c r="X76" s="185"/>
      <c r="Y76" s="185"/>
      <c r="Z76" s="186"/>
    </row>
    <row r="77" spans="1:26" ht="18" customHeight="1">
      <c r="A77" s="17"/>
      <c r="B77" s="23"/>
      <c r="C77" s="23"/>
      <c r="D77" s="23"/>
      <c r="E77" s="23"/>
      <c r="F77" s="23"/>
      <c r="G77" s="10"/>
      <c r="H77" s="10"/>
      <c r="I77" s="10"/>
      <c r="J77" s="10"/>
      <c r="K77" s="10"/>
      <c r="L77" s="10"/>
      <c r="M77" s="10"/>
      <c r="N77" s="23"/>
      <c r="O77" s="23"/>
      <c r="P77" s="23"/>
      <c r="Q77" s="23"/>
      <c r="R77" s="23"/>
      <c r="S77" s="23"/>
      <c r="T77" s="10"/>
      <c r="U77" s="10"/>
      <c r="V77" s="10"/>
      <c r="W77" s="10"/>
      <c r="X77" s="10"/>
      <c r="Y77" s="10"/>
      <c r="Z77" s="10"/>
    </row>
    <row r="78" spans="1:26" ht="18.75" customHeight="1">
      <c r="A78" s="11" t="s">
        <v>106</v>
      </c>
    </row>
    <row r="79" spans="1:26" ht="18.75" customHeight="1">
      <c r="B79" s="60" t="s">
        <v>107</v>
      </c>
      <c r="C79" s="61"/>
      <c r="D79" s="187" t="s">
        <v>108</v>
      </c>
      <c r="E79" s="187"/>
      <c r="F79" s="187"/>
      <c r="G79" s="187"/>
      <c r="H79" s="187"/>
      <c r="I79" s="187"/>
      <c r="J79" s="187"/>
      <c r="K79" s="187"/>
      <c r="L79" s="187"/>
      <c r="M79" s="187"/>
      <c r="N79" s="187"/>
      <c r="O79" s="187"/>
      <c r="P79" s="187"/>
      <c r="Q79" s="187"/>
      <c r="R79" s="187"/>
      <c r="S79" s="187"/>
      <c r="T79" s="187"/>
      <c r="U79" s="187"/>
      <c r="V79" s="187"/>
      <c r="W79" s="187"/>
      <c r="X79" s="187"/>
      <c r="Y79" s="187"/>
      <c r="Z79" s="188"/>
    </row>
    <row r="80" spans="1:26" ht="98.25" customHeight="1">
      <c r="B80" s="156" t="s">
        <v>109</v>
      </c>
      <c r="C80" s="65" t="s">
        <v>80</v>
      </c>
      <c r="D80" s="189" t="s">
        <v>132</v>
      </c>
      <c r="E80" s="190"/>
      <c r="F80" s="190"/>
      <c r="G80" s="190"/>
      <c r="H80" s="190"/>
      <c r="I80" s="190"/>
      <c r="J80" s="190"/>
      <c r="K80" s="190"/>
      <c r="L80" s="190"/>
      <c r="M80" s="190"/>
      <c r="N80" s="190"/>
      <c r="O80" s="190"/>
      <c r="P80" s="190"/>
      <c r="Q80" s="190"/>
      <c r="R80" s="190"/>
      <c r="S80" s="190"/>
      <c r="T80" s="190"/>
      <c r="U80" s="190"/>
      <c r="V80" s="190"/>
      <c r="W80" s="190"/>
      <c r="X80" s="190"/>
      <c r="Y80" s="190"/>
      <c r="Z80" s="191"/>
    </row>
    <row r="81" spans="1:26" ht="78" customHeight="1">
      <c r="B81" s="164"/>
      <c r="C81" s="79" t="s">
        <v>111</v>
      </c>
      <c r="D81" s="192" t="s">
        <v>133</v>
      </c>
      <c r="E81" s="193"/>
      <c r="F81" s="193"/>
      <c r="G81" s="193"/>
      <c r="H81" s="193"/>
      <c r="I81" s="193"/>
      <c r="J81" s="193"/>
      <c r="K81" s="193"/>
      <c r="L81" s="193"/>
      <c r="M81" s="193"/>
      <c r="N81" s="193"/>
      <c r="O81" s="193"/>
      <c r="P81" s="193"/>
      <c r="Q81" s="193"/>
      <c r="R81" s="193"/>
      <c r="S81" s="193"/>
      <c r="T81" s="193"/>
      <c r="U81" s="193"/>
      <c r="V81" s="193"/>
      <c r="W81" s="193"/>
      <c r="X81" s="193"/>
      <c r="Y81" s="193"/>
      <c r="Z81" s="194"/>
    </row>
    <row r="82" spans="1:26" ht="78" customHeight="1">
      <c r="B82" s="174" t="s">
        <v>113</v>
      </c>
      <c r="C82" s="62" t="s">
        <v>86</v>
      </c>
      <c r="D82" s="175" t="s">
        <v>134</v>
      </c>
      <c r="E82" s="176"/>
      <c r="F82" s="176"/>
      <c r="G82" s="176"/>
      <c r="H82" s="176"/>
      <c r="I82" s="176"/>
      <c r="J82" s="176"/>
      <c r="K82" s="176"/>
      <c r="L82" s="176"/>
      <c r="M82" s="176"/>
      <c r="N82" s="176"/>
      <c r="O82" s="176"/>
      <c r="P82" s="176"/>
      <c r="Q82" s="176"/>
      <c r="R82" s="176"/>
      <c r="S82" s="176"/>
      <c r="T82" s="176"/>
      <c r="U82" s="176"/>
      <c r="V82" s="176"/>
      <c r="W82" s="176"/>
      <c r="X82" s="176"/>
      <c r="Y82" s="176"/>
      <c r="Z82" s="177"/>
    </row>
    <row r="83" spans="1:26" ht="78" customHeight="1">
      <c r="B83" s="157"/>
      <c r="C83" s="80" t="s">
        <v>87</v>
      </c>
      <c r="D83" s="161" t="s">
        <v>135</v>
      </c>
      <c r="E83" s="162"/>
      <c r="F83" s="162"/>
      <c r="G83" s="162"/>
      <c r="H83" s="162"/>
      <c r="I83" s="162"/>
      <c r="J83" s="162"/>
      <c r="K83" s="162"/>
      <c r="L83" s="162"/>
      <c r="M83" s="162"/>
      <c r="N83" s="162"/>
      <c r="O83" s="162"/>
      <c r="P83" s="162"/>
      <c r="Q83" s="162"/>
      <c r="R83" s="162"/>
      <c r="S83" s="162"/>
      <c r="T83" s="162"/>
      <c r="U83" s="162"/>
      <c r="V83" s="162"/>
      <c r="W83" s="162"/>
      <c r="X83" s="162"/>
      <c r="Y83" s="162"/>
      <c r="Z83" s="163"/>
    </row>
    <row r="84" spans="1:26" ht="109.5" customHeight="1">
      <c r="B84" s="174" t="s">
        <v>116</v>
      </c>
      <c r="C84" s="62" t="s">
        <v>89</v>
      </c>
      <c r="D84" s="175" t="s">
        <v>136</v>
      </c>
      <c r="E84" s="176"/>
      <c r="F84" s="176"/>
      <c r="G84" s="176"/>
      <c r="H84" s="176"/>
      <c r="I84" s="176"/>
      <c r="J84" s="176"/>
      <c r="K84" s="176"/>
      <c r="L84" s="176"/>
      <c r="M84" s="176"/>
      <c r="N84" s="176"/>
      <c r="O84" s="176"/>
      <c r="P84" s="176"/>
      <c r="Q84" s="176"/>
      <c r="R84" s="176"/>
      <c r="S84" s="176"/>
      <c r="T84" s="176"/>
      <c r="U84" s="176"/>
      <c r="V84" s="176"/>
      <c r="W84" s="176"/>
      <c r="X84" s="176"/>
      <c r="Y84" s="176"/>
      <c r="Z84" s="177"/>
    </row>
    <row r="85" spans="1:26" ht="66" customHeight="1">
      <c r="B85" s="157"/>
      <c r="C85" s="64" t="s">
        <v>90</v>
      </c>
      <c r="D85" s="178" t="s">
        <v>137</v>
      </c>
      <c r="E85" s="179"/>
      <c r="F85" s="179"/>
      <c r="G85" s="179"/>
      <c r="H85" s="179"/>
      <c r="I85" s="179"/>
      <c r="J85" s="179"/>
      <c r="K85" s="179"/>
      <c r="L85" s="179"/>
      <c r="M85" s="179"/>
      <c r="N85" s="179"/>
      <c r="O85" s="179"/>
      <c r="P85" s="179"/>
      <c r="Q85" s="179"/>
      <c r="R85" s="179"/>
      <c r="S85" s="179"/>
      <c r="T85" s="179"/>
      <c r="U85" s="179"/>
      <c r="V85" s="179"/>
      <c r="W85" s="179"/>
      <c r="X85" s="179"/>
      <c r="Y85" s="179"/>
      <c r="Z85" s="180"/>
    </row>
    <row r="86" spans="1:26" ht="102.75" customHeight="1">
      <c r="B86" s="156" t="s">
        <v>119</v>
      </c>
      <c r="C86" s="65" t="s">
        <v>92</v>
      </c>
      <c r="D86" s="158" t="s">
        <v>138</v>
      </c>
      <c r="E86" s="159"/>
      <c r="F86" s="159"/>
      <c r="G86" s="159"/>
      <c r="H86" s="159"/>
      <c r="I86" s="159"/>
      <c r="J86" s="159"/>
      <c r="K86" s="159"/>
      <c r="L86" s="159"/>
      <c r="M86" s="159"/>
      <c r="N86" s="159"/>
      <c r="O86" s="159"/>
      <c r="P86" s="159"/>
      <c r="Q86" s="159"/>
      <c r="R86" s="159"/>
      <c r="S86" s="159"/>
      <c r="T86" s="159"/>
      <c r="U86" s="159"/>
      <c r="V86" s="159"/>
      <c r="W86" s="159"/>
      <c r="X86" s="159"/>
      <c r="Y86" s="159"/>
      <c r="Z86" s="160"/>
    </row>
    <row r="87" spans="1:26" ht="66" customHeight="1">
      <c r="B87" s="157"/>
      <c r="C87" s="80" t="s">
        <v>93</v>
      </c>
      <c r="D87" s="161" t="s">
        <v>139</v>
      </c>
      <c r="E87" s="162"/>
      <c r="F87" s="162"/>
      <c r="G87" s="162"/>
      <c r="H87" s="162"/>
      <c r="I87" s="162"/>
      <c r="J87" s="162"/>
      <c r="K87" s="162"/>
      <c r="L87" s="162"/>
      <c r="M87" s="162"/>
      <c r="N87" s="162"/>
      <c r="O87" s="162"/>
      <c r="P87" s="162"/>
      <c r="Q87" s="162"/>
      <c r="R87" s="162"/>
      <c r="S87" s="162"/>
      <c r="T87" s="162"/>
      <c r="U87" s="162"/>
      <c r="V87" s="162"/>
      <c r="W87" s="162"/>
      <c r="X87" s="162"/>
      <c r="Y87" s="162"/>
      <c r="Z87" s="163"/>
    </row>
    <row r="88" spans="1:26" ht="162" customHeight="1">
      <c r="B88" s="156" t="s">
        <v>122</v>
      </c>
      <c r="C88" s="62" t="s">
        <v>96</v>
      </c>
      <c r="D88" s="165" t="s">
        <v>140</v>
      </c>
      <c r="E88" s="166"/>
      <c r="F88" s="166"/>
      <c r="G88" s="166"/>
      <c r="H88" s="166"/>
      <c r="I88" s="166"/>
      <c r="J88" s="166"/>
      <c r="K88" s="166"/>
      <c r="L88" s="166"/>
      <c r="M88" s="166"/>
      <c r="N88" s="166"/>
      <c r="O88" s="166"/>
      <c r="P88" s="166"/>
      <c r="Q88" s="166"/>
      <c r="R88" s="166"/>
      <c r="S88" s="166"/>
      <c r="T88" s="166"/>
      <c r="U88" s="166"/>
      <c r="V88" s="166"/>
      <c r="W88" s="166"/>
      <c r="X88" s="166"/>
      <c r="Y88" s="166"/>
      <c r="Z88" s="167"/>
    </row>
    <row r="89" spans="1:26" ht="104.25" customHeight="1">
      <c r="B89" s="164"/>
      <c r="C89" s="63" t="s">
        <v>97</v>
      </c>
      <c r="D89" s="168" t="s">
        <v>141</v>
      </c>
      <c r="E89" s="169"/>
      <c r="F89" s="169"/>
      <c r="G89" s="169"/>
      <c r="H89" s="169"/>
      <c r="I89" s="169"/>
      <c r="J89" s="169"/>
      <c r="K89" s="169"/>
      <c r="L89" s="169"/>
      <c r="M89" s="169"/>
      <c r="N89" s="169"/>
      <c r="O89" s="169"/>
      <c r="P89" s="169"/>
      <c r="Q89" s="169"/>
      <c r="R89" s="169"/>
      <c r="S89" s="169"/>
      <c r="T89" s="169"/>
      <c r="U89" s="169"/>
      <c r="V89" s="169"/>
      <c r="W89" s="169"/>
      <c r="X89" s="169"/>
      <c r="Y89" s="169"/>
      <c r="Z89" s="170"/>
    </row>
    <row r="90" spans="1:26" ht="66" customHeight="1">
      <c r="B90" s="157"/>
      <c r="C90" s="64" t="s">
        <v>98</v>
      </c>
      <c r="D90" s="171" t="s">
        <v>142</v>
      </c>
      <c r="E90" s="172"/>
      <c r="F90" s="172"/>
      <c r="G90" s="172"/>
      <c r="H90" s="172"/>
      <c r="I90" s="172"/>
      <c r="J90" s="172"/>
      <c r="K90" s="172"/>
      <c r="L90" s="172"/>
      <c r="M90" s="172"/>
      <c r="N90" s="172"/>
      <c r="O90" s="172"/>
      <c r="P90" s="172"/>
      <c r="Q90" s="172"/>
      <c r="R90" s="172"/>
      <c r="S90" s="172"/>
      <c r="T90" s="172"/>
      <c r="U90" s="172"/>
      <c r="V90" s="172"/>
      <c r="W90" s="172"/>
      <c r="X90" s="172"/>
      <c r="Y90" s="172"/>
      <c r="Z90" s="173"/>
    </row>
    <row r="91" spans="1:26" ht="6" customHeight="1"/>
    <row r="92" spans="1:26" ht="18.75" customHeight="1">
      <c r="A92" s="11" t="s">
        <v>126</v>
      </c>
    </row>
    <row r="93" spans="1:26" ht="69.75" customHeight="1">
      <c r="B93" s="144" t="s">
        <v>143</v>
      </c>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6"/>
    </row>
    <row r="94" spans="1:26" ht="69.75" customHeight="1">
      <c r="B94" s="147"/>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9"/>
    </row>
    <row r="95" spans="1:26" ht="69.75" customHeight="1">
      <c r="B95" s="150"/>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2"/>
    </row>
    <row r="96" spans="1:26" ht="6" customHeight="1"/>
    <row r="97" spans="1:26" ht="15" customHeight="1">
      <c r="A97" s="11" t="s">
        <v>128</v>
      </c>
    </row>
    <row r="98" spans="1:26" ht="15" customHeight="1">
      <c r="B98" s="153" t="s">
        <v>129</v>
      </c>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5"/>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disablePrompts="1" count="4">
    <dataValidation type="list" allowBlank="1" showInputMessage="1" showErrorMessage="1" sqref="Y16:Z22 L16:M22 Y27:Z33 L27:M33 H38:H44 Y38:Z44 H49:H55 Y49:Z55 Y60:Z66 L60:M66 H16:H22 U16:U22 H27:H33 U27:U33 T60:T66 U38:U44 L38:M44 U49:U55 G60:G66 L49:M55" xr:uid="{00000000-0002-0000-0200-000000000000}">
      <formula1>"○"</formula1>
    </dataValidation>
    <dataValidation type="list" allowBlank="1" showInputMessage="1" showErrorMessage="1" sqref="Z23 Z34 D34:K34 D23:K23 V16:V22 I16:I22 V27:V33 I27:I33 V38:V44 H60:H66 V49:V55 I38:I44 U60:U66 I49:I55" xr:uid="{00000000-0002-0000-0200-000001000000}">
      <formula1>"全学開講,一部開講"</formula1>
    </dataValidation>
    <dataValidation type="list" allowBlank="1" showInputMessage="1" showErrorMessage="1" sqref="O4" xr:uid="{00000000-0002-0000-02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2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200-000000000000}"/>
  </hyperlinks>
  <printOptions horizontalCentered="1"/>
  <pageMargins left="0.78740157480314965" right="0.78740157480314965" top="0.59055118110236227" bottom="0.19685039370078741" header="0.31496062992125984" footer="0.19685039370078741"/>
  <pageSetup paperSize="9" scale="98" fitToHeight="0" orientation="landscape" r:id="rId2"/>
  <rowBreaks count="4" manualBreakCount="4">
    <brk id="34" max="25" man="1"/>
    <brk id="67" max="25" man="1"/>
    <brk id="83" max="25" man="1"/>
    <brk id="87"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0"/>
  <sheetViews>
    <sheetView view="pageBreakPreview" topLeftCell="A11" zoomScaleNormal="100" zoomScaleSheetLayoutView="100" workbookViewId="0">
      <selection activeCell="F24" sqref="F24"/>
    </sheetView>
  </sheetViews>
  <sheetFormatPr defaultColWidth="9" defaultRowHeight="18.75" customHeight="1"/>
  <cols>
    <col min="1" max="1" width="2.75" style="1" customWidth="1"/>
    <col min="2" max="2" width="30" style="1" customWidth="1"/>
    <col min="3" max="17" width="6.125" style="1" customWidth="1"/>
    <col min="18" max="18" width="6.625" style="1" customWidth="1"/>
    <col min="19" max="16384" width="9" style="1"/>
  </cols>
  <sheetData>
    <row r="1" spans="1:20" ht="18" customHeight="1">
      <c r="F1" s="230" t="s">
        <v>144</v>
      </c>
      <c r="G1" s="230"/>
      <c r="H1" s="230"/>
      <c r="I1" s="230"/>
      <c r="J1" s="230"/>
      <c r="K1" s="230"/>
      <c r="L1" s="230"/>
      <c r="M1" s="230"/>
      <c r="N1" s="230"/>
      <c r="O1" s="230"/>
      <c r="P1" s="230"/>
      <c r="Q1" s="230"/>
      <c r="R1" s="230"/>
    </row>
    <row r="2" spans="1:20" ht="18" customHeight="1">
      <c r="A2" s="231" t="s">
        <v>145</v>
      </c>
      <c r="B2" s="231"/>
      <c r="C2" s="231"/>
      <c r="D2" s="231"/>
      <c r="E2" s="231"/>
      <c r="F2" s="231"/>
      <c r="G2" s="231"/>
      <c r="H2" s="231"/>
      <c r="I2" s="231"/>
      <c r="J2" s="231"/>
      <c r="K2" s="231"/>
      <c r="L2" s="231"/>
      <c r="M2" s="231"/>
      <c r="N2" s="231"/>
      <c r="O2" s="231"/>
      <c r="P2" s="231"/>
      <c r="Q2" s="231"/>
      <c r="R2" s="231"/>
      <c r="S2" s="4"/>
    </row>
    <row r="3" spans="1:20" ht="7.5" customHeight="1">
      <c r="A3" s="24"/>
      <c r="B3" s="24"/>
      <c r="C3" s="24"/>
      <c r="D3" s="24"/>
      <c r="E3" s="24"/>
      <c r="F3" s="24"/>
      <c r="G3" s="24"/>
      <c r="H3" s="24"/>
      <c r="I3" s="24"/>
      <c r="J3" s="24"/>
      <c r="K3" s="24"/>
      <c r="L3" s="24"/>
      <c r="M3" s="24"/>
      <c r="N3" s="24"/>
      <c r="O3" s="24"/>
      <c r="P3" s="24"/>
      <c r="Q3" s="24"/>
      <c r="R3" s="24"/>
    </row>
    <row r="4" spans="1:20" ht="18" customHeight="1">
      <c r="A4" s="4" t="s">
        <v>146</v>
      </c>
      <c r="B4" s="4"/>
      <c r="C4" s="232" t="str">
        <f>'様式１　大学等概要'!E12</f>
        <v>令和３</v>
      </c>
      <c r="D4" s="233"/>
      <c r="E4" s="24" t="s">
        <v>20</v>
      </c>
      <c r="F4" s="24"/>
      <c r="G4" s="24"/>
      <c r="H4" s="24"/>
      <c r="I4" s="24"/>
      <c r="J4" s="66"/>
      <c r="K4" s="24"/>
      <c r="L4" s="24"/>
      <c r="M4" s="33"/>
      <c r="N4" s="33"/>
      <c r="O4" s="33"/>
      <c r="P4" s="33"/>
      <c r="Q4" s="33"/>
      <c r="R4" s="33"/>
    </row>
    <row r="5" spans="1:20" ht="6" customHeight="1">
      <c r="A5" s="24"/>
      <c r="B5" s="24"/>
      <c r="C5" s="24"/>
      <c r="D5" s="24"/>
      <c r="E5" s="24"/>
      <c r="F5" s="24"/>
      <c r="G5" s="24"/>
      <c r="H5" s="24"/>
      <c r="I5" s="24"/>
      <c r="J5" s="24"/>
      <c r="K5" s="24"/>
      <c r="L5" s="24"/>
      <c r="M5" s="24"/>
      <c r="N5" s="24"/>
      <c r="O5" s="24"/>
      <c r="P5" s="24"/>
      <c r="Q5" s="24"/>
      <c r="R5" s="24"/>
    </row>
    <row r="6" spans="1:20" ht="18" customHeight="1">
      <c r="A6" s="4" t="s">
        <v>147</v>
      </c>
      <c r="B6" s="24"/>
      <c r="C6" s="24"/>
      <c r="D6" s="24"/>
      <c r="E6" s="24"/>
      <c r="F6" s="24"/>
      <c r="G6" s="24"/>
      <c r="H6" s="24"/>
      <c r="I6" s="24"/>
      <c r="J6" s="24"/>
      <c r="K6" s="24"/>
      <c r="L6" s="24"/>
      <c r="M6" s="24"/>
      <c r="N6" s="24"/>
      <c r="O6" s="24"/>
      <c r="P6" s="24"/>
      <c r="Q6" s="24"/>
      <c r="R6" s="24"/>
    </row>
    <row r="7" spans="1:20" ht="6" customHeight="1">
      <c r="A7" s="4"/>
      <c r="B7" s="24"/>
      <c r="C7" s="24"/>
      <c r="D7" s="24"/>
      <c r="E7" s="24"/>
      <c r="F7" s="24"/>
      <c r="G7" s="24"/>
      <c r="H7" s="24"/>
      <c r="I7" s="24"/>
      <c r="J7" s="24"/>
      <c r="K7" s="24"/>
      <c r="L7" s="24"/>
      <c r="M7" s="24"/>
      <c r="N7" s="24"/>
      <c r="O7" s="24"/>
      <c r="P7" s="24"/>
      <c r="Q7" s="24"/>
      <c r="R7" s="24"/>
    </row>
    <row r="8" spans="1:20" ht="18" customHeight="1">
      <c r="B8" s="234" t="s">
        <v>148</v>
      </c>
      <c r="C8" s="236" t="s">
        <v>149</v>
      </c>
      <c r="D8" s="238" t="s">
        <v>150</v>
      </c>
      <c r="E8" s="240" t="s">
        <v>151</v>
      </c>
      <c r="F8" s="240"/>
      <c r="G8" s="240" t="s">
        <v>152</v>
      </c>
      <c r="H8" s="240"/>
      <c r="I8" s="240" t="s">
        <v>153</v>
      </c>
      <c r="J8" s="240"/>
      <c r="K8" s="241" t="s">
        <v>154</v>
      </c>
      <c r="L8" s="242"/>
      <c r="M8" s="241" t="s">
        <v>155</v>
      </c>
      <c r="N8" s="242"/>
      <c r="O8" s="241" t="s">
        <v>156</v>
      </c>
      <c r="P8" s="242"/>
      <c r="Q8" s="243" t="s">
        <v>157</v>
      </c>
      <c r="R8" s="245" t="s">
        <v>158</v>
      </c>
      <c r="T8" s="22"/>
    </row>
    <row r="9" spans="1:20" ht="18" customHeight="1">
      <c r="A9" s="4"/>
      <c r="B9" s="235"/>
      <c r="C9" s="237"/>
      <c r="D9" s="239"/>
      <c r="E9" s="29" t="s">
        <v>159</v>
      </c>
      <c r="F9" s="30" t="s">
        <v>160</v>
      </c>
      <c r="G9" s="31" t="s">
        <v>159</v>
      </c>
      <c r="H9" s="32" t="s">
        <v>160</v>
      </c>
      <c r="I9" s="29" t="s">
        <v>159</v>
      </c>
      <c r="J9" s="30" t="s">
        <v>160</v>
      </c>
      <c r="K9" s="31" t="s">
        <v>159</v>
      </c>
      <c r="L9" s="32" t="s">
        <v>160</v>
      </c>
      <c r="M9" s="29" t="s">
        <v>159</v>
      </c>
      <c r="N9" s="30" t="s">
        <v>160</v>
      </c>
      <c r="O9" s="31" t="s">
        <v>159</v>
      </c>
      <c r="P9" s="32" t="s">
        <v>160</v>
      </c>
      <c r="Q9" s="244"/>
      <c r="R9" s="246"/>
      <c r="T9" s="22"/>
    </row>
    <row r="10" spans="1:20" ht="18" customHeight="1">
      <c r="A10" s="33"/>
      <c r="B10" s="99" t="s">
        <v>161</v>
      </c>
      <c r="C10" s="33">
        <v>392</v>
      </c>
      <c r="D10" s="34">
        <v>1568</v>
      </c>
      <c r="E10" s="35">
        <v>399</v>
      </c>
      <c r="F10" s="36">
        <v>0</v>
      </c>
      <c r="G10" s="111">
        <v>0</v>
      </c>
      <c r="H10" s="112">
        <v>0</v>
      </c>
      <c r="I10" s="113">
        <v>0</v>
      </c>
      <c r="J10" s="114">
        <v>0</v>
      </c>
      <c r="K10" s="111">
        <v>0</v>
      </c>
      <c r="L10" s="112">
        <v>0</v>
      </c>
      <c r="M10" s="113">
        <v>0</v>
      </c>
      <c r="N10" s="114">
        <v>0</v>
      </c>
      <c r="O10" s="111">
        <v>0</v>
      </c>
      <c r="P10" s="112">
        <v>0</v>
      </c>
      <c r="Q10" s="39">
        <f>E10+G10+I10+K10+M10+O10</f>
        <v>399</v>
      </c>
      <c r="R10" s="40">
        <f>Q10/D10</f>
        <v>0.2544642857142857</v>
      </c>
    </row>
    <row r="11" spans="1:20" ht="18" customHeight="1">
      <c r="A11" s="33"/>
      <c r="B11" s="67" t="s">
        <v>162</v>
      </c>
      <c r="C11" s="49">
        <v>180</v>
      </c>
      <c r="D11" s="42">
        <v>1140</v>
      </c>
      <c r="E11" s="43">
        <v>141</v>
      </c>
      <c r="F11" s="44">
        <v>138</v>
      </c>
      <c r="G11" s="45">
        <v>0</v>
      </c>
      <c r="H11" s="46">
        <v>0</v>
      </c>
      <c r="I11" s="43">
        <v>0</v>
      </c>
      <c r="J11" s="44">
        <v>0</v>
      </c>
      <c r="K11" s="45">
        <v>0</v>
      </c>
      <c r="L11" s="46">
        <v>0</v>
      </c>
      <c r="M11" s="43">
        <v>0</v>
      </c>
      <c r="N11" s="44">
        <v>0</v>
      </c>
      <c r="O11" s="45">
        <v>0</v>
      </c>
      <c r="P11" s="46">
        <v>0</v>
      </c>
      <c r="Q11" s="47">
        <f t="shared" ref="Q11:Q29" si="0">E11+G11+I11+K11+M11+O11</f>
        <v>141</v>
      </c>
      <c r="R11" s="48">
        <f t="shared" ref="R11:R29" si="1">Q11/D11</f>
        <v>0.12368421052631579</v>
      </c>
    </row>
    <row r="12" spans="1:20" ht="18" customHeight="1">
      <c r="A12" s="33"/>
      <c r="B12" s="67" t="s">
        <v>163</v>
      </c>
      <c r="C12" s="49">
        <v>290</v>
      </c>
      <c r="D12" s="42">
        <v>1160</v>
      </c>
      <c r="E12" s="43">
        <v>308</v>
      </c>
      <c r="F12" s="44">
        <v>0</v>
      </c>
      <c r="G12" s="45">
        <v>0</v>
      </c>
      <c r="H12" s="46">
        <v>0</v>
      </c>
      <c r="I12" s="43">
        <v>0</v>
      </c>
      <c r="J12" s="44">
        <v>0</v>
      </c>
      <c r="K12" s="45">
        <v>0</v>
      </c>
      <c r="L12" s="46">
        <v>0</v>
      </c>
      <c r="M12" s="43">
        <v>0</v>
      </c>
      <c r="N12" s="44">
        <v>0</v>
      </c>
      <c r="O12" s="45">
        <v>0</v>
      </c>
      <c r="P12" s="46">
        <v>0</v>
      </c>
      <c r="Q12" s="47">
        <f t="shared" si="0"/>
        <v>308</v>
      </c>
      <c r="R12" s="48">
        <f t="shared" si="1"/>
        <v>0.26551724137931032</v>
      </c>
    </row>
    <row r="13" spans="1:20" ht="18" customHeight="1">
      <c r="A13" s="33"/>
      <c r="B13" s="67" t="s">
        <v>164</v>
      </c>
      <c r="C13" s="49">
        <v>130</v>
      </c>
      <c r="D13" s="42">
        <v>520</v>
      </c>
      <c r="E13" s="43">
        <v>127</v>
      </c>
      <c r="F13" s="44">
        <v>0</v>
      </c>
      <c r="G13" s="45">
        <v>0</v>
      </c>
      <c r="H13" s="46">
        <v>0</v>
      </c>
      <c r="I13" s="43">
        <v>0</v>
      </c>
      <c r="J13" s="44">
        <v>0</v>
      </c>
      <c r="K13" s="45">
        <v>0</v>
      </c>
      <c r="L13" s="46">
        <v>0</v>
      </c>
      <c r="M13" s="43">
        <v>0</v>
      </c>
      <c r="N13" s="44">
        <v>0</v>
      </c>
      <c r="O13" s="45">
        <v>0</v>
      </c>
      <c r="P13" s="46">
        <v>0</v>
      </c>
      <c r="Q13" s="47">
        <f t="shared" si="0"/>
        <v>127</v>
      </c>
      <c r="R13" s="48">
        <f t="shared" si="1"/>
        <v>0.24423076923076922</v>
      </c>
    </row>
    <row r="14" spans="1:20" ht="18" customHeight="1">
      <c r="A14" s="33"/>
      <c r="B14" s="67"/>
      <c r="C14" s="49"/>
      <c r="D14" s="42"/>
      <c r="E14" s="43"/>
      <c r="F14" s="44"/>
      <c r="G14" s="45"/>
      <c r="H14" s="46"/>
      <c r="I14" s="43"/>
      <c r="J14" s="44"/>
      <c r="K14" s="45"/>
      <c r="L14" s="46"/>
      <c r="M14" s="43"/>
      <c r="N14" s="44"/>
      <c r="O14" s="45"/>
      <c r="P14" s="46"/>
      <c r="Q14" s="47">
        <f t="shared" si="0"/>
        <v>0</v>
      </c>
      <c r="R14" s="48" t="e">
        <f t="shared" si="1"/>
        <v>#DIV/0!</v>
      </c>
    </row>
    <row r="15" spans="1:20" ht="18" customHeight="1">
      <c r="A15" s="33"/>
      <c r="B15" s="67"/>
      <c r="C15" s="49"/>
      <c r="D15" s="42"/>
      <c r="E15" s="43"/>
      <c r="F15" s="44"/>
      <c r="G15" s="45"/>
      <c r="H15" s="46"/>
      <c r="I15" s="43"/>
      <c r="J15" s="44"/>
      <c r="K15" s="45"/>
      <c r="L15" s="46"/>
      <c r="M15" s="43"/>
      <c r="N15" s="44"/>
      <c r="O15" s="45"/>
      <c r="P15" s="46"/>
      <c r="Q15" s="47">
        <f t="shared" si="0"/>
        <v>0</v>
      </c>
      <c r="R15" s="48" t="e">
        <f t="shared" si="1"/>
        <v>#DIV/0!</v>
      </c>
    </row>
    <row r="16" spans="1:20" ht="18" customHeight="1">
      <c r="A16" s="33"/>
      <c r="B16" s="67"/>
      <c r="C16" s="49"/>
      <c r="D16" s="42"/>
      <c r="E16" s="43"/>
      <c r="F16" s="44"/>
      <c r="G16" s="45"/>
      <c r="H16" s="46"/>
      <c r="I16" s="43"/>
      <c r="J16" s="44"/>
      <c r="K16" s="45"/>
      <c r="L16" s="46"/>
      <c r="M16" s="43"/>
      <c r="N16" s="44"/>
      <c r="O16" s="45"/>
      <c r="P16" s="46"/>
      <c r="Q16" s="47">
        <f t="shared" si="0"/>
        <v>0</v>
      </c>
      <c r="R16" s="48" t="e">
        <f t="shared" si="1"/>
        <v>#DIV/0!</v>
      </c>
    </row>
    <row r="17" spans="1:18" ht="18" customHeight="1">
      <c r="A17" s="33"/>
      <c r="B17" s="67"/>
      <c r="C17" s="49"/>
      <c r="D17" s="42"/>
      <c r="E17" s="43"/>
      <c r="F17" s="44"/>
      <c r="G17" s="45"/>
      <c r="H17" s="46"/>
      <c r="I17" s="43"/>
      <c r="J17" s="44"/>
      <c r="K17" s="45"/>
      <c r="L17" s="46"/>
      <c r="M17" s="43"/>
      <c r="N17" s="44"/>
      <c r="O17" s="45"/>
      <c r="P17" s="46"/>
      <c r="Q17" s="47">
        <f t="shared" si="0"/>
        <v>0</v>
      </c>
      <c r="R17" s="48" t="e">
        <f t="shared" si="1"/>
        <v>#DIV/0!</v>
      </c>
    </row>
    <row r="18" spans="1:18" ht="18" customHeight="1">
      <c r="A18" s="33"/>
      <c r="B18" s="67"/>
      <c r="C18" s="49"/>
      <c r="D18" s="42"/>
      <c r="E18" s="43"/>
      <c r="F18" s="44"/>
      <c r="G18" s="45"/>
      <c r="H18" s="46"/>
      <c r="I18" s="43"/>
      <c r="J18" s="44"/>
      <c r="K18" s="45"/>
      <c r="L18" s="46"/>
      <c r="M18" s="43"/>
      <c r="N18" s="44"/>
      <c r="O18" s="45"/>
      <c r="P18" s="46"/>
      <c r="Q18" s="47">
        <f>E18+G18+I18+K18+M18+O18</f>
        <v>0</v>
      </c>
      <c r="R18" s="48" t="e">
        <f t="shared" si="1"/>
        <v>#DIV/0!</v>
      </c>
    </row>
    <row r="19" spans="1:18" ht="18" customHeight="1">
      <c r="A19" s="33"/>
      <c r="B19" s="67"/>
      <c r="C19" s="49"/>
      <c r="D19" s="42"/>
      <c r="E19" s="43"/>
      <c r="F19" s="44"/>
      <c r="G19" s="45"/>
      <c r="H19" s="46"/>
      <c r="I19" s="43"/>
      <c r="J19" s="44"/>
      <c r="K19" s="45"/>
      <c r="L19" s="46"/>
      <c r="M19" s="43"/>
      <c r="N19" s="44"/>
      <c r="O19" s="45"/>
      <c r="P19" s="46"/>
      <c r="Q19" s="47">
        <f t="shared" si="0"/>
        <v>0</v>
      </c>
      <c r="R19" s="48" t="e">
        <f t="shared" si="1"/>
        <v>#DIV/0!</v>
      </c>
    </row>
    <row r="20" spans="1:18" ht="18" customHeight="1">
      <c r="A20" s="33"/>
      <c r="B20" s="67"/>
      <c r="C20" s="49"/>
      <c r="D20" s="42"/>
      <c r="E20" s="43"/>
      <c r="F20" s="44"/>
      <c r="G20" s="45"/>
      <c r="H20" s="46"/>
      <c r="I20" s="43"/>
      <c r="J20" s="44"/>
      <c r="K20" s="45"/>
      <c r="L20" s="46"/>
      <c r="M20" s="43"/>
      <c r="N20" s="44"/>
      <c r="O20" s="45"/>
      <c r="P20" s="46"/>
      <c r="Q20" s="47">
        <f t="shared" si="0"/>
        <v>0</v>
      </c>
      <c r="R20" s="48" t="e">
        <f t="shared" si="1"/>
        <v>#DIV/0!</v>
      </c>
    </row>
    <row r="21" spans="1:18" ht="18" customHeight="1">
      <c r="A21" s="33"/>
      <c r="B21" s="67"/>
      <c r="C21" s="49"/>
      <c r="D21" s="42"/>
      <c r="E21" s="43"/>
      <c r="F21" s="44"/>
      <c r="G21" s="45"/>
      <c r="H21" s="46"/>
      <c r="I21" s="43"/>
      <c r="J21" s="44"/>
      <c r="K21" s="45"/>
      <c r="L21" s="46"/>
      <c r="M21" s="43"/>
      <c r="N21" s="44"/>
      <c r="O21" s="45"/>
      <c r="P21" s="46"/>
      <c r="Q21" s="47">
        <f t="shared" si="0"/>
        <v>0</v>
      </c>
      <c r="R21" s="48" t="e">
        <f t="shared" si="1"/>
        <v>#DIV/0!</v>
      </c>
    </row>
    <row r="22" spans="1:18" ht="18" customHeight="1">
      <c r="A22" s="33"/>
      <c r="B22" s="67"/>
      <c r="C22" s="49"/>
      <c r="D22" s="42"/>
      <c r="E22" s="43"/>
      <c r="F22" s="44"/>
      <c r="G22" s="45"/>
      <c r="H22" s="46"/>
      <c r="I22" s="43"/>
      <c r="J22" s="44"/>
      <c r="K22" s="45"/>
      <c r="L22" s="46"/>
      <c r="M22" s="43"/>
      <c r="N22" s="44"/>
      <c r="O22" s="45"/>
      <c r="P22" s="46"/>
      <c r="Q22" s="47">
        <f t="shared" si="0"/>
        <v>0</v>
      </c>
      <c r="R22" s="48" t="e">
        <f t="shared" si="1"/>
        <v>#DIV/0!</v>
      </c>
    </row>
    <row r="23" spans="1:18" ht="18" customHeight="1">
      <c r="A23" s="33"/>
      <c r="B23" s="67"/>
      <c r="C23" s="49"/>
      <c r="D23" s="42"/>
      <c r="E23" s="43"/>
      <c r="F23" s="44"/>
      <c r="G23" s="45"/>
      <c r="H23" s="46"/>
      <c r="I23" s="43"/>
      <c r="J23" s="44"/>
      <c r="K23" s="45"/>
      <c r="L23" s="46"/>
      <c r="M23" s="43"/>
      <c r="N23" s="44"/>
      <c r="O23" s="45"/>
      <c r="P23" s="46"/>
      <c r="Q23" s="47">
        <f t="shared" si="0"/>
        <v>0</v>
      </c>
      <c r="R23" s="48" t="e">
        <f t="shared" si="1"/>
        <v>#DIV/0!</v>
      </c>
    </row>
    <row r="24" spans="1:18" ht="18" customHeight="1">
      <c r="A24" s="33"/>
      <c r="B24" s="67"/>
      <c r="C24" s="49"/>
      <c r="D24" s="42"/>
      <c r="E24" s="43"/>
      <c r="F24" s="44"/>
      <c r="G24" s="45"/>
      <c r="H24" s="46"/>
      <c r="I24" s="43"/>
      <c r="J24" s="44"/>
      <c r="K24" s="45"/>
      <c r="L24" s="46"/>
      <c r="M24" s="43"/>
      <c r="N24" s="44"/>
      <c r="O24" s="45"/>
      <c r="P24" s="46"/>
      <c r="Q24" s="47">
        <f t="shared" si="0"/>
        <v>0</v>
      </c>
      <c r="R24" s="48" t="e">
        <f t="shared" si="1"/>
        <v>#DIV/0!</v>
      </c>
    </row>
    <row r="25" spans="1:18" ht="18" customHeight="1">
      <c r="A25" s="33"/>
      <c r="B25" s="67"/>
      <c r="C25" s="49"/>
      <c r="D25" s="42"/>
      <c r="E25" s="43"/>
      <c r="F25" s="44"/>
      <c r="G25" s="45"/>
      <c r="H25" s="46"/>
      <c r="I25" s="43"/>
      <c r="J25" s="44"/>
      <c r="K25" s="45"/>
      <c r="L25" s="46"/>
      <c r="M25" s="43"/>
      <c r="N25" s="44"/>
      <c r="O25" s="45"/>
      <c r="P25" s="46"/>
      <c r="Q25" s="47">
        <f t="shared" si="0"/>
        <v>0</v>
      </c>
      <c r="R25" s="48" t="e">
        <f t="shared" si="1"/>
        <v>#DIV/0!</v>
      </c>
    </row>
    <row r="26" spans="1:18" ht="18" customHeight="1">
      <c r="A26" s="33"/>
      <c r="B26" s="67"/>
      <c r="C26" s="49"/>
      <c r="D26" s="42"/>
      <c r="E26" s="43"/>
      <c r="F26" s="44"/>
      <c r="G26" s="45"/>
      <c r="H26" s="46"/>
      <c r="I26" s="43"/>
      <c r="J26" s="44"/>
      <c r="K26" s="45"/>
      <c r="L26" s="46"/>
      <c r="M26" s="43"/>
      <c r="N26" s="44"/>
      <c r="O26" s="45"/>
      <c r="P26" s="46"/>
      <c r="Q26" s="47">
        <f t="shared" si="0"/>
        <v>0</v>
      </c>
      <c r="R26" s="48" t="e">
        <f t="shared" si="1"/>
        <v>#DIV/0!</v>
      </c>
    </row>
    <row r="27" spans="1:18" ht="18" customHeight="1">
      <c r="A27" s="33"/>
      <c r="B27" s="67"/>
      <c r="C27" s="41"/>
      <c r="D27" s="42"/>
      <c r="E27" s="43"/>
      <c r="F27" s="44"/>
      <c r="G27" s="45"/>
      <c r="H27" s="46"/>
      <c r="I27" s="43"/>
      <c r="J27" s="44"/>
      <c r="K27" s="45"/>
      <c r="L27" s="46"/>
      <c r="M27" s="43"/>
      <c r="N27" s="44"/>
      <c r="O27" s="45"/>
      <c r="P27" s="46"/>
      <c r="Q27" s="47">
        <f t="shared" si="0"/>
        <v>0</v>
      </c>
      <c r="R27" s="48" t="e">
        <f t="shared" si="1"/>
        <v>#DIV/0!</v>
      </c>
    </row>
    <row r="28" spans="1:18" ht="18" customHeight="1">
      <c r="A28" s="33"/>
      <c r="B28" s="67"/>
      <c r="C28" s="41"/>
      <c r="D28" s="42"/>
      <c r="E28" s="43"/>
      <c r="F28" s="44"/>
      <c r="G28" s="45"/>
      <c r="H28" s="46"/>
      <c r="I28" s="43"/>
      <c r="J28" s="44"/>
      <c r="K28" s="45"/>
      <c r="L28" s="46"/>
      <c r="M28" s="43"/>
      <c r="N28" s="44"/>
      <c r="O28" s="45"/>
      <c r="P28" s="46"/>
      <c r="Q28" s="47">
        <f t="shared" si="0"/>
        <v>0</v>
      </c>
      <c r="R28" s="48" t="e">
        <f t="shared" si="1"/>
        <v>#DIV/0!</v>
      </c>
    </row>
    <row r="29" spans="1:18" ht="18" customHeight="1" thickBot="1">
      <c r="A29" s="33"/>
      <c r="B29" s="68"/>
      <c r="C29" s="69"/>
      <c r="D29" s="34"/>
      <c r="E29" s="35"/>
      <c r="F29" s="36"/>
      <c r="G29" s="37"/>
      <c r="H29" s="38"/>
      <c r="I29" s="35"/>
      <c r="J29" s="36"/>
      <c r="K29" s="37"/>
      <c r="L29" s="38"/>
      <c r="M29" s="35"/>
      <c r="N29" s="36"/>
      <c r="O29" s="37"/>
      <c r="P29" s="38"/>
      <c r="Q29" s="50">
        <f t="shared" si="0"/>
        <v>0</v>
      </c>
      <c r="R29" s="40" t="e">
        <f t="shared" si="1"/>
        <v>#DIV/0!</v>
      </c>
    </row>
    <row r="30" spans="1:18" ht="18" customHeight="1" thickTop="1">
      <c r="B30" s="70" t="s">
        <v>165</v>
      </c>
      <c r="C30" s="71">
        <f t="shared" ref="C30:Q30" si="2">SUM(C10:C29)</f>
        <v>992</v>
      </c>
      <c r="D30" s="51">
        <f t="shared" si="2"/>
        <v>4388</v>
      </c>
      <c r="E30" s="52">
        <f t="shared" si="2"/>
        <v>975</v>
      </c>
      <c r="F30" s="53">
        <f t="shared" si="2"/>
        <v>138</v>
      </c>
      <c r="G30" s="54">
        <f t="shared" si="2"/>
        <v>0</v>
      </c>
      <c r="H30" s="55">
        <f t="shared" si="2"/>
        <v>0</v>
      </c>
      <c r="I30" s="52">
        <f t="shared" si="2"/>
        <v>0</v>
      </c>
      <c r="J30" s="53">
        <f t="shared" si="2"/>
        <v>0</v>
      </c>
      <c r="K30" s="54">
        <f t="shared" si="2"/>
        <v>0</v>
      </c>
      <c r="L30" s="55">
        <f t="shared" si="2"/>
        <v>0</v>
      </c>
      <c r="M30" s="52">
        <f t="shared" si="2"/>
        <v>0</v>
      </c>
      <c r="N30" s="53">
        <f t="shared" si="2"/>
        <v>0</v>
      </c>
      <c r="O30" s="54">
        <f t="shared" si="2"/>
        <v>0</v>
      </c>
      <c r="P30" s="55">
        <f t="shared" si="2"/>
        <v>0</v>
      </c>
      <c r="Q30" s="56">
        <f t="shared" si="2"/>
        <v>975</v>
      </c>
      <c r="R30" s="57">
        <f>Q30/D30</f>
        <v>0.22219690063810393</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44"/>
  <sheetViews>
    <sheetView showZeros="0" view="pageBreakPreview" topLeftCell="A37" zoomScaleNormal="100" zoomScaleSheetLayoutView="100" workbookViewId="0">
      <selection activeCell="B67" sqref="B67"/>
    </sheetView>
  </sheetViews>
  <sheetFormatPr defaultColWidth="11.375" defaultRowHeight="18.75" customHeight="1"/>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19"/>
    <col min="12" max="16384" width="11.375" style="1"/>
  </cols>
  <sheetData>
    <row r="1" spans="1:11" ht="18.75" customHeight="1">
      <c r="A1" s="2" t="s">
        <v>166</v>
      </c>
      <c r="J1" s="27" t="s">
        <v>167</v>
      </c>
    </row>
    <row r="2" spans="1:11" ht="18.75" customHeight="1">
      <c r="A2" s="231" t="s">
        <v>168</v>
      </c>
      <c r="B2" s="231"/>
      <c r="C2" s="231"/>
      <c r="D2" s="231"/>
      <c r="E2" s="231"/>
      <c r="F2" s="231"/>
      <c r="G2" s="231"/>
      <c r="H2" s="231"/>
      <c r="I2" s="231"/>
      <c r="J2" s="231"/>
    </row>
    <row r="3" spans="1:11" ht="7.5" customHeight="1">
      <c r="B3" s="24"/>
      <c r="C3" s="24"/>
      <c r="D3" s="24"/>
      <c r="E3" s="24"/>
      <c r="F3" s="24"/>
      <c r="G3" s="24"/>
      <c r="H3" s="24"/>
      <c r="I3" s="24"/>
      <c r="J3" s="24"/>
    </row>
    <row r="4" spans="1:11" ht="18.75" customHeight="1">
      <c r="A4" s="1" t="s">
        <v>2</v>
      </c>
      <c r="B4" s="4" t="s">
        <v>169</v>
      </c>
      <c r="C4" s="4"/>
      <c r="D4" s="4"/>
      <c r="E4" s="4"/>
      <c r="F4" s="4"/>
      <c r="G4" s="4"/>
      <c r="H4" s="4"/>
      <c r="I4" s="24"/>
      <c r="J4" s="24"/>
    </row>
    <row r="5" spans="1:11" ht="18.75" customHeight="1">
      <c r="A5" s="1"/>
      <c r="B5" s="127" t="s">
        <v>170</v>
      </c>
      <c r="C5" s="128"/>
      <c r="D5" s="128"/>
      <c r="E5" s="128"/>
      <c r="F5" s="128"/>
      <c r="G5" s="128"/>
      <c r="H5" s="128"/>
      <c r="I5" s="128"/>
      <c r="J5" s="250"/>
      <c r="K5" s="19" t="str">
        <f>IF(B5="","入力してください","")</f>
        <v/>
      </c>
    </row>
    <row r="6" spans="1:11" ht="7.5" customHeight="1">
      <c r="B6" s="24"/>
      <c r="C6" s="24"/>
      <c r="D6" s="24"/>
      <c r="E6" s="24"/>
      <c r="F6" s="24"/>
      <c r="G6" s="24"/>
      <c r="H6" s="24"/>
      <c r="I6" s="24"/>
      <c r="J6" s="24"/>
    </row>
    <row r="7" spans="1:11" s="4" customFormat="1" ht="18.75" customHeight="1">
      <c r="A7" s="1" t="s">
        <v>5</v>
      </c>
      <c r="B7" s="1" t="s">
        <v>171</v>
      </c>
      <c r="C7" s="1"/>
      <c r="D7" s="1"/>
      <c r="E7" s="1"/>
      <c r="F7" s="1"/>
      <c r="G7" s="1"/>
      <c r="H7" s="1"/>
      <c r="I7" s="1"/>
      <c r="J7" s="1"/>
      <c r="K7" s="19"/>
    </row>
    <row r="8" spans="1:11" s="4" customFormat="1" ht="18.75" customHeight="1">
      <c r="A8" s="72"/>
      <c r="B8" s="251" t="s">
        <v>172</v>
      </c>
      <c r="C8" s="252"/>
      <c r="D8" s="252"/>
      <c r="E8" s="252"/>
      <c r="F8" s="252"/>
      <c r="G8" s="252"/>
      <c r="H8" s="252"/>
      <c r="I8" s="145"/>
      <c r="J8" s="146"/>
      <c r="K8" s="19" t="str">
        <f>IF(B8="","入力してください","")</f>
        <v/>
      </c>
    </row>
    <row r="9" spans="1:11" s="4" customFormat="1" ht="18.75" customHeight="1">
      <c r="A9" s="72"/>
      <c r="B9" s="147"/>
      <c r="C9" s="148"/>
      <c r="D9" s="148"/>
      <c r="E9" s="148"/>
      <c r="F9" s="148"/>
      <c r="G9" s="148"/>
      <c r="H9" s="148"/>
      <c r="I9" s="148"/>
      <c r="J9" s="149"/>
      <c r="K9" s="19"/>
    </row>
    <row r="10" spans="1:11" s="4" customFormat="1" ht="18.75" customHeight="1">
      <c r="A10" s="72"/>
      <c r="B10" s="147"/>
      <c r="C10" s="148"/>
      <c r="D10" s="148"/>
      <c r="E10" s="148"/>
      <c r="F10" s="148"/>
      <c r="G10" s="148"/>
      <c r="H10" s="148"/>
      <c r="I10" s="148"/>
      <c r="J10" s="149"/>
      <c r="K10" s="19"/>
    </row>
    <row r="11" spans="1:11" s="4" customFormat="1" ht="18.75" customHeight="1">
      <c r="A11" s="72"/>
      <c r="B11" s="147"/>
      <c r="C11" s="148"/>
      <c r="D11" s="148"/>
      <c r="E11" s="148"/>
      <c r="F11" s="148"/>
      <c r="G11" s="148"/>
      <c r="H11" s="148"/>
      <c r="I11" s="148"/>
      <c r="J11" s="149"/>
      <c r="K11" s="19"/>
    </row>
    <row r="12" spans="1:11" s="4" customFormat="1" ht="18.75" customHeight="1">
      <c r="A12" s="72"/>
      <c r="B12" s="150"/>
      <c r="C12" s="151"/>
      <c r="D12" s="151"/>
      <c r="E12" s="151"/>
      <c r="F12" s="151"/>
      <c r="G12" s="151"/>
      <c r="H12" s="151"/>
      <c r="I12" s="151"/>
      <c r="J12" s="152"/>
      <c r="K12" s="19"/>
    </row>
    <row r="13" spans="1:11" s="4" customFormat="1" ht="7.5" customHeight="1">
      <c r="A13" s="72"/>
      <c r="B13" s="72"/>
      <c r="C13" s="72"/>
      <c r="D13" s="72"/>
      <c r="E13" s="72"/>
      <c r="F13" s="72"/>
      <c r="G13" s="72"/>
      <c r="H13" s="72"/>
      <c r="I13" s="72"/>
      <c r="J13" s="72"/>
      <c r="K13" s="19"/>
    </row>
    <row r="14" spans="1:11" s="4" customFormat="1" ht="18.75" customHeight="1">
      <c r="A14" s="73" t="s">
        <v>173</v>
      </c>
      <c r="B14" s="73" t="s">
        <v>174</v>
      </c>
      <c r="C14" s="73"/>
      <c r="D14" s="73"/>
      <c r="E14" s="73"/>
      <c r="F14" s="73"/>
      <c r="G14" s="73"/>
      <c r="H14" s="73"/>
      <c r="I14" s="73"/>
      <c r="J14" s="73"/>
      <c r="K14" s="19"/>
    </row>
    <row r="15" spans="1:11" s="4" customFormat="1" ht="18.75" customHeight="1">
      <c r="A15" s="72"/>
      <c r="B15" s="251" t="s">
        <v>175</v>
      </c>
      <c r="C15" s="252"/>
      <c r="D15" s="252"/>
      <c r="E15" s="252"/>
      <c r="F15" s="252"/>
      <c r="G15" s="252"/>
      <c r="H15" s="252"/>
      <c r="I15" s="145"/>
      <c r="J15" s="146"/>
      <c r="K15" s="19" t="str">
        <f>IF(B15="","入力してください","")</f>
        <v/>
      </c>
    </row>
    <row r="16" spans="1:11" s="4" customFormat="1" ht="18.75" customHeight="1">
      <c r="A16" s="72"/>
      <c r="B16" s="147"/>
      <c r="C16" s="148"/>
      <c r="D16" s="148"/>
      <c r="E16" s="148"/>
      <c r="F16" s="148"/>
      <c r="G16" s="148"/>
      <c r="H16" s="148"/>
      <c r="I16" s="148"/>
      <c r="J16" s="149"/>
      <c r="K16" s="19"/>
    </row>
    <row r="17" spans="1:11" s="4" customFormat="1" ht="18.75" customHeight="1">
      <c r="A17" s="72"/>
      <c r="B17" s="147"/>
      <c r="C17" s="148"/>
      <c r="D17" s="148"/>
      <c r="E17" s="148"/>
      <c r="F17" s="148"/>
      <c r="G17" s="148"/>
      <c r="H17" s="148"/>
      <c r="I17" s="148"/>
      <c r="J17" s="149"/>
      <c r="K17" s="19"/>
    </row>
    <row r="18" spans="1:11" s="4" customFormat="1" ht="18.75" customHeight="1">
      <c r="A18" s="72"/>
      <c r="B18" s="147"/>
      <c r="C18" s="148"/>
      <c r="D18" s="148"/>
      <c r="E18" s="148"/>
      <c r="F18" s="148"/>
      <c r="G18" s="148"/>
      <c r="H18" s="148"/>
      <c r="I18" s="148"/>
      <c r="J18" s="149"/>
      <c r="K18" s="19"/>
    </row>
    <row r="19" spans="1:11" s="4" customFormat="1" ht="18.75" customHeight="1">
      <c r="A19" s="72"/>
      <c r="B19" s="147"/>
      <c r="C19" s="148"/>
      <c r="D19" s="148"/>
      <c r="E19" s="148"/>
      <c r="F19" s="148"/>
      <c r="G19" s="148"/>
      <c r="H19" s="148"/>
      <c r="I19" s="148"/>
      <c r="J19" s="149"/>
      <c r="K19" s="19"/>
    </row>
    <row r="20" spans="1:11" s="4" customFormat="1" ht="18.75" customHeight="1">
      <c r="A20" s="72"/>
      <c r="B20" s="147"/>
      <c r="C20" s="148"/>
      <c r="D20" s="148"/>
      <c r="E20" s="148"/>
      <c r="F20" s="148"/>
      <c r="G20" s="148"/>
      <c r="H20" s="148"/>
      <c r="I20" s="148"/>
      <c r="J20" s="149"/>
      <c r="K20" s="19"/>
    </row>
    <row r="21" spans="1:11" s="4" customFormat="1" ht="18.75" customHeight="1">
      <c r="A21" s="72"/>
      <c r="B21" s="147"/>
      <c r="C21" s="148"/>
      <c r="D21" s="148"/>
      <c r="E21" s="148"/>
      <c r="F21" s="148"/>
      <c r="G21" s="148"/>
      <c r="H21" s="148"/>
      <c r="I21" s="148"/>
      <c r="J21" s="149"/>
      <c r="K21" s="19"/>
    </row>
    <row r="22" spans="1:11" s="4" customFormat="1" ht="18.75" customHeight="1">
      <c r="A22" s="72"/>
      <c r="B22" s="147"/>
      <c r="C22" s="148"/>
      <c r="D22" s="148"/>
      <c r="E22" s="148"/>
      <c r="F22" s="148"/>
      <c r="G22" s="148"/>
      <c r="H22" s="148"/>
      <c r="I22" s="148"/>
      <c r="J22" s="149"/>
      <c r="K22" s="19"/>
    </row>
    <row r="23" spans="1:11" s="4" customFormat="1" ht="18.75" customHeight="1">
      <c r="A23" s="72"/>
      <c r="B23" s="147"/>
      <c r="C23" s="148"/>
      <c r="D23" s="148"/>
      <c r="E23" s="148"/>
      <c r="F23" s="148"/>
      <c r="G23" s="148"/>
      <c r="H23" s="148"/>
      <c r="I23" s="148"/>
      <c r="J23" s="149"/>
      <c r="K23" s="19"/>
    </row>
    <row r="24" spans="1:11" s="4" customFormat="1" ht="18.75" customHeight="1">
      <c r="A24" s="72"/>
      <c r="B24" s="147"/>
      <c r="C24" s="148"/>
      <c r="D24" s="148"/>
      <c r="E24" s="148"/>
      <c r="F24" s="148"/>
      <c r="G24" s="148"/>
      <c r="H24" s="148"/>
      <c r="I24" s="148"/>
      <c r="J24" s="149"/>
      <c r="K24" s="19"/>
    </row>
    <row r="25" spans="1:11" s="4" customFormat="1" ht="18.75" customHeight="1">
      <c r="A25" s="72"/>
      <c r="B25" s="150"/>
      <c r="C25" s="151"/>
      <c r="D25" s="151"/>
      <c r="E25" s="151"/>
      <c r="F25" s="151"/>
      <c r="G25" s="151"/>
      <c r="H25" s="151"/>
      <c r="I25" s="151"/>
      <c r="J25" s="152"/>
      <c r="K25" s="19"/>
    </row>
    <row r="26" spans="1:11" ht="7.5" customHeight="1">
      <c r="A26" s="25"/>
      <c r="B26" s="25"/>
      <c r="C26" s="25"/>
      <c r="D26" s="25"/>
      <c r="E26" s="25"/>
      <c r="F26" s="25"/>
      <c r="G26" s="25"/>
      <c r="H26" s="25"/>
      <c r="I26" s="25"/>
      <c r="J26" s="25"/>
    </row>
    <row r="27" spans="1:11" s="4" customFormat="1" ht="18.75" customHeight="1">
      <c r="A27" s="1" t="s">
        <v>11</v>
      </c>
      <c r="B27" s="1" t="s">
        <v>176</v>
      </c>
      <c r="C27" s="1"/>
      <c r="D27" s="1"/>
      <c r="E27" s="1"/>
      <c r="F27" s="1"/>
      <c r="G27" s="1"/>
      <c r="H27" s="1"/>
      <c r="I27" s="1"/>
      <c r="J27" s="1"/>
      <c r="K27" s="19"/>
    </row>
    <row r="28" spans="1:11" s="17" customFormat="1" ht="18.75" customHeight="1">
      <c r="B28" s="100" t="s">
        <v>177</v>
      </c>
      <c r="C28" s="101">
        <f>'様式３　履修者等数の実績'!R30</f>
        <v>0.22219690063810393</v>
      </c>
      <c r="D28" s="102"/>
      <c r="E28" s="102" t="s">
        <v>178</v>
      </c>
      <c r="F28" s="101">
        <v>0.45</v>
      </c>
      <c r="G28" s="102"/>
      <c r="H28" s="102" t="s">
        <v>179</v>
      </c>
      <c r="I28" s="103">
        <v>0.68</v>
      </c>
      <c r="J28" s="104"/>
      <c r="K28" s="19"/>
    </row>
    <row r="29" spans="1:11" s="17" customFormat="1" ht="18.75" customHeight="1">
      <c r="B29" s="105" t="s">
        <v>180</v>
      </c>
      <c r="C29" s="106">
        <v>0.91</v>
      </c>
      <c r="D29" s="107"/>
      <c r="E29" s="107" t="s">
        <v>181</v>
      </c>
      <c r="F29" s="106">
        <v>0.96</v>
      </c>
      <c r="G29" s="107"/>
      <c r="H29" s="107" t="s">
        <v>182</v>
      </c>
      <c r="I29" s="108">
        <f>'様式３　履修者等数の実績'!D30</f>
        <v>4388</v>
      </c>
      <c r="J29" s="109"/>
      <c r="K29" s="19"/>
    </row>
    <row r="30" spans="1:11" s="4" customFormat="1" ht="18.75" customHeight="1">
      <c r="A30" s="1"/>
      <c r="B30" s="196" t="s">
        <v>183</v>
      </c>
      <c r="C30" s="197"/>
      <c r="D30" s="197"/>
      <c r="E30" s="197"/>
      <c r="F30" s="197"/>
      <c r="G30" s="197"/>
      <c r="H30" s="197"/>
      <c r="I30" s="197"/>
      <c r="J30" s="198"/>
      <c r="K30" s="19"/>
    </row>
    <row r="31" spans="1:11" s="4" customFormat="1" ht="18.75" customHeight="1">
      <c r="A31" s="1"/>
      <c r="B31" s="247" t="s">
        <v>184</v>
      </c>
      <c r="C31" s="248"/>
      <c r="D31" s="248"/>
      <c r="E31" s="248"/>
      <c r="F31" s="248"/>
      <c r="G31" s="248"/>
      <c r="H31" s="248"/>
      <c r="I31" s="248"/>
      <c r="J31" s="249"/>
      <c r="K31" s="19" t="str">
        <f>IF(B31="","入力してください","")</f>
        <v/>
      </c>
    </row>
    <row r="32" spans="1:11" s="4" customFormat="1" ht="18.75" customHeight="1">
      <c r="A32" s="1"/>
      <c r="B32" s="147"/>
      <c r="C32" s="148"/>
      <c r="D32" s="148"/>
      <c r="E32" s="148"/>
      <c r="F32" s="148"/>
      <c r="G32" s="148"/>
      <c r="H32" s="148"/>
      <c r="I32" s="148"/>
      <c r="J32" s="149"/>
      <c r="K32" s="19"/>
    </row>
    <row r="33" spans="1:11" s="4" customFormat="1" ht="18.75" customHeight="1">
      <c r="A33" s="1"/>
      <c r="B33" s="147"/>
      <c r="C33" s="148"/>
      <c r="D33" s="148"/>
      <c r="E33" s="148"/>
      <c r="F33" s="148"/>
      <c r="G33" s="148"/>
      <c r="H33" s="148"/>
      <c r="I33" s="148"/>
      <c r="J33" s="149"/>
      <c r="K33" s="19"/>
    </row>
    <row r="34" spans="1:11" s="4" customFormat="1" ht="18.75" customHeight="1">
      <c r="A34" s="1"/>
      <c r="B34" s="147"/>
      <c r="C34" s="148"/>
      <c r="D34" s="148"/>
      <c r="E34" s="148"/>
      <c r="F34" s="148"/>
      <c r="G34" s="148"/>
      <c r="H34" s="148"/>
      <c r="I34" s="148"/>
      <c r="J34" s="149"/>
      <c r="K34" s="19"/>
    </row>
    <row r="35" spans="1:11" s="4" customFormat="1" ht="18.75" customHeight="1">
      <c r="A35" s="1"/>
      <c r="B35" s="147"/>
      <c r="C35" s="148"/>
      <c r="D35" s="148"/>
      <c r="E35" s="148"/>
      <c r="F35" s="148"/>
      <c r="G35" s="148"/>
      <c r="H35" s="148"/>
      <c r="I35" s="148"/>
      <c r="J35" s="149"/>
      <c r="K35" s="19"/>
    </row>
    <row r="36" spans="1:11" s="4" customFormat="1" ht="18.75" customHeight="1">
      <c r="A36" s="1"/>
      <c r="B36" s="147"/>
      <c r="C36" s="148"/>
      <c r="D36" s="148"/>
      <c r="E36" s="148"/>
      <c r="F36" s="148"/>
      <c r="G36" s="148"/>
      <c r="H36" s="148"/>
      <c r="I36" s="148"/>
      <c r="J36" s="149"/>
      <c r="K36" s="19"/>
    </row>
    <row r="37" spans="1:11" s="4" customFormat="1" ht="18.75" customHeight="1">
      <c r="A37" s="1"/>
      <c r="B37" s="147"/>
      <c r="C37" s="148"/>
      <c r="D37" s="148"/>
      <c r="E37" s="148"/>
      <c r="F37" s="148"/>
      <c r="G37" s="148"/>
      <c r="H37" s="148"/>
      <c r="I37" s="148"/>
      <c r="J37" s="149"/>
      <c r="K37" s="19"/>
    </row>
    <row r="38" spans="1:11" s="4" customFormat="1" ht="18.75" customHeight="1">
      <c r="A38" s="1"/>
      <c r="B38" s="147"/>
      <c r="C38" s="148"/>
      <c r="D38" s="148"/>
      <c r="E38" s="148"/>
      <c r="F38" s="148"/>
      <c r="G38" s="148"/>
      <c r="H38" s="148"/>
      <c r="I38" s="148"/>
      <c r="J38" s="149"/>
      <c r="K38" s="19"/>
    </row>
    <row r="39" spans="1:11" s="4" customFormat="1" ht="18.75" customHeight="1">
      <c r="A39" s="1"/>
      <c r="B39" s="147"/>
      <c r="C39" s="148"/>
      <c r="D39" s="148"/>
      <c r="E39" s="148"/>
      <c r="F39" s="148"/>
      <c r="G39" s="148"/>
      <c r="H39" s="148"/>
      <c r="I39" s="148"/>
      <c r="J39" s="149"/>
      <c r="K39" s="19"/>
    </row>
    <row r="40" spans="1:11" s="4" customFormat="1" ht="18.75" customHeight="1">
      <c r="A40" s="1"/>
      <c r="B40" s="147"/>
      <c r="C40" s="148"/>
      <c r="D40" s="148"/>
      <c r="E40" s="148"/>
      <c r="F40" s="148"/>
      <c r="G40" s="148"/>
      <c r="H40" s="148"/>
      <c r="I40" s="148"/>
      <c r="J40" s="149"/>
      <c r="K40" s="19"/>
    </row>
    <row r="41" spans="1:11" s="4" customFormat="1" ht="18.75" customHeight="1">
      <c r="A41" s="1"/>
      <c r="B41" s="147"/>
      <c r="C41" s="148"/>
      <c r="D41" s="148"/>
      <c r="E41" s="148"/>
      <c r="F41" s="148"/>
      <c r="G41" s="148"/>
      <c r="H41" s="148"/>
      <c r="I41" s="148"/>
      <c r="J41" s="149"/>
      <c r="K41" s="19"/>
    </row>
    <row r="42" spans="1:11" s="4" customFormat="1" ht="18.75" customHeight="1">
      <c r="A42" s="1"/>
      <c r="B42" s="147"/>
      <c r="C42" s="148"/>
      <c r="D42" s="148"/>
      <c r="E42" s="148"/>
      <c r="F42" s="148"/>
      <c r="G42" s="148"/>
      <c r="H42" s="148"/>
      <c r="I42" s="148"/>
      <c r="J42" s="149"/>
      <c r="K42" s="19"/>
    </row>
    <row r="43" spans="1:11" ht="18.75" customHeight="1">
      <c r="A43" s="25"/>
      <c r="B43" s="147"/>
      <c r="C43" s="148"/>
      <c r="D43" s="148"/>
      <c r="E43" s="148"/>
      <c r="F43" s="148"/>
      <c r="G43" s="148"/>
      <c r="H43" s="148"/>
      <c r="I43" s="148"/>
      <c r="J43" s="149"/>
    </row>
    <row r="44" spans="1:11" ht="18.75" customHeight="1">
      <c r="A44" s="25"/>
      <c r="B44" s="150"/>
      <c r="C44" s="151"/>
      <c r="D44" s="151"/>
      <c r="E44" s="151"/>
      <c r="F44" s="151"/>
      <c r="G44" s="151"/>
      <c r="H44" s="151"/>
      <c r="I44" s="151"/>
      <c r="J44" s="152"/>
    </row>
    <row r="45" spans="1:11" s="4" customFormat="1" ht="18.75" customHeight="1">
      <c r="A45" s="74" t="s">
        <v>14</v>
      </c>
      <c r="B45" s="1" t="s">
        <v>185</v>
      </c>
      <c r="C45" s="1"/>
      <c r="D45" s="1"/>
      <c r="E45" s="1"/>
      <c r="F45" s="1"/>
      <c r="G45" s="1"/>
      <c r="H45" s="1"/>
      <c r="I45" s="74"/>
      <c r="J45" s="74"/>
      <c r="K45" s="19"/>
    </row>
    <row r="46" spans="1:11" ht="18.75" customHeight="1">
      <c r="A46" s="25"/>
      <c r="B46" s="251" t="s">
        <v>186</v>
      </c>
      <c r="C46" s="252"/>
      <c r="D46" s="252"/>
      <c r="E46" s="252"/>
      <c r="F46" s="252"/>
      <c r="G46" s="252"/>
      <c r="H46" s="252"/>
      <c r="I46" s="252"/>
      <c r="J46" s="253"/>
      <c r="K46" s="19" t="str">
        <f>IF(B46="","入力してください","")</f>
        <v/>
      </c>
    </row>
    <row r="47" spans="1:11" ht="18.75" customHeight="1">
      <c r="A47" s="25"/>
      <c r="B47" s="254"/>
      <c r="C47" s="255"/>
      <c r="D47" s="255"/>
      <c r="E47" s="255"/>
      <c r="F47" s="255"/>
      <c r="G47" s="255"/>
      <c r="H47" s="255"/>
      <c r="I47" s="255"/>
      <c r="J47" s="256"/>
    </row>
    <row r="48" spans="1:11" ht="18.75" customHeight="1">
      <c r="A48" s="25"/>
      <c r="B48" s="254"/>
      <c r="C48" s="255"/>
      <c r="D48" s="255"/>
      <c r="E48" s="255"/>
      <c r="F48" s="255"/>
      <c r="G48" s="255"/>
      <c r="H48" s="255"/>
      <c r="I48" s="255"/>
      <c r="J48" s="256"/>
    </row>
    <row r="49" spans="1:10" ht="18.75" customHeight="1">
      <c r="A49" s="25"/>
      <c r="B49" s="254"/>
      <c r="C49" s="255"/>
      <c r="D49" s="255"/>
      <c r="E49" s="255"/>
      <c r="F49" s="255"/>
      <c r="G49" s="255"/>
      <c r="H49" s="255"/>
      <c r="I49" s="255"/>
      <c r="J49" s="256"/>
    </row>
    <row r="50" spans="1:10" ht="18.75" customHeight="1">
      <c r="A50" s="25"/>
      <c r="B50" s="254"/>
      <c r="C50" s="255"/>
      <c r="D50" s="255"/>
      <c r="E50" s="255"/>
      <c r="F50" s="255"/>
      <c r="G50" s="255"/>
      <c r="H50" s="255"/>
      <c r="I50" s="255"/>
      <c r="J50" s="256"/>
    </row>
    <row r="51" spans="1:10" ht="18.75" customHeight="1">
      <c r="A51" s="25"/>
      <c r="B51" s="254"/>
      <c r="C51" s="255"/>
      <c r="D51" s="255"/>
      <c r="E51" s="255"/>
      <c r="F51" s="255"/>
      <c r="G51" s="255"/>
      <c r="H51" s="255"/>
      <c r="I51" s="255"/>
      <c r="J51" s="256"/>
    </row>
    <row r="52" spans="1:10" ht="18.75" customHeight="1">
      <c r="A52" s="25"/>
      <c r="B52" s="254"/>
      <c r="C52" s="255"/>
      <c r="D52" s="255"/>
      <c r="E52" s="255"/>
      <c r="F52" s="255"/>
      <c r="G52" s="255"/>
      <c r="H52" s="255"/>
      <c r="I52" s="255"/>
      <c r="J52" s="256"/>
    </row>
    <row r="53" spans="1:10" ht="18.75" customHeight="1">
      <c r="A53" s="25"/>
      <c r="B53" s="254"/>
      <c r="C53" s="255"/>
      <c r="D53" s="255"/>
      <c r="E53" s="255"/>
      <c r="F53" s="255"/>
      <c r="G53" s="255"/>
      <c r="H53" s="255"/>
      <c r="I53" s="255"/>
      <c r="J53" s="256"/>
    </row>
    <row r="54" spans="1:10" ht="18.75" customHeight="1">
      <c r="A54" s="25"/>
      <c r="B54" s="254"/>
      <c r="C54" s="255"/>
      <c r="D54" s="255"/>
      <c r="E54" s="255"/>
      <c r="F54" s="255"/>
      <c r="G54" s="255"/>
      <c r="H54" s="255"/>
      <c r="I54" s="255"/>
      <c r="J54" s="256"/>
    </row>
    <row r="55" spans="1:10" ht="18.75" customHeight="1">
      <c r="A55" s="25"/>
      <c r="B55" s="254"/>
      <c r="C55" s="255"/>
      <c r="D55" s="255"/>
      <c r="E55" s="255"/>
      <c r="F55" s="255"/>
      <c r="G55" s="255"/>
      <c r="H55" s="255"/>
      <c r="I55" s="255"/>
      <c r="J55" s="256"/>
    </row>
    <row r="56" spans="1:10" ht="18.75" customHeight="1">
      <c r="A56" s="25"/>
      <c r="B56" s="254"/>
      <c r="C56" s="255"/>
      <c r="D56" s="255"/>
      <c r="E56" s="255"/>
      <c r="F56" s="255"/>
      <c r="G56" s="255"/>
      <c r="H56" s="255"/>
      <c r="I56" s="255"/>
      <c r="J56" s="256"/>
    </row>
    <row r="57" spans="1:10" ht="18.75" customHeight="1">
      <c r="A57" s="25"/>
      <c r="B57" s="254"/>
      <c r="C57" s="255"/>
      <c r="D57" s="255"/>
      <c r="E57" s="255"/>
      <c r="F57" s="255"/>
      <c r="G57" s="255"/>
      <c r="H57" s="255"/>
      <c r="I57" s="255"/>
      <c r="J57" s="256"/>
    </row>
    <row r="58" spans="1:10" ht="18.75" customHeight="1">
      <c r="A58" s="25"/>
      <c r="B58" s="254"/>
      <c r="C58" s="255"/>
      <c r="D58" s="255"/>
      <c r="E58" s="255"/>
      <c r="F58" s="255"/>
      <c r="G58" s="255"/>
      <c r="H58" s="255"/>
      <c r="I58" s="255"/>
      <c r="J58" s="256"/>
    </row>
    <row r="59" spans="1:10" ht="18.75" customHeight="1">
      <c r="A59" s="25"/>
      <c r="B59" s="254"/>
      <c r="C59" s="255"/>
      <c r="D59" s="255"/>
      <c r="E59" s="255"/>
      <c r="F59" s="255"/>
      <c r="G59" s="255"/>
      <c r="H59" s="255"/>
      <c r="I59" s="255"/>
      <c r="J59" s="256"/>
    </row>
    <row r="60" spans="1:10" ht="18.75" customHeight="1">
      <c r="A60" s="25"/>
      <c r="B60" s="254"/>
      <c r="C60" s="255"/>
      <c r="D60" s="255"/>
      <c r="E60" s="255"/>
      <c r="F60" s="255"/>
      <c r="G60" s="255"/>
      <c r="H60" s="255"/>
      <c r="I60" s="255"/>
      <c r="J60" s="256"/>
    </row>
    <row r="61" spans="1:10" ht="18.75" customHeight="1">
      <c r="A61" s="25"/>
      <c r="B61" s="254"/>
      <c r="C61" s="255"/>
      <c r="D61" s="255"/>
      <c r="E61" s="255"/>
      <c r="F61" s="255"/>
      <c r="G61" s="255"/>
      <c r="H61" s="255"/>
      <c r="I61" s="255"/>
      <c r="J61" s="256"/>
    </row>
    <row r="62" spans="1:10" ht="18.75" customHeight="1">
      <c r="A62" s="25"/>
      <c r="B62" s="254"/>
      <c r="C62" s="255"/>
      <c r="D62" s="255"/>
      <c r="E62" s="255"/>
      <c r="F62" s="255"/>
      <c r="G62" s="255"/>
      <c r="H62" s="255"/>
      <c r="I62" s="255"/>
      <c r="J62" s="256"/>
    </row>
    <row r="63" spans="1:10" ht="18.75" customHeight="1">
      <c r="A63" s="25"/>
      <c r="B63" s="254"/>
      <c r="C63" s="255"/>
      <c r="D63" s="255"/>
      <c r="E63" s="255"/>
      <c r="F63" s="255"/>
      <c r="G63" s="255"/>
      <c r="H63" s="255"/>
      <c r="I63" s="255"/>
      <c r="J63" s="256"/>
    </row>
    <row r="64" spans="1:10" ht="18.75" customHeight="1">
      <c r="A64" s="25"/>
      <c r="B64" s="254"/>
      <c r="C64" s="255"/>
      <c r="D64" s="255"/>
      <c r="E64" s="255"/>
      <c r="F64" s="255"/>
      <c r="G64" s="255"/>
      <c r="H64" s="255"/>
      <c r="I64" s="255"/>
      <c r="J64" s="256"/>
    </row>
    <row r="65" spans="1:11" ht="18.75" customHeight="1">
      <c r="A65" s="25"/>
      <c r="B65" s="254"/>
      <c r="C65" s="255"/>
      <c r="D65" s="255"/>
      <c r="E65" s="255"/>
      <c r="F65" s="255"/>
      <c r="G65" s="255"/>
      <c r="H65" s="255"/>
      <c r="I65" s="255"/>
      <c r="J65" s="256"/>
    </row>
    <row r="66" spans="1:11" ht="18.75" customHeight="1">
      <c r="A66" s="25"/>
      <c r="B66" s="257"/>
      <c r="C66" s="258"/>
      <c r="D66" s="258"/>
      <c r="E66" s="258"/>
      <c r="F66" s="258"/>
      <c r="G66" s="258"/>
      <c r="H66" s="258"/>
      <c r="I66" s="258"/>
      <c r="J66" s="259"/>
    </row>
    <row r="67" spans="1:11" ht="7.5" customHeight="1">
      <c r="A67" s="25"/>
      <c r="B67" s="25"/>
      <c r="C67" s="25"/>
      <c r="D67" s="25"/>
      <c r="E67" s="25"/>
      <c r="F67" s="25"/>
      <c r="G67" s="25"/>
      <c r="H67" s="25"/>
      <c r="I67" s="25"/>
      <c r="J67" s="25"/>
    </row>
    <row r="68" spans="1:11" s="4" customFormat="1" ht="18.75" customHeight="1">
      <c r="A68" s="1" t="s">
        <v>17</v>
      </c>
      <c r="B68" s="1" t="s">
        <v>187</v>
      </c>
      <c r="C68" s="1"/>
      <c r="D68" s="1"/>
      <c r="E68" s="1"/>
      <c r="F68" s="1"/>
      <c r="G68" s="1"/>
      <c r="H68" s="1"/>
      <c r="I68" s="1"/>
      <c r="J68" s="1"/>
      <c r="K68" s="19"/>
    </row>
    <row r="69" spans="1:11" s="4" customFormat="1" ht="18.75" customHeight="1">
      <c r="A69" s="1"/>
      <c r="B69" s="251" t="s">
        <v>188</v>
      </c>
      <c r="C69" s="252"/>
      <c r="D69" s="252"/>
      <c r="E69" s="252"/>
      <c r="F69" s="252"/>
      <c r="G69" s="252"/>
      <c r="H69" s="252"/>
      <c r="I69" s="145"/>
      <c r="J69" s="146"/>
      <c r="K69" s="19" t="str">
        <f>IF(B69="","入力してください","")</f>
        <v/>
      </c>
    </row>
    <row r="70" spans="1:11" s="4" customFormat="1" ht="18.75" customHeight="1">
      <c r="A70" s="1"/>
      <c r="B70" s="147"/>
      <c r="C70" s="148"/>
      <c r="D70" s="148"/>
      <c r="E70" s="148"/>
      <c r="F70" s="148"/>
      <c r="G70" s="148"/>
      <c r="H70" s="148"/>
      <c r="I70" s="148"/>
      <c r="J70" s="149"/>
      <c r="K70" s="19"/>
    </row>
    <row r="71" spans="1:11" s="4" customFormat="1" ht="18.75" customHeight="1">
      <c r="A71" s="1"/>
      <c r="B71" s="147"/>
      <c r="C71" s="148"/>
      <c r="D71" s="148"/>
      <c r="E71" s="148"/>
      <c r="F71" s="148"/>
      <c r="G71" s="148"/>
      <c r="H71" s="148"/>
      <c r="I71" s="148"/>
      <c r="J71" s="149"/>
      <c r="K71" s="19"/>
    </row>
    <row r="72" spans="1:11" s="4" customFormat="1" ht="18.75" customHeight="1">
      <c r="A72" s="1"/>
      <c r="B72" s="147"/>
      <c r="C72" s="148"/>
      <c r="D72" s="148"/>
      <c r="E72" s="148"/>
      <c r="F72" s="148"/>
      <c r="G72" s="148"/>
      <c r="H72" s="148"/>
      <c r="I72" s="148"/>
      <c r="J72" s="149"/>
      <c r="K72" s="19"/>
    </row>
    <row r="73" spans="1:11" s="4" customFormat="1" ht="18.75" customHeight="1">
      <c r="A73" s="1"/>
      <c r="B73" s="147"/>
      <c r="C73" s="148"/>
      <c r="D73" s="148"/>
      <c r="E73" s="148"/>
      <c r="F73" s="148"/>
      <c r="G73" s="148"/>
      <c r="H73" s="148"/>
      <c r="I73" s="148"/>
      <c r="J73" s="149"/>
      <c r="K73" s="19"/>
    </row>
    <row r="74" spans="1:11" s="4" customFormat="1" ht="18.75" customHeight="1">
      <c r="A74" s="1"/>
      <c r="B74" s="147"/>
      <c r="C74" s="148"/>
      <c r="D74" s="148"/>
      <c r="E74" s="148"/>
      <c r="F74" s="148"/>
      <c r="G74" s="148"/>
      <c r="H74" s="148"/>
      <c r="I74" s="148"/>
      <c r="J74" s="149"/>
      <c r="K74" s="19"/>
    </row>
    <row r="75" spans="1:11" s="4" customFormat="1" ht="18.75" customHeight="1">
      <c r="A75" s="1"/>
      <c r="B75" s="147"/>
      <c r="C75" s="148"/>
      <c r="D75" s="148"/>
      <c r="E75" s="148"/>
      <c r="F75" s="148"/>
      <c r="G75" s="148"/>
      <c r="H75" s="148"/>
      <c r="I75" s="148"/>
      <c r="J75" s="149"/>
      <c r="K75" s="19"/>
    </row>
    <row r="76" spans="1:11" s="4" customFormat="1" ht="18.75" customHeight="1">
      <c r="A76" s="1"/>
      <c r="B76" s="147"/>
      <c r="C76" s="148"/>
      <c r="D76" s="148"/>
      <c r="E76" s="148"/>
      <c r="F76" s="148"/>
      <c r="G76" s="148"/>
      <c r="H76" s="148"/>
      <c r="I76" s="148"/>
      <c r="J76" s="149"/>
      <c r="K76" s="19"/>
    </row>
    <row r="77" spans="1:11" s="4" customFormat="1" ht="18.75" customHeight="1">
      <c r="A77" s="1"/>
      <c r="B77" s="147"/>
      <c r="C77" s="148"/>
      <c r="D77" s="148"/>
      <c r="E77" s="148"/>
      <c r="F77" s="148"/>
      <c r="G77" s="148"/>
      <c r="H77" s="148"/>
      <c r="I77" s="148"/>
      <c r="J77" s="149"/>
      <c r="K77" s="19"/>
    </row>
    <row r="78" spans="1:11" s="4" customFormat="1" ht="18.75" customHeight="1">
      <c r="A78" s="1"/>
      <c r="B78" s="147"/>
      <c r="C78" s="148"/>
      <c r="D78" s="148"/>
      <c r="E78" s="148"/>
      <c r="F78" s="148"/>
      <c r="G78" s="148"/>
      <c r="H78" s="148"/>
      <c r="I78" s="148"/>
      <c r="J78" s="149"/>
      <c r="K78" s="19"/>
    </row>
    <row r="79" spans="1:11" s="4" customFormat="1" ht="18.75" customHeight="1">
      <c r="A79" s="1"/>
      <c r="B79" s="147"/>
      <c r="C79" s="148"/>
      <c r="D79" s="148"/>
      <c r="E79" s="148"/>
      <c r="F79" s="148"/>
      <c r="G79" s="148"/>
      <c r="H79" s="148"/>
      <c r="I79" s="148"/>
      <c r="J79" s="149"/>
      <c r="K79" s="19"/>
    </row>
    <row r="80" spans="1:11" s="4" customFormat="1" ht="18.75" customHeight="1">
      <c r="A80" s="1"/>
      <c r="B80" s="147"/>
      <c r="C80" s="148"/>
      <c r="D80" s="148"/>
      <c r="E80" s="148"/>
      <c r="F80" s="148"/>
      <c r="G80" s="148"/>
      <c r="H80" s="148"/>
      <c r="I80" s="148"/>
      <c r="J80" s="149"/>
      <c r="K80" s="19"/>
    </row>
    <row r="81" spans="1:11" s="4" customFormat="1" ht="18.75" customHeight="1">
      <c r="A81" s="1"/>
      <c r="B81" s="147"/>
      <c r="C81" s="148"/>
      <c r="D81" s="148"/>
      <c r="E81" s="148"/>
      <c r="F81" s="148"/>
      <c r="G81" s="148"/>
      <c r="H81" s="148"/>
      <c r="I81" s="148"/>
      <c r="J81" s="149"/>
      <c r="K81" s="19"/>
    </row>
    <row r="82" spans="1:11" s="4" customFormat="1" ht="18.75" customHeight="1">
      <c r="A82" s="1"/>
      <c r="B82" s="147"/>
      <c r="C82" s="148"/>
      <c r="D82" s="148"/>
      <c r="E82" s="148"/>
      <c r="F82" s="148"/>
      <c r="G82" s="148"/>
      <c r="H82" s="148"/>
      <c r="I82" s="148"/>
      <c r="J82" s="149"/>
      <c r="K82" s="19"/>
    </row>
    <row r="83" spans="1:11" s="4" customFormat="1" ht="18.75" customHeight="1">
      <c r="A83" s="1"/>
      <c r="B83" s="147"/>
      <c r="C83" s="148"/>
      <c r="D83" s="148"/>
      <c r="E83" s="148"/>
      <c r="F83" s="148"/>
      <c r="G83" s="148"/>
      <c r="H83" s="148"/>
      <c r="I83" s="148"/>
      <c r="J83" s="149"/>
      <c r="K83" s="19"/>
    </row>
    <row r="84" spans="1:11" s="4" customFormat="1" ht="18.75" customHeight="1">
      <c r="A84" s="1"/>
      <c r="B84" s="147"/>
      <c r="C84" s="148"/>
      <c r="D84" s="148"/>
      <c r="E84" s="148"/>
      <c r="F84" s="148"/>
      <c r="G84" s="148"/>
      <c r="H84" s="148"/>
      <c r="I84" s="148"/>
      <c r="J84" s="149"/>
      <c r="K84" s="19"/>
    </row>
    <row r="85" spans="1:11" ht="18.75" customHeight="1">
      <c r="A85" s="25"/>
      <c r="B85" s="147"/>
      <c r="C85" s="148"/>
      <c r="D85" s="148"/>
      <c r="E85" s="148"/>
      <c r="F85" s="148"/>
      <c r="G85" s="148"/>
      <c r="H85" s="148"/>
      <c r="I85" s="148"/>
      <c r="J85" s="149"/>
    </row>
    <row r="86" spans="1:11" ht="18.75" customHeight="1">
      <c r="A86" s="25"/>
      <c r="B86" s="150"/>
      <c r="C86" s="151"/>
      <c r="D86" s="151"/>
      <c r="E86" s="151"/>
      <c r="F86" s="151"/>
      <c r="G86" s="151"/>
      <c r="H86" s="151"/>
      <c r="I86" s="151"/>
      <c r="J86" s="152"/>
    </row>
    <row r="87" spans="1:11" ht="7.5" customHeight="1">
      <c r="A87" s="25"/>
      <c r="B87" s="25"/>
      <c r="C87" s="25"/>
      <c r="D87" s="25"/>
      <c r="E87" s="25"/>
      <c r="F87" s="25"/>
      <c r="G87" s="25"/>
      <c r="H87" s="25"/>
      <c r="I87" s="25"/>
      <c r="J87" s="25"/>
    </row>
    <row r="88" spans="1:11" s="4" customFormat="1" ht="18.75" customHeight="1">
      <c r="A88" s="1" t="s">
        <v>189</v>
      </c>
      <c r="B88" s="1" t="s">
        <v>190</v>
      </c>
      <c r="C88" s="1"/>
      <c r="D88" s="1"/>
      <c r="E88" s="1"/>
      <c r="F88" s="1"/>
      <c r="G88" s="1"/>
      <c r="H88" s="1"/>
      <c r="I88" s="1"/>
      <c r="J88" s="1"/>
      <c r="K88" s="19"/>
    </row>
    <row r="89" spans="1:11" s="4" customFormat="1" ht="18.75" customHeight="1">
      <c r="A89" s="1"/>
      <c r="B89" s="251" t="s">
        <v>191</v>
      </c>
      <c r="C89" s="252"/>
      <c r="D89" s="252"/>
      <c r="E89" s="252"/>
      <c r="F89" s="252"/>
      <c r="G89" s="252"/>
      <c r="H89" s="252"/>
      <c r="I89" s="145"/>
      <c r="J89" s="146"/>
      <c r="K89" s="19"/>
    </row>
    <row r="90" spans="1:11" s="4" customFormat="1" ht="18.75" customHeight="1">
      <c r="A90" s="1"/>
      <c r="B90" s="147"/>
      <c r="C90" s="148"/>
      <c r="D90" s="148"/>
      <c r="E90" s="148"/>
      <c r="F90" s="148"/>
      <c r="G90" s="148"/>
      <c r="H90" s="148"/>
      <c r="I90" s="148"/>
      <c r="J90" s="149"/>
      <c r="K90" s="19"/>
    </row>
    <row r="91" spans="1:11" s="4" customFormat="1" ht="18.75" customHeight="1">
      <c r="A91" s="1"/>
      <c r="B91" s="147"/>
      <c r="C91" s="148"/>
      <c r="D91" s="148"/>
      <c r="E91" s="148"/>
      <c r="F91" s="148"/>
      <c r="G91" s="148"/>
      <c r="H91" s="148"/>
      <c r="I91" s="148"/>
      <c r="J91" s="149"/>
      <c r="K91" s="19" t="str">
        <f>IF(B89="","入力してください","")</f>
        <v/>
      </c>
    </row>
    <row r="92" spans="1:11" s="4" customFormat="1" ht="18.75" customHeight="1">
      <c r="A92" s="1"/>
      <c r="B92" s="147"/>
      <c r="C92" s="148"/>
      <c r="D92" s="148"/>
      <c r="E92" s="148"/>
      <c r="F92" s="148"/>
      <c r="G92" s="148"/>
      <c r="H92" s="148"/>
      <c r="I92" s="148"/>
      <c r="J92" s="149"/>
      <c r="K92" s="19"/>
    </row>
    <row r="93" spans="1:11" s="4" customFormat="1" ht="18.75" customHeight="1">
      <c r="A93" s="1"/>
      <c r="B93" s="147"/>
      <c r="C93" s="148"/>
      <c r="D93" s="148"/>
      <c r="E93" s="148"/>
      <c r="F93" s="148"/>
      <c r="G93" s="148"/>
      <c r="H93" s="148"/>
      <c r="I93" s="148"/>
      <c r="J93" s="149"/>
      <c r="K93" s="19"/>
    </row>
    <row r="94" spans="1:11" s="4" customFormat="1" ht="18.75" customHeight="1">
      <c r="A94" s="1"/>
      <c r="B94" s="147"/>
      <c r="C94" s="148"/>
      <c r="D94" s="148"/>
      <c r="E94" s="148"/>
      <c r="F94" s="148"/>
      <c r="G94" s="148"/>
      <c r="H94" s="148"/>
      <c r="I94" s="148"/>
      <c r="J94" s="149"/>
      <c r="K94" s="19"/>
    </row>
    <row r="95" spans="1:11" s="4" customFormat="1" ht="18.75" customHeight="1">
      <c r="A95" s="1"/>
      <c r="B95" s="147"/>
      <c r="C95" s="148"/>
      <c r="D95" s="148"/>
      <c r="E95" s="148"/>
      <c r="F95" s="148"/>
      <c r="G95" s="148"/>
      <c r="H95" s="148"/>
      <c r="I95" s="148"/>
      <c r="J95" s="149"/>
      <c r="K95" s="19"/>
    </row>
    <row r="96" spans="1:11" s="4" customFormat="1" ht="18.75" customHeight="1">
      <c r="A96" s="1"/>
      <c r="B96" s="147"/>
      <c r="C96" s="148"/>
      <c r="D96" s="148"/>
      <c r="E96" s="148"/>
      <c r="F96" s="148"/>
      <c r="G96" s="148"/>
      <c r="H96" s="148"/>
      <c r="I96" s="148"/>
      <c r="J96" s="149"/>
      <c r="K96" s="19"/>
    </row>
    <row r="97" spans="1:11" s="4" customFormat="1" ht="18.75" customHeight="1">
      <c r="A97" s="1"/>
      <c r="B97" s="147"/>
      <c r="C97" s="148"/>
      <c r="D97" s="148"/>
      <c r="E97" s="148"/>
      <c r="F97" s="148"/>
      <c r="G97" s="148"/>
      <c r="H97" s="148"/>
      <c r="I97" s="148"/>
      <c r="J97" s="149"/>
      <c r="K97" s="19"/>
    </row>
    <row r="98" spans="1:11" s="4" customFormat="1" ht="18.75" customHeight="1">
      <c r="A98" s="1"/>
      <c r="B98" s="147"/>
      <c r="C98" s="148"/>
      <c r="D98" s="148"/>
      <c r="E98" s="148"/>
      <c r="F98" s="148"/>
      <c r="G98" s="148"/>
      <c r="H98" s="148"/>
      <c r="I98" s="148"/>
      <c r="J98" s="149"/>
      <c r="K98" s="19"/>
    </row>
    <row r="99" spans="1:11" s="4" customFormat="1" ht="18.75" customHeight="1">
      <c r="A99" s="1"/>
      <c r="B99" s="147"/>
      <c r="C99" s="148"/>
      <c r="D99" s="148"/>
      <c r="E99" s="148"/>
      <c r="F99" s="148"/>
      <c r="G99" s="148"/>
      <c r="H99" s="148"/>
      <c r="I99" s="148"/>
      <c r="J99" s="149"/>
      <c r="K99" s="19"/>
    </row>
    <row r="100" spans="1:11" s="4" customFormat="1" ht="18.75" customHeight="1">
      <c r="A100" s="1"/>
      <c r="B100" s="147"/>
      <c r="C100" s="148"/>
      <c r="D100" s="148"/>
      <c r="E100" s="148"/>
      <c r="F100" s="148"/>
      <c r="G100" s="148"/>
      <c r="H100" s="148"/>
      <c r="I100" s="148"/>
      <c r="J100" s="149"/>
      <c r="K100" s="19"/>
    </row>
    <row r="101" spans="1:11" s="4" customFormat="1" ht="18.75" customHeight="1">
      <c r="A101" s="1"/>
      <c r="B101" s="147"/>
      <c r="C101" s="148"/>
      <c r="D101" s="148"/>
      <c r="E101" s="148"/>
      <c r="F101" s="148"/>
      <c r="G101" s="148"/>
      <c r="H101" s="148"/>
      <c r="I101" s="148"/>
      <c r="J101" s="149"/>
      <c r="K101" s="19"/>
    </row>
    <row r="102" spans="1:11" s="4" customFormat="1" ht="18.75" customHeight="1">
      <c r="A102" s="1"/>
      <c r="B102" s="147"/>
      <c r="C102" s="148"/>
      <c r="D102" s="148"/>
      <c r="E102" s="148"/>
      <c r="F102" s="148"/>
      <c r="G102" s="148"/>
      <c r="H102" s="148"/>
      <c r="I102" s="148"/>
      <c r="J102" s="149"/>
      <c r="K102" s="19"/>
    </row>
    <row r="103" spans="1:11" s="4" customFormat="1" ht="18.75" customHeight="1">
      <c r="A103" s="1"/>
      <c r="B103" s="147"/>
      <c r="C103" s="148"/>
      <c r="D103" s="148"/>
      <c r="E103" s="148"/>
      <c r="F103" s="148"/>
      <c r="G103" s="148"/>
      <c r="H103" s="148"/>
      <c r="I103" s="148"/>
      <c r="J103" s="149"/>
      <c r="K103" s="19"/>
    </row>
    <row r="104" spans="1:11" s="4" customFormat="1" ht="18.75" customHeight="1">
      <c r="A104" s="1"/>
      <c r="B104" s="147"/>
      <c r="C104" s="148"/>
      <c r="D104" s="148"/>
      <c r="E104" s="148"/>
      <c r="F104" s="148"/>
      <c r="G104" s="148"/>
      <c r="H104" s="148"/>
      <c r="I104" s="148"/>
      <c r="J104" s="149"/>
      <c r="K104" s="19"/>
    </row>
    <row r="105" spans="1:11" s="4" customFormat="1" ht="18.75" customHeight="1">
      <c r="A105" s="1"/>
      <c r="B105" s="147"/>
      <c r="C105" s="148"/>
      <c r="D105" s="148"/>
      <c r="E105" s="148"/>
      <c r="F105" s="148"/>
      <c r="G105" s="148"/>
      <c r="H105" s="148"/>
      <c r="I105" s="148"/>
      <c r="J105" s="149"/>
      <c r="K105" s="19"/>
    </row>
    <row r="106" spans="1:11" s="4" customFormat="1" ht="18.75" customHeight="1">
      <c r="A106" s="1"/>
      <c r="B106" s="147"/>
      <c r="C106" s="148"/>
      <c r="D106" s="148"/>
      <c r="E106" s="148"/>
      <c r="F106" s="148"/>
      <c r="G106" s="148"/>
      <c r="H106" s="148"/>
      <c r="I106" s="148"/>
      <c r="J106" s="149"/>
      <c r="K106" s="19"/>
    </row>
    <row r="107" spans="1:11" ht="18.75" customHeight="1">
      <c r="A107" s="25"/>
      <c r="B107" s="147"/>
      <c r="C107" s="148"/>
      <c r="D107" s="148"/>
      <c r="E107" s="148"/>
      <c r="F107" s="148"/>
      <c r="G107" s="148"/>
      <c r="H107" s="148"/>
      <c r="I107" s="148"/>
      <c r="J107" s="149"/>
    </row>
    <row r="108" spans="1:11" ht="18.75" customHeight="1">
      <c r="A108" s="25"/>
      <c r="B108" s="150"/>
      <c r="C108" s="151"/>
      <c r="D108" s="151"/>
      <c r="E108" s="151"/>
      <c r="F108" s="151"/>
      <c r="G108" s="151"/>
      <c r="H108" s="151"/>
      <c r="I108" s="151"/>
      <c r="J108" s="152"/>
    </row>
    <row r="109" spans="1:11" ht="7.5" customHeight="1">
      <c r="A109" s="25"/>
      <c r="B109" s="25" t="s">
        <v>56</v>
      </c>
      <c r="C109" s="25"/>
      <c r="D109" s="25"/>
      <c r="E109" s="25"/>
      <c r="F109" s="25"/>
      <c r="G109" s="25"/>
      <c r="H109" s="25"/>
      <c r="I109" s="25"/>
      <c r="J109" s="25"/>
    </row>
    <row r="110" spans="1:11" s="4" customFormat="1" ht="18.75" customHeight="1">
      <c r="A110" s="1" t="s">
        <v>23</v>
      </c>
      <c r="B110" s="284" t="s">
        <v>192</v>
      </c>
      <c r="C110" s="284"/>
      <c r="D110" s="284"/>
      <c r="E110" s="284"/>
      <c r="F110" s="284"/>
      <c r="G110" s="284"/>
      <c r="H110" s="284"/>
      <c r="I110" s="284"/>
      <c r="J110" s="284"/>
      <c r="K110" s="19"/>
    </row>
    <row r="111" spans="1:11" ht="18.75" customHeight="1">
      <c r="A111" s="25"/>
      <c r="B111" s="251" t="s">
        <v>193</v>
      </c>
      <c r="C111" s="252"/>
      <c r="D111" s="252"/>
      <c r="E111" s="252"/>
      <c r="F111" s="252"/>
      <c r="G111" s="252"/>
      <c r="H111" s="252"/>
      <c r="I111" s="145"/>
      <c r="J111" s="146"/>
    </row>
    <row r="112" spans="1:11" ht="18.75" customHeight="1">
      <c r="A112" s="25"/>
      <c r="B112" s="147"/>
      <c r="C112" s="148"/>
      <c r="D112" s="148"/>
      <c r="E112" s="148"/>
      <c r="F112" s="148"/>
      <c r="G112" s="148"/>
      <c r="H112" s="148"/>
      <c r="I112" s="148"/>
      <c r="J112" s="149"/>
    </row>
    <row r="113" spans="1:11" ht="18.75" customHeight="1">
      <c r="A113" s="25"/>
      <c r="B113" s="147"/>
      <c r="C113" s="148"/>
      <c r="D113" s="148"/>
      <c r="E113" s="148"/>
      <c r="F113" s="148"/>
      <c r="G113" s="148"/>
      <c r="H113" s="148"/>
      <c r="I113" s="148"/>
      <c r="J113" s="149"/>
      <c r="K113" s="19" t="str">
        <f>IF(B111="","入力してください","")</f>
        <v/>
      </c>
    </row>
    <row r="114" spans="1:11" ht="18.75" customHeight="1">
      <c r="A114" s="25"/>
      <c r="B114" s="147"/>
      <c r="C114" s="148"/>
      <c r="D114" s="148"/>
      <c r="E114" s="148"/>
      <c r="F114" s="148"/>
      <c r="G114" s="148"/>
      <c r="H114" s="148"/>
      <c r="I114" s="148"/>
      <c r="J114" s="149"/>
    </row>
    <row r="115" spans="1:11" ht="18.75" customHeight="1">
      <c r="A115" s="25"/>
      <c r="B115" s="147"/>
      <c r="C115" s="148"/>
      <c r="D115" s="148"/>
      <c r="E115" s="148"/>
      <c r="F115" s="148"/>
      <c r="G115" s="148"/>
      <c r="H115" s="148"/>
      <c r="I115" s="148"/>
      <c r="J115" s="149"/>
    </row>
    <row r="116" spans="1:11" ht="18.75" customHeight="1">
      <c r="A116" s="25"/>
      <c r="B116" s="147"/>
      <c r="C116" s="148"/>
      <c r="D116" s="148"/>
      <c r="E116" s="148"/>
      <c r="F116" s="148"/>
      <c r="G116" s="148"/>
      <c r="H116" s="148"/>
      <c r="I116" s="148"/>
      <c r="J116" s="149"/>
    </row>
    <row r="117" spans="1:11" ht="18.75" customHeight="1">
      <c r="A117" s="25"/>
      <c r="B117" s="147"/>
      <c r="C117" s="148"/>
      <c r="D117" s="148"/>
      <c r="E117" s="148"/>
      <c r="F117" s="148"/>
      <c r="G117" s="148"/>
      <c r="H117" s="148"/>
      <c r="I117" s="148"/>
      <c r="J117" s="149"/>
    </row>
    <row r="118" spans="1:11" ht="18.75" customHeight="1">
      <c r="A118" s="25"/>
      <c r="B118" s="147"/>
      <c r="C118" s="148"/>
      <c r="D118" s="148"/>
      <c r="E118" s="148"/>
      <c r="F118" s="148"/>
      <c r="G118" s="148"/>
      <c r="H118" s="148"/>
      <c r="I118" s="148"/>
      <c r="J118" s="149"/>
    </row>
    <row r="119" spans="1:11" ht="18.75" customHeight="1">
      <c r="A119" s="25"/>
      <c r="B119" s="147"/>
      <c r="C119" s="148"/>
      <c r="D119" s="148"/>
      <c r="E119" s="148"/>
      <c r="F119" s="148"/>
      <c r="G119" s="148"/>
      <c r="H119" s="148"/>
      <c r="I119" s="148"/>
      <c r="J119" s="149"/>
    </row>
    <row r="120" spans="1:11" ht="18.75" customHeight="1">
      <c r="A120" s="25"/>
      <c r="B120" s="147"/>
      <c r="C120" s="148"/>
      <c r="D120" s="148"/>
      <c r="E120" s="148"/>
      <c r="F120" s="148"/>
      <c r="G120" s="148"/>
      <c r="H120" s="148"/>
      <c r="I120" s="148"/>
      <c r="J120" s="149"/>
    </row>
    <row r="121" spans="1:11" ht="18.75" customHeight="1">
      <c r="A121" s="25"/>
      <c r="B121" s="147"/>
      <c r="C121" s="148"/>
      <c r="D121" s="148"/>
      <c r="E121" s="148"/>
      <c r="F121" s="148"/>
      <c r="G121" s="148"/>
      <c r="H121" s="148"/>
      <c r="I121" s="148"/>
      <c r="J121" s="149"/>
    </row>
    <row r="122" spans="1:11" ht="18.75" customHeight="1">
      <c r="A122" s="25"/>
      <c r="B122" s="147"/>
      <c r="C122" s="148"/>
      <c r="D122" s="148"/>
      <c r="E122" s="148"/>
      <c r="F122" s="148"/>
      <c r="G122" s="148"/>
      <c r="H122" s="148"/>
      <c r="I122" s="148"/>
      <c r="J122" s="149"/>
    </row>
    <row r="123" spans="1:11" ht="18.75" customHeight="1">
      <c r="A123" s="25"/>
      <c r="B123" s="147"/>
      <c r="C123" s="148"/>
      <c r="D123" s="148"/>
      <c r="E123" s="148"/>
      <c r="F123" s="148"/>
      <c r="G123" s="148"/>
      <c r="H123" s="148"/>
      <c r="I123" s="148"/>
      <c r="J123" s="149"/>
    </row>
    <row r="124" spans="1:11" ht="18.75" customHeight="1">
      <c r="A124" s="25"/>
      <c r="B124" s="147"/>
      <c r="C124" s="148"/>
      <c r="D124" s="148"/>
      <c r="E124" s="148"/>
      <c r="F124" s="148"/>
      <c r="G124" s="148"/>
      <c r="H124" s="148"/>
      <c r="I124" s="148"/>
      <c r="J124" s="149"/>
    </row>
    <row r="125" spans="1:11" ht="18.75" customHeight="1">
      <c r="A125" s="25"/>
      <c r="B125" s="147"/>
      <c r="C125" s="148"/>
      <c r="D125" s="148"/>
      <c r="E125" s="148"/>
      <c r="F125" s="148"/>
      <c r="G125" s="148"/>
      <c r="H125" s="148"/>
      <c r="I125" s="148"/>
      <c r="J125" s="149"/>
    </row>
    <row r="126" spans="1:11" ht="18.75" customHeight="1">
      <c r="A126" s="25"/>
      <c r="B126" s="147"/>
      <c r="C126" s="148"/>
      <c r="D126" s="148"/>
      <c r="E126" s="148"/>
      <c r="F126" s="148"/>
      <c r="G126" s="148"/>
      <c r="H126" s="148"/>
      <c r="I126" s="148"/>
      <c r="J126" s="149"/>
    </row>
    <row r="127" spans="1:11" ht="18.75" customHeight="1">
      <c r="A127" s="25"/>
      <c r="B127" s="147"/>
      <c r="C127" s="148"/>
      <c r="D127" s="148"/>
      <c r="E127" s="148"/>
      <c r="F127" s="148"/>
      <c r="G127" s="148"/>
      <c r="H127" s="148"/>
      <c r="I127" s="148"/>
      <c r="J127" s="149"/>
    </row>
    <row r="128" spans="1:11" ht="18.75" customHeight="1">
      <c r="A128" s="25"/>
      <c r="B128" s="147"/>
      <c r="C128" s="148"/>
      <c r="D128" s="148"/>
      <c r="E128" s="148"/>
      <c r="F128" s="148"/>
      <c r="G128" s="148"/>
      <c r="H128" s="148"/>
      <c r="I128" s="148"/>
      <c r="J128" s="149"/>
    </row>
    <row r="129" spans="1:10" ht="18.75" customHeight="1">
      <c r="A129" s="25"/>
      <c r="B129" s="150"/>
      <c r="C129" s="151"/>
      <c r="D129" s="151"/>
      <c r="E129" s="151"/>
      <c r="F129" s="151"/>
      <c r="G129" s="151"/>
      <c r="H129" s="151"/>
      <c r="I129" s="151"/>
      <c r="J129" s="152"/>
    </row>
    <row r="130" spans="1:10" ht="7.5" customHeight="1">
      <c r="A130" s="25"/>
      <c r="B130" s="75"/>
      <c r="C130" s="75"/>
      <c r="D130" s="75"/>
      <c r="E130" s="75"/>
      <c r="F130" s="75"/>
      <c r="G130" s="75"/>
      <c r="H130" s="75"/>
      <c r="I130" s="75"/>
      <c r="J130" s="75"/>
    </row>
    <row r="131" spans="1:10" ht="18.75" customHeight="1">
      <c r="A131" s="25"/>
      <c r="B131" s="25"/>
      <c r="C131" s="25"/>
      <c r="D131" s="25"/>
      <c r="E131" s="25"/>
      <c r="F131" s="25"/>
      <c r="G131" s="25"/>
      <c r="H131" s="25"/>
      <c r="I131" s="25"/>
      <c r="J131" s="25"/>
    </row>
    <row r="132" spans="1:10" ht="18.75" customHeight="1">
      <c r="A132" s="25"/>
      <c r="B132" s="25"/>
      <c r="C132" s="25"/>
      <c r="D132" s="25"/>
      <c r="E132" s="25"/>
      <c r="F132" s="25"/>
      <c r="G132" s="25"/>
      <c r="H132" s="25"/>
      <c r="I132" s="25"/>
      <c r="J132" s="25"/>
    </row>
    <row r="133" spans="1:10" ht="18.75" customHeight="1">
      <c r="A133" s="25"/>
      <c r="B133" s="25"/>
      <c r="C133" s="25"/>
      <c r="D133" s="25"/>
      <c r="E133" s="25"/>
      <c r="F133" s="25"/>
      <c r="G133" s="25"/>
      <c r="H133" s="25"/>
      <c r="I133" s="25"/>
      <c r="J133" s="25"/>
    </row>
    <row r="134" spans="1:10" ht="18.75" customHeight="1">
      <c r="A134" s="25"/>
      <c r="B134" s="25"/>
      <c r="C134" s="25"/>
      <c r="D134" s="25"/>
      <c r="E134" s="25"/>
      <c r="F134" s="25"/>
      <c r="G134" s="25"/>
      <c r="H134" s="25"/>
      <c r="I134" s="25"/>
      <c r="J134" s="25"/>
    </row>
    <row r="135" spans="1:10" ht="18.75" customHeight="1">
      <c r="A135" s="25"/>
      <c r="B135" s="25"/>
      <c r="C135" s="25"/>
      <c r="D135" s="25"/>
      <c r="E135" s="25"/>
      <c r="F135" s="25"/>
      <c r="G135" s="25"/>
      <c r="H135" s="25"/>
      <c r="I135" s="25"/>
      <c r="J135" s="25"/>
    </row>
    <row r="136" spans="1:10" ht="18.75" customHeight="1">
      <c r="A136" s="25"/>
      <c r="B136" s="25"/>
      <c r="C136" s="25"/>
      <c r="D136" s="25"/>
      <c r="E136" s="25"/>
      <c r="F136" s="25"/>
      <c r="G136" s="25"/>
      <c r="H136" s="25"/>
      <c r="I136" s="25"/>
      <c r="J136" s="25"/>
    </row>
    <row r="137" spans="1:10" ht="18.75" customHeight="1">
      <c r="A137" s="25"/>
      <c r="B137" s="25"/>
      <c r="C137" s="25"/>
      <c r="D137" s="25"/>
      <c r="E137" s="25"/>
      <c r="F137" s="25"/>
      <c r="G137" s="25"/>
      <c r="H137" s="25"/>
      <c r="I137" s="25"/>
      <c r="J137" s="25"/>
    </row>
    <row r="138" spans="1:10" ht="18.75" customHeight="1">
      <c r="A138" s="25"/>
      <c r="B138" s="25"/>
      <c r="C138" s="25"/>
      <c r="D138" s="25"/>
      <c r="E138" s="25"/>
      <c r="F138" s="25"/>
      <c r="G138" s="25"/>
      <c r="H138" s="25"/>
      <c r="I138" s="25"/>
      <c r="J138" s="25"/>
    </row>
    <row r="139" spans="1:10" ht="18.75" customHeight="1">
      <c r="A139" s="25"/>
      <c r="B139" s="25"/>
      <c r="C139" s="25"/>
      <c r="D139" s="25"/>
      <c r="E139" s="25"/>
      <c r="F139" s="25"/>
      <c r="G139" s="25"/>
      <c r="H139" s="25"/>
      <c r="I139" s="25"/>
      <c r="J139" s="25"/>
    </row>
    <row r="140" spans="1:10" ht="18.75" customHeight="1">
      <c r="A140" s="25"/>
      <c r="B140" s="25"/>
      <c r="C140" s="25"/>
      <c r="D140" s="25"/>
      <c r="E140" s="25"/>
      <c r="F140" s="25"/>
      <c r="G140" s="25"/>
      <c r="H140" s="25"/>
      <c r="I140" s="25"/>
      <c r="J140" s="25"/>
    </row>
    <row r="141" spans="1:10" ht="18.75" customHeight="1">
      <c r="A141" s="25"/>
      <c r="B141" s="25"/>
      <c r="C141" s="25"/>
      <c r="D141" s="25"/>
      <c r="E141" s="25"/>
      <c r="F141" s="25"/>
      <c r="G141" s="25"/>
      <c r="H141" s="25"/>
      <c r="I141" s="25"/>
      <c r="J141" s="25"/>
    </row>
    <row r="142" spans="1:10" ht="18.75" customHeight="1">
      <c r="A142" s="25"/>
      <c r="B142" s="25"/>
      <c r="C142" s="25"/>
      <c r="D142" s="25"/>
      <c r="E142" s="25"/>
      <c r="F142" s="25"/>
      <c r="G142" s="25"/>
      <c r="H142" s="25"/>
      <c r="I142" s="25"/>
      <c r="J142" s="25"/>
    </row>
    <row r="143" spans="1:10" ht="14.25">
      <c r="A143" s="25"/>
      <c r="B143" s="25"/>
      <c r="C143" s="25"/>
      <c r="D143" s="25"/>
      <c r="E143" s="25"/>
      <c r="F143" s="25"/>
      <c r="G143" s="25"/>
      <c r="H143" s="25"/>
      <c r="I143" s="25"/>
      <c r="J143" s="25"/>
    </row>
    <row r="144" spans="1:10" ht="7.5" customHeight="1">
      <c r="A144" s="76"/>
      <c r="B144" s="76"/>
      <c r="C144" s="76"/>
      <c r="D144" s="76"/>
      <c r="E144" s="76"/>
      <c r="F144" s="76"/>
      <c r="G144" s="76"/>
      <c r="H144" s="76"/>
      <c r="I144" s="76"/>
      <c r="J144" s="76"/>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6"/>
  <sheetViews>
    <sheetView showZeros="0" view="pageBreakPreview" topLeftCell="A12" zoomScaleNormal="100" zoomScaleSheetLayoutView="100" workbookViewId="0">
      <selection activeCell="E12" sqref="E12"/>
    </sheetView>
  </sheetViews>
  <sheetFormatPr defaultColWidth="11.375" defaultRowHeight="22.5" customHeight="1"/>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19" customWidth="1"/>
    <col min="12" max="16384" width="11.375" style="1"/>
  </cols>
  <sheetData>
    <row r="1" spans="1:12" ht="18.75" customHeight="1">
      <c r="A1" s="1" t="s">
        <v>194</v>
      </c>
      <c r="J1" s="27" t="s">
        <v>195</v>
      </c>
    </row>
    <row r="2" spans="1:12" ht="18.75" customHeight="1">
      <c r="A2" s="231" t="s">
        <v>196</v>
      </c>
      <c r="B2" s="231"/>
      <c r="C2" s="231"/>
      <c r="D2" s="231"/>
      <c r="E2" s="231"/>
      <c r="F2" s="231"/>
      <c r="G2" s="231"/>
      <c r="H2" s="231"/>
      <c r="I2" s="231"/>
      <c r="J2" s="231"/>
    </row>
    <row r="3" spans="1:12" ht="7.5" customHeight="1">
      <c r="A3" s="28"/>
      <c r="B3" s="28"/>
      <c r="C3" s="28"/>
      <c r="D3" s="28"/>
      <c r="E3" s="28"/>
      <c r="F3" s="28"/>
      <c r="G3" s="28"/>
      <c r="H3" s="28"/>
      <c r="I3" s="28"/>
      <c r="J3" s="28"/>
    </row>
    <row r="4" spans="1:12" ht="18.75" customHeight="1">
      <c r="A4" s="1" t="s">
        <v>2</v>
      </c>
      <c r="B4" s="4" t="s">
        <v>197</v>
      </c>
      <c r="C4" s="25"/>
      <c r="D4" s="25"/>
      <c r="E4" s="26"/>
      <c r="F4" s="26"/>
      <c r="G4" s="26"/>
      <c r="H4" s="26"/>
      <c r="I4" s="26"/>
      <c r="J4" s="26"/>
    </row>
    <row r="5" spans="1:12" ht="18.75" customHeight="1">
      <c r="B5" s="263" t="s">
        <v>198</v>
      </c>
      <c r="C5" s="264"/>
      <c r="D5" s="265"/>
      <c r="E5" s="266" t="s">
        <v>199</v>
      </c>
      <c r="F5" s="266"/>
      <c r="G5" s="266"/>
      <c r="H5" s="266"/>
      <c r="I5" s="266"/>
      <c r="J5" s="267"/>
    </row>
    <row r="6" spans="1:12" ht="18.75" customHeight="1">
      <c r="B6" s="3" t="s">
        <v>200</v>
      </c>
      <c r="C6" s="25"/>
      <c r="D6" s="7"/>
      <c r="I6" s="26"/>
      <c r="J6" s="5"/>
    </row>
    <row r="7" spans="1:12" ht="207" customHeight="1">
      <c r="B7" s="6"/>
      <c r="C7" s="268" t="s">
        <v>201</v>
      </c>
      <c r="D7" s="269"/>
      <c r="E7" s="270" t="s">
        <v>202</v>
      </c>
      <c r="F7" s="271"/>
      <c r="G7" s="271"/>
      <c r="H7" s="271"/>
      <c r="I7" s="271"/>
      <c r="J7" s="272"/>
      <c r="K7" s="19" t="str">
        <f>IF(E7="","入力してください","")</f>
        <v/>
      </c>
      <c r="L7" s="1">
        <f>LEN(E7)</f>
        <v>250</v>
      </c>
    </row>
    <row r="8" spans="1:12" ht="207" customHeight="1">
      <c r="B8" s="6"/>
      <c r="C8" s="285" t="s">
        <v>203</v>
      </c>
      <c r="D8" s="286"/>
      <c r="E8" s="260" t="s">
        <v>204</v>
      </c>
      <c r="F8" s="261"/>
      <c r="G8" s="261"/>
      <c r="H8" s="261"/>
      <c r="I8" s="261"/>
      <c r="J8" s="262"/>
      <c r="K8" s="19" t="str">
        <f>IF(E8="","入力してください","")</f>
        <v/>
      </c>
      <c r="L8" s="1">
        <f>LEN(E8)</f>
        <v>284</v>
      </c>
    </row>
    <row r="9" spans="1:12" ht="172.5" customHeight="1">
      <c r="B9" s="6"/>
      <c r="C9" s="268" t="s">
        <v>205</v>
      </c>
      <c r="D9" s="269"/>
      <c r="E9" s="270" t="s">
        <v>206</v>
      </c>
      <c r="F9" s="271"/>
      <c r="G9" s="271"/>
      <c r="H9" s="271"/>
      <c r="I9" s="271"/>
      <c r="J9" s="272"/>
      <c r="K9" s="19" t="str">
        <f>IF(E9="","入力してください","")</f>
        <v/>
      </c>
      <c r="L9" s="1">
        <f>LEN(E9)</f>
        <v>255</v>
      </c>
    </row>
    <row r="10" spans="1:12" ht="172.5" customHeight="1">
      <c r="B10" s="6"/>
      <c r="C10" s="268" t="s">
        <v>207</v>
      </c>
      <c r="D10" s="269"/>
      <c r="E10" s="273" t="s">
        <v>208</v>
      </c>
      <c r="F10" s="274"/>
      <c r="G10" s="274"/>
      <c r="H10" s="274"/>
      <c r="I10" s="274"/>
      <c r="J10" s="275"/>
      <c r="K10" s="19" t="str">
        <f t="shared" ref="K10:K14" si="0">IF(E10="","入力してください","")</f>
        <v/>
      </c>
      <c r="L10" s="1">
        <f t="shared" ref="L10:L16" si="1">LEN(E10)</f>
        <v>133</v>
      </c>
    </row>
    <row r="11" spans="1:12" ht="172.5" customHeight="1">
      <c r="B11" s="110"/>
      <c r="C11" s="268" t="s">
        <v>209</v>
      </c>
      <c r="D11" s="269"/>
      <c r="E11" s="270" t="s">
        <v>210</v>
      </c>
      <c r="F11" s="271"/>
      <c r="G11" s="271"/>
      <c r="H11" s="271"/>
      <c r="I11" s="271"/>
      <c r="J11" s="272"/>
      <c r="K11" s="19" t="str">
        <f t="shared" si="0"/>
        <v/>
      </c>
      <c r="L11" s="1">
        <f t="shared" si="1"/>
        <v>52</v>
      </c>
    </row>
    <row r="12" spans="1:12" ht="18.75" customHeight="1">
      <c r="B12" s="9" t="s">
        <v>211</v>
      </c>
      <c r="C12" s="16"/>
      <c r="D12" s="8"/>
      <c r="E12" s="20"/>
      <c r="F12" s="20"/>
      <c r="G12" s="20"/>
      <c r="H12" s="20"/>
      <c r="I12" s="20"/>
      <c r="J12" s="21"/>
      <c r="L12" s="1">
        <f t="shared" si="1"/>
        <v>0</v>
      </c>
    </row>
    <row r="13" spans="1:12" ht="244.15" customHeight="1">
      <c r="B13" s="6"/>
      <c r="C13" s="268" t="s">
        <v>212</v>
      </c>
      <c r="D13" s="269"/>
      <c r="E13" s="271" t="s">
        <v>213</v>
      </c>
      <c r="F13" s="271"/>
      <c r="G13" s="271"/>
      <c r="H13" s="271"/>
      <c r="I13" s="271"/>
      <c r="J13" s="272"/>
      <c r="K13" s="19" t="str">
        <f t="shared" si="0"/>
        <v/>
      </c>
      <c r="L13" s="1">
        <f t="shared" si="1"/>
        <v>143</v>
      </c>
    </row>
    <row r="14" spans="1:12" ht="255" customHeight="1">
      <c r="B14" s="110"/>
      <c r="C14" s="268" t="s">
        <v>214</v>
      </c>
      <c r="D14" s="269"/>
      <c r="E14" s="270" t="s">
        <v>215</v>
      </c>
      <c r="F14" s="271"/>
      <c r="G14" s="271"/>
      <c r="H14" s="271"/>
      <c r="I14" s="271"/>
      <c r="J14" s="272"/>
      <c r="K14" s="19" t="str">
        <f t="shared" si="0"/>
        <v/>
      </c>
      <c r="L14" s="1">
        <f t="shared" si="1"/>
        <v>282</v>
      </c>
    </row>
    <row r="15" spans="1:12" ht="243" customHeight="1">
      <c r="B15" s="282" t="s">
        <v>216</v>
      </c>
      <c r="C15" s="283"/>
      <c r="D15" s="269"/>
      <c r="E15" s="271" t="s">
        <v>217</v>
      </c>
      <c r="F15" s="271"/>
      <c r="G15" s="271"/>
      <c r="H15" s="271"/>
      <c r="I15" s="271"/>
      <c r="J15" s="272"/>
      <c r="K15" s="19" t="str">
        <f>IF(E15="","入力してください","")</f>
        <v/>
      </c>
      <c r="L15" s="1">
        <f t="shared" si="1"/>
        <v>283</v>
      </c>
    </row>
    <row r="16" spans="1:12" ht="243" customHeight="1">
      <c r="A16" s="19"/>
      <c r="B16" s="276" t="s">
        <v>218</v>
      </c>
      <c r="C16" s="277"/>
      <c r="D16" s="278"/>
      <c r="E16" s="258" t="s">
        <v>219</v>
      </c>
      <c r="F16" s="258"/>
      <c r="G16" s="258"/>
      <c r="H16" s="258"/>
      <c r="I16" s="258"/>
      <c r="J16" s="259"/>
      <c r="K16" s="19" t="str">
        <f>IF(E16="","入力してください","")</f>
        <v/>
      </c>
      <c r="L16" s="1">
        <f t="shared" si="1"/>
        <v>231</v>
      </c>
    </row>
    <row r="17" spans="1:11" ht="7.5" customHeight="1">
      <c r="B17" s="25"/>
      <c r="C17" s="25"/>
      <c r="D17" s="25"/>
      <c r="E17" s="26"/>
      <c r="F17" s="26"/>
      <c r="G17" s="26"/>
      <c r="H17" s="26"/>
      <c r="I17" s="26"/>
      <c r="J17" s="26"/>
    </row>
    <row r="18" spans="1:11" ht="18.75" customHeight="1">
      <c r="A18" s="1" t="s">
        <v>220</v>
      </c>
      <c r="B18" s="4"/>
      <c r="C18" s="25"/>
      <c r="D18" s="25"/>
      <c r="E18" s="26"/>
      <c r="F18" s="73"/>
      <c r="G18" s="279" t="s">
        <v>221</v>
      </c>
      <c r="H18" s="280"/>
      <c r="I18" s="280"/>
      <c r="J18" s="281"/>
      <c r="K18" s="19" t="str">
        <f>IF(G18="","入力してください","")</f>
        <v/>
      </c>
    </row>
    <row r="19" spans="1:11" ht="22.5" customHeight="1">
      <c r="B19" s="25"/>
      <c r="C19" s="25"/>
      <c r="D19" s="25"/>
      <c r="E19" s="26"/>
      <c r="F19" s="26"/>
      <c r="G19" s="26"/>
      <c r="H19" s="26"/>
      <c r="I19" s="26"/>
      <c r="J19" s="26"/>
    </row>
    <row r="20" spans="1:11" ht="22.5" customHeight="1">
      <c r="B20" s="25"/>
      <c r="C20" s="25"/>
      <c r="D20" s="25"/>
      <c r="E20" s="26"/>
      <c r="F20" s="26"/>
      <c r="G20" s="26"/>
      <c r="H20" s="26"/>
      <c r="I20" s="26"/>
      <c r="J20" s="26"/>
    </row>
    <row r="21" spans="1:11" ht="22.5" customHeight="1">
      <c r="B21" s="25"/>
      <c r="C21" s="25"/>
      <c r="D21" s="25"/>
      <c r="E21" s="26"/>
      <c r="F21" s="26"/>
      <c r="G21" s="26"/>
      <c r="H21" s="26"/>
      <c r="I21" s="26"/>
      <c r="J21" s="26"/>
    </row>
    <row r="22" spans="1:11" ht="22.5" customHeight="1">
      <c r="B22" s="25"/>
      <c r="C22" s="25"/>
      <c r="D22" s="25"/>
      <c r="E22" s="26"/>
      <c r="F22" s="26"/>
      <c r="G22" s="26"/>
      <c r="H22" s="26"/>
      <c r="I22" s="26"/>
      <c r="J22" s="26"/>
    </row>
    <row r="23" spans="1:11" ht="22.5" customHeight="1">
      <c r="B23" s="25"/>
      <c r="C23" s="25"/>
      <c r="D23" s="25"/>
      <c r="E23" s="26"/>
      <c r="F23" s="26"/>
      <c r="G23" s="26"/>
      <c r="H23" s="26"/>
      <c r="I23" s="26"/>
      <c r="J23" s="26"/>
    </row>
    <row r="24" spans="1:11" ht="22.5" customHeight="1">
      <c r="B24" s="77"/>
      <c r="C24" s="77"/>
      <c r="D24" s="77"/>
      <c r="E24" s="77"/>
      <c r="F24" s="77"/>
      <c r="G24" s="77"/>
      <c r="H24" s="77"/>
      <c r="I24" s="77"/>
      <c r="J24" s="77"/>
    </row>
    <row r="25" spans="1:11" ht="22.5" customHeight="1">
      <c r="B25" s="77"/>
      <c r="C25" s="77"/>
      <c r="D25" s="77"/>
      <c r="E25" s="77"/>
      <c r="F25" s="77"/>
      <c r="G25" s="77"/>
      <c r="H25" s="77"/>
      <c r="I25" s="77"/>
      <c r="J25" s="77"/>
    </row>
    <row r="26" spans="1:11" ht="22.5" customHeight="1">
      <c r="B26" s="77"/>
      <c r="C26" s="77"/>
      <c r="D26" s="77"/>
      <c r="E26" s="77"/>
      <c r="F26" s="77"/>
      <c r="G26" s="77"/>
      <c r="H26" s="77"/>
      <c r="I26" s="77"/>
      <c r="J26" s="77"/>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00000000-0004-0000-05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AE189A83264EC42BCD1C0326B9AF3E2" ma:contentTypeVersion="9" ma:contentTypeDescription="新しいドキュメントを作成します。" ma:contentTypeScope="" ma:versionID="de3b35ed85c82c23c4c0b289e6a9754f">
  <xsd:schema xmlns:xsd="http://www.w3.org/2001/XMLSchema" xmlns:xs="http://www.w3.org/2001/XMLSchema" xmlns:p="http://schemas.microsoft.com/office/2006/metadata/properties" xmlns:ns2="f46e1cd1-324e-4f48-bfa7-1795879110eb" xmlns:ns3="246d43a9-f91c-45a0-9212-f23e70033461" targetNamespace="http://schemas.microsoft.com/office/2006/metadata/properties" ma:root="true" ma:fieldsID="896b0a707fd39e201e26851ecba9eda5" ns2:_="" ns3:_="">
    <xsd:import namespace="f46e1cd1-324e-4f48-bfa7-1795879110eb"/>
    <xsd:import namespace="246d43a9-f91c-45a0-9212-f23e7003346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6e1cd1-324e-4f48-bfa7-1795879110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ea1dc7ce-b784-453f-8236-1272e7d00b6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6d43a9-f91c-45a0-9212-f23e7003346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1fae97a-8e1b-45d0-921b-97ceb237213c}" ma:internalName="TaxCatchAll" ma:showField="CatchAllData" ma:web="246d43a9-f91c-45a0-9212-f23e700334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46e1cd1-324e-4f48-bfa7-1795879110eb">
      <Terms xmlns="http://schemas.microsoft.com/office/infopath/2007/PartnerControls"/>
    </lcf76f155ced4ddcb4097134ff3c332f>
    <TaxCatchAll xmlns="246d43a9-f91c-45a0-9212-f23e70033461" xsi:nil="true"/>
  </documentManagement>
</p:properties>
</file>

<file path=customXml/itemProps1.xml><?xml version="1.0" encoding="utf-8"?>
<ds:datastoreItem xmlns:ds="http://schemas.openxmlformats.org/officeDocument/2006/customXml" ds:itemID="{A6E0ED0D-1FB4-45DB-A4D2-184A23AC471F}"/>
</file>

<file path=customXml/itemProps2.xml><?xml version="1.0" encoding="utf-8"?>
<ds:datastoreItem xmlns:ds="http://schemas.openxmlformats.org/officeDocument/2006/customXml" ds:itemID="{D4E15ECD-C0D6-47BC-A6F8-9D28C976F880}"/>
</file>

<file path=customXml/itemProps3.xml><?xml version="1.0" encoding="utf-8"?>
<ds:datastoreItem xmlns:ds="http://schemas.openxmlformats.org/officeDocument/2006/customXml" ds:itemID="{6199A17B-2837-4B47-9ED5-22099094DA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星 芳宜</cp:lastModifiedBy>
  <cp:revision/>
  <dcterms:created xsi:type="dcterms:W3CDTF">2011-06-14T05:32:50Z</dcterms:created>
  <dcterms:modified xsi:type="dcterms:W3CDTF">2022-05-18T01:10:56Z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0x0101002AE189A83264EC42BCD1C0326B9AF3E2</vt:lpwstr>
  </property>
  <property fmtid="{D5CDD505-2E9C-101B-9397-08002B2CF9AE}" pid="10" name="MediaServiceImageTags">
    <vt:lpwstr/>
  </property>
</Properties>
</file>