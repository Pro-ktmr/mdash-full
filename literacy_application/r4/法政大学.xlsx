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d.as.hosei.ac.jp\HoseiFileServer\総長室付教学企画室（部）\00_総長室付教学企画室（部）_共通\02_個別事業\05_AI・データサイエンス教育\80_MDASH申請（リテラシーレベル）\申請書類\法政大学_再々提出\"/>
    </mc:Choice>
  </mc:AlternateContent>
  <bookViews>
    <workbookView xWindow="0" yWindow="0" windowWidth="28800" windowHeight="13620" tabRatio="885" activeTab="4"/>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プログラムを構成する授業科目'!$A$1:$Z$99</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Q24" i="40"/>
  <c r="R24" i="40" s="1"/>
  <c r="Q23" i="40"/>
  <c r="R23" i="40" s="1"/>
  <c r="Q22" i="40"/>
  <c r="R22" i="40" s="1"/>
  <c r="Q21" i="40"/>
  <c r="R21" i="40" s="1"/>
  <c r="Q20" i="40"/>
  <c r="R20" i="40" s="1"/>
  <c r="Q19" i="40"/>
  <c r="R19" i="40" s="1"/>
  <c r="R18" i="40"/>
  <c r="Q18" i="40"/>
  <c r="Q17" i="40"/>
  <c r="R17" i="40" s="1"/>
  <c r="Q16" i="40"/>
  <c r="R16" i="40" s="1"/>
  <c r="Q15" i="40"/>
  <c r="R15" i="40" s="1"/>
  <c r="Q14" i="40"/>
  <c r="R14" i="40" s="1"/>
  <c r="Q13" i="40"/>
  <c r="R13" i="40" s="1"/>
  <c r="Q12" i="40"/>
  <c r="R12" i="40" s="1"/>
  <c r="Q11" i="40"/>
  <c r="R11" i="40" s="1"/>
  <c r="R10" i="40"/>
  <c r="Q10" i="40"/>
  <c r="Q30" i="40" l="1"/>
  <c r="R30" i="40"/>
  <c r="C28" i="41" s="1"/>
</calcChain>
</file>

<file path=xl/sharedStrings.xml><?xml version="1.0" encoding="utf-8"?>
<sst xmlns="http://schemas.openxmlformats.org/spreadsheetml/2006/main" count="341" uniqueCount="227">
  <si>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</si>
  <si>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</si>
  <si>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</si>
  <si>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</si>
  <si>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</si>
  <si>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</si>
  <si>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</si>
  <si>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</si>
  <si>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</si>
  <si>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</si>
  <si>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</si>
  <si>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</si>
  <si>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</si>
  <si>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</si>
  <si>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</si>
  <si>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</si>
  <si>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</si>
  <si>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</si>
  <si>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</si>
  <si>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</si>
  <si>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</si>
  <si>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</si>
  <si>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</si>
  <si>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</si>
  <si>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</si>
  <si>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</si>
  <si>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</si>
  <si>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</si>
  <si>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</si>
  <si>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</si>
  <si>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</si>
  <si>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</si>
  <si>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</si>
  <si>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</si>
  <si>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</si>
  <si>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</si>
  <si>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</si>
  <si>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</si>
  <si>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</si>
  <si>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</si>
  <si>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</si>
  <si>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</si>
  <si>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</si>
  <si>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</si>
  <si>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</si>
  <si>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</si>
  <si>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</si>
  <si>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</si>
  <si>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</si>
  <si>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</si>
  <si>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</si>
  <si>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</si>
  <si>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</si>
  <si>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</si>
  <si>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</si>
  <si>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</si>
  <si>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</si>
  <si>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</si>
  <si>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</si>
  <si>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</si>
  <si>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</si>
  <si>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</si>
  <si>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</si>
  <si>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</si>
  <si>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</si>
  <si>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</si>
  <si>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</si>
  <si>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</si>
  <si>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</si>
  <si>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</si>
  <si>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</si>
  <si>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</si>
  <si>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</si>
  <si>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</si>
  <si>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</si>
  <si>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</si>
  <si>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</si>
  <si>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</si>
  <si>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</si>
  <si>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</si>
  <si>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</si>
  <si>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</si>
  <si>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</si>
  <si>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</si>
  <si>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</si>
  <si>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</si>
  <si>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</si>
  <si>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</si>
  <si>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</si>
  <si>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</si>
  <si>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</si>
  <si>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</si>
  <si>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</si>
  <si>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</si>
  <si>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</si>
  <si>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</si>
  <si>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</si>
  <si>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</si>
  <si>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</si>
  <si>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</si>
  <si>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</si>
  <si>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</si>
  <si>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</si>
  <si>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</si>
  <si>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</si>
  <si>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</si>
  <si>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</si>
  <si>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</si>
  <si>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</si>
  <si>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</si>
  <si>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</si>
  <si>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</si>
  <si>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</si>
  <si>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</si>
  <si>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</si>
  <si>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</si>
  <si>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</si>
  <si>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</si>
  <si>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</si>
  <si>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</si>
  <si>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</si>
  <si>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</si>
  <si>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</si>
  <si>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</si>
  <si>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</si>
  <si>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</si>
  <si>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</si>
  <si>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</si>
  <si>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</si>
  <si>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</si>
  <si>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</si>
  <si>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</si>
  <si>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</si>
  <si>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</si>
  <si>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</si>
  <si>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</si>
  <si>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</si>
  <si>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</si>
  <si>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</si>
  <si>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</si>
  <si>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</si>
  <si>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</si>
  <si>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</si>
  <si>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</si>
  <si>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</si>
  <si>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</si>
  <si>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</si>
  <si>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</si>
  <si>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</si>
  <si>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</si>
  <si>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</si>
  <si>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</si>
  <si>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</si>
  <si>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</si>
  <si>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学部・学科によって、修了要件は相違しない</t>
  </si>
  <si>
    <t>令和3年度</t>
    <rPh sb="0" eb="2">
      <t>レイワ</t>
    </rPh>
    <rPh sb="3" eb="5">
      <t>ネンド</t>
    </rPh>
    <phoneticPr fontId="1"/>
  </si>
  <si>
    <t>法学部</t>
    <rPh sb="0" eb="1">
      <t>ホウ</t>
    </rPh>
    <rPh sb="1" eb="3">
      <t>ガクブ</t>
    </rPh>
    <phoneticPr fontId="1"/>
  </si>
  <si>
    <t>文学部</t>
    <rPh sb="0" eb="1">
      <t>ブン</t>
    </rPh>
    <rPh sb="1" eb="3">
      <t>ガクブ</t>
    </rPh>
    <phoneticPr fontId="1"/>
  </si>
  <si>
    <t>経済学部</t>
    <rPh sb="0" eb="2">
      <t>ケイザイ</t>
    </rPh>
    <rPh sb="2" eb="4">
      <t>ガクブ</t>
    </rPh>
    <phoneticPr fontId="1"/>
  </si>
  <si>
    <t>社会学部</t>
    <rPh sb="0" eb="2">
      <t>シャカイ</t>
    </rPh>
    <rPh sb="2" eb="4">
      <t>ガクブ</t>
    </rPh>
    <phoneticPr fontId="1"/>
  </si>
  <si>
    <t>経営学部</t>
    <rPh sb="0" eb="2">
      <t>ケイエイ</t>
    </rPh>
    <rPh sb="2" eb="4">
      <t>ガクブ</t>
    </rPh>
    <phoneticPr fontId="1"/>
  </si>
  <si>
    <t>国際文化学部</t>
    <rPh sb="0" eb="2">
      <t>コクサイ</t>
    </rPh>
    <rPh sb="2" eb="4">
      <t>ブンカ</t>
    </rPh>
    <rPh sb="4" eb="6">
      <t>ガクブ</t>
    </rPh>
    <phoneticPr fontId="1"/>
  </si>
  <si>
    <t>人間環境学部</t>
    <rPh sb="0" eb="2">
      <t>ニンゲン</t>
    </rPh>
    <rPh sb="2" eb="4">
      <t>カンキョウ</t>
    </rPh>
    <rPh sb="4" eb="6">
      <t>ガクブ</t>
    </rPh>
    <phoneticPr fontId="1"/>
  </si>
  <si>
    <t>現代福祉学部</t>
    <rPh sb="0" eb="2">
      <t>ゲンダイ</t>
    </rPh>
    <rPh sb="2" eb="4">
      <t>フクシ</t>
    </rPh>
    <rPh sb="4" eb="6">
      <t>ガクブ</t>
    </rPh>
    <phoneticPr fontId="1"/>
  </si>
  <si>
    <t>情報科学部</t>
    <rPh sb="0" eb="2">
      <t>ジョウホウ</t>
    </rPh>
    <rPh sb="2" eb="4">
      <t>カガク</t>
    </rPh>
    <rPh sb="3" eb="5">
      <t>ガクブブンガクブ</t>
    </rPh>
    <phoneticPr fontId="1"/>
  </si>
  <si>
    <t>キャリアデザイン学部</t>
    <rPh sb="8" eb="10">
      <t>ガクブ</t>
    </rPh>
    <phoneticPr fontId="1"/>
  </si>
  <si>
    <t>デザイン工学部</t>
    <rPh sb="4" eb="7">
      <t>コウガクブ</t>
    </rPh>
    <rPh sb="5" eb="7">
      <t>ガクブブンガクブ</t>
    </rPh>
    <phoneticPr fontId="1"/>
  </si>
  <si>
    <t>理工学部</t>
    <rPh sb="0" eb="2">
      <t>リコウ</t>
    </rPh>
    <rPh sb="2" eb="4">
      <t>ガクブ</t>
    </rPh>
    <phoneticPr fontId="1"/>
  </si>
  <si>
    <t>生命科学部</t>
    <rPh sb="0" eb="2">
      <t>セイメイ</t>
    </rPh>
    <rPh sb="2" eb="3">
      <t>カ</t>
    </rPh>
    <rPh sb="3" eb="5">
      <t>ガクブ</t>
    </rPh>
    <phoneticPr fontId="1"/>
  </si>
  <si>
    <t>グローバル教養学部</t>
    <rPh sb="5" eb="7">
      <t>キョウヨウ</t>
    </rPh>
    <rPh sb="7" eb="9">
      <t>ガクブ</t>
    </rPh>
    <phoneticPr fontId="1"/>
  </si>
  <si>
    <t>スポーツ健康学部</t>
    <rPh sb="4" eb="6">
      <t>ケンコウ</t>
    </rPh>
    <rPh sb="6" eb="8">
      <t>ガクブ</t>
    </rPh>
    <phoneticPr fontId="1"/>
  </si>
  <si>
    <t>法政大学</t>
    <rPh sb="0" eb="2">
      <t>ホウセイ</t>
    </rPh>
    <rPh sb="2" eb="4">
      <t>ダイガク</t>
    </rPh>
    <phoneticPr fontId="1"/>
  </si>
  <si>
    <t>学校法人法政大学</t>
    <rPh sb="0" eb="2">
      <t>ガッコウ</t>
    </rPh>
    <rPh sb="2" eb="4">
      <t>ホウジン</t>
    </rPh>
    <rPh sb="4" eb="6">
      <t>ホウセイ</t>
    </rPh>
    <rPh sb="6" eb="8">
      <t>ダイガク</t>
    </rPh>
    <phoneticPr fontId="1"/>
  </si>
  <si>
    <t>私立大学</t>
  </si>
  <si>
    <t>東京都千代田区富士見２－１７－１</t>
    <phoneticPr fontId="1"/>
  </si>
  <si>
    <t>数理・データサイエンス・AIプログラム（リテラシーレベル）</t>
    <phoneticPr fontId="1"/>
  </si>
  <si>
    <t>令和３</t>
    <rPh sb="0" eb="2">
      <t>レイワ</t>
    </rPh>
    <phoneticPr fontId="1"/>
  </si>
  <si>
    <t>無</t>
  </si>
  <si>
    <t>小秋元　段</t>
    <rPh sb="0" eb="3">
      <t>コアキモト</t>
    </rPh>
    <rPh sb="4" eb="5">
      <t>ダン</t>
    </rPh>
    <phoneticPr fontId="1"/>
  </si>
  <si>
    <t>副学長・データサイエンスセンター長</t>
    <rPh sb="0" eb="3">
      <t>フクガクチョウ</t>
    </rPh>
    <rPh sb="16" eb="17">
      <t>チョウ</t>
    </rPh>
    <phoneticPr fontId="1"/>
  </si>
  <si>
    <t>データサエインスセンター運営委員会</t>
    <phoneticPr fontId="1"/>
  </si>
  <si>
    <t>データサイエンスセンター運営委員会自己点検・評価ワーキングチーム</t>
    <phoneticPr fontId="1"/>
  </si>
  <si>
    <t>認定教育プログラム</t>
  </si>
  <si>
    <t>総長室付教学企画室</t>
    <rPh sb="0" eb="2">
      <t>ソウチョウ</t>
    </rPh>
    <rPh sb="2" eb="3">
      <t>シツ</t>
    </rPh>
    <rPh sb="3" eb="4">
      <t>ツキ</t>
    </rPh>
    <rPh sb="4" eb="6">
      <t>キョウガク</t>
    </rPh>
    <rPh sb="6" eb="9">
      <t>キカクシツ</t>
    </rPh>
    <phoneticPr fontId="1"/>
  </si>
  <si>
    <t>kyogaku@hosei.ac.jp</t>
    <phoneticPr fontId="1"/>
  </si>
  <si>
    <t>データサエインス入門A</t>
    <rPh sb="8" eb="10">
      <t>ニュウモン</t>
    </rPh>
    <phoneticPr fontId="1"/>
  </si>
  <si>
    <t>データサエインス入門B</t>
    <rPh sb="8" eb="10">
      <t>ニュウモン</t>
    </rPh>
    <phoneticPr fontId="1"/>
  </si>
  <si>
    <t>全学開講</t>
  </si>
  <si>
    <t>データサイエンス入門A</t>
    <rPh sb="8" eb="10">
      <t>ニュウモン</t>
    </rPh>
    <phoneticPr fontId="1"/>
  </si>
  <si>
    <t>データサイエンス入門B</t>
    <rPh sb="8" eb="10">
      <t>ニュウモン</t>
    </rPh>
    <phoneticPr fontId="1"/>
  </si>
  <si>
    <t>○</t>
  </si>
  <si>
    <t>情報とは・ビッグデータとは（第2回）</t>
    <phoneticPr fontId="1"/>
  </si>
  <si>
    <t>実例紹介１　会計・金融におけるデータサイエンス・AIの活用（第2回）、実例紹介２　ファイナンスにおけるデータサイエンス・AIの活用（第3回）、実例紹介３　マーケティングにおけるデータサイエンス・AIの活用（第4回）、実例紹介４　植物・医療におけるデータサイエンス・AIの活用（第5回）、実例紹介５　音声処理におけるデータサイエンス・AIの活用（第6回）</t>
    <phoneticPr fontId="1"/>
  </si>
  <si>
    <t>社会で起きている変化・社会におけるデータの活用（第3回）</t>
    <phoneticPr fontId="1"/>
  </si>
  <si>
    <t>オープンデータの利用（第4回）</t>
    <phoneticPr fontId="1"/>
  </si>
  <si>
    <t>データ解析のための技術（第5回）、データの可視化（第6回）、</t>
    <phoneticPr fontId="1"/>
  </si>
  <si>
    <t>データサイエンスのサイクル　PPDAC（第7回）、統計的品質管理（第8回）、画像データの活用（第9回）</t>
    <phoneticPr fontId="1"/>
  </si>
  <si>
    <t>データ倫理（第10回）、個人情報の保護（第11回）</t>
    <phoneticPr fontId="1"/>
  </si>
  <si>
    <t>データを守る情報セキュリティ１（第12回）、データを守る情報セキュリティ２（第13回）</t>
    <phoneticPr fontId="1"/>
  </si>
  <si>
    <t>e-Statの使い方　データの収集（第7回）、データの分析１　ヒストグラムと箱ひげ図（第8回）、 データの分析２　平均・分散・標準偏差（第9回）、データの分析３　散布図と相関係数（第10回）、データの分析４　回帰（第11回）</t>
    <phoneticPr fontId="1"/>
  </si>
  <si>
    <t>データ表現（可視化）（第12回）</t>
    <phoneticPr fontId="1"/>
  </si>
  <si>
    <t>質的なデータの解析（第13回）</t>
    <phoneticPr fontId="1"/>
  </si>
  <si>
    <t>法政大学データサイエンスセンター規程</t>
    <phoneticPr fontId="1"/>
  </si>
  <si>
    <t>データサイエンスやAIを活用して、新しい価値を創造できる人材、持続可能な社会の構築に寄与できる人材を育成する。全学部共通の「法政大学数理・データサイエンス・AIプログラム（MDAP: Mathematics, Data science and AI Program）」を主催し、プログラムの運営・質保証等を行う。</t>
    <phoneticPr fontId="1"/>
  </si>
  <si>
    <t>運営委員会
データサイエンスセンター長　小秋元　段（副学長・常務理事）
平山　喜雄　　　常務理事・総長室付教学企画室長
明城　聡 　　　　経済学部教授
藤代　裕之　　　社会学部教授
児玉　靖司 　　 経営学部教授（データサイエンス入門A・B科目責任者）
河内谷　幸子　 経営学部教授
廣津　登志夫　 情報科学部教授
今井　龍一　　　デザイン工学部教授
安田　和弘 　　 理工学部准教授
菊池　克仁　　　教育支援統括本部長
自己点検・評価の学外委員2名を委嘱している。</t>
    <phoneticPr fontId="1"/>
  </si>
  <si>
    <t xml:space="preserve">【（受講終了後の）授業アンケート結果の検証】
「受講者の状況を多角的に把握し、次年度以降の改善につなげるため」に、受講者全員を対象に Google フォームによる無記名式アンケートを実施し、入門Aについては204名、Bについては85名の回答を得た。
調査項目として、①意欲　②理解度　③（シラバス記載の）教育目標の習熟度　④勉強や仕事への活用　⑤応用基礎レベルの受講希望　⑥推奨度　を設定した。
・アンケートを通じた「学生の内容の理解度」の把握と「学生指導の適切性」の検証
アンケート結果について、①「この授業に意欲的に参加することができたか」については、肯定的回答（「そう思う」「いくらかそう思う」）の割合が入門Aは87.3％、入門Bでも85.9％と非常に高くなっている。
また、②「この授業を理解できたか」、③「（A・Bのシラバスにそれぞれ）教育目標として記載されている内容を理解できたか」についても、
・入門Aの「DSの理解とデータ収集・活用方法の理解」についての肯定的回答は約96％、「リスク認識と倫理・モラルの習得」への回答は約96％
・入門Bの「データの収集・分析・可視化の過程の理解」についての肯定的回答は約89％、「実例を通したDSの社会での貢献と役割の理解」への回答は93％
といずれも非常に高くなっている。
以上により、大学全体として、本プログラムでの教育内容・学習成果の把握等について適切であったことが、授業アンケートからも検証できたと判断できる。
</t>
    <phoneticPr fontId="1"/>
  </si>
  <si>
    <t xml:space="preserve">【学生の学修成果の把握等の適切性について】
当該プログラムの到達目標は、シラバスにおいて「データサイエンスの役割とデータ収集・活用方法の理解」「データを扱う際の倫理・モラルの習得」「実際のデータを用いた収集・分析・可視化のプロセスの理解」「習得した知識やスキルの応用・発展」等を明示した。そのうえで目標の習熟度については、毎回の小テスト（チェックテスト）を実施することによって確認した。また、毎回の授業ごとに簡単なアンケートを実施し、「授業で新たに覚えた言葉」や「授業の難易度」等について回答してもらうことで、学修成果の把握や授業のレベル感の分析ができるようにした。
採点基準について、入門Aについては、シラバスの【成績評価の方法と基準 / Grading criteria】において、成績評価の「60％」を毎回のチェックテスト、「40％」を総合テストで判断することを明示した。チェックテストは毎回20問が課され、また最終回には、「総合テスト」として、チェックテストで出された問題からランダムで50問を出題し、成績評価を行った。
入門Bについては、2回から6回が「実例紹介」、7回から11回が「統計学実習」、12・13回が「簡単な実習」、最終回が「総合テスト」として、採点基準をそれぞれ「40％」「30％」「20％」「10％」として、成績評価を行った。
以上のように、明確な基準にもとづき、成績評価が行われた。
加えて、後述の通り、科目終了後の授業アンケートでの受講生の授業の理解度等の肯定的回答の割合が非常に高かったことから、本プログラムにおける学修成果の把握等については概ね適切であったと判断できる。
</t>
    <rPh sb="1" eb="3">
      <t>ガクセイ</t>
    </rPh>
    <rPh sb="4" eb="6">
      <t>ガクシュウ</t>
    </rPh>
    <rPh sb="6" eb="8">
      <t>セイカ</t>
    </rPh>
    <rPh sb="9" eb="11">
      <t>ハアク</t>
    </rPh>
    <rPh sb="11" eb="12">
      <t>ナド</t>
    </rPh>
    <rPh sb="13" eb="16">
      <t>テキセツセイ</t>
    </rPh>
    <rPh sb="30" eb="32">
      <t>トウタツ</t>
    </rPh>
    <rPh sb="32" eb="34">
      <t>モクヒョウ</t>
    </rPh>
    <rPh sb="137" eb="138">
      <t>ナド</t>
    </rPh>
    <rPh sb="139" eb="141">
      <t>メイジ</t>
    </rPh>
    <rPh sb="149" eb="151">
      <t>モクヒョウ</t>
    </rPh>
    <rPh sb="152" eb="154">
      <t>シュウジュク</t>
    </rPh>
    <rPh sb="154" eb="155">
      <t>ド</t>
    </rPh>
    <rPh sb="178" eb="180">
      <t>ジッシ</t>
    </rPh>
    <rPh sb="196" eb="198">
      <t>マイカイ</t>
    </rPh>
    <rPh sb="199" eb="201">
      <t>ジュギョウ</t>
    </rPh>
    <rPh sb="204" eb="206">
      <t>カンタン</t>
    </rPh>
    <rPh sb="213" eb="215">
      <t>ジッシ</t>
    </rPh>
    <rPh sb="218" eb="220">
      <t>ジュギョウ</t>
    </rPh>
    <rPh sb="221" eb="222">
      <t>アラ</t>
    </rPh>
    <rPh sb="224" eb="225">
      <t>オボ</t>
    </rPh>
    <rPh sb="227" eb="229">
      <t>コトバ</t>
    </rPh>
    <rPh sb="232" eb="234">
      <t>ジュギョウ</t>
    </rPh>
    <rPh sb="235" eb="238">
      <t>ナンイド</t>
    </rPh>
    <rPh sb="239" eb="240">
      <t>ナド</t>
    </rPh>
    <rPh sb="244" eb="246">
      <t>カイトウ</t>
    </rPh>
    <rPh sb="255" eb="257">
      <t>ガクシュウ</t>
    </rPh>
    <rPh sb="257" eb="259">
      <t>セイカ</t>
    </rPh>
    <rPh sb="260" eb="262">
      <t>ハアク</t>
    </rPh>
    <rPh sb="263" eb="265">
      <t>ジュギョウ</t>
    </rPh>
    <rPh sb="269" eb="270">
      <t>カン</t>
    </rPh>
    <rPh sb="271" eb="273">
      <t>ブンセキ</t>
    </rPh>
    <rPh sb="606" eb="607">
      <t>クワ</t>
    </rPh>
    <rPh sb="674" eb="676">
      <t>ガクシュウ</t>
    </rPh>
    <phoneticPr fontId="1"/>
  </si>
  <si>
    <t xml:space="preserve">前述の授業アンケートの調査において、⑥「この授業を友人や後輩に勧めたいか」という項目を設定して推奨度を確認した。その結果、肯定的回答（「そう思う」「いくらかそう思う」）の割合が入門Aでは約85％、入門Bでも約79％と非常に高くなった。
今後は各種イベントやデータサイエンスセンターのホームページ等において、アンケート結果や受講者の意見や感想を掲示することで、プログラム受講の推奨に活用したい。
</t>
    <rPh sb="0" eb="2">
      <t>ゼンジュツ</t>
    </rPh>
    <rPh sb="3" eb="5">
      <t>ジュギョウ</t>
    </rPh>
    <phoneticPr fontId="1"/>
  </si>
  <si>
    <t xml:space="preserve">履修者数・履修率の向上に向けた計画については、2021年度の履修状況を踏まえ、当該プログラムの大学全体の履修者数合計・履修率について、2026年度（令和8年度）には、それぞれ4,800名・18.2％とする目標を設定した。
また、その実現のため、定期的なPRイベントの開催（既に2021/9/22に開設記念イベントを開催し、196名もの参加者があった）を予定しているほか、修了者にはオープンバッジ（デジタル証明書）を授与することで、学習成果を可視化し、就職活動等で利用できるようにしている。
今後もこのような取り組みを継続的に進めてゆく。
</t>
    <phoneticPr fontId="1"/>
  </si>
  <si>
    <t xml:space="preserve">当該プログラムは2021年度より開設されたばかりであり、2022年3月時点で単位を修得して企業等で活躍している者はいない。
卒業生の就職先や進路については卒業生システムで把握できる。また卒業生のうち当該プログラム履修者も抽出できるため、今後は教育プログラム修了者の進路や活動状況、企業等の評価も検証する仕組みを構築していきたい。
</t>
    <rPh sb="0" eb="2">
      <t>トウガイ</t>
    </rPh>
    <rPh sb="12" eb="14">
      <t>ネンド</t>
    </rPh>
    <rPh sb="16" eb="18">
      <t>カイセツ</t>
    </rPh>
    <rPh sb="32" eb="33">
      <t>ネン</t>
    </rPh>
    <rPh sb="34" eb="35">
      <t>ガツ</t>
    </rPh>
    <rPh sb="35" eb="37">
      <t>ジテン</t>
    </rPh>
    <rPh sb="38" eb="40">
      <t>タンイ</t>
    </rPh>
    <rPh sb="41" eb="43">
      <t>シュウトク</t>
    </rPh>
    <rPh sb="45" eb="48">
      <t>キギョウナド</t>
    </rPh>
    <rPh sb="49" eb="51">
      <t>カツヤク</t>
    </rPh>
    <rPh sb="55" eb="56">
      <t>モノ</t>
    </rPh>
    <rPh sb="62" eb="65">
      <t>ソツギョウセイ</t>
    </rPh>
    <rPh sb="66" eb="68">
      <t>シュウショク</t>
    </rPh>
    <rPh sb="68" eb="69">
      <t>サキ</t>
    </rPh>
    <rPh sb="70" eb="72">
      <t>シンロ</t>
    </rPh>
    <rPh sb="77" eb="80">
      <t>ソツギョウセイ</t>
    </rPh>
    <rPh sb="85" eb="87">
      <t>ハアク</t>
    </rPh>
    <rPh sb="93" eb="96">
      <t>ソツギョウセイ</t>
    </rPh>
    <rPh sb="99" eb="101">
      <t>トウガイ</t>
    </rPh>
    <rPh sb="106" eb="108">
      <t>リシュウ</t>
    </rPh>
    <rPh sb="108" eb="109">
      <t>シャ</t>
    </rPh>
    <rPh sb="110" eb="112">
      <t>チュウシュツ</t>
    </rPh>
    <rPh sb="118" eb="120">
      <t>コンゴ</t>
    </rPh>
    <rPh sb="121" eb="123">
      <t>キョウイク</t>
    </rPh>
    <rPh sb="128" eb="131">
      <t>シュウリョウシャ</t>
    </rPh>
    <rPh sb="132" eb="134">
      <t>シンロ</t>
    </rPh>
    <rPh sb="135" eb="137">
      <t>カツドウ</t>
    </rPh>
    <rPh sb="137" eb="139">
      <t>ジョウキョウ</t>
    </rPh>
    <rPh sb="140" eb="143">
      <t>キギョウナド</t>
    </rPh>
    <rPh sb="144" eb="146">
      <t>ヒョウカ</t>
    </rPh>
    <rPh sb="147" eb="149">
      <t>ケンショウ</t>
    </rPh>
    <rPh sb="151" eb="153">
      <t>シク</t>
    </rPh>
    <rPh sb="155" eb="157">
      <t>コウチク</t>
    </rPh>
    <phoneticPr fontId="1"/>
  </si>
  <si>
    <t>当該プログラムについては、法政大学データサイエンスセンターに「自己点検・評価ワーキングチーム」を設置し、自己点検・評価を実施したが、学外委員として2名の有識者に、教育プログラム内容・手法などについて評価していただいた。
その結果、「全般的に、産業界が学生に対して期待する範囲の内容を十分なレベルで網羅しており、産業界等社会のからの視点において適切な教育内容および方法である」旨の評価を得ている。
今後も、産業界など学外有識者から定期的に教育内容および手法等について意見を聴取し、カリキュラムの改善等に活用していく予定である。</t>
    <rPh sb="0" eb="2">
      <t>トウガイ</t>
    </rPh>
    <rPh sb="13" eb="15">
      <t>ホウセイ</t>
    </rPh>
    <rPh sb="15" eb="17">
      <t>ダイガク</t>
    </rPh>
    <rPh sb="31" eb="33">
      <t>ジコ</t>
    </rPh>
    <rPh sb="33" eb="35">
      <t>テンケン</t>
    </rPh>
    <rPh sb="36" eb="38">
      <t>ヒョウカ</t>
    </rPh>
    <rPh sb="48" eb="50">
      <t>セッチ</t>
    </rPh>
    <rPh sb="52" eb="54">
      <t>ジコ</t>
    </rPh>
    <rPh sb="54" eb="56">
      <t>テンケン</t>
    </rPh>
    <rPh sb="57" eb="59">
      <t>ヒョウカ</t>
    </rPh>
    <rPh sb="60" eb="62">
      <t>ジッシ</t>
    </rPh>
    <rPh sb="66" eb="68">
      <t>ガクガイ</t>
    </rPh>
    <rPh sb="68" eb="70">
      <t>イイン</t>
    </rPh>
    <rPh sb="74" eb="75">
      <t>メイ</t>
    </rPh>
    <rPh sb="76" eb="79">
      <t>ユウシキシャ</t>
    </rPh>
    <rPh sb="81" eb="83">
      <t>キョウイク</t>
    </rPh>
    <rPh sb="88" eb="90">
      <t>ナイヨウ</t>
    </rPh>
    <rPh sb="91" eb="93">
      <t>シュホウ</t>
    </rPh>
    <rPh sb="99" eb="101">
      <t>ヒョウカ</t>
    </rPh>
    <rPh sb="112" eb="114">
      <t>ケッカ</t>
    </rPh>
    <rPh sb="187" eb="188">
      <t>ムネ</t>
    </rPh>
    <rPh sb="189" eb="191">
      <t>ヒョウカ</t>
    </rPh>
    <rPh sb="192" eb="193">
      <t>エ</t>
    </rPh>
    <rPh sb="198" eb="200">
      <t>コンゴ</t>
    </rPh>
    <rPh sb="202" eb="205">
      <t>サンギョウカイ</t>
    </rPh>
    <rPh sb="207" eb="209">
      <t>ガクガイ</t>
    </rPh>
    <rPh sb="209" eb="212">
      <t>ユウシキシャ</t>
    </rPh>
    <rPh sb="214" eb="217">
      <t>テイキテキ</t>
    </rPh>
    <rPh sb="218" eb="220">
      <t>キョウイク</t>
    </rPh>
    <rPh sb="220" eb="222">
      <t>ナイヨウ</t>
    </rPh>
    <rPh sb="225" eb="227">
      <t>シュホウ</t>
    </rPh>
    <rPh sb="227" eb="228">
      <t>ナド</t>
    </rPh>
    <rPh sb="232" eb="234">
      <t>イケン</t>
    </rPh>
    <rPh sb="235" eb="237">
      <t>チョウシュ</t>
    </rPh>
    <rPh sb="246" eb="248">
      <t>カイゼン</t>
    </rPh>
    <rPh sb="248" eb="249">
      <t>ナド</t>
    </rPh>
    <rPh sb="250" eb="252">
      <t>カツヨウ</t>
    </rPh>
    <rPh sb="256" eb="258">
      <t>ヨテイ</t>
    </rPh>
    <phoneticPr fontId="1"/>
  </si>
  <si>
    <t xml:space="preserve">数理・データサイエンス・AIを「学ぶ楽しさ」「学ぶことの意義」の理解の確認に関しては、前述のアンケートの調査において、④「得た知識やスキルを他の勉強や仕事へ活用できるか」という項目を設定したが、肯定的回答の割合が入門Aでは約80％、入門Bでも約76％と高かった。
また、⑤「さらに応用基礎レベルで学びたいか」という項目についても、A・Bそれぞれ約86％、約82％と肯定的回答が非常に高いうえに、上述の①「この授業に意欲的に参加することができたか」についての肯定的回答の割合からみて、受講生に「数理・データサイエンス・AIを『学ぶ楽しさ』『学ぶことの意義』の理解」は十分に得られていると判断できる。
</t>
    <rPh sb="38" eb="39">
      <t>カン</t>
    </rPh>
    <rPh sb="43" eb="45">
      <t>ゼンジュツ</t>
    </rPh>
    <phoneticPr fontId="1"/>
  </si>
  <si>
    <t xml:space="preserve">【教育内容・水準を維持・向上しつつ、より「わかりやすい」授業とするための取り組み】
前述の「（受講終了後の）授業アンケート」以外にも、入門A・Bとも、毎回の授業後に簡単なアンケートを実施した。そこでは、「授業の難易度を教えて下さい（⇒ レベル感の確認：5段階評価）」という項目も設定した。
その結果、入門Aについては、数式を扱った第8回で「少し難しかった」「難しかった」の合計が約73％。入門Bについては、統計学実習を行った第9回から12回までで「難しい」という回答が多く、とりわけ実習が始まった第9回で「少し難しかった」「難しかった」の合計が約81％と高い結果となった。　
また視聴数等から見ると、入門Bは、実習が開始されてから少なからぬ人数がドロップアウトしたことが分かった。以上により、次年度以降は、入門Aの数式を扱った回と入門Bの実習を行う回のレベル感や内容について再検討する必要があることが把握できた。
【教育内容・水準の維持向上のための組織的な取り組み体制について】
リテラシーレベルの新規開講に伴い、本学の数理・データサイエンス・AIプログラムとデータサイエンスの教育研究に関する事項を分掌する「法政大学データサイエンスセンター」が2021年9月に発足した。
また、センターの運営を行い、MDAPに関する事項を審議決定するために「データサイエンスセンター運営委員会」が設置され、MDAP授業科目の編成や施行、担当教員やTA等の体制整備、単位修得等に関する教学事項全般についての審議を行っている。
月1回のペースで実施されるこの運営委員会にて、課題の共有と改善策の検討を含む当該プログラムの内容・水準の維持向上のための取り組みが恒常的に行われている。
なお、運営委員会ではMDAPの質保証についても審議事項として明記され、学生アンケートや学外の産業界からの意見を参考にして、より学生に「分かりやすい」授業とすることを目指して、プログラムの内容・実施方法の改善を進めており、前述のアンケート結果への対応についても検討していることが確認できる。
また、本学は、数理・データサイエンス教育強拠点コンソーシアムに連携校として、関東・首都圏ブロックに加盟した。そこで得られた他大学事例や企業等との産学協働事例を参考として、積極的に本学のプログラム内容の向上のための取り組みにフィードバックしている。
</t>
    <rPh sb="409" eb="411">
      <t>キョウイク</t>
    </rPh>
    <phoneticPr fontId="1"/>
  </si>
  <si>
    <t>副学長・データサイエンスセンター長</t>
    <phoneticPr fontId="1"/>
  </si>
  <si>
    <r>
      <t>・データサイエンス入門A・データサイエンス入門Bは、全学共通科目として開講している。
・令和4年度より、履修人数制限を設けず、希望者全員が履修できるようにした。
・市ヶ谷・多摩・小金井の3キャンパスの全学生が移動を伴わず受講できるよう</t>
    </r>
    <r>
      <rPr>
        <sz val="12"/>
        <rFont val="ＭＳ Ｐゴシック"/>
        <family val="3"/>
        <charset val="128"/>
        <scheme val="minor"/>
      </rPr>
      <t xml:space="preserve">、学習支援ポータルサイト（Hoppii）を活用しながら、シラバスに沿って授業をフルオンデマンドで実施している（毎週配信）。
・学生は配信された講義資料と動画で学習し、毎回の小テスト（チェックテスト）によって知識の定着を確認している。
・動画はオンデマンドシステム（Knowledge Deliver）を利用することで、学生がどの部分を視聴したかわかるようにしている。
・配信後もアーカイブ化し、復習のための繰り返し視聴を可能としている。
</t>
    </r>
    <rPh sb="26" eb="28">
      <t>ゼンガク</t>
    </rPh>
    <rPh sb="28" eb="30">
      <t>キョウツウ</t>
    </rPh>
    <rPh sb="30" eb="32">
      <t>カモク</t>
    </rPh>
    <rPh sb="35" eb="37">
      <t>カイコウ</t>
    </rPh>
    <rPh sb="82" eb="85">
      <t>イチガヤ</t>
    </rPh>
    <rPh sb="86" eb="88">
      <t>タマ</t>
    </rPh>
    <rPh sb="89" eb="92">
      <t>コガネイ</t>
    </rPh>
    <rPh sb="104" eb="106">
      <t>イドウ</t>
    </rPh>
    <rPh sb="107" eb="108">
      <t>トモナ</t>
    </rPh>
    <rPh sb="172" eb="174">
      <t>マイシュウ</t>
    </rPh>
    <rPh sb="174" eb="176">
      <t>ハイシン</t>
    </rPh>
    <rPh sb="314" eb="316">
      <t>フクシュウ</t>
    </rPh>
    <rPh sb="324" eb="326">
      <t>シチョウ</t>
    </rPh>
    <rPh sb="327" eb="329">
      <t>カノウ</t>
    </rPh>
    <phoneticPr fontId="1"/>
  </si>
  <si>
    <t>令和3年度は、本プログラムの趣旨・目的を学生に幅広く周知し、「データサイエンス入門A」、「データサイエンス入門B」の履修につなげるため、「数理・データサイエンス・AI教育が目指す社会とのつながり」と題するセミナーを全学生向けに開催した。
令和4年度も、履修者数の目標を達成するために、数理・データサイエンス・AIを学ぶ意義を深耕することを目的としたセミナーを学期初め（令和4年4月5日）に実施した。次年度以降も継続的に実施し、学生の興味・関心を深め、履修につなげる。
また、令和4年度には、「法政大学データサイエンスセンター」のホームページ（https://www.dsc.hosei.ac.jp)のリニューアルを行った。これに伴い、よりきめ細かでタイムリーな情報提供が可能となった。ホームページでは、数理・データサイエンス・AI分野を学習する上で有用な学内外のホームページへのリンクを行うことなどにより、学習を支援する体制を強化した。
なお、本プログラム修了者には、デジタル証明書であるオープンバッジを授与している。学習歴が可視化されることで、就職活動時におけるスキル証明や学習計画の立案に活用できることから、学修動機向上に寄与している。</t>
    <rPh sb="0" eb="2">
      <t>レイワ</t>
    </rPh>
    <rPh sb="3" eb="5">
      <t>ネンド</t>
    </rPh>
    <rPh sb="7" eb="8">
      <t>ホン</t>
    </rPh>
    <rPh sb="14" eb="16">
      <t>シュシ</t>
    </rPh>
    <rPh sb="17" eb="19">
      <t>モクテキ</t>
    </rPh>
    <rPh sb="20" eb="22">
      <t>ガクセイ</t>
    </rPh>
    <rPh sb="23" eb="25">
      <t>ハバヒロ</t>
    </rPh>
    <rPh sb="26" eb="28">
      <t>シュウチ</t>
    </rPh>
    <rPh sb="39" eb="41">
      <t>ニュウモン</t>
    </rPh>
    <rPh sb="53" eb="55">
      <t>ニュウモン</t>
    </rPh>
    <rPh sb="58" eb="60">
      <t>リシュウ</t>
    </rPh>
    <rPh sb="69" eb="71">
      <t>スウリ</t>
    </rPh>
    <rPh sb="83" eb="85">
      <t>キョウイク</t>
    </rPh>
    <rPh sb="86" eb="88">
      <t>メザ</t>
    </rPh>
    <rPh sb="89" eb="91">
      <t>シャカイ</t>
    </rPh>
    <rPh sb="99" eb="100">
      <t>ダイ</t>
    </rPh>
    <rPh sb="107" eb="108">
      <t>ゼン</t>
    </rPh>
    <rPh sb="108" eb="110">
      <t>ガクセイ</t>
    </rPh>
    <rPh sb="110" eb="111">
      <t>ム</t>
    </rPh>
    <rPh sb="113" eb="115">
      <t>カイサイ</t>
    </rPh>
    <rPh sb="119" eb="121">
      <t>レイワ</t>
    </rPh>
    <rPh sb="122" eb="124">
      <t>ネンド</t>
    </rPh>
    <rPh sb="126" eb="128">
      <t>リシュウ</t>
    </rPh>
    <rPh sb="128" eb="129">
      <t>シャ</t>
    </rPh>
    <rPh sb="129" eb="130">
      <t>スウ</t>
    </rPh>
    <rPh sb="131" eb="133">
      <t>モクヒョウ</t>
    </rPh>
    <rPh sb="134" eb="136">
      <t>タッセイ</t>
    </rPh>
    <rPh sb="157" eb="158">
      <t>マナ</t>
    </rPh>
    <rPh sb="159" eb="161">
      <t>イギ</t>
    </rPh>
    <rPh sb="162" eb="164">
      <t>シンコウ</t>
    </rPh>
    <rPh sb="169" eb="171">
      <t>モクテキ</t>
    </rPh>
    <rPh sb="179" eb="181">
      <t>ガッキ</t>
    </rPh>
    <rPh sb="181" eb="182">
      <t>ハジ</t>
    </rPh>
    <rPh sb="184" eb="186">
      <t>レイワ</t>
    </rPh>
    <rPh sb="187" eb="188">
      <t>ネン</t>
    </rPh>
    <rPh sb="189" eb="190">
      <t>ガツ</t>
    </rPh>
    <rPh sb="191" eb="192">
      <t>ニチ</t>
    </rPh>
    <rPh sb="194" eb="196">
      <t>ジッシ</t>
    </rPh>
    <rPh sb="199" eb="202">
      <t>ジネンド</t>
    </rPh>
    <rPh sb="202" eb="204">
      <t>イコウ</t>
    </rPh>
    <rPh sb="205" eb="208">
      <t>ケイゾクテキ</t>
    </rPh>
    <rPh sb="209" eb="211">
      <t>ジッシ</t>
    </rPh>
    <rPh sb="213" eb="215">
      <t>ガクセイ</t>
    </rPh>
    <rPh sb="216" eb="218">
      <t>キョウミ</t>
    </rPh>
    <rPh sb="219" eb="221">
      <t>カンシン</t>
    </rPh>
    <rPh sb="222" eb="223">
      <t>フカ</t>
    </rPh>
    <rPh sb="225" eb="227">
      <t>リシュウ</t>
    </rPh>
    <rPh sb="307" eb="308">
      <t>オコナ</t>
    </rPh>
    <rPh sb="351" eb="353">
      <t>スウリ</t>
    </rPh>
    <rPh sb="365" eb="367">
      <t>ブンヤ</t>
    </rPh>
    <rPh sb="368" eb="370">
      <t>ガクシュウ</t>
    </rPh>
    <rPh sb="372" eb="373">
      <t>ウエ</t>
    </rPh>
    <rPh sb="374" eb="376">
      <t>ユウヨウ</t>
    </rPh>
    <rPh sb="377" eb="380">
      <t>ガクナイガイ</t>
    </rPh>
    <rPh sb="393" eb="394">
      <t>オコナ</t>
    </rPh>
    <rPh sb="403" eb="405">
      <t>ガクシュウ</t>
    </rPh>
    <rPh sb="406" eb="408">
      <t>シエン</t>
    </rPh>
    <rPh sb="410" eb="412">
      <t>タイセイ</t>
    </rPh>
    <rPh sb="413" eb="415">
      <t>キョウカ</t>
    </rPh>
    <rPh sb="422" eb="423">
      <t>ホン</t>
    </rPh>
    <rPh sb="428" eb="431">
      <t>シュウリョウシャ</t>
    </rPh>
    <rPh sb="438" eb="441">
      <t>ショウメイショ</t>
    </rPh>
    <rPh sb="452" eb="454">
      <t>ジュヨ</t>
    </rPh>
    <rPh sb="463" eb="466">
      <t>カシカ</t>
    </rPh>
    <rPh sb="473" eb="475">
      <t>シュウショク</t>
    </rPh>
    <rPh sb="475" eb="477">
      <t>カツドウ</t>
    </rPh>
    <rPh sb="477" eb="478">
      <t>ジ</t>
    </rPh>
    <rPh sb="485" eb="487">
      <t>ショウメイ</t>
    </rPh>
    <rPh sb="488" eb="490">
      <t>ガクシュウ</t>
    </rPh>
    <rPh sb="490" eb="492">
      <t>ケイカク</t>
    </rPh>
    <rPh sb="493" eb="495">
      <t>リツアン</t>
    </rPh>
    <rPh sb="496" eb="498">
      <t>カツヨウ</t>
    </rPh>
    <rPh sb="506" eb="508">
      <t>ガクシュウ</t>
    </rPh>
    <rPh sb="508" eb="510">
      <t>ドウキ</t>
    </rPh>
    <rPh sb="510" eb="512">
      <t>コウジョウ</t>
    </rPh>
    <rPh sb="513" eb="515">
      <t>キヨ</t>
    </rPh>
    <phoneticPr fontId="1"/>
  </si>
  <si>
    <r>
      <t>・大学ホームページ、学生ポータルサイト（通称：Hoppii)、メールによるお知らせ配信、SNS等様々なチャンネルを用いて周知活動を行っている。
・学生が主に訪れる学生ポータルサイト（Hoppii)の「全学的に開講している科目・プログラム一覧」において、「数理・データサイエンス・AI教育プログラム」を紹介している。
・学生がよく利用するLINEアプリを使用した問い合わせ対応AIサービス「チャットボット」を導入している。本サービスの「よくある質問」から「数理・データサイエンス・AI教育プログラム」紹介につながる仕組みを構築している。
・オンラインによる履修ガイダンスを開催している。ガイダンスの様子は録画し、</t>
    </r>
    <r>
      <rPr>
        <sz val="12"/>
        <rFont val="ＭＳ Ｐゴシック"/>
        <family val="3"/>
        <charset val="128"/>
        <scheme val="minor"/>
      </rPr>
      <t xml:space="preserve">学習支援システム内に掲載することで、全学部生がいつでも視聴可能となっている。
</t>
    </r>
    <rPh sb="20" eb="22">
      <t>ツウショウ</t>
    </rPh>
    <rPh sb="127" eb="129">
      <t>スウリ</t>
    </rPh>
    <rPh sb="141" eb="143">
      <t>キョウイク</t>
    </rPh>
    <rPh sb="150" eb="152">
      <t>ショウカイ</t>
    </rPh>
    <rPh sb="159" eb="161">
      <t>ガクセイ</t>
    </rPh>
    <rPh sb="164" eb="166">
      <t>リヨウ</t>
    </rPh>
    <rPh sb="176" eb="178">
      <t>シヨウ</t>
    </rPh>
    <rPh sb="180" eb="181">
      <t>ト</t>
    </rPh>
    <rPh sb="182" eb="183">
      <t>ア</t>
    </rPh>
    <rPh sb="185" eb="187">
      <t>タイオウ</t>
    </rPh>
    <rPh sb="203" eb="205">
      <t>ドウニュウ</t>
    </rPh>
    <rPh sb="210" eb="211">
      <t>ホン</t>
    </rPh>
    <rPh sb="221" eb="223">
      <t>シツモン</t>
    </rPh>
    <rPh sb="249" eb="251">
      <t>ショウカイ</t>
    </rPh>
    <rPh sb="256" eb="258">
      <t>シク</t>
    </rPh>
    <rPh sb="260" eb="262">
      <t>コウチク</t>
    </rPh>
    <rPh sb="298" eb="300">
      <t>ヨウス</t>
    </rPh>
    <rPh sb="301" eb="303">
      <t>ロクガ</t>
    </rPh>
    <rPh sb="305" eb="307">
      <t>ガクシュウ</t>
    </rPh>
    <rPh sb="307" eb="309">
      <t>シエン</t>
    </rPh>
    <rPh sb="313" eb="314">
      <t>ナイ</t>
    </rPh>
    <rPh sb="315" eb="317">
      <t>ケイサイ</t>
    </rPh>
    <rPh sb="323" eb="324">
      <t>ゼン</t>
    </rPh>
    <rPh sb="324" eb="327">
      <t>ガクブセイ</t>
    </rPh>
    <rPh sb="332" eb="334">
      <t>シチョウ</t>
    </rPh>
    <rPh sb="334" eb="336">
      <t>カノウ</t>
    </rPh>
    <phoneticPr fontId="1"/>
  </si>
  <si>
    <t xml:space="preserve">・データサイエンス入門A・データサイエンス入門Bはフルオンデマンドで開講している。
・講義動画及び講義資料は、LMS（Learning Management System)に蓄積され、学生がいつでも閲覧し、繰り返し学習できる環境を構築している。
・フルオンデマンドで行われているが、授業内に「質問箱」を設け、履修から授業の内容まで、幅広い質問に対応し、興味を持つ履修対象者のサポートを行い、履修や修得につながる体制を整備している。
</t>
    <rPh sb="34" eb="36">
      <t>カイコウ</t>
    </rPh>
    <rPh sb="208" eb="210">
      <t>セイビ</t>
    </rPh>
    <phoneticPr fontId="1"/>
  </si>
  <si>
    <r>
      <t xml:space="preserve">・毎回の授業終了後に、小テストを実施し、授業で得た知識等が確実に定着するように工夫している。
・質問を随時メールで受け付け、その内容に応じて、担当教員ならびにテーチィング・アシスタントが速やかに対応できる体制を整備している。
</t>
    </r>
    <r>
      <rPr>
        <sz val="12"/>
        <rFont val="ＭＳ Ｐゴシック"/>
        <family val="3"/>
        <charset val="128"/>
        <scheme val="minor"/>
      </rPr>
      <t>・定型的・基礎的な質問や意見については、FAQとして、学習管理システムを通じてフィードバックしている。</t>
    </r>
    <rPh sb="23" eb="24">
      <t>エ</t>
    </rPh>
    <rPh sb="25" eb="27">
      <t>チシキ</t>
    </rPh>
    <rPh sb="27" eb="28">
      <t>トウ</t>
    </rPh>
    <rPh sb="48" eb="50">
      <t>シツモン</t>
    </rPh>
    <rPh sb="57" eb="58">
      <t>ウ</t>
    </rPh>
    <rPh sb="59" eb="60">
      <t>ツ</t>
    </rPh>
    <rPh sb="64" eb="66">
      <t>ナイヨウ</t>
    </rPh>
    <rPh sb="67" eb="68">
      <t>オウ</t>
    </rPh>
    <rPh sb="102" eb="104">
      <t>タイセイ</t>
    </rPh>
    <rPh sb="105" eb="107">
      <t>セイビ</t>
    </rPh>
    <phoneticPr fontId="1"/>
  </si>
  <si>
    <t xml:space="preserve">【プログラムの履修状況と対応】
2021年度のデータサイエンス入門A・Bについては、当初の募集定員は「各100名」としていたが、抽選申込者が多数であったため、受け入れ人数を増やせないか検討を行った結果、「データサイエンス入門A」は、希望者全員（806名）、「データサイエンス入門B」には、307名（4年生が207名、それ以外の学年が100名）を受け入れた。また、今回の募集状況を踏まえて、2022年度のリテラシーレベル科目の開講コマ数等についてデータサイエンスセンター運営委員会で検討を行い、2021度に入門Bの抽選に外れた学生の希望者を優先的に受講させたうえで、新規の希望学生全員を受け入れる体制を整備した。
【単位修得状況】
データサイエンス入門Aの受講者のうち合格者（C⁻以上）の割合が8割、入門Bが7割を超えており、全体としては、概ね適切な成績評価と単位認定が行われたと判断できる。
</t>
    <rPh sb="172" eb="173">
      <t>ウ</t>
    </rPh>
    <rPh sb="174" eb="175">
      <t>イ</t>
    </rPh>
    <rPh sb="182" eb="183">
      <t>カイ</t>
    </rPh>
    <rPh sb="212" eb="214">
      <t>カイコウ</t>
    </rPh>
    <rPh sb="216" eb="217">
      <t>スウ</t>
    </rPh>
    <rPh sb="240" eb="242">
      <t>ケントウ</t>
    </rPh>
    <rPh sb="269" eb="272">
      <t>ユウセンテキ</t>
    </rPh>
    <rPh sb="300" eb="302">
      <t>セイビ</t>
    </rPh>
    <rPh sb="310" eb="312">
      <t>シュウトク</t>
    </rPh>
    <rPh sb="312" eb="314">
      <t>ジョウキョウ</t>
    </rPh>
    <phoneticPr fontId="1"/>
  </si>
  <si>
    <t>「データサイエンス入門A」、「データサイエンス入門B」の2科目4単位を取得すること。</t>
    <phoneticPr fontId="1"/>
  </si>
  <si>
    <t>鈴木　純史</t>
    <rPh sb="0" eb="2">
      <t>スズキ</t>
    </rPh>
    <rPh sb="3" eb="4">
      <t>ジュン</t>
    </rPh>
    <rPh sb="4" eb="5">
      <t>フミ</t>
    </rPh>
    <phoneticPr fontId="1"/>
  </si>
  <si>
    <t>03-3264-993２</t>
    <phoneticPr fontId="1"/>
  </si>
  <si>
    <t>現代社会におけるデータサイエンスの役割と、データ収集・活用の一般的な方法を理解する。データサイエンスがもたらす利点だけでなく、リスクを認識し、データを守るための倫理・モラルを身につける。また、データサイエンスの社会における貢献と役割を理解し、インターネットからのデータの収集方法、一般的に使われる分析法、そして、分析結果の解釈や可視化、さらにはその活用というデータサイエンスにおいて重要な要素を理解する。</t>
    <phoneticPr fontId="1"/>
  </si>
  <si>
    <t>https://syllabus.hosei.ac.jp/web/preview.php?no_id=2200477&amp;nendo=2021&amp;gakubu_id=データサイエンスセンター&amp;gakubueng=DSC&amp;t_mode=pc</t>
    <phoneticPr fontId="1"/>
  </si>
  <si>
    <t>https://syllabus.hosei.ac.jp/web/preview.php?no_id=2200478&amp;nendo=2021&amp;gakubu_id=データサイエンスセンター&amp;gakubueng=DSC&amp;t_mode=pc</t>
    <phoneticPr fontId="1"/>
  </si>
  <si>
    <t>https://www.dsc.hosei.ac.jp/doc/evaluation-report_2021.pdf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</si>
</sst>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3">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theme="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8">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18" fillId="0" borderId="20" xfId="0" applyFont="1" applyBorder="1" applyAlignment="1">
      <alignment vertical="top" shrinkToFit="1"/>
    </xf>
    <xf numFmtId="0" fontId="18" fillId="0" borderId="18" xfId="0" applyFont="1" applyBorder="1" applyAlignment="1">
      <alignment vertical="top" shrinkToFit="1"/>
    </xf>
    <xf numFmtId="9" fontId="22" fillId="0" borderId="23" xfId="0" applyNumberFormat="1" applyFont="1" applyBorder="1" applyAlignment="1">
      <alignment vertical="center" shrinkToFit="1"/>
    </xf>
    <xf numFmtId="9" fontId="22" fillId="0" borderId="10" xfId="0" applyNumberFormat="1" applyFont="1" applyBorder="1" applyAlignment="1">
      <alignment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Fill="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Fill="1" applyBorder="1" applyAlignment="1">
      <alignment horizontal="center" vertical="center"/>
    </xf>
    <xf numFmtId="176" fontId="8" fillId="0" borderId="3" xfId="0" applyNumberFormat="1" applyFont="1" applyFill="1" applyBorder="1" applyAlignment="1">
      <alignment horizontal="center" vertical="center"/>
    </xf>
    <xf numFmtId="176" fontId="8" fillId="0" borderId="4" xfId="0" applyNumberFormat="1" applyFont="1" applyFill="1" applyBorder="1" applyAlignment="1">
      <alignment horizontal="center" vertical="center"/>
    </xf>
    <xf numFmtId="0" fontId="8" fillId="0" borderId="0"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0" fillId="0" borderId="32" xfId="0" applyFont="1" applyBorder="1" applyAlignment="1">
      <alignmen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horizontal="left" vertical="top" wrapText="1" shrinkToFit="1"/>
    </xf>
    <xf numFmtId="0" fontId="8" fillId="0" borderId="20" xfId="0" applyFont="1" applyBorder="1" applyAlignment="1">
      <alignment horizontal="left" vertical="top" wrapText="1" shrinkToFit="1"/>
    </xf>
    <xf numFmtId="0" fontId="8" fillId="0" borderId="18" xfId="0" applyFont="1" applyBorder="1" applyAlignment="1">
      <alignment horizontal="lef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gaku@hosei.ac.jp"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syllabus.hosei.ac.jp/web/preview.php?no_id=2200477&amp;nendo=2021&amp;gakubu_id=&#12487;&#12540;&#12479;&#12469;&#12452;&#12456;&#12531;&#12473;&#12475;&#12531;&#12479;&#12540;&amp;gakubueng=DSC&amp;t_mode=pc" TargetMode="External"/><Relationship Id="rId1" Type="http://schemas.openxmlformats.org/officeDocument/2006/relationships/hyperlink" Target="https://syllabus.hosei.ac.jp/web/preview.php?no_id=2200478&amp;nendo=2021&amp;gakubu_id=&#12487;&#12540;&#12479;&#12469;&#12452;&#12456;&#12531;&#12473;&#12475;&#12531;&#12479;&#12540;&amp;gakubueng=DSC&amp;t_mode=p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sc.hosei.ac.jp/doc/evaluation-report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9" zoomScaleNormal="100" zoomScaleSheetLayoutView="100" workbookViewId="0">
      <selection activeCell="D39" sqref="D39:F39"/>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41" t="s">
        <v>26</v>
      </c>
      <c r="N1" s="141"/>
    </row>
    <row r="2" spans="1:15" ht="24" customHeight="1">
      <c r="A2" s="145" t="s">
        <v>87</v>
      </c>
      <c r="B2" s="145"/>
      <c r="C2" s="145"/>
      <c r="D2" s="145"/>
      <c r="E2" s="145"/>
      <c r="F2" s="145"/>
      <c r="G2" s="145"/>
      <c r="H2" s="145"/>
      <c r="I2" s="145"/>
      <c r="J2" s="145"/>
      <c r="K2" s="145"/>
      <c r="L2" s="145"/>
      <c r="M2" s="145"/>
      <c r="N2" s="145"/>
    </row>
    <row r="3" spans="1:15" ht="24" customHeight="1"/>
    <row r="4" spans="1:15" ht="24" customHeight="1">
      <c r="A4" s="14" t="s">
        <v>6</v>
      </c>
      <c r="B4" s="15" t="s">
        <v>17</v>
      </c>
      <c r="C4" s="131" t="s">
        <v>171</v>
      </c>
      <c r="D4" s="132"/>
      <c r="E4" s="132"/>
      <c r="F4" s="132"/>
      <c r="G4" s="132"/>
      <c r="H4" s="132"/>
      <c r="I4" s="132"/>
      <c r="J4" s="132"/>
      <c r="K4" s="132"/>
      <c r="L4" s="132"/>
      <c r="M4" s="132"/>
      <c r="N4" s="133"/>
      <c r="O4" s="31" t="str">
        <f>IF(C4="","入力してください","")</f>
        <v/>
      </c>
    </row>
    <row r="5" spans="1:15" ht="7.5" customHeight="1">
      <c r="B5" s="15"/>
      <c r="C5" s="15"/>
      <c r="D5" s="15"/>
      <c r="E5" s="16"/>
      <c r="F5" s="35"/>
      <c r="G5" s="35"/>
      <c r="H5" s="35"/>
      <c r="I5" s="35"/>
      <c r="J5" s="35"/>
      <c r="K5" s="35"/>
      <c r="L5" s="35"/>
      <c r="M5" s="35"/>
      <c r="N5" s="35"/>
    </row>
    <row r="6" spans="1:15" ht="24" customHeight="1">
      <c r="A6" s="14" t="s">
        <v>50</v>
      </c>
      <c r="B6" s="15" t="s">
        <v>51</v>
      </c>
      <c r="C6" s="15"/>
      <c r="D6" s="131" t="s">
        <v>172</v>
      </c>
      <c r="E6" s="132"/>
      <c r="F6" s="132"/>
      <c r="G6" s="132"/>
      <c r="H6" s="133"/>
      <c r="I6" s="17" t="s">
        <v>90</v>
      </c>
      <c r="J6" s="35" t="s">
        <v>91</v>
      </c>
      <c r="K6" s="131" t="s">
        <v>173</v>
      </c>
      <c r="L6" s="132"/>
      <c r="M6" s="132"/>
      <c r="N6" s="133"/>
      <c r="O6" s="31" t="str">
        <f>IF(D6="","入力してください","")</f>
        <v/>
      </c>
    </row>
    <row r="7" spans="1:15" ht="7.5" customHeight="1">
      <c r="B7" s="15"/>
      <c r="C7" s="15"/>
      <c r="D7" s="15"/>
      <c r="E7" s="16"/>
      <c r="F7" s="35"/>
      <c r="G7" s="35"/>
      <c r="H7" s="35"/>
      <c r="I7" s="35"/>
      <c r="J7" s="35"/>
      <c r="K7" s="35"/>
      <c r="L7" s="35"/>
      <c r="M7" s="35"/>
      <c r="N7" s="35"/>
    </row>
    <row r="8" spans="1:15" ht="24" customHeight="1">
      <c r="A8" s="14" t="s">
        <v>14</v>
      </c>
      <c r="B8" s="15" t="s">
        <v>47</v>
      </c>
      <c r="C8" s="131" t="s">
        <v>174</v>
      </c>
      <c r="D8" s="132"/>
      <c r="E8" s="132"/>
      <c r="F8" s="132"/>
      <c r="G8" s="132"/>
      <c r="H8" s="132"/>
      <c r="I8" s="132"/>
      <c r="J8" s="132"/>
      <c r="K8" s="132"/>
      <c r="L8" s="132"/>
      <c r="M8" s="132"/>
      <c r="N8" s="133"/>
      <c r="O8" s="31" t="str">
        <f>IF(C8="","入力してください","")</f>
        <v/>
      </c>
    </row>
    <row r="9" spans="1:15" ht="7.5" customHeight="1">
      <c r="B9" s="15"/>
      <c r="C9" s="15"/>
      <c r="D9" s="15"/>
      <c r="E9" s="16"/>
      <c r="F9" s="35"/>
      <c r="G9" s="35"/>
      <c r="H9" s="35"/>
      <c r="I9" s="35"/>
      <c r="J9" s="35"/>
      <c r="K9" s="35"/>
      <c r="L9" s="35"/>
      <c r="M9" s="35"/>
      <c r="N9" s="35"/>
    </row>
    <row r="10" spans="1:15" ht="24" customHeight="1">
      <c r="A10" s="14" t="s">
        <v>12</v>
      </c>
      <c r="B10" s="15" t="s">
        <v>89</v>
      </c>
      <c r="C10" s="15"/>
      <c r="D10" s="15"/>
      <c r="E10" s="131" t="s">
        <v>175</v>
      </c>
      <c r="F10" s="132"/>
      <c r="G10" s="132"/>
      <c r="H10" s="132"/>
      <c r="I10" s="132"/>
      <c r="J10" s="132"/>
      <c r="K10" s="132"/>
      <c r="L10" s="132"/>
      <c r="M10" s="132"/>
      <c r="N10" s="133"/>
      <c r="O10" s="31" t="str">
        <f>IF(E10="","入力してください","")</f>
        <v/>
      </c>
    </row>
    <row r="11" spans="1:15" ht="7.5" customHeight="1">
      <c r="B11" s="16"/>
      <c r="C11" s="16"/>
      <c r="D11" s="16"/>
      <c r="E11" s="16"/>
      <c r="F11" s="35"/>
      <c r="G11" s="35"/>
      <c r="H11" s="35"/>
      <c r="I11" s="35"/>
      <c r="J11" s="35"/>
      <c r="K11" s="35"/>
      <c r="L11" s="35"/>
      <c r="M11" s="35"/>
      <c r="N11" s="35"/>
    </row>
    <row r="12" spans="1:15" ht="24" customHeight="1">
      <c r="A12" s="14" t="s">
        <v>60</v>
      </c>
      <c r="B12" s="16" t="s">
        <v>61</v>
      </c>
      <c r="C12" s="16"/>
      <c r="D12" s="16"/>
      <c r="E12" s="146" t="s">
        <v>176</v>
      </c>
      <c r="F12" s="147"/>
      <c r="G12" s="17" t="s">
        <v>100</v>
      </c>
      <c r="H12" s="14" t="s">
        <v>101</v>
      </c>
      <c r="N12" s="115" t="s">
        <v>177</v>
      </c>
      <c r="O12" s="31" t="str">
        <f>IF(E12="","入力してください","")</f>
        <v/>
      </c>
    </row>
    <row r="13" spans="1:15" ht="7.5" customHeight="1">
      <c r="B13" s="16"/>
      <c r="C13" s="16"/>
      <c r="D13" s="16"/>
      <c r="E13" s="16"/>
      <c r="F13" s="35"/>
      <c r="G13" s="35"/>
      <c r="H13" s="35"/>
      <c r="I13" s="35"/>
      <c r="J13" s="35"/>
      <c r="K13" s="35"/>
      <c r="L13" s="35"/>
      <c r="M13" s="35"/>
      <c r="N13" s="35"/>
    </row>
    <row r="14" spans="1:15" ht="24" customHeight="1">
      <c r="A14" s="14" t="s">
        <v>55</v>
      </c>
      <c r="B14" s="14" t="s">
        <v>0</v>
      </c>
      <c r="C14" s="142" t="s">
        <v>5</v>
      </c>
      <c r="D14" s="143"/>
      <c r="E14" s="134">
        <v>773</v>
      </c>
      <c r="F14" s="135"/>
      <c r="G14" s="18" t="s">
        <v>8</v>
      </c>
      <c r="I14" s="142" t="s">
        <v>9</v>
      </c>
      <c r="J14" s="143"/>
      <c r="K14" s="134">
        <v>2269</v>
      </c>
      <c r="L14" s="144"/>
      <c r="M14" s="135"/>
      <c r="N14" s="19" t="s">
        <v>8</v>
      </c>
      <c r="O14" s="31" t="str">
        <f>IF(OR(E14="",K14=""),"入力してください","")</f>
        <v/>
      </c>
    </row>
    <row r="15" spans="1:15" ht="7.5" customHeight="1">
      <c r="F15" s="20"/>
      <c r="G15" s="20"/>
      <c r="H15" s="20"/>
      <c r="I15" s="20"/>
      <c r="J15" s="20"/>
      <c r="K15" s="20"/>
      <c r="L15" s="20"/>
      <c r="M15" s="19"/>
      <c r="N15" s="19"/>
    </row>
    <row r="16" spans="1:15" ht="24" customHeight="1">
      <c r="A16" s="14" t="s">
        <v>62</v>
      </c>
      <c r="B16" s="14" t="s">
        <v>72</v>
      </c>
      <c r="F16" s="20"/>
      <c r="G16" s="20"/>
      <c r="H16" s="20"/>
      <c r="I16" s="20"/>
      <c r="J16" s="20"/>
      <c r="K16" s="150">
        <v>8</v>
      </c>
      <c r="L16" s="151"/>
      <c r="M16" s="152"/>
      <c r="N16" s="19" t="s">
        <v>53</v>
      </c>
      <c r="O16" s="31" t="str">
        <f>IF(K16="","入力してください","")</f>
        <v/>
      </c>
    </row>
    <row r="17" spans="1:15" ht="7.5" customHeight="1">
      <c r="F17" s="20"/>
      <c r="G17" s="20"/>
      <c r="H17" s="20"/>
      <c r="I17" s="20"/>
      <c r="J17" s="20"/>
      <c r="K17" s="20"/>
      <c r="L17" s="20"/>
      <c r="M17" s="19"/>
      <c r="N17" s="19"/>
    </row>
    <row r="18" spans="1:15" ht="24" customHeight="1">
      <c r="A18" s="14" t="s">
        <v>25</v>
      </c>
      <c r="B18" s="14" t="s">
        <v>81</v>
      </c>
      <c r="E18" s="148">
        <v>6605</v>
      </c>
      <c r="F18" s="149"/>
      <c r="G18" s="21" t="s">
        <v>22</v>
      </c>
      <c r="H18" s="20"/>
      <c r="K18" s="156"/>
      <c r="L18" s="156"/>
      <c r="M18" s="156"/>
      <c r="N18" s="156"/>
      <c r="O18" s="31" t="str">
        <f>IF(E18="","入力してください","")</f>
        <v/>
      </c>
    </row>
    <row r="19" spans="1:15" ht="7.5" customHeight="1">
      <c r="E19" s="10"/>
      <c r="F19" s="20"/>
      <c r="G19" s="20"/>
      <c r="L19" s="34"/>
      <c r="M19" s="34"/>
      <c r="N19" s="22"/>
    </row>
    <row r="20" spans="1:15" ht="24" customHeight="1">
      <c r="A20" s="14" t="s">
        <v>80</v>
      </c>
      <c r="B20" s="14" t="s">
        <v>82</v>
      </c>
      <c r="E20" s="10"/>
      <c r="F20" s="20"/>
      <c r="G20" s="20"/>
      <c r="H20" s="14" t="s">
        <v>54</v>
      </c>
      <c r="J20" s="153">
        <v>26936</v>
      </c>
      <c r="K20" s="154"/>
      <c r="L20" s="155"/>
      <c r="M20" s="34" t="s">
        <v>53</v>
      </c>
      <c r="N20" s="22"/>
      <c r="O20" s="31" t="str">
        <f>IF(J20="","入力してください","")</f>
        <v/>
      </c>
    </row>
    <row r="21" spans="1:15" ht="7.5" customHeight="1">
      <c r="E21" s="10"/>
      <c r="F21" s="20"/>
      <c r="G21" s="20"/>
      <c r="L21" s="34"/>
      <c r="M21" s="34"/>
      <c r="N21" s="22"/>
    </row>
    <row r="22" spans="1:15" ht="24" customHeight="1">
      <c r="B22" s="29" t="s">
        <v>18</v>
      </c>
      <c r="C22" s="134">
        <v>6843</v>
      </c>
      <c r="D22" s="135"/>
      <c r="E22" s="10" t="s">
        <v>23</v>
      </c>
      <c r="F22" s="20"/>
      <c r="G22" s="130" t="s">
        <v>19</v>
      </c>
      <c r="H22" s="130"/>
      <c r="I22" s="134">
        <v>6440</v>
      </c>
      <c r="J22" s="135"/>
      <c r="K22" s="17" t="s">
        <v>23</v>
      </c>
      <c r="M22" s="34"/>
      <c r="N22" s="22"/>
    </row>
    <row r="23" spans="1:15" ht="7.5" customHeight="1">
      <c r="B23" s="29"/>
      <c r="C23" s="11"/>
      <c r="D23" s="11"/>
      <c r="E23" s="10"/>
      <c r="F23" s="20"/>
      <c r="G23" s="34"/>
      <c r="H23" s="34"/>
      <c r="I23" s="11"/>
      <c r="J23" s="11"/>
      <c r="K23" s="17"/>
      <c r="M23" s="34"/>
      <c r="N23" s="22"/>
    </row>
    <row r="24" spans="1:15" ht="24" customHeight="1">
      <c r="B24" s="29" t="s">
        <v>20</v>
      </c>
      <c r="C24" s="134">
        <v>6608</v>
      </c>
      <c r="D24" s="135"/>
      <c r="E24" s="10" t="s">
        <v>23</v>
      </c>
      <c r="F24" s="20"/>
      <c r="G24" s="130" t="s">
        <v>21</v>
      </c>
      <c r="H24" s="130"/>
      <c r="I24" s="134">
        <v>7045</v>
      </c>
      <c r="J24" s="135"/>
      <c r="K24" s="17" t="s">
        <v>23</v>
      </c>
      <c r="M24" s="34"/>
      <c r="N24" s="22"/>
    </row>
    <row r="25" spans="1:15" ht="7.5" customHeight="1">
      <c r="B25" s="29"/>
      <c r="C25" s="11"/>
      <c r="D25" s="11"/>
      <c r="E25" s="10"/>
      <c r="F25" s="20"/>
      <c r="G25" s="34"/>
      <c r="H25" s="34"/>
      <c r="I25" s="11"/>
      <c r="J25" s="11"/>
      <c r="K25" s="17"/>
      <c r="M25" s="34"/>
      <c r="N25" s="22"/>
    </row>
    <row r="26" spans="1:15" ht="24" customHeight="1">
      <c r="B26" s="29" t="s">
        <v>48</v>
      </c>
      <c r="C26" s="148"/>
      <c r="D26" s="149"/>
      <c r="E26" s="10" t="s">
        <v>8</v>
      </c>
      <c r="F26" s="20"/>
      <c r="G26" s="130" t="s">
        <v>49</v>
      </c>
      <c r="H26" s="130"/>
      <c r="I26" s="148"/>
      <c r="J26" s="149"/>
      <c r="K26" s="17" t="s">
        <v>8</v>
      </c>
      <c r="M26" s="34"/>
      <c r="N26" s="22"/>
    </row>
    <row r="27" spans="1:15" ht="7.5" customHeight="1">
      <c r="F27" s="20"/>
      <c r="G27" s="20"/>
      <c r="M27" s="23"/>
      <c r="N27" s="23"/>
    </row>
    <row r="28" spans="1:15" ht="24" customHeight="1">
      <c r="A28" s="14" t="s">
        <v>52</v>
      </c>
      <c r="B28" s="15" t="s">
        <v>79</v>
      </c>
      <c r="C28" s="15"/>
      <c r="D28" s="15"/>
      <c r="E28" s="15"/>
      <c r="F28" s="17"/>
      <c r="G28" s="35"/>
      <c r="H28" s="35"/>
      <c r="I28" s="35"/>
      <c r="J28" s="24"/>
      <c r="K28" s="24"/>
      <c r="L28" s="24"/>
      <c r="M28" s="24"/>
      <c r="N28" s="24"/>
    </row>
    <row r="29" spans="1:15" s="14" customFormat="1" ht="24" customHeight="1">
      <c r="B29" s="138" t="s">
        <v>78</v>
      </c>
      <c r="C29" s="138"/>
      <c r="D29" s="131" t="s">
        <v>178</v>
      </c>
      <c r="E29" s="132"/>
      <c r="F29" s="132"/>
      <c r="G29" s="139" t="s">
        <v>24</v>
      </c>
      <c r="H29" s="138"/>
      <c r="I29" s="140"/>
      <c r="J29" s="131" t="s">
        <v>179</v>
      </c>
      <c r="K29" s="132"/>
      <c r="L29" s="132"/>
      <c r="M29" s="132"/>
      <c r="N29" s="133"/>
      <c r="O29" s="31" t="str">
        <f>IF(OR(D29="",J29=""),"入力してください","")</f>
        <v/>
      </c>
    </row>
    <row r="30" spans="1:15" ht="7.5" customHeight="1">
      <c r="F30" s="20"/>
      <c r="G30" s="20"/>
      <c r="M30" s="23"/>
      <c r="N30" s="23"/>
    </row>
    <row r="31" spans="1:15" ht="24" customHeight="1">
      <c r="A31" s="14" t="s">
        <v>56</v>
      </c>
      <c r="B31" s="15" t="s">
        <v>84</v>
      </c>
      <c r="C31" s="15"/>
      <c r="D31" s="15"/>
      <c r="E31" s="15"/>
      <c r="F31" s="17"/>
      <c r="G31" s="24"/>
      <c r="H31" s="24"/>
      <c r="I31" s="24"/>
      <c r="J31" s="24"/>
      <c r="K31" s="24"/>
      <c r="L31" s="24"/>
      <c r="M31" s="24"/>
      <c r="N31" s="24"/>
    </row>
    <row r="32" spans="1:15" ht="24" customHeight="1">
      <c r="B32" s="131" t="s">
        <v>180</v>
      </c>
      <c r="C32" s="132"/>
      <c r="D32" s="132"/>
      <c r="E32" s="132"/>
      <c r="F32" s="132"/>
      <c r="G32" s="132"/>
      <c r="H32" s="132"/>
      <c r="I32" s="132"/>
      <c r="J32" s="132"/>
      <c r="K32" s="132"/>
      <c r="L32" s="132"/>
      <c r="M32" s="132"/>
      <c r="N32" s="133"/>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38" t="s">
        <v>78</v>
      </c>
      <c r="C34" s="138"/>
      <c r="D34" s="131" t="s">
        <v>178</v>
      </c>
      <c r="E34" s="132"/>
      <c r="F34" s="132"/>
      <c r="G34" s="139" t="s">
        <v>57</v>
      </c>
      <c r="H34" s="138"/>
      <c r="I34" s="140"/>
      <c r="J34" s="131" t="s">
        <v>179</v>
      </c>
      <c r="K34" s="132"/>
      <c r="L34" s="132"/>
      <c r="M34" s="132"/>
      <c r="N34" s="133"/>
      <c r="O34" s="31" t="str">
        <f>IF(OR(D34="",J34=""),"入力してください","")</f>
        <v/>
      </c>
    </row>
    <row r="35" spans="1:15" ht="7.5" customHeight="1">
      <c r="F35" s="35"/>
      <c r="G35" s="35"/>
      <c r="H35" s="35"/>
      <c r="I35" s="35"/>
      <c r="J35" s="35"/>
      <c r="K35" s="35"/>
      <c r="L35" s="35"/>
      <c r="M35" s="35"/>
      <c r="N35" s="35"/>
    </row>
    <row r="36" spans="1:15" ht="24" customHeight="1">
      <c r="A36" s="14" t="s">
        <v>63</v>
      </c>
      <c r="B36" s="14" t="s">
        <v>85</v>
      </c>
      <c r="M36" s="23"/>
      <c r="N36" s="23"/>
    </row>
    <row r="37" spans="1:15" ht="24" customHeight="1">
      <c r="B37" s="131" t="s">
        <v>181</v>
      </c>
      <c r="C37" s="132"/>
      <c r="D37" s="132"/>
      <c r="E37" s="132"/>
      <c r="F37" s="132"/>
      <c r="G37" s="132"/>
      <c r="H37" s="132"/>
      <c r="I37" s="132"/>
      <c r="J37" s="132"/>
      <c r="K37" s="132"/>
      <c r="L37" s="132"/>
      <c r="M37" s="132"/>
      <c r="N37" s="133"/>
      <c r="O37" s="31" t="str">
        <f>IF(B37="","入力してください","")</f>
        <v/>
      </c>
    </row>
    <row r="38" spans="1:15" ht="7.5" customHeight="1">
      <c r="F38" s="35"/>
      <c r="G38" s="35"/>
      <c r="H38" s="35"/>
      <c r="I38" s="35"/>
      <c r="J38" s="35"/>
      <c r="K38" s="35"/>
      <c r="L38" s="35"/>
      <c r="M38" s="35"/>
      <c r="N38" s="35"/>
    </row>
    <row r="39" spans="1:15" s="14" customFormat="1" ht="24" customHeight="1">
      <c r="B39" s="138" t="s">
        <v>78</v>
      </c>
      <c r="C39" s="138"/>
      <c r="D39" s="131" t="s">
        <v>178</v>
      </c>
      <c r="E39" s="132"/>
      <c r="F39" s="132"/>
      <c r="G39" s="139" t="s">
        <v>57</v>
      </c>
      <c r="H39" s="138"/>
      <c r="I39" s="140"/>
      <c r="J39" s="131" t="s">
        <v>213</v>
      </c>
      <c r="K39" s="132"/>
      <c r="L39" s="132"/>
      <c r="M39" s="132"/>
      <c r="N39" s="133"/>
      <c r="O39" s="31" t="str">
        <f>IF(OR(D39="",J39=""),"入力してください","")</f>
        <v/>
      </c>
    </row>
    <row r="40" spans="1:15" ht="7.5" customHeight="1">
      <c r="F40" s="35"/>
      <c r="G40" s="35"/>
      <c r="H40" s="35"/>
      <c r="I40" s="35"/>
      <c r="J40" s="35"/>
      <c r="K40" s="35"/>
      <c r="L40" s="35"/>
      <c r="M40" s="35"/>
      <c r="N40" s="35"/>
    </row>
    <row r="41" spans="1:15" ht="24" customHeight="1">
      <c r="A41" s="14" t="s">
        <v>92</v>
      </c>
      <c r="B41" s="71" t="s">
        <v>71</v>
      </c>
      <c r="E41" s="72"/>
      <c r="F41" s="131" t="s">
        <v>182</v>
      </c>
      <c r="G41" s="132"/>
      <c r="H41" s="132"/>
      <c r="I41" s="132"/>
      <c r="J41" s="132"/>
      <c r="K41" s="132"/>
      <c r="L41" s="132"/>
      <c r="M41" s="132"/>
      <c r="N41" s="133"/>
      <c r="O41" s="31" t="str">
        <f>IF(F41="","入力してください","")</f>
        <v/>
      </c>
    </row>
    <row r="42" spans="1:15" ht="7.5" customHeight="1">
      <c r="F42" s="35"/>
      <c r="G42" s="35"/>
      <c r="H42" s="35"/>
      <c r="I42" s="35"/>
      <c r="J42" s="35"/>
      <c r="K42" s="35"/>
      <c r="L42" s="35"/>
      <c r="M42" s="35"/>
      <c r="N42" s="35"/>
    </row>
    <row r="43" spans="1:15" ht="24" customHeight="1">
      <c r="A43" s="14" t="s">
        <v>102</v>
      </c>
    </row>
    <row r="44" spans="1:15" ht="24" customHeight="1">
      <c r="B44" s="30" t="s">
        <v>1</v>
      </c>
      <c r="C44" s="136" t="s">
        <v>183</v>
      </c>
      <c r="D44" s="137"/>
      <c r="E44" s="137"/>
      <c r="F44" s="137"/>
      <c r="G44" s="137"/>
      <c r="H44" s="137"/>
      <c r="I44" s="26" t="s">
        <v>2</v>
      </c>
      <c r="J44" s="27"/>
      <c r="K44" s="131" t="s">
        <v>221</v>
      </c>
      <c r="L44" s="132"/>
      <c r="M44" s="132"/>
      <c r="N44" s="133"/>
      <c r="O44" s="31" t="str">
        <f>IF(OR(C44="",K44=""),"入力してください","")</f>
        <v/>
      </c>
    </row>
    <row r="45" spans="1:15" ht="24" customHeight="1">
      <c r="B45" s="25" t="s">
        <v>4</v>
      </c>
      <c r="C45" s="124" t="s">
        <v>184</v>
      </c>
      <c r="D45" s="125"/>
      <c r="E45" s="125"/>
      <c r="F45" s="125"/>
      <c r="G45" s="125"/>
      <c r="H45" s="126"/>
      <c r="I45" s="26" t="s">
        <v>3</v>
      </c>
      <c r="J45" s="27"/>
      <c r="K45" s="127" t="s">
        <v>222</v>
      </c>
      <c r="L45" s="128"/>
      <c r="M45" s="128"/>
      <c r="N45" s="129"/>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
  <sheetViews>
    <sheetView showZeros="0" view="pageBreakPreview" zoomScaleNormal="100" zoomScaleSheetLayoutView="100" workbookViewId="0">
      <selection activeCell="B99" sqref="B99:Z99"/>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44" t="s">
        <v>117</v>
      </c>
      <c r="X1" s="244"/>
      <c r="Y1" s="244"/>
      <c r="Z1" s="244"/>
    </row>
    <row r="2" spans="1:26" ht="18" customHeight="1">
      <c r="A2" s="206" t="s">
        <v>69</v>
      </c>
      <c r="B2" s="206"/>
      <c r="C2" s="206"/>
      <c r="D2" s="206"/>
      <c r="E2" s="206"/>
      <c r="F2" s="206"/>
      <c r="G2" s="206"/>
      <c r="H2" s="206"/>
      <c r="I2" s="206"/>
      <c r="J2" s="206"/>
      <c r="K2" s="206"/>
      <c r="L2" s="206"/>
      <c r="M2" s="206"/>
      <c r="N2" s="206"/>
      <c r="O2" s="206"/>
      <c r="P2" s="206"/>
      <c r="Q2" s="206"/>
      <c r="R2" s="206"/>
      <c r="S2" s="206"/>
      <c r="T2" s="206"/>
      <c r="U2" s="206"/>
      <c r="V2" s="206"/>
      <c r="W2" s="206"/>
      <c r="X2" s="206"/>
      <c r="Y2" s="206"/>
      <c r="Z2" s="206"/>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103</v>
      </c>
      <c r="B4" s="29"/>
      <c r="C4" s="29"/>
      <c r="D4" s="29"/>
      <c r="E4" s="29"/>
      <c r="F4" s="29"/>
      <c r="G4" s="29"/>
      <c r="H4" s="15" t="s">
        <v>116</v>
      </c>
      <c r="I4" s="29"/>
      <c r="J4" s="29"/>
      <c r="K4" s="29"/>
      <c r="L4" s="29"/>
      <c r="M4" s="29"/>
      <c r="N4" s="29"/>
      <c r="O4" s="150" t="s">
        <v>154</v>
      </c>
      <c r="P4" s="151"/>
      <c r="Q4" s="151"/>
      <c r="R4" s="151"/>
      <c r="S4" s="151"/>
      <c r="T4" s="151"/>
      <c r="U4" s="151"/>
      <c r="V4" s="151"/>
      <c r="W4" s="151"/>
      <c r="X4" s="151"/>
      <c r="Y4" s="151"/>
      <c r="Z4" s="152"/>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07" t="s">
        <v>220</v>
      </c>
      <c r="C6" s="208"/>
      <c r="D6" s="208"/>
      <c r="E6" s="208"/>
      <c r="F6" s="208"/>
      <c r="G6" s="208"/>
      <c r="H6" s="208"/>
      <c r="I6" s="208"/>
      <c r="J6" s="208"/>
      <c r="K6" s="208"/>
      <c r="L6" s="208"/>
      <c r="M6" s="208"/>
      <c r="N6" s="208"/>
      <c r="O6" s="208"/>
      <c r="P6" s="208"/>
      <c r="Q6" s="208"/>
      <c r="R6" s="208"/>
      <c r="S6" s="208"/>
      <c r="T6" s="208"/>
      <c r="U6" s="208"/>
      <c r="V6" s="208"/>
      <c r="W6" s="208"/>
      <c r="X6" s="208"/>
      <c r="Y6" s="208"/>
      <c r="Z6" s="209"/>
    </row>
    <row r="7" spans="1:26" ht="18" customHeight="1">
      <c r="B7" s="210"/>
      <c r="C7" s="211"/>
      <c r="D7" s="211"/>
      <c r="E7" s="211"/>
      <c r="F7" s="211"/>
      <c r="G7" s="211"/>
      <c r="H7" s="211"/>
      <c r="I7" s="211"/>
      <c r="J7" s="211"/>
      <c r="K7" s="211"/>
      <c r="L7" s="211"/>
      <c r="M7" s="211"/>
      <c r="N7" s="211"/>
      <c r="O7" s="211"/>
      <c r="P7" s="211"/>
      <c r="Q7" s="211"/>
      <c r="R7" s="211"/>
      <c r="S7" s="211"/>
      <c r="T7" s="211"/>
      <c r="U7" s="211"/>
      <c r="V7" s="211"/>
      <c r="W7" s="211"/>
      <c r="X7" s="211"/>
      <c r="Y7" s="211"/>
      <c r="Z7" s="212"/>
    </row>
    <row r="8" spans="1:26" ht="18" customHeight="1">
      <c r="B8" s="210"/>
      <c r="C8" s="211"/>
      <c r="D8" s="211"/>
      <c r="E8" s="211"/>
      <c r="F8" s="211"/>
      <c r="G8" s="211"/>
      <c r="H8" s="211"/>
      <c r="I8" s="211"/>
      <c r="J8" s="211"/>
      <c r="K8" s="211"/>
      <c r="L8" s="211"/>
      <c r="M8" s="211"/>
      <c r="N8" s="211"/>
      <c r="O8" s="211"/>
      <c r="P8" s="211"/>
      <c r="Q8" s="211"/>
      <c r="R8" s="211"/>
      <c r="S8" s="211"/>
      <c r="T8" s="211"/>
      <c r="U8" s="211"/>
      <c r="V8" s="211"/>
      <c r="W8" s="211"/>
      <c r="X8" s="211"/>
      <c r="Y8" s="211"/>
      <c r="Z8" s="212"/>
    </row>
    <row r="9" spans="1:26" ht="18" customHeight="1">
      <c r="B9" s="210"/>
      <c r="C9" s="211"/>
      <c r="D9" s="211"/>
      <c r="E9" s="211"/>
      <c r="F9" s="211"/>
      <c r="G9" s="211"/>
      <c r="H9" s="211"/>
      <c r="I9" s="211"/>
      <c r="J9" s="211"/>
      <c r="K9" s="211"/>
      <c r="L9" s="211"/>
      <c r="M9" s="211"/>
      <c r="N9" s="211"/>
      <c r="O9" s="211"/>
      <c r="P9" s="211"/>
      <c r="Q9" s="211"/>
      <c r="R9" s="211"/>
      <c r="S9" s="211"/>
      <c r="T9" s="211"/>
      <c r="U9" s="211"/>
      <c r="V9" s="211"/>
      <c r="W9" s="211"/>
      <c r="X9" s="211"/>
      <c r="Y9" s="211"/>
      <c r="Z9" s="212"/>
    </row>
    <row r="10" spans="1:26" ht="18" customHeight="1">
      <c r="B10" s="210"/>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2"/>
    </row>
    <row r="11" spans="1:26" ht="18" customHeight="1">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6"/>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196" t="s">
        <v>131</v>
      </c>
      <c r="B13" s="196"/>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row>
    <row r="14" spans="1:26" ht="18" customHeight="1">
      <c r="A14" s="196"/>
      <c r="B14" s="196"/>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row>
    <row r="15" spans="1:26" ht="18" customHeight="1">
      <c r="A15" s="14"/>
      <c r="B15" s="150" t="s">
        <v>104</v>
      </c>
      <c r="C15" s="151"/>
      <c r="D15" s="151"/>
      <c r="E15" s="151"/>
      <c r="F15" s="152"/>
      <c r="G15" s="30" t="s">
        <v>147</v>
      </c>
      <c r="H15" s="110" t="s">
        <v>146</v>
      </c>
      <c r="I15" s="151" t="s">
        <v>105</v>
      </c>
      <c r="J15" s="151"/>
      <c r="K15" s="151"/>
      <c r="L15" s="73" t="s">
        <v>108</v>
      </c>
      <c r="M15" s="73" t="s">
        <v>111</v>
      </c>
      <c r="N15" s="150" t="s">
        <v>104</v>
      </c>
      <c r="O15" s="151"/>
      <c r="P15" s="151"/>
      <c r="Q15" s="151"/>
      <c r="R15" s="151"/>
      <c r="S15" s="152"/>
      <c r="T15" s="30" t="s">
        <v>147</v>
      </c>
      <c r="U15" s="110" t="s">
        <v>146</v>
      </c>
      <c r="V15" s="151" t="s">
        <v>105</v>
      </c>
      <c r="W15" s="151"/>
      <c r="X15" s="151"/>
      <c r="Y15" s="73" t="s">
        <v>108</v>
      </c>
      <c r="Z15" s="73" t="s">
        <v>111</v>
      </c>
    </row>
    <row r="16" spans="1:26" ht="18" customHeight="1">
      <c r="A16" s="14"/>
      <c r="B16" s="200" t="s">
        <v>185</v>
      </c>
      <c r="C16" s="201"/>
      <c r="D16" s="201"/>
      <c r="E16" s="201"/>
      <c r="F16" s="202"/>
      <c r="G16" s="111">
        <v>2</v>
      </c>
      <c r="H16" s="111" t="s">
        <v>190</v>
      </c>
      <c r="I16" s="197" t="s">
        <v>187</v>
      </c>
      <c r="J16" s="198"/>
      <c r="K16" s="199"/>
      <c r="L16" s="111" t="s">
        <v>190</v>
      </c>
      <c r="M16" s="111"/>
      <c r="N16" s="160"/>
      <c r="O16" s="161"/>
      <c r="P16" s="161"/>
      <c r="Q16" s="161"/>
      <c r="R16" s="161"/>
      <c r="S16" s="162"/>
      <c r="T16" s="111"/>
      <c r="U16" s="111"/>
      <c r="V16" s="197"/>
      <c r="W16" s="198"/>
      <c r="X16" s="199"/>
      <c r="Y16" s="111"/>
      <c r="Z16" s="111"/>
    </row>
    <row r="17" spans="1:26" ht="18" customHeight="1">
      <c r="A17" s="14"/>
      <c r="B17" s="203" t="s">
        <v>186</v>
      </c>
      <c r="C17" s="204"/>
      <c r="D17" s="204"/>
      <c r="E17" s="204"/>
      <c r="F17" s="205"/>
      <c r="G17" s="112">
        <v>2</v>
      </c>
      <c r="H17" s="112" t="s">
        <v>190</v>
      </c>
      <c r="I17" s="190" t="s">
        <v>187</v>
      </c>
      <c r="J17" s="191"/>
      <c r="K17" s="192"/>
      <c r="L17" s="112"/>
      <c r="M17" s="112" t="s">
        <v>190</v>
      </c>
      <c r="N17" s="169"/>
      <c r="O17" s="170"/>
      <c r="P17" s="170"/>
      <c r="Q17" s="170"/>
      <c r="R17" s="170"/>
      <c r="S17" s="171"/>
      <c r="T17" s="112"/>
      <c r="U17" s="112"/>
      <c r="V17" s="190"/>
      <c r="W17" s="191"/>
      <c r="X17" s="192"/>
      <c r="Y17" s="112"/>
      <c r="Z17" s="112"/>
    </row>
    <row r="18" spans="1:26" ht="18" customHeight="1">
      <c r="A18" s="14"/>
      <c r="B18" s="203"/>
      <c r="C18" s="204"/>
      <c r="D18" s="204"/>
      <c r="E18" s="204"/>
      <c r="F18" s="205"/>
      <c r="G18" s="112"/>
      <c r="H18" s="112"/>
      <c r="I18" s="190"/>
      <c r="J18" s="191"/>
      <c r="K18" s="192"/>
      <c r="L18" s="112"/>
      <c r="M18" s="112"/>
      <c r="N18" s="169"/>
      <c r="O18" s="170"/>
      <c r="P18" s="170"/>
      <c r="Q18" s="170"/>
      <c r="R18" s="170"/>
      <c r="S18" s="171"/>
      <c r="T18" s="112"/>
      <c r="U18" s="112"/>
      <c r="V18" s="190"/>
      <c r="W18" s="191"/>
      <c r="X18" s="192"/>
      <c r="Y18" s="112"/>
      <c r="Z18" s="112"/>
    </row>
    <row r="19" spans="1:26" ht="18" customHeight="1">
      <c r="A19" s="14"/>
      <c r="B19" s="203"/>
      <c r="C19" s="204"/>
      <c r="D19" s="204"/>
      <c r="E19" s="204"/>
      <c r="F19" s="205"/>
      <c r="G19" s="112"/>
      <c r="H19" s="112"/>
      <c r="I19" s="190"/>
      <c r="J19" s="191"/>
      <c r="K19" s="192"/>
      <c r="L19" s="112"/>
      <c r="M19" s="112"/>
      <c r="N19" s="169"/>
      <c r="O19" s="170"/>
      <c r="P19" s="170"/>
      <c r="Q19" s="170"/>
      <c r="R19" s="170"/>
      <c r="S19" s="171"/>
      <c r="T19" s="112"/>
      <c r="U19" s="112"/>
      <c r="V19" s="190"/>
      <c r="W19" s="191"/>
      <c r="X19" s="192"/>
      <c r="Y19" s="112"/>
      <c r="Z19" s="112"/>
    </row>
    <row r="20" spans="1:26" ht="18" customHeight="1">
      <c r="A20" s="14"/>
      <c r="B20" s="203"/>
      <c r="C20" s="204"/>
      <c r="D20" s="204"/>
      <c r="E20" s="204"/>
      <c r="F20" s="205"/>
      <c r="G20" s="112"/>
      <c r="H20" s="112"/>
      <c r="I20" s="190"/>
      <c r="J20" s="191"/>
      <c r="K20" s="192"/>
      <c r="L20" s="112"/>
      <c r="M20" s="112"/>
      <c r="N20" s="169"/>
      <c r="O20" s="170"/>
      <c r="P20" s="170"/>
      <c r="Q20" s="170"/>
      <c r="R20" s="170"/>
      <c r="S20" s="171"/>
      <c r="T20" s="112"/>
      <c r="U20" s="112"/>
      <c r="V20" s="190"/>
      <c r="W20" s="191"/>
      <c r="X20" s="192"/>
      <c r="Y20" s="112"/>
      <c r="Z20" s="112"/>
    </row>
    <row r="21" spans="1:26" ht="18" customHeight="1">
      <c r="A21" s="29"/>
      <c r="B21" s="203"/>
      <c r="C21" s="204"/>
      <c r="D21" s="204"/>
      <c r="E21" s="204"/>
      <c r="F21" s="205"/>
      <c r="G21" s="112"/>
      <c r="H21" s="112"/>
      <c r="I21" s="190"/>
      <c r="J21" s="191"/>
      <c r="K21" s="192"/>
      <c r="L21" s="112"/>
      <c r="M21" s="112"/>
      <c r="N21" s="169"/>
      <c r="O21" s="170"/>
      <c r="P21" s="170"/>
      <c r="Q21" s="170"/>
      <c r="R21" s="170"/>
      <c r="S21" s="171"/>
      <c r="T21" s="112"/>
      <c r="U21" s="112"/>
      <c r="V21" s="190"/>
      <c r="W21" s="191"/>
      <c r="X21" s="192"/>
      <c r="Y21" s="112"/>
      <c r="Z21" s="112"/>
    </row>
    <row r="22" spans="1:26" ht="18" customHeight="1">
      <c r="A22" s="29"/>
      <c r="B22" s="217"/>
      <c r="C22" s="218"/>
      <c r="D22" s="218"/>
      <c r="E22" s="218"/>
      <c r="F22" s="219"/>
      <c r="G22" s="113"/>
      <c r="H22" s="113"/>
      <c r="I22" s="193"/>
      <c r="J22" s="194"/>
      <c r="K22" s="195"/>
      <c r="L22" s="119"/>
      <c r="M22" s="119"/>
      <c r="N22" s="228"/>
      <c r="O22" s="229"/>
      <c r="P22" s="229"/>
      <c r="Q22" s="229"/>
      <c r="R22" s="229"/>
      <c r="S22" s="230"/>
      <c r="T22" s="113"/>
      <c r="U22" s="113"/>
      <c r="V22" s="193"/>
      <c r="W22" s="194"/>
      <c r="X22" s="195"/>
      <c r="Y22" s="119"/>
      <c r="Z22" s="119"/>
    </row>
    <row r="23" spans="1:26" ht="7.5" customHeight="1">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c r="A24" s="196" t="s">
        <v>132</v>
      </c>
      <c r="B24" s="196"/>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row>
    <row r="25" spans="1:26" ht="18" customHeight="1">
      <c r="A25" s="196"/>
      <c r="B25" s="196"/>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row>
    <row r="26" spans="1:26" ht="18" customHeight="1">
      <c r="A26" s="14"/>
      <c r="B26" s="150" t="s">
        <v>104</v>
      </c>
      <c r="C26" s="151"/>
      <c r="D26" s="151"/>
      <c r="E26" s="151"/>
      <c r="F26" s="152"/>
      <c r="G26" s="30" t="s">
        <v>147</v>
      </c>
      <c r="H26" s="110" t="s">
        <v>146</v>
      </c>
      <c r="I26" s="151" t="s">
        <v>105</v>
      </c>
      <c r="J26" s="151"/>
      <c r="K26" s="151"/>
      <c r="L26" s="73" t="s">
        <v>133</v>
      </c>
      <c r="M26" s="73" t="s">
        <v>134</v>
      </c>
      <c r="N26" s="150" t="s">
        <v>104</v>
      </c>
      <c r="O26" s="151"/>
      <c r="P26" s="151"/>
      <c r="Q26" s="151"/>
      <c r="R26" s="151"/>
      <c r="S26" s="152"/>
      <c r="T26" s="30" t="s">
        <v>147</v>
      </c>
      <c r="U26" s="110" t="s">
        <v>146</v>
      </c>
      <c r="V26" s="151" t="s">
        <v>105</v>
      </c>
      <c r="W26" s="151"/>
      <c r="X26" s="151"/>
      <c r="Y26" s="73" t="s">
        <v>133</v>
      </c>
      <c r="Z26" s="73" t="s">
        <v>134</v>
      </c>
    </row>
    <row r="27" spans="1:26" ht="18" customHeight="1">
      <c r="A27" s="14"/>
      <c r="B27" s="200" t="s">
        <v>188</v>
      </c>
      <c r="C27" s="201"/>
      <c r="D27" s="201"/>
      <c r="E27" s="201"/>
      <c r="F27" s="202"/>
      <c r="G27" s="111">
        <v>2</v>
      </c>
      <c r="H27" s="111" t="s">
        <v>190</v>
      </c>
      <c r="I27" s="197" t="s">
        <v>187</v>
      </c>
      <c r="J27" s="198"/>
      <c r="K27" s="199"/>
      <c r="L27" s="111" t="s">
        <v>190</v>
      </c>
      <c r="M27" s="111" t="s">
        <v>190</v>
      </c>
      <c r="N27" s="160"/>
      <c r="O27" s="161"/>
      <c r="P27" s="161"/>
      <c r="Q27" s="161"/>
      <c r="R27" s="161"/>
      <c r="S27" s="162"/>
      <c r="T27" s="111"/>
      <c r="U27" s="111"/>
      <c r="V27" s="197"/>
      <c r="W27" s="198"/>
      <c r="X27" s="199"/>
      <c r="Y27" s="111"/>
      <c r="Z27" s="111"/>
    </row>
    <row r="28" spans="1:26" ht="18" customHeight="1">
      <c r="A28" s="14"/>
      <c r="B28" s="203"/>
      <c r="C28" s="204"/>
      <c r="D28" s="204"/>
      <c r="E28" s="204"/>
      <c r="F28" s="205"/>
      <c r="G28" s="112"/>
      <c r="H28" s="112"/>
      <c r="I28" s="190"/>
      <c r="J28" s="191"/>
      <c r="K28" s="192"/>
      <c r="L28" s="112"/>
      <c r="M28" s="112"/>
      <c r="N28" s="169"/>
      <c r="O28" s="170"/>
      <c r="P28" s="170"/>
      <c r="Q28" s="170"/>
      <c r="R28" s="170"/>
      <c r="S28" s="171"/>
      <c r="T28" s="112"/>
      <c r="U28" s="112"/>
      <c r="V28" s="190"/>
      <c r="W28" s="191"/>
      <c r="X28" s="192"/>
      <c r="Y28" s="112"/>
      <c r="Z28" s="112"/>
    </row>
    <row r="29" spans="1:26" ht="18" customHeight="1">
      <c r="A29" s="14"/>
      <c r="B29" s="203"/>
      <c r="C29" s="204"/>
      <c r="D29" s="204"/>
      <c r="E29" s="204"/>
      <c r="F29" s="205"/>
      <c r="G29" s="112"/>
      <c r="H29" s="112"/>
      <c r="I29" s="190"/>
      <c r="J29" s="191"/>
      <c r="K29" s="192"/>
      <c r="L29" s="112"/>
      <c r="M29" s="112"/>
      <c r="N29" s="169"/>
      <c r="O29" s="170"/>
      <c r="P29" s="170"/>
      <c r="Q29" s="170"/>
      <c r="R29" s="170"/>
      <c r="S29" s="171"/>
      <c r="T29" s="112"/>
      <c r="U29" s="112"/>
      <c r="V29" s="190"/>
      <c r="W29" s="191"/>
      <c r="X29" s="192"/>
      <c r="Y29" s="112"/>
      <c r="Z29" s="112"/>
    </row>
    <row r="30" spans="1:26" ht="18" customHeight="1">
      <c r="A30" s="14"/>
      <c r="B30" s="203"/>
      <c r="C30" s="204"/>
      <c r="D30" s="204"/>
      <c r="E30" s="204"/>
      <c r="F30" s="205"/>
      <c r="G30" s="112"/>
      <c r="H30" s="112"/>
      <c r="I30" s="190"/>
      <c r="J30" s="191"/>
      <c r="K30" s="192"/>
      <c r="L30" s="112"/>
      <c r="M30" s="112"/>
      <c r="N30" s="169"/>
      <c r="O30" s="170"/>
      <c r="P30" s="170"/>
      <c r="Q30" s="170"/>
      <c r="R30" s="170"/>
      <c r="S30" s="171"/>
      <c r="T30" s="112"/>
      <c r="U30" s="112"/>
      <c r="V30" s="190"/>
      <c r="W30" s="191"/>
      <c r="X30" s="192"/>
      <c r="Y30" s="112"/>
      <c r="Z30" s="112"/>
    </row>
    <row r="31" spans="1:26" ht="18" customHeight="1">
      <c r="A31" s="14"/>
      <c r="B31" s="203"/>
      <c r="C31" s="204"/>
      <c r="D31" s="204"/>
      <c r="E31" s="204"/>
      <c r="F31" s="205"/>
      <c r="G31" s="112"/>
      <c r="H31" s="112"/>
      <c r="I31" s="190"/>
      <c r="J31" s="191"/>
      <c r="K31" s="192"/>
      <c r="L31" s="112"/>
      <c r="M31" s="112"/>
      <c r="N31" s="169"/>
      <c r="O31" s="170"/>
      <c r="P31" s="170"/>
      <c r="Q31" s="170"/>
      <c r="R31" s="170"/>
      <c r="S31" s="171"/>
      <c r="T31" s="112"/>
      <c r="U31" s="112"/>
      <c r="V31" s="190"/>
      <c r="W31" s="191"/>
      <c r="X31" s="192"/>
      <c r="Y31" s="112"/>
      <c r="Z31" s="112"/>
    </row>
    <row r="32" spans="1:26" ht="18" customHeight="1">
      <c r="A32" s="14"/>
      <c r="B32" s="203"/>
      <c r="C32" s="204"/>
      <c r="D32" s="204"/>
      <c r="E32" s="204"/>
      <c r="F32" s="205"/>
      <c r="G32" s="112"/>
      <c r="H32" s="112"/>
      <c r="I32" s="190"/>
      <c r="J32" s="191"/>
      <c r="K32" s="192"/>
      <c r="L32" s="112"/>
      <c r="M32" s="112"/>
      <c r="N32" s="169"/>
      <c r="O32" s="170"/>
      <c r="P32" s="170"/>
      <c r="Q32" s="170"/>
      <c r="R32" s="170"/>
      <c r="S32" s="171"/>
      <c r="T32" s="112"/>
      <c r="U32" s="112"/>
      <c r="V32" s="190"/>
      <c r="W32" s="191"/>
      <c r="X32" s="192"/>
      <c r="Y32" s="112"/>
      <c r="Z32" s="112"/>
    </row>
    <row r="33" spans="1:26" ht="18" customHeight="1">
      <c r="A33" s="14"/>
      <c r="B33" s="217"/>
      <c r="C33" s="218"/>
      <c r="D33" s="218"/>
      <c r="E33" s="218"/>
      <c r="F33" s="219"/>
      <c r="G33" s="113"/>
      <c r="H33" s="113"/>
      <c r="I33" s="193"/>
      <c r="J33" s="194"/>
      <c r="K33" s="195"/>
      <c r="L33" s="119"/>
      <c r="M33" s="119"/>
      <c r="N33" s="228"/>
      <c r="O33" s="229"/>
      <c r="P33" s="229"/>
      <c r="Q33" s="229"/>
      <c r="R33" s="229"/>
      <c r="S33" s="230"/>
      <c r="T33" s="113"/>
      <c r="U33" s="113"/>
      <c r="V33" s="193"/>
      <c r="W33" s="194"/>
      <c r="X33" s="195"/>
      <c r="Y33" s="119"/>
      <c r="Z33" s="119"/>
    </row>
    <row r="34" spans="1:26" ht="7.5" customHeight="1">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c r="A35" s="196" t="s">
        <v>135</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row>
    <row r="36" spans="1:26" ht="18" customHeight="1">
      <c r="A36" s="196"/>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row>
    <row r="37" spans="1:26" ht="18" customHeight="1">
      <c r="A37" s="14"/>
      <c r="B37" s="150" t="s">
        <v>104</v>
      </c>
      <c r="C37" s="151"/>
      <c r="D37" s="151"/>
      <c r="E37" s="151"/>
      <c r="F37" s="152"/>
      <c r="G37" s="30" t="s">
        <v>147</v>
      </c>
      <c r="H37" s="110" t="s">
        <v>146</v>
      </c>
      <c r="I37" s="150" t="s">
        <v>105</v>
      </c>
      <c r="J37" s="151"/>
      <c r="K37" s="152"/>
      <c r="L37" s="73" t="s">
        <v>136</v>
      </c>
      <c r="M37" s="73" t="s">
        <v>137</v>
      </c>
      <c r="N37" s="150" t="s">
        <v>104</v>
      </c>
      <c r="O37" s="151"/>
      <c r="P37" s="151"/>
      <c r="Q37" s="151"/>
      <c r="R37" s="151"/>
      <c r="S37" s="152"/>
      <c r="T37" s="30" t="s">
        <v>147</v>
      </c>
      <c r="U37" s="110" t="s">
        <v>146</v>
      </c>
      <c r="V37" s="150" t="s">
        <v>105</v>
      </c>
      <c r="W37" s="151"/>
      <c r="X37" s="152"/>
      <c r="Y37" s="73" t="s">
        <v>136</v>
      </c>
      <c r="Z37" s="73" t="s">
        <v>137</v>
      </c>
    </row>
    <row r="38" spans="1:26" ht="18" customHeight="1">
      <c r="A38" s="29"/>
      <c r="B38" s="200" t="s">
        <v>188</v>
      </c>
      <c r="C38" s="201"/>
      <c r="D38" s="201"/>
      <c r="E38" s="201"/>
      <c r="F38" s="202"/>
      <c r="G38" s="111">
        <v>2</v>
      </c>
      <c r="H38" s="111" t="s">
        <v>190</v>
      </c>
      <c r="I38" s="197" t="s">
        <v>187</v>
      </c>
      <c r="J38" s="198"/>
      <c r="K38" s="199"/>
      <c r="L38" s="111" t="s">
        <v>190</v>
      </c>
      <c r="M38" s="111" t="s">
        <v>190</v>
      </c>
      <c r="N38" s="160"/>
      <c r="O38" s="161"/>
      <c r="P38" s="161"/>
      <c r="Q38" s="161"/>
      <c r="R38" s="161"/>
      <c r="S38" s="162"/>
      <c r="T38" s="111"/>
      <c r="U38" s="111"/>
      <c r="V38" s="197"/>
      <c r="W38" s="198"/>
      <c r="X38" s="199"/>
      <c r="Y38" s="111"/>
      <c r="Z38" s="111"/>
    </row>
    <row r="39" spans="1:26" ht="18" customHeight="1">
      <c r="A39" s="29"/>
      <c r="B39" s="203"/>
      <c r="C39" s="204"/>
      <c r="D39" s="204"/>
      <c r="E39" s="204"/>
      <c r="F39" s="205"/>
      <c r="G39" s="112"/>
      <c r="H39" s="112"/>
      <c r="I39" s="190"/>
      <c r="J39" s="191"/>
      <c r="K39" s="192"/>
      <c r="L39" s="112"/>
      <c r="M39" s="112"/>
      <c r="N39" s="169"/>
      <c r="O39" s="170"/>
      <c r="P39" s="170"/>
      <c r="Q39" s="170"/>
      <c r="R39" s="170"/>
      <c r="S39" s="171"/>
      <c r="T39" s="112"/>
      <c r="U39" s="112"/>
      <c r="V39" s="190"/>
      <c r="W39" s="191"/>
      <c r="X39" s="192"/>
      <c r="Y39" s="112"/>
      <c r="Z39" s="112"/>
    </row>
    <row r="40" spans="1:26" ht="18" customHeight="1">
      <c r="A40" s="29"/>
      <c r="B40" s="203"/>
      <c r="C40" s="204"/>
      <c r="D40" s="204"/>
      <c r="E40" s="204"/>
      <c r="F40" s="205"/>
      <c r="G40" s="112"/>
      <c r="H40" s="112"/>
      <c r="I40" s="190"/>
      <c r="J40" s="191"/>
      <c r="K40" s="192"/>
      <c r="L40" s="112"/>
      <c r="M40" s="112"/>
      <c r="N40" s="169"/>
      <c r="O40" s="170"/>
      <c r="P40" s="170"/>
      <c r="Q40" s="170"/>
      <c r="R40" s="170"/>
      <c r="S40" s="171"/>
      <c r="T40" s="112"/>
      <c r="U40" s="112"/>
      <c r="V40" s="190"/>
      <c r="W40" s="191"/>
      <c r="X40" s="192"/>
      <c r="Y40" s="112"/>
      <c r="Z40" s="112"/>
    </row>
    <row r="41" spans="1:26" ht="18" customHeight="1">
      <c r="A41" s="29"/>
      <c r="B41" s="203"/>
      <c r="C41" s="204"/>
      <c r="D41" s="204"/>
      <c r="E41" s="204"/>
      <c r="F41" s="205"/>
      <c r="G41" s="112"/>
      <c r="H41" s="112"/>
      <c r="I41" s="190"/>
      <c r="J41" s="191"/>
      <c r="K41" s="192"/>
      <c r="L41" s="112"/>
      <c r="M41" s="112"/>
      <c r="N41" s="169"/>
      <c r="O41" s="170"/>
      <c r="P41" s="170"/>
      <c r="Q41" s="170"/>
      <c r="R41" s="170"/>
      <c r="S41" s="171"/>
      <c r="T41" s="112"/>
      <c r="U41" s="112"/>
      <c r="V41" s="190"/>
      <c r="W41" s="191"/>
      <c r="X41" s="192"/>
      <c r="Y41" s="112"/>
      <c r="Z41" s="112"/>
    </row>
    <row r="42" spans="1:26" ht="18" customHeight="1">
      <c r="A42" s="29"/>
      <c r="B42" s="203"/>
      <c r="C42" s="204"/>
      <c r="D42" s="204"/>
      <c r="E42" s="204"/>
      <c r="F42" s="205"/>
      <c r="G42" s="112"/>
      <c r="H42" s="112"/>
      <c r="I42" s="190"/>
      <c r="J42" s="191"/>
      <c r="K42" s="192"/>
      <c r="L42" s="112"/>
      <c r="M42" s="112"/>
      <c r="N42" s="169"/>
      <c r="O42" s="170"/>
      <c r="P42" s="170"/>
      <c r="Q42" s="170"/>
      <c r="R42" s="170"/>
      <c r="S42" s="171"/>
      <c r="T42" s="112"/>
      <c r="U42" s="112"/>
      <c r="V42" s="190"/>
      <c r="W42" s="191"/>
      <c r="X42" s="192"/>
      <c r="Y42" s="112"/>
      <c r="Z42" s="112"/>
    </row>
    <row r="43" spans="1:26" ht="18" customHeight="1">
      <c r="A43" s="29"/>
      <c r="B43" s="203"/>
      <c r="C43" s="204"/>
      <c r="D43" s="204"/>
      <c r="E43" s="204"/>
      <c r="F43" s="205"/>
      <c r="G43" s="112"/>
      <c r="H43" s="112"/>
      <c r="I43" s="190"/>
      <c r="J43" s="191"/>
      <c r="K43" s="192"/>
      <c r="L43" s="112"/>
      <c r="M43" s="112"/>
      <c r="N43" s="169"/>
      <c r="O43" s="170"/>
      <c r="P43" s="170"/>
      <c r="Q43" s="170"/>
      <c r="R43" s="170"/>
      <c r="S43" s="171"/>
      <c r="T43" s="112"/>
      <c r="U43" s="112"/>
      <c r="V43" s="190"/>
      <c r="W43" s="191"/>
      <c r="X43" s="192"/>
      <c r="Y43" s="112"/>
      <c r="Z43" s="112"/>
    </row>
    <row r="44" spans="1:26" ht="18" customHeight="1">
      <c r="A44" s="29"/>
      <c r="B44" s="217"/>
      <c r="C44" s="218"/>
      <c r="D44" s="218"/>
      <c r="E44" s="218"/>
      <c r="F44" s="219"/>
      <c r="G44" s="113"/>
      <c r="H44" s="113"/>
      <c r="I44" s="193"/>
      <c r="J44" s="194"/>
      <c r="K44" s="195"/>
      <c r="L44" s="119"/>
      <c r="M44" s="119"/>
      <c r="N44" s="228"/>
      <c r="O44" s="229"/>
      <c r="P44" s="229"/>
      <c r="Q44" s="229"/>
      <c r="R44" s="229"/>
      <c r="S44" s="230"/>
      <c r="T44" s="113"/>
      <c r="U44" s="113"/>
      <c r="V44" s="193"/>
      <c r="W44" s="194"/>
      <c r="X44" s="195"/>
      <c r="Y44" s="119"/>
      <c r="Z44" s="119"/>
    </row>
    <row r="45" spans="1:26" ht="7.5" customHeight="1">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c r="A46" s="196" t="s">
        <v>138</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spans="1:26" ht="18" customHeight="1">
      <c r="A47" s="196"/>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48" spans="1:26" ht="18" customHeight="1">
      <c r="A48" s="14"/>
      <c r="B48" s="150" t="s">
        <v>104</v>
      </c>
      <c r="C48" s="151"/>
      <c r="D48" s="151"/>
      <c r="E48" s="151"/>
      <c r="F48" s="152"/>
      <c r="G48" s="30" t="s">
        <v>147</v>
      </c>
      <c r="H48" s="110" t="s">
        <v>146</v>
      </c>
      <c r="I48" s="150" t="s">
        <v>105</v>
      </c>
      <c r="J48" s="151"/>
      <c r="K48" s="152"/>
      <c r="L48" s="73" t="s">
        <v>110</v>
      </c>
      <c r="M48" s="73" t="s">
        <v>112</v>
      </c>
      <c r="N48" s="150" t="s">
        <v>104</v>
      </c>
      <c r="O48" s="151"/>
      <c r="P48" s="151"/>
      <c r="Q48" s="151"/>
      <c r="R48" s="151"/>
      <c r="S48" s="152"/>
      <c r="T48" s="30" t="s">
        <v>147</v>
      </c>
      <c r="U48" s="110" t="s">
        <v>146</v>
      </c>
      <c r="V48" s="150" t="s">
        <v>105</v>
      </c>
      <c r="W48" s="151"/>
      <c r="X48" s="152"/>
      <c r="Y48" s="73" t="s">
        <v>110</v>
      </c>
      <c r="Z48" s="73" t="s">
        <v>112</v>
      </c>
    </row>
    <row r="49" spans="1:26" ht="18" customHeight="1">
      <c r="A49" s="29"/>
      <c r="B49" s="200" t="s">
        <v>188</v>
      </c>
      <c r="C49" s="201"/>
      <c r="D49" s="201"/>
      <c r="E49" s="201"/>
      <c r="F49" s="202"/>
      <c r="G49" s="111">
        <v>2</v>
      </c>
      <c r="H49" s="111" t="s">
        <v>190</v>
      </c>
      <c r="I49" s="197" t="s">
        <v>187</v>
      </c>
      <c r="J49" s="198"/>
      <c r="K49" s="199"/>
      <c r="L49" s="111" t="s">
        <v>190</v>
      </c>
      <c r="M49" s="111" t="s">
        <v>190</v>
      </c>
      <c r="N49" s="160"/>
      <c r="O49" s="161"/>
      <c r="P49" s="161"/>
      <c r="Q49" s="161"/>
      <c r="R49" s="161"/>
      <c r="S49" s="162"/>
      <c r="T49" s="111"/>
      <c r="U49" s="111"/>
      <c r="V49" s="197"/>
      <c r="W49" s="198"/>
      <c r="X49" s="199"/>
      <c r="Y49" s="111"/>
      <c r="Z49" s="111"/>
    </row>
    <row r="50" spans="1:26" ht="18" customHeight="1">
      <c r="A50" s="29"/>
      <c r="B50" s="203"/>
      <c r="C50" s="204"/>
      <c r="D50" s="204"/>
      <c r="E50" s="204"/>
      <c r="F50" s="205"/>
      <c r="G50" s="112"/>
      <c r="H50" s="112"/>
      <c r="I50" s="190"/>
      <c r="J50" s="191"/>
      <c r="K50" s="192"/>
      <c r="L50" s="112"/>
      <c r="M50" s="112"/>
      <c r="N50" s="169"/>
      <c r="O50" s="170"/>
      <c r="P50" s="170"/>
      <c r="Q50" s="170"/>
      <c r="R50" s="170"/>
      <c r="S50" s="171"/>
      <c r="T50" s="112"/>
      <c r="U50" s="112"/>
      <c r="V50" s="190"/>
      <c r="W50" s="191"/>
      <c r="X50" s="192"/>
      <c r="Y50" s="112"/>
      <c r="Z50" s="112"/>
    </row>
    <row r="51" spans="1:26" ht="18" customHeight="1">
      <c r="A51" s="29"/>
      <c r="B51" s="203"/>
      <c r="C51" s="204"/>
      <c r="D51" s="204"/>
      <c r="E51" s="204"/>
      <c r="F51" s="205"/>
      <c r="G51" s="112"/>
      <c r="H51" s="112"/>
      <c r="I51" s="190"/>
      <c r="J51" s="191"/>
      <c r="K51" s="192"/>
      <c r="L51" s="112"/>
      <c r="M51" s="112"/>
      <c r="N51" s="169"/>
      <c r="O51" s="170"/>
      <c r="P51" s="170"/>
      <c r="Q51" s="170"/>
      <c r="R51" s="170"/>
      <c r="S51" s="171"/>
      <c r="T51" s="112"/>
      <c r="U51" s="112"/>
      <c r="V51" s="190"/>
      <c r="W51" s="191"/>
      <c r="X51" s="192"/>
      <c r="Y51" s="112"/>
      <c r="Z51" s="112"/>
    </row>
    <row r="52" spans="1:26" ht="18" customHeight="1">
      <c r="A52" s="29"/>
      <c r="B52" s="203"/>
      <c r="C52" s="204"/>
      <c r="D52" s="204"/>
      <c r="E52" s="204"/>
      <c r="F52" s="205"/>
      <c r="G52" s="112"/>
      <c r="H52" s="112"/>
      <c r="I52" s="190"/>
      <c r="J52" s="191"/>
      <c r="K52" s="192"/>
      <c r="L52" s="112"/>
      <c r="M52" s="112"/>
      <c r="N52" s="169"/>
      <c r="O52" s="170"/>
      <c r="P52" s="170"/>
      <c r="Q52" s="170"/>
      <c r="R52" s="170"/>
      <c r="S52" s="171"/>
      <c r="T52" s="112"/>
      <c r="U52" s="112"/>
      <c r="V52" s="190"/>
      <c r="W52" s="191"/>
      <c r="X52" s="192"/>
      <c r="Y52" s="112"/>
      <c r="Z52" s="112"/>
    </row>
    <row r="53" spans="1:26" ht="18" customHeight="1">
      <c r="A53" s="29"/>
      <c r="B53" s="203"/>
      <c r="C53" s="204"/>
      <c r="D53" s="204"/>
      <c r="E53" s="204"/>
      <c r="F53" s="205"/>
      <c r="G53" s="112"/>
      <c r="H53" s="112"/>
      <c r="I53" s="190"/>
      <c r="J53" s="191"/>
      <c r="K53" s="192"/>
      <c r="L53" s="112"/>
      <c r="M53" s="112"/>
      <c r="N53" s="169"/>
      <c r="O53" s="170"/>
      <c r="P53" s="170"/>
      <c r="Q53" s="170"/>
      <c r="R53" s="170"/>
      <c r="S53" s="171"/>
      <c r="T53" s="112"/>
      <c r="U53" s="112"/>
      <c r="V53" s="190"/>
      <c r="W53" s="191"/>
      <c r="X53" s="192"/>
      <c r="Y53" s="112"/>
      <c r="Z53" s="112"/>
    </row>
    <row r="54" spans="1:26" ht="18" customHeight="1">
      <c r="A54" s="29"/>
      <c r="B54" s="203"/>
      <c r="C54" s="204"/>
      <c r="D54" s="204"/>
      <c r="E54" s="204"/>
      <c r="F54" s="205"/>
      <c r="G54" s="112"/>
      <c r="H54" s="112"/>
      <c r="I54" s="190"/>
      <c r="J54" s="191"/>
      <c r="K54" s="192"/>
      <c r="L54" s="112"/>
      <c r="M54" s="112"/>
      <c r="N54" s="169"/>
      <c r="O54" s="170"/>
      <c r="P54" s="170"/>
      <c r="Q54" s="170"/>
      <c r="R54" s="170"/>
      <c r="S54" s="171"/>
      <c r="T54" s="112"/>
      <c r="U54" s="112"/>
      <c r="V54" s="190"/>
      <c r="W54" s="191"/>
      <c r="X54" s="192"/>
      <c r="Y54" s="112"/>
      <c r="Z54" s="112"/>
    </row>
    <row r="55" spans="1:26" ht="18" customHeight="1">
      <c r="A55" s="29"/>
      <c r="B55" s="217"/>
      <c r="C55" s="218"/>
      <c r="D55" s="218"/>
      <c r="E55" s="218"/>
      <c r="F55" s="219"/>
      <c r="G55" s="113"/>
      <c r="H55" s="113"/>
      <c r="I55" s="193"/>
      <c r="J55" s="194"/>
      <c r="K55" s="195"/>
      <c r="L55" s="119"/>
      <c r="M55" s="119"/>
      <c r="N55" s="228"/>
      <c r="O55" s="229"/>
      <c r="P55" s="229"/>
      <c r="Q55" s="229"/>
      <c r="R55" s="229"/>
      <c r="S55" s="230"/>
      <c r="T55" s="113"/>
      <c r="U55" s="113"/>
      <c r="V55" s="193"/>
      <c r="W55" s="194"/>
      <c r="X55" s="195"/>
      <c r="Y55" s="119"/>
      <c r="Z55" s="119"/>
    </row>
    <row r="56" spans="1:26" ht="7.5" customHeight="1">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c r="A57" s="196" t="s">
        <v>139</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row>
    <row r="58" spans="1:26" ht="18" customHeight="1">
      <c r="A58" s="196"/>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row>
    <row r="59" spans="1:26" ht="18" customHeight="1">
      <c r="A59" s="14"/>
      <c r="B59" s="150" t="s">
        <v>104</v>
      </c>
      <c r="C59" s="151"/>
      <c r="D59" s="151"/>
      <c r="E59" s="152"/>
      <c r="F59" s="30" t="s">
        <v>147</v>
      </c>
      <c r="G59" s="110" t="s">
        <v>146</v>
      </c>
      <c r="H59" s="105" t="s">
        <v>105</v>
      </c>
      <c r="I59" s="106"/>
      <c r="J59" s="107"/>
      <c r="K59" s="73" t="s">
        <v>109</v>
      </c>
      <c r="L59" s="73" t="s">
        <v>140</v>
      </c>
      <c r="M59" s="73" t="s">
        <v>141</v>
      </c>
      <c r="N59" s="150" t="s">
        <v>104</v>
      </c>
      <c r="O59" s="151"/>
      <c r="P59" s="151"/>
      <c r="Q59" s="151"/>
      <c r="R59" s="152"/>
      <c r="S59" s="30" t="s">
        <v>147</v>
      </c>
      <c r="T59" s="110" t="s">
        <v>146</v>
      </c>
      <c r="U59" s="105" t="s">
        <v>105</v>
      </c>
      <c r="V59" s="106"/>
      <c r="W59" s="107"/>
      <c r="X59" s="73" t="s">
        <v>109</v>
      </c>
      <c r="Y59" s="73" t="s">
        <v>140</v>
      </c>
      <c r="Z59" s="73" t="s">
        <v>141</v>
      </c>
    </row>
    <row r="60" spans="1:26" ht="18" customHeight="1">
      <c r="A60" s="29"/>
      <c r="B60" s="160" t="s">
        <v>189</v>
      </c>
      <c r="C60" s="161"/>
      <c r="D60" s="161"/>
      <c r="E60" s="162"/>
      <c r="F60" s="111">
        <v>2</v>
      </c>
      <c r="G60" s="111" t="s">
        <v>190</v>
      </c>
      <c r="H60" s="197" t="s">
        <v>187</v>
      </c>
      <c r="I60" s="198"/>
      <c r="J60" s="199"/>
      <c r="K60" s="111" t="s">
        <v>190</v>
      </c>
      <c r="L60" s="111" t="s">
        <v>190</v>
      </c>
      <c r="M60" s="111" t="s">
        <v>190</v>
      </c>
      <c r="N60" s="160"/>
      <c r="O60" s="161"/>
      <c r="P60" s="161"/>
      <c r="Q60" s="161"/>
      <c r="R60" s="162"/>
      <c r="S60" s="111"/>
      <c r="T60" s="111"/>
      <c r="U60" s="197"/>
      <c r="V60" s="198"/>
      <c r="W60" s="199"/>
      <c r="X60" s="118"/>
      <c r="Y60" s="111"/>
      <c r="Z60" s="111"/>
    </row>
    <row r="61" spans="1:26" ht="18" customHeight="1">
      <c r="A61" s="29"/>
      <c r="B61" s="169"/>
      <c r="C61" s="170"/>
      <c r="D61" s="170"/>
      <c r="E61" s="171"/>
      <c r="F61" s="112"/>
      <c r="G61" s="112"/>
      <c r="H61" s="190"/>
      <c r="I61" s="191"/>
      <c r="J61" s="192"/>
      <c r="K61" s="116"/>
      <c r="L61" s="112"/>
      <c r="M61" s="112"/>
      <c r="N61" s="169"/>
      <c r="O61" s="170"/>
      <c r="P61" s="170"/>
      <c r="Q61" s="170"/>
      <c r="R61" s="171"/>
      <c r="S61" s="112"/>
      <c r="T61" s="112"/>
      <c r="U61" s="190"/>
      <c r="V61" s="191"/>
      <c r="W61" s="192"/>
      <c r="X61" s="116"/>
      <c r="Y61" s="112"/>
      <c r="Z61" s="112"/>
    </row>
    <row r="62" spans="1:26" ht="18" customHeight="1">
      <c r="A62" s="29"/>
      <c r="B62" s="169"/>
      <c r="C62" s="170"/>
      <c r="D62" s="170"/>
      <c r="E62" s="171"/>
      <c r="F62" s="112"/>
      <c r="G62" s="112"/>
      <c r="H62" s="190"/>
      <c r="I62" s="191"/>
      <c r="J62" s="192"/>
      <c r="K62" s="116"/>
      <c r="L62" s="112"/>
      <c r="M62" s="112"/>
      <c r="N62" s="169"/>
      <c r="O62" s="170"/>
      <c r="P62" s="170"/>
      <c r="Q62" s="170"/>
      <c r="R62" s="171"/>
      <c r="S62" s="112"/>
      <c r="T62" s="112"/>
      <c r="U62" s="190"/>
      <c r="V62" s="191"/>
      <c r="W62" s="192"/>
      <c r="X62" s="116"/>
      <c r="Y62" s="112"/>
      <c r="Z62" s="112"/>
    </row>
    <row r="63" spans="1:26" ht="18" customHeight="1">
      <c r="A63" s="29"/>
      <c r="B63" s="169"/>
      <c r="C63" s="170"/>
      <c r="D63" s="170"/>
      <c r="E63" s="171"/>
      <c r="F63" s="112"/>
      <c r="G63" s="112"/>
      <c r="H63" s="190"/>
      <c r="I63" s="191"/>
      <c r="J63" s="192"/>
      <c r="K63" s="116"/>
      <c r="L63" s="112"/>
      <c r="M63" s="112"/>
      <c r="N63" s="169"/>
      <c r="O63" s="170"/>
      <c r="P63" s="170"/>
      <c r="Q63" s="170"/>
      <c r="R63" s="171"/>
      <c r="S63" s="112"/>
      <c r="T63" s="112"/>
      <c r="U63" s="190"/>
      <c r="V63" s="191"/>
      <c r="W63" s="192"/>
      <c r="X63" s="116"/>
      <c r="Y63" s="112"/>
      <c r="Z63" s="112"/>
    </row>
    <row r="64" spans="1:26" ht="18" customHeight="1">
      <c r="A64" s="29"/>
      <c r="B64" s="169"/>
      <c r="C64" s="170"/>
      <c r="D64" s="170"/>
      <c r="E64" s="171"/>
      <c r="F64" s="112"/>
      <c r="G64" s="112"/>
      <c r="H64" s="190"/>
      <c r="I64" s="191"/>
      <c r="J64" s="192"/>
      <c r="K64" s="116"/>
      <c r="L64" s="112"/>
      <c r="M64" s="112"/>
      <c r="N64" s="169"/>
      <c r="O64" s="170"/>
      <c r="P64" s="170"/>
      <c r="Q64" s="170"/>
      <c r="R64" s="171"/>
      <c r="S64" s="112"/>
      <c r="T64" s="112"/>
      <c r="U64" s="190"/>
      <c r="V64" s="191"/>
      <c r="W64" s="192"/>
      <c r="X64" s="116"/>
      <c r="Y64" s="112"/>
      <c r="Z64" s="112"/>
    </row>
    <row r="65" spans="1:26" ht="18" customHeight="1">
      <c r="A65" s="29"/>
      <c r="B65" s="169"/>
      <c r="C65" s="170"/>
      <c r="D65" s="170"/>
      <c r="E65" s="171"/>
      <c r="F65" s="112"/>
      <c r="G65" s="112"/>
      <c r="H65" s="190"/>
      <c r="I65" s="191"/>
      <c r="J65" s="192"/>
      <c r="K65" s="116"/>
      <c r="L65" s="112"/>
      <c r="M65" s="112"/>
      <c r="N65" s="169"/>
      <c r="O65" s="170"/>
      <c r="P65" s="170"/>
      <c r="Q65" s="170"/>
      <c r="R65" s="171"/>
      <c r="S65" s="112"/>
      <c r="T65" s="112"/>
      <c r="U65" s="190"/>
      <c r="V65" s="191"/>
      <c r="W65" s="192"/>
      <c r="X65" s="116"/>
      <c r="Y65" s="112"/>
      <c r="Z65" s="112"/>
    </row>
    <row r="66" spans="1:26" ht="18" customHeight="1">
      <c r="A66" s="29"/>
      <c r="B66" s="228"/>
      <c r="C66" s="229"/>
      <c r="D66" s="229"/>
      <c r="E66" s="230"/>
      <c r="F66" s="113"/>
      <c r="G66" s="113"/>
      <c r="H66" s="193"/>
      <c r="I66" s="194"/>
      <c r="J66" s="195"/>
      <c r="K66" s="117"/>
      <c r="L66" s="119"/>
      <c r="M66" s="119"/>
      <c r="N66" s="228"/>
      <c r="O66" s="229"/>
      <c r="P66" s="229"/>
      <c r="Q66" s="229"/>
      <c r="R66" s="230"/>
      <c r="S66" s="113"/>
      <c r="T66" s="113"/>
      <c r="U66" s="193"/>
      <c r="V66" s="194"/>
      <c r="W66" s="195"/>
      <c r="X66" s="117"/>
      <c r="Y66" s="119"/>
      <c r="Z66" s="119"/>
    </row>
    <row r="67" spans="1:26" ht="7.5" customHeight="1">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c r="A68" s="14" t="s">
        <v>142</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50" t="s">
        <v>104</v>
      </c>
      <c r="C69" s="151"/>
      <c r="D69" s="151"/>
      <c r="E69" s="151"/>
      <c r="F69" s="152"/>
      <c r="G69" s="150" t="s">
        <v>152</v>
      </c>
      <c r="H69" s="151"/>
      <c r="I69" s="151"/>
      <c r="J69" s="151"/>
      <c r="K69" s="151"/>
      <c r="L69" s="151"/>
      <c r="M69" s="152"/>
      <c r="N69" s="234" t="s">
        <v>104</v>
      </c>
      <c r="O69" s="235"/>
      <c r="P69" s="235"/>
      <c r="Q69" s="235"/>
      <c r="R69" s="235"/>
      <c r="S69" s="236"/>
      <c r="T69" s="150" t="s">
        <v>152</v>
      </c>
      <c r="U69" s="151"/>
      <c r="V69" s="151"/>
      <c r="W69" s="151"/>
      <c r="X69" s="151"/>
      <c r="Y69" s="151"/>
      <c r="Z69" s="152"/>
    </row>
    <row r="70" spans="1:26" ht="18" customHeight="1">
      <c r="A70" s="29"/>
      <c r="B70" s="160"/>
      <c r="C70" s="161"/>
      <c r="D70" s="161"/>
      <c r="E70" s="161"/>
      <c r="F70" s="162"/>
      <c r="G70" s="163"/>
      <c r="H70" s="164"/>
      <c r="I70" s="164"/>
      <c r="J70" s="164"/>
      <c r="K70" s="164"/>
      <c r="L70" s="164"/>
      <c r="M70" s="165"/>
      <c r="N70" s="160"/>
      <c r="O70" s="161"/>
      <c r="P70" s="161"/>
      <c r="Q70" s="161"/>
      <c r="R70" s="161"/>
      <c r="S70" s="162"/>
      <c r="T70" s="163"/>
      <c r="U70" s="164"/>
      <c r="V70" s="164"/>
      <c r="W70" s="164"/>
      <c r="X70" s="164"/>
      <c r="Y70" s="164"/>
      <c r="Z70" s="165"/>
    </row>
    <row r="71" spans="1:26" ht="18" customHeight="1">
      <c r="A71" s="29"/>
      <c r="B71" s="169"/>
      <c r="C71" s="170"/>
      <c r="D71" s="170"/>
      <c r="E71" s="170"/>
      <c r="F71" s="171"/>
      <c r="G71" s="172"/>
      <c r="H71" s="173"/>
      <c r="I71" s="173"/>
      <c r="J71" s="173"/>
      <c r="K71" s="173"/>
      <c r="L71" s="173"/>
      <c r="M71" s="174"/>
      <c r="N71" s="169"/>
      <c r="O71" s="170"/>
      <c r="P71" s="170"/>
      <c r="Q71" s="170"/>
      <c r="R71" s="170"/>
      <c r="S71" s="171"/>
      <c r="T71" s="172"/>
      <c r="U71" s="173"/>
      <c r="V71" s="173"/>
      <c r="W71" s="173"/>
      <c r="X71" s="173"/>
      <c r="Y71" s="173"/>
      <c r="Z71" s="174"/>
    </row>
    <row r="72" spans="1:26" ht="18" customHeight="1">
      <c r="A72" s="29"/>
      <c r="B72" s="169"/>
      <c r="C72" s="170"/>
      <c r="D72" s="170"/>
      <c r="E72" s="170"/>
      <c r="F72" s="171"/>
      <c r="G72" s="172"/>
      <c r="H72" s="173"/>
      <c r="I72" s="173"/>
      <c r="J72" s="173"/>
      <c r="K72" s="173"/>
      <c r="L72" s="173"/>
      <c r="M72" s="174"/>
      <c r="N72" s="169"/>
      <c r="O72" s="170"/>
      <c r="P72" s="170"/>
      <c r="Q72" s="170"/>
      <c r="R72" s="170"/>
      <c r="S72" s="171"/>
      <c r="T72" s="172"/>
      <c r="U72" s="173"/>
      <c r="V72" s="173"/>
      <c r="W72" s="173"/>
      <c r="X72" s="173"/>
      <c r="Y72" s="173"/>
      <c r="Z72" s="174"/>
    </row>
    <row r="73" spans="1:26" ht="18" customHeight="1">
      <c r="A73" s="29"/>
      <c r="B73" s="169"/>
      <c r="C73" s="170"/>
      <c r="D73" s="170"/>
      <c r="E73" s="170"/>
      <c r="F73" s="171"/>
      <c r="G73" s="172"/>
      <c r="H73" s="173"/>
      <c r="I73" s="173"/>
      <c r="J73" s="173"/>
      <c r="K73" s="173"/>
      <c r="L73" s="173"/>
      <c r="M73" s="174"/>
      <c r="N73" s="169"/>
      <c r="O73" s="170"/>
      <c r="P73" s="170"/>
      <c r="Q73" s="170"/>
      <c r="R73" s="170"/>
      <c r="S73" s="171"/>
      <c r="T73" s="172"/>
      <c r="U73" s="173"/>
      <c r="V73" s="173"/>
      <c r="W73" s="173"/>
      <c r="X73" s="173"/>
      <c r="Y73" s="173"/>
      <c r="Z73" s="174"/>
    </row>
    <row r="74" spans="1:26" ht="18" customHeight="1">
      <c r="A74" s="29"/>
      <c r="B74" s="169"/>
      <c r="C74" s="170"/>
      <c r="D74" s="170"/>
      <c r="E74" s="170"/>
      <c r="F74" s="171"/>
      <c r="G74" s="172"/>
      <c r="H74" s="173"/>
      <c r="I74" s="173"/>
      <c r="J74" s="173"/>
      <c r="K74" s="173"/>
      <c r="L74" s="173"/>
      <c r="M74" s="174"/>
      <c r="N74" s="169"/>
      <c r="O74" s="170"/>
      <c r="P74" s="170"/>
      <c r="Q74" s="170"/>
      <c r="R74" s="170"/>
      <c r="S74" s="171"/>
      <c r="T74" s="172"/>
      <c r="U74" s="173"/>
      <c r="V74" s="173"/>
      <c r="W74" s="173"/>
      <c r="X74" s="173"/>
      <c r="Y74" s="173"/>
      <c r="Z74" s="174"/>
    </row>
    <row r="75" spans="1:26" ht="18" customHeight="1">
      <c r="A75" s="29"/>
      <c r="B75" s="169"/>
      <c r="C75" s="170"/>
      <c r="D75" s="170"/>
      <c r="E75" s="170"/>
      <c r="F75" s="171"/>
      <c r="G75" s="172"/>
      <c r="H75" s="173"/>
      <c r="I75" s="173"/>
      <c r="J75" s="173"/>
      <c r="K75" s="173"/>
      <c r="L75" s="173"/>
      <c r="M75" s="174"/>
      <c r="N75" s="169"/>
      <c r="O75" s="170"/>
      <c r="P75" s="170"/>
      <c r="Q75" s="170"/>
      <c r="R75" s="170"/>
      <c r="S75" s="171"/>
      <c r="T75" s="172"/>
      <c r="U75" s="173"/>
      <c r="V75" s="173"/>
      <c r="W75" s="173"/>
      <c r="X75" s="173"/>
      <c r="Y75" s="173"/>
      <c r="Z75" s="174"/>
    </row>
    <row r="76" spans="1:26" ht="18" customHeight="1">
      <c r="A76" s="29"/>
      <c r="B76" s="228"/>
      <c r="C76" s="229"/>
      <c r="D76" s="229"/>
      <c r="E76" s="229"/>
      <c r="F76" s="230"/>
      <c r="G76" s="231"/>
      <c r="H76" s="232"/>
      <c r="I76" s="232"/>
      <c r="J76" s="232"/>
      <c r="K76" s="232"/>
      <c r="L76" s="232"/>
      <c r="M76" s="233"/>
      <c r="N76" s="228"/>
      <c r="O76" s="229"/>
      <c r="P76" s="229"/>
      <c r="Q76" s="229"/>
      <c r="R76" s="229"/>
      <c r="S76" s="230"/>
      <c r="T76" s="231"/>
      <c r="U76" s="232"/>
      <c r="V76" s="232"/>
      <c r="W76" s="232"/>
      <c r="X76" s="232"/>
      <c r="Y76" s="232"/>
      <c r="Z76" s="233"/>
    </row>
    <row r="77" spans="1:26" ht="18" customHeight="1">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c r="A78" s="13" t="s">
        <v>148</v>
      </c>
    </row>
    <row r="79" spans="1:26" ht="18.75" customHeight="1">
      <c r="B79" s="76" t="s">
        <v>106</v>
      </c>
      <c r="C79" s="77"/>
      <c r="D79" s="188" t="s">
        <v>107</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78" customHeight="1">
      <c r="B80" s="177" t="s">
        <v>113</v>
      </c>
      <c r="C80" s="83" t="s">
        <v>108</v>
      </c>
      <c r="D80" s="184" t="s">
        <v>191</v>
      </c>
      <c r="E80" s="184"/>
      <c r="F80" s="184"/>
      <c r="G80" s="184"/>
      <c r="H80" s="184"/>
      <c r="I80" s="184"/>
      <c r="J80" s="184"/>
      <c r="K80" s="184"/>
      <c r="L80" s="184"/>
      <c r="M80" s="184"/>
      <c r="N80" s="184"/>
      <c r="O80" s="184"/>
      <c r="P80" s="184"/>
      <c r="Q80" s="184"/>
      <c r="R80" s="184"/>
      <c r="S80" s="184"/>
      <c r="T80" s="184"/>
      <c r="U80" s="184"/>
      <c r="V80" s="184"/>
      <c r="W80" s="184"/>
      <c r="X80" s="184"/>
      <c r="Y80" s="184"/>
      <c r="Z80" s="185"/>
    </row>
    <row r="81" spans="1:26" ht="78" customHeight="1">
      <c r="B81" s="178"/>
      <c r="C81" s="108" t="s">
        <v>143</v>
      </c>
      <c r="D81" s="220" t="s">
        <v>192</v>
      </c>
      <c r="E81" s="220"/>
      <c r="F81" s="220"/>
      <c r="G81" s="220"/>
      <c r="H81" s="220"/>
      <c r="I81" s="220"/>
      <c r="J81" s="220"/>
      <c r="K81" s="220"/>
      <c r="L81" s="220"/>
      <c r="M81" s="220"/>
      <c r="N81" s="220"/>
      <c r="O81" s="220"/>
      <c r="P81" s="220"/>
      <c r="Q81" s="220"/>
      <c r="R81" s="220"/>
      <c r="S81" s="220"/>
      <c r="T81" s="220"/>
      <c r="U81" s="220"/>
      <c r="V81" s="220"/>
      <c r="W81" s="220"/>
      <c r="X81" s="220"/>
      <c r="Y81" s="220"/>
      <c r="Z81" s="221"/>
    </row>
    <row r="82" spans="1:26" ht="78" customHeight="1">
      <c r="B82" s="175" t="s">
        <v>114</v>
      </c>
      <c r="C82" s="78" t="s">
        <v>133</v>
      </c>
      <c r="D82" s="222" t="s">
        <v>193</v>
      </c>
      <c r="E82" s="222"/>
      <c r="F82" s="222"/>
      <c r="G82" s="222"/>
      <c r="H82" s="222"/>
      <c r="I82" s="222"/>
      <c r="J82" s="222"/>
      <c r="K82" s="222"/>
      <c r="L82" s="222"/>
      <c r="M82" s="222"/>
      <c r="N82" s="222"/>
      <c r="O82" s="222"/>
      <c r="P82" s="222"/>
      <c r="Q82" s="222"/>
      <c r="R82" s="222"/>
      <c r="S82" s="222"/>
      <c r="T82" s="222"/>
      <c r="U82" s="222"/>
      <c r="V82" s="222"/>
      <c r="W82" s="222"/>
      <c r="X82" s="222"/>
      <c r="Y82" s="222"/>
      <c r="Z82" s="223"/>
    </row>
    <row r="83" spans="1:26" ht="78" customHeight="1">
      <c r="B83" s="176"/>
      <c r="C83" s="109" t="s">
        <v>134</v>
      </c>
      <c r="D83" s="226" t="s">
        <v>194</v>
      </c>
      <c r="E83" s="226"/>
      <c r="F83" s="226"/>
      <c r="G83" s="226"/>
      <c r="H83" s="226"/>
      <c r="I83" s="226"/>
      <c r="J83" s="226"/>
      <c r="K83" s="226"/>
      <c r="L83" s="226"/>
      <c r="M83" s="226"/>
      <c r="N83" s="226"/>
      <c r="O83" s="226"/>
      <c r="P83" s="226"/>
      <c r="Q83" s="226"/>
      <c r="R83" s="226"/>
      <c r="S83" s="226"/>
      <c r="T83" s="226"/>
      <c r="U83" s="226"/>
      <c r="V83" s="226"/>
      <c r="W83" s="226"/>
      <c r="X83" s="226"/>
      <c r="Y83" s="226"/>
      <c r="Z83" s="227"/>
    </row>
    <row r="84" spans="1:26" ht="66" customHeight="1">
      <c r="B84" s="175" t="s">
        <v>115</v>
      </c>
      <c r="C84" s="78" t="s">
        <v>136</v>
      </c>
      <c r="D84" s="222" t="s">
        <v>195</v>
      </c>
      <c r="E84" s="222"/>
      <c r="F84" s="222"/>
      <c r="G84" s="222"/>
      <c r="H84" s="222"/>
      <c r="I84" s="222"/>
      <c r="J84" s="222"/>
      <c r="K84" s="222"/>
      <c r="L84" s="222"/>
      <c r="M84" s="222"/>
      <c r="N84" s="222"/>
      <c r="O84" s="222"/>
      <c r="P84" s="222"/>
      <c r="Q84" s="222"/>
      <c r="R84" s="222"/>
      <c r="S84" s="222"/>
      <c r="T84" s="222"/>
      <c r="U84" s="222"/>
      <c r="V84" s="222"/>
      <c r="W84" s="222"/>
      <c r="X84" s="222"/>
      <c r="Y84" s="222"/>
      <c r="Z84" s="223"/>
    </row>
    <row r="85" spans="1:26" ht="66" customHeight="1">
      <c r="B85" s="176"/>
      <c r="C85" s="80" t="s">
        <v>137</v>
      </c>
      <c r="D85" s="224" t="s">
        <v>196</v>
      </c>
      <c r="E85" s="224"/>
      <c r="F85" s="224"/>
      <c r="G85" s="224"/>
      <c r="H85" s="224"/>
      <c r="I85" s="224"/>
      <c r="J85" s="224"/>
      <c r="K85" s="224"/>
      <c r="L85" s="224"/>
      <c r="M85" s="224"/>
      <c r="N85" s="224"/>
      <c r="O85" s="224"/>
      <c r="P85" s="224"/>
      <c r="Q85" s="224"/>
      <c r="R85" s="224"/>
      <c r="S85" s="224"/>
      <c r="T85" s="224"/>
      <c r="U85" s="224"/>
      <c r="V85" s="224"/>
      <c r="W85" s="224"/>
      <c r="X85" s="224"/>
      <c r="Y85" s="224"/>
      <c r="Z85" s="225"/>
    </row>
    <row r="86" spans="1:26" ht="66" customHeight="1">
      <c r="B86" s="177" t="s">
        <v>144</v>
      </c>
      <c r="C86" s="83" t="s">
        <v>110</v>
      </c>
      <c r="D86" s="184" t="s">
        <v>197</v>
      </c>
      <c r="E86" s="184"/>
      <c r="F86" s="184"/>
      <c r="G86" s="184"/>
      <c r="H86" s="184"/>
      <c r="I86" s="184"/>
      <c r="J86" s="184"/>
      <c r="K86" s="184"/>
      <c r="L86" s="184"/>
      <c r="M86" s="184"/>
      <c r="N86" s="184"/>
      <c r="O86" s="184"/>
      <c r="P86" s="184"/>
      <c r="Q86" s="184"/>
      <c r="R86" s="184"/>
      <c r="S86" s="184"/>
      <c r="T86" s="184"/>
      <c r="U86" s="184"/>
      <c r="V86" s="184"/>
      <c r="W86" s="184"/>
      <c r="X86" s="184"/>
      <c r="Y86" s="184"/>
      <c r="Z86" s="185"/>
    </row>
    <row r="87" spans="1:26" ht="66" customHeight="1">
      <c r="B87" s="183"/>
      <c r="C87" s="79" t="s">
        <v>112</v>
      </c>
      <c r="D87" s="186" t="s">
        <v>198</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66" customHeight="1">
      <c r="B88" s="177" t="s">
        <v>145</v>
      </c>
      <c r="C88" s="78" t="s">
        <v>109</v>
      </c>
      <c r="D88" s="179" t="s">
        <v>199</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c r="B89" s="178"/>
      <c r="C89" s="79" t="s">
        <v>140</v>
      </c>
      <c r="D89" s="166" t="s">
        <v>200</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c r="B90" s="176"/>
      <c r="C90" s="80" t="s">
        <v>141</v>
      </c>
      <c r="D90" s="181" t="s">
        <v>201</v>
      </c>
      <c r="E90" s="181"/>
      <c r="F90" s="181"/>
      <c r="G90" s="181"/>
      <c r="H90" s="181"/>
      <c r="I90" s="181"/>
      <c r="J90" s="181"/>
      <c r="K90" s="181"/>
      <c r="L90" s="181"/>
      <c r="M90" s="181"/>
      <c r="N90" s="181"/>
      <c r="O90" s="181"/>
      <c r="P90" s="181"/>
      <c r="Q90" s="181"/>
      <c r="R90" s="181"/>
      <c r="S90" s="181"/>
      <c r="T90" s="181"/>
      <c r="U90" s="181"/>
      <c r="V90" s="181"/>
      <c r="W90" s="181"/>
      <c r="X90" s="181"/>
      <c r="Y90" s="181"/>
      <c r="Z90" s="182"/>
    </row>
    <row r="91" spans="1:26" ht="6" customHeight="1"/>
    <row r="92" spans="1:26" ht="18.75" customHeight="1">
      <c r="A92" s="13" t="s">
        <v>149</v>
      </c>
    </row>
    <row r="93" spans="1:26" ht="18.75" customHeight="1">
      <c r="B93" s="237" t="s">
        <v>223</v>
      </c>
      <c r="C93" s="238"/>
      <c r="D93" s="238"/>
      <c r="E93" s="238"/>
      <c r="F93" s="238"/>
      <c r="G93" s="238"/>
      <c r="H93" s="238"/>
      <c r="I93" s="238"/>
      <c r="J93" s="238"/>
      <c r="K93" s="238"/>
      <c r="L93" s="238"/>
      <c r="M93" s="238"/>
      <c r="N93" s="238"/>
      <c r="O93" s="238"/>
      <c r="P93" s="238"/>
      <c r="Q93" s="238"/>
      <c r="R93" s="238"/>
      <c r="S93" s="238"/>
      <c r="T93" s="238"/>
      <c r="U93" s="238"/>
      <c r="V93" s="238"/>
      <c r="W93" s="238"/>
      <c r="X93" s="238"/>
      <c r="Y93" s="238"/>
      <c r="Z93" s="239"/>
    </row>
    <row r="94" spans="1:26" ht="18.75" customHeight="1">
      <c r="B94" s="240"/>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2"/>
    </row>
    <row r="95" spans="1:26" ht="18.75" customHeight="1">
      <c r="B95" s="243"/>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row r="97" spans="1:26" ht="15" customHeight="1">
      <c r="A97" s="13" t="s">
        <v>150</v>
      </c>
    </row>
    <row r="98" spans="1:26" ht="15" customHeight="1">
      <c r="B98" s="157" t="s">
        <v>224</v>
      </c>
      <c r="C98" s="158"/>
      <c r="D98" s="158"/>
      <c r="E98" s="158"/>
      <c r="F98" s="158"/>
      <c r="G98" s="158"/>
      <c r="H98" s="158"/>
      <c r="I98" s="158"/>
      <c r="J98" s="158"/>
      <c r="K98" s="158"/>
      <c r="L98" s="158"/>
      <c r="M98" s="158"/>
      <c r="N98" s="158"/>
      <c r="O98" s="158"/>
      <c r="P98" s="158"/>
      <c r="Q98" s="158"/>
      <c r="R98" s="158"/>
      <c r="S98" s="158"/>
      <c r="T98" s="158"/>
      <c r="U98" s="158"/>
      <c r="V98" s="158"/>
      <c r="W98" s="158"/>
      <c r="X98" s="158"/>
      <c r="Y98" s="158"/>
      <c r="Z98" s="159"/>
    </row>
    <row r="99" spans="1:26" ht="15" customHeight="1">
      <c r="B99" s="157" t="s">
        <v>225</v>
      </c>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9"/>
    </row>
  </sheetData>
  <mergeCells count="219">
    <mergeCell ref="B54:F54"/>
    <mergeCell ref="B55:F55"/>
    <mergeCell ref="N60:R60"/>
    <mergeCell ref="N61:R61"/>
    <mergeCell ref="N62:R62"/>
    <mergeCell ref="N63:R63"/>
    <mergeCell ref="N64:R64"/>
    <mergeCell ref="N65:R65"/>
    <mergeCell ref="N66:R66"/>
    <mergeCell ref="H64:J64"/>
    <mergeCell ref="H65:J65"/>
    <mergeCell ref="H66:J66"/>
    <mergeCell ref="H63:J6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9:Z99"/>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D80:Z80"/>
    <mergeCell ref="B37:F37"/>
    <mergeCell ref="B38:F38"/>
    <mergeCell ref="B39:F39"/>
    <mergeCell ref="B40:F40"/>
    <mergeCell ref="A46:Z47"/>
    <mergeCell ref="I48:K48"/>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V32:X32"/>
    <mergeCell ref="V33:X33"/>
    <mergeCell ref="I42:K42"/>
    <mergeCell ref="V42:X42"/>
    <mergeCell ref="V37:X37"/>
    <mergeCell ref="I38:K38"/>
    <mergeCell ref="V38:X38"/>
    <mergeCell ref="I39:K39"/>
    <mergeCell ref="V39:X39"/>
    <mergeCell ref="I37:K37"/>
    <mergeCell ref="V31:X31"/>
    <mergeCell ref="I31:K31"/>
    <mergeCell ref="I32:K32"/>
    <mergeCell ref="I33:K33"/>
    <mergeCell ref="H62:J62"/>
    <mergeCell ref="U62:W62"/>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50:X50"/>
    <mergeCell ref="I54:K54"/>
    <mergeCell ref="V54:X54"/>
    <mergeCell ref="I55:K55"/>
    <mergeCell ref="B51:F51"/>
    <mergeCell ref="B52:F52"/>
    <mergeCell ref="U60:W60"/>
    <mergeCell ref="U61:W61"/>
    <mergeCell ref="V43:X43"/>
    <mergeCell ref="I44:K44"/>
    <mergeCell ref="V44:X44"/>
    <mergeCell ref="I50:K50"/>
    <mergeCell ref="B48:F48"/>
    <mergeCell ref="B49:F49"/>
    <mergeCell ref="B50:F50"/>
    <mergeCell ref="N49:S49"/>
    <mergeCell ref="N50:S50"/>
    <mergeCell ref="N51:S51"/>
    <mergeCell ref="N52:S52"/>
    <mergeCell ref="N53:S53"/>
    <mergeCell ref="N54:S54"/>
    <mergeCell ref="N55:S55"/>
    <mergeCell ref="B59:E59"/>
    <mergeCell ref="N59:R59"/>
    <mergeCell ref="B53:F53"/>
    <mergeCell ref="V26:X26"/>
    <mergeCell ref="V27:X27"/>
    <mergeCell ref="V28:X28"/>
    <mergeCell ref="I26:K26"/>
    <mergeCell ref="I27:K27"/>
    <mergeCell ref="I28:K28"/>
    <mergeCell ref="B26:F26"/>
    <mergeCell ref="B27:F27"/>
    <mergeCell ref="B28:F28"/>
    <mergeCell ref="U64:W64"/>
    <mergeCell ref="U65:W65"/>
    <mergeCell ref="U66:W66"/>
    <mergeCell ref="I29:K29"/>
    <mergeCell ref="I30:K30"/>
    <mergeCell ref="V29:X29"/>
    <mergeCell ref="V30:X30"/>
    <mergeCell ref="I40:K40"/>
    <mergeCell ref="I41:K41"/>
    <mergeCell ref="V40:X40"/>
    <mergeCell ref="A35:Z36"/>
    <mergeCell ref="V41:X41"/>
    <mergeCell ref="U63:W63"/>
    <mergeCell ref="V48:X48"/>
    <mergeCell ref="I49:K49"/>
    <mergeCell ref="V49:X49"/>
    <mergeCell ref="I51:K51"/>
    <mergeCell ref="V51:X51"/>
    <mergeCell ref="I52:K52"/>
    <mergeCell ref="V52:X52"/>
    <mergeCell ref="V55:X55"/>
    <mergeCell ref="A57:Z58"/>
    <mergeCell ref="I53:K53"/>
    <mergeCell ref="V53:X53"/>
    <mergeCell ref="B98:Z9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s>
  <phoneticPr fontId="1"/>
  <dataValidations count="4">
    <dataValidation type="list" allowBlank="1" showInputMessage="1" showErrorMessage="1" sqref="Y16:Z22 L16:M22 Y27:Z33 L27:M33 L38:M44 Y38:Z44 L49:M55 Y49:Z55 Y60:Z66 K60 H16:H22 U16:U22 H27:H33 U27:U33 H38:H44 U38:U44 H49:H55 U49:U55 G60:G66 T60:T66 L60:M66">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9" r:id="rId1"/>
    <hyperlink ref="B98" r:id="rId2"/>
  </hyperlinks>
  <printOptions horizontalCentered="1"/>
  <pageMargins left="0.78740157480314965" right="0.78740157480314965" top="0.59055118110236227" bottom="0.19685039370078741" header="0.31496062992125984" footer="0.19685039370078741"/>
  <pageSetup paperSize="9" scale="98" orientation="landscape" r:id="rId3"/>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W27" sqref="W27"/>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245" t="s">
        <v>65</v>
      </c>
      <c r="G1" s="245"/>
      <c r="H1" s="245"/>
      <c r="I1" s="245"/>
      <c r="J1" s="245"/>
      <c r="K1" s="245"/>
      <c r="L1" s="245"/>
      <c r="M1" s="245"/>
      <c r="N1" s="245"/>
      <c r="O1" s="245"/>
      <c r="P1" s="245"/>
      <c r="Q1" s="245"/>
      <c r="R1" s="245"/>
    </row>
    <row r="2" spans="1:20" ht="18" customHeight="1">
      <c r="A2" s="246" t="s">
        <v>93</v>
      </c>
      <c r="B2" s="246"/>
      <c r="C2" s="246"/>
      <c r="D2" s="246"/>
      <c r="E2" s="246"/>
      <c r="F2" s="246"/>
      <c r="G2" s="246"/>
      <c r="H2" s="246"/>
      <c r="I2" s="246"/>
      <c r="J2" s="246"/>
      <c r="K2" s="246"/>
      <c r="L2" s="246"/>
      <c r="M2" s="246"/>
      <c r="N2" s="246"/>
      <c r="O2" s="246"/>
      <c r="P2" s="246"/>
      <c r="Q2" s="246"/>
      <c r="R2" s="246"/>
      <c r="S2" s="4"/>
    </row>
    <row r="3" spans="1:20" ht="7.5" customHeight="1">
      <c r="A3" s="36"/>
      <c r="B3" s="36"/>
      <c r="C3" s="36"/>
      <c r="D3" s="36"/>
      <c r="E3" s="36"/>
      <c r="F3" s="36"/>
      <c r="G3" s="36"/>
      <c r="H3" s="36"/>
      <c r="I3" s="36"/>
      <c r="J3" s="36"/>
      <c r="K3" s="36"/>
      <c r="L3" s="36"/>
      <c r="M3" s="36"/>
      <c r="N3" s="36"/>
      <c r="O3" s="36"/>
      <c r="P3" s="36"/>
      <c r="Q3" s="36"/>
      <c r="R3" s="36"/>
    </row>
    <row r="4" spans="1:20" ht="18" customHeight="1">
      <c r="A4" s="4" t="s">
        <v>153</v>
      </c>
      <c r="B4" s="4"/>
      <c r="C4" s="247" t="s">
        <v>155</v>
      </c>
      <c r="D4" s="248"/>
      <c r="E4" s="36" t="s">
        <v>118</v>
      </c>
      <c r="F4" s="36"/>
      <c r="G4" s="36"/>
      <c r="H4" s="36"/>
      <c r="I4" s="36"/>
      <c r="J4" s="84"/>
      <c r="K4" s="36"/>
      <c r="L4" s="36"/>
      <c r="M4" s="114"/>
      <c r="N4" s="114"/>
      <c r="O4" s="114"/>
      <c r="P4" s="114"/>
      <c r="Q4" s="114"/>
      <c r="R4" s="114"/>
    </row>
    <row r="5" spans="1:20" ht="6" customHeight="1">
      <c r="A5" s="36"/>
      <c r="B5" s="36"/>
      <c r="C5" s="36"/>
      <c r="D5" s="36"/>
      <c r="E5" s="36"/>
      <c r="F5" s="36"/>
      <c r="G5" s="36"/>
      <c r="H5" s="36"/>
      <c r="I5" s="36"/>
      <c r="J5" s="36"/>
      <c r="K5" s="36"/>
      <c r="L5" s="36"/>
      <c r="M5" s="36"/>
      <c r="N5" s="36"/>
      <c r="O5" s="36"/>
      <c r="P5" s="36"/>
      <c r="Q5" s="36"/>
      <c r="R5" s="36"/>
    </row>
    <row r="6" spans="1:20" ht="18" customHeight="1">
      <c r="A6" s="4" t="s">
        <v>151</v>
      </c>
      <c r="B6" s="36"/>
      <c r="C6" s="36"/>
      <c r="D6" s="36"/>
      <c r="E6" s="36"/>
      <c r="F6" s="36"/>
      <c r="G6" s="36"/>
      <c r="H6" s="36"/>
      <c r="I6" s="36"/>
      <c r="J6" s="36"/>
      <c r="K6" s="36"/>
      <c r="L6" s="36"/>
      <c r="M6" s="36"/>
      <c r="N6" s="36"/>
      <c r="O6" s="36"/>
      <c r="P6" s="36"/>
      <c r="Q6" s="36"/>
      <c r="R6" s="36"/>
    </row>
    <row r="7" spans="1:20" ht="6" customHeight="1">
      <c r="A7" s="4"/>
      <c r="B7" s="36"/>
      <c r="C7" s="36"/>
      <c r="D7" s="36"/>
      <c r="E7" s="36"/>
      <c r="F7" s="36"/>
      <c r="G7" s="36"/>
      <c r="H7" s="36"/>
      <c r="I7" s="36"/>
      <c r="J7" s="36"/>
      <c r="K7" s="36"/>
      <c r="L7" s="36"/>
      <c r="M7" s="36"/>
      <c r="N7" s="36"/>
      <c r="O7" s="36"/>
      <c r="P7" s="36"/>
      <c r="Q7" s="36"/>
      <c r="R7" s="36"/>
    </row>
    <row r="8" spans="1:20" ht="18" customHeight="1">
      <c r="B8" s="249" t="s">
        <v>83</v>
      </c>
      <c r="C8" s="251" t="s">
        <v>88</v>
      </c>
      <c r="D8" s="253" t="s">
        <v>70</v>
      </c>
      <c r="E8" s="255" t="s">
        <v>94</v>
      </c>
      <c r="F8" s="255"/>
      <c r="G8" s="255" t="s">
        <v>95</v>
      </c>
      <c r="H8" s="255"/>
      <c r="I8" s="255" t="s">
        <v>96</v>
      </c>
      <c r="J8" s="255"/>
      <c r="K8" s="256" t="s">
        <v>97</v>
      </c>
      <c r="L8" s="257"/>
      <c r="M8" s="256" t="s">
        <v>98</v>
      </c>
      <c r="N8" s="257"/>
      <c r="O8" s="256" t="s">
        <v>99</v>
      </c>
      <c r="P8" s="257"/>
      <c r="Q8" s="258" t="s">
        <v>64</v>
      </c>
      <c r="R8" s="260" t="s">
        <v>58</v>
      </c>
      <c r="T8" s="32"/>
    </row>
    <row r="9" spans="1:20" ht="18" customHeight="1">
      <c r="A9" s="4"/>
      <c r="B9" s="250"/>
      <c r="C9" s="252"/>
      <c r="D9" s="254"/>
      <c r="E9" s="41" t="s">
        <v>46</v>
      </c>
      <c r="F9" s="42" t="s">
        <v>45</v>
      </c>
      <c r="G9" s="43" t="s">
        <v>46</v>
      </c>
      <c r="H9" s="44" t="s">
        <v>45</v>
      </c>
      <c r="I9" s="41" t="s">
        <v>46</v>
      </c>
      <c r="J9" s="42" t="s">
        <v>45</v>
      </c>
      <c r="K9" s="43" t="s">
        <v>46</v>
      </c>
      <c r="L9" s="44" t="s">
        <v>45</v>
      </c>
      <c r="M9" s="41" t="s">
        <v>46</v>
      </c>
      <c r="N9" s="42" t="s">
        <v>45</v>
      </c>
      <c r="O9" s="43" t="s">
        <v>46</v>
      </c>
      <c r="P9" s="44" t="s">
        <v>45</v>
      </c>
      <c r="Q9" s="259"/>
      <c r="R9" s="261"/>
      <c r="T9" s="32"/>
    </row>
    <row r="10" spans="1:20" ht="18" customHeight="1">
      <c r="A10" s="45"/>
      <c r="B10" s="85" t="s">
        <v>156</v>
      </c>
      <c r="C10" s="45">
        <v>821</v>
      </c>
      <c r="D10" s="46">
        <v>3284</v>
      </c>
      <c r="E10" s="47">
        <v>97</v>
      </c>
      <c r="F10" s="48">
        <v>22</v>
      </c>
      <c r="G10" s="49"/>
      <c r="H10" s="50"/>
      <c r="I10" s="47"/>
      <c r="J10" s="48"/>
      <c r="K10" s="49"/>
      <c r="L10" s="50"/>
      <c r="M10" s="47"/>
      <c r="N10" s="48"/>
      <c r="O10" s="49"/>
      <c r="P10" s="50"/>
      <c r="Q10" s="51">
        <f>E10+G10+I10+K10+M10+O10</f>
        <v>97</v>
      </c>
      <c r="R10" s="52">
        <f>Q10/D10</f>
        <v>2.953714981729598E-2</v>
      </c>
    </row>
    <row r="11" spans="1:20" ht="18" customHeight="1">
      <c r="A11" s="45"/>
      <c r="B11" s="86" t="s">
        <v>157</v>
      </c>
      <c r="C11" s="61">
        <v>670</v>
      </c>
      <c r="D11" s="54">
        <v>2680</v>
      </c>
      <c r="E11" s="55">
        <v>82</v>
      </c>
      <c r="F11" s="56">
        <v>18</v>
      </c>
      <c r="G11" s="57"/>
      <c r="H11" s="58"/>
      <c r="I11" s="55"/>
      <c r="J11" s="56"/>
      <c r="K11" s="57"/>
      <c r="L11" s="58"/>
      <c r="M11" s="55"/>
      <c r="N11" s="56"/>
      <c r="O11" s="57"/>
      <c r="P11" s="58"/>
      <c r="Q11" s="59">
        <f t="shared" ref="Q11:Q29" si="0">E11+G11+I11+K11+M11+O11</f>
        <v>82</v>
      </c>
      <c r="R11" s="60">
        <f t="shared" ref="R11:R29" si="1">Q11/D11</f>
        <v>3.0597014925373135E-2</v>
      </c>
    </row>
    <row r="12" spans="1:20" ht="18" customHeight="1">
      <c r="A12" s="45"/>
      <c r="B12" s="86" t="s">
        <v>158</v>
      </c>
      <c r="C12" s="61">
        <v>894</v>
      </c>
      <c r="D12" s="54">
        <v>3576</v>
      </c>
      <c r="E12" s="55">
        <v>114</v>
      </c>
      <c r="F12" s="56">
        <v>20</v>
      </c>
      <c r="G12" s="57"/>
      <c r="H12" s="58"/>
      <c r="I12" s="55"/>
      <c r="J12" s="56"/>
      <c r="K12" s="57"/>
      <c r="L12" s="58"/>
      <c r="M12" s="55"/>
      <c r="N12" s="56"/>
      <c r="O12" s="57"/>
      <c r="P12" s="58"/>
      <c r="Q12" s="59">
        <f t="shared" si="0"/>
        <v>114</v>
      </c>
      <c r="R12" s="60">
        <f t="shared" si="1"/>
        <v>3.1879194630872486E-2</v>
      </c>
    </row>
    <row r="13" spans="1:20" ht="18" customHeight="1">
      <c r="A13" s="45"/>
      <c r="B13" s="86" t="s">
        <v>159</v>
      </c>
      <c r="C13" s="61">
        <v>759</v>
      </c>
      <c r="D13" s="54">
        <v>3036</v>
      </c>
      <c r="E13" s="55">
        <v>139</v>
      </c>
      <c r="F13" s="56">
        <v>21</v>
      </c>
      <c r="G13" s="57"/>
      <c r="H13" s="58"/>
      <c r="I13" s="55"/>
      <c r="J13" s="56"/>
      <c r="K13" s="57"/>
      <c r="L13" s="58"/>
      <c r="M13" s="55"/>
      <c r="N13" s="56"/>
      <c r="O13" s="57"/>
      <c r="P13" s="58"/>
      <c r="Q13" s="59">
        <f t="shared" si="0"/>
        <v>139</v>
      </c>
      <c r="R13" s="60">
        <f t="shared" si="1"/>
        <v>4.5783926218708824E-2</v>
      </c>
    </row>
    <row r="14" spans="1:20" ht="18" customHeight="1">
      <c r="A14" s="45"/>
      <c r="B14" s="86" t="s">
        <v>160</v>
      </c>
      <c r="C14" s="61">
        <v>781</v>
      </c>
      <c r="D14" s="54">
        <v>3124</v>
      </c>
      <c r="E14" s="55">
        <v>75</v>
      </c>
      <c r="F14" s="56">
        <v>21</v>
      </c>
      <c r="G14" s="57"/>
      <c r="H14" s="58"/>
      <c r="I14" s="55"/>
      <c r="J14" s="56"/>
      <c r="K14" s="57"/>
      <c r="L14" s="58"/>
      <c r="M14" s="55"/>
      <c r="N14" s="56"/>
      <c r="O14" s="57"/>
      <c r="P14" s="58"/>
      <c r="Q14" s="59">
        <f t="shared" si="0"/>
        <v>75</v>
      </c>
      <c r="R14" s="60">
        <f t="shared" si="1"/>
        <v>2.4007682458386685E-2</v>
      </c>
    </row>
    <row r="15" spans="1:20" ht="18" customHeight="1">
      <c r="A15" s="45"/>
      <c r="B15" s="86" t="s">
        <v>161</v>
      </c>
      <c r="C15" s="61">
        <v>254</v>
      </c>
      <c r="D15" s="54">
        <v>1016</v>
      </c>
      <c r="E15" s="55">
        <v>48</v>
      </c>
      <c r="F15" s="56">
        <v>9</v>
      </c>
      <c r="G15" s="57"/>
      <c r="H15" s="58"/>
      <c r="I15" s="55"/>
      <c r="J15" s="56"/>
      <c r="K15" s="57"/>
      <c r="L15" s="58"/>
      <c r="M15" s="55"/>
      <c r="N15" s="56"/>
      <c r="O15" s="57"/>
      <c r="P15" s="58"/>
      <c r="Q15" s="59">
        <f t="shared" si="0"/>
        <v>48</v>
      </c>
      <c r="R15" s="60">
        <f t="shared" si="1"/>
        <v>4.7244094488188976E-2</v>
      </c>
    </row>
    <row r="16" spans="1:20" ht="18" customHeight="1">
      <c r="A16" s="45"/>
      <c r="B16" s="86" t="s">
        <v>162</v>
      </c>
      <c r="C16" s="61">
        <v>343</v>
      </c>
      <c r="D16" s="54">
        <v>1372</v>
      </c>
      <c r="E16" s="55">
        <v>55</v>
      </c>
      <c r="F16" s="56">
        <v>11</v>
      </c>
      <c r="G16" s="57"/>
      <c r="H16" s="58"/>
      <c r="I16" s="55"/>
      <c r="J16" s="56"/>
      <c r="K16" s="57"/>
      <c r="L16" s="58"/>
      <c r="M16" s="55"/>
      <c r="N16" s="56"/>
      <c r="O16" s="57"/>
      <c r="P16" s="58"/>
      <c r="Q16" s="59">
        <f t="shared" si="0"/>
        <v>55</v>
      </c>
      <c r="R16" s="60">
        <f t="shared" si="1"/>
        <v>4.0087463556851312E-2</v>
      </c>
    </row>
    <row r="17" spans="1:18" ht="18" customHeight="1">
      <c r="A17" s="45"/>
      <c r="B17" s="86" t="s">
        <v>163</v>
      </c>
      <c r="C17" s="61">
        <v>236</v>
      </c>
      <c r="D17" s="54">
        <v>944</v>
      </c>
      <c r="E17" s="55">
        <v>19</v>
      </c>
      <c r="F17" s="56">
        <v>6</v>
      </c>
      <c r="G17" s="57"/>
      <c r="H17" s="58"/>
      <c r="I17" s="55"/>
      <c r="J17" s="56"/>
      <c r="K17" s="57"/>
      <c r="L17" s="58"/>
      <c r="M17" s="55"/>
      <c r="N17" s="56"/>
      <c r="O17" s="57"/>
      <c r="P17" s="58"/>
      <c r="Q17" s="59">
        <f t="shared" si="0"/>
        <v>19</v>
      </c>
      <c r="R17" s="60">
        <f t="shared" si="1"/>
        <v>2.0127118644067795E-2</v>
      </c>
    </row>
    <row r="18" spans="1:18" ht="18" customHeight="1">
      <c r="A18" s="45"/>
      <c r="B18" s="86" t="s">
        <v>164</v>
      </c>
      <c r="C18" s="61">
        <v>160</v>
      </c>
      <c r="D18" s="54">
        <v>640</v>
      </c>
      <c r="E18" s="55">
        <v>81</v>
      </c>
      <c r="F18" s="56">
        <v>5</v>
      </c>
      <c r="G18" s="57"/>
      <c r="H18" s="58"/>
      <c r="I18" s="55"/>
      <c r="J18" s="56"/>
      <c r="K18" s="57"/>
      <c r="L18" s="58"/>
      <c r="M18" s="55"/>
      <c r="N18" s="56"/>
      <c r="O18" s="57"/>
      <c r="P18" s="58"/>
      <c r="Q18" s="59">
        <f>E18+G18+I18+K18+M18+O18</f>
        <v>81</v>
      </c>
      <c r="R18" s="60">
        <f t="shared" si="1"/>
        <v>0.12656249999999999</v>
      </c>
    </row>
    <row r="19" spans="1:18" ht="18" customHeight="1">
      <c r="A19" s="45"/>
      <c r="B19" s="86" t="s">
        <v>165</v>
      </c>
      <c r="C19" s="61">
        <v>300</v>
      </c>
      <c r="D19" s="54">
        <v>1200</v>
      </c>
      <c r="E19" s="55">
        <v>28</v>
      </c>
      <c r="F19" s="56">
        <v>4</v>
      </c>
      <c r="G19" s="57"/>
      <c r="H19" s="58"/>
      <c r="I19" s="55"/>
      <c r="J19" s="56"/>
      <c r="K19" s="57"/>
      <c r="L19" s="58"/>
      <c r="M19" s="55"/>
      <c r="N19" s="56"/>
      <c r="O19" s="57"/>
      <c r="P19" s="58"/>
      <c r="Q19" s="59">
        <f t="shared" si="0"/>
        <v>28</v>
      </c>
      <c r="R19" s="60">
        <f t="shared" si="1"/>
        <v>2.3333333333333334E-2</v>
      </c>
    </row>
    <row r="20" spans="1:18" ht="18" customHeight="1">
      <c r="A20" s="45"/>
      <c r="B20" s="86" t="s">
        <v>166</v>
      </c>
      <c r="C20" s="61">
        <v>299</v>
      </c>
      <c r="D20" s="54">
        <v>1196</v>
      </c>
      <c r="E20" s="55">
        <v>56</v>
      </c>
      <c r="F20" s="56">
        <v>8</v>
      </c>
      <c r="G20" s="57"/>
      <c r="H20" s="58"/>
      <c r="I20" s="55"/>
      <c r="J20" s="56"/>
      <c r="K20" s="57"/>
      <c r="L20" s="58"/>
      <c r="M20" s="55"/>
      <c r="N20" s="56"/>
      <c r="O20" s="57"/>
      <c r="P20" s="58"/>
      <c r="Q20" s="59">
        <f t="shared" si="0"/>
        <v>56</v>
      </c>
      <c r="R20" s="60">
        <f t="shared" si="1"/>
        <v>4.6822742474916385E-2</v>
      </c>
    </row>
    <row r="21" spans="1:18" ht="18" customHeight="1">
      <c r="A21" s="45"/>
      <c r="B21" s="86" t="s">
        <v>167</v>
      </c>
      <c r="C21" s="61">
        <v>565</v>
      </c>
      <c r="D21" s="54">
        <v>2260</v>
      </c>
      <c r="E21" s="55">
        <v>167</v>
      </c>
      <c r="F21" s="56">
        <v>18</v>
      </c>
      <c r="G21" s="57"/>
      <c r="H21" s="58"/>
      <c r="I21" s="55"/>
      <c r="J21" s="56"/>
      <c r="K21" s="57"/>
      <c r="L21" s="58"/>
      <c r="M21" s="55"/>
      <c r="N21" s="56"/>
      <c r="O21" s="57"/>
      <c r="P21" s="58"/>
      <c r="Q21" s="59">
        <f t="shared" si="0"/>
        <v>167</v>
      </c>
      <c r="R21" s="60">
        <f t="shared" si="1"/>
        <v>7.3893805309734509E-2</v>
      </c>
    </row>
    <row r="22" spans="1:18" ht="18" customHeight="1">
      <c r="A22" s="45"/>
      <c r="B22" s="86" t="s">
        <v>168</v>
      </c>
      <c r="C22" s="61">
        <v>236</v>
      </c>
      <c r="D22" s="54">
        <v>944</v>
      </c>
      <c r="E22" s="55">
        <v>37</v>
      </c>
      <c r="F22" s="56">
        <v>5</v>
      </c>
      <c r="G22" s="57"/>
      <c r="H22" s="58"/>
      <c r="I22" s="55"/>
      <c r="J22" s="56"/>
      <c r="K22" s="57"/>
      <c r="L22" s="58"/>
      <c r="M22" s="55"/>
      <c r="N22" s="56"/>
      <c r="O22" s="57"/>
      <c r="P22" s="58"/>
      <c r="Q22" s="59">
        <f t="shared" si="0"/>
        <v>37</v>
      </c>
      <c r="R22" s="60">
        <f t="shared" si="1"/>
        <v>3.9194915254237288E-2</v>
      </c>
    </row>
    <row r="23" spans="1:18" ht="18" customHeight="1">
      <c r="A23" s="45"/>
      <c r="B23" s="86" t="s">
        <v>169</v>
      </c>
      <c r="C23" s="61">
        <v>102</v>
      </c>
      <c r="D23" s="54">
        <v>408</v>
      </c>
      <c r="E23" s="55">
        <v>14</v>
      </c>
      <c r="F23" s="56">
        <v>1</v>
      </c>
      <c r="G23" s="57"/>
      <c r="H23" s="58"/>
      <c r="I23" s="55"/>
      <c r="J23" s="56"/>
      <c r="K23" s="57"/>
      <c r="L23" s="58"/>
      <c r="M23" s="55"/>
      <c r="N23" s="56"/>
      <c r="O23" s="57"/>
      <c r="P23" s="58"/>
      <c r="Q23" s="59">
        <f t="shared" si="0"/>
        <v>14</v>
      </c>
      <c r="R23" s="60">
        <f t="shared" si="1"/>
        <v>3.4313725490196081E-2</v>
      </c>
    </row>
    <row r="24" spans="1:18" ht="18" customHeight="1">
      <c r="A24" s="45"/>
      <c r="B24" s="86" t="s">
        <v>170</v>
      </c>
      <c r="C24" s="61">
        <v>185</v>
      </c>
      <c r="D24" s="54">
        <v>740</v>
      </c>
      <c r="E24" s="55">
        <v>25</v>
      </c>
      <c r="F24" s="56">
        <v>4</v>
      </c>
      <c r="G24" s="57"/>
      <c r="H24" s="58"/>
      <c r="I24" s="55"/>
      <c r="J24" s="56"/>
      <c r="K24" s="57"/>
      <c r="L24" s="58"/>
      <c r="M24" s="55"/>
      <c r="N24" s="56"/>
      <c r="O24" s="57"/>
      <c r="P24" s="58"/>
      <c r="Q24" s="59">
        <f t="shared" si="0"/>
        <v>25</v>
      </c>
      <c r="R24" s="60">
        <f t="shared" si="1"/>
        <v>3.3783783783783786E-2</v>
      </c>
    </row>
    <row r="25" spans="1:18" ht="18" customHeight="1">
      <c r="A25" s="45"/>
      <c r="B25" s="86"/>
      <c r="C25" s="61"/>
      <c r="D25" s="54"/>
      <c r="E25" s="55"/>
      <c r="F25" s="56"/>
      <c r="G25" s="57"/>
      <c r="H25" s="58"/>
      <c r="I25" s="55"/>
      <c r="J25" s="56"/>
      <c r="K25" s="57"/>
      <c r="L25" s="58"/>
      <c r="M25" s="55"/>
      <c r="N25" s="56"/>
      <c r="O25" s="57"/>
      <c r="P25" s="58"/>
      <c r="Q25" s="59">
        <f t="shared" si="0"/>
        <v>0</v>
      </c>
      <c r="R25" s="122" t="e">
        <f t="shared" si="1"/>
        <v>#DIV/0!</v>
      </c>
    </row>
    <row r="26" spans="1:18" ht="18" customHeight="1">
      <c r="A26" s="45"/>
      <c r="B26" s="86"/>
      <c r="C26" s="61"/>
      <c r="D26" s="54"/>
      <c r="E26" s="55"/>
      <c r="F26" s="56"/>
      <c r="G26" s="57"/>
      <c r="H26" s="58"/>
      <c r="I26" s="55"/>
      <c r="J26" s="56"/>
      <c r="K26" s="57"/>
      <c r="L26" s="58"/>
      <c r="M26" s="55"/>
      <c r="N26" s="56"/>
      <c r="O26" s="57"/>
      <c r="P26" s="58"/>
      <c r="Q26" s="59">
        <f t="shared" si="0"/>
        <v>0</v>
      </c>
      <c r="R26" s="122" t="e">
        <f t="shared" si="1"/>
        <v>#DIV/0!</v>
      </c>
    </row>
    <row r="27" spans="1:18" ht="18" customHeight="1">
      <c r="A27" s="45"/>
      <c r="B27" s="86"/>
      <c r="C27" s="53"/>
      <c r="D27" s="54"/>
      <c r="E27" s="55"/>
      <c r="F27" s="56"/>
      <c r="G27" s="57"/>
      <c r="H27" s="58"/>
      <c r="I27" s="55"/>
      <c r="J27" s="56"/>
      <c r="K27" s="57"/>
      <c r="L27" s="58"/>
      <c r="M27" s="55"/>
      <c r="N27" s="56"/>
      <c r="O27" s="57"/>
      <c r="P27" s="58"/>
      <c r="Q27" s="59">
        <f t="shared" si="0"/>
        <v>0</v>
      </c>
      <c r="R27" s="122" t="e">
        <f t="shared" si="1"/>
        <v>#DIV/0!</v>
      </c>
    </row>
    <row r="28" spans="1:18" ht="18" customHeight="1">
      <c r="A28" s="45"/>
      <c r="B28" s="86"/>
      <c r="C28" s="53"/>
      <c r="D28" s="54"/>
      <c r="E28" s="55"/>
      <c r="F28" s="56"/>
      <c r="G28" s="57"/>
      <c r="H28" s="58"/>
      <c r="I28" s="55"/>
      <c r="J28" s="56"/>
      <c r="K28" s="57"/>
      <c r="L28" s="58"/>
      <c r="M28" s="55"/>
      <c r="N28" s="56"/>
      <c r="O28" s="57"/>
      <c r="P28" s="58"/>
      <c r="Q28" s="59">
        <f t="shared" si="0"/>
        <v>0</v>
      </c>
      <c r="R28" s="122" t="e">
        <f t="shared" si="1"/>
        <v>#DIV/0!</v>
      </c>
    </row>
    <row r="29" spans="1:18" ht="18" customHeight="1" thickBot="1">
      <c r="A29" s="45"/>
      <c r="B29" s="87"/>
      <c r="C29" s="88"/>
      <c r="D29" s="46"/>
      <c r="E29" s="47"/>
      <c r="F29" s="48"/>
      <c r="G29" s="49"/>
      <c r="H29" s="50"/>
      <c r="I29" s="47"/>
      <c r="J29" s="48"/>
      <c r="K29" s="49"/>
      <c r="L29" s="50"/>
      <c r="M29" s="47"/>
      <c r="N29" s="48"/>
      <c r="O29" s="49"/>
      <c r="P29" s="50"/>
      <c r="Q29" s="62">
        <f t="shared" si="0"/>
        <v>0</v>
      </c>
      <c r="R29" s="123" t="e">
        <f t="shared" si="1"/>
        <v>#DIV/0!</v>
      </c>
    </row>
    <row r="30" spans="1:18" ht="18" customHeight="1" thickTop="1">
      <c r="B30" s="89" t="s">
        <v>59</v>
      </c>
      <c r="C30" s="90">
        <f t="shared" ref="C30:Q30" si="2">SUM(C10:C29)</f>
        <v>6605</v>
      </c>
      <c r="D30" s="63">
        <f t="shared" si="2"/>
        <v>26420</v>
      </c>
      <c r="E30" s="64">
        <f t="shared" si="2"/>
        <v>1037</v>
      </c>
      <c r="F30" s="65">
        <f t="shared" si="2"/>
        <v>173</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1037</v>
      </c>
      <c r="R30" s="69">
        <f>Q30/D30</f>
        <v>3.9250567751703255E-2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111" sqref="B111:J129"/>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119</v>
      </c>
      <c r="J1" s="39" t="s">
        <v>120</v>
      </c>
    </row>
    <row r="2" spans="1:11" ht="18.75" customHeight="1">
      <c r="A2" s="246" t="s">
        <v>66</v>
      </c>
      <c r="B2" s="246"/>
      <c r="C2" s="246"/>
      <c r="D2" s="246"/>
      <c r="E2" s="246"/>
      <c r="F2" s="246"/>
      <c r="G2" s="246"/>
      <c r="H2" s="246"/>
      <c r="I2" s="246"/>
      <c r="J2" s="246"/>
    </row>
    <row r="3" spans="1:11" ht="7.5" customHeight="1">
      <c r="B3" s="36"/>
      <c r="C3" s="36"/>
      <c r="D3" s="36"/>
      <c r="E3" s="36"/>
      <c r="F3" s="36"/>
      <c r="G3" s="36"/>
      <c r="H3" s="36"/>
      <c r="I3" s="36"/>
      <c r="J3" s="36"/>
    </row>
    <row r="4" spans="1:11" ht="18.75" customHeight="1">
      <c r="A4" s="1" t="s">
        <v>6</v>
      </c>
      <c r="B4" s="4" t="s">
        <v>76</v>
      </c>
      <c r="C4" s="4"/>
      <c r="D4" s="4"/>
      <c r="E4" s="4"/>
      <c r="F4" s="4"/>
      <c r="G4" s="4"/>
      <c r="H4" s="4"/>
      <c r="I4" s="36"/>
      <c r="J4" s="36"/>
    </row>
    <row r="5" spans="1:11" ht="18.75" customHeight="1">
      <c r="A5" s="1"/>
      <c r="B5" s="136" t="s">
        <v>202</v>
      </c>
      <c r="C5" s="137"/>
      <c r="D5" s="137"/>
      <c r="E5" s="137"/>
      <c r="F5" s="137"/>
      <c r="G5" s="137"/>
      <c r="H5" s="137"/>
      <c r="I5" s="137"/>
      <c r="J5" s="271"/>
      <c r="K5" s="31" t="str">
        <f>IF(B5="","入力してください","")</f>
        <v/>
      </c>
    </row>
    <row r="6" spans="1:11" ht="7.5" customHeight="1">
      <c r="B6" s="36"/>
      <c r="C6" s="36"/>
      <c r="D6" s="36"/>
      <c r="E6" s="36"/>
      <c r="F6" s="36"/>
      <c r="G6" s="36"/>
      <c r="H6" s="36"/>
      <c r="I6" s="36"/>
      <c r="J6" s="36"/>
    </row>
    <row r="7" spans="1:11" s="4" customFormat="1" ht="18.75" customHeight="1">
      <c r="A7" s="1" t="s">
        <v>10</v>
      </c>
      <c r="B7" s="1" t="s">
        <v>41</v>
      </c>
      <c r="C7" s="1"/>
      <c r="D7" s="1"/>
      <c r="E7" s="1"/>
      <c r="F7" s="1"/>
      <c r="G7" s="1"/>
      <c r="H7" s="1"/>
      <c r="I7" s="1"/>
      <c r="J7" s="1"/>
      <c r="K7" s="33"/>
    </row>
    <row r="8" spans="1:11" s="4" customFormat="1" ht="18.75" customHeight="1">
      <c r="A8" s="91"/>
      <c r="B8" s="272" t="s">
        <v>203</v>
      </c>
      <c r="C8" s="273"/>
      <c r="D8" s="273"/>
      <c r="E8" s="273"/>
      <c r="F8" s="273"/>
      <c r="G8" s="273"/>
      <c r="H8" s="273"/>
      <c r="I8" s="274"/>
      <c r="J8" s="275"/>
      <c r="K8" s="31" t="str">
        <f>IF(B8="","入力してください","")</f>
        <v/>
      </c>
    </row>
    <row r="9" spans="1:11" s="4" customFormat="1" ht="18.75" customHeight="1">
      <c r="A9" s="91"/>
      <c r="B9" s="265"/>
      <c r="C9" s="266"/>
      <c r="D9" s="266"/>
      <c r="E9" s="266"/>
      <c r="F9" s="266"/>
      <c r="G9" s="266"/>
      <c r="H9" s="266"/>
      <c r="I9" s="266"/>
      <c r="J9" s="267"/>
      <c r="K9" s="31"/>
    </row>
    <row r="10" spans="1:11" s="4" customFormat="1" ht="18.75" customHeight="1">
      <c r="A10" s="91"/>
      <c r="B10" s="265"/>
      <c r="C10" s="266"/>
      <c r="D10" s="266"/>
      <c r="E10" s="266"/>
      <c r="F10" s="266"/>
      <c r="G10" s="266"/>
      <c r="H10" s="266"/>
      <c r="I10" s="266"/>
      <c r="J10" s="267"/>
      <c r="K10" s="31"/>
    </row>
    <row r="11" spans="1:11" s="4" customFormat="1" ht="18.75" customHeight="1">
      <c r="A11" s="91"/>
      <c r="B11" s="265"/>
      <c r="C11" s="266"/>
      <c r="D11" s="266"/>
      <c r="E11" s="266"/>
      <c r="F11" s="266"/>
      <c r="G11" s="266"/>
      <c r="H11" s="266"/>
      <c r="I11" s="266"/>
      <c r="J11" s="267"/>
      <c r="K11" s="31"/>
    </row>
    <row r="12" spans="1:11" s="4" customFormat="1" ht="18.75" customHeight="1">
      <c r="A12" s="91"/>
      <c r="B12" s="268"/>
      <c r="C12" s="269"/>
      <c r="D12" s="269"/>
      <c r="E12" s="269"/>
      <c r="F12" s="269"/>
      <c r="G12" s="269"/>
      <c r="H12" s="269"/>
      <c r="I12" s="269"/>
      <c r="J12" s="270"/>
      <c r="K12" s="31"/>
    </row>
    <row r="13" spans="1:11" s="4" customFormat="1" ht="7.5" customHeight="1">
      <c r="A13" s="91"/>
      <c r="B13" s="91"/>
      <c r="C13" s="91"/>
      <c r="D13" s="91"/>
      <c r="E13" s="91"/>
      <c r="F13" s="91"/>
      <c r="G13" s="91"/>
      <c r="H13" s="91"/>
      <c r="I13" s="91"/>
      <c r="J13" s="91"/>
      <c r="K13" s="31"/>
    </row>
    <row r="14" spans="1:11" s="4" customFormat="1" ht="18.75" customHeight="1">
      <c r="A14" s="92" t="s">
        <v>11</v>
      </c>
      <c r="B14" s="92" t="s">
        <v>16</v>
      </c>
      <c r="C14" s="92"/>
      <c r="D14" s="92"/>
      <c r="E14" s="92"/>
      <c r="F14" s="92"/>
      <c r="G14" s="92"/>
      <c r="H14" s="92"/>
      <c r="I14" s="92"/>
      <c r="J14" s="92"/>
      <c r="K14" s="31"/>
    </row>
    <row r="15" spans="1:11" s="4" customFormat="1" ht="18.75" customHeight="1">
      <c r="A15" s="91"/>
      <c r="B15" s="272" t="s">
        <v>204</v>
      </c>
      <c r="C15" s="273"/>
      <c r="D15" s="273"/>
      <c r="E15" s="273"/>
      <c r="F15" s="273"/>
      <c r="G15" s="273"/>
      <c r="H15" s="273"/>
      <c r="I15" s="274"/>
      <c r="J15" s="275"/>
      <c r="K15" s="31" t="str">
        <f>IF(B15="","入力してください","")</f>
        <v/>
      </c>
    </row>
    <row r="16" spans="1:11" s="4" customFormat="1" ht="18.75" customHeight="1">
      <c r="A16" s="91"/>
      <c r="B16" s="265"/>
      <c r="C16" s="266"/>
      <c r="D16" s="266"/>
      <c r="E16" s="266"/>
      <c r="F16" s="266"/>
      <c r="G16" s="266"/>
      <c r="H16" s="266"/>
      <c r="I16" s="266"/>
      <c r="J16" s="267"/>
      <c r="K16" s="31"/>
    </row>
    <row r="17" spans="1:11" s="4" customFormat="1" ht="18.75" customHeight="1">
      <c r="A17" s="91"/>
      <c r="B17" s="265"/>
      <c r="C17" s="266"/>
      <c r="D17" s="266"/>
      <c r="E17" s="266"/>
      <c r="F17" s="266"/>
      <c r="G17" s="266"/>
      <c r="H17" s="266"/>
      <c r="I17" s="266"/>
      <c r="J17" s="267"/>
      <c r="K17" s="31"/>
    </row>
    <row r="18" spans="1:11" s="4" customFormat="1" ht="18.75" customHeight="1">
      <c r="A18" s="91"/>
      <c r="B18" s="265"/>
      <c r="C18" s="266"/>
      <c r="D18" s="266"/>
      <c r="E18" s="266"/>
      <c r="F18" s="266"/>
      <c r="G18" s="266"/>
      <c r="H18" s="266"/>
      <c r="I18" s="266"/>
      <c r="J18" s="267"/>
      <c r="K18" s="31"/>
    </row>
    <row r="19" spans="1:11" s="4" customFormat="1" ht="18.75" customHeight="1">
      <c r="A19" s="91"/>
      <c r="B19" s="265"/>
      <c r="C19" s="266"/>
      <c r="D19" s="266"/>
      <c r="E19" s="266"/>
      <c r="F19" s="266"/>
      <c r="G19" s="266"/>
      <c r="H19" s="266"/>
      <c r="I19" s="266"/>
      <c r="J19" s="267"/>
      <c r="K19" s="31"/>
    </row>
    <row r="20" spans="1:11" s="4" customFormat="1" ht="18.75" customHeight="1">
      <c r="A20" s="91"/>
      <c r="B20" s="265"/>
      <c r="C20" s="266"/>
      <c r="D20" s="266"/>
      <c r="E20" s="266"/>
      <c r="F20" s="266"/>
      <c r="G20" s="266"/>
      <c r="H20" s="266"/>
      <c r="I20" s="266"/>
      <c r="J20" s="267"/>
      <c r="K20" s="31"/>
    </row>
    <row r="21" spans="1:11" s="4" customFormat="1" ht="18.75" customHeight="1">
      <c r="A21" s="91"/>
      <c r="B21" s="265"/>
      <c r="C21" s="266"/>
      <c r="D21" s="266"/>
      <c r="E21" s="266"/>
      <c r="F21" s="266"/>
      <c r="G21" s="266"/>
      <c r="H21" s="266"/>
      <c r="I21" s="266"/>
      <c r="J21" s="267"/>
      <c r="K21" s="31"/>
    </row>
    <row r="22" spans="1:11" s="4" customFormat="1" ht="18.75" customHeight="1">
      <c r="A22" s="91"/>
      <c r="B22" s="265"/>
      <c r="C22" s="266"/>
      <c r="D22" s="266"/>
      <c r="E22" s="266"/>
      <c r="F22" s="266"/>
      <c r="G22" s="266"/>
      <c r="H22" s="266"/>
      <c r="I22" s="266"/>
      <c r="J22" s="267"/>
      <c r="K22" s="31"/>
    </row>
    <row r="23" spans="1:11" s="4" customFormat="1" ht="18.75" customHeight="1">
      <c r="A23" s="91"/>
      <c r="B23" s="265"/>
      <c r="C23" s="266"/>
      <c r="D23" s="266"/>
      <c r="E23" s="266"/>
      <c r="F23" s="266"/>
      <c r="G23" s="266"/>
      <c r="H23" s="266"/>
      <c r="I23" s="266"/>
      <c r="J23" s="267"/>
      <c r="K23" s="31"/>
    </row>
    <row r="24" spans="1:11" s="4" customFormat="1" ht="18.75" customHeight="1">
      <c r="A24" s="91"/>
      <c r="B24" s="265"/>
      <c r="C24" s="266"/>
      <c r="D24" s="266"/>
      <c r="E24" s="266"/>
      <c r="F24" s="266"/>
      <c r="G24" s="266"/>
      <c r="H24" s="266"/>
      <c r="I24" s="266"/>
      <c r="J24" s="267"/>
      <c r="K24" s="31"/>
    </row>
    <row r="25" spans="1:11" s="4" customFormat="1" ht="18.75" customHeight="1">
      <c r="A25" s="91"/>
      <c r="B25" s="268"/>
      <c r="C25" s="269"/>
      <c r="D25" s="269"/>
      <c r="E25" s="269"/>
      <c r="F25" s="269"/>
      <c r="G25" s="269"/>
      <c r="H25" s="269"/>
      <c r="I25" s="269"/>
      <c r="J25" s="270"/>
      <c r="K25" s="31"/>
    </row>
    <row r="26" spans="1:11" ht="7.5" customHeight="1">
      <c r="A26" s="37"/>
      <c r="B26" s="37"/>
      <c r="C26" s="37"/>
      <c r="D26" s="37"/>
      <c r="E26" s="37"/>
      <c r="F26" s="37"/>
      <c r="G26" s="37"/>
      <c r="H26" s="37"/>
      <c r="I26" s="37"/>
      <c r="J26" s="37"/>
    </row>
    <row r="27" spans="1:11" s="4" customFormat="1" ht="18.75" customHeight="1">
      <c r="A27" s="1" t="s">
        <v>14</v>
      </c>
      <c r="B27" s="1" t="s">
        <v>27</v>
      </c>
      <c r="C27" s="1"/>
      <c r="D27" s="1"/>
      <c r="E27" s="1"/>
      <c r="F27" s="1"/>
      <c r="G27" s="1"/>
      <c r="H27" s="1"/>
      <c r="I27" s="1"/>
      <c r="J27" s="1"/>
      <c r="K27" s="31"/>
    </row>
    <row r="28" spans="1:11" s="29" customFormat="1" ht="18.75" customHeight="1">
      <c r="B28" s="93" t="s">
        <v>121</v>
      </c>
      <c r="C28" s="94">
        <f>'様式３　履修者等数の実績'!R30</f>
        <v>3.9250567751703255E-2</v>
      </c>
      <c r="D28" s="95"/>
      <c r="E28" s="95" t="s">
        <v>122</v>
      </c>
      <c r="F28" s="94">
        <v>7.2999999999999995E-2</v>
      </c>
      <c r="G28" s="95"/>
      <c r="H28" s="95" t="s">
        <v>123</v>
      </c>
      <c r="I28" s="96">
        <v>0.107</v>
      </c>
      <c r="J28" s="97"/>
      <c r="K28" s="31"/>
    </row>
    <row r="29" spans="1:11" s="29" customFormat="1" ht="18.75" customHeight="1">
      <c r="B29" s="81" t="s">
        <v>124</v>
      </c>
      <c r="C29" s="98">
        <v>0.153</v>
      </c>
      <c r="D29" s="82"/>
      <c r="E29" s="82" t="s">
        <v>125</v>
      </c>
      <c r="F29" s="98">
        <v>0.159</v>
      </c>
      <c r="G29" s="82"/>
      <c r="H29" s="82" t="s">
        <v>126</v>
      </c>
      <c r="I29" s="99">
        <f>'様式３　履修者等数の実績'!D30</f>
        <v>26420</v>
      </c>
      <c r="J29" s="100"/>
      <c r="K29" s="33"/>
    </row>
    <row r="30" spans="1:11" s="4" customFormat="1" ht="18.75" customHeight="1">
      <c r="A30" s="1"/>
      <c r="B30" s="172" t="s">
        <v>127</v>
      </c>
      <c r="C30" s="173"/>
      <c r="D30" s="173"/>
      <c r="E30" s="173"/>
      <c r="F30" s="173"/>
      <c r="G30" s="173"/>
      <c r="H30" s="173"/>
      <c r="I30" s="173"/>
      <c r="J30" s="174"/>
      <c r="K30" s="33"/>
    </row>
    <row r="31" spans="1:11" s="4" customFormat="1" ht="18.75" customHeight="1">
      <c r="A31" s="1"/>
      <c r="B31" s="262" t="s">
        <v>215</v>
      </c>
      <c r="C31" s="263"/>
      <c r="D31" s="263"/>
      <c r="E31" s="263"/>
      <c r="F31" s="263"/>
      <c r="G31" s="263"/>
      <c r="H31" s="263"/>
      <c r="I31" s="263"/>
      <c r="J31" s="264"/>
      <c r="K31" s="33" t="str">
        <f>IF(B31="","入力してください","")</f>
        <v/>
      </c>
    </row>
    <row r="32" spans="1:11" s="4" customFormat="1" ht="18.75" customHeight="1">
      <c r="A32" s="1"/>
      <c r="B32" s="265"/>
      <c r="C32" s="266"/>
      <c r="D32" s="266"/>
      <c r="E32" s="266"/>
      <c r="F32" s="266"/>
      <c r="G32" s="266"/>
      <c r="H32" s="266"/>
      <c r="I32" s="266"/>
      <c r="J32" s="267"/>
      <c r="K32" s="33"/>
    </row>
    <row r="33" spans="1:11" s="4" customFormat="1" ht="18.75" customHeight="1">
      <c r="A33" s="1"/>
      <c r="B33" s="265"/>
      <c r="C33" s="266"/>
      <c r="D33" s="266"/>
      <c r="E33" s="266"/>
      <c r="F33" s="266"/>
      <c r="G33" s="266"/>
      <c r="H33" s="266"/>
      <c r="I33" s="266"/>
      <c r="J33" s="267"/>
      <c r="K33" s="33"/>
    </row>
    <row r="34" spans="1:11" s="4" customFormat="1" ht="18.75" customHeight="1">
      <c r="A34" s="1"/>
      <c r="B34" s="265"/>
      <c r="C34" s="266"/>
      <c r="D34" s="266"/>
      <c r="E34" s="266"/>
      <c r="F34" s="266"/>
      <c r="G34" s="266"/>
      <c r="H34" s="266"/>
      <c r="I34" s="266"/>
      <c r="J34" s="267"/>
      <c r="K34" s="33"/>
    </row>
    <row r="35" spans="1:11" s="4" customFormat="1" ht="18.75" customHeight="1">
      <c r="A35" s="1"/>
      <c r="B35" s="265"/>
      <c r="C35" s="266"/>
      <c r="D35" s="266"/>
      <c r="E35" s="266"/>
      <c r="F35" s="266"/>
      <c r="G35" s="266"/>
      <c r="H35" s="266"/>
      <c r="I35" s="266"/>
      <c r="J35" s="267"/>
      <c r="K35" s="33"/>
    </row>
    <row r="36" spans="1:11" s="4" customFormat="1" ht="18.75" customHeight="1">
      <c r="A36" s="1"/>
      <c r="B36" s="265"/>
      <c r="C36" s="266"/>
      <c r="D36" s="266"/>
      <c r="E36" s="266"/>
      <c r="F36" s="266"/>
      <c r="G36" s="266"/>
      <c r="H36" s="266"/>
      <c r="I36" s="266"/>
      <c r="J36" s="267"/>
      <c r="K36" s="33"/>
    </row>
    <row r="37" spans="1:11" s="4" customFormat="1" ht="18.75" customHeight="1">
      <c r="A37" s="1"/>
      <c r="B37" s="265"/>
      <c r="C37" s="266"/>
      <c r="D37" s="266"/>
      <c r="E37" s="266"/>
      <c r="F37" s="266"/>
      <c r="G37" s="266"/>
      <c r="H37" s="266"/>
      <c r="I37" s="266"/>
      <c r="J37" s="267"/>
      <c r="K37" s="33"/>
    </row>
    <row r="38" spans="1:11" s="4" customFormat="1" ht="18.75" customHeight="1">
      <c r="A38" s="1"/>
      <c r="B38" s="265"/>
      <c r="C38" s="266"/>
      <c r="D38" s="266"/>
      <c r="E38" s="266"/>
      <c r="F38" s="266"/>
      <c r="G38" s="266"/>
      <c r="H38" s="266"/>
      <c r="I38" s="266"/>
      <c r="J38" s="267"/>
      <c r="K38" s="33"/>
    </row>
    <row r="39" spans="1:11" s="4" customFormat="1" ht="18.75" customHeight="1">
      <c r="A39" s="1"/>
      <c r="B39" s="265"/>
      <c r="C39" s="266"/>
      <c r="D39" s="266"/>
      <c r="E39" s="266"/>
      <c r="F39" s="266"/>
      <c r="G39" s="266"/>
      <c r="H39" s="266"/>
      <c r="I39" s="266"/>
      <c r="J39" s="267"/>
      <c r="K39" s="33"/>
    </row>
    <row r="40" spans="1:11" s="4" customFormat="1" ht="18.75" customHeight="1">
      <c r="A40" s="1"/>
      <c r="B40" s="265"/>
      <c r="C40" s="266"/>
      <c r="D40" s="266"/>
      <c r="E40" s="266"/>
      <c r="F40" s="266"/>
      <c r="G40" s="266"/>
      <c r="H40" s="266"/>
      <c r="I40" s="266"/>
      <c r="J40" s="267"/>
      <c r="K40" s="33"/>
    </row>
    <row r="41" spans="1:11" s="4" customFormat="1" ht="18.75" customHeight="1">
      <c r="A41" s="1"/>
      <c r="B41" s="265"/>
      <c r="C41" s="266"/>
      <c r="D41" s="266"/>
      <c r="E41" s="266"/>
      <c r="F41" s="266"/>
      <c r="G41" s="266"/>
      <c r="H41" s="266"/>
      <c r="I41" s="266"/>
      <c r="J41" s="267"/>
      <c r="K41" s="33"/>
    </row>
    <row r="42" spans="1:11" s="4" customFormat="1" ht="18.75" customHeight="1">
      <c r="A42" s="1"/>
      <c r="B42" s="265"/>
      <c r="C42" s="266"/>
      <c r="D42" s="266"/>
      <c r="E42" s="266"/>
      <c r="F42" s="266"/>
      <c r="G42" s="266"/>
      <c r="H42" s="266"/>
      <c r="I42" s="266"/>
      <c r="J42" s="267"/>
      <c r="K42" s="33"/>
    </row>
    <row r="43" spans="1:11" ht="18.75" customHeight="1">
      <c r="A43" s="37"/>
      <c r="B43" s="265"/>
      <c r="C43" s="266"/>
      <c r="D43" s="266"/>
      <c r="E43" s="266"/>
      <c r="F43" s="266"/>
      <c r="G43" s="266"/>
      <c r="H43" s="266"/>
      <c r="I43" s="266"/>
      <c r="J43" s="267"/>
      <c r="K43" s="33"/>
    </row>
    <row r="44" spans="1:11" ht="18.75" customHeight="1">
      <c r="A44" s="37"/>
      <c r="B44" s="268"/>
      <c r="C44" s="269"/>
      <c r="D44" s="269"/>
      <c r="E44" s="269"/>
      <c r="F44" s="269"/>
      <c r="G44" s="269"/>
      <c r="H44" s="269"/>
      <c r="I44" s="269"/>
      <c r="J44" s="270"/>
    </row>
    <row r="45" spans="1:11" s="4" customFormat="1" ht="18.75" customHeight="1">
      <c r="A45" s="101" t="s">
        <v>12</v>
      </c>
      <c r="B45" s="1" t="s">
        <v>67</v>
      </c>
      <c r="C45" s="1"/>
      <c r="D45" s="1"/>
      <c r="E45" s="1"/>
      <c r="F45" s="1"/>
      <c r="G45" s="1"/>
      <c r="H45" s="1"/>
      <c r="I45" s="101"/>
      <c r="J45" s="101"/>
      <c r="K45" s="31"/>
    </row>
    <row r="46" spans="1:11" ht="18.75" customHeight="1">
      <c r="A46" s="37"/>
      <c r="B46" s="276" t="s">
        <v>214</v>
      </c>
      <c r="C46" s="273"/>
      <c r="D46" s="273"/>
      <c r="E46" s="273"/>
      <c r="F46" s="273"/>
      <c r="G46" s="273"/>
      <c r="H46" s="273"/>
      <c r="I46" s="273"/>
      <c r="J46" s="277"/>
      <c r="K46" s="31" t="str">
        <f>IF(B46="","入力してください","")</f>
        <v/>
      </c>
    </row>
    <row r="47" spans="1:11" ht="18.75" customHeight="1">
      <c r="A47" s="37"/>
      <c r="B47" s="278"/>
      <c r="C47" s="279"/>
      <c r="D47" s="279"/>
      <c r="E47" s="279"/>
      <c r="F47" s="279"/>
      <c r="G47" s="279"/>
      <c r="H47" s="279"/>
      <c r="I47" s="279"/>
      <c r="J47" s="280"/>
    </row>
    <row r="48" spans="1:11" ht="18.75" customHeight="1">
      <c r="A48" s="37"/>
      <c r="B48" s="278"/>
      <c r="C48" s="279"/>
      <c r="D48" s="279"/>
      <c r="E48" s="279"/>
      <c r="F48" s="279"/>
      <c r="G48" s="279"/>
      <c r="H48" s="279"/>
      <c r="I48" s="279"/>
      <c r="J48" s="280"/>
    </row>
    <row r="49" spans="1:10" ht="18.75" customHeight="1">
      <c r="A49" s="37"/>
      <c r="B49" s="278"/>
      <c r="C49" s="279"/>
      <c r="D49" s="279"/>
      <c r="E49" s="279"/>
      <c r="F49" s="279"/>
      <c r="G49" s="279"/>
      <c r="H49" s="279"/>
      <c r="I49" s="279"/>
      <c r="J49" s="280"/>
    </row>
    <row r="50" spans="1:10" ht="18.75" customHeight="1">
      <c r="A50" s="37"/>
      <c r="B50" s="278"/>
      <c r="C50" s="279"/>
      <c r="D50" s="279"/>
      <c r="E50" s="279"/>
      <c r="F50" s="279"/>
      <c r="G50" s="279"/>
      <c r="H50" s="279"/>
      <c r="I50" s="279"/>
      <c r="J50" s="280"/>
    </row>
    <row r="51" spans="1:10" ht="18.75" customHeight="1">
      <c r="A51" s="37"/>
      <c r="B51" s="278"/>
      <c r="C51" s="279"/>
      <c r="D51" s="279"/>
      <c r="E51" s="279"/>
      <c r="F51" s="279"/>
      <c r="G51" s="279"/>
      <c r="H51" s="279"/>
      <c r="I51" s="279"/>
      <c r="J51" s="280"/>
    </row>
    <row r="52" spans="1:10" ht="18.75" customHeight="1">
      <c r="A52" s="37"/>
      <c r="B52" s="278"/>
      <c r="C52" s="279"/>
      <c r="D52" s="279"/>
      <c r="E52" s="279"/>
      <c r="F52" s="279"/>
      <c r="G52" s="279"/>
      <c r="H52" s="279"/>
      <c r="I52" s="279"/>
      <c r="J52" s="280"/>
    </row>
    <row r="53" spans="1:10" ht="18.75" customHeight="1">
      <c r="A53" s="37"/>
      <c r="B53" s="278"/>
      <c r="C53" s="279"/>
      <c r="D53" s="279"/>
      <c r="E53" s="279"/>
      <c r="F53" s="279"/>
      <c r="G53" s="279"/>
      <c r="H53" s="279"/>
      <c r="I53" s="279"/>
      <c r="J53" s="280"/>
    </row>
    <row r="54" spans="1:10" ht="18.75" customHeight="1">
      <c r="A54" s="37"/>
      <c r="B54" s="278"/>
      <c r="C54" s="279"/>
      <c r="D54" s="279"/>
      <c r="E54" s="279"/>
      <c r="F54" s="279"/>
      <c r="G54" s="279"/>
      <c r="H54" s="279"/>
      <c r="I54" s="279"/>
      <c r="J54" s="280"/>
    </row>
    <row r="55" spans="1:10" ht="18.75" customHeight="1">
      <c r="A55" s="37"/>
      <c r="B55" s="278"/>
      <c r="C55" s="279"/>
      <c r="D55" s="279"/>
      <c r="E55" s="279"/>
      <c r="F55" s="279"/>
      <c r="G55" s="279"/>
      <c r="H55" s="279"/>
      <c r="I55" s="279"/>
      <c r="J55" s="280"/>
    </row>
    <row r="56" spans="1:10" ht="18.75" customHeight="1">
      <c r="A56" s="37"/>
      <c r="B56" s="278"/>
      <c r="C56" s="279"/>
      <c r="D56" s="279"/>
      <c r="E56" s="279"/>
      <c r="F56" s="279"/>
      <c r="G56" s="279"/>
      <c r="H56" s="279"/>
      <c r="I56" s="279"/>
      <c r="J56" s="280"/>
    </row>
    <row r="57" spans="1:10" ht="18.75" customHeight="1">
      <c r="A57" s="37"/>
      <c r="B57" s="278"/>
      <c r="C57" s="279"/>
      <c r="D57" s="279"/>
      <c r="E57" s="279"/>
      <c r="F57" s="279"/>
      <c r="G57" s="279"/>
      <c r="H57" s="279"/>
      <c r="I57" s="279"/>
      <c r="J57" s="280"/>
    </row>
    <row r="58" spans="1:10" ht="18.75" customHeight="1">
      <c r="A58" s="37"/>
      <c r="B58" s="278"/>
      <c r="C58" s="279"/>
      <c r="D58" s="279"/>
      <c r="E58" s="279"/>
      <c r="F58" s="279"/>
      <c r="G58" s="279"/>
      <c r="H58" s="279"/>
      <c r="I58" s="279"/>
      <c r="J58" s="280"/>
    </row>
    <row r="59" spans="1:10" ht="18.75" customHeight="1">
      <c r="A59" s="37"/>
      <c r="B59" s="278"/>
      <c r="C59" s="279"/>
      <c r="D59" s="279"/>
      <c r="E59" s="279"/>
      <c r="F59" s="279"/>
      <c r="G59" s="279"/>
      <c r="H59" s="279"/>
      <c r="I59" s="279"/>
      <c r="J59" s="280"/>
    </row>
    <row r="60" spans="1:10" ht="18.75" customHeight="1">
      <c r="A60" s="37"/>
      <c r="B60" s="278"/>
      <c r="C60" s="279"/>
      <c r="D60" s="279"/>
      <c r="E60" s="279"/>
      <c r="F60" s="279"/>
      <c r="G60" s="279"/>
      <c r="H60" s="279"/>
      <c r="I60" s="279"/>
      <c r="J60" s="280"/>
    </row>
    <row r="61" spans="1:10" ht="18.75" customHeight="1">
      <c r="A61" s="37"/>
      <c r="B61" s="278"/>
      <c r="C61" s="279"/>
      <c r="D61" s="279"/>
      <c r="E61" s="279"/>
      <c r="F61" s="279"/>
      <c r="G61" s="279"/>
      <c r="H61" s="279"/>
      <c r="I61" s="279"/>
      <c r="J61" s="280"/>
    </row>
    <row r="62" spans="1:10" ht="18.75" customHeight="1">
      <c r="A62" s="37"/>
      <c r="B62" s="278"/>
      <c r="C62" s="279"/>
      <c r="D62" s="279"/>
      <c r="E62" s="279"/>
      <c r="F62" s="279"/>
      <c r="G62" s="279"/>
      <c r="H62" s="279"/>
      <c r="I62" s="279"/>
      <c r="J62" s="280"/>
    </row>
    <row r="63" spans="1:10" ht="18.75" customHeight="1">
      <c r="A63" s="37"/>
      <c r="B63" s="278"/>
      <c r="C63" s="279"/>
      <c r="D63" s="279"/>
      <c r="E63" s="279"/>
      <c r="F63" s="279"/>
      <c r="G63" s="279"/>
      <c r="H63" s="279"/>
      <c r="I63" s="279"/>
      <c r="J63" s="280"/>
    </row>
    <row r="64" spans="1:10" ht="18.75" customHeight="1">
      <c r="A64" s="37"/>
      <c r="B64" s="278"/>
      <c r="C64" s="279"/>
      <c r="D64" s="279"/>
      <c r="E64" s="279"/>
      <c r="F64" s="279"/>
      <c r="G64" s="279"/>
      <c r="H64" s="279"/>
      <c r="I64" s="279"/>
      <c r="J64" s="280"/>
    </row>
    <row r="65" spans="1:11" ht="18.75" customHeight="1">
      <c r="A65" s="37"/>
      <c r="B65" s="278"/>
      <c r="C65" s="279"/>
      <c r="D65" s="279"/>
      <c r="E65" s="279"/>
      <c r="F65" s="279"/>
      <c r="G65" s="279"/>
      <c r="H65" s="279"/>
      <c r="I65" s="279"/>
      <c r="J65" s="280"/>
    </row>
    <row r="66" spans="1:11" ht="18.75" customHeight="1">
      <c r="A66" s="37"/>
      <c r="B66" s="281"/>
      <c r="C66" s="282"/>
      <c r="D66" s="282"/>
      <c r="E66" s="282"/>
      <c r="F66" s="282"/>
      <c r="G66" s="282"/>
      <c r="H66" s="282"/>
      <c r="I66" s="282"/>
      <c r="J66" s="283"/>
    </row>
    <row r="67" spans="1:11" ht="7.5" customHeight="1">
      <c r="A67" s="37"/>
      <c r="B67" s="37"/>
      <c r="C67" s="37"/>
      <c r="D67" s="37"/>
      <c r="E67" s="37"/>
      <c r="F67" s="37"/>
      <c r="G67" s="37"/>
      <c r="H67" s="37"/>
      <c r="I67" s="37"/>
      <c r="J67" s="37"/>
    </row>
    <row r="68" spans="1:11" s="4" customFormat="1" ht="18.75" customHeight="1">
      <c r="A68" s="1" t="s">
        <v>15</v>
      </c>
      <c r="B68" s="1" t="s">
        <v>75</v>
      </c>
      <c r="C68" s="1"/>
      <c r="D68" s="1"/>
      <c r="E68" s="1"/>
      <c r="F68" s="1"/>
      <c r="G68" s="1"/>
      <c r="H68" s="1"/>
      <c r="I68" s="1"/>
      <c r="J68" s="1"/>
      <c r="K68" s="31"/>
    </row>
    <row r="69" spans="1:11" s="4" customFormat="1" ht="18.75" customHeight="1">
      <c r="A69" s="1"/>
      <c r="B69" s="276" t="s">
        <v>216</v>
      </c>
      <c r="C69" s="273"/>
      <c r="D69" s="273"/>
      <c r="E69" s="273"/>
      <c r="F69" s="273"/>
      <c r="G69" s="273"/>
      <c r="H69" s="273"/>
      <c r="I69" s="274"/>
      <c r="J69" s="275"/>
      <c r="K69" s="33" t="str">
        <f>IF(B69="","入力してください","")</f>
        <v/>
      </c>
    </row>
    <row r="70" spans="1:11" s="4" customFormat="1" ht="18.75" customHeight="1">
      <c r="A70" s="1"/>
      <c r="B70" s="265"/>
      <c r="C70" s="266"/>
      <c r="D70" s="266"/>
      <c r="E70" s="266"/>
      <c r="F70" s="266"/>
      <c r="G70" s="266"/>
      <c r="H70" s="266"/>
      <c r="I70" s="266"/>
      <c r="J70" s="267"/>
      <c r="K70" s="33"/>
    </row>
    <row r="71" spans="1:11" s="4" customFormat="1" ht="18.75" customHeight="1">
      <c r="A71" s="1"/>
      <c r="B71" s="265"/>
      <c r="C71" s="266"/>
      <c r="D71" s="266"/>
      <c r="E71" s="266"/>
      <c r="F71" s="266"/>
      <c r="G71" s="266"/>
      <c r="H71" s="266"/>
      <c r="I71" s="266"/>
      <c r="J71" s="267"/>
      <c r="K71" s="33"/>
    </row>
    <row r="72" spans="1:11" s="4" customFormat="1" ht="18.75" customHeight="1">
      <c r="A72" s="1"/>
      <c r="B72" s="265"/>
      <c r="C72" s="266"/>
      <c r="D72" s="266"/>
      <c r="E72" s="266"/>
      <c r="F72" s="266"/>
      <c r="G72" s="266"/>
      <c r="H72" s="266"/>
      <c r="I72" s="266"/>
      <c r="J72" s="267"/>
      <c r="K72" s="33"/>
    </row>
    <row r="73" spans="1:11" s="4" customFormat="1" ht="18.75" customHeight="1">
      <c r="A73" s="1"/>
      <c r="B73" s="265"/>
      <c r="C73" s="266"/>
      <c r="D73" s="266"/>
      <c r="E73" s="266"/>
      <c r="F73" s="266"/>
      <c r="G73" s="266"/>
      <c r="H73" s="266"/>
      <c r="I73" s="266"/>
      <c r="J73" s="267"/>
      <c r="K73" s="33"/>
    </row>
    <row r="74" spans="1:11" s="4" customFormat="1" ht="18.75" customHeight="1">
      <c r="A74" s="1"/>
      <c r="B74" s="265"/>
      <c r="C74" s="266"/>
      <c r="D74" s="266"/>
      <c r="E74" s="266"/>
      <c r="F74" s="266"/>
      <c r="G74" s="266"/>
      <c r="H74" s="266"/>
      <c r="I74" s="266"/>
      <c r="J74" s="267"/>
      <c r="K74" s="33"/>
    </row>
    <row r="75" spans="1:11" s="4" customFormat="1" ht="18.75" customHeight="1">
      <c r="A75" s="1"/>
      <c r="B75" s="265"/>
      <c r="C75" s="266"/>
      <c r="D75" s="266"/>
      <c r="E75" s="266"/>
      <c r="F75" s="266"/>
      <c r="G75" s="266"/>
      <c r="H75" s="266"/>
      <c r="I75" s="266"/>
      <c r="J75" s="267"/>
      <c r="K75" s="33"/>
    </row>
    <row r="76" spans="1:11" s="4" customFormat="1" ht="18.75" customHeight="1">
      <c r="A76" s="1"/>
      <c r="B76" s="265"/>
      <c r="C76" s="266"/>
      <c r="D76" s="266"/>
      <c r="E76" s="266"/>
      <c r="F76" s="266"/>
      <c r="G76" s="266"/>
      <c r="H76" s="266"/>
      <c r="I76" s="266"/>
      <c r="J76" s="267"/>
      <c r="K76" s="33"/>
    </row>
    <row r="77" spans="1:11" s="4" customFormat="1" ht="18.75" customHeight="1">
      <c r="A77" s="1"/>
      <c r="B77" s="265"/>
      <c r="C77" s="266"/>
      <c r="D77" s="266"/>
      <c r="E77" s="266"/>
      <c r="F77" s="266"/>
      <c r="G77" s="266"/>
      <c r="H77" s="266"/>
      <c r="I77" s="266"/>
      <c r="J77" s="267"/>
      <c r="K77" s="33"/>
    </row>
    <row r="78" spans="1:11" s="4" customFormat="1" ht="18.75" customHeight="1">
      <c r="A78" s="1"/>
      <c r="B78" s="265"/>
      <c r="C78" s="266"/>
      <c r="D78" s="266"/>
      <c r="E78" s="266"/>
      <c r="F78" s="266"/>
      <c r="G78" s="266"/>
      <c r="H78" s="266"/>
      <c r="I78" s="266"/>
      <c r="J78" s="267"/>
      <c r="K78" s="33"/>
    </row>
    <row r="79" spans="1:11" s="4" customFormat="1" ht="18.75" customHeight="1">
      <c r="A79" s="1"/>
      <c r="B79" s="265"/>
      <c r="C79" s="266"/>
      <c r="D79" s="266"/>
      <c r="E79" s="266"/>
      <c r="F79" s="266"/>
      <c r="G79" s="266"/>
      <c r="H79" s="266"/>
      <c r="I79" s="266"/>
      <c r="J79" s="267"/>
      <c r="K79" s="33"/>
    </row>
    <row r="80" spans="1:11" s="4" customFormat="1" ht="18.75" customHeight="1">
      <c r="A80" s="1"/>
      <c r="B80" s="265"/>
      <c r="C80" s="266"/>
      <c r="D80" s="266"/>
      <c r="E80" s="266"/>
      <c r="F80" s="266"/>
      <c r="G80" s="266"/>
      <c r="H80" s="266"/>
      <c r="I80" s="266"/>
      <c r="J80" s="267"/>
      <c r="K80" s="33"/>
    </row>
    <row r="81" spans="1:11" s="4" customFormat="1" ht="18.75" customHeight="1">
      <c r="A81" s="1"/>
      <c r="B81" s="265"/>
      <c r="C81" s="266"/>
      <c r="D81" s="266"/>
      <c r="E81" s="266"/>
      <c r="F81" s="266"/>
      <c r="G81" s="266"/>
      <c r="H81" s="266"/>
      <c r="I81" s="266"/>
      <c r="J81" s="267"/>
      <c r="K81" s="33"/>
    </row>
    <row r="82" spans="1:11" s="4" customFormat="1" ht="18.75" customHeight="1">
      <c r="A82" s="1"/>
      <c r="B82" s="265"/>
      <c r="C82" s="266"/>
      <c r="D82" s="266"/>
      <c r="E82" s="266"/>
      <c r="F82" s="266"/>
      <c r="G82" s="266"/>
      <c r="H82" s="266"/>
      <c r="I82" s="266"/>
      <c r="J82" s="267"/>
      <c r="K82" s="33"/>
    </row>
    <row r="83" spans="1:11" s="4" customFormat="1" ht="18.75" customHeight="1">
      <c r="A83" s="1"/>
      <c r="B83" s="265"/>
      <c r="C83" s="266"/>
      <c r="D83" s="266"/>
      <c r="E83" s="266"/>
      <c r="F83" s="266"/>
      <c r="G83" s="266"/>
      <c r="H83" s="266"/>
      <c r="I83" s="266"/>
      <c r="J83" s="267"/>
      <c r="K83" s="33"/>
    </row>
    <row r="84" spans="1:11" s="4" customFormat="1" ht="18.75" customHeight="1">
      <c r="A84" s="1"/>
      <c r="B84" s="265"/>
      <c r="C84" s="266"/>
      <c r="D84" s="266"/>
      <c r="E84" s="266"/>
      <c r="F84" s="266"/>
      <c r="G84" s="266"/>
      <c r="H84" s="266"/>
      <c r="I84" s="266"/>
      <c r="J84" s="267"/>
      <c r="K84" s="33"/>
    </row>
    <row r="85" spans="1:11" ht="18.75" customHeight="1">
      <c r="A85" s="37"/>
      <c r="B85" s="265"/>
      <c r="C85" s="266"/>
      <c r="D85" s="266"/>
      <c r="E85" s="266"/>
      <c r="F85" s="266"/>
      <c r="G85" s="266"/>
      <c r="H85" s="266"/>
      <c r="I85" s="266"/>
      <c r="J85" s="267"/>
      <c r="K85" s="33"/>
    </row>
    <row r="86" spans="1:11" ht="18.75" customHeight="1">
      <c r="A86" s="37"/>
      <c r="B86" s="268"/>
      <c r="C86" s="269"/>
      <c r="D86" s="269"/>
      <c r="E86" s="269"/>
      <c r="F86" s="269"/>
      <c r="G86" s="269"/>
      <c r="H86" s="269"/>
      <c r="I86" s="269"/>
      <c r="J86" s="270"/>
      <c r="K86" s="33"/>
    </row>
    <row r="87" spans="1:11" ht="7.5" customHeight="1">
      <c r="A87" s="37"/>
      <c r="B87" s="37"/>
      <c r="C87" s="37"/>
      <c r="D87" s="37"/>
      <c r="E87" s="37"/>
      <c r="F87" s="37"/>
      <c r="G87" s="37"/>
      <c r="H87" s="37"/>
      <c r="I87" s="37"/>
      <c r="J87" s="37"/>
    </row>
    <row r="88" spans="1:11" s="4" customFormat="1" ht="18.75" customHeight="1">
      <c r="A88" s="1" t="s">
        <v>13</v>
      </c>
      <c r="B88" s="1" t="s">
        <v>29</v>
      </c>
      <c r="C88" s="1"/>
      <c r="D88" s="1"/>
      <c r="E88" s="1"/>
      <c r="F88" s="1"/>
      <c r="G88" s="1"/>
      <c r="H88" s="1"/>
      <c r="I88" s="1"/>
      <c r="J88" s="1"/>
      <c r="K88" s="31"/>
    </row>
    <row r="89" spans="1:11" s="4" customFormat="1" ht="18.75" customHeight="1">
      <c r="A89" s="1"/>
      <c r="B89" s="276" t="s">
        <v>217</v>
      </c>
      <c r="C89" s="273"/>
      <c r="D89" s="273"/>
      <c r="E89" s="273"/>
      <c r="F89" s="273"/>
      <c r="G89" s="273"/>
      <c r="H89" s="273"/>
      <c r="I89" s="274"/>
      <c r="J89" s="275"/>
      <c r="K89" s="31"/>
    </row>
    <row r="90" spans="1:11" s="4" customFormat="1" ht="18.75" customHeight="1">
      <c r="A90" s="1"/>
      <c r="B90" s="265"/>
      <c r="C90" s="266"/>
      <c r="D90" s="266"/>
      <c r="E90" s="266"/>
      <c r="F90" s="266"/>
      <c r="G90" s="266"/>
      <c r="H90" s="266"/>
      <c r="I90" s="266"/>
      <c r="J90" s="267"/>
      <c r="K90" s="33"/>
    </row>
    <row r="91" spans="1:11" s="4" customFormat="1" ht="18.75" customHeight="1">
      <c r="A91" s="1"/>
      <c r="B91" s="265"/>
      <c r="C91" s="266"/>
      <c r="D91" s="266"/>
      <c r="E91" s="266"/>
      <c r="F91" s="266"/>
      <c r="G91" s="266"/>
      <c r="H91" s="266"/>
      <c r="I91" s="266"/>
      <c r="J91" s="267"/>
      <c r="K91" s="33" t="str">
        <f>IF(B89="","入力してください","")</f>
        <v/>
      </c>
    </row>
    <row r="92" spans="1:11" s="4" customFormat="1" ht="18.75" customHeight="1">
      <c r="A92" s="1"/>
      <c r="B92" s="265"/>
      <c r="C92" s="266"/>
      <c r="D92" s="266"/>
      <c r="E92" s="266"/>
      <c r="F92" s="266"/>
      <c r="G92" s="266"/>
      <c r="H92" s="266"/>
      <c r="I92" s="266"/>
      <c r="J92" s="267"/>
      <c r="K92" s="33"/>
    </row>
    <row r="93" spans="1:11" s="4" customFormat="1" ht="18.75" customHeight="1">
      <c r="A93" s="1"/>
      <c r="B93" s="265"/>
      <c r="C93" s="266"/>
      <c r="D93" s="266"/>
      <c r="E93" s="266"/>
      <c r="F93" s="266"/>
      <c r="G93" s="266"/>
      <c r="H93" s="266"/>
      <c r="I93" s="266"/>
      <c r="J93" s="267"/>
      <c r="K93" s="33"/>
    </row>
    <row r="94" spans="1:11" s="4" customFormat="1" ht="18.75" customHeight="1">
      <c r="A94" s="1"/>
      <c r="B94" s="265"/>
      <c r="C94" s="266"/>
      <c r="D94" s="266"/>
      <c r="E94" s="266"/>
      <c r="F94" s="266"/>
      <c r="G94" s="266"/>
      <c r="H94" s="266"/>
      <c r="I94" s="266"/>
      <c r="J94" s="267"/>
      <c r="K94" s="33"/>
    </row>
    <row r="95" spans="1:11" s="4" customFormat="1" ht="18.75" customHeight="1">
      <c r="A95" s="1"/>
      <c r="B95" s="265"/>
      <c r="C95" s="266"/>
      <c r="D95" s="266"/>
      <c r="E95" s="266"/>
      <c r="F95" s="266"/>
      <c r="G95" s="266"/>
      <c r="H95" s="266"/>
      <c r="I95" s="266"/>
      <c r="J95" s="267"/>
      <c r="K95" s="33"/>
    </row>
    <row r="96" spans="1:11" s="4" customFormat="1" ht="18.75" customHeight="1">
      <c r="A96" s="1"/>
      <c r="B96" s="265"/>
      <c r="C96" s="266"/>
      <c r="D96" s="266"/>
      <c r="E96" s="266"/>
      <c r="F96" s="266"/>
      <c r="G96" s="266"/>
      <c r="H96" s="266"/>
      <c r="I96" s="266"/>
      <c r="J96" s="267"/>
      <c r="K96" s="33"/>
    </row>
    <row r="97" spans="1:11" s="4" customFormat="1" ht="18.75" customHeight="1">
      <c r="A97" s="1"/>
      <c r="B97" s="265"/>
      <c r="C97" s="266"/>
      <c r="D97" s="266"/>
      <c r="E97" s="266"/>
      <c r="F97" s="266"/>
      <c r="G97" s="266"/>
      <c r="H97" s="266"/>
      <c r="I97" s="266"/>
      <c r="J97" s="267"/>
      <c r="K97" s="33"/>
    </row>
    <row r="98" spans="1:11" s="4" customFormat="1" ht="18.75" customHeight="1">
      <c r="A98" s="1"/>
      <c r="B98" s="265"/>
      <c r="C98" s="266"/>
      <c r="D98" s="266"/>
      <c r="E98" s="266"/>
      <c r="F98" s="266"/>
      <c r="G98" s="266"/>
      <c r="H98" s="266"/>
      <c r="I98" s="266"/>
      <c r="J98" s="267"/>
      <c r="K98" s="33"/>
    </row>
    <row r="99" spans="1:11" s="4" customFormat="1" ht="18.75" customHeight="1">
      <c r="A99" s="1"/>
      <c r="B99" s="265"/>
      <c r="C99" s="266"/>
      <c r="D99" s="266"/>
      <c r="E99" s="266"/>
      <c r="F99" s="266"/>
      <c r="G99" s="266"/>
      <c r="H99" s="266"/>
      <c r="I99" s="266"/>
      <c r="J99" s="267"/>
      <c r="K99" s="33"/>
    </row>
    <row r="100" spans="1:11" s="4" customFormat="1" ht="18.75" customHeight="1">
      <c r="A100" s="1"/>
      <c r="B100" s="265"/>
      <c r="C100" s="266"/>
      <c r="D100" s="266"/>
      <c r="E100" s="266"/>
      <c r="F100" s="266"/>
      <c r="G100" s="266"/>
      <c r="H100" s="266"/>
      <c r="I100" s="266"/>
      <c r="J100" s="267"/>
      <c r="K100" s="33"/>
    </row>
    <row r="101" spans="1:11" s="4" customFormat="1" ht="18.75" customHeight="1">
      <c r="A101" s="1"/>
      <c r="B101" s="265"/>
      <c r="C101" s="266"/>
      <c r="D101" s="266"/>
      <c r="E101" s="266"/>
      <c r="F101" s="266"/>
      <c r="G101" s="266"/>
      <c r="H101" s="266"/>
      <c r="I101" s="266"/>
      <c r="J101" s="267"/>
      <c r="K101" s="33"/>
    </row>
    <row r="102" spans="1:11" s="4" customFormat="1" ht="18.75" customHeight="1">
      <c r="A102" s="1"/>
      <c r="B102" s="265"/>
      <c r="C102" s="266"/>
      <c r="D102" s="266"/>
      <c r="E102" s="266"/>
      <c r="F102" s="266"/>
      <c r="G102" s="266"/>
      <c r="H102" s="266"/>
      <c r="I102" s="266"/>
      <c r="J102" s="267"/>
      <c r="K102" s="33"/>
    </row>
    <row r="103" spans="1:11" s="4" customFormat="1" ht="18.75" customHeight="1">
      <c r="A103" s="1"/>
      <c r="B103" s="265"/>
      <c r="C103" s="266"/>
      <c r="D103" s="266"/>
      <c r="E103" s="266"/>
      <c r="F103" s="266"/>
      <c r="G103" s="266"/>
      <c r="H103" s="266"/>
      <c r="I103" s="266"/>
      <c r="J103" s="267"/>
      <c r="K103" s="33"/>
    </row>
    <row r="104" spans="1:11" s="4" customFormat="1" ht="18.75" customHeight="1">
      <c r="A104" s="1"/>
      <c r="B104" s="265"/>
      <c r="C104" s="266"/>
      <c r="D104" s="266"/>
      <c r="E104" s="266"/>
      <c r="F104" s="266"/>
      <c r="G104" s="266"/>
      <c r="H104" s="266"/>
      <c r="I104" s="266"/>
      <c r="J104" s="267"/>
      <c r="K104" s="33"/>
    </row>
    <row r="105" spans="1:11" s="4" customFormat="1" ht="18.75" customHeight="1">
      <c r="A105" s="1"/>
      <c r="B105" s="265"/>
      <c r="C105" s="266"/>
      <c r="D105" s="266"/>
      <c r="E105" s="266"/>
      <c r="F105" s="266"/>
      <c r="G105" s="266"/>
      <c r="H105" s="266"/>
      <c r="I105" s="266"/>
      <c r="J105" s="267"/>
      <c r="K105" s="33"/>
    </row>
    <row r="106" spans="1:11" s="4" customFormat="1" ht="18.75" customHeight="1">
      <c r="A106" s="1"/>
      <c r="B106" s="265"/>
      <c r="C106" s="266"/>
      <c r="D106" s="266"/>
      <c r="E106" s="266"/>
      <c r="F106" s="266"/>
      <c r="G106" s="266"/>
      <c r="H106" s="266"/>
      <c r="I106" s="266"/>
      <c r="J106" s="267"/>
      <c r="K106" s="33"/>
    </row>
    <row r="107" spans="1:11" ht="18.75" customHeight="1">
      <c r="A107" s="37"/>
      <c r="B107" s="265"/>
      <c r="C107" s="266"/>
      <c r="D107" s="266"/>
      <c r="E107" s="266"/>
      <c r="F107" s="266"/>
      <c r="G107" s="266"/>
      <c r="H107" s="266"/>
      <c r="I107" s="266"/>
      <c r="J107" s="267"/>
      <c r="K107" s="33"/>
    </row>
    <row r="108" spans="1:11" ht="18.75" customHeight="1">
      <c r="A108" s="37"/>
      <c r="B108" s="268"/>
      <c r="C108" s="269"/>
      <c r="D108" s="269"/>
      <c r="E108" s="269"/>
      <c r="F108" s="269"/>
      <c r="G108" s="269"/>
      <c r="H108" s="269"/>
      <c r="I108" s="269"/>
      <c r="J108" s="270"/>
      <c r="K108" s="33"/>
    </row>
    <row r="109" spans="1:11" ht="7.5" customHeight="1">
      <c r="A109" s="37"/>
      <c r="B109" s="37"/>
      <c r="C109" s="37"/>
      <c r="D109" s="37"/>
      <c r="E109" s="37"/>
      <c r="F109" s="37"/>
      <c r="G109" s="37"/>
      <c r="H109" s="37"/>
      <c r="I109" s="37"/>
      <c r="J109" s="37"/>
    </row>
    <row r="110" spans="1:11" s="4" customFormat="1" ht="18.75" customHeight="1">
      <c r="A110" s="1" t="s">
        <v>55</v>
      </c>
      <c r="B110" s="284" t="s">
        <v>86</v>
      </c>
      <c r="C110" s="284"/>
      <c r="D110" s="284"/>
      <c r="E110" s="284"/>
      <c r="F110" s="284"/>
      <c r="G110" s="284"/>
      <c r="H110" s="284"/>
      <c r="I110" s="284"/>
      <c r="J110" s="284"/>
      <c r="K110" s="31"/>
    </row>
    <row r="111" spans="1:11" ht="18.75" customHeight="1">
      <c r="A111" s="37"/>
      <c r="B111" s="276" t="s">
        <v>218</v>
      </c>
      <c r="C111" s="273"/>
      <c r="D111" s="273"/>
      <c r="E111" s="273"/>
      <c r="F111" s="273"/>
      <c r="G111" s="273"/>
      <c r="H111" s="273"/>
      <c r="I111" s="274"/>
      <c r="J111" s="275"/>
    </row>
    <row r="112" spans="1:11" ht="18.75" customHeight="1">
      <c r="A112" s="37"/>
      <c r="B112" s="265"/>
      <c r="C112" s="266"/>
      <c r="D112" s="266"/>
      <c r="E112" s="266"/>
      <c r="F112" s="266"/>
      <c r="G112" s="266"/>
      <c r="H112" s="266"/>
      <c r="I112" s="266"/>
      <c r="J112" s="267"/>
      <c r="K112" s="33"/>
    </row>
    <row r="113" spans="1:11" ht="18.75" customHeight="1">
      <c r="A113" s="37"/>
      <c r="B113" s="265"/>
      <c r="C113" s="266"/>
      <c r="D113" s="266"/>
      <c r="E113" s="266"/>
      <c r="F113" s="266"/>
      <c r="G113" s="266"/>
      <c r="H113" s="266"/>
      <c r="I113" s="266"/>
      <c r="J113" s="267"/>
      <c r="K113" s="31" t="str">
        <f>IF(B111="","入力してください","")</f>
        <v/>
      </c>
    </row>
    <row r="114" spans="1:11" ht="18.75" customHeight="1">
      <c r="A114" s="37"/>
      <c r="B114" s="265"/>
      <c r="C114" s="266"/>
      <c r="D114" s="266"/>
      <c r="E114" s="266"/>
      <c r="F114" s="266"/>
      <c r="G114" s="266"/>
      <c r="H114" s="266"/>
      <c r="I114" s="266"/>
      <c r="J114" s="267"/>
    </row>
    <row r="115" spans="1:11" ht="18.75" customHeight="1">
      <c r="A115" s="37"/>
      <c r="B115" s="265"/>
      <c r="C115" s="266"/>
      <c r="D115" s="266"/>
      <c r="E115" s="266"/>
      <c r="F115" s="266"/>
      <c r="G115" s="266"/>
      <c r="H115" s="266"/>
      <c r="I115" s="266"/>
      <c r="J115" s="267"/>
    </row>
    <row r="116" spans="1:11" ht="18.75" customHeight="1">
      <c r="A116" s="37"/>
      <c r="B116" s="265"/>
      <c r="C116" s="266"/>
      <c r="D116" s="266"/>
      <c r="E116" s="266"/>
      <c r="F116" s="266"/>
      <c r="G116" s="266"/>
      <c r="H116" s="266"/>
      <c r="I116" s="266"/>
      <c r="J116" s="267"/>
    </row>
    <row r="117" spans="1:11" ht="18.75" customHeight="1">
      <c r="A117" s="37"/>
      <c r="B117" s="265"/>
      <c r="C117" s="266"/>
      <c r="D117" s="266"/>
      <c r="E117" s="266"/>
      <c r="F117" s="266"/>
      <c r="G117" s="266"/>
      <c r="H117" s="266"/>
      <c r="I117" s="266"/>
      <c r="J117" s="267"/>
    </row>
    <row r="118" spans="1:11" ht="18.75" customHeight="1">
      <c r="A118" s="37"/>
      <c r="B118" s="265"/>
      <c r="C118" s="266"/>
      <c r="D118" s="266"/>
      <c r="E118" s="266"/>
      <c r="F118" s="266"/>
      <c r="G118" s="266"/>
      <c r="H118" s="266"/>
      <c r="I118" s="266"/>
      <c r="J118" s="267"/>
    </row>
    <row r="119" spans="1:11" ht="18.75" customHeight="1">
      <c r="A119" s="37"/>
      <c r="B119" s="265"/>
      <c r="C119" s="266"/>
      <c r="D119" s="266"/>
      <c r="E119" s="266"/>
      <c r="F119" s="266"/>
      <c r="G119" s="266"/>
      <c r="H119" s="266"/>
      <c r="I119" s="266"/>
      <c r="J119" s="267"/>
    </row>
    <row r="120" spans="1:11" ht="18.75" customHeight="1">
      <c r="A120" s="37"/>
      <c r="B120" s="265"/>
      <c r="C120" s="266"/>
      <c r="D120" s="266"/>
      <c r="E120" s="266"/>
      <c r="F120" s="266"/>
      <c r="G120" s="266"/>
      <c r="H120" s="266"/>
      <c r="I120" s="266"/>
      <c r="J120" s="267"/>
    </row>
    <row r="121" spans="1:11" ht="18.75" customHeight="1">
      <c r="A121" s="37"/>
      <c r="B121" s="265"/>
      <c r="C121" s="266"/>
      <c r="D121" s="266"/>
      <c r="E121" s="266"/>
      <c r="F121" s="266"/>
      <c r="G121" s="266"/>
      <c r="H121" s="266"/>
      <c r="I121" s="266"/>
      <c r="J121" s="267"/>
    </row>
    <row r="122" spans="1:11" ht="18.75" customHeight="1">
      <c r="A122" s="37"/>
      <c r="B122" s="265"/>
      <c r="C122" s="266"/>
      <c r="D122" s="266"/>
      <c r="E122" s="266"/>
      <c r="F122" s="266"/>
      <c r="G122" s="266"/>
      <c r="H122" s="266"/>
      <c r="I122" s="266"/>
      <c r="J122" s="267"/>
    </row>
    <row r="123" spans="1:11" ht="18.75" customHeight="1">
      <c r="A123" s="37"/>
      <c r="B123" s="265"/>
      <c r="C123" s="266"/>
      <c r="D123" s="266"/>
      <c r="E123" s="266"/>
      <c r="F123" s="266"/>
      <c r="G123" s="266"/>
      <c r="H123" s="266"/>
      <c r="I123" s="266"/>
      <c r="J123" s="267"/>
    </row>
    <row r="124" spans="1:11" ht="18.75" customHeight="1">
      <c r="A124" s="37"/>
      <c r="B124" s="265"/>
      <c r="C124" s="266"/>
      <c r="D124" s="266"/>
      <c r="E124" s="266"/>
      <c r="F124" s="266"/>
      <c r="G124" s="266"/>
      <c r="H124" s="266"/>
      <c r="I124" s="266"/>
      <c r="J124" s="267"/>
    </row>
    <row r="125" spans="1:11" ht="18.75" customHeight="1">
      <c r="A125" s="37"/>
      <c r="B125" s="265"/>
      <c r="C125" s="266"/>
      <c r="D125" s="266"/>
      <c r="E125" s="266"/>
      <c r="F125" s="266"/>
      <c r="G125" s="266"/>
      <c r="H125" s="266"/>
      <c r="I125" s="266"/>
      <c r="J125" s="267"/>
    </row>
    <row r="126" spans="1:11" ht="18.75" customHeight="1">
      <c r="A126" s="37"/>
      <c r="B126" s="265"/>
      <c r="C126" s="266"/>
      <c r="D126" s="266"/>
      <c r="E126" s="266"/>
      <c r="F126" s="266"/>
      <c r="G126" s="266"/>
      <c r="H126" s="266"/>
      <c r="I126" s="266"/>
      <c r="J126" s="267"/>
    </row>
    <row r="127" spans="1:11" ht="18.75" customHeight="1">
      <c r="A127" s="37"/>
      <c r="B127" s="265"/>
      <c r="C127" s="266"/>
      <c r="D127" s="266"/>
      <c r="E127" s="266"/>
      <c r="F127" s="266"/>
      <c r="G127" s="266"/>
      <c r="H127" s="266"/>
      <c r="I127" s="266"/>
      <c r="J127" s="267"/>
    </row>
    <row r="128" spans="1:11" ht="18.75" customHeight="1">
      <c r="A128" s="37"/>
      <c r="B128" s="265"/>
      <c r="C128" s="266"/>
      <c r="D128" s="266"/>
      <c r="E128" s="266"/>
      <c r="F128" s="266"/>
      <c r="G128" s="266"/>
      <c r="H128" s="266"/>
      <c r="I128" s="266"/>
      <c r="J128" s="267"/>
    </row>
    <row r="129" spans="1:10" ht="18.75" customHeight="1">
      <c r="A129" s="37"/>
      <c r="B129" s="268"/>
      <c r="C129" s="269"/>
      <c r="D129" s="269"/>
      <c r="E129" s="269"/>
      <c r="F129" s="269"/>
      <c r="G129" s="269"/>
      <c r="H129" s="269"/>
      <c r="I129" s="269"/>
      <c r="J129" s="270"/>
    </row>
    <row r="130" spans="1:10" ht="7.5" customHeight="1">
      <c r="A130" s="37"/>
      <c r="B130" s="102"/>
      <c r="C130" s="102"/>
      <c r="D130" s="102"/>
      <c r="E130" s="102"/>
      <c r="F130" s="102"/>
      <c r="G130" s="102"/>
      <c r="H130" s="102"/>
      <c r="I130" s="102"/>
      <c r="J130" s="102"/>
    </row>
    <row r="131" spans="1:10" ht="18.75" customHeight="1">
      <c r="A131" s="37"/>
      <c r="B131" s="37"/>
      <c r="C131" s="37"/>
      <c r="D131" s="37"/>
      <c r="E131" s="37"/>
      <c r="F131" s="37"/>
      <c r="G131" s="37"/>
      <c r="H131" s="37"/>
      <c r="I131" s="37"/>
      <c r="J131" s="37"/>
    </row>
    <row r="132" spans="1:10" ht="18.75" customHeight="1">
      <c r="A132" s="37"/>
      <c r="B132" s="37"/>
      <c r="C132" s="37"/>
      <c r="D132" s="37"/>
      <c r="E132" s="37"/>
      <c r="F132" s="37"/>
      <c r="G132" s="37"/>
      <c r="H132" s="37"/>
      <c r="I132" s="37"/>
      <c r="J132" s="37"/>
    </row>
    <row r="133" spans="1:10" ht="18.75" customHeight="1">
      <c r="A133" s="37"/>
      <c r="B133" s="37"/>
      <c r="C133" s="37"/>
      <c r="D133" s="37"/>
      <c r="E133" s="37"/>
      <c r="F133" s="37"/>
      <c r="G133" s="37"/>
      <c r="H133" s="37"/>
      <c r="I133" s="37"/>
      <c r="J133" s="37"/>
    </row>
    <row r="134" spans="1:10" ht="18.75" customHeight="1">
      <c r="A134" s="37"/>
      <c r="B134" s="37"/>
      <c r="C134" s="37"/>
      <c r="D134" s="37"/>
      <c r="E134" s="37"/>
      <c r="F134" s="37"/>
      <c r="G134" s="37"/>
      <c r="H134" s="37"/>
      <c r="I134" s="37"/>
      <c r="J134" s="37"/>
    </row>
    <row r="135" spans="1:10" ht="18.75" customHeight="1">
      <c r="A135" s="37"/>
      <c r="B135" s="37"/>
      <c r="C135" s="37"/>
      <c r="D135" s="37"/>
      <c r="E135" s="37"/>
      <c r="F135" s="37"/>
      <c r="G135" s="37"/>
      <c r="H135" s="37"/>
      <c r="I135" s="37"/>
      <c r="J135" s="37"/>
    </row>
    <row r="136" spans="1:10" ht="18.75" customHeight="1">
      <c r="A136" s="37"/>
      <c r="B136" s="37"/>
      <c r="C136" s="37"/>
      <c r="D136" s="37"/>
      <c r="E136" s="37"/>
      <c r="F136" s="37"/>
      <c r="G136" s="37"/>
      <c r="H136" s="37"/>
      <c r="I136" s="37"/>
      <c r="J136" s="37"/>
    </row>
    <row r="137" spans="1:10" ht="18.75" customHeight="1">
      <c r="A137" s="37"/>
      <c r="B137" s="37"/>
      <c r="C137" s="37"/>
      <c r="D137" s="37"/>
      <c r="E137" s="37"/>
      <c r="F137" s="37"/>
      <c r="G137" s="37"/>
      <c r="H137" s="37"/>
      <c r="I137" s="37"/>
      <c r="J137" s="37"/>
    </row>
    <row r="138" spans="1:10" ht="18.75" customHeight="1">
      <c r="A138" s="37"/>
      <c r="B138" s="37"/>
      <c r="C138" s="37"/>
      <c r="D138" s="37"/>
      <c r="E138" s="37"/>
      <c r="F138" s="37"/>
      <c r="G138" s="37"/>
      <c r="H138" s="37"/>
      <c r="I138" s="37"/>
      <c r="J138" s="37"/>
    </row>
    <row r="139" spans="1:10" ht="18.75" customHeight="1">
      <c r="A139" s="37"/>
      <c r="B139" s="37"/>
      <c r="C139" s="37"/>
      <c r="D139" s="37"/>
      <c r="E139" s="37"/>
      <c r="F139" s="37"/>
      <c r="G139" s="37"/>
      <c r="H139" s="37"/>
      <c r="I139" s="37"/>
      <c r="J139" s="37"/>
    </row>
    <row r="140" spans="1:10" ht="18.75" customHeight="1">
      <c r="A140" s="37"/>
      <c r="B140" s="37"/>
      <c r="C140" s="37"/>
      <c r="D140" s="37"/>
      <c r="E140" s="37"/>
      <c r="F140" s="37"/>
      <c r="G140" s="37"/>
      <c r="H140" s="37"/>
      <c r="I140" s="37"/>
      <c r="J140" s="37"/>
    </row>
    <row r="141" spans="1:10" ht="18.75" customHeight="1">
      <c r="A141" s="37"/>
      <c r="B141" s="37"/>
      <c r="C141" s="37"/>
      <c r="D141" s="37"/>
      <c r="E141" s="37"/>
      <c r="F141" s="37"/>
      <c r="G141" s="37"/>
      <c r="H141" s="37"/>
      <c r="I141" s="37"/>
      <c r="J141" s="37"/>
    </row>
    <row r="142" spans="1:10" ht="18.75" customHeight="1">
      <c r="A142" s="37"/>
      <c r="B142" s="37"/>
      <c r="C142" s="37"/>
      <c r="D142" s="37"/>
      <c r="E142" s="37"/>
      <c r="F142" s="37"/>
      <c r="G142" s="37"/>
      <c r="H142" s="37"/>
      <c r="I142" s="37"/>
      <c r="J142" s="37"/>
    </row>
    <row r="143" spans="1:10" ht="14.25">
      <c r="A143" s="37"/>
      <c r="B143" s="37"/>
      <c r="C143" s="37"/>
      <c r="D143" s="37"/>
      <c r="E143" s="37"/>
      <c r="F143" s="37"/>
      <c r="G143" s="37"/>
      <c r="H143" s="37"/>
      <c r="I143" s="37"/>
      <c r="J143" s="37"/>
    </row>
    <row r="144" spans="1:10" ht="7.5" customHeight="1">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tabSelected="1" view="pageBreakPreview" topLeftCell="A16" zoomScale="120" zoomScaleNormal="100" zoomScaleSheetLayoutView="120" workbookViewId="0">
      <selection activeCell="M16" sqref="M16"/>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128</v>
      </c>
      <c r="J1" s="39" t="s">
        <v>77</v>
      </c>
    </row>
    <row r="2" spans="1:11" ht="18.75" customHeight="1">
      <c r="A2" s="246" t="s">
        <v>44</v>
      </c>
      <c r="B2" s="246"/>
      <c r="C2" s="246"/>
      <c r="D2" s="246"/>
      <c r="E2" s="246"/>
      <c r="F2" s="246"/>
      <c r="G2" s="246"/>
      <c r="H2" s="246"/>
      <c r="I2" s="246"/>
      <c r="J2" s="246"/>
    </row>
    <row r="3" spans="1:11" ht="7.5" customHeight="1">
      <c r="A3" s="40"/>
      <c r="B3" s="40"/>
      <c r="C3" s="40"/>
      <c r="D3" s="40"/>
      <c r="E3" s="40"/>
      <c r="F3" s="40"/>
      <c r="G3" s="40"/>
      <c r="H3" s="40"/>
      <c r="I3" s="40"/>
      <c r="J3" s="40"/>
    </row>
    <row r="4" spans="1:11" ht="18.75" customHeight="1">
      <c r="A4" s="1" t="s">
        <v>6</v>
      </c>
      <c r="B4" s="4" t="s">
        <v>43</v>
      </c>
      <c r="C4" s="37"/>
      <c r="D4" s="37"/>
      <c r="E4" s="38"/>
      <c r="F4" s="38"/>
      <c r="G4" s="38"/>
      <c r="H4" s="38"/>
      <c r="I4" s="38"/>
      <c r="J4" s="38"/>
    </row>
    <row r="5" spans="1:11" ht="18.75" customHeight="1">
      <c r="B5" s="290" t="s">
        <v>40</v>
      </c>
      <c r="C5" s="291"/>
      <c r="D5" s="292"/>
      <c r="E5" s="293" t="s">
        <v>42</v>
      </c>
      <c r="F5" s="293"/>
      <c r="G5" s="293"/>
      <c r="H5" s="293"/>
      <c r="I5" s="293"/>
      <c r="J5" s="294"/>
    </row>
    <row r="6" spans="1:11" ht="18.75" customHeight="1">
      <c r="B6" s="3" t="s">
        <v>30</v>
      </c>
      <c r="C6" s="37"/>
      <c r="D6" s="7"/>
      <c r="I6" s="38"/>
      <c r="J6" s="5"/>
    </row>
    <row r="7" spans="1:11" ht="173.25" customHeight="1">
      <c r="B7" s="6"/>
      <c r="C7" s="295" t="s">
        <v>31</v>
      </c>
      <c r="D7" s="296"/>
      <c r="E7" s="287" t="s">
        <v>219</v>
      </c>
      <c r="F7" s="288"/>
      <c r="G7" s="288"/>
      <c r="H7" s="288"/>
      <c r="I7" s="288"/>
      <c r="J7" s="289"/>
      <c r="K7" s="31" t="str">
        <f>IF(E7="","入力してください","")</f>
        <v/>
      </c>
    </row>
    <row r="8" spans="1:11" ht="249" customHeight="1">
      <c r="B8" s="6"/>
      <c r="C8" s="285" t="s">
        <v>32</v>
      </c>
      <c r="D8" s="286"/>
      <c r="E8" s="287" t="s">
        <v>206</v>
      </c>
      <c r="F8" s="288"/>
      <c r="G8" s="288"/>
      <c r="H8" s="288"/>
      <c r="I8" s="288"/>
      <c r="J8" s="289"/>
      <c r="K8" s="31" t="str">
        <f>IF(E8="","入力してください","")</f>
        <v/>
      </c>
    </row>
    <row r="9" spans="1:11" ht="268.5" customHeight="1">
      <c r="B9" s="6"/>
      <c r="C9" s="295" t="s">
        <v>33</v>
      </c>
      <c r="D9" s="296"/>
      <c r="E9" s="297" t="s">
        <v>205</v>
      </c>
      <c r="F9" s="298"/>
      <c r="G9" s="298"/>
      <c r="H9" s="298"/>
      <c r="I9" s="298"/>
      <c r="J9" s="299"/>
      <c r="K9" s="31" t="str">
        <f>IF(E9="","入力してください","")</f>
        <v/>
      </c>
    </row>
    <row r="10" spans="1:11" ht="93" customHeight="1">
      <c r="B10" s="6"/>
      <c r="C10" s="295" t="s">
        <v>34</v>
      </c>
      <c r="D10" s="296"/>
      <c r="E10" s="287" t="s">
        <v>207</v>
      </c>
      <c r="F10" s="288"/>
      <c r="G10" s="288"/>
      <c r="H10" s="288"/>
      <c r="I10" s="288"/>
      <c r="J10" s="289"/>
      <c r="K10" s="31" t="str">
        <f t="shared" ref="K10:K14" si="0">IF(E10="","入力してください","")</f>
        <v/>
      </c>
    </row>
    <row r="11" spans="1:11" ht="102.75" customHeight="1">
      <c r="B11" s="6"/>
      <c r="C11" s="295" t="s">
        <v>35</v>
      </c>
      <c r="D11" s="296"/>
      <c r="E11" s="297" t="s">
        <v>208</v>
      </c>
      <c r="F11" s="298"/>
      <c r="G11" s="298"/>
      <c r="H11" s="298"/>
      <c r="I11" s="298"/>
      <c r="J11" s="299"/>
      <c r="K11" s="31" t="str">
        <f t="shared" si="0"/>
        <v/>
      </c>
    </row>
    <row r="12" spans="1:11" ht="18.75" customHeight="1">
      <c r="B12" s="9" t="s">
        <v>36</v>
      </c>
      <c r="C12" s="28"/>
      <c r="D12" s="8"/>
      <c r="E12" s="120"/>
      <c r="F12" s="120"/>
      <c r="G12" s="120"/>
      <c r="H12" s="120"/>
      <c r="I12" s="120"/>
      <c r="J12" s="121"/>
    </row>
    <row r="13" spans="1:11" ht="90.75" customHeight="1">
      <c r="B13" s="6"/>
      <c r="C13" s="295" t="s">
        <v>37</v>
      </c>
      <c r="D13" s="296"/>
      <c r="E13" s="298" t="s">
        <v>209</v>
      </c>
      <c r="F13" s="298"/>
      <c r="G13" s="298"/>
      <c r="H13" s="298"/>
      <c r="I13" s="298"/>
      <c r="J13" s="299"/>
      <c r="K13" s="31" t="str">
        <f t="shared" si="0"/>
        <v/>
      </c>
    </row>
    <row r="14" spans="1:11" ht="114" customHeight="1">
      <c r="B14" s="6"/>
      <c r="C14" s="295" t="s">
        <v>38</v>
      </c>
      <c r="D14" s="296"/>
      <c r="E14" s="298" t="s">
        <v>210</v>
      </c>
      <c r="F14" s="298"/>
      <c r="G14" s="298"/>
      <c r="H14" s="298"/>
      <c r="I14" s="298"/>
      <c r="J14" s="299"/>
      <c r="K14" s="31" t="str">
        <f t="shared" si="0"/>
        <v/>
      </c>
    </row>
    <row r="15" spans="1:11" ht="115.5" customHeight="1">
      <c r="B15" s="306" t="s">
        <v>39</v>
      </c>
      <c r="C15" s="307"/>
      <c r="D15" s="296"/>
      <c r="E15" s="298" t="s">
        <v>211</v>
      </c>
      <c r="F15" s="298"/>
      <c r="G15" s="298"/>
      <c r="H15" s="298"/>
      <c r="I15" s="298"/>
      <c r="J15" s="299"/>
      <c r="K15" s="31" t="str">
        <f>IF(E15="","入力してください","")</f>
        <v/>
      </c>
    </row>
    <row r="16" spans="1:11" ht="360" customHeight="1">
      <c r="A16" s="31"/>
      <c r="B16" s="300" t="s">
        <v>68</v>
      </c>
      <c r="C16" s="301"/>
      <c r="D16" s="302"/>
      <c r="E16" s="282" t="s">
        <v>212</v>
      </c>
      <c r="F16" s="282"/>
      <c r="G16" s="282"/>
      <c r="H16" s="282"/>
      <c r="I16" s="282"/>
      <c r="J16" s="283"/>
      <c r="K16" s="31" t="str">
        <f>IF(E16="","入力してください","")</f>
        <v/>
      </c>
    </row>
    <row r="17" spans="1:11" ht="7.5" customHeight="1">
      <c r="B17" s="37"/>
      <c r="C17" s="37"/>
      <c r="D17" s="37"/>
      <c r="E17" s="38"/>
      <c r="F17" s="38"/>
      <c r="G17" s="38"/>
      <c r="H17" s="38"/>
      <c r="I17" s="38"/>
      <c r="J17" s="38"/>
    </row>
    <row r="18" spans="1:11" ht="18.75" customHeight="1">
      <c r="A18" s="1" t="s">
        <v>129</v>
      </c>
      <c r="B18" s="4"/>
      <c r="C18" s="37"/>
      <c r="D18" s="37"/>
      <c r="E18" s="38"/>
      <c r="F18" s="92"/>
      <c r="G18" s="303" t="s">
        <v>226</v>
      </c>
      <c r="H18" s="304"/>
      <c r="I18" s="304"/>
      <c r="J18" s="305"/>
      <c r="K18" s="31" t="str">
        <f>IF(G18="","入力してください","")</f>
        <v/>
      </c>
    </row>
    <row r="19" spans="1:11" ht="22.5" customHeight="1">
      <c r="B19" s="37"/>
      <c r="C19" s="37"/>
      <c r="D19" s="37"/>
      <c r="E19" s="38"/>
      <c r="F19" s="38"/>
      <c r="G19" s="38"/>
      <c r="H19" s="38"/>
      <c r="I19" s="38"/>
      <c r="J19" s="38"/>
    </row>
    <row r="20" spans="1:11" ht="22.5" customHeight="1">
      <c r="B20" s="37"/>
      <c r="C20" s="37"/>
      <c r="D20" s="37"/>
      <c r="E20" s="38"/>
      <c r="F20" s="38"/>
      <c r="G20" s="38"/>
      <c r="H20" s="38"/>
      <c r="I20" s="38"/>
      <c r="J20" s="38"/>
    </row>
    <row r="21" spans="1:11" ht="22.5" customHeight="1">
      <c r="B21" s="37"/>
      <c r="C21" s="37"/>
      <c r="D21" s="37"/>
      <c r="E21" s="38"/>
      <c r="F21" s="38"/>
      <c r="G21" s="38"/>
      <c r="H21" s="38"/>
      <c r="I21" s="38"/>
      <c r="J21" s="38"/>
    </row>
    <row r="22" spans="1:11" ht="22.5" customHeight="1">
      <c r="B22" s="37"/>
      <c r="C22" s="37"/>
      <c r="D22" s="37"/>
      <c r="E22" s="38"/>
      <c r="F22" s="38"/>
      <c r="G22" s="38"/>
      <c r="H22" s="38"/>
      <c r="I22" s="38"/>
      <c r="J22" s="38"/>
    </row>
    <row r="23" spans="1:11" ht="22.5" customHeight="1">
      <c r="B23" s="37"/>
      <c r="C23" s="37"/>
      <c r="D23" s="37"/>
      <c r="E23" s="38"/>
      <c r="F23" s="38"/>
      <c r="G23" s="38"/>
      <c r="H23" s="38"/>
      <c r="I23" s="38"/>
      <c r="J23" s="38"/>
    </row>
    <row r="24" spans="1:11" ht="22.5" customHeight="1">
      <c r="B24" s="104"/>
      <c r="C24" s="104"/>
      <c r="D24" s="104"/>
      <c r="E24" s="104"/>
      <c r="F24" s="104"/>
      <c r="G24" s="104"/>
      <c r="H24" s="104"/>
      <c r="I24" s="104"/>
      <c r="J24" s="104"/>
    </row>
    <row r="25" spans="1:11" ht="22.5" customHeight="1">
      <c r="B25" s="104"/>
      <c r="C25" s="104"/>
      <c r="D25" s="104"/>
      <c r="E25" s="104"/>
      <c r="F25" s="104"/>
      <c r="G25" s="104"/>
      <c r="H25" s="104"/>
      <c r="I25" s="104"/>
      <c r="J25" s="104"/>
    </row>
    <row r="26" spans="1:11" ht="22.5" customHeight="1">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rowBreaks count="1" manualBreakCount="1">
    <brk id="1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B5" sqref="B5:F42"/>
    </sheetView>
  </sheetViews>
  <sheetFormatPr defaultColWidth="11.375" defaultRowHeight="18.75" customHeight="1"/>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c r="E1" s="245" t="s">
        <v>7</v>
      </c>
      <c r="F1" s="245"/>
    </row>
    <row r="2" spans="1:6" ht="18.75" customHeight="1">
      <c r="A2" s="308" t="s">
        <v>130</v>
      </c>
      <c r="B2" s="308"/>
      <c r="C2" s="308"/>
      <c r="D2" s="308"/>
      <c r="E2" s="308"/>
      <c r="F2" s="308"/>
    </row>
    <row r="3" spans="1:6" ht="7.5" customHeight="1">
      <c r="A3" s="36"/>
      <c r="B3" s="36"/>
      <c r="C3" s="36"/>
      <c r="D3" s="36"/>
      <c r="E3" s="36"/>
      <c r="F3" s="36"/>
    </row>
    <row r="4" spans="1:6" ht="18.75" customHeight="1">
      <c r="A4" s="36" t="s">
        <v>6</v>
      </c>
      <c r="B4" s="4" t="s">
        <v>28</v>
      </c>
      <c r="C4" s="36"/>
      <c r="D4" s="36"/>
      <c r="E4" s="36"/>
      <c r="F4" s="36"/>
    </row>
    <row r="5" spans="1:6" ht="18.75" customHeight="1">
      <c r="A5" s="36"/>
      <c r="B5" s="309"/>
      <c r="C5" s="310"/>
      <c r="D5" s="310"/>
      <c r="E5" s="310"/>
      <c r="F5" s="311"/>
    </row>
    <row r="6" spans="1:6" ht="18.75" customHeight="1">
      <c r="A6" s="36"/>
      <c r="B6" s="312"/>
      <c r="C6" s="313"/>
      <c r="D6" s="313"/>
      <c r="E6" s="313"/>
      <c r="F6" s="314"/>
    </row>
    <row r="7" spans="1:6" ht="18.75" customHeight="1">
      <c r="A7" s="36"/>
      <c r="B7" s="312"/>
      <c r="C7" s="313"/>
      <c r="D7" s="313"/>
      <c r="E7" s="313"/>
      <c r="F7" s="314"/>
    </row>
    <row r="8" spans="1:6" ht="18.75" customHeight="1">
      <c r="A8" s="36"/>
      <c r="B8" s="312"/>
      <c r="C8" s="313"/>
      <c r="D8" s="313"/>
      <c r="E8" s="313"/>
      <c r="F8" s="314"/>
    </row>
    <row r="9" spans="1:6" ht="18.75" customHeight="1">
      <c r="A9" s="36"/>
      <c r="B9" s="312"/>
      <c r="C9" s="313"/>
      <c r="D9" s="313"/>
      <c r="E9" s="313"/>
      <c r="F9" s="314"/>
    </row>
    <row r="10" spans="1:6" ht="18.75" customHeight="1">
      <c r="A10" s="36"/>
      <c r="B10" s="312"/>
      <c r="C10" s="313"/>
      <c r="D10" s="313"/>
      <c r="E10" s="313"/>
      <c r="F10" s="314"/>
    </row>
    <row r="11" spans="1:6" ht="18.75" customHeight="1">
      <c r="A11" s="36"/>
      <c r="B11" s="312"/>
      <c r="C11" s="313"/>
      <c r="D11" s="313"/>
      <c r="E11" s="313"/>
      <c r="F11" s="314"/>
    </row>
    <row r="12" spans="1:6" ht="18.75" customHeight="1">
      <c r="A12" s="36"/>
      <c r="B12" s="312"/>
      <c r="C12" s="313"/>
      <c r="D12" s="313"/>
      <c r="E12" s="313"/>
      <c r="F12" s="314"/>
    </row>
    <row r="13" spans="1:6" ht="18.75" customHeight="1">
      <c r="A13" s="36"/>
      <c r="B13" s="312"/>
      <c r="C13" s="313"/>
      <c r="D13" s="313"/>
      <c r="E13" s="313"/>
      <c r="F13" s="314"/>
    </row>
    <row r="14" spans="1:6" ht="18.75" customHeight="1">
      <c r="A14" s="36"/>
      <c r="B14" s="312"/>
      <c r="C14" s="313"/>
      <c r="D14" s="313"/>
      <c r="E14" s="313"/>
      <c r="F14" s="314"/>
    </row>
    <row r="15" spans="1:6" ht="18.75" customHeight="1">
      <c r="A15" s="36"/>
      <c r="B15" s="312"/>
      <c r="C15" s="313"/>
      <c r="D15" s="313"/>
      <c r="E15" s="313"/>
      <c r="F15" s="314"/>
    </row>
    <row r="16" spans="1:6" ht="18.75" customHeight="1">
      <c r="A16" s="36"/>
      <c r="B16" s="312"/>
      <c r="C16" s="313"/>
      <c r="D16" s="313"/>
      <c r="E16" s="313"/>
      <c r="F16" s="314"/>
    </row>
    <row r="17" spans="1:6" ht="18.75" customHeight="1">
      <c r="A17" s="36"/>
      <c r="B17" s="312"/>
      <c r="C17" s="313"/>
      <c r="D17" s="313"/>
      <c r="E17" s="313"/>
      <c r="F17" s="314"/>
    </row>
    <row r="18" spans="1:6" ht="18.75" customHeight="1">
      <c r="A18" s="36"/>
      <c r="B18" s="312"/>
      <c r="C18" s="313"/>
      <c r="D18" s="313"/>
      <c r="E18" s="313"/>
      <c r="F18" s="314"/>
    </row>
    <row r="19" spans="1:6" ht="18.75" customHeight="1">
      <c r="A19" s="36"/>
      <c r="B19" s="312"/>
      <c r="C19" s="313"/>
      <c r="D19" s="313"/>
      <c r="E19" s="313"/>
      <c r="F19" s="314"/>
    </row>
    <row r="20" spans="1:6" ht="18.75" customHeight="1">
      <c r="A20" s="36"/>
      <c r="B20" s="312"/>
      <c r="C20" s="313"/>
      <c r="D20" s="313"/>
      <c r="E20" s="313"/>
      <c r="F20" s="314"/>
    </row>
    <row r="21" spans="1:6" ht="18.75" customHeight="1">
      <c r="A21" s="36"/>
      <c r="B21" s="312"/>
      <c r="C21" s="313"/>
      <c r="D21" s="313"/>
      <c r="E21" s="313"/>
      <c r="F21" s="314"/>
    </row>
    <row r="22" spans="1:6" ht="18.75" customHeight="1">
      <c r="A22" s="36"/>
      <c r="B22" s="312"/>
      <c r="C22" s="313"/>
      <c r="D22" s="313"/>
      <c r="E22" s="313"/>
      <c r="F22" s="314"/>
    </row>
    <row r="23" spans="1:6" ht="18.75" customHeight="1">
      <c r="A23" s="36"/>
      <c r="B23" s="312"/>
      <c r="C23" s="313"/>
      <c r="D23" s="313"/>
      <c r="E23" s="313"/>
      <c r="F23" s="314"/>
    </row>
    <row r="24" spans="1:6" ht="18.75" customHeight="1">
      <c r="A24" s="36"/>
      <c r="B24" s="312"/>
      <c r="C24" s="313"/>
      <c r="D24" s="313"/>
      <c r="E24" s="313"/>
      <c r="F24" s="314"/>
    </row>
    <row r="25" spans="1:6" ht="18.75" customHeight="1">
      <c r="A25" s="36"/>
      <c r="B25" s="312"/>
      <c r="C25" s="313"/>
      <c r="D25" s="313"/>
      <c r="E25" s="313"/>
      <c r="F25" s="314"/>
    </row>
    <row r="26" spans="1:6" ht="18.75" customHeight="1">
      <c r="A26" s="36"/>
      <c r="B26" s="312"/>
      <c r="C26" s="313"/>
      <c r="D26" s="313"/>
      <c r="E26" s="313"/>
      <c r="F26" s="314"/>
    </row>
    <row r="27" spans="1:6" ht="18.75" customHeight="1">
      <c r="A27" s="36"/>
      <c r="B27" s="312"/>
      <c r="C27" s="313"/>
      <c r="D27" s="313"/>
      <c r="E27" s="313"/>
      <c r="F27" s="314"/>
    </row>
    <row r="28" spans="1:6" ht="18.75" customHeight="1">
      <c r="A28" s="36"/>
      <c r="B28" s="312"/>
      <c r="C28" s="313"/>
      <c r="D28" s="313"/>
      <c r="E28" s="313"/>
      <c r="F28" s="314"/>
    </row>
    <row r="29" spans="1:6" ht="18.75" customHeight="1">
      <c r="A29" s="36"/>
      <c r="B29" s="312"/>
      <c r="C29" s="313"/>
      <c r="D29" s="313"/>
      <c r="E29" s="313"/>
      <c r="F29" s="314"/>
    </row>
    <row r="30" spans="1:6" ht="18.75" customHeight="1">
      <c r="A30" s="36"/>
      <c r="B30" s="312"/>
      <c r="C30" s="313"/>
      <c r="D30" s="313"/>
      <c r="E30" s="313"/>
      <c r="F30" s="314"/>
    </row>
    <row r="31" spans="1:6" ht="18.75" customHeight="1">
      <c r="A31" s="36"/>
      <c r="B31" s="312"/>
      <c r="C31" s="313"/>
      <c r="D31" s="313"/>
      <c r="E31" s="313"/>
      <c r="F31" s="314"/>
    </row>
    <row r="32" spans="1:6" ht="18.75" customHeight="1">
      <c r="A32" s="36"/>
      <c r="B32" s="312"/>
      <c r="C32" s="313"/>
      <c r="D32" s="313"/>
      <c r="E32" s="313"/>
      <c r="F32" s="314"/>
    </row>
    <row r="33" spans="1:6" ht="18.75" customHeight="1">
      <c r="A33" s="36"/>
      <c r="B33" s="312"/>
      <c r="C33" s="313"/>
      <c r="D33" s="313"/>
      <c r="E33" s="313"/>
      <c r="F33" s="314"/>
    </row>
    <row r="34" spans="1:6" ht="18.75" customHeight="1">
      <c r="A34" s="36"/>
      <c r="B34" s="312"/>
      <c r="C34" s="313"/>
      <c r="D34" s="313"/>
      <c r="E34" s="313"/>
      <c r="F34" s="314"/>
    </row>
    <row r="35" spans="1:6" ht="18.75" customHeight="1">
      <c r="A35" s="36"/>
      <c r="B35" s="312"/>
      <c r="C35" s="313"/>
      <c r="D35" s="313"/>
      <c r="E35" s="313"/>
      <c r="F35" s="314"/>
    </row>
    <row r="36" spans="1:6" ht="18.75" customHeight="1">
      <c r="A36" s="36"/>
      <c r="B36" s="312"/>
      <c r="C36" s="313"/>
      <c r="D36" s="313"/>
      <c r="E36" s="313"/>
      <c r="F36" s="314"/>
    </row>
    <row r="37" spans="1:6" ht="18.75" customHeight="1">
      <c r="A37" s="36"/>
      <c r="B37" s="312"/>
      <c r="C37" s="313"/>
      <c r="D37" s="313"/>
      <c r="E37" s="313"/>
      <c r="F37" s="314"/>
    </row>
    <row r="38" spans="1:6" ht="18.75" customHeight="1">
      <c r="A38" s="36"/>
      <c r="B38" s="312"/>
      <c r="C38" s="313"/>
      <c r="D38" s="313"/>
      <c r="E38" s="313"/>
      <c r="F38" s="314"/>
    </row>
    <row r="39" spans="1:6" ht="18.75" customHeight="1">
      <c r="A39" s="36"/>
      <c r="B39" s="312"/>
      <c r="C39" s="313"/>
      <c r="D39" s="313"/>
      <c r="E39" s="313"/>
      <c r="F39" s="314"/>
    </row>
    <row r="40" spans="1:6" ht="18.75" customHeight="1">
      <c r="A40" s="36"/>
      <c r="B40" s="312"/>
      <c r="C40" s="313"/>
      <c r="D40" s="313"/>
      <c r="E40" s="313"/>
      <c r="F40" s="314"/>
    </row>
    <row r="41" spans="1:6" ht="18.75" customHeight="1">
      <c r="A41" s="36"/>
      <c r="B41" s="312"/>
      <c r="C41" s="313"/>
      <c r="D41" s="313"/>
      <c r="E41" s="313"/>
      <c r="F41" s="314"/>
    </row>
    <row r="42" spans="1:6" ht="18.75" customHeight="1">
      <c r="A42" s="36"/>
      <c r="B42" s="315"/>
      <c r="C42" s="316"/>
      <c r="D42" s="316"/>
      <c r="E42" s="316"/>
      <c r="F42" s="317"/>
    </row>
    <row r="43" spans="1:6" ht="18.75" customHeight="1">
      <c r="A43" s="36" t="s">
        <v>10</v>
      </c>
      <c r="B43" s="4" t="s">
        <v>73</v>
      </c>
      <c r="C43" s="36"/>
      <c r="D43" s="36"/>
      <c r="E43" s="36"/>
      <c r="F43" s="36"/>
    </row>
    <row r="44" spans="1:6" ht="18.75" customHeight="1">
      <c r="A44" s="36"/>
      <c r="B44" s="309"/>
      <c r="C44" s="310"/>
      <c r="D44" s="310"/>
      <c r="E44" s="310"/>
      <c r="F44" s="311"/>
    </row>
    <row r="45" spans="1:6" ht="18.75" customHeight="1">
      <c r="A45" s="36"/>
      <c r="B45" s="312"/>
      <c r="C45" s="313"/>
      <c r="D45" s="313"/>
      <c r="E45" s="313"/>
      <c r="F45" s="314"/>
    </row>
    <row r="46" spans="1:6" ht="18.75" customHeight="1">
      <c r="A46" s="36"/>
      <c r="B46" s="312"/>
      <c r="C46" s="313"/>
      <c r="D46" s="313"/>
      <c r="E46" s="313"/>
      <c r="F46" s="314"/>
    </row>
    <row r="47" spans="1:6" ht="18.75" customHeight="1">
      <c r="A47" s="36"/>
      <c r="B47" s="312"/>
      <c r="C47" s="313"/>
      <c r="D47" s="313"/>
      <c r="E47" s="313"/>
      <c r="F47" s="314"/>
    </row>
    <row r="48" spans="1:6" ht="18.75" customHeight="1">
      <c r="A48" s="36"/>
      <c r="B48" s="312"/>
      <c r="C48" s="313"/>
      <c r="D48" s="313"/>
      <c r="E48" s="313"/>
      <c r="F48" s="314"/>
    </row>
    <row r="49" spans="1:6" ht="18.75" customHeight="1">
      <c r="A49" s="36"/>
      <c r="B49" s="312"/>
      <c r="C49" s="313"/>
      <c r="D49" s="313"/>
      <c r="E49" s="313"/>
      <c r="F49" s="314"/>
    </row>
    <row r="50" spans="1:6" ht="18.75" customHeight="1">
      <c r="A50" s="36"/>
      <c r="B50" s="312"/>
      <c r="C50" s="313"/>
      <c r="D50" s="313"/>
      <c r="E50" s="313"/>
      <c r="F50" s="314"/>
    </row>
    <row r="51" spans="1:6" ht="18.75" customHeight="1">
      <c r="A51" s="36"/>
      <c r="B51" s="312"/>
      <c r="C51" s="313"/>
      <c r="D51" s="313"/>
      <c r="E51" s="313"/>
      <c r="F51" s="314"/>
    </row>
    <row r="52" spans="1:6" ht="18.75" customHeight="1">
      <c r="A52" s="36"/>
      <c r="B52" s="312"/>
      <c r="C52" s="313"/>
      <c r="D52" s="313"/>
      <c r="E52" s="313"/>
      <c r="F52" s="314"/>
    </row>
    <row r="53" spans="1:6" ht="18.75" customHeight="1">
      <c r="A53" s="36"/>
      <c r="B53" s="312"/>
      <c r="C53" s="313"/>
      <c r="D53" s="313"/>
      <c r="E53" s="313"/>
      <c r="F53" s="314"/>
    </row>
    <row r="54" spans="1:6" ht="18.75" customHeight="1">
      <c r="A54" s="36"/>
      <c r="B54" s="312"/>
      <c r="C54" s="313"/>
      <c r="D54" s="313"/>
      <c r="E54" s="313"/>
      <c r="F54" s="314"/>
    </row>
    <row r="55" spans="1:6" ht="18.75" customHeight="1">
      <c r="A55" s="36"/>
      <c r="B55" s="312"/>
      <c r="C55" s="313"/>
      <c r="D55" s="313"/>
      <c r="E55" s="313"/>
      <c r="F55" s="314"/>
    </row>
    <row r="56" spans="1:6" ht="18.75" customHeight="1">
      <c r="A56" s="36"/>
      <c r="B56" s="312"/>
      <c r="C56" s="313"/>
      <c r="D56" s="313"/>
      <c r="E56" s="313"/>
      <c r="F56" s="314"/>
    </row>
    <row r="57" spans="1:6" ht="18.75" customHeight="1">
      <c r="A57" s="36"/>
      <c r="B57" s="312"/>
      <c r="C57" s="313"/>
      <c r="D57" s="313"/>
      <c r="E57" s="313"/>
      <c r="F57" s="314"/>
    </row>
    <row r="58" spans="1:6" ht="18.75" customHeight="1">
      <c r="A58" s="36"/>
      <c r="B58" s="312"/>
      <c r="C58" s="313"/>
      <c r="D58" s="313"/>
      <c r="E58" s="313"/>
      <c r="F58" s="314"/>
    </row>
    <row r="59" spans="1:6" ht="18.75" customHeight="1">
      <c r="A59" s="36"/>
      <c r="B59" s="312"/>
      <c r="C59" s="313"/>
      <c r="D59" s="313"/>
      <c r="E59" s="313"/>
      <c r="F59" s="314"/>
    </row>
    <row r="60" spans="1:6" ht="18.75" customHeight="1">
      <c r="A60" s="36"/>
      <c r="B60" s="312"/>
      <c r="C60" s="313"/>
      <c r="D60" s="313"/>
      <c r="E60" s="313"/>
      <c r="F60" s="314"/>
    </row>
    <row r="61" spans="1:6" ht="18.75" customHeight="1">
      <c r="A61" s="36"/>
      <c r="B61" s="312"/>
      <c r="C61" s="313"/>
      <c r="D61" s="313"/>
      <c r="E61" s="313"/>
      <c r="F61" s="314"/>
    </row>
    <row r="62" spans="1:6" ht="18.75" customHeight="1">
      <c r="A62" s="36"/>
      <c r="B62" s="312"/>
      <c r="C62" s="313"/>
      <c r="D62" s="313"/>
      <c r="E62" s="313"/>
      <c r="F62" s="314"/>
    </row>
    <row r="63" spans="1:6" ht="18.75" customHeight="1">
      <c r="A63" s="36"/>
      <c r="B63" s="312"/>
      <c r="C63" s="313"/>
      <c r="D63" s="313"/>
      <c r="E63" s="313"/>
      <c r="F63" s="314"/>
    </row>
    <row r="64" spans="1:6" ht="18.75" customHeight="1">
      <c r="A64" s="36"/>
      <c r="B64" s="312"/>
      <c r="C64" s="313"/>
      <c r="D64" s="313"/>
      <c r="E64" s="313"/>
      <c r="F64" s="314"/>
    </row>
    <row r="65" spans="1:6" ht="18.75" customHeight="1">
      <c r="A65" s="36"/>
      <c r="B65" s="312"/>
      <c r="C65" s="313"/>
      <c r="D65" s="313"/>
      <c r="E65" s="313"/>
      <c r="F65" s="314"/>
    </row>
    <row r="66" spans="1:6" ht="18.75" customHeight="1">
      <c r="A66" s="36"/>
      <c r="B66" s="312"/>
      <c r="C66" s="313"/>
      <c r="D66" s="313"/>
      <c r="E66" s="313"/>
      <c r="F66" s="314"/>
    </row>
    <row r="67" spans="1:6" ht="18.75" customHeight="1">
      <c r="A67" s="36"/>
      <c r="B67" s="312"/>
      <c r="C67" s="313"/>
      <c r="D67" s="313"/>
      <c r="E67" s="313"/>
      <c r="F67" s="314"/>
    </row>
    <row r="68" spans="1:6" ht="18.75" customHeight="1">
      <c r="A68" s="36"/>
      <c r="B68" s="312"/>
      <c r="C68" s="313"/>
      <c r="D68" s="313"/>
      <c r="E68" s="313"/>
      <c r="F68" s="314"/>
    </row>
    <row r="69" spans="1:6" ht="18.75" customHeight="1">
      <c r="A69" s="36"/>
      <c r="B69" s="312"/>
      <c r="C69" s="313"/>
      <c r="D69" s="313"/>
      <c r="E69" s="313"/>
      <c r="F69" s="314"/>
    </row>
    <row r="70" spans="1:6" ht="18.75" customHeight="1">
      <c r="A70" s="36"/>
      <c r="B70" s="312"/>
      <c r="C70" s="313"/>
      <c r="D70" s="313"/>
      <c r="E70" s="313"/>
      <c r="F70" s="314"/>
    </row>
    <row r="71" spans="1:6" ht="18.75" customHeight="1">
      <c r="A71" s="36"/>
      <c r="B71" s="312"/>
      <c r="C71" s="313"/>
      <c r="D71" s="313"/>
      <c r="E71" s="313"/>
      <c r="F71" s="314"/>
    </row>
    <row r="72" spans="1:6" ht="18.75" customHeight="1">
      <c r="A72" s="36"/>
      <c r="B72" s="312"/>
      <c r="C72" s="313"/>
      <c r="D72" s="313"/>
      <c r="E72" s="313"/>
      <c r="F72" s="314"/>
    </row>
    <row r="73" spans="1:6" ht="18.75" customHeight="1">
      <c r="A73" s="36"/>
      <c r="B73" s="312"/>
      <c r="C73" s="313"/>
      <c r="D73" s="313"/>
      <c r="E73" s="313"/>
      <c r="F73" s="314"/>
    </row>
    <row r="74" spans="1:6" ht="18.75" customHeight="1">
      <c r="A74" s="36"/>
      <c r="B74" s="312"/>
      <c r="C74" s="313"/>
      <c r="D74" s="313"/>
      <c r="E74" s="313"/>
      <c r="F74" s="314"/>
    </row>
    <row r="75" spans="1:6" ht="18.75" customHeight="1">
      <c r="A75" s="36"/>
      <c r="B75" s="312"/>
      <c r="C75" s="313"/>
      <c r="D75" s="313"/>
      <c r="E75" s="313"/>
      <c r="F75" s="314"/>
    </row>
    <row r="76" spans="1:6" ht="18.75" customHeight="1">
      <c r="A76" s="36"/>
      <c r="B76" s="312"/>
      <c r="C76" s="313"/>
      <c r="D76" s="313"/>
      <c r="E76" s="313"/>
      <c r="F76" s="314"/>
    </row>
    <row r="77" spans="1:6" ht="18.75" customHeight="1">
      <c r="A77" s="36"/>
      <c r="B77" s="312"/>
      <c r="C77" s="313"/>
      <c r="D77" s="313"/>
      <c r="E77" s="313"/>
      <c r="F77" s="314"/>
    </row>
    <row r="78" spans="1:6" ht="18.75" customHeight="1">
      <c r="A78" s="36"/>
      <c r="B78" s="312"/>
      <c r="C78" s="313"/>
      <c r="D78" s="313"/>
      <c r="E78" s="313"/>
      <c r="F78" s="314"/>
    </row>
    <row r="79" spans="1:6" ht="18.75" customHeight="1">
      <c r="A79" s="36"/>
      <c r="B79" s="312"/>
      <c r="C79" s="313"/>
      <c r="D79" s="313"/>
      <c r="E79" s="313"/>
      <c r="F79" s="314"/>
    </row>
    <row r="80" spans="1:6" ht="18.75" customHeight="1">
      <c r="A80" s="36"/>
      <c r="B80" s="312"/>
      <c r="C80" s="313"/>
      <c r="D80" s="313"/>
      <c r="E80" s="313"/>
      <c r="F80" s="314"/>
    </row>
    <row r="81" spans="1:6" ht="18.75" customHeight="1">
      <c r="A81" s="36"/>
      <c r="B81" s="312"/>
      <c r="C81" s="313"/>
      <c r="D81" s="313"/>
      <c r="E81" s="313"/>
      <c r="F81" s="314"/>
    </row>
    <row r="82" spans="1:6" ht="18.75" customHeight="1">
      <c r="A82" s="36"/>
      <c r="B82" s="312"/>
      <c r="C82" s="313"/>
      <c r="D82" s="313"/>
      <c r="E82" s="313"/>
      <c r="F82" s="314"/>
    </row>
    <row r="83" spans="1:6" ht="18.75" customHeight="1">
      <c r="A83" s="36"/>
      <c r="B83" s="315"/>
      <c r="C83" s="316"/>
      <c r="D83" s="316"/>
      <c r="E83" s="316"/>
      <c r="F83" s="317"/>
    </row>
    <row r="84" spans="1:6" ht="18.75" customHeight="1">
      <c r="A84" s="4" t="s">
        <v>11</v>
      </c>
      <c r="B84" s="4" t="s">
        <v>74</v>
      </c>
      <c r="C84" s="4"/>
      <c r="D84" s="4"/>
      <c r="E84" s="4"/>
      <c r="F84" s="4"/>
    </row>
    <row r="85" spans="1:6" ht="18.75" customHeight="1">
      <c r="A85" s="36"/>
      <c r="B85" s="309"/>
      <c r="C85" s="310"/>
      <c r="D85" s="310"/>
      <c r="E85" s="310"/>
      <c r="F85" s="311"/>
    </row>
    <row r="86" spans="1:6" ht="18.75" customHeight="1">
      <c r="A86" s="36"/>
      <c r="B86" s="312"/>
      <c r="C86" s="313"/>
      <c r="D86" s="313"/>
      <c r="E86" s="313"/>
      <c r="F86" s="314"/>
    </row>
    <row r="87" spans="1:6" ht="18.75" customHeight="1">
      <c r="A87" s="36"/>
      <c r="B87" s="312"/>
      <c r="C87" s="313"/>
      <c r="D87" s="313"/>
      <c r="E87" s="313"/>
      <c r="F87" s="314"/>
    </row>
    <row r="88" spans="1:6" ht="18.75" customHeight="1">
      <c r="A88" s="36"/>
      <c r="B88" s="312"/>
      <c r="C88" s="313"/>
      <c r="D88" s="313"/>
      <c r="E88" s="313"/>
      <c r="F88" s="314"/>
    </row>
    <row r="89" spans="1:6" ht="18.75" customHeight="1">
      <c r="A89" s="36"/>
      <c r="B89" s="312"/>
      <c r="C89" s="313"/>
      <c r="D89" s="313"/>
      <c r="E89" s="313"/>
      <c r="F89" s="314"/>
    </row>
    <row r="90" spans="1:6" ht="18.75" customHeight="1">
      <c r="A90" s="36"/>
      <c r="B90" s="312"/>
      <c r="C90" s="313"/>
      <c r="D90" s="313"/>
      <c r="E90" s="313"/>
      <c r="F90" s="314"/>
    </row>
    <row r="91" spans="1:6" ht="18.75" customHeight="1">
      <c r="A91" s="36"/>
      <c r="B91" s="312"/>
      <c r="C91" s="313"/>
      <c r="D91" s="313"/>
      <c r="E91" s="313"/>
      <c r="F91" s="314"/>
    </row>
    <row r="92" spans="1:6" ht="18.75" customHeight="1">
      <c r="A92" s="36"/>
      <c r="B92" s="312"/>
      <c r="C92" s="313"/>
      <c r="D92" s="313"/>
      <c r="E92" s="313"/>
      <c r="F92" s="314"/>
    </row>
    <row r="93" spans="1:6" ht="18.75" customHeight="1">
      <c r="A93" s="36"/>
      <c r="B93" s="312"/>
      <c r="C93" s="313"/>
      <c r="D93" s="313"/>
      <c r="E93" s="313"/>
      <c r="F93" s="314"/>
    </row>
    <row r="94" spans="1:6" ht="18.75" customHeight="1">
      <c r="A94" s="36"/>
      <c r="B94" s="312"/>
      <c r="C94" s="313"/>
      <c r="D94" s="313"/>
      <c r="E94" s="313"/>
      <c r="F94" s="314"/>
    </row>
    <row r="95" spans="1:6" ht="18.75" customHeight="1">
      <c r="A95" s="36"/>
      <c r="B95" s="312"/>
      <c r="C95" s="313"/>
      <c r="D95" s="313"/>
      <c r="E95" s="313"/>
      <c r="F95" s="314"/>
    </row>
    <row r="96" spans="1:6" ht="18.75" customHeight="1">
      <c r="A96" s="36"/>
      <c r="B96" s="312"/>
      <c r="C96" s="313"/>
      <c r="D96" s="313"/>
      <c r="E96" s="313"/>
      <c r="F96" s="314"/>
    </row>
    <row r="97" spans="1:6" ht="18.75" customHeight="1">
      <c r="A97" s="36"/>
      <c r="B97" s="312"/>
      <c r="C97" s="313"/>
      <c r="D97" s="313"/>
      <c r="E97" s="313"/>
      <c r="F97" s="314"/>
    </row>
    <row r="98" spans="1:6" ht="18.75" customHeight="1">
      <c r="A98" s="36"/>
      <c r="B98" s="312"/>
      <c r="C98" s="313"/>
      <c r="D98" s="313"/>
      <c r="E98" s="313"/>
      <c r="F98" s="314"/>
    </row>
    <row r="99" spans="1:6" ht="18.75" customHeight="1">
      <c r="A99" s="36"/>
      <c r="B99" s="312"/>
      <c r="C99" s="313"/>
      <c r="D99" s="313"/>
      <c r="E99" s="313"/>
      <c r="F99" s="314"/>
    </row>
    <row r="100" spans="1:6" ht="18.75" customHeight="1">
      <c r="A100" s="36"/>
      <c r="B100" s="312"/>
      <c r="C100" s="313"/>
      <c r="D100" s="313"/>
      <c r="E100" s="313"/>
      <c r="F100" s="314"/>
    </row>
    <row r="101" spans="1:6" ht="18.75" customHeight="1">
      <c r="A101" s="36"/>
      <c r="B101" s="312"/>
      <c r="C101" s="313"/>
      <c r="D101" s="313"/>
      <c r="E101" s="313"/>
      <c r="F101" s="314"/>
    </row>
    <row r="102" spans="1:6" ht="18.75" customHeight="1">
      <c r="A102" s="36"/>
      <c r="B102" s="312"/>
      <c r="C102" s="313"/>
      <c r="D102" s="313"/>
      <c r="E102" s="313"/>
      <c r="F102" s="314"/>
    </row>
    <row r="103" spans="1:6" ht="18.75" customHeight="1">
      <c r="A103" s="36"/>
      <c r="B103" s="312"/>
      <c r="C103" s="313"/>
      <c r="D103" s="313"/>
      <c r="E103" s="313"/>
      <c r="F103" s="314"/>
    </row>
    <row r="104" spans="1:6" ht="18.75" customHeight="1">
      <c r="A104" s="36"/>
      <c r="B104" s="312"/>
      <c r="C104" s="313"/>
      <c r="D104" s="313"/>
      <c r="E104" s="313"/>
      <c r="F104" s="314"/>
    </row>
    <row r="105" spans="1:6" ht="18.75" customHeight="1">
      <c r="A105" s="36"/>
      <c r="B105" s="312"/>
      <c r="C105" s="313"/>
      <c r="D105" s="313"/>
      <c r="E105" s="313"/>
      <c r="F105" s="314"/>
    </row>
    <row r="106" spans="1:6" ht="18.75" customHeight="1">
      <c r="A106" s="36"/>
      <c r="B106" s="312"/>
      <c r="C106" s="313"/>
      <c r="D106" s="313"/>
      <c r="E106" s="313"/>
      <c r="F106" s="314"/>
    </row>
    <row r="107" spans="1:6" ht="18.75" customHeight="1">
      <c r="A107" s="36"/>
      <c r="B107" s="312"/>
      <c r="C107" s="313"/>
      <c r="D107" s="313"/>
      <c r="E107" s="313"/>
      <c r="F107" s="314"/>
    </row>
    <row r="108" spans="1:6" ht="18.75" customHeight="1">
      <c r="A108" s="36"/>
      <c r="B108" s="312"/>
      <c r="C108" s="313"/>
      <c r="D108" s="313"/>
      <c r="E108" s="313"/>
      <c r="F108" s="314"/>
    </row>
    <row r="109" spans="1:6" ht="18.75" customHeight="1">
      <c r="A109" s="36"/>
      <c r="B109" s="312"/>
      <c r="C109" s="313"/>
      <c r="D109" s="313"/>
      <c r="E109" s="313"/>
      <c r="F109" s="314"/>
    </row>
    <row r="110" spans="1:6" ht="18.75" customHeight="1">
      <c r="A110" s="36"/>
      <c r="B110" s="312"/>
      <c r="C110" s="313"/>
      <c r="D110" s="313"/>
      <c r="E110" s="313"/>
      <c r="F110" s="314"/>
    </row>
    <row r="111" spans="1:6" ht="18.75" customHeight="1">
      <c r="A111" s="36"/>
      <c r="B111" s="312"/>
      <c r="C111" s="313"/>
      <c r="D111" s="313"/>
      <c r="E111" s="313"/>
      <c r="F111" s="314"/>
    </row>
    <row r="112" spans="1:6" ht="18.75" customHeight="1">
      <c r="A112" s="36"/>
      <c r="B112" s="312"/>
      <c r="C112" s="313"/>
      <c r="D112" s="313"/>
      <c r="E112" s="313"/>
      <c r="F112" s="314"/>
    </row>
    <row r="113" spans="1:6" ht="18.75" customHeight="1">
      <c r="A113" s="36"/>
      <c r="B113" s="312"/>
      <c r="C113" s="313"/>
      <c r="D113" s="313"/>
      <c r="E113" s="313"/>
      <c r="F113" s="314"/>
    </row>
    <row r="114" spans="1:6" ht="18.75" customHeight="1">
      <c r="A114" s="36"/>
      <c r="B114" s="312"/>
      <c r="C114" s="313"/>
      <c r="D114" s="313"/>
      <c r="E114" s="313"/>
      <c r="F114" s="314"/>
    </row>
    <row r="115" spans="1:6" ht="18.75" customHeight="1">
      <c r="A115" s="36"/>
      <c r="B115" s="312"/>
      <c r="C115" s="313"/>
      <c r="D115" s="313"/>
      <c r="E115" s="313"/>
      <c r="F115" s="314"/>
    </row>
    <row r="116" spans="1:6" ht="18.75" customHeight="1">
      <c r="A116" s="36"/>
      <c r="B116" s="312"/>
      <c r="C116" s="313"/>
      <c r="D116" s="313"/>
      <c r="E116" s="313"/>
      <c r="F116" s="314"/>
    </row>
    <row r="117" spans="1:6" ht="18.75" customHeight="1">
      <c r="A117" s="36"/>
      <c r="B117" s="312"/>
      <c r="C117" s="313"/>
      <c r="D117" s="313"/>
      <c r="E117" s="313"/>
      <c r="F117" s="314"/>
    </row>
    <row r="118" spans="1:6" ht="18.75" customHeight="1">
      <c r="A118" s="36"/>
      <c r="B118" s="312"/>
      <c r="C118" s="313"/>
      <c r="D118" s="313"/>
      <c r="E118" s="313"/>
      <c r="F118" s="314"/>
    </row>
    <row r="119" spans="1:6" ht="18.75" customHeight="1">
      <c r="A119" s="36"/>
      <c r="B119" s="312"/>
      <c r="C119" s="313"/>
      <c r="D119" s="313"/>
      <c r="E119" s="313"/>
      <c r="F119" s="314"/>
    </row>
    <row r="120" spans="1:6" ht="18.75" customHeight="1">
      <c r="A120" s="36"/>
      <c r="B120" s="312"/>
      <c r="C120" s="313"/>
      <c r="D120" s="313"/>
      <c r="E120" s="313"/>
      <c r="F120" s="314"/>
    </row>
    <row r="121" spans="1:6" ht="18.75" customHeight="1">
      <c r="A121" s="36"/>
      <c r="B121" s="312"/>
      <c r="C121" s="313"/>
      <c r="D121" s="313"/>
      <c r="E121" s="313"/>
      <c r="F121" s="314"/>
    </row>
    <row r="122" spans="1:6" ht="18.75" customHeight="1">
      <c r="A122" s="36"/>
      <c r="B122" s="312"/>
      <c r="C122" s="313"/>
      <c r="D122" s="313"/>
      <c r="E122" s="313"/>
      <c r="F122" s="314"/>
    </row>
    <row r="123" spans="1:6" ht="18.75" customHeight="1">
      <c r="A123" s="36"/>
      <c r="B123" s="312"/>
      <c r="C123" s="313"/>
      <c r="D123" s="313"/>
      <c r="E123" s="313"/>
      <c r="F123" s="314"/>
    </row>
    <row r="124" spans="1:6" ht="18.75" customHeight="1">
      <c r="A124" s="36"/>
      <c r="B124" s="315"/>
      <c r="C124" s="316"/>
      <c r="D124" s="316"/>
      <c r="E124" s="316"/>
      <c r="F124" s="317"/>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h_011942</cp:lastModifiedBy>
  <cp:lastPrinted>2022-04-21T03:41:19Z</cp:lastPrinted>
  <dcterms:created xsi:type="dcterms:W3CDTF">2011-06-14T05:32:50Z</dcterms:created>
  <dcterms:modified xsi:type="dcterms:W3CDTF">2022-07-15T01:14:24Z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