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6"/>
  <workbookPr defaultThemeVersion="124226"/>
  <mc:AlternateContent xmlns:mc="http://schemas.openxmlformats.org/markup-compatibility/2006">
    <mc:Choice Requires="x15">
      <x15ac:absPath xmlns:x15ac="http://schemas.microsoft.com/office/spreadsheetml/2010/11/ac" url="Z:\tuins-share\教務課\★数理・データサイエンス・AI教育\申請書類\富山国際大学\富山国際大学\01（富山国際大学）_リテラシー\"/>
    </mc:Choice>
  </mc:AlternateContent>
  <xr:revisionPtr revIDLastSave="0" documentId="13_ncr:1_{8DA474EB-4B99-4A78-8D2A-D3E0BDAC845B}" xr6:coauthVersionLast="36" xr6:coauthVersionMax="36" xr10:uidLastSave="{00000000-0000-0000-0000-000000000000}"/>
  <bookViews>
    <workbookView xWindow="0" yWindow="0" windowWidth="19200" windowHeight="11295" tabRatio="885" xr2:uid="{00000000-000D-0000-FFFF-FFFF00000000}"/>
  </bookViews>
  <sheets>
    <sheet name="様式１　大学等概要" sheetId="8" r:id="rId1"/>
    <sheet name="様式２　プログラムを構成する授業科目（現代社会学部）" sheetId="39" r:id="rId2"/>
    <sheet name="様式２　プログラムを構成する授業科目 (子ども育成学部)" sheetId="44" r:id="rId3"/>
    <sheet name="様式３　履修者等数の実績" sheetId="40" r:id="rId4"/>
    <sheet name="様式４　教育の質・履修者数を向上させるための体制・計画" sheetId="41" r:id="rId5"/>
    <sheet name="様式５　自己点検・評価" sheetId="42" r:id="rId6"/>
  </sheets>
  <definedNames>
    <definedName name="_xlnm._FilterDatabase" localSheetId="2" hidden="1">'様式２　プログラムを構成する授業科目 (子ども育成学部)'!#REF!</definedName>
    <definedName name="_xlnm._FilterDatabase" localSheetId="1" hidden="1">'様式２　プログラムを構成する授業科目（現代社会学部）'!#REF!</definedName>
    <definedName name="_xlnm._FilterDatabase" localSheetId="3" hidden="1">'様式３　履修者等数の実績'!#REF!</definedName>
    <definedName name="_xlnm.Print_Area" localSheetId="0">'様式１　大学等概要'!$A$1:$N$45</definedName>
    <definedName name="_xlnm.Print_Area" localSheetId="2">'様式２　プログラムを構成する授業科目 (子ども育成学部)'!$A$1:$Z$98</definedName>
    <definedName name="_xlnm.Print_Area" localSheetId="1">'様式２　プログラムを構成する授業科目（現代社会学部）'!$A$1:$Z$98</definedName>
    <definedName name="_xlnm.Print_Area" localSheetId="3">'様式３　履修者等数の実績'!$A$1:$R$30</definedName>
    <definedName name="_xlnm.Print_Area" localSheetId="4">'様式４　教育の質・履修者数を向上させるための体制・計画'!$A$1:$J$130</definedName>
    <definedName name="_xlnm.Print_Area" localSheetId="5">'様式５　自己点検・評価'!$A$1:$J$18</definedName>
  </definedNames>
  <calcPr calcId="191029"/>
</workbook>
</file>

<file path=xl/calcChain.xml><?xml version="1.0" encoding="utf-8"?>
<calcChain xmlns="http://schemas.openxmlformats.org/spreadsheetml/2006/main">
  <c r="P30" i="40" l="1"/>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O30" i="40" l="1"/>
  <c r="N30" i="40"/>
  <c r="M30" i="40"/>
  <c r="L30" i="40"/>
  <c r="K30" i="40"/>
  <c r="J30" i="40"/>
  <c r="I30" i="40"/>
  <c r="H30" i="40"/>
  <c r="G30" i="40"/>
  <c r="F30" i="40"/>
  <c r="E30" i="40"/>
  <c r="D30" i="40"/>
  <c r="I29" i="41" s="1"/>
  <c r="C30" i="40"/>
  <c r="Q29" i="40"/>
  <c r="R29" i="40" s="1"/>
  <c r="Q28" i="40"/>
  <c r="R28" i="40" s="1"/>
  <c r="Q27" i="40"/>
  <c r="R27" i="40" s="1"/>
  <c r="Q26" i="40"/>
  <c r="R26" i="40" s="1"/>
  <c r="Q25" i="40"/>
  <c r="R25" i="40" s="1"/>
  <c r="Q24" i="40"/>
  <c r="R24" i="40" s="1"/>
  <c r="Q23" i="40"/>
  <c r="R23" i="40" s="1"/>
  <c r="R22" i="40"/>
  <c r="Q22" i="40"/>
  <c r="Q21" i="40"/>
  <c r="R21" i="40" s="1"/>
  <c r="Q20" i="40"/>
  <c r="R20" i="40" s="1"/>
  <c r="Q19" i="40"/>
  <c r="R19" i="40" s="1"/>
  <c r="Q18" i="40"/>
  <c r="R18" i="40" s="1"/>
  <c r="Q17" i="40"/>
  <c r="R17" i="40" s="1"/>
  <c r="Q16" i="40"/>
  <c r="R16" i="40" s="1"/>
  <c r="Q15" i="40"/>
  <c r="R15" i="40" s="1"/>
  <c r="Q14" i="40"/>
  <c r="R14" i="40" s="1"/>
  <c r="Q13" i="40"/>
  <c r="R13" i="40" s="1"/>
  <c r="Q12" i="40"/>
  <c r="R12" i="40" s="1"/>
  <c r="Q11" i="40"/>
  <c r="R11" i="40" s="1"/>
  <c r="Q10" i="40"/>
  <c r="Q30" i="40" l="1"/>
  <c r="R30" i="40" s="1"/>
  <c r="C28" i="41" s="1"/>
  <c r="R10" i="40"/>
</calcChain>
</file>

<file path=xl/sharedStrings.xml><?xml version="1.0" encoding="utf-8"?>
<sst xmlns="http://schemas.openxmlformats.org/spreadsheetml/2006/main" count="466" uniqueCount="224">
  <si>
    <t>教員数</t>
    <rPh sb="0" eb="2">
      <t>キョウイン</t>
    </rPh>
    <rPh sb="2" eb="3">
      <t>スウ</t>
    </rPh>
    <phoneticPr fontId="4"/>
  </si>
  <si>
    <t>所属部署名</t>
    <rPh sb="0" eb="2">
      <t>ショゾク</t>
    </rPh>
    <rPh sb="2" eb="4">
      <t>ブショ</t>
    </rPh>
    <rPh sb="4" eb="5">
      <t>メイ</t>
    </rPh>
    <phoneticPr fontId="4"/>
  </si>
  <si>
    <t>担当者名</t>
    <rPh sb="0" eb="2">
      <t>タントウ</t>
    </rPh>
    <rPh sb="2" eb="3">
      <t>シャ</t>
    </rPh>
    <rPh sb="3" eb="4">
      <t>メイ</t>
    </rPh>
    <phoneticPr fontId="4"/>
  </si>
  <si>
    <t>電話番号</t>
  </si>
  <si>
    <t>E-mail</t>
  </si>
  <si>
    <t>（常勤）</t>
    <rPh sb="1" eb="3">
      <t>ジョウキン</t>
    </rPh>
    <phoneticPr fontId="4"/>
  </si>
  <si>
    <t>①</t>
    <phoneticPr fontId="4"/>
  </si>
  <si>
    <t>人</t>
    <rPh sb="0" eb="1">
      <t>ニン</t>
    </rPh>
    <phoneticPr fontId="4"/>
  </si>
  <si>
    <t>（非常勤）</t>
    <rPh sb="1" eb="4">
      <t>ヒジョウキン</t>
    </rPh>
    <phoneticPr fontId="4"/>
  </si>
  <si>
    <t>②</t>
    <phoneticPr fontId="4"/>
  </si>
  <si>
    <t>③</t>
    <phoneticPr fontId="4"/>
  </si>
  <si>
    <t>⑤</t>
    <phoneticPr fontId="4"/>
  </si>
  <si>
    <t>⑦</t>
    <phoneticPr fontId="4"/>
  </si>
  <si>
    <t>④</t>
    <phoneticPr fontId="4"/>
  </si>
  <si>
    <t>⑥</t>
    <phoneticPr fontId="4"/>
  </si>
  <si>
    <t>具体的な構成員</t>
    <rPh sb="0" eb="3">
      <t>グタイテキ</t>
    </rPh>
    <rPh sb="4" eb="7">
      <t>コウセイイン</t>
    </rPh>
    <phoneticPr fontId="4"/>
  </si>
  <si>
    <t>学校名</t>
    <rPh sb="0" eb="2">
      <t>ガッコウ</t>
    </rPh>
    <rPh sb="2" eb="3">
      <t>メイ</t>
    </rPh>
    <phoneticPr fontId="4"/>
  </si>
  <si>
    <t>１年次</t>
    <rPh sb="1" eb="2">
      <t>ネン</t>
    </rPh>
    <rPh sb="2" eb="3">
      <t>ツギ</t>
    </rPh>
    <phoneticPr fontId="4"/>
  </si>
  <si>
    <t>２年次</t>
    <rPh sb="1" eb="2">
      <t>ネン</t>
    </rPh>
    <rPh sb="2" eb="3">
      <t>ツギ</t>
    </rPh>
    <phoneticPr fontId="4"/>
  </si>
  <si>
    <t>３年次</t>
    <rPh sb="1" eb="2">
      <t>ネン</t>
    </rPh>
    <rPh sb="2" eb="3">
      <t>ツギ</t>
    </rPh>
    <phoneticPr fontId="4"/>
  </si>
  <si>
    <t>４年次</t>
    <rPh sb="1" eb="2">
      <t>ネン</t>
    </rPh>
    <rPh sb="2" eb="3">
      <t>ツギ</t>
    </rPh>
    <phoneticPr fontId="4"/>
  </si>
  <si>
    <t>人</t>
  </si>
  <si>
    <t>人</t>
    <rPh sb="0" eb="1">
      <t>ニン</t>
    </rPh>
    <phoneticPr fontId="4"/>
  </si>
  <si>
    <t>（役職名）</t>
    <rPh sb="1" eb="4">
      <t>ヤクショクメイ</t>
    </rPh>
    <phoneticPr fontId="4"/>
  </si>
  <si>
    <t>⑩</t>
    <phoneticPr fontId="4"/>
  </si>
  <si>
    <t>様式１</t>
    <rPh sb="0" eb="2">
      <t>ヨウシキ</t>
    </rPh>
    <phoneticPr fontId="4"/>
  </si>
  <si>
    <t>履修者数・履修率の向上に向けた計画</t>
    <rPh sb="5" eb="7">
      <t>リシュウ</t>
    </rPh>
    <rPh sb="7" eb="8">
      <t>リツ</t>
    </rPh>
    <phoneticPr fontId="4"/>
  </si>
  <si>
    <t>できる限り多くの学生が履修・修得できるようなサポート体制</t>
    <rPh sb="26" eb="28">
      <t>タイセイ</t>
    </rPh>
    <phoneticPr fontId="4"/>
  </si>
  <si>
    <t>学内からの視点</t>
    <rPh sb="0" eb="2">
      <t>ガクナイ</t>
    </rPh>
    <rPh sb="5" eb="7">
      <t>シテン</t>
    </rPh>
    <phoneticPr fontId="4"/>
  </si>
  <si>
    <t>プログラムの履修・修得状況</t>
    <rPh sb="6" eb="8">
      <t>リシュウ</t>
    </rPh>
    <rPh sb="9" eb="11">
      <t>シュウトク</t>
    </rPh>
    <rPh sb="11" eb="13">
      <t>ジョウキョウ</t>
    </rPh>
    <phoneticPr fontId="4"/>
  </si>
  <si>
    <t>学修成果</t>
    <rPh sb="0" eb="2">
      <t>ガクシュウ</t>
    </rPh>
    <rPh sb="2" eb="4">
      <t>セイカ</t>
    </rPh>
    <phoneticPr fontId="4"/>
  </si>
  <si>
    <t>学生アンケート等を通じた学生の内容の理解度</t>
    <rPh sb="0" eb="2">
      <t>ガクセイ</t>
    </rPh>
    <rPh sb="7" eb="8">
      <t>トウ</t>
    </rPh>
    <rPh sb="9" eb="10">
      <t>ツウ</t>
    </rPh>
    <rPh sb="12" eb="14">
      <t>ガクセイ</t>
    </rPh>
    <rPh sb="15" eb="17">
      <t>ナイヨウ</t>
    </rPh>
    <rPh sb="18" eb="21">
      <t>リカイド</t>
    </rPh>
    <phoneticPr fontId="4"/>
  </si>
  <si>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4"/>
  </si>
  <si>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4"/>
  </si>
  <si>
    <t>学外からの視点</t>
    <rPh sb="0" eb="2">
      <t>ガクガイ</t>
    </rPh>
    <rPh sb="5" eb="7">
      <t>シテン</t>
    </rPh>
    <phoneticPr fontId="4"/>
  </si>
  <si>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4"/>
  </si>
  <si>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4"/>
  </si>
  <si>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4"/>
  </si>
  <si>
    <t>自己点検・評価の視点</t>
    <rPh sb="0" eb="2">
      <t>ジコ</t>
    </rPh>
    <rPh sb="2" eb="4">
      <t>テンケン</t>
    </rPh>
    <rPh sb="5" eb="7">
      <t>ヒョウカ</t>
    </rPh>
    <rPh sb="8" eb="10">
      <t>シテン</t>
    </rPh>
    <phoneticPr fontId="4"/>
  </si>
  <si>
    <t>体制の目的</t>
    <rPh sb="0" eb="2">
      <t>タイセイ</t>
    </rPh>
    <rPh sb="3" eb="5">
      <t>モクテキ</t>
    </rPh>
    <phoneticPr fontId="4"/>
  </si>
  <si>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4"/>
  </si>
  <si>
    <t>自己点検・評価体制における意見等</t>
    <rPh sb="15" eb="16">
      <t>トウ</t>
    </rPh>
    <phoneticPr fontId="4"/>
  </si>
  <si>
    <t>自己点検・評価について</t>
    <rPh sb="0" eb="2">
      <t>ジコ</t>
    </rPh>
    <rPh sb="2" eb="4">
      <t>テンケン</t>
    </rPh>
    <rPh sb="5" eb="7">
      <t>ヒョウカ</t>
    </rPh>
    <phoneticPr fontId="4"/>
  </si>
  <si>
    <t>修了者数</t>
    <rPh sb="0" eb="3">
      <t>シュウリョウシャ</t>
    </rPh>
    <rPh sb="3" eb="4">
      <t>スウ</t>
    </rPh>
    <phoneticPr fontId="4"/>
  </si>
  <si>
    <t>履修者数</t>
    <rPh sb="0" eb="2">
      <t>リシュウ</t>
    </rPh>
    <rPh sb="2" eb="3">
      <t>シャ</t>
    </rPh>
    <rPh sb="3" eb="4">
      <t>スウ</t>
    </rPh>
    <phoneticPr fontId="4"/>
  </si>
  <si>
    <t>所在地</t>
    <phoneticPr fontId="4"/>
  </si>
  <si>
    <t>５年次</t>
    <rPh sb="1" eb="2">
      <t>ネン</t>
    </rPh>
    <rPh sb="2" eb="3">
      <t>ツギ</t>
    </rPh>
    <phoneticPr fontId="4"/>
  </si>
  <si>
    <t>６年次</t>
    <rPh sb="1" eb="2">
      <t>ネン</t>
    </rPh>
    <rPh sb="2" eb="3">
      <t>ツギ</t>
    </rPh>
    <phoneticPr fontId="4"/>
  </si>
  <si>
    <t>②</t>
    <phoneticPr fontId="4"/>
  </si>
  <si>
    <t>大学等の設置者</t>
  </si>
  <si>
    <t>⑫</t>
    <phoneticPr fontId="4"/>
  </si>
  <si>
    <t>人</t>
    <rPh sb="0" eb="1">
      <t>ニン</t>
    </rPh>
    <phoneticPr fontId="4"/>
  </si>
  <si>
    <t>総数</t>
    <rPh sb="0" eb="2">
      <t>ソウスウ</t>
    </rPh>
    <phoneticPr fontId="4"/>
  </si>
  <si>
    <t>⑧</t>
    <phoneticPr fontId="4"/>
  </si>
  <si>
    <t>⑬</t>
    <phoneticPr fontId="4"/>
  </si>
  <si>
    <t>（役職名）</t>
    <rPh sb="1" eb="4">
      <t>ヤクショクメイ</t>
    </rPh>
    <phoneticPr fontId="4"/>
  </si>
  <si>
    <t>履修率</t>
    <rPh sb="0" eb="2">
      <t>リシュウ</t>
    </rPh>
    <rPh sb="2" eb="3">
      <t>リツ</t>
    </rPh>
    <phoneticPr fontId="4"/>
  </si>
  <si>
    <t>合　計</t>
    <phoneticPr fontId="4"/>
  </si>
  <si>
    <t>⑥</t>
    <phoneticPr fontId="4"/>
  </si>
  <si>
    <t>プログラムの開設年度</t>
    <rPh sb="6" eb="8">
      <t>カイセツ</t>
    </rPh>
    <rPh sb="8" eb="10">
      <t>ネンド</t>
    </rPh>
    <phoneticPr fontId="4"/>
  </si>
  <si>
    <t>⑨</t>
    <phoneticPr fontId="4"/>
  </si>
  <si>
    <t>⑭</t>
    <phoneticPr fontId="4"/>
  </si>
  <si>
    <t>履修者数
合計</t>
    <rPh sb="0" eb="2">
      <t>リシュウ</t>
    </rPh>
    <rPh sb="2" eb="3">
      <t>シャ</t>
    </rPh>
    <rPh sb="3" eb="4">
      <t>スウ</t>
    </rPh>
    <rPh sb="5" eb="7">
      <t>ゴウケイ</t>
    </rPh>
    <phoneticPr fontId="4"/>
  </si>
  <si>
    <t>様式３</t>
    <rPh sb="0" eb="2">
      <t>ヨウシキ</t>
    </rPh>
    <phoneticPr fontId="4"/>
  </si>
  <si>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4"/>
  </si>
  <si>
    <t>学部・学科に関係なく希望する学生全員が受講可能となるような必要な体制・取組等</t>
    <rPh sb="29" eb="31">
      <t>ヒツヨウ</t>
    </rPh>
    <rPh sb="32" eb="34">
      <t>タイセイ</t>
    </rPh>
    <rPh sb="35" eb="37">
      <t>トリクミ</t>
    </rPh>
    <rPh sb="37" eb="38">
      <t>トウ</t>
    </rPh>
    <phoneticPr fontId="4"/>
  </si>
  <si>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4"/>
  </si>
  <si>
    <t>プログラムを構成する授業科目について</t>
    <phoneticPr fontId="4"/>
  </si>
  <si>
    <t>収容
定員</t>
    <rPh sb="0" eb="2">
      <t>シュウヨウ</t>
    </rPh>
    <rPh sb="3" eb="5">
      <t>テイイン</t>
    </rPh>
    <phoneticPr fontId="4"/>
  </si>
  <si>
    <t>申請する認定プログラム</t>
    <rPh sb="0" eb="2">
      <t>シンセイ</t>
    </rPh>
    <rPh sb="4" eb="6">
      <t>ニンテイ</t>
    </rPh>
    <phoneticPr fontId="4"/>
  </si>
  <si>
    <t>プログラムの授業を教えている教員数</t>
    <rPh sb="6" eb="8">
      <t>ジュギョウ</t>
    </rPh>
    <rPh sb="9" eb="10">
      <t>オシ</t>
    </rPh>
    <rPh sb="14" eb="16">
      <t>キョウイン</t>
    </rPh>
    <rPh sb="16" eb="17">
      <t>スウ</t>
    </rPh>
    <phoneticPr fontId="4"/>
  </si>
  <si>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4"/>
  </si>
  <si>
    <t>様式５</t>
    <rPh sb="0" eb="2">
      <t>ヨウシキ</t>
    </rPh>
    <phoneticPr fontId="4"/>
  </si>
  <si>
    <t>（責任者名）</t>
    <rPh sb="1" eb="4">
      <t>セキニンシャ</t>
    </rPh>
    <rPh sb="4" eb="5">
      <t>メイ</t>
    </rPh>
    <phoneticPr fontId="4"/>
  </si>
  <si>
    <t>プログラムの運営責任者</t>
    <phoneticPr fontId="4"/>
  </si>
  <si>
    <t>⑪</t>
    <phoneticPr fontId="4"/>
  </si>
  <si>
    <t>全学部・学科の入学定員</t>
    <rPh sb="0" eb="1">
      <t>ゼン</t>
    </rPh>
    <rPh sb="4" eb="6">
      <t>ガッカ</t>
    </rPh>
    <rPh sb="7" eb="9">
      <t>ニュウガク</t>
    </rPh>
    <rPh sb="9" eb="11">
      <t>テイイン</t>
    </rPh>
    <phoneticPr fontId="4"/>
  </si>
  <si>
    <t>全学部・学科の学生数（学年別）</t>
    <rPh sb="0" eb="1">
      <t>ゼン</t>
    </rPh>
    <rPh sb="4" eb="6">
      <t>ガッカ</t>
    </rPh>
    <rPh sb="7" eb="10">
      <t>ガクセイスウ</t>
    </rPh>
    <rPh sb="11" eb="13">
      <t>ガクネン</t>
    </rPh>
    <rPh sb="13" eb="14">
      <t>ベツ</t>
    </rPh>
    <phoneticPr fontId="4"/>
  </si>
  <si>
    <t>学部・学科名称</t>
    <rPh sb="0" eb="2">
      <t>ガクブ</t>
    </rPh>
    <rPh sb="3" eb="5">
      <t>ガッカ</t>
    </rPh>
    <rPh sb="5" eb="7">
      <t>メイショウ</t>
    </rPh>
    <phoneticPr fontId="4"/>
  </si>
  <si>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4"/>
  </si>
  <si>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4"/>
  </si>
  <si>
    <t>授業時間内外で学習指導、質問を受け付ける具体的な仕組み</t>
    <rPh sb="20" eb="23">
      <t>グタイテキ</t>
    </rPh>
    <phoneticPr fontId="4"/>
  </si>
  <si>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4"/>
  </si>
  <si>
    <t>入学
定員</t>
    <rPh sb="0" eb="2">
      <t>ニュウガク</t>
    </rPh>
    <rPh sb="3" eb="5">
      <t>テイイン</t>
    </rPh>
    <phoneticPr fontId="4"/>
  </si>
  <si>
    <t>申請するプログラム名称</t>
    <rPh sb="0" eb="2">
      <t>シンセイ</t>
    </rPh>
    <rPh sb="9" eb="11">
      <t>メイショウ</t>
    </rPh>
    <phoneticPr fontId="4"/>
  </si>
  <si>
    <t>③</t>
  </si>
  <si>
    <t>設置形態</t>
    <phoneticPr fontId="4"/>
  </si>
  <si>
    <t>⑮</t>
    <phoneticPr fontId="4"/>
  </si>
  <si>
    <t>プログラムの履修者数等の実績について</t>
    <phoneticPr fontId="4"/>
  </si>
  <si>
    <t>令和3年度</t>
    <rPh sb="0" eb="2">
      <t>レイワ</t>
    </rPh>
    <rPh sb="3" eb="5">
      <t>ネンド</t>
    </rPh>
    <phoneticPr fontId="4"/>
  </si>
  <si>
    <t>令和2年度</t>
    <rPh sb="0" eb="2">
      <t>レイワ</t>
    </rPh>
    <rPh sb="3" eb="5">
      <t>ネンド</t>
    </rPh>
    <phoneticPr fontId="4"/>
  </si>
  <si>
    <t>令和元年度</t>
    <rPh sb="0" eb="2">
      <t>レイワ</t>
    </rPh>
    <rPh sb="2" eb="3">
      <t>モト</t>
    </rPh>
    <rPh sb="3" eb="5">
      <t>ネンド</t>
    </rPh>
    <phoneticPr fontId="4"/>
  </si>
  <si>
    <t>平成30年度</t>
    <rPh sb="0" eb="2">
      <t>ヘイセイ</t>
    </rPh>
    <rPh sb="4" eb="6">
      <t>ネンド</t>
    </rPh>
    <phoneticPr fontId="4"/>
  </si>
  <si>
    <t>平成29年度</t>
    <rPh sb="0" eb="2">
      <t>ヘイセイ</t>
    </rPh>
    <rPh sb="4" eb="6">
      <t>ネンド</t>
    </rPh>
    <phoneticPr fontId="4"/>
  </si>
  <si>
    <t>平成28年度</t>
    <rPh sb="0" eb="2">
      <t>ヘイセイ</t>
    </rPh>
    <rPh sb="4" eb="6">
      <t>ネンド</t>
    </rPh>
    <phoneticPr fontId="4"/>
  </si>
  <si>
    <t>年度</t>
    <rPh sb="0" eb="2">
      <t>ネンド</t>
    </rPh>
    <phoneticPr fontId="4"/>
  </si>
  <si>
    <t>⑦応用基礎レベルの申請の有無</t>
    <phoneticPr fontId="4"/>
  </si>
  <si>
    <t>連絡先</t>
  </si>
  <si>
    <t>①具体的な修了要件</t>
    <phoneticPr fontId="4"/>
  </si>
  <si>
    <t>授業科目</t>
    <rPh sb="0" eb="2">
      <t>ジュギョウ</t>
    </rPh>
    <rPh sb="2" eb="4">
      <t>カモク</t>
    </rPh>
    <phoneticPr fontId="4"/>
  </si>
  <si>
    <t>開講状況</t>
    <phoneticPr fontId="4"/>
  </si>
  <si>
    <t>授業に含まれている内容・要素</t>
    <phoneticPr fontId="4"/>
  </si>
  <si>
    <t>講義内容</t>
    <rPh sb="0" eb="2">
      <t>コウギ</t>
    </rPh>
    <rPh sb="2" eb="4">
      <t>ナイヨウ</t>
    </rPh>
    <phoneticPr fontId="4"/>
  </si>
  <si>
    <t>1-1</t>
    <phoneticPr fontId="4"/>
  </si>
  <si>
    <t>2-1</t>
    <phoneticPr fontId="4"/>
  </si>
  <si>
    <t>3-1</t>
    <phoneticPr fontId="4"/>
  </si>
  <si>
    <t>1-6</t>
  </si>
  <si>
    <t>3-2</t>
    <phoneticPr fontId="4"/>
  </si>
  <si>
    <t>（１）現在進行中の社会変化（第４次産業革命、Society 5.0、データ駆動型社会等）に深く寄与しているものであり、それが自らの生活と密接に結びついている</t>
    <phoneticPr fontId="4"/>
  </si>
  <si>
    <t>（２）「社会で活用されているデータ」や「データの活用領域」は非常に広範囲であって、日常生活や社会の課題を解決する有用なツールになり得るもの</t>
    <phoneticPr fontId="4"/>
  </si>
  <si>
    <t>（３）様々なデータ利活用の現場におけるデータ利活用事例が示され、様々な適用領域（流通、製造、金融、サービス、インフラ、公共、ヘルスケア等）の知見と組み合わせることで価値を創出するもの</t>
    <phoneticPr fontId="4"/>
  </si>
  <si>
    <t>②教育プログラムの修了要件</t>
    <phoneticPr fontId="4"/>
  </si>
  <si>
    <t>年度</t>
    <rPh sb="0" eb="2">
      <t>ネンド</t>
    </rPh>
    <phoneticPr fontId="4"/>
  </si>
  <si>
    <t>　　　　　　　　　　　　　　　　　　　　　　　　　　　　　　　　　　　　　　　　　　　　　　　　　　　　　　　　　　　　　　　　　　　　　　　　　　　　　　　　　　　　　　　　　　　　　　　　　　　　　　　　　　　　　　　　　　　　　　　　　　　　　　　　　　　　　　　　　　　　　　　　　　　　　　　　　　　　　　　　　　　　　　　　　　　　　　　　　　　　　　　　　　　　　　　　　　　　　　　　　　　　　　　　　　　　　　　　　　　　　　　　　　　　　　　　　　　　　　　　　　　　　　　　　　　　　　　　　　　　　　　　　　　　　　　　　　　　　　　　　　　　　　　　　　　　　　　　　　　　　　　　　　　　　　　　　　　　　　　　　　　　　　　　　　　　　　　　　　　　　　　　　　　　　　　　　　　　　　　　　　　　　　　　　　　　　　　　　　　　　　　　　　　　　　　　　　　　　　　　　　　　　　　　　　　　　　　　　　　　　　　　　　　　　　　　　　　　　　　　　　　　　　　　　　　　　　　　　　　　　　　　　　　　　　　　　　　　　　　　　　　　　　　　　　　　　　　　　　　　　　　　　　　　　　　　　　　　　　　　　　　　　　　　　　　　　　　　　　　　　　　　　　　　　　　　　　　　　　　　　　　　　　　　　　　　　　　　　　　　　　　　　　　　　　　　　　　　　　　　　　　　　　　　　　　　　　　　　　　　　　　　　　　　　　　　　　　　　　　　　　　　　　　　　　　　　　　　　　　　　　　　　　　　　　　　　　　　　　　　　　　　　　　　　　　　　　　　　　　　　　　　　　　　　　　　　　　　　　　　　　　　　　　　　　　　　　</t>
    <phoneticPr fontId="4"/>
  </si>
  <si>
    <t>様式４</t>
    <rPh sb="0" eb="2">
      <t>ヨウシキ</t>
    </rPh>
    <phoneticPr fontId="4"/>
  </si>
  <si>
    <t>令和３年度実績</t>
    <rPh sb="0" eb="2">
      <t>レイワ</t>
    </rPh>
    <rPh sb="3" eb="5">
      <t>ネンド</t>
    </rPh>
    <rPh sb="5" eb="7">
      <t>ジッセキ</t>
    </rPh>
    <phoneticPr fontId="4"/>
  </si>
  <si>
    <t>令和４年度予定</t>
    <rPh sb="0" eb="2">
      <t>レイワ</t>
    </rPh>
    <rPh sb="3" eb="5">
      <t>ネンド</t>
    </rPh>
    <rPh sb="5" eb="7">
      <t>ヨテイ</t>
    </rPh>
    <phoneticPr fontId="4"/>
  </si>
  <si>
    <t>令和５年度予定</t>
    <rPh sb="0" eb="2">
      <t>レイワ</t>
    </rPh>
    <rPh sb="3" eb="5">
      <t>ネンド</t>
    </rPh>
    <rPh sb="5" eb="7">
      <t>ヨテイ</t>
    </rPh>
    <phoneticPr fontId="4"/>
  </si>
  <si>
    <t>令和６年度予定</t>
    <rPh sb="0" eb="2">
      <t>レイワ</t>
    </rPh>
    <rPh sb="3" eb="5">
      <t>ネンド</t>
    </rPh>
    <rPh sb="5" eb="7">
      <t>ヨテイ</t>
    </rPh>
    <phoneticPr fontId="4"/>
  </si>
  <si>
    <t>令和７年度予定</t>
    <rPh sb="0" eb="2">
      <t>レイワ</t>
    </rPh>
    <rPh sb="3" eb="5">
      <t>ネンド</t>
    </rPh>
    <rPh sb="5" eb="7">
      <t>ヨテイ</t>
    </rPh>
    <phoneticPr fontId="4"/>
  </si>
  <si>
    <t>収容定員（名）</t>
    <rPh sb="0" eb="4">
      <t>シュウヨウテイイン</t>
    </rPh>
    <rPh sb="5" eb="6">
      <t>メイ</t>
    </rPh>
    <phoneticPr fontId="4"/>
  </si>
  <si>
    <t>具体的な計画</t>
    <rPh sb="0" eb="3">
      <t>グタイテキ</t>
    </rPh>
    <rPh sb="4" eb="6">
      <t>ケイカク</t>
    </rPh>
    <phoneticPr fontId="4"/>
  </si>
  <si>
    <t>　　　　　　　　　　　　　　　　　　　　　　　　　　　　　　　　　　　　　　　　　　　　　　　　　　　　　　　　　　　　　　　　　　　　　　　　　</t>
    <phoneticPr fontId="4"/>
  </si>
  <si>
    <t>②自己点検・評価体制における意見等を公表しているアドレス</t>
    <phoneticPr fontId="4"/>
  </si>
  <si>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4"/>
  </si>
  <si>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4"/>
  </si>
  <si>
    <t>1-2</t>
    <phoneticPr fontId="4"/>
  </si>
  <si>
    <t>1-3</t>
    <phoneticPr fontId="4"/>
  </si>
  <si>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4"/>
  </si>
  <si>
    <t>1-4</t>
    <phoneticPr fontId="4"/>
  </si>
  <si>
    <t>1-5</t>
    <phoneticPr fontId="4"/>
  </si>
  <si>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4"/>
  </si>
  <si>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4"/>
  </si>
  <si>
    <t>2-2</t>
    <phoneticPr fontId="4"/>
  </si>
  <si>
    <t>2-3</t>
    <phoneticPr fontId="4"/>
  </si>
  <si>
    <t>⑧選択「４．オプション」の内容を含む授業科目</t>
    <rPh sb="13" eb="15">
      <t>ナイヨウ</t>
    </rPh>
    <rPh sb="16" eb="17">
      <t>フク</t>
    </rPh>
    <rPh sb="18" eb="20">
      <t>ジュギョウ</t>
    </rPh>
    <rPh sb="20" eb="22">
      <t>カモク</t>
    </rPh>
    <phoneticPr fontId="4"/>
  </si>
  <si>
    <t>1-6</t>
    <phoneticPr fontId="4"/>
  </si>
  <si>
    <t>（４）活用に当たっての様々な留意事項（ELSI、個人情報、データ倫理、ＡＩ社会原則等）を考慮し、情報セキュリティや情報漏洩等、データを守る上での留意事項への理解をする</t>
    <phoneticPr fontId="4"/>
  </si>
  <si>
    <t>（５）実データ・実課題（学術データ等を含む）を用いた演習など、社会での実例を題材として、「データを読む、説明する、扱う」といった数理・データサイエンス・ＡＩの基本的な活用法に関するもの</t>
    <phoneticPr fontId="4"/>
  </si>
  <si>
    <t>必修</t>
    <rPh sb="0" eb="2">
      <t>ヒッシュウ</t>
    </rPh>
    <phoneticPr fontId="4"/>
  </si>
  <si>
    <t>単位数</t>
    <rPh sb="0" eb="3">
      <t>タンイスウ</t>
    </rPh>
    <phoneticPr fontId="4"/>
  </si>
  <si>
    <t>⑨プログラムを構成する授業の内容</t>
    <phoneticPr fontId="4"/>
  </si>
  <si>
    <t>⑩プログラムの学修成果（学生等が身に付けられる能力等）</t>
    <phoneticPr fontId="4"/>
  </si>
  <si>
    <t>⑪プログラムの授業内容等を公表しているアドレス</t>
    <phoneticPr fontId="4"/>
  </si>
  <si>
    <t>②履修者・修了者の実績</t>
    <rPh sb="1" eb="3">
      <t>リシュウ</t>
    </rPh>
    <rPh sb="3" eb="4">
      <t>シャ</t>
    </rPh>
    <rPh sb="5" eb="8">
      <t>シュウリョウシャ</t>
    </rPh>
    <rPh sb="9" eb="11">
      <t>ジッセキ</t>
    </rPh>
    <phoneticPr fontId="4"/>
  </si>
  <si>
    <t>選択項目</t>
    <rPh sb="0" eb="2">
      <t>センタク</t>
    </rPh>
    <rPh sb="2" eb="4">
      <t>コウモク</t>
    </rPh>
    <phoneticPr fontId="4"/>
  </si>
  <si>
    <t>①プログラム開設年度</t>
    <rPh sb="6" eb="8">
      <t>カイセツ</t>
    </rPh>
    <rPh sb="8" eb="10">
      <t>ネンド</t>
    </rPh>
    <phoneticPr fontId="4"/>
  </si>
  <si>
    <t>富山国際大学</t>
    <rPh sb="0" eb="6">
      <t xml:space="preserve">トヤマコクサイダイガク </t>
    </rPh>
    <phoneticPr fontId="4"/>
  </si>
  <si>
    <t>私立大学</t>
  </si>
  <si>
    <t>数理・データサイエンス・AIリテラシー教育プログラム</t>
    <rPh sb="0" eb="2">
      <t xml:space="preserve">スウリ </t>
    </rPh>
    <rPh sb="19" eb="21">
      <t xml:space="preserve">キョウイク </t>
    </rPh>
    <phoneticPr fontId="4"/>
  </si>
  <si>
    <t>有</t>
  </si>
  <si>
    <t>認定教育プログラム</t>
  </si>
  <si>
    <t>学部・学科によって、修了要件は相違する</t>
  </si>
  <si>
    <t>学校法人富山国際学園</t>
    <rPh sb="0" eb="4">
      <t xml:space="preserve">ガッコウホウジン </t>
    </rPh>
    <rPh sb="4" eb="10">
      <t xml:space="preserve">トヤマコクサイガクエン </t>
    </rPh>
    <phoneticPr fontId="4"/>
  </si>
  <si>
    <t>情報科学概論</t>
    <rPh sb="0" eb="6">
      <t xml:space="preserve">ジョウホウカガクガイロン </t>
    </rPh>
    <phoneticPr fontId="4"/>
  </si>
  <si>
    <t>○</t>
  </si>
  <si>
    <t>一部開講</t>
  </si>
  <si>
    <t>https://www.tuins.ac.jp/about/disclosure/mathematical/</t>
    <phoneticPr fontId="4"/>
  </si>
  <si>
    <t>ビジネス情報演習I</t>
    <phoneticPr fontId="4"/>
  </si>
  <si>
    <t>ビジネス情報演習II</t>
    <rPh sb="0" eb="4">
      <t>ビジネ</t>
    </rPh>
    <phoneticPr fontId="4"/>
  </si>
  <si>
    <t>Society 5.0、第4次産業革命の実現に向けて、データサイエンスとはなにか、なぜ重要なのか、現在の社会における応用例、GAFA/NetFlixなどによるビッグデータの活用、テキスト解析技術や画像解析、IoTなど身近に使われている例をもとに、現代社会で起きている変化について学ぶ。（情報科学概論　第1回「社会で起きている変化」）</t>
    <rPh sb="12" eb="13">
      <t xml:space="preserve">ダイ </t>
    </rPh>
    <rPh sb="14" eb="15">
      <t xml:space="preserve">ジ </t>
    </rPh>
    <rPh sb="15" eb="19">
      <t xml:space="preserve">サンギョウカクメイ </t>
    </rPh>
    <rPh sb="20" eb="22">
      <t xml:space="preserve">ジツゲンニムケテ </t>
    </rPh>
    <rPh sb="43" eb="45">
      <t xml:space="preserve">ジュウヨウナノカ </t>
    </rPh>
    <rPh sb="49" eb="51">
      <t xml:space="preserve">ゲンザイノ </t>
    </rPh>
    <rPh sb="52" eb="54">
      <t xml:space="preserve">シャカイニオケル </t>
    </rPh>
    <rPh sb="58" eb="61">
      <t xml:space="preserve">オウヨウレイ </t>
    </rPh>
    <rPh sb="86" eb="88">
      <t xml:space="preserve">カツヨウ </t>
    </rPh>
    <rPh sb="98" eb="102">
      <t xml:space="preserve">ガゾウカイセキ </t>
    </rPh>
    <rPh sb="108" eb="110">
      <t xml:space="preserve">ミヂカニツカワレテイルレイヲ </t>
    </rPh>
    <rPh sb="123" eb="127">
      <t xml:space="preserve">ゲンダイシャカイデ </t>
    </rPh>
    <rPh sb="128" eb="129">
      <t xml:space="preserve">オキテイル </t>
    </rPh>
    <rPh sb="133" eb="135">
      <t xml:space="preserve">ヘンカニツイテ </t>
    </rPh>
    <rPh sb="139" eb="140">
      <t xml:space="preserve">マナブ </t>
    </rPh>
    <rPh sb="143" eb="149">
      <t xml:space="preserve">ジョウホウカガクガイロン </t>
    </rPh>
    <rPh sb="150" eb="151">
      <t xml:space="preserve">ダイ </t>
    </rPh>
    <rPh sb="152" eb="153">
      <t xml:space="preserve">カイ </t>
    </rPh>
    <phoneticPr fontId="4"/>
  </si>
  <si>
    <t>Excelで表データの扱い方、関数によるデータの集計・並び替え、グラフの書き方について学ぶ。また、e-statから興味のあるデータをダウンロードしてグラフを作成し、そこから読み取れることについて考察してもらう。（ビジネス情報演習II）</t>
    <rPh sb="6" eb="7">
      <t xml:space="preserve">ヒョウデータノ </t>
    </rPh>
    <rPh sb="11" eb="12">
      <t xml:space="preserve">アツカイカタ </t>
    </rPh>
    <rPh sb="15" eb="17">
      <t xml:space="preserve">カンスウニヨル </t>
    </rPh>
    <rPh sb="24" eb="26">
      <t xml:space="preserve">シュウケイ </t>
    </rPh>
    <rPh sb="27" eb="28">
      <t xml:space="preserve">ナラビカエ </t>
    </rPh>
    <rPh sb="43" eb="44">
      <t xml:space="preserve">マナブ </t>
    </rPh>
    <rPh sb="57" eb="59">
      <t xml:space="preserve">キョウミノアル </t>
    </rPh>
    <rPh sb="78" eb="80">
      <t xml:space="preserve">サクセイシ </t>
    </rPh>
    <rPh sb="86" eb="87">
      <t xml:space="preserve">ヨミトレルコトニツイテ </t>
    </rPh>
    <rPh sb="97" eb="99">
      <t xml:space="preserve">コウサツシテモラウ </t>
    </rPh>
    <phoneticPr fontId="4"/>
  </si>
  <si>
    <t>データの種類（名義尺度・順序尺度・間隔尺度・比例尺度）の違いや、代表値（平均値・中央値・最頻値）の特徴、ばらつきの重要性などについて学ぶ。また、相関関係と因果関係の違い、標本の抽出方法についても学ぶ。（情報科学概論　第13回「データリテラシー」）</t>
    <rPh sb="4" eb="6">
      <t xml:space="preserve">シュルイ </t>
    </rPh>
    <rPh sb="7" eb="11">
      <t xml:space="preserve">メイギシャクド </t>
    </rPh>
    <rPh sb="12" eb="16">
      <t xml:space="preserve">ジュンジョシャクド </t>
    </rPh>
    <rPh sb="17" eb="21">
      <t xml:space="preserve">カンカクシャクド </t>
    </rPh>
    <rPh sb="22" eb="26">
      <t xml:space="preserve">ヒレイシャクド </t>
    </rPh>
    <rPh sb="28" eb="29">
      <t xml:space="preserve">チガイヤ </t>
    </rPh>
    <rPh sb="32" eb="35">
      <t xml:space="preserve">ダイヒョウチ </t>
    </rPh>
    <rPh sb="36" eb="39">
      <t xml:space="preserve">ヘイキンチ </t>
    </rPh>
    <rPh sb="40" eb="43">
      <t xml:space="preserve">チュウオウチ </t>
    </rPh>
    <rPh sb="44" eb="47">
      <t xml:space="preserve">サイヒンチ </t>
    </rPh>
    <rPh sb="49" eb="51">
      <t xml:space="preserve">トクチョウ </t>
    </rPh>
    <rPh sb="57" eb="60">
      <t xml:space="preserve">ジュウヨウセイナドニツイテ </t>
    </rPh>
    <rPh sb="66" eb="67">
      <t xml:space="preserve">マナブ </t>
    </rPh>
    <rPh sb="72" eb="76">
      <t xml:space="preserve">ソウカンカンケイト </t>
    </rPh>
    <rPh sb="77" eb="81">
      <t xml:space="preserve">インガカンケイノチガイ </t>
    </rPh>
    <rPh sb="85" eb="87">
      <t xml:space="preserve">ヒョウホンノ </t>
    </rPh>
    <rPh sb="88" eb="92">
      <t xml:space="preserve">チュウシュツホウホウニツイテモ </t>
    </rPh>
    <rPh sb="97" eb="98">
      <t xml:space="preserve">マナブ </t>
    </rPh>
    <rPh sb="103" eb="106">
      <t xml:space="preserve">フテキセツナ </t>
    </rPh>
    <rPh sb="111" eb="112">
      <t xml:space="preserve">レイヲ </t>
    </rPh>
    <rPh sb="113" eb="114">
      <t xml:space="preserve">シメシナガラ ヨミトクサイノ チュウイテンニツイテ マナブ ジョウホウカガクカイ </t>
    </rPh>
    <phoneticPr fontId="4"/>
  </si>
  <si>
    <t>現代社会学部</t>
    <rPh sb="0" eb="6">
      <t xml:space="preserve">ゲンダイシャカイガクブ </t>
    </rPh>
    <phoneticPr fontId="4"/>
  </si>
  <si>
    <t>子ども育成学部</t>
    <rPh sb="0" eb="1">
      <t xml:space="preserve">コドモイクセイガクブ </t>
    </rPh>
    <phoneticPr fontId="4"/>
  </si>
  <si>
    <t>AIの歴史から、教師あり学習・教師なし学習・強化学習やディープラーニングを用いた手法など最新の人工知能技術について紹介する。さらに、これらの応用例として、画像認識や自動翻訳、無人店舗、自動運転等の最新技術について学ぶ。（情報科学概論　第15回「人工知能（AI）・ビッグデータ」）</t>
    <rPh sb="3" eb="5">
      <t xml:space="preserve">レキシカラ </t>
    </rPh>
    <rPh sb="8" eb="10">
      <t>キョウシアｒ</t>
    </rPh>
    <rPh sb="15" eb="17">
      <t xml:space="preserve">キョウシナシ </t>
    </rPh>
    <rPh sb="19" eb="21">
      <t xml:space="preserve">ガクシュウ </t>
    </rPh>
    <rPh sb="22" eb="26">
      <t xml:space="preserve">キョウカガクシュウ </t>
    </rPh>
    <rPh sb="37" eb="38">
      <t xml:space="preserve">モチイタシュホウナド </t>
    </rPh>
    <rPh sb="44" eb="46">
      <t xml:space="preserve">サイシンノ </t>
    </rPh>
    <rPh sb="47" eb="53">
      <t xml:space="preserve">ジンコウチノウギジュツニツイテ </t>
    </rPh>
    <rPh sb="57" eb="59">
      <t xml:space="preserve">ショウカイスル </t>
    </rPh>
    <rPh sb="77" eb="81">
      <t xml:space="preserve">ガゾウニンシキヤ </t>
    </rPh>
    <rPh sb="82" eb="86">
      <t xml:space="preserve">ジドウホンヤク </t>
    </rPh>
    <rPh sb="87" eb="91">
      <t xml:space="preserve">ムジンテンポ </t>
    </rPh>
    <rPh sb="92" eb="96">
      <t xml:space="preserve">ジドウウンテン </t>
    </rPh>
    <rPh sb="96" eb="97">
      <t xml:space="preserve">トウノ </t>
    </rPh>
    <rPh sb="98" eb="102">
      <t xml:space="preserve">サイシンギジュツヤ </t>
    </rPh>
    <rPh sb="111" eb="114">
      <t xml:space="preserve">リンリテキナモンダイ </t>
    </rPh>
    <rPh sb="120" eb="122">
      <t xml:space="preserve">ショウカイシ </t>
    </rPh>
    <rPh sb="124" eb="126">
      <t xml:space="preserve">コンゴノシャカイノアリカタニツイテ </t>
    </rPh>
    <rPh sb="137" eb="138">
      <t xml:space="preserve">マナビ ジョウホウカガクガイロ ガイロン ダイ カイ ジンコウチノウ </t>
    </rPh>
    <phoneticPr fontId="4"/>
  </si>
  <si>
    <t>非構造化データである画像・音声・動画について、どのような特徴があるのか、どのように取り扱えばよいのかについて学ぶ。（情報科学概論　第7回「画像・音声・動画メディア」）
それぞれのデータに適した可視化方法、不適切な可視化方法について学ぶ。（情報科学概論　第12回「データリテラシー」）
特化型AIと汎用AIについて説明し、フレーム問題やシンボルグラウンディング問題などから、現状では特化型AIのみが実用化されていることを学ぶ。（情報科学概論　第15回「人工知能（AI）・ビッグデータ」</t>
    <rPh sb="1" eb="7">
      <t>ｊ</t>
    </rPh>
    <rPh sb="10" eb="12">
      <t xml:space="preserve">ガゾウ </t>
    </rPh>
    <rPh sb="13" eb="15">
      <t xml:space="preserve">オンセイ </t>
    </rPh>
    <rPh sb="16" eb="18">
      <t xml:space="preserve">ドウガニツイテ </t>
    </rPh>
    <rPh sb="41" eb="42">
      <t xml:space="preserve">トリアツカエバヨイノカニツイテ </t>
    </rPh>
    <rPh sb="54" eb="55">
      <t xml:space="preserve">マナブ </t>
    </rPh>
    <rPh sb="58" eb="59">
      <t xml:space="preserve">カイ </t>
    </rPh>
    <rPh sb="73" eb="74">
      <t>_x0000__x0001__x0006_</t>
    </rPh>
    <rPh sb="87" eb="92">
      <t>_x0001_
_x0002__x0005__x000D__x0002_
_x0010_</t>
    </rPh>
    <rPh sb="93" eb="96">
      <t>_x0002__x0012_)_x0001_"6_x0001_</t>
    </rPh>
    <rPh sb="97" eb="102">
      <t>&amp;:_x0001_)I_x0001_,W_x0005_4]_x0003_</t>
    </rPh>
    <rPh sb="106" eb="107">
      <t>;a_x0005_G</t>
    </rPh>
    <rPh sb="110" eb="116">
      <t>j_x0001_Kn_x0006_</t>
    </rPh>
    <rPh sb="117" eb="118">
      <t>Pu_x0001_</t>
    </rPh>
    <rPh sb="120" eb="121">
      <t>Sx_x0001_</t>
    </rPh>
    <rPh sb="132" eb="135">
      <t>V_x0003_\_x0002_</t>
    </rPh>
    <rPh sb="138" eb="140">
      <t>a°_x0002_i´</t>
    </rPh>
    <rPh sb="176" eb="178">
      <t>_x0003_o¼_x0003_}Ç_x0001_</t>
    </rPh>
    <rPh sb="180" eb="183">
      <t>Ë_x0006_Ò_x0001_</t>
    </rPh>
    <rPh sb="188" eb="191">
      <t>Õ_x0001__x0000__x0000__x0000__x0000__x0003__x0000__x0003_令和2_x0001__x0000_</t>
    </rPh>
    <rPh sb="199" eb="200">
      <t>_x0000__x0000__x0003_耀</t>
    </rPh>
    <rPh sb="203" eb="209">
      <t>_x0003_令和2_x0001_</t>
    </rPh>
    <rPh sb="210" eb="211">
      <t>_x0018__x0005_5</t>
    </rPh>
    <rPh sb="213" eb="214">
      <t/>
    </rPh>
    <phoneticPr fontId="4"/>
  </si>
  <si>
    <t>富山国際大学数理・データサイエンス・AI教育プログラム検討委員会</t>
    <rPh sb="0" eb="6">
      <t xml:space="preserve">トヤマコクサイダイガク </t>
    </rPh>
    <rPh sb="6" eb="8">
      <t xml:space="preserve">スウリ </t>
    </rPh>
    <rPh sb="20" eb="22">
      <t xml:space="preserve">キョウイクプログラム </t>
    </rPh>
    <rPh sb="27" eb="32">
      <t xml:space="preserve">ケントウイインカイ </t>
    </rPh>
    <phoneticPr fontId="4"/>
  </si>
  <si>
    <t>佐藤　悦夫</t>
    <rPh sb="0" eb="2">
      <t xml:space="preserve">サトウ </t>
    </rPh>
    <rPh sb="3" eb="5">
      <t xml:space="preserve">エツオ </t>
    </rPh>
    <phoneticPr fontId="4"/>
  </si>
  <si>
    <t>富山国際大学自己点検評価委員会</t>
  </si>
  <si>
    <t>076-483-8002</t>
    <phoneticPr fontId="4"/>
  </si>
  <si>
    <t>kyoumu@tuins.ac.jp</t>
    <phoneticPr fontId="4"/>
  </si>
  <si>
    <r>
      <t>プログラムを改善・進化させるための体制を定める</t>
    </r>
    <r>
      <rPr>
        <sz val="12"/>
        <color theme="1"/>
        <rFont val="ＭＳ Ｐゴシック"/>
        <family val="2"/>
        <charset val="128"/>
      </rPr>
      <t>規則</t>
    </r>
    <r>
      <rPr>
        <sz val="12"/>
        <color theme="1"/>
        <rFont val="ＭＳ Ｐゴシック"/>
        <family val="3"/>
        <charset val="128"/>
        <scheme val="minor"/>
      </rPr>
      <t>名称</t>
    </r>
    <phoneticPr fontId="4"/>
  </si>
  <si>
    <t>河野　信</t>
    <rPh sb="0" eb="2">
      <t>カワノ</t>
    </rPh>
    <rPh sb="3" eb="4">
      <t>シン</t>
    </rPh>
    <phoneticPr fontId="4"/>
  </si>
  <si>
    <t>すべてのウェブページではアクセスログデータが取得されており、これを解析することでウェブページの改善や広告の表示に活用されていることを学ぶ。（情報科学概論　第5回「インターネットの仕組み」）
コンピュータで扱うデータは大きく構造化データ、非構造化データに分類され、特に構造化データについては正規化してデータベースに格納され、顧客サービスやマーケティングなどさまざまな場面で応用されることを学ぶ（情報科学概論　第7回「画像・音声・動画メディア」、第11回「これまでのデータベースとブロックチェーン」）</t>
    <rPh sb="22" eb="24">
      <t xml:space="preserve">シュトクサレテオリ </t>
    </rPh>
    <rPh sb="33" eb="35">
      <t xml:space="preserve">カイセキスルコトデ </t>
    </rPh>
    <rPh sb="50" eb="52">
      <t xml:space="preserve">コウコクノ </t>
    </rPh>
    <rPh sb="53" eb="55">
      <t xml:space="preserve">ヒョウジニ </t>
    </rPh>
    <rPh sb="56" eb="58">
      <t xml:space="preserve">カツヨウサレテイルコトヲ </t>
    </rPh>
    <rPh sb="66" eb="67">
      <t xml:space="preserve">マナブ </t>
    </rPh>
    <rPh sb="70" eb="76">
      <t>ジョウホウ</t>
    </rPh>
    <rPh sb="77" eb="78">
      <t xml:space="preserve">ダイ </t>
    </rPh>
    <rPh sb="79" eb="80">
      <t xml:space="preserve">カイ </t>
    </rPh>
    <rPh sb="102" eb="103">
      <t xml:space="preserve">アツカウデータハ </t>
    </rPh>
    <rPh sb="108" eb="109">
      <t xml:space="preserve">オオキク </t>
    </rPh>
    <rPh sb="111" eb="114">
      <t xml:space="preserve">コウゾウカデータ </t>
    </rPh>
    <rPh sb="118" eb="122">
      <t xml:space="preserve">ヒコウゾウカデータ </t>
    </rPh>
    <rPh sb="126" eb="128">
      <t xml:space="preserve">ブンルイサレ </t>
    </rPh>
    <rPh sb="131" eb="132">
      <t xml:space="preserve">トクニ </t>
    </rPh>
    <rPh sb="133" eb="136">
      <t xml:space="preserve">コウゾウカデータニツイテハ </t>
    </rPh>
    <rPh sb="144" eb="147">
      <t xml:space="preserve">セイキカサレテ </t>
    </rPh>
    <rPh sb="156" eb="158">
      <t xml:space="preserve">カクノウシ </t>
    </rPh>
    <rPh sb="161" eb="163">
      <t xml:space="preserve">コキャクサービスヤ </t>
    </rPh>
    <rPh sb="182" eb="184">
      <t xml:space="preserve">バメンデ </t>
    </rPh>
    <rPh sb="185" eb="187">
      <t xml:space="preserve">オウヨウサレルコトヲ </t>
    </rPh>
    <rPh sb="193" eb="194">
      <t xml:space="preserve">マナブ </t>
    </rPh>
    <rPh sb="196" eb="202">
      <t>ジョウホウ</t>
    </rPh>
    <rPh sb="203" eb="204">
      <t xml:space="preserve">ダイ </t>
    </rPh>
    <rPh sb="205" eb="206">
      <t xml:space="preserve">カイ </t>
    </rPh>
    <rPh sb="221" eb="222">
      <t xml:space="preserve">ダイ </t>
    </rPh>
    <rPh sb="224" eb="225">
      <t xml:space="preserve">カイ </t>
    </rPh>
    <phoneticPr fontId="4"/>
  </si>
  <si>
    <t>情報処理演習</t>
    <rPh sb="0" eb="4">
      <t>ジョウホウショリ</t>
    </rPh>
    <rPh sb="4" eb="6">
      <t>エンシュウ</t>
    </rPh>
    <phoneticPr fontId="4"/>
  </si>
  <si>
    <t>人間と情報</t>
    <rPh sb="0" eb="2">
      <t>ニンゲン</t>
    </rPh>
    <rPh sb="3" eb="5">
      <t>ジョウホウ</t>
    </rPh>
    <phoneticPr fontId="4"/>
  </si>
  <si>
    <t>データサイエンスの概要と背景、自然科学・社会科学・ビジネスでの応用、データサイエンティストとAIの概要、Society5.0の概要と背景について学ぶ。（「人間と情報」第4回）</t>
    <rPh sb="9" eb="11">
      <t>ガイヨウ</t>
    </rPh>
    <rPh sb="12" eb="14">
      <t>ハイケイ</t>
    </rPh>
    <rPh sb="15" eb="19">
      <t>シゼンカガク</t>
    </rPh>
    <rPh sb="20" eb="24">
      <t>シャカイカガク</t>
    </rPh>
    <rPh sb="31" eb="33">
      <t>オウヨウ</t>
    </rPh>
    <rPh sb="49" eb="51">
      <t>ガイヨウ</t>
    </rPh>
    <rPh sb="63" eb="65">
      <t>ガイヨウ</t>
    </rPh>
    <rPh sb="66" eb="68">
      <t>ハイケイ</t>
    </rPh>
    <rPh sb="72" eb="73">
      <t>マナ</t>
    </rPh>
    <rPh sb="77" eb="79">
      <t>ニンゲン</t>
    </rPh>
    <rPh sb="80" eb="82">
      <t>ジョウホウ</t>
    </rPh>
    <rPh sb="83" eb="84">
      <t>ダイ</t>
    </rPh>
    <rPh sb="85" eb="86">
      <t>カイ</t>
    </rPh>
    <phoneticPr fontId="4"/>
  </si>
  <si>
    <t>深層学習、深層生成モデル、強化学習、転移学習の概要、AIをめぐる透明性・説明責任・倫理などの課題、シェアリングエコノミー・レコメンデーションなどの応用動向について学ぶ。（「人間と情報」第8回）</t>
    <rPh sb="0" eb="4">
      <t>シンソウガクシュウ</t>
    </rPh>
    <rPh sb="5" eb="7">
      <t>シンソウ</t>
    </rPh>
    <rPh sb="7" eb="9">
      <t>セイセイ</t>
    </rPh>
    <rPh sb="13" eb="17">
      <t>キョウカガクシュウ</t>
    </rPh>
    <rPh sb="18" eb="22">
      <t>テンイガクシュウ</t>
    </rPh>
    <rPh sb="23" eb="25">
      <t>ガイヨウ</t>
    </rPh>
    <rPh sb="32" eb="35">
      <t>トウメイセイ</t>
    </rPh>
    <rPh sb="36" eb="38">
      <t>セツメイ</t>
    </rPh>
    <rPh sb="38" eb="40">
      <t>セキニン</t>
    </rPh>
    <rPh sb="41" eb="43">
      <t>リンリ</t>
    </rPh>
    <rPh sb="46" eb="48">
      <t>カダイ</t>
    </rPh>
    <rPh sb="73" eb="75">
      <t>オウヨウ</t>
    </rPh>
    <rPh sb="75" eb="77">
      <t>ドウコウ</t>
    </rPh>
    <rPh sb="81" eb="82">
      <t>マナ</t>
    </rPh>
    <rPh sb="86" eb="88">
      <t>ニンゲン</t>
    </rPh>
    <rPh sb="89" eb="91">
      <t>ジョウホウ</t>
    </rPh>
    <rPh sb="92" eb="93">
      <t>ダイ</t>
    </rPh>
    <rPh sb="94" eb="95">
      <t>カイ</t>
    </rPh>
    <phoneticPr fontId="4"/>
  </si>
  <si>
    <t>調査データ・観測データ・実験データ・行動ログデータ・検索ログデータ・マシンログデータなど多様なデータ元のデータ、一次データ・二次データ・メタデータ・オープンデータなど多様な所有者のデータ、構造化データと非構造化データについて学ぶ。（「人間と情報」第5回・第6回）</t>
    <rPh sb="0" eb="2">
      <t>チョウサ</t>
    </rPh>
    <rPh sb="6" eb="8">
      <t>カンソク</t>
    </rPh>
    <rPh sb="12" eb="14">
      <t>ジッケン</t>
    </rPh>
    <rPh sb="18" eb="20">
      <t>コウドウ</t>
    </rPh>
    <rPh sb="26" eb="28">
      <t>ケンサク</t>
    </rPh>
    <rPh sb="44" eb="46">
      <t>タヨウ</t>
    </rPh>
    <rPh sb="50" eb="51">
      <t>モト</t>
    </rPh>
    <rPh sb="56" eb="58">
      <t>イチジ</t>
    </rPh>
    <rPh sb="62" eb="64">
      <t>ニジ</t>
    </rPh>
    <rPh sb="83" eb="85">
      <t>タヨウ</t>
    </rPh>
    <rPh sb="86" eb="89">
      <t>ショユウシャ</t>
    </rPh>
    <rPh sb="94" eb="97">
      <t>コウゾウカ</t>
    </rPh>
    <rPh sb="101" eb="105">
      <t>ヒコウゾウカ</t>
    </rPh>
    <rPh sb="112" eb="113">
      <t>マナ</t>
    </rPh>
    <rPh sb="127" eb="128">
      <t>ダイ</t>
    </rPh>
    <rPh sb="129" eb="130">
      <t>カイ</t>
    </rPh>
    <phoneticPr fontId="4"/>
  </si>
  <si>
    <t>動画配信ビジネス、マーケティング・販売・サービス業、製造・物流業、文化活動などデータとAIの活用領域が広がりつつあること、仮説検証・知識発見・原因究明・活動代替など使われ方の面でも広がりつつあることを学ぶ。（「人間と情報」第6回）</t>
    <rPh sb="0" eb="4">
      <t>ドウガハイシン</t>
    </rPh>
    <phoneticPr fontId="4"/>
  </si>
  <si>
    <t>データの一次分析（平均、最小、最大、分散、標準偏差）と可視化、時系列分析、散布図と回帰、言語処理、画像処理と認識、音声処理、予測、グルーピング、パターン発見、最適化、シミュレーション、特化型AIと汎用AI、自動機械学習の概要について学ぶ。（「人間と情報」第7回）</t>
    <rPh sb="4" eb="8">
      <t>イチジブンセキ</t>
    </rPh>
    <rPh sb="9" eb="11">
      <t>ヘイキン</t>
    </rPh>
    <rPh sb="12" eb="14">
      <t>サイショウ</t>
    </rPh>
    <rPh sb="15" eb="17">
      <t>サイダイ</t>
    </rPh>
    <rPh sb="18" eb="20">
      <t>ブンサン</t>
    </rPh>
    <rPh sb="21" eb="25">
      <t>ヒョウジュンヘンサ</t>
    </rPh>
    <rPh sb="27" eb="30">
      <t>カシカ</t>
    </rPh>
    <rPh sb="31" eb="34">
      <t>ジケイレツ</t>
    </rPh>
    <rPh sb="34" eb="36">
      <t>ブンセキ</t>
    </rPh>
    <rPh sb="37" eb="40">
      <t>サンプズ</t>
    </rPh>
    <rPh sb="41" eb="43">
      <t>カイキ</t>
    </rPh>
    <rPh sb="44" eb="48">
      <t>ゲンゴショリ</t>
    </rPh>
    <rPh sb="49" eb="51">
      <t>ガゾウ</t>
    </rPh>
    <rPh sb="51" eb="53">
      <t>ショリ</t>
    </rPh>
    <rPh sb="54" eb="56">
      <t>ニンシキ</t>
    </rPh>
    <rPh sb="57" eb="59">
      <t>オンセイ</t>
    </rPh>
    <rPh sb="59" eb="61">
      <t>ショリ</t>
    </rPh>
    <rPh sb="62" eb="64">
      <t>ヨソク</t>
    </rPh>
    <rPh sb="76" eb="78">
      <t>ハッケン</t>
    </rPh>
    <rPh sb="79" eb="82">
      <t>サイテキカ</t>
    </rPh>
    <rPh sb="92" eb="95">
      <t>トッカガタ</t>
    </rPh>
    <rPh sb="98" eb="100">
      <t>ハンヨウ</t>
    </rPh>
    <rPh sb="103" eb="105">
      <t>ジドウ</t>
    </rPh>
    <rPh sb="105" eb="109">
      <t>キカイガクシュウ</t>
    </rPh>
    <rPh sb="110" eb="112">
      <t>ガイヨウ</t>
    </rPh>
    <rPh sb="116" eb="117">
      <t>マナ</t>
    </rPh>
    <rPh sb="121" eb="123">
      <t>ニンゲン</t>
    </rPh>
    <rPh sb="124" eb="126">
      <t>ジョウホウ</t>
    </rPh>
    <rPh sb="127" eb="128">
      <t>ダイ</t>
    </rPh>
    <rPh sb="129" eb="130">
      <t>カイ</t>
    </rPh>
    <phoneticPr fontId="4"/>
  </si>
  <si>
    <t>データサイエンスのサイクル（課題抽出と定式化、データの取得・管理・加工・分析、結果の共有と課題解決）、製造・流通・金融・サービス・公共政策・インフラ・ヘルスケアでの活用事例について学ぶ。（「人間と情報」第8回）</t>
    <rPh sb="14" eb="16">
      <t>カダイ</t>
    </rPh>
    <rPh sb="16" eb="18">
      <t>チュウシュツ</t>
    </rPh>
    <rPh sb="19" eb="22">
      <t>テイシキカ</t>
    </rPh>
    <rPh sb="27" eb="29">
      <t>シュトク</t>
    </rPh>
    <rPh sb="30" eb="32">
      <t>カンリ</t>
    </rPh>
    <rPh sb="33" eb="35">
      <t>カコウ</t>
    </rPh>
    <rPh sb="36" eb="38">
      <t>ブンセキ</t>
    </rPh>
    <rPh sb="39" eb="41">
      <t>ケッカ</t>
    </rPh>
    <rPh sb="42" eb="44">
      <t>キョウユウ</t>
    </rPh>
    <rPh sb="45" eb="47">
      <t>カダイ</t>
    </rPh>
    <rPh sb="47" eb="49">
      <t>カイケツ</t>
    </rPh>
    <rPh sb="51" eb="53">
      <t>セイゾウ</t>
    </rPh>
    <rPh sb="54" eb="56">
      <t>リュウツウ</t>
    </rPh>
    <rPh sb="57" eb="59">
      <t>キンユウ</t>
    </rPh>
    <rPh sb="65" eb="69">
      <t>コウキョウセイサク</t>
    </rPh>
    <rPh sb="82" eb="84">
      <t>カツヨウ</t>
    </rPh>
    <rPh sb="84" eb="86">
      <t>ジレイ</t>
    </rPh>
    <rPh sb="90" eb="91">
      <t>マナ</t>
    </rPh>
    <phoneticPr fontId="4"/>
  </si>
  <si>
    <t>ELSI (Ethical, Legal and Social Issues)の概念、データ取扱いの健全性に関する課題(捏造・改竄・盗用）、個人情報とプライバシーの概念、統計的差別・データバイアス・アルゴリズムバイアスの概念、データサイエンス時代の諸概念（忘れられる権利・説明に基づく同意・インフォームドコンセント・オプトイン・オプトアプト）、形成中の合意（GDPR・人間中心のAI社会原則）について学ぶ。（「人間と情報」第13回）</t>
    <rPh sb="40" eb="42">
      <t>ガイネン</t>
    </rPh>
    <rPh sb="46" eb="48">
      <t>トリアツカ</t>
    </rPh>
    <rPh sb="50" eb="53">
      <t>ケンゼンセイ</t>
    </rPh>
    <rPh sb="54" eb="55">
      <t>カン</t>
    </rPh>
    <rPh sb="57" eb="59">
      <t>カダイ</t>
    </rPh>
    <rPh sb="60" eb="62">
      <t>ネツゾウ</t>
    </rPh>
    <rPh sb="63" eb="65">
      <t>カイザン</t>
    </rPh>
    <rPh sb="66" eb="68">
      <t>トウヨウ</t>
    </rPh>
    <phoneticPr fontId="4"/>
  </si>
  <si>
    <t>情報セキュリティの基礎（機密性・完全性・可用性）、データの守り方（匿名化・安吾かとパスワード）、情報セキュリティ事故（データの持ち出しと紛失・マルウェアによる情報搾取・ソーシャルエンジニアリング・サイバー攻撃）、情報セキュリティ関連法規について学ぶ。（「人間と情報」第14回）</t>
    <rPh sb="0" eb="2">
      <t>ジョウホウ</t>
    </rPh>
    <rPh sb="9" eb="11">
      <t>キソ</t>
    </rPh>
    <rPh sb="12" eb="15">
      <t>キミツセイ</t>
    </rPh>
    <rPh sb="16" eb="19">
      <t>カンゼンセイ</t>
    </rPh>
    <rPh sb="20" eb="23">
      <t>カヨウセイ</t>
    </rPh>
    <rPh sb="29" eb="30">
      <t>マモ</t>
    </rPh>
    <rPh sb="31" eb="32">
      <t>カタ</t>
    </rPh>
    <rPh sb="33" eb="36">
      <t>トクメイカ</t>
    </rPh>
    <rPh sb="37" eb="39">
      <t>アンゴ</t>
    </rPh>
    <rPh sb="48" eb="50">
      <t>ジョウホウ</t>
    </rPh>
    <rPh sb="56" eb="58">
      <t>ジコ</t>
    </rPh>
    <rPh sb="63" eb="64">
      <t>モ</t>
    </rPh>
    <rPh sb="65" eb="66">
      <t>ダ</t>
    </rPh>
    <rPh sb="68" eb="70">
      <t>フンシツ</t>
    </rPh>
    <rPh sb="79" eb="81">
      <t>ジョウホウ</t>
    </rPh>
    <rPh sb="81" eb="83">
      <t>サクシュ</t>
    </rPh>
    <rPh sb="102" eb="104">
      <t>コウゲキ</t>
    </rPh>
    <rPh sb="106" eb="108">
      <t>ジョウホウ</t>
    </rPh>
    <rPh sb="114" eb="116">
      <t>カンレン</t>
    </rPh>
    <rPh sb="116" eb="118">
      <t>ホウキ</t>
    </rPh>
    <rPh sb="122" eb="123">
      <t>マナ</t>
    </rPh>
    <phoneticPr fontId="4"/>
  </si>
  <si>
    <t>データの種類（量的変数と質的変数）、度数分布・ヒストグラム、データの代表値、データのばらつき、分割表・クロス集計表、散布図と相関係数、母集団と標本抽出、統計情報の正しい理解について学ぶ。（「人間と情報」第9回・第10回）</t>
    <rPh sb="4" eb="6">
      <t>シュルイ</t>
    </rPh>
    <rPh sb="7" eb="9">
      <t>リョウテキ</t>
    </rPh>
    <rPh sb="9" eb="11">
      <t>ヘンスウ</t>
    </rPh>
    <rPh sb="12" eb="14">
      <t>シツテキ</t>
    </rPh>
    <rPh sb="14" eb="16">
      <t>ヘンスウ</t>
    </rPh>
    <rPh sb="18" eb="22">
      <t>ドスウブンプ</t>
    </rPh>
    <rPh sb="34" eb="36">
      <t>ダイヒョウ</t>
    </rPh>
    <rPh sb="36" eb="37">
      <t>チ</t>
    </rPh>
    <rPh sb="47" eb="49">
      <t>ブンカツ</t>
    </rPh>
    <rPh sb="49" eb="50">
      <t>ヒョウ</t>
    </rPh>
    <rPh sb="54" eb="56">
      <t>シュウケイ</t>
    </rPh>
    <rPh sb="56" eb="57">
      <t>ヒョウ</t>
    </rPh>
    <rPh sb="58" eb="60">
      <t>サンプ</t>
    </rPh>
    <rPh sb="60" eb="61">
      <t>ズ</t>
    </rPh>
    <rPh sb="62" eb="64">
      <t>ソウカン</t>
    </rPh>
    <rPh sb="64" eb="66">
      <t>ケイスウ</t>
    </rPh>
    <rPh sb="67" eb="70">
      <t>ボシュウダン</t>
    </rPh>
    <rPh sb="71" eb="73">
      <t>ヒョウホン</t>
    </rPh>
    <rPh sb="73" eb="75">
      <t>チュウシュツ</t>
    </rPh>
    <rPh sb="76" eb="78">
      <t>トウケイ</t>
    </rPh>
    <rPh sb="78" eb="80">
      <t>ジョウホウ</t>
    </rPh>
    <rPh sb="81" eb="82">
      <t>タダ</t>
    </rPh>
    <rPh sb="84" eb="86">
      <t>リカイ</t>
    </rPh>
    <rPh sb="90" eb="91">
      <t>マナ</t>
    </rPh>
    <rPh sb="105" eb="106">
      <t>ダイ</t>
    </rPh>
    <rPh sb="108" eb="109">
      <t>カイ</t>
    </rPh>
    <phoneticPr fontId="4"/>
  </si>
  <si>
    <t>上滝　潤昌</t>
    <rPh sb="0" eb="2">
      <t>カミダキ</t>
    </rPh>
    <rPh sb="3" eb="4">
      <t>ジュン</t>
    </rPh>
    <rPh sb="4" eb="5">
      <t>マサ</t>
    </rPh>
    <phoneticPr fontId="4"/>
  </si>
  <si>
    <t>現代社会学部では、必修の講義科目から構成されているため全員が受講し、単位を修得できなかった学生も次年度以降に必ず履修し、卒業までに修得することになる。
子ども育成学部では、現時点において選択科目を組み入れているため、全員が履修・修得する訳ではないが、今後、必修化を行う予定である。</t>
    <rPh sb="0" eb="2">
      <t>ゲンダイ</t>
    </rPh>
    <rPh sb="2" eb="6">
      <t>シャカイガクブ</t>
    </rPh>
    <rPh sb="34" eb="36">
      <t>タンイ</t>
    </rPh>
    <rPh sb="37" eb="39">
      <t>シュウトク</t>
    </rPh>
    <rPh sb="45" eb="47">
      <t>ガクセイ</t>
    </rPh>
    <rPh sb="48" eb="51">
      <t>ジネンド</t>
    </rPh>
    <rPh sb="51" eb="53">
      <t>イコウ</t>
    </rPh>
    <rPh sb="54" eb="55">
      <t>カナラ</t>
    </rPh>
    <rPh sb="56" eb="58">
      <t>リシュウ</t>
    </rPh>
    <rPh sb="60" eb="62">
      <t>ソツギョウ</t>
    </rPh>
    <rPh sb="65" eb="67">
      <t>シュウトク</t>
    </rPh>
    <rPh sb="76" eb="77">
      <t>コ</t>
    </rPh>
    <rPh sb="79" eb="83">
      <t>イクセイガクブ</t>
    </rPh>
    <rPh sb="86" eb="89">
      <t>ゲンジテン</t>
    </rPh>
    <rPh sb="93" eb="97">
      <t>センタクカモク</t>
    </rPh>
    <rPh sb="98" eb="99">
      <t>ク</t>
    </rPh>
    <rPh sb="100" eb="101">
      <t>イ</t>
    </rPh>
    <rPh sb="108" eb="110">
      <t>ゼンイン</t>
    </rPh>
    <rPh sb="111" eb="113">
      <t>リシュウ</t>
    </rPh>
    <rPh sb="114" eb="116">
      <t>シュウトク</t>
    </rPh>
    <rPh sb="118" eb="119">
      <t>ワケ</t>
    </rPh>
    <rPh sb="125" eb="127">
      <t>コンゴ</t>
    </rPh>
    <rPh sb="128" eb="131">
      <t>ヒッシュウカ</t>
    </rPh>
    <rPh sb="132" eb="133">
      <t>オコナ</t>
    </rPh>
    <rPh sb="134" eb="136">
      <t>ヨテイ</t>
    </rPh>
    <phoneticPr fontId="4"/>
  </si>
  <si>
    <t>現代社会学部では、必修の講義科目から構成されているため全員が受講する。
子ども育成学部では、今後必修化を予定する。</t>
    <phoneticPr fontId="4"/>
  </si>
  <si>
    <t>現代社会学部では、必修の講義科目から構成されているため全員が受講する。
上述の通り、両学部とも学生アンケートの総合評価点が高いため、後輩への学生の推奨度も高いと推察される。</t>
    <rPh sb="37" eb="39">
      <t>ジョウジュツ</t>
    </rPh>
    <rPh sb="40" eb="41">
      <t>トオ</t>
    </rPh>
    <rPh sb="43" eb="46">
      <t>リョウガクブ</t>
    </rPh>
    <rPh sb="56" eb="61">
      <t>ソウゴウヒョウカテン</t>
    </rPh>
    <rPh sb="62" eb="63">
      <t>タカ</t>
    </rPh>
    <rPh sb="67" eb="69">
      <t>コウハイ</t>
    </rPh>
    <rPh sb="71" eb="73">
      <t>ガクセイ</t>
    </rPh>
    <rPh sb="74" eb="77">
      <t>スイショウド</t>
    </rPh>
    <rPh sb="78" eb="79">
      <t>タカ</t>
    </rPh>
    <rPh sb="81" eb="83">
      <t>スイサツ</t>
    </rPh>
    <phoneticPr fontId="4"/>
  </si>
  <si>
    <t>・現代社会学部の「ビジネス情報演習I」「ビジネス情報演習II」「情報科学概論」、子ども育成学部の「人間と情報」では、ほとんどの授業終了後にアンケートをとり、当該授業が理解できたかどうかを確認し、その結果を次回授業に反映させている。具体的には、理解度が低かった場合、次回授業でよりわかりやすい方法で説明するなどの工夫を行っている。なお、その場合であっても、シラバスに記載した内容を減らしたり、水準を下げたりすることの無いようにしている。</t>
    <rPh sb="1" eb="7">
      <t>ゲンダイシャカイガクブ</t>
    </rPh>
    <rPh sb="13" eb="15">
      <t>ジョウホウ</t>
    </rPh>
    <rPh sb="15" eb="17">
      <t>エンシュウ</t>
    </rPh>
    <rPh sb="24" eb="26">
      <t>ジョウホウ</t>
    </rPh>
    <rPh sb="26" eb="28">
      <t>エンシュウ</t>
    </rPh>
    <rPh sb="32" eb="36">
      <t>ジョウホウカガク</t>
    </rPh>
    <rPh sb="36" eb="38">
      <t>ガイロン</t>
    </rPh>
    <rPh sb="40" eb="41">
      <t>コ</t>
    </rPh>
    <rPh sb="43" eb="47">
      <t>イクセイガクブ</t>
    </rPh>
    <rPh sb="49" eb="51">
      <t>ニンゲン</t>
    </rPh>
    <rPh sb="52" eb="54">
      <t>ジョウホウ</t>
    </rPh>
    <rPh sb="63" eb="65">
      <t>ジュギョウ</t>
    </rPh>
    <rPh sb="65" eb="68">
      <t>シュウリョウゴ</t>
    </rPh>
    <rPh sb="78" eb="80">
      <t>トウガイ</t>
    </rPh>
    <rPh sb="80" eb="82">
      <t>ジュギョウ</t>
    </rPh>
    <rPh sb="83" eb="85">
      <t>リカイ</t>
    </rPh>
    <rPh sb="93" eb="95">
      <t>カクニン</t>
    </rPh>
    <rPh sb="99" eb="101">
      <t>ケッカ</t>
    </rPh>
    <rPh sb="102" eb="104">
      <t>ジカイ</t>
    </rPh>
    <rPh sb="104" eb="106">
      <t>ジュギョウ</t>
    </rPh>
    <rPh sb="107" eb="109">
      <t>ハンエイ</t>
    </rPh>
    <rPh sb="115" eb="118">
      <t>グタイテキ</t>
    </rPh>
    <rPh sb="121" eb="124">
      <t>リカイド</t>
    </rPh>
    <rPh sb="125" eb="126">
      <t>ヒク</t>
    </rPh>
    <rPh sb="129" eb="131">
      <t>バアイ</t>
    </rPh>
    <rPh sb="132" eb="134">
      <t>ジカイ</t>
    </rPh>
    <rPh sb="134" eb="136">
      <t>ジュギョウ</t>
    </rPh>
    <rPh sb="145" eb="147">
      <t>ホウホウ</t>
    </rPh>
    <rPh sb="148" eb="150">
      <t>セツメイ</t>
    </rPh>
    <rPh sb="155" eb="157">
      <t>クフウ</t>
    </rPh>
    <rPh sb="158" eb="159">
      <t>オコナ</t>
    </rPh>
    <rPh sb="169" eb="171">
      <t>バアイ</t>
    </rPh>
    <rPh sb="182" eb="184">
      <t>キサイ</t>
    </rPh>
    <rPh sb="186" eb="188">
      <t>ナイヨウ</t>
    </rPh>
    <rPh sb="189" eb="190">
      <t>ヘ</t>
    </rPh>
    <rPh sb="195" eb="197">
      <t>スイジュン</t>
    </rPh>
    <rPh sb="198" eb="199">
      <t>サ</t>
    </rPh>
    <rPh sb="207" eb="208">
      <t>ナ</t>
    </rPh>
    <phoneticPr fontId="4"/>
  </si>
  <si>
    <t>様式２－２</t>
    <phoneticPr fontId="4"/>
  </si>
  <si>
    <t>様式２－１</t>
    <phoneticPr fontId="4"/>
  </si>
  <si>
    <t>令和２</t>
    <rPh sb="0" eb="2">
      <t xml:space="preserve">レイワ </t>
    </rPh>
    <phoneticPr fontId="4"/>
  </si>
  <si>
    <t>高木　利久</t>
    <rPh sb="0" eb="2">
      <t xml:space="preserve">タカギ </t>
    </rPh>
    <rPh sb="3" eb="5">
      <t xml:space="preserve">トシヒサ </t>
    </rPh>
    <phoneticPr fontId="4"/>
  </si>
  <si>
    <t>学長</t>
    <rPh sb="0" eb="2">
      <t xml:space="preserve">ガクチョウ </t>
    </rPh>
    <phoneticPr fontId="4"/>
  </si>
  <si>
    <r>
      <t xml:space="preserve">目標の設定（ビジネス力）、データの収集・データのクレンジング（データエンジニアリング力）、モデルの作成・評価（データサイエンス力）、結果の解釈・結果を受けた展開（ビジネス力）といったデータサイエンスのサイクルについて学ぶ。（情報科学概論　第12回「データサイエンス」）
</t>
    </r>
    <r>
      <rPr>
        <sz val="12"/>
        <color theme="1"/>
        <rFont val="ＭＳ Ｐゴシック"/>
        <family val="2"/>
        <charset val="128"/>
      </rPr>
      <t>IoTとクラウドコンピューティングにより様々な場面でのデータ収集と分析が可能となっていること、そして、サイバー空間とフィジカル空間の融合による経済発展と社会的課題解決が行われるSociety5.0の概念について学ぶ。（情報科学概論　第14回「IoT（Internet of Things）・クラウド」）</t>
    </r>
    <rPh sb="0" eb="2">
      <t xml:space="preserve">モクヒョウノセッテイ </t>
    </rPh>
    <rPh sb="49" eb="51">
      <t xml:space="preserve">サクセイ </t>
    </rPh>
    <rPh sb="52" eb="54">
      <t xml:space="preserve">ヒョウカ </t>
    </rPh>
    <rPh sb="66" eb="68">
      <t xml:space="preserve">ケッカノカイシャク </t>
    </rPh>
    <rPh sb="72" eb="74">
      <t xml:space="preserve">ケッカヲ </t>
    </rPh>
    <rPh sb="75" eb="76">
      <t xml:space="preserve">ウケタ </t>
    </rPh>
    <rPh sb="78" eb="80">
      <t xml:space="preserve">テンカイ </t>
    </rPh>
    <rPh sb="108" eb="109">
      <t xml:space="preserve">マナブ </t>
    </rPh>
    <rPh sb="112" eb="118">
      <t>ジョウ</t>
    </rPh>
    <rPh sb="119" eb="120">
      <t xml:space="preserve">ダイ </t>
    </rPh>
    <rPh sb="122" eb="123">
      <t xml:space="preserve">カイ </t>
    </rPh>
    <rPh sb="155" eb="157">
      <t>サマザマ</t>
    </rPh>
    <rPh sb="158" eb="160">
      <t>バメン</t>
    </rPh>
    <rPh sb="165" eb="167">
      <t>シュウシュウ</t>
    </rPh>
    <rPh sb="168" eb="170">
      <t>ブンセキ</t>
    </rPh>
    <rPh sb="171" eb="173">
      <t>カノウ</t>
    </rPh>
    <rPh sb="190" eb="192">
      <t>クウカン</t>
    </rPh>
    <rPh sb="198" eb="200">
      <t>クウカン</t>
    </rPh>
    <rPh sb="201" eb="203">
      <t>ユウゴウ</t>
    </rPh>
    <rPh sb="206" eb="208">
      <t>ケイザイ</t>
    </rPh>
    <rPh sb="208" eb="210">
      <t>ハッテン</t>
    </rPh>
    <rPh sb="211" eb="216">
      <t>シャカイテキカダイ</t>
    </rPh>
    <rPh sb="216" eb="218">
      <t>カイケツ</t>
    </rPh>
    <rPh sb="219" eb="220">
      <t>オコナ</t>
    </rPh>
    <rPh sb="234" eb="236">
      <t>ガイネン</t>
    </rPh>
    <rPh sb="240" eb="241">
      <t>マナ</t>
    </rPh>
    <rPh sb="244" eb="250">
      <t>ジョウ</t>
    </rPh>
    <rPh sb="251" eb="252">
      <t xml:space="preserve">ダイ </t>
    </rPh>
    <rPh sb="254" eb="255">
      <t xml:space="preserve">カイ </t>
    </rPh>
    <phoneticPr fontId="4"/>
  </si>
  <si>
    <r>
      <rPr>
        <sz val="12"/>
        <color theme="1"/>
        <rFont val="ＭＳ Ｐゴシック"/>
        <family val="2"/>
        <charset val="128"/>
      </rPr>
      <t>データを扱う上で留意すべき知的財産権（特許権、実用新案権、意匠権、商標権、著作権）と個人情報・プライバシーについて学ぶ。（情報科学概論　第8回「著作権とプライバシー」）</t>
    </r>
    <r>
      <rPr>
        <sz val="12"/>
        <rFont val="ＭＳ Ｐゴシック"/>
        <family val="2"/>
        <charset val="128"/>
        <scheme val="minor"/>
      </rPr>
      <t xml:space="preserve">
DeepFakeやデータバイアスによる差別などAIによる倫理的な問題などを紹介する。また、AIによる交通事故や医療事故が起こってしまった場合についての課題を課すことで、今後の社会のあり方について考えてもらう。（情報科学概論　第15回「人工知能（AI）・ビッグデータ」）</t>
    </r>
    <rPh sb="19" eb="22">
      <t>トッキョケン</t>
    </rPh>
    <rPh sb="23" eb="28">
      <t>ジツヨウシンアンケン</t>
    </rPh>
    <rPh sb="84" eb="85">
      <t xml:space="preserve">ジンコウチノウノ </t>
    </rPh>
    <rPh sb="85" eb="86">
      <t xml:space="preserve">カイ </t>
    </rPh>
    <rPh sb="104" eb="106">
      <t xml:space="preserve">サベツナド </t>
    </rPh>
    <rPh sb="135" eb="139">
      <t xml:space="preserve">コウツウジコヤ </t>
    </rPh>
    <rPh sb="140" eb="144">
      <t xml:space="preserve">イリョウジコガ </t>
    </rPh>
    <rPh sb="145" eb="146">
      <t xml:space="preserve">オコッテ </t>
    </rPh>
    <rPh sb="160" eb="162">
      <t xml:space="preserve">カダイヲツウジテ </t>
    </rPh>
    <rPh sb="163" eb="164">
      <t xml:space="preserve">カスコトデ </t>
    </rPh>
    <rPh sb="181" eb="182">
      <t xml:space="preserve">カンガエテモラウ </t>
    </rPh>
    <phoneticPr fontId="4"/>
  </si>
  <si>
    <r>
      <t xml:space="preserve">共通鍵暗号、公開鍵暗号、デジタル署名、ハッシュ関数など情報を守るための技術について説明し、どのような脅威に対して利用されているかについて学ぶ。（情報科学概論　第9回「暗号」）
</t>
    </r>
    <r>
      <rPr>
        <sz val="12"/>
        <color theme="1"/>
        <rFont val="ＭＳ Ｐゴシック"/>
        <family val="2"/>
        <charset val="128"/>
      </rPr>
      <t>情報セキュリティに関する最近の事故事例を紹介し、マルウェア・標的型攻撃・フィッシング・DDoS攻撃などについて学ぶ。防御策として、パスワードの適切な管理や二段階認証・二要素認証についても学ぶ。（</t>
    </r>
    <r>
      <rPr>
        <sz val="12"/>
        <rFont val="ＭＳ Ｐゴシック"/>
        <family val="2"/>
        <charset val="128"/>
        <scheme val="minor"/>
      </rPr>
      <t>情報科学概論　第10回「情報セキュリティ」）</t>
    </r>
    <rPh sb="0" eb="5">
      <t xml:space="preserve">キョウツウカギアンゴウ </t>
    </rPh>
    <rPh sb="6" eb="11">
      <t>コウカイカ</t>
    </rPh>
    <rPh sb="27" eb="29">
      <t xml:space="preserve">ジョウホウヲ </t>
    </rPh>
    <rPh sb="30" eb="31">
      <t xml:space="preserve">マモルタメノ </t>
    </rPh>
    <rPh sb="35" eb="37">
      <t xml:space="preserve">ギジュツニツイテ </t>
    </rPh>
    <rPh sb="41" eb="43">
      <t xml:space="preserve">セツメイシ </t>
    </rPh>
    <rPh sb="50" eb="52">
      <t xml:space="preserve">キョウイ </t>
    </rPh>
    <rPh sb="56" eb="58">
      <t xml:space="preserve">リヨウサレテイルカヲ </t>
    </rPh>
    <rPh sb="68" eb="69">
      <t xml:space="preserve">マナブ </t>
    </rPh>
    <phoneticPr fontId="4"/>
  </si>
  <si>
    <t>Tポイントカードの事例やNetFlix、スマートスピーカー、スマートフォンなどの事例を通じてマーケティング、サービスにビッグデータや人工知能がどのように活用されているかについて学ぶ。（情報科学概論　第12回「データサイエンス」）
画像生成モデル（GAN）、動画生成モデル（DeepFake）、自然言語生成モデル（GPT-3）、自然言語からの画像生成モデル（DALL・E）など、良くも悪くも自動生成に人工知能が活用されていることを学ぶ。（情報科学概論　第15回「人工知能（AI）・ビッグデータ」</t>
    <rPh sb="40" eb="42">
      <t xml:space="preserve">ジレイヲ </t>
    </rPh>
    <rPh sb="43" eb="44">
      <t xml:space="preserve">ツウジテ </t>
    </rPh>
    <rPh sb="66" eb="70">
      <t xml:space="preserve">ジンコウチノウガ </t>
    </rPh>
    <rPh sb="88" eb="89">
      <t xml:space="preserve">マナブ </t>
    </rPh>
    <rPh sb="92" eb="98">
      <t>ジョウ</t>
    </rPh>
    <rPh sb="99" eb="100">
      <t xml:space="preserve">ダイ </t>
    </rPh>
    <rPh sb="102" eb="103">
      <t xml:space="preserve">カイ </t>
    </rPh>
    <rPh sb="115" eb="119">
      <t xml:space="preserve">ガゾウセイセイモデル </t>
    </rPh>
    <rPh sb="128" eb="132">
      <t xml:space="preserve">ドウガセイセイモデル </t>
    </rPh>
    <rPh sb="146" eb="150">
      <t xml:space="preserve">シゼンゲンゴ </t>
    </rPh>
    <rPh sb="150" eb="152">
      <t xml:space="preserve">セイセイモデル </t>
    </rPh>
    <rPh sb="163" eb="167">
      <t xml:space="preserve">シゼンゲンゴ </t>
    </rPh>
    <rPh sb="170" eb="174">
      <t xml:space="preserve">ガゾウセイセイモデル </t>
    </rPh>
    <rPh sb="180" eb="219">
      <t>ジョウホウ</t>
    </rPh>
    <rPh sb="220" eb="221">
      <t xml:space="preserve">ダイ </t>
    </rPh>
    <rPh sb="223" eb="224">
      <t xml:space="preserve">カイ </t>
    </rPh>
    <phoneticPr fontId="4"/>
  </si>
  <si>
    <t>「数理・データサイエンス・AI」の基礎的内容を理解し、課題や留意事項も踏まえた上で、その活用に取り組むことができる。また、ノートパソコンを使用するための基礎事項について理解し、表計算ソフトウェアを用いて、表作成・基本的計算・関数操作・グラフ作成・統計処理ができる。</t>
    <rPh sb="62" eb="64">
      <t>サクセイ</t>
    </rPh>
    <rPh sb="65" eb="67">
      <t>トウケイ</t>
    </rPh>
    <rPh sb="67" eb="69">
      <t>ショリ</t>
    </rPh>
    <phoneticPr fontId="4"/>
  </si>
  <si>
    <t>大手情報サービス企業の研究員に対して、本学の取り組みを説明し、以下のような意見を頂いた。
・Excelの演習はとても良いと思った。実社会でもまずExcelを使うし、我々もまずはExcelを使う。統計検定に「データサイエンス基礎」と「データサイエンス発展」いうのが最近できたが、そのうちの「データサイエンス基礎」の方は表計算を使った試験になっている。それにも対応できる内容になっていると感じた。
・我々の部署でも統計検定の取得を奨励している。基礎レベルとして、大卒レベルの「2級」の取得を奨励している。可能ならば「準1級」の取得も奨励しているが、これはかなり難しい。富山国際大学の学生さんは「3級」と「データサイエンス基礎」を取得することで、社会に出てから専門技術者とのコミュニケーションが容易になるはずなので、取得をお勧めしたい。
・製造業のデータはなかなか手に入らない。富山国際大学で取り組むのであれば、どこかの企業と組むしかないだろう。製造業のデータで重要なのは「外れ値」とか「欠損値」であり、そういうものをどう処理するかというのが重要になる。Kaggleとか、KDDのような学会にあたるしかないかもしれない。しかしそれらに取り組むとなると、教員の負担が大きくなるだろう。
・公共分野では紙からデータに一元化する動きがあり、データになった後でどのように活用するかの検討がされている。金融分野では与信審査などの分野でデータ活用がされている。当社ではプログラミングしなくてもデータ分析できるツールも使いながらデータサイエンティストを育成しようという動きがある。ビジネスサイドの人間はこうしたツールを使ってデータサイエンスの概念を理解して取り組むということを行っている。</t>
    <rPh sb="0" eb="2">
      <t>オオテ</t>
    </rPh>
    <rPh sb="2" eb="4">
      <t>ジョウホウ</t>
    </rPh>
    <rPh sb="8" eb="10">
      <t>キギョウ</t>
    </rPh>
    <rPh sb="11" eb="14">
      <t>ケンキュウイン</t>
    </rPh>
    <rPh sb="15" eb="16">
      <t>タイ</t>
    </rPh>
    <rPh sb="19" eb="21">
      <t>ホンガク</t>
    </rPh>
    <rPh sb="22" eb="23">
      <t>ト</t>
    </rPh>
    <rPh sb="24" eb="25">
      <t>ク</t>
    </rPh>
    <rPh sb="27" eb="29">
      <t>セツメイ</t>
    </rPh>
    <rPh sb="31" eb="33">
      <t>イカ</t>
    </rPh>
    <rPh sb="37" eb="39">
      <t>イケン</t>
    </rPh>
    <rPh sb="40" eb="41">
      <t>イタダ</t>
    </rPh>
    <phoneticPr fontId="4"/>
  </si>
  <si>
    <t>「数理・データサイエンス・AI」の基礎的内容を理解し、課題や留意事項も踏まえた上で、その活用に取り組むことができる。また、ノートパソコンを使用するための基礎事項について理解し、表計算ソフトウェアを用いて、表作成・基本的計算・関数操作・グラフ作成・統計処理ができる。</t>
    <rPh sb="5" eb="7">
      <t>カツヨウ</t>
    </rPh>
    <phoneticPr fontId="4"/>
  </si>
  <si>
    <t>現代社会学部では令和2年度の入学生から、子ども育成学部では令和3年度の入学生からを対象としてプログラムを開始したところである。両学部とも授業に関する学生アンケートを実施しており、到達度や改善点などが教員ならびに富山国際大学数理・データ・サイエンス・AI教育プログラム検討委員会にフィードバックされ、自己点検・評価を行う。これを次年度以降のプログラムの改善に活用する。今後、当該学生が卒業研究を行う際に、数理・データサイエンス・AIの要素を取り入れた研究に取り組むことが期待される。</t>
    <rPh sb="0" eb="6">
      <t xml:space="preserve">ゲンダイシャカイガクブデハ </t>
    </rPh>
    <rPh sb="8" eb="10">
      <t xml:space="preserve">レイワ </t>
    </rPh>
    <rPh sb="11" eb="13">
      <t xml:space="preserve">ネンドノ </t>
    </rPh>
    <rPh sb="14" eb="17">
      <t xml:space="preserve">ニュウガクセイカラ </t>
    </rPh>
    <rPh sb="20" eb="21">
      <t xml:space="preserve">コドモイクセイガクブデハ </t>
    </rPh>
    <rPh sb="29" eb="31">
      <t>レイワ</t>
    </rPh>
    <rPh sb="32" eb="34">
      <t>ネンド</t>
    </rPh>
    <rPh sb="35" eb="38">
      <t xml:space="preserve">ニュウガクセイカラ </t>
    </rPh>
    <rPh sb="41" eb="43">
      <t>タイショウ</t>
    </rPh>
    <rPh sb="52" eb="54">
      <t>カイシ</t>
    </rPh>
    <rPh sb="63" eb="66">
      <t xml:space="preserve">リョウガクブトモ </t>
    </rPh>
    <rPh sb="68" eb="70">
      <t xml:space="preserve">ジュギョウニカンスル </t>
    </rPh>
    <rPh sb="74" eb="76">
      <t xml:space="preserve">ガクセイアンケートヲ </t>
    </rPh>
    <rPh sb="82" eb="84">
      <t xml:space="preserve">ジッシシテオリ </t>
    </rPh>
    <rPh sb="89" eb="92">
      <t xml:space="preserve">トウタツドヤ </t>
    </rPh>
    <rPh sb="93" eb="96">
      <t xml:space="preserve">カイゼンテンナド </t>
    </rPh>
    <rPh sb="99" eb="101">
      <t xml:space="preserve">キョウイン </t>
    </rPh>
    <rPh sb="105" eb="107">
      <t>コンゴ</t>
    </rPh>
    <rPh sb="108" eb="110">
      <t>トウガイ</t>
    </rPh>
    <rPh sb="110" eb="112">
      <t>ガクセイ</t>
    </rPh>
    <rPh sb="113" eb="115">
      <t>ソツギョウ</t>
    </rPh>
    <rPh sb="115" eb="117">
      <t>ケンキュウ</t>
    </rPh>
    <rPh sb="118" eb="119">
      <t>オコナ</t>
    </rPh>
    <rPh sb="120" eb="121">
      <t>サイ</t>
    </rPh>
    <rPh sb="123" eb="125">
      <t>スウリ</t>
    </rPh>
    <rPh sb="149" eb="153">
      <t xml:space="preserve">ジコテンケン </t>
    </rPh>
    <rPh sb="154" eb="156">
      <t xml:space="preserve">ヒョウカヲ </t>
    </rPh>
    <rPh sb="157" eb="158">
      <t xml:space="preserve">オコナウ </t>
    </rPh>
    <rPh sb="163" eb="168">
      <t xml:space="preserve">ジネンドイコウノ </t>
    </rPh>
    <rPh sb="175" eb="177">
      <t xml:space="preserve">カイゼンニ </t>
    </rPh>
    <rPh sb="178" eb="180">
      <t xml:space="preserve">カツヨウスル </t>
    </rPh>
    <rPh sb="183" eb="185">
      <t>ヨウソ</t>
    </rPh>
    <rPh sb="186" eb="187">
      <t>ト</t>
    </rPh>
    <rPh sb="188" eb="189">
      <t>イ</t>
    </rPh>
    <rPh sb="191" eb="193">
      <t>ケンキュウ</t>
    </rPh>
    <rPh sb="194" eb="195">
      <t>ト</t>
    </rPh>
    <rPh sb="196" eb="197">
      <t>ク</t>
    </rPh>
    <rPh sb="201" eb="203">
      <t>キタイ</t>
    </rPh>
    <phoneticPr fontId="4"/>
  </si>
  <si>
    <t>実データを使ってグラフ化したり、分析したりすることで、学生が興味を持つようにしている。また、1年次のキャリアデザイン講座等で、IT系の会社に就職した先輩や、本プログラムを修了して就職活動に活かしている学生などの体験談を通じて、数理・データサイエンス・AIを学ぶ必要があることを理解してもらう。</t>
    <rPh sb="0" eb="1">
      <t>ジツ</t>
    </rPh>
    <rPh sb="5" eb="6">
      <t>ツカ</t>
    </rPh>
    <rPh sb="11" eb="12">
      <t>カ</t>
    </rPh>
    <rPh sb="16" eb="18">
      <t>ブンセキ</t>
    </rPh>
    <rPh sb="27" eb="29">
      <t>ガクセイ</t>
    </rPh>
    <rPh sb="30" eb="32">
      <t>キョウミ</t>
    </rPh>
    <rPh sb="33" eb="34">
      <t>モ</t>
    </rPh>
    <rPh sb="47" eb="49">
      <t xml:space="preserve">ネンジノ </t>
    </rPh>
    <rPh sb="60" eb="61">
      <t xml:space="preserve">トウデ </t>
    </rPh>
    <rPh sb="65" eb="66">
      <t xml:space="preserve">ケイ </t>
    </rPh>
    <rPh sb="67" eb="69">
      <t xml:space="preserve">カイシャニシュウショクシタ </t>
    </rPh>
    <rPh sb="74" eb="76">
      <t xml:space="preserve">センパイヤ </t>
    </rPh>
    <rPh sb="78" eb="79">
      <t xml:space="preserve">ホンプログラムヲ </t>
    </rPh>
    <rPh sb="85" eb="87">
      <t xml:space="preserve">シュウリョウシテ </t>
    </rPh>
    <rPh sb="89" eb="93">
      <t xml:space="preserve">シュウショクカツドウニ </t>
    </rPh>
    <rPh sb="94" eb="95">
      <t xml:space="preserve">イカシテイル </t>
    </rPh>
    <rPh sb="100" eb="102">
      <t xml:space="preserve">ガクセイナド </t>
    </rPh>
    <rPh sb="105" eb="108">
      <t xml:space="preserve">タイケンダンヲツウジテ </t>
    </rPh>
    <rPh sb="113" eb="115">
      <t xml:space="preserve">スウリ </t>
    </rPh>
    <rPh sb="128" eb="129">
      <t xml:space="preserve">マナブヒツヨウガアルコトヲ </t>
    </rPh>
    <rPh sb="138" eb="140">
      <t xml:space="preserve">リカイシテモライ </t>
    </rPh>
    <phoneticPr fontId="4"/>
  </si>
  <si>
    <t>現代社会学部では令和2年度の入学生から、子ども育成学部では令和3年度の入学生からを対象としてプログラムを開始したところである。今後、当該学生が社会に出て、それぞれの組織（企業、自治体、団体等）で数理・データサイエンス・AIを活用することが期待される。今後は学生が就職した企業の意見も聞きながら、プログラムの改善に務める。</t>
    <rPh sb="40" eb="41">
      <t>シャカイ</t>
    </rPh>
    <rPh sb="42" eb="43">
      <t>デ</t>
    </rPh>
    <rPh sb="50" eb="52">
      <t>ソシキ</t>
    </rPh>
    <rPh sb="53" eb="55">
      <t>キギョウ</t>
    </rPh>
    <rPh sb="56" eb="59">
      <t>ジチタイ</t>
    </rPh>
    <rPh sb="60" eb="62">
      <t>ダンタイ</t>
    </rPh>
    <rPh sb="62" eb="63">
      <t>トウ</t>
    </rPh>
    <rPh sb="65" eb="67">
      <t>スウリ</t>
    </rPh>
    <rPh sb="80" eb="82">
      <t>カツヨウ</t>
    </rPh>
    <rPh sb="87" eb="89">
      <t>キタイ</t>
    </rPh>
    <rPh sb="125" eb="127">
      <t xml:space="preserve">コンゴハ </t>
    </rPh>
    <rPh sb="128" eb="130">
      <t xml:space="preserve">ガクセイガ </t>
    </rPh>
    <rPh sb="131" eb="133">
      <t xml:space="preserve">シュウショクシタ </t>
    </rPh>
    <rPh sb="135" eb="137">
      <t xml:space="preserve">キギョウノ </t>
    </rPh>
    <rPh sb="138" eb="140">
      <t xml:space="preserve">イケンモ </t>
    </rPh>
    <rPh sb="141" eb="142">
      <t xml:space="preserve">キキナガラ </t>
    </rPh>
    <rPh sb="153" eb="155">
      <t xml:space="preserve">カイゼンニ </t>
    </rPh>
    <rPh sb="156" eb="157">
      <t xml:space="preserve">ツトメル </t>
    </rPh>
    <phoneticPr fontId="4"/>
  </si>
  <si>
    <t>現代社会学部：「情報科学概論」、「ビジネス情報演習I」、「ビジネス情報演習II」の3科目（6単位）すべてで単位取得していること。</t>
    <rPh sb="0" eb="6">
      <t>ゲンｄ</t>
    </rPh>
    <rPh sb="8" eb="14">
      <t xml:space="preserve">ジョウホウカガクガイロン </t>
    </rPh>
    <rPh sb="42" eb="44">
      <t xml:space="preserve">カモク </t>
    </rPh>
    <rPh sb="46" eb="48">
      <t xml:space="preserve">タンイ </t>
    </rPh>
    <rPh sb="53" eb="57">
      <t xml:space="preserve">タンイシュトク </t>
    </rPh>
    <phoneticPr fontId="4"/>
  </si>
  <si>
    <r>
      <t xml:space="preserve">それぞれのデータの種類にあった集計方法（度数分布表・クロス集計表など）、グラフ化の方法（棒グラフ・円グラフ・ヒストグラム・箱ひげ図・散布図等）について学ぶ。また、不適切なグラフの例を示しながら、データを読み解く際の注意点について学ぶ。（情報科学概論　第13回「データリテラシー」）
上記をWord・PowerPointで実習する。（ビジネス情報演習I）
上記をExcelで実習する。（ビジネス情報演習II）　
</t>
    </r>
    <r>
      <rPr>
        <sz val="12"/>
        <color theme="1"/>
        <rFont val="ＭＳ Ｐゴシック"/>
        <family val="2"/>
        <charset val="128"/>
      </rPr>
      <t>※ビジネス情報演習I・IIは人数の関係でAクラスBクラスに別れているが、内容は同じ</t>
    </r>
    <rPh sb="9" eb="11">
      <t xml:space="preserve">シュルイ </t>
    </rPh>
    <rPh sb="15" eb="19">
      <t xml:space="preserve">シュウケイホウホウ </t>
    </rPh>
    <rPh sb="20" eb="25">
      <t xml:space="preserve">ドスウブンプヒョウ </t>
    </rPh>
    <rPh sb="41" eb="43">
      <t xml:space="preserve">ホウホウニツイテ </t>
    </rPh>
    <rPh sb="44" eb="45">
      <t xml:space="preserve">ボウグラフ </t>
    </rPh>
    <rPh sb="49" eb="50">
      <t xml:space="preserve">エングラフ </t>
    </rPh>
    <rPh sb="61" eb="62">
      <t xml:space="preserve">ハコヒゲズ </t>
    </rPh>
    <rPh sb="66" eb="70">
      <t xml:space="preserve">サンプズトウ </t>
    </rPh>
    <rPh sb="75" eb="76">
      <t xml:space="preserve">マナブ </t>
    </rPh>
    <rPh sb="102" eb="104">
      <t xml:space="preserve">ジョウキヲ </t>
    </rPh>
    <rPh sb="121" eb="123">
      <t xml:space="preserve">ジッシュウスル </t>
    </rPh>
    <rPh sb="138" eb="140">
      <t xml:space="preserve">ジョウキヲ </t>
    </rPh>
    <rPh sb="147" eb="149">
      <t xml:space="preserve">ジッシュウスル </t>
    </rPh>
    <rPh sb="218" eb="220">
      <t xml:space="preserve">ニンズウノカンケイデ </t>
    </rPh>
    <rPh sb="233" eb="234">
      <t xml:space="preserve">ワカレテイルガ </t>
    </rPh>
    <rPh sb="240" eb="242">
      <t xml:space="preserve">ナイヨウハ </t>
    </rPh>
    <rPh sb="243" eb="244">
      <t xml:space="preserve">オナジ </t>
    </rPh>
    <phoneticPr fontId="4"/>
  </si>
  <si>
    <r>
      <t xml:space="preserve">データの可視化（棒グラフ、円グラフ、散布図、折れ線グラフ、ヒートマップ）、データのグラフ化、データの比較（条件をそろえた比較、処理の前後での比較、A/Bテスト）、不適切なグラフ表現、可視化による気づきについて学ぶ。（「人間と情報」第10回）
</t>
    </r>
    <r>
      <rPr>
        <sz val="12"/>
        <color theme="1"/>
        <rFont val="ＭＳ Ｐゴシック"/>
        <family val="3"/>
        <charset val="128"/>
      </rPr>
      <t>EXCELの使い方について学ぶ（「情報処理演習」第11回以降）
※情報処理演習は人数の関係でAクラスBクラスに別れているが、内容は同じ</t>
    </r>
    <rPh sb="4" eb="7">
      <t>カシカ</t>
    </rPh>
    <rPh sb="8" eb="9">
      <t>ボウ</t>
    </rPh>
    <rPh sb="13" eb="14">
      <t>エン</t>
    </rPh>
    <rPh sb="18" eb="21">
      <t>サンプズ</t>
    </rPh>
    <rPh sb="22" eb="23">
      <t>オ</t>
    </rPh>
    <rPh sb="24" eb="25">
      <t>セン</t>
    </rPh>
    <rPh sb="44" eb="45">
      <t>カ</t>
    </rPh>
    <rPh sb="50" eb="52">
      <t>ヒカク</t>
    </rPh>
    <rPh sb="53" eb="55">
      <t>ジョウケン</t>
    </rPh>
    <rPh sb="60" eb="62">
      <t>ヒカク</t>
    </rPh>
    <rPh sb="63" eb="65">
      <t>ショリ</t>
    </rPh>
    <rPh sb="66" eb="68">
      <t>ゼンゴ</t>
    </rPh>
    <rPh sb="70" eb="72">
      <t>ヒカク</t>
    </rPh>
    <rPh sb="81" eb="84">
      <t>フテキセツ</t>
    </rPh>
    <rPh sb="88" eb="90">
      <t>ヒョウゲン</t>
    </rPh>
    <rPh sb="91" eb="94">
      <t>カシカ</t>
    </rPh>
    <rPh sb="97" eb="98">
      <t>キ</t>
    </rPh>
    <rPh sb="104" eb="105">
      <t>マナ</t>
    </rPh>
    <rPh sb="154" eb="160">
      <t>ジョウホウ</t>
    </rPh>
    <phoneticPr fontId="4"/>
  </si>
  <si>
    <r>
      <t xml:space="preserve">データの集計（和、平均）、データに対する操作（並べ替え、ランキング）、表形式のデータ(CSV）、データの解析（ピボットテーブル、相関係数の計算）について学ぶ。（「人間と情報」第10回・第11回・第12回）
</t>
    </r>
    <r>
      <rPr>
        <sz val="12"/>
        <color theme="1"/>
        <rFont val="ＭＳ Ｐゴシック"/>
        <family val="2"/>
        <charset val="128"/>
      </rPr>
      <t>EXCELの使い方について学ぶ（「情報処理演習」第11回以降）</t>
    </r>
    <rPh sb="4" eb="6">
      <t>シュウケイ</t>
    </rPh>
    <rPh sb="7" eb="8">
      <t>ワ</t>
    </rPh>
    <rPh sb="9" eb="11">
      <t>ヘイキン</t>
    </rPh>
    <rPh sb="17" eb="18">
      <t>タイ</t>
    </rPh>
    <rPh sb="20" eb="22">
      <t>ソウサ</t>
    </rPh>
    <rPh sb="23" eb="24">
      <t>ナラ</t>
    </rPh>
    <rPh sb="25" eb="26">
      <t>カ</t>
    </rPh>
    <rPh sb="35" eb="36">
      <t>マナ</t>
    </rPh>
    <rPh sb="81" eb="83">
      <t>ニンゲン</t>
    </rPh>
    <rPh sb="84" eb="86">
      <t>ジョウホウ</t>
    </rPh>
    <rPh sb="87" eb="88">
      <t>ダイ</t>
    </rPh>
    <rPh sb="90" eb="91">
      <t>カイ</t>
    </rPh>
    <rPh sb="92" eb="93">
      <t>ダイ</t>
    </rPh>
    <rPh sb="95" eb="96">
      <t>カイ</t>
    </rPh>
    <rPh sb="97" eb="98">
      <t>ダ_x0000_</t>
    </rPh>
    <rPh sb="100" eb="101">
      <t>_x0004__x0002_</t>
    </rPh>
    <rPh sb="109" eb="110">
      <t>_x0005__x0007__x0001__x0006_	_x0002_
_x0011__x0001__x000C_</t>
    </rPh>
    <rPh sb="116" eb="117">
      <t>_x0014__x0002__x000F__x0017_</t>
    </rPh>
    <rPh sb="120" eb="126">
      <t>_x0001__x0011__x0019__x0001__x0012_#_x0001_</t>
    </rPh>
    <rPh sb="127" eb="128">
      <t>_x0014_Q_x0002_</t>
    </rPh>
    <rPh sb="130" eb="131">
      <t>_x0018_T_x0002_</t>
    </rPh>
    <rPh sb="131" eb="133">
      <t/>
    </rPh>
    <phoneticPr fontId="4"/>
  </si>
  <si>
    <t>現代社会学部：すべて必修の講義科目で構成されているため、全員が受講する。
子ども育成学部：令和3年度においては、認定要件をクリアするための必修科目を1科目、選択科目を1科目設定していた。このため、修了者は定員33.3%であった。今後は、全科目必修化に向けた学内調整を行う。
　令和3年度　30名（33.3％）
　令和4年度　40名（44.4％）
　令和5年度以降　必修化の予定　90名（100％）
大学全体：令和5年度の子ども育成学部での必修化により、令和8年度に履修率100%（編入生除く）を達成する見込みである。
                   現代社会学部、子ども育成学部、合計、履修率
　令和3年度： 26 + 125 = 151, 30, 計181名, 181 / 860 = 0.21
　令和4年度： 26 + 125 + 125 = 276, 30 + 40 = 70, 計346名, 346 / 860 = 0.4
　令和5年度： 26 + 125 + 125 + 120 = 396, 30 + 40 + 90 = 160, 計556名, 556 / 860 = 0.65
　令和6年度： 125 + 125 + 120 + 120 = 490, 30 + 40 + 90 + 90 = 250, 計740名, 740 / 860 = 0.86
　令和7年度： 125 + 120 + 120 + 120 = 485, 40 + 90 + 90 +90 = 310, 計795名, 795 / 860 = 0.92</t>
    <rPh sb="0" eb="6">
      <t xml:space="preserve">ゲンダイシャカイガクブ </t>
    </rPh>
    <rPh sb="10" eb="12">
      <t xml:space="preserve">ヒッシュウノ </t>
    </rPh>
    <rPh sb="13" eb="17">
      <t xml:space="preserve">コウギカモクデ </t>
    </rPh>
    <rPh sb="18" eb="20">
      <t xml:space="preserve">コウセイサレテイルタメ </t>
    </rPh>
    <rPh sb="28" eb="30">
      <t xml:space="preserve">ゼンインガ </t>
    </rPh>
    <rPh sb="31" eb="33">
      <t xml:space="preserve">ジュコウスル </t>
    </rPh>
    <rPh sb="37" eb="38">
      <t>コドモイクセイ</t>
    </rPh>
    <rPh sb="46" eb="48">
      <t>レイワ</t>
    </rPh>
    <rPh sb="49" eb="51">
      <t>ネンド</t>
    </rPh>
    <rPh sb="99" eb="102">
      <t>シュウリョウシャ</t>
    </rPh>
    <rPh sb="103" eb="105">
      <t>テイイン</t>
    </rPh>
    <rPh sb="115" eb="117">
      <t>コンゴ</t>
    </rPh>
    <rPh sb="119" eb="122">
      <t xml:space="preserve">ゼンカモク </t>
    </rPh>
    <rPh sb="122" eb="125">
      <t>ヒッシュウカ</t>
    </rPh>
    <rPh sb="126" eb="127">
      <t>ム</t>
    </rPh>
    <rPh sb="129" eb="131">
      <t>ガクナイ</t>
    </rPh>
    <rPh sb="131" eb="133">
      <t>チョウセイ</t>
    </rPh>
    <rPh sb="134" eb="135">
      <t>オコナ</t>
    </rPh>
    <rPh sb="157" eb="159">
      <t xml:space="preserve">レイワ </t>
    </rPh>
    <rPh sb="160" eb="162">
      <t xml:space="preserve">ネンド </t>
    </rPh>
    <rPh sb="165" eb="166">
      <t xml:space="preserve">メイ </t>
    </rPh>
    <rPh sb="180" eb="182">
      <t xml:space="preserve">イコウ </t>
    </rPh>
    <rPh sb="182" eb="185">
      <t>ヒッシュウカ</t>
    </rPh>
    <rPh sb="186" eb="188">
      <t>ヨテイ</t>
    </rPh>
    <rPh sb="192" eb="193">
      <t xml:space="preserve">メイ </t>
    </rPh>
    <rPh sb="201" eb="205">
      <t xml:space="preserve">ダイガクゼンタイ </t>
    </rPh>
    <rPh sb="206" eb="208">
      <t xml:space="preserve">レイワ </t>
    </rPh>
    <rPh sb="209" eb="211">
      <t xml:space="preserve">ネンドノ </t>
    </rPh>
    <rPh sb="212" eb="213">
      <t>コ</t>
    </rPh>
    <rPh sb="221" eb="224">
      <t xml:space="preserve">ヒッシュウカニヨリ </t>
    </rPh>
    <rPh sb="228" eb="230">
      <t xml:space="preserve">レイワ </t>
    </rPh>
    <rPh sb="231" eb="233">
      <t xml:space="preserve">ネンド </t>
    </rPh>
    <rPh sb="234" eb="237">
      <t xml:space="preserve">リシュウリツ </t>
    </rPh>
    <rPh sb="242" eb="246">
      <t xml:space="preserve">ヘンニュウセイノゾク </t>
    </rPh>
    <rPh sb="249" eb="251">
      <t xml:space="preserve">タッセイスル </t>
    </rPh>
    <rPh sb="253" eb="255">
      <t xml:space="preserve">ミコミデアル </t>
    </rPh>
    <rPh sb="260" eb="285">
      <t xml:space="preserve">ゲンダイシャカイガクブ </t>
    </rPh>
    <rPh sb="286" eb="287">
      <t xml:space="preserve">コドモイクセイガクブ </t>
    </rPh>
    <rPh sb="294" eb="296">
      <t xml:space="preserve">ゴウケイ </t>
    </rPh>
    <rPh sb="297" eb="300">
      <t xml:space="preserve">リシュウリツ </t>
    </rPh>
    <rPh sb="302" eb="304">
      <t xml:space="preserve">レイワ </t>
    </rPh>
    <rPh sb="305" eb="307">
      <t xml:space="preserve">ネンド </t>
    </rPh>
    <rPh sb="330" eb="331">
      <t xml:space="preserve">ケイ </t>
    </rPh>
    <rPh sb="334" eb="335">
      <t xml:space="preserve">メイ </t>
    </rPh>
    <rPh sb="354" eb="356">
      <t xml:space="preserve">レイワ </t>
    </rPh>
    <rPh sb="357" eb="359">
      <t xml:space="preserve">ネンド </t>
    </rPh>
    <rPh sb="398" eb="399">
      <t xml:space="preserve">ケイ </t>
    </rPh>
    <rPh sb="402" eb="403">
      <t xml:space="preserve">メイ </t>
    </rPh>
    <rPh sb="421" eb="423">
      <t xml:space="preserve">レイワ </t>
    </rPh>
    <rPh sb="424" eb="426">
      <t xml:space="preserve">ネンド </t>
    </rPh>
    <rPh sb="477" eb="478">
      <t xml:space="preserve">ケイ </t>
    </rPh>
    <rPh sb="481" eb="482">
      <t xml:space="preserve">メイ </t>
    </rPh>
    <rPh sb="501" eb="503">
      <t xml:space="preserve">レイワ </t>
    </rPh>
    <rPh sb="504" eb="506">
      <t xml:space="preserve">ネンド </t>
    </rPh>
    <rPh sb="563" eb="564">
      <t xml:space="preserve">ケイ </t>
    </rPh>
    <rPh sb="567" eb="568">
      <t xml:space="preserve">メイ </t>
    </rPh>
    <rPh sb="587" eb="589">
      <t xml:space="preserve">レイワ </t>
    </rPh>
    <rPh sb="590" eb="592">
      <t xml:space="preserve">ネンド </t>
    </rPh>
    <rPh sb="648" eb="649">
      <t xml:space="preserve">ケイ </t>
    </rPh>
    <rPh sb="652" eb="653">
      <t xml:space="preserve">メイ </t>
    </rPh>
    <phoneticPr fontId="4"/>
  </si>
  <si>
    <t>教育研究部 学務課</t>
    <rPh sb="0" eb="5">
      <t>キョウイクケンキュウブ</t>
    </rPh>
    <rPh sb="6" eb="9">
      <t>ガクムカ</t>
    </rPh>
    <phoneticPr fontId="4"/>
  </si>
  <si>
    <t>学生に対しては、前後期オリエンテーション時に教務担当教職員から数理・データサイエンス・AI関係の科目（以下「数理等科目」）について説明をし、履修登録期間においても、学生は各学部の各ゼミ担当教員から履修指導を受けている。
また、本プログラムの内容や履修・修了要件についてウェブページで公開することで、周知を図る。さらにFDを通じて教職員への本プログラムの内容を理解してもらい、学生の指導に役立ててもらう。</t>
    <rPh sb="7" eb="9">
      <t xml:space="preserve">シュウチスルトトモニ </t>
    </rPh>
    <rPh sb="16" eb="19">
      <t xml:space="preserve">ゼンコウキ </t>
    </rPh>
    <rPh sb="19" eb="22">
      <t xml:space="preserve">カイシマエノ </t>
    </rPh>
    <rPh sb="33" eb="34">
      <t xml:space="preserve">バデ </t>
    </rPh>
    <rPh sb="35" eb="37">
      <t xml:space="preserve">コクチヲ </t>
    </rPh>
    <rPh sb="38" eb="39">
      <t xml:space="preserve">オコナウ </t>
    </rPh>
    <rPh sb="45" eb="47">
      <t xml:space="preserve">シドウノ </t>
    </rPh>
    <rPh sb="48" eb="50">
      <t xml:space="preserve">コウギ </t>
    </rPh>
    <rPh sb="113" eb="114">
      <t xml:space="preserve">ホンプログラムノ </t>
    </rPh>
    <rPh sb="120" eb="122">
      <t xml:space="preserve">ナイヨウヤ </t>
    </rPh>
    <rPh sb="123" eb="125">
      <t xml:space="preserve">リシュウ </t>
    </rPh>
    <rPh sb="126" eb="130">
      <t xml:space="preserve">シュウリョウヨウケンニツイテ </t>
    </rPh>
    <rPh sb="141" eb="143">
      <t xml:space="preserve">コウカイスルコトデ </t>
    </rPh>
    <rPh sb="149" eb="151">
      <t xml:space="preserve">シュウチヲ </t>
    </rPh>
    <rPh sb="152" eb="153">
      <t xml:space="preserve">ハカル </t>
    </rPh>
    <rPh sb="161" eb="162">
      <t xml:space="preserve">ツウジテ </t>
    </rPh>
    <rPh sb="164" eb="167">
      <t xml:space="preserve">キョウショクイン </t>
    </rPh>
    <rPh sb="169" eb="170">
      <t xml:space="preserve">ホンプログラムノ </t>
    </rPh>
    <rPh sb="176" eb="178">
      <t xml:space="preserve">ナイヨウヲ </t>
    </rPh>
    <rPh sb="179" eb="181">
      <t xml:space="preserve">リカイシテモライ </t>
    </rPh>
    <rPh sb="187" eb="189">
      <t xml:space="preserve">ガクセイノ </t>
    </rPh>
    <rPh sb="190" eb="192">
      <t xml:space="preserve">シドウニ </t>
    </rPh>
    <rPh sb="193" eb="195">
      <t xml:space="preserve">ヤクダテテモラウ </t>
    </rPh>
    <phoneticPr fontId="4"/>
  </si>
  <si>
    <t>数理・データサイエンス・AI教育プログラム関係の科目に限らず、どの科目でも授業時間内は学習指導し、質問を受けているが、授業時間外での質問は担当教員がオフィスアワーでの対応ならびに随時メールを受け付けており、担当教員から質問者へ随時回答するなどの仕組みを整えている。</t>
    <rPh sb="1" eb="6">
      <t xml:space="preserve">コウギタントウシャ </t>
    </rPh>
    <rPh sb="16" eb="18">
      <t xml:space="preserve">セッテイサレテオリ </t>
    </rPh>
    <rPh sb="24" eb="29">
      <t xml:space="preserve">ジュギョウジカンガイデノ </t>
    </rPh>
    <rPh sb="31" eb="33">
      <t xml:space="preserve">シツモンニ </t>
    </rPh>
    <rPh sb="34" eb="36">
      <t xml:space="preserve">タイオウシテイル </t>
    </rPh>
    <rPh sb="43" eb="45">
      <t xml:space="preserve">ガクシュウ </t>
    </rPh>
    <rPh sb="45" eb="47">
      <t xml:space="preserve">コウギハ </t>
    </rPh>
    <rPh sb="72" eb="73">
      <t xml:space="preserve">ツカッテ </t>
    </rPh>
    <rPh sb="90" eb="94">
      <t xml:space="preserve">シリョウハイフヤ </t>
    </rPh>
    <rPh sb="95" eb="99">
      <t xml:space="preserve">カダイテイシュツヲ </t>
    </rPh>
    <rPh sb="100" eb="101">
      <t xml:space="preserve">オコナッテオリ </t>
    </rPh>
    <rPh sb="112" eb="113">
      <t xml:space="preserve">ソナワッテイルコトカラ </t>
    </rPh>
    <rPh sb="127" eb="129">
      <t xml:space="preserve">カツヨウシテ シツモンヲ ウケツケル タイセイヲ トトノエテイル </t>
    </rPh>
    <phoneticPr fontId="4"/>
  </si>
  <si>
    <t xml:space="preserve">現代社会学部の科目における学生アンケート結果（総合評価5点満点での点数)は以下の通りであり、満足度・理解度は高い。
・ビジネス情報演習I　： 4.23
・ビジネス情報演習II ： 4.27
・情報科学概論　　　 ： 4.19
子ども育成学部の科目における学生アンケート結果（総合評価4点満点での点数)は以下の通りであり、満足度・理解度は高い。
・情報処理演習　　　 ： 3.43
・人間と情報　　　　　 ： 3.31
</t>
    <rPh sb="0" eb="6">
      <t>ゲンダイシャカイガクブ</t>
    </rPh>
    <rPh sb="7" eb="9">
      <t>カモク</t>
    </rPh>
    <rPh sb="13" eb="15">
      <t>ガクセイ</t>
    </rPh>
    <rPh sb="20" eb="22">
      <t>ケッカ</t>
    </rPh>
    <rPh sb="23" eb="27">
      <t>ソウゴウヒョウカ</t>
    </rPh>
    <rPh sb="28" eb="31">
      <t>テンマンテン</t>
    </rPh>
    <rPh sb="33" eb="35">
      <t>テンスウ</t>
    </rPh>
    <rPh sb="37" eb="39">
      <t>イカ</t>
    </rPh>
    <rPh sb="40" eb="41">
      <t>トオ</t>
    </rPh>
    <rPh sb="46" eb="49">
      <t>マンゾクド</t>
    </rPh>
    <rPh sb="50" eb="53">
      <t>リカイド</t>
    </rPh>
    <rPh sb="54" eb="55">
      <t>タカ</t>
    </rPh>
    <rPh sb="63" eb="65">
      <t>ジョウホウ</t>
    </rPh>
    <rPh sb="65" eb="67">
      <t>エンシュウ</t>
    </rPh>
    <rPh sb="81" eb="83">
      <t>ジョウホウ</t>
    </rPh>
    <rPh sb="83" eb="85">
      <t>エンシュウ</t>
    </rPh>
    <rPh sb="96" eb="100">
      <t>ジョウホウカガク</t>
    </rPh>
    <rPh sb="100" eb="102">
      <t>ガイロン</t>
    </rPh>
    <rPh sb="114" eb="115">
      <t>コ</t>
    </rPh>
    <rPh sb="117" eb="121">
      <t>イクセイガクブ</t>
    </rPh>
    <rPh sb="122" eb="124">
      <t>カモク</t>
    </rPh>
    <rPh sb="165" eb="168">
      <t>リカイド</t>
    </rPh>
    <rPh sb="174" eb="178">
      <t>ジョウホウショリ</t>
    </rPh>
    <rPh sb="178" eb="180">
      <t>エンシュウ</t>
    </rPh>
    <rPh sb="192" eb="194">
      <t>ニンゲン</t>
    </rPh>
    <rPh sb="195" eb="197">
      <t>ジョウホウ</t>
    </rPh>
    <phoneticPr fontId="4"/>
  </si>
  <si>
    <t>学生は、時間割を見て空き時間と開講科目との調整が取れれば、履修登録期間中に学部を横断して履修登録することができ、受講できる体制にはある。
各学部の特性もあって時間割が混雑していることから、今後全学生に向けて受講可能にする場合には、オンデマンド方式での受講にするなど、科目運営等も含めて学内での意思決定が必要となり、委員会などにおいて早急に検討を進めることとなる。</t>
    <phoneticPr fontId="4"/>
  </si>
  <si>
    <t>全学的な数理・データサイエンス・AI教育プログラムに関する事項について協議するため、富山国際大学数理・データサイエンス・AI教育プログラム検討委員会（以下「委員会」という。）規程を定め、令和3年4月に設置した。委員会では、学修内容、プログラムの授業科目構成及び修了要件、プログラムの改善や国が推進するプログラムの認定制度など、様々な角度から教育の質と履修者の成長及び履修増加に寄与できるようプログラム全体の検討を行える体制を構築した。</t>
    <rPh sb="93" eb="95">
      <t xml:space="preserve">レイワ </t>
    </rPh>
    <rPh sb="96" eb="97">
      <t xml:space="preserve">ネン </t>
    </rPh>
    <phoneticPr fontId="4"/>
  </si>
  <si>
    <t>子ども育成学部：「情報処理演習」、「人間と情報」の2科目(4単位)すべてで単位取得していること。</t>
    <rPh sb="0" eb="1">
      <t>コド</t>
    </rPh>
    <rPh sb="26" eb="28">
      <t>カモク</t>
    </rPh>
    <rPh sb="30" eb="32">
      <t>タンイ</t>
    </rPh>
    <rPh sb="37" eb="39">
      <t>タンイ</t>
    </rPh>
    <rPh sb="39" eb="41">
      <t>シュトク</t>
    </rPh>
    <phoneticPr fontId="4"/>
  </si>
  <si>
    <t>准教授</t>
    <rPh sb="0" eb="3">
      <t>ジュンキョウジュ</t>
    </rPh>
    <phoneticPr fontId="4"/>
  </si>
  <si>
    <t>学務部長</t>
    <rPh sb="0" eb="4">
      <t>ガクムブチョウ</t>
    </rPh>
    <phoneticPr fontId="4"/>
  </si>
  <si>
    <t>基本的に学生は、時間割を見て空き時間と開講科目との調整が取れれば、履修登録期間中に学部を横断して履修登録することができるようになっており、各学部のゼミ担当教員からのアドバイスをはじめ、各学部の履修登録相談部門においてアドバイスできる体制になっている。
今後は、オンデマンド方式の検討も踏まえ、委員会において多くの学生が閲覧できる環境づくりを提案し、本学内の意思決定会議において最終決定して進めることとなる。</t>
    <phoneticPr fontId="4"/>
  </si>
  <si>
    <t>・学務部長　　　 佐藤悦夫　（現代社会学部・教授）
・学務部次長　　松山友之　（子ども育成学部・教授）
・各学部の教員　各2名程度　（情報系教員含む）
　 現代社会学部　教授　　 新森昭宏　（情報センター長兼）
   現代社会学部　准教授　河野　信 
   現代社会学部　准教授　大谷友男
   子ども育成学部　教授　 彼谷　環
   子ども育成学部　講師　 岩崎直哉
・学務部教務課長　　 酒井　誠
・学務部教務課主査　堀井康弘
（以上、委員会規程第3条第1項に基づく委員9名）</t>
    <rPh sb="85" eb="86">
      <t xml:space="preserve">ジュン </t>
    </rPh>
    <rPh sb="196" eb="198">
      <t>サカイ</t>
    </rPh>
    <rPh sb="199" eb="200">
      <t>マコト</t>
    </rPh>
    <phoneticPr fontId="4"/>
  </si>
  <si>
    <t>富山国際大学数理・データ・サイエンス・AI教育プログラム検討委員会規程</t>
    <rPh sb="33" eb="35">
      <t xml:space="preserve">キテイ </t>
    </rPh>
    <phoneticPr fontId="4"/>
  </si>
  <si>
    <t>富山県富山市東黒牧65-1</t>
    <rPh sb="0" eb="3">
      <t xml:space="preserve">トヤマケン </t>
    </rPh>
    <rPh sb="3" eb="6">
      <t xml:space="preserve">トヤマシ </t>
    </rPh>
    <rPh sb="6" eb="9">
      <t>ヒガシクロマキ</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</si>
</sst>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31">
    <font>
      <sz val="11"/>
      <color theme="1"/>
      <name val="ＭＳ Ｐゴシック"/>
      <family val="2"/>
      <charset val="128"/>
      <scheme val="minor"/>
    </font>
    <font>
      <sz val="12"/>
      <color theme="1"/>
      <name val="ＭＳ Ｐゴシック"/>
      <family val="2"/>
      <charset val="128"/>
      <scheme val="minor"/>
    </font>
    <font>
      <sz val="12"/>
      <color theme="1"/>
      <name val="ＭＳ Ｐゴシック"/>
      <family val="2"/>
      <charset val="128"/>
      <scheme val="minor"/>
    </font>
    <font>
      <sz val="12"/>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u/>
      <sz val="11"/>
      <color rgb="FFFF0000"/>
      <name val="ＭＳ Ｐゴシック"/>
      <family val="2"/>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12"/>
      <color theme="1"/>
      <name val="ＭＳ Ｐゴシック"/>
      <family val="2"/>
      <charset val="128"/>
    </font>
    <font>
      <sz val="12"/>
      <color theme="1"/>
      <name val="ＭＳ Ｐゴシック"/>
      <family val="3"/>
      <charset val="128"/>
    </font>
    <font>
      <sz val="12"/>
      <color theme="1"/>
      <name val="ＭＳ Ｐゴシック (本文)"/>
      <family val="3"/>
      <charset val="128"/>
    </font>
    <font>
      <u/>
      <sz val="11"/>
      <color theme="1"/>
      <name val="ＭＳ Ｐゴシック"/>
      <family val="3"/>
      <charset val="128"/>
      <scheme val="minor"/>
    </font>
  </fonts>
  <fills count="2">
    <fill>
      <patternFill patternType="none"/>
    </fill>
    <fill>
      <patternFill patternType="gray125"/>
    </fill>
  </fills>
  <borders count="5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right style="thin">
        <color rgb="FF000000"/>
      </right>
      <top style="thin">
        <color indexed="64"/>
      </top>
      <bottom style="thin">
        <color indexed="64"/>
      </bottom>
      <diagonal/>
    </border>
  </borders>
  <cellStyleXfs count="3">
    <xf numFmtId="0" fontId="0" fillId="0" borderId="0">
      <alignment vertical="center"/>
    </xf>
    <xf numFmtId="38" fontId="9" fillId="0" borderId="0" applyFont="0" applyFill="0" applyBorder="0" applyAlignment="0" applyProtection="0">
      <alignment vertical="center"/>
    </xf>
    <xf numFmtId="0" fontId="10" fillId="0" borderId="0" applyNumberFormat="0" applyFill="0" applyBorder="0" applyAlignment="0" applyProtection="0">
      <alignment vertical="center"/>
    </xf>
  </cellStyleXfs>
  <cellXfs count="386">
    <xf numFmtId="0" fontId="0" fillId="0" borderId="0" xfId="0">
      <alignment vertical="center"/>
    </xf>
    <xf numFmtId="0" fontId="5" fillId="0" borderId="0" xfId="0" applyFont="1">
      <alignment vertical="center"/>
    </xf>
    <xf numFmtId="0" fontId="7" fillId="0" borderId="0" xfId="0" applyFont="1">
      <alignment vertical="center"/>
    </xf>
    <xf numFmtId="0" fontId="5" fillId="0" borderId="5" xfId="0" applyFont="1" applyBorder="1">
      <alignment vertical="center"/>
    </xf>
    <xf numFmtId="0" fontId="6" fillId="0" borderId="0" xfId="0" applyFont="1">
      <alignment vertical="center"/>
    </xf>
    <xf numFmtId="0" fontId="8" fillId="0" borderId="10" xfId="0" applyFont="1" applyBorder="1" applyAlignment="1">
      <alignment vertical="top" wrapText="1"/>
    </xf>
    <xf numFmtId="0" fontId="7" fillId="0" borderId="5" xfId="0" applyFont="1" applyBorder="1" applyAlignment="1">
      <alignment vertical="top" wrapText="1"/>
    </xf>
    <xf numFmtId="0" fontId="7" fillId="0" borderId="10" xfId="0" applyFont="1" applyBorder="1" applyAlignment="1">
      <alignment vertical="top" wrapText="1"/>
    </xf>
    <xf numFmtId="0" fontId="7" fillId="0" borderId="18" xfId="0" applyFont="1" applyBorder="1" applyAlignment="1">
      <alignment vertical="top" wrapText="1"/>
    </xf>
    <xf numFmtId="0" fontId="5" fillId="0" borderId="16" xfId="0" applyFont="1" applyBorder="1">
      <alignment vertical="center"/>
    </xf>
    <xf numFmtId="176" fontId="11" fillId="0" borderId="0" xfId="0" applyNumberFormat="1" applyFont="1" applyBorder="1">
      <alignment vertical="center"/>
    </xf>
    <xf numFmtId="176" fontId="11" fillId="0" borderId="3" xfId="0" applyNumberFormat="1" applyFont="1" applyBorder="1" applyAlignment="1">
      <alignment vertical="center" shrinkToFit="1"/>
    </xf>
    <xf numFmtId="0" fontId="11" fillId="0" borderId="0" xfId="0" applyFont="1" applyBorder="1" applyAlignment="1">
      <alignment horizontal="center" vertical="center" shrinkToFit="1"/>
    </xf>
    <xf numFmtId="0" fontId="12" fillId="0" borderId="0" xfId="0" applyFont="1">
      <alignment vertical="center"/>
    </xf>
    <xf numFmtId="0" fontId="11" fillId="0" borderId="0" xfId="0" applyFont="1">
      <alignment vertical="center"/>
    </xf>
    <xf numFmtId="0" fontId="11" fillId="0" borderId="0" xfId="0" applyFont="1" applyAlignment="1">
      <alignment vertical="center"/>
    </xf>
    <xf numFmtId="0" fontId="11" fillId="0" borderId="0" xfId="0" applyFont="1" applyAlignment="1">
      <alignment horizontal="left" vertical="center"/>
    </xf>
    <xf numFmtId="0" fontId="11" fillId="0" borderId="0" xfId="0" applyFont="1" applyBorder="1" applyAlignment="1">
      <alignment vertical="center"/>
    </xf>
    <xf numFmtId="0" fontId="11" fillId="0" borderId="5" xfId="0" applyFont="1" applyBorder="1">
      <alignment vertical="center"/>
    </xf>
    <xf numFmtId="176" fontId="11" fillId="0" borderId="0" xfId="0" applyNumberFormat="1" applyFont="1" applyBorder="1" applyAlignment="1">
      <alignment vertical="center" wrapText="1"/>
    </xf>
    <xf numFmtId="0" fontId="11" fillId="0" borderId="0" xfId="0" applyFont="1" applyBorder="1">
      <alignment vertical="center"/>
    </xf>
    <xf numFmtId="176" fontId="11" fillId="0" borderId="5" xfId="0" applyNumberFormat="1" applyFont="1" applyBorder="1" applyAlignment="1">
      <alignment vertical="center"/>
    </xf>
    <xf numFmtId="176" fontId="11" fillId="0" borderId="0" xfId="0" applyNumberFormat="1" applyFont="1" applyAlignment="1">
      <alignment vertical="center" wrapText="1"/>
    </xf>
    <xf numFmtId="176" fontId="11" fillId="0" borderId="0" xfId="0" applyNumberFormat="1" applyFont="1" applyAlignment="1">
      <alignment horizontal="left" vertical="center" wrapText="1"/>
    </xf>
    <xf numFmtId="0" fontId="11" fillId="0" borderId="6" xfId="0" applyFont="1" applyBorder="1" applyAlignment="1">
      <alignment vertical="center" shrinkToFit="1"/>
    </xf>
    <xf numFmtId="0" fontId="7" fillId="0" borderId="20" xfId="0" applyFont="1" applyBorder="1" applyAlignment="1">
      <alignment vertical="top" wrapText="1"/>
    </xf>
    <xf numFmtId="0" fontId="11" fillId="0" borderId="0" xfId="0" applyFont="1" applyAlignment="1">
      <alignment horizontal="center" vertical="center"/>
    </xf>
    <xf numFmtId="0" fontId="11" fillId="0" borderId="1" xfId="0" applyFont="1" applyBorder="1" applyAlignment="1">
      <alignment vertical="center" shrinkToFit="1"/>
    </xf>
    <xf numFmtId="0" fontId="13" fillId="0" borderId="0" xfId="0" applyFont="1">
      <alignment vertical="center"/>
    </xf>
    <xf numFmtId="0" fontId="16" fillId="0" borderId="20" xfId="0" applyFont="1" applyBorder="1" applyAlignment="1">
      <alignment vertical="top" shrinkToFit="1"/>
    </xf>
    <xf numFmtId="0" fontId="16" fillId="0" borderId="18" xfId="0" applyFont="1" applyBorder="1" applyAlignment="1">
      <alignment vertical="top" shrinkToFit="1"/>
    </xf>
    <xf numFmtId="0" fontId="17" fillId="0" borderId="0" xfId="0" applyFont="1">
      <alignment vertical="center"/>
    </xf>
    <xf numFmtId="0" fontId="13" fillId="0" borderId="0" xfId="0" applyFont="1" applyAlignment="1">
      <alignment vertical="center"/>
    </xf>
    <xf numFmtId="0" fontId="11" fillId="0" borderId="0" xfId="0" applyFont="1" applyBorder="1" applyAlignment="1">
      <alignment horizontal="center" vertical="center"/>
    </xf>
    <xf numFmtId="0" fontId="11" fillId="0" borderId="0" xfId="0" applyFont="1" applyBorder="1" applyAlignment="1">
      <alignment vertical="center" shrinkToFit="1"/>
    </xf>
    <xf numFmtId="0" fontId="6" fillId="0" borderId="0" xfId="0" applyFont="1" applyAlignment="1">
      <alignment horizontal="center" vertical="center"/>
    </xf>
    <xf numFmtId="0" fontId="7" fillId="0" borderId="0" xfId="0" applyFont="1" applyAlignment="1">
      <alignment vertical="top" wrapText="1"/>
    </xf>
    <xf numFmtId="0" fontId="8" fillId="0" borderId="0" xfId="0" applyFont="1" applyAlignment="1">
      <alignment vertical="top" wrapText="1"/>
    </xf>
    <xf numFmtId="0" fontId="5" fillId="0" borderId="0" xfId="0" applyFont="1" applyAlignment="1">
      <alignment horizontal="right" vertical="center"/>
    </xf>
    <xf numFmtId="0" fontId="19" fillId="0" borderId="0" xfId="0" applyFont="1" applyAlignment="1">
      <alignment horizontal="center" vertical="center"/>
    </xf>
    <xf numFmtId="0" fontId="21" fillId="0" borderId="11" xfId="0" applyFont="1" applyBorder="1" applyAlignment="1">
      <alignment horizontal="center" vertical="center"/>
    </xf>
    <xf numFmtId="0" fontId="21" fillId="0" borderId="29" xfId="0" applyFont="1" applyBorder="1" applyAlignment="1">
      <alignment horizontal="center" vertical="center" wrapText="1"/>
    </xf>
    <xf numFmtId="0" fontId="21" fillId="0" borderId="30" xfId="0" applyFont="1" applyBorder="1" applyAlignment="1">
      <alignment horizontal="center" vertical="center"/>
    </xf>
    <xf numFmtId="0" fontId="21" fillId="0" borderId="12" xfId="0" applyFont="1" applyBorder="1" applyAlignment="1">
      <alignment horizontal="center" vertical="center" wrapText="1"/>
    </xf>
    <xf numFmtId="0" fontId="6" fillId="0" borderId="0" xfId="0" applyFont="1" applyAlignment="1">
      <alignment vertical="center" shrinkToFit="1"/>
    </xf>
    <xf numFmtId="0" fontId="6" fillId="0" borderId="5" xfId="0" applyFont="1" applyBorder="1" applyAlignment="1">
      <alignment vertical="center" shrinkToFit="1"/>
    </xf>
    <xf numFmtId="176" fontId="6" fillId="0" borderId="5" xfId="0" applyNumberFormat="1" applyFont="1" applyBorder="1" applyAlignment="1">
      <alignment vertical="center" shrinkToFit="1"/>
    </xf>
    <xf numFmtId="176" fontId="6" fillId="0" borderId="31" xfId="0" applyNumberFormat="1" applyFont="1" applyBorder="1" applyAlignment="1">
      <alignment vertical="center" shrinkToFit="1"/>
    </xf>
    <xf numFmtId="176" fontId="6" fillId="0" borderId="32" xfId="0" applyNumberFormat="1" applyFont="1" applyBorder="1" applyAlignment="1">
      <alignment vertical="center" shrinkToFit="1"/>
    </xf>
    <xf numFmtId="176" fontId="6" fillId="0" borderId="10" xfId="0" applyNumberFormat="1" applyFont="1" applyBorder="1" applyAlignment="1">
      <alignment vertical="center" shrinkToFit="1"/>
    </xf>
    <xf numFmtId="176" fontId="6" fillId="0" borderId="14" xfId="0" applyNumberFormat="1" applyFont="1" applyBorder="1" applyAlignment="1">
      <alignment vertical="center" shrinkToFit="1"/>
    </xf>
    <xf numFmtId="9" fontId="6" fillId="0" borderId="10" xfId="0" applyNumberFormat="1" applyFont="1" applyBorder="1" applyAlignment="1">
      <alignment vertical="center" shrinkToFit="1"/>
    </xf>
    <xf numFmtId="0" fontId="6" fillId="0" borderId="18" xfId="0" applyFont="1" applyBorder="1" applyAlignment="1">
      <alignment vertical="center" shrinkToFit="1"/>
    </xf>
    <xf numFmtId="0" fontId="6" fillId="0" borderId="19" xfId="0" applyFont="1" applyBorder="1" applyAlignment="1">
      <alignment vertical="center" shrinkToFit="1"/>
    </xf>
    <xf numFmtId="176" fontId="6" fillId="0" borderId="19" xfId="0" applyNumberFormat="1" applyFont="1" applyBorder="1" applyAlignment="1">
      <alignment vertical="center" shrinkToFit="1"/>
    </xf>
    <xf numFmtId="176" fontId="6" fillId="0" borderId="33" xfId="0" applyNumberFormat="1" applyFont="1" applyBorder="1" applyAlignment="1">
      <alignment vertical="center" shrinkToFit="1"/>
    </xf>
    <xf numFmtId="176" fontId="6" fillId="0" borderId="34" xfId="0" applyNumberFormat="1" applyFont="1" applyBorder="1" applyAlignment="1">
      <alignment vertical="center" shrinkToFit="1"/>
    </xf>
    <xf numFmtId="176" fontId="6" fillId="0" borderId="18" xfId="0" applyNumberFormat="1" applyFont="1" applyBorder="1" applyAlignment="1">
      <alignment vertical="center" shrinkToFit="1"/>
    </xf>
    <xf numFmtId="176" fontId="6" fillId="0" borderId="23" xfId="0" applyNumberFormat="1" applyFont="1" applyBorder="1" applyAlignment="1">
      <alignment vertical="center" shrinkToFit="1"/>
    </xf>
    <xf numFmtId="9" fontId="6" fillId="0" borderId="23" xfId="0" applyNumberFormat="1" applyFont="1" applyBorder="1" applyAlignment="1">
      <alignment vertical="center" shrinkToFit="1"/>
    </xf>
    <xf numFmtId="0" fontId="6" fillId="0" borderId="20" xfId="0" applyFont="1" applyBorder="1" applyAlignment="1">
      <alignment vertical="center" shrinkToFit="1"/>
    </xf>
    <xf numFmtId="176" fontId="6" fillId="0" borderId="24" xfId="0" applyNumberFormat="1" applyFont="1" applyBorder="1" applyAlignment="1">
      <alignment vertical="center" shrinkToFit="1"/>
    </xf>
    <xf numFmtId="0" fontId="6" fillId="0" borderId="25" xfId="0" applyFont="1" applyBorder="1" applyAlignment="1">
      <alignment vertical="center" shrinkToFit="1"/>
    </xf>
    <xf numFmtId="176" fontId="6" fillId="0" borderId="25" xfId="0" applyNumberFormat="1" applyFont="1" applyBorder="1" applyAlignment="1">
      <alignment vertical="center" shrinkToFit="1"/>
    </xf>
    <xf numFmtId="176" fontId="6" fillId="0" borderId="35" xfId="0" applyNumberFormat="1" applyFont="1" applyBorder="1" applyAlignment="1">
      <alignment vertical="center" shrinkToFit="1"/>
    </xf>
    <xf numFmtId="176" fontId="6" fillId="0" borderId="36" xfId="0" applyNumberFormat="1" applyFont="1" applyBorder="1" applyAlignment="1">
      <alignment vertical="center" shrinkToFit="1"/>
    </xf>
    <xf numFmtId="176" fontId="6" fillId="0" borderId="27" xfId="0" applyNumberFormat="1" applyFont="1" applyBorder="1" applyAlignment="1">
      <alignment vertical="center" shrinkToFit="1"/>
    </xf>
    <xf numFmtId="176" fontId="6" fillId="0" borderId="28" xfId="0" applyNumberFormat="1" applyFont="1" applyBorder="1" applyAlignment="1">
      <alignment vertical="center" shrinkToFit="1"/>
    </xf>
    <xf numFmtId="9" fontId="6" fillId="0" borderId="27" xfId="0" applyNumberFormat="1" applyFont="1" applyBorder="1" applyAlignment="1">
      <alignment vertical="center" shrinkToFit="1"/>
    </xf>
    <xf numFmtId="0" fontId="11" fillId="0" borderId="0" xfId="0" applyFont="1" applyBorder="1" applyAlignment="1">
      <alignment vertical="center" shrinkToFit="1"/>
    </xf>
    <xf numFmtId="49" fontId="23" fillId="0" borderId="1" xfId="0" applyNumberFormat="1" applyFont="1" applyBorder="1" applyAlignment="1">
      <alignment horizontal="center" vertical="center"/>
    </xf>
    <xf numFmtId="0" fontId="11" fillId="0" borderId="0" xfId="0" applyFont="1" applyAlignment="1">
      <alignment vertical="center" shrinkToFit="1"/>
    </xf>
    <xf numFmtId="0" fontId="11" fillId="0" borderId="0" xfId="0" applyFont="1" applyAlignment="1">
      <alignment vertical="top" wrapText="1"/>
    </xf>
    <xf numFmtId="0" fontId="12" fillId="0" borderId="2" xfId="0" applyFont="1" applyBorder="1">
      <alignment vertical="center"/>
    </xf>
    <xf numFmtId="0" fontId="12" fillId="0" borderId="4" xfId="0" applyFont="1" applyBorder="1">
      <alignment vertical="center"/>
    </xf>
    <xf numFmtId="49" fontId="23" fillId="0" borderId="47" xfId="0" applyNumberFormat="1" applyFont="1" applyBorder="1" applyAlignment="1">
      <alignment horizontal="center" vertical="center"/>
    </xf>
    <xf numFmtId="49" fontId="23" fillId="0" borderId="33" xfId="0" applyNumberFormat="1" applyFont="1" applyBorder="1" applyAlignment="1">
      <alignment horizontal="center" vertical="center"/>
    </xf>
    <xf numFmtId="49" fontId="23" fillId="0" borderId="50" xfId="0" applyNumberFormat="1" applyFont="1" applyBorder="1" applyAlignment="1">
      <alignment horizontal="center" vertical="center"/>
    </xf>
    <xf numFmtId="0" fontId="11" fillId="0" borderId="44" xfId="0" applyFont="1" applyBorder="1" applyAlignment="1">
      <alignment horizontal="center" vertical="center" shrinkToFit="1"/>
    </xf>
    <xf numFmtId="0" fontId="11" fillId="0" borderId="45" xfId="0" applyFont="1" applyBorder="1" applyAlignment="1">
      <alignment horizontal="center" vertical="center" shrinkToFit="1"/>
    </xf>
    <xf numFmtId="49" fontId="23" fillId="0" borderId="51" xfId="0" applyNumberFormat="1" applyFont="1" applyBorder="1" applyAlignment="1">
      <alignment horizontal="center" vertical="center"/>
    </xf>
    <xf numFmtId="0" fontId="6" fillId="0" borderId="0" xfId="0" applyFont="1" applyAlignment="1">
      <alignment horizontal="left" vertical="center"/>
    </xf>
    <xf numFmtId="0" fontId="6" fillId="0" borderId="14" xfId="0" applyFont="1" applyBorder="1" applyAlignment="1">
      <alignment horizontal="left" vertical="center" shrinkToFit="1"/>
    </xf>
    <xf numFmtId="0" fontId="6" fillId="0" borderId="23" xfId="0" applyFont="1" applyBorder="1" applyAlignment="1">
      <alignment horizontal="left" vertical="center" shrinkToFit="1"/>
    </xf>
    <xf numFmtId="0" fontId="6" fillId="0" borderId="24" xfId="0" applyFont="1" applyBorder="1" applyAlignment="1">
      <alignment horizontal="left" vertical="center" shrinkToFit="1"/>
    </xf>
    <xf numFmtId="0" fontId="6" fillId="0" borderId="10" xfId="0" applyFont="1" applyBorder="1" applyAlignment="1">
      <alignment vertical="center" shrinkToFit="1"/>
    </xf>
    <xf numFmtId="0" fontId="6" fillId="0" borderId="28" xfId="0" applyFont="1" applyBorder="1" applyAlignment="1">
      <alignment horizontal="center" vertical="center" shrinkToFit="1"/>
    </xf>
    <xf numFmtId="0" fontId="6" fillId="0" borderId="26" xfId="0" applyFont="1" applyBorder="1" applyAlignment="1">
      <alignment vertical="center" shrinkToFit="1"/>
    </xf>
    <xf numFmtId="0" fontId="6" fillId="0" borderId="0" xfId="0" applyFont="1" applyAlignment="1">
      <alignment vertical="top" wrapText="1"/>
    </xf>
    <xf numFmtId="0" fontId="6" fillId="0" borderId="0" xfId="0" applyFont="1" applyAlignment="1">
      <alignment vertical="center" wrapText="1"/>
    </xf>
    <xf numFmtId="0" fontId="11" fillId="0" borderId="7" xfId="0" applyFont="1" applyBorder="1" applyAlignment="1">
      <alignment horizontal="center" vertical="center" wrapText="1" shrinkToFit="1"/>
    </xf>
    <xf numFmtId="9" fontId="11" fillId="0" borderId="8" xfId="0" applyNumberFormat="1" applyFont="1" applyBorder="1" applyAlignment="1">
      <alignment horizontal="center" vertical="center" wrapText="1" shrinkToFit="1"/>
    </xf>
    <xf numFmtId="0" fontId="11" fillId="0" borderId="8" xfId="0" applyFont="1" applyBorder="1" applyAlignment="1">
      <alignment horizontal="center" vertical="center" wrapText="1" shrinkToFit="1"/>
    </xf>
    <xf numFmtId="9" fontId="11" fillId="0" borderId="8" xfId="0" applyNumberFormat="1" applyFont="1" applyBorder="1" applyAlignment="1">
      <alignment horizontal="center" vertical="center" shrinkToFit="1"/>
    </xf>
    <xf numFmtId="0" fontId="11" fillId="0" borderId="9" xfId="0" applyFont="1" applyBorder="1" applyAlignment="1">
      <alignment horizontal="center" vertical="center" shrinkToFit="1"/>
    </xf>
    <xf numFmtId="9" fontId="11" fillId="0" borderId="45" xfId="0" applyNumberFormat="1" applyFont="1" applyBorder="1" applyAlignment="1">
      <alignment horizontal="center" vertical="center" shrinkToFit="1"/>
    </xf>
    <xf numFmtId="176" fontId="11" fillId="0" borderId="45" xfId="0" applyNumberFormat="1" applyFont="1" applyBorder="1" applyAlignment="1">
      <alignment horizontal="center" vertical="center" shrinkToFit="1"/>
    </xf>
    <xf numFmtId="0" fontId="11" fillId="0" borderId="46" xfId="0" applyFont="1" applyBorder="1" applyAlignment="1">
      <alignment horizontal="center" vertical="center" shrinkToFit="1"/>
    </xf>
    <xf numFmtId="0" fontId="5" fillId="0" borderId="0" xfId="0" applyFont="1" applyAlignment="1">
      <alignment vertical="center" wrapText="1"/>
    </xf>
    <xf numFmtId="0" fontId="7" fillId="0" borderId="0" xfId="0" applyFont="1" applyAlignment="1">
      <alignment vertical="top" shrinkToFit="1"/>
    </xf>
    <xf numFmtId="0" fontId="7" fillId="0" borderId="0" xfId="0" applyFont="1" applyAlignment="1">
      <alignment vertical="center" wrapText="1"/>
    </xf>
    <xf numFmtId="0" fontId="5" fillId="0" borderId="0" xfId="0" applyFont="1" applyAlignment="1">
      <alignment vertical="top" wrapText="1"/>
    </xf>
    <xf numFmtId="0" fontId="11" fillId="0" borderId="2" xfId="0" applyFont="1" applyBorder="1" applyAlignment="1">
      <alignment vertical="center"/>
    </xf>
    <xf numFmtId="0" fontId="11" fillId="0" borderId="3" xfId="0" applyFont="1" applyBorder="1" applyAlignment="1">
      <alignment vertical="center"/>
    </xf>
    <xf numFmtId="0" fontId="11" fillId="0" borderId="4" xfId="0" applyFont="1" applyBorder="1" applyAlignment="1">
      <alignment vertical="center"/>
    </xf>
    <xf numFmtId="49" fontId="23" fillId="0" borderId="52" xfId="0" applyNumberFormat="1" applyFont="1" applyBorder="1" applyAlignment="1">
      <alignment horizontal="center" vertical="center"/>
    </xf>
    <xf numFmtId="49" fontId="23" fillId="0" borderId="29" xfId="0" applyNumberFormat="1" applyFont="1" applyBorder="1" applyAlignment="1">
      <alignment horizontal="center" vertical="center"/>
    </xf>
    <xf numFmtId="0" fontId="26" fillId="0" borderId="4" xfId="0" applyFont="1" applyBorder="1" applyAlignment="1">
      <alignment horizontal="center" vertical="center" shrinkToFit="1"/>
    </xf>
    <xf numFmtId="0" fontId="11" fillId="0" borderId="14" xfId="0" applyFont="1" applyBorder="1" applyAlignment="1">
      <alignment horizontal="center" vertical="center" shrinkToFit="1"/>
    </xf>
    <xf numFmtId="0" fontId="11" fillId="0" borderId="23" xfId="0" applyFont="1" applyBorder="1" applyAlignment="1">
      <alignment horizontal="center" vertical="center" shrinkToFit="1"/>
    </xf>
    <xf numFmtId="0" fontId="11" fillId="0" borderId="13" xfId="0" applyFont="1" applyBorder="1" applyAlignment="1">
      <alignment horizontal="center" vertical="center" shrinkToFit="1"/>
    </xf>
    <xf numFmtId="0" fontId="6" fillId="0" borderId="0" xfId="0" applyFont="1" applyBorder="1" applyAlignment="1">
      <alignment vertical="center" shrinkToFit="1"/>
    </xf>
    <xf numFmtId="0" fontId="11" fillId="0" borderId="1" xfId="0" applyFont="1" applyBorder="1" applyAlignment="1">
      <alignment horizontal="center" vertical="center" shrinkToFit="1"/>
    </xf>
    <xf numFmtId="0" fontId="11" fillId="0" borderId="18" xfId="0" applyFont="1" applyBorder="1" applyAlignment="1">
      <alignment horizontal="center" vertical="center"/>
    </xf>
    <xf numFmtId="0" fontId="11" fillId="0" borderId="42" xfId="0" applyFont="1" applyBorder="1" applyAlignment="1">
      <alignment horizontal="center" vertical="center"/>
    </xf>
    <xf numFmtId="0" fontId="11" fillId="0" borderId="38" xfId="0" applyFont="1" applyBorder="1" applyAlignment="1">
      <alignment horizontal="center" vertical="center"/>
    </xf>
    <xf numFmtId="0" fontId="11" fillId="0" borderId="43" xfId="0" applyFont="1" applyBorder="1" applyAlignment="1">
      <alignment horizontal="center" vertical="center" shrinkToFit="1"/>
    </xf>
    <xf numFmtId="0" fontId="11" fillId="0" borderId="0" xfId="0" applyFont="1" applyBorder="1" applyAlignment="1">
      <alignment vertical="center" shrinkToFit="1"/>
    </xf>
    <xf numFmtId="0" fontId="11" fillId="0" borderId="18" xfId="0" applyFont="1" applyBorder="1" applyAlignment="1">
      <alignment horizontal="center" vertical="center"/>
    </xf>
    <xf numFmtId="0" fontId="11" fillId="0" borderId="42" xfId="0" applyFont="1" applyBorder="1" applyAlignment="1">
      <alignment horizontal="center" vertical="center"/>
    </xf>
    <xf numFmtId="0" fontId="11" fillId="0" borderId="38" xfId="0" applyFont="1" applyBorder="1" applyAlignment="1">
      <alignment horizontal="center" vertical="center"/>
    </xf>
    <xf numFmtId="176" fontId="6" fillId="0" borderId="31" xfId="0" applyNumberFormat="1" applyFont="1" applyFill="1" applyBorder="1" applyAlignment="1">
      <alignment vertical="center" shrinkToFit="1"/>
    </xf>
    <xf numFmtId="0" fontId="6" fillId="0" borderId="0" xfId="0" applyFont="1" applyBorder="1">
      <alignment vertical="center"/>
    </xf>
    <xf numFmtId="176" fontId="6" fillId="0" borderId="0" xfId="0" applyNumberFormat="1" applyFont="1" applyAlignment="1">
      <alignment horizontal="left" vertical="center" wrapText="1"/>
    </xf>
    <xf numFmtId="0" fontId="6" fillId="0" borderId="0" xfId="0" applyFont="1" applyAlignment="1">
      <alignment vertical="center"/>
    </xf>
    <xf numFmtId="0" fontId="6" fillId="0" borderId="0" xfId="0" applyFont="1" applyBorder="1" applyAlignment="1">
      <alignment vertical="center"/>
    </xf>
    <xf numFmtId="0" fontId="6" fillId="0" borderId="6" xfId="0" applyFont="1" applyBorder="1" applyAlignment="1">
      <alignment vertical="center" shrinkToFit="1"/>
    </xf>
    <xf numFmtId="0" fontId="6" fillId="0" borderId="0" xfId="0" applyFont="1" applyBorder="1" applyAlignment="1">
      <alignment horizontal="center" vertical="center" shrinkToFit="1"/>
    </xf>
    <xf numFmtId="0" fontId="6" fillId="0" borderId="0" xfId="0" applyFont="1" applyFill="1">
      <alignment vertical="center"/>
    </xf>
    <xf numFmtId="0" fontId="6" fillId="0" borderId="1" xfId="0" applyFont="1" applyBorder="1" applyAlignment="1">
      <alignment vertical="center" shrinkToFit="1"/>
    </xf>
    <xf numFmtId="0" fontId="6" fillId="0" borderId="2" xfId="0" applyFont="1" applyBorder="1">
      <alignment vertical="center"/>
    </xf>
    <xf numFmtId="0" fontId="6" fillId="0" borderId="4" xfId="0" applyFont="1" applyBorder="1">
      <alignment vertical="center"/>
    </xf>
    <xf numFmtId="0" fontId="6" fillId="0" borderId="1" xfId="0" applyFont="1" applyBorder="1">
      <alignment vertical="center"/>
    </xf>
    <xf numFmtId="0" fontId="12" fillId="0" borderId="0" xfId="0" applyFont="1">
      <alignment vertical="center"/>
    </xf>
    <xf numFmtId="0" fontId="11" fillId="0" borderId="0" xfId="0" applyFont="1">
      <alignment vertical="center"/>
    </xf>
    <xf numFmtId="49" fontId="30" fillId="0" borderId="2" xfId="2" applyNumberFormat="1" applyFont="1" applyBorder="1" applyAlignment="1">
      <alignment vertical="center" shrinkToFit="1"/>
    </xf>
    <xf numFmtId="49" fontId="6" fillId="0" borderId="3" xfId="0" applyNumberFormat="1" applyFont="1" applyBorder="1" applyAlignment="1">
      <alignment vertical="center" shrinkToFit="1"/>
    </xf>
    <xf numFmtId="49" fontId="6" fillId="0" borderId="4" xfId="0" applyNumberFormat="1" applyFont="1" applyBorder="1" applyAlignment="1">
      <alignment vertical="center" shrinkToFit="1"/>
    </xf>
    <xf numFmtId="49" fontId="6" fillId="0" borderId="2" xfId="1" applyNumberFormat="1" applyFont="1" applyBorder="1" applyAlignment="1">
      <alignment horizontal="center" vertical="center" shrinkToFit="1"/>
    </xf>
    <xf numFmtId="49" fontId="6" fillId="0" borderId="3" xfId="1" applyNumberFormat="1" applyFont="1" applyBorder="1" applyAlignment="1">
      <alignment horizontal="center" vertical="center" shrinkToFit="1"/>
    </xf>
    <xf numFmtId="49" fontId="6" fillId="0" borderId="4" xfId="1" applyNumberFormat="1" applyFont="1" applyBorder="1" applyAlignment="1">
      <alignment horizontal="center" vertical="center" shrinkToFit="1"/>
    </xf>
    <xf numFmtId="0" fontId="11" fillId="0" borderId="0" xfId="0" applyFont="1" applyBorder="1" applyAlignment="1">
      <alignment horizontal="center" vertical="center"/>
    </xf>
    <xf numFmtId="0" fontId="6" fillId="0" borderId="2" xfId="0" applyFont="1" applyBorder="1" applyAlignment="1">
      <alignment horizontal="center" vertical="center" shrinkToFit="1"/>
    </xf>
    <xf numFmtId="0" fontId="6" fillId="0" borderId="3" xfId="0" applyFont="1" applyBorder="1" applyAlignment="1">
      <alignment horizontal="center" vertical="center" shrinkToFit="1"/>
    </xf>
    <xf numFmtId="0" fontId="6" fillId="0" borderId="4" xfId="0" applyFont="1" applyBorder="1" applyAlignment="1">
      <alignment horizontal="center" vertical="center" shrinkToFit="1"/>
    </xf>
    <xf numFmtId="176" fontId="11" fillId="0" borderId="2" xfId="0" applyNumberFormat="1" applyFont="1" applyBorder="1" applyAlignment="1">
      <alignment horizontal="center" vertical="center" shrinkToFit="1"/>
    </xf>
    <xf numFmtId="176" fontId="11" fillId="0" borderId="4" xfId="0" applyNumberFormat="1" applyFont="1" applyBorder="1" applyAlignment="1">
      <alignment horizontal="center" vertical="center" shrinkToFit="1"/>
    </xf>
    <xf numFmtId="0" fontId="6" fillId="0" borderId="2" xfId="0" applyFont="1" applyBorder="1" applyAlignment="1">
      <alignment vertical="center" shrinkToFit="1"/>
    </xf>
    <xf numFmtId="0" fontId="6" fillId="0" borderId="3" xfId="0" applyFont="1" applyBorder="1" applyAlignment="1">
      <alignment vertical="center" shrinkToFit="1"/>
    </xf>
    <xf numFmtId="0" fontId="6" fillId="0" borderId="0" xfId="0" applyFont="1" applyBorder="1" applyAlignment="1">
      <alignment horizontal="right" vertical="center" shrinkToFit="1"/>
    </xf>
    <xf numFmtId="0" fontId="6" fillId="0" borderId="5" xfId="0" applyFont="1" applyBorder="1" applyAlignment="1">
      <alignment horizontal="right" vertical="center" shrinkToFit="1"/>
    </xf>
    <xf numFmtId="0" fontId="6" fillId="0" borderId="10" xfId="0" applyFont="1" applyBorder="1" applyAlignment="1">
      <alignment horizontal="right" vertical="center" shrinkToFit="1"/>
    </xf>
    <xf numFmtId="0" fontId="11" fillId="0" borderId="0" xfId="0" applyFont="1" applyAlignment="1">
      <alignment horizontal="right" vertical="center"/>
    </xf>
    <xf numFmtId="0" fontId="11" fillId="0" borderId="0" xfId="0" applyFont="1" applyBorder="1" applyAlignment="1">
      <alignment horizontal="right" vertical="center"/>
    </xf>
    <xf numFmtId="0" fontId="11" fillId="0" borderId="10" xfId="0" applyFont="1" applyBorder="1" applyAlignment="1">
      <alignment horizontal="right" vertical="center"/>
    </xf>
    <xf numFmtId="0" fontId="11" fillId="0" borderId="2" xfId="0" applyFont="1" applyBorder="1" applyAlignment="1">
      <alignment horizontal="center" vertical="center" shrinkToFit="1"/>
    </xf>
    <xf numFmtId="0" fontId="11" fillId="0" borderId="3" xfId="0" applyFont="1" applyBorder="1" applyAlignment="1">
      <alignment horizontal="center" vertical="center" shrinkToFit="1"/>
    </xf>
    <xf numFmtId="0" fontId="11" fillId="0" borderId="4" xfId="0" applyFont="1" applyBorder="1" applyAlignment="1">
      <alignment horizontal="center" vertical="center" shrinkToFit="1"/>
    </xf>
    <xf numFmtId="176" fontId="11" fillId="0" borderId="2" xfId="0" applyNumberFormat="1" applyFont="1" applyFill="1" applyBorder="1" applyAlignment="1">
      <alignment horizontal="center" vertical="center" shrinkToFit="1"/>
    </xf>
    <xf numFmtId="176" fontId="11" fillId="0" borderId="3" xfId="0" applyNumberFormat="1" applyFont="1" applyFill="1" applyBorder="1" applyAlignment="1">
      <alignment horizontal="center" vertical="center" shrinkToFit="1"/>
    </xf>
    <xf numFmtId="176" fontId="11" fillId="0" borderId="4" xfId="0" applyNumberFormat="1" applyFont="1" applyFill="1" applyBorder="1" applyAlignment="1">
      <alignment horizontal="center" vertical="center" shrinkToFit="1"/>
    </xf>
    <xf numFmtId="0" fontId="18" fillId="0" borderId="0" xfId="0" applyFont="1" applyAlignment="1">
      <alignment horizontal="center" vertical="center"/>
    </xf>
    <xf numFmtId="0" fontId="11" fillId="0" borderId="2" xfId="0" applyNumberFormat="1" applyFont="1" applyBorder="1" applyAlignment="1">
      <alignment horizontal="center" vertical="center"/>
    </xf>
    <xf numFmtId="0" fontId="11" fillId="0" borderId="4" xfId="0" applyNumberFormat="1" applyFont="1" applyBorder="1" applyAlignment="1">
      <alignment horizontal="center" vertical="center"/>
    </xf>
    <xf numFmtId="0" fontId="6" fillId="0" borderId="53" xfId="0" applyFont="1" applyBorder="1" applyAlignment="1">
      <alignment horizontal="center" vertical="center" shrinkToFit="1"/>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176" fontId="11" fillId="0" borderId="2" xfId="0" applyNumberFormat="1" applyFont="1" applyBorder="1" applyAlignment="1">
      <alignment horizontal="center" vertical="center"/>
    </xf>
    <xf numFmtId="176" fontId="11" fillId="0" borderId="3" xfId="0" applyNumberFormat="1" applyFont="1" applyBorder="1" applyAlignment="1">
      <alignment horizontal="center" vertical="center"/>
    </xf>
    <xf numFmtId="176" fontId="11" fillId="0" borderId="4" xfId="0" applyNumberFormat="1" applyFont="1" applyBorder="1" applyAlignment="1">
      <alignment horizontal="center" vertical="center"/>
    </xf>
    <xf numFmtId="0" fontId="11" fillId="0" borderId="0" xfId="0" applyFont="1" applyBorder="1" applyAlignment="1">
      <alignment vertical="center" shrinkToFit="1"/>
    </xf>
    <xf numFmtId="176" fontId="6" fillId="0" borderId="2" xfId="0" applyNumberFormat="1" applyFont="1" applyBorder="1" applyAlignment="1">
      <alignment horizontal="center" vertical="center" shrinkToFit="1"/>
    </xf>
    <xf numFmtId="176" fontId="6" fillId="0" borderId="4" xfId="0" applyNumberFormat="1" applyFont="1" applyBorder="1" applyAlignment="1">
      <alignment horizontal="center" vertical="center" shrinkToFit="1"/>
    </xf>
    <xf numFmtId="0" fontId="11" fillId="0" borderId="37" xfId="0" applyFont="1" applyBorder="1" applyAlignment="1">
      <alignment vertical="center" shrinkToFit="1"/>
    </xf>
    <xf numFmtId="0" fontId="11" fillId="0" borderId="39" xfId="0" applyFont="1" applyBorder="1" applyAlignment="1">
      <alignment vertical="center" shrinkToFit="1"/>
    </xf>
    <xf numFmtId="0" fontId="11" fillId="0" borderId="38" xfId="0" applyFont="1" applyBorder="1" applyAlignment="1">
      <alignment vertical="center" shrinkToFit="1"/>
    </xf>
    <xf numFmtId="0" fontId="11" fillId="0" borderId="37" xfId="0" applyFont="1" applyBorder="1" applyAlignment="1">
      <alignment horizontal="center" vertical="center" shrinkToFit="1"/>
    </xf>
    <xf numFmtId="0" fontId="11" fillId="0" borderId="39" xfId="0" applyFont="1" applyBorder="1" applyAlignment="1">
      <alignment horizontal="center" vertical="center" shrinkToFit="1"/>
    </xf>
    <xf numFmtId="0" fontId="11" fillId="0" borderId="38" xfId="0" applyFont="1" applyBorder="1" applyAlignment="1">
      <alignment horizontal="center" vertical="center" shrinkToFit="1"/>
    </xf>
    <xf numFmtId="0" fontId="12" fillId="0" borderId="19" xfId="0" applyFont="1" applyBorder="1" applyAlignment="1">
      <alignment vertical="center" wrapText="1" shrinkToFit="1"/>
    </xf>
    <xf numFmtId="0" fontId="12" fillId="0" borderId="20" xfId="0" applyFont="1" applyBorder="1" applyAlignment="1">
      <alignment vertical="center" shrinkToFit="1"/>
    </xf>
    <xf numFmtId="0" fontId="12" fillId="0" borderId="18" xfId="0" applyFont="1" applyBorder="1" applyAlignment="1">
      <alignment vertical="center" shrinkToFit="1"/>
    </xf>
    <xf numFmtId="0" fontId="11" fillId="0" borderId="19" xfId="0" applyFont="1" applyBorder="1" applyAlignment="1">
      <alignment vertical="center" shrinkToFit="1"/>
    </xf>
    <xf numFmtId="0" fontId="11" fillId="0" borderId="20" xfId="0" applyFont="1" applyBorder="1" applyAlignment="1">
      <alignment vertical="center" shrinkToFit="1"/>
    </xf>
    <xf numFmtId="0" fontId="11" fillId="0" borderId="18" xfId="0" applyFont="1" applyBorder="1" applyAlignment="1">
      <alignment vertical="center" shrinkToFit="1"/>
    </xf>
    <xf numFmtId="0" fontId="11" fillId="0" borderId="19" xfId="0" applyFont="1" applyBorder="1" applyAlignment="1">
      <alignment horizontal="center" vertical="center" shrinkToFit="1"/>
    </xf>
    <xf numFmtId="0" fontId="11" fillId="0" borderId="20" xfId="0" applyFont="1" applyBorder="1" applyAlignment="1">
      <alignment horizontal="center" vertical="center" shrinkToFit="1"/>
    </xf>
    <xf numFmtId="0" fontId="11" fillId="0" borderId="18" xfId="0" applyFont="1" applyBorder="1" applyAlignment="1">
      <alignment horizontal="center" vertical="center" shrinkToFit="1"/>
    </xf>
    <xf numFmtId="0" fontId="25" fillId="0" borderId="48" xfId="0" applyFont="1" applyBorder="1" applyAlignment="1">
      <alignment vertical="center" wrapText="1"/>
    </xf>
    <xf numFmtId="0" fontId="25" fillId="0" borderId="49" xfId="0" applyFont="1" applyBorder="1" applyAlignment="1">
      <alignment vertical="center" wrapText="1"/>
    </xf>
    <xf numFmtId="0" fontId="24" fillId="0" borderId="48" xfId="0" applyFont="1" applyBorder="1" applyAlignment="1">
      <alignment vertical="center" wrapText="1"/>
    </xf>
    <xf numFmtId="0" fontId="24" fillId="0" borderId="32" xfId="0" applyFont="1" applyBorder="1" applyAlignment="1">
      <alignment vertical="center" wrapText="1"/>
    </xf>
    <xf numFmtId="0" fontId="12" fillId="0" borderId="39" xfId="0" applyFont="1" applyBorder="1" applyAlignment="1">
      <alignment vertical="center" wrapText="1" shrinkToFit="1"/>
    </xf>
    <xf numFmtId="0" fontId="12" fillId="0" borderId="39" xfId="0" applyFont="1" applyBorder="1" applyAlignment="1">
      <alignment vertical="center" shrinkToFit="1"/>
    </xf>
    <xf numFmtId="0" fontId="12" fillId="0" borderId="38" xfId="0" applyFont="1" applyBorder="1" applyAlignment="1">
      <alignment vertical="center" shrinkToFit="1"/>
    </xf>
    <xf numFmtId="0" fontId="12" fillId="0" borderId="6" xfId="0" applyFont="1" applyBorder="1" applyAlignment="1">
      <alignment vertical="center" wrapText="1"/>
    </xf>
    <xf numFmtId="0" fontId="12" fillId="0" borderId="12" xfId="0" applyFont="1" applyBorder="1" applyAlignment="1">
      <alignment vertical="center" wrapText="1"/>
    </xf>
    <xf numFmtId="0" fontId="25" fillId="0" borderId="32" xfId="0" applyFont="1" applyBorder="1" applyAlignment="1">
      <alignment vertical="center" wrapText="1"/>
    </xf>
    <xf numFmtId="0" fontId="12" fillId="0" borderId="8" xfId="0" applyFont="1" applyBorder="1" applyAlignment="1">
      <alignment horizontal="left" vertical="center" wrapText="1" shrinkToFit="1"/>
    </xf>
    <xf numFmtId="0" fontId="12" fillId="0" borderId="8" xfId="0" applyFont="1" applyBorder="1" applyAlignment="1">
      <alignment horizontal="left" vertical="center" shrinkToFit="1"/>
    </xf>
    <xf numFmtId="0" fontId="12" fillId="0" borderId="9" xfId="0" applyFont="1" applyBorder="1" applyAlignment="1">
      <alignment horizontal="left" vertical="center" shrinkToFit="1"/>
    </xf>
    <xf numFmtId="0" fontId="12" fillId="0" borderId="20" xfId="0" applyFont="1" applyBorder="1" applyAlignment="1">
      <alignment horizontal="left" vertical="center" wrapText="1" shrinkToFit="1"/>
    </xf>
    <xf numFmtId="0" fontId="12" fillId="0" borderId="20" xfId="0" applyFont="1" applyBorder="1" applyAlignment="1">
      <alignment horizontal="left" vertical="center" shrinkToFit="1"/>
    </xf>
    <xf numFmtId="0" fontId="12" fillId="0" borderId="18" xfId="0" applyFont="1" applyBorder="1" applyAlignment="1">
      <alignment horizontal="left" vertical="center" shrinkToFit="1"/>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1" fillId="0" borderId="37" xfId="0" applyFont="1" applyBorder="1" applyAlignment="1">
      <alignment horizontal="center" vertical="center"/>
    </xf>
    <xf numFmtId="0" fontId="11" fillId="0" borderId="39" xfId="0" applyFont="1" applyBorder="1" applyAlignment="1">
      <alignment horizontal="center" vertical="center"/>
    </xf>
    <xf numFmtId="0" fontId="11" fillId="0" borderId="38" xfId="0" applyFont="1" applyBorder="1" applyAlignment="1">
      <alignment horizontal="center" vertical="center"/>
    </xf>
    <xf numFmtId="0" fontId="11" fillId="0" borderId="19" xfId="0" applyFont="1" applyBorder="1" applyAlignment="1">
      <alignment horizontal="center" vertical="center"/>
    </xf>
    <xf numFmtId="0" fontId="11" fillId="0" borderId="20" xfId="0" applyFont="1" applyBorder="1" applyAlignment="1">
      <alignment horizontal="center" vertical="center"/>
    </xf>
    <xf numFmtId="0" fontId="11" fillId="0" borderId="18" xfId="0" applyFont="1" applyBorder="1" applyAlignment="1">
      <alignment horizontal="center" vertical="center"/>
    </xf>
    <xf numFmtId="0" fontId="11" fillId="0" borderId="37" xfId="0" applyFont="1" applyBorder="1" applyAlignment="1">
      <alignment horizontal="left" vertical="center" shrinkToFit="1"/>
    </xf>
    <xf numFmtId="0" fontId="11" fillId="0" borderId="39" xfId="0" applyFont="1" applyBorder="1" applyAlignment="1">
      <alignment horizontal="left" vertical="center" shrinkToFit="1"/>
    </xf>
    <xf numFmtId="0" fontId="11" fillId="0" borderId="38" xfId="0" applyFont="1" applyBorder="1" applyAlignment="1">
      <alignment horizontal="left" vertical="center" shrinkToFit="1"/>
    </xf>
    <xf numFmtId="0" fontId="11" fillId="0" borderId="19" xfId="0" applyFont="1" applyBorder="1" applyAlignment="1">
      <alignment horizontal="left" vertical="center" shrinkToFit="1"/>
    </xf>
    <xf numFmtId="0" fontId="11" fillId="0" borderId="20" xfId="0" applyFont="1" applyBorder="1" applyAlignment="1">
      <alignment horizontal="left" vertical="center" shrinkToFit="1"/>
    </xf>
    <xf numFmtId="0" fontId="11" fillId="0" borderId="18" xfId="0" applyFont="1" applyBorder="1" applyAlignment="1">
      <alignment horizontal="left" vertical="center" shrinkToFit="1"/>
    </xf>
    <xf numFmtId="0" fontId="11" fillId="0" borderId="40" xfId="0" applyFont="1" applyBorder="1" applyAlignment="1">
      <alignment horizontal="center" vertical="center"/>
    </xf>
    <xf numFmtId="0" fontId="11" fillId="0" borderId="41" xfId="0" applyFont="1" applyBorder="1" applyAlignment="1">
      <alignment horizontal="center" vertical="center"/>
    </xf>
    <xf numFmtId="0" fontId="11" fillId="0" borderId="42" xfId="0" applyFont="1" applyBorder="1" applyAlignment="1">
      <alignment horizontal="center" vertical="center"/>
    </xf>
    <xf numFmtId="0" fontId="11" fillId="0" borderId="0" xfId="0" applyFont="1" applyAlignment="1">
      <alignment vertical="center" wrapText="1"/>
    </xf>
    <xf numFmtId="0" fontId="11" fillId="0" borderId="40" xfId="0" applyFont="1" applyBorder="1" applyAlignment="1">
      <alignment horizontal="left" vertical="center" shrinkToFit="1"/>
    </xf>
    <xf numFmtId="0" fontId="11" fillId="0" borderId="41" xfId="0" applyFont="1" applyBorder="1" applyAlignment="1">
      <alignment horizontal="left" vertical="center" shrinkToFit="1"/>
    </xf>
    <xf numFmtId="0" fontId="11" fillId="0" borderId="42" xfId="0" applyFont="1" applyBorder="1" applyAlignment="1">
      <alignment horizontal="left" vertical="center" shrinkToFit="1"/>
    </xf>
    <xf numFmtId="0" fontId="22" fillId="0" borderId="0" xfId="0" applyFont="1" applyAlignment="1">
      <alignment horizontal="center" vertical="center"/>
    </xf>
    <xf numFmtId="0" fontId="6" fillId="0" borderId="7" xfId="0" applyFont="1" applyBorder="1" applyAlignment="1">
      <alignment horizontal="left" vertical="top" shrinkToFit="1"/>
    </xf>
    <xf numFmtId="0" fontId="3" fillId="0" borderId="8" xfId="0" applyFont="1" applyBorder="1" applyAlignment="1">
      <alignment horizontal="left" vertical="top" shrinkToFit="1"/>
    </xf>
    <xf numFmtId="0" fontId="3" fillId="0" borderId="9" xfId="0" applyFont="1" applyBorder="1" applyAlignment="1">
      <alignment horizontal="left" vertical="top" shrinkToFit="1"/>
    </xf>
    <xf numFmtId="0" fontId="3" fillId="0" borderId="5" xfId="0" applyFont="1" applyBorder="1" applyAlignment="1">
      <alignment horizontal="left" vertical="top" shrinkToFit="1"/>
    </xf>
    <xf numFmtId="0" fontId="3" fillId="0" borderId="0" xfId="0" applyFont="1" applyBorder="1" applyAlignment="1">
      <alignment horizontal="left" vertical="top" shrinkToFit="1"/>
    </xf>
    <xf numFmtId="0" fontId="3" fillId="0" borderId="10" xfId="0" applyFont="1" applyBorder="1" applyAlignment="1">
      <alignment horizontal="left" vertical="top" shrinkToFit="1"/>
    </xf>
    <xf numFmtId="0" fontId="3" fillId="0" borderId="0" xfId="0" applyFont="1" applyAlignment="1">
      <alignment horizontal="left" vertical="top" shrinkToFit="1"/>
    </xf>
    <xf numFmtId="0" fontId="3" fillId="0" borderId="11" xfId="0" applyFont="1" applyBorder="1" applyAlignment="1">
      <alignment horizontal="left" vertical="top" shrinkToFit="1"/>
    </xf>
    <xf numFmtId="0" fontId="3" fillId="0" borderId="6" xfId="0" applyFont="1" applyBorder="1" applyAlignment="1">
      <alignment horizontal="left" vertical="top" shrinkToFit="1"/>
    </xf>
    <xf numFmtId="0" fontId="3" fillId="0" borderId="12" xfId="0" applyFont="1" applyBorder="1" applyAlignment="1">
      <alignment horizontal="left" vertical="top" shrinkToFit="1"/>
    </xf>
    <xf numFmtId="0" fontId="12" fillId="0" borderId="22" xfId="0" applyFont="1" applyBorder="1" applyAlignment="1">
      <alignment horizontal="left" vertical="center" wrapText="1" shrinkToFit="1"/>
    </xf>
    <xf numFmtId="0" fontId="12" fillId="0" borderId="22" xfId="0" applyFont="1" applyBorder="1" applyAlignment="1">
      <alignment horizontal="left" vertical="center" shrinkToFit="1"/>
    </xf>
    <xf numFmtId="0" fontId="12" fillId="0" borderId="21" xfId="0" applyFont="1" applyBorder="1" applyAlignment="1">
      <alignment horizontal="left" vertical="center" shrinkToFit="1"/>
    </xf>
    <xf numFmtId="0" fontId="12" fillId="0" borderId="39" xfId="0" applyFont="1" applyBorder="1" applyAlignment="1">
      <alignment horizontal="left" vertical="center" wrapText="1" shrinkToFit="1"/>
    </xf>
    <xf numFmtId="0" fontId="12" fillId="0" borderId="39" xfId="0" applyFont="1" applyBorder="1" applyAlignment="1">
      <alignment horizontal="left" vertical="center" shrinkToFit="1"/>
    </xf>
    <xf numFmtId="0" fontId="12" fillId="0" borderId="38" xfId="0" applyFont="1" applyBorder="1" applyAlignment="1">
      <alignment horizontal="left" vertical="center" shrinkToFit="1"/>
    </xf>
    <xf numFmtId="0" fontId="12" fillId="0" borderId="6" xfId="0" applyFont="1" applyBorder="1" applyAlignment="1">
      <alignment horizontal="left" vertical="center" wrapText="1" shrinkToFit="1"/>
    </xf>
    <xf numFmtId="0" fontId="12" fillId="0" borderId="6" xfId="0" applyFont="1" applyBorder="1" applyAlignment="1">
      <alignment horizontal="left" vertical="center" shrinkToFit="1"/>
    </xf>
    <xf numFmtId="0" fontId="12" fillId="0" borderId="12" xfId="0" applyFont="1" applyBorder="1" applyAlignment="1">
      <alignment horizontal="left" vertical="center" shrinkToFit="1"/>
    </xf>
    <xf numFmtId="0" fontId="12" fillId="0" borderId="41" xfId="0" applyFont="1" applyBorder="1" applyAlignment="1">
      <alignment horizontal="left" vertical="center" wrapText="1" shrinkToFit="1"/>
    </xf>
    <xf numFmtId="0" fontId="12" fillId="0" borderId="41" xfId="0" applyFont="1" applyBorder="1" applyAlignment="1">
      <alignment horizontal="left" vertical="center" shrinkToFit="1"/>
    </xf>
    <xf numFmtId="0" fontId="12" fillId="0" borderId="42" xfId="0" applyFont="1" applyBorder="1" applyAlignment="1">
      <alignment horizontal="left" vertical="center" shrinkToFit="1"/>
    </xf>
    <xf numFmtId="0" fontId="11" fillId="0" borderId="40" xfId="0" applyFont="1" applyBorder="1" applyAlignment="1">
      <alignment vertical="center" shrinkToFit="1"/>
    </xf>
    <xf numFmtId="0" fontId="11" fillId="0" borderId="41" xfId="0" applyFont="1" applyBorder="1" applyAlignment="1">
      <alignment vertical="center" shrinkToFit="1"/>
    </xf>
    <xf numFmtId="0" fontId="11" fillId="0" borderId="42" xfId="0" applyFont="1" applyBorder="1" applyAlignment="1">
      <alignment vertical="center" shrinkToFit="1"/>
    </xf>
    <xf numFmtId="0" fontId="11" fillId="0" borderId="40" xfId="0" applyFont="1" applyBorder="1" applyAlignment="1">
      <alignment horizontal="center" vertical="center" shrinkToFit="1"/>
    </xf>
    <xf numFmtId="0" fontId="11" fillId="0" borderId="41" xfId="0" applyFont="1" applyBorder="1" applyAlignment="1">
      <alignment horizontal="center" vertical="center" shrinkToFit="1"/>
    </xf>
    <xf numFmtId="0" fontId="11" fillId="0" borderId="42" xfId="0" applyFont="1" applyBorder="1" applyAlignment="1">
      <alignment horizontal="center" vertical="center" shrinkToFit="1"/>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 fillId="0" borderId="7" xfId="0" applyFont="1" applyBorder="1" applyAlignment="1">
      <alignment vertical="center" wrapText="1" shrinkToFit="1"/>
    </xf>
    <xf numFmtId="0" fontId="1" fillId="0" borderId="8" xfId="0" applyFont="1" applyBorder="1" applyAlignment="1">
      <alignment vertical="center" shrinkToFit="1"/>
    </xf>
    <xf numFmtId="0" fontId="1" fillId="0" borderId="9" xfId="0" applyFont="1" applyBorder="1" applyAlignment="1">
      <alignment vertical="center" shrinkToFit="1"/>
    </xf>
    <xf numFmtId="0" fontId="1" fillId="0" borderId="5" xfId="0" applyFont="1" applyBorder="1" applyAlignment="1">
      <alignment vertical="center" shrinkToFit="1"/>
    </xf>
    <xf numFmtId="0" fontId="1" fillId="0" borderId="0" xfId="0" applyFont="1" applyBorder="1" applyAlignment="1">
      <alignment vertical="center" shrinkToFit="1"/>
    </xf>
    <xf numFmtId="0" fontId="1" fillId="0" borderId="10" xfId="0" applyFont="1" applyBorder="1" applyAlignment="1">
      <alignment vertical="center" shrinkToFit="1"/>
    </xf>
    <xf numFmtId="0" fontId="1" fillId="0" borderId="11" xfId="0" applyFont="1" applyBorder="1" applyAlignment="1">
      <alignment vertical="center" shrinkToFit="1"/>
    </xf>
    <xf numFmtId="0" fontId="1" fillId="0" borderId="6" xfId="0" applyFont="1" applyBorder="1" applyAlignment="1">
      <alignment vertical="center" shrinkToFit="1"/>
    </xf>
    <xf numFmtId="0" fontId="1" fillId="0" borderId="12" xfId="0" applyFont="1" applyBorder="1" applyAlignment="1">
      <alignment vertical="center" shrinkToFit="1"/>
    </xf>
    <xf numFmtId="0" fontId="10" fillId="0" borderId="2" xfId="2" applyBorder="1" applyAlignment="1">
      <alignment vertical="center" shrinkToFit="1"/>
    </xf>
    <xf numFmtId="0" fontId="12" fillId="0" borderId="3" xfId="0" applyFont="1" applyBorder="1" applyAlignment="1">
      <alignment vertical="center" shrinkToFit="1"/>
    </xf>
    <xf numFmtId="0" fontId="12" fillId="0" borderId="4" xfId="0" applyFont="1" applyBorder="1" applyAlignment="1">
      <alignment vertical="center" shrinkToFit="1"/>
    </xf>
    <xf numFmtId="0" fontId="12" fillId="0" borderId="0" xfId="0" applyFont="1" applyAlignment="1">
      <alignment horizontal="center" vertical="center"/>
    </xf>
    <xf numFmtId="0" fontId="6" fillId="0" borderId="7" xfId="0" applyFont="1" applyBorder="1" applyAlignment="1">
      <alignment horizontal="left" vertical="top" wrapText="1" shrinkToFit="1"/>
    </xf>
    <xf numFmtId="0" fontId="2" fillId="0" borderId="8" xfId="0" applyFont="1" applyBorder="1" applyAlignment="1">
      <alignment horizontal="left" vertical="top" shrinkToFit="1"/>
    </xf>
    <xf numFmtId="0" fontId="2" fillId="0" borderId="9" xfId="0" applyFont="1" applyBorder="1" applyAlignment="1">
      <alignment horizontal="left" vertical="top" shrinkToFit="1"/>
    </xf>
    <xf numFmtId="0" fontId="2" fillId="0" borderId="5" xfId="0" applyFont="1" applyBorder="1" applyAlignment="1">
      <alignment horizontal="left" vertical="top" shrinkToFit="1"/>
    </xf>
    <xf numFmtId="0" fontId="2" fillId="0" borderId="0" xfId="0" applyFont="1" applyBorder="1" applyAlignment="1">
      <alignment horizontal="left" vertical="top" shrinkToFit="1"/>
    </xf>
    <xf numFmtId="0" fontId="2" fillId="0" borderId="10" xfId="0" applyFont="1" applyBorder="1" applyAlignment="1">
      <alignment horizontal="left" vertical="top" shrinkToFit="1"/>
    </xf>
    <xf numFmtId="0" fontId="2" fillId="0" borderId="0" xfId="0" applyFont="1" applyAlignment="1">
      <alignment horizontal="left" vertical="top" shrinkToFit="1"/>
    </xf>
    <xf numFmtId="0" fontId="2" fillId="0" borderId="11" xfId="0" applyFont="1" applyBorder="1" applyAlignment="1">
      <alignment horizontal="left" vertical="top" shrinkToFit="1"/>
    </xf>
    <xf numFmtId="0" fontId="2" fillId="0" borderId="6" xfId="0" applyFont="1" applyBorder="1" applyAlignment="1">
      <alignment horizontal="left" vertical="top" shrinkToFit="1"/>
    </xf>
    <xf numFmtId="0" fontId="2" fillId="0" borderId="12" xfId="0" applyFont="1" applyBorder="1" applyAlignment="1">
      <alignment horizontal="left" vertical="top" shrinkToFit="1"/>
    </xf>
    <xf numFmtId="0" fontId="12" fillId="0" borderId="38" xfId="0" applyFont="1" applyBorder="1" applyAlignment="1">
      <alignment horizontal="left" vertical="center" wrapText="1" shrinkToFit="1"/>
    </xf>
    <xf numFmtId="0" fontId="12" fillId="0" borderId="40" xfId="0" applyFont="1" applyBorder="1" applyAlignment="1">
      <alignment horizontal="left" vertical="center" wrapText="1" shrinkToFit="1"/>
    </xf>
    <xf numFmtId="0" fontId="12" fillId="0" borderId="42" xfId="0" applyFont="1" applyBorder="1" applyAlignment="1">
      <alignment horizontal="left" vertical="center" wrapText="1" shrinkToFit="1"/>
    </xf>
    <xf numFmtId="0" fontId="12" fillId="0" borderId="12" xfId="0" applyFont="1" applyBorder="1" applyAlignment="1">
      <alignment horizontal="left" vertical="center" wrapText="1" shrinkToFit="1"/>
    </xf>
    <xf numFmtId="0" fontId="12" fillId="0" borderId="9" xfId="0" applyFont="1" applyBorder="1" applyAlignment="1">
      <alignment horizontal="left" vertical="center" wrapText="1" shrinkToFit="1"/>
    </xf>
    <xf numFmtId="0" fontId="12" fillId="0" borderId="21" xfId="0" applyFont="1" applyBorder="1" applyAlignment="1">
      <alignment horizontal="left" vertical="center" wrapText="1" shrinkToFit="1"/>
    </xf>
    <xf numFmtId="0" fontId="12" fillId="0" borderId="18" xfId="0" applyFont="1" applyBorder="1" applyAlignment="1">
      <alignment horizontal="left" vertical="center" wrapText="1" shrinkToFit="1"/>
    </xf>
    <xf numFmtId="0" fontId="12" fillId="0" borderId="38" xfId="0" applyFont="1" applyBorder="1" applyAlignment="1">
      <alignment vertical="center" wrapText="1" shrinkToFit="1"/>
    </xf>
    <xf numFmtId="0" fontId="12" fillId="0" borderId="20" xfId="0" applyFont="1" applyBorder="1" applyAlignment="1">
      <alignment vertical="center" wrapText="1" shrinkToFit="1"/>
    </xf>
    <xf numFmtId="0" fontId="12" fillId="0" borderId="18" xfId="0" applyFont="1" applyBorder="1" applyAlignment="1">
      <alignment vertical="center" wrapText="1" shrinkToFit="1"/>
    </xf>
    <xf numFmtId="0" fontId="12" fillId="0" borderId="6" xfId="0" applyFont="1" applyBorder="1" applyAlignment="1">
      <alignment vertical="center" wrapText="1" shrinkToFit="1"/>
    </xf>
    <xf numFmtId="0" fontId="12" fillId="0" borderId="12" xfId="0" applyFont="1" applyBorder="1" applyAlignment="1">
      <alignment vertical="center" wrapText="1" shrinkToFit="1"/>
    </xf>
    <xf numFmtId="0" fontId="5" fillId="0" borderId="0" xfId="0" applyFont="1" applyAlignment="1">
      <alignment horizontal="right" vertical="center"/>
    </xf>
    <xf numFmtId="0" fontId="19" fillId="0" borderId="0" xfId="0" applyFont="1" applyAlignment="1">
      <alignment horizontal="center" vertical="center"/>
    </xf>
    <xf numFmtId="0" fontId="6" fillId="0" borderId="2" xfId="0" applyNumberFormat="1" applyFont="1" applyBorder="1" applyAlignment="1">
      <alignment horizontal="center" vertical="center" shrinkToFit="1"/>
    </xf>
    <xf numFmtId="0" fontId="6" fillId="0" borderId="4" xfId="0" applyNumberFormat="1" applyFont="1" applyBorder="1" applyAlignment="1">
      <alignment horizontal="center" vertical="center" shrinkToFit="1"/>
    </xf>
    <xf numFmtId="0" fontId="6" fillId="0" borderId="15" xfId="0" applyFont="1" applyBorder="1" applyAlignment="1">
      <alignment horizontal="center" vertical="center"/>
    </xf>
    <xf numFmtId="0" fontId="6" fillId="0" borderId="13" xfId="0" applyFont="1" applyBorder="1" applyAlignment="1">
      <alignment horizontal="center" vertical="center"/>
    </xf>
    <xf numFmtId="0" fontId="20" fillId="0" borderId="8" xfId="0" applyFont="1" applyBorder="1" applyAlignment="1">
      <alignment horizontal="center" vertical="center" wrapText="1"/>
    </xf>
    <xf numFmtId="0" fontId="20" fillId="0" borderId="6" xfId="0" applyFont="1" applyBorder="1" applyAlignment="1">
      <alignment horizontal="center" vertical="center"/>
    </xf>
    <xf numFmtId="0" fontId="20" fillId="0" borderId="7" xfId="0" applyFont="1" applyBorder="1" applyAlignment="1">
      <alignment horizontal="center" vertical="center" wrapText="1"/>
    </xf>
    <xf numFmtId="0" fontId="20" fillId="0" borderId="11" xfId="0" applyFont="1" applyBorder="1" applyAlignment="1">
      <alignment horizontal="center" vertical="center"/>
    </xf>
    <xf numFmtId="0" fontId="6" fillId="0" borderId="14" xfId="0" applyFont="1" applyBorder="1" applyAlignment="1">
      <alignment horizontal="center" vertical="center"/>
    </xf>
    <xf numFmtId="0" fontId="6" fillId="0" borderId="37" xfId="0" applyFont="1" applyBorder="1" applyAlignment="1">
      <alignment horizontal="center" vertical="center"/>
    </xf>
    <xf numFmtId="0" fontId="6" fillId="0" borderId="38" xfId="0" applyFont="1" applyBorder="1" applyAlignment="1">
      <alignment horizontal="center" vertical="center"/>
    </xf>
    <xf numFmtId="0" fontId="21" fillId="0" borderId="15" xfId="0" applyFont="1" applyBorder="1" applyAlignment="1">
      <alignment horizontal="center" vertical="center" wrapText="1"/>
    </xf>
    <xf numFmtId="0" fontId="21" fillId="0" borderId="13" xfId="0" applyFont="1" applyBorder="1" applyAlignment="1">
      <alignment horizontal="center" vertical="center"/>
    </xf>
    <xf numFmtId="0" fontId="20" fillId="0" borderId="9" xfId="0" applyFont="1" applyBorder="1" applyAlignment="1">
      <alignment horizontal="center" vertical="center"/>
    </xf>
    <xf numFmtId="0" fontId="20" fillId="0" borderId="12" xfId="0" applyFont="1" applyBorder="1" applyAlignment="1">
      <alignment horizontal="center" vertical="center"/>
    </xf>
    <xf numFmtId="0" fontId="28" fillId="0" borderId="16" xfId="0" applyFont="1" applyBorder="1" applyAlignment="1">
      <alignment vertical="top" wrapText="1" shrinkToFit="1"/>
    </xf>
    <xf numFmtId="0" fontId="14" fillId="0" borderId="22" xfId="0" applyFont="1" applyBorder="1" applyAlignment="1">
      <alignment vertical="top" shrinkToFit="1"/>
    </xf>
    <xf numFmtId="0" fontId="14" fillId="0" borderId="21" xfId="0" applyFont="1" applyBorder="1" applyAlignment="1">
      <alignment vertical="top" shrinkToFit="1"/>
    </xf>
    <xf numFmtId="0" fontId="14" fillId="0" borderId="5" xfId="0" applyFont="1" applyBorder="1" applyAlignment="1">
      <alignment vertical="top" shrinkToFit="1"/>
    </xf>
    <xf numFmtId="0" fontId="14" fillId="0" borderId="0" xfId="0" applyFont="1" applyAlignment="1">
      <alignment vertical="top" shrinkToFit="1"/>
    </xf>
    <xf numFmtId="0" fontId="14" fillId="0" borderId="10" xfId="0" applyFont="1" applyBorder="1" applyAlignment="1">
      <alignment vertical="top" shrinkToFit="1"/>
    </xf>
    <xf numFmtId="0" fontId="14" fillId="0" borderId="11" xfId="0" applyFont="1" applyBorder="1" applyAlignment="1">
      <alignment vertical="top" shrinkToFit="1"/>
    </xf>
    <xf numFmtId="0" fontId="14" fillId="0" borderId="6" xfId="0" applyFont="1" applyBorder="1" applyAlignment="1">
      <alignment vertical="top" shrinkToFit="1"/>
    </xf>
    <xf numFmtId="0" fontId="14" fillId="0" borderId="12" xfId="0" applyFont="1" applyBorder="1" applyAlignment="1">
      <alignment vertical="top"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6"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8" xfId="0" applyFont="1" applyBorder="1" applyAlignment="1">
      <alignment vertical="top"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1" fillId="0" borderId="8" xfId="0" applyFont="1" applyBorder="1" applyAlignment="1">
      <alignment vertical="top" wrapText="1" shrinkToFit="1"/>
    </xf>
    <xf numFmtId="0" fontId="1" fillId="0" borderId="8" xfId="0" applyFont="1" applyBorder="1" applyAlignment="1">
      <alignment vertical="top" shrinkToFit="1"/>
    </xf>
    <xf numFmtId="0" fontId="1" fillId="0" borderId="9" xfId="0" applyFont="1" applyBorder="1" applyAlignment="1">
      <alignment vertical="top" shrinkToFit="1"/>
    </xf>
    <xf numFmtId="0" fontId="1" fillId="0" borderId="5" xfId="0" applyFont="1" applyBorder="1" applyAlignment="1">
      <alignment vertical="top" shrinkToFit="1"/>
    </xf>
    <xf numFmtId="0" fontId="1" fillId="0" borderId="0" xfId="0" applyFont="1" applyAlignment="1">
      <alignment vertical="top" shrinkToFit="1"/>
    </xf>
    <xf numFmtId="0" fontId="1" fillId="0" borderId="10" xfId="0" applyFont="1" applyBorder="1" applyAlignment="1">
      <alignment vertical="top" shrinkToFit="1"/>
    </xf>
    <xf numFmtId="0" fontId="1" fillId="0" borderId="11" xfId="0" applyFont="1" applyBorder="1" applyAlignment="1">
      <alignment vertical="top" shrinkToFit="1"/>
    </xf>
    <xf numFmtId="0" fontId="1" fillId="0" borderId="6" xfId="0" applyFont="1" applyBorder="1" applyAlignment="1">
      <alignment vertical="top" shrinkToFit="1"/>
    </xf>
    <xf numFmtId="0" fontId="1" fillId="0" borderId="12" xfId="0" applyFont="1" applyBorder="1" applyAlignment="1">
      <alignment vertical="top" shrinkToFit="1"/>
    </xf>
    <xf numFmtId="0" fontId="1" fillId="0" borderId="7" xfId="0" applyFont="1" applyBorder="1" applyAlignment="1">
      <alignment vertical="top" wrapText="1" shrinkToFit="1"/>
    </xf>
    <xf numFmtId="0" fontId="2" fillId="0" borderId="9" xfId="0" applyFont="1" applyBorder="1" applyAlignment="1">
      <alignment vertical="top" wrapText="1"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wrapText="1" shrinkToFit="1"/>
    </xf>
    <xf numFmtId="0" fontId="2" fillId="0" borderId="11" xfId="0" applyFont="1" applyBorder="1" applyAlignment="1">
      <alignment vertical="top" wrapText="1" shrinkToFi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9" fillId="0" borderId="7" xfId="0" applyFont="1" applyBorder="1" applyAlignment="1">
      <alignment vertical="top" wrapText="1" shrinkToFit="1"/>
    </xf>
    <xf numFmtId="0" fontId="29" fillId="0" borderId="8" xfId="0" applyFont="1" applyBorder="1" applyAlignment="1">
      <alignment vertical="top" wrapText="1" shrinkToFit="1"/>
    </xf>
    <xf numFmtId="0" fontId="29" fillId="0" borderId="8" xfId="0" applyFont="1" applyBorder="1" applyAlignment="1">
      <alignment vertical="top" shrinkToFit="1"/>
    </xf>
    <xf numFmtId="0" fontId="29" fillId="0" borderId="9" xfId="0" applyFont="1" applyBorder="1" applyAlignment="1">
      <alignment vertical="top" shrinkToFit="1"/>
    </xf>
    <xf numFmtId="0" fontId="29" fillId="0" borderId="5" xfId="0" applyFont="1" applyBorder="1" applyAlignment="1">
      <alignment vertical="top" shrinkToFit="1"/>
    </xf>
    <xf numFmtId="0" fontId="29" fillId="0" borderId="0" xfId="0" applyFont="1" applyAlignment="1">
      <alignment vertical="top" shrinkToFit="1"/>
    </xf>
    <xf numFmtId="0" fontId="29" fillId="0" borderId="10" xfId="0" applyFont="1" applyBorder="1" applyAlignment="1">
      <alignment vertical="top" shrinkToFit="1"/>
    </xf>
    <xf numFmtId="0" fontId="29" fillId="0" borderId="11" xfId="0" applyFont="1" applyBorder="1" applyAlignment="1">
      <alignment vertical="top" shrinkToFit="1"/>
    </xf>
    <xf numFmtId="0" fontId="29" fillId="0" borderId="6" xfId="0" applyFont="1" applyBorder="1" applyAlignment="1">
      <alignment vertical="top" shrinkToFit="1"/>
    </xf>
    <xf numFmtId="0" fontId="29" fillId="0" borderId="12" xfId="0" applyFont="1" applyBorder="1" applyAlignment="1">
      <alignment vertical="top" shrinkToFit="1"/>
    </xf>
    <xf numFmtId="0" fontId="5" fillId="0" borderId="6" xfId="0" applyFont="1" applyBorder="1">
      <alignment vertical="center"/>
    </xf>
    <xf numFmtId="0" fontId="5" fillId="0" borderId="17" xfId="0" applyFont="1" applyBorder="1">
      <alignment vertical="center"/>
    </xf>
    <xf numFmtId="0" fontId="0" fillId="0" borderId="18" xfId="0" applyBorder="1">
      <alignment vertical="center"/>
    </xf>
    <xf numFmtId="0" fontId="6"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5" fillId="0" borderId="17" xfId="0" applyFont="1" applyBorder="1" applyAlignment="1">
      <alignment vertical="center" wrapText="1"/>
    </xf>
    <xf numFmtId="0" fontId="5" fillId="0" borderId="18" xfId="0" applyFont="1" applyBorder="1" applyAlignment="1">
      <alignment vertical="center" wrapText="1"/>
    </xf>
    <xf numFmtId="0" fontId="28" fillId="0" borderId="19" xfId="0" applyFont="1" applyBorder="1" applyAlignment="1">
      <alignment vertical="top" wrapText="1" shrinkToFit="1"/>
    </xf>
    <xf numFmtId="0" fontId="14" fillId="0" borderId="20" xfId="0" applyFont="1" applyBorder="1" applyAlignment="1">
      <alignment vertical="top" wrapText="1" shrinkToFit="1"/>
    </xf>
    <xf numFmtId="0" fontId="14" fillId="0" borderId="18" xfId="0" applyFont="1" applyBorder="1" applyAlignment="1">
      <alignment vertical="top" wrapText="1" shrinkToFit="1"/>
    </xf>
    <xf numFmtId="0" fontId="5" fillId="0" borderId="11" xfId="0" applyFont="1" applyBorder="1" applyAlignment="1">
      <alignment vertical="center" wrapText="1"/>
    </xf>
    <xf numFmtId="0" fontId="5" fillId="0" borderId="6" xfId="0" applyFont="1" applyBorder="1" applyAlignment="1">
      <alignment vertical="center" wrapText="1"/>
    </xf>
    <xf numFmtId="0" fontId="5" fillId="0" borderId="12" xfId="0" applyFont="1" applyBorder="1" applyAlignment="1">
      <alignment vertical="center" wrapText="1"/>
    </xf>
    <xf numFmtId="0" fontId="6" fillId="0" borderId="6" xfId="0" applyFont="1" applyBorder="1" applyAlignment="1">
      <alignment vertical="top" wrapText="1" shrinkToFit="1"/>
    </xf>
    <xf numFmtId="0" fontId="10" fillId="0" borderId="2" xfId="2" applyBorder="1" applyAlignment="1">
      <alignment horizontal="center" vertical="center" shrinkToFit="1"/>
    </xf>
    <xf numFmtId="0" fontId="15" fillId="0" borderId="3" xfId="2" applyFont="1" applyBorder="1" applyAlignment="1">
      <alignment horizontal="center" vertical="center" shrinkToFit="1"/>
    </xf>
    <xf numFmtId="0" fontId="15" fillId="0" borderId="4" xfId="2" applyFont="1" applyBorder="1" applyAlignment="1">
      <alignment horizontal="center" vertical="center" shrinkToFit="1"/>
    </xf>
    <xf numFmtId="0" fontId="6" fillId="0" borderId="20" xfId="0" applyFont="1" applyBorder="1" applyAlignment="1">
      <alignment vertical="top" wrapText="1" shrinkToFit="1"/>
    </xf>
    <xf numFmtId="0" fontId="5" fillId="0" borderId="19" xfId="0" applyFont="1" applyBorder="1" applyAlignment="1">
      <alignment vertical="center" wrapText="1"/>
    </xf>
    <xf numFmtId="0" fontId="5" fillId="0" borderId="20" xfId="0" applyFont="1" applyBorder="1" applyAlignment="1">
      <alignment vertical="center" wrapText="1"/>
    </xf>
    <xf numFmtId="0" fontId="1" fillId="0" borderId="20" xfId="0" applyFont="1" applyBorder="1" applyAlignment="1">
      <alignment vertical="top" wrapText="1" shrinkToFit="1"/>
    </xf>
    <xf numFmtId="0" fontId="1" fillId="0" borderId="18" xfId="0" applyFont="1" applyBorder="1" applyAlignment="1">
      <alignment vertical="top" wrapText="1"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youmu@tuins.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tuins.ac.jp/about/disclosure/mathematica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tuins.ac.jp/about/disclosure/mathematical/"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tuins.ac.jp/about/disclosure/mathematica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5"/>
  <sheetViews>
    <sheetView tabSelected="1" view="pageBreakPreview" zoomScaleNormal="100" zoomScaleSheetLayoutView="100" workbookViewId="0"/>
  </sheetViews>
  <sheetFormatPr defaultColWidth="9" defaultRowHeight="18.75" customHeight="1"/>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625" style="14" customWidth="1"/>
    <col min="13" max="13" width="3.375" style="14" customWidth="1"/>
    <col min="14" max="14" width="4.5" style="14" customWidth="1"/>
    <col min="15" max="15" width="9" style="28"/>
    <col min="16" max="16384" width="9" style="13"/>
  </cols>
  <sheetData>
    <row r="1" spans="1:15" ht="24" customHeight="1">
      <c r="M1" s="152" t="s">
        <v>25</v>
      </c>
      <c r="N1" s="152"/>
    </row>
    <row r="2" spans="1:15" ht="24" customHeight="1">
      <c r="A2" s="161" t="s">
        <v>82</v>
      </c>
      <c r="B2" s="161"/>
      <c r="C2" s="161"/>
      <c r="D2" s="161"/>
      <c r="E2" s="161"/>
      <c r="F2" s="161"/>
      <c r="G2" s="161"/>
      <c r="H2" s="161"/>
      <c r="I2" s="161"/>
      <c r="J2" s="161"/>
      <c r="K2" s="161"/>
      <c r="L2" s="161"/>
      <c r="M2" s="161"/>
      <c r="N2" s="161"/>
    </row>
    <row r="3" spans="1:15" ht="24" customHeight="1"/>
    <row r="4" spans="1:15" ht="24" customHeight="1">
      <c r="A4" s="14" t="s">
        <v>6</v>
      </c>
      <c r="B4" s="15" t="s">
        <v>16</v>
      </c>
      <c r="C4" s="155" t="s">
        <v>147</v>
      </c>
      <c r="D4" s="156"/>
      <c r="E4" s="156"/>
      <c r="F4" s="156"/>
      <c r="G4" s="156"/>
      <c r="H4" s="156"/>
      <c r="I4" s="156"/>
      <c r="J4" s="156"/>
      <c r="K4" s="156"/>
      <c r="L4" s="156"/>
      <c r="M4" s="156"/>
      <c r="N4" s="157"/>
      <c r="O4" s="28" t="str">
        <f>IF(C4="","入力してください","")</f>
        <v/>
      </c>
    </row>
    <row r="5" spans="1:15" ht="7.5" customHeight="1">
      <c r="B5" s="15"/>
      <c r="C5" s="15"/>
      <c r="D5" s="15"/>
      <c r="E5" s="16"/>
      <c r="F5" s="34"/>
      <c r="G5" s="34"/>
      <c r="H5" s="34"/>
      <c r="I5" s="34"/>
      <c r="J5" s="34"/>
      <c r="K5" s="34"/>
      <c r="L5" s="34"/>
      <c r="M5" s="34"/>
      <c r="N5" s="34"/>
    </row>
    <row r="6" spans="1:15" ht="24" customHeight="1">
      <c r="A6" s="14" t="s">
        <v>48</v>
      </c>
      <c r="B6" s="15" t="s">
        <v>49</v>
      </c>
      <c r="C6" s="15"/>
      <c r="D6" s="155" t="s">
        <v>153</v>
      </c>
      <c r="E6" s="156"/>
      <c r="F6" s="156"/>
      <c r="G6" s="156"/>
      <c r="H6" s="157"/>
      <c r="I6" s="17" t="s">
        <v>85</v>
      </c>
      <c r="J6" s="34" t="s">
        <v>86</v>
      </c>
      <c r="K6" s="155" t="s">
        <v>148</v>
      </c>
      <c r="L6" s="156"/>
      <c r="M6" s="156"/>
      <c r="N6" s="157"/>
      <c r="O6" s="28" t="str">
        <f>IF(D6="","入力してください","")</f>
        <v/>
      </c>
    </row>
    <row r="7" spans="1:15" ht="7.5" customHeight="1">
      <c r="B7" s="15"/>
      <c r="C7" s="15"/>
      <c r="D7" s="15"/>
      <c r="E7" s="16"/>
      <c r="F7" s="34"/>
      <c r="G7" s="34"/>
      <c r="H7" s="34"/>
      <c r="I7" s="34"/>
      <c r="J7" s="34"/>
      <c r="K7" s="34"/>
      <c r="L7" s="34"/>
      <c r="M7" s="34"/>
      <c r="N7" s="34"/>
    </row>
    <row r="8" spans="1:15" ht="24" customHeight="1">
      <c r="A8" s="14" t="s">
        <v>13</v>
      </c>
      <c r="B8" s="15" t="s">
        <v>45</v>
      </c>
      <c r="C8" s="155" t="s">
        <v>223</v>
      </c>
      <c r="D8" s="156"/>
      <c r="E8" s="156"/>
      <c r="F8" s="156"/>
      <c r="G8" s="156"/>
      <c r="H8" s="156"/>
      <c r="I8" s="156"/>
      <c r="J8" s="156"/>
      <c r="K8" s="156"/>
      <c r="L8" s="156"/>
      <c r="M8" s="156"/>
      <c r="N8" s="157"/>
      <c r="O8" s="28" t="str">
        <f>IF(C8="","入力してください","")</f>
        <v/>
      </c>
    </row>
    <row r="9" spans="1:15" ht="7.5" customHeight="1">
      <c r="B9" s="15"/>
      <c r="C9" s="15"/>
      <c r="D9" s="15"/>
      <c r="E9" s="16"/>
      <c r="F9" s="34"/>
      <c r="G9" s="34"/>
      <c r="H9" s="34"/>
      <c r="I9" s="34"/>
      <c r="J9" s="34"/>
      <c r="K9" s="34"/>
      <c r="L9" s="34"/>
      <c r="M9" s="34"/>
      <c r="N9" s="34"/>
    </row>
    <row r="10" spans="1:15" ht="24" customHeight="1">
      <c r="A10" s="14" t="s">
        <v>11</v>
      </c>
      <c r="B10" s="15" t="s">
        <v>84</v>
      </c>
      <c r="C10" s="15"/>
      <c r="D10" s="15"/>
      <c r="E10" s="155" t="s">
        <v>149</v>
      </c>
      <c r="F10" s="156"/>
      <c r="G10" s="156"/>
      <c r="H10" s="156"/>
      <c r="I10" s="156"/>
      <c r="J10" s="156"/>
      <c r="K10" s="156"/>
      <c r="L10" s="156"/>
      <c r="M10" s="156"/>
      <c r="N10" s="157"/>
      <c r="O10" s="28" t="str">
        <f>IF(E10="","入力してください","")</f>
        <v/>
      </c>
    </row>
    <row r="11" spans="1:15" ht="7.5" customHeight="1">
      <c r="B11" s="16"/>
      <c r="C11" s="16"/>
      <c r="D11" s="16"/>
      <c r="E11" s="16"/>
      <c r="F11" s="34"/>
      <c r="G11" s="34"/>
      <c r="H11" s="34"/>
      <c r="I11" s="34"/>
      <c r="J11" s="34"/>
      <c r="K11" s="34"/>
      <c r="L11" s="34"/>
      <c r="M11" s="34"/>
      <c r="N11" s="34"/>
    </row>
    <row r="12" spans="1:15" ht="24" customHeight="1">
      <c r="A12" s="14" t="s">
        <v>58</v>
      </c>
      <c r="B12" s="16" t="s">
        <v>59</v>
      </c>
      <c r="C12" s="16"/>
      <c r="D12" s="16"/>
      <c r="E12" s="162" t="s">
        <v>193</v>
      </c>
      <c r="F12" s="163"/>
      <c r="G12" s="17" t="s">
        <v>95</v>
      </c>
      <c r="H12" s="14" t="s">
        <v>96</v>
      </c>
      <c r="N12" s="112" t="s">
        <v>150</v>
      </c>
      <c r="O12" s="28" t="str">
        <f>IF(E12="","入力してください","")</f>
        <v/>
      </c>
    </row>
    <row r="13" spans="1:15" ht="7.5" customHeight="1">
      <c r="B13" s="16"/>
      <c r="C13" s="16"/>
      <c r="D13" s="16"/>
      <c r="E13" s="16"/>
      <c r="F13" s="34"/>
      <c r="G13" s="34"/>
      <c r="H13" s="34"/>
      <c r="I13" s="34"/>
      <c r="J13" s="34"/>
      <c r="K13" s="34"/>
      <c r="L13" s="34"/>
      <c r="M13" s="34"/>
      <c r="N13" s="34"/>
    </row>
    <row r="14" spans="1:15" ht="24" customHeight="1">
      <c r="A14" s="14" t="s">
        <v>53</v>
      </c>
      <c r="B14" s="14" t="s">
        <v>0</v>
      </c>
      <c r="C14" s="153" t="s">
        <v>5</v>
      </c>
      <c r="D14" s="154"/>
      <c r="E14" s="145">
        <v>40</v>
      </c>
      <c r="F14" s="146"/>
      <c r="G14" s="18" t="s">
        <v>7</v>
      </c>
      <c r="I14" s="153" t="s">
        <v>8</v>
      </c>
      <c r="J14" s="154"/>
      <c r="K14" s="158">
        <v>42</v>
      </c>
      <c r="L14" s="159"/>
      <c r="M14" s="160"/>
      <c r="N14" s="19" t="s">
        <v>7</v>
      </c>
      <c r="O14" s="28" t="str">
        <f>IF(OR(E14="",K14=""),"入力してください","")</f>
        <v/>
      </c>
    </row>
    <row r="15" spans="1:15" ht="7.5" customHeight="1">
      <c r="F15" s="20"/>
      <c r="G15" s="20"/>
      <c r="H15" s="20"/>
      <c r="I15" s="20"/>
      <c r="J15" s="20"/>
      <c r="K15" s="20"/>
      <c r="L15" s="20"/>
      <c r="M15" s="19"/>
      <c r="N15" s="19"/>
    </row>
    <row r="16" spans="1:15" ht="24" customHeight="1">
      <c r="A16" s="14" t="s">
        <v>60</v>
      </c>
      <c r="B16" s="14" t="s">
        <v>70</v>
      </c>
      <c r="F16" s="20"/>
      <c r="G16" s="20"/>
      <c r="H16" s="20"/>
      <c r="I16" s="20"/>
      <c r="J16" s="20"/>
      <c r="K16" s="165">
        <v>3</v>
      </c>
      <c r="L16" s="166"/>
      <c r="M16" s="167"/>
      <c r="N16" s="19" t="s">
        <v>51</v>
      </c>
      <c r="O16" s="28" t="str">
        <f>IF(K16="","入力してください","")</f>
        <v/>
      </c>
    </row>
    <row r="17" spans="1:16" ht="7.5" customHeight="1">
      <c r="F17" s="20"/>
      <c r="G17" s="20"/>
      <c r="H17" s="20"/>
      <c r="I17" s="20"/>
      <c r="J17" s="20"/>
      <c r="K17" s="20"/>
      <c r="L17" s="20"/>
      <c r="M17" s="19"/>
      <c r="N17" s="19"/>
    </row>
    <row r="18" spans="1:16" ht="24" customHeight="1">
      <c r="A18" s="14" t="s">
        <v>24</v>
      </c>
      <c r="B18" s="14" t="s">
        <v>76</v>
      </c>
      <c r="E18" s="172">
        <v>210</v>
      </c>
      <c r="F18" s="173"/>
      <c r="G18" s="21" t="s">
        <v>21</v>
      </c>
      <c r="H18" s="20"/>
      <c r="K18" s="171"/>
      <c r="L18" s="171"/>
      <c r="M18" s="171"/>
      <c r="N18" s="171"/>
      <c r="O18" s="28" t="str">
        <f>IF(E18="","入力してください","")</f>
        <v/>
      </c>
    </row>
    <row r="19" spans="1:16" ht="7.5" customHeight="1">
      <c r="E19" s="10"/>
      <c r="F19" s="20"/>
      <c r="G19" s="20"/>
      <c r="L19" s="33"/>
      <c r="M19" s="33"/>
      <c r="N19" s="22"/>
    </row>
    <row r="20" spans="1:16" ht="24" customHeight="1">
      <c r="A20" s="14" t="s">
        <v>75</v>
      </c>
      <c r="B20" s="14" t="s">
        <v>77</v>
      </c>
      <c r="E20" s="10"/>
      <c r="F20" s="20"/>
      <c r="G20" s="20"/>
      <c r="H20" s="14" t="s">
        <v>52</v>
      </c>
      <c r="J20" s="168">
        <v>887</v>
      </c>
      <c r="K20" s="169"/>
      <c r="L20" s="170"/>
      <c r="M20" s="33" t="s">
        <v>51</v>
      </c>
      <c r="N20" s="22"/>
      <c r="O20" s="28" t="str">
        <f>IF(J20="","入力してください","")</f>
        <v/>
      </c>
    </row>
    <row r="21" spans="1:16" ht="7.5" customHeight="1">
      <c r="E21" s="10"/>
      <c r="F21" s="20"/>
      <c r="G21" s="20"/>
      <c r="L21" s="33"/>
      <c r="M21" s="33"/>
      <c r="N21" s="22"/>
    </row>
    <row r="22" spans="1:16" ht="24" customHeight="1">
      <c r="B22" s="26" t="s">
        <v>17</v>
      </c>
      <c r="C22" s="145">
        <v>217</v>
      </c>
      <c r="D22" s="146"/>
      <c r="E22" s="10" t="s">
        <v>22</v>
      </c>
      <c r="F22" s="20"/>
      <c r="G22" s="141" t="s">
        <v>18</v>
      </c>
      <c r="H22" s="141"/>
      <c r="I22" s="145">
        <v>206</v>
      </c>
      <c r="J22" s="146"/>
      <c r="K22" s="17" t="s">
        <v>22</v>
      </c>
      <c r="M22" s="33"/>
      <c r="N22" s="22"/>
    </row>
    <row r="23" spans="1:16" ht="7.5" customHeight="1">
      <c r="B23" s="26"/>
      <c r="C23" s="11"/>
      <c r="D23" s="11"/>
      <c r="E23" s="10"/>
      <c r="F23" s="20"/>
      <c r="G23" s="33"/>
      <c r="H23" s="33"/>
      <c r="I23" s="11"/>
      <c r="J23" s="11"/>
      <c r="K23" s="17"/>
      <c r="M23" s="33"/>
      <c r="N23" s="22"/>
    </row>
    <row r="24" spans="1:16" ht="24" customHeight="1">
      <c r="B24" s="26" t="s">
        <v>19</v>
      </c>
      <c r="C24" s="145">
        <v>243</v>
      </c>
      <c r="D24" s="146"/>
      <c r="E24" s="10" t="s">
        <v>22</v>
      </c>
      <c r="F24" s="20"/>
      <c r="G24" s="141" t="s">
        <v>20</v>
      </c>
      <c r="H24" s="141"/>
      <c r="I24" s="145">
        <v>221</v>
      </c>
      <c r="J24" s="146"/>
      <c r="K24" s="17" t="s">
        <v>22</v>
      </c>
      <c r="M24" s="33"/>
      <c r="N24" s="22"/>
    </row>
    <row r="25" spans="1:16" ht="7.5" customHeight="1">
      <c r="B25" s="26"/>
      <c r="C25" s="11"/>
      <c r="D25" s="11"/>
      <c r="E25" s="10"/>
      <c r="F25" s="20"/>
      <c r="G25" s="33"/>
      <c r="H25" s="33"/>
      <c r="I25" s="11"/>
      <c r="J25" s="11"/>
      <c r="K25" s="17"/>
      <c r="M25" s="33"/>
      <c r="N25" s="22"/>
    </row>
    <row r="26" spans="1:16" ht="24" customHeight="1">
      <c r="B26" s="26" t="s">
        <v>46</v>
      </c>
      <c r="C26" s="145"/>
      <c r="D26" s="146"/>
      <c r="E26" s="10" t="s">
        <v>7</v>
      </c>
      <c r="F26" s="20"/>
      <c r="G26" s="141" t="s">
        <v>47</v>
      </c>
      <c r="H26" s="141"/>
      <c r="I26" s="145"/>
      <c r="J26" s="146"/>
      <c r="K26" s="17" t="s">
        <v>7</v>
      </c>
      <c r="M26" s="33"/>
      <c r="N26" s="22"/>
    </row>
    <row r="27" spans="1:16" ht="7.5" customHeight="1">
      <c r="F27" s="20"/>
      <c r="G27" s="20"/>
      <c r="M27" s="23"/>
      <c r="N27" s="23"/>
    </row>
    <row r="28" spans="1:16" ht="24" customHeight="1">
      <c r="A28" s="14" t="s">
        <v>50</v>
      </c>
      <c r="B28" s="15" t="s">
        <v>74</v>
      </c>
      <c r="C28" s="15"/>
      <c r="D28" s="15"/>
      <c r="E28" s="15"/>
      <c r="F28" s="17"/>
      <c r="G28" s="34"/>
      <c r="H28" s="34"/>
      <c r="I28" s="34"/>
      <c r="J28" s="24"/>
      <c r="K28" s="24"/>
      <c r="L28" s="24"/>
      <c r="M28" s="24"/>
      <c r="N28" s="24"/>
    </row>
    <row r="29" spans="1:16" s="14" customFormat="1" ht="24" customHeight="1">
      <c r="B29" s="149" t="s">
        <v>73</v>
      </c>
      <c r="C29" s="149"/>
      <c r="D29" s="142" t="s">
        <v>173</v>
      </c>
      <c r="E29" s="143"/>
      <c r="F29" s="143"/>
      <c r="G29" s="150" t="s">
        <v>23</v>
      </c>
      <c r="H29" s="149"/>
      <c r="I29" s="151"/>
      <c r="J29" s="142" t="s">
        <v>218</v>
      </c>
      <c r="K29" s="143"/>
      <c r="L29" s="143"/>
      <c r="M29" s="143"/>
      <c r="N29" s="144"/>
      <c r="O29" s="28" t="str">
        <f>IF(OR(D29="",J29=""),"入力してください","")</f>
        <v/>
      </c>
      <c r="P29" s="134"/>
    </row>
    <row r="30" spans="1:16" ht="7.5" customHeight="1">
      <c r="B30" s="4"/>
      <c r="C30" s="4"/>
      <c r="D30" s="4"/>
      <c r="E30" s="4"/>
      <c r="F30" s="122"/>
      <c r="G30" s="122"/>
      <c r="H30" s="4"/>
      <c r="I30" s="4"/>
      <c r="J30" s="4"/>
      <c r="K30" s="4"/>
      <c r="L30" s="4"/>
      <c r="M30" s="123"/>
      <c r="N30" s="123"/>
      <c r="P30" s="133"/>
    </row>
    <row r="31" spans="1:16" ht="24" customHeight="1">
      <c r="A31" s="14" t="s">
        <v>54</v>
      </c>
      <c r="B31" s="124" t="s">
        <v>79</v>
      </c>
      <c r="C31" s="124"/>
      <c r="D31" s="124"/>
      <c r="E31" s="124"/>
      <c r="F31" s="125"/>
      <c r="G31" s="126"/>
      <c r="H31" s="126"/>
      <c r="I31" s="126"/>
      <c r="J31" s="126"/>
      <c r="K31" s="126"/>
      <c r="L31" s="126"/>
      <c r="M31" s="126"/>
      <c r="N31" s="126"/>
      <c r="P31" s="133"/>
    </row>
    <row r="32" spans="1:16" ht="24" customHeight="1">
      <c r="B32" s="142" t="s">
        <v>167</v>
      </c>
      <c r="C32" s="143"/>
      <c r="D32" s="143"/>
      <c r="E32" s="143"/>
      <c r="F32" s="143"/>
      <c r="G32" s="143"/>
      <c r="H32" s="143"/>
      <c r="I32" s="143"/>
      <c r="J32" s="143"/>
      <c r="K32" s="143"/>
      <c r="L32" s="143"/>
      <c r="M32" s="143"/>
      <c r="N32" s="144"/>
      <c r="O32" s="28" t="str">
        <f>IF(B32="","入力してください","")</f>
        <v/>
      </c>
      <c r="P32" s="133"/>
    </row>
    <row r="33" spans="1:16" ht="7.5" customHeight="1">
      <c r="B33" s="127"/>
      <c r="C33" s="127"/>
      <c r="D33" s="127"/>
      <c r="E33" s="127"/>
      <c r="F33" s="127"/>
      <c r="G33" s="127"/>
      <c r="H33" s="127"/>
      <c r="I33" s="127"/>
      <c r="J33" s="127"/>
      <c r="K33" s="127"/>
      <c r="L33" s="127"/>
      <c r="M33" s="127"/>
      <c r="N33" s="127"/>
      <c r="P33" s="133"/>
    </row>
    <row r="34" spans="1:16" s="14" customFormat="1" ht="24" customHeight="1">
      <c r="B34" s="149" t="s">
        <v>73</v>
      </c>
      <c r="C34" s="149"/>
      <c r="D34" s="142" t="s">
        <v>168</v>
      </c>
      <c r="E34" s="143"/>
      <c r="F34" s="143"/>
      <c r="G34" s="150" t="s">
        <v>55</v>
      </c>
      <c r="H34" s="149"/>
      <c r="I34" s="151"/>
      <c r="J34" s="142" t="s">
        <v>219</v>
      </c>
      <c r="K34" s="143"/>
      <c r="L34" s="143"/>
      <c r="M34" s="143"/>
      <c r="N34" s="144"/>
      <c r="O34" s="28" t="str">
        <f>IF(OR(D34="",J34=""),"入力してください","")</f>
        <v/>
      </c>
      <c r="P34" s="134"/>
    </row>
    <row r="35" spans="1:16" ht="7.5" customHeight="1">
      <c r="B35" s="4"/>
      <c r="C35" s="4"/>
      <c r="D35" s="4"/>
      <c r="E35" s="4"/>
      <c r="F35" s="111"/>
      <c r="G35" s="111"/>
      <c r="H35" s="111"/>
      <c r="I35" s="111"/>
      <c r="J35" s="111"/>
      <c r="K35" s="111"/>
      <c r="L35" s="111"/>
      <c r="M35" s="111"/>
      <c r="N35" s="111"/>
      <c r="P35" s="133"/>
    </row>
    <row r="36" spans="1:16" ht="24" customHeight="1">
      <c r="A36" s="14" t="s">
        <v>61</v>
      </c>
      <c r="B36" s="4" t="s">
        <v>80</v>
      </c>
      <c r="C36" s="4"/>
      <c r="D36" s="4"/>
      <c r="E36" s="4"/>
      <c r="F36" s="4"/>
      <c r="G36" s="4"/>
      <c r="H36" s="4"/>
      <c r="I36" s="4"/>
      <c r="J36" s="4"/>
      <c r="K36" s="4"/>
      <c r="L36" s="4"/>
      <c r="M36" s="123"/>
      <c r="N36" s="123"/>
      <c r="P36" s="133"/>
    </row>
    <row r="37" spans="1:16" ht="24" customHeight="1">
      <c r="B37" s="142" t="s">
        <v>169</v>
      </c>
      <c r="C37" s="143"/>
      <c r="D37" s="143"/>
      <c r="E37" s="143"/>
      <c r="F37" s="143"/>
      <c r="G37" s="143"/>
      <c r="H37" s="143"/>
      <c r="I37" s="143"/>
      <c r="J37" s="143"/>
      <c r="K37" s="143"/>
      <c r="L37" s="143"/>
      <c r="M37" s="143"/>
      <c r="N37" s="164"/>
      <c r="O37" s="28" t="str">
        <f>IF(B37="","入力してください","")</f>
        <v/>
      </c>
      <c r="P37" s="133"/>
    </row>
    <row r="38" spans="1:16" ht="7.5" customHeight="1">
      <c r="B38" s="4"/>
      <c r="C38" s="4"/>
      <c r="D38" s="4"/>
      <c r="E38" s="4"/>
      <c r="F38" s="111"/>
      <c r="G38" s="111"/>
      <c r="H38" s="111"/>
      <c r="I38" s="111"/>
      <c r="J38" s="111"/>
      <c r="K38" s="111"/>
      <c r="L38" s="111"/>
      <c r="M38" s="111"/>
      <c r="N38" s="111"/>
      <c r="P38" s="133"/>
    </row>
    <row r="39" spans="1:16" s="14" customFormat="1" ht="24" customHeight="1">
      <c r="B39" s="149" t="s">
        <v>73</v>
      </c>
      <c r="C39" s="149"/>
      <c r="D39" s="142" t="s">
        <v>194</v>
      </c>
      <c r="E39" s="143"/>
      <c r="F39" s="143"/>
      <c r="G39" s="150" t="s">
        <v>55</v>
      </c>
      <c r="H39" s="149"/>
      <c r="I39" s="151"/>
      <c r="J39" s="142" t="s">
        <v>195</v>
      </c>
      <c r="K39" s="143"/>
      <c r="L39" s="143"/>
      <c r="M39" s="143"/>
      <c r="N39" s="144"/>
      <c r="O39" s="28" t="str">
        <f>IF(OR(D39="",J39=""),"入力してください","")</f>
        <v/>
      </c>
      <c r="P39" s="134"/>
    </row>
    <row r="40" spans="1:16" ht="7.5" customHeight="1">
      <c r="B40" s="4"/>
      <c r="C40" s="4"/>
      <c r="D40" s="4"/>
      <c r="E40" s="4"/>
      <c r="F40" s="111"/>
      <c r="G40" s="111"/>
      <c r="H40" s="111"/>
      <c r="I40" s="111"/>
      <c r="J40" s="111"/>
      <c r="K40" s="111"/>
      <c r="L40" s="111"/>
      <c r="M40" s="111"/>
      <c r="N40" s="111"/>
      <c r="P40" s="133"/>
    </row>
    <row r="41" spans="1:16" ht="24" customHeight="1">
      <c r="A41" s="14" t="s">
        <v>87</v>
      </c>
      <c r="B41" s="128" t="s">
        <v>69</v>
      </c>
      <c r="C41" s="4"/>
      <c r="D41" s="4"/>
      <c r="E41" s="85"/>
      <c r="F41" s="142" t="s">
        <v>151</v>
      </c>
      <c r="G41" s="143"/>
      <c r="H41" s="143"/>
      <c r="I41" s="143"/>
      <c r="J41" s="143"/>
      <c r="K41" s="143"/>
      <c r="L41" s="143"/>
      <c r="M41" s="143"/>
      <c r="N41" s="144"/>
      <c r="O41" s="28" t="str">
        <f>IF(F41="","入力してください","")</f>
        <v/>
      </c>
      <c r="P41" s="133"/>
    </row>
    <row r="42" spans="1:16" ht="7.5" customHeight="1">
      <c r="B42" s="4"/>
      <c r="C42" s="4"/>
      <c r="D42" s="4"/>
      <c r="E42" s="4"/>
      <c r="F42" s="111"/>
      <c r="G42" s="111"/>
      <c r="H42" s="111"/>
      <c r="I42" s="111"/>
      <c r="J42" s="111"/>
      <c r="K42" s="111"/>
      <c r="L42" s="111"/>
      <c r="M42" s="111"/>
      <c r="N42" s="111"/>
      <c r="P42" s="133"/>
    </row>
    <row r="43" spans="1:16" ht="24" customHeight="1">
      <c r="A43" s="14" t="s">
        <v>97</v>
      </c>
      <c r="B43" s="4"/>
      <c r="C43" s="4"/>
      <c r="D43" s="4"/>
      <c r="E43" s="4"/>
      <c r="F43" s="4"/>
      <c r="G43" s="4"/>
      <c r="H43" s="4"/>
      <c r="I43" s="4"/>
      <c r="J43" s="4"/>
      <c r="K43" s="4"/>
      <c r="L43" s="4"/>
      <c r="M43" s="4"/>
      <c r="N43" s="4"/>
      <c r="P43" s="133"/>
    </row>
    <row r="44" spans="1:16" ht="24" customHeight="1">
      <c r="B44" s="129" t="s">
        <v>1</v>
      </c>
      <c r="C44" s="147" t="s">
        <v>211</v>
      </c>
      <c r="D44" s="148"/>
      <c r="E44" s="148"/>
      <c r="F44" s="148"/>
      <c r="G44" s="148"/>
      <c r="H44" s="148"/>
      <c r="I44" s="130" t="s">
        <v>2</v>
      </c>
      <c r="J44" s="131"/>
      <c r="K44" s="142" t="s">
        <v>186</v>
      </c>
      <c r="L44" s="143"/>
      <c r="M44" s="143"/>
      <c r="N44" s="144"/>
      <c r="O44" s="28" t="str">
        <f>IF(OR(C44="",K44=""),"入力してください","")</f>
        <v/>
      </c>
      <c r="P44" s="133"/>
    </row>
    <row r="45" spans="1:16" ht="24" customHeight="1">
      <c r="B45" s="132" t="s">
        <v>4</v>
      </c>
      <c r="C45" s="135" t="s">
        <v>171</v>
      </c>
      <c r="D45" s="136"/>
      <c r="E45" s="136"/>
      <c r="F45" s="136"/>
      <c r="G45" s="136"/>
      <c r="H45" s="137"/>
      <c r="I45" s="130" t="s">
        <v>3</v>
      </c>
      <c r="J45" s="131"/>
      <c r="K45" s="138" t="s">
        <v>170</v>
      </c>
      <c r="L45" s="139"/>
      <c r="M45" s="139"/>
      <c r="N45" s="140"/>
      <c r="O45" s="28" t="str">
        <f>IF(OR(C45="",K45=""),"入力してください","")</f>
        <v/>
      </c>
      <c r="P45" s="133"/>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4"/>
  <dataValidations disablePrompts="1"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D7335FEE-BE60-4567-BD4C-9C6067E6E05E}">
      <formula1>"有,無"</formula1>
    </dataValidation>
    <dataValidation type="list" allowBlank="1" showInputMessage="1" showErrorMessage="1" sqref="F41:N41" xr:uid="{09D83600-D3A0-4D64-B0DD-6C0D3C17CB04}">
      <formula1>"認定教育プログラム,認定教育プログラム+（プラス）,認定教育プログラムと認定教育プログラム+（プラス）"</formula1>
    </dataValidation>
  </dataValidations>
  <hyperlinks>
    <hyperlink ref="C45" r:id="rId1" xr:uid="{382131BA-0881-8C4E-8F92-0EA6D126D1E9}"/>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dimension ref="A1:Z98"/>
  <sheetViews>
    <sheetView showZeros="0" view="pageBreakPreview" zoomScaleNormal="100" zoomScaleSheetLayoutView="100" workbookViewId="0"/>
  </sheetViews>
  <sheetFormatPr defaultColWidth="9" defaultRowHeight="18.75" customHeight="1"/>
  <cols>
    <col min="1" max="1" width="2.5" style="13" customWidth="1"/>
    <col min="2" max="2" width="27.62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c r="W1" s="270" t="s">
        <v>192</v>
      </c>
      <c r="X1" s="270"/>
      <c r="Y1" s="270"/>
      <c r="Z1" s="270"/>
    </row>
    <row r="2" spans="1:26" ht="18" customHeight="1">
      <c r="A2" s="226" t="s">
        <v>67</v>
      </c>
      <c r="B2" s="226"/>
      <c r="C2" s="226"/>
      <c r="D2" s="226"/>
      <c r="E2" s="226"/>
      <c r="F2" s="226"/>
      <c r="G2" s="226"/>
      <c r="H2" s="226"/>
      <c r="I2" s="226"/>
      <c r="J2" s="226"/>
      <c r="K2" s="226"/>
      <c r="L2" s="226"/>
      <c r="M2" s="226"/>
      <c r="N2" s="226"/>
      <c r="O2" s="226"/>
      <c r="P2" s="226"/>
      <c r="Q2" s="226"/>
      <c r="R2" s="226"/>
      <c r="S2" s="226"/>
      <c r="T2" s="226"/>
      <c r="U2" s="226"/>
      <c r="V2" s="226"/>
      <c r="W2" s="226"/>
      <c r="X2" s="226"/>
      <c r="Y2" s="226"/>
      <c r="Z2" s="226"/>
    </row>
    <row r="3" spans="1:26" ht="15" customHeight="1">
      <c r="B3" s="26"/>
      <c r="C3" s="26"/>
      <c r="D3" s="26"/>
      <c r="E3" s="26"/>
      <c r="F3" s="26"/>
      <c r="G3" s="26"/>
      <c r="H3" s="26"/>
      <c r="I3" s="26"/>
      <c r="J3" s="26"/>
      <c r="K3" s="26"/>
      <c r="L3" s="26"/>
      <c r="M3" s="26"/>
      <c r="N3" s="26"/>
      <c r="O3" s="26"/>
      <c r="P3" s="26"/>
      <c r="Q3" s="26"/>
      <c r="R3" s="26"/>
      <c r="S3" s="26"/>
      <c r="T3" s="26"/>
      <c r="U3" s="26"/>
      <c r="V3" s="26"/>
      <c r="W3" s="26"/>
      <c r="X3" s="26"/>
      <c r="Y3" s="26"/>
      <c r="Z3" s="26"/>
    </row>
    <row r="4" spans="1:26" ht="18" customHeight="1">
      <c r="A4" s="13" t="s">
        <v>98</v>
      </c>
      <c r="B4" s="26"/>
      <c r="C4" s="26"/>
      <c r="D4" s="26"/>
      <c r="E4" s="26"/>
      <c r="F4" s="26"/>
      <c r="G4" s="26"/>
      <c r="H4" s="15" t="s">
        <v>111</v>
      </c>
      <c r="I4" s="26"/>
      <c r="J4" s="26"/>
      <c r="K4" s="26"/>
      <c r="L4" s="26"/>
      <c r="M4" s="26"/>
      <c r="N4" s="26"/>
      <c r="O4" s="165" t="s">
        <v>152</v>
      </c>
      <c r="P4" s="166"/>
      <c r="Q4" s="166"/>
      <c r="R4" s="166"/>
      <c r="S4" s="166"/>
      <c r="T4" s="166"/>
      <c r="U4" s="166"/>
      <c r="V4" s="166"/>
      <c r="W4" s="166"/>
      <c r="X4" s="166"/>
      <c r="Y4" s="166"/>
      <c r="Z4" s="167"/>
    </row>
    <row r="5" spans="1:26" ht="6" customHeight="1">
      <c r="B5" s="26"/>
      <c r="C5" s="26"/>
      <c r="D5" s="26"/>
      <c r="E5" s="26"/>
      <c r="F5" s="26"/>
      <c r="G5" s="26"/>
      <c r="H5" s="26"/>
      <c r="I5" s="26"/>
      <c r="J5" s="26"/>
      <c r="K5" s="26"/>
      <c r="L5" s="26"/>
      <c r="M5" s="26"/>
      <c r="N5" s="26"/>
      <c r="O5" s="16"/>
      <c r="P5" s="26"/>
      <c r="Q5" s="26"/>
      <c r="R5" s="26"/>
      <c r="S5" s="26"/>
      <c r="T5" s="26"/>
      <c r="U5" s="26"/>
      <c r="V5" s="26"/>
      <c r="W5" s="26"/>
      <c r="X5" s="26"/>
      <c r="Y5" s="26"/>
      <c r="Z5" s="26"/>
    </row>
    <row r="6" spans="1:26" ht="18" customHeight="1">
      <c r="B6" s="227" t="s">
        <v>206</v>
      </c>
      <c r="C6" s="228"/>
      <c r="D6" s="228"/>
      <c r="E6" s="228"/>
      <c r="F6" s="228"/>
      <c r="G6" s="228"/>
      <c r="H6" s="228"/>
      <c r="I6" s="228"/>
      <c r="J6" s="228"/>
      <c r="K6" s="228"/>
      <c r="L6" s="228"/>
      <c r="M6" s="228"/>
      <c r="N6" s="228"/>
      <c r="O6" s="228"/>
      <c r="P6" s="228"/>
      <c r="Q6" s="228"/>
      <c r="R6" s="228"/>
      <c r="S6" s="228"/>
      <c r="T6" s="228"/>
      <c r="U6" s="228"/>
      <c r="V6" s="228"/>
      <c r="W6" s="228"/>
      <c r="X6" s="228"/>
      <c r="Y6" s="228"/>
      <c r="Z6" s="229"/>
    </row>
    <row r="7" spans="1:26" ht="18" customHeight="1">
      <c r="B7" s="230"/>
      <c r="C7" s="231"/>
      <c r="D7" s="231"/>
      <c r="E7" s="231"/>
      <c r="F7" s="231"/>
      <c r="G7" s="231"/>
      <c r="H7" s="231"/>
      <c r="I7" s="231"/>
      <c r="J7" s="231"/>
      <c r="K7" s="231"/>
      <c r="L7" s="231"/>
      <c r="M7" s="231"/>
      <c r="N7" s="231"/>
      <c r="O7" s="231"/>
      <c r="P7" s="231"/>
      <c r="Q7" s="231"/>
      <c r="R7" s="231"/>
      <c r="S7" s="231"/>
      <c r="T7" s="231"/>
      <c r="U7" s="231"/>
      <c r="V7" s="231"/>
      <c r="W7" s="231"/>
      <c r="X7" s="231"/>
      <c r="Y7" s="231"/>
      <c r="Z7" s="232"/>
    </row>
    <row r="8" spans="1:26" ht="18" customHeight="1">
      <c r="B8" s="230"/>
      <c r="C8" s="231"/>
      <c r="D8" s="231"/>
      <c r="E8" s="231"/>
      <c r="F8" s="231"/>
      <c r="G8" s="231"/>
      <c r="H8" s="231"/>
      <c r="I8" s="231"/>
      <c r="J8" s="231"/>
      <c r="K8" s="231"/>
      <c r="L8" s="231"/>
      <c r="M8" s="231"/>
      <c r="N8" s="231"/>
      <c r="O8" s="231"/>
      <c r="P8" s="231"/>
      <c r="Q8" s="231"/>
      <c r="R8" s="231"/>
      <c r="S8" s="231"/>
      <c r="T8" s="231"/>
      <c r="U8" s="231"/>
      <c r="V8" s="231"/>
      <c r="W8" s="231"/>
      <c r="X8" s="231"/>
      <c r="Y8" s="231"/>
      <c r="Z8" s="232"/>
    </row>
    <row r="9" spans="1:26" ht="18" customHeight="1">
      <c r="B9" s="230"/>
      <c r="C9" s="231"/>
      <c r="D9" s="231"/>
      <c r="E9" s="231"/>
      <c r="F9" s="231"/>
      <c r="G9" s="231"/>
      <c r="H9" s="231"/>
      <c r="I9" s="231"/>
      <c r="J9" s="231"/>
      <c r="K9" s="231"/>
      <c r="L9" s="231"/>
      <c r="M9" s="231"/>
      <c r="N9" s="231"/>
      <c r="O9" s="231"/>
      <c r="P9" s="231"/>
      <c r="Q9" s="231"/>
      <c r="R9" s="231"/>
      <c r="S9" s="231"/>
      <c r="T9" s="231"/>
      <c r="U9" s="231"/>
      <c r="V9" s="231"/>
      <c r="W9" s="231"/>
      <c r="X9" s="231"/>
      <c r="Y9" s="231"/>
      <c r="Z9" s="232"/>
    </row>
    <row r="10" spans="1:26" ht="18" customHeight="1">
      <c r="B10" s="230"/>
      <c r="C10" s="233"/>
      <c r="D10" s="233"/>
      <c r="E10" s="233"/>
      <c r="F10" s="233"/>
      <c r="G10" s="233"/>
      <c r="H10" s="233"/>
      <c r="I10" s="233"/>
      <c r="J10" s="233"/>
      <c r="K10" s="233"/>
      <c r="L10" s="233"/>
      <c r="M10" s="233"/>
      <c r="N10" s="233"/>
      <c r="O10" s="233"/>
      <c r="P10" s="233"/>
      <c r="Q10" s="233"/>
      <c r="R10" s="233"/>
      <c r="S10" s="233"/>
      <c r="T10" s="233"/>
      <c r="U10" s="233"/>
      <c r="V10" s="233"/>
      <c r="W10" s="233"/>
      <c r="X10" s="233"/>
      <c r="Y10" s="233"/>
      <c r="Z10" s="232"/>
    </row>
    <row r="11" spans="1:26" ht="18" customHeight="1">
      <c r="B11" s="234"/>
      <c r="C11" s="235"/>
      <c r="D11" s="235"/>
      <c r="E11" s="235"/>
      <c r="F11" s="235"/>
      <c r="G11" s="235"/>
      <c r="H11" s="235"/>
      <c r="I11" s="235"/>
      <c r="J11" s="235"/>
      <c r="K11" s="235"/>
      <c r="L11" s="235"/>
      <c r="M11" s="235"/>
      <c r="N11" s="235"/>
      <c r="O11" s="235"/>
      <c r="P11" s="235"/>
      <c r="Q11" s="235"/>
      <c r="R11" s="235"/>
      <c r="S11" s="235"/>
      <c r="T11" s="235"/>
      <c r="U11" s="235"/>
      <c r="V11" s="235"/>
      <c r="W11" s="235"/>
      <c r="X11" s="235"/>
      <c r="Y11" s="235"/>
      <c r="Z11" s="236"/>
    </row>
    <row r="12" spans="1:26" ht="7.5" customHeight="1">
      <c r="B12" s="26"/>
      <c r="C12" s="26"/>
      <c r="D12" s="26"/>
      <c r="E12" s="26"/>
      <c r="F12" s="26"/>
      <c r="G12" s="26"/>
      <c r="H12" s="26"/>
      <c r="I12" s="26"/>
      <c r="J12" s="26"/>
      <c r="K12" s="26"/>
      <c r="L12" s="26"/>
      <c r="M12" s="26"/>
      <c r="N12" s="26"/>
      <c r="O12" s="26"/>
      <c r="P12" s="26"/>
      <c r="Q12" s="26"/>
      <c r="R12" s="26"/>
      <c r="S12" s="26"/>
      <c r="T12" s="26"/>
      <c r="U12" s="26"/>
      <c r="V12" s="26"/>
      <c r="W12" s="26"/>
      <c r="X12" s="26"/>
      <c r="Y12" s="26"/>
      <c r="Z12" s="26"/>
    </row>
    <row r="13" spans="1:26" ht="18" customHeight="1">
      <c r="A13" s="222" t="s">
        <v>124</v>
      </c>
      <c r="B13" s="222"/>
      <c r="C13" s="222"/>
      <c r="D13" s="222"/>
      <c r="E13" s="222"/>
      <c r="F13" s="222"/>
      <c r="G13" s="222"/>
      <c r="H13" s="222"/>
      <c r="I13" s="222"/>
      <c r="J13" s="222"/>
      <c r="K13" s="222"/>
      <c r="L13" s="222"/>
      <c r="M13" s="222"/>
      <c r="N13" s="222"/>
      <c r="O13" s="222"/>
      <c r="P13" s="222"/>
      <c r="Q13" s="222"/>
      <c r="R13" s="222"/>
      <c r="S13" s="222"/>
      <c r="T13" s="222"/>
      <c r="U13" s="222"/>
      <c r="V13" s="222"/>
      <c r="W13" s="222"/>
      <c r="X13" s="222"/>
      <c r="Y13" s="222"/>
      <c r="Z13" s="222"/>
    </row>
    <row r="14" spans="1:26" ht="18" customHeight="1">
      <c r="A14" s="222"/>
      <c r="B14" s="222"/>
      <c r="C14" s="222"/>
      <c r="D14" s="222"/>
      <c r="E14" s="222"/>
      <c r="F14" s="222"/>
      <c r="G14" s="222"/>
      <c r="H14" s="222"/>
      <c r="I14" s="222"/>
      <c r="J14" s="222"/>
      <c r="K14" s="222"/>
      <c r="L14" s="222"/>
      <c r="M14" s="222"/>
      <c r="N14" s="222"/>
      <c r="O14" s="222"/>
      <c r="P14" s="222"/>
      <c r="Q14" s="222"/>
      <c r="R14" s="222"/>
      <c r="S14" s="222"/>
      <c r="T14" s="222"/>
      <c r="U14" s="222"/>
      <c r="V14" s="222"/>
      <c r="W14" s="222"/>
      <c r="X14" s="222"/>
      <c r="Y14" s="222"/>
      <c r="Z14" s="222"/>
    </row>
    <row r="15" spans="1:26" ht="18" customHeight="1">
      <c r="A15" s="14"/>
      <c r="B15" s="165" t="s">
        <v>99</v>
      </c>
      <c r="C15" s="166"/>
      <c r="D15" s="166"/>
      <c r="E15" s="166"/>
      <c r="F15" s="167"/>
      <c r="G15" s="27" t="s">
        <v>140</v>
      </c>
      <c r="H15" s="107" t="s">
        <v>139</v>
      </c>
      <c r="I15" s="166" t="s">
        <v>100</v>
      </c>
      <c r="J15" s="166"/>
      <c r="K15" s="166"/>
      <c r="L15" s="70" t="s">
        <v>103</v>
      </c>
      <c r="M15" s="70" t="s">
        <v>106</v>
      </c>
      <c r="N15" s="165" t="s">
        <v>99</v>
      </c>
      <c r="O15" s="166"/>
      <c r="P15" s="166"/>
      <c r="Q15" s="166"/>
      <c r="R15" s="166"/>
      <c r="S15" s="167"/>
      <c r="T15" s="27" t="s">
        <v>140</v>
      </c>
      <c r="U15" s="107" t="s">
        <v>139</v>
      </c>
      <c r="V15" s="166" t="s">
        <v>100</v>
      </c>
      <c r="W15" s="166"/>
      <c r="X15" s="166"/>
      <c r="Y15" s="70" t="s">
        <v>103</v>
      </c>
      <c r="Z15" s="70" t="s">
        <v>106</v>
      </c>
    </row>
    <row r="16" spans="1:26" ht="18" customHeight="1">
      <c r="A16" s="14"/>
      <c r="B16" s="213" t="s">
        <v>154</v>
      </c>
      <c r="C16" s="214"/>
      <c r="D16" s="214"/>
      <c r="E16" s="214"/>
      <c r="F16" s="215"/>
      <c r="G16" s="108">
        <v>2</v>
      </c>
      <c r="H16" s="108" t="s">
        <v>155</v>
      </c>
      <c r="I16" s="207" t="s">
        <v>156</v>
      </c>
      <c r="J16" s="208"/>
      <c r="K16" s="209"/>
      <c r="L16" s="108" t="s">
        <v>155</v>
      </c>
      <c r="M16" s="108" t="s">
        <v>155</v>
      </c>
      <c r="N16" s="174"/>
      <c r="O16" s="175"/>
      <c r="P16" s="175"/>
      <c r="Q16" s="175"/>
      <c r="R16" s="175"/>
      <c r="S16" s="176"/>
      <c r="T16" s="108"/>
      <c r="U16" s="108"/>
      <c r="V16" s="207"/>
      <c r="W16" s="208"/>
      <c r="X16" s="209"/>
      <c r="Y16" s="108"/>
      <c r="Z16" s="108"/>
    </row>
    <row r="17" spans="1:26" ht="18" customHeight="1">
      <c r="A17" s="14"/>
      <c r="B17" s="216"/>
      <c r="C17" s="217"/>
      <c r="D17" s="217"/>
      <c r="E17" s="217"/>
      <c r="F17" s="218"/>
      <c r="G17" s="109"/>
      <c r="H17" s="109"/>
      <c r="I17" s="210"/>
      <c r="J17" s="211"/>
      <c r="K17" s="212"/>
      <c r="L17" s="109"/>
      <c r="M17" s="109"/>
      <c r="N17" s="183"/>
      <c r="O17" s="184"/>
      <c r="P17" s="184"/>
      <c r="Q17" s="184"/>
      <c r="R17" s="184"/>
      <c r="S17" s="185"/>
      <c r="T17" s="109"/>
      <c r="U17" s="109"/>
      <c r="V17" s="210"/>
      <c r="W17" s="211"/>
      <c r="X17" s="212"/>
      <c r="Y17" s="109"/>
      <c r="Z17" s="109"/>
    </row>
    <row r="18" spans="1:26" ht="18" customHeight="1">
      <c r="A18" s="14"/>
      <c r="B18" s="216"/>
      <c r="C18" s="217"/>
      <c r="D18" s="217"/>
      <c r="E18" s="217"/>
      <c r="F18" s="218"/>
      <c r="G18" s="109"/>
      <c r="H18" s="109"/>
      <c r="I18" s="210"/>
      <c r="J18" s="211"/>
      <c r="K18" s="212"/>
      <c r="L18" s="109"/>
      <c r="M18" s="109"/>
      <c r="N18" s="183"/>
      <c r="O18" s="184"/>
      <c r="P18" s="184"/>
      <c r="Q18" s="184"/>
      <c r="R18" s="184"/>
      <c r="S18" s="185"/>
      <c r="T18" s="109"/>
      <c r="U18" s="109"/>
      <c r="V18" s="210"/>
      <c r="W18" s="211"/>
      <c r="X18" s="212"/>
      <c r="Y18" s="109"/>
      <c r="Z18" s="109"/>
    </row>
    <row r="19" spans="1:26" ht="18" customHeight="1">
      <c r="A19" s="14"/>
      <c r="B19" s="216"/>
      <c r="C19" s="217"/>
      <c r="D19" s="217"/>
      <c r="E19" s="217"/>
      <c r="F19" s="218"/>
      <c r="G19" s="109"/>
      <c r="H19" s="109"/>
      <c r="I19" s="210"/>
      <c r="J19" s="211"/>
      <c r="K19" s="212"/>
      <c r="L19" s="109"/>
      <c r="M19" s="109"/>
      <c r="N19" s="183"/>
      <c r="O19" s="184"/>
      <c r="P19" s="184"/>
      <c r="Q19" s="184"/>
      <c r="R19" s="184"/>
      <c r="S19" s="185"/>
      <c r="T19" s="109"/>
      <c r="U19" s="109"/>
      <c r="V19" s="210"/>
      <c r="W19" s="211"/>
      <c r="X19" s="212"/>
      <c r="Y19" s="109"/>
      <c r="Z19" s="109"/>
    </row>
    <row r="20" spans="1:26" ht="18" customHeight="1">
      <c r="A20" s="14"/>
      <c r="B20" s="216"/>
      <c r="C20" s="217"/>
      <c r="D20" s="217"/>
      <c r="E20" s="217"/>
      <c r="F20" s="218"/>
      <c r="G20" s="109"/>
      <c r="H20" s="109"/>
      <c r="I20" s="210"/>
      <c r="J20" s="211"/>
      <c r="K20" s="212"/>
      <c r="L20" s="109"/>
      <c r="M20" s="109"/>
      <c r="N20" s="183"/>
      <c r="O20" s="184"/>
      <c r="P20" s="184"/>
      <c r="Q20" s="184"/>
      <c r="R20" s="184"/>
      <c r="S20" s="185"/>
      <c r="T20" s="109"/>
      <c r="U20" s="109"/>
      <c r="V20" s="210"/>
      <c r="W20" s="211"/>
      <c r="X20" s="212"/>
      <c r="Y20" s="109"/>
      <c r="Z20" s="109"/>
    </row>
    <row r="21" spans="1:26" ht="18" customHeight="1">
      <c r="A21" s="26"/>
      <c r="B21" s="216"/>
      <c r="C21" s="217"/>
      <c r="D21" s="217"/>
      <c r="E21" s="217"/>
      <c r="F21" s="218"/>
      <c r="G21" s="109"/>
      <c r="H21" s="109"/>
      <c r="I21" s="210"/>
      <c r="J21" s="211"/>
      <c r="K21" s="212"/>
      <c r="L21" s="109"/>
      <c r="M21" s="109"/>
      <c r="N21" s="183"/>
      <c r="O21" s="184"/>
      <c r="P21" s="184"/>
      <c r="Q21" s="184"/>
      <c r="R21" s="184"/>
      <c r="S21" s="185"/>
      <c r="T21" s="109"/>
      <c r="U21" s="109"/>
      <c r="V21" s="210"/>
      <c r="W21" s="211"/>
      <c r="X21" s="212"/>
      <c r="Y21" s="109"/>
      <c r="Z21" s="109"/>
    </row>
    <row r="22" spans="1:26" ht="18" customHeight="1">
      <c r="A22" s="26"/>
      <c r="B22" s="223"/>
      <c r="C22" s="224"/>
      <c r="D22" s="224"/>
      <c r="E22" s="224"/>
      <c r="F22" s="225"/>
      <c r="G22" s="110"/>
      <c r="H22" s="110"/>
      <c r="I22" s="219"/>
      <c r="J22" s="220"/>
      <c r="K22" s="221"/>
      <c r="L22" s="116"/>
      <c r="M22" s="116"/>
      <c r="N22" s="249"/>
      <c r="O22" s="250"/>
      <c r="P22" s="250"/>
      <c r="Q22" s="250"/>
      <c r="R22" s="250"/>
      <c r="S22" s="251"/>
      <c r="T22" s="110"/>
      <c r="U22" s="110"/>
      <c r="V22" s="219"/>
      <c r="W22" s="220"/>
      <c r="X22" s="221"/>
      <c r="Y22" s="116"/>
      <c r="Z22" s="116"/>
    </row>
    <row r="23" spans="1:26" ht="7.5" customHeight="1">
      <c r="A23" s="26"/>
      <c r="B23" s="71"/>
      <c r="C23" s="71"/>
      <c r="D23" s="26"/>
      <c r="E23" s="26"/>
      <c r="F23" s="26"/>
      <c r="G23" s="26"/>
      <c r="H23" s="26"/>
      <c r="I23" s="26"/>
      <c r="J23" s="26"/>
      <c r="K23" s="26"/>
      <c r="L23" s="71"/>
      <c r="M23" s="71"/>
      <c r="N23" s="71"/>
      <c r="O23" s="71"/>
      <c r="P23" s="71"/>
      <c r="Q23" s="71"/>
      <c r="R23" s="71"/>
      <c r="S23" s="71"/>
      <c r="T23" s="71"/>
      <c r="U23" s="71"/>
      <c r="V23" s="71"/>
      <c r="W23" s="71"/>
      <c r="X23" s="71"/>
      <c r="Y23" s="71"/>
      <c r="Z23" s="26"/>
    </row>
    <row r="24" spans="1:26" ht="18" customHeight="1">
      <c r="A24" s="222" t="s">
        <v>125</v>
      </c>
      <c r="B24" s="222"/>
      <c r="C24" s="222"/>
      <c r="D24" s="222"/>
      <c r="E24" s="222"/>
      <c r="F24" s="222"/>
      <c r="G24" s="222"/>
      <c r="H24" s="222"/>
      <c r="I24" s="222"/>
      <c r="J24" s="222"/>
      <c r="K24" s="222"/>
      <c r="L24" s="222"/>
      <c r="M24" s="222"/>
      <c r="N24" s="222"/>
      <c r="O24" s="222"/>
      <c r="P24" s="222"/>
      <c r="Q24" s="222"/>
      <c r="R24" s="222"/>
      <c r="S24" s="222"/>
      <c r="T24" s="222"/>
      <c r="U24" s="222"/>
      <c r="V24" s="222"/>
      <c r="W24" s="222"/>
      <c r="X24" s="222"/>
      <c r="Y24" s="222"/>
      <c r="Z24" s="222"/>
    </row>
    <row r="25" spans="1:26" ht="18" customHeight="1">
      <c r="A25" s="222"/>
      <c r="B25" s="222"/>
      <c r="C25" s="222"/>
      <c r="D25" s="222"/>
      <c r="E25" s="222"/>
      <c r="F25" s="222"/>
      <c r="G25" s="222"/>
      <c r="H25" s="222"/>
      <c r="I25" s="222"/>
      <c r="J25" s="222"/>
      <c r="K25" s="222"/>
      <c r="L25" s="222"/>
      <c r="M25" s="222"/>
      <c r="N25" s="222"/>
      <c r="O25" s="222"/>
      <c r="P25" s="222"/>
      <c r="Q25" s="222"/>
      <c r="R25" s="222"/>
      <c r="S25" s="222"/>
      <c r="T25" s="222"/>
      <c r="U25" s="222"/>
      <c r="V25" s="222"/>
      <c r="W25" s="222"/>
      <c r="X25" s="222"/>
      <c r="Y25" s="222"/>
      <c r="Z25" s="222"/>
    </row>
    <row r="26" spans="1:26" ht="18" customHeight="1">
      <c r="A26" s="14"/>
      <c r="B26" s="165" t="s">
        <v>99</v>
      </c>
      <c r="C26" s="166"/>
      <c r="D26" s="166"/>
      <c r="E26" s="166"/>
      <c r="F26" s="167"/>
      <c r="G26" s="27" t="s">
        <v>140</v>
      </c>
      <c r="H26" s="107" t="s">
        <v>139</v>
      </c>
      <c r="I26" s="166" t="s">
        <v>100</v>
      </c>
      <c r="J26" s="166"/>
      <c r="K26" s="166"/>
      <c r="L26" s="70" t="s">
        <v>126</v>
      </c>
      <c r="M26" s="70" t="s">
        <v>127</v>
      </c>
      <c r="N26" s="165" t="s">
        <v>99</v>
      </c>
      <c r="O26" s="166"/>
      <c r="P26" s="166"/>
      <c r="Q26" s="166"/>
      <c r="R26" s="166"/>
      <c r="S26" s="167"/>
      <c r="T26" s="27" t="s">
        <v>140</v>
      </c>
      <c r="U26" s="107" t="s">
        <v>139</v>
      </c>
      <c r="V26" s="166" t="s">
        <v>100</v>
      </c>
      <c r="W26" s="166"/>
      <c r="X26" s="166"/>
      <c r="Y26" s="70" t="s">
        <v>126</v>
      </c>
      <c r="Z26" s="70" t="s">
        <v>127</v>
      </c>
    </row>
    <row r="27" spans="1:26" ht="18" customHeight="1">
      <c r="A27" s="14"/>
      <c r="B27" s="213" t="s">
        <v>154</v>
      </c>
      <c r="C27" s="214"/>
      <c r="D27" s="214"/>
      <c r="E27" s="214"/>
      <c r="F27" s="215"/>
      <c r="G27" s="108">
        <v>2</v>
      </c>
      <c r="H27" s="108" t="s">
        <v>155</v>
      </c>
      <c r="I27" s="207" t="s">
        <v>156</v>
      </c>
      <c r="J27" s="208"/>
      <c r="K27" s="209"/>
      <c r="L27" s="108" t="s">
        <v>155</v>
      </c>
      <c r="M27" s="108" t="s">
        <v>155</v>
      </c>
      <c r="N27" s="174"/>
      <c r="O27" s="175"/>
      <c r="P27" s="175"/>
      <c r="Q27" s="175"/>
      <c r="R27" s="175"/>
      <c r="S27" s="176"/>
      <c r="T27" s="108"/>
      <c r="U27" s="108"/>
      <c r="V27" s="207"/>
      <c r="W27" s="208"/>
      <c r="X27" s="209"/>
      <c r="Y27" s="108"/>
      <c r="Z27" s="108"/>
    </row>
    <row r="28" spans="1:26" ht="18" customHeight="1">
      <c r="A28" s="14"/>
      <c r="B28" s="216"/>
      <c r="C28" s="217"/>
      <c r="D28" s="217"/>
      <c r="E28" s="217"/>
      <c r="F28" s="218"/>
      <c r="G28" s="109"/>
      <c r="H28" s="109"/>
      <c r="I28" s="210"/>
      <c r="J28" s="211"/>
      <c r="K28" s="212"/>
      <c r="L28" s="109"/>
      <c r="M28" s="109"/>
      <c r="N28" s="183"/>
      <c r="O28" s="184"/>
      <c r="P28" s="184"/>
      <c r="Q28" s="184"/>
      <c r="R28" s="184"/>
      <c r="S28" s="185"/>
      <c r="T28" s="109"/>
      <c r="U28" s="109"/>
      <c r="V28" s="210"/>
      <c r="W28" s="211"/>
      <c r="X28" s="212"/>
      <c r="Y28" s="109"/>
      <c r="Z28" s="109"/>
    </row>
    <row r="29" spans="1:26" ht="18" customHeight="1">
      <c r="A29" s="14"/>
      <c r="B29" s="216"/>
      <c r="C29" s="217"/>
      <c r="D29" s="217"/>
      <c r="E29" s="217"/>
      <c r="F29" s="218"/>
      <c r="G29" s="109"/>
      <c r="H29" s="109"/>
      <c r="I29" s="210"/>
      <c r="J29" s="211"/>
      <c r="K29" s="212"/>
      <c r="L29" s="109"/>
      <c r="M29" s="109"/>
      <c r="N29" s="183"/>
      <c r="O29" s="184"/>
      <c r="P29" s="184"/>
      <c r="Q29" s="184"/>
      <c r="R29" s="184"/>
      <c r="S29" s="185"/>
      <c r="T29" s="109"/>
      <c r="U29" s="109"/>
      <c r="V29" s="210"/>
      <c r="W29" s="211"/>
      <c r="X29" s="212"/>
      <c r="Y29" s="109"/>
      <c r="Z29" s="109"/>
    </row>
    <row r="30" spans="1:26" ht="18" customHeight="1">
      <c r="A30" s="14"/>
      <c r="B30" s="216"/>
      <c r="C30" s="217"/>
      <c r="D30" s="217"/>
      <c r="E30" s="217"/>
      <c r="F30" s="218"/>
      <c r="G30" s="109"/>
      <c r="H30" s="109"/>
      <c r="I30" s="210"/>
      <c r="J30" s="211"/>
      <c r="K30" s="212"/>
      <c r="L30" s="109"/>
      <c r="M30" s="109"/>
      <c r="N30" s="183"/>
      <c r="O30" s="184"/>
      <c r="P30" s="184"/>
      <c r="Q30" s="184"/>
      <c r="R30" s="184"/>
      <c r="S30" s="185"/>
      <c r="T30" s="109"/>
      <c r="U30" s="109"/>
      <c r="V30" s="210"/>
      <c r="W30" s="211"/>
      <c r="X30" s="212"/>
      <c r="Y30" s="109"/>
      <c r="Z30" s="109"/>
    </row>
    <row r="31" spans="1:26" ht="18" customHeight="1">
      <c r="A31" s="14"/>
      <c r="B31" s="216"/>
      <c r="C31" s="217"/>
      <c r="D31" s="217"/>
      <c r="E31" s="217"/>
      <c r="F31" s="218"/>
      <c r="G31" s="109"/>
      <c r="H31" s="109"/>
      <c r="I31" s="210"/>
      <c r="J31" s="211"/>
      <c r="K31" s="212"/>
      <c r="L31" s="109"/>
      <c r="M31" s="109"/>
      <c r="N31" s="183"/>
      <c r="O31" s="184"/>
      <c r="P31" s="184"/>
      <c r="Q31" s="184"/>
      <c r="R31" s="184"/>
      <c r="S31" s="185"/>
      <c r="T31" s="109"/>
      <c r="U31" s="109"/>
      <c r="V31" s="210"/>
      <c r="W31" s="211"/>
      <c r="X31" s="212"/>
      <c r="Y31" s="109"/>
      <c r="Z31" s="109"/>
    </row>
    <row r="32" spans="1:26" ht="18" customHeight="1">
      <c r="A32" s="14"/>
      <c r="B32" s="216"/>
      <c r="C32" s="217"/>
      <c r="D32" s="217"/>
      <c r="E32" s="217"/>
      <c r="F32" s="218"/>
      <c r="G32" s="109"/>
      <c r="H32" s="109"/>
      <c r="I32" s="210"/>
      <c r="J32" s="211"/>
      <c r="K32" s="212"/>
      <c r="L32" s="109"/>
      <c r="M32" s="109"/>
      <c r="N32" s="183"/>
      <c r="O32" s="184"/>
      <c r="P32" s="184"/>
      <c r="Q32" s="184"/>
      <c r="R32" s="184"/>
      <c r="S32" s="185"/>
      <c r="T32" s="109"/>
      <c r="U32" s="109"/>
      <c r="V32" s="210"/>
      <c r="W32" s="211"/>
      <c r="X32" s="212"/>
      <c r="Y32" s="109"/>
      <c r="Z32" s="109"/>
    </row>
    <row r="33" spans="1:26" ht="18" customHeight="1">
      <c r="A33" s="14"/>
      <c r="B33" s="223"/>
      <c r="C33" s="224"/>
      <c r="D33" s="224"/>
      <c r="E33" s="224"/>
      <c r="F33" s="225"/>
      <c r="G33" s="110"/>
      <c r="H33" s="110"/>
      <c r="I33" s="219"/>
      <c r="J33" s="220"/>
      <c r="K33" s="221"/>
      <c r="L33" s="116"/>
      <c r="M33" s="116"/>
      <c r="N33" s="249"/>
      <c r="O33" s="250"/>
      <c r="P33" s="250"/>
      <c r="Q33" s="250"/>
      <c r="R33" s="250"/>
      <c r="S33" s="251"/>
      <c r="T33" s="110"/>
      <c r="U33" s="110"/>
      <c r="V33" s="219"/>
      <c r="W33" s="220"/>
      <c r="X33" s="221"/>
      <c r="Y33" s="116"/>
      <c r="Z33" s="116"/>
    </row>
    <row r="34" spans="1:26" ht="7.5" customHeight="1">
      <c r="A34" s="26"/>
      <c r="B34" s="71"/>
      <c r="C34" s="71"/>
      <c r="D34" s="26"/>
      <c r="E34" s="26"/>
      <c r="F34" s="26"/>
      <c r="G34" s="26"/>
      <c r="H34" s="26"/>
      <c r="I34" s="26"/>
      <c r="J34" s="26"/>
      <c r="K34" s="26"/>
      <c r="L34" s="71"/>
      <c r="M34" s="71"/>
      <c r="N34" s="71"/>
      <c r="O34" s="71"/>
      <c r="P34" s="71"/>
      <c r="Q34" s="71"/>
      <c r="R34" s="71"/>
      <c r="S34" s="71"/>
      <c r="T34" s="71"/>
      <c r="U34" s="71"/>
      <c r="V34" s="71"/>
      <c r="W34" s="71"/>
      <c r="X34" s="71"/>
      <c r="Y34" s="71"/>
      <c r="Z34" s="26"/>
    </row>
    <row r="35" spans="1:26" ht="18" customHeight="1">
      <c r="A35" s="222" t="s">
        <v>128</v>
      </c>
      <c r="B35" s="222"/>
      <c r="C35" s="222"/>
      <c r="D35" s="222"/>
      <c r="E35" s="222"/>
      <c r="F35" s="222"/>
      <c r="G35" s="222"/>
      <c r="H35" s="222"/>
      <c r="I35" s="222"/>
      <c r="J35" s="222"/>
      <c r="K35" s="222"/>
      <c r="L35" s="222"/>
      <c r="M35" s="222"/>
      <c r="N35" s="222"/>
      <c r="O35" s="222"/>
      <c r="P35" s="222"/>
      <c r="Q35" s="222"/>
      <c r="R35" s="222"/>
      <c r="S35" s="222"/>
      <c r="T35" s="222"/>
      <c r="U35" s="222"/>
      <c r="V35" s="222"/>
      <c r="W35" s="222"/>
      <c r="X35" s="222"/>
      <c r="Y35" s="222"/>
      <c r="Z35" s="222"/>
    </row>
    <row r="36" spans="1:26" ht="18" customHeight="1">
      <c r="A36" s="222"/>
      <c r="B36" s="222"/>
      <c r="C36" s="222"/>
      <c r="D36" s="222"/>
      <c r="E36" s="222"/>
      <c r="F36" s="222"/>
      <c r="G36" s="222"/>
      <c r="H36" s="222"/>
      <c r="I36" s="222"/>
      <c r="J36" s="222"/>
      <c r="K36" s="222"/>
      <c r="L36" s="222"/>
      <c r="M36" s="222"/>
      <c r="N36" s="222"/>
      <c r="O36" s="222"/>
      <c r="P36" s="222"/>
      <c r="Q36" s="222"/>
      <c r="R36" s="222"/>
      <c r="S36" s="222"/>
      <c r="T36" s="222"/>
      <c r="U36" s="222"/>
      <c r="V36" s="222"/>
      <c r="W36" s="222"/>
      <c r="X36" s="222"/>
      <c r="Y36" s="222"/>
      <c r="Z36" s="222"/>
    </row>
    <row r="37" spans="1:26" ht="18" customHeight="1">
      <c r="A37" s="14"/>
      <c r="B37" s="165" t="s">
        <v>99</v>
      </c>
      <c r="C37" s="166"/>
      <c r="D37" s="166"/>
      <c r="E37" s="166"/>
      <c r="F37" s="167"/>
      <c r="G37" s="27" t="s">
        <v>140</v>
      </c>
      <c r="H37" s="107" t="s">
        <v>139</v>
      </c>
      <c r="I37" s="165" t="s">
        <v>100</v>
      </c>
      <c r="J37" s="166"/>
      <c r="K37" s="167"/>
      <c r="L37" s="70" t="s">
        <v>129</v>
      </c>
      <c r="M37" s="70" t="s">
        <v>130</v>
      </c>
      <c r="N37" s="165" t="s">
        <v>99</v>
      </c>
      <c r="O37" s="166"/>
      <c r="P37" s="166"/>
      <c r="Q37" s="166"/>
      <c r="R37" s="166"/>
      <c r="S37" s="167"/>
      <c r="T37" s="27" t="s">
        <v>140</v>
      </c>
      <c r="U37" s="107" t="s">
        <v>139</v>
      </c>
      <c r="V37" s="165" t="s">
        <v>100</v>
      </c>
      <c r="W37" s="166"/>
      <c r="X37" s="167"/>
      <c r="Y37" s="70" t="s">
        <v>129</v>
      </c>
      <c r="Z37" s="70" t="s">
        <v>130</v>
      </c>
    </row>
    <row r="38" spans="1:26" ht="18" customHeight="1">
      <c r="A38" s="26"/>
      <c r="B38" s="213" t="s">
        <v>154</v>
      </c>
      <c r="C38" s="214"/>
      <c r="D38" s="214"/>
      <c r="E38" s="214"/>
      <c r="F38" s="215"/>
      <c r="G38" s="108">
        <v>2</v>
      </c>
      <c r="H38" s="108" t="s">
        <v>155</v>
      </c>
      <c r="I38" s="207" t="s">
        <v>156</v>
      </c>
      <c r="J38" s="208"/>
      <c r="K38" s="209"/>
      <c r="L38" s="108" t="s">
        <v>155</v>
      </c>
      <c r="M38" s="108" t="s">
        <v>155</v>
      </c>
      <c r="N38" s="174"/>
      <c r="O38" s="175"/>
      <c r="P38" s="175"/>
      <c r="Q38" s="175"/>
      <c r="R38" s="175"/>
      <c r="S38" s="176"/>
      <c r="T38" s="108"/>
      <c r="U38" s="108"/>
      <c r="V38" s="207"/>
      <c r="W38" s="208"/>
      <c r="X38" s="209"/>
      <c r="Y38" s="108"/>
      <c r="Z38" s="108"/>
    </row>
    <row r="39" spans="1:26" ht="18" customHeight="1">
      <c r="A39" s="26"/>
      <c r="B39" s="216"/>
      <c r="C39" s="217"/>
      <c r="D39" s="217"/>
      <c r="E39" s="217"/>
      <c r="F39" s="218"/>
      <c r="G39" s="109"/>
      <c r="H39" s="109"/>
      <c r="I39" s="210"/>
      <c r="J39" s="211"/>
      <c r="K39" s="212"/>
      <c r="L39" s="109"/>
      <c r="M39" s="109"/>
      <c r="N39" s="183"/>
      <c r="O39" s="184"/>
      <c r="P39" s="184"/>
      <c r="Q39" s="184"/>
      <c r="R39" s="184"/>
      <c r="S39" s="185"/>
      <c r="T39" s="109"/>
      <c r="U39" s="109"/>
      <c r="V39" s="210"/>
      <c r="W39" s="211"/>
      <c r="X39" s="212"/>
      <c r="Y39" s="109"/>
      <c r="Z39" s="109"/>
    </row>
    <row r="40" spans="1:26" ht="18" customHeight="1">
      <c r="A40" s="26"/>
      <c r="B40" s="216"/>
      <c r="C40" s="217"/>
      <c r="D40" s="217"/>
      <c r="E40" s="217"/>
      <c r="F40" s="218"/>
      <c r="G40" s="109"/>
      <c r="H40" s="109"/>
      <c r="I40" s="210"/>
      <c r="J40" s="211"/>
      <c r="K40" s="212"/>
      <c r="L40" s="109"/>
      <c r="M40" s="109"/>
      <c r="N40" s="183"/>
      <c r="O40" s="184"/>
      <c r="P40" s="184"/>
      <c r="Q40" s="184"/>
      <c r="R40" s="184"/>
      <c r="S40" s="185"/>
      <c r="T40" s="109"/>
      <c r="U40" s="109"/>
      <c r="V40" s="210"/>
      <c r="W40" s="211"/>
      <c r="X40" s="212"/>
      <c r="Y40" s="109"/>
      <c r="Z40" s="109"/>
    </row>
    <row r="41" spans="1:26" ht="18" customHeight="1">
      <c r="A41" s="26"/>
      <c r="B41" s="216"/>
      <c r="C41" s="217"/>
      <c r="D41" s="217"/>
      <c r="E41" s="217"/>
      <c r="F41" s="218"/>
      <c r="G41" s="109"/>
      <c r="H41" s="109"/>
      <c r="I41" s="210"/>
      <c r="J41" s="211"/>
      <c r="K41" s="212"/>
      <c r="L41" s="109"/>
      <c r="M41" s="109"/>
      <c r="N41" s="183"/>
      <c r="O41" s="184"/>
      <c r="P41" s="184"/>
      <c r="Q41" s="184"/>
      <c r="R41" s="184"/>
      <c r="S41" s="185"/>
      <c r="T41" s="109"/>
      <c r="U41" s="109"/>
      <c r="V41" s="210"/>
      <c r="W41" s="211"/>
      <c r="X41" s="212"/>
      <c r="Y41" s="109"/>
      <c r="Z41" s="109"/>
    </row>
    <row r="42" spans="1:26" ht="18" customHeight="1">
      <c r="A42" s="26"/>
      <c r="B42" s="216"/>
      <c r="C42" s="217"/>
      <c r="D42" s="217"/>
      <c r="E42" s="217"/>
      <c r="F42" s="218"/>
      <c r="G42" s="109"/>
      <c r="H42" s="109"/>
      <c r="I42" s="210"/>
      <c r="J42" s="211"/>
      <c r="K42" s="212"/>
      <c r="L42" s="109"/>
      <c r="M42" s="109"/>
      <c r="N42" s="183"/>
      <c r="O42" s="184"/>
      <c r="P42" s="184"/>
      <c r="Q42" s="184"/>
      <c r="R42" s="184"/>
      <c r="S42" s="185"/>
      <c r="T42" s="109"/>
      <c r="U42" s="109"/>
      <c r="V42" s="210"/>
      <c r="W42" s="211"/>
      <c r="X42" s="212"/>
      <c r="Y42" s="109"/>
      <c r="Z42" s="109"/>
    </row>
    <row r="43" spans="1:26" ht="18" customHeight="1">
      <c r="A43" s="26"/>
      <c r="B43" s="216"/>
      <c r="C43" s="217"/>
      <c r="D43" s="217"/>
      <c r="E43" s="217"/>
      <c r="F43" s="218"/>
      <c r="G43" s="109"/>
      <c r="H43" s="109"/>
      <c r="I43" s="210"/>
      <c r="J43" s="211"/>
      <c r="K43" s="212"/>
      <c r="L43" s="109"/>
      <c r="M43" s="109"/>
      <c r="N43" s="183"/>
      <c r="O43" s="184"/>
      <c r="P43" s="184"/>
      <c r="Q43" s="184"/>
      <c r="R43" s="184"/>
      <c r="S43" s="185"/>
      <c r="T43" s="109"/>
      <c r="U43" s="109"/>
      <c r="V43" s="210"/>
      <c r="W43" s="211"/>
      <c r="X43" s="212"/>
      <c r="Y43" s="109"/>
      <c r="Z43" s="109"/>
    </row>
    <row r="44" spans="1:26" ht="18" customHeight="1">
      <c r="A44" s="26"/>
      <c r="B44" s="223"/>
      <c r="C44" s="224"/>
      <c r="D44" s="224"/>
      <c r="E44" s="224"/>
      <c r="F44" s="225"/>
      <c r="G44" s="110"/>
      <c r="H44" s="110"/>
      <c r="I44" s="219"/>
      <c r="J44" s="220"/>
      <c r="K44" s="221"/>
      <c r="L44" s="116"/>
      <c r="M44" s="116"/>
      <c r="N44" s="249"/>
      <c r="O44" s="250"/>
      <c r="P44" s="250"/>
      <c r="Q44" s="250"/>
      <c r="R44" s="250"/>
      <c r="S44" s="251"/>
      <c r="T44" s="110"/>
      <c r="U44" s="110"/>
      <c r="V44" s="219"/>
      <c r="W44" s="220"/>
      <c r="X44" s="221"/>
      <c r="Y44" s="116"/>
      <c r="Z44" s="116"/>
    </row>
    <row r="45" spans="1:26" ht="7.5" customHeight="1">
      <c r="B45" s="72"/>
      <c r="C45" s="72"/>
      <c r="D45" s="72"/>
      <c r="E45" s="72"/>
      <c r="F45" s="72"/>
      <c r="G45" s="72"/>
      <c r="H45" s="72"/>
      <c r="I45" s="72"/>
      <c r="J45" s="72"/>
      <c r="K45" s="72"/>
      <c r="L45" s="72"/>
      <c r="M45" s="72"/>
      <c r="N45" s="72"/>
      <c r="O45" s="72"/>
      <c r="P45" s="72"/>
      <c r="Q45" s="72"/>
      <c r="R45" s="72"/>
      <c r="S45" s="72"/>
      <c r="T45" s="72"/>
      <c r="U45" s="72"/>
      <c r="V45" s="72"/>
      <c r="W45" s="72"/>
      <c r="X45" s="72"/>
      <c r="Y45" s="72"/>
    </row>
    <row r="46" spans="1:26" ht="18" customHeight="1">
      <c r="A46" s="222" t="s">
        <v>131</v>
      </c>
      <c r="B46" s="222"/>
      <c r="C46" s="222"/>
      <c r="D46" s="222"/>
      <c r="E46" s="222"/>
      <c r="F46" s="222"/>
      <c r="G46" s="222"/>
      <c r="H46" s="222"/>
      <c r="I46" s="222"/>
      <c r="J46" s="222"/>
      <c r="K46" s="222"/>
      <c r="L46" s="222"/>
      <c r="M46" s="222"/>
      <c r="N46" s="222"/>
      <c r="O46" s="222"/>
      <c r="P46" s="222"/>
      <c r="Q46" s="222"/>
      <c r="R46" s="222"/>
      <c r="S46" s="222"/>
      <c r="T46" s="222"/>
      <c r="U46" s="222"/>
      <c r="V46" s="222"/>
      <c r="W46" s="222"/>
      <c r="X46" s="222"/>
      <c r="Y46" s="222"/>
      <c r="Z46" s="222"/>
    </row>
    <row r="47" spans="1:26" ht="18" customHeight="1">
      <c r="A47" s="222"/>
      <c r="B47" s="222"/>
      <c r="C47" s="222"/>
      <c r="D47" s="222"/>
      <c r="E47" s="222"/>
      <c r="F47" s="222"/>
      <c r="G47" s="222"/>
      <c r="H47" s="222"/>
      <c r="I47" s="222"/>
      <c r="J47" s="222"/>
      <c r="K47" s="222"/>
      <c r="L47" s="222"/>
      <c r="M47" s="222"/>
      <c r="N47" s="222"/>
      <c r="O47" s="222"/>
      <c r="P47" s="222"/>
      <c r="Q47" s="222"/>
      <c r="R47" s="222"/>
      <c r="S47" s="222"/>
      <c r="T47" s="222"/>
      <c r="U47" s="222"/>
      <c r="V47" s="222"/>
      <c r="W47" s="222"/>
      <c r="X47" s="222"/>
      <c r="Y47" s="222"/>
      <c r="Z47" s="222"/>
    </row>
    <row r="48" spans="1:26" ht="18" customHeight="1">
      <c r="A48" s="14"/>
      <c r="B48" s="165" t="s">
        <v>99</v>
      </c>
      <c r="C48" s="166"/>
      <c r="D48" s="166"/>
      <c r="E48" s="166"/>
      <c r="F48" s="167"/>
      <c r="G48" s="27" t="s">
        <v>140</v>
      </c>
      <c r="H48" s="107" t="s">
        <v>139</v>
      </c>
      <c r="I48" s="165" t="s">
        <v>100</v>
      </c>
      <c r="J48" s="166"/>
      <c r="K48" s="167"/>
      <c r="L48" s="70" t="s">
        <v>105</v>
      </c>
      <c r="M48" s="70" t="s">
        <v>107</v>
      </c>
      <c r="N48" s="165" t="s">
        <v>99</v>
      </c>
      <c r="O48" s="166"/>
      <c r="P48" s="166"/>
      <c r="Q48" s="166"/>
      <c r="R48" s="166"/>
      <c r="S48" s="167"/>
      <c r="T48" s="27" t="s">
        <v>140</v>
      </c>
      <c r="U48" s="107" t="s">
        <v>139</v>
      </c>
      <c r="V48" s="165" t="s">
        <v>100</v>
      </c>
      <c r="W48" s="166"/>
      <c r="X48" s="167"/>
      <c r="Y48" s="70" t="s">
        <v>105</v>
      </c>
      <c r="Z48" s="70" t="s">
        <v>107</v>
      </c>
    </row>
    <row r="49" spans="1:26" ht="18" customHeight="1">
      <c r="A49" s="26"/>
      <c r="B49" s="213" t="s">
        <v>154</v>
      </c>
      <c r="C49" s="214"/>
      <c r="D49" s="214"/>
      <c r="E49" s="214"/>
      <c r="F49" s="215"/>
      <c r="G49" s="108">
        <v>2</v>
      </c>
      <c r="H49" s="108" t="s">
        <v>155</v>
      </c>
      <c r="I49" s="207" t="s">
        <v>156</v>
      </c>
      <c r="J49" s="208"/>
      <c r="K49" s="209"/>
      <c r="L49" s="108" t="s">
        <v>155</v>
      </c>
      <c r="M49" s="108" t="s">
        <v>155</v>
      </c>
      <c r="N49" s="174"/>
      <c r="O49" s="175"/>
      <c r="P49" s="175"/>
      <c r="Q49" s="175"/>
      <c r="R49" s="175"/>
      <c r="S49" s="176"/>
      <c r="T49" s="108"/>
      <c r="U49" s="108"/>
      <c r="V49" s="207"/>
      <c r="W49" s="208"/>
      <c r="X49" s="209"/>
      <c r="Y49" s="108"/>
      <c r="Z49" s="108"/>
    </row>
    <row r="50" spans="1:26" ht="18" customHeight="1">
      <c r="A50" s="26"/>
      <c r="B50" s="216"/>
      <c r="C50" s="217"/>
      <c r="D50" s="217"/>
      <c r="E50" s="217"/>
      <c r="F50" s="218"/>
      <c r="G50" s="109"/>
      <c r="H50" s="109"/>
      <c r="I50" s="210"/>
      <c r="J50" s="211"/>
      <c r="K50" s="212"/>
      <c r="L50" s="109"/>
      <c r="M50" s="109"/>
      <c r="N50" s="183"/>
      <c r="O50" s="184"/>
      <c r="P50" s="184"/>
      <c r="Q50" s="184"/>
      <c r="R50" s="184"/>
      <c r="S50" s="185"/>
      <c r="T50" s="109"/>
      <c r="U50" s="109"/>
      <c r="V50" s="210"/>
      <c r="W50" s="211"/>
      <c r="X50" s="212"/>
      <c r="Y50" s="109"/>
      <c r="Z50" s="109"/>
    </row>
    <row r="51" spans="1:26" ht="18" customHeight="1">
      <c r="A51" s="26"/>
      <c r="B51" s="216"/>
      <c r="C51" s="217"/>
      <c r="D51" s="217"/>
      <c r="E51" s="217"/>
      <c r="F51" s="218"/>
      <c r="G51" s="109"/>
      <c r="H51" s="109"/>
      <c r="I51" s="210"/>
      <c r="J51" s="211"/>
      <c r="K51" s="212"/>
      <c r="L51" s="109"/>
      <c r="M51" s="109"/>
      <c r="N51" s="183"/>
      <c r="O51" s="184"/>
      <c r="P51" s="184"/>
      <c r="Q51" s="184"/>
      <c r="R51" s="184"/>
      <c r="S51" s="185"/>
      <c r="T51" s="109"/>
      <c r="U51" s="109"/>
      <c r="V51" s="210"/>
      <c r="W51" s="211"/>
      <c r="X51" s="212"/>
      <c r="Y51" s="109"/>
      <c r="Z51" s="109"/>
    </row>
    <row r="52" spans="1:26" ht="18" customHeight="1">
      <c r="A52" s="26"/>
      <c r="B52" s="216"/>
      <c r="C52" s="217"/>
      <c r="D52" s="217"/>
      <c r="E52" s="217"/>
      <c r="F52" s="218"/>
      <c r="G52" s="109"/>
      <c r="H52" s="109"/>
      <c r="I52" s="210"/>
      <c r="J52" s="211"/>
      <c r="K52" s="212"/>
      <c r="L52" s="109"/>
      <c r="M52" s="109"/>
      <c r="N52" s="183"/>
      <c r="O52" s="184"/>
      <c r="P52" s="184"/>
      <c r="Q52" s="184"/>
      <c r="R52" s="184"/>
      <c r="S52" s="185"/>
      <c r="T52" s="109"/>
      <c r="U52" s="109"/>
      <c r="V52" s="210"/>
      <c r="W52" s="211"/>
      <c r="X52" s="212"/>
      <c r="Y52" s="109"/>
      <c r="Z52" s="109"/>
    </row>
    <row r="53" spans="1:26" ht="18" customHeight="1">
      <c r="A53" s="26"/>
      <c r="B53" s="216"/>
      <c r="C53" s="217"/>
      <c r="D53" s="217"/>
      <c r="E53" s="217"/>
      <c r="F53" s="218"/>
      <c r="G53" s="109"/>
      <c r="H53" s="109"/>
      <c r="I53" s="210"/>
      <c r="J53" s="211"/>
      <c r="K53" s="212"/>
      <c r="L53" s="109"/>
      <c r="M53" s="109"/>
      <c r="N53" s="183"/>
      <c r="O53" s="184"/>
      <c r="P53" s="184"/>
      <c r="Q53" s="184"/>
      <c r="R53" s="184"/>
      <c r="S53" s="185"/>
      <c r="T53" s="109"/>
      <c r="U53" s="109"/>
      <c r="V53" s="210"/>
      <c r="W53" s="211"/>
      <c r="X53" s="212"/>
      <c r="Y53" s="109"/>
      <c r="Z53" s="109"/>
    </row>
    <row r="54" spans="1:26" ht="18" customHeight="1">
      <c r="A54" s="26"/>
      <c r="B54" s="216"/>
      <c r="C54" s="217"/>
      <c r="D54" s="217"/>
      <c r="E54" s="217"/>
      <c r="F54" s="218"/>
      <c r="G54" s="109"/>
      <c r="H54" s="109"/>
      <c r="I54" s="210"/>
      <c r="J54" s="211"/>
      <c r="K54" s="212"/>
      <c r="L54" s="109"/>
      <c r="M54" s="109"/>
      <c r="N54" s="183"/>
      <c r="O54" s="184"/>
      <c r="P54" s="184"/>
      <c r="Q54" s="184"/>
      <c r="R54" s="184"/>
      <c r="S54" s="185"/>
      <c r="T54" s="109"/>
      <c r="U54" s="109"/>
      <c r="V54" s="210"/>
      <c r="W54" s="211"/>
      <c r="X54" s="212"/>
      <c r="Y54" s="109"/>
      <c r="Z54" s="109"/>
    </row>
    <row r="55" spans="1:26" ht="18" customHeight="1">
      <c r="A55" s="26"/>
      <c r="B55" s="223"/>
      <c r="C55" s="224"/>
      <c r="D55" s="224"/>
      <c r="E55" s="224"/>
      <c r="F55" s="225"/>
      <c r="G55" s="110"/>
      <c r="H55" s="110"/>
      <c r="I55" s="219"/>
      <c r="J55" s="220"/>
      <c r="K55" s="221"/>
      <c r="L55" s="116"/>
      <c r="M55" s="116"/>
      <c r="N55" s="249"/>
      <c r="O55" s="250"/>
      <c r="P55" s="250"/>
      <c r="Q55" s="250"/>
      <c r="R55" s="250"/>
      <c r="S55" s="251"/>
      <c r="T55" s="110"/>
      <c r="U55" s="110"/>
      <c r="V55" s="219"/>
      <c r="W55" s="220"/>
      <c r="X55" s="221"/>
      <c r="Y55" s="116"/>
      <c r="Z55" s="116"/>
    </row>
    <row r="56" spans="1:26" ht="7.5" customHeight="1">
      <c r="B56" s="72"/>
      <c r="C56" s="72"/>
      <c r="D56" s="72"/>
      <c r="E56" s="72"/>
      <c r="F56" s="72"/>
      <c r="G56" s="72"/>
      <c r="H56" s="72"/>
      <c r="I56" s="72"/>
      <c r="J56" s="72"/>
      <c r="K56" s="72"/>
      <c r="L56" s="72"/>
      <c r="M56" s="72"/>
      <c r="N56" s="72"/>
      <c r="O56" s="72"/>
      <c r="P56" s="72"/>
      <c r="Q56" s="72"/>
      <c r="R56" s="72"/>
      <c r="S56" s="72"/>
      <c r="T56" s="72"/>
      <c r="U56" s="72"/>
      <c r="V56" s="72"/>
      <c r="W56" s="72"/>
      <c r="X56" s="72"/>
      <c r="Y56" s="72"/>
    </row>
    <row r="57" spans="1:26" ht="18" customHeight="1">
      <c r="A57" s="222" t="s">
        <v>132</v>
      </c>
      <c r="B57" s="222"/>
      <c r="C57" s="222"/>
      <c r="D57" s="222"/>
      <c r="E57" s="222"/>
      <c r="F57" s="222"/>
      <c r="G57" s="222"/>
      <c r="H57" s="222"/>
      <c r="I57" s="222"/>
      <c r="J57" s="222"/>
      <c r="K57" s="222"/>
      <c r="L57" s="222"/>
      <c r="M57" s="222"/>
      <c r="N57" s="222"/>
      <c r="O57" s="222"/>
      <c r="P57" s="222"/>
      <c r="Q57" s="222"/>
      <c r="R57" s="222"/>
      <c r="S57" s="222"/>
      <c r="T57" s="222"/>
      <c r="U57" s="222"/>
      <c r="V57" s="222"/>
      <c r="W57" s="222"/>
      <c r="X57" s="222"/>
      <c r="Y57" s="222"/>
      <c r="Z57" s="222"/>
    </row>
    <row r="58" spans="1:26" ht="18" customHeight="1">
      <c r="A58" s="222"/>
      <c r="B58" s="222"/>
      <c r="C58" s="222"/>
      <c r="D58" s="222"/>
      <c r="E58" s="222"/>
      <c r="F58" s="222"/>
      <c r="G58" s="222"/>
      <c r="H58" s="222"/>
      <c r="I58" s="222"/>
      <c r="J58" s="222"/>
      <c r="K58" s="222"/>
      <c r="L58" s="222"/>
      <c r="M58" s="222"/>
      <c r="N58" s="222"/>
      <c r="O58" s="222"/>
      <c r="P58" s="222"/>
      <c r="Q58" s="222"/>
      <c r="R58" s="222"/>
      <c r="S58" s="222"/>
      <c r="T58" s="222"/>
      <c r="U58" s="222"/>
      <c r="V58" s="222"/>
      <c r="W58" s="222"/>
      <c r="X58" s="222"/>
      <c r="Y58" s="222"/>
      <c r="Z58" s="222"/>
    </row>
    <row r="59" spans="1:26" ht="18" customHeight="1">
      <c r="A59" s="14"/>
      <c r="B59" s="165" t="s">
        <v>99</v>
      </c>
      <c r="C59" s="166"/>
      <c r="D59" s="166"/>
      <c r="E59" s="167"/>
      <c r="F59" s="27" t="s">
        <v>140</v>
      </c>
      <c r="G59" s="107" t="s">
        <v>139</v>
      </c>
      <c r="H59" s="102" t="s">
        <v>100</v>
      </c>
      <c r="I59" s="103"/>
      <c r="J59" s="104"/>
      <c r="K59" s="70" t="s">
        <v>104</v>
      </c>
      <c r="L59" s="70" t="s">
        <v>133</v>
      </c>
      <c r="M59" s="70" t="s">
        <v>134</v>
      </c>
      <c r="N59" s="165" t="s">
        <v>99</v>
      </c>
      <c r="O59" s="166"/>
      <c r="P59" s="166"/>
      <c r="Q59" s="166"/>
      <c r="R59" s="167"/>
      <c r="S59" s="27" t="s">
        <v>140</v>
      </c>
      <c r="T59" s="107" t="s">
        <v>139</v>
      </c>
      <c r="U59" s="102" t="s">
        <v>100</v>
      </c>
      <c r="V59" s="103"/>
      <c r="W59" s="104"/>
      <c r="X59" s="70" t="s">
        <v>104</v>
      </c>
      <c r="Y59" s="70" t="s">
        <v>133</v>
      </c>
      <c r="Z59" s="70" t="s">
        <v>134</v>
      </c>
    </row>
    <row r="60" spans="1:26" ht="18" customHeight="1">
      <c r="A60" s="26"/>
      <c r="B60" s="174" t="s">
        <v>154</v>
      </c>
      <c r="C60" s="175"/>
      <c r="D60" s="175"/>
      <c r="E60" s="176"/>
      <c r="F60" s="108">
        <v>2</v>
      </c>
      <c r="G60" s="108" t="s">
        <v>155</v>
      </c>
      <c r="H60" s="207" t="s">
        <v>156</v>
      </c>
      <c r="I60" s="208"/>
      <c r="J60" s="209"/>
      <c r="K60" s="108" t="s">
        <v>155</v>
      </c>
      <c r="L60" s="108" t="s">
        <v>155</v>
      </c>
      <c r="M60" s="108"/>
      <c r="N60" s="174"/>
      <c r="O60" s="175"/>
      <c r="P60" s="175"/>
      <c r="Q60" s="175"/>
      <c r="R60" s="176"/>
      <c r="S60" s="108"/>
      <c r="T60" s="108"/>
      <c r="U60" s="207"/>
      <c r="V60" s="208"/>
      <c r="W60" s="209"/>
      <c r="X60" s="115"/>
      <c r="Y60" s="108"/>
      <c r="Z60" s="108"/>
    </row>
    <row r="61" spans="1:26" ht="18" customHeight="1">
      <c r="A61" s="26"/>
      <c r="B61" s="183" t="s">
        <v>158</v>
      </c>
      <c r="C61" s="184"/>
      <c r="D61" s="184"/>
      <c r="E61" s="185"/>
      <c r="F61" s="109">
        <v>2</v>
      </c>
      <c r="G61" s="109" t="s">
        <v>155</v>
      </c>
      <c r="H61" s="210" t="s">
        <v>156</v>
      </c>
      <c r="I61" s="211"/>
      <c r="J61" s="212"/>
      <c r="K61" s="113"/>
      <c r="L61" s="109" t="s">
        <v>155</v>
      </c>
      <c r="M61" s="109"/>
      <c r="N61" s="183"/>
      <c r="O61" s="184"/>
      <c r="P61" s="184"/>
      <c r="Q61" s="184"/>
      <c r="R61" s="185"/>
      <c r="S61" s="109"/>
      <c r="T61" s="109"/>
      <c r="U61" s="210"/>
      <c r="V61" s="211"/>
      <c r="W61" s="212"/>
      <c r="X61" s="113"/>
      <c r="Y61" s="109"/>
      <c r="Z61" s="109"/>
    </row>
    <row r="62" spans="1:26" ht="18" customHeight="1">
      <c r="A62" s="26"/>
      <c r="B62" s="183" t="s">
        <v>159</v>
      </c>
      <c r="C62" s="184"/>
      <c r="D62" s="184"/>
      <c r="E62" s="185"/>
      <c r="F62" s="109">
        <v>2</v>
      </c>
      <c r="G62" s="109" t="s">
        <v>155</v>
      </c>
      <c r="H62" s="210" t="s">
        <v>156</v>
      </c>
      <c r="I62" s="211"/>
      <c r="J62" s="212"/>
      <c r="K62" s="113"/>
      <c r="L62" s="109" t="s">
        <v>155</v>
      </c>
      <c r="M62" s="109" t="s">
        <v>155</v>
      </c>
      <c r="N62" s="183"/>
      <c r="O62" s="184"/>
      <c r="P62" s="184"/>
      <c r="Q62" s="184"/>
      <c r="R62" s="185"/>
      <c r="S62" s="109"/>
      <c r="T62" s="109"/>
      <c r="U62" s="210"/>
      <c r="V62" s="211"/>
      <c r="W62" s="212"/>
      <c r="X62" s="113"/>
      <c r="Y62" s="109"/>
      <c r="Z62" s="109"/>
    </row>
    <row r="63" spans="1:26" ht="18" customHeight="1">
      <c r="A63" s="26"/>
      <c r="B63" s="183"/>
      <c r="C63" s="184"/>
      <c r="D63" s="184"/>
      <c r="E63" s="185"/>
      <c r="F63" s="109"/>
      <c r="G63" s="109"/>
      <c r="H63" s="210"/>
      <c r="I63" s="211"/>
      <c r="J63" s="212"/>
      <c r="K63" s="113"/>
      <c r="L63" s="109"/>
      <c r="M63" s="109"/>
      <c r="N63" s="183"/>
      <c r="O63" s="184"/>
      <c r="P63" s="184"/>
      <c r="Q63" s="184"/>
      <c r="R63" s="185"/>
      <c r="S63" s="109"/>
      <c r="T63" s="109"/>
      <c r="U63" s="210"/>
      <c r="V63" s="211"/>
      <c r="W63" s="212"/>
      <c r="X63" s="113"/>
      <c r="Y63" s="109"/>
      <c r="Z63" s="109"/>
    </row>
    <row r="64" spans="1:26" ht="18" customHeight="1">
      <c r="A64" s="26"/>
      <c r="B64" s="183"/>
      <c r="C64" s="184"/>
      <c r="D64" s="184"/>
      <c r="E64" s="185"/>
      <c r="F64" s="109"/>
      <c r="G64" s="109"/>
      <c r="H64" s="210"/>
      <c r="I64" s="211"/>
      <c r="J64" s="212"/>
      <c r="K64" s="113"/>
      <c r="L64" s="109"/>
      <c r="M64" s="109"/>
      <c r="N64" s="183"/>
      <c r="O64" s="184"/>
      <c r="P64" s="184"/>
      <c r="Q64" s="184"/>
      <c r="R64" s="185"/>
      <c r="S64" s="109"/>
      <c r="T64" s="109"/>
      <c r="U64" s="210"/>
      <c r="V64" s="211"/>
      <c r="W64" s="212"/>
      <c r="X64" s="113"/>
      <c r="Y64" s="109"/>
      <c r="Z64" s="109"/>
    </row>
    <row r="65" spans="1:26" ht="18" customHeight="1">
      <c r="A65" s="26"/>
      <c r="B65" s="183"/>
      <c r="C65" s="184"/>
      <c r="D65" s="184"/>
      <c r="E65" s="185"/>
      <c r="F65" s="109"/>
      <c r="G65" s="109"/>
      <c r="H65" s="210"/>
      <c r="I65" s="211"/>
      <c r="J65" s="212"/>
      <c r="K65" s="113"/>
      <c r="L65" s="109"/>
      <c r="M65" s="109"/>
      <c r="N65" s="183"/>
      <c r="O65" s="184"/>
      <c r="P65" s="184"/>
      <c r="Q65" s="184"/>
      <c r="R65" s="185"/>
      <c r="S65" s="109"/>
      <c r="T65" s="109"/>
      <c r="U65" s="210"/>
      <c r="V65" s="211"/>
      <c r="W65" s="212"/>
      <c r="X65" s="113"/>
      <c r="Y65" s="109"/>
      <c r="Z65" s="109"/>
    </row>
    <row r="66" spans="1:26" ht="18" customHeight="1">
      <c r="A66" s="26"/>
      <c r="B66" s="249"/>
      <c r="C66" s="250"/>
      <c r="D66" s="250"/>
      <c r="E66" s="251"/>
      <c r="F66" s="110"/>
      <c r="G66" s="110"/>
      <c r="H66" s="219"/>
      <c r="I66" s="220"/>
      <c r="J66" s="221"/>
      <c r="K66" s="114"/>
      <c r="L66" s="116"/>
      <c r="M66" s="116"/>
      <c r="N66" s="249"/>
      <c r="O66" s="250"/>
      <c r="P66" s="250"/>
      <c r="Q66" s="250"/>
      <c r="R66" s="251"/>
      <c r="S66" s="110"/>
      <c r="T66" s="110"/>
      <c r="U66" s="219"/>
      <c r="V66" s="220"/>
      <c r="W66" s="221"/>
      <c r="X66" s="114"/>
      <c r="Y66" s="116"/>
      <c r="Z66" s="116"/>
    </row>
    <row r="67" spans="1:26" ht="7.5" customHeight="1">
      <c r="B67" s="72"/>
      <c r="C67" s="72"/>
      <c r="D67" s="72"/>
      <c r="E67" s="72"/>
      <c r="F67" s="72"/>
      <c r="G67" s="72"/>
      <c r="H67" s="72"/>
      <c r="I67" s="72"/>
      <c r="J67" s="72"/>
      <c r="K67" s="72"/>
      <c r="L67" s="72"/>
      <c r="M67" s="72"/>
      <c r="N67" s="72"/>
      <c r="O67" s="72"/>
      <c r="P67" s="72"/>
      <c r="Q67" s="72"/>
      <c r="R67" s="72"/>
      <c r="S67" s="72"/>
      <c r="T67" s="72"/>
      <c r="U67" s="72"/>
      <c r="V67" s="72"/>
      <c r="W67" s="72"/>
      <c r="X67" s="72"/>
      <c r="Y67" s="72"/>
    </row>
    <row r="68" spans="1:26" ht="18" customHeight="1">
      <c r="A68" s="14" t="s">
        <v>135</v>
      </c>
      <c r="B68" s="14"/>
      <c r="C68" s="14"/>
      <c r="D68" s="14"/>
      <c r="E68" s="14"/>
      <c r="F68" s="14"/>
      <c r="G68" s="14"/>
      <c r="H68" s="14"/>
      <c r="I68" s="14"/>
      <c r="J68" s="14"/>
      <c r="K68" s="14"/>
      <c r="L68" s="26"/>
      <c r="M68" s="26"/>
      <c r="N68" s="26"/>
      <c r="O68" s="26"/>
      <c r="P68" s="26"/>
      <c r="Q68" s="26"/>
      <c r="R68" s="26"/>
      <c r="S68" s="26"/>
      <c r="T68" s="26"/>
      <c r="U68" s="26"/>
      <c r="V68" s="26"/>
      <c r="W68" s="26"/>
      <c r="X68" s="26"/>
      <c r="Y68" s="26"/>
      <c r="Z68" s="26"/>
    </row>
    <row r="69" spans="1:26" ht="18" customHeight="1">
      <c r="A69" s="14"/>
      <c r="B69" s="165" t="s">
        <v>99</v>
      </c>
      <c r="C69" s="166"/>
      <c r="D69" s="166"/>
      <c r="E69" s="166"/>
      <c r="F69" s="167"/>
      <c r="G69" s="165" t="s">
        <v>145</v>
      </c>
      <c r="H69" s="166"/>
      <c r="I69" s="166"/>
      <c r="J69" s="166"/>
      <c r="K69" s="166"/>
      <c r="L69" s="166"/>
      <c r="M69" s="167"/>
      <c r="N69" s="255" t="s">
        <v>99</v>
      </c>
      <c r="O69" s="256"/>
      <c r="P69" s="256"/>
      <c r="Q69" s="256"/>
      <c r="R69" s="256"/>
      <c r="S69" s="257"/>
      <c r="T69" s="165" t="s">
        <v>145</v>
      </c>
      <c r="U69" s="166"/>
      <c r="V69" s="166"/>
      <c r="W69" s="166"/>
      <c r="X69" s="166"/>
      <c r="Y69" s="166"/>
      <c r="Z69" s="167"/>
    </row>
    <row r="70" spans="1:26" ht="18" customHeight="1">
      <c r="A70" s="26"/>
      <c r="B70" s="174"/>
      <c r="C70" s="175"/>
      <c r="D70" s="175"/>
      <c r="E70" s="175"/>
      <c r="F70" s="176"/>
      <c r="G70" s="177"/>
      <c r="H70" s="178"/>
      <c r="I70" s="178"/>
      <c r="J70" s="178"/>
      <c r="K70" s="178"/>
      <c r="L70" s="178"/>
      <c r="M70" s="179"/>
      <c r="N70" s="174"/>
      <c r="O70" s="175"/>
      <c r="P70" s="175"/>
      <c r="Q70" s="175"/>
      <c r="R70" s="175"/>
      <c r="S70" s="176"/>
      <c r="T70" s="177"/>
      <c r="U70" s="178"/>
      <c r="V70" s="178"/>
      <c r="W70" s="178"/>
      <c r="X70" s="178"/>
      <c r="Y70" s="178"/>
      <c r="Z70" s="179"/>
    </row>
    <row r="71" spans="1:26" ht="18" customHeight="1">
      <c r="A71" s="26"/>
      <c r="B71" s="183"/>
      <c r="C71" s="184"/>
      <c r="D71" s="184"/>
      <c r="E71" s="184"/>
      <c r="F71" s="185"/>
      <c r="G71" s="186"/>
      <c r="H71" s="187"/>
      <c r="I71" s="187"/>
      <c r="J71" s="187"/>
      <c r="K71" s="187"/>
      <c r="L71" s="187"/>
      <c r="M71" s="188"/>
      <c r="N71" s="183"/>
      <c r="O71" s="184"/>
      <c r="P71" s="184"/>
      <c r="Q71" s="184"/>
      <c r="R71" s="184"/>
      <c r="S71" s="185"/>
      <c r="T71" s="186"/>
      <c r="U71" s="187"/>
      <c r="V71" s="187"/>
      <c r="W71" s="187"/>
      <c r="X71" s="187"/>
      <c r="Y71" s="187"/>
      <c r="Z71" s="188"/>
    </row>
    <row r="72" spans="1:26" ht="18" customHeight="1">
      <c r="A72" s="26"/>
      <c r="B72" s="183"/>
      <c r="C72" s="184"/>
      <c r="D72" s="184"/>
      <c r="E72" s="184"/>
      <c r="F72" s="185"/>
      <c r="G72" s="186"/>
      <c r="H72" s="187"/>
      <c r="I72" s="187"/>
      <c r="J72" s="187"/>
      <c r="K72" s="187"/>
      <c r="L72" s="187"/>
      <c r="M72" s="188"/>
      <c r="N72" s="183"/>
      <c r="O72" s="184"/>
      <c r="P72" s="184"/>
      <c r="Q72" s="184"/>
      <c r="R72" s="184"/>
      <c r="S72" s="185"/>
      <c r="T72" s="186"/>
      <c r="U72" s="187"/>
      <c r="V72" s="187"/>
      <c r="W72" s="187"/>
      <c r="X72" s="187"/>
      <c r="Y72" s="187"/>
      <c r="Z72" s="188"/>
    </row>
    <row r="73" spans="1:26" ht="18" customHeight="1">
      <c r="A73" s="26"/>
      <c r="B73" s="183"/>
      <c r="C73" s="184"/>
      <c r="D73" s="184"/>
      <c r="E73" s="184"/>
      <c r="F73" s="185"/>
      <c r="G73" s="186"/>
      <c r="H73" s="187"/>
      <c r="I73" s="187"/>
      <c r="J73" s="187"/>
      <c r="K73" s="187"/>
      <c r="L73" s="187"/>
      <c r="M73" s="188"/>
      <c r="N73" s="183"/>
      <c r="O73" s="184"/>
      <c r="P73" s="184"/>
      <c r="Q73" s="184"/>
      <c r="R73" s="184"/>
      <c r="S73" s="185"/>
      <c r="T73" s="186"/>
      <c r="U73" s="187"/>
      <c r="V73" s="187"/>
      <c r="W73" s="187"/>
      <c r="X73" s="187"/>
      <c r="Y73" s="187"/>
      <c r="Z73" s="188"/>
    </row>
    <row r="74" spans="1:26" ht="18" customHeight="1">
      <c r="A74" s="26"/>
      <c r="B74" s="183"/>
      <c r="C74" s="184"/>
      <c r="D74" s="184"/>
      <c r="E74" s="184"/>
      <c r="F74" s="185"/>
      <c r="G74" s="186"/>
      <c r="H74" s="187"/>
      <c r="I74" s="187"/>
      <c r="J74" s="187"/>
      <c r="K74" s="187"/>
      <c r="L74" s="187"/>
      <c r="M74" s="188"/>
      <c r="N74" s="183"/>
      <c r="O74" s="184"/>
      <c r="P74" s="184"/>
      <c r="Q74" s="184"/>
      <c r="R74" s="184"/>
      <c r="S74" s="185"/>
      <c r="T74" s="186"/>
      <c r="U74" s="187"/>
      <c r="V74" s="187"/>
      <c r="W74" s="187"/>
      <c r="X74" s="187"/>
      <c r="Y74" s="187"/>
      <c r="Z74" s="188"/>
    </row>
    <row r="75" spans="1:26" ht="18" customHeight="1">
      <c r="A75" s="26"/>
      <c r="B75" s="183"/>
      <c r="C75" s="184"/>
      <c r="D75" s="184"/>
      <c r="E75" s="184"/>
      <c r="F75" s="185"/>
      <c r="G75" s="186"/>
      <c r="H75" s="187"/>
      <c r="I75" s="187"/>
      <c r="J75" s="187"/>
      <c r="K75" s="187"/>
      <c r="L75" s="187"/>
      <c r="M75" s="188"/>
      <c r="N75" s="183"/>
      <c r="O75" s="184"/>
      <c r="P75" s="184"/>
      <c r="Q75" s="184"/>
      <c r="R75" s="184"/>
      <c r="S75" s="185"/>
      <c r="T75" s="186"/>
      <c r="U75" s="187"/>
      <c r="V75" s="187"/>
      <c r="W75" s="187"/>
      <c r="X75" s="187"/>
      <c r="Y75" s="187"/>
      <c r="Z75" s="188"/>
    </row>
    <row r="76" spans="1:26" ht="18" customHeight="1">
      <c r="A76" s="26"/>
      <c r="B76" s="249"/>
      <c r="C76" s="250"/>
      <c r="D76" s="250"/>
      <c r="E76" s="250"/>
      <c r="F76" s="251"/>
      <c r="G76" s="252"/>
      <c r="H76" s="253"/>
      <c r="I76" s="253"/>
      <c r="J76" s="253"/>
      <c r="K76" s="253"/>
      <c r="L76" s="253"/>
      <c r="M76" s="254"/>
      <c r="N76" s="249"/>
      <c r="O76" s="250"/>
      <c r="P76" s="250"/>
      <c r="Q76" s="250"/>
      <c r="R76" s="250"/>
      <c r="S76" s="251"/>
      <c r="T76" s="252"/>
      <c r="U76" s="253"/>
      <c r="V76" s="253"/>
      <c r="W76" s="253"/>
      <c r="X76" s="253"/>
      <c r="Y76" s="253"/>
      <c r="Z76" s="254"/>
    </row>
    <row r="77" spans="1:26" ht="18" customHeight="1">
      <c r="A77" s="26"/>
      <c r="B77" s="69"/>
      <c r="C77" s="69"/>
      <c r="D77" s="69"/>
      <c r="E77" s="69"/>
      <c r="F77" s="69"/>
      <c r="G77" s="12"/>
      <c r="H77" s="12"/>
      <c r="I77" s="12"/>
      <c r="J77" s="12"/>
      <c r="K77" s="12"/>
      <c r="L77" s="12"/>
      <c r="M77" s="12"/>
      <c r="N77" s="69"/>
      <c r="O77" s="69"/>
      <c r="P77" s="69"/>
      <c r="Q77" s="69"/>
      <c r="R77" s="69"/>
      <c r="S77" s="69"/>
      <c r="T77" s="12"/>
      <c r="U77" s="12"/>
      <c r="V77" s="12"/>
      <c r="W77" s="12"/>
      <c r="X77" s="12"/>
      <c r="Y77" s="12"/>
      <c r="Z77" s="12"/>
    </row>
    <row r="78" spans="1:26" ht="18.75" customHeight="1">
      <c r="A78" s="13" t="s">
        <v>141</v>
      </c>
    </row>
    <row r="79" spans="1:26" ht="18.75" customHeight="1">
      <c r="B79" s="73" t="s">
        <v>101</v>
      </c>
      <c r="C79" s="74"/>
      <c r="D79" s="205" t="s">
        <v>102</v>
      </c>
      <c r="E79" s="205"/>
      <c r="F79" s="205"/>
      <c r="G79" s="205"/>
      <c r="H79" s="205"/>
      <c r="I79" s="205"/>
      <c r="J79" s="205"/>
      <c r="K79" s="205"/>
      <c r="L79" s="205"/>
      <c r="M79" s="205"/>
      <c r="N79" s="205"/>
      <c r="O79" s="205"/>
      <c r="P79" s="205"/>
      <c r="Q79" s="205"/>
      <c r="R79" s="205"/>
      <c r="S79" s="205"/>
      <c r="T79" s="205"/>
      <c r="U79" s="205"/>
      <c r="V79" s="205"/>
      <c r="W79" s="205"/>
      <c r="X79" s="205"/>
      <c r="Y79" s="205"/>
      <c r="Z79" s="206"/>
    </row>
    <row r="80" spans="1:26" ht="78" customHeight="1">
      <c r="B80" s="191" t="s">
        <v>108</v>
      </c>
      <c r="C80" s="80" t="s">
        <v>103</v>
      </c>
      <c r="D80" s="199" t="s">
        <v>160</v>
      </c>
      <c r="E80" s="200"/>
      <c r="F80" s="200"/>
      <c r="G80" s="200"/>
      <c r="H80" s="200"/>
      <c r="I80" s="200"/>
      <c r="J80" s="200"/>
      <c r="K80" s="200"/>
      <c r="L80" s="200"/>
      <c r="M80" s="200"/>
      <c r="N80" s="200"/>
      <c r="O80" s="200"/>
      <c r="P80" s="200"/>
      <c r="Q80" s="200"/>
      <c r="R80" s="200"/>
      <c r="S80" s="200"/>
      <c r="T80" s="200"/>
      <c r="U80" s="200"/>
      <c r="V80" s="200"/>
      <c r="W80" s="200"/>
      <c r="X80" s="200"/>
      <c r="Y80" s="200"/>
      <c r="Z80" s="201"/>
    </row>
    <row r="81" spans="1:26" ht="78" customHeight="1">
      <c r="B81" s="192"/>
      <c r="C81" s="105" t="s">
        <v>136</v>
      </c>
      <c r="D81" s="237" t="s">
        <v>165</v>
      </c>
      <c r="E81" s="238"/>
      <c r="F81" s="238"/>
      <c r="G81" s="238"/>
      <c r="H81" s="238"/>
      <c r="I81" s="238"/>
      <c r="J81" s="238"/>
      <c r="K81" s="238"/>
      <c r="L81" s="238"/>
      <c r="M81" s="238"/>
      <c r="N81" s="238"/>
      <c r="O81" s="238"/>
      <c r="P81" s="238"/>
      <c r="Q81" s="238"/>
      <c r="R81" s="238"/>
      <c r="S81" s="238"/>
      <c r="T81" s="238"/>
      <c r="U81" s="238"/>
      <c r="V81" s="238"/>
      <c r="W81" s="238"/>
      <c r="X81" s="238"/>
      <c r="Y81" s="238"/>
      <c r="Z81" s="239"/>
    </row>
    <row r="82" spans="1:26" ht="113.25" customHeight="1">
      <c r="B82" s="189" t="s">
        <v>109</v>
      </c>
      <c r="C82" s="75" t="s">
        <v>126</v>
      </c>
      <c r="D82" s="240" t="s">
        <v>174</v>
      </c>
      <c r="E82" s="241"/>
      <c r="F82" s="241"/>
      <c r="G82" s="241"/>
      <c r="H82" s="241"/>
      <c r="I82" s="241"/>
      <c r="J82" s="241"/>
      <c r="K82" s="241"/>
      <c r="L82" s="241"/>
      <c r="M82" s="241"/>
      <c r="N82" s="241"/>
      <c r="O82" s="241"/>
      <c r="P82" s="241"/>
      <c r="Q82" s="241"/>
      <c r="R82" s="241"/>
      <c r="S82" s="241"/>
      <c r="T82" s="241"/>
      <c r="U82" s="241"/>
      <c r="V82" s="241"/>
      <c r="W82" s="241"/>
      <c r="X82" s="241"/>
      <c r="Y82" s="241"/>
      <c r="Z82" s="242"/>
    </row>
    <row r="83" spans="1:26" ht="96.95" customHeight="1">
      <c r="B83" s="190"/>
      <c r="C83" s="106" t="s">
        <v>127</v>
      </c>
      <c r="D83" s="246" t="s">
        <v>199</v>
      </c>
      <c r="E83" s="247"/>
      <c r="F83" s="247"/>
      <c r="G83" s="247"/>
      <c r="H83" s="247"/>
      <c r="I83" s="247"/>
      <c r="J83" s="247"/>
      <c r="K83" s="247"/>
      <c r="L83" s="247"/>
      <c r="M83" s="247"/>
      <c r="N83" s="247"/>
      <c r="O83" s="247"/>
      <c r="P83" s="247"/>
      <c r="Q83" s="247"/>
      <c r="R83" s="247"/>
      <c r="S83" s="247"/>
      <c r="T83" s="247"/>
      <c r="U83" s="247"/>
      <c r="V83" s="247"/>
      <c r="W83" s="247"/>
      <c r="X83" s="247"/>
      <c r="Y83" s="247"/>
      <c r="Z83" s="248"/>
    </row>
    <row r="84" spans="1:26" ht="89.25" customHeight="1">
      <c r="B84" s="189" t="s">
        <v>110</v>
      </c>
      <c r="C84" s="75" t="s">
        <v>129</v>
      </c>
      <c r="D84" s="240" t="s">
        <v>166</v>
      </c>
      <c r="E84" s="241"/>
      <c r="F84" s="241"/>
      <c r="G84" s="241"/>
      <c r="H84" s="241"/>
      <c r="I84" s="241"/>
      <c r="J84" s="241"/>
      <c r="K84" s="241"/>
      <c r="L84" s="241"/>
      <c r="M84" s="241"/>
      <c r="N84" s="241"/>
      <c r="O84" s="241"/>
      <c r="P84" s="241"/>
      <c r="Q84" s="241"/>
      <c r="R84" s="241"/>
      <c r="S84" s="241"/>
      <c r="T84" s="241"/>
      <c r="U84" s="241"/>
      <c r="V84" s="241"/>
      <c r="W84" s="241"/>
      <c r="X84" s="241"/>
      <c r="Y84" s="241"/>
      <c r="Z84" s="242"/>
    </row>
    <row r="85" spans="1:26" ht="96.75" customHeight="1">
      <c r="B85" s="190"/>
      <c r="C85" s="77" t="s">
        <v>130</v>
      </c>
      <c r="D85" s="243" t="s">
        <v>196</v>
      </c>
      <c r="E85" s="244"/>
      <c r="F85" s="244"/>
      <c r="G85" s="244"/>
      <c r="H85" s="244"/>
      <c r="I85" s="244"/>
      <c r="J85" s="244"/>
      <c r="K85" s="244"/>
      <c r="L85" s="244"/>
      <c r="M85" s="244"/>
      <c r="N85" s="244"/>
      <c r="O85" s="244"/>
      <c r="P85" s="244"/>
      <c r="Q85" s="244"/>
      <c r="R85" s="244"/>
      <c r="S85" s="244"/>
      <c r="T85" s="244"/>
      <c r="U85" s="244"/>
      <c r="V85" s="244"/>
      <c r="W85" s="244"/>
      <c r="X85" s="244"/>
      <c r="Y85" s="244"/>
      <c r="Z85" s="245"/>
    </row>
    <row r="86" spans="1:26" ht="88.5" customHeight="1">
      <c r="B86" s="191" t="s">
        <v>137</v>
      </c>
      <c r="C86" s="80" t="s">
        <v>105</v>
      </c>
      <c r="D86" s="199" t="s">
        <v>197</v>
      </c>
      <c r="E86" s="200"/>
      <c r="F86" s="200"/>
      <c r="G86" s="200"/>
      <c r="H86" s="200"/>
      <c r="I86" s="200"/>
      <c r="J86" s="200"/>
      <c r="K86" s="200"/>
      <c r="L86" s="200"/>
      <c r="M86" s="200"/>
      <c r="N86" s="200"/>
      <c r="O86" s="200"/>
      <c r="P86" s="200"/>
      <c r="Q86" s="200"/>
      <c r="R86" s="200"/>
      <c r="S86" s="200"/>
      <c r="T86" s="200"/>
      <c r="U86" s="200"/>
      <c r="V86" s="200"/>
      <c r="W86" s="200"/>
      <c r="X86" s="200"/>
      <c r="Y86" s="200"/>
      <c r="Z86" s="201"/>
    </row>
    <row r="87" spans="1:26" ht="87.75" customHeight="1">
      <c r="B87" s="198"/>
      <c r="C87" s="76" t="s">
        <v>107</v>
      </c>
      <c r="D87" s="202" t="s">
        <v>198</v>
      </c>
      <c r="E87" s="203"/>
      <c r="F87" s="203"/>
      <c r="G87" s="203"/>
      <c r="H87" s="203"/>
      <c r="I87" s="203"/>
      <c r="J87" s="203"/>
      <c r="K87" s="203"/>
      <c r="L87" s="203"/>
      <c r="M87" s="203"/>
      <c r="N87" s="203"/>
      <c r="O87" s="203"/>
      <c r="P87" s="203"/>
      <c r="Q87" s="203"/>
      <c r="R87" s="203"/>
      <c r="S87" s="203"/>
      <c r="T87" s="203"/>
      <c r="U87" s="203"/>
      <c r="V87" s="203"/>
      <c r="W87" s="203"/>
      <c r="X87" s="203"/>
      <c r="Y87" s="203"/>
      <c r="Z87" s="204"/>
    </row>
    <row r="88" spans="1:26" ht="66" customHeight="1">
      <c r="B88" s="191" t="s">
        <v>138</v>
      </c>
      <c r="C88" s="75" t="s">
        <v>104</v>
      </c>
      <c r="D88" s="193" t="s">
        <v>162</v>
      </c>
      <c r="E88" s="194"/>
      <c r="F88" s="194"/>
      <c r="G88" s="194"/>
      <c r="H88" s="194"/>
      <c r="I88" s="194"/>
      <c r="J88" s="194"/>
      <c r="K88" s="194"/>
      <c r="L88" s="194"/>
      <c r="M88" s="194"/>
      <c r="N88" s="194"/>
      <c r="O88" s="194"/>
      <c r="P88" s="194"/>
      <c r="Q88" s="194"/>
      <c r="R88" s="194"/>
      <c r="S88" s="194"/>
      <c r="T88" s="194"/>
      <c r="U88" s="194"/>
      <c r="V88" s="194"/>
      <c r="W88" s="194"/>
      <c r="X88" s="194"/>
      <c r="Y88" s="194"/>
      <c r="Z88" s="195"/>
    </row>
    <row r="89" spans="1:26" ht="96.95" customHeight="1">
      <c r="B89" s="192"/>
      <c r="C89" s="76" t="s">
        <v>133</v>
      </c>
      <c r="D89" s="180" t="s">
        <v>207</v>
      </c>
      <c r="E89" s="181"/>
      <c r="F89" s="181"/>
      <c r="G89" s="181"/>
      <c r="H89" s="181"/>
      <c r="I89" s="181"/>
      <c r="J89" s="181"/>
      <c r="K89" s="181"/>
      <c r="L89" s="181"/>
      <c r="M89" s="181"/>
      <c r="N89" s="181"/>
      <c r="O89" s="181"/>
      <c r="P89" s="181"/>
      <c r="Q89" s="181"/>
      <c r="R89" s="181"/>
      <c r="S89" s="181"/>
      <c r="T89" s="181"/>
      <c r="U89" s="181"/>
      <c r="V89" s="181"/>
      <c r="W89" s="181"/>
      <c r="X89" s="181"/>
      <c r="Y89" s="181"/>
      <c r="Z89" s="182"/>
    </row>
    <row r="90" spans="1:26" ht="66" customHeight="1">
      <c r="B90" s="190"/>
      <c r="C90" s="77" t="s">
        <v>134</v>
      </c>
      <c r="D90" s="196" t="s">
        <v>161</v>
      </c>
      <c r="E90" s="196"/>
      <c r="F90" s="196"/>
      <c r="G90" s="196"/>
      <c r="H90" s="196"/>
      <c r="I90" s="196"/>
      <c r="J90" s="196"/>
      <c r="K90" s="196"/>
      <c r="L90" s="196"/>
      <c r="M90" s="196"/>
      <c r="N90" s="196"/>
      <c r="O90" s="196"/>
      <c r="P90" s="196"/>
      <c r="Q90" s="196"/>
      <c r="R90" s="196"/>
      <c r="S90" s="196"/>
      <c r="T90" s="196"/>
      <c r="U90" s="196"/>
      <c r="V90" s="196"/>
      <c r="W90" s="196"/>
      <c r="X90" s="196"/>
      <c r="Y90" s="196"/>
      <c r="Z90" s="197"/>
    </row>
    <row r="91" spans="1:26" ht="6" customHeight="1"/>
    <row r="92" spans="1:26" ht="18.75" customHeight="1">
      <c r="A92" s="13" t="s">
        <v>142</v>
      </c>
    </row>
    <row r="93" spans="1:26" ht="18.75" customHeight="1">
      <c r="B93" s="258" t="s">
        <v>200</v>
      </c>
      <c r="C93" s="259"/>
      <c r="D93" s="259"/>
      <c r="E93" s="259"/>
      <c r="F93" s="259"/>
      <c r="G93" s="259"/>
      <c r="H93" s="259"/>
      <c r="I93" s="259"/>
      <c r="J93" s="259"/>
      <c r="K93" s="259"/>
      <c r="L93" s="259"/>
      <c r="M93" s="259"/>
      <c r="N93" s="259"/>
      <c r="O93" s="259"/>
      <c r="P93" s="259"/>
      <c r="Q93" s="259"/>
      <c r="R93" s="259"/>
      <c r="S93" s="259"/>
      <c r="T93" s="259"/>
      <c r="U93" s="259"/>
      <c r="V93" s="259"/>
      <c r="W93" s="259"/>
      <c r="X93" s="259"/>
      <c r="Y93" s="259"/>
      <c r="Z93" s="260"/>
    </row>
    <row r="94" spans="1:26" ht="18.75" customHeight="1">
      <c r="B94" s="261"/>
      <c r="C94" s="262"/>
      <c r="D94" s="262"/>
      <c r="E94" s="262"/>
      <c r="F94" s="262"/>
      <c r="G94" s="262"/>
      <c r="H94" s="262"/>
      <c r="I94" s="262"/>
      <c r="J94" s="262"/>
      <c r="K94" s="262"/>
      <c r="L94" s="262"/>
      <c r="M94" s="262"/>
      <c r="N94" s="262"/>
      <c r="O94" s="262"/>
      <c r="P94" s="262"/>
      <c r="Q94" s="262"/>
      <c r="R94" s="262"/>
      <c r="S94" s="262"/>
      <c r="T94" s="262"/>
      <c r="U94" s="262"/>
      <c r="V94" s="262"/>
      <c r="W94" s="262"/>
      <c r="X94" s="262"/>
      <c r="Y94" s="262"/>
      <c r="Z94" s="263"/>
    </row>
    <row r="95" spans="1:26" ht="33.950000000000003" customHeight="1">
      <c r="B95" s="264"/>
      <c r="C95" s="265"/>
      <c r="D95" s="265"/>
      <c r="E95" s="265"/>
      <c r="F95" s="265"/>
      <c r="G95" s="265"/>
      <c r="H95" s="265"/>
      <c r="I95" s="265"/>
      <c r="J95" s="265"/>
      <c r="K95" s="265"/>
      <c r="L95" s="265"/>
      <c r="M95" s="265"/>
      <c r="N95" s="265"/>
      <c r="O95" s="265"/>
      <c r="P95" s="265"/>
      <c r="Q95" s="265"/>
      <c r="R95" s="265"/>
      <c r="S95" s="265"/>
      <c r="T95" s="265"/>
      <c r="U95" s="265"/>
      <c r="V95" s="265"/>
      <c r="W95" s="265"/>
      <c r="X95" s="265"/>
      <c r="Y95" s="265"/>
      <c r="Z95" s="266"/>
    </row>
    <row r="96" spans="1:26" ht="6" customHeight="1"/>
    <row r="97" spans="1:26" ht="15" customHeight="1">
      <c r="A97" s="13" t="s">
        <v>143</v>
      </c>
    </row>
    <row r="98" spans="1:26" ht="15" customHeight="1">
      <c r="B98" s="267" t="s">
        <v>157</v>
      </c>
      <c r="C98" s="268"/>
      <c r="D98" s="268"/>
      <c r="E98" s="268"/>
      <c r="F98" s="268"/>
      <c r="G98" s="268"/>
      <c r="H98" s="268"/>
      <c r="I98" s="268"/>
      <c r="J98" s="268"/>
      <c r="K98" s="268"/>
      <c r="L98" s="268"/>
      <c r="M98" s="268"/>
      <c r="N98" s="268"/>
      <c r="O98" s="268"/>
      <c r="P98" s="268"/>
      <c r="Q98" s="268"/>
      <c r="R98" s="268"/>
      <c r="S98" s="268"/>
      <c r="T98" s="268"/>
      <c r="U98" s="268"/>
      <c r="V98" s="268"/>
      <c r="W98" s="268"/>
      <c r="X98" s="268"/>
      <c r="Y98" s="268"/>
      <c r="Z98" s="269"/>
    </row>
  </sheetData>
  <mergeCells count="218">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4"/>
  <dataValidations count="4">
    <dataValidation type="list" allowBlank="1" showInputMessage="1" showErrorMessage="1" sqref="Y16:Z22 L16:M22 Y27:Z33 L27:M33 L38:M44 Y38:Z44 L49:M55 Y49:Z55 Y60:Z66 L60:M66 H16:H22 U16:U22 H27:H33 U27:U33 H38:H44 U38:U44 H49:H55 U49:U55 G60:G66 T60:T66 K60" xr:uid="{4C0986EB-3601-4249-85F7-B678A400A117}">
      <formula1>"○"</formula1>
    </dataValidation>
    <dataValidation type="list" allowBlank="1" showInputMessage="1" showErrorMessage="1" sqref="Z23 Z34 D34:K34 D23:K23 V16:V22 I16:I22 V27:V33 I27:I33 V38:V44 I38:I44 V49:V55 I49:I55 U60:U66 H60:H66" xr:uid="{CC907DDE-86DC-4E68-BFF5-E920A71A96A6}">
      <formula1>"全学開講,一部開講"</formula1>
    </dataValidation>
    <dataValidation type="list" allowBlank="1" showInputMessage="1" showErrorMessage="1" sqref="O4" xr:uid="{7B985F3C-9687-4C99-93D5-E4589130E2EC}">
      <formula1>"学部・学科によって、修了要件は相違する,学部・学科によって、修了要件は相違しない"</formula1>
    </dataValidation>
    <dataValidation type="list" allowBlank="1" showInputMessage="1" showErrorMessage="1" sqref="H74:M77 G70:G77 H70:M71 T70:T77 U70:Z71 U74:Z77"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40887558-67E9-3D48-AE24-B6239305BE55}"/>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C1B87-9994-3F41-9C84-5A6FC1A25542}">
  <dimension ref="A1:Z98"/>
  <sheetViews>
    <sheetView showZeros="0" view="pageBreakPreview" zoomScaleNormal="100" zoomScaleSheetLayoutView="100" workbookViewId="0"/>
  </sheetViews>
  <sheetFormatPr defaultColWidth="9" defaultRowHeight="18.75" customHeight="1"/>
  <cols>
    <col min="1" max="1" width="2.5" style="13" customWidth="1"/>
    <col min="2" max="2" width="27.62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c r="W1" s="270" t="s">
        <v>191</v>
      </c>
      <c r="X1" s="270"/>
      <c r="Y1" s="270"/>
      <c r="Z1" s="270"/>
    </row>
    <row r="2" spans="1:26" ht="18" customHeight="1">
      <c r="A2" s="226" t="s">
        <v>67</v>
      </c>
      <c r="B2" s="226"/>
      <c r="C2" s="226"/>
      <c r="D2" s="226"/>
      <c r="E2" s="226"/>
      <c r="F2" s="226"/>
      <c r="G2" s="226"/>
      <c r="H2" s="226"/>
      <c r="I2" s="226"/>
      <c r="J2" s="226"/>
      <c r="K2" s="226"/>
      <c r="L2" s="226"/>
      <c r="M2" s="226"/>
      <c r="N2" s="226"/>
      <c r="O2" s="226"/>
      <c r="P2" s="226"/>
      <c r="Q2" s="226"/>
      <c r="R2" s="226"/>
      <c r="S2" s="226"/>
      <c r="T2" s="226"/>
      <c r="U2" s="226"/>
      <c r="V2" s="226"/>
      <c r="W2" s="226"/>
      <c r="X2" s="226"/>
      <c r="Y2" s="226"/>
      <c r="Z2" s="226"/>
    </row>
    <row r="3" spans="1:26" ht="15" customHeight="1">
      <c r="B3" s="26"/>
      <c r="C3" s="26"/>
      <c r="D3" s="26"/>
      <c r="E3" s="26"/>
      <c r="F3" s="26"/>
      <c r="G3" s="26"/>
      <c r="H3" s="26"/>
      <c r="I3" s="26"/>
      <c r="J3" s="26"/>
      <c r="K3" s="26"/>
      <c r="L3" s="26"/>
      <c r="M3" s="26"/>
      <c r="N3" s="26"/>
      <c r="O3" s="26"/>
      <c r="P3" s="26"/>
      <c r="Q3" s="26"/>
      <c r="R3" s="26"/>
      <c r="S3" s="26"/>
      <c r="T3" s="26"/>
      <c r="U3" s="26"/>
      <c r="V3" s="26"/>
      <c r="W3" s="26"/>
      <c r="X3" s="26"/>
      <c r="Y3" s="26"/>
      <c r="Z3" s="26"/>
    </row>
    <row r="4" spans="1:26" ht="18" customHeight="1">
      <c r="A4" s="13" t="s">
        <v>98</v>
      </c>
      <c r="B4" s="26"/>
      <c r="C4" s="26"/>
      <c r="D4" s="26"/>
      <c r="E4" s="26"/>
      <c r="F4" s="26"/>
      <c r="G4" s="26"/>
      <c r="H4" s="15" t="s">
        <v>111</v>
      </c>
      <c r="I4" s="26"/>
      <c r="J4" s="26"/>
      <c r="K4" s="26"/>
      <c r="L4" s="26"/>
      <c r="M4" s="26"/>
      <c r="N4" s="26"/>
      <c r="O4" s="165" t="s">
        <v>152</v>
      </c>
      <c r="P4" s="166"/>
      <c r="Q4" s="166"/>
      <c r="R4" s="166"/>
      <c r="S4" s="166"/>
      <c r="T4" s="166"/>
      <c r="U4" s="166"/>
      <c r="V4" s="166"/>
      <c r="W4" s="166"/>
      <c r="X4" s="166"/>
      <c r="Y4" s="166"/>
      <c r="Z4" s="167"/>
    </row>
    <row r="5" spans="1:26" ht="6" customHeight="1">
      <c r="B5" s="26"/>
      <c r="C5" s="26"/>
      <c r="D5" s="26"/>
      <c r="E5" s="26"/>
      <c r="F5" s="26"/>
      <c r="G5" s="26"/>
      <c r="H5" s="26"/>
      <c r="I5" s="26"/>
      <c r="J5" s="26"/>
      <c r="K5" s="26"/>
      <c r="L5" s="26"/>
      <c r="M5" s="26"/>
      <c r="N5" s="26"/>
      <c r="O5" s="16"/>
      <c r="P5" s="26"/>
      <c r="Q5" s="26"/>
      <c r="R5" s="26"/>
      <c r="S5" s="26"/>
      <c r="T5" s="26"/>
      <c r="U5" s="26"/>
      <c r="V5" s="26"/>
      <c r="W5" s="26"/>
      <c r="X5" s="26"/>
      <c r="Y5" s="26"/>
      <c r="Z5" s="26"/>
    </row>
    <row r="6" spans="1:26" ht="18" customHeight="1">
      <c r="B6" s="271" t="s">
        <v>217</v>
      </c>
      <c r="C6" s="272"/>
      <c r="D6" s="272"/>
      <c r="E6" s="272"/>
      <c r="F6" s="272"/>
      <c r="G6" s="272"/>
      <c r="H6" s="272"/>
      <c r="I6" s="272"/>
      <c r="J6" s="272"/>
      <c r="K6" s="272"/>
      <c r="L6" s="272"/>
      <c r="M6" s="272"/>
      <c r="N6" s="272"/>
      <c r="O6" s="272"/>
      <c r="P6" s="272"/>
      <c r="Q6" s="272"/>
      <c r="R6" s="272"/>
      <c r="S6" s="272"/>
      <c r="T6" s="272"/>
      <c r="U6" s="272"/>
      <c r="V6" s="272"/>
      <c r="W6" s="272"/>
      <c r="X6" s="272"/>
      <c r="Y6" s="272"/>
      <c r="Z6" s="273"/>
    </row>
    <row r="7" spans="1:26" ht="18" customHeight="1">
      <c r="B7" s="274"/>
      <c r="C7" s="275"/>
      <c r="D7" s="275"/>
      <c r="E7" s="275"/>
      <c r="F7" s="275"/>
      <c r="G7" s="275"/>
      <c r="H7" s="275"/>
      <c r="I7" s="275"/>
      <c r="J7" s="275"/>
      <c r="K7" s="275"/>
      <c r="L7" s="275"/>
      <c r="M7" s="275"/>
      <c r="N7" s="275"/>
      <c r="O7" s="275"/>
      <c r="P7" s="275"/>
      <c r="Q7" s="275"/>
      <c r="R7" s="275"/>
      <c r="S7" s="275"/>
      <c r="T7" s="275"/>
      <c r="U7" s="275"/>
      <c r="V7" s="275"/>
      <c r="W7" s="275"/>
      <c r="X7" s="275"/>
      <c r="Y7" s="275"/>
      <c r="Z7" s="276"/>
    </row>
    <row r="8" spans="1:26" ht="18" customHeight="1">
      <c r="B8" s="274"/>
      <c r="C8" s="275"/>
      <c r="D8" s="275"/>
      <c r="E8" s="275"/>
      <c r="F8" s="275"/>
      <c r="G8" s="275"/>
      <c r="H8" s="275"/>
      <c r="I8" s="275"/>
      <c r="J8" s="275"/>
      <c r="K8" s="275"/>
      <c r="L8" s="275"/>
      <c r="M8" s="275"/>
      <c r="N8" s="275"/>
      <c r="O8" s="275"/>
      <c r="P8" s="275"/>
      <c r="Q8" s="275"/>
      <c r="R8" s="275"/>
      <c r="S8" s="275"/>
      <c r="T8" s="275"/>
      <c r="U8" s="275"/>
      <c r="V8" s="275"/>
      <c r="W8" s="275"/>
      <c r="X8" s="275"/>
      <c r="Y8" s="275"/>
      <c r="Z8" s="276"/>
    </row>
    <row r="9" spans="1:26" ht="18" customHeight="1">
      <c r="B9" s="274"/>
      <c r="C9" s="275"/>
      <c r="D9" s="275"/>
      <c r="E9" s="275"/>
      <c r="F9" s="275"/>
      <c r="G9" s="275"/>
      <c r="H9" s="275"/>
      <c r="I9" s="275"/>
      <c r="J9" s="275"/>
      <c r="K9" s="275"/>
      <c r="L9" s="275"/>
      <c r="M9" s="275"/>
      <c r="N9" s="275"/>
      <c r="O9" s="275"/>
      <c r="P9" s="275"/>
      <c r="Q9" s="275"/>
      <c r="R9" s="275"/>
      <c r="S9" s="275"/>
      <c r="T9" s="275"/>
      <c r="U9" s="275"/>
      <c r="V9" s="275"/>
      <c r="W9" s="275"/>
      <c r="X9" s="275"/>
      <c r="Y9" s="275"/>
      <c r="Z9" s="276"/>
    </row>
    <row r="10" spans="1:26" ht="18" customHeight="1">
      <c r="B10" s="274"/>
      <c r="C10" s="277"/>
      <c r="D10" s="277"/>
      <c r="E10" s="277"/>
      <c r="F10" s="277"/>
      <c r="G10" s="277"/>
      <c r="H10" s="277"/>
      <c r="I10" s="277"/>
      <c r="J10" s="277"/>
      <c r="K10" s="277"/>
      <c r="L10" s="277"/>
      <c r="M10" s="277"/>
      <c r="N10" s="277"/>
      <c r="O10" s="277"/>
      <c r="P10" s="277"/>
      <c r="Q10" s="277"/>
      <c r="R10" s="277"/>
      <c r="S10" s="277"/>
      <c r="T10" s="277"/>
      <c r="U10" s="277"/>
      <c r="V10" s="277"/>
      <c r="W10" s="277"/>
      <c r="X10" s="277"/>
      <c r="Y10" s="277"/>
      <c r="Z10" s="276"/>
    </row>
    <row r="11" spans="1:26" ht="18" customHeight="1">
      <c r="B11" s="278"/>
      <c r="C11" s="279"/>
      <c r="D11" s="279"/>
      <c r="E11" s="279"/>
      <c r="F11" s="279"/>
      <c r="G11" s="279"/>
      <c r="H11" s="279"/>
      <c r="I11" s="279"/>
      <c r="J11" s="279"/>
      <c r="K11" s="279"/>
      <c r="L11" s="279"/>
      <c r="M11" s="279"/>
      <c r="N11" s="279"/>
      <c r="O11" s="279"/>
      <c r="P11" s="279"/>
      <c r="Q11" s="279"/>
      <c r="R11" s="279"/>
      <c r="S11" s="279"/>
      <c r="T11" s="279"/>
      <c r="U11" s="279"/>
      <c r="V11" s="279"/>
      <c r="W11" s="279"/>
      <c r="X11" s="279"/>
      <c r="Y11" s="279"/>
      <c r="Z11" s="280"/>
    </row>
    <row r="12" spans="1:26" ht="7.5" customHeight="1">
      <c r="B12" s="26"/>
      <c r="C12" s="26"/>
      <c r="D12" s="26"/>
      <c r="E12" s="26"/>
      <c r="F12" s="26"/>
      <c r="G12" s="26"/>
      <c r="H12" s="26"/>
      <c r="I12" s="26"/>
      <c r="J12" s="26"/>
      <c r="K12" s="26"/>
      <c r="L12" s="26"/>
      <c r="M12" s="26"/>
      <c r="N12" s="26"/>
      <c r="O12" s="26"/>
      <c r="P12" s="26"/>
      <c r="Q12" s="26"/>
      <c r="R12" s="26"/>
      <c r="S12" s="26"/>
      <c r="T12" s="26"/>
      <c r="U12" s="26"/>
      <c r="V12" s="26"/>
      <c r="W12" s="26"/>
      <c r="X12" s="26"/>
      <c r="Y12" s="26"/>
      <c r="Z12" s="26"/>
    </row>
    <row r="13" spans="1:26" ht="18" customHeight="1">
      <c r="A13" s="222" t="s">
        <v>124</v>
      </c>
      <c r="B13" s="222"/>
      <c r="C13" s="222"/>
      <c r="D13" s="222"/>
      <c r="E13" s="222"/>
      <c r="F13" s="222"/>
      <c r="G13" s="222"/>
      <c r="H13" s="222"/>
      <c r="I13" s="222"/>
      <c r="J13" s="222"/>
      <c r="K13" s="222"/>
      <c r="L13" s="222"/>
      <c r="M13" s="222"/>
      <c r="N13" s="222"/>
      <c r="O13" s="222"/>
      <c r="P13" s="222"/>
      <c r="Q13" s="222"/>
      <c r="R13" s="222"/>
      <c r="S13" s="222"/>
      <c r="T13" s="222"/>
      <c r="U13" s="222"/>
      <c r="V13" s="222"/>
      <c r="W13" s="222"/>
      <c r="X13" s="222"/>
      <c r="Y13" s="222"/>
      <c r="Z13" s="222"/>
    </row>
    <row r="14" spans="1:26" ht="18" customHeight="1">
      <c r="A14" s="222"/>
      <c r="B14" s="222"/>
      <c r="C14" s="222"/>
      <c r="D14" s="222"/>
      <c r="E14" s="222"/>
      <c r="F14" s="222"/>
      <c r="G14" s="222"/>
      <c r="H14" s="222"/>
      <c r="I14" s="222"/>
      <c r="J14" s="222"/>
      <c r="K14" s="222"/>
      <c r="L14" s="222"/>
      <c r="M14" s="222"/>
      <c r="N14" s="222"/>
      <c r="O14" s="222"/>
      <c r="P14" s="222"/>
      <c r="Q14" s="222"/>
      <c r="R14" s="222"/>
      <c r="S14" s="222"/>
      <c r="T14" s="222"/>
      <c r="U14" s="222"/>
      <c r="V14" s="222"/>
      <c r="W14" s="222"/>
      <c r="X14" s="222"/>
      <c r="Y14" s="222"/>
      <c r="Z14" s="222"/>
    </row>
    <row r="15" spans="1:26" ht="18" customHeight="1">
      <c r="A15" s="14"/>
      <c r="B15" s="165" t="s">
        <v>99</v>
      </c>
      <c r="C15" s="166"/>
      <c r="D15" s="166"/>
      <c r="E15" s="166"/>
      <c r="F15" s="167"/>
      <c r="G15" s="27" t="s">
        <v>140</v>
      </c>
      <c r="H15" s="107" t="s">
        <v>139</v>
      </c>
      <c r="I15" s="166" t="s">
        <v>100</v>
      </c>
      <c r="J15" s="166"/>
      <c r="K15" s="166"/>
      <c r="L15" s="70" t="s">
        <v>103</v>
      </c>
      <c r="M15" s="70" t="s">
        <v>106</v>
      </c>
      <c r="N15" s="165" t="s">
        <v>99</v>
      </c>
      <c r="O15" s="166"/>
      <c r="P15" s="166"/>
      <c r="Q15" s="166"/>
      <c r="R15" s="166"/>
      <c r="S15" s="167"/>
      <c r="T15" s="27" t="s">
        <v>140</v>
      </c>
      <c r="U15" s="107" t="s">
        <v>139</v>
      </c>
      <c r="V15" s="166" t="s">
        <v>100</v>
      </c>
      <c r="W15" s="166"/>
      <c r="X15" s="166"/>
      <c r="Y15" s="70" t="s">
        <v>103</v>
      </c>
      <c r="Z15" s="70" t="s">
        <v>106</v>
      </c>
    </row>
    <row r="16" spans="1:26" ht="18" customHeight="1">
      <c r="A16" s="14"/>
      <c r="B16" s="213" t="s">
        <v>176</v>
      </c>
      <c r="C16" s="214"/>
      <c r="D16" s="214"/>
      <c r="E16" s="214"/>
      <c r="F16" s="215"/>
      <c r="G16" s="108">
        <v>2</v>
      </c>
      <c r="H16" s="108" t="s">
        <v>155</v>
      </c>
      <c r="I16" s="207" t="s">
        <v>156</v>
      </c>
      <c r="J16" s="208"/>
      <c r="K16" s="209"/>
      <c r="L16" s="108" t="s">
        <v>155</v>
      </c>
      <c r="M16" s="108" t="s">
        <v>155</v>
      </c>
      <c r="N16" s="174"/>
      <c r="O16" s="175"/>
      <c r="P16" s="175"/>
      <c r="Q16" s="175"/>
      <c r="R16" s="175"/>
      <c r="S16" s="176"/>
      <c r="T16" s="108"/>
      <c r="U16" s="108"/>
      <c r="V16" s="207"/>
      <c r="W16" s="208"/>
      <c r="X16" s="209"/>
      <c r="Y16" s="108"/>
      <c r="Z16" s="108"/>
    </row>
    <row r="17" spans="1:26" ht="18" customHeight="1">
      <c r="A17" s="14"/>
      <c r="B17" s="216"/>
      <c r="C17" s="217"/>
      <c r="D17" s="217"/>
      <c r="E17" s="217"/>
      <c r="F17" s="218"/>
      <c r="G17" s="109"/>
      <c r="H17" s="109"/>
      <c r="I17" s="210"/>
      <c r="J17" s="211"/>
      <c r="K17" s="212"/>
      <c r="L17" s="109"/>
      <c r="M17" s="109"/>
      <c r="N17" s="183"/>
      <c r="O17" s="184"/>
      <c r="P17" s="184"/>
      <c r="Q17" s="184"/>
      <c r="R17" s="184"/>
      <c r="S17" s="185"/>
      <c r="T17" s="109"/>
      <c r="U17" s="109"/>
      <c r="V17" s="210"/>
      <c r="W17" s="211"/>
      <c r="X17" s="212"/>
      <c r="Y17" s="109"/>
      <c r="Z17" s="109"/>
    </row>
    <row r="18" spans="1:26" ht="18" customHeight="1">
      <c r="A18" s="14"/>
      <c r="B18" s="216"/>
      <c r="C18" s="217"/>
      <c r="D18" s="217"/>
      <c r="E18" s="217"/>
      <c r="F18" s="218"/>
      <c r="G18" s="109"/>
      <c r="H18" s="109"/>
      <c r="I18" s="210"/>
      <c r="J18" s="211"/>
      <c r="K18" s="212"/>
      <c r="L18" s="109"/>
      <c r="M18" s="109"/>
      <c r="N18" s="183"/>
      <c r="O18" s="184"/>
      <c r="P18" s="184"/>
      <c r="Q18" s="184"/>
      <c r="R18" s="184"/>
      <c r="S18" s="185"/>
      <c r="T18" s="109"/>
      <c r="U18" s="109"/>
      <c r="V18" s="210"/>
      <c r="W18" s="211"/>
      <c r="X18" s="212"/>
      <c r="Y18" s="109"/>
      <c r="Z18" s="109"/>
    </row>
    <row r="19" spans="1:26" ht="18" customHeight="1">
      <c r="A19" s="14"/>
      <c r="B19" s="216"/>
      <c r="C19" s="217"/>
      <c r="D19" s="217"/>
      <c r="E19" s="217"/>
      <c r="F19" s="218"/>
      <c r="G19" s="109"/>
      <c r="H19" s="109"/>
      <c r="I19" s="210"/>
      <c r="J19" s="211"/>
      <c r="K19" s="212"/>
      <c r="L19" s="109"/>
      <c r="M19" s="109"/>
      <c r="N19" s="183"/>
      <c r="O19" s="184"/>
      <c r="P19" s="184"/>
      <c r="Q19" s="184"/>
      <c r="R19" s="184"/>
      <c r="S19" s="185"/>
      <c r="T19" s="109"/>
      <c r="U19" s="109"/>
      <c r="V19" s="210"/>
      <c r="W19" s="211"/>
      <c r="X19" s="212"/>
      <c r="Y19" s="109"/>
      <c r="Z19" s="109"/>
    </row>
    <row r="20" spans="1:26" ht="18" customHeight="1">
      <c r="A20" s="14"/>
      <c r="B20" s="216"/>
      <c r="C20" s="217"/>
      <c r="D20" s="217"/>
      <c r="E20" s="217"/>
      <c r="F20" s="218"/>
      <c r="G20" s="109"/>
      <c r="H20" s="109"/>
      <c r="I20" s="210"/>
      <c r="J20" s="211"/>
      <c r="K20" s="212"/>
      <c r="L20" s="109"/>
      <c r="M20" s="109"/>
      <c r="N20" s="183"/>
      <c r="O20" s="184"/>
      <c r="P20" s="184"/>
      <c r="Q20" s="184"/>
      <c r="R20" s="184"/>
      <c r="S20" s="185"/>
      <c r="T20" s="109"/>
      <c r="U20" s="109"/>
      <c r="V20" s="210"/>
      <c r="W20" s="211"/>
      <c r="X20" s="212"/>
      <c r="Y20" s="109"/>
      <c r="Z20" s="109"/>
    </row>
    <row r="21" spans="1:26" ht="18" customHeight="1">
      <c r="A21" s="26"/>
      <c r="B21" s="216"/>
      <c r="C21" s="217"/>
      <c r="D21" s="217"/>
      <c r="E21" s="217"/>
      <c r="F21" s="218"/>
      <c r="G21" s="109"/>
      <c r="H21" s="109"/>
      <c r="I21" s="210"/>
      <c r="J21" s="211"/>
      <c r="K21" s="212"/>
      <c r="L21" s="109"/>
      <c r="M21" s="109"/>
      <c r="N21" s="183"/>
      <c r="O21" s="184"/>
      <c r="P21" s="184"/>
      <c r="Q21" s="184"/>
      <c r="R21" s="184"/>
      <c r="S21" s="185"/>
      <c r="T21" s="109"/>
      <c r="U21" s="109"/>
      <c r="V21" s="210"/>
      <c r="W21" s="211"/>
      <c r="X21" s="212"/>
      <c r="Y21" s="109"/>
      <c r="Z21" s="109"/>
    </row>
    <row r="22" spans="1:26" ht="18" customHeight="1">
      <c r="A22" s="26"/>
      <c r="B22" s="223"/>
      <c r="C22" s="224"/>
      <c r="D22" s="224"/>
      <c r="E22" s="224"/>
      <c r="F22" s="225"/>
      <c r="G22" s="110"/>
      <c r="H22" s="110"/>
      <c r="I22" s="219"/>
      <c r="J22" s="220"/>
      <c r="K22" s="221"/>
      <c r="L22" s="116"/>
      <c r="M22" s="116"/>
      <c r="N22" s="249"/>
      <c r="O22" s="250"/>
      <c r="P22" s="250"/>
      <c r="Q22" s="250"/>
      <c r="R22" s="250"/>
      <c r="S22" s="251"/>
      <c r="T22" s="110"/>
      <c r="U22" s="110"/>
      <c r="V22" s="219"/>
      <c r="W22" s="220"/>
      <c r="X22" s="221"/>
      <c r="Y22" s="116"/>
      <c r="Z22" s="116"/>
    </row>
    <row r="23" spans="1:26" ht="7.5" customHeight="1">
      <c r="A23" s="26"/>
      <c r="B23" s="71"/>
      <c r="C23" s="71"/>
      <c r="D23" s="26"/>
      <c r="E23" s="26"/>
      <c r="F23" s="26"/>
      <c r="G23" s="26"/>
      <c r="H23" s="26"/>
      <c r="I23" s="26"/>
      <c r="J23" s="26"/>
      <c r="K23" s="26"/>
      <c r="L23" s="71"/>
      <c r="M23" s="71"/>
      <c r="N23" s="71"/>
      <c r="O23" s="71"/>
      <c r="P23" s="71"/>
      <c r="Q23" s="71"/>
      <c r="R23" s="71"/>
      <c r="S23" s="71"/>
      <c r="T23" s="71"/>
      <c r="U23" s="71"/>
      <c r="V23" s="71"/>
      <c r="W23" s="71"/>
      <c r="X23" s="71"/>
      <c r="Y23" s="71"/>
      <c r="Z23" s="26"/>
    </row>
    <row r="24" spans="1:26" ht="18" customHeight="1">
      <c r="A24" s="222" t="s">
        <v>125</v>
      </c>
      <c r="B24" s="222"/>
      <c r="C24" s="222"/>
      <c r="D24" s="222"/>
      <c r="E24" s="222"/>
      <c r="F24" s="222"/>
      <c r="G24" s="222"/>
      <c r="H24" s="222"/>
      <c r="I24" s="222"/>
      <c r="J24" s="222"/>
      <c r="K24" s="222"/>
      <c r="L24" s="222"/>
      <c r="M24" s="222"/>
      <c r="N24" s="222"/>
      <c r="O24" s="222"/>
      <c r="P24" s="222"/>
      <c r="Q24" s="222"/>
      <c r="R24" s="222"/>
      <c r="S24" s="222"/>
      <c r="T24" s="222"/>
      <c r="U24" s="222"/>
      <c r="V24" s="222"/>
      <c r="W24" s="222"/>
      <c r="X24" s="222"/>
      <c r="Y24" s="222"/>
      <c r="Z24" s="222"/>
    </row>
    <row r="25" spans="1:26" ht="18" customHeight="1">
      <c r="A25" s="222"/>
      <c r="B25" s="222"/>
      <c r="C25" s="222"/>
      <c r="D25" s="222"/>
      <c r="E25" s="222"/>
      <c r="F25" s="222"/>
      <c r="G25" s="222"/>
      <c r="H25" s="222"/>
      <c r="I25" s="222"/>
      <c r="J25" s="222"/>
      <c r="K25" s="222"/>
      <c r="L25" s="222"/>
      <c r="M25" s="222"/>
      <c r="N25" s="222"/>
      <c r="O25" s="222"/>
      <c r="P25" s="222"/>
      <c r="Q25" s="222"/>
      <c r="R25" s="222"/>
      <c r="S25" s="222"/>
      <c r="T25" s="222"/>
      <c r="U25" s="222"/>
      <c r="V25" s="222"/>
      <c r="W25" s="222"/>
      <c r="X25" s="222"/>
      <c r="Y25" s="222"/>
      <c r="Z25" s="222"/>
    </row>
    <row r="26" spans="1:26" ht="18" customHeight="1">
      <c r="A26" s="14"/>
      <c r="B26" s="165" t="s">
        <v>99</v>
      </c>
      <c r="C26" s="166"/>
      <c r="D26" s="166"/>
      <c r="E26" s="166"/>
      <c r="F26" s="167"/>
      <c r="G26" s="27" t="s">
        <v>140</v>
      </c>
      <c r="H26" s="107" t="s">
        <v>139</v>
      </c>
      <c r="I26" s="166" t="s">
        <v>100</v>
      </c>
      <c r="J26" s="166"/>
      <c r="K26" s="166"/>
      <c r="L26" s="70" t="s">
        <v>126</v>
      </c>
      <c r="M26" s="70" t="s">
        <v>127</v>
      </c>
      <c r="N26" s="165" t="s">
        <v>99</v>
      </c>
      <c r="O26" s="166"/>
      <c r="P26" s="166"/>
      <c r="Q26" s="166"/>
      <c r="R26" s="166"/>
      <c r="S26" s="167"/>
      <c r="T26" s="27" t="s">
        <v>140</v>
      </c>
      <c r="U26" s="107" t="s">
        <v>139</v>
      </c>
      <c r="V26" s="166" t="s">
        <v>100</v>
      </c>
      <c r="W26" s="166"/>
      <c r="X26" s="166"/>
      <c r="Y26" s="70" t="s">
        <v>126</v>
      </c>
      <c r="Z26" s="70" t="s">
        <v>127</v>
      </c>
    </row>
    <row r="27" spans="1:26" ht="18" customHeight="1">
      <c r="A27" s="14"/>
      <c r="B27" s="213" t="s">
        <v>176</v>
      </c>
      <c r="C27" s="214"/>
      <c r="D27" s="214"/>
      <c r="E27" s="214"/>
      <c r="F27" s="215"/>
      <c r="G27" s="108">
        <v>2</v>
      </c>
      <c r="H27" s="108" t="s">
        <v>155</v>
      </c>
      <c r="I27" s="207" t="s">
        <v>156</v>
      </c>
      <c r="J27" s="208"/>
      <c r="K27" s="209"/>
      <c r="L27" s="108" t="s">
        <v>155</v>
      </c>
      <c r="M27" s="108" t="s">
        <v>155</v>
      </c>
      <c r="N27" s="174"/>
      <c r="O27" s="175"/>
      <c r="P27" s="175"/>
      <c r="Q27" s="175"/>
      <c r="R27" s="175"/>
      <c r="S27" s="176"/>
      <c r="T27" s="108"/>
      <c r="U27" s="108"/>
      <c r="V27" s="207"/>
      <c r="W27" s="208"/>
      <c r="X27" s="209"/>
      <c r="Y27" s="108"/>
      <c r="Z27" s="108"/>
    </row>
    <row r="28" spans="1:26" ht="18" customHeight="1">
      <c r="A28" s="14"/>
      <c r="B28" s="216"/>
      <c r="C28" s="217"/>
      <c r="D28" s="217"/>
      <c r="E28" s="217"/>
      <c r="F28" s="218"/>
      <c r="G28" s="109"/>
      <c r="H28" s="109"/>
      <c r="I28" s="210"/>
      <c r="J28" s="211"/>
      <c r="K28" s="212"/>
      <c r="L28" s="109"/>
      <c r="M28" s="109"/>
      <c r="N28" s="183"/>
      <c r="O28" s="184"/>
      <c r="P28" s="184"/>
      <c r="Q28" s="184"/>
      <c r="R28" s="184"/>
      <c r="S28" s="185"/>
      <c r="T28" s="109"/>
      <c r="U28" s="109"/>
      <c r="V28" s="210"/>
      <c r="W28" s="211"/>
      <c r="X28" s="212"/>
      <c r="Y28" s="109"/>
      <c r="Z28" s="109"/>
    </row>
    <row r="29" spans="1:26" ht="18" customHeight="1">
      <c r="A29" s="14"/>
      <c r="B29" s="216"/>
      <c r="C29" s="217"/>
      <c r="D29" s="217"/>
      <c r="E29" s="217"/>
      <c r="F29" s="218"/>
      <c r="G29" s="109"/>
      <c r="H29" s="109"/>
      <c r="I29" s="210"/>
      <c r="J29" s="211"/>
      <c r="K29" s="212"/>
      <c r="L29" s="109"/>
      <c r="M29" s="109"/>
      <c r="N29" s="183"/>
      <c r="O29" s="184"/>
      <c r="P29" s="184"/>
      <c r="Q29" s="184"/>
      <c r="R29" s="184"/>
      <c r="S29" s="185"/>
      <c r="T29" s="109"/>
      <c r="U29" s="109"/>
      <c r="V29" s="210"/>
      <c r="W29" s="211"/>
      <c r="X29" s="212"/>
      <c r="Y29" s="109"/>
      <c r="Z29" s="109"/>
    </row>
    <row r="30" spans="1:26" ht="18" customHeight="1">
      <c r="A30" s="14"/>
      <c r="B30" s="216"/>
      <c r="C30" s="217"/>
      <c r="D30" s="217"/>
      <c r="E30" s="217"/>
      <c r="F30" s="218"/>
      <c r="G30" s="109"/>
      <c r="H30" s="109"/>
      <c r="I30" s="210"/>
      <c r="J30" s="211"/>
      <c r="K30" s="212"/>
      <c r="L30" s="109"/>
      <c r="M30" s="109"/>
      <c r="N30" s="183"/>
      <c r="O30" s="184"/>
      <c r="P30" s="184"/>
      <c r="Q30" s="184"/>
      <c r="R30" s="184"/>
      <c r="S30" s="185"/>
      <c r="T30" s="109"/>
      <c r="U30" s="109"/>
      <c r="V30" s="210"/>
      <c r="W30" s="211"/>
      <c r="X30" s="212"/>
      <c r="Y30" s="109"/>
      <c r="Z30" s="109"/>
    </row>
    <row r="31" spans="1:26" ht="18" customHeight="1">
      <c r="A31" s="14"/>
      <c r="B31" s="216"/>
      <c r="C31" s="217"/>
      <c r="D31" s="217"/>
      <c r="E31" s="217"/>
      <c r="F31" s="218"/>
      <c r="G31" s="109"/>
      <c r="H31" s="109"/>
      <c r="I31" s="210"/>
      <c r="J31" s="211"/>
      <c r="K31" s="212"/>
      <c r="L31" s="109"/>
      <c r="M31" s="109"/>
      <c r="N31" s="183"/>
      <c r="O31" s="184"/>
      <c r="P31" s="184"/>
      <c r="Q31" s="184"/>
      <c r="R31" s="184"/>
      <c r="S31" s="185"/>
      <c r="T31" s="109"/>
      <c r="U31" s="109"/>
      <c r="V31" s="210"/>
      <c r="W31" s="211"/>
      <c r="X31" s="212"/>
      <c r="Y31" s="109"/>
      <c r="Z31" s="109"/>
    </row>
    <row r="32" spans="1:26" ht="18" customHeight="1">
      <c r="A32" s="14"/>
      <c r="B32" s="216"/>
      <c r="C32" s="217"/>
      <c r="D32" s="217"/>
      <c r="E32" s="217"/>
      <c r="F32" s="218"/>
      <c r="G32" s="109"/>
      <c r="H32" s="109"/>
      <c r="I32" s="210"/>
      <c r="J32" s="211"/>
      <c r="K32" s="212"/>
      <c r="L32" s="109"/>
      <c r="M32" s="109"/>
      <c r="N32" s="183"/>
      <c r="O32" s="184"/>
      <c r="P32" s="184"/>
      <c r="Q32" s="184"/>
      <c r="R32" s="184"/>
      <c r="S32" s="185"/>
      <c r="T32" s="109"/>
      <c r="U32" s="109"/>
      <c r="V32" s="210"/>
      <c r="W32" s="211"/>
      <c r="X32" s="212"/>
      <c r="Y32" s="109"/>
      <c r="Z32" s="109"/>
    </row>
    <row r="33" spans="1:26" ht="18" customHeight="1">
      <c r="A33" s="14"/>
      <c r="B33" s="223"/>
      <c r="C33" s="224"/>
      <c r="D33" s="224"/>
      <c r="E33" s="224"/>
      <c r="F33" s="225"/>
      <c r="G33" s="110"/>
      <c r="H33" s="110"/>
      <c r="I33" s="219"/>
      <c r="J33" s="220"/>
      <c r="K33" s="221"/>
      <c r="L33" s="116"/>
      <c r="M33" s="116"/>
      <c r="N33" s="249"/>
      <c r="O33" s="250"/>
      <c r="P33" s="250"/>
      <c r="Q33" s="250"/>
      <c r="R33" s="250"/>
      <c r="S33" s="251"/>
      <c r="T33" s="110"/>
      <c r="U33" s="110"/>
      <c r="V33" s="219"/>
      <c r="W33" s="220"/>
      <c r="X33" s="221"/>
      <c r="Y33" s="116"/>
      <c r="Z33" s="116"/>
    </row>
    <row r="34" spans="1:26" ht="7.5" customHeight="1">
      <c r="A34" s="26"/>
      <c r="B34" s="71"/>
      <c r="C34" s="71"/>
      <c r="D34" s="26"/>
      <c r="E34" s="26"/>
      <c r="F34" s="26"/>
      <c r="G34" s="26"/>
      <c r="H34" s="26"/>
      <c r="I34" s="26"/>
      <c r="J34" s="26"/>
      <c r="K34" s="26"/>
      <c r="L34" s="71"/>
      <c r="M34" s="71"/>
      <c r="N34" s="71"/>
      <c r="O34" s="71"/>
      <c r="P34" s="71"/>
      <c r="Q34" s="71"/>
      <c r="R34" s="71"/>
      <c r="S34" s="71"/>
      <c r="T34" s="71"/>
      <c r="U34" s="71"/>
      <c r="V34" s="71"/>
      <c r="W34" s="71"/>
      <c r="X34" s="71"/>
      <c r="Y34" s="71"/>
      <c r="Z34" s="26"/>
    </row>
    <row r="35" spans="1:26" ht="18" customHeight="1">
      <c r="A35" s="222" t="s">
        <v>128</v>
      </c>
      <c r="B35" s="222"/>
      <c r="C35" s="222"/>
      <c r="D35" s="222"/>
      <c r="E35" s="222"/>
      <c r="F35" s="222"/>
      <c r="G35" s="222"/>
      <c r="H35" s="222"/>
      <c r="I35" s="222"/>
      <c r="J35" s="222"/>
      <c r="K35" s="222"/>
      <c r="L35" s="222"/>
      <c r="M35" s="222"/>
      <c r="N35" s="222"/>
      <c r="O35" s="222"/>
      <c r="P35" s="222"/>
      <c r="Q35" s="222"/>
      <c r="R35" s="222"/>
      <c r="S35" s="222"/>
      <c r="T35" s="222"/>
      <c r="U35" s="222"/>
      <c r="V35" s="222"/>
      <c r="W35" s="222"/>
      <c r="X35" s="222"/>
      <c r="Y35" s="222"/>
      <c r="Z35" s="222"/>
    </row>
    <row r="36" spans="1:26" ht="18" customHeight="1">
      <c r="A36" s="222"/>
      <c r="B36" s="222"/>
      <c r="C36" s="222"/>
      <c r="D36" s="222"/>
      <c r="E36" s="222"/>
      <c r="F36" s="222"/>
      <c r="G36" s="222"/>
      <c r="H36" s="222"/>
      <c r="I36" s="222"/>
      <c r="J36" s="222"/>
      <c r="K36" s="222"/>
      <c r="L36" s="222"/>
      <c r="M36" s="222"/>
      <c r="N36" s="222"/>
      <c r="O36" s="222"/>
      <c r="P36" s="222"/>
      <c r="Q36" s="222"/>
      <c r="R36" s="222"/>
      <c r="S36" s="222"/>
      <c r="T36" s="222"/>
      <c r="U36" s="222"/>
      <c r="V36" s="222"/>
      <c r="W36" s="222"/>
      <c r="X36" s="222"/>
      <c r="Y36" s="222"/>
      <c r="Z36" s="222"/>
    </row>
    <row r="37" spans="1:26" ht="18" customHeight="1">
      <c r="A37" s="14"/>
      <c r="B37" s="165" t="s">
        <v>99</v>
      </c>
      <c r="C37" s="166"/>
      <c r="D37" s="166"/>
      <c r="E37" s="166"/>
      <c r="F37" s="167"/>
      <c r="G37" s="27" t="s">
        <v>140</v>
      </c>
      <c r="H37" s="107" t="s">
        <v>139</v>
      </c>
      <c r="I37" s="165" t="s">
        <v>100</v>
      </c>
      <c r="J37" s="166"/>
      <c r="K37" s="167"/>
      <c r="L37" s="70" t="s">
        <v>129</v>
      </c>
      <c r="M37" s="70" t="s">
        <v>130</v>
      </c>
      <c r="N37" s="165" t="s">
        <v>99</v>
      </c>
      <c r="O37" s="166"/>
      <c r="P37" s="166"/>
      <c r="Q37" s="166"/>
      <c r="R37" s="166"/>
      <c r="S37" s="167"/>
      <c r="T37" s="27" t="s">
        <v>140</v>
      </c>
      <c r="U37" s="107" t="s">
        <v>139</v>
      </c>
      <c r="V37" s="165" t="s">
        <v>100</v>
      </c>
      <c r="W37" s="166"/>
      <c r="X37" s="167"/>
      <c r="Y37" s="70" t="s">
        <v>129</v>
      </c>
      <c r="Z37" s="70" t="s">
        <v>130</v>
      </c>
    </row>
    <row r="38" spans="1:26" ht="18" customHeight="1">
      <c r="A38" s="26"/>
      <c r="B38" s="213" t="s">
        <v>176</v>
      </c>
      <c r="C38" s="214"/>
      <c r="D38" s="214"/>
      <c r="E38" s="214"/>
      <c r="F38" s="215"/>
      <c r="G38" s="108">
        <v>2</v>
      </c>
      <c r="H38" s="108" t="s">
        <v>155</v>
      </c>
      <c r="I38" s="207" t="s">
        <v>156</v>
      </c>
      <c r="J38" s="208"/>
      <c r="K38" s="209"/>
      <c r="L38" s="108" t="s">
        <v>155</v>
      </c>
      <c r="M38" s="108" t="s">
        <v>155</v>
      </c>
      <c r="N38" s="174"/>
      <c r="O38" s="175"/>
      <c r="P38" s="175"/>
      <c r="Q38" s="175"/>
      <c r="R38" s="175"/>
      <c r="S38" s="176"/>
      <c r="T38" s="108"/>
      <c r="U38" s="108"/>
      <c r="V38" s="207"/>
      <c r="W38" s="208"/>
      <c r="X38" s="209"/>
      <c r="Y38" s="108"/>
      <c r="Z38" s="108"/>
    </row>
    <row r="39" spans="1:26" ht="18" customHeight="1">
      <c r="A39" s="26"/>
      <c r="B39" s="216"/>
      <c r="C39" s="217"/>
      <c r="D39" s="217"/>
      <c r="E39" s="217"/>
      <c r="F39" s="218"/>
      <c r="G39" s="109"/>
      <c r="H39" s="109"/>
      <c r="I39" s="210"/>
      <c r="J39" s="211"/>
      <c r="K39" s="212"/>
      <c r="L39" s="109"/>
      <c r="M39" s="109"/>
      <c r="N39" s="183"/>
      <c r="O39" s="184"/>
      <c r="P39" s="184"/>
      <c r="Q39" s="184"/>
      <c r="R39" s="184"/>
      <c r="S39" s="185"/>
      <c r="T39" s="109"/>
      <c r="U39" s="109"/>
      <c r="V39" s="210"/>
      <c r="W39" s="211"/>
      <c r="X39" s="212"/>
      <c r="Y39" s="109"/>
      <c r="Z39" s="109"/>
    </row>
    <row r="40" spans="1:26" ht="18" customHeight="1">
      <c r="A40" s="26"/>
      <c r="B40" s="216"/>
      <c r="C40" s="217"/>
      <c r="D40" s="217"/>
      <c r="E40" s="217"/>
      <c r="F40" s="218"/>
      <c r="G40" s="109"/>
      <c r="H40" s="109"/>
      <c r="I40" s="210"/>
      <c r="J40" s="211"/>
      <c r="K40" s="212"/>
      <c r="L40" s="109"/>
      <c r="M40" s="109"/>
      <c r="N40" s="183"/>
      <c r="O40" s="184"/>
      <c r="P40" s="184"/>
      <c r="Q40" s="184"/>
      <c r="R40" s="184"/>
      <c r="S40" s="185"/>
      <c r="T40" s="109"/>
      <c r="U40" s="109"/>
      <c r="V40" s="210"/>
      <c r="W40" s="211"/>
      <c r="X40" s="212"/>
      <c r="Y40" s="109"/>
      <c r="Z40" s="109"/>
    </row>
    <row r="41" spans="1:26" ht="18" customHeight="1">
      <c r="A41" s="26"/>
      <c r="B41" s="216"/>
      <c r="C41" s="217"/>
      <c r="D41" s="217"/>
      <c r="E41" s="217"/>
      <c r="F41" s="218"/>
      <c r="G41" s="109"/>
      <c r="H41" s="109"/>
      <c r="I41" s="210"/>
      <c r="J41" s="211"/>
      <c r="K41" s="212"/>
      <c r="L41" s="109"/>
      <c r="M41" s="109"/>
      <c r="N41" s="183"/>
      <c r="O41" s="184"/>
      <c r="P41" s="184"/>
      <c r="Q41" s="184"/>
      <c r="R41" s="184"/>
      <c r="S41" s="185"/>
      <c r="T41" s="109"/>
      <c r="U41" s="109"/>
      <c r="V41" s="210"/>
      <c r="W41" s="211"/>
      <c r="X41" s="212"/>
      <c r="Y41" s="109"/>
      <c r="Z41" s="109"/>
    </row>
    <row r="42" spans="1:26" ht="18" customHeight="1">
      <c r="A42" s="26"/>
      <c r="B42" s="216"/>
      <c r="C42" s="217"/>
      <c r="D42" s="217"/>
      <c r="E42" s="217"/>
      <c r="F42" s="218"/>
      <c r="G42" s="109"/>
      <c r="H42" s="109"/>
      <c r="I42" s="210"/>
      <c r="J42" s="211"/>
      <c r="K42" s="212"/>
      <c r="L42" s="109"/>
      <c r="M42" s="109"/>
      <c r="N42" s="183"/>
      <c r="O42" s="184"/>
      <c r="P42" s="184"/>
      <c r="Q42" s="184"/>
      <c r="R42" s="184"/>
      <c r="S42" s="185"/>
      <c r="T42" s="109"/>
      <c r="U42" s="109"/>
      <c r="V42" s="210"/>
      <c r="W42" s="211"/>
      <c r="X42" s="212"/>
      <c r="Y42" s="109"/>
      <c r="Z42" s="109"/>
    </row>
    <row r="43" spans="1:26" ht="18" customHeight="1">
      <c r="A43" s="26"/>
      <c r="B43" s="216"/>
      <c r="C43" s="217"/>
      <c r="D43" s="217"/>
      <c r="E43" s="217"/>
      <c r="F43" s="218"/>
      <c r="G43" s="109"/>
      <c r="H43" s="109"/>
      <c r="I43" s="210"/>
      <c r="J43" s="211"/>
      <c r="K43" s="212"/>
      <c r="L43" s="109"/>
      <c r="M43" s="109"/>
      <c r="N43" s="183"/>
      <c r="O43" s="184"/>
      <c r="P43" s="184"/>
      <c r="Q43" s="184"/>
      <c r="R43" s="184"/>
      <c r="S43" s="185"/>
      <c r="T43" s="109"/>
      <c r="U43" s="109"/>
      <c r="V43" s="210"/>
      <c r="W43" s="211"/>
      <c r="X43" s="212"/>
      <c r="Y43" s="109"/>
      <c r="Z43" s="109"/>
    </row>
    <row r="44" spans="1:26" ht="18" customHeight="1">
      <c r="A44" s="26"/>
      <c r="B44" s="223"/>
      <c r="C44" s="224"/>
      <c r="D44" s="224"/>
      <c r="E44" s="224"/>
      <c r="F44" s="225"/>
      <c r="G44" s="110"/>
      <c r="H44" s="110"/>
      <c r="I44" s="219"/>
      <c r="J44" s="220"/>
      <c r="K44" s="221"/>
      <c r="L44" s="116"/>
      <c r="M44" s="116"/>
      <c r="N44" s="249"/>
      <c r="O44" s="250"/>
      <c r="P44" s="250"/>
      <c r="Q44" s="250"/>
      <c r="R44" s="250"/>
      <c r="S44" s="251"/>
      <c r="T44" s="110"/>
      <c r="U44" s="110"/>
      <c r="V44" s="219"/>
      <c r="W44" s="220"/>
      <c r="X44" s="221"/>
      <c r="Y44" s="116"/>
      <c r="Z44" s="116"/>
    </row>
    <row r="45" spans="1:26" ht="7.5" customHeight="1">
      <c r="B45" s="72"/>
      <c r="C45" s="72"/>
      <c r="D45" s="72"/>
      <c r="E45" s="72"/>
      <c r="F45" s="72"/>
      <c r="G45" s="72"/>
      <c r="H45" s="72"/>
      <c r="I45" s="72"/>
      <c r="J45" s="72"/>
      <c r="K45" s="72"/>
      <c r="L45" s="72"/>
      <c r="M45" s="72"/>
      <c r="N45" s="72"/>
      <c r="O45" s="72"/>
      <c r="P45" s="72"/>
      <c r="Q45" s="72"/>
      <c r="R45" s="72"/>
      <c r="S45" s="72"/>
      <c r="T45" s="72"/>
      <c r="U45" s="72"/>
      <c r="V45" s="72"/>
      <c r="W45" s="72"/>
      <c r="X45" s="72"/>
      <c r="Y45" s="72"/>
    </row>
    <row r="46" spans="1:26" ht="18" customHeight="1">
      <c r="A46" s="222" t="s">
        <v>131</v>
      </c>
      <c r="B46" s="222"/>
      <c r="C46" s="222"/>
      <c r="D46" s="222"/>
      <c r="E46" s="222"/>
      <c r="F46" s="222"/>
      <c r="G46" s="222"/>
      <c r="H46" s="222"/>
      <c r="I46" s="222"/>
      <c r="J46" s="222"/>
      <c r="K46" s="222"/>
      <c r="L46" s="222"/>
      <c r="M46" s="222"/>
      <c r="N46" s="222"/>
      <c r="O46" s="222"/>
      <c r="P46" s="222"/>
      <c r="Q46" s="222"/>
      <c r="R46" s="222"/>
      <c r="S46" s="222"/>
      <c r="T46" s="222"/>
      <c r="U46" s="222"/>
      <c r="V46" s="222"/>
      <c r="W46" s="222"/>
      <c r="X46" s="222"/>
      <c r="Y46" s="222"/>
      <c r="Z46" s="222"/>
    </row>
    <row r="47" spans="1:26" ht="18" customHeight="1">
      <c r="A47" s="222"/>
      <c r="B47" s="222"/>
      <c r="C47" s="222"/>
      <c r="D47" s="222"/>
      <c r="E47" s="222"/>
      <c r="F47" s="222"/>
      <c r="G47" s="222"/>
      <c r="H47" s="222"/>
      <c r="I47" s="222"/>
      <c r="J47" s="222"/>
      <c r="K47" s="222"/>
      <c r="L47" s="222"/>
      <c r="M47" s="222"/>
      <c r="N47" s="222"/>
      <c r="O47" s="222"/>
      <c r="P47" s="222"/>
      <c r="Q47" s="222"/>
      <c r="R47" s="222"/>
      <c r="S47" s="222"/>
      <c r="T47" s="222"/>
      <c r="U47" s="222"/>
      <c r="V47" s="222"/>
      <c r="W47" s="222"/>
      <c r="X47" s="222"/>
      <c r="Y47" s="222"/>
      <c r="Z47" s="222"/>
    </row>
    <row r="48" spans="1:26" ht="18" customHeight="1">
      <c r="A48" s="14"/>
      <c r="B48" s="165" t="s">
        <v>99</v>
      </c>
      <c r="C48" s="166"/>
      <c r="D48" s="166"/>
      <c r="E48" s="166"/>
      <c r="F48" s="167"/>
      <c r="G48" s="27" t="s">
        <v>140</v>
      </c>
      <c r="H48" s="107" t="s">
        <v>139</v>
      </c>
      <c r="I48" s="165" t="s">
        <v>100</v>
      </c>
      <c r="J48" s="166"/>
      <c r="K48" s="167"/>
      <c r="L48" s="70" t="s">
        <v>105</v>
      </c>
      <c r="M48" s="70" t="s">
        <v>107</v>
      </c>
      <c r="N48" s="165" t="s">
        <v>99</v>
      </c>
      <c r="O48" s="166"/>
      <c r="P48" s="166"/>
      <c r="Q48" s="166"/>
      <c r="R48" s="166"/>
      <c r="S48" s="167"/>
      <c r="T48" s="27" t="s">
        <v>140</v>
      </c>
      <c r="U48" s="107" t="s">
        <v>139</v>
      </c>
      <c r="V48" s="165" t="s">
        <v>100</v>
      </c>
      <c r="W48" s="166"/>
      <c r="X48" s="167"/>
      <c r="Y48" s="70" t="s">
        <v>105</v>
      </c>
      <c r="Z48" s="70" t="s">
        <v>107</v>
      </c>
    </row>
    <row r="49" spans="1:26" ht="18" customHeight="1">
      <c r="A49" s="26"/>
      <c r="B49" s="213" t="s">
        <v>176</v>
      </c>
      <c r="C49" s="214"/>
      <c r="D49" s="214"/>
      <c r="E49" s="214"/>
      <c r="F49" s="215"/>
      <c r="G49" s="108">
        <v>2</v>
      </c>
      <c r="H49" s="108" t="s">
        <v>155</v>
      </c>
      <c r="I49" s="207" t="s">
        <v>156</v>
      </c>
      <c r="J49" s="208"/>
      <c r="K49" s="209"/>
      <c r="L49" s="108" t="s">
        <v>155</v>
      </c>
      <c r="M49" s="108" t="s">
        <v>155</v>
      </c>
      <c r="N49" s="174"/>
      <c r="O49" s="175"/>
      <c r="P49" s="175"/>
      <c r="Q49" s="175"/>
      <c r="R49" s="175"/>
      <c r="S49" s="176"/>
      <c r="T49" s="108"/>
      <c r="U49" s="108"/>
      <c r="V49" s="207"/>
      <c r="W49" s="208"/>
      <c r="X49" s="209"/>
      <c r="Y49" s="108"/>
      <c r="Z49" s="108"/>
    </row>
    <row r="50" spans="1:26" ht="18" customHeight="1">
      <c r="A50" s="26"/>
      <c r="B50" s="216"/>
      <c r="C50" s="217"/>
      <c r="D50" s="217"/>
      <c r="E50" s="217"/>
      <c r="F50" s="218"/>
      <c r="G50" s="109"/>
      <c r="H50" s="109"/>
      <c r="I50" s="210"/>
      <c r="J50" s="211"/>
      <c r="K50" s="212"/>
      <c r="L50" s="109"/>
      <c r="M50" s="109"/>
      <c r="N50" s="183"/>
      <c r="O50" s="184"/>
      <c r="P50" s="184"/>
      <c r="Q50" s="184"/>
      <c r="R50" s="184"/>
      <c r="S50" s="185"/>
      <c r="T50" s="109"/>
      <c r="U50" s="109"/>
      <c r="V50" s="210"/>
      <c r="W50" s="211"/>
      <c r="X50" s="212"/>
      <c r="Y50" s="109"/>
      <c r="Z50" s="109"/>
    </row>
    <row r="51" spans="1:26" ht="18" customHeight="1">
      <c r="A51" s="26"/>
      <c r="B51" s="216"/>
      <c r="C51" s="217"/>
      <c r="D51" s="217"/>
      <c r="E51" s="217"/>
      <c r="F51" s="218"/>
      <c r="G51" s="109"/>
      <c r="H51" s="109"/>
      <c r="I51" s="210"/>
      <c r="J51" s="211"/>
      <c r="K51" s="212"/>
      <c r="L51" s="109"/>
      <c r="M51" s="109"/>
      <c r="N51" s="183"/>
      <c r="O51" s="184"/>
      <c r="P51" s="184"/>
      <c r="Q51" s="184"/>
      <c r="R51" s="184"/>
      <c r="S51" s="185"/>
      <c r="T51" s="109"/>
      <c r="U51" s="109"/>
      <c r="V51" s="210"/>
      <c r="W51" s="211"/>
      <c r="X51" s="212"/>
      <c r="Y51" s="109"/>
      <c r="Z51" s="109"/>
    </row>
    <row r="52" spans="1:26" ht="18" customHeight="1">
      <c r="A52" s="26"/>
      <c r="B52" s="216"/>
      <c r="C52" s="217"/>
      <c r="D52" s="217"/>
      <c r="E52" s="217"/>
      <c r="F52" s="218"/>
      <c r="G52" s="109"/>
      <c r="H52" s="109"/>
      <c r="I52" s="210"/>
      <c r="J52" s="211"/>
      <c r="K52" s="212"/>
      <c r="L52" s="109"/>
      <c r="M52" s="109"/>
      <c r="N52" s="183"/>
      <c r="O52" s="184"/>
      <c r="P52" s="184"/>
      <c r="Q52" s="184"/>
      <c r="R52" s="184"/>
      <c r="S52" s="185"/>
      <c r="T52" s="109"/>
      <c r="U52" s="109"/>
      <c r="V52" s="210"/>
      <c r="W52" s="211"/>
      <c r="X52" s="212"/>
      <c r="Y52" s="109"/>
      <c r="Z52" s="109"/>
    </row>
    <row r="53" spans="1:26" ht="18" customHeight="1">
      <c r="A53" s="26"/>
      <c r="B53" s="216"/>
      <c r="C53" s="217"/>
      <c r="D53" s="217"/>
      <c r="E53" s="217"/>
      <c r="F53" s="218"/>
      <c r="G53" s="109"/>
      <c r="H53" s="109"/>
      <c r="I53" s="210"/>
      <c r="J53" s="211"/>
      <c r="K53" s="212"/>
      <c r="L53" s="109"/>
      <c r="M53" s="109"/>
      <c r="N53" s="183"/>
      <c r="O53" s="184"/>
      <c r="P53" s="184"/>
      <c r="Q53" s="184"/>
      <c r="R53" s="184"/>
      <c r="S53" s="185"/>
      <c r="T53" s="109"/>
      <c r="U53" s="109"/>
      <c r="V53" s="210"/>
      <c r="W53" s="211"/>
      <c r="X53" s="212"/>
      <c r="Y53" s="109"/>
      <c r="Z53" s="109"/>
    </row>
    <row r="54" spans="1:26" ht="18" customHeight="1">
      <c r="A54" s="26"/>
      <c r="B54" s="216"/>
      <c r="C54" s="217"/>
      <c r="D54" s="217"/>
      <c r="E54" s="217"/>
      <c r="F54" s="218"/>
      <c r="G54" s="109"/>
      <c r="H54" s="109"/>
      <c r="I54" s="210"/>
      <c r="J54" s="211"/>
      <c r="K54" s="212"/>
      <c r="L54" s="109"/>
      <c r="M54" s="109"/>
      <c r="N54" s="183"/>
      <c r="O54" s="184"/>
      <c r="P54" s="184"/>
      <c r="Q54" s="184"/>
      <c r="R54" s="184"/>
      <c r="S54" s="185"/>
      <c r="T54" s="109"/>
      <c r="U54" s="109"/>
      <c r="V54" s="210"/>
      <c r="W54" s="211"/>
      <c r="X54" s="212"/>
      <c r="Y54" s="109"/>
      <c r="Z54" s="109"/>
    </row>
    <row r="55" spans="1:26" ht="18" customHeight="1">
      <c r="A55" s="26"/>
      <c r="B55" s="223"/>
      <c r="C55" s="224"/>
      <c r="D55" s="224"/>
      <c r="E55" s="224"/>
      <c r="F55" s="225"/>
      <c r="G55" s="110"/>
      <c r="H55" s="110"/>
      <c r="I55" s="219"/>
      <c r="J55" s="220"/>
      <c r="K55" s="221"/>
      <c r="L55" s="116"/>
      <c r="M55" s="116"/>
      <c r="N55" s="249"/>
      <c r="O55" s="250"/>
      <c r="P55" s="250"/>
      <c r="Q55" s="250"/>
      <c r="R55" s="250"/>
      <c r="S55" s="251"/>
      <c r="T55" s="110"/>
      <c r="U55" s="110"/>
      <c r="V55" s="219"/>
      <c r="W55" s="220"/>
      <c r="X55" s="221"/>
      <c r="Y55" s="116"/>
      <c r="Z55" s="116"/>
    </row>
    <row r="56" spans="1:26" ht="7.5" customHeight="1">
      <c r="B56" s="72"/>
      <c r="C56" s="72"/>
      <c r="D56" s="72"/>
      <c r="E56" s="72"/>
      <c r="F56" s="72"/>
      <c r="G56" s="72"/>
      <c r="H56" s="72"/>
      <c r="I56" s="72"/>
      <c r="J56" s="72"/>
      <c r="K56" s="72"/>
      <c r="L56" s="72"/>
      <c r="M56" s="72"/>
      <c r="N56" s="72"/>
      <c r="O56" s="72"/>
      <c r="P56" s="72"/>
      <c r="Q56" s="72"/>
      <c r="R56" s="72"/>
      <c r="S56" s="72"/>
      <c r="T56" s="72"/>
      <c r="U56" s="72"/>
      <c r="V56" s="72"/>
      <c r="W56" s="72"/>
      <c r="X56" s="72"/>
      <c r="Y56" s="72"/>
    </row>
    <row r="57" spans="1:26" ht="18" customHeight="1">
      <c r="A57" s="222" t="s">
        <v>132</v>
      </c>
      <c r="B57" s="222"/>
      <c r="C57" s="222"/>
      <c r="D57" s="222"/>
      <c r="E57" s="222"/>
      <c r="F57" s="222"/>
      <c r="G57" s="222"/>
      <c r="H57" s="222"/>
      <c r="I57" s="222"/>
      <c r="J57" s="222"/>
      <c r="K57" s="222"/>
      <c r="L57" s="222"/>
      <c r="M57" s="222"/>
      <c r="N57" s="222"/>
      <c r="O57" s="222"/>
      <c r="P57" s="222"/>
      <c r="Q57" s="222"/>
      <c r="R57" s="222"/>
      <c r="S57" s="222"/>
      <c r="T57" s="222"/>
      <c r="U57" s="222"/>
      <c r="V57" s="222"/>
      <c r="W57" s="222"/>
      <c r="X57" s="222"/>
      <c r="Y57" s="222"/>
      <c r="Z57" s="222"/>
    </row>
    <row r="58" spans="1:26" ht="18" customHeight="1">
      <c r="A58" s="222"/>
      <c r="B58" s="222"/>
      <c r="C58" s="222"/>
      <c r="D58" s="222"/>
      <c r="E58" s="222"/>
      <c r="F58" s="222"/>
      <c r="G58" s="222"/>
      <c r="H58" s="222"/>
      <c r="I58" s="222"/>
      <c r="J58" s="222"/>
      <c r="K58" s="222"/>
      <c r="L58" s="222"/>
      <c r="M58" s="222"/>
      <c r="N58" s="222"/>
      <c r="O58" s="222"/>
      <c r="P58" s="222"/>
      <c r="Q58" s="222"/>
      <c r="R58" s="222"/>
      <c r="S58" s="222"/>
      <c r="T58" s="222"/>
      <c r="U58" s="222"/>
      <c r="V58" s="222"/>
      <c r="W58" s="222"/>
      <c r="X58" s="222"/>
      <c r="Y58" s="222"/>
      <c r="Z58" s="222"/>
    </row>
    <row r="59" spans="1:26" ht="18" customHeight="1">
      <c r="A59" s="14"/>
      <c r="B59" s="165" t="s">
        <v>99</v>
      </c>
      <c r="C59" s="166"/>
      <c r="D59" s="166"/>
      <c r="E59" s="167"/>
      <c r="F59" s="27" t="s">
        <v>140</v>
      </c>
      <c r="G59" s="107" t="s">
        <v>139</v>
      </c>
      <c r="H59" s="102" t="s">
        <v>100</v>
      </c>
      <c r="I59" s="103"/>
      <c r="J59" s="104"/>
      <c r="K59" s="70" t="s">
        <v>104</v>
      </c>
      <c r="L59" s="70" t="s">
        <v>133</v>
      </c>
      <c r="M59" s="70" t="s">
        <v>134</v>
      </c>
      <c r="N59" s="165" t="s">
        <v>99</v>
      </c>
      <c r="O59" s="166"/>
      <c r="P59" s="166"/>
      <c r="Q59" s="166"/>
      <c r="R59" s="167"/>
      <c r="S59" s="27" t="s">
        <v>140</v>
      </c>
      <c r="T59" s="107" t="s">
        <v>139</v>
      </c>
      <c r="U59" s="102" t="s">
        <v>100</v>
      </c>
      <c r="V59" s="103"/>
      <c r="W59" s="104"/>
      <c r="X59" s="70" t="s">
        <v>104</v>
      </c>
      <c r="Y59" s="70" t="s">
        <v>133</v>
      </c>
      <c r="Z59" s="70" t="s">
        <v>134</v>
      </c>
    </row>
    <row r="60" spans="1:26" ht="18" customHeight="1">
      <c r="A60" s="26"/>
      <c r="B60" s="174" t="s">
        <v>175</v>
      </c>
      <c r="C60" s="175"/>
      <c r="D60" s="175"/>
      <c r="E60" s="176"/>
      <c r="F60" s="108">
        <v>2</v>
      </c>
      <c r="G60" s="108" t="s">
        <v>155</v>
      </c>
      <c r="H60" s="207" t="s">
        <v>156</v>
      </c>
      <c r="I60" s="208"/>
      <c r="J60" s="209"/>
      <c r="K60" s="120"/>
      <c r="L60" s="108" t="s">
        <v>155</v>
      </c>
      <c r="M60" s="108" t="s">
        <v>155</v>
      </c>
      <c r="N60" s="174"/>
      <c r="O60" s="175"/>
      <c r="P60" s="175"/>
      <c r="Q60" s="175"/>
      <c r="R60" s="176"/>
      <c r="S60" s="108"/>
      <c r="T60" s="108"/>
      <c r="U60" s="207"/>
      <c r="V60" s="208"/>
      <c r="W60" s="209"/>
      <c r="X60" s="120"/>
      <c r="Y60" s="108"/>
      <c r="Z60" s="108"/>
    </row>
    <row r="61" spans="1:26" ht="18" customHeight="1">
      <c r="A61" s="26"/>
      <c r="B61" s="183" t="s">
        <v>176</v>
      </c>
      <c r="C61" s="184"/>
      <c r="D61" s="184"/>
      <c r="E61" s="185"/>
      <c r="F61" s="109">
        <v>2</v>
      </c>
      <c r="G61" s="109" t="s">
        <v>155</v>
      </c>
      <c r="H61" s="210" t="s">
        <v>156</v>
      </c>
      <c r="I61" s="211"/>
      <c r="J61" s="212"/>
      <c r="K61" s="109" t="s">
        <v>155</v>
      </c>
      <c r="L61" s="109" t="s">
        <v>155</v>
      </c>
      <c r="M61" s="109" t="s">
        <v>155</v>
      </c>
      <c r="N61" s="183"/>
      <c r="O61" s="184"/>
      <c r="P61" s="184"/>
      <c r="Q61" s="184"/>
      <c r="R61" s="185"/>
      <c r="S61" s="109"/>
      <c r="T61" s="109"/>
      <c r="U61" s="210"/>
      <c r="V61" s="211"/>
      <c r="W61" s="212"/>
      <c r="X61" s="118"/>
      <c r="Y61" s="109"/>
      <c r="Z61" s="109"/>
    </row>
    <row r="62" spans="1:26" ht="18" customHeight="1">
      <c r="A62" s="26"/>
      <c r="B62" s="183"/>
      <c r="C62" s="184"/>
      <c r="D62" s="184"/>
      <c r="E62" s="185"/>
      <c r="F62" s="109"/>
      <c r="G62" s="109"/>
      <c r="H62" s="210"/>
      <c r="I62" s="211"/>
      <c r="J62" s="212"/>
      <c r="K62" s="118"/>
      <c r="L62" s="109"/>
      <c r="M62" s="109"/>
      <c r="N62" s="183"/>
      <c r="O62" s="184"/>
      <c r="P62" s="184"/>
      <c r="Q62" s="184"/>
      <c r="R62" s="185"/>
      <c r="S62" s="109"/>
      <c r="T62" s="109"/>
      <c r="U62" s="210"/>
      <c r="V62" s="211"/>
      <c r="W62" s="212"/>
      <c r="X62" s="118"/>
      <c r="Y62" s="109"/>
      <c r="Z62" s="109"/>
    </row>
    <row r="63" spans="1:26" ht="18" customHeight="1">
      <c r="A63" s="26"/>
      <c r="B63" s="183"/>
      <c r="C63" s="184"/>
      <c r="D63" s="184"/>
      <c r="E63" s="185"/>
      <c r="F63" s="109"/>
      <c r="G63" s="109"/>
      <c r="H63" s="210"/>
      <c r="I63" s="211"/>
      <c r="J63" s="212"/>
      <c r="K63" s="118"/>
      <c r="L63" s="109"/>
      <c r="M63" s="109"/>
      <c r="N63" s="183"/>
      <c r="O63" s="184"/>
      <c r="P63" s="184"/>
      <c r="Q63" s="184"/>
      <c r="R63" s="185"/>
      <c r="S63" s="109"/>
      <c r="T63" s="109"/>
      <c r="U63" s="210"/>
      <c r="V63" s="211"/>
      <c r="W63" s="212"/>
      <c r="X63" s="118"/>
      <c r="Y63" s="109"/>
      <c r="Z63" s="109"/>
    </row>
    <row r="64" spans="1:26" ht="18" customHeight="1">
      <c r="A64" s="26"/>
      <c r="B64" s="183"/>
      <c r="C64" s="184"/>
      <c r="D64" s="184"/>
      <c r="E64" s="185"/>
      <c r="F64" s="109"/>
      <c r="G64" s="109"/>
      <c r="H64" s="210"/>
      <c r="I64" s="211"/>
      <c r="J64" s="212"/>
      <c r="K64" s="118"/>
      <c r="L64" s="109"/>
      <c r="M64" s="109"/>
      <c r="N64" s="183"/>
      <c r="O64" s="184"/>
      <c r="P64" s="184"/>
      <c r="Q64" s="184"/>
      <c r="R64" s="185"/>
      <c r="S64" s="109"/>
      <c r="T64" s="109"/>
      <c r="U64" s="210"/>
      <c r="V64" s="211"/>
      <c r="W64" s="212"/>
      <c r="X64" s="118"/>
      <c r="Y64" s="109"/>
      <c r="Z64" s="109"/>
    </row>
    <row r="65" spans="1:26" ht="18" customHeight="1">
      <c r="A65" s="26"/>
      <c r="B65" s="183"/>
      <c r="C65" s="184"/>
      <c r="D65" s="184"/>
      <c r="E65" s="185"/>
      <c r="F65" s="109"/>
      <c r="G65" s="109"/>
      <c r="H65" s="210"/>
      <c r="I65" s="211"/>
      <c r="J65" s="212"/>
      <c r="K65" s="118"/>
      <c r="L65" s="109"/>
      <c r="M65" s="109"/>
      <c r="N65" s="183"/>
      <c r="O65" s="184"/>
      <c r="P65" s="184"/>
      <c r="Q65" s="184"/>
      <c r="R65" s="185"/>
      <c r="S65" s="109"/>
      <c r="T65" s="109"/>
      <c r="U65" s="210"/>
      <c r="V65" s="211"/>
      <c r="W65" s="212"/>
      <c r="X65" s="118"/>
      <c r="Y65" s="109"/>
      <c r="Z65" s="109"/>
    </row>
    <row r="66" spans="1:26" ht="18" customHeight="1">
      <c r="A66" s="26"/>
      <c r="B66" s="249"/>
      <c r="C66" s="250"/>
      <c r="D66" s="250"/>
      <c r="E66" s="251"/>
      <c r="F66" s="110"/>
      <c r="G66" s="110"/>
      <c r="H66" s="219"/>
      <c r="I66" s="220"/>
      <c r="J66" s="221"/>
      <c r="K66" s="119"/>
      <c r="L66" s="116"/>
      <c r="M66" s="116"/>
      <c r="N66" s="249"/>
      <c r="O66" s="250"/>
      <c r="P66" s="250"/>
      <c r="Q66" s="250"/>
      <c r="R66" s="251"/>
      <c r="S66" s="110"/>
      <c r="T66" s="110"/>
      <c r="U66" s="219"/>
      <c r="V66" s="220"/>
      <c r="W66" s="221"/>
      <c r="X66" s="119"/>
      <c r="Y66" s="116"/>
      <c r="Z66" s="116"/>
    </row>
    <row r="67" spans="1:26" ht="7.5" customHeight="1">
      <c r="B67" s="72"/>
      <c r="C67" s="72"/>
      <c r="D67" s="72"/>
      <c r="E67" s="72"/>
      <c r="F67" s="72"/>
      <c r="G67" s="72"/>
      <c r="H67" s="72"/>
      <c r="I67" s="72"/>
      <c r="J67" s="72"/>
      <c r="K67" s="72"/>
      <c r="L67" s="72"/>
      <c r="M67" s="72"/>
      <c r="N67" s="72"/>
      <c r="O67" s="72"/>
      <c r="P67" s="72"/>
      <c r="Q67" s="72"/>
      <c r="R67" s="72"/>
      <c r="S67" s="72"/>
      <c r="T67" s="72"/>
      <c r="U67" s="72"/>
      <c r="V67" s="72"/>
      <c r="W67" s="72"/>
      <c r="X67" s="72"/>
      <c r="Y67" s="72"/>
    </row>
    <row r="68" spans="1:26" ht="18" customHeight="1">
      <c r="A68" s="14" t="s">
        <v>135</v>
      </c>
      <c r="B68" s="14"/>
      <c r="C68" s="14"/>
      <c r="D68" s="14"/>
      <c r="E68" s="14"/>
      <c r="F68" s="14"/>
      <c r="G68" s="14"/>
      <c r="H68" s="14"/>
      <c r="I68" s="14"/>
      <c r="J68" s="14"/>
      <c r="K68" s="14"/>
      <c r="L68" s="26"/>
      <c r="M68" s="26"/>
      <c r="N68" s="26"/>
      <c r="O68" s="26"/>
      <c r="P68" s="26"/>
      <c r="Q68" s="26"/>
      <c r="R68" s="26"/>
      <c r="S68" s="26"/>
      <c r="T68" s="26"/>
      <c r="U68" s="26"/>
      <c r="V68" s="26"/>
      <c r="W68" s="26"/>
      <c r="X68" s="26"/>
      <c r="Y68" s="26"/>
      <c r="Z68" s="26"/>
    </row>
    <row r="69" spans="1:26" ht="18" customHeight="1">
      <c r="A69" s="14"/>
      <c r="B69" s="165" t="s">
        <v>99</v>
      </c>
      <c r="C69" s="166"/>
      <c r="D69" s="166"/>
      <c r="E69" s="166"/>
      <c r="F69" s="167"/>
      <c r="G69" s="165" t="s">
        <v>145</v>
      </c>
      <c r="H69" s="166"/>
      <c r="I69" s="166"/>
      <c r="J69" s="166"/>
      <c r="K69" s="166"/>
      <c r="L69" s="166"/>
      <c r="M69" s="167"/>
      <c r="N69" s="255" t="s">
        <v>99</v>
      </c>
      <c r="O69" s="256"/>
      <c r="P69" s="256"/>
      <c r="Q69" s="256"/>
      <c r="R69" s="256"/>
      <c r="S69" s="257"/>
      <c r="T69" s="165" t="s">
        <v>145</v>
      </c>
      <c r="U69" s="166"/>
      <c r="V69" s="166"/>
      <c r="W69" s="166"/>
      <c r="X69" s="166"/>
      <c r="Y69" s="166"/>
      <c r="Z69" s="167"/>
    </row>
    <row r="70" spans="1:26" ht="18" customHeight="1">
      <c r="A70" s="26"/>
      <c r="B70" s="174"/>
      <c r="C70" s="175"/>
      <c r="D70" s="175"/>
      <c r="E70" s="175"/>
      <c r="F70" s="176"/>
      <c r="G70" s="177"/>
      <c r="H70" s="178"/>
      <c r="I70" s="178"/>
      <c r="J70" s="178"/>
      <c r="K70" s="178"/>
      <c r="L70" s="178"/>
      <c r="M70" s="179"/>
      <c r="N70" s="174"/>
      <c r="O70" s="175"/>
      <c r="P70" s="175"/>
      <c r="Q70" s="175"/>
      <c r="R70" s="175"/>
      <c r="S70" s="176"/>
      <c r="T70" s="177"/>
      <c r="U70" s="178"/>
      <c r="V70" s="178"/>
      <c r="W70" s="178"/>
      <c r="X70" s="178"/>
      <c r="Y70" s="178"/>
      <c r="Z70" s="179"/>
    </row>
    <row r="71" spans="1:26" ht="18" customHeight="1">
      <c r="A71" s="26"/>
      <c r="B71" s="183"/>
      <c r="C71" s="184"/>
      <c r="D71" s="184"/>
      <c r="E71" s="184"/>
      <c r="F71" s="185"/>
      <c r="G71" s="186"/>
      <c r="H71" s="187"/>
      <c r="I71" s="187"/>
      <c r="J71" s="187"/>
      <c r="K71" s="187"/>
      <c r="L71" s="187"/>
      <c r="M71" s="188"/>
      <c r="N71" s="183"/>
      <c r="O71" s="184"/>
      <c r="P71" s="184"/>
      <c r="Q71" s="184"/>
      <c r="R71" s="184"/>
      <c r="S71" s="185"/>
      <c r="T71" s="186"/>
      <c r="U71" s="187"/>
      <c r="V71" s="187"/>
      <c r="W71" s="187"/>
      <c r="X71" s="187"/>
      <c r="Y71" s="187"/>
      <c r="Z71" s="188"/>
    </row>
    <row r="72" spans="1:26" ht="18" customHeight="1">
      <c r="A72" s="26"/>
      <c r="B72" s="183"/>
      <c r="C72" s="184"/>
      <c r="D72" s="184"/>
      <c r="E72" s="184"/>
      <c r="F72" s="185"/>
      <c r="G72" s="186"/>
      <c r="H72" s="187"/>
      <c r="I72" s="187"/>
      <c r="J72" s="187"/>
      <c r="K72" s="187"/>
      <c r="L72" s="187"/>
      <c r="M72" s="188"/>
      <c r="N72" s="183"/>
      <c r="O72" s="184"/>
      <c r="P72" s="184"/>
      <c r="Q72" s="184"/>
      <c r="R72" s="184"/>
      <c r="S72" s="185"/>
      <c r="T72" s="186"/>
      <c r="U72" s="187"/>
      <c r="V72" s="187"/>
      <c r="W72" s="187"/>
      <c r="X72" s="187"/>
      <c r="Y72" s="187"/>
      <c r="Z72" s="188"/>
    </row>
    <row r="73" spans="1:26" ht="18" customHeight="1">
      <c r="A73" s="26"/>
      <c r="B73" s="183"/>
      <c r="C73" s="184"/>
      <c r="D73" s="184"/>
      <c r="E73" s="184"/>
      <c r="F73" s="185"/>
      <c r="G73" s="186"/>
      <c r="H73" s="187"/>
      <c r="I73" s="187"/>
      <c r="J73" s="187"/>
      <c r="K73" s="187"/>
      <c r="L73" s="187"/>
      <c r="M73" s="188"/>
      <c r="N73" s="183"/>
      <c r="O73" s="184"/>
      <c r="P73" s="184"/>
      <c r="Q73" s="184"/>
      <c r="R73" s="184"/>
      <c r="S73" s="185"/>
      <c r="T73" s="186"/>
      <c r="U73" s="187"/>
      <c r="V73" s="187"/>
      <c r="W73" s="187"/>
      <c r="X73" s="187"/>
      <c r="Y73" s="187"/>
      <c r="Z73" s="188"/>
    </row>
    <row r="74" spans="1:26" ht="18" customHeight="1">
      <c r="A74" s="26"/>
      <c r="B74" s="183"/>
      <c r="C74" s="184"/>
      <c r="D74" s="184"/>
      <c r="E74" s="184"/>
      <c r="F74" s="185"/>
      <c r="G74" s="186"/>
      <c r="H74" s="187"/>
      <c r="I74" s="187"/>
      <c r="J74" s="187"/>
      <c r="K74" s="187"/>
      <c r="L74" s="187"/>
      <c r="M74" s="188"/>
      <c r="N74" s="183"/>
      <c r="O74" s="184"/>
      <c r="P74" s="184"/>
      <c r="Q74" s="184"/>
      <c r="R74" s="184"/>
      <c r="S74" s="185"/>
      <c r="T74" s="186"/>
      <c r="U74" s="187"/>
      <c r="V74" s="187"/>
      <c r="W74" s="187"/>
      <c r="X74" s="187"/>
      <c r="Y74" s="187"/>
      <c r="Z74" s="188"/>
    </row>
    <row r="75" spans="1:26" ht="18" customHeight="1">
      <c r="A75" s="26"/>
      <c r="B75" s="183"/>
      <c r="C75" s="184"/>
      <c r="D75" s="184"/>
      <c r="E75" s="184"/>
      <c r="F75" s="185"/>
      <c r="G75" s="186"/>
      <c r="H75" s="187"/>
      <c r="I75" s="187"/>
      <c r="J75" s="187"/>
      <c r="K75" s="187"/>
      <c r="L75" s="187"/>
      <c r="M75" s="188"/>
      <c r="N75" s="183"/>
      <c r="O75" s="184"/>
      <c r="P75" s="184"/>
      <c r="Q75" s="184"/>
      <c r="R75" s="184"/>
      <c r="S75" s="185"/>
      <c r="T75" s="186"/>
      <c r="U75" s="187"/>
      <c r="V75" s="187"/>
      <c r="W75" s="187"/>
      <c r="X75" s="187"/>
      <c r="Y75" s="187"/>
      <c r="Z75" s="188"/>
    </row>
    <row r="76" spans="1:26" ht="18" customHeight="1">
      <c r="A76" s="26"/>
      <c r="B76" s="249"/>
      <c r="C76" s="250"/>
      <c r="D76" s="250"/>
      <c r="E76" s="250"/>
      <c r="F76" s="251"/>
      <c r="G76" s="252"/>
      <c r="H76" s="253"/>
      <c r="I76" s="253"/>
      <c r="J76" s="253"/>
      <c r="K76" s="253"/>
      <c r="L76" s="253"/>
      <c r="M76" s="254"/>
      <c r="N76" s="249"/>
      <c r="O76" s="250"/>
      <c r="P76" s="250"/>
      <c r="Q76" s="250"/>
      <c r="R76" s="250"/>
      <c r="S76" s="251"/>
      <c r="T76" s="252"/>
      <c r="U76" s="253"/>
      <c r="V76" s="253"/>
      <c r="W76" s="253"/>
      <c r="X76" s="253"/>
      <c r="Y76" s="253"/>
      <c r="Z76" s="254"/>
    </row>
    <row r="77" spans="1:26" ht="18" customHeight="1">
      <c r="A77" s="26"/>
      <c r="B77" s="117"/>
      <c r="C77" s="117"/>
      <c r="D77" s="117"/>
      <c r="E77" s="117"/>
      <c r="F77" s="117"/>
      <c r="G77" s="12"/>
      <c r="H77" s="12"/>
      <c r="I77" s="12"/>
      <c r="J77" s="12"/>
      <c r="K77" s="12"/>
      <c r="L77" s="12"/>
      <c r="M77" s="12"/>
      <c r="N77" s="117"/>
      <c r="O77" s="117"/>
      <c r="P77" s="117"/>
      <c r="Q77" s="117"/>
      <c r="R77" s="117"/>
      <c r="S77" s="117"/>
      <c r="T77" s="12"/>
      <c r="U77" s="12"/>
      <c r="V77" s="12"/>
      <c r="W77" s="12"/>
      <c r="X77" s="12"/>
      <c r="Y77" s="12"/>
      <c r="Z77" s="12"/>
    </row>
    <row r="78" spans="1:26" ht="18.75" customHeight="1">
      <c r="A78" s="13" t="s">
        <v>141</v>
      </c>
    </row>
    <row r="79" spans="1:26" ht="18.75" customHeight="1">
      <c r="B79" s="73" t="s">
        <v>101</v>
      </c>
      <c r="C79" s="74"/>
      <c r="D79" s="205" t="s">
        <v>102</v>
      </c>
      <c r="E79" s="205"/>
      <c r="F79" s="205"/>
      <c r="G79" s="205"/>
      <c r="H79" s="205"/>
      <c r="I79" s="205"/>
      <c r="J79" s="205"/>
      <c r="K79" s="205"/>
      <c r="L79" s="205"/>
      <c r="M79" s="205"/>
      <c r="N79" s="205"/>
      <c r="O79" s="205"/>
      <c r="P79" s="205"/>
      <c r="Q79" s="205"/>
      <c r="R79" s="205"/>
      <c r="S79" s="205"/>
      <c r="T79" s="205"/>
      <c r="U79" s="205"/>
      <c r="V79" s="205"/>
      <c r="W79" s="205"/>
      <c r="X79" s="205"/>
      <c r="Y79" s="205"/>
      <c r="Z79" s="206"/>
    </row>
    <row r="80" spans="1:26" ht="78" customHeight="1">
      <c r="B80" s="191" t="s">
        <v>108</v>
      </c>
      <c r="C80" s="80" t="s">
        <v>103</v>
      </c>
      <c r="D80" s="199" t="s">
        <v>177</v>
      </c>
      <c r="E80" s="199"/>
      <c r="F80" s="199"/>
      <c r="G80" s="199"/>
      <c r="H80" s="199"/>
      <c r="I80" s="199"/>
      <c r="J80" s="199"/>
      <c r="K80" s="199"/>
      <c r="L80" s="199"/>
      <c r="M80" s="199"/>
      <c r="N80" s="199"/>
      <c r="O80" s="199"/>
      <c r="P80" s="199"/>
      <c r="Q80" s="199"/>
      <c r="R80" s="199"/>
      <c r="S80" s="199"/>
      <c r="T80" s="199"/>
      <c r="U80" s="199"/>
      <c r="V80" s="199"/>
      <c r="W80" s="199"/>
      <c r="X80" s="199"/>
      <c r="Y80" s="199"/>
      <c r="Z80" s="285"/>
    </row>
    <row r="81" spans="1:26" ht="78" customHeight="1">
      <c r="B81" s="192"/>
      <c r="C81" s="105" t="s">
        <v>136</v>
      </c>
      <c r="D81" s="237" t="s">
        <v>178</v>
      </c>
      <c r="E81" s="237"/>
      <c r="F81" s="237"/>
      <c r="G81" s="237"/>
      <c r="H81" s="237"/>
      <c r="I81" s="237"/>
      <c r="J81" s="237"/>
      <c r="K81" s="237"/>
      <c r="L81" s="237"/>
      <c r="M81" s="237"/>
      <c r="N81" s="237"/>
      <c r="O81" s="237"/>
      <c r="P81" s="237"/>
      <c r="Q81" s="237"/>
      <c r="R81" s="237"/>
      <c r="S81" s="237"/>
      <c r="T81" s="237"/>
      <c r="U81" s="237"/>
      <c r="V81" s="237"/>
      <c r="W81" s="237"/>
      <c r="X81" s="237"/>
      <c r="Y81" s="237"/>
      <c r="Z81" s="286"/>
    </row>
    <row r="82" spans="1:26" ht="78" customHeight="1">
      <c r="B82" s="189" t="s">
        <v>109</v>
      </c>
      <c r="C82" s="75" t="s">
        <v>126</v>
      </c>
      <c r="D82" s="240" t="s">
        <v>179</v>
      </c>
      <c r="E82" s="240"/>
      <c r="F82" s="240"/>
      <c r="G82" s="240"/>
      <c r="H82" s="240"/>
      <c r="I82" s="240"/>
      <c r="J82" s="240"/>
      <c r="K82" s="240"/>
      <c r="L82" s="240"/>
      <c r="M82" s="240"/>
      <c r="N82" s="240"/>
      <c r="O82" s="240"/>
      <c r="P82" s="240"/>
      <c r="Q82" s="240"/>
      <c r="R82" s="240"/>
      <c r="S82" s="240"/>
      <c r="T82" s="240"/>
      <c r="U82" s="240"/>
      <c r="V82" s="240"/>
      <c r="W82" s="240"/>
      <c r="X82" s="240"/>
      <c r="Y82" s="240"/>
      <c r="Z82" s="281"/>
    </row>
    <row r="83" spans="1:26" ht="78" customHeight="1">
      <c r="B83" s="190"/>
      <c r="C83" s="106" t="s">
        <v>127</v>
      </c>
      <c r="D83" s="282" t="s">
        <v>180</v>
      </c>
      <c r="E83" s="246"/>
      <c r="F83" s="246"/>
      <c r="G83" s="246"/>
      <c r="H83" s="246"/>
      <c r="I83" s="246"/>
      <c r="J83" s="246"/>
      <c r="K83" s="246"/>
      <c r="L83" s="246"/>
      <c r="M83" s="246"/>
      <c r="N83" s="246"/>
      <c r="O83" s="246"/>
      <c r="P83" s="246"/>
      <c r="Q83" s="246"/>
      <c r="R83" s="246"/>
      <c r="S83" s="246"/>
      <c r="T83" s="246"/>
      <c r="U83" s="246"/>
      <c r="V83" s="246"/>
      <c r="W83" s="246"/>
      <c r="X83" s="246"/>
      <c r="Y83" s="246"/>
      <c r="Z83" s="283"/>
    </row>
    <row r="84" spans="1:26" ht="66" customHeight="1">
      <c r="B84" s="189" t="s">
        <v>110</v>
      </c>
      <c r="C84" s="75" t="s">
        <v>129</v>
      </c>
      <c r="D84" s="240" t="s">
        <v>181</v>
      </c>
      <c r="E84" s="240"/>
      <c r="F84" s="240"/>
      <c r="G84" s="240"/>
      <c r="H84" s="240"/>
      <c r="I84" s="240"/>
      <c r="J84" s="240"/>
      <c r="K84" s="240"/>
      <c r="L84" s="240"/>
      <c r="M84" s="240"/>
      <c r="N84" s="240"/>
      <c r="O84" s="240"/>
      <c r="P84" s="240"/>
      <c r="Q84" s="240"/>
      <c r="R84" s="240"/>
      <c r="S84" s="240"/>
      <c r="T84" s="240"/>
      <c r="U84" s="240"/>
      <c r="V84" s="240"/>
      <c r="W84" s="240"/>
      <c r="X84" s="240"/>
      <c r="Y84" s="240"/>
      <c r="Z84" s="281"/>
    </row>
    <row r="85" spans="1:26" ht="66" customHeight="1">
      <c r="B85" s="190"/>
      <c r="C85" s="77" t="s">
        <v>130</v>
      </c>
      <c r="D85" s="243" t="s">
        <v>182</v>
      </c>
      <c r="E85" s="243"/>
      <c r="F85" s="243"/>
      <c r="G85" s="243"/>
      <c r="H85" s="243"/>
      <c r="I85" s="243"/>
      <c r="J85" s="243"/>
      <c r="K85" s="243"/>
      <c r="L85" s="243"/>
      <c r="M85" s="243"/>
      <c r="N85" s="243"/>
      <c r="O85" s="243"/>
      <c r="P85" s="243"/>
      <c r="Q85" s="243"/>
      <c r="R85" s="243"/>
      <c r="S85" s="243"/>
      <c r="T85" s="243"/>
      <c r="U85" s="243"/>
      <c r="V85" s="243"/>
      <c r="W85" s="243"/>
      <c r="X85" s="243"/>
      <c r="Y85" s="243"/>
      <c r="Z85" s="284"/>
    </row>
    <row r="86" spans="1:26" ht="66" customHeight="1">
      <c r="B86" s="191" t="s">
        <v>137</v>
      </c>
      <c r="C86" s="80" t="s">
        <v>105</v>
      </c>
      <c r="D86" s="199" t="s">
        <v>183</v>
      </c>
      <c r="E86" s="199"/>
      <c r="F86" s="199"/>
      <c r="G86" s="199"/>
      <c r="H86" s="199"/>
      <c r="I86" s="199"/>
      <c r="J86" s="199"/>
      <c r="K86" s="199"/>
      <c r="L86" s="199"/>
      <c r="M86" s="199"/>
      <c r="N86" s="199"/>
      <c r="O86" s="199"/>
      <c r="P86" s="199"/>
      <c r="Q86" s="199"/>
      <c r="R86" s="199"/>
      <c r="S86" s="199"/>
      <c r="T86" s="199"/>
      <c r="U86" s="199"/>
      <c r="V86" s="199"/>
      <c r="W86" s="199"/>
      <c r="X86" s="199"/>
      <c r="Y86" s="199"/>
      <c r="Z86" s="285"/>
    </row>
    <row r="87" spans="1:26" ht="66" customHeight="1">
      <c r="B87" s="198"/>
      <c r="C87" s="76" t="s">
        <v>107</v>
      </c>
      <c r="D87" s="202" t="s">
        <v>184</v>
      </c>
      <c r="E87" s="202"/>
      <c r="F87" s="202"/>
      <c r="G87" s="202"/>
      <c r="H87" s="202"/>
      <c r="I87" s="202"/>
      <c r="J87" s="202"/>
      <c r="K87" s="202"/>
      <c r="L87" s="202"/>
      <c r="M87" s="202"/>
      <c r="N87" s="202"/>
      <c r="O87" s="202"/>
      <c r="P87" s="202"/>
      <c r="Q87" s="202"/>
      <c r="R87" s="202"/>
      <c r="S87" s="202"/>
      <c r="T87" s="202"/>
      <c r="U87" s="202"/>
      <c r="V87" s="202"/>
      <c r="W87" s="202"/>
      <c r="X87" s="202"/>
      <c r="Y87" s="202"/>
      <c r="Z87" s="287"/>
    </row>
    <row r="88" spans="1:26" ht="66" customHeight="1">
      <c r="B88" s="191" t="s">
        <v>138</v>
      </c>
      <c r="C88" s="75" t="s">
        <v>104</v>
      </c>
      <c r="D88" s="193" t="s">
        <v>185</v>
      </c>
      <c r="E88" s="193"/>
      <c r="F88" s="193"/>
      <c r="G88" s="193"/>
      <c r="H88" s="193"/>
      <c r="I88" s="193"/>
      <c r="J88" s="193"/>
      <c r="K88" s="193"/>
      <c r="L88" s="193"/>
      <c r="M88" s="193"/>
      <c r="N88" s="193"/>
      <c r="O88" s="193"/>
      <c r="P88" s="193"/>
      <c r="Q88" s="193"/>
      <c r="R88" s="193"/>
      <c r="S88" s="193"/>
      <c r="T88" s="193"/>
      <c r="U88" s="193"/>
      <c r="V88" s="193"/>
      <c r="W88" s="193"/>
      <c r="X88" s="193"/>
      <c r="Y88" s="193"/>
      <c r="Z88" s="288"/>
    </row>
    <row r="89" spans="1:26" ht="80.099999999999994" customHeight="1">
      <c r="B89" s="192"/>
      <c r="C89" s="76" t="s">
        <v>133</v>
      </c>
      <c r="D89" s="180" t="s">
        <v>208</v>
      </c>
      <c r="E89" s="289"/>
      <c r="F89" s="289"/>
      <c r="G89" s="289"/>
      <c r="H89" s="289"/>
      <c r="I89" s="289"/>
      <c r="J89" s="289"/>
      <c r="K89" s="289"/>
      <c r="L89" s="289"/>
      <c r="M89" s="289"/>
      <c r="N89" s="289"/>
      <c r="O89" s="289"/>
      <c r="P89" s="289"/>
      <c r="Q89" s="289"/>
      <c r="R89" s="289"/>
      <c r="S89" s="289"/>
      <c r="T89" s="289"/>
      <c r="U89" s="289"/>
      <c r="V89" s="289"/>
      <c r="W89" s="289"/>
      <c r="X89" s="289"/>
      <c r="Y89" s="289"/>
      <c r="Z89" s="290"/>
    </row>
    <row r="90" spans="1:26" ht="66" customHeight="1">
      <c r="B90" s="190"/>
      <c r="C90" s="77" t="s">
        <v>134</v>
      </c>
      <c r="D90" s="291" t="s">
        <v>209</v>
      </c>
      <c r="E90" s="291"/>
      <c r="F90" s="291"/>
      <c r="G90" s="291"/>
      <c r="H90" s="291"/>
      <c r="I90" s="291"/>
      <c r="J90" s="291"/>
      <c r="K90" s="291"/>
      <c r="L90" s="291"/>
      <c r="M90" s="291"/>
      <c r="N90" s="291"/>
      <c r="O90" s="291"/>
      <c r="P90" s="291"/>
      <c r="Q90" s="291"/>
      <c r="R90" s="291"/>
      <c r="S90" s="291"/>
      <c r="T90" s="291"/>
      <c r="U90" s="291"/>
      <c r="V90" s="291"/>
      <c r="W90" s="291"/>
      <c r="X90" s="291"/>
      <c r="Y90" s="291"/>
      <c r="Z90" s="292"/>
    </row>
    <row r="91" spans="1:26" ht="6" customHeight="1"/>
    <row r="92" spans="1:26" ht="18.75" customHeight="1">
      <c r="A92" s="13" t="s">
        <v>142</v>
      </c>
    </row>
    <row r="93" spans="1:26" ht="18.75" customHeight="1">
      <c r="B93" s="258" t="s">
        <v>202</v>
      </c>
      <c r="C93" s="259"/>
      <c r="D93" s="259"/>
      <c r="E93" s="259"/>
      <c r="F93" s="259"/>
      <c r="G93" s="259"/>
      <c r="H93" s="259"/>
      <c r="I93" s="259"/>
      <c r="J93" s="259"/>
      <c r="K93" s="259"/>
      <c r="L93" s="259"/>
      <c r="M93" s="259"/>
      <c r="N93" s="259"/>
      <c r="O93" s="259"/>
      <c r="P93" s="259"/>
      <c r="Q93" s="259"/>
      <c r="R93" s="259"/>
      <c r="S93" s="259"/>
      <c r="T93" s="259"/>
      <c r="U93" s="259"/>
      <c r="V93" s="259"/>
      <c r="W93" s="259"/>
      <c r="X93" s="259"/>
      <c r="Y93" s="259"/>
      <c r="Z93" s="260"/>
    </row>
    <row r="94" spans="1:26" ht="18.75" customHeight="1">
      <c r="B94" s="261"/>
      <c r="C94" s="262"/>
      <c r="D94" s="262"/>
      <c r="E94" s="262"/>
      <c r="F94" s="262"/>
      <c r="G94" s="262"/>
      <c r="H94" s="262"/>
      <c r="I94" s="262"/>
      <c r="J94" s="262"/>
      <c r="K94" s="262"/>
      <c r="L94" s="262"/>
      <c r="M94" s="262"/>
      <c r="N94" s="262"/>
      <c r="O94" s="262"/>
      <c r="P94" s="262"/>
      <c r="Q94" s="262"/>
      <c r="R94" s="262"/>
      <c r="S94" s="262"/>
      <c r="T94" s="262"/>
      <c r="U94" s="262"/>
      <c r="V94" s="262"/>
      <c r="W94" s="262"/>
      <c r="X94" s="262"/>
      <c r="Y94" s="262"/>
      <c r="Z94" s="263"/>
    </row>
    <row r="95" spans="1:26" ht="18.75" customHeight="1">
      <c r="B95" s="264"/>
      <c r="C95" s="265"/>
      <c r="D95" s="265"/>
      <c r="E95" s="265"/>
      <c r="F95" s="265"/>
      <c r="G95" s="265"/>
      <c r="H95" s="265"/>
      <c r="I95" s="265"/>
      <c r="J95" s="265"/>
      <c r="K95" s="265"/>
      <c r="L95" s="265"/>
      <c r="M95" s="265"/>
      <c r="N95" s="265"/>
      <c r="O95" s="265"/>
      <c r="P95" s="265"/>
      <c r="Q95" s="265"/>
      <c r="R95" s="265"/>
      <c r="S95" s="265"/>
      <c r="T95" s="265"/>
      <c r="U95" s="265"/>
      <c r="V95" s="265"/>
      <c r="W95" s="265"/>
      <c r="X95" s="265"/>
      <c r="Y95" s="265"/>
      <c r="Z95" s="266"/>
    </row>
    <row r="96" spans="1:26" ht="6" customHeight="1"/>
    <row r="97" spans="1:26" ht="15" customHeight="1">
      <c r="A97" s="13" t="s">
        <v>143</v>
      </c>
    </row>
    <row r="98" spans="1:26" ht="15" customHeight="1">
      <c r="B98" s="267" t="s">
        <v>157</v>
      </c>
      <c r="C98" s="268"/>
      <c r="D98" s="268"/>
      <c r="E98" s="268"/>
      <c r="F98" s="268"/>
      <c r="G98" s="268"/>
      <c r="H98" s="268"/>
      <c r="I98" s="268"/>
      <c r="J98" s="268"/>
      <c r="K98" s="268"/>
      <c r="L98" s="268"/>
      <c r="M98" s="268"/>
      <c r="N98" s="268"/>
      <c r="O98" s="268"/>
      <c r="P98" s="268"/>
      <c r="Q98" s="268"/>
      <c r="R98" s="268"/>
      <c r="S98" s="268"/>
      <c r="T98" s="268"/>
      <c r="U98" s="268"/>
      <c r="V98" s="268"/>
      <c r="W98" s="268"/>
      <c r="X98" s="268"/>
      <c r="Y98" s="268"/>
      <c r="Z98" s="269"/>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4"/>
  <dataValidations count="4">
    <dataValidation type="list" allowBlank="1" showInputMessage="1" showErrorMessage="1" sqref="H74:M77 G70:G77 H70:M71 T70:T77 U70:Z71 U74:Z77" xr:uid="{6F2845E5-4A1D-6C4B-BC64-FC92C5A2CF3A}">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EFB64326-A1CF-DA44-95C1-F268EE6A42BC}">
      <formula1>"学部・学科によって、修了要件は相違する,学部・学科によって、修了要件は相違しない"</formula1>
    </dataValidation>
    <dataValidation type="list" allowBlank="1" showInputMessage="1" showErrorMessage="1" sqref="Z23 Z34 D34:K34 D23:K23 V16:V22 I16:I22 V27:V33 I27:I33 V38:V44 I38:I44 V49:V55 I49:I55 U60:U66 H60:H66" xr:uid="{7DFFC328-8F5D-FF4E-9BF9-7869AFBCD8AB}">
      <formula1>"全学開講,一部開講"</formula1>
    </dataValidation>
    <dataValidation type="list" allowBlank="1" showInputMessage="1" showErrorMessage="1" sqref="Y16:Z22 L16:M22 Y27:Z33 L27:M33 L38:M44 Y38:Z44 L49:M55 Y49:Z55 Y60:Z66 L60:M66 H16:H22 U16:U22 H27:H33 U27:U33 H38:H44 U38:U44 H49:H55 U49:U55 G60:G66 T60:T66 K61" xr:uid="{AAA773F8-FD47-BE4F-ADA8-428FB153D629}">
      <formula1>"○"</formula1>
    </dataValidation>
  </dataValidations>
  <hyperlinks>
    <hyperlink ref="B98" r:id="rId1" xr:uid="{2A8675C2-1252-4A55-8FC2-E7FD85166D02}"/>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dimension ref="A1:T30"/>
  <sheetViews>
    <sheetView view="pageBreakPreview" zoomScaleNormal="100" zoomScaleSheetLayoutView="100" workbookViewId="0"/>
  </sheetViews>
  <sheetFormatPr defaultColWidth="9" defaultRowHeight="18.75" customHeight="1"/>
  <cols>
    <col min="1" max="1" width="2.625" style="1" customWidth="1"/>
    <col min="2" max="2" width="30" style="1" customWidth="1"/>
    <col min="3" max="17" width="6.125" style="1" customWidth="1"/>
    <col min="18" max="18" width="6.625" style="1" customWidth="1"/>
    <col min="19" max="16384" width="9" style="1"/>
  </cols>
  <sheetData>
    <row r="1" spans="1:20" ht="18" customHeight="1">
      <c r="F1" s="293" t="s">
        <v>63</v>
      </c>
      <c r="G1" s="293"/>
      <c r="H1" s="293"/>
      <c r="I1" s="293"/>
      <c r="J1" s="293"/>
      <c r="K1" s="293"/>
      <c r="L1" s="293"/>
      <c r="M1" s="293"/>
      <c r="N1" s="293"/>
      <c r="O1" s="293"/>
      <c r="P1" s="293"/>
      <c r="Q1" s="293"/>
      <c r="R1" s="293"/>
    </row>
    <row r="2" spans="1:20" ht="18" customHeight="1">
      <c r="A2" s="294" t="s">
        <v>88</v>
      </c>
      <c r="B2" s="294"/>
      <c r="C2" s="294"/>
      <c r="D2" s="294"/>
      <c r="E2" s="294"/>
      <c r="F2" s="294"/>
      <c r="G2" s="294"/>
      <c r="H2" s="294"/>
      <c r="I2" s="294"/>
      <c r="J2" s="294"/>
      <c r="K2" s="294"/>
      <c r="L2" s="294"/>
      <c r="M2" s="294"/>
      <c r="N2" s="294"/>
      <c r="O2" s="294"/>
      <c r="P2" s="294"/>
      <c r="Q2" s="294"/>
      <c r="R2" s="294"/>
      <c r="S2" s="4"/>
    </row>
    <row r="3" spans="1:20" ht="7.5" customHeight="1">
      <c r="A3" s="35"/>
      <c r="B3" s="35"/>
      <c r="C3" s="35"/>
      <c r="D3" s="35"/>
      <c r="E3" s="35"/>
      <c r="F3" s="35"/>
      <c r="G3" s="35"/>
      <c r="H3" s="35"/>
      <c r="I3" s="35"/>
      <c r="J3" s="35"/>
      <c r="K3" s="35"/>
      <c r="L3" s="35"/>
      <c r="M3" s="35"/>
      <c r="N3" s="35"/>
      <c r="O3" s="35"/>
      <c r="P3" s="35"/>
      <c r="Q3" s="35"/>
      <c r="R3" s="35"/>
    </row>
    <row r="4" spans="1:20" ht="18" customHeight="1">
      <c r="A4" s="4" t="s">
        <v>146</v>
      </c>
      <c r="B4" s="4"/>
      <c r="C4" s="295" t="str">
        <f>'様式１　大学等概要'!E12</f>
        <v>令和２</v>
      </c>
      <c r="D4" s="296"/>
      <c r="E4" s="35" t="s">
        <v>112</v>
      </c>
      <c r="F4" s="35"/>
      <c r="G4" s="35"/>
      <c r="H4" s="35"/>
      <c r="I4" s="35"/>
      <c r="J4" s="81"/>
      <c r="K4" s="35"/>
      <c r="L4" s="35"/>
      <c r="M4" s="111"/>
      <c r="N4" s="111"/>
      <c r="O4" s="111"/>
      <c r="P4" s="111"/>
      <c r="Q4" s="111"/>
      <c r="R4" s="111"/>
    </row>
    <row r="5" spans="1:20" ht="6" customHeight="1">
      <c r="A5" s="35"/>
      <c r="B5" s="35"/>
      <c r="C5" s="35"/>
      <c r="D5" s="35"/>
      <c r="E5" s="35"/>
      <c r="F5" s="35"/>
      <c r="G5" s="35"/>
      <c r="H5" s="35"/>
      <c r="I5" s="35"/>
      <c r="J5" s="35"/>
      <c r="K5" s="35"/>
      <c r="L5" s="35"/>
      <c r="M5" s="35"/>
      <c r="N5" s="35"/>
      <c r="O5" s="35"/>
      <c r="P5" s="35"/>
      <c r="Q5" s="35"/>
      <c r="R5" s="35"/>
    </row>
    <row r="6" spans="1:20" ht="18" customHeight="1">
      <c r="A6" s="4" t="s">
        <v>144</v>
      </c>
      <c r="B6" s="35"/>
      <c r="C6" s="35"/>
      <c r="D6" s="35"/>
      <c r="E6" s="35"/>
      <c r="F6" s="35"/>
      <c r="G6" s="35"/>
      <c r="H6" s="35"/>
      <c r="I6" s="35"/>
      <c r="J6" s="35"/>
      <c r="K6" s="35"/>
      <c r="L6" s="35"/>
      <c r="M6" s="35"/>
      <c r="N6" s="35"/>
      <c r="O6" s="35"/>
      <c r="P6" s="35"/>
      <c r="Q6" s="35"/>
      <c r="R6" s="35"/>
    </row>
    <row r="7" spans="1:20" ht="6" customHeight="1">
      <c r="A7" s="4"/>
      <c r="B7" s="35"/>
      <c r="C7" s="35"/>
      <c r="D7" s="35"/>
      <c r="E7" s="35"/>
      <c r="F7" s="35"/>
      <c r="G7" s="35"/>
      <c r="H7" s="35"/>
      <c r="I7" s="35"/>
      <c r="J7" s="35"/>
      <c r="K7" s="35"/>
      <c r="L7" s="35"/>
      <c r="M7" s="35"/>
      <c r="N7" s="35"/>
      <c r="O7" s="35"/>
      <c r="P7" s="35"/>
      <c r="Q7" s="35"/>
      <c r="R7" s="35"/>
    </row>
    <row r="8" spans="1:20" ht="18" customHeight="1">
      <c r="B8" s="297" t="s">
        <v>78</v>
      </c>
      <c r="C8" s="299" t="s">
        <v>83</v>
      </c>
      <c r="D8" s="301" t="s">
        <v>68</v>
      </c>
      <c r="E8" s="303" t="s">
        <v>89</v>
      </c>
      <c r="F8" s="303"/>
      <c r="G8" s="303" t="s">
        <v>90</v>
      </c>
      <c r="H8" s="303"/>
      <c r="I8" s="303" t="s">
        <v>91</v>
      </c>
      <c r="J8" s="303"/>
      <c r="K8" s="304" t="s">
        <v>92</v>
      </c>
      <c r="L8" s="305"/>
      <c r="M8" s="304" t="s">
        <v>93</v>
      </c>
      <c r="N8" s="305"/>
      <c r="O8" s="304" t="s">
        <v>94</v>
      </c>
      <c r="P8" s="305"/>
      <c r="Q8" s="306" t="s">
        <v>62</v>
      </c>
      <c r="R8" s="308" t="s">
        <v>56</v>
      </c>
      <c r="T8" s="31"/>
    </row>
    <row r="9" spans="1:20" ht="18" customHeight="1">
      <c r="A9" s="4"/>
      <c r="B9" s="298"/>
      <c r="C9" s="300"/>
      <c r="D9" s="302"/>
      <c r="E9" s="40" t="s">
        <v>44</v>
      </c>
      <c r="F9" s="41" t="s">
        <v>43</v>
      </c>
      <c r="G9" s="42" t="s">
        <v>44</v>
      </c>
      <c r="H9" s="43" t="s">
        <v>43</v>
      </c>
      <c r="I9" s="40" t="s">
        <v>44</v>
      </c>
      <c r="J9" s="41" t="s">
        <v>43</v>
      </c>
      <c r="K9" s="42" t="s">
        <v>44</v>
      </c>
      <c r="L9" s="43" t="s">
        <v>43</v>
      </c>
      <c r="M9" s="40" t="s">
        <v>44</v>
      </c>
      <c r="N9" s="41" t="s">
        <v>43</v>
      </c>
      <c r="O9" s="42" t="s">
        <v>44</v>
      </c>
      <c r="P9" s="43" t="s">
        <v>43</v>
      </c>
      <c r="Q9" s="307"/>
      <c r="R9" s="309"/>
      <c r="T9" s="31"/>
    </row>
    <row r="10" spans="1:20" ht="18" customHeight="1">
      <c r="A10" s="44"/>
      <c r="B10" s="82" t="s">
        <v>163</v>
      </c>
      <c r="C10" s="44">
        <v>120</v>
      </c>
      <c r="D10" s="45">
        <v>490</v>
      </c>
      <c r="E10" s="46">
        <v>125</v>
      </c>
      <c r="F10" s="121">
        <v>110</v>
      </c>
      <c r="G10" s="48">
        <v>26</v>
      </c>
      <c r="H10" s="49">
        <v>25</v>
      </c>
      <c r="I10" s="46">
        <v>0</v>
      </c>
      <c r="J10" s="47">
        <v>0</v>
      </c>
      <c r="K10" s="48">
        <v>0</v>
      </c>
      <c r="L10" s="49">
        <v>0</v>
      </c>
      <c r="M10" s="46">
        <v>0</v>
      </c>
      <c r="N10" s="47">
        <v>0</v>
      </c>
      <c r="O10" s="48">
        <v>0</v>
      </c>
      <c r="P10" s="49">
        <v>0</v>
      </c>
      <c r="Q10" s="50">
        <f>E10+G10+I10+K10+M10+O10</f>
        <v>151</v>
      </c>
      <c r="R10" s="51">
        <f>Q10/D10</f>
        <v>0.30816326530612242</v>
      </c>
    </row>
    <row r="11" spans="1:20" ht="18" customHeight="1">
      <c r="A11" s="44"/>
      <c r="B11" s="83" t="s">
        <v>164</v>
      </c>
      <c r="C11" s="60">
        <v>90</v>
      </c>
      <c r="D11" s="53">
        <v>370</v>
      </c>
      <c r="E11" s="54">
        <v>30</v>
      </c>
      <c r="F11" s="55">
        <v>30</v>
      </c>
      <c r="G11" s="56">
        <v>0</v>
      </c>
      <c r="H11" s="57">
        <v>0</v>
      </c>
      <c r="I11" s="54">
        <v>0</v>
      </c>
      <c r="J11" s="55">
        <v>0</v>
      </c>
      <c r="K11" s="56">
        <v>0</v>
      </c>
      <c r="L11" s="57">
        <v>0</v>
      </c>
      <c r="M11" s="54">
        <v>0</v>
      </c>
      <c r="N11" s="55">
        <v>0</v>
      </c>
      <c r="O11" s="56">
        <v>0</v>
      </c>
      <c r="P11" s="57">
        <v>0</v>
      </c>
      <c r="Q11" s="58">
        <f t="shared" ref="Q11:Q29" si="0">E11+G11+I11+K11+M11+O11</f>
        <v>30</v>
      </c>
      <c r="R11" s="59">
        <f t="shared" ref="R11:R29" si="1">Q11/D11</f>
        <v>8.1081081081081086E-2</v>
      </c>
    </row>
    <row r="12" spans="1:20" ht="18" customHeight="1">
      <c r="A12" s="44"/>
      <c r="B12" s="83"/>
      <c r="C12" s="60"/>
      <c r="D12" s="53"/>
      <c r="E12" s="54"/>
      <c r="F12" s="55"/>
      <c r="G12" s="56"/>
      <c r="H12" s="57"/>
      <c r="I12" s="54"/>
      <c r="J12" s="55"/>
      <c r="K12" s="56"/>
      <c r="L12" s="57"/>
      <c r="M12" s="54"/>
      <c r="N12" s="55"/>
      <c r="O12" s="56"/>
      <c r="P12" s="57"/>
      <c r="Q12" s="58">
        <f t="shared" si="0"/>
        <v>0</v>
      </c>
      <c r="R12" s="59" t="e">
        <f t="shared" si="1"/>
        <v>#DIV/0!</v>
      </c>
    </row>
    <row r="13" spans="1:20" ht="18" customHeight="1">
      <c r="A13" s="44"/>
      <c r="B13" s="83"/>
      <c r="C13" s="60"/>
      <c r="D13" s="53"/>
      <c r="E13" s="54"/>
      <c r="F13" s="55"/>
      <c r="G13" s="56"/>
      <c r="H13" s="57"/>
      <c r="I13" s="54"/>
      <c r="J13" s="55"/>
      <c r="K13" s="56"/>
      <c r="L13" s="57"/>
      <c r="M13" s="54"/>
      <c r="N13" s="55"/>
      <c r="O13" s="56"/>
      <c r="P13" s="57"/>
      <c r="Q13" s="58">
        <f t="shared" si="0"/>
        <v>0</v>
      </c>
      <c r="R13" s="59" t="e">
        <f t="shared" si="1"/>
        <v>#DIV/0!</v>
      </c>
    </row>
    <row r="14" spans="1:20" ht="18" customHeight="1">
      <c r="A14" s="44"/>
      <c r="B14" s="83"/>
      <c r="C14" s="60"/>
      <c r="D14" s="53"/>
      <c r="E14" s="54"/>
      <c r="F14" s="55"/>
      <c r="G14" s="56"/>
      <c r="H14" s="57"/>
      <c r="I14" s="54"/>
      <c r="J14" s="55"/>
      <c r="K14" s="56"/>
      <c r="L14" s="57"/>
      <c r="M14" s="54"/>
      <c r="N14" s="55"/>
      <c r="O14" s="56"/>
      <c r="P14" s="57"/>
      <c r="Q14" s="58">
        <f t="shared" si="0"/>
        <v>0</v>
      </c>
      <c r="R14" s="59" t="e">
        <f t="shared" si="1"/>
        <v>#DIV/0!</v>
      </c>
    </row>
    <row r="15" spans="1:20" ht="18" customHeight="1">
      <c r="A15" s="44"/>
      <c r="B15" s="83"/>
      <c r="C15" s="60"/>
      <c r="D15" s="53"/>
      <c r="E15" s="54"/>
      <c r="F15" s="55"/>
      <c r="G15" s="56"/>
      <c r="H15" s="57"/>
      <c r="I15" s="54"/>
      <c r="J15" s="55"/>
      <c r="K15" s="56"/>
      <c r="L15" s="57"/>
      <c r="M15" s="54"/>
      <c r="N15" s="55"/>
      <c r="O15" s="56"/>
      <c r="P15" s="57"/>
      <c r="Q15" s="58">
        <f t="shared" si="0"/>
        <v>0</v>
      </c>
      <c r="R15" s="59" t="e">
        <f t="shared" si="1"/>
        <v>#DIV/0!</v>
      </c>
    </row>
    <row r="16" spans="1:20" ht="18" customHeight="1">
      <c r="A16" s="44"/>
      <c r="B16" s="83"/>
      <c r="C16" s="60"/>
      <c r="D16" s="53"/>
      <c r="E16" s="54"/>
      <c r="F16" s="55"/>
      <c r="G16" s="56"/>
      <c r="H16" s="57"/>
      <c r="I16" s="54"/>
      <c r="J16" s="55"/>
      <c r="K16" s="56"/>
      <c r="L16" s="57"/>
      <c r="M16" s="54"/>
      <c r="N16" s="55"/>
      <c r="O16" s="56"/>
      <c r="P16" s="57"/>
      <c r="Q16" s="58">
        <f t="shared" si="0"/>
        <v>0</v>
      </c>
      <c r="R16" s="59" t="e">
        <f t="shared" si="1"/>
        <v>#DIV/0!</v>
      </c>
    </row>
    <row r="17" spans="1:18" ht="18" customHeight="1">
      <c r="A17" s="44"/>
      <c r="B17" s="83"/>
      <c r="C17" s="60"/>
      <c r="D17" s="53"/>
      <c r="E17" s="54"/>
      <c r="F17" s="55"/>
      <c r="G17" s="56"/>
      <c r="H17" s="57"/>
      <c r="I17" s="54"/>
      <c r="J17" s="55"/>
      <c r="K17" s="56"/>
      <c r="L17" s="57"/>
      <c r="M17" s="54"/>
      <c r="N17" s="55"/>
      <c r="O17" s="56"/>
      <c r="P17" s="57"/>
      <c r="Q17" s="58">
        <f t="shared" si="0"/>
        <v>0</v>
      </c>
      <c r="R17" s="59" t="e">
        <f t="shared" si="1"/>
        <v>#DIV/0!</v>
      </c>
    </row>
    <row r="18" spans="1:18" ht="18" customHeight="1">
      <c r="A18" s="44"/>
      <c r="B18" s="83"/>
      <c r="C18" s="60"/>
      <c r="D18" s="53"/>
      <c r="E18" s="54"/>
      <c r="F18" s="55"/>
      <c r="G18" s="56"/>
      <c r="H18" s="57"/>
      <c r="I18" s="54"/>
      <c r="J18" s="55"/>
      <c r="K18" s="56"/>
      <c r="L18" s="57"/>
      <c r="M18" s="54"/>
      <c r="N18" s="55"/>
      <c r="O18" s="56"/>
      <c r="P18" s="57"/>
      <c r="Q18" s="58">
        <f>E18+G18+I18+K18+M18+O18</f>
        <v>0</v>
      </c>
      <c r="R18" s="59" t="e">
        <f t="shared" si="1"/>
        <v>#DIV/0!</v>
      </c>
    </row>
    <row r="19" spans="1:18" ht="18" customHeight="1">
      <c r="A19" s="44"/>
      <c r="B19" s="83"/>
      <c r="C19" s="60"/>
      <c r="D19" s="53"/>
      <c r="E19" s="54"/>
      <c r="F19" s="55"/>
      <c r="G19" s="56"/>
      <c r="H19" s="57"/>
      <c r="I19" s="54"/>
      <c r="J19" s="55"/>
      <c r="K19" s="56"/>
      <c r="L19" s="57"/>
      <c r="M19" s="54"/>
      <c r="N19" s="55"/>
      <c r="O19" s="56"/>
      <c r="P19" s="57"/>
      <c r="Q19" s="58">
        <f t="shared" si="0"/>
        <v>0</v>
      </c>
      <c r="R19" s="59" t="e">
        <f t="shared" si="1"/>
        <v>#DIV/0!</v>
      </c>
    </row>
    <row r="20" spans="1:18" ht="18" customHeight="1">
      <c r="A20" s="44"/>
      <c r="B20" s="83"/>
      <c r="C20" s="60"/>
      <c r="D20" s="53"/>
      <c r="E20" s="54"/>
      <c r="F20" s="55"/>
      <c r="G20" s="56"/>
      <c r="H20" s="57"/>
      <c r="I20" s="54"/>
      <c r="J20" s="55"/>
      <c r="K20" s="56"/>
      <c r="L20" s="57"/>
      <c r="M20" s="54"/>
      <c r="N20" s="55"/>
      <c r="O20" s="56"/>
      <c r="P20" s="57"/>
      <c r="Q20" s="58">
        <f t="shared" si="0"/>
        <v>0</v>
      </c>
      <c r="R20" s="59" t="e">
        <f t="shared" si="1"/>
        <v>#DIV/0!</v>
      </c>
    </row>
    <row r="21" spans="1:18" ht="18" customHeight="1">
      <c r="A21" s="44"/>
      <c r="B21" s="83"/>
      <c r="C21" s="60"/>
      <c r="D21" s="53"/>
      <c r="E21" s="54"/>
      <c r="F21" s="55"/>
      <c r="G21" s="56"/>
      <c r="H21" s="57"/>
      <c r="I21" s="54"/>
      <c r="J21" s="55"/>
      <c r="K21" s="56"/>
      <c r="L21" s="57"/>
      <c r="M21" s="54"/>
      <c r="N21" s="55"/>
      <c r="O21" s="56"/>
      <c r="P21" s="57"/>
      <c r="Q21" s="58">
        <f t="shared" si="0"/>
        <v>0</v>
      </c>
      <c r="R21" s="59" t="e">
        <f t="shared" si="1"/>
        <v>#DIV/0!</v>
      </c>
    </row>
    <row r="22" spans="1:18" ht="18" customHeight="1">
      <c r="A22" s="44"/>
      <c r="B22" s="83"/>
      <c r="C22" s="60"/>
      <c r="D22" s="53"/>
      <c r="E22" s="54"/>
      <c r="F22" s="55"/>
      <c r="G22" s="56"/>
      <c r="H22" s="57"/>
      <c r="I22" s="54"/>
      <c r="J22" s="55"/>
      <c r="K22" s="56"/>
      <c r="L22" s="57"/>
      <c r="M22" s="54"/>
      <c r="N22" s="55"/>
      <c r="O22" s="56"/>
      <c r="P22" s="57"/>
      <c r="Q22" s="58">
        <f t="shared" si="0"/>
        <v>0</v>
      </c>
      <c r="R22" s="59" t="e">
        <f t="shared" si="1"/>
        <v>#DIV/0!</v>
      </c>
    </row>
    <row r="23" spans="1:18" ht="18" customHeight="1">
      <c r="A23" s="44"/>
      <c r="B23" s="83"/>
      <c r="C23" s="60"/>
      <c r="D23" s="53"/>
      <c r="E23" s="54"/>
      <c r="F23" s="55"/>
      <c r="G23" s="56"/>
      <c r="H23" s="57"/>
      <c r="I23" s="54"/>
      <c r="J23" s="55"/>
      <c r="K23" s="56"/>
      <c r="L23" s="57"/>
      <c r="M23" s="54"/>
      <c r="N23" s="55"/>
      <c r="O23" s="56"/>
      <c r="P23" s="57"/>
      <c r="Q23" s="58">
        <f t="shared" si="0"/>
        <v>0</v>
      </c>
      <c r="R23" s="59" t="e">
        <f t="shared" si="1"/>
        <v>#DIV/0!</v>
      </c>
    </row>
    <row r="24" spans="1:18" ht="18" customHeight="1">
      <c r="A24" s="44"/>
      <c r="B24" s="83"/>
      <c r="C24" s="60"/>
      <c r="D24" s="53"/>
      <c r="E24" s="54"/>
      <c r="F24" s="55"/>
      <c r="G24" s="56"/>
      <c r="H24" s="57"/>
      <c r="I24" s="54"/>
      <c r="J24" s="55"/>
      <c r="K24" s="56"/>
      <c r="L24" s="57"/>
      <c r="M24" s="54"/>
      <c r="N24" s="55"/>
      <c r="O24" s="56"/>
      <c r="P24" s="57"/>
      <c r="Q24" s="58">
        <f t="shared" si="0"/>
        <v>0</v>
      </c>
      <c r="R24" s="59" t="e">
        <f t="shared" si="1"/>
        <v>#DIV/0!</v>
      </c>
    </row>
    <row r="25" spans="1:18" ht="18" customHeight="1">
      <c r="A25" s="44"/>
      <c r="B25" s="83"/>
      <c r="C25" s="60"/>
      <c r="D25" s="53"/>
      <c r="E25" s="54"/>
      <c r="F25" s="55"/>
      <c r="G25" s="56"/>
      <c r="H25" s="57"/>
      <c r="I25" s="54"/>
      <c r="J25" s="55"/>
      <c r="K25" s="56"/>
      <c r="L25" s="57"/>
      <c r="M25" s="54"/>
      <c r="N25" s="55"/>
      <c r="O25" s="56"/>
      <c r="P25" s="57"/>
      <c r="Q25" s="58">
        <f t="shared" si="0"/>
        <v>0</v>
      </c>
      <c r="R25" s="59" t="e">
        <f t="shared" si="1"/>
        <v>#DIV/0!</v>
      </c>
    </row>
    <row r="26" spans="1:18" ht="18" customHeight="1">
      <c r="A26" s="44"/>
      <c r="B26" s="83"/>
      <c r="C26" s="60"/>
      <c r="D26" s="53"/>
      <c r="E26" s="54"/>
      <c r="F26" s="55"/>
      <c r="G26" s="56"/>
      <c r="H26" s="57"/>
      <c r="I26" s="54"/>
      <c r="J26" s="55"/>
      <c r="K26" s="56"/>
      <c r="L26" s="57"/>
      <c r="M26" s="54"/>
      <c r="N26" s="55"/>
      <c r="O26" s="56"/>
      <c r="P26" s="57"/>
      <c r="Q26" s="58">
        <f t="shared" si="0"/>
        <v>0</v>
      </c>
      <c r="R26" s="59" t="e">
        <f t="shared" si="1"/>
        <v>#DIV/0!</v>
      </c>
    </row>
    <row r="27" spans="1:18" ht="18" customHeight="1">
      <c r="A27" s="44"/>
      <c r="B27" s="83"/>
      <c r="C27" s="52"/>
      <c r="D27" s="53"/>
      <c r="E27" s="54"/>
      <c r="F27" s="55"/>
      <c r="G27" s="56"/>
      <c r="H27" s="57"/>
      <c r="I27" s="54"/>
      <c r="J27" s="55"/>
      <c r="K27" s="56"/>
      <c r="L27" s="57"/>
      <c r="M27" s="54"/>
      <c r="N27" s="55"/>
      <c r="O27" s="56"/>
      <c r="P27" s="57"/>
      <c r="Q27" s="58">
        <f t="shared" si="0"/>
        <v>0</v>
      </c>
      <c r="R27" s="59" t="e">
        <f t="shared" si="1"/>
        <v>#DIV/0!</v>
      </c>
    </row>
    <row r="28" spans="1:18" ht="18" customHeight="1">
      <c r="A28" s="44"/>
      <c r="B28" s="83"/>
      <c r="C28" s="52"/>
      <c r="D28" s="53"/>
      <c r="E28" s="54"/>
      <c r="F28" s="55"/>
      <c r="G28" s="56"/>
      <c r="H28" s="57"/>
      <c r="I28" s="54"/>
      <c r="J28" s="55"/>
      <c r="K28" s="56"/>
      <c r="L28" s="57"/>
      <c r="M28" s="54"/>
      <c r="N28" s="55"/>
      <c r="O28" s="56"/>
      <c r="P28" s="57"/>
      <c r="Q28" s="58">
        <f t="shared" si="0"/>
        <v>0</v>
      </c>
      <c r="R28" s="59" t="e">
        <f t="shared" si="1"/>
        <v>#DIV/0!</v>
      </c>
    </row>
    <row r="29" spans="1:18" ht="18" customHeight="1" thickBot="1">
      <c r="A29" s="44"/>
      <c r="B29" s="84"/>
      <c r="C29" s="85"/>
      <c r="D29" s="45"/>
      <c r="E29" s="46"/>
      <c r="F29" s="47"/>
      <c r="G29" s="48"/>
      <c r="H29" s="49"/>
      <c r="I29" s="46"/>
      <c r="J29" s="47"/>
      <c r="K29" s="48"/>
      <c r="L29" s="49"/>
      <c r="M29" s="46"/>
      <c r="N29" s="47"/>
      <c r="O29" s="48"/>
      <c r="P29" s="49"/>
      <c r="Q29" s="61">
        <f t="shared" si="0"/>
        <v>0</v>
      </c>
      <c r="R29" s="51" t="e">
        <f t="shared" si="1"/>
        <v>#DIV/0!</v>
      </c>
    </row>
    <row r="30" spans="1:18" ht="18" customHeight="1" thickTop="1">
      <c r="B30" s="86" t="s">
        <v>57</v>
      </c>
      <c r="C30" s="87">
        <f t="shared" ref="C30:Q30" si="2">SUM(C10:C29)</f>
        <v>210</v>
      </c>
      <c r="D30" s="62">
        <f t="shared" si="2"/>
        <v>860</v>
      </c>
      <c r="E30" s="63">
        <f t="shared" si="2"/>
        <v>155</v>
      </c>
      <c r="F30" s="64">
        <f t="shared" si="2"/>
        <v>140</v>
      </c>
      <c r="G30" s="65">
        <f t="shared" si="2"/>
        <v>26</v>
      </c>
      <c r="H30" s="66">
        <f t="shared" si="2"/>
        <v>25</v>
      </c>
      <c r="I30" s="63">
        <f t="shared" si="2"/>
        <v>0</v>
      </c>
      <c r="J30" s="64">
        <f t="shared" si="2"/>
        <v>0</v>
      </c>
      <c r="K30" s="65">
        <f t="shared" si="2"/>
        <v>0</v>
      </c>
      <c r="L30" s="66">
        <f t="shared" si="2"/>
        <v>0</v>
      </c>
      <c r="M30" s="63">
        <f t="shared" si="2"/>
        <v>0</v>
      </c>
      <c r="N30" s="64">
        <f t="shared" si="2"/>
        <v>0</v>
      </c>
      <c r="O30" s="65">
        <f t="shared" si="2"/>
        <v>0</v>
      </c>
      <c r="P30" s="66">
        <f t="shared" si="2"/>
        <v>0</v>
      </c>
      <c r="Q30" s="67">
        <f t="shared" si="2"/>
        <v>181</v>
      </c>
      <c r="R30" s="68">
        <f>Q30/D30</f>
        <v>0.21046511627906977</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4"/>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dimension ref="A1:L144"/>
  <sheetViews>
    <sheetView showZeros="0" view="pageBreakPreview" zoomScaleNormal="100" zoomScaleSheetLayoutView="100" workbookViewId="0"/>
  </sheetViews>
  <sheetFormatPr defaultColWidth="11.375" defaultRowHeight="18.75" customHeight="1"/>
  <cols>
    <col min="1" max="1" width="2.625" style="2" customWidth="1"/>
    <col min="2" max="2" width="16.625" style="1" customWidth="1"/>
    <col min="3" max="3" width="8.875" style="1" customWidth="1"/>
    <col min="4" max="4" width="2.125" style="1" customWidth="1"/>
    <col min="5" max="5" width="16.625" style="1" customWidth="1"/>
    <col min="6" max="6" width="8.875" style="1" customWidth="1"/>
    <col min="7" max="7" width="2.125" style="1" customWidth="1"/>
    <col min="8" max="8" width="16.625" style="1" customWidth="1"/>
    <col min="9" max="9" width="8.875" style="1" customWidth="1"/>
    <col min="10" max="10" width="2.125" style="1" customWidth="1"/>
    <col min="11" max="11" width="11.375" style="28"/>
    <col min="12" max="16384" width="11.375" style="1"/>
  </cols>
  <sheetData>
    <row r="1" spans="1:12" ht="18.75" customHeight="1">
      <c r="A1" s="2" t="s">
        <v>113</v>
      </c>
      <c r="J1" s="38" t="s">
        <v>114</v>
      </c>
    </row>
    <row r="2" spans="1:12" ht="18.75" customHeight="1">
      <c r="A2" s="294" t="s">
        <v>64</v>
      </c>
      <c r="B2" s="294"/>
      <c r="C2" s="294"/>
      <c r="D2" s="294"/>
      <c r="E2" s="294"/>
      <c r="F2" s="294"/>
      <c r="G2" s="294"/>
      <c r="H2" s="294"/>
      <c r="I2" s="294"/>
      <c r="J2" s="294"/>
    </row>
    <row r="3" spans="1:12" ht="7.5" customHeight="1">
      <c r="B3" s="35"/>
      <c r="C3" s="35"/>
      <c r="D3" s="35"/>
      <c r="E3" s="35"/>
      <c r="F3" s="35"/>
      <c r="G3" s="35"/>
      <c r="H3" s="35"/>
      <c r="I3" s="35"/>
      <c r="J3" s="35"/>
    </row>
    <row r="4" spans="1:12" ht="18.75" customHeight="1">
      <c r="A4" s="1" t="s">
        <v>6</v>
      </c>
      <c r="B4" s="4" t="s">
        <v>172</v>
      </c>
      <c r="C4" s="4"/>
      <c r="D4" s="4"/>
      <c r="E4" s="4"/>
      <c r="F4" s="4"/>
      <c r="G4" s="4"/>
      <c r="H4" s="4"/>
      <c r="I4" s="35"/>
      <c r="J4" s="35"/>
    </row>
    <row r="5" spans="1:12" ht="18.75" customHeight="1">
      <c r="A5" s="1"/>
      <c r="B5" s="147" t="s">
        <v>222</v>
      </c>
      <c r="C5" s="319"/>
      <c r="D5" s="319"/>
      <c r="E5" s="319"/>
      <c r="F5" s="319"/>
      <c r="G5" s="319"/>
      <c r="H5" s="319"/>
      <c r="I5" s="319"/>
      <c r="J5" s="320"/>
      <c r="K5" s="28" t="str">
        <f>IF(B5="","入力してください","")</f>
        <v/>
      </c>
    </row>
    <row r="6" spans="1:12" ht="7.5" customHeight="1">
      <c r="B6" s="35"/>
      <c r="C6" s="35"/>
      <c r="D6" s="35"/>
      <c r="E6" s="35"/>
      <c r="F6" s="35"/>
      <c r="G6" s="35"/>
      <c r="H6" s="35"/>
      <c r="I6" s="35"/>
      <c r="J6" s="35"/>
    </row>
    <row r="7" spans="1:12" s="4" customFormat="1" ht="18.75" customHeight="1">
      <c r="A7" s="1" t="s">
        <v>9</v>
      </c>
      <c r="B7" s="1" t="s">
        <v>39</v>
      </c>
      <c r="C7" s="1"/>
      <c r="D7" s="1"/>
      <c r="E7" s="1"/>
      <c r="F7" s="1"/>
      <c r="G7" s="1"/>
      <c r="H7" s="1"/>
      <c r="I7" s="1"/>
      <c r="J7" s="1"/>
      <c r="K7" s="32"/>
    </row>
    <row r="8" spans="1:12" s="4" customFormat="1" ht="18.75" customHeight="1">
      <c r="A8" s="88"/>
      <c r="B8" s="321" t="s">
        <v>216</v>
      </c>
      <c r="C8" s="322"/>
      <c r="D8" s="322"/>
      <c r="E8" s="322"/>
      <c r="F8" s="322"/>
      <c r="G8" s="322"/>
      <c r="H8" s="322"/>
      <c r="I8" s="323"/>
      <c r="J8" s="324"/>
      <c r="K8" s="28" t="str">
        <f>IF(B8="","入力してください","")</f>
        <v/>
      </c>
    </row>
    <row r="9" spans="1:12" s="4" customFormat="1" ht="18.75" customHeight="1">
      <c r="A9" s="88"/>
      <c r="B9" s="325"/>
      <c r="C9" s="326"/>
      <c r="D9" s="326"/>
      <c r="E9" s="326"/>
      <c r="F9" s="326"/>
      <c r="G9" s="326"/>
      <c r="H9" s="326"/>
      <c r="I9" s="326"/>
      <c r="J9" s="327"/>
      <c r="K9" s="28"/>
    </row>
    <row r="10" spans="1:12" s="4" customFormat="1" ht="18.75" customHeight="1">
      <c r="A10" s="88"/>
      <c r="B10" s="325"/>
      <c r="C10" s="326"/>
      <c r="D10" s="326"/>
      <c r="E10" s="326"/>
      <c r="F10" s="326"/>
      <c r="G10" s="326"/>
      <c r="H10" s="326"/>
      <c r="I10" s="326"/>
      <c r="J10" s="327"/>
      <c r="K10" s="28"/>
    </row>
    <row r="11" spans="1:12" s="4" customFormat="1" ht="18.75" customHeight="1">
      <c r="A11" s="88"/>
      <c r="B11" s="325"/>
      <c r="C11" s="326"/>
      <c r="D11" s="326"/>
      <c r="E11" s="326"/>
      <c r="F11" s="326"/>
      <c r="G11" s="326"/>
      <c r="H11" s="326"/>
      <c r="I11" s="326"/>
      <c r="J11" s="327"/>
      <c r="K11" s="28"/>
    </row>
    <row r="12" spans="1:12" s="4" customFormat="1" ht="18.75" customHeight="1">
      <c r="A12" s="88"/>
      <c r="B12" s="328"/>
      <c r="C12" s="329"/>
      <c r="D12" s="329"/>
      <c r="E12" s="329"/>
      <c r="F12" s="329"/>
      <c r="G12" s="329"/>
      <c r="H12" s="329"/>
      <c r="I12" s="329"/>
      <c r="J12" s="330"/>
      <c r="K12" s="28"/>
    </row>
    <row r="13" spans="1:12" s="4" customFormat="1" ht="7.5" customHeight="1">
      <c r="A13" s="88"/>
      <c r="B13" s="88"/>
      <c r="C13" s="88"/>
      <c r="D13" s="88"/>
      <c r="E13" s="88"/>
      <c r="F13" s="88"/>
      <c r="G13" s="88"/>
      <c r="H13" s="88"/>
      <c r="I13" s="88"/>
      <c r="J13" s="88"/>
      <c r="K13" s="28"/>
    </row>
    <row r="14" spans="1:12" s="4" customFormat="1" ht="18.75" customHeight="1">
      <c r="A14" s="89" t="s">
        <v>10</v>
      </c>
      <c r="B14" s="89" t="s">
        <v>15</v>
      </c>
      <c r="C14" s="89"/>
      <c r="D14" s="89"/>
      <c r="E14" s="89"/>
      <c r="F14" s="89"/>
      <c r="G14" s="89"/>
      <c r="H14" s="89"/>
      <c r="I14" s="89"/>
      <c r="J14" s="89"/>
      <c r="K14" s="28"/>
    </row>
    <row r="15" spans="1:12" s="4" customFormat="1" ht="18.75" customHeight="1">
      <c r="A15" s="88"/>
      <c r="B15" s="321" t="s">
        <v>221</v>
      </c>
      <c r="C15" s="331"/>
      <c r="D15" s="331"/>
      <c r="E15" s="331"/>
      <c r="F15" s="331"/>
      <c r="G15" s="331"/>
      <c r="H15" s="331"/>
      <c r="I15" s="332"/>
      <c r="J15" s="333"/>
      <c r="K15" s="28" t="str">
        <f>IF(B15="","入力してください","")</f>
        <v/>
      </c>
      <c r="L15" s="134"/>
    </row>
    <row r="16" spans="1:12" s="4" customFormat="1" ht="18.75" customHeight="1">
      <c r="A16" s="88"/>
      <c r="B16" s="334"/>
      <c r="C16" s="335"/>
      <c r="D16" s="335"/>
      <c r="E16" s="335"/>
      <c r="F16" s="335"/>
      <c r="G16" s="335"/>
      <c r="H16" s="335"/>
      <c r="I16" s="335"/>
      <c r="J16" s="336"/>
      <c r="K16" s="28"/>
      <c r="L16" s="133"/>
    </row>
    <row r="17" spans="1:11" s="4" customFormat="1" ht="18.75" customHeight="1">
      <c r="A17" s="88"/>
      <c r="B17" s="334"/>
      <c r="C17" s="335"/>
      <c r="D17" s="335"/>
      <c r="E17" s="335"/>
      <c r="F17" s="335"/>
      <c r="G17" s="335"/>
      <c r="H17" s="335"/>
      <c r="I17" s="335"/>
      <c r="J17" s="336"/>
      <c r="K17" s="28"/>
    </row>
    <row r="18" spans="1:11" s="4" customFormat="1" ht="18.75" customHeight="1">
      <c r="A18" s="88"/>
      <c r="B18" s="334"/>
      <c r="C18" s="335"/>
      <c r="D18" s="335"/>
      <c r="E18" s="335"/>
      <c r="F18" s="335"/>
      <c r="G18" s="335"/>
      <c r="H18" s="335"/>
      <c r="I18" s="335"/>
      <c r="J18" s="336"/>
      <c r="K18" s="28"/>
    </row>
    <row r="19" spans="1:11" s="4" customFormat="1" ht="18.75" customHeight="1">
      <c r="A19" s="88"/>
      <c r="B19" s="334"/>
      <c r="C19" s="335"/>
      <c r="D19" s="335"/>
      <c r="E19" s="335"/>
      <c r="F19" s="335"/>
      <c r="G19" s="335"/>
      <c r="H19" s="335"/>
      <c r="I19" s="335"/>
      <c r="J19" s="336"/>
      <c r="K19" s="28"/>
    </row>
    <row r="20" spans="1:11" s="4" customFormat="1" ht="18.75" customHeight="1">
      <c r="A20" s="88"/>
      <c r="B20" s="334"/>
      <c r="C20" s="335"/>
      <c r="D20" s="335"/>
      <c r="E20" s="335"/>
      <c r="F20" s="335"/>
      <c r="G20" s="335"/>
      <c r="H20" s="335"/>
      <c r="I20" s="335"/>
      <c r="J20" s="336"/>
      <c r="K20" s="28"/>
    </row>
    <row r="21" spans="1:11" s="4" customFormat="1" ht="18.75" customHeight="1">
      <c r="A21" s="88"/>
      <c r="B21" s="334"/>
      <c r="C21" s="335"/>
      <c r="D21" s="335"/>
      <c r="E21" s="335"/>
      <c r="F21" s="335"/>
      <c r="G21" s="335"/>
      <c r="H21" s="335"/>
      <c r="I21" s="335"/>
      <c r="J21" s="336"/>
      <c r="K21" s="28"/>
    </row>
    <row r="22" spans="1:11" s="4" customFormat="1" ht="18.75" customHeight="1">
      <c r="A22" s="88"/>
      <c r="B22" s="334"/>
      <c r="C22" s="335"/>
      <c r="D22" s="335"/>
      <c r="E22" s="335"/>
      <c r="F22" s="335"/>
      <c r="G22" s="335"/>
      <c r="H22" s="335"/>
      <c r="I22" s="335"/>
      <c r="J22" s="336"/>
      <c r="K22" s="28"/>
    </row>
    <row r="23" spans="1:11" s="4" customFormat="1" ht="18.75" customHeight="1">
      <c r="A23" s="88"/>
      <c r="B23" s="334"/>
      <c r="C23" s="335"/>
      <c r="D23" s="335"/>
      <c r="E23" s="335"/>
      <c r="F23" s="335"/>
      <c r="G23" s="335"/>
      <c r="H23" s="335"/>
      <c r="I23" s="335"/>
      <c r="J23" s="336"/>
      <c r="K23" s="28"/>
    </row>
    <row r="24" spans="1:11" s="4" customFormat="1" ht="18.75" customHeight="1">
      <c r="A24" s="88"/>
      <c r="B24" s="334"/>
      <c r="C24" s="335"/>
      <c r="D24" s="335"/>
      <c r="E24" s="335"/>
      <c r="F24" s="335"/>
      <c r="G24" s="335"/>
      <c r="H24" s="335"/>
      <c r="I24" s="335"/>
      <c r="J24" s="336"/>
      <c r="K24" s="28"/>
    </row>
    <row r="25" spans="1:11" s="4" customFormat="1" ht="18.75" customHeight="1">
      <c r="A25" s="88"/>
      <c r="B25" s="337"/>
      <c r="C25" s="338"/>
      <c r="D25" s="338"/>
      <c r="E25" s="338"/>
      <c r="F25" s="338"/>
      <c r="G25" s="338"/>
      <c r="H25" s="338"/>
      <c r="I25" s="338"/>
      <c r="J25" s="339"/>
      <c r="K25" s="28"/>
    </row>
    <row r="26" spans="1:11" ht="7.5" customHeight="1">
      <c r="A26" s="36"/>
      <c r="B26" s="36"/>
      <c r="C26" s="36"/>
      <c r="D26" s="36"/>
      <c r="E26" s="36"/>
      <c r="F26" s="36"/>
      <c r="G26" s="36"/>
      <c r="H26" s="36"/>
      <c r="I26" s="36"/>
      <c r="J26" s="36"/>
    </row>
    <row r="27" spans="1:11" s="4" customFormat="1" ht="18.75" customHeight="1">
      <c r="A27" s="1" t="s">
        <v>13</v>
      </c>
      <c r="B27" s="1" t="s">
        <v>26</v>
      </c>
      <c r="C27" s="1"/>
      <c r="D27" s="1"/>
      <c r="E27" s="1"/>
      <c r="F27" s="1"/>
      <c r="G27" s="1"/>
      <c r="H27" s="1"/>
      <c r="I27" s="1"/>
      <c r="J27" s="1"/>
      <c r="K27" s="28"/>
    </row>
    <row r="28" spans="1:11" s="26" customFormat="1" ht="18.75" customHeight="1">
      <c r="B28" s="90" t="s">
        <v>115</v>
      </c>
      <c r="C28" s="91">
        <f>'様式３　履修者等数の実績'!R30</f>
        <v>0.21046511627906977</v>
      </c>
      <c r="D28" s="92"/>
      <c r="E28" s="92" t="s">
        <v>116</v>
      </c>
      <c r="F28" s="91">
        <v>0.4</v>
      </c>
      <c r="G28" s="92"/>
      <c r="H28" s="92" t="s">
        <v>117</v>
      </c>
      <c r="I28" s="93">
        <v>0.65</v>
      </c>
      <c r="J28" s="94"/>
      <c r="K28" s="28"/>
    </row>
    <row r="29" spans="1:11" s="26" customFormat="1" ht="18.75" customHeight="1">
      <c r="B29" s="78" t="s">
        <v>118</v>
      </c>
      <c r="C29" s="95">
        <v>0.85</v>
      </c>
      <c r="D29" s="79"/>
      <c r="E29" s="79" t="s">
        <v>119</v>
      </c>
      <c r="F29" s="95">
        <v>0.9</v>
      </c>
      <c r="G29" s="79"/>
      <c r="H29" s="79" t="s">
        <v>120</v>
      </c>
      <c r="I29" s="96">
        <f>'様式３　履修者等数の実績'!D30</f>
        <v>860</v>
      </c>
      <c r="J29" s="97"/>
      <c r="K29" s="32"/>
    </row>
    <row r="30" spans="1:11" s="4" customFormat="1" ht="18.75" customHeight="1">
      <c r="A30" s="1"/>
      <c r="B30" s="186" t="s">
        <v>121</v>
      </c>
      <c r="C30" s="187"/>
      <c r="D30" s="187"/>
      <c r="E30" s="187"/>
      <c r="F30" s="187"/>
      <c r="G30" s="187"/>
      <c r="H30" s="187"/>
      <c r="I30" s="187"/>
      <c r="J30" s="188"/>
      <c r="K30" s="32"/>
    </row>
    <row r="31" spans="1:11" s="4" customFormat="1" ht="18.75" customHeight="1">
      <c r="A31" s="1"/>
      <c r="B31" s="310" t="s">
        <v>210</v>
      </c>
      <c r="C31" s="311"/>
      <c r="D31" s="311"/>
      <c r="E31" s="311"/>
      <c r="F31" s="311"/>
      <c r="G31" s="311"/>
      <c r="H31" s="311"/>
      <c r="I31" s="311"/>
      <c r="J31" s="312"/>
      <c r="K31" s="32" t="str">
        <f>IF(B31="","入力してください","")</f>
        <v/>
      </c>
    </row>
    <row r="32" spans="1:11" s="4" customFormat="1" ht="18.75" customHeight="1">
      <c r="A32" s="1"/>
      <c r="B32" s="313"/>
      <c r="C32" s="314"/>
      <c r="D32" s="314"/>
      <c r="E32" s="314"/>
      <c r="F32" s="314"/>
      <c r="G32" s="314"/>
      <c r="H32" s="314"/>
      <c r="I32" s="314"/>
      <c r="J32" s="315"/>
      <c r="K32" s="32"/>
    </row>
    <row r="33" spans="1:11" s="4" customFormat="1" ht="18.75" customHeight="1">
      <c r="A33" s="1"/>
      <c r="B33" s="313"/>
      <c r="C33" s="314"/>
      <c r="D33" s="314"/>
      <c r="E33" s="314"/>
      <c r="F33" s="314"/>
      <c r="G33" s="314"/>
      <c r="H33" s="314"/>
      <c r="I33" s="314"/>
      <c r="J33" s="315"/>
      <c r="K33" s="32"/>
    </row>
    <row r="34" spans="1:11" s="4" customFormat="1" ht="18.75" customHeight="1">
      <c r="A34" s="1"/>
      <c r="B34" s="313"/>
      <c r="C34" s="314"/>
      <c r="D34" s="314"/>
      <c r="E34" s="314"/>
      <c r="F34" s="314"/>
      <c r="G34" s="314"/>
      <c r="H34" s="314"/>
      <c r="I34" s="314"/>
      <c r="J34" s="315"/>
      <c r="K34" s="32"/>
    </row>
    <row r="35" spans="1:11" s="4" customFormat="1" ht="18.75" customHeight="1">
      <c r="A35" s="1"/>
      <c r="B35" s="313"/>
      <c r="C35" s="314"/>
      <c r="D35" s="314"/>
      <c r="E35" s="314"/>
      <c r="F35" s="314"/>
      <c r="G35" s="314"/>
      <c r="H35" s="314"/>
      <c r="I35" s="314"/>
      <c r="J35" s="315"/>
      <c r="K35" s="32"/>
    </row>
    <row r="36" spans="1:11" s="4" customFormat="1" ht="18.75" customHeight="1">
      <c r="A36" s="1"/>
      <c r="B36" s="313"/>
      <c r="C36" s="314"/>
      <c r="D36" s="314"/>
      <c r="E36" s="314"/>
      <c r="F36" s="314"/>
      <c r="G36" s="314"/>
      <c r="H36" s="314"/>
      <c r="I36" s="314"/>
      <c r="J36" s="315"/>
      <c r="K36" s="32"/>
    </row>
    <row r="37" spans="1:11" s="4" customFormat="1" ht="18.75" customHeight="1">
      <c r="A37" s="1"/>
      <c r="B37" s="313"/>
      <c r="C37" s="314"/>
      <c r="D37" s="314"/>
      <c r="E37" s="314"/>
      <c r="F37" s="314"/>
      <c r="G37" s="314"/>
      <c r="H37" s="314"/>
      <c r="I37" s="314"/>
      <c r="J37" s="315"/>
      <c r="K37" s="32"/>
    </row>
    <row r="38" spans="1:11" s="4" customFormat="1" ht="18.75" customHeight="1">
      <c r="A38" s="1"/>
      <c r="B38" s="313"/>
      <c r="C38" s="314"/>
      <c r="D38" s="314"/>
      <c r="E38" s="314"/>
      <c r="F38" s="314"/>
      <c r="G38" s="314"/>
      <c r="H38" s="314"/>
      <c r="I38" s="314"/>
      <c r="J38" s="315"/>
      <c r="K38" s="32"/>
    </row>
    <row r="39" spans="1:11" s="4" customFormat="1" ht="18.75" customHeight="1">
      <c r="A39" s="1"/>
      <c r="B39" s="313"/>
      <c r="C39" s="314"/>
      <c r="D39" s="314"/>
      <c r="E39" s="314"/>
      <c r="F39" s="314"/>
      <c r="G39" s="314"/>
      <c r="H39" s="314"/>
      <c r="I39" s="314"/>
      <c r="J39" s="315"/>
      <c r="K39" s="32"/>
    </row>
    <row r="40" spans="1:11" s="4" customFormat="1" ht="18.75" customHeight="1">
      <c r="A40" s="1"/>
      <c r="B40" s="313"/>
      <c r="C40" s="314"/>
      <c r="D40" s="314"/>
      <c r="E40" s="314"/>
      <c r="F40" s="314"/>
      <c r="G40" s="314"/>
      <c r="H40" s="314"/>
      <c r="I40" s="314"/>
      <c r="J40" s="315"/>
      <c r="K40" s="32"/>
    </row>
    <row r="41" spans="1:11" s="4" customFormat="1" ht="18.75" customHeight="1">
      <c r="A41" s="1"/>
      <c r="B41" s="313"/>
      <c r="C41" s="314"/>
      <c r="D41" s="314"/>
      <c r="E41" s="314"/>
      <c r="F41" s="314"/>
      <c r="G41" s="314"/>
      <c r="H41" s="314"/>
      <c r="I41" s="314"/>
      <c r="J41" s="315"/>
      <c r="K41" s="32"/>
    </row>
    <row r="42" spans="1:11" s="4" customFormat="1" ht="18.75" customHeight="1">
      <c r="A42" s="1"/>
      <c r="B42" s="313"/>
      <c r="C42" s="314"/>
      <c r="D42" s="314"/>
      <c r="E42" s="314"/>
      <c r="F42" s="314"/>
      <c r="G42" s="314"/>
      <c r="H42" s="314"/>
      <c r="I42" s="314"/>
      <c r="J42" s="315"/>
      <c r="K42" s="32"/>
    </row>
    <row r="43" spans="1:11" ht="18.75" customHeight="1">
      <c r="A43" s="36"/>
      <c r="B43" s="313"/>
      <c r="C43" s="314"/>
      <c r="D43" s="314"/>
      <c r="E43" s="314"/>
      <c r="F43" s="314"/>
      <c r="G43" s="314"/>
      <c r="H43" s="314"/>
      <c r="I43" s="314"/>
      <c r="J43" s="315"/>
      <c r="K43" s="32"/>
    </row>
    <row r="44" spans="1:11" ht="24" customHeight="1">
      <c r="A44" s="36"/>
      <c r="B44" s="316"/>
      <c r="C44" s="317"/>
      <c r="D44" s="317"/>
      <c r="E44" s="317"/>
      <c r="F44" s="317"/>
      <c r="G44" s="317"/>
      <c r="H44" s="317"/>
      <c r="I44" s="317"/>
      <c r="J44" s="318"/>
    </row>
    <row r="45" spans="1:11" s="4" customFormat="1" ht="18.75" customHeight="1">
      <c r="A45" s="98" t="s">
        <v>11</v>
      </c>
      <c r="B45" s="14" t="s">
        <v>65</v>
      </c>
      <c r="C45" s="1"/>
      <c r="D45" s="1"/>
      <c r="E45" s="1"/>
      <c r="F45" s="1"/>
      <c r="G45" s="1"/>
      <c r="H45" s="1"/>
      <c r="I45" s="98"/>
      <c r="J45" s="98"/>
      <c r="K45" s="28"/>
    </row>
    <row r="46" spans="1:11" ht="18.75" customHeight="1">
      <c r="A46" s="36"/>
      <c r="B46" s="340" t="s">
        <v>215</v>
      </c>
      <c r="C46" s="322"/>
      <c r="D46" s="322"/>
      <c r="E46" s="322"/>
      <c r="F46" s="322"/>
      <c r="G46" s="322"/>
      <c r="H46" s="322"/>
      <c r="I46" s="322"/>
      <c r="J46" s="341"/>
      <c r="K46" s="28" t="str">
        <f>IF(B46="","入力してください","")</f>
        <v/>
      </c>
    </row>
    <row r="47" spans="1:11" ht="18.75" customHeight="1">
      <c r="A47" s="36"/>
      <c r="B47" s="342"/>
      <c r="C47" s="343"/>
      <c r="D47" s="343"/>
      <c r="E47" s="343"/>
      <c r="F47" s="343"/>
      <c r="G47" s="343"/>
      <c r="H47" s="343"/>
      <c r="I47" s="343"/>
      <c r="J47" s="344"/>
    </row>
    <row r="48" spans="1:11" ht="18.75" customHeight="1">
      <c r="A48" s="36"/>
      <c r="B48" s="342"/>
      <c r="C48" s="343"/>
      <c r="D48" s="343"/>
      <c r="E48" s="343"/>
      <c r="F48" s="343"/>
      <c r="G48" s="343"/>
      <c r="H48" s="343"/>
      <c r="I48" s="343"/>
      <c r="J48" s="344"/>
    </row>
    <row r="49" spans="1:10" ht="18.75" customHeight="1">
      <c r="A49" s="36"/>
      <c r="B49" s="342"/>
      <c r="C49" s="343"/>
      <c r="D49" s="343"/>
      <c r="E49" s="343"/>
      <c r="F49" s="343"/>
      <c r="G49" s="343"/>
      <c r="H49" s="343"/>
      <c r="I49" s="343"/>
      <c r="J49" s="344"/>
    </row>
    <row r="50" spans="1:10" ht="18.75" customHeight="1">
      <c r="A50" s="36"/>
      <c r="B50" s="342"/>
      <c r="C50" s="343"/>
      <c r="D50" s="343"/>
      <c r="E50" s="343"/>
      <c r="F50" s="343"/>
      <c r="G50" s="343"/>
      <c r="H50" s="343"/>
      <c r="I50" s="343"/>
      <c r="J50" s="344"/>
    </row>
    <row r="51" spans="1:10" ht="18.75" customHeight="1">
      <c r="A51" s="36"/>
      <c r="B51" s="342"/>
      <c r="C51" s="343"/>
      <c r="D51" s="343"/>
      <c r="E51" s="343"/>
      <c r="F51" s="343"/>
      <c r="G51" s="343"/>
      <c r="H51" s="343"/>
      <c r="I51" s="343"/>
      <c r="J51" s="344"/>
    </row>
    <row r="52" spans="1:10" ht="18.75" customHeight="1">
      <c r="A52" s="36"/>
      <c r="B52" s="342"/>
      <c r="C52" s="343"/>
      <c r="D52" s="343"/>
      <c r="E52" s="343"/>
      <c r="F52" s="343"/>
      <c r="G52" s="343"/>
      <c r="H52" s="343"/>
      <c r="I52" s="343"/>
      <c r="J52" s="344"/>
    </row>
    <row r="53" spans="1:10" ht="18.75" customHeight="1">
      <c r="A53" s="36"/>
      <c r="B53" s="342"/>
      <c r="C53" s="343"/>
      <c r="D53" s="343"/>
      <c r="E53" s="343"/>
      <c r="F53" s="343"/>
      <c r="G53" s="343"/>
      <c r="H53" s="343"/>
      <c r="I53" s="343"/>
      <c r="J53" s="344"/>
    </row>
    <row r="54" spans="1:10" ht="18.75" customHeight="1">
      <c r="A54" s="36"/>
      <c r="B54" s="342"/>
      <c r="C54" s="343"/>
      <c r="D54" s="343"/>
      <c r="E54" s="343"/>
      <c r="F54" s="343"/>
      <c r="G54" s="343"/>
      <c r="H54" s="343"/>
      <c r="I54" s="343"/>
      <c r="J54" s="344"/>
    </row>
    <row r="55" spans="1:10" ht="18.75" customHeight="1">
      <c r="A55" s="36"/>
      <c r="B55" s="342"/>
      <c r="C55" s="343"/>
      <c r="D55" s="343"/>
      <c r="E55" s="343"/>
      <c r="F55" s="343"/>
      <c r="G55" s="343"/>
      <c r="H55" s="343"/>
      <c r="I55" s="343"/>
      <c r="J55" s="344"/>
    </row>
    <row r="56" spans="1:10" ht="18.75" customHeight="1">
      <c r="A56" s="36"/>
      <c r="B56" s="342"/>
      <c r="C56" s="343"/>
      <c r="D56" s="343"/>
      <c r="E56" s="343"/>
      <c r="F56" s="343"/>
      <c r="G56" s="343"/>
      <c r="H56" s="343"/>
      <c r="I56" s="343"/>
      <c r="J56" s="344"/>
    </row>
    <row r="57" spans="1:10" ht="18.75" customHeight="1">
      <c r="A57" s="36"/>
      <c r="B57" s="342"/>
      <c r="C57" s="343"/>
      <c r="D57" s="343"/>
      <c r="E57" s="343"/>
      <c r="F57" s="343"/>
      <c r="G57" s="343"/>
      <c r="H57" s="343"/>
      <c r="I57" s="343"/>
      <c r="J57" s="344"/>
    </row>
    <row r="58" spans="1:10" ht="18.75" customHeight="1">
      <c r="A58" s="36"/>
      <c r="B58" s="342"/>
      <c r="C58" s="343"/>
      <c r="D58" s="343"/>
      <c r="E58" s="343"/>
      <c r="F58" s="343"/>
      <c r="G58" s="343"/>
      <c r="H58" s="343"/>
      <c r="I58" s="343"/>
      <c r="J58" s="344"/>
    </row>
    <row r="59" spans="1:10" ht="18.75" customHeight="1">
      <c r="A59" s="36"/>
      <c r="B59" s="342"/>
      <c r="C59" s="343"/>
      <c r="D59" s="343"/>
      <c r="E59" s="343"/>
      <c r="F59" s="343"/>
      <c r="G59" s="343"/>
      <c r="H59" s="343"/>
      <c r="I59" s="343"/>
      <c r="J59" s="344"/>
    </row>
    <row r="60" spans="1:10" ht="18.75" customHeight="1">
      <c r="A60" s="36"/>
      <c r="B60" s="342"/>
      <c r="C60" s="343"/>
      <c r="D60" s="343"/>
      <c r="E60" s="343"/>
      <c r="F60" s="343"/>
      <c r="G60" s="343"/>
      <c r="H60" s="343"/>
      <c r="I60" s="343"/>
      <c r="J60" s="344"/>
    </row>
    <row r="61" spans="1:10" ht="18.75" customHeight="1">
      <c r="A61" s="36"/>
      <c r="B61" s="342"/>
      <c r="C61" s="343"/>
      <c r="D61" s="343"/>
      <c r="E61" s="343"/>
      <c r="F61" s="343"/>
      <c r="G61" s="343"/>
      <c r="H61" s="343"/>
      <c r="I61" s="343"/>
      <c r="J61" s="344"/>
    </row>
    <row r="62" spans="1:10" ht="18.75" customHeight="1">
      <c r="A62" s="36"/>
      <c r="B62" s="342"/>
      <c r="C62" s="343"/>
      <c r="D62" s="343"/>
      <c r="E62" s="343"/>
      <c r="F62" s="343"/>
      <c r="G62" s="343"/>
      <c r="H62" s="343"/>
      <c r="I62" s="343"/>
      <c r="J62" s="344"/>
    </row>
    <row r="63" spans="1:10" ht="18.75" customHeight="1">
      <c r="A63" s="36"/>
      <c r="B63" s="342"/>
      <c r="C63" s="343"/>
      <c r="D63" s="343"/>
      <c r="E63" s="343"/>
      <c r="F63" s="343"/>
      <c r="G63" s="343"/>
      <c r="H63" s="343"/>
      <c r="I63" s="343"/>
      <c r="J63" s="344"/>
    </row>
    <row r="64" spans="1:10" ht="18.75" customHeight="1">
      <c r="A64" s="36"/>
      <c r="B64" s="342"/>
      <c r="C64" s="343"/>
      <c r="D64" s="343"/>
      <c r="E64" s="343"/>
      <c r="F64" s="343"/>
      <c r="G64" s="343"/>
      <c r="H64" s="343"/>
      <c r="I64" s="343"/>
      <c r="J64" s="344"/>
    </row>
    <row r="65" spans="1:11" ht="18.75" customHeight="1">
      <c r="A65" s="36"/>
      <c r="B65" s="342"/>
      <c r="C65" s="343"/>
      <c r="D65" s="343"/>
      <c r="E65" s="343"/>
      <c r="F65" s="343"/>
      <c r="G65" s="343"/>
      <c r="H65" s="343"/>
      <c r="I65" s="343"/>
      <c r="J65" s="344"/>
    </row>
    <row r="66" spans="1:11" ht="18.75" customHeight="1">
      <c r="A66" s="36"/>
      <c r="B66" s="345"/>
      <c r="C66" s="346"/>
      <c r="D66" s="346"/>
      <c r="E66" s="346"/>
      <c r="F66" s="346"/>
      <c r="G66" s="346"/>
      <c r="H66" s="346"/>
      <c r="I66" s="346"/>
      <c r="J66" s="347"/>
    </row>
    <row r="67" spans="1:11" ht="7.5" customHeight="1">
      <c r="A67" s="36"/>
      <c r="B67" s="36"/>
      <c r="C67" s="36"/>
      <c r="D67" s="36"/>
      <c r="E67" s="36"/>
      <c r="F67" s="36"/>
      <c r="G67" s="36"/>
      <c r="H67" s="36"/>
      <c r="I67" s="36"/>
      <c r="J67" s="36"/>
    </row>
    <row r="68" spans="1:11" s="4" customFormat="1" ht="18.75" customHeight="1">
      <c r="A68" s="1" t="s">
        <v>14</v>
      </c>
      <c r="B68" s="1" t="s">
        <v>71</v>
      </c>
      <c r="C68" s="1"/>
      <c r="D68" s="1"/>
      <c r="E68" s="1"/>
      <c r="F68" s="1"/>
      <c r="G68" s="1"/>
      <c r="H68" s="1"/>
      <c r="I68" s="1"/>
      <c r="J68" s="1"/>
      <c r="K68" s="28"/>
    </row>
    <row r="69" spans="1:11" s="4" customFormat="1" ht="18.75" customHeight="1">
      <c r="A69" s="1"/>
      <c r="B69" s="348" t="s">
        <v>212</v>
      </c>
      <c r="C69" s="349"/>
      <c r="D69" s="349"/>
      <c r="E69" s="349"/>
      <c r="F69" s="349"/>
      <c r="G69" s="349"/>
      <c r="H69" s="349"/>
      <c r="I69" s="350"/>
      <c r="J69" s="351"/>
      <c r="K69" s="32" t="str">
        <f>IF(B69="","入力してください","")</f>
        <v/>
      </c>
    </row>
    <row r="70" spans="1:11" s="4" customFormat="1" ht="18.75" customHeight="1">
      <c r="A70" s="1"/>
      <c r="B70" s="352"/>
      <c r="C70" s="353"/>
      <c r="D70" s="353"/>
      <c r="E70" s="353"/>
      <c r="F70" s="353"/>
      <c r="G70" s="353"/>
      <c r="H70" s="353"/>
      <c r="I70" s="353"/>
      <c r="J70" s="354"/>
      <c r="K70" s="32"/>
    </row>
    <row r="71" spans="1:11" s="4" customFormat="1" ht="18.75" customHeight="1">
      <c r="A71" s="1"/>
      <c r="B71" s="352"/>
      <c r="C71" s="353"/>
      <c r="D71" s="353"/>
      <c r="E71" s="353"/>
      <c r="F71" s="353"/>
      <c r="G71" s="353"/>
      <c r="H71" s="353"/>
      <c r="I71" s="353"/>
      <c r="J71" s="354"/>
      <c r="K71" s="32"/>
    </row>
    <row r="72" spans="1:11" s="4" customFormat="1" ht="18.75" customHeight="1">
      <c r="A72" s="1"/>
      <c r="B72" s="352"/>
      <c r="C72" s="353"/>
      <c r="D72" s="353"/>
      <c r="E72" s="353"/>
      <c r="F72" s="353"/>
      <c r="G72" s="353"/>
      <c r="H72" s="353"/>
      <c r="I72" s="353"/>
      <c r="J72" s="354"/>
      <c r="K72" s="32"/>
    </row>
    <row r="73" spans="1:11" s="4" customFormat="1" ht="18.75" customHeight="1">
      <c r="A73" s="1"/>
      <c r="B73" s="352"/>
      <c r="C73" s="353"/>
      <c r="D73" s="353"/>
      <c r="E73" s="353"/>
      <c r="F73" s="353"/>
      <c r="G73" s="353"/>
      <c r="H73" s="353"/>
      <c r="I73" s="353"/>
      <c r="J73" s="354"/>
      <c r="K73" s="32"/>
    </row>
    <row r="74" spans="1:11" s="4" customFormat="1" ht="18.75" customHeight="1">
      <c r="A74" s="1"/>
      <c r="B74" s="352"/>
      <c r="C74" s="353"/>
      <c r="D74" s="353"/>
      <c r="E74" s="353"/>
      <c r="F74" s="353"/>
      <c r="G74" s="353"/>
      <c r="H74" s="353"/>
      <c r="I74" s="353"/>
      <c r="J74" s="354"/>
      <c r="K74" s="32"/>
    </row>
    <row r="75" spans="1:11" s="4" customFormat="1" ht="18.75" customHeight="1">
      <c r="A75" s="1"/>
      <c r="B75" s="352"/>
      <c r="C75" s="353"/>
      <c r="D75" s="353"/>
      <c r="E75" s="353"/>
      <c r="F75" s="353"/>
      <c r="G75" s="353"/>
      <c r="H75" s="353"/>
      <c r="I75" s="353"/>
      <c r="J75" s="354"/>
      <c r="K75" s="32"/>
    </row>
    <row r="76" spans="1:11" s="4" customFormat="1" ht="18.75" customHeight="1">
      <c r="A76" s="1"/>
      <c r="B76" s="352"/>
      <c r="C76" s="353"/>
      <c r="D76" s="353"/>
      <c r="E76" s="353"/>
      <c r="F76" s="353"/>
      <c r="G76" s="353"/>
      <c r="H76" s="353"/>
      <c r="I76" s="353"/>
      <c r="J76" s="354"/>
      <c r="K76" s="32"/>
    </row>
    <row r="77" spans="1:11" s="4" customFormat="1" ht="18.75" customHeight="1">
      <c r="A77" s="1"/>
      <c r="B77" s="352"/>
      <c r="C77" s="353"/>
      <c r="D77" s="353"/>
      <c r="E77" s="353"/>
      <c r="F77" s="353"/>
      <c r="G77" s="353"/>
      <c r="H77" s="353"/>
      <c r="I77" s="353"/>
      <c r="J77" s="354"/>
      <c r="K77" s="32"/>
    </row>
    <row r="78" spans="1:11" s="4" customFormat="1" ht="18.75" customHeight="1">
      <c r="A78" s="1"/>
      <c r="B78" s="352"/>
      <c r="C78" s="353"/>
      <c r="D78" s="353"/>
      <c r="E78" s="353"/>
      <c r="F78" s="353"/>
      <c r="G78" s="353"/>
      <c r="H78" s="353"/>
      <c r="I78" s="353"/>
      <c r="J78" s="354"/>
      <c r="K78" s="32"/>
    </row>
    <row r="79" spans="1:11" s="4" customFormat="1" ht="18.75" customHeight="1">
      <c r="A79" s="1"/>
      <c r="B79" s="352"/>
      <c r="C79" s="353"/>
      <c r="D79" s="353"/>
      <c r="E79" s="353"/>
      <c r="F79" s="353"/>
      <c r="G79" s="353"/>
      <c r="H79" s="353"/>
      <c r="I79" s="353"/>
      <c r="J79" s="354"/>
      <c r="K79" s="32"/>
    </row>
    <row r="80" spans="1:11" s="4" customFormat="1" ht="18.75" customHeight="1">
      <c r="A80" s="1"/>
      <c r="B80" s="352"/>
      <c r="C80" s="353"/>
      <c r="D80" s="353"/>
      <c r="E80" s="353"/>
      <c r="F80" s="353"/>
      <c r="G80" s="353"/>
      <c r="H80" s="353"/>
      <c r="I80" s="353"/>
      <c r="J80" s="354"/>
      <c r="K80" s="32"/>
    </row>
    <row r="81" spans="1:11" s="4" customFormat="1" ht="18.75" customHeight="1">
      <c r="A81" s="1"/>
      <c r="B81" s="352"/>
      <c r="C81" s="353"/>
      <c r="D81" s="353"/>
      <c r="E81" s="353"/>
      <c r="F81" s="353"/>
      <c r="G81" s="353"/>
      <c r="H81" s="353"/>
      <c r="I81" s="353"/>
      <c r="J81" s="354"/>
      <c r="K81" s="32"/>
    </row>
    <row r="82" spans="1:11" s="4" customFormat="1" ht="18.75" customHeight="1">
      <c r="A82" s="1"/>
      <c r="B82" s="352"/>
      <c r="C82" s="353"/>
      <c r="D82" s="353"/>
      <c r="E82" s="353"/>
      <c r="F82" s="353"/>
      <c r="G82" s="353"/>
      <c r="H82" s="353"/>
      <c r="I82" s="353"/>
      <c r="J82" s="354"/>
      <c r="K82" s="32"/>
    </row>
    <row r="83" spans="1:11" s="4" customFormat="1" ht="18.75" customHeight="1">
      <c r="A83" s="1"/>
      <c r="B83" s="352"/>
      <c r="C83" s="353"/>
      <c r="D83" s="353"/>
      <c r="E83" s="353"/>
      <c r="F83" s="353"/>
      <c r="G83" s="353"/>
      <c r="H83" s="353"/>
      <c r="I83" s="353"/>
      <c r="J83" s="354"/>
      <c r="K83" s="32"/>
    </row>
    <row r="84" spans="1:11" s="4" customFormat="1" ht="18.75" customHeight="1">
      <c r="A84" s="1"/>
      <c r="B84" s="352"/>
      <c r="C84" s="353"/>
      <c r="D84" s="353"/>
      <c r="E84" s="353"/>
      <c r="F84" s="353"/>
      <c r="G84" s="353"/>
      <c r="H84" s="353"/>
      <c r="I84" s="353"/>
      <c r="J84" s="354"/>
      <c r="K84" s="32"/>
    </row>
    <row r="85" spans="1:11" ht="18.75" customHeight="1">
      <c r="A85" s="36"/>
      <c r="B85" s="352"/>
      <c r="C85" s="353"/>
      <c r="D85" s="353"/>
      <c r="E85" s="353"/>
      <c r="F85" s="353"/>
      <c r="G85" s="353"/>
      <c r="H85" s="353"/>
      <c r="I85" s="353"/>
      <c r="J85" s="354"/>
      <c r="K85" s="32"/>
    </row>
    <row r="86" spans="1:11" ht="18.75" customHeight="1">
      <c r="A86" s="36"/>
      <c r="B86" s="355"/>
      <c r="C86" s="356"/>
      <c r="D86" s="356"/>
      <c r="E86" s="356"/>
      <c r="F86" s="356"/>
      <c r="G86" s="356"/>
      <c r="H86" s="356"/>
      <c r="I86" s="356"/>
      <c r="J86" s="357"/>
      <c r="K86" s="32"/>
    </row>
    <row r="87" spans="1:11" ht="7.5" customHeight="1">
      <c r="A87" s="36"/>
      <c r="B87" s="36"/>
      <c r="C87" s="36"/>
      <c r="D87" s="36"/>
      <c r="E87" s="36"/>
      <c r="F87" s="36"/>
      <c r="G87" s="36"/>
      <c r="H87" s="36"/>
      <c r="I87" s="36"/>
      <c r="J87" s="36"/>
    </row>
    <row r="88" spans="1:11" s="4" customFormat="1" ht="18.75" customHeight="1">
      <c r="A88" s="1" t="s">
        <v>12</v>
      </c>
      <c r="B88" s="1" t="s">
        <v>27</v>
      </c>
      <c r="C88" s="1"/>
      <c r="D88" s="1"/>
      <c r="E88" s="1"/>
      <c r="F88" s="1"/>
      <c r="G88" s="1"/>
      <c r="H88" s="1"/>
      <c r="I88" s="1"/>
      <c r="J88" s="1"/>
      <c r="K88" s="28"/>
    </row>
    <row r="89" spans="1:11" s="4" customFormat="1" ht="18.75" customHeight="1">
      <c r="A89" s="1"/>
      <c r="B89" s="340" t="s">
        <v>220</v>
      </c>
      <c r="C89" s="322"/>
      <c r="D89" s="322"/>
      <c r="E89" s="322"/>
      <c r="F89" s="322"/>
      <c r="G89" s="322"/>
      <c r="H89" s="322"/>
      <c r="I89" s="323"/>
      <c r="J89" s="324"/>
      <c r="K89" s="28"/>
    </row>
    <row r="90" spans="1:11" s="4" customFormat="1" ht="18.75" customHeight="1">
      <c r="A90" s="1"/>
      <c r="B90" s="325"/>
      <c r="C90" s="326"/>
      <c r="D90" s="326"/>
      <c r="E90" s="326"/>
      <c r="F90" s="326"/>
      <c r="G90" s="326"/>
      <c r="H90" s="326"/>
      <c r="I90" s="326"/>
      <c r="J90" s="327"/>
      <c r="K90" s="32"/>
    </row>
    <row r="91" spans="1:11" s="4" customFormat="1" ht="18.75" customHeight="1">
      <c r="A91" s="1"/>
      <c r="B91" s="325"/>
      <c r="C91" s="326"/>
      <c r="D91" s="326"/>
      <c r="E91" s="326"/>
      <c r="F91" s="326"/>
      <c r="G91" s="326"/>
      <c r="H91" s="326"/>
      <c r="I91" s="326"/>
      <c r="J91" s="327"/>
      <c r="K91" s="32" t="str">
        <f>IF(B89="","入力してください","")</f>
        <v/>
      </c>
    </row>
    <row r="92" spans="1:11" s="4" customFormat="1" ht="18.75" customHeight="1">
      <c r="A92" s="1"/>
      <c r="B92" s="325"/>
      <c r="C92" s="326"/>
      <c r="D92" s="326"/>
      <c r="E92" s="326"/>
      <c r="F92" s="326"/>
      <c r="G92" s="326"/>
      <c r="H92" s="326"/>
      <c r="I92" s="326"/>
      <c r="J92" s="327"/>
      <c r="K92" s="32"/>
    </row>
    <row r="93" spans="1:11" s="4" customFormat="1" ht="18.75" customHeight="1">
      <c r="A93" s="1"/>
      <c r="B93" s="325"/>
      <c r="C93" s="326"/>
      <c r="D93" s="326"/>
      <c r="E93" s="326"/>
      <c r="F93" s="326"/>
      <c r="G93" s="326"/>
      <c r="H93" s="326"/>
      <c r="I93" s="326"/>
      <c r="J93" s="327"/>
      <c r="K93" s="32"/>
    </row>
    <row r="94" spans="1:11" s="4" customFormat="1" ht="18.75" customHeight="1">
      <c r="A94" s="1"/>
      <c r="B94" s="325"/>
      <c r="C94" s="326"/>
      <c r="D94" s="326"/>
      <c r="E94" s="326"/>
      <c r="F94" s="326"/>
      <c r="G94" s="326"/>
      <c r="H94" s="326"/>
      <c r="I94" s="326"/>
      <c r="J94" s="327"/>
      <c r="K94" s="32"/>
    </row>
    <row r="95" spans="1:11" s="4" customFormat="1" ht="18.75" customHeight="1">
      <c r="A95" s="1"/>
      <c r="B95" s="325"/>
      <c r="C95" s="326"/>
      <c r="D95" s="326"/>
      <c r="E95" s="326"/>
      <c r="F95" s="326"/>
      <c r="G95" s="326"/>
      <c r="H95" s="326"/>
      <c r="I95" s="326"/>
      <c r="J95" s="327"/>
      <c r="K95" s="32"/>
    </row>
    <row r="96" spans="1:11" s="4" customFormat="1" ht="18.75" customHeight="1">
      <c r="A96" s="1"/>
      <c r="B96" s="325"/>
      <c r="C96" s="326"/>
      <c r="D96" s="326"/>
      <c r="E96" s="326"/>
      <c r="F96" s="326"/>
      <c r="G96" s="326"/>
      <c r="H96" s="326"/>
      <c r="I96" s="326"/>
      <c r="J96" s="327"/>
      <c r="K96" s="32"/>
    </row>
    <row r="97" spans="1:11" s="4" customFormat="1" ht="18.75" customHeight="1">
      <c r="A97" s="1"/>
      <c r="B97" s="325"/>
      <c r="C97" s="326"/>
      <c r="D97" s="326"/>
      <c r="E97" s="326"/>
      <c r="F97" s="326"/>
      <c r="G97" s="326"/>
      <c r="H97" s="326"/>
      <c r="I97" s="326"/>
      <c r="J97" s="327"/>
      <c r="K97" s="32"/>
    </row>
    <row r="98" spans="1:11" s="4" customFormat="1" ht="18.75" customHeight="1">
      <c r="A98" s="1"/>
      <c r="B98" s="325"/>
      <c r="C98" s="326"/>
      <c r="D98" s="326"/>
      <c r="E98" s="326"/>
      <c r="F98" s="326"/>
      <c r="G98" s="326"/>
      <c r="H98" s="326"/>
      <c r="I98" s="326"/>
      <c r="J98" s="327"/>
      <c r="K98" s="32"/>
    </row>
    <row r="99" spans="1:11" s="4" customFormat="1" ht="18.75" customHeight="1">
      <c r="A99" s="1"/>
      <c r="B99" s="325"/>
      <c r="C99" s="326"/>
      <c r="D99" s="326"/>
      <c r="E99" s="326"/>
      <c r="F99" s="326"/>
      <c r="G99" s="326"/>
      <c r="H99" s="326"/>
      <c r="I99" s="326"/>
      <c r="J99" s="327"/>
      <c r="K99" s="32"/>
    </row>
    <row r="100" spans="1:11" s="4" customFormat="1" ht="18.75" customHeight="1">
      <c r="A100" s="1"/>
      <c r="B100" s="325"/>
      <c r="C100" s="326"/>
      <c r="D100" s="326"/>
      <c r="E100" s="326"/>
      <c r="F100" s="326"/>
      <c r="G100" s="326"/>
      <c r="H100" s="326"/>
      <c r="I100" s="326"/>
      <c r="J100" s="327"/>
      <c r="K100" s="32"/>
    </row>
    <row r="101" spans="1:11" s="4" customFormat="1" ht="18.75" customHeight="1">
      <c r="A101" s="1"/>
      <c r="B101" s="325"/>
      <c r="C101" s="326"/>
      <c r="D101" s="326"/>
      <c r="E101" s="326"/>
      <c r="F101" s="326"/>
      <c r="G101" s="326"/>
      <c r="H101" s="326"/>
      <c r="I101" s="326"/>
      <c r="J101" s="327"/>
      <c r="K101" s="32"/>
    </row>
    <row r="102" spans="1:11" s="4" customFormat="1" ht="18.75" customHeight="1">
      <c r="A102" s="1"/>
      <c r="B102" s="325"/>
      <c r="C102" s="326"/>
      <c r="D102" s="326"/>
      <c r="E102" s="326"/>
      <c r="F102" s="326"/>
      <c r="G102" s="326"/>
      <c r="H102" s="326"/>
      <c r="I102" s="326"/>
      <c r="J102" s="327"/>
      <c r="K102" s="32"/>
    </row>
    <row r="103" spans="1:11" s="4" customFormat="1" ht="18.75" customHeight="1">
      <c r="A103" s="1"/>
      <c r="B103" s="325"/>
      <c r="C103" s="326"/>
      <c r="D103" s="326"/>
      <c r="E103" s="326"/>
      <c r="F103" s="326"/>
      <c r="G103" s="326"/>
      <c r="H103" s="326"/>
      <c r="I103" s="326"/>
      <c r="J103" s="327"/>
      <c r="K103" s="32"/>
    </row>
    <row r="104" spans="1:11" s="4" customFormat="1" ht="18.75" customHeight="1">
      <c r="A104" s="1"/>
      <c r="B104" s="325"/>
      <c r="C104" s="326"/>
      <c r="D104" s="326"/>
      <c r="E104" s="326"/>
      <c r="F104" s="326"/>
      <c r="G104" s="326"/>
      <c r="H104" s="326"/>
      <c r="I104" s="326"/>
      <c r="J104" s="327"/>
      <c r="K104" s="32"/>
    </row>
    <row r="105" spans="1:11" s="4" customFormat="1" ht="18.75" customHeight="1">
      <c r="A105" s="1"/>
      <c r="B105" s="325"/>
      <c r="C105" s="326"/>
      <c r="D105" s="326"/>
      <c r="E105" s="326"/>
      <c r="F105" s="326"/>
      <c r="G105" s="326"/>
      <c r="H105" s="326"/>
      <c r="I105" s="326"/>
      <c r="J105" s="327"/>
      <c r="K105" s="32"/>
    </row>
    <row r="106" spans="1:11" s="4" customFormat="1" ht="18.75" customHeight="1">
      <c r="A106" s="1"/>
      <c r="B106" s="325"/>
      <c r="C106" s="326"/>
      <c r="D106" s="326"/>
      <c r="E106" s="326"/>
      <c r="F106" s="326"/>
      <c r="G106" s="326"/>
      <c r="H106" s="326"/>
      <c r="I106" s="326"/>
      <c r="J106" s="327"/>
      <c r="K106" s="32"/>
    </row>
    <row r="107" spans="1:11" ht="18.75" customHeight="1">
      <c r="A107" s="36"/>
      <c r="B107" s="325"/>
      <c r="C107" s="326"/>
      <c r="D107" s="326"/>
      <c r="E107" s="326"/>
      <c r="F107" s="326"/>
      <c r="G107" s="326"/>
      <c r="H107" s="326"/>
      <c r="I107" s="326"/>
      <c r="J107" s="327"/>
      <c r="K107" s="32"/>
    </row>
    <row r="108" spans="1:11" ht="18.75" customHeight="1">
      <c r="A108" s="36"/>
      <c r="B108" s="328"/>
      <c r="C108" s="329"/>
      <c r="D108" s="329"/>
      <c r="E108" s="329"/>
      <c r="F108" s="329"/>
      <c r="G108" s="329"/>
      <c r="H108" s="329"/>
      <c r="I108" s="329"/>
      <c r="J108" s="330"/>
      <c r="K108" s="32"/>
    </row>
    <row r="109" spans="1:11" ht="7.5" customHeight="1">
      <c r="A109" s="36"/>
      <c r="B109" s="36"/>
      <c r="C109" s="36"/>
      <c r="D109" s="36"/>
      <c r="E109" s="36"/>
      <c r="F109" s="36"/>
      <c r="G109" s="36"/>
      <c r="H109" s="36"/>
      <c r="I109" s="36"/>
      <c r="J109" s="36"/>
    </row>
    <row r="110" spans="1:11" s="4" customFormat="1" ht="18.75" customHeight="1">
      <c r="A110" s="1" t="s">
        <v>53</v>
      </c>
      <c r="B110" s="358" t="s">
        <v>81</v>
      </c>
      <c r="C110" s="358"/>
      <c r="D110" s="358"/>
      <c r="E110" s="358"/>
      <c r="F110" s="358"/>
      <c r="G110" s="358"/>
      <c r="H110" s="358"/>
      <c r="I110" s="358"/>
      <c r="J110" s="358"/>
      <c r="K110" s="28"/>
    </row>
    <row r="111" spans="1:11" ht="18.75" customHeight="1">
      <c r="A111" s="36"/>
      <c r="B111" s="340" t="s">
        <v>213</v>
      </c>
      <c r="C111" s="331"/>
      <c r="D111" s="331"/>
      <c r="E111" s="331"/>
      <c r="F111" s="331"/>
      <c r="G111" s="331"/>
      <c r="H111" s="331"/>
      <c r="I111" s="332"/>
      <c r="J111" s="333"/>
    </row>
    <row r="112" spans="1:11" ht="18.75" customHeight="1">
      <c r="A112" s="36"/>
      <c r="B112" s="334"/>
      <c r="C112" s="335"/>
      <c r="D112" s="335"/>
      <c r="E112" s="335"/>
      <c r="F112" s="335"/>
      <c r="G112" s="335"/>
      <c r="H112" s="335"/>
      <c r="I112" s="335"/>
      <c r="J112" s="336"/>
      <c r="K112" s="32"/>
    </row>
    <row r="113" spans="1:11" ht="18.75" customHeight="1">
      <c r="A113" s="36"/>
      <c r="B113" s="334"/>
      <c r="C113" s="335"/>
      <c r="D113" s="335"/>
      <c r="E113" s="335"/>
      <c r="F113" s="335"/>
      <c r="G113" s="335"/>
      <c r="H113" s="335"/>
      <c r="I113" s="335"/>
      <c r="J113" s="336"/>
      <c r="K113" s="28" t="str">
        <f>IF(B111="","入力してください","")</f>
        <v/>
      </c>
    </row>
    <row r="114" spans="1:11" ht="18.75" customHeight="1">
      <c r="A114" s="36"/>
      <c r="B114" s="334"/>
      <c r="C114" s="335"/>
      <c r="D114" s="335"/>
      <c r="E114" s="335"/>
      <c r="F114" s="335"/>
      <c r="G114" s="335"/>
      <c r="H114" s="335"/>
      <c r="I114" s="335"/>
      <c r="J114" s="336"/>
    </row>
    <row r="115" spans="1:11" ht="18.75" customHeight="1">
      <c r="A115" s="36"/>
      <c r="B115" s="334"/>
      <c r="C115" s="335"/>
      <c r="D115" s="335"/>
      <c r="E115" s="335"/>
      <c r="F115" s="335"/>
      <c r="G115" s="335"/>
      <c r="H115" s="335"/>
      <c r="I115" s="335"/>
      <c r="J115" s="336"/>
    </row>
    <row r="116" spans="1:11" ht="18.75" customHeight="1">
      <c r="A116" s="36"/>
      <c r="B116" s="334"/>
      <c r="C116" s="335"/>
      <c r="D116" s="335"/>
      <c r="E116" s="335"/>
      <c r="F116" s="335"/>
      <c r="G116" s="335"/>
      <c r="H116" s="335"/>
      <c r="I116" s="335"/>
      <c r="J116" s="336"/>
    </row>
    <row r="117" spans="1:11" ht="18.75" customHeight="1">
      <c r="A117" s="36"/>
      <c r="B117" s="334"/>
      <c r="C117" s="335"/>
      <c r="D117" s="335"/>
      <c r="E117" s="335"/>
      <c r="F117" s="335"/>
      <c r="G117" s="335"/>
      <c r="H117" s="335"/>
      <c r="I117" s="335"/>
      <c r="J117" s="336"/>
    </row>
    <row r="118" spans="1:11" ht="18.75" customHeight="1">
      <c r="A118" s="36"/>
      <c r="B118" s="334"/>
      <c r="C118" s="335"/>
      <c r="D118" s="335"/>
      <c r="E118" s="335"/>
      <c r="F118" s="335"/>
      <c r="G118" s="335"/>
      <c r="H118" s="335"/>
      <c r="I118" s="335"/>
      <c r="J118" s="336"/>
    </row>
    <row r="119" spans="1:11" ht="18.75" customHeight="1">
      <c r="A119" s="36"/>
      <c r="B119" s="334"/>
      <c r="C119" s="335"/>
      <c r="D119" s="335"/>
      <c r="E119" s="335"/>
      <c r="F119" s="335"/>
      <c r="G119" s="335"/>
      <c r="H119" s="335"/>
      <c r="I119" s="335"/>
      <c r="J119" s="336"/>
    </row>
    <row r="120" spans="1:11" ht="18.75" customHeight="1">
      <c r="A120" s="36"/>
      <c r="B120" s="334"/>
      <c r="C120" s="335"/>
      <c r="D120" s="335"/>
      <c r="E120" s="335"/>
      <c r="F120" s="335"/>
      <c r="G120" s="335"/>
      <c r="H120" s="335"/>
      <c r="I120" s="335"/>
      <c r="J120" s="336"/>
    </row>
    <row r="121" spans="1:11" ht="18.75" customHeight="1">
      <c r="A121" s="36"/>
      <c r="B121" s="334"/>
      <c r="C121" s="335"/>
      <c r="D121" s="335"/>
      <c r="E121" s="335"/>
      <c r="F121" s="335"/>
      <c r="G121" s="335"/>
      <c r="H121" s="335"/>
      <c r="I121" s="335"/>
      <c r="J121" s="336"/>
    </row>
    <row r="122" spans="1:11" ht="18.75" customHeight="1">
      <c r="A122" s="36"/>
      <c r="B122" s="334"/>
      <c r="C122" s="335"/>
      <c r="D122" s="335"/>
      <c r="E122" s="335"/>
      <c r="F122" s="335"/>
      <c r="G122" s="335"/>
      <c r="H122" s="335"/>
      <c r="I122" s="335"/>
      <c r="J122" s="336"/>
    </row>
    <row r="123" spans="1:11" ht="18.75" customHeight="1">
      <c r="A123" s="36"/>
      <c r="B123" s="334"/>
      <c r="C123" s="335"/>
      <c r="D123" s="335"/>
      <c r="E123" s="335"/>
      <c r="F123" s="335"/>
      <c r="G123" s="335"/>
      <c r="H123" s="335"/>
      <c r="I123" s="335"/>
      <c r="J123" s="336"/>
    </row>
    <row r="124" spans="1:11" ht="18.75" customHeight="1">
      <c r="A124" s="36"/>
      <c r="B124" s="334"/>
      <c r="C124" s="335"/>
      <c r="D124" s="335"/>
      <c r="E124" s="335"/>
      <c r="F124" s="335"/>
      <c r="G124" s="335"/>
      <c r="H124" s="335"/>
      <c r="I124" s="335"/>
      <c r="J124" s="336"/>
    </row>
    <row r="125" spans="1:11" ht="18.75" customHeight="1">
      <c r="A125" s="36"/>
      <c r="B125" s="334"/>
      <c r="C125" s="335"/>
      <c r="D125" s="335"/>
      <c r="E125" s="335"/>
      <c r="F125" s="335"/>
      <c r="G125" s="335"/>
      <c r="H125" s="335"/>
      <c r="I125" s="335"/>
      <c r="J125" s="336"/>
    </row>
    <row r="126" spans="1:11" ht="18.75" customHeight="1">
      <c r="A126" s="36"/>
      <c r="B126" s="334"/>
      <c r="C126" s="335"/>
      <c r="D126" s="335"/>
      <c r="E126" s="335"/>
      <c r="F126" s="335"/>
      <c r="G126" s="335"/>
      <c r="H126" s="335"/>
      <c r="I126" s="335"/>
      <c r="J126" s="336"/>
    </row>
    <row r="127" spans="1:11" ht="18.75" customHeight="1">
      <c r="A127" s="36"/>
      <c r="B127" s="334"/>
      <c r="C127" s="335"/>
      <c r="D127" s="335"/>
      <c r="E127" s="335"/>
      <c r="F127" s="335"/>
      <c r="G127" s="335"/>
      <c r="H127" s="335"/>
      <c r="I127" s="335"/>
      <c r="J127" s="336"/>
    </row>
    <row r="128" spans="1:11" ht="18.75" customHeight="1">
      <c r="A128" s="36"/>
      <c r="B128" s="334"/>
      <c r="C128" s="335"/>
      <c r="D128" s="335"/>
      <c r="E128" s="335"/>
      <c r="F128" s="335"/>
      <c r="G128" s="335"/>
      <c r="H128" s="335"/>
      <c r="I128" s="335"/>
      <c r="J128" s="336"/>
    </row>
    <row r="129" spans="1:10" ht="18.75" customHeight="1">
      <c r="A129" s="36"/>
      <c r="B129" s="337"/>
      <c r="C129" s="338"/>
      <c r="D129" s="338"/>
      <c r="E129" s="338"/>
      <c r="F129" s="338"/>
      <c r="G129" s="338"/>
      <c r="H129" s="338"/>
      <c r="I129" s="338"/>
      <c r="J129" s="339"/>
    </row>
    <row r="130" spans="1:10" ht="7.5" customHeight="1">
      <c r="A130" s="36"/>
      <c r="B130" s="99"/>
      <c r="C130" s="99"/>
      <c r="D130" s="99"/>
      <c r="E130" s="99"/>
      <c r="F130" s="99"/>
      <c r="G130" s="99"/>
      <c r="H130" s="99"/>
      <c r="I130" s="99"/>
      <c r="J130" s="99"/>
    </row>
    <row r="131" spans="1:10" ht="18.75" customHeight="1">
      <c r="A131" s="36"/>
      <c r="B131" s="36"/>
      <c r="C131" s="36"/>
      <c r="D131" s="36"/>
      <c r="E131" s="36"/>
      <c r="F131" s="36"/>
      <c r="G131" s="36"/>
      <c r="H131" s="36"/>
      <c r="I131" s="36"/>
      <c r="J131" s="36"/>
    </row>
    <row r="132" spans="1:10" ht="18.75" customHeight="1">
      <c r="A132" s="36"/>
      <c r="B132" s="36"/>
      <c r="C132" s="36"/>
      <c r="D132" s="36"/>
      <c r="E132" s="36"/>
      <c r="F132" s="36"/>
      <c r="G132" s="36"/>
      <c r="H132" s="36"/>
      <c r="I132" s="36"/>
      <c r="J132" s="36"/>
    </row>
    <row r="133" spans="1:10" ht="18.75" customHeight="1">
      <c r="A133" s="36"/>
      <c r="B133" s="36"/>
      <c r="C133" s="36"/>
      <c r="D133" s="36"/>
      <c r="E133" s="36"/>
      <c r="F133" s="36"/>
      <c r="G133" s="36"/>
      <c r="H133" s="36"/>
      <c r="I133" s="36"/>
      <c r="J133" s="36"/>
    </row>
    <row r="134" spans="1:10" ht="18.75" customHeight="1">
      <c r="A134" s="36"/>
      <c r="B134" s="36"/>
      <c r="C134" s="36"/>
      <c r="D134" s="36"/>
      <c r="E134" s="36"/>
      <c r="F134" s="36"/>
      <c r="G134" s="36"/>
      <c r="H134" s="36"/>
      <c r="I134" s="36"/>
      <c r="J134" s="36"/>
    </row>
    <row r="135" spans="1:10" ht="18.75" customHeight="1">
      <c r="A135" s="36"/>
      <c r="B135" s="36"/>
      <c r="C135" s="36"/>
      <c r="D135" s="36"/>
      <c r="E135" s="36"/>
      <c r="F135" s="36"/>
      <c r="G135" s="36"/>
      <c r="H135" s="36"/>
      <c r="I135" s="36"/>
      <c r="J135" s="36"/>
    </row>
    <row r="136" spans="1:10" ht="18.75" customHeight="1">
      <c r="A136" s="36"/>
      <c r="B136" s="36"/>
      <c r="C136" s="36"/>
      <c r="D136" s="36"/>
      <c r="E136" s="36"/>
      <c r="F136" s="36"/>
      <c r="G136" s="36"/>
      <c r="H136" s="36"/>
      <c r="I136" s="36"/>
      <c r="J136" s="36"/>
    </row>
    <row r="137" spans="1:10" ht="18.75" customHeight="1">
      <c r="A137" s="36"/>
      <c r="B137" s="36"/>
      <c r="C137" s="36"/>
      <c r="D137" s="36"/>
      <c r="E137" s="36"/>
      <c r="F137" s="36"/>
      <c r="G137" s="36"/>
      <c r="H137" s="36"/>
      <c r="I137" s="36"/>
      <c r="J137" s="36"/>
    </row>
    <row r="138" spans="1:10" ht="18.75" customHeight="1">
      <c r="A138" s="36"/>
      <c r="B138" s="36"/>
      <c r="C138" s="36"/>
      <c r="D138" s="36"/>
      <c r="E138" s="36"/>
      <c r="F138" s="36"/>
      <c r="G138" s="36"/>
      <c r="H138" s="36"/>
      <c r="I138" s="36"/>
      <c r="J138" s="36"/>
    </row>
    <row r="139" spans="1:10" ht="18.75" customHeight="1">
      <c r="A139" s="36"/>
      <c r="B139" s="36"/>
      <c r="C139" s="36"/>
      <c r="D139" s="36"/>
      <c r="E139" s="36"/>
      <c r="F139" s="36"/>
      <c r="G139" s="36"/>
      <c r="H139" s="36"/>
      <c r="I139" s="36"/>
      <c r="J139" s="36"/>
    </row>
    <row r="140" spans="1:10" ht="18.75" customHeight="1">
      <c r="A140" s="36"/>
      <c r="B140" s="36"/>
      <c r="C140" s="36"/>
      <c r="D140" s="36"/>
      <c r="E140" s="36"/>
      <c r="F140" s="36"/>
      <c r="G140" s="36"/>
      <c r="H140" s="36"/>
      <c r="I140" s="36"/>
      <c r="J140" s="36"/>
    </row>
    <row r="141" spans="1:10" ht="18.75" customHeight="1">
      <c r="A141" s="36"/>
      <c r="B141" s="36"/>
      <c r="C141" s="36"/>
      <c r="D141" s="36"/>
      <c r="E141" s="36"/>
      <c r="F141" s="36"/>
      <c r="G141" s="36"/>
      <c r="H141" s="36"/>
      <c r="I141" s="36"/>
      <c r="J141" s="36"/>
    </row>
    <row r="142" spans="1:10" ht="18.75" customHeight="1">
      <c r="A142" s="36"/>
      <c r="B142" s="36"/>
      <c r="C142" s="36"/>
      <c r="D142" s="36"/>
      <c r="E142" s="36"/>
      <c r="F142" s="36"/>
      <c r="G142" s="36"/>
      <c r="H142" s="36"/>
      <c r="I142" s="36"/>
      <c r="J142" s="36"/>
    </row>
    <row r="143" spans="1:10" ht="14.25">
      <c r="A143" s="36"/>
      <c r="B143" s="36"/>
      <c r="C143" s="36"/>
      <c r="D143" s="36"/>
      <c r="E143" s="36"/>
      <c r="F143" s="36"/>
      <c r="G143" s="36"/>
      <c r="H143" s="36"/>
      <c r="I143" s="36"/>
      <c r="J143" s="36"/>
    </row>
    <row r="144" spans="1:10" ht="7.5" customHeight="1">
      <c r="A144" s="100"/>
      <c r="B144" s="100"/>
      <c r="C144" s="100"/>
      <c r="D144" s="100"/>
      <c r="E144" s="100"/>
      <c r="F144" s="100"/>
      <c r="G144" s="100"/>
      <c r="H144" s="100"/>
      <c r="I144" s="100"/>
      <c r="J144" s="100"/>
    </row>
  </sheetData>
  <mergeCells count="11">
    <mergeCell ref="B46:J66"/>
    <mergeCell ref="B69:J86"/>
    <mergeCell ref="B89:J108"/>
    <mergeCell ref="B110:J110"/>
    <mergeCell ref="B111:J129"/>
    <mergeCell ref="B31:J44"/>
    <mergeCell ref="A2:J2"/>
    <mergeCell ref="B5:J5"/>
    <mergeCell ref="B8:J12"/>
    <mergeCell ref="B30:J30"/>
    <mergeCell ref="B15:J25"/>
  </mergeCells>
  <phoneticPr fontId="4"/>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dimension ref="A1:K26"/>
  <sheetViews>
    <sheetView showZeros="0" view="pageBreakPreview" zoomScaleNormal="100" zoomScaleSheetLayoutView="100" workbookViewId="0"/>
  </sheetViews>
  <sheetFormatPr defaultColWidth="11.375" defaultRowHeight="22.5" customHeight="1"/>
  <cols>
    <col min="1" max="3" width="2.625" style="1" customWidth="1"/>
    <col min="4" max="4" width="22.125" style="1" customWidth="1"/>
    <col min="5" max="5" width="21.625" style="1" customWidth="1"/>
    <col min="6" max="7" width="7.625" style="1" customWidth="1"/>
    <col min="8" max="8" width="33.375" style="1" customWidth="1"/>
    <col min="9" max="9" width="24.5" style="1" customWidth="1"/>
    <col min="10" max="10" width="5.5" style="1" customWidth="1"/>
    <col min="11" max="11" width="4.125" style="28" customWidth="1"/>
    <col min="12" max="16384" width="11.375" style="1"/>
  </cols>
  <sheetData>
    <row r="1" spans="1:11" ht="18.75" customHeight="1">
      <c r="A1" s="1" t="s">
        <v>122</v>
      </c>
      <c r="J1" s="38" t="s">
        <v>72</v>
      </c>
    </row>
    <row r="2" spans="1:11" ht="18.75" customHeight="1">
      <c r="A2" s="294" t="s">
        <v>42</v>
      </c>
      <c r="B2" s="294"/>
      <c r="C2" s="294"/>
      <c r="D2" s="294"/>
      <c r="E2" s="294"/>
      <c r="F2" s="294"/>
      <c r="G2" s="294"/>
      <c r="H2" s="294"/>
      <c r="I2" s="294"/>
      <c r="J2" s="294"/>
    </row>
    <row r="3" spans="1:11" ht="7.5" customHeight="1">
      <c r="A3" s="39"/>
      <c r="B3" s="39"/>
      <c r="C3" s="39"/>
      <c r="D3" s="39"/>
      <c r="E3" s="39"/>
      <c r="F3" s="39"/>
      <c r="G3" s="39"/>
      <c r="H3" s="39"/>
      <c r="I3" s="39"/>
      <c r="J3" s="39"/>
    </row>
    <row r="4" spans="1:11" ht="18.75" customHeight="1">
      <c r="A4" s="1" t="s">
        <v>6</v>
      </c>
      <c r="B4" s="4" t="s">
        <v>41</v>
      </c>
      <c r="C4" s="36"/>
      <c r="D4" s="36"/>
      <c r="E4" s="37"/>
      <c r="F4" s="37"/>
      <c r="G4" s="37"/>
      <c r="H4" s="37"/>
      <c r="I4" s="37"/>
      <c r="J4" s="37"/>
    </row>
    <row r="5" spans="1:11" ht="18.75" customHeight="1">
      <c r="B5" s="364" t="s">
        <v>38</v>
      </c>
      <c r="C5" s="365"/>
      <c r="D5" s="366"/>
      <c r="E5" s="367" t="s">
        <v>40</v>
      </c>
      <c r="F5" s="367"/>
      <c r="G5" s="367"/>
      <c r="H5" s="367"/>
      <c r="I5" s="367"/>
      <c r="J5" s="368"/>
    </row>
    <row r="6" spans="1:11" ht="18.75" customHeight="1">
      <c r="B6" s="3" t="s">
        <v>28</v>
      </c>
      <c r="C6" s="36"/>
      <c r="D6" s="7"/>
      <c r="I6" s="37"/>
      <c r="J6" s="5"/>
    </row>
    <row r="7" spans="1:11" ht="207" customHeight="1">
      <c r="B7" s="6"/>
      <c r="C7" s="369" t="s">
        <v>29</v>
      </c>
      <c r="D7" s="370"/>
      <c r="E7" s="371" t="s">
        <v>187</v>
      </c>
      <c r="F7" s="372"/>
      <c r="G7" s="372"/>
      <c r="H7" s="372"/>
      <c r="I7" s="372"/>
      <c r="J7" s="373"/>
      <c r="K7" s="28" t="str">
        <f>IF(E7="","入力してください","")</f>
        <v/>
      </c>
    </row>
    <row r="8" spans="1:11" ht="207" customHeight="1">
      <c r="B8" s="6"/>
      <c r="C8" s="359" t="s">
        <v>30</v>
      </c>
      <c r="D8" s="360"/>
      <c r="E8" s="361" t="s">
        <v>203</v>
      </c>
      <c r="F8" s="362"/>
      <c r="G8" s="362"/>
      <c r="H8" s="362"/>
      <c r="I8" s="362"/>
      <c r="J8" s="363"/>
      <c r="K8" s="28" t="str">
        <f>IF(E8="","入力してください","")</f>
        <v/>
      </c>
    </row>
    <row r="9" spans="1:11" ht="172.5" customHeight="1">
      <c r="B9" s="6"/>
      <c r="C9" s="369" t="s">
        <v>31</v>
      </c>
      <c r="D9" s="370"/>
      <c r="E9" s="361" t="s">
        <v>214</v>
      </c>
      <c r="F9" s="362"/>
      <c r="G9" s="362"/>
      <c r="H9" s="362"/>
      <c r="I9" s="362"/>
      <c r="J9" s="363"/>
      <c r="K9" s="28" t="str">
        <f>IF(E9="","入力してください","")</f>
        <v/>
      </c>
    </row>
    <row r="10" spans="1:11" ht="172.5" customHeight="1">
      <c r="B10" s="6"/>
      <c r="C10" s="369" t="s">
        <v>32</v>
      </c>
      <c r="D10" s="370"/>
      <c r="E10" s="361" t="s">
        <v>189</v>
      </c>
      <c r="F10" s="362"/>
      <c r="G10" s="362"/>
      <c r="H10" s="362"/>
      <c r="I10" s="362"/>
      <c r="J10" s="363"/>
      <c r="K10" s="28" t="str">
        <f t="shared" ref="K10:K14" si="0">IF(E10="","入力してください","")</f>
        <v/>
      </c>
    </row>
    <row r="11" spans="1:11" ht="172.5" customHeight="1">
      <c r="B11" s="6"/>
      <c r="C11" s="369" t="s">
        <v>33</v>
      </c>
      <c r="D11" s="370"/>
      <c r="E11" s="361" t="s">
        <v>188</v>
      </c>
      <c r="F11" s="362"/>
      <c r="G11" s="362"/>
      <c r="H11" s="362"/>
      <c r="I11" s="362"/>
      <c r="J11" s="363"/>
      <c r="K11" s="28" t="str">
        <f t="shared" si="0"/>
        <v/>
      </c>
    </row>
    <row r="12" spans="1:11" ht="18.75" customHeight="1">
      <c r="B12" s="9" t="s">
        <v>34</v>
      </c>
      <c r="C12" s="25"/>
      <c r="D12" s="8"/>
      <c r="E12" s="29"/>
      <c r="F12" s="29"/>
      <c r="G12" s="29"/>
      <c r="H12" s="29"/>
      <c r="I12" s="29"/>
      <c r="J12" s="30"/>
    </row>
    <row r="13" spans="1:11" ht="244.35" customHeight="1">
      <c r="B13" s="6"/>
      <c r="C13" s="369" t="s">
        <v>35</v>
      </c>
      <c r="D13" s="370"/>
      <c r="E13" s="381" t="s">
        <v>205</v>
      </c>
      <c r="F13" s="362"/>
      <c r="G13" s="362"/>
      <c r="H13" s="362"/>
      <c r="I13" s="362"/>
      <c r="J13" s="363"/>
      <c r="K13" s="28" t="str">
        <f t="shared" si="0"/>
        <v/>
      </c>
    </row>
    <row r="14" spans="1:11" ht="255" customHeight="1">
      <c r="B14" s="6"/>
      <c r="C14" s="369" t="s">
        <v>36</v>
      </c>
      <c r="D14" s="370"/>
      <c r="E14" s="381" t="s">
        <v>201</v>
      </c>
      <c r="F14" s="362"/>
      <c r="G14" s="362"/>
      <c r="H14" s="362"/>
      <c r="I14" s="362"/>
      <c r="J14" s="363"/>
      <c r="K14" s="28" t="str">
        <f t="shared" si="0"/>
        <v/>
      </c>
    </row>
    <row r="15" spans="1:11" ht="243" customHeight="1">
      <c r="B15" s="382" t="s">
        <v>37</v>
      </c>
      <c r="C15" s="383"/>
      <c r="D15" s="370"/>
      <c r="E15" s="381" t="s">
        <v>204</v>
      </c>
      <c r="F15" s="384"/>
      <c r="G15" s="384"/>
      <c r="H15" s="384"/>
      <c r="I15" s="384"/>
      <c r="J15" s="385"/>
      <c r="K15" s="28" t="str">
        <f>IF(E15="","入力してください","")</f>
        <v/>
      </c>
    </row>
    <row r="16" spans="1:11" ht="243" customHeight="1">
      <c r="A16" s="28"/>
      <c r="B16" s="374" t="s">
        <v>66</v>
      </c>
      <c r="C16" s="375"/>
      <c r="D16" s="376"/>
      <c r="E16" s="377" t="s">
        <v>190</v>
      </c>
      <c r="F16" s="346"/>
      <c r="G16" s="346"/>
      <c r="H16" s="346"/>
      <c r="I16" s="346"/>
      <c r="J16" s="347"/>
      <c r="K16" s="28" t="str">
        <f>IF(E16="","入力してください","")</f>
        <v/>
      </c>
    </row>
    <row r="17" spans="1:11" ht="7.5" customHeight="1">
      <c r="B17" s="36"/>
      <c r="C17" s="36"/>
      <c r="D17" s="36"/>
      <c r="E17" s="37"/>
      <c r="F17" s="37"/>
      <c r="G17" s="37"/>
      <c r="H17" s="37"/>
      <c r="I17" s="37"/>
      <c r="J17" s="37"/>
    </row>
    <row r="18" spans="1:11" ht="18.75" customHeight="1">
      <c r="A18" s="1" t="s">
        <v>123</v>
      </c>
      <c r="B18" s="4"/>
      <c r="C18" s="36"/>
      <c r="D18" s="36"/>
      <c r="E18" s="37"/>
      <c r="F18" s="89"/>
      <c r="G18" s="378" t="s">
        <v>157</v>
      </c>
      <c r="H18" s="379"/>
      <c r="I18" s="379"/>
      <c r="J18" s="380"/>
      <c r="K18" s="28" t="str">
        <f>IF(G18="","入力してください","")</f>
        <v/>
      </c>
    </row>
    <row r="19" spans="1:11" ht="22.5" customHeight="1">
      <c r="B19" s="36"/>
      <c r="C19" s="36"/>
      <c r="D19" s="36"/>
      <c r="E19" s="37"/>
      <c r="F19" s="37"/>
      <c r="G19" s="37"/>
      <c r="H19" s="37"/>
      <c r="I19" s="37"/>
      <c r="J19" s="37"/>
    </row>
    <row r="20" spans="1:11" ht="22.5" customHeight="1">
      <c r="B20" s="36"/>
      <c r="C20" s="36"/>
      <c r="D20" s="36"/>
      <c r="E20" s="37"/>
      <c r="F20" s="37"/>
      <c r="G20" s="37"/>
      <c r="H20" s="37"/>
      <c r="I20" s="37"/>
      <c r="J20" s="37"/>
    </row>
    <row r="21" spans="1:11" ht="22.5" customHeight="1">
      <c r="B21" s="36"/>
      <c r="C21" s="36"/>
      <c r="D21" s="36"/>
      <c r="E21" s="37"/>
      <c r="F21" s="37"/>
      <c r="G21" s="37"/>
      <c r="H21" s="37"/>
      <c r="I21" s="37"/>
      <c r="J21" s="37"/>
    </row>
    <row r="22" spans="1:11" ht="22.5" customHeight="1">
      <c r="B22" s="36"/>
      <c r="C22" s="36"/>
      <c r="D22" s="36"/>
      <c r="E22" s="37"/>
      <c r="F22" s="37"/>
      <c r="G22" s="37"/>
      <c r="H22" s="37"/>
      <c r="I22" s="37"/>
      <c r="J22" s="37"/>
    </row>
    <row r="23" spans="1:11" ht="22.5" customHeight="1">
      <c r="B23" s="36"/>
      <c r="C23" s="36"/>
      <c r="D23" s="36"/>
      <c r="E23" s="37"/>
      <c r="F23" s="37"/>
      <c r="G23" s="37"/>
      <c r="H23" s="37"/>
      <c r="I23" s="37"/>
      <c r="J23" s="37"/>
    </row>
    <row r="24" spans="1:11" ht="22.5" customHeight="1">
      <c r="B24" s="101"/>
      <c r="C24" s="101"/>
      <c r="D24" s="101"/>
      <c r="E24" s="101"/>
      <c r="F24" s="101"/>
      <c r="G24" s="101"/>
      <c r="H24" s="101"/>
      <c r="I24" s="101"/>
      <c r="J24" s="101"/>
    </row>
    <row r="25" spans="1:11" ht="22.5" customHeight="1">
      <c r="B25" s="101"/>
      <c r="C25" s="101"/>
      <c r="D25" s="101"/>
      <c r="E25" s="101"/>
      <c r="F25" s="101"/>
      <c r="G25" s="101"/>
      <c r="H25" s="101"/>
      <c r="I25" s="101"/>
      <c r="J25" s="101"/>
    </row>
    <row r="26" spans="1:11" ht="22.5" customHeight="1">
      <c r="B26" s="101"/>
      <c r="C26" s="101"/>
      <c r="D26" s="101"/>
      <c r="E26" s="101"/>
      <c r="F26" s="101"/>
      <c r="G26" s="101"/>
      <c r="H26" s="101"/>
      <c r="I26" s="101"/>
      <c r="J26" s="101"/>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4"/>
  <hyperlinks>
    <hyperlink ref="G18" r:id="rId1" xr:uid="{4C0F0B8F-3339-F34D-AB3F-01A3A4D60963}"/>
  </hyperlinks>
  <printOptions horizontalCentered="1"/>
  <pageMargins left="0.78740157480314965" right="0.78740157480314965" top="0.78740157480314965" bottom="0.78740157480314965" header="0.31496062992125984" footer="0.31496062992125984"/>
  <pageSetup paperSize="9"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様式１　大学等概要</vt:lpstr>
      <vt:lpstr>様式２　プログラムを構成する授業科目（現代社会学部）</vt:lpstr>
      <vt:lpstr>様式２　プログラムを構成する授業科目 (子ども育成学部)</vt:lpstr>
      <vt:lpstr>様式３　履修者等数の実績</vt:lpstr>
      <vt:lpstr>様式４　教育の質・履修者数を向上させるための体制・計画</vt:lpstr>
      <vt:lpstr>様式５　自己点検・評価</vt:lpstr>
      <vt:lpstr>'様式１　大学等概要'!Print_Area</vt:lpstr>
      <vt:lpstr>'様式２　プログラムを構成する授業科目 (子ども育成学部)'!Print_Area</vt:lpstr>
      <vt:lpstr>'様式２　プログラムを構成する授業科目（現代社会学部）'!Print_Area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xAdmin</cp:lastModifiedBy>
  <cp:lastPrinted>2022-05-31T08:39:22Z</cp:lastPrinted>
  <dcterms:created xsi:type="dcterms:W3CDTF">2011-06-14T05:32:50Z</dcterms:created>
  <dcterms:modified xsi:type="dcterms:W3CDTF">2022-05-31T08:40:54Z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