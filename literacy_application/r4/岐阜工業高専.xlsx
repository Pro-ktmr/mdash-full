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6"/>
  <workbookPr defaultThemeVersion="124226"/>
  <mc:AlternateContent xmlns:mc="http://schemas.openxmlformats.org/markup-compatibility/2006">
    <mc:Choice Requires="x15">
      <x15ac:absPath xmlns:x15ac="http://schemas.microsoft.com/office/spreadsheetml/2010/11/ac" url="\\Nas\学生課\10_教務係\★教務会議2022\AI教育プログラム申請\再提出0616\"/>
    </mc:Choice>
  </mc:AlternateContent>
  <xr:revisionPtr revIDLastSave="0" documentId="13_ncr:1_{C778B1E1-40EE-4117-9E78-AF6DFA9333D8}" xr6:coauthVersionLast="36" xr6:coauthVersionMax="47" xr10:uidLastSave="{00000000-0000-0000-0000-000000000000}"/>
  <bookViews>
    <workbookView xWindow="0" yWindow="0" windowWidth="20640" windowHeight="7425" tabRatio="885" xr2:uid="{00000000-000D-0000-FFFF-FFFF00000000}"/>
  </bookViews>
  <sheets>
    <sheet name="様式１　大学等概要" sheetId="8" r:id="rId1"/>
    <sheet name="２－1" sheetId="47" r:id="rId2"/>
    <sheet name="２－２" sheetId="48" r:id="rId3"/>
    <sheet name="２－３" sheetId="46" r:id="rId4"/>
    <sheet name="２－４" sheetId="49" r:id="rId5"/>
    <sheet name="２－5" sheetId="50" r:id="rId6"/>
    <sheet name="様式３　履修者等数の実績" sheetId="40" r:id="rId7"/>
    <sheet name="様式４　教育の質・履修者数を向上させるための体制・計画" sheetId="45" r:id="rId8"/>
    <sheet name="様式５　自己点検・評価" sheetId="42" r:id="rId9"/>
  </sheets>
  <definedNames>
    <definedName name="_xlnm._FilterDatabase" localSheetId="1" hidden="1">'２－1'!#REF!</definedName>
    <definedName name="_xlnm._FilterDatabase" localSheetId="2" hidden="1">'２－２'!#REF!</definedName>
    <definedName name="_xlnm._FilterDatabase" localSheetId="3" hidden="1">'２－３'!#REF!</definedName>
    <definedName name="_xlnm._FilterDatabase" localSheetId="4" hidden="1">'２－４'!#REF!</definedName>
    <definedName name="_xlnm._FilterDatabase" localSheetId="5" hidden="1">'２－5'!#REF!</definedName>
    <definedName name="_xlnm._FilterDatabase" localSheetId="6" hidden="1">'様式３　履修者等数の実績'!#REF!</definedName>
    <definedName name="_xlnm.Print_Area" localSheetId="1">'２－1'!$A$1:$Z$98</definedName>
    <definedName name="_xlnm.Print_Area" localSheetId="2">'２－２'!$A$1:$Z$98</definedName>
    <definedName name="_xlnm.Print_Area" localSheetId="3">'２－３'!$A$1:$Z$98</definedName>
    <definedName name="_xlnm.Print_Area" localSheetId="4">'２－４'!$A$1:$Z$98</definedName>
    <definedName name="_xlnm.Print_Area" localSheetId="5">'２－5'!$A$1:$Z$98</definedName>
    <definedName name="_xlnm.Print_Area" localSheetId="0">'様式１　大学等概要'!$A$1:$N$45</definedName>
    <definedName name="_xlnm.Print_Area" localSheetId="6">'様式３　履修者等数の実績'!$A$1:$R$30</definedName>
    <definedName name="_xlnm.Print_Area" localSheetId="7">'様式４　教育の質・履修者数を向上させるための体制・計画'!$A$1:$J$130</definedName>
    <definedName name="_xlnm.Print_Area" localSheetId="8">'様式５　自己点検・評価'!$A$1:$J$18</definedName>
  </definedNames>
  <calcPr calcId="191028"/>
</workbook>
</file>

<file path=xl/calcChain.xml><?xml version="1.0" encoding="utf-8"?>
<calcChain xmlns="http://schemas.openxmlformats.org/spreadsheetml/2006/main">
  <c r="Q13" i="40" l="1"/>
  <c r="K113" i="45"/>
  <c r="K91" i="45"/>
  <c r="K69" i="45"/>
  <c r="K46" i="45"/>
  <c r="K31" i="45"/>
  <c r="K15" i="45"/>
  <c r="K8" i="45"/>
  <c r="K5" i="45"/>
  <c r="K18" i="42" l="1"/>
  <c r="K16" i="42"/>
  <c r="K15" i="42"/>
  <c r="K9" i="42"/>
  <c r="K8" i="42"/>
  <c r="K7" i="42"/>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5" s="1"/>
  <c r="C30" i="40"/>
  <c r="Q29" i="40"/>
  <c r="R29" i="40" s="1"/>
  <c r="Q28" i="40"/>
  <c r="R28" i="40" s="1"/>
  <c r="Q27" i="40"/>
  <c r="R27" i="40" s="1"/>
  <c r="Q26" i="40"/>
  <c r="R26" i="40" s="1"/>
  <c r="Q25" i="40"/>
  <c r="R25" i="40" s="1"/>
  <c r="Q24" i="40"/>
  <c r="R24" i="40" s="1"/>
  <c r="Q23" i="40"/>
  <c r="R23" i="40" s="1"/>
  <c r="Q22" i="40"/>
  <c r="R22" i="40" s="1"/>
  <c r="Q21" i="40"/>
  <c r="R21" i="40" s="1"/>
  <c r="Q20" i="40"/>
  <c r="R20" i="40" s="1"/>
  <c r="Q19" i="40"/>
  <c r="R19" i="40" s="1"/>
  <c r="Q18" i="40"/>
  <c r="R18" i="40" s="1"/>
  <c r="Q17" i="40"/>
  <c r="R17" i="40" s="1"/>
  <c r="Q16" i="40"/>
  <c r="R16" i="40" s="1"/>
  <c r="Q15" i="40"/>
  <c r="R15" i="40" s="1"/>
  <c r="Q14" i="40"/>
  <c r="R14" i="40" s="1"/>
  <c r="R13" i="40"/>
  <c r="Q12" i="40"/>
  <c r="R12" i="40" s="1"/>
  <c r="Q11" i="40"/>
  <c r="R11" i="40" s="1"/>
  <c r="Q10" i="40"/>
  <c r="Q30" i="40" l="1"/>
  <c r="R30" i="40" s="1"/>
  <c r="C28" i="45" s="1"/>
  <c r="R10" i="40"/>
</calcChain>
</file>

<file path=xl/sharedStrings.xml><?xml version="1.0" encoding="utf-8"?>
<sst xmlns="http://schemas.openxmlformats.org/spreadsheetml/2006/main" count="1008" uniqueCount="298">
  <si>
    <t>様式１</t>
    <rPh sb="0" eb="2">
      <t>ヨウシキ</t>
    </rPh>
    <phoneticPr fontId="2"/>
  </si>
  <si>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2"/>
  </si>
  <si>
    <t>①</t>
    <phoneticPr fontId="2"/>
  </si>
  <si>
    <t>学校名</t>
    <rPh sb="0" eb="2">
      <t>ガッコウ</t>
    </rPh>
    <rPh sb="2" eb="3">
      <t>メイ</t>
    </rPh>
    <phoneticPr fontId="2"/>
  </si>
  <si>
    <t>岐阜工業高等専門学校</t>
    <rPh sb="0" eb="10">
      <t>ギフコウギョウコウトウセンモンガッコウ</t>
    </rPh>
    <phoneticPr fontId="2"/>
  </si>
  <si>
    <t>②</t>
    <phoneticPr fontId="2"/>
  </si>
  <si>
    <t>大学等の設置者</t>
  </si>
  <si>
    <t>独立行政法人 国立高等専門学校機構</t>
    <rPh sb="0" eb="6">
      <t>ドクリツギョウセイホウジン</t>
    </rPh>
    <rPh sb="7" eb="17">
      <t>コクリツコウトウセンモンガッコウキコウ</t>
    </rPh>
    <phoneticPr fontId="2"/>
  </si>
  <si>
    <t>③</t>
  </si>
  <si>
    <t>設置形態</t>
    <phoneticPr fontId="2"/>
  </si>
  <si>
    <t>高等専門学校</t>
  </si>
  <si>
    <t>④</t>
    <phoneticPr fontId="2"/>
  </si>
  <si>
    <t>所在地</t>
    <phoneticPr fontId="2"/>
  </si>
  <si>
    <t>岐阜県本巣市上真桑2236番2</t>
    <rPh sb="0" eb="6">
      <t>ギフケンモトスシ</t>
    </rPh>
    <rPh sb="6" eb="9">
      <t>カミマクワ</t>
    </rPh>
    <rPh sb="13" eb="14">
      <t>バン</t>
    </rPh>
    <phoneticPr fontId="2"/>
  </si>
  <si>
    <t>⑤</t>
    <phoneticPr fontId="2"/>
  </si>
  <si>
    <t>申請するプログラム名称</t>
    <rPh sb="0" eb="2">
      <t>シンセイ</t>
    </rPh>
    <rPh sb="9" eb="11">
      <t>メイショウ</t>
    </rPh>
    <phoneticPr fontId="2"/>
  </si>
  <si>
    <t>岐阜工業高等専門学校　数理・データサイエンス・AI教育プログラム</t>
    <rPh sb="0" eb="10">
      <t>ギフコウギョウコウトウセンモンガッコウ</t>
    </rPh>
    <rPh sb="11" eb="13">
      <t>スウリ</t>
    </rPh>
    <rPh sb="25" eb="27">
      <t>キョウイク</t>
    </rPh>
    <phoneticPr fontId="2"/>
  </si>
  <si>
    <t>⑥</t>
    <phoneticPr fontId="2"/>
  </si>
  <si>
    <t>プログラムの開設年度</t>
    <rPh sb="6" eb="8">
      <t>カイセツ</t>
    </rPh>
    <rPh sb="8" eb="10">
      <t>ネンド</t>
    </rPh>
    <phoneticPr fontId="2"/>
  </si>
  <si>
    <t>平成29</t>
    <rPh sb="0" eb="2">
      <t>ヘイセイ</t>
    </rPh>
    <phoneticPr fontId="2"/>
  </si>
  <si>
    <t>年度</t>
    <rPh sb="0" eb="2">
      <t>ネンド</t>
    </rPh>
    <phoneticPr fontId="2"/>
  </si>
  <si>
    <t>⑦応用基礎レベルの申請の有無</t>
    <phoneticPr fontId="2"/>
  </si>
  <si>
    <t>無</t>
  </si>
  <si>
    <t>⑧</t>
    <phoneticPr fontId="2"/>
  </si>
  <si>
    <t>教員数</t>
    <rPh sb="0" eb="2">
      <t>キョウイン</t>
    </rPh>
    <rPh sb="2" eb="3">
      <t>スウ</t>
    </rPh>
    <phoneticPr fontId="2"/>
  </si>
  <si>
    <t>（常勤）</t>
    <rPh sb="1" eb="3">
      <t>ジョウキン</t>
    </rPh>
    <phoneticPr fontId="2"/>
  </si>
  <si>
    <t>人</t>
    <rPh sb="0" eb="1">
      <t>ニン</t>
    </rPh>
    <phoneticPr fontId="2"/>
  </si>
  <si>
    <t>（非常勤）</t>
    <rPh sb="1" eb="4">
      <t>ヒジョウキン</t>
    </rPh>
    <phoneticPr fontId="2"/>
  </si>
  <si>
    <t>⑨</t>
    <phoneticPr fontId="2"/>
  </si>
  <si>
    <t>プログラムの授業を教えている教員数</t>
    <rPh sb="6" eb="8">
      <t>ジュギョウ</t>
    </rPh>
    <rPh sb="9" eb="10">
      <t>オシ</t>
    </rPh>
    <rPh sb="14" eb="16">
      <t>キョウイン</t>
    </rPh>
    <rPh sb="16" eb="17">
      <t>スウ</t>
    </rPh>
    <phoneticPr fontId="2"/>
  </si>
  <si>
    <t>⑩</t>
    <phoneticPr fontId="2"/>
  </si>
  <si>
    <t>全学部・学科の入学定員</t>
    <rPh sb="0" eb="1">
      <t>ゼン</t>
    </rPh>
    <rPh sb="4" eb="6">
      <t>ガッカ</t>
    </rPh>
    <rPh sb="7" eb="9">
      <t>ニュウガク</t>
    </rPh>
    <rPh sb="9" eb="11">
      <t>テイイン</t>
    </rPh>
    <phoneticPr fontId="2"/>
  </si>
  <si>
    <t>人</t>
  </si>
  <si>
    <t>⑪</t>
    <phoneticPr fontId="2"/>
  </si>
  <si>
    <t>全学部・学科の学生数（学年別）</t>
    <rPh sb="0" eb="1">
      <t>ゼン</t>
    </rPh>
    <rPh sb="4" eb="6">
      <t>ガッカ</t>
    </rPh>
    <rPh sb="7" eb="10">
      <t>ガクセイスウ</t>
    </rPh>
    <rPh sb="11" eb="13">
      <t>ガクネン</t>
    </rPh>
    <rPh sb="13" eb="14">
      <t>ベツ</t>
    </rPh>
    <phoneticPr fontId="2"/>
  </si>
  <si>
    <t>総数</t>
    <rPh sb="0" eb="2">
      <t>ソウスウ</t>
    </rPh>
    <phoneticPr fontId="2"/>
  </si>
  <si>
    <t>１年次</t>
    <rPh sb="1" eb="2">
      <t>ネン</t>
    </rPh>
    <rPh sb="2" eb="3">
      <t>ツギ</t>
    </rPh>
    <phoneticPr fontId="2"/>
  </si>
  <si>
    <t>２年次</t>
    <rPh sb="1" eb="2">
      <t>ネン</t>
    </rPh>
    <rPh sb="2" eb="3">
      <t>ツギ</t>
    </rPh>
    <phoneticPr fontId="2"/>
  </si>
  <si>
    <t>３年次</t>
    <rPh sb="1" eb="2">
      <t>ネン</t>
    </rPh>
    <rPh sb="2" eb="3">
      <t>ツギ</t>
    </rPh>
    <phoneticPr fontId="2"/>
  </si>
  <si>
    <t>４年次</t>
    <rPh sb="1" eb="2">
      <t>ネン</t>
    </rPh>
    <rPh sb="2" eb="3">
      <t>ツギ</t>
    </rPh>
    <phoneticPr fontId="2"/>
  </si>
  <si>
    <t>５年次</t>
    <rPh sb="1" eb="2">
      <t>ネン</t>
    </rPh>
    <rPh sb="2" eb="3">
      <t>ツギ</t>
    </rPh>
    <phoneticPr fontId="2"/>
  </si>
  <si>
    <t>６年次</t>
    <rPh sb="1" eb="2">
      <t>ネン</t>
    </rPh>
    <rPh sb="2" eb="3">
      <t>ツギ</t>
    </rPh>
    <phoneticPr fontId="2"/>
  </si>
  <si>
    <t>⑫</t>
    <phoneticPr fontId="2"/>
  </si>
  <si>
    <t>プログラムの運営責任者</t>
    <phoneticPr fontId="2"/>
  </si>
  <si>
    <t>（責任者名）</t>
    <rPh sb="1" eb="4">
      <t>セキニンシャ</t>
    </rPh>
    <rPh sb="4" eb="5">
      <t>メイ</t>
    </rPh>
    <phoneticPr fontId="2"/>
  </si>
  <si>
    <t>伊津野　真一</t>
    <rPh sb="0" eb="3">
      <t>イツノ</t>
    </rPh>
    <rPh sb="4" eb="6">
      <t>シンイチ</t>
    </rPh>
    <phoneticPr fontId="2"/>
  </si>
  <si>
    <t>（役職名）</t>
    <rPh sb="1" eb="4">
      <t>ヤクショクメイ</t>
    </rPh>
    <phoneticPr fontId="2"/>
  </si>
  <si>
    <t>校長</t>
    <rPh sb="0" eb="2">
      <t>コウチョウ</t>
    </rPh>
    <phoneticPr fontId="2"/>
  </si>
  <si>
    <t>⑬</t>
    <phoneticPr fontId="2"/>
  </si>
  <si>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2"/>
  </si>
  <si>
    <t>教務会議</t>
    <rPh sb="0" eb="4">
      <t>キョウムカイギ</t>
    </rPh>
    <phoneticPr fontId="2"/>
  </si>
  <si>
    <t>北川　秀夫</t>
    <rPh sb="0" eb="2">
      <t>キタガワ</t>
    </rPh>
    <rPh sb="3" eb="5">
      <t>ヒデオ</t>
    </rPh>
    <phoneticPr fontId="2"/>
  </si>
  <si>
    <t>副校長（教務主事）</t>
    <rPh sb="0" eb="3">
      <t>フクコウチョウ</t>
    </rPh>
    <rPh sb="4" eb="8">
      <t>キョウムシュジ</t>
    </rPh>
    <phoneticPr fontId="2"/>
  </si>
  <si>
    <t>⑭</t>
    <phoneticPr fontId="2"/>
  </si>
  <si>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2"/>
  </si>
  <si>
    <t>点検評価・フォローアップ委員会</t>
    <rPh sb="0" eb="4">
      <t>テンケンヒョウカ</t>
    </rPh>
    <rPh sb="12" eb="15">
      <t>イインカイ</t>
    </rPh>
    <phoneticPr fontId="2"/>
  </si>
  <si>
    <t>吉村　優治</t>
    <rPh sb="0" eb="2">
      <t>ヨシムラ</t>
    </rPh>
    <rPh sb="3" eb="5">
      <t>ユウジ</t>
    </rPh>
    <phoneticPr fontId="2"/>
  </si>
  <si>
    <t>点検評価・フォローアップ委員長</t>
    <rPh sb="0" eb="4">
      <t>テンケンヒョウカ</t>
    </rPh>
    <rPh sb="12" eb="15">
      <t>イインチョウ</t>
    </rPh>
    <phoneticPr fontId="2"/>
  </si>
  <si>
    <t>⑮</t>
    <phoneticPr fontId="2"/>
  </si>
  <si>
    <t>申請する認定プログラム</t>
    <rPh sb="0" eb="2">
      <t>シンセイ</t>
    </rPh>
    <rPh sb="4" eb="6">
      <t>ニンテイ</t>
    </rPh>
    <phoneticPr fontId="2"/>
  </si>
  <si>
    <t>認定教育プログラム</t>
  </si>
  <si>
    <t>連絡先</t>
  </si>
  <si>
    <t>所属部署名</t>
    <rPh sb="0" eb="2">
      <t>ショゾク</t>
    </rPh>
    <rPh sb="2" eb="4">
      <t>ブショ</t>
    </rPh>
    <rPh sb="4" eb="5">
      <t>メイ</t>
    </rPh>
    <phoneticPr fontId="2"/>
  </si>
  <si>
    <t>学生課教務係</t>
    <rPh sb="0" eb="3">
      <t>ガクセイカ</t>
    </rPh>
    <rPh sb="3" eb="6">
      <t>キョウムカカリ</t>
    </rPh>
    <phoneticPr fontId="2"/>
  </si>
  <si>
    <t>担当者名</t>
    <rPh sb="0" eb="2">
      <t>タントウ</t>
    </rPh>
    <rPh sb="2" eb="3">
      <t>シャ</t>
    </rPh>
    <rPh sb="3" eb="4">
      <t>メイ</t>
    </rPh>
    <phoneticPr fontId="2"/>
  </si>
  <si>
    <t>今西　文香</t>
    <rPh sb="0" eb="2">
      <t>イマニシ</t>
    </rPh>
    <rPh sb="3" eb="5">
      <t>フミカ</t>
    </rPh>
    <phoneticPr fontId="2"/>
  </si>
  <si>
    <t>E-mail</t>
  </si>
  <si>
    <t>kyoumu@gifu-nct.ac.jp</t>
  </si>
  <si>
    <t>電話番号</t>
  </si>
  <si>
    <t>058-320-1251</t>
    <phoneticPr fontId="2"/>
  </si>
  <si>
    <t>様式２－１</t>
    <phoneticPr fontId="2"/>
  </si>
  <si>
    <t>プログラムを構成する授業科目について</t>
    <phoneticPr fontId="2"/>
  </si>
  <si>
    <t>①具体的な修了要件</t>
    <phoneticPr fontId="2"/>
  </si>
  <si>
    <t>②教育プログラムの修了要件</t>
    <phoneticPr fontId="2"/>
  </si>
  <si>
    <t>学部・学科によって、修了要件は相違する</t>
  </si>
  <si>
    <t>機械工学科では以下の科目を全て修得することにより、本教育プログラムを修了できる。
ものづくり入門（1年）、情報リテラシー（2年）、情報処理Ⅰ（3年）、機械工学実験Ⅰ（3年）、情報処理Ⅱ（4年）、機械工学実験Ⅱ（4年）、機械工学基礎研究（4年）、技術者倫理（5年）</t>
    <rPh sb="7" eb="9">
      <t>イカ</t>
    </rPh>
    <rPh sb="10" eb="12">
      <t>カモク</t>
    </rPh>
    <rPh sb="13" eb="14">
      <t>スベ</t>
    </rPh>
    <rPh sb="15" eb="17">
      <t>シュウトク</t>
    </rPh>
    <rPh sb="25" eb="26">
      <t>ホン</t>
    </rPh>
    <rPh sb="26" eb="28">
      <t>キョウイク</t>
    </rPh>
    <rPh sb="34" eb="36">
      <t>シュウリョウ</t>
    </rPh>
    <rPh sb="47" eb="49">
      <t>ニュウモン</t>
    </rPh>
    <rPh sb="51" eb="52">
      <t>ネン</t>
    </rPh>
    <rPh sb="54" eb="56">
      <t>ジョウホウ</t>
    </rPh>
    <rPh sb="63" eb="64">
      <t>ネン</t>
    </rPh>
    <rPh sb="66" eb="70">
      <t>ジョウホウショリ</t>
    </rPh>
    <rPh sb="73" eb="74">
      <t>ネン</t>
    </rPh>
    <rPh sb="76" eb="82">
      <t>キカイコウガクジッケン</t>
    </rPh>
    <rPh sb="85" eb="86">
      <t>ネン</t>
    </rPh>
    <rPh sb="88" eb="92">
      <t>ジョウホウショリ</t>
    </rPh>
    <rPh sb="95" eb="96">
      <t>ネン</t>
    </rPh>
    <rPh sb="98" eb="104">
      <t>キカイコウガクジッケン</t>
    </rPh>
    <rPh sb="107" eb="108">
      <t>ネン</t>
    </rPh>
    <rPh sb="110" eb="118">
      <t>キカイコウガクキソケンキュウ</t>
    </rPh>
    <rPh sb="120" eb="121">
      <t>ネン</t>
    </rPh>
    <rPh sb="123" eb="128">
      <t>ギジュツシャリンリ</t>
    </rPh>
    <rPh sb="130" eb="131">
      <t>ネン</t>
    </rPh>
    <phoneticPr fontId="2"/>
  </si>
  <si>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2"/>
  </si>
  <si>
    <t>授業科目</t>
    <rPh sb="0" eb="2">
      <t>ジュギョウ</t>
    </rPh>
    <rPh sb="2" eb="4">
      <t>カモク</t>
    </rPh>
    <phoneticPr fontId="2"/>
  </si>
  <si>
    <t>単位数</t>
    <rPh sb="0" eb="3">
      <t>タンイスウ</t>
    </rPh>
    <phoneticPr fontId="2"/>
  </si>
  <si>
    <t>必修</t>
    <rPh sb="0" eb="2">
      <t>ヒッシュウ</t>
    </rPh>
    <phoneticPr fontId="2"/>
  </si>
  <si>
    <t>開講状況</t>
    <phoneticPr fontId="2"/>
  </si>
  <si>
    <t>1-1</t>
    <phoneticPr fontId="2"/>
  </si>
  <si>
    <t>1-6</t>
  </si>
  <si>
    <t>ものづくり入門</t>
  </si>
  <si>
    <t>○</t>
  </si>
  <si>
    <t>一部開講</t>
  </si>
  <si>
    <t>情報リテラシー</t>
  </si>
  <si>
    <t>情報処理I</t>
  </si>
  <si>
    <t>機械工学基礎研究</t>
  </si>
  <si>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2"/>
  </si>
  <si>
    <t>1-2</t>
    <phoneticPr fontId="2"/>
  </si>
  <si>
    <t>1-3</t>
    <phoneticPr fontId="2"/>
  </si>
  <si>
    <t>機械工学実験I</t>
  </si>
  <si>
    <t>機械工学実験II</t>
  </si>
  <si>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2"/>
  </si>
  <si>
    <t>1-4</t>
    <phoneticPr fontId="2"/>
  </si>
  <si>
    <t>1-5</t>
    <phoneticPr fontId="2"/>
  </si>
  <si>
    <t>情報処理II</t>
  </si>
  <si>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2"/>
  </si>
  <si>
    <t>3-1</t>
    <phoneticPr fontId="2"/>
  </si>
  <si>
    <t>3-2</t>
    <phoneticPr fontId="2"/>
  </si>
  <si>
    <t>技術者倫理</t>
  </si>
  <si>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2"/>
  </si>
  <si>
    <t>2-1</t>
    <phoneticPr fontId="2"/>
  </si>
  <si>
    <t>2-2</t>
    <phoneticPr fontId="2"/>
  </si>
  <si>
    <t>2-3</t>
    <phoneticPr fontId="2"/>
  </si>
  <si>
    <t>⑧選択「４．オプション」の内容を含む授業科目</t>
    <rPh sb="13" eb="15">
      <t>ナイヨウ</t>
    </rPh>
    <rPh sb="16" eb="17">
      <t>フク</t>
    </rPh>
    <rPh sb="18" eb="20">
      <t>ジュギョウ</t>
    </rPh>
    <rPh sb="20" eb="22">
      <t>カモク</t>
    </rPh>
    <phoneticPr fontId="2"/>
  </si>
  <si>
    <t>選択項目</t>
    <rPh sb="0" eb="2">
      <t>センタク</t>
    </rPh>
    <rPh sb="2" eb="4">
      <t>コウモク</t>
    </rPh>
    <phoneticPr fontId="2"/>
  </si>
  <si>
    <t>応用数学II</t>
  </si>
  <si>
    <t>4-1統計および数理基礎</t>
  </si>
  <si>
    <t>⑨プログラムを構成する授業の内容</t>
    <phoneticPr fontId="2"/>
  </si>
  <si>
    <t>授業に含まれている内容・要素</t>
    <phoneticPr fontId="2"/>
  </si>
  <si>
    <t>講義内容</t>
    <rPh sb="0" eb="2">
      <t>コウギ</t>
    </rPh>
    <rPh sb="2" eb="4">
      <t>ナイヨウ</t>
    </rPh>
    <phoneticPr fontId="2"/>
  </si>
  <si>
    <t>（１）現在進行中の社会変化（第４次産業革命、Society 5.0、データ駆動型社会等）に深く寄与しているものであり、それが自らの生活と密接に結びついている</t>
    <phoneticPr fontId="2"/>
  </si>
  <si>
    <t>機械工学とITとの関わり：「情報リテラシー」（1〜2回目）、「機械工学基礎研究」（1回目）</t>
  </si>
  <si>
    <t>1-6</t>
    <phoneticPr fontId="2"/>
  </si>
  <si>
    <t>ものづくり（設計）とデータの関係：「ものづくり入門」（1回目）
機械工学におけるデータ・AIの活用事例の紹介：「情報処理I」（1回目）、「機械工学基礎研究」（1回目）</t>
  </si>
  <si>
    <t>（２）「社会で活用されているデータ」や「データの活用領域」は非常に広範囲であって、日常生活や社会の課題を解決する有用なツールになり得るもの</t>
    <phoneticPr fontId="2"/>
  </si>
  <si>
    <t>機械工学分野で扱うデータの活用事例：「情報リテラシー」（1〜2回目）、「機械工学実験I」（1〜3回目）、「機械工学実験II」（1回目）、「機械工学基礎研究」（1回目）</t>
  </si>
  <si>
    <t>機械工学分野で扱うデータの活用領域：「情報リテラシー」（1〜2回目）、「機械工学実験I」（1〜3回目）、「機械工学実験II」（14,15回目）、「機械工学基礎研究」（2〜15回目）</t>
  </si>
  <si>
    <t>（３）様々なデータ利活用の現場におけるデータ利活用事例が示され、様々な適用領域（流通、製造、金融、サービス、インフラ、公共、ヘルスケア等）の知見と組み合わせることで価値を創出するもの</t>
    <phoneticPr fontId="2"/>
  </si>
  <si>
    <t>C言語をベースとしたデータ活用技術：「情報処理I」（2〜14回目）
Arduinoをベースとしたデータの活用技術：「情報処理II」（2〜14回目）
機械工学系実験におけるデータの活用技術：「機械工学実験I」（1〜3回目）、「機械工学実験II」（1回目）、「機械工学基礎研究」（1回目）</t>
  </si>
  <si>
    <t>C言語をベースとしたデータ活用の事例：「情報処理I」（2〜14回目）
Arduinoをベースとしたデータ活用の事例：「情報処理II」（2〜14回目）
機械工学系実験におけるデータ活用の事例：「機械工学実験I」（1〜3回目）、「機械工学実験II」（1回目）、「機械工学基礎研究」（1回目）</t>
  </si>
  <si>
    <t>（４）活用に当たっての様々な留意事項（ELSI、個人情報、データ倫理、ＡＩ社会原則等）を考慮し、情報セキュリティや情報漏洩等、データを守る上での留意事項への理解をする</t>
    <phoneticPr fontId="2"/>
  </si>
  <si>
    <t>機械工学系データの取扱いにおける留意事項：「情報処理I」（2〜14回目）、「情報処理II」（2〜14回目）、「機械工学基礎研究」（2〜15回目）
機械工学エンジニアとしてデータ取り扱う際の留意事項：「技術者倫理」（1〜15回目）</t>
  </si>
  <si>
    <t>機械工学系データを守る上での留意事項：「情報処理I」（2〜14回目）、「情報処理II」（2〜14回目）、「機械工学基礎研究」（2〜15回目）
機械工学エンジニアとしてデータを守る上での留意事項：「技術者倫理」（1〜15回目）</t>
  </si>
  <si>
    <t>（５）実データ・実課題（学術データ等を含む）を用いた演習など、社会での実例を題材として、「データを読む、説明する、扱う」といった数理・データサイエンス・ＡＩの基本的な活用法に関するもの</t>
    <phoneticPr fontId="2"/>
  </si>
  <si>
    <t>機械工学分野におけるデータの取得：「機械工学実験I」（4〜15回目）、「機械工学実験II」（2〜15回目）、「機械工学基礎研究」（2〜15回目）</t>
  </si>
  <si>
    <t>機械工学分野におけるデータの評価方法：「機械工学実験I」（4〜15回目）、「機械工学実験II」（2〜15回目）、「機械工学基礎研究」（2〜15回目）</t>
  </si>
  <si>
    <t>機械工学分野におけるデータの処理方法：「機械工学実験I」（4〜15回目）、「機械工学実験II」（2〜15回目）</t>
  </si>
  <si>
    <t>⑩プログラムの学修成果（学生等が身に付けられる能力等）</t>
    <phoneticPr fontId="2"/>
  </si>
  <si>
    <t>本プログラムを学修することにより、数理・データサイエンス・AIの基礎を修得するとともに、自らの専門分野との融合・活用するスキルを得ることができる。</t>
  </si>
  <si>
    <t>⑪プログラムの授業内容等を公表しているアドレス</t>
    <phoneticPr fontId="2"/>
  </si>
  <si>
    <t>https://www.gifu-nct.ac.jp/campuslife/datascience/</t>
  </si>
  <si>
    <t>様式２－２</t>
    <phoneticPr fontId="2"/>
  </si>
  <si>
    <t>電気情報工学科では以下の科目を全て修得することにより、本教育プログラムを修了できる。
電気電子設計製図（1年）、論理学（2年）、電気情報工学実験（2年）、電気情報工学実験（3年）、プログラミング（3年）、応用数学A（3年）、計算機アーキテクチャ（3年）</t>
    <rPh sb="0" eb="4">
      <t>デンキジョウホウ</t>
    </rPh>
    <rPh sb="9" eb="11">
      <t>イカ</t>
    </rPh>
    <rPh sb="12" eb="14">
      <t>カモク</t>
    </rPh>
    <rPh sb="15" eb="16">
      <t>スベ</t>
    </rPh>
    <rPh sb="17" eb="19">
      <t>シュウトク</t>
    </rPh>
    <rPh sb="27" eb="28">
      <t>ホン</t>
    </rPh>
    <rPh sb="28" eb="30">
      <t>キョウイク</t>
    </rPh>
    <rPh sb="36" eb="38">
      <t>シュウリョウ</t>
    </rPh>
    <rPh sb="44" eb="52">
      <t>デンキデンシセッケイセイズ</t>
    </rPh>
    <rPh sb="54" eb="55">
      <t>ネン</t>
    </rPh>
    <rPh sb="57" eb="60">
      <t>ロンリガク</t>
    </rPh>
    <rPh sb="62" eb="63">
      <t>ネン</t>
    </rPh>
    <rPh sb="65" eb="73">
      <t>デンキジョウホウコウガクジッケン</t>
    </rPh>
    <rPh sb="75" eb="76">
      <t>ネン</t>
    </rPh>
    <rPh sb="78" eb="86">
      <t>デンキジョウホウコウガクジッケン</t>
    </rPh>
    <rPh sb="88" eb="89">
      <t>ネン</t>
    </rPh>
    <rPh sb="100" eb="101">
      <t>ネン</t>
    </rPh>
    <rPh sb="103" eb="107">
      <t>オウヨウスウガク</t>
    </rPh>
    <rPh sb="110" eb="111">
      <t>ネン</t>
    </rPh>
    <rPh sb="113" eb="116">
      <t>ケイサンキ</t>
    </rPh>
    <rPh sb="125" eb="126">
      <t>ネン</t>
    </rPh>
    <phoneticPr fontId="2"/>
  </si>
  <si>
    <t>電気電子設計製図</t>
    <phoneticPr fontId="2"/>
  </si>
  <si>
    <t>計算機アーキテクチャ</t>
    <phoneticPr fontId="2"/>
  </si>
  <si>
    <t>電気情報工学実験（３年）</t>
    <phoneticPr fontId="2"/>
  </si>
  <si>
    <t>電気情報工学実験（２年）</t>
    <rPh sb="0" eb="3">
      <t>デンキ</t>
    </rPh>
    <rPh sb="4" eb="5">
      <t>コウガク</t>
    </rPh>
    <phoneticPr fontId="2"/>
  </si>
  <si>
    <t>論理学</t>
    <rPh sb="0" eb="3">
      <t>ロンリ</t>
    </rPh>
    <phoneticPr fontId="2"/>
  </si>
  <si>
    <t>電気情報工学実験（２年）</t>
    <phoneticPr fontId="2"/>
  </si>
  <si>
    <t>応用数学A</t>
    <phoneticPr fontId="2"/>
  </si>
  <si>
    <t>プログラミング（３年）</t>
    <rPh sb="9" eb="10">
      <t>ネn</t>
    </rPh>
    <phoneticPr fontId="2"/>
  </si>
  <si>
    <t>プログラミング（２年）</t>
    <rPh sb="9" eb="10">
      <t>ネn</t>
    </rPh>
    <phoneticPr fontId="2"/>
  </si>
  <si>
    <t>4‐3データ構造とプログラミング基礎</t>
  </si>
  <si>
    <t>データ構造とアルゴリズム</t>
    <phoneticPr fontId="2"/>
  </si>
  <si>
    <t>信号処理</t>
    <phoneticPr fontId="2"/>
  </si>
  <si>
    <t>4‐4時系列データ解析</t>
  </si>
  <si>
    <t>CGとインタフェース</t>
    <phoneticPr fontId="2"/>
  </si>
  <si>
    <t>4‐6画像解析</t>
  </si>
  <si>
    <t>数値解析</t>
    <phoneticPr fontId="2"/>
  </si>
  <si>
    <t>4‐7データハンドリング</t>
  </si>
  <si>
    <t>情報ネットワーク</t>
    <phoneticPr fontId="2"/>
  </si>
  <si>
    <t>その他</t>
  </si>
  <si>
    <t>・電気情報工学科教員紹介「電気電子設計製図」（２、３回目）
・コンピュータリテラシー１、２、３「電気電子設計製図」（４、５、１６回目）
・コンピュータ技術の歴史「計算機アーキテクチャ」（１回目）</t>
    <phoneticPr fontId="2"/>
  </si>
  <si>
    <t>・電気情報工学科教員紹介「電気電子設計製図」（２、３回目）
・システムの分類と組み込みコンピューティング「計算機アーキテクチャ」（１６回目）</t>
  </si>
  <si>
    <t>・電子回路のコンピュータシミュレーション１，２「電気電子設計製図」）（１１、１３回目）
・複雑なハードウェアとソフトウェアの連携「電気情報工学実験（３年）」（１７回目）</t>
  </si>
  <si>
    <t>・GPS、現象のモデル化と数値解析「電気情報工学実験（３年）」（６、１４回目）</t>
  </si>
  <si>
    <t>・電子回路のコンピュータシミュレーション１，２「電気電子設計製図」）（１１、１３回目）
・画像処理「電気情報工学実験（２年）」（３０回目）
・組み合わせ論理回路のシミュレータ実装、シミュレータによる順序回路の実装「論理学」（１０、１４回目）</t>
  </si>
  <si>
    <t>・CADによる電気図面の作成「電気電子設計製図」（７回目）</t>
  </si>
  <si>
    <t>・情報リテラシー「電気電子設計製図」（１回目）</t>
  </si>
  <si>
    <t>・実験ガイダンス、レポート指導１，２「電気情報工学実験（２年）」（１、３、４回目）
・電子レポートの作り方「電気情報工学実験（３年）」（２回目）
・確率、確率分布「応用数学A」（８-１５回目）</t>
  </si>
  <si>
    <t>・実験ガイダンス、レポート指導１，２「電気情報工学実験（２年）」（１、３、４回目）
・電子レポートの作り方、バイナリデータの解析「電気情報工学実験（３年）」（２、５回目）</t>
  </si>
  <si>
    <t>・実験ガイダンス、レポート指導１，２「電気情報工学実験（２年）」（１、３、４回目）
・電子レポートの作り方「電気情報工学実験（３年）」（２回目）
・単純ソート法、高速ソート法「プログラミング（３年）」（１７、１８、２０、２１回目）</t>
  </si>
  <si>
    <t>数理・データサイエンス・AIについて、基礎となるITリテラシー・コンピュータリテラシーを修得した後、情報リテラシーに基づくデータの入手・処理・提示
手法を身に付けて専門分野におけるデータの分析と処理・解釈能力が養成される。さらに、将来を見据えた様々な社会的問題への展開が可能となる。</t>
    <rPh sb="0" eb="2">
      <t>ショr</t>
    </rPh>
    <phoneticPr fontId="2"/>
  </si>
  <si>
    <t>様式２－３</t>
    <phoneticPr fontId="2"/>
  </si>
  <si>
    <t>電子制御工学科では以下の科目を全て修得することにより、本教育プログラムを修了できる。
電子制御工学概論（1年）、情報処理Ⅰ（2年）、情報処理Ⅱ（3年）、電子制御工学実験Ⅰ（3年）、応用数学A（3年）</t>
    <rPh sb="0" eb="4">
      <t>デンシセイギョ</t>
    </rPh>
    <rPh sb="9" eb="11">
      <t>イカ</t>
    </rPh>
    <rPh sb="12" eb="14">
      <t>カモク</t>
    </rPh>
    <rPh sb="15" eb="16">
      <t>スベ</t>
    </rPh>
    <rPh sb="17" eb="19">
      <t>シュウトク</t>
    </rPh>
    <rPh sb="27" eb="28">
      <t>ホン</t>
    </rPh>
    <rPh sb="28" eb="30">
      <t>キョウイク</t>
    </rPh>
    <rPh sb="36" eb="38">
      <t>シュウリョウ</t>
    </rPh>
    <rPh sb="44" eb="46">
      <t>デンシ</t>
    </rPh>
    <rPh sb="46" eb="48">
      <t>セイギョ</t>
    </rPh>
    <rPh sb="48" eb="50">
      <t>コウガク</t>
    </rPh>
    <rPh sb="50" eb="52">
      <t>ガイロン</t>
    </rPh>
    <rPh sb="54" eb="55">
      <t>ネン</t>
    </rPh>
    <rPh sb="57" eb="59">
      <t>ジョウホウ</t>
    </rPh>
    <rPh sb="59" eb="61">
      <t>ショリ</t>
    </rPh>
    <rPh sb="64" eb="65">
      <t>ネン</t>
    </rPh>
    <rPh sb="67" eb="69">
      <t>ジョウホウ</t>
    </rPh>
    <rPh sb="69" eb="71">
      <t>ショリ</t>
    </rPh>
    <rPh sb="74" eb="75">
      <t>ネン</t>
    </rPh>
    <rPh sb="77" eb="79">
      <t>デンシ</t>
    </rPh>
    <rPh sb="79" eb="81">
      <t>セイギョ</t>
    </rPh>
    <rPh sb="81" eb="83">
      <t>コウガク</t>
    </rPh>
    <rPh sb="83" eb="85">
      <t>ジッケン</t>
    </rPh>
    <rPh sb="88" eb="89">
      <t>ネン</t>
    </rPh>
    <rPh sb="91" eb="93">
      <t>オウヨウ</t>
    </rPh>
    <rPh sb="93" eb="95">
      <t>スウガク</t>
    </rPh>
    <rPh sb="98" eb="99">
      <t>ネン</t>
    </rPh>
    <phoneticPr fontId="2"/>
  </si>
  <si>
    <t>電子制御工学概論</t>
    <phoneticPr fontId="2"/>
  </si>
  <si>
    <t>情報処理Ⅰ</t>
    <phoneticPr fontId="2"/>
  </si>
  <si>
    <t>情報処理Ⅱ</t>
    <phoneticPr fontId="2"/>
  </si>
  <si>
    <t>電子制御工学実験Ⅰ</t>
    <phoneticPr fontId="2"/>
  </si>
  <si>
    <t>イントロダクション　「電子制御工学概論」（１回目）</t>
    <phoneticPr fontId="2"/>
  </si>
  <si>
    <t>情報系との関わり　「電子制御工学概論」（５～６回目）
電気電子系との関わり　「電子制御工学概論」（８～１０回目）
機械系との関わり　「電子制御工学概論」（１１～１３回目）
基礎科学との関わり　「電子制御工学概論」（１４回目）
計測と制御との関わり　　「電子制御工学概論」（１５回目）</t>
  </si>
  <si>
    <t>情報系との関わり　「電子制御工学概論」（５～６回目）
電気電子系との関わり　「電子制御工学概論」（８～１０回目）
機械系との関わり　「電子制御工学概論」（１１～１３回目）
基礎科学との関わり　「電子制御工学概論」（１４回目）
計測と制御との関わり　　「電子制御工学概論」（１５回目）</t>
    <phoneticPr fontId="2"/>
  </si>
  <si>
    <t>情報系との関わり　「電子制御工学概論」（５～６回目），電気電子系との関わり　「電子制御工学概論」（８～１０回目）
機械系との関わり　「電子制御工学概論」（１１～１３回目），基礎科学との関わり　「電子制御工学概論」（１４回目）
計測と制御との関わり　　「電子制御工学概論」（１５回目）</t>
    <phoneticPr fontId="2"/>
  </si>
  <si>
    <t>情報リテラシー　「電子制御工学概論」（2回目～4回目）</t>
    <phoneticPr fontId="2"/>
  </si>
  <si>
    <t>安全教育とレポート執筆要領　「電子制御工学実験Ⅰ」（前期１～５回目）</t>
    <phoneticPr fontId="2"/>
  </si>
  <si>
    <t>統計(度数分布，データの整理，統計量の計算，平均，分散・標準偏差)　「応用数学A」 （9回目），確率(確率の定義)　「応用数学A」 （10回目），確率(事象の性質，確率の性質・公理，加法定理) 　「応用数学A」（11回目），確率(条件付き確率，乗法定理，事象の独立，ベイズの定理) 　「応用数学A」（12回目），確率(試行の独立，反復試行の確率) 　「応用数学A」（13回目），確率分布(離散分布，２項分布，平均，分散・標準偏差) 　「応用数学A」（14回目）</t>
    <phoneticPr fontId="2"/>
  </si>
  <si>
    <t xml:space="preserve">実測データを用いた実験演習「電子制御工学実験Ⅰ」（前期６～１４回目）
実測データを用いた実験演習「電子制御工学実験Ⅰ」（後期１～７回目）
自由製作課題の設定、立案、製作、発表「電子制御工学実験Ⅰ」（後期８～１４回目）
</t>
    <phoneticPr fontId="2"/>
  </si>
  <si>
    <t>数理・データサイエンス・AIの基礎であるデータの処理能力（読む、説明する、扱う）と、社会変化で必要とされるデータ活用を理解し、自らの専門科目へ応用する能力が身に付く。</t>
    <phoneticPr fontId="2"/>
  </si>
  <si>
    <t>様式２－４</t>
    <phoneticPr fontId="2"/>
  </si>
  <si>
    <t>環境都市工学科では以下の科目を全て修得することにより、本教育プログラムを修了できる。
空間情報工学（4年）、基礎実験Ⅱ（4年）、技術者倫理（5年）</t>
    <rPh sb="0" eb="4">
      <t>カンキョウトシ</t>
    </rPh>
    <rPh sb="9" eb="11">
      <t>イカ</t>
    </rPh>
    <rPh sb="12" eb="14">
      <t>カモク</t>
    </rPh>
    <rPh sb="15" eb="16">
      <t>スベ</t>
    </rPh>
    <rPh sb="17" eb="19">
      <t>シュウトク</t>
    </rPh>
    <rPh sb="27" eb="28">
      <t>ホン</t>
    </rPh>
    <rPh sb="28" eb="30">
      <t>キョウイク</t>
    </rPh>
    <rPh sb="36" eb="38">
      <t>シュウリョウ</t>
    </rPh>
    <rPh sb="44" eb="46">
      <t>クウカン</t>
    </rPh>
    <rPh sb="46" eb="48">
      <t>ジョウホウ</t>
    </rPh>
    <rPh sb="48" eb="50">
      <t>コウガク</t>
    </rPh>
    <rPh sb="52" eb="53">
      <t>ネン</t>
    </rPh>
    <rPh sb="55" eb="57">
      <t>キソ</t>
    </rPh>
    <rPh sb="57" eb="59">
      <t>ジッケン</t>
    </rPh>
    <rPh sb="62" eb="63">
      <t>ネン</t>
    </rPh>
    <rPh sb="65" eb="68">
      <t>ギジュツシャ</t>
    </rPh>
    <rPh sb="68" eb="70">
      <t>リンリ</t>
    </rPh>
    <rPh sb="72" eb="73">
      <t>ネン</t>
    </rPh>
    <phoneticPr fontId="2"/>
  </si>
  <si>
    <t>空間情報工学</t>
    <phoneticPr fontId="2"/>
  </si>
  <si>
    <t>技術者倫理</t>
    <phoneticPr fontId="2"/>
  </si>
  <si>
    <t>基礎実験II</t>
    <rPh sb="0" eb="4">
      <t>キソジッケン</t>
    </rPh>
    <phoneticPr fontId="1"/>
  </si>
  <si>
    <t>数理計画学II</t>
    <phoneticPr fontId="2"/>
  </si>
  <si>
    <t>UAV測量を取り巻く社会変化：「空間情報工学」（1～5回目）
（UAV測量は、上空からUAVで地上を撮影し、写真測量を行うことにより、地上の形状を計測することができる手法であり、近年、ICT技術を活用したi-Constructionの一環として推進されている現在進行中の社会変化に対応した最新の測量技術である。）</t>
    <rPh sb="6" eb="7">
      <t>ト</t>
    </rPh>
    <rPh sb="8" eb="9">
      <t>マ</t>
    </rPh>
    <rPh sb="10" eb="12">
      <t>シャカイ</t>
    </rPh>
    <rPh sb="12" eb="14">
      <t>ヘンカ</t>
    </rPh>
    <rPh sb="27" eb="29">
      <t>カイメ</t>
    </rPh>
    <phoneticPr fontId="2"/>
  </si>
  <si>
    <t>UAV測量のデータ利活用の最新動向：「空間情報工学」（1～5回目）</t>
    <rPh sb="9" eb="12">
      <t>リカツヨウ</t>
    </rPh>
    <rPh sb="13" eb="17">
      <t>サイシンドウコウ</t>
    </rPh>
    <rPh sb="30" eb="32">
      <t>カイメ</t>
    </rPh>
    <phoneticPr fontId="2"/>
  </si>
  <si>
    <t xml:space="preserve">UAV測量で得られるデータの社会での活用事例：「空間情報工学」（1～5回目）
</t>
    <rPh sb="6" eb="7">
      <t>エ</t>
    </rPh>
    <rPh sb="14" eb="16">
      <t>シャカイ</t>
    </rPh>
    <rPh sb="18" eb="20">
      <t>カツヨウ</t>
    </rPh>
    <rPh sb="20" eb="22">
      <t>ジレイ</t>
    </rPh>
    <rPh sb="35" eb="37">
      <t>カイメ</t>
    </rPh>
    <phoneticPr fontId="2"/>
  </si>
  <si>
    <t>UAV測量で得られるデータの活用領域：「空間情報工学」（1～5回目）</t>
    <rPh sb="6" eb="7">
      <t>エ</t>
    </rPh>
    <rPh sb="14" eb="16">
      <t>カツヨウ</t>
    </rPh>
    <rPh sb="16" eb="18">
      <t>リョウイキ</t>
    </rPh>
    <rPh sb="31" eb="33">
      <t>カイメ</t>
    </rPh>
    <phoneticPr fontId="2"/>
  </si>
  <si>
    <t>UAV測量のデータ利活用のための技術：「空間情報工学」（1～5回目）</t>
    <rPh sb="9" eb="12">
      <t>リカツヨウ</t>
    </rPh>
    <rPh sb="16" eb="18">
      <t>ギジュツ</t>
    </rPh>
    <rPh sb="31" eb="33">
      <t>カイメ</t>
    </rPh>
    <phoneticPr fontId="2"/>
  </si>
  <si>
    <t>UAV測量のデータ利活用の現場：「空間情報工学」（1～5回目）</t>
    <rPh sb="9" eb="12">
      <t>リカツヨウ</t>
    </rPh>
    <rPh sb="13" eb="15">
      <t>ゲンバ</t>
    </rPh>
    <rPh sb="28" eb="30">
      <t>カイメ</t>
    </rPh>
    <phoneticPr fontId="2"/>
  </si>
  <si>
    <t>高度情報化社会におけるデータ利活用における留意事項：「技術者倫理」（13～15回目）</t>
    <rPh sb="14" eb="17">
      <t>リカツヨウ</t>
    </rPh>
    <rPh sb="21" eb="25">
      <t>リュウイジコウ</t>
    </rPh>
    <rPh sb="39" eb="41">
      <t>カイメ</t>
    </rPh>
    <phoneticPr fontId="2"/>
  </si>
  <si>
    <t>高度情報化社会におけるデータを守る上での留意事項：「技術者倫理」（13～15回目）</t>
    <rPh sb="15" eb="16">
      <t>マモ</t>
    </rPh>
    <rPh sb="17" eb="18">
      <t>ウエ</t>
    </rPh>
    <rPh sb="20" eb="24">
      <t>リュウイジコウ</t>
    </rPh>
    <rPh sb="38" eb="40">
      <t>カイメ</t>
    </rPh>
    <phoneticPr fontId="2"/>
  </si>
  <si>
    <t>実データを読む：「基礎実験II」材料実験（前期2～7回目）、構造実験（前期8～12回目）、土質実験（後期1～5回目)、水理実験（後期6～10回目)</t>
    <rPh sb="0" eb="1">
      <t>ジツ</t>
    </rPh>
    <rPh sb="9" eb="13">
      <t>キソジッケン</t>
    </rPh>
    <rPh sb="26" eb="28">
      <t>カイメ</t>
    </rPh>
    <rPh sb="41" eb="43">
      <t>カイメ</t>
    </rPh>
    <rPh sb="55" eb="57">
      <t>カイメ</t>
    </rPh>
    <rPh sb="70" eb="72">
      <t>カイメ</t>
    </rPh>
    <phoneticPr fontId="2"/>
  </si>
  <si>
    <t>実データを説明する：「基礎実験II」材料実験（前期2～7回目）、構造実験（前期8～12回目）、土質実験（後期1～5回目)、水理実験（後期6～10回目)</t>
    <rPh sb="5" eb="7">
      <t>セツメイ</t>
    </rPh>
    <rPh sb="11" eb="15">
      <t>キソジッケン</t>
    </rPh>
    <rPh sb="28" eb="30">
      <t>カイメ</t>
    </rPh>
    <rPh sb="43" eb="45">
      <t>カイメ</t>
    </rPh>
    <rPh sb="57" eb="59">
      <t>カイメ</t>
    </rPh>
    <rPh sb="72" eb="74">
      <t>カイメ</t>
    </rPh>
    <phoneticPr fontId="2"/>
  </si>
  <si>
    <t>実データを扱う：「基礎実験II」材料実験（前期2～7回目）、構造実験（前期8～12回目）、土質実験（後期1～5回目)、水理実験（後期6～10回目)</t>
    <rPh sb="5" eb="6">
      <t>アツカ</t>
    </rPh>
    <rPh sb="9" eb="13">
      <t>キソジッケン</t>
    </rPh>
    <rPh sb="26" eb="28">
      <t>カイメ</t>
    </rPh>
    <rPh sb="41" eb="43">
      <t>カイメ</t>
    </rPh>
    <rPh sb="55" eb="57">
      <t>カイメ</t>
    </rPh>
    <rPh sb="70" eb="72">
      <t>カイメ</t>
    </rPh>
    <phoneticPr fontId="2"/>
  </si>
  <si>
    <t>本プログラムを通して、数理・データサイエンス・ＡＩの基本的な活用法に関するものであるデジタル社会の基礎知識（読み・書き・そろばんの素養）を身に付けることができる。さらに、それを自らの専門分野に活用することができる。</t>
    <phoneticPr fontId="2"/>
  </si>
  <si>
    <t>様式２－５</t>
    <phoneticPr fontId="2"/>
  </si>
  <si>
    <t>建築学科では以下の科目を全て修得することにより、本教育プログラムを修了できる。
建築学通論（1年）、情報処理（3年）、デジタルデザインⅠ（3年）、建築環境実験（3年）、環境社会学（令和元年度以前入学生は4年開講、令和2年度以降入学生は3年開講）</t>
    <rPh sb="0" eb="2">
      <t>ケンチク</t>
    </rPh>
    <rPh sb="6" eb="8">
      <t>イカ</t>
    </rPh>
    <rPh sb="9" eb="11">
      <t>カモク</t>
    </rPh>
    <rPh sb="12" eb="13">
      <t>スベ</t>
    </rPh>
    <rPh sb="14" eb="16">
      <t>シュウトク</t>
    </rPh>
    <rPh sb="24" eb="25">
      <t>ホン</t>
    </rPh>
    <rPh sb="25" eb="27">
      <t>キョウイク</t>
    </rPh>
    <rPh sb="33" eb="35">
      <t>シュウリョウ</t>
    </rPh>
    <rPh sb="41" eb="46">
      <t>ケンチクガクツウロン</t>
    </rPh>
    <rPh sb="48" eb="49">
      <t>ネン</t>
    </rPh>
    <rPh sb="51" eb="55">
      <t>ジョウホウショリ</t>
    </rPh>
    <rPh sb="57" eb="58">
      <t>ネン</t>
    </rPh>
    <rPh sb="71" eb="72">
      <t>ネン</t>
    </rPh>
    <rPh sb="74" eb="80">
      <t>ケンチクカンキョウジッケン</t>
    </rPh>
    <rPh sb="82" eb="83">
      <t>ネン</t>
    </rPh>
    <rPh sb="85" eb="90">
      <t>カンキョウシャカイガク</t>
    </rPh>
    <rPh sb="104" eb="106">
      <t>カイコウ</t>
    </rPh>
    <phoneticPr fontId="2"/>
  </si>
  <si>
    <t>建築学通論</t>
    <rPh sb="0" eb="5">
      <t>ケンチク</t>
    </rPh>
    <phoneticPr fontId="2"/>
  </si>
  <si>
    <t>環境社会学</t>
    <rPh sb="0" eb="5">
      <t>カンキョウ</t>
    </rPh>
    <phoneticPr fontId="2"/>
  </si>
  <si>
    <t>デジタルデザインI</t>
    <phoneticPr fontId="2"/>
  </si>
  <si>
    <t>情報処理</t>
    <rPh sb="0" eb="4">
      <t>ジョウホウ</t>
    </rPh>
    <phoneticPr fontId="2"/>
  </si>
  <si>
    <t>建築環境実験</t>
    <rPh sb="0" eb="6">
      <t>ケンチク</t>
    </rPh>
    <phoneticPr fontId="2"/>
  </si>
  <si>
    <t>○</t>
    <phoneticPr fontId="2"/>
  </si>
  <si>
    <t>SDG'sや建築業界における人材難の問題など、建築を取り巻く社会の変化、動向を学ぶ。（建築学通論：５回目、12回目）</t>
    <rPh sb="6" eb="10">
      <t>ケンチク</t>
    </rPh>
    <rPh sb="14" eb="17">
      <t>ジn</t>
    </rPh>
    <rPh sb="18" eb="20">
      <t>モンダイ</t>
    </rPh>
    <rPh sb="23" eb="25">
      <t>ケンチク</t>
    </rPh>
    <rPh sb="26" eb="27">
      <t>トリマク</t>
    </rPh>
    <rPh sb="33" eb="35">
      <t>ヘンカ</t>
    </rPh>
    <rPh sb="36" eb="38">
      <t>ドウコウ</t>
    </rPh>
    <rPh sb="39" eb="40">
      <t>マナブ</t>
    </rPh>
    <rPh sb="43" eb="48">
      <t>ケンチク</t>
    </rPh>
    <rPh sb="50" eb="51">
      <t xml:space="preserve">カイ </t>
    </rPh>
    <phoneticPr fontId="2"/>
  </si>
  <si>
    <t xml:space="preserve">・データ駆動型社会とは何か、A.I.などによるビッグデータの活用について知り、データ駆動型社会が環境問題や建築業界にもたらす影響を理解する。（建築学通論：５回目、12回目））
</t>
    <rPh sb="30" eb="32">
      <t>カツヨウ</t>
    </rPh>
    <rPh sb="36" eb="37">
      <t xml:space="preserve">シリ </t>
    </rPh>
    <rPh sb="42" eb="45">
      <t>クドウ</t>
    </rPh>
    <rPh sb="45" eb="47">
      <t>シャカイ</t>
    </rPh>
    <rPh sb="48" eb="52">
      <t>カンキョウ</t>
    </rPh>
    <rPh sb="53" eb="55">
      <t>ケンチク</t>
    </rPh>
    <rPh sb="55" eb="57">
      <t>ギョウ</t>
    </rPh>
    <rPh sb="62" eb="64">
      <t>エイキョウ</t>
    </rPh>
    <rPh sb="65" eb="67">
      <t>リカイ</t>
    </rPh>
    <phoneticPr fontId="2"/>
  </si>
  <si>
    <t>・環境問題への取り組みにおける地球規模の環境データ計測の重要性を学ぶ。（建築学通論：５回目）
・B.I.M（BuildingInformationManagement）によって設計から施工、建築物の管理の一体化が行われていること及びそのねらいなど建築設計、施工を取り巻くデータについてを学ぶ。（建築学通論：12回目）
上記の学びを通して、ビッグデータを始めとする様々なデータ処理技術の発展がもたらす有用性について理解する。</t>
    <rPh sb="1" eb="5">
      <t>セカイ</t>
    </rPh>
    <rPh sb="6" eb="8">
      <t>カンキョウ</t>
    </rPh>
    <rPh sb="8" eb="10">
      <t>カンソク</t>
    </rPh>
    <rPh sb="18" eb="19">
      <t>モチイ</t>
    </rPh>
    <rPh sb="28" eb="29">
      <t>マナブ</t>
    </rPh>
    <rPh sb="84" eb="85">
      <t>オコナワレ</t>
    </rPh>
    <rPh sb="94" eb="95">
      <t>マナブ</t>
    </rPh>
    <rPh sb="97" eb="98">
      <t>オヨビ</t>
    </rPh>
    <rPh sb="104" eb="105">
      <t>サマザマ</t>
    </rPh>
    <rPh sb="105" eb="107">
      <t>ジョウ</t>
    </rPh>
    <rPh sb="108" eb="109">
      <t>マナビ</t>
    </rPh>
    <rPh sb="111" eb="112">
      <t>トオセィ</t>
    </rPh>
    <rPh sb="115" eb="116">
      <t>トオセィ</t>
    </rPh>
    <rPh sb="121" eb="143">
      <t>リョウイキ</t>
    </rPh>
    <rPh sb="148" eb="150">
      <t>データガカツヨウ</t>
    </rPh>
    <rPh sb="153" eb="155">
      <t>リカイ</t>
    </rPh>
    <rPh sb="165" eb="168">
      <t>ユウヨウ</t>
    </rPh>
    <rPh sb="171" eb="173">
      <t>ギジュテゥマナビカツヨウリョウイキヒロガユウヨリカイ</t>
    </rPh>
    <phoneticPr fontId="2"/>
  </si>
  <si>
    <t>　環境問題への取り組みにおける地球規模の環境データ計測やB.I.Mなど建築を取り巻く世界においても様々な領域でデータが活用されていることを理解する。（建築学通論：５回目、12回目、環境社会学２～7回目）</t>
    <rPh sb="1" eb="5">
      <t>カンキョウ</t>
    </rPh>
    <rPh sb="7" eb="8">
      <t>トリクミ</t>
    </rPh>
    <rPh sb="15" eb="19">
      <t>チキュウ</t>
    </rPh>
    <rPh sb="20" eb="22">
      <t>カンキョウ</t>
    </rPh>
    <rPh sb="35" eb="37">
      <t>ケンチク</t>
    </rPh>
    <rPh sb="38" eb="39">
      <t>トリマク</t>
    </rPh>
    <rPh sb="42" eb="44">
      <t>セカイ</t>
    </rPh>
    <rPh sb="83" eb="84">
      <t>メ</t>
    </rPh>
    <rPh sb="88" eb="89">
      <t>メ</t>
    </rPh>
    <rPh sb="89" eb="94">
      <t>カn</t>
    </rPh>
    <rPh sb="99" eb="100">
      <t>メ</t>
    </rPh>
    <phoneticPr fontId="2"/>
  </si>
  <si>
    <t>・SDG'Sや生物多様性などの視点から、A.I.やデータ分析と環境把握、環境モニタリングの関係などの実例についてを自ら調べ、発表・ディスカッションを通してデータ利活用のための技術の役割を理解する。（環境社会学：９～１５回目）
・建築物設計・建設の現場において、データがどのように活用されているかを学ぶ。（デジタルデザインI：1回目）</t>
    <rPh sb="50" eb="52">
      <t>ジテゥ</t>
    </rPh>
    <rPh sb="67" eb="69">
      <t>ナイヨウ</t>
    </rPh>
    <rPh sb="99" eb="104">
      <t>カンキョウ</t>
    </rPh>
    <rPh sb="105" eb="106">
      <t>リカイ</t>
    </rPh>
    <rPh sb="109" eb="110">
      <t>カイ</t>
    </rPh>
    <rPh sb="110" eb="111">
      <t>メ</t>
    </rPh>
    <rPh sb="111" eb="113">
      <t>セッケイ</t>
    </rPh>
    <rPh sb="114" eb="116">
      <t>ケンセテゥ</t>
    </rPh>
    <rPh sb="117" eb="119">
      <t>ゲンバカツヨウマナブ</t>
    </rPh>
    <rPh sb="164" eb="165">
      <t>メ</t>
    </rPh>
    <phoneticPr fontId="2"/>
  </si>
  <si>
    <t>建築物建設の実例を通して建築設計、施工、管理におけるB.I.M.をはじめとするデータ利活用の役割、その有用性について、演習を通して体感的に把握する。（デジタルデザインI：２～15回目）</t>
    <rPh sb="16" eb="19">
      <t>リカツヨウ</t>
    </rPh>
    <rPh sb="20" eb="22">
      <t>ヤクワリ</t>
    </rPh>
    <rPh sb="23" eb="25">
      <t>ハアク</t>
    </rPh>
    <rPh sb="59" eb="61">
      <t>エンシュウ</t>
    </rPh>
    <rPh sb="62" eb="63">
      <t>トオセィ</t>
    </rPh>
    <rPh sb="65" eb="68">
      <t>タイカn</t>
    </rPh>
    <rPh sb="90" eb="91">
      <t>メ</t>
    </rPh>
    <phoneticPr fontId="2"/>
  </si>
  <si>
    <t>情報リテラシーの観点から、計算機システム、メール、情報検索、表計算ソフト、プログラミングにおいて、データを活用する際の留意点について理解する。（情報処理：1回目）</t>
    <rPh sb="8" eb="10">
      <t>カンテn</t>
    </rPh>
    <rPh sb="53" eb="55">
      <t>カツヨウ</t>
    </rPh>
    <rPh sb="59" eb="62">
      <t>リュウイ</t>
    </rPh>
    <rPh sb="66" eb="68">
      <t>リカイ</t>
    </rPh>
    <rPh sb="72" eb="76">
      <t>ジョウホウ</t>
    </rPh>
    <rPh sb="79" eb="80">
      <t>メ</t>
    </rPh>
    <phoneticPr fontId="2"/>
  </si>
  <si>
    <t>情報リテラシーの観点から計算機システム、メール、情報検索、表計算ソフト、プログラミングに関してデータに関するセキュリティ、データ保護の留意点について理解する。（情報処理：1回目）</t>
    <rPh sb="51" eb="52">
      <t>カンス</t>
    </rPh>
    <rPh sb="87" eb="88">
      <t>メ</t>
    </rPh>
    <phoneticPr fontId="2"/>
  </si>
  <si>
    <t>実測した生活環境に関わるデータについて処理、可視化、分析作業を行い、データの意味を読み取る。（建築環境実験：１～１５回目）</t>
    <rPh sb="26" eb="28">
      <t>ブンセキ</t>
    </rPh>
    <rPh sb="28" eb="30">
      <t>サギョウ</t>
    </rPh>
    <rPh sb="31" eb="32">
      <t>オコナイ</t>
    </rPh>
    <rPh sb="41" eb="42">
      <t>ヨミトルイミ</t>
    </rPh>
    <rPh sb="47" eb="53">
      <t>ケンチク</t>
    </rPh>
    <rPh sb="59" eb="60">
      <t>メ</t>
    </rPh>
    <phoneticPr fontId="2"/>
  </si>
  <si>
    <t>上記課題について、レポート作成を通して読み取ったデータの意味を説明する。（建築環境実験：１～１５回目）</t>
    <rPh sb="0" eb="2">
      <t>ジョウ</t>
    </rPh>
    <rPh sb="2" eb="4">
      <t>カダイ</t>
    </rPh>
    <rPh sb="13" eb="15">
      <t>サクセイ</t>
    </rPh>
    <rPh sb="16" eb="17">
      <t>トオセィ</t>
    </rPh>
    <rPh sb="19" eb="20">
      <t>ヨミ</t>
    </rPh>
    <rPh sb="49" eb="50">
      <t>メ</t>
    </rPh>
    <phoneticPr fontId="2"/>
  </si>
  <si>
    <t>データの処理技術と活用方法、及びデータ管理上の留意点、管理方法について学び、演習を通して体感的に理解する。（建築環境実験：１～１５回目）</t>
    <rPh sb="66" eb="67">
      <t>メ</t>
    </rPh>
    <phoneticPr fontId="2"/>
  </si>
  <si>
    <t>数理・データサイエンス・A.I.の基礎であるデータ処理能力（読む、説明する、扱う）と、社会変化で必要とされるデータ活用を理解し、自らの専門分野に応用するリテラシーが身につく。</t>
    <phoneticPr fontId="2"/>
  </si>
  <si>
    <t>様式３</t>
    <rPh sb="0" eb="2">
      <t>ヨウシキ</t>
    </rPh>
    <phoneticPr fontId="2"/>
  </si>
  <si>
    <t>プログラムの履修者数等の実績について</t>
    <phoneticPr fontId="2"/>
  </si>
  <si>
    <t>①プログラム開設年度</t>
    <rPh sb="6" eb="8">
      <t>カイセツ</t>
    </rPh>
    <rPh sb="8" eb="10">
      <t>ネンド</t>
    </rPh>
    <phoneticPr fontId="2"/>
  </si>
  <si>
    <t>②履修者・修了者の実績</t>
    <rPh sb="1" eb="3">
      <t>リシュウ</t>
    </rPh>
    <rPh sb="3" eb="4">
      <t>シャ</t>
    </rPh>
    <rPh sb="5" eb="8">
      <t>シュウリョウシャ</t>
    </rPh>
    <rPh sb="9" eb="11">
      <t>ジッセキ</t>
    </rPh>
    <phoneticPr fontId="2"/>
  </si>
  <si>
    <t>学部・学科名称</t>
    <rPh sb="0" eb="2">
      <t>ガクブ</t>
    </rPh>
    <rPh sb="3" eb="5">
      <t>ガッカ</t>
    </rPh>
    <rPh sb="5" eb="7">
      <t>メイショウ</t>
    </rPh>
    <phoneticPr fontId="2"/>
  </si>
  <si>
    <t>入学
定員</t>
    <rPh sb="0" eb="2">
      <t>ニュウガク</t>
    </rPh>
    <rPh sb="3" eb="5">
      <t>テイイン</t>
    </rPh>
    <phoneticPr fontId="2"/>
  </si>
  <si>
    <t>収容
定員</t>
    <rPh sb="0" eb="2">
      <t>シュウヨウ</t>
    </rPh>
    <rPh sb="3" eb="5">
      <t>テイイン</t>
    </rPh>
    <phoneticPr fontId="2"/>
  </si>
  <si>
    <t>令和3年度</t>
    <rPh sb="0" eb="2">
      <t>レイワ</t>
    </rPh>
    <rPh sb="3" eb="5">
      <t>ネンド</t>
    </rPh>
    <phoneticPr fontId="2"/>
  </si>
  <si>
    <t>令和2年度</t>
    <rPh sb="0" eb="2">
      <t>レイワ</t>
    </rPh>
    <rPh sb="3" eb="5">
      <t>ネンド</t>
    </rPh>
    <phoneticPr fontId="2"/>
  </si>
  <si>
    <t>令和元年度</t>
    <rPh sb="0" eb="2">
      <t>レイワ</t>
    </rPh>
    <rPh sb="2" eb="3">
      <t>モト</t>
    </rPh>
    <rPh sb="3" eb="5">
      <t>ネンド</t>
    </rPh>
    <phoneticPr fontId="2"/>
  </si>
  <si>
    <t>平成30年度</t>
    <rPh sb="0" eb="2">
      <t>ヘイセイ</t>
    </rPh>
    <rPh sb="4" eb="6">
      <t>ネンド</t>
    </rPh>
    <phoneticPr fontId="2"/>
  </si>
  <si>
    <t>平成29年度</t>
    <rPh sb="0" eb="2">
      <t>ヘイセイ</t>
    </rPh>
    <rPh sb="4" eb="6">
      <t>ネンド</t>
    </rPh>
    <phoneticPr fontId="2"/>
  </si>
  <si>
    <t>平成28年度</t>
    <rPh sb="0" eb="2">
      <t>ヘイセイ</t>
    </rPh>
    <rPh sb="4" eb="6">
      <t>ネンド</t>
    </rPh>
    <phoneticPr fontId="2"/>
  </si>
  <si>
    <t>履修者数
合計</t>
    <rPh sb="0" eb="2">
      <t>リシュウ</t>
    </rPh>
    <rPh sb="2" eb="3">
      <t>シャ</t>
    </rPh>
    <rPh sb="3" eb="4">
      <t>スウ</t>
    </rPh>
    <rPh sb="5" eb="7">
      <t>ゴウケイ</t>
    </rPh>
    <phoneticPr fontId="2"/>
  </si>
  <si>
    <t>履修率</t>
    <rPh sb="0" eb="2">
      <t>リシュウ</t>
    </rPh>
    <rPh sb="2" eb="3">
      <t>リツ</t>
    </rPh>
    <phoneticPr fontId="2"/>
  </si>
  <si>
    <t>履修者数</t>
    <rPh sb="0" eb="2">
      <t>リシュウ</t>
    </rPh>
    <rPh sb="2" eb="3">
      <t>シャ</t>
    </rPh>
    <rPh sb="3" eb="4">
      <t>スウ</t>
    </rPh>
    <phoneticPr fontId="2"/>
  </si>
  <si>
    <t>修了者数</t>
    <rPh sb="0" eb="3">
      <t>シュウリョウシャ</t>
    </rPh>
    <rPh sb="3" eb="4">
      <t>スウ</t>
    </rPh>
    <phoneticPr fontId="2"/>
  </si>
  <si>
    <t>機械工学科（工学）</t>
  </si>
  <si>
    <t>電気情報工学科（工学）</t>
  </si>
  <si>
    <t>電子制御工学科（工学）</t>
  </si>
  <si>
    <t>環境都市工学科（工学）</t>
  </si>
  <si>
    <t>建築学科（工学）</t>
  </si>
  <si>
    <t>合　計</t>
    <phoneticPr fontId="2"/>
  </si>
  <si>
    <t>　　　　　　　　　　　　　　　　　　　　　　　　　　　　　　　　　　　　　　　　　　　　　　　　　　　　　　　　　　　　　　　　　　　　　　　　　　　　　　　　　　　　　　　　　　　　　　　　　　　　　　　　　　　　　　　　　　　　　　　　　　　　　　　　　　　　　　　　　　　　　　　　　　　　　　　　　　　　　　　　　　　　　　　　　　　　　　　　　　　　　　　　　　　　　　　　　　　　　　　　　　　　　　　　　　　　　　　　　　　　　　　　　　　　　　　　　　　　　　　　　　　　　　　　　　　　　　　　　　　　　　　　　　　　　　　　　　　　　　　　　　　　　　　　　　　　　　　　　　　　　　　　　　　　　　　　　　　　　　　　　　　　　　　　　　　　　　　　　　　　　　　　　　　　　　　　　　　　　　　　　　　　　　　　　　　　　　　　　　　　　　　　　　　　　　　　　　　　　　　　　　　　　　　　　　　　　　　　　　　　　　　　　　　　　　　　　　　　　　　　　　　　　　　　　　　　　　　　　　　　　　　　　　　　　　　　　　　　　　　　　　　　　　　　　　　　　　　　　　　　　　　　　　　　　　　　　　　　　　　　　　　　　　　　　　　　　　　　　　　　　　　　　　　　　　　　　　　　　　　　　　　　　　　　　　　　　　　　　　　　　　　　　　　　　　　　　　　　　　　　　　　　　　　　　　　　　　　　　　　　　　　　　　　　　　　　　　　　　　　　　　　　　　　　　　　　　　　　　　　　　　　　　　　　　　　　　　　　　　　　　　　　　　　　　　　　　　　　　　　　　　　　　　　　　　　　　　　　　　　　　　　　　　　　　　　　　　</t>
    <phoneticPr fontId="2"/>
  </si>
  <si>
    <t>様式４</t>
    <rPh sb="0" eb="2">
      <t>ヨウシキ</t>
    </rPh>
    <phoneticPr fontId="2"/>
  </si>
  <si>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2"/>
  </si>
  <si>
    <t>プログラムを改善・進化させるための体制を定める規則名称</t>
    <phoneticPr fontId="2"/>
  </si>
  <si>
    <t>岐阜工業高等専門学校教務会議規程</t>
    <phoneticPr fontId="2"/>
  </si>
  <si>
    <t>体制の目的</t>
    <rPh sb="0" eb="2">
      <t>タイセイ</t>
    </rPh>
    <rPh sb="3" eb="5">
      <t>モクテキ</t>
    </rPh>
    <phoneticPr fontId="2"/>
  </si>
  <si>
    <t>教務会議は数理・データサイエンス・AI教育プログラムを含む教育課程の検討・成績認定など本科の教務に関する事項を担当しており、教務会議にて本教育プログラムの構成及び履修に関する事項を取り扱う。</t>
    <phoneticPr fontId="2"/>
  </si>
  <si>
    <t>③</t>
    <phoneticPr fontId="2"/>
  </si>
  <si>
    <t>具体的な構成員</t>
    <rPh sb="0" eb="3">
      <t>グタイテキ</t>
    </rPh>
    <rPh sb="4" eb="7">
      <t>コウセイイン</t>
    </rPh>
    <phoneticPr fontId="2"/>
  </si>
  <si>
    <t>教務主事　北川秀夫
教務主事補佐　岡崎貴宣
一般科目　教授　野々村咲子
機械工学科　准教授　山本高久
電気情報工学科　教授　飯田民夫
電子制御工学科　准教授　河野託也
環境都市工学科　准教授　水野剛規
建築学科　准教授　今田太一郎
学生課長　羽室秀樹</t>
    <rPh sb="30" eb="33">
      <t>ノノムラ</t>
    </rPh>
    <rPh sb="33" eb="35">
      <t>サキコ</t>
    </rPh>
    <rPh sb="62" eb="64">
      <t>イイダ</t>
    </rPh>
    <rPh sb="64" eb="66">
      <t>タミオ</t>
    </rPh>
    <rPh sb="116" eb="120">
      <t>ガクセイカチョウ</t>
    </rPh>
    <phoneticPr fontId="2"/>
  </si>
  <si>
    <t>履修者数・履修率の向上に向けた計画</t>
    <rPh sb="5" eb="7">
      <t>リシュウ</t>
    </rPh>
    <rPh sb="7" eb="8">
      <t>リツ</t>
    </rPh>
    <phoneticPr fontId="2"/>
  </si>
  <si>
    <t>令和３年度実績</t>
    <rPh sb="0" eb="2">
      <t>レイワ</t>
    </rPh>
    <rPh sb="3" eb="5">
      <t>ネンド</t>
    </rPh>
    <rPh sb="5" eb="7">
      <t>ジッセキ</t>
    </rPh>
    <phoneticPr fontId="2"/>
  </si>
  <si>
    <t>令和４年度予定</t>
    <rPh sb="0" eb="2">
      <t>レイワ</t>
    </rPh>
    <rPh sb="3" eb="5">
      <t>ネンド</t>
    </rPh>
    <rPh sb="5" eb="7">
      <t>ヨテイ</t>
    </rPh>
    <phoneticPr fontId="2"/>
  </si>
  <si>
    <t>令和５年度予定</t>
    <rPh sb="0" eb="2">
      <t>レイワ</t>
    </rPh>
    <rPh sb="3" eb="5">
      <t>ネンド</t>
    </rPh>
    <rPh sb="5" eb="7">
      <t>ヨテイ</t>
    </rPh>
    <phoneticPr fontId="2"/>
  </si>
  <si>
    <t>令和６年度予定</t>
    <rPh sb="0" eb="2">
      <t>レイワ</t>
    </rPh>
    <rPh sb="3" eb="5">
      <t>ネンド</t>
    </rPh>
    <rPh sb="5" eb="7">
      <t>ヨテイ</t>
    </rPh>
    <phoneticPr fontId="2"/>
  </si>
  <si>
    <t>令和７年度予定</t>
    <rPh sb="0" eb="2">
      <t>レイワ</t>
    </rPh>
    <rPh sb="3" eb="5">
      <t>ネンド</t>
    </rPh>
    <rPh sb="5" eb="7">
      <t>ヨテイ</t>
    </rPh>
    <phoneticPr fontId="2"/>
  </si>
  <si>
    <t>収容定員（名）</t>
    <rPh sb="0" eb="4">
      <t>シュウヨウテイイン</t>
    </rPh>
    <rPh sb="5" eb="6">
      <t>メイ</t>
    </rPh>
    <phoneticPr fontId="2"/>
  </si>
  <si>
    <t>具体的な計画</t>
    <rPh sb="0" eb="3">
      <t>グタイテキ</t>
    </rPh>
    <rPh sb="4" eb="6">
      <t>ケイカク</t>
    </rPh>
    <phoneticPr fontId="2"/>
  </si>
  <si>
    <t>本プログラムの修了に必要な授業は全学科において必修科目として開講しており、5学科中4学科で1年次に対象科目が入っていて1年次の履修率は80%、全体の履修率は88%である。なお、4年次以降の履修率は100％である。
（令和３年度実績は定員ベースでは88％）</t>
  </si>
  <si>
    <t>学部・学科に関係なく希望する学生全員が受講可能となるような必要な体制・取組等</t>
    <rPh sb="29" eb="31">
      <t>ヒツヨウ</t>
    </rPh>
    <rPh sb="32" eb="34">
      <t>タイセイ</t>
    </rPh>
    <rPh sb="35" eb="37">
      <t>トリクミ</t>
    </rPh>
    <rPh sb="37" eb="38">
      <t>トウ</t>
    </rPh>
    <phoneticPr fontId="2"/>
  </si>
  <si>
    <t>本プログラムの修了に必要な授業は全学科において必修科目として開講しているため、学生全員が受講可能であり、卒業生の修得率は100％となる。</t>
    <rPh sb="9" eb="11">
      <t>シュウリョウ</t>
    </rPh>
    <rPh sb="12" eb="14">
      <t>ヒツヨウ</t>
    </rPh>
    <rPh sb="56" eb="57">
      <t>セイ</t>
    </rPh>
    <phoneticPr fontId="2"/>
  </si>
  <si>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2"/>
  </si>
  <si>
    <t>⑦</t>
    <phoneticPr fontId="2"/>
  </si>
  <si>
    <t>できる限り多くの学生が履修・修得できるようなサポート体制</t>
    <rPh sb="26" eb="28">
      <t>タイセイ</t>
    </rPh>
    <phoneticPr fontId="2"/>
  </si>
  <si>
    <t>本プログラムの修了に必要な授業は全学科において必修科目として開講しており、履修率は100％である。修得に向けては、Wi-Fi環境、LMS等により学習環境を整えた上で、各学科の教員が履修学年に合わせた教材を用いた授業を行っている。</t>
    <rPh sb="9" eb="11">
      <t>シュウリョウ</t>
    </rPh>
    <rPh sb="12" eb="14">
      <t>ヒツヨウ</t>
    </rPh>
    <phoneticPr fontId="2"/>
  </si>
  <si>
    <t>授業時間内外で学習指導、質問を受け付ける具体的な仕組み</t>
    <rPh sb="20" eb="23">
      <t>グタイテキ</t>
    </rPh>
    <phoneticPr fontId="2"/>
  </si>
  <si>
    <t>授業時間内外で教員が学生の質問を受け付けが可能なオフィスアワーの時間帯を学生に公開し、教員がサポートする体制を構築している。また、一部の授業では専攻科生がティーチング・アシスタントとして履修生をサポートする体制をとっている。</t>
    <phoneticPr fontId="2"/>
  </si>
  <si>
    <t>　　　　　　　　　　　　　　　　　　　　　　　　　　　　　　　　　　　　　　　　　　　　　　　　　　　　　　　　　　　　　　　　　　　　　　　　　</t>
    <phoneticPr fontId="2"/>
  </si>
  <si>
    <t>様式５</t>
    <rPh sb="0" eb="2">
      <t>ヨウシキ</t>
    </rPh>
    <phoneticPr fontId="2"/>
  </si>
  <si>
    <t>自己点検・評価について</t>
    <rPh sb="0" eb="2">
      <t>ジコ</t>
    </rPh>
    <rPh sb="2" eb="4">
      <t>テンケン</t>
    </rPh>
    <rPh sb="5" eb="7">
      <t>ヒョウカ</t>
    </rPh>
    <phoneticPr fontId="2"/>
  </si>
  <si>
    <t>自己点検・評価体制における意見等</t>
    <rPh sb="15" eb="16">
      <t>トウ</t>
    </rPh>
    <phoneticPr fontId="2"/>
  </si>
  <si>
    <t>自己点検・評価の視点</t>
    <rPh sb="0" eb="2">
      <t>ジコ</t>
    </rPh>
    <rPh sb="2" eb="4">
      <t>テンケン</t>
    </rPh>
    <rPh sb="5" eb="7">
      <t>ヒョウカ</t>
    </rPh>
    <rPh sb="8" eb="10">
      <t>シテン</t>
    </rPh>
    <phoneticPr fontId="2"/>
  </si>
  <si>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2"/>
  </si>
  <si>
    <t>学内からの視点</t>
    <rPh sb="0" eb="2">
      <t>ガクナイ</t>
    </rPh>
    <rPh sb="5" eb="7">
      <t>シテン</t>
    </rPh>
    <phoneticPr fontId="2"/>
  </si>
  <si>
    <t>プログラムの履修・修得状況</t>
    <rPh sb="6" eb="8">
      <t>リシュウ</t>
    </rPh>
    <rPh sb="9" eb="11">
      <t>シュウトク</t>
    </rPh>
    <rPh sb="11" eb="13">
      <t>ジョウキョウ</t>
    </rPh>
    <phoneticPr fontId="2"/>
  </si>
  <si>
    <t>全学科においてリテラシーレベル相当の科目を設置し、教務会議においてその修得状況を確認している。修了に必要な全科目が必修科目となっているため、卒業時の全学生の履修率及び卒業生の修得率が100％になる。</t>
    <rPh sb="47" eb="49">
      <t>シュウリョウ</t>
    </rPh>
    <rPh sb="50" eb="52">
      <t>ヒツヨウ</t>
    </rPh>
    <rPh sb="53" eb="54">
      <t>ゼン</t>
    </rPh>
    <rPh sb="70" eb="73">
      <t>ソツギョウジ</t>
    </rPh>
    <rPh sb="85" eb="86">
      <t>セイ</t>
    </rPh>
    <phoneticPr fontId="2"/>
  </si>
  <si>
    <t>学修成果</t>
    <rPh sb="0" eb="2">
      <t>ガクシュウ</t>
    </rPh>
    <rPh sb="2" eb="4">
      <t>セイカ</t>
    </rPh>
    <phoneticPr fontId="2"/>
  </si>
  <si>
    <t>学生は学習・教育到達目標に対する達成度の算出を毎年度実施し、随時自身の修得状況を確認することができる。教員は学生の達成度及び授業アンケート結果から、随時学生の学修状況を確認することができる。</t>
    <rPh sb="23" eb="26">
      <t>マイネンド</t>
    </rPh>
    <rPh sb="26" eb="28">
      <t>ジッシ</t>
    </rPh>
    <phoneticPr fontId="2"/>
  </si>
  <si>
    <t>学生アンケート等を通じた学生の内容の理解度</t>
    <rPh sb="0" eb="2">
      <t>ガクセイ</t>
    </rPh>
    <rPh sb="7" eb="8">
      <t>トウ</t>
    </rPh>
    <rPh sb="9" eb="10">
      <t>ツウ</t>
    </rPh>
    <rPh sb="12" eb="14">
      <t>ガクセイ</t>
    </rPh>
    <rPh sb="15" eb="17">
      <t>ナイヨウ</t>
    </rPh>
    <rPh sb="18" eb="21">
      <t>リカイド</t>
    </rPh>
    <phoneticPr fontId="2"/>
  </si>
  <si>
    <t>本プログラムを構成する科目について点検評価・フォローアップ委員会が授業アンケートを実施しており、学生の理解度を分析するとともに改善事項を授業担当教員から学生に説明している。</t>
    <rPh sb="19" eb="23">
      <t>テンケンヒョウカ</t>
    </rPh>
    <rPh sb="31" eb="34">
      <t>イインカイ</t>
    </rPh>
    <rPh sb="70" eb="76">
      <t>ジュギョウタントウキョウイン</t>
    </rPh>
    <phoneticPr fontId="2"/>
  </si>
  <si>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2"/>
  </si>
  <si>
    <t>本プログラムを構成する科目は全て必修科目で構成されているため、直接的な受講の推奨等は行う必要がないが、学生アンケートを通じて次年度の課題を教員が把握し、改善点を学生に説明している。</t>
    <phoneticPr fontId="2"/>
  </si>
  <si>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2"/>
  </si>
  <si>
    <t>本プログラムを構成する科目は全て必修科目で構成されているため、令和3年度以降卒業生では履修率・修得率が100％になることが見込まれる。</t>
  </si>
  <si>
    <t>学外からの視点</t>
    <rPh sb="0" eb="2">
      <t>ガクガイ</t>
    </rPh>
    <rPh sb="5" eb="7">
      <t>シテン</t>
    </rPh>
    <phoneticPr fontId="2"/>
  </si>
  <si>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2"/>
  </si>
  <si>
    <t>令和3年度に卒業する学生が本プログラムの第一期修了生となる。
令和3年度以降の卒業生に対して、点検評価・フォローアップ委員会により、卒業生ならびに企業・編入学大学へのアンケートを実施し、本プログラムの評価を実施する。</t>
  </si>
  <si>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2"/>
  </si>
  <si>
    <t>毎年実施されている外部有識者による本校評価（参与会）において、本校の教育内容・手法等に関する評価をいただき、教育プログラムの点検と改善を行っている。</t>
    <phoneticPr fontId="2"/>
  </si>
  <si>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2"/>
  </si>
  <si>
    <t>本プログラムでは学科ごとにプログラムを構成する科目群が設定されているため、共通的なリテラシーレベルの学習を保証した上で、各自の専門分野においていかに数理・データサイエンス・AIが利用されているかを学ぶことができ、将来的な専門分野の学習にもつながる構成となっている。</t>
    <phoneticPr fontId="2"/>
  </si>
  <si>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2"/>
  </si>
  <si>
    <t>全ての授業でLMSを活用し、いつどこからでも充実した授業資料の閲覧、課題の提出が可能となるシステムとし、受講者の学習意欲を高める環境を構築している。
また、授業アンケートを通してプログラム構成科目の内容が随時改善される態勢としている。</t>
    <phoneticPr fontId="2"/>
  </si>
  <si>
    <t>②自己点検・評価体制における意見等を公表しているアドレス</t>
    <phoneticPr fontId="2"/>
  </si>
  <si>
    <t>https://www.gifu-nct.ac.jp/datascience</t>
    <phoneticPr fontId="2"/>
  </si>
  <si>
    <r>
      <t xml:space="preserve">プログラミングの基礎とプログラミング環境　「情報処理Ⅰ」（１～３０回目）
</t>
    </r>
    <r>
      <rPr>
        <sz val="10"/>
        <rFont val="ＭＳ Ｐゴシック"/>
        <family val="3"/>
        <charset val="128"/>
        <scheme val="minor"/>
      </rPr>
      <t>プログラミングの応用　「情報処理Ⅱ」（１～３０回目）</t>
    </r>
    <rPh sb="33" eb="35">
      <t>カイメ</t>
    </rPh>
    <rPh sb="60" eb="62">
      <t>カイメ</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</si>
</sst>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6" x14ac:knownFonts="1">
    <font>
      <sz val="11"/>
      <color theme="1"/>
      <name val="ＭＳ Ｐゴシック"/>
      <family val="2"/>
      <charset val="128"/>
      <scheme val="minor"/>
    </font>
    <font>
      <sz val="12"/>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u/>
      <sz val="11"/>
      <color rgb="FFFF0000"/>
      <name val="ＭＳ Ｐゴシック"/>
      <family val="2"/>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2"/>
      <color rgb="FFFF0000"/>
      <name val="ＭＳ Ｐゴシック"/>
      <family val="3"/>
      <charset val="128"/>
      <scheme val="minor"/>
    </font>
    <font>
      <sz val="8"/>
      <name val="ＭＳ Ｐゴシック"/>
      <family val="3"/>
      <charset val="128"/>
      <scheme val="minor"/>
    </font>
    <font>
      <sz val="11"/>
      <name val="ＭＳ Ｐゴシック"/>
      <family val="2"/>
      <charset val="128"/>
      <scheme val="minor"/>
    </font>
    <font>
      <sz val="11"/>
      <name val="ＭＳ Ｐゴシック"/>
      <family val="3"/>
      <charset val="128"/>
      <scheme val="minor"/>
    </font>
    <font>
      <sz val="10"/>
      <name val="ＭＳ Ｐゴシック"/>
      <family val="3"/>
      <charset val="128"/>
      <scheme val="minor"/>
    </font>
    <font>
      <sz val="10"/>
      <color rgb="FFFF0000"/>
      <name val="ＭＳ Ｐゴシック"/>
      <family val="3"/>
      <charset val="128"/>
      <scheme val="minor"/>
    </font>
  </fonts>
  <fills count="2">
    <fill>
      <patternFill patternType="none"/>
    </fill>
    <fill>
      <patternFill patternType="gray125"/>
    </fill>
  </fills>
  <borders count="6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style="hair">
        <color auto="1"/>
      </right>
      <top style="thin">
        <color auto="1"/>
      </top>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hair">
        <color auto="1"/>
      </left>
      <right style="thin">
        <color auto="1"/>
      </right>
      <top style="thin">
        <color auto="1"/>
      </top>
      <bottom style="hair">
        <color auto="1"/>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thin">
        <color auto="1"/>
      </left>
      <right style="thin">
        <color auto="1"/>
      </right>
      <top/>
      <bottom style="hair">
        <color auto="1"/>
      </bottom>
      <diagonal/>
    </border>
    <border>
      <left/>
      <right style="thin">
        <color rgb="FF000000"/>
      </right>
      <top style="thin">
        <color indexed="64"/>
      </top>
      <bottom style="hair">
        <color indexed="64"/>
      </bottom>
      <diagonal/>
    </border>
    <border>
      <left/>
      <right style="thin">
        <color rgb="FF000000"/>
      </right>
      <top style="hair">
        <color indexed="64"/>
      </top>
      <bottom style="thin">
        <color indexed="64"/>
      </bottom>
      <diagonal/>
    </border>
    <border>
      <left/>
      <right style="thin">
        <color rgb="FF000000"/>
      </right>
      <top style="hair">
        <color indexed="64"/>
      </top>
      <bottom style="hair">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4">
    <xf numFmtId="0" fontId="0" fillId="0" borderId="0">
      <alignment vertical="center"/>
    </xf>
    <xf numFmtId="38"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8" fillId="0" borderId="0" applyNumberFormat="0" applyFill="0" applyBorder="0" applyAlignment="0" applyProtection="0">
      <alignment vertical="center"/>
    </xf>
  </cellStyleXfs>
  <cellXfs count="407">
    <xf numFmtId="0" fontId="0" fillId="0" borderId="0" xfId="0">
      <alignment vertical="center"/>
    </xf>
    <xf numFmtId="0" fontId="3" fillId="0" borderId="0" xfId="0" applyFont="1">
      <alignment vertical="center"/>
    </xf>
    <xf numFmtId="0" fontId="4" fillId="0" borderId="0" xfId="0" applyFont="1">
      <alignment vertical="center"/>
    </xf>
    <xf numFmtId="0" fontId="6" fillId="0" borderId="10" xfId="0" applyFont="1" applyBorder="1" applyAlignment="1">
      <alignment vertical="top" wrapText="1"/>
    </xf>
    <xf numFmtId="0" fontId="5" fillId="0" borderId="5" xfId="0" applyFont="1" applyBorder="1" applyAlignment="1">
      <alignment vertical="top" wrapText="1"/>
    </xf>
    <xf numFmtId="0" fontId="5" fillId="0" borderId="10" xfId="0" applyFont="1" applyBorder="1" applyAlignment="1">
      <alignment vertical="top" wrapText="1"/>
    </xf>
    <xf numFmtId="0" fontId="5" fillId="0" borderId="18" xfId="0" applyFont="1" applyBorder="1" applyAlignment="1">
      <alignment vertical="top" wrapText="1"/>
    </xf>
    <xf numFmtId="176" fontId="9" fillId="0" borderId="0" xfId="0" applyNumberFormat="1" applyFont="1">
      <alignment vertical="center"/>
    </xf>
    <xf numFmtId="176" fontId="9" fillId="0" borderId="3" xfId="0" applyNumberFormat="1" applyFont="1" applyBorder="1" applyAlignment="1">
      <alignment vertical="center" shrinkToFit="1"/>
    </xf>
    <xf numFmtId="0" fontId="9" fillId="0" borderId="0" xfId="0" applyFont="1" applyAlignment="1">
      <alignment horizontal="center" vertical="center" shrinkToFit="1"/>
    </xf>
    <xf numFmtId="0" fontId="10" fillId="0" borderId="0" xfId="0" applyFont="1">
      <alignment vertical="center"/>
    </xf>
    <xf numFmtId="0" fontId="9" fillId="0" borderId="0" xfId="0" applyFont="1">
      <alignment vertical="center"/>
    </xf>
    <xf numFmtId="0" fontId="9" fillId="0" borderId="0" xfId="0" applyFont="1" applyAlignment="1">
      <alignment horizontal="left" vertical="center"/>
    </xf>
    <xf numFmtId="0" fontId="9" fillId="0" borderId="5" xfId="0" applyFont="1" applyBorder="1">
      <alignment vertical="center"/>
    </xf>
    <xf numFmtId="176" fontId="9" fillId="0" borderId="0" xfId="0" applyNumberFormat="1" applyFont="1" applyAlignment="1">
      <alignment vertical="center" wrapText="1"/>
    </xf>
    <xf numFmtId="176" fontId="9" fillId="0" borderId="5" xfId="0" applyNumberFormat="1" applyFont="1" applyBorder="1">
      <alignment vertical="center"/>
    </xf>
    <xf numFmtId="176" fontId="9" fillId="0" borderId="0" xfId="0" applyNumberFormat="1" applyFont="1" applyAlignment="1">
      <alignment horizontal="left" vertical="center" wrapText="1"/>
    </xf>
    <xf numFmtId="0" fontId="9" fillId="0" borderId="6" xfId="0" applyFont="1" applyBorder="1" applyAlignment="1">
      <alignment vertical="center" shrinkToFit="1"/>
    </xf>
    <xf numFmtId="0" fontId="9" fillId="0" borderId="1" xfId="0" applyFont="1" applyBorder="1">
      <alignment vertical="center"/>
    </xf>
    <xf numFmtId="0" fontId="9" fillId="0" borderId="2" xfId="0" applyFont="1" applyBorder="1">
      <alignment vertical="center"/>
    </xf>
    <xf numFmtId="0" fontId="9" fillId="0" borderId="4" xfId="0" applyFont="1" applyBorder="1">
      <alignment vertical="center"/>
    </xf>
    <xf numFmtId="0" fontId="5" fillId="0" borderId="20" xfId="0" applyFont="1" applyBorder="1" applyAlignment="1">
      <alignment vertical="top" wrapText="1"/>
    </xf>
    <xf numFmtId="0" fontId="9" fillId="0" borderId="0" xfId="0" applyFont="1" applyAlignment="1">
      <alignment horizontal="center" vertical="center"/>
    </xf>
    <xf numFmtId="0" fontId="9" fillId="0" borderId="1" xfId="0" applyFont="1" applyBorder="1" applyAlignment="1">
      <alignment vertical="center" shrinkToFit="1"/>
    </xf>
    <xf numFmtId="0" fontId="11" fillId="0" borderId="0" xfId="0" applyFont="1">
      <alignment vertical="center"/>
    </xf>
    <xf numFmtId="0" fontId="13" fillId="0" borderId="0" xfId="0" applyFont="1">
      <alignment vertical="center"/>
    </xf>
    <xf numFmtId="0" fontId="9" fillId="0" borderId="0" xfId="0" applyFont="1" applyAlignment="1">
      <alignment vertical="center" shrinkToFit="1"/>
    </xf>
    <xf numFmtId="0" fontId="4" fillId="0" borderId="0" xfId="0" applyFont="1" applyAlignment="1">
      <alignment horizontal="center" vertical="center"/>
    </xf>
    <xf numFmtId="0" fontId="5" fillId="0" borderId="0" xfId="0" applyFont="1" applyAlignment="1">
      <alignment vertical="top" wrapText="1"/>
    </xf>
    <xf numFmtId="0" fontId="6" fillId="0" borderId="0" xfId="0" applyFont="1" applyAlignment="1">
      <alignment vertical="top" wrapText="1"/>
    </xf>
    <xf numFmtId="0" fontId="15" fillId="0" borderId="0" xfId="0" applyFont="1" applyAlignment="1">
      <alignment horizontal="center" vertical="center"/>
    </xf>
    <xf numFmtId="0" fontId="17" fillId="0" borderId="11" xfId="0" applyFont="1" applyBorder="1" applyAlignment="1">
      <alignment horizontal="center" vertical="center"/>
    </xf>
    <xf numFmtId="0" fontId="17" fillId="0" borderId="29" xfId="0" applyFont="1" applyBorder="1" applyAlignment="1">
      <alignment horizontal="center" vertical="center" wrapText="1"/>
    </xf>
    <xf numFmtId="0" fontId="17" fillId="0" borderId="30" xfId="0" applyFont="1" applyBorder="1" applyAlignment="1">
      <alignment horizontal="center" vertical="center"/>
    </xf>
    <xf numFmtId="0" fontId="17" fillId="0" borderId="12" xfId="0" applyFont="1" applyBorder="1" applyAlignment="1">
      <alignment horizontal="center" vertical="center" wrapText="1"/>
    </xf>
    <xf numFmtId="0" fontId="4" fillId="0" borderId="0" xfId="0" applyFont="1" applyAlignment="1">
      <alignment vertical="center" shrinkToFit="1"/>
    </xf>
    <xf numFmtId="0" fontId="4" fillId="0" borderId="5" xfId="0" applyFont="1" applyBorder="1" applyAlignment="1">
      <alignment vertical="center" shrinkToFit="1"/>
    </xf>
    <xf numFmtId="176" fontId="4" fillId="0" borderId="5" xfId="0" applyNumberFormat="1" applyFont="1" applyBorder="1" applyAlignment="1">
      <alignment vertical="center" shrinkToFit="1"/>
    </xf>
    <xf numFmtId="176" fontId="4" fillId="0" borderId="31" xfId="0" applyNumberFormat="1" applyFont="1" applyBorder="1" applyAlignment="1">
      <alignment vertical="center" shrinkToFit="1"/>
    </xf>
    <xf numFmtId="176" fontId="4" fillId="0" borderId="32" xfId="0" applyNumberFormat="1" applyFont="1" applyBorder="1" applyAlignment="1">
      <alignment vertical="center" shrinkToFit="1"/>
    </xf>
    <xf numFmtId="176" fontId="4" fillId="0" borderId="10" xfId="0" applyNumberFormat="1" applyFont="1" applyBorder="1" applyAlignment="1">
      <alignment vertical="center" shrinkToFit="1"/>
    </xf>
    <xf numFmtId="176" fontId="4" fillId="0" borderId="14" xfId="0" applyNumberFormat="1" applyFont="1" applyBorder="1" applyAlignment="1">
      <alignment vertical="center" shrinkToFit="1"/>
    </xf>
    <xf numFmtId="9" fontId="4" fillId="0" borderId="10" xfId="0" applyNumberFormat="1" applyFont="1" applyBorder="1" applyAlignment="1">
      <alignment vertical="center" shrinkToFit="1"/>
    </xf>
    <xf numFmtId="0" fontId="4" fillId="0" borderId="18" xfId="0" applyFont="1" applyBorder="1" applyAlignment="1">
      <alignment vertical="center" shrinkToFit="1"/>
    </xf>
    <xf numFmtId="0" fontId="4" fillId="0" borderId="19" xfId="0" applyFont="1" applyBorder="1" applyAlignment="1">
      <alignment vertical="center" shrinkToFit="1"/>
    </xf>
    <xf numFmtId="176" fontId="4" fillId="0" borderId="19" xfId="0" applyNumberFormat="1" applyFont="1" applyBorder="1" applyAlignment="1">
      <alignment vertical="center" shrinkToFit="1"/>
    </xf>
    <xf numFmtId="176" fontId="4" fillId="0" borderId="33" xfId="0" applyNumberFormat="1" applyFont="1" applyBorder="1" applyAlignment="1">
      <alignment vertical="center" shrinkToFit="1"/>
    </xf>
    <xf numFmtId="176" fontId="4" fillId="0" borderId="34" xfId="0" applyNumberFormat="1" applyFont="1" applyBorder="1" applyAlignment="1">
      <alignment vertical="center" shrinkToFit="1"/>
    </xf>
    <xf numFmtId="176" fontId="4" fillId="0" borderId="18" xfId="0" applyNumberFormat="1" applyFont="1" applyBorder="1" applyAlignment="1">
      <alignment vertical="center" shrinkToFit="1"/>
    </xf>
    <xf numFmtId="176" fontId="4" fillId="0" borderId="23" xfId="0" applyNumberFormat="1" applyFont="1" applyBorder="1" applyAlignment="1">
      <alignment vertical="center" shrinkToFit="1"/>
    </xf>
    <xf numFmtId="9" fontId="4" fillId="0" borderId="23" xfId="0" applyNumberFormat="1" applyFont="1" applyBorder="1" applyAlignment="1">
      <alignment vertical="center" shrinkToFit="1"/>
    </xf>
    <xf numFmtId="0" fontId="4" fillId="0" borderId="20" xfId="0" applyFont="1" applyBorder="1" applyAlignment="1">
      <alignment vertical="center" shrinkToFit="1"/>
    </xf>
    <xf numFmtId="176" fontId="4" fillId="0" borderId="24" xfId="0" applyNumberFormat="1" applyFont="1" applyBorder="1" applyAlignment="1">
      <alignment vertical="center" shrinkToFit="1"/>
    </xf>
    <xf numFmtId="0" fontId="4" fillId="0" borderId="25" xfId="0" applyFont="1" applyBorder="1" applyAlignment="1">
      <alignment vertical="center" shrinkToFit="1"/>
    </xf>
    <xf numFmtId="176" fontId="4" fillId="0" borderId="25" xfId="0" applyNumberFormat="1" applyFont="1" applyBorder="1" applyAlignment="1">
      <alignment vertical="center" shrinkToFit="1"/>
    </xf>
    <xf numFmtId="176" fontId="4" fillId="0" borderId="35" xfId="0" applyNumberFormat="1" applyFont="1" applyBorder="1" applyAlignment="1">
      <alignment vertical="center" shrinkToFit="1"/>
    </xf>
    <xf numFmtId="176" fontId="4" fillId="0" borderId="36" xfId="0" applyNumberFormat="1" applyFont="1" applyBorder="1" applyAlignment="1">
      <alignment vertical="center" shrinkToFit="1"/>
    </xf>
    <xf numFmtId="176" fontId="4" fillId="0" borderId="27" xfId="0" applyNumberFormat="1" applyFont="1" applyBorder="1" applyAlignment="1">
      <alignment vertical="center" shrinkToFit="1"/>
    </xf>
    <xf numFmtId="176" fontId="4" fillId="0" borderId="28" xfId="0" applyNumberFormat="1" applyFont="1" applyBorder="1" applyAlignment="1">
      <alignment vertical="center" shrinkToFit="1"/>
    </xf>
    <xf numFmtId="9" fontId="4" fillId="0" borderId="27" xfId="0" applyNumberFormat="1" applyFont="1" applyBorder="1" applyAlignment="1">
      <alignment vertical="center" shrinkToFit="1"/>
    </xf>
    <xf numFmtId="0" fontId="9" fillId="0" borderId="10" xfId="0" applyFont="1" applyBorder="1" applyAlignment="1">
      <alignment vertical="center" shrinkToFit="1"/>
    </xf>
    <xf numFmtId="0" fontId="9" fillId="0" borderId="0" xfId="0" applyFont="1" applyAlignment="1">
      <alignment vertical="top" wrapText="1"/>
    </xf>
    <xf numFmtId="0" fontId="9" fillId="0" borderId="39" xfId="0" applyFont="1" applyBorder="1" applyAlignment="1">
      <alignment horizontal="center" vertical="center" shrinkToFit="1"/>
    </xf>
    <xf numFmtId="0" fontId="9" fillId="0" borderId="40" xfId="0" applyFont="1" applyBorder="1" applyAlignment="1">
      <alignment horizontal="center" vertical="center" shrinkToFit="1"/>
    </xf>
    <xf numFmtId="0" fontId="4" fillId="0" borderId="0" xfId="0" applyFont="1" applyAlignment="1">
      <alignment horizontal="left" vertical="center"/>
    </xf>
    <xf numFmtId="0" fontId="4" fillId="0" borderId="14"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24" xfId="0" applyFont="1" applyBorder="1" applyAlignment="1">
      <alignment horizontal="left" vertical="center" shrinkToFit="1"/>
    </xf>
    <xf numFmtId="0" fontId="4" fillId="0" borderId="10" xfId="0" applyFont="1" applyBorder="1" applyAlignment="1">
      <alignment vertical="center" shrinkToFit="1"/>
    </xf>
    <xf numFmtId="0" fontId="4" fillId="0" borderId="28" xfId="0" applyFont="1" applyBorder="1" applyAlignment="1">
      <alignment horizontal="center" vertical="center" shrinkToFit="1"/>
    </xf>
    <xf numFmtId="0" fontId="4" fillId="0" borderId="26" xfId="0" applyFont="1" applyBorder="1" applyAlignment="1">
      <alignment vertical="center" shrinkToFit="1"/>
    </xf>
    <xf numFmtId="0" fontId="4" fillId="0" borderId="0" xfId="0" applyFont="1" applyAlignment="1">
      <alignment vertical="center" wrapText="1"/>
    </xf>
    <xf numFmtId="0" fontId="9" fillId="0" borderId="7" xfId="0" applyFont="1" applyBorder="1" applyAlignment="1">
      <alignment horizontal="center" vertical="center" wrapText="1" shrinkToFit="1"/>
    </xf>
    <xf numFmtId="9" fontId="9" fillId="0" borderId="8" xfId="0" applyNumberFormat="1" applyFont="1" applyBorder="1" applyAlignment="1">
      <alignment horizontal="center" vertical="center" wrapText="1" shrinkToFit="1"/>
    </xf>
    <xf numFmtId="0" fontId="9" fillId="0" borderId="8" xfId="0" applyFont="1" applyBorder="1" applyAlignment="1">
      <alignment horizontal="center" vertical="center" wrapText="1" shrinkToFit="1"/>
    </xf>
    <xf numFmtId="9" fontId="9" fillId="0" borderId="8" xfId="0" applyNumberFormat="1" applyFont="1" applyBorder="1" applyAlignment="1">
      <alignment horizontal="center" vertical="center" shrinkToFit="1"/>
    </xf>
    <xf numFmtId="0" fontId="9" fillId="0" borderId="9" xfId="0" applyFont="1" applyBorder="1" applyAlignment="1">
      <alignment horizontal="center" vertical="center" shrinkToFit="1"/>
    </xf>
    <xf numFmtId="9" fontId="9" fillId="0" borderId="40" xfId="0" applyNumberFormat="1" applyFont="1" applyBorder="1" applyAlignment="1">
      <alignment horizontal="center" vertical="center" shrinkToFit="1"/>
    </xf>
    <xf numFmtId="176" fontId="9" fillId="0" borderId="40" xfId="0" applyNumberFormat="1" applyFont="1" applyBorder="1" applyAlignment="1">
      <alignment horizontal="center" vertical="center" shrinkToFit="1"/>
    </xf>
    <xf numFmtId="0" fontId="9" fillId="0" borderId="41" xfId="0" applyFont="1" applyBorder="1" applyAlignment="1">
      <alignment horizontal="center" vertical="center" shrinkToFit="1"/>
    </xf>
    <xf numFmtId="0" fontId="9" fillId="0" borderId="1" xfId="0" applyFont="1" applyBorder="1" applyAlignment="1">
      <alignment horizontal="center" vertical="center" shrinkToFit="1"/>
    </xf>
    <xf numFmtId="0" fontId="9" fillId="0" borderId="0" xfId="0" applyFont="1" applyAlignment="1">
      <alignment horizontal="right" vertical="center"/>
    </xf>
    <xf numFmtId="0" fontId="9" fillId="0" borderId="0" xfId="0" applyFont="1" applyAlignment="1">
      <alignment vertical="center" wrapText="1"/>
    </xf>
    <xf numFmtId="0" fontId="19" fillId="0" borderId="0" xfId="0" applyFont="1">
      <alignment vertical="center"/>
    </xf>
    <xf numFmtId="0" fontId="19" fillId="0" borderId="0" xfId="0" applyFont="1" applyAlignment="1">
      <alignment vertical="top" wrapText="1"/>
    </xf>
    <xf numFmtId="0" fontId="19" fillId="0" borderId="0" xfId="0" applyFont="1" applyAlignment="1">
      <alignment vertical="top" shrinkToFit="1"/>
    </xf>
    <xf numFmtId="0" fontId="19" fillId="0" borderId="0" xfId="0" applyFont="1" applyAlignment="1">
      <alignment vertical="center" wrapText="1"/>
    </xf>
    <xf numFmtId="0" fontId="19" fillId="0" borderId="20" xfId="0" applyFont="1" applyBorder="1" applyAlignment="1">
      <alignment vertical="top" shrinkToFit="1"/>
    </xf>
    <xf numFmtId="0" fontId="19" fillId="0" borderId="18" xfId="0" applyFont="1" applyBorder="1" applyAlignment="1">
      <alignment vertical="top" shrinkToFit="1"/>
    </xf>
    <xf numFmtId="0" fontId="20" fillId="0" borderId="0" xfId="0" applyFont="1">
      <alignment vertical="center"/>
    </xf>
    <xf numFmtId="0" fontId="21" fillId="0" borderId="4" xfId="0" applyFont="1" applyBorder="1" applyAlignment="1">
      <alignment horizontal="center" vertical="center" shrinkToFit="1"/>
    </xf>
    <xf numFmtId="49" fontId="19" fillId="0" borderId="1" xfId="0" applyNumberFormat="1" applyFont="1" applyBorder="1" applyAlignment="1">
      <alignment horizontal="center" vertical="center"/>
    </xf>
    <xf numFmtId="0" fontId="9" fillId="0" borderId="14" xfId="0" applyFont="1" applyBorder="1" applyAlignment="1">
      <alignment horizontal="center" vertical="center" shrinkToFit="1"/>
    </xf>
    <xf numFmtId="0" fontId="9" fillId="0" borderId="23" xfId="0" applyFont="1" applyBorder="1" applyAlignment="1">
      <alignment horizontal="center" vertical="center" shrinkToFit="1"/>
    </xf>
    <xf numFmtId="0" fontId="9" fillId="0" borderId="13" xfId="0" applyFont="1" applyBorder="1" applyAlignment="1">
      <alignment horizontal="center" vertical="center" shrinkToFit="1"/>
    </xf>
    <xf numFmtId="0" fontId="9" fillId="0" borderId="46" xfId="0" applyFont="1" applyBorder="1" applyAlignment="1">
      <alignment horizontal="center" vertical="center" shrinkToFit="1"/>
    </xf>
    <xf numFmtId="0" fontId="9" fillId="0" borderId="3" xfId="0" applyFont="1" applyBorder="1">
      <alignment vertical="center"/>
    </xf>
    <xf numFmtId="0" fontId="9" fillId="0" borderId="38" xfId="0" applyFont="1" applyBorder="1" applyAlignment="1">
      <alignment horizontal="center" vertical="center"/>
    </xf>
    <xf numFmtId="0" fontId="9" fillId="0" borderId="18" xfId="0" applyFont="1" applyBorder="1" applyAlignment="1">
      <alignment horizontal="center" vertical="center"/>
    </xf>
    <xf numFmtId="0" fontId="9" fillId="0" borderId="45" xfId="0" applyFont="1" applyBorder="1" applyAlignment="1">
      <alignment horizontal="center" vertical="center"/>
    </xf>
    <xf numFmtId="0" fontId="10" fillId="0" borderId="2" xfId="0" applyFont="1" applyBorder="1">
      <alignment vertical="center"/>
    </xf>
    <xf numFmtId="0" fontId="10" fillId="0" borderId="4" xfId="0" applyFont="1" applyBorder="1">
      <alignment vertical="center"/>
    </xf>
    <xf numFmtId="49" fontId="19" fillId="0" borderId="48" xfId="0" applyNumberFormat="1" applyFont="1" applyBorder="1" applyAlignment="1">
      <alignment horizontal="center" vertical="center"/>
    </xf>
    <xf numFmtId="49" fontId="19" fillId="0" borderId="49" xfId="0" applyNumberFormat="1" applyFont="1" applyBorder="1" applyAlignment="1">
      <alignment horizontal="center" vertical="center"/>
    </xf>
    <xf numFmtId="49" fontId="19" fillId="0" borderId="50" xfId="0" applyNumberFormat="1" applyFont="1" applyBorder="1" applyAlignment="1">
      <alignment horizontal="center" vertical="center"/>
    </xf>
    <xf numFmtId="49" fontId="19" fillId="0" borderId="29" xfId="0" applyNumberFormat="1" applyFont="1" applyBorder="1" applyAlignment="1">
      <alignment horizontal="center" vertical="center"/>
    </xf>
    <xf numFmtId="49" fontId="19" fillId="0" borderId="52" xfId="0" applyNumberFormat="1" applyFont="1" applyBorder="1" applyAlignment="1">
      <alignment horizontal="center" vertical="center"/>
    </xf>
    <xf numFmtId="49" fontId="19" fillId="0" borderId="33" xfId="0" applyNumberFormat="1" applyFont="1" applyBorder="1" applyAlignment="1">
      <alignment horizontal="center" vertical="center"/>
    </xf>
    <xf numFmtId="0" fontId="9" fillId="0" borderId="53" xfId="0" applyFont="1" applyBorder="1" applyAlignment="1">
      <alignment horizontal="center" vertical="center" shrinkToFit="1"/>
    </xf>
    <xf numFmtId="0" fontId="9" fillId="0" borderId="15" xfId="0" applyFont="1" applyBorder="1" applyAlignment="1">
      <alignment horizontal="center" vertical="center" shrinkToFit="1"/>
    </xf>
    <xf numFmtId="0" fontId="9" fillId="0" borderId="14" xfId="0" applyFont="1" applyBorder="1" applyAlignment="1">
      <alignment horizontal="center" vertical="center"/>
    </xf>
    <xf numFmtId="0" fontId="9" fillId="0" borderId="41" xfId="0" applyFont="1" applyBorder="1" applyAlignment="1">
      <alignment horizontal="center" vertical="center"/>
    </xf>
    <xf numFmtId="0" fontId="1" fillId="0" borderId="14" xfId="0" applyFont="1" applyBorder="1" applyAlignment="1">
      <alignment horizontal="center" vertical="center" shrinkToFit="1"/>
    </xf>
    <xf numFmtId="0" fontId="1" fillId="0" borderId="0" xfId="0" applyFont="1">
      <alignment vertical="center"/>
    </xf>
    <xf numFmtId="0" fontId="1" fillId="0" borderId="0" xfId="0" applyFont="1" applyAlignment="1">
      <alignment horizontal="right" vertical="center"/>
    </xf>
    <xf numFmtId="0" fontId="1" fillId="0" borderId="5" xfId="0" applyFont="1" applyBorder="1">
      <alignment vertical="center"/>
    </xf>
    <xf numFmtId="0" fontId="1" fillId="0" borderId="16" xfId="0" applyFont="1" applyBorder="1">
      <alignment vertical="center"/>
    </xf>
    <xf numFmtId="0" fontId="1" fillId="0" borderId="0" xfId="0" applyFont="1" applyAlignment="1">
      <alignment vertical="top" wrapText="1"/>
    </xf>
    <xf numFmtId="49" fontId="8" fillId="0" borderId="2" xfId="3" applyNumberFormat="1" applyBorder="1" applyAlignment="1">
      <alignment vertical="center" shrinkToFit="1"/>
    </xf>
    <xf numFmtId="49" fontId="8" fillId="0" borderId="3" xfId="3" applyNumberFormat="1" applyBorder="1" applyAlignment="1">
      <alignment vertical="center" shrinkToFit="1"/>
    </xf>
    <xf numFmtId="49" fontId="8" fillId="0" borderId="4" xfId="3" applyNumberFormat="1" applyBorder="1" applyAlignment="1">
      <alignment vertical="center" shrinkToFit="1"/>
    </xf>
    <xf numFmtId="49" fontId="9" fillId="0" borderId="2" xfId="1" applyNumberFormat="1" applyFont="1" applyBorder="1" applyAlignment="1">
      <alignment horizontal="center" vertical="center" shrinkToFit="1"/>
    </xf>
    <xf numFmtId="49" fontId="9" fillId="0" borderId="3" xfId="1" applyNumberFormat="1" applyFont="1" applyBorder="1" applyAlignment="1">
      <alignment horizontal="center" vertical="center" shrinkToFit="1"/>
    </xf>
    <xf numFmtId="49" fontId="9" fillId="0" borderId="4" xfId="1" applyNumberFormat="1" applyFont="1" applyBorder="1" applyAlignment="1">
      <alignment horizontal="center" vertical="center" shrinkToFit="1"/>
    </xf>
    <xf numFmtId="0" fontId="9" fillId="0" borderId="0" xfId="0" applyFont="1" applyAlignment="1">
      <alignment horizontal="center" vertical="center"/>
    </xf>
    <xf numFmtId="0" fontId="9" fillId="0" borderId="2"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4" xfId="0" applyFont="1" applyBorder="1" applyAlignment="1">
      <alignment horizontal="center" vertical="center" shrinkToFit="1"/>
    </xf>
    <xf numFmtId="176" fontId="9" fillId="0" borderId="2" xfId="0" applyNumberFormat="1" applyFont="1" applyBorder="1" applyAlignment="1">
      <alignment horizontal="center" vertical="center" shrinkToFit="1"/>
    </xf>
    <xf numFmtId="176" fontId="9" fillId="0" borderId="4" xfId="0" applyNumberFormat="1" applyFont="1" applyBorder="1" applyAlignment="1">
      <alignment horizontal="center" vertical="center" shrinkToFit="1"/>
    </xf>
    <xf numFmtId="0" fontId="9" fillId="0" borderId="2" xfId="0" applyFont="1" applyBorder="1" applyAlignment="1">
      <alignment vertical="center" shrinkToFit="1"/>
    </xf>
    <xf numFmtId="0" fontId="9" fillId="0" borderId="3" xfId="0" applyFont="1" applyBorder="1" applyAlignment="1">
      <alignment vertical="center" shrinkToFit="1"/>
    </xf>
    <xf numFmtId="0" fontId="9" fillId="0" borderId="0" xfId="0" applyFont="1" applyAlignment="1">
      <alignment horizontal="right" vertical="center" shrinkToFit="1"/>
    </xf>
    <xf numFmtId="0" fontId="9" fillId="0" borderId="5" xfId="0" applyFont="1" applyBorder="1" applyAlignment="1">
      <alignment horizontal="right" vertical="center" shrinkToFit="1"/>
    </xf>
    <xf numFmtId="0" fontId="9" fillId="0" borderId="10" xfId="0" applyFont="1" applyBorder="1" applyAlignment="1">
      <alignment horizontal="right" vertical="center" shrinkToFit="1"/>
    </xf>
    <xf numFmtId="0" fontId="9" fillId="0" borderId="0" xfId="0" applyFont="1" applyAlignment="1">
      <alignment horizontal="right" vertical="center"/>
    </xf>
    <xf numFmtId="0" fontId="9" fillId="0" borderId="10" xfId="0" applyFont="1" applyBorder="1" applyAlignment="1">
      <alignment horizontal="right" vertical="center"/>
    </xf>
    <xf numFmtId="176" fontId="9" fillId="0" borderId="3" xfId="0" applyNumberFormat="1" applyFont="1" applyBorder="1" applyAlignment="1">
      <alignment horizontal="center" vertical="center" shrinkToFit="1"/>
    </xf>
    <xf numFmtId="0" fontId="14" fillId="0" borderId="0" xfId="0" applyFont="1" applyAlignment="1">
      <alignment horizontal="center" vertical="center"/>
    </xf>
    <xf numFmtId="0" fontId="9" fillId="0" borderId="2" xfId="0" applyFont="1" applyBorder="1" applyAlignment="1">
      <alignment horizontal="center" vertical="center"/>
    </xf>
    <xf numFmtId="0" fontId="9" fillId="0" borderId="4" xfId="0" applyFont="1" applyBorder="1" applyAlignment="1">
      <alignment horizontal="center" vertical="center"/>
    </xf>
    <xf numFmtId="0" fontId="9" fillId="0" borderId="3" xfId="0" applyFont="1" applyBorder="1" applyAlignment="1">
      <alignment horizontal="center" vertical="center"/>
    </xf>
    <xf numFmtId="176" fontId="9" fillId="0" borderId="2" xfId="0" applyNumberFormat="1" applyFont="1" applyBorder="1" applyAlignment="1">
      <alignment horizontal="center" vertical="center"/>
    </xf>
    <xf numFmtId="176" fontId="9" fillId="0" borderId="3" xfId="0" applyNumberFormat="1" applyFont="1" applyBorder="1" applyAlignment="1">
      <alignment horizontal="center" vertical="center"/>
    </xf>
    <xf numFmtId="176" fontId="9" fillId="0" borderId="4" xfId="0" applyNumberFormat="1" applyFont="1" applyBorder="1" applyAlignment="1">
      <alignment horizontal="center" vertical="center"/>
    </xf>
    <xf numFmtId="0" fontId="9" fillId="0" borderId="0" xfId="0" applyFont="1" applyAlignment="1">
      <alignment vertical="center" shrinkToFit="1"/>
    </xf>
    <xf numFmtId="0" fontId="10" fillId="0" borderId="7" xfId="0" applyFont="1" applyBorder="1" applyAlignment="1">
      <alignment vertical="center" shrinkToFit="1"/>
    </xf>
    <xf numFmtId="0" fontId="10" fillId="0" borderId="8" xfId="0" applyFont="1" applyBorder="1" applyAlignment="1">
      <alignment vertical="center" shrinkToFit="1"/>
    </xf>
    <xf numFmtId="0" fontId="10" fillId="0" borderId="9" xfId="0" applyFont="1" applyBorder="1" applyAlignment="1">
      <alignment vertical="center" shrinkToFit="1"/>
    </xf>
    <xf numFmtId="0" fontId="10" fillId="0" borderId="5" xfId="0" applyFont="1" applyBorder="1" applyAlignment="1">
      <alignment vertical="center" shrinkToFit="1"/>
    </xf>
    <xf numFmtId="0" fontId="10" fillId="0" borderId="0" xfId="0" applyFont="1" applyAlignment="1">
      <alignment vertical="center" shrinkToFit="1"/>
    </xf>
    <xf numFmtId="0" fontId="10" fillId="0" borderId="10" xfId="0" applyFont="1" applyBorder="1" applyAlignment="1">
      <alignment vertical="center" shrinkToFit="1"/>
    </xf>
    <xf numFmtId="0" fontId="10" fillId="0" borderId="11" xfId="0" applyFont="1" applyBorder="1" applyAlignment="1">
      <alignment vertical="center" shrinkToFit="1"/>
    </xf>
    <xf numFmtId="0" fontId="10" fillId="0" borderId="6" xfId="0" applyFont="1" applyBorder="1" applyAlignment="1">
      <alignment vertical="center" shrinkToFit="1"/>
    </xf>
    <xf numFmtId="0" fontId="10" fillId="0" borderId="12" xfId="0" applyFont="1" applyBorder="1" applyAlignment="1">
      <alignment vertical="center" shrinkToFit="1"/>
    </xf>
    <xf numFmtId="0" fontId="8" fillId="0" borderId="2" xfId="3" applyBorder="1" applyAlignment="1">
      <alignment vertical="center" shrinkToFit="1"/>
    </xf>
    <xf numFmtId="0" fontId="8" fillId="0" borderId="3" xfId="3" applyBorder="1" applyAlignment="1">
      <alignment vertical="center" shrinkToFit="1"/>
    </xf>
    <xf numFmtId="0" fontId="8" fillId="0" borderId="4" xfId="3" applyBorder="1" applyAlignment="1">
      <alignment vertical="center" shrinkToFit="1"/>
    </xf>
    <xf numFmtId="0" fontId="22" fillId="0" borderId="47" xfId="0" applyFont="1" applyBorder="1" applyAlignment="1">
      <alignment vertical="center" wrapText="1"/>
    </xf>
    <xf numFmtId="0" fontId="23" fillId="0" borderId="32" xfId="0" applyFont="1" applyBorder="1" applyAlignment="1">
      <alignment vertical="center" wrapText="1"/>
    </xf>
    <xf numFmtId="0" fontId="22" fillId="0" borderId="8" xfId="0" applyFont="1" applyBorder="1" applyAlignment="1">
      <alignment horizontal="left" vertical="center" wrapText="1" shrinkToFit="1"/>
    </xf>
    <xf numFmtId="0" fontId="22" fillId="0" borderId="8" xfId="0" applyFont="1" applyBorder="1" applyAlignment="1">
      <alignment horizontal="left" vertical="center" shrinkToFit="1"/>
    </xf>
    <xf numFmtId="0" fontId="22" fillId="0" borderId="9" xfId="0" applyFont="1" applyBorder="1" applyAlignment="1">
      <alignment horizontal="left" vertical="center" shrinkToFit="1"/>
    </xf>
    <xf numFmtId="0" fontId="22" fillId="0" borderId="2" xfId="0" applyFont="1" applyBorder="1" applyAlignment="1">
      <alignment horizontal="left" vertical="center" wrapText="1" shrinkToFit="1"/>
    </xf>
    <xf numFmtId="0" fontId="22" fillId="0" borderId="3" xfId="0" applyFont="1" applyBorder="1" applyAlignment="1">
      <alignment horizontal="left" vertical="center" wrapText="1" shrinkToFit="1"/>
    </xf>
    <xf numFmtId="0" fontId="22" fillId="0" borderId="4" xfId="0" applyFont="1" applyBorder="1" applyAlignment="1">
      <alignment horizontal="left" vertical="center" wrapText="1" shrinkToFit="1"/>
    </xf>
    <xf numFmtId="0" fontId="22" fillId="0" borderId="32" xfId="0" applyFont="1" applyBorder="1" applyAlignment="1">
      <alignment vertical="center" wrapText="1"/>
    </xf>
    <xf numFmtId="0" fontId="23" fillId="0" borderId="51" xfId="0" applyFont="1" applyBorder="1" applyAlignment="1">
      <alignment vertical="center" wrapText="1"/>
    </xf>
    <xf numFmtId="0" fontId="22" fillId="0" borderId="42" xfId="0" applyFont="1" applyBorder="1" applyAlignment="1">
      <alignment vertical="center" wrapText="1" shrinkToFit="1"/>
    </xf>
    <xf numFmtId="0" fontId="22" fillId="0" borderId="42" xfId="0" applyFont="1" applyBorder="1" applyAlignment="1">
      <alignment vertical="center" shrinkToFit="1"/>
    </xf>
    <xf numFmtId="0" fontId="22" fillId="0" borderId="38" xfId="0" applyFont="1" applyBorder="1" applyAlignment="1">
      <alignment vertical="center" shrinkToFit="1"/>
    </xf>
    <xf numFmtId="0" fontId="23" fillId="0" borderId="47" xfId="0" applyFont="1" applyBorder="1" applyAlignment="1">
      <alignment vertical="center" wrapText="1"/>
    </xf>
    <xf numFmtId="0" fontId="22" fillId="0" borderId="42" xfId="0" applyFont="1" applyBorder="1" applyAlignment="1">
      <alignment horizontal="left" vertical="center" wrapText="1" shrinkToFit="1"/>
    </xf>
    <xf numFmtId="0" fontId="22" fillId="0" borderId="42" xfId="0" applyFont="1" applyBorder="1" applyAlignment="1">
      <alignment horizontal="left" vertical="center" shrinkToFit="1"/>
    </xf>
    <xf numFmtId="0" fontId="22" fillId="0" borderId="38" xfId="0" applyFont="1" applyBorder="1" applyAlignment="1">
      <alignment horizontal="left" vertical="center" shrinkToFit="1"/>
    </xf>
    <xf numFmtId="0" fontId="22" fillId="0" borderId="44" xfId="0" applyFont="1" applyBorder="1" applyAlignment="1">
      <alignment horizontal="left" vertical="center" wrapText="1" shrinkToFit="1"/>
    </xf>
    <xf numFmtId="0" fontId="22" fillId="0" borderId="44" xfId="0" applyFont="1" applyBorder="1" applyAlignment="1">
      <alignment horizontal="left" vertical="center" shrinkToFit="1"/>
    </xf>
    <xf numFmtId="0" fontId="22" fillId="0" borderId="45" xfId="0" applyFont="1" applyBorder="1" applyAlignment="1">
      <alignment horizontal="left" vertical="center" shrinkToFit="1"/>
    </xf>
    <xf numFmtId="0" fontId="9" fillId="0" borderId="43" xfId="0" applyFont="1" applyBorder="1" applyAlignment="1">
      <alignment vertical="center" shrinkToFit="1"/>
    </xf>
    <xf numFmtId="0" fontId="9" fillId="0" borderId="44" xfId="0" applyFont="1" applyBorder="1" applyAlignment="1">
      <alignment vertical="center" shrinkToFit="1"/>
    </xf>
    <xf numFmtId="0" fontId="9" fillId="0" borderId="45" xfId="0" applyFont="1" applyBorder="1" applyAlignment="1">
      <alignment vertical="center" shrinkToFit="1"/>
    </xf>
    <xf numFmtId="0" fontId="9" fillId="0" borderId="43" xfId="0" applyFont="1" applyBorder="1" applyAlignment="1">
      <alignment horizontal="center" vertical="center" shrinkToFit="1"/>
    </xf>
    <xf numFmtId="0" fontId="9" fillId="0" borderId="44" xfId="0" applyFont="1" applyBorder="1" applyAlignment="1">
      <alignment horizontal="center" vertical="center" shrinkToFit="1"/>
    </xf>
    <xf numFmtId="0" fontId="9" fillId="0" borderId="45" xfId="0" applyFont="1" applyBorder="1" applyAlignment="1">
      <alignment horizontal="center" vertical="center" shrinkToFi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22" fillId="0" borderId="22" xfId="0" applyFont="1" applyBorder="1" applyAlignment="1">
      <alignment horizontal="left" vertical="center" wrapText="1" shrinkToFit="1"/>
    </xf>
    <xf numFmtId="0" fontId="22" fillId="0" borderId="22" xfId="0" applyFont="1" applyBorder="1" applyAlignment="1">
      <alignment horizontal="left" vertical="center" shrinkToFit="1"/>
    </xf>
    <xf numFmtId="0" fontId="22" fillId="0" borderId="21" xfId="0" applyFont="1" applyBorder="1" applyAlignment="1">
      <alignment horizontal="left" vertical="center" shrinkToFit="1"/>
    </xf>
    <xf numFmtId="0" fontId="9" fillId="0" borderId="19" xfId="0" applyFont="1" applyBorder="1" applyAlignment="1">
      <alignment vertical="center" shrinkToFit="1"/>
    </xf>
    <xf numFmtId="0" fontId="9" fillId="0" borderId="20" xfId="0" applyFont="1" applyBorder="1" applyAlignment="1">
      <alignment vertical="center" shrinkToFit="1"/>
    </xf>
    <xf numFmtId="0" fontId="9" fillId="0" borderId="18" xfId="0" applyFont="1" applyBorder="1" applyAlignment="1">
      <alignment vertical="center" shrinkToFit="1"/>
    </xf>
    <xf numFmtId="0" fontId="9" fillId="0" borderId="19" xfId="0" applyFont="1" applyBorder="1" applyAlignment="1">
      <alignment horizontal="center" vertical="center" shrinkToFit="1"/>
    </xf>
    <xf numFmtId="0" fontId="9" fillId="0" borderId="20" xfId="0" applyFont="1" applyBorder="1" applyAlignment="1">
      <alignment horizontal="center" vertical="center" shrinkToFit="1"/>
    </xf>
    <xf numFmtId="0" fontId="9" fillId="0" borderId="18" xfId="0" applyFont="1" applyBorder="1" applyAlignment="1">
      <alignment horizontal="center" vertical="center" shrinkToFit="1"/>
    </xf>
    <xf numFmtId="0" fontId="9" fillId="0" borderId="37" xfId="0" applyFont="1" applyBorder="1" applyAlignment="1">
      <alignment vertical="center" shrinkToFit="1"/>
    </xf>
    <xf numFmtId="0" fontId="9" fillId="0" borderId="42" xfId="0" applyFont="1" applyBorder="1" applyAlignment="1">
      <alignment vertical="center" shrinkToFit="1"/>
    </xf>
    <xf numFmtId="0" fontId="9" fillId="0" borderId="38" xfId="0" applyFont="1" applyBorder="1" applyAlignment="1">
      <alignment vertical="center" shrinkToFit="1"/>
    </xf>
    <xf numFmtId="0" fontId="9" fillId="0" borderId="37" xfId="0" applyFont="1" applyBorder="1" applyAlignment="1">
      <alignment horizontal="center" vertical="center" shrinkToFit="1"/>
    </xf>
    <xf numFmtId="0" fontId="9" fillId="0" borderId="42" xfId="0" applyFont="1" applyBorder="1" applyAlignment="1">
      <alignment horizontal="center" vertical="center" shrinkToFit="1"/>
    </xf>
    <xf numFmtId="0" fontId="9" fillId="0" borderId="38" xfId="0" applyFont="1" applyBorder="1" applyAlignment="1">
      <alignment horizontal="center" vertical="center" shrinkToFit="1"/>
    </xf>
    <xf numFmtId="0" fontId="9" fillId="0" borderId="43" xfId="0" applyFont="1" applyBorder="1" applyAlignment="1">
      <alignment horizontal="center" vertical="center"/>
    </xf>
    <xf numFmtId="0" fontId="9" fillId="0" borderId="44" xfId="0" applyFont="1" applyBorder="1" applyAlignment="1">
      <alignment horizontal="center" vertical="center"/>
    </xf>
    <xf numFmtId="0" fontId="9" fillId="0" borderId="45" xfId="0" applyFont="1" applyBorder="1" applyAlignment="1">
      <alignment horizontal="center" vertic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9" xfId="0" applyFont="1" applyBorder="1" applyAlignment="1">
      <alignment horizontal="center" vertical="center"/>
    </xf>
    <xf numFmtId="0" fontId="9" fillId="0" borderId="20" xfId="0" applyFont="1" applyBorder="1" applyAlignment="1">
      <alignment horizontal="center" vertical="center"/>
    </xf>
    <xf numFmtId="0" fontId="9" fillId="0" borderId="18" xfId="0" applyFont="1" applyBorder="1" applyAlignment="1">
      <alignment horizontal="center" vertical="center"/>
    </xf>
    <xf numFmtId="0" fontId="9" fillId="0" borderId="37" xfId="0" applyFont="1" applyBorder="1" applyAlignment="1">
      <alignment horizontal="center" vertical="center"/>
    </xf>
    <xf numFmtId="0" fontId="9" fillId="0" borderId="42" xfId="0" applyFont="1" applyBorder="1" applyAlignment="1">
      <alignment horizontal="center" vertical="center"/>
    </xf>
    <xf numFmtId="0" fontId="9" fillId="0" borderId="38" xfId="0" applyFont="1" applyBorder="1" applyAlignment="1">
      <alignment horizontal="center" vertical="center"/>
    </xf>
    <xf numFmtId="0" fontId="9" fillId="0" borderId="43" xfId="0" applyFont="1" applyBorder="1" applyAlignment="1">
      <alignment horizontal="left" vertical="center" shrinkToFit="1"/>
    </xf>
    <xf numFmtId="0" fontId="9" fillId="0" borderId="44" xfId="0" applyFont="1" applyBorder="1" applyAlignment="1">
      <alignment horizontal="left" vertical="center" shrinkToFit="1"/>
    </xf>
    <xf numFmtId="0" fontId="9" fillId="0" borderId="45" xfId="0" applyFont="1" applyBorder="1" applyAlignment="1">
      <alignment horizontal="left" vertical="center" shrinkToFit="1"/>
    </xf>
    <xf numFmtId="0" fontId="9" fillId="0" borderId="0" xfId="0" applyFont="1" applyAlignment="1">
      <alignment vertical="center" wrapText="1"/>
    </xf>
    <xf numFmtId="0" fontId="9" fillId="0" borderId="19" xfId="0" applyFont="1" applyBorder="1" applyAlignment="1">
      <alignment horizontal="left" vertical="center" shrinkToFit="1"/>
    </xf>
    <xf numFmtId="0" fontId="9" fillId="0" borderId="20" xfId="0" applyFont="1" applyBorder="1" applyAlignment="1">
      <alignment horizontal="left" vertical="center" shrinkToFit="1"/>
    </xf>
    <xf numFmtId="0" fontId="9" fillId="0" borderId="18" xfId="0" applyFont="1" applyBorder="1" applyAlignment="1">
      <alignment horizontal="left" vertical="center" shrinkToFit="1"/>
    </xf>
    <xf numFmtId="0" fontId="9" fillId="0" borderId="37" xfId="0" applyFont="1" applyBorder="1" applyAlignment="1">
      <alignment horizontal="left" vertical="center" shrinkToFit="1"/>
    </xf>
    <xf numFmtId="0" fontId="9" fillId="0" borderId="42" xfId="0" applyFont="1" applyBorder="1" applyAlignment="1">
      <alignment horizontal="left" vertical="center" shrinkToFit="1"/>
    </xf>
    <xf numFmtId="0" fontId="9" fillId="0" borderId="38" xfId="0" applyFont="1" applyBorder="1" applyAlignment="1">
      <alignment horizontal="left" vertical="center" shrinkToFit="1"/>
    </xf>
    <xf numFmtId="0" fontId="9" fillId="0" borderId="39" xfId="0" applyFont="1" applyBorder="1" applyAlignment="1">
      <alignment horizontal="center" vertical="center"/>
    </xf>
    <xf numFmtId="0" fontId="9" fillId="0" borderId="40" xfId="0" applyFont="1" applyBorder="1" applyAlignment="1">
      <alignment horizontal="center" vertical="center"/>
    </xf>
    <xf numFmtId="0" fontId="9" fillId="0" borderId="41" xfId="0" applyFont="1" applyBorder="1" applyAlignment="1">
      <alignment horizontal="center" vertical="center"/>
    </xf>
    <xf numFmtId="0" fontId="9" fillId="0" borderId="39" xfId="0" applyFont="1" applyBorder="1" applyAlignment="1">
      <alignment vertical="center" shrinkToFit="1"/>
    </xf>
    <xf numFmtId="0" fontId="9" fillId="0" borderId="40" xfId="0" applyFont="1" applyBorder="1" applyAlignment="1">
      <alignment vertical="center" shrinkToFit="1"/>
    </xf>
    <xf numFmtId="0" fontId="9" fillId="0" borderId="41" xfId="0" applyFont="1" applyBorder="1" applyAlignment="1">
      <alignment vertical="center" shrinkToFit="1"/>
    </xf>
    <xf numFmtId="0" fontId="10" fillId="0" borderId="0" xfId="0" applyFont="1" applyAlignment="1">
      <alignment horizontal="center" vertical="center"/>
    </xf>
    <xf numFmtId="0" fontId="18" fillId="0" borderId="0" xfId="0" applyFont="1" applyAlignment="1">
      <alignment horizontal="center" vertical="center"/>
    </xf>
    <xf numFmtId="0" fontId="4" fillId="0" borderId="7" xfId="0" applyFont="1" applyBorder="1" applyAlignment="1">
      <alignment horizontal="left" vertical="top" wrapText="1" shrinkToFit="1"/>
    </xf>
    <xf numFmtId="0" fontId="4" fillId="0" borderId="8" xfId="0" applyFont="1" applyBorder="1" applyAlignment="1">
      <alignment horizontal="left" vertical="top" shrinkToFit="1"/>
    </xf>
    <xf numFmtId="0" fontId="4" fillId="0" borderId="9" xfId="0" applyFont="1" applyBorder="1" applyAlignment="1">
      <alignment horizontal="left" vertical="top" shrinkToFit="1"/>
    </xf>
    <xf numFmtId="0" fontId="4" fillId="0" borderId="5" xfId="0" applyFont="1" applyBorder="1" applyAlignment="1">
      <alignment horizontal="left" vertical="top" shrinkToFit="1"/>
    </xf>
    <xf numFmtId="0" fontId="4" fillId="0" borderId="0" xfId="0" applyFont="1" applyAlignment="1">
      <alignment horizontal="left" vertical="top" shrinkToFit="1"/>
    </xf>
    <xf numFmtId="0" fontId="4" fillId="0" borderId="10" xfId="0" applyFont="1" applyBorder="1" applyAlignment="1">
      <alignment horizontal="left" vertical="top" shrinkToFit="1"/>
    </xf>
    <xf numFmtId="0" fontId="4" fillId="0" borderId="11" xfId="0" applyFont="1" applyBorder="1" applyAlignment="1">
      <alignment horizontal="left" vertical="top" shrinkToFit="1"/>
    </xf>
    <xf numFmtId="0" fontId="4" fillId="0" borderId="6" xfId="0" applyFont="1" applyBorder="1" applyAlignment="1">
      <alignment horizontal="left" vertical="top" shrinkToFit="1"/>
    </xf>
    <xf numFmtId="0" fontId="4" fillId="0" borderId="12" xfId="0" applyFont="1" applyBorder="1" applyAlignment="1">
      <alignment horizontal="left" vertical="top" shrinkToFit="1"/>
    </xf>
    <xf numFmtId="0" fontId="10" fillId="0" borderId="7" xfId="0" applyFont="1" applyBorder="1" applyAlignment="1">
      <alignment vertical="center" wrapText="1" shrinkToFit="1"/>
    </xf>
    <xf numFmtId="0" fontId="10" fillId="0" borderId="37" xfId="0" applyFont="1" applyBorder="1" applyAlignment="1">
      <alignment horizontal="left" vertical="center" wrapText="1" shrinkToFit="1"/>
    </xf>
    <xf numFmtId="0" fontId="10" fillId="0" borderId="42" xfId="0" applyFont="1" applyBorder="1" applyAlignment="1">
      <alignment horizontal="left" vertical="center" wrapText="1" shrinkToFit="1"/>
    </xf>
    <xf numFmtId="0" fontId="10" fillId="0" borderId="54" xfId="0" applyFont="1" applyBorder="1" applyAlignment="1">
      <alignment horizontal="left" vertical="center" wrapText="1" shrinkToFit="1"/>
    </xf>
    <xf numFmtId="0" fontId="10" fillId="0" borderId="43" xfId="0" applyFont="1" applyBorder="1" applyAlignment="1">
      <alignment horizontal="left" vertical="center" shrinkToFit="1"/>
    </xf>
    <xf numFmtId="0" fontId="10" fillId="0" borderId="44" xfId="0" applyFont="1" applyBorder="1" applyAlignment="1">
      <alignment horizontal="left" vertical="center" shrinkToFit="1"/>
    </xf>
    <xf numFmtId="0" fontId="10" fillId="0" borderId="55" xfId="0" applyFont="1" applyBorder="1" applyAlignment="1">
      <alignment horizontal="left" vertical="center" shrinkToFit="1"/>
    </xf>
    <xf numFmtId="0" fontId="10" fillId="0" borderId="37" xfId="0" applyFont="1" applyBorder="1" applyAlignment="1">
      <alignment vertical="center" wrapText="1" shrinkToFit="1"/>
    </xf>
    <xf numFmtId="0" fontId="10" fillId="0" borderId="42" xfId="0" applyFont="1" applyBorder="1" applyAlignment="1">
      <alignment vertical="center" wrapText="1" shrinkToFit="1"/>
    </xf>
    <xf numFmtId="0" fontId="10" fillId="0" borderId="54" xfId="0" applyFont="1" applyBorder="1" applyAlignment="1">
      <alignment vertical="center" wrapText="1" shrinkToFit="1"/>
    </xf>
    <xf numFmtId="0" fontId="10" fillId="0" borderId="19" xfId="0" applyFont="1" applyBorder="1" applyAlignment="1">
      <alignment vertical="center" wrapText="1" shrinkToFit="1"/>
    </xf>
    <xf numFmtId="0" fontId="10" fillId="0" borderId="20" xfId="0" applyFont="1" applyBorder="1" applyAlignment="1">
      <alignment vertical="center" wrapText="1" shrinkToFit="1"/>
    </xf>
    <xf numFmtId="0" fontId="10" fillId="0" borderId="56" xfId="0" applyFont="1" applyBorder="1" applyAlignment="1">
      <alignment vertical="center" wrapText="1" shrinkToFit="1"/>
    </xf>
    <xf numFmtId="0" fontId="10" fillId="0" borderId="43" xfId="0" applyFont="1" applyBorder="1" applyAlignment="1">
      <alignment vertical="center" wrapText="1" shrinkToFit="1"/>
    </xf>
    <xf numFmtId="0" fontId="10" fillId="0" borderId="44" xfId="0" applyFont="1" applyBorder="1" applyAlignment="1">
      <alignment vertical="center" wrapText="1" shrinkToFit="1"/>
    </xf>
    <xf numFmtId="0" fontId="10" fillId="0" borderId="55" xfId="0" applyFont="1" applyBorder="1" applyAlignment="1">
      <alignment vertical="center" wrapText="1" shrinkToFit="1"/>
    </xf>
    <xf numFmtId="0" fontId="10" fillId="0" borderId="43" xfId="0" applyFont="1" applyBorder="1" applyAlignment="1">
      <alignment horizontal="left" vertical="center" wrapText="1" shrinkToFit="1"/>
    </xf>
    <xf numFmtId="0" fontId="10" fillId="0" borderId="44" xfId="0" applyFont="1" applyBorder="1" applyAlignment="1">
      <alignment horizontal="left" vertical="center" wrapText="1" shrinkToFit="1"/>
    </xf>
    <xf numFmtId="0" fontId="10" fillId="0" borderId="55" xfId="0" applyFont="1" applyBorder="1" applyAlignment="1">
      <alignment horizontal="left" vertical="center" wrapText="1" shrinkToFit="1"/>
    </xf>
    <xf numFmtId="0" fontId="9" fillId="0" borderId="8" xfId="0" applyFont="1" applyBorder="1" applyAlignment="1">
      <alignment vertical="center" wrapText="1" shrinkToFit="1"/>
    </xf>
    <xf numFmtId="0" fontId="9" fillId="0" borderId="9" xfId="0" applyFont="1" applyBorder="1" applyAlignment="1">
      <alignment vertical="center" wrapText="1" shrinkToFit="1"/>
    </xf>
    <xf numFmtId="0" fontId="9" fillId="0" borderId="5" xfId="0" applyFont="1" applyBorder="1" applyAlignment="1">
      <alignment vertical="center" wrapText="1" shrinkToFit="1"/>
    </xf>
    <xf numFmtId="0" fontId="9" fillId="0" borderId="0" xfId="0" applyFont="1" applyAlignment="1">
      <alignment vertical="center" wrapText="1" shrinkToFit="1"/>
    </xf>
    <xf numFmtId="0" fontId="9" fillId="0" borderId="10" xfId="0" applyFont="1" applyBorder="1" applyAlignment="1">
      <alignment vertical="center" wrapText="1" shrinkToFit="1"/>
    </xf>
    <xf numFmtId="0" fontId="9" fillId="0" borderId="11" xfId="0" applyFont="1" applyBorder="1" applyAlignment="1">
      <alignment vertical="center" wrapText="1" shrinkToFit="1"/>
    </xf>
    <xf numFmtId="0" fontId="9" fillId="0" borderId="6" xfId="0" applyFont="1" applyBorder="1" applyAlignment="1">
      <alignment vertical="center" wrapText="1" shrinkToFit="1"/>
    </xf>
    <xf numFmtId="0" fontId="9" fillId="0" borderId="12" xfId="0" applyFont="1" applyBorder="1" applyAlignment="1">
      <alignment vertical="center" wrapText="1" shrinkToFit="1"/>
    </xf>
    <xf numFmtId="0" fontId="16" fillId="0" borderId="8" xfId="0" applyFont="1" applyBorder="1" applyAlignment="1">
      <alignment horizontal="left" vertical="center" shrinkToFit="1"/>
    </xf>
    <xf numFmtId="0" fontId="25" fillId="0" borderId="8" xfId="0" applyFont="1" applyBorder="1" applyAlignment="1">
      <alignment horizontal="left" vertical="center" shrinkToFit="1"/>
    </xf>
    <xf numFmtId="0" fontId="25" fillId="0" borderId="9" xfId="0" applyFont="1" applyBorder="1" applyAlignment="1">
      <alignment horizontal="left" vertical="center" shrinkToFit="1"/>
    </xf>
    <xf numFmtId="0" fontId="16" fillId="0" borderId="20" xfId="0" applyFont="1" applyBorder="1" applyAlignment="1">
      <alignment horizontal="left" vertical="center" shrinkToFit="1"/>
    </xf>
    <xf numFmtId="0" fontId="25" fillId="0" borderId="20" xfId="0" applyFont="1" applyBorder="1" applyAlignment="1">
      <alignment horizontal="left" vertical="center" shrinkToFit="1"/>
    </xf>
    <xf numFmtId="0" fontId="25" fillId="0" borderId="18" xfId="0" applyFont="1" applyBorder="1" applyAlignment="1">
      <alignment horizontal="left" vertical="center" shrinkToFit="1"/>
    </xf>
    <xf numFmtId="0" fontId="16" fillId="0" borderId="42" xfId="0" applyFont="1" applyBorder="1" applyAlignment="1">
      <alignment vertical="center" wrapText="1" shrinkToFit="1"/>
    </xf>
    <xf numFmtId="0" fontId="16" fillId="0" borderId="42" xfId="0" applyFont="1" applyBorder="1" applyAlignment="1">
      <alignment vertical="center" shrinkToFit="1"/>
    </xf>
    <xf numFmtId="0" fontId="16" fillId="0" borderId="38" xfId="0" applyFont="1" applyBorder="1" applyAlignment="1">
      <alignment vertical="center" shrinkToFit="1"/>
    </xf>
    <xf numFmtId="0" fontId="16" fillId="0" borderId="19" xfId="0" applyFont="1" applyBorder="1" applyAlignment="1">
      <alignment vertical="center" wrapText="1" shrinkToFit="1"/>
    </xf>
    <xf numFmtId="0" fontId="25" fillId="0" borderId="20" xfId="0" applyFont="1" applyBorder="1" applyAlignment="1">
      <alignment vertical="center" shrinkToFit="1"/>
    </xf>
    <xf numFmtId="0" fontId="25" fillId="0" borderId="18" xfId="0" applyFont="1" applyBorder="1" applyAlignment="1">
      <alignment vertical="center" shrinkToFit="1"/>
    </xf>
    <xf numFmtId="0" fontId="24" fillId="0" borderId="6" xfId="0" applyFont="1" applyBorder="1" applyAlignment="1">
      <alignment vertical="center" wrapText="1" shrinkToFit="1"/>
    </xf>
    <xf numFmtId="0" fontId="24" fillId="0" borderId="6" xfId="0" applyFont="1" applyBorder="1" applyAlignment="1">
      <alignment vertical="center" shrinkToFit="1"/>
    </xf>
    <xf numFmtId="0" fontId="24" fillId="0" borderId="12" xfId="0" applyFont="1" applyBorder="1" applyAlignment="1">
      <alignment vertical="center" shrinkToFit="1"/>
    </xf>
    <xf numFmtId="0" fontId="16" fillId="0" borderId="42" xfId="0" applyFont="1" applyBorder="1" applyAlignment="1">
      <alignment horizontal="left" vertical="center" wrapText="1" shrinkToFit="1"/>
    </xf>
    <xf numFmtId="0" fontId="16" fillId="0" borderId="42" xfId="0" applyFont="1" applyBorder="1" applyAlignment="1">
      <alignment horizontal="left" vertical="center" shrinkToFit="1"/>
    </xf>
    <xf numFmtId="0" fontId="16" fillId="0" borderId="38" xfId="0" applyFont="1" applyBorder="1" applyAlignment="1">
      <alignment horizontal="left" vertical="center" shrinkToFit="1"/>
    </xf>
    <xf numFmtId="0" fontId="16" fillId="0" borderId="44" xfId="0" applyFont="1" applyBorder="1" applyAlignment="1">
      <alignment horizontal="left" vertical="center" wrapText="1" shrinkToFit="1"/>
    </xf>
    <xf numFmtId="0" fontId="16" fillId="0" borderId="44" xfId="0" applyFont="1" applyBorder="1" applyAlignment="1">
      <alignment horizontal="left" vertical="center" shrinkToFit="1"/>
    </xf>
    <xf numFmtId="0" fontId="16" fillId="0" borderId="45" xfId="0" applyFont="1" applyBorder="1" applyAlignment="1">
      <alignment horizontal="left" vertical="center" shrinkToFit="1"/>
    </xf>
    <xf numFmtId="0" fontId="16" fillId="0" borderId="6" xfId="0" applyFont="1" applyBorder="1" applyAlignment="1">
      <alignment horizontal="left" vertical="center" wrapText="1" shrinkToFit="1"/>
    </xf>
    <xf numFmtId="0" fontId="16" fillId="0" borderId="6" xfId="0" applyFont="1" applyBorder="1" applyAlignment="1">
      <alignment horizontal="left" vertical="center" shrinkToFit="1"/>
    </xf>
    <xf numFmtId="0" fontId="16" fillId="0" borderId="12" xfId="0" applyFont="1" applyBorder="1" applyAlignment="1">
      <alignment horizontal="left" vertical="center" shrinkToFit="1"/>
    </xf>
    <xf numFmtId="0" fontId="16" fillId="0" borderId="22" xfId="0" applyFont="1" applyBorder="1" applyAlignment="1">
      <alignment horizontal="left" vertical="center" wrapText="1" shrinkToFit="1"/>
    </xf>
    <xf numFmtId="0" fontId="16" fillId="0" borderId="22" xfId="0" applyFont="1" applyBorder="1" applyAlignment="1">
      <alignment horizontal="left" vertical="center" shrinkToFit="1"/>
    </xf>
    <xf numFmtId="0" fontId="16" fillId="0" borderId="21" xfId="0" applyFont="1" applyBorder="1" applyAlignment="1">
      <alignment horizontal="left" vertical="center" shrinkToFit="1"/>
    </xf>
    <xf numFmtId="0" fontId="10" fillId="0" borderId="8" xfId="0" applyFont="1" applyBorder="1" applyAlignment="1">
      <alignment vertical="center" wrapText="1" shrinkToFit="1"/>
    </xf>
    <xf numFmtId="0" fontId="10" fillId="0" borderId="9" xfId="0" applyFont="1" applyBorder="1" applyAlignment="1">
      <alignment vertical="center" wrapText="1" shrinkToFit="1"/>
    </xf>
    <xf numFmtId="0" fontId="10" fillId="0" borderId="5" xfId="0" applyFont="1" applyBorder="1" applyAlignment="1">
      <alignment vertical="center" wrapText="1" shrinkToFit="1"/>
    </xf>
    <xf numFmtId="0" fontId="10" fillId="0" borderId="0" xfId="0" applyFont="1" applyAlignment="1">
      <alignment vertical="center" wrapText="1" shrinkToFit="1"/>
    </xf>
    <xf numFmtId="0" fontId="10" fillId="0" borderId="10" xfId="0" applyFont="1" applyBorder="1" applyAlignment="1">
      <alignment vertical="center" wrapText="1" shrinkToFit="1"/>
    </xf>
    <xf numFmtId="0" fontId="10" fillId="0" borderId="11" xfId="0" applyFont="1" applyBorder="1" applyAlignment="1">
      <alignment vertical="center" wrapText="1" shrinkToFit="1"/>
    </xf>
    <xf numFmtId="0" fontId="10" fillId="0" borderId="6" xfId="0" applyFont="1" applyBorder="1" applyAlignment="1">
      <alignment vertical="center" wrapText="1" shrinkToFit="1"/>
    </xf>
    <xf numFmtId="0" fontId="10" fillId="0" borderId="12" xfId="0" applyFont="1" applyBorder="1" applyAlignment="1">
      <alignment vertical="center" wrapText="1" shrinkToFit="1"/>
    </xf>
    <xf numFmtId="0" fontId="1" fillId="0" borderId="57" xfId="0" applyFont="1" applyBorder="1" applyAlignment="1">
      <alignment vertical="center"/>
    </xf>
    <xf numFmtId="0" fontId="1" fillId="0" borderId="58" xfId="0" applyFont="1" applyBorder="1" applyAlignment="1">
      <alignment vertical="center"/>
    </xf>
    <xf numFmtId="0" fontId="1" fillId="0" borderId="59" xfId="0" applyFont="1" applyBorder="1" applyAlignment="1">
      <alignment vertical="center"/>
    </xf>
    <xf numFmtId="0" fontId="10" fillId="0" borderId="37" xfId="0" applyFont="1" applyBorder="1" applyAlignment="1">
      <alignment horizontal="left" vertical="center" shrinkToFit="1"/>
    </xf>
    <xf numFmtId="0" fontId="10" fillId="0" borderId="42" xfId="0" applyFont="1" applyBorder="1" applyAlignment="1">
      <alignment horizontal="left" vertical="center" shrinkToFit="1"/>
    </xf>
    <xf numFmtId="0" fontId="10" fillId="0" borderId="38" xfId="0" applyFont="1" applyBorder="1" applyAlignment="1">
      <alignment horizontal="left" vertical="center" shrinkToFit="1"/>
    </xf>
    <xf numFmtId="0" fontId="10" fillId="0" borderId="0" xfId="0" applyFont="1" applyAlignment="1">
      <alignment horizontal="left" vertical="center" shrinkToFit="1"/>
    </xf>
    <xf numFmtId="0" fontId="10" fillId="0" borderId="10" xfId="0" applyFont="1" applyBorder="1" applyAlignment="1">
      <alignment horizontal="left" vertical="center" shrinkToFit="1"/>
    </xf>
    <xf numFmtId="0" fontId="10" fillId="0" borderId="38" xfId="0" applyFont="1" applyBorder="1" applyAlignment="1">
      <alignment vertical="center" wrapText="1" shrinkToFit="1"/>
    </xf>
    <xf numFmtId="0" fontId="10" fillId="0" borderId="39" xfId="0" applyFont="1" applyBorder="1" applyAlignment="1">
      <alignment vertical="center" wrapText="1" shrinkToFit="1"/>
    </xf>
    <xf numFmtId="0" fontId="10" fillId="0" borderId="40" xfId="0" applyFont="1" applyBorder="1" applyAlignment="1">
      <alignment vertical="center" wrapText="1" shrinkToFit="1"/>
    </xf>
    <xf numFmtId="0" fontId="10" fillId="0" borderId="41" xfId="0" applyFont="1" applyBorder="1" applyAlignment="1">
      <alignment vertical="center" wrapText="1" shrinkToFit="1"/>
    </xf>
    <xf numFmtId="0" fontId="10" fillId="0" borderId="45" xfId="0" applyFont="1" applyBorder="1" applyAlignment="1">
      <alignment vertical="center" wrapText="1" shrinkToFit="1"/>
    </xf>
    <xf numFmtId="0" fontId="8" fillId="0" borderId="2" xfId="3" applyFill="1" applyBorder="1" applyAlignment="1">
      <alignment vertical="center" shrinkToFit="1"/>
    </xf>
    <xf numFmtId="0" fontId="8" fillId="0" borderId="3" xfId="3" applyFill="1" applyBorder="1" applyAlignment="1">
      <alignment vertical="center" shrinkToFit="1"/>
    </xf>
    <xf numFmtId="0" fontId="8" fillId="0" borderId="4" xfId="3" applyFill="1" applyBorder="1" applyAlignment="1">
      <alignment vertical="center" shrinkToFit="1"/>
    </xf>
    <xf numFmtId="0" fontId="1" fillId="0" borderId="8" xfId="0" applyFont="1" applyBorder="1" applyAlignment="1">
      <alignment horizontal="left" vertical="center" wrapText="1" shrinkToFit="1"/>
    </xf>
    <xf numFmtId="0" fontId="1" fillId="0" borderId="9" xfId="0" applyFont="1" applyBorder="1" applyAlignment="1">
      <alignment horizontal="left" vertical="center" wrapText="1" shrinkToFit="1"/>
    </xf>
    <xf numFmtId="0" fontId="1" fillId="0" borderId="20" xfId="0" applyFont="1" applyBorder="1" applyAlignment="1">
      <alignment horizontal="left" vertical="center" wrapText="1" shrinkToFit="1"/>
    </xf>
    <xf numFmtId="0" fontId="1" fillId="0" borderId="18" xfId="0" applyFont="1" applyBorder="1" applyAlignment="1">
      <alignment horizontal="left" vertical="center" wrapText="1" shrinkToFit="1"/>
    </xf>
    <xf numFmtId="0" fontId="1" fillId="0" borderId="42" xfId="0" applyFont="1" applyBorder="1" applyAlignment="1">
      <alignment vertical="center" wrapText="1" shrinkToFit="1"/>
    </xf>
    <xf numFmtId="0" fontId="1" fillId="0" borderId="38" xfId="0" applyFont="1" applyBorder="1" applyAlignment="1">
      <alignment vertical="center" wrapText="1" shrinkToFit="1"/>
    </xf>
    <xf numFmtId="0" fontId="1" fillId="0" borderId="19" xfId="0" applyFont="1" applyBorder="1" applyAlignment="1">
      <alignment vertical="center" wrapText="1" shrinkToFit="1"/>
    </xf>
    <xf numFmtId="0" fontId="1" fillId="0" borderId="20" xfId="0" applyFont="1" applyBorder="1" applyAlignment="1">
      <alignment vertical="center" wrapText="1" shrinkToFit="1"/>
    </xf>
    <xf numFmtId="0" fontId="1" fillId="0" borderId="18" xfId="0" applyFont="1" applyBorder="1" applyAlignment="1">
      <alignment vertical="center" wrapText="1" shrinkToFit="1"/>
    </xf>
    <xf numFmtId="0" fontId="1" fillId="0" borderId="6" xfId="0" applyFont="1" applyBorder="1" applyAlignment="1">
      <alignment vertical="center" wrapText="1" shrinkToFit="1"/>
    </xf>
    <xf numFmtId="0" fontId="1" fillId="0" borderId="12" xfId="0" applyFont="1" applyBorder="1" applyAlignment="1">
      <alignment vertical="center" wrapText="1" shrinkToFit="1"/>
    </xf>
    <xf numFmtId="0" fontId="1" fillId="0" borderId="42" xfId="0" applyFont="1" applyBorder="1" applyAlignment="1">
      <alignment horizontal="left" vertical="center" wrapText="1" shrinkToFit="1"/>
    </xf>
    <xf numFmtId="0" fontId="1" fillId="0" borderId="38" xfId="0" applyFont="1" applyBorder="1" applyAlignment="1">
      <alignment horizontal="left" vertical="center" wrapText="1" shrinkToFit="1"/>
    </xf>
    <xf numFmtId="0" fontId="1" fillId="0" borderId="44" xfId="0" applyFont="1" applyBorder="1" applyAlignment="1">
      <alignment horizontal="left" vertical="center" wrapText="1" shrinkToFit="1"/>
    </xf>
    <xf numFmtId="0" fontId="1" fillId="0" borderId="45" xfId="0" applyFont="1" applyBorder="1" applyAlignment="1">
      <alignment horizontal="left" vertical="center" wrapText="1" shrinkToFit="1"/>
    </xf>
    <xf numFmtId="0" fontId="1" fillId="0" borderId="6" xfId="0" applyFont="1" applyBorder="1" applyAlignment="1">
      <alignment horizontal="left" vertical="center" wrapText="1" shrinkToFit="1"/>
    </xf>
    <xf numFmtId="0" fontId="1" fillId="0" borderId="12" xfId="0" applyFont="1" applyBorder="1" applyAlignment="1">
      <alignment horizontal="left" vertical="center" wrapText="1" shrinkToFit="1"/>
    </xf>
    <xf numFmtId="0" fontId="10" fillId="0" borderId="8" xfId="0" applyFont="1" applyBorder="1" applyAlignment="1">
      <alignment horizontal="left" vertical="center" wrapText="1" shrinkToFit="1"/>
    </xf>
    <xf numFmtId="0" fontId="10" fillId="0" borderId="9" xfId="0" applyFont="1" applyBorder="1" applyAlignment="1">
      <alignment horizontal="left" vertical="center" wrapText="1" shrinkToFit="1"/>
    </xf>
    <xf numFmtId="0" fontId="10" fillId="0" borderId="22" xfId="0" applyFont="1" applyBorder="1" applyAlignment="1">
      <alignment horizontal="left" vertical="center" wrapText="1" shrinkToFit="1"/>
    </xf>
    <xf numFmtId="0" fontId="10" fillId="0" borderId="21" xfId="0" applyFont="1" applyBorder="1" applyAlignment="1">
      <alignment horizontal="left" vertical="center" wrapText="1" shrinkToFit="1"/>
    </xf>
    <xf numFmtId="0" fontId="1" fillId="0" borderId="37" xfId="0" applyFont="1" applyBorder="1" applyAlignment="1">
      <alignment vertical="center" shrinkToFit="1"/>
    </xf>
    <xf numFmtId="0" fontId="1" fillId="0" borderId="42" xfId="0" applyFont="1" applyBorder="1" applyAlignment="1">
      <alignment vertical="center" shrinkToFit="1"/>
    </xf>
    <xf numFmtId="0" fontId="1" fillId="0" borderId="38" xfId="0" applyFont="1" applyBorder="1" applyAlignment="1">
      <alignment vertical="center" shrinkToFit="1"/>
    </xf>
    <xf numFmtId="0" fontId="1" fillId="0" borderId="37" xfId="0" applyFont="1" applyBorder="1" applyAlignment="1">
      <alignment horizontal="center" vertical="center"/>
    </xf>
    <xf numFmtId="0" fontId="1" fillId="0" borderId="42" xfId="0" applyFont="1" applyBorder="1" applyAlignment="1">
      <alignment horizontal="center" vertical="center"/>
    </xf>
    <xf numFmtId="0" fontId="1" fillId="0" borderId="38" xfId="0" applyFont="1" applyBorder="1" applyAlignment="1">
      <alignment horizontal="center" vertical="center"/>
    </xf>
    <xf numFmtId="0" fontId="1" fillId="0" borderId="37" xfId="0" applyFont="1" applyBorder="1" applyAlignment="1">
      <alignment horizontal="left" vertical="center" shrinkToFit="1"/>
    </xf>
    <xf numFmtId="0" fontId="1" fillId="0" borderId="42" xfId="0" applyFont="1" applyBorder="1" applyAlignment="1">
      <alignment horizontal="left" vertical="center" shrinkToFit="1"/>
    </xf>
    <xf numFmtId="0" fontId="1" fillId="0" borderId="38" xfId="0" applyFont="1" applyBorder="1" applyAlignment="1">
      <alignment horizontal="left" vertical="center" shrinkToFit="1"/>
    </xf>
    <xf numFmtId="0" fontId="1" fillId="0" borderId="0" xfId="0" applyFont="1" applyAlignment="1">
      <alignment horizontal="right" vertical="center"/>
    </xf>
    <xf numFmtId="0" fontId="15" fillId="0" borderId="0" xfId="0" applyFont="1" applyAlignment="1">
      <alignment horizontal="center" vertical="center"/>
    </xf>
    <xf numFmtId="0" fontId="4" fillId="0" borderId="2" xfId="0" applyFont="1" applyBorder="1" applyAlignment="1">
      <alignment horizontal="center" vertical="center" shrinkToFit="1"/>
    </xf>
    <xf numFmtId="0" fontId="4" fillId="0" borderId="4" xfId="0" applyFont="1" applyBorder="1" applyAlignment="1">
      <alignment horizontal="center" vertical="center" shrinkToFit="1"/>
    </xf>
    <xf numFmtId="0" fontId="4" fillId="0" borderId="15" xfId="0" applyFont="1" applyBorder="1" applyAlignment="1">
      <alignment horizontal="center" vertical="center"/>
    </xf>
    <xf numFmtId="0" fontId="4" fillId="0" borderId="13" xfId="0" applyFont="1" applyBorder="1" applyAlignment="1">
      <alignment horizontal="center" vertical="center"/>
    </xf>
    <xf numFmtId="0" fontId="16" fillId="0" borderId="8" xfId="0" applyFont="1" applyBorder="1" applyAlignment="1">
      <alignment horizontal="center" vertical="center" wrapText="1"/>
    </xf>
    <xf numFmtId="0" fontId="16" fillId="0" borderId="6" xfId="0" applyFont="1" applyBorder="1" applyAlignment="1">
      <alignment horizontal="center" vertical="center"/>
    </xf>
    <xf numFmtId="0" fontId="16" fillId="0" borderId="7" xfId="0" applyFont="1" applyBorder="1" applyAlignment="1">
      <alignment horizontal="center" vertical="center" wrapText="1"/>
    </xf>
    <xf numFmtId="0" fontId="16" fillId="0" borderId="11" xfId="0" applyFont="1" applyBorder="1" applyAlignment="1">
      <alignment horizontal="center" vertical="center"/>
    </xf>
    <xf numFmtId="0" fontId="4" fillId="0" borderId="14" xfId="0" applyFont="1" applyBorder="1" applyAlignment="1">
      <alignment horizontal="center" vertical="center"/>
    </xf>
    <xf numFmtId="0" fontId="4" fillId="0" borderId="37" xfId="0" applyFont="1" applyBorder="1" applyAlignment="1">
      <alignment horizontal="center" vertical="center"/>
    </xf>
    <xf numFmtId="0" fontId="4" fillId="0" borderId="38" xfId="0" applyFont="1" applyBorder="1" applyAlignment="1">
      <alignment horizontal="center" vertical="center"/>
    </xf>
    <xf numFmtId="0" fontId="17" fillId="0" borderId="15" xfId="0" applyFont="1" applyBorder="1" applyAlignment="1">
      <alignment horizontal="center" vertical="center" wrapText="1"/>
    </xf>
    <xf numFmtId="0" fontId="17" fillId="0" borderId="13" xfId="0" applyFont="1" applyBorder="1" applyAlignment="1">
      <alignment horizontal="center" vertical="center"/>
    </xf>
    <xf numFmtId="0" fontId="16" fillId="0" borderId="9" xfId="0" applyFont="1" applyBorder="1" applyAlignment="1">
      <alignment horizontal="center" vertical="center"/>
    </xf>
    <xf numFmtId="0" fontId="16" fillId="0" borderId="12" xfId="0" applyFont="1" applyBorder="1" applyAlignment="1">
      <alignment horizontal="center" vertical="center"/>
    </xf>
    <xf numFmtId="0" fontId="9" fillId="0" borderId="16" xfId="0" applyFont="1" applyBorder="1" applyAlignment="1">
      <alignment vertical="top" wrapText="1" shrinkToFit="1"/>
    </xf>
    <xf numFmtId="0" fontId="9" fillId="0" borderId="22" xfId="0" applyFont="1" applyBorder="1" applyAlignment="1">
      <alignment vertical="top" wrapText="1" shrinkToFit="1"/>
    </xf>
    <xf numFmtId="0" fontId="9" fillId="0" borderId="21" xfId="0" applyFont="1" applyBorder="1" applyAlignment="1">
      <alignment vertical="top" wrapText="1" shrinkToFit="1"/>
    </xf>
    <xf numFmtId="0" fontId="9" fillId="0" borderId="5" xfId="0" applyFont="1" applyBorder="1" applyAlignment="1">
      <alignment vertical="top" wrapText="1" shrinkToFit="1"/>
    </xf>
    <xf numFmtId="0" fontId="9" fillId="0" borderId="0" xfId="0" applyFont="1" applyAlignment="1">
      <alignment vertical="top" wrapText="1" shrinkToFit="1"/>
    </xf>
    <xf numFmtId="0" fontId="9" fillId="0" borderId="10" xfId="0" applyFont="1" applyBorder="1" applyAlignment="1">
      <alignment vertical="top" wrapText="1" shrinkToFit="1"/>
    </xf>
    <xf numFmtId="0" fontId="9" fillId="0" borderId="11" xfId="0" applyFont="1" applyBorder="1" applyAlignment="1">
      <alignment vertical="top" wrapText="1" shrinkToFit="1"/>
    </xf>
    <xf numFmtId="0" fontId="9" fillId="0" borderId="6" xfId="0" applyFont="1" applyBorder="1" applyAlignment="1">
      <alignment vertical="top" wrapText="1" shrinkToFit="1"/>
    </xf>
    <xf numFmtId="0" fontId="9" fillId="0" borderId="12" xfId="0" applyFont="1" applyBorder="1" applyAlignment="1">
      <alignment vertical="top" wrapText="1" shrinkToFit="1"/>
    </xf>
    <xf numFmtId="0" fontId="9" fillId="0" borderId="4" xfId="0" applyFont="1" applyBorder="1" applyAlignment="1">
      <alignment vertical="center" shrinkToFit="1"/>
    </xf>
    <xf numFmtId="0" fontId="9" fillId="0" borderId="7" xfId="0" applyFont="1" applyBorder="1" applyAlignment="1">
      <alignment vertical="top" wrapText="1" shrinkToFit="1"/>
    </xf>
    <xf numFmtId="0" fontId="9" fillId="0" borderId="8" xfId="0" applyFont="1" applyBorder="1" applyAlignment="1">
      <alignment vertical="top" wrapText="1" shrinkToFit="1"/>
    </xf>
    <xf numFmtId="0" fontId="9" fillId="0" borderId="8" xfId="0" applyFont="1" applyBorder="1" applyAlignment="1">
      <alignment vertical="top" shrinkToFit="1"/>
    </xf>
    <xf numFmtId="0" fontId="9" fillId="0" borderId="9" xfId="0" applyFont="1" applyBorder="1" applyAlignment="1">
      <alignment vertical="top" shrinkToFit="1"/>
    </xf>
    <xf numFmtId="0" fontId="9" fillId="0" borderId="5" xfId="0" applyFont="1" applyBorder="1" applyAlignment="1">
      <alignment vertical="top" shrinkToFit="1"/>
    </xf>
    <xf numFmtId="0" fontId="9" fillId="0" borderId="0" xfId="0" applyFont="1" applyAlignment="1">
      <alignment vertical="top" shrinkToFit="1"/>
    </xf>
    <xf numFmtId="0" fontId="9" fillId="0" borderId="10" xfId="0" applyFont="1" applyBorder="1" applyAlignment="1">
      <alignment vertical="top" shrinkToFit="1"/>
    </xf>
    <xf numFmtId="0" fontId="9" fillId="0" borderId="11" xfId="0" applyFont="1" applyBorder="1" applyAlignment="1">
      <alignment vertical="top" shrinkToFit="1"/>
    </xf>
    <xf numFmtId="0" fontId="9" fillId="0" borderId="6" xfId="0" applyFont="1" applyBorder="1" applyAlignment="1">
      <alignment vertical="top" shrinkToFit="1"/>
    </xf>
    <xf numFmtId="0" fontId="9" fillId="0" borderId="12" xfId="0" applyFont="1" applyBorder="1" applyAlignment="1">
      <alignment vertical="top" shrinkToFit="1"/>
    </xf>
    <xf numFmtId="0" fontId="9" fillId="0" borderId="9" xfId="0" applyFont="1" applyBorder="1" applyAlignment="1">
      <alignment vertical="top" wrapText="1" shrinkToFit="1"/>
    </xf>
    <xf numFmtId="0" fontId="9" fillId="0" borderId="6" xfId="0" applyFont="1" applyBorder="1" applyAlignment="1">
      <alignment vertical="center"/>
    </xf>
    <xf numFmtId="0" fontId="1" fillId="0" borderId="17" xfId="0" applyFont="1" applyBorder="1" applyAlignment="1">
      <alignment vertical="center"/>
    </xf>
    <xf numFmtId="0" fontId="0" fillId="0" borderId="18" xfId="0" applyBorder="1" applyAlignment="1">
      <alignment vertical="center"/>
    </xf>
    <xf numFmtId="0" fontId="9" fillId="0" borderId="19" xfId="0" applyFont="1" applyBorder="1" applyAlignment="1">
      <alignment vertical="top" wrapText="1" shrinkToFit="1"/>
    </xf>
    <xf numFmtId="0" fontId="9" fillId="0" borderId="20" xfId="0" applyFont="1" applyBorder="1" applyAlignment="1">
      <alignment vertical="top" wrapText="1" shrinkToFit="1"/>
    </xf>
    <xf numFmtId="0" fontId="9" fillId="0" borderId="18" xfId="0" applyFont="1" applyBorder="1" applyAlignment="1">
      <alignment vertical="top" wrapText="1" shrinkToFi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1" fillId="0" borderId="17" xfId="0" applyFont="1" applyBorder="1" applyAlignment="1">
      <alignment vertical="center" wrapText="1"/>
    </xf>
    <xf numFmtId="0" fontId="1" fillId="0" borderId="18" xfId="0" applyFont="1" applyBorder="1" applyAlignment="1">
      <alignment vertical="center" wrapText="1"/>
    </xf>
    <xf numFmtId="0" fontId="1" fillId="0" borderId="11" xfId="0" applyFont="1" applyBorder="1" applyAlignment="1">
      <alignment vertical="center" wrapText="1"/>
    </xf>
    <xf numFmtId="0" fontId="1" fillId="0" borderId="6" xfId="0" applyFont="1" applyBorder="1" applyAlignment="1">
      <alignment vertical="center" wrapText="1"/>
    </xf>
    <xf numFmtId="0" fontId="1" fillId="0" borderId="12" xfId="0" applyFont="1" applyBorder="1" applyAlignment="1">
      <alignment vertical="center" wrapText="1"/>
    </xf>
    <xf numFmtId="0" fontId="8" fillId="0" borderId="2" xfId="2" applyBorder="1" applyAlignment="1">
      <alignment horizontal="center" vertical="center" shrinkToFit="1"/>
    </xf>
    <xf numFmtId="0" fontId="12" fillId="0" borderId="3" xfId="2" applyFont="1" applyBorder="1" applyAlignment="1">
      <alignment horizontal="center" vertical="center" shrinkToFit="1"/>
    </xf>
    <xf numFmtId="0" fontId="12" fillId="0" borderId="4" xfId="2" applyFont="1" applyBorder="1" applyAlignment="1">
      <alignment horizontal="center" vertical="center" shrinkToFit="1"/>
    </xf>
    <xf numFmtId="0" fontId="1" fillId="0" borderId="19" xfId="0" applyFont="1" applyBorder="1" applyAlignment="1">
      <alignment vertical="center" wrapText="1"/>
    </xf>
    <xf numFmtId="0" fontId="1" fillId="0" borderId="20" xfId="0" applyFont="1" applyBorder="1" applyAlignment="1">
      <alignment vertical="center" wrapText="1"/>
    </xf>
  </cellXfs>
  <cellStyles count="4">
    <cellStyle name="Hyperlink" xfId="3" xr:uid="{6BF879E5-F3DE-4146-8EF9-0219C7C65470}"/>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youmu@gifu-nct.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gifu-nct.ac.jp/campuslife/datascience/"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gifu-nct.ac.jp/campuslife/datascience/"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gifu-nct.ac.jp/campuslife/datascience/"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gifu-nct.ac.jp/campuslife/datascience/"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www.gifu-nct.ac.jp/datascien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tabSelected="1" view="pageBreakPreview" zoomScaleNormal="100" zoomScaleSheetLayoutView="100" workbookViewId="0">
      <selection activeCell="F50" sqref="F50"/>
    </sheetView>
  </sheetViews>
  <sheetFormatPr defaultColWidth="9" defaultRowHeight="18.75" customHeight="1" x14ac:dyDescent="0.15"/>
  <cols>
    <col min="1" max="1" width="3.375" style="11" customWidth="1"/>
    <col min="2" max="2" width="11.125" style="11" customWidth="1"/>
    <col min="3" max="8" width="6.625" style="11" customWidth="1"/>
    <col min="9" max="9" width="3.375" style="11" customWidth="1"/>
    <col min="10" max="10" width="10" style="11" customWidth="1"/>
    <col min="11" max="11" width="3.375" style="11" customWidth="1"/>
    <col min="12" max="12" width="7.875" style="11" customWidth="1"/>
    <col min="13" max="13" width="3.375" style="11" customWidth="1"/>
    <col min="14" max="14" width="4.5" style="11" customWidth="1"/>
    <col min="15" max="15" width="9" style="24"/>
    <col min="16" max="16384" width="9" style="10"/>
  </cols>
  <sheetData>
    <row r="1" spans="1:15" ht="24" customHeight="1" x14ac:dyDescent="0.15">
      <c r="M1" s="135" t="s">
        <v>0</v>
      </c>
      <c r="N1" s="135"/>
    </row>
    <row r="2" spans="1:15" ht="24" customHeight="1" x14ac:dyDescent="0.15">
      <c r="A2" s="138" t="s">
        <v>1</v>
      </c>
      <c r="B2" s="138"/>
      <c r="C2" s="138"/>
      <c r="D2" s="138"/>
      <c r="E2" s="138"/>
      <c r="F2" s="138"/>
      <c r="G2" s="138"/>
      <c r="H2" s="138"/>
      <c r="I2" s="138"/>
      <c r="J2" s="138"/>
      <c r="K2" s="138"/>
      <c r="L2" s="138"/>
      <c r="M2" s="138"/>
      <c r="N2" s="138"/>
    </row>
    <row r="3" spans="1:15" ht="24" customHeight="1" x14ac:dyDescent="0.15"/>
    <row r="4" spans="1:15" ht="24" customHeight="1" x14ac:dyDescent="0.15">
      <c r="A4" s="11" t="s">
        <v>2</v>
      </c>
      <c r="B4" s="11" t="s">
        <v>3</v>
      </c>
      <c r="C4" s="125" t="s">
        <v>4</v>
      </c>
      <c r="D4" s="126"/>
      <c r="E4" s="126"/>
      <c r="F4" s="126"/>
      <c r="G4" s="126"/>
      <c r="H4" s="126"/>
      <c r="I4" s="126"/>
      <c r="J4" s="126"/>
      <c r="K4" s="126"/>
      <c r="L4" s="126"/>
      <c r="M4" s="126"/>
      <c r="N4" s="127"/>
      <c r="O4" s="24" t="str">
        <f>IF(C4="","入力してください","")</f>
        <v/>
      </c>
    </row>
    <row r="5" spans="1:15" ht="7.5" customHeight="1" x14ac:dyDescent="0.15">
      <c r="E5" s="12"/>
      <c r="F5" s="26"/>
      <c r="G5" s="26"/>
      <c r="H5" s="26"/>
      <c r="I5" s="26"/>
      <c r="J5" s="26"/>
      <c r="K5" s="26"/>
      <c r="L5" s="26"/>
      <c r="M5" s="26"/>
      <c r="N5" s="26"/>
    </row>
    <row r="6" spans="1:15" ht="24" customHeight="1" x14ac:dyDescent="0.15">
      <c r="A6" s="11" t="s">
        <v>5</v>
      </c>
      <c r="B6" s="11" t="s">
        <v>6</v>
      </c>
      <c r="D6" s="125" t="s">
        <v>7</v>
      </c>
      <c r="E6" s="126"/>
      <c r="F6" s="126"/>
      <c r="G6" s="126"/>
      <c r="H6" s="127"/>
      <c r="I6" s="11" t="s">
        <v>8</v>
      </c>
      <c r="J6" s="26" t="s">
        <v>9</v>
      </c>
      <c r="K6" s="125" t="s">
        <v>10</v>
      </c>
      <c r="L6" s="126"/>
      <c r="M6" s="126"/>
      <c r="N6" s="127"/>
      <c r="O6" s="24" t="str">
        <f>IF(D6="","入力してください","")</f>
        <v/>
      </c>
    </row>
    <row r="7" spans="1:15" ht="7.5" customHeight="1" x14ac:dyDescent="0.15">
      <c r="E7" s="12"/>
      <c r="F7" s="26"/>
      <c r="G7" s="26"/>
      <c r="H7" s="26"/>
      <c r="I7" s="26"/>
      <c r="J7" s="26"/>
      <c r="K7" s="26"/>
      <c r="L7" s="26"/>
      <c r="M7" s="26"/>
      <c r="N7" s="26"/>
    </row>
    <row r="8" spans="1:15" ht="24" customHeight="1" x14ac:dyDescent="0.15">
      <c r="A8" s="11" t="s">
        <v>11</v>
      </c>
      <c r="B8" s="11" t="s">
        <v>12</v>
      </c>
      <c r="C8" s="125" t="s">
        <v>13</v>
      </c>
      <c r="D8" s="126"/>
      <c r="E8" s="126"/>
      <c r="F8" s="126"/>
      <c r="G8" s="126"/>
      <c r="H8" s="126"/>
      <c r="I8" s="126"/>
      <c r="J8" s="126"/>
      <c r="K8" s="126"/>
      <c r="L8" s="126"/>
      <c r="M8" s="126"/>
      <c r="N8" s="127"/>
      <c r="O8" s="24" t="str">
        <f>IF(C8="","入力してください","")</f>
        <v/>
      </c>
    </row>
    <row r="9" spans="1:15" ht="7.5" customHeight="1" x14ac:dyDescent="0.15">
      <c r="E9" s="12"/>
      <c r="F9" s="26"/>
      <c r="G9" s="26"/>
      <c r="H9" s="26"/>
      <c r="I9" s="26"/>
      <c r="J9" s="26"/>
      <c r="K9" s="26"/>
      <c r="L9" s="26"/>
      <c r="M9" s="26"/>
      <c r="N9" s="26"/>
    </row>
    <row r="10" spans="1:15" ht="24" customHeight="1" x14ac:dyDescent="0.15">
      <c r="A10" s="11" t="s">
        <v>14</v>
      </c>
      <c r="B10" s="11" t="s">
        <v>15</v>
      </c>
      <c r="E10" s="125" t="s">
        <v>16</v>
      </c>
      <c r="F10" s="126"/>
      <c r="G10" s="126"/>
      <c r="H10" s="126"/>
      <c r="I10" s="126"/>
      <c r="J10" s="126"/>
      <c r="K10" s="126"/>
      <c r="L10" s="126"/>
      <c r="M10" s="126"/>
      <c r="N10" s="127"/>
      <c r="O10" s="24" t="str">
        <f>IF(E10="","入力してください","")</f>
        <v/>
      </c>
    </row>
    <row r="11" spans="1:15" ht="7.5" customHeight="1" x14ac:dyDescent="0.15">
      <c r="B11" s="12"/>
      <c r="C11" s="12"/>
      <c r="D11" s="12"/>
      <c r="E11" s="12"/>
      <c r="F11" s="26"/>
      <c r="G11" s="26"/>
      <c r="H11" s="26"/>
      <c r="I11" s="26"/>
      <c r="J11" s="26"/>
      <c r="K11" s="26"/>
      <c r="L11" s="26"/>
      <c r="M11" s="26"/>
      <c r="N11" s="26"/>
    </row>
    <row r="12" spans="1:15" ht="24" customHeight="1" x14ac:dyDescent="0.15">
      <c r="A12" s="11" t="s">
        <v>17</v>
      </c>
      <c r="B12" s="12" t="s">
        <v>18</v>
      </c>
      <c r="C12" s="12"/>
      <c r="D12" s="12"/>
      <c r="E12" s="139" t="s">
        <v>19</v>
      </c>
      <c r="F12" s="140"/>
      <c r="G12" s="11" t="s">
        <v>20</v>
      </c>
      <c r="H12" s="11" t="s">
        <v>21</v>
      </c>
      <c r="N12" s="80" t="s">
        <v>22</v>
      </c>
      <c r="O12" s="24" t="str">
        <f>IF(E12="","入力してください","")</f>
        <v/>
      </c>
    </row>
    <row r="13" spans="1:15" ht="7.5" customHeight="1" x14ac:dyDescent="0.15">
      <c r="B13" s="12"/>
      <c r="C13" s="12"/>
      <c r="D13" s="12"/>
      <c r="E13" s="12"/>
      <c r="F13" s="26"/>
      <c r="G13" s="26"/>
      <c r="H13" s="26"/>
      <c r="I13" s="26"/>
      <c r="J13" s="26"/>
      <c r="K13" s="26"/>
      <c r="L13" s="26"/>
      <c r="M13" s="26"/>
      <c r="N13" s="26"/>
    </row>
    <row r="14" spans="1:15" ht="24" customHeight="1" x14ac:dyDescent="0.15">
      <c r="A14" s="11" t="s">
        <v>23</v>
      </c>
      <c r="B14" s="11" t="s">
        <v>24</v>
      </c>
      <c r="C14" s="135" t="s">
        <v>25</v>
      </c>
      <c r="D14" s="136"/>
      <c r="E14" s="128">
        <v>73</v>
      </c>
      <c r="F14" s="129"/>
      <c r="G14" s="13" t="s">
        <v>26</v>
      </c>
      <c r="I14" s="135" t="s">
        <v>27</v>
      </c>
      <c r="J14" s="136"/>
      <c r="K14" s="128">
        <v>74</v>
      </c>
      <c r="L14" s="137"/>
      <c r="M14" s="129"/>
      <c r="N14" s="14" t="s">
        <v>26</v>
      </c>
      <c r="O14" s="24" t="str">
        <f>IF(OR(E14="",K14=""),"入力してください","")</f>
        <v/>
      </c>
    </row>
    <row r="15" spans="1:15" ht="7.5" customHeight="1" x14ac:dyDescent="0.15">
      <c r="M15" s="14"/>
      <c r="N15" s="14"/>
    </row>
    <row r="16" spans="1:15" ht="24" customHeight="1" x14ac:dyDescent="0.15">
      <c r="A16" s="11" t="s">
        <v>28</v>
      </c>
      <c r="B16" s="11" t="s">
        <v>29</v>
      </c>
      <c r="K16" s="139">
        <v>34</v>
      </c>
      <c r="L16" s="141"/>
      <c r="M16" s="140"/>
      <c r="N16" s="14" t="s">
        <v>26</v>
      </c>
      <c r="O16" s="24" t="str">
        <f>IF(K16="","入力してください","")</f>
        <v/>
      </c>
    </row>
    <row r="17" spans="1:15" ht="7.5" customHeight="1" x14ac:dyDescent="0.15">
      <c r="M17" s="14"/>
      <c r="N17" s="14"/>
    </row>
    <row r="18" spans="1:15" ht="24" customHeight="1" x14ac:dyDescent="0.15">
      <c r="A18" s="11" t="s">
        <v>30</v>
      </c>
      <c r="B18" s="11" t="s">
        <v>31</v>
      </c>
      <c r="E18" s="128">
        <v>200</v>
      </c>
      <c r="F18" s="129"/>
      <c r="G18" s="15" t="s">
        <v>32</v>
      </c>
      <c r="K18" s="145"/>
      <c r="L18" s="145"/>
      <c r="M18" s="145"/>
      <c r="N18" s="145"/>
      <c r="O18" s="24" t="str">
        <f>IF(E18="","入力してください","")</f>
        <v/>
      </c>
    </row>
    <row r="19" spans="1:15" ht="7.5" customHeight="1" x14ac:dyDescent="0.15">
      <c r="E19" s="7"/>
      <c r="L19" s="22"/>
      <c r="M19" s="22"/>
      <c r="N19" s="14"/>
    </row>
    <row r="20" spans="1:15" ht="24" customHeight="1" x14ac:dyDescent="0.15">
      <c r="A20" s="11" t="s">
        <v>33</v>
      </c>
      <c r="B20" s="11" t="s">
        <v>34</v>
      </c>
      <c r="E20" s="7"/>
      <c r="H20" s="11" t="s">
        <v>35</v>
      </c>
      <c r="J20" s="142">
        <v>1053</v>
      </c>
      <c r="K20" s="143"/>
      <c r="L20" s="144"/>
      <c r="M20" s="22" t="s">
        <v>26</v>
      </c>
      <c r="N20" s="14"/>
      <c r="O20" s="24" t="str">
        <f>IF(J20="","入力してください","")</f>
        <v/>
      </c>
    </row>
    <row r="21" spans="1:15" ht="7.5" customHeight="1" x14ac:dyDescent="0.15">
      <c r="E21" s="7"/>
      <c r="L21" s="22"/>
      <c r="M21" s="22"/>
      <c r="N21" s="14"/>
    </row>
    <row r="22" spans="1:15" ht="24" customHeight="1" x14ac:dyDescent="0.15">
      <c r="B22" s="22" t="s">
        <v>36</v>
      </c>
      <c r="C22" s="128">
        <v>209</v>
      </c>
      <c r="D22" s="129"/>
      <c r="E22" s="7" t="s">
        <v>26</v>
      </c>
      <c r="G22" s="124" t="s">
        <v>37</v>
      </c>
      <c r="H22" s="124"/>
      <c r="I22" s="128">
        <v>211</v>
      </c>
      <c r="J22" s="129"/>
      <c r="K22" s="11" t="s">
        <v>26</v>
      </c>
      <c r="M22" s="22"/>
      <c r="N22" s="14"/>
    </row>
    <row r="23" spans="1:15" ht="7.5" customHeight="1" x14ac:dyDescent="0.15">
      <c r="B23" s="22"/>
      <c r="C23" s="8"/>
      <c r="D23" s="8"/>
      <c r="E23" s="7"/>
      <c r="G23" s="22"/>
      <c r="H23" s="22"/>
      <c r="I23" s="8"/>
      <c r="J23" s="8"/>
      <c r="M23" s="22"/>
      <c r="N23" s="14"/>
    </row>
    <row r="24" spans="1:15" ht="24" customHeight="1" x14ac:dyDescent="0.15">
      <c r="B24" s="22" t="s">
        <v>38</v>
      </c>
      <c r="C24" s="128">
        <v>219</v>
      </c>
      <c r="D24" s="129"/>
      <c r="E24" s="7" t="s">
        <v>26</v>
      </c>
      <c r="G24" s="124" t="s">
        <v>39</v>
      </c>
      <c r="H24" s="124"/>
      <c r="I24" s="128">
        <v>215</v>
      </c>
      <c r="J24" s="129"/>
      <c r="K24" s="11" t="s">
        <v>26</v>
      </c>
      <c r="M24" s="22"/>
      <c r="N24" s="14"/>
    </row>
    <row r="25" spans="1:15" ht="7.5" customHeight="1" x14ac:dyDescent="0.15">
      <c r="B25" s="22"/>
      <c r="C25" s="8"/>
      <c r="D25" s="8"/>
      <c r="E25" s="7"/>
      <c r="G25" s="22"/>
      <c r="H25" s="22"/>
      <c r="I25" s="8"/>
      <c r="J25" s="8"/>
      <c r="M25" s="22"/>
      <c r="N25" s="14"/>
    </row>
    <row r="26" spans="1:15" ht="24" customHeight="1" x14ac:dyDescent="0.15">
      <c r="B26" s="22" t="s">
        <v>40</v>
      </c>
      <c r="C26" s="128">
        <v>199</v>
      </c>
      <c r="D26" s="129"/>
      <c r="E26" s="7" t="s">
        <v>26</v>
      </c>
      <c r="G26" s="124" t="s">
        <v>41</v>
      </c>
      <c r="H26" s="124"/>
      <c r="I26" s="128">
        <v>0</v>
      </c>
      <c r="J26" s="129"/>
      <c r="K26" s="11" t="s">
        <v>26</v>
      </c>
      <c r="M26" s="22"/>
      <c r="N26" s="14"/>
    </row>
    <row r="27" spans="1:15" ht="7.5" customHeight="1" x14ac:dyDescent="0.15">
      <c r="M27" s="16"/>
      <c r="N27" s="16"/>
    </row>
    <row r="28" spans="1:15" ht="24" customHeight="1" x14ac:dyDescent="0.15">
      <c r="A28" s="11" t="s">
        <v>42</v>
      </c>
      <c r="B28" s="11" t="s">
        <v>43</v>
      </c>
      <c r="G28" s="26"/>
      <c r="H28" s="26"/>
      <c r="I28" s="26"/>
      <c r="J28" s="17"/>
      <c r="K28" s="17"/>
      <c r="L28" s="17"/>
      <c r="M28" s="17"/>
      <c r="N28" s="17"/>
    </row>
    <row r="29" spans="1:15" s="11" customFormat="1" ht="24" customHeight="1" x14ac:dyDescent="0.15">
      <c r="B29" s="132" t="s">
        <v>44</v>
      </c>
      <c r="C29" s="132"/>
      <c r="D29" s="125" t="s">
        <v>45</v>
      </c>
      <c r="E29" s="126"/>
      <c r="F29" s="126"/>
      <c r="G29" s="133" t="s">
        <v>46</v>
      </c>
      <c r="H29" s="132"/>
      <c r="I29" s="134"/>
      <c r="J29" s="125" t="s">
        <v>47</v>
      </c>
      <c r="K29" s="126"/>
      <c r="L29" s="126"/>
      <c r="M29" s="126"/>
      <c r="N29" s="127"/>
      <c r="O29" s="24" t="str">
        <f>IF(OR(D29="",J29=""),"入力してください","")</f>
        <v/>
      </c>
    </row>
    <row r="30" spans="1:15" ht="7.5" customHeight="1" x14ac:dyDescent="0.15">
      <c r="M30" s="16"/>
      <c r="N30" s="16"/>
    </row>
    <row r="31" spans="1:15" ht="24" customHeight="1" x14ac:dyDescent="0.15">
      <c r="A31" s="11" t="s">
        <v>48</v>
      </c>
      <c r="B31" s="11" t="s">
        <v>49</v>
      </c>
      <c r="G31" s="17"/>
      <c r="H31" s="17"/>
      <c r="I31" s="17"/>
      <c r="J31" s="17"/>
      <c r="K31" s="17"/>
      <c r="L31" s="17"/>
      <c r="M31" s="17"/>
      <c r="N31" s="17"/>
    </row>
    <row r="32" spans="1:15" ht="24" customHeight="1" x14ac:dyDescent="0.15">
      <c r="B32" s="125" t="s">
        <v>50</v>
      </c>
      <c r="C32" s="126"/>
      <c r="D32" s="126"/>
      <c r="E32" s="126"/>
      <c r="F32" s="126"/>
      <c r="G32" s="126"/>
      <c r="H32" s="126"/>
      <c r="I32" s="126"/>
      <c r="J32" s="126"/>
      <c r="K32" s="126"/>
      <c r="L32" s="126"/>
      <c r="M32" s="126"/>
      <c r="N32" s="127"/>
      <c r="O32" s="24" t="str">
        <f>IF(B32="","入力してください","")</f>
        <v/>
      </c>
    </row>
    <row r="33" spans="1:15" ht="7.5" customHeight="1" x14ac:dyDescent="0.15">
      <c r="B33" s="9"/>
      <c r="C33" s="9"/>
      <c r="D33" s="9"/>
      <c r="E33" s="9"/>
      <c r="F33" s="9"/>
      <c r="G33" s="9"/>
      <c r="H33" s="9"/>
      <c r="I33" s="9"/>
      <c r="J33" s="9"/>
      <c r="K33" s="9"/>
      <c r="L33" s="9"/>
      <c r="M33" s="9"/>
      <c r="N33" s="9"/>
    </row>
    <row r="34" spans="1:15" s="11" customFormat="1" ht="24" customHeight="1" x14ac:dyDescent="0.15">
      <c r="B34" s="132" t="s">
        <v>44</v>
      </c>
      <c r="C34" s="132"/>
      <c r="D34" s="125" t="s">
        <v>51</v>
      </c>
      <c r="E34" s="126"/>
      <c r="F34" s="126"/>
      <c r="G34" s="133" t="s">
        <v>46</v>
      </c>
      <c r="H34" s="132"/>
      <c r="I34" s="134"/>
      <c r="J34" s="125" t="s">
        <v>52</v>
      </c>
      <c r="K34" s="126"/>
      <c r="L34" s="126"/>
      <c r="M34" s="126"/>
      <c r="N34" s="127"/>
      <c r="O34" s="24" t="str">
        <f>IF(OR(D34="",J34=""),"入力してください","")</f>
        <v/>
      </c>
    </row>
    <row r="35" spans="1:15" ht="7.5" customHeight="1" x14ac:dyDescent="0.15">
      <c r="F35" s="26"/>
      <c r="G35" s="26"/>
      <c r="H35" s="26"/>
      <c r="I35" s="26"/>
      <c r="J35" s="26"/>
      <c r="K35" s="26"/>
      <c r="L35" s="26"/>
      <c r="M35" s="26"/>
      <c r="N35" s="26"/>
    </row>
    <row r="36" spans="1:15" ht="24" customHeight="1" x14ac:dyDescent="0.15">
      <c r="A36" s="11" t="s">
        <v>53</v>
      </c>
      <c r="B36" s="11" t="s">
        <v>54</v>
      </c>
      <c r="M36" s="16"/>
      <c r="N36" s="16"/>
    </row>
    <row r="37" spans="1:15" ht="24" customHeight="1" x14ac:dyDescent="0.15">
      <c r="B37" s="125" t="s">
        <v>55</v>
      </c>
      <c r="C37" s="126"/>
      <c r="D37" s="126"/>
      <c r="E37" s="126"/>
      <c r="F37" s="126"/>
      <c r="G37" s="126"/>
      <c r="H37" s="126"/>
      <c r="I37" s="126"/>
      <c r="J37" s="126"/>
      <c r="K37" s="126"/>
      <c r="L37" s="126"/>
      <c r="M37" s="126"/>
      <c r="N37" s="127"/>
      <c r="O37" s="24" t="str">
        <f>IF(B37="","入力してください","")</f>
        <v/>
      </c>
    </row>
    <row r="38" spans="1:15" ht="7.5" customHeight="1" x14ac:dyDescent="0.15">
      <c r="F38" s="26"/>
      <c r="G38" s="26"/>
      <c r="H38" s="26"/>
      <c r="I38" s="26"/>
      <c r="J38" s="26"/>
      <c r="K38" s="26"/>
      <c r="L38" s="26"/>
      <c r="M38" s="26"/>
      <c r="N38" s="26"/>
    </row>
    <row r="39" spans="1:15" s="11" customFormat="1" ht="24" customHeight="1" x14ac:dyDescent="0.15">
      <c r="B39" s="132" t="s">
        <v>44</v>
      </c>
      <c r="C39" s="132"/>
      <c r="D39" s="125" t="s">
        <v>56</v>
      </c>
      <c r="E39" s="126"/>
      <c r="F39" s="126"/>
      <c r="G39" s="133" t="s">
        <v>46</v>
      </c>
      <c r="H39" s="132"/>
      <c r="I39" s="134"/>
      <c r="J39" s="125" t="s">
        <v>57</v>
      </c>
      <c r="K39" s="126"/>
      <c r="L39" s="126"/>
      <c r="M39" s="126"/>
      <c r="N39" s="127"/>
      <c r="O39" s="24" t="str">
        <f>IF(OR(D39="",J39=""),"入力してください","")</f>
        <v/>
      </c>
    </row>
    <row r="40" spans="1:15" ht="7.5" customHeight="1" x14ac:dyDescent="0.15">
      <c r="F40" s="26"/>
      <c r="G40" s="26"/>
      <c r="H40" s="26"/>
      <c r="I40" s="26"/>
      <c r="J40" s="26"/>
      <c r="K40" s="26"/>
      <c r="L40" s="26"/>
      <c r="M40" s="26"/>
      <c r="N40" s="26"/>
    </row>
    <row r="41" spans="1:15" ht="24" customHeight="1" x14ac:dyDescent="0.15">
      <c r="A41" s="11" t="s">
        <v>58</v>
      </c>
      <c r="B41" s="11" t="s">
        <v>59</v>
      </c>
      <c r="E41" s="60"/>
      <c r="F41" s="125" t="s">
        <v>60</v>
      </c>
      <c r="G41" s="126"/>
      <c r="H41" s="126"/>
      <c r="I41" s="126"/>
      <c r="J41" s="126"/>
      <c r="K41" s="126"/>
      <c r="L41" s="126"/>
      <c r="M41" s="126"/>
      <c r="N41" s="127"/>
      <c r="O41" s="24" t="str">
        <f>IF(F41="","入力してください","")</f>
        <v/>
      </c>
    </row>
    <row r="42" spans="1:15" ht="7.5" customHeight="1" x14ac:dyDescent="0.15">
      <c r="F42" s="26"/>
      <c r="G42" s="26"/>
      <c r="H42" s="26"/>
      <c r="I42" s="26"/>
      <c r="J42" s="26"/>
      <c r="K42" s="26"/>
      <c r="L42" s="26"/>
      <c r="M42" s="26"/>
      <c r="N42" s="26"/>
    </row>
    <row r="43" spans="1:15" ht="24" customHeight="1" x14ac:dyDescent="0.15">
      <c r="A43" s="11" t="s">
        <v>61</v>
      </c>
    </row>
    <row r="44" spans="1:15" ht="24" customHeight="1" x14ac:dyDescent="0.15">
      <c r="B44" s="23" t="s">
        <v>62</v>
      </c>
      <c r="C44" s="130" t="s">
        <v>63</v>
      </c>
      <c r="D44" s="131"/>
      <c r="E44" s="131"/>
      <c r="F44" s="131"/>
      <c r="G44" s="131"/>
      <c r="H44" s="131"/>
      <c r="I44" s="19" t="s">
        <v>64</v>
      </c>
      <c r="J44" s="20"/>
      <c r="K44" s="125" t="s">
        <v>65</v>
      </c>
      <c r="L44" s="126"/>
      <c r="M44" s="126"/>
      <c r="N44" s="127"/>
      <c r="O44" s="24" t="str">
        <f>IF(OR(C44="",K44=""),"入力してください","")</f>
        <v/>
      </c>
    </row>
    <row r="45" spans="1:15" ht="24" customHeight="1" x14ac:dyDescent="0.15">
      <c r="B45" s="18" t="s">
        <v>66</v>
      </c>
      <c r="C45" s="118" t="s">
        <v>67</v>
      </c>
      <c r="D45" s="119"/>
      <c r="E45" s="119"/>
      <c r="F45" s="119"/>
      <c r="G45" s="119"/>
      <c r="H45" s="120"/>
      <c r="I45" s="19" t="s">
        <v>68</v>
      </c>
      <c r="J45" s="20"/>
      <c r="K45" s="121" t="s">
        <v>69</v>
      </c>
      <c r="L45" s="122"/>
      <c r="M45" s="122"/>
      <c r="N45" s="123"/>
      <c r="O45" s="24"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2"/>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D7335FEE-BE60-4567-BD4C-9C6067E6E05E}">
      <formula1>"有,無"</formula1>
    </dataValidation>
    <dataValidation type="list" allowBlank="1" showInputMessage="1" showErrorMessage="1" sqref="F41:N41" xr:uid="{09D83600-D3A0-4D64-B0DD-6C0D3C17CB04}">
      <formula1>"認定教育プログラム,認定教育プログラム+（プラス）,認定教育プログラムと認定教育プログラム+（プラス）"</formula1>
    </dataValidation>
  </dataValidations>
  <hyperlinks>
    <hyperlink ref="C45:H45" r:id="rId1" display="kyoumu@gifu-nct.ac.jp" xr:uid="{9E24F6A1-E7FD-41EE-A5C7-058B06175703}"/>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49437-462C-6044-94BF-5479B58F7EE6}">
  <dimension ref="A1:Z98"/>
  <sheetViews>
    <sheetView showZeros="0" view="pageBreakPreview" topLeftCell="A73" zoomScaleNormal="100" zoomScaleSheetLayoutView="100" workbookViewId="0">
      <selection activeCell="G17" sqref="G17"/>
    </sheetView>
  </sheetViews>
  <sheetFormatPr defaultColWidth="9" defaultRowHeight="18.75" customHeight="1" x14ac:dyDescent="0.15"/>
  <cols>
    <col min="1" max="1" width="2.5" style="10" customWidth="1"/>
    <col min="2" max="2" width="27.875" style="10" customWidth="1"/>
    <col min="3" max="13" width="3.375" style="10" customWidth="1"/>
    <col min="14" max="14" width="8.875" style="10" customWidth="1"/>
    <col min="15" max="15" width="18.875" style="10" customWidth="1"/>
    <col min="16" max="19" width="3.375" style="10" customWidth="1"/>
    <col min="20" max="20" width="3.5" style="10" customWidth="1"/>
    <col min="21" max="26" width="3.375" style="10" customWidth="1"/>
    <col min="27" max="16384" width="9" style="10"/>
  </cols>
  <sheetData>
    <row r="1" spans="1:26" ht="15" customHeight="1" x14ac:dyDescent="0.15">
      <c r="W1" s="229" t="s">
        <v>70</v>
      </c>
      <c r="X1" s="229"/>
      <c r="Y1" s="229"/>
      <c r="Z1" s="229"/>
    </row>
    <row r="2" spans="1:26" ht="18" customHeight="1" x14ac:dyDescent="0.15">
      <c r="A2" s="230" t="s">
        <v>71</v>
      </c>
      <c r="B2" s="230"/>
      <c r="C2" s="230"/>
      <c r="D2" s="230"/>
      <c r="E2" s="230"/>
      <c r="F2" s="230"/>
      <c r="G2" s="230"/>
      <c r="H2" s="230"/>
      <c r="I2" s="230"/>
      <c r="J2" s="230"/>
      <c r="K2" s="230"/>
      <c r="L2" s="230"/>
      <c r="M2" s="230"/>
      <c r="N2" s="230"/>
      <c r="O2" s="230"/>
      <c r="P2" s="230"/>
      <c r="Q2" s="230"/>
      <c r="R2" s="230"/>
      <c r="S2" s="230"/>
      <c r="T2" s="230"/>
      <c r="U2" s="230"/>
      <c r="V2" s="230"/>
      <c r="W2" s="230"/>
      <c r="X2" s="230"/>
      <c r="Y2" s="230"/>
      <c r="Z2" s="230"/>
    </row>
    <row r="3" spans="1:26" ht="15" customHeight="1" x14ac:dyDescent="0.15">
      <c r="B3" s="22"/>
      <c r="C3" s="22"/>
      <c r="D3" s="22"/>
      <c r="E3" s="22"/>
      <c r="F3" s="22"/>
      <c r="G3" s="22"/>
      <c r="H3" s="22"/>
      <c r="I3" s="22"/>
      <c r="J3" s="22"/>
      <c r="K3" s="22"/>
      <c r="L3" s="22"/>
      <c r="M3" s="22"/>
      <c r="N3" s="22"/>
      <c r="O3" s="22"/>
      <c r="P3" s="22"/>
      <c r="Q3" s="22"/>
      <c r="R3" s="22"/>
      <c r="S3" s="22"/>
      <c r="T3" s="22"/>
      <c r="U3" s="22"/>
      <c r="V3" s="22"/>
      <c r="W3" s="22"/>
      <c r="X3" s="22"/>
      <c r="Y3" s="22"/>
      <c r="Z3" s="22"/>
    </row>
    <row r="4" spans="1:26" ht="18" customHeight="1" x14ac:dyDescent="0.15">
      <c r="A4" s="10" t="s">
        <v>72</v>
      </c>
      <c r="B4" s="22"/>
      <c r="C4" s="22"/>
      <c r="D4" s="22"/>
      <c r="E4" s="22"/>
      <c r="F4" s="22"/>
      <c r="G4" s="22"/>
      <c r="H4" s="11" t="s">
        <v>73</v>
      </c>
      <c r="I4" s="22"/>
      <c r="J4" s="22"/>
      <c r="K4" s="22"/>
      <c r="L4" s="22"/>
      <c r="M4" s="22"/>
      <c r="N4" s="22"/>
      <c r="O4" s="139" t="s">
        <v>74</v>
      </c>
      <c r="P4" s="141"/>
      <c r="Q4" s="141"/>
      <c r="R4" s="141"/>
      <c r="S4" s="141"/>
      <c r="T4" s="141"/>
      <c r="U4" s="141"/>
      <c r="V4" s="141"/>
      <c r="W4" s="141"/>
      <c r="X4" s="141"/>
      <c r="Y4" s="141"/>
      <c r="Z4" s="140"/>
    </row>
    <row r="5" spans="1:26" ht="6" customHeight="1" x14ac:dyDescent="0.15">
      <c r="B5" s="22"/>
      <c r="C5" s="22"/>
      <c r="D5" s="22"/>
      <c r="E5" s="22"/>
      <c r="F5" s="22"/>
      <c r="G5" s="22"/>
      <c r="H5" s="22"/>
      <c r="I5" s="22"/>
      <c r="J5" s="22"/>
      <c r="K5" s="22"/>
      <c r="L5" s="22"/>
      <c r="M5" s="22"/>
      <c r="N5" s="22"/>
      <c r="O5" s="12"/>
      <c r="P5" s="22"/>
      <c r="Q5" s="22"/>
      <c r="R5" s="22"/>
      <c r="S5" s="22"/>
      <c r="T5" s="22"/>
      <c r="U5" s="22"/>
      <c r="V5" s="22"/>
      <c r="W5" s="22"/>
      <c r="X5" s="22"/>
      <c r="Y5" s="22"/>
      <c r="Z5" s="22"/>
    </row>
    <row r="6" spans="1:26" ht="18" customHeight="1" x14ac:dyDescent="0.15">
      <c r="B6" s="231" t="s">
        <v>75</v>
      </c>
      <c r="C6" s="232"/>
      <c r="D6" s="232"/>
      <c r="E6" s="232"/>
      <c r="F6" s="232"/>
      <c r="G6" s="232"/>
      <c r="H6" s="232"/>
      <c r="I6" s="232"/>
      <c r="J6" s="232"/>
      <c r="K6" s="232"/>
      <c r="L6" s="232"/>
      <c r="M6" s="232"/>
      <c r="N6" s="232"/>
      <c r="O6" s="232"/>
      <c r="P6" s="232"/>
      <c r="Q6" s="232"/>
      <c r="R6" s="232"/>
      <c r="S6" s="232"/>
      <c r="T6" s="232"/>
      <c r="U6" s="232"/>
      <c r="V6" s="232"/>
      <c r="W6" s="232"/>
      <c r="X6" s="232"/>
      <c r="Y6" s="232"/>
      <c r="Z6" s="233"/>
    </row>
    <row r="7" spans="1:26" ht="18" customHeight="1" x14ac:dyDescent="0.15">
      <c r="B7" s="234"/>
      <c r="C7" s="235"/>
      <c r="D7" s="235"/>
      <c r="E7" s="235"/>
      <c r="F7" s="235"/>
      <c r="G7" s="235"/>
      <c r="H7" s="235"/>
      <c r="I7" s="235"/>
      <c r="J7" s="235"/>
      <c r="K7" s="235"/>
      <c r="L7" s="235"/>
      <c r="M7" s="235"/>
      <c r="N7" s="235"/>
      <c r="O7" s="235"/>
      <c r="P7" s="235"/>
      <c r="Q7" s="235"/>
      <c r="R7" s="235"/>
      <c r="S7" s="235"/>
      <c r="T7" s="235"/>
      <c r="U7" s="235"/>
      <c r="V7" s="235"/>
      <c r="W7" s="235"/>
      <c r="X7" s="235"/>
      <c r="Y7" s="235"/>
      <c r="Z7" s="236"/>
    </row>
    <row r="8" spans="1:26" ht="18" customHeight="1" x14ac:dyDescent="0.15">
      <c r="B8" s="234"/>
      <c r="C8" s="235"/>
      <c r="D8" s="235"/>
      <c r="E8" s="235"/>
      <c r="F8" s="235"/>
      <c r="G8" s="235"/>
      <c r="H8" s="235"/>
      <c r="I8" s="235"/>
      <c r="J8" s="235"/>
      <c r="K8" s="235"/>
      <c r="L8" s="235"/>
      <c r="M8" s="235"/>
      <c r="N8" s="235"/>
      <c r="O8" s="235"/>
      <c r="P8" s="235"/>
      <c r="Q8" s="235"/>
      <c r="R8" s="235"/>
      <c r="S8" s="235"/>
      <c r="T8" s="235"/>
      <c r="U8" s="235"/>
      <c r="V8" s="235"/>
      <c r="W8" s="235"/>
      <c r="X8" s="235"/>
      <c r="Y8" s="235"/>
      <c r="Z8" s="236"/>
    </row>
    <row r="9" spans="1:26" ht="18" customHeight="1" x14ac:dyDescent="0.15">
      <c r="B9" s="234"/>
      <c r="C9" s="235"/>
      <c r="D9" s="235"/>
      <c r="E9" s="235"/>
      <c r="F9" s="235"/>
      <c r="G9" s="235"/>
      <c r="H9" s="235"/>
      <c r="I9" s="235"/>
      <c r="J9" s="235"/>
      <c r="K9" s="235"/>
      <c r="L9" s="235"/>
      <c r="M9" s="235"/>
      <c r="N9" s="235"/>
      <c r="O9" s="235"/>
      <c r="P9" s="235"/>
      <c r="Q9" s="235"/>
      <c r="R9" s="235"/>
      <c r="S9" s="235"/>
      <c r="T9" s="235"/>
      <c r="U9" s="235"/>
      <c r="V9" s="235"/>
      <c r="W9" s="235"/>
      <c r="X9" s="235"/>
      <c r="Y9" s="235"/>
      <c r="Z9" s="236"/>
    </row>
    <row r="10" spans="1:26" ht="18" customHeight="1" x14ac:dyDescent="0.15">
      <c r="B10" s="234"/>
      <c r="C10" s="235"/>
      <c r="D10" s="235"/>
      <c r="E10" s="235"/>
      <c r="F10" s="235"/>
      <c r="G10" s="235"/>
      <c r="H10" s="235"/>
      <c r="I10" s="235"/>
      <c r="J10" s="235"/>
      <c r="K10" s="235"/>
      <c r="L10" s="235"/>
      <c r="M10" s="235"/>
      <c r="N10" s="235"/>
      <c r="O10" s="235"/>
      <c r="P10" s="235"/>
      <c r="Q10" s="235"/>
      <c r="R10" s="235"/>
      <c r="S10" s="235"/>
      <c r="T10" s="235"/>
      <c r="U10" s="235"/>
      <c r="V10" s="235"/>
      <c r="W10" s="235"/>
      <c r="X10" s="235"/>
      <c r="Y10" s="235"/>
      <c r="Z10" s="236"/>
    </row>
    <row r="11" spans="1:26" ht="18" customHeight="1" x14ac:dyDescent="0.15">
      <c r="B11" s="237"/>
      <c r="C11" s="238"/>
      <c r="D11" s="238"/>
      <c r="E11" s="238"/>
      <c r="F11" s="238"/>
      <c r="G11" s="238"/>
      <c r="H11" s="238"/>
      <c r="I11" s="238"/>
      <c r="J11" s="238"/>
      <c r="K11" s="238"/>
      <c r="L11" s="238"/>
      <c r="M11" s="238"/>
      <c r="N11" s="238"/>
      <c r="O11" s="238"/>
      <c r="P11" s="238"/>
      <c r="Q11" s="238"/>
      <c r="R11" s="238"/>
      <c r="S11" s="238"/>
      <c r="T11" s="238"/>
      <c r="U11" s="238"/>
      <c r="V11" s="238"/>
      <c r="W11" s="238"/>
      <c r="X11" s="238"/>
      <c r="Y11" s="238"/>
      <c r="Z11" s="239"/>
    </row>
    <row r="12" spans="1:26" ht="7.5" customHeight="1" x14ac:dyDescent="0.15">
      <c r="B12" s="22"/>
      <c r="C12" s="22"/>
      <c r="D12" s="22"/>
      <c r="E12" s="22"/>
      <c r="F12" s="22"/>
      <c r="G12" s="22"/>
      <c r="H12" s="22"/>
      <c r="I12" s="22"/>
      <c r="J12" s="22"/>
      <c r="K12" s="22"/>
      <c r="L12" s="22"/>
      <c r="M12" s="22"/>
      <c r="N12" s="22"/>
      <c r="O12" s="22"/>
      <c r="P12" s="22"/>
      <c r="Q12" s="22"/>
      <c r="R12" s="22"/>
      <c r="S12" s="22"/>
      <c r="T12" s="22"/>
      <c r="U12" s="22"/>
      <c r="V12" s="22"/>
      <c r="W12" s="22"/>
      <c r="X12" s="22"/>
      <c r="Y12" s="22"/>
      <c r="Z12" s="22"/>
    </row>
    <row r="13" spans="1:26" ht="18" customHeight="1" x14ac:dyDescent="0.15">
      <c r="A13" s="216" t="s">
        <v>76</v>
      </c>
      <c r="B13" s="216"/>
      <c r="C13" s="216"/>
      <c r="D13" s="216"/>
      <c r="E13" s="216"/>
      <c r="F13" s="216"/>
      <c r="G13" s="216"/>
      <c r="H13" s="216"/>
      <c r="I13" s="216"/>
      <c r="J13" s="216"/>
      <c r="K13" s="216"/>
      <c r="L13" s="216"/>
      <c r="M13" s="216"/>
      <c r="N13" s="216"/>
      <c r="O13" s="216"/>
      <c r="P13" s="216"/>
      <c r="Q13" s="216"/>
      <c r="R13" s="216"/>
      <c r="S13" s="216"/>
      <c r="T13" s="216"/>
      <c r="U13" s="216"/>
      <c r="V13" s="216"/>
      <c r="W13" s="216"/>
      <c r="X13" s="216"/>
      <c r="Y13" s="216"/>
      <c r="Z13" s="216"/>
    </row>
    <row r="14" spans="1:26" ht="18" customHeight="1" x14ac:dyDescent="0.15">
      <c r="A14" s="216"/>
      <c r="B14" s="216"/>
      <c r="C14" s="216"/>
      <c r="D14" s="216"/>
      <c r="E14" s="216"/>
      <c r="F14" s="216"/>
      <c r="G14" s="216"/>
      <c r="H14" s="216"/>
      <c r="I14" s="216"/>
      <c r="J14" s="216"/>
      <c r="K14" s="216"/>
      <c r="L14" s="216"/>
      <c r="M14" s="216"/>
      <c r="N14" s="216"/>
      <c r="O14" s="216"/>
      <c r="P14" s="216"/>
      <c r="Q14" s="216"/>
      <c r="R14" s="216"/>
      <c r="S14" s="216"/>
      <c r="T14" s="216"/>
      <c r="U14" s="216"/>
      <c r="V14" s="216"/>
      <c r="W14" s="216"/>
      <c r="X14" s="216"/>
      <c r="Y14" s="216"/>
      <c r="Z14" s="216"/>
    </row>
    <row r="15" spans="1:26" ht="18" customHeight="1" x14ac:dyDescent="0.15">
      <c r="A15" s="11"/>
      <c r="B15" s="139" t="s">
        <v>77</v>
      </c>
      <c r="C15" s="141"/>
      <c r="D15" s="141"/>
      <c r="E15" s="141"/>
      <c r="F15" s="140"/>
      <c r="G15" s="23" t="s">
        <v>78</v>
      </c>
      <c r="H15" s="90" t="s">
        <v>79</v>
      </c>
      <c r="I15" s="141" t="s">
        <v>80</v>
      </c>
      <c r="J15" s="141"/>
      <c r="K15" s="141"/>
      <c r="L15" s="91" t="s">
        <v>81</v>
      </c>
      <c r="M15" s="91" t="s">
        <v>82</v>
      </c>
      <c r="N15" s="139" t="s">
        <v>77</v>
      </c>
      <c r="O15" s="141"/>
      <c r="P15" s="141"/>
      <c r="Q15" s="141"/>
      <c r="R15" s="141"/>
      <c r="S15" s="140"/>
      <c r="T15" s="23" t="s">
        <v>78</v>
      </c>
      <c r="U15" s="90" t="s">
        <v>79</v>
      </c>
      <c r="V15" s="141" t="s">
        <v>80</v>
      </c>
      <c r="W15" s="141"/>
      <c r="X15" s="141"/>
      <c r="Y15" s="91" t="s">
        <v>81</v>
      </c>
      <c r="Z15" s="91" t="s">
        <v>82</v>
      </c>
    </row>
    <row r="16" spans="1:26" ht="18" customHeight="1" x14ac:dyDescent="0.15">
      <c r="A16" s="11"/>
      <c r="B16" s="220" t="s">
        <v>83</v>
      </c>
      <c r="C16" s="221"/>
      <c r="D16" s="221"/>
      <c r="E16" s="221"/>
      <c r="F16" s="222"/>
      <c r="G16" s="92">
        <v>3</v>
      </c>
      <c r="H16" s="92" t="s">
        <v>84</v>
      </c>
      <c r="I16" s="210" t="s">
        <v>85</v>
      </c>
      <c r="J16" s="211"/>
      <c r="K16" s="212"/>
      <c r="L16" s="92" t="s">
        <v>84</v>
      </c>
      <c r="M16" s="92"/>
      <c r="N16" s="195"/>
      <c r="O16" s="196"/>
      <c r="P16" s="196"/>
      <c r="Q16" s="196"/>
      <c r="R16" s="196"/>
      <c r="S16" s="197"/>
      <c r="T16" s="92"/>
      <c r="U16" s="92"/>
      <c r="V16" s="210"/>
      <c r="W16" s="211"/>
      <c r="X16" s="212"/>
      <c r="Y16" s="92"/>
      <c r="Z16" s="92"/>
    </row>
    <row r="17" spans="1:26" ht="18" customHeight="1" x14ac:dyDescent="0.15">
      <c r="A17" s="11"/>
      <c r="B17" s="217" t="s">
        <v>86</v>
      </c>
      <c r="C17" s="218"/>
      <c r="D17" s="218"/>
      <c r="E17" s="218"/>
      <c r="F17" s="219"/>
      <c r="G17" s="93">
        <v>1</v>
      </c>
      <c r="H17" s="93" t="s">
        <v>84</v>
      </c>
      <c r="I17" s="207" t="s">
        <v>85</v>
      </c>
      <c r="J17" s="208"/>
      <c r="K17" s="209"/>
      <c r="L17" s="93"/>
      <c r="M17" s="93" t="s">
        <v>84</v>
      </c>
      <c r="N17" s="189"/>
      <c r="O17" s="190"/>
      <c r="P17" s="190"/>
      <c r="Q17" s="190"/>
      <c r="R17" s="190"/>
      <c r="S17" s="191"/>
      <c r="T17" s="93"/>
      <c r="U17" s="93"/>
      <c r="V17" s="207"/>
      <c r="W17" s="208"/>
      <c r="X17" s="209"/>
      <c r="Y17" s="93"/>
      <c r="Z17" s="93"/>
    </row>
    <row r="18" spans="1:26" ht="18" customHeight="1" x14ac:dyDescent="0.15">
      <c r="A18" s="11"/>
      <c r="B18" s="217" t="s">
        <v>87</v>
      </c>
      <c r="C18" s="218"/>
      <c r="D18" s="218"/>
      <c r="E18" s="218"/>
      <c r="F18" s="219"/>
      <c r="G18" s="93">
        <v>1</v>
      </c>
      <c r="H18" s="93" t="s">
        <v>84</v>
      </c>
      <c r="I18" s="207" t="s">
        <v>85</v>
      </c>
      <c r="J18" s="208"/>
      <c r="K18" s="209"/>
      <c r="L18" s="108"/>
      <c r="M18" s="108" t="s">
        <v>84</v>
      </c>
      <c r="N18" s="226"/>
      <c r="O18" s="227"/>
      <c r="P18" s="227"/>
      <c r="Q18" s="227"/>
      <c r="R18" s="227"/>
      <c r="S18" s="228"/>
      <c r="T18" s="93"/>
      <c r="U18" s="93"/>
      <c r="V18" s="207"/>
      <c r="W18" s="208"/>
      <c r="X18" s="209"/>
      <c r="Y18" s="93"/>
      <c r="Z18" s="93"/>
    </row>
    <row r="19" spans="1:26" ht="18" customHeight="1" x14ac:dyDescent="0.15">
      <c r="A19" s="11"/>
      <c r="B19" s="217" t="s">
        <v>88</v>
      </c>
      <c r="C19" s="218"/>
      <c r="D19" s="218"/>
      <c r="E19" s="218"/>
      <c r="F19" s="219"/>
      <c r="G19" s="93">
        <v>2</v>
      </c>
      <c r="H19" s="93" t="s">
        <v>84</v>
      </c>
      <c r="I19" s="207" t="s">
        <v>85</v>
      </c>
      <c r="J19" s="208"/>
      <c r="K19" s="209"/>
      <c r="L19" s="93" t="s">
        <v>84</v>
      </c>
      <c r="M19" s="93" t="s">
        <v>84</v>
      </c>
      <c r="N19" s="189"/>
      <c r="O19" s="190"/>
      <c r="P19" s="190"/>
      <c r="Q19" s="190"/>
      <c r="R19" s="190"/>
      <c r="S19" s="191"/>
      <c r="T19" s="93"/>
      <c r="U19" s="93"/>
      <c r="V19" s="207"/>
      <c r="W19" s="208"/>
      <c r="X19" s="209"/>
      <c r="Y19" s="93"/>
      <c r="Z19" s="93"/>
    </row>
    <row r="20" spans="1:26" ht="18" customHeight="1" x14ac:dyDescent="0.15">
      <c r="A20" s="11"/>
      <c r="B20" s="217"/>
      <c r="C20" s="218"/>
      <c r="D20" s="218"/>
      <c r="E20" s="218"/>
      <c r="F20" s="219"/>
      <c r="G20" s="93"/>
      <c r="H20" s="93"/>
      <c r="I20" s="207"/>
      <c r="J20" s="208"/>
      <c r="K20" s="209"/>
      <c r="L20" s="93"/>
      <c r="M20" s="93"/>
      <c r="N20" s="189"/>
      <c r="O20" s="190"/>
      <c r="P20" s="190"/>
      <c r="Q20" s="190"/>
      <c r="R20" s="190"/>
      <c r="S20" s="191"/>
      <c r="T20" s="93"/>
      <c r="U20" s="93"/>
      <c r="V20" s="207"/>
      <c r="W20" s="208"/>
      <c r="X20" s="209"/>
      <c r="Y20" s="93"/>
      <c r="Z20" s="93"/>
    </row>
    <row r="21" spans="1:26" ht="18" customHeight="1" x14ac:dyDescent="0.15">
      <c r="A21" s="22"/>
      <c r="B21" s="217"/>
      <c r="C21" s="218"/>
      <c r="D21" s="218"/>
      <c r="E21" s="218"/>
      <c r="F21" s="219"/>
      <c r="G21" s="93"/>
      <c r="H21" s="93"/>
      <c r="I21" s="207"/>
      <c r="J21" s="208"/>
      <c r="K21" s="209"/>
      <c r="L21" s="93"/>
      <c r="M21" s="93"/>
      <c r="N21" s="189"/>
      <c r="O21" s="190"/>
      <c r="P21" s="190"/>
      <c r="Q21" s="190"/>
      <c r="R21" s="190"/>
      <c r="S21" s="191"/>
      <c r="T21" s="93"/>
      <c r="U21" s="93"/>
      <c r="V21" s="207"/>
      <c r="W21" s="208"/>
      <c r="X21" s="209"/>
      <c r="Y21" s="93"/>
      <c r="Z21" s="93"/>
    </row>
    <row r="22" spans="1:26" ht="18" customHeight="1" x14ac:dyDescent="0.15">
      <c r="A22" s="22"/>
      <c r="B22" s="213"/>
      <c r="C22" s="214"/>
      <c r="D22" s="214"/>
      <c r="E22" s="214"/>
      <c r="F22" s="215"/>
      <c r="G22" s="94"/>
      <c r="H22" s="94"/>
      <c r="I22" s="201"/>
      <c r="J22" s="202"/>
      <c r="K22" s="203"/>
      <c r="L22" s="95"/>
      <c r="M22" s="95"/>
      <c r="N22" s="178"/>
      <c r="O22" s="179"/>
      <c r="P22" s="179"/>
      <c r="Q22" s="179"/>
      <c r="R22" s="179"/>
      <c r="S22" s="180"/>
      <c r="T22" s="94"/>
      <c r="U22" s="94"/>
      <c r="V22" s="201"/>
      <c r="W22" s="202"/>
      <c r="X22" s="203"/>
      <c r="Y22" s="95"/>
      <c r="Z22" s="95"/>
    </row>
    <row r="23" spans="1:26" ht="7.5" customHeight="1" x14ac:dyDescent="0.15">
      <c r="A23" s="22"/>
      <c r="B23" s="26"/>
      <c r="C23" s="26"/>
      <c r="D23" s="22"/>
      <c r="E23" s="22"/>
      <c r="F23" s="22"/>
      <c r="G23" s="22"/>
      <c r="H23" s="22"/>
      <c r="I23" s="22"/>
      <c r="J23" s="22"/>
      <c r="K23" s="22"/>
      <c r="L23" s="26"/>
      <c r="M23" s="26"/>
      <c r="N23" s="26"/>
      <c r="O23" s="26"/>
      <c r="P23" s="26"/>
      <c r="Q23" s="26"/>
      <c r="R23" s="26"/>
      <c r="S23" s="26"/>
      <c r="T23" s="26"/>
      <c r="U23" s="26"/>
      <c r="V23" s="26"/>
      <c r="W23" s="26"/>
      <c r="X23" s="26"/>
      <c r="Y23" s="26"/>
      <c r="Z23" s="22"/>
    </row>
    <row r="24" spans="1:26" ht="18" customHeight="1" x14ac:dyDescent="0.15">
      <c r="A24" s="216" t="s">
        <v>89</v>
      </c>
      <c r="B24" s="216"/>
      <c r="C24" s="216"/>
      <c r="D24" s="216"/>
      <c r="E24" s="216"/>
      <c r="F24" s="216"/>
      <c r="G24" s="216"/>
      <c r="H24" s="216"/>
      <c r="I24" s="216"/>
      <c r="J24" s="216"/>
      <c r="K24" s="216"/>
      <c r="L24" s="216"/>
      <c r="M24" s="216"/>
      <c r="N24" s="216"/>
      <c r="O24" s="216"/>
      <c r="P24" s="216"/>
      <c r="Q24" s="216"/>
      <c r="R24" s="216"/>
      <c r="S24" s="216"/>
      <c r="T24" s="216"/>
      <c r="U24" s="216"/>
      <c r="V24" s="216"/>
      <c r="W24" s="216"/>
      <c r="X24" s="216"/>
      <c r="Y24" s="216"/>
      <c r="Z24" s="216"/>
    </row>
    <row r="25" spans="1:26" ht="18" customHeight="1" x14ac:dyDescent="0.15">
      <c r="A25" s="216"/>
      <c r="B25" s="216"/>
      <c r="C25" s="216"/>
      <c r="D25" s="216"/>
      <c r="E25" s="216"/>
      <c r="F25" s="216"/>
      <c r="G25" s="216"/>
      <c r="H25" s="216"/>
      <c r="I25" s="216"/>
      <c r="J25" s="216"/>
      <c r="K25" s="216"/>
      <c r="L25" s="216"/>
      <c r="M25" s="216"/>
      <c r="N25" s="216"/>
      <c r="O25" s="216"/>
      <c r="P25" s="216"/>
      <c r="Q25" s="216"/>
      <c r="R25" s="216"/>
      <c r="S25" s="216"/>
      <c r="T25" s="216"/>
      <c r="U25" s="216"/>
      <c r="V25" s="216"/>
      <c r="W25" s="216"/>
      <c r="X25" s="216"/>
      <c r="Y25" s="216"/>
      <c r="Z25" s="216"/>
    </row>
    <row r="26" spans="1:26" ht="18" customHeight="1" x14ac:dyDescent="0.15">
      <c r="A26" s="11"/>
      <c r="B26" s="139" t="s">
        <v>77</v>
      </c>
      <c r="C26" s="141"/>
      <c r="D26" s="141"/>
      <c r="E26" s="141"/>
      <c r="F26" s="140"/>
      <c r="G26" s="23" t="s">
        <v>78</v>
      </c>
      <c r="H26" s="90" t="s">
        <v>79</v>
      </c>
      <c r="I26" s="141" t="s">
        <v>80</v>
      </c>
      <c r="J26" s="141"/>
      <c r="K26" s="141"/>
      <c r="L26" s="91" t="s">
        <v>90</v>
      </c>
      <c r="M26" s="91" t="s">
        <v>91</v>
      </c>
      <c r="N26" s="139" t="s">
        <v>77</v>
      </c>
      <c r="O26" s="141"/>
      <c r="P26" s="141"/>
      <c r="Q26" s="141"/>
      <c r="R26" s="141"/>
      <c r="S26" s="140"/>
      <c r="T26" s="23" t="s">
        <v>78</v>
      </c>
      <c r="U26" s="90" t="s">
        <v>79</v>
      </c>
      <c r="V26" s="141" t="s">
        <v>80</v>
      </c>
      <c r="W26" s="141"/>
      <c r="X26" s="141"/>
      <c r="Y26" s="91" t="s">
        <v>90</v>
      </c>
      <c r="Z26" s="91" t="s">
        <v>91</v>
      </c>
    </row>
    <row r="27" spans="1:26" ht="18" customHeight="1" x14ac:dyDescent="0.15">
      <c r="A27" s="11"/>
      <c r="B27" s="220" t="s">
        <v>86</v>
      </c>
      <c r="C27" s="221"/>
      <c r="D27" s="221"/>
      <c r="E27" s="221"/>
      <c r="F27" s="222"/>
      <c r="G27" s="92">
        <v>1</v>
      </c>
      <c r="H27" s="92" t="s">
        <v>84</v>
      </c>
      <c r="I27" s="210" t="s">
        <v>85</v>
      </c>
      <c r="J27" s="211"/>
      <c r="K27" s="212"/>
      <c r="L27" s="92" t="s">
        <v>84</v>
      </c>
      <c r="M27" s="92" t="s">
        <v>84</v>
      </c>
      <c r="N27" s="195"/>
      <c r="O27" s="196"/>
      <c r="P27" s="196"/>
      <c r="Q27" s="196"/>
      <c r="R27" s="196"/>
      <c r="S27" s="197"/>
      <c r="T27" s="92"/>
      <c r="U27" s="92"/>
      <c r="V27" s="210"/>
      <c r="W27" s="211"/>
      <c r="X27" s="212"/>
      <c r="Y27" s="92"/>
      <c r="Z27" s="92"/>
    </row>
    <row r="28" spans="1:26" ht="18" customHeight="1" x14ac:dyDescent="0.15">
      <c r="A28" s="11"/>
      <c r="B28" s="217" t="s">
        <v>92</v>
      </c>
      <c r="C28" s="218"/>
      <c r="D28" s="218"/>
      <c r="E28" s="218"/>
      <c r="F28" s="219"/>
      <c r="G28" s="93">
        <v>2</v>
      </c>
      <c r="H28" s="93" t="s">
        <v>84</v>
      </c>
      <c r="I28" s="223" t="s">
        <v>85</v>
      </c>
      <c r="J28" s="224"/>
      <c r="K28" s="225"/>
      <c r="L28" s="93" t="s">
        <v>84</v>
      </c>
      <c r="M28" s="93" t="s">
        <v>84</v>
      </c>
      <c r="N28" s="189"/>
      <c r="O28" s="190"/>
      <c r="P28" s="190"/>
      <c r="Q28" s="190"/>
      <c r="R28" s="190"/>
      <c r="S28" s="191"/>
      <c r="T28" s="93"/>
      <c r="U28" s="93"/>
      <c r="V28" s="207"/>
      <c r="W28" s="208"/>
      <c r="X28" s="209"/>
      <c r="Y28" s="93"/>
      <c r="Z28" s="93"/>
    </row>
    <row r="29" spans="1:26" ht="18" customHeight="1" x14ac:dyDescent="0.15">
      <c r="A29" s="11"/>
      <c r="B29" s="217" t="s">
        <v>93</v>
      </c>
      <c r="C29" s="218"/>
      <c r="D29" s="218"/>
      <c r="E29" s="218"/>
      <c r="F29" s="219"/>
      <c r="G29" s="93">
        <v>2</v>
      </c>
      <c r="H29" s="93" t="s">
        <v>84</v>
      </c>
      <c r="I29" s="207" t="s">
        <v>85</v>
      </c>
      <c r="J29" s="208"/>
      <c r="K29" s="209"/>
      <c r="L29" s="108" t="s">
        <v>84</v>
      </c>
      <c r="M29" s="108" t="s">
        <v>84</v>
      </c>
      <c r="N29" s="226"/>
      <c r="O29" s="227"/>
      <c r="P29" s="227"/>
      <c r="Q29" s="227"/>
      <c r="R29" s="227"/>
      <c r="S29" s="228"/>
      <c r="T29" s="93"/>
      <c r="U29" s="93"/>
      <c r="V29" s="207"/>
      <c r="W29" s="208"/>
      <c r="X29" s="209"/>
      <c r="Y29" s="93"/>
      <c r="Z29" s="93"/>
    </row>
    <row r="30" spans="1:26" ht="18" customHeight="1" x14ac:dyDescent="0.15">
      <c r="A30" s="11"/>
      <c r="B30" s="217" t="s">
        <v>88</v>
      </c>
      <c r="C30" s="218"/>
      <c r="D30" s="218"/>
      <c r="E30" s="218"/>
      <c r="F30" s="219"/>
      <c r="G30" s="93">
        <v>2</v>
      </c>
      <c r="H30" s="93" t="s">
        <v>84</v>
      </c>
      <c r="I30" s="207" t="s">
        <v>85</v>
      </c>
      <c r="J30" s="208"/>
      <c r="K30" s="209"/>
      <c r="L30" s="93" t="s">
        <v>84</v>
      </c>
      <c r="M30" s="93" t="s">
        <v>84</v>
      </c>
      <c r="N30" s="189"/>
      <c r="O30" s="190"/>
      <c r="P30" s="190"/>
      <c r="Q30" s="190"/>
      <c r="R30" s="190"/>
      <c r="S30" s="191"/>
      <c r="T30" s="93"/>
      <c r="U30" s="93"/>
      <c r="V30" s="207"/>
      <c r="W30" s="208"/>
      <c r="X30" s="209"/>
      <c r="Y30" s="93"/>
      <c r="Z30" s="93"/>
    </row>
    <row r="31" spans="1:26" ht="18" customHeight="1" x14ac:dyDescent="0.15">
      <c r="A31" s="11"/>
      <c r="B31" s="217"/>
      <c r="C31" s="218"/>
      <c r="D31" s="218"/>
      <c r="E31" s="218"/>
      <c r="F31" s="219"/>
      <c r="G31" s="93"/>
      <c r="H31" s="93"/>
      <c r="I31" s="207"/>
      <c r="J31" s="208"/>
      <c r="K31" s="209"/>
      <c r="L31" s="93"/>
      <c r="M31" s="93"/>
      <c r="N31" s="189"/>
      <c r="O31" s="190"/>
      <c r="P31" s="190"/>
      <c r="Q31" s="190"/>
      <c r="R31" s="190"/>
      <c r="S31" s="191"/>
      <c r="T31" s="93"/>
      <c r="U31" s="93"/>
      <c r="V31" s="207"/>
      <c r="W31" s="208"/>
      <c r="X31" s="209"/>
      <c r="Y31" s="93"/>
      <c r="Z31" s="93"/>
    </row>
    <row r="32" spans="1:26" ht="18" customHeight="1" x14ac:dyDescent="0.15">
      <c r="A32" s="11"/>
      <c r="B32" s="217"/>
      <c r="C32" s="218"/>
      <c r="D32" s="218"/>
      <c r="E32" s="218"/>
      <c r="F32" s="219"/>
      <c r="G32" s="93"/>
      <c r="H32" s="93"/>
      <c r="I32" s="207"/>
      <c r="J32" s="208"/>
      <c r="K32" s="209"/>
      <c r="L32" s="93"/>
      <c r="M32" s="93"/>
      <c r="N32" s="189"/>
      <c r="O32" s="190"/>
      <c r="P32" s="190"/>
      <c r="Q32" s="190"/>
      <c r="R32" s="190"/>
      <c r="S32" s="191"/>
      <c r="T32" s="93"/>
      <c r="U32" s="93"/>
      <c r="V32" s="207"/>
      <c r="W32" s="208"/>
      <c r="X32" s="209"/>
      <c r="Y32" s="93"/>
      <c r="Z32" s="93"/>
    </row>
    <row r="33" spans="1:26" ht="18" customHeight="1" x14ac:dyDescent="0.15">
      <c r="A33" s="11"/>
      <c r="B33" s="213"/>
      <c r="C33" s="214"/>
      <c r="D33" s="214"/>
      <c r="E33" s="214"/>
      <c r="F33" s="215"/>
      <c r="G33" s="94"/>
      <c r="H33" s="94"/>
      <c r="I33" s="201"/>
      <c r="J33" s="202"/>
      <c r="K33" s="203"/>
      <c r="L33" s="95"/>
      <c r="M33" s="95"/>
      <c r="N33" s="178"/>
      <c r="O33" s="179"/>
      <c r="P33" s="179"/>
      <c r="Q33" s="179"/>
      <c r="R33" s="179"/>
      <c r="S33" s="180"/>
      <c r="T33" s="94"/>
      <c r="U33" s="94"/>
      <c r="V33" s="201"/>
      <c r="W33" s="202"/>
      <c r="X33" s="203"/>
      <c r="Y33" s="95"/>
      <c r="Z33" s="95"/>
    </row>
    <row r="34" spans="1:26" ht="7.5" customHeight="1" x14ac:dyDescent="0.15">
      <c r="A34" s="22"/>
      <c r="B34" s="26"/>
      <c r="C34" s="26"/>
      <c r="D34" s="22"/>
      <c r="E34" s="22"/>
      <c r="F34" s="22"/>
      <c r="G34" s="22"/>
      <c r="H34" s="22"/>
      <c r="I34" s="22"/>
      <c r="J34" s="22"/>
      <c r="K34" s="22"/>
      <c r="L34" s="26"/>
      <c r="M34" s="26"/>
      <c r="N34" s="26"/>
      <c r="O34" s="26"/>
      <c r="P34" s="26"/>
      <c r="Q34" s="26"/>
      <c r="R34" s="26"/>
      <c r="S34" s="26"/>
      <c r="T34" s="26"/>
      <c r="U34" s="26"/>
      <c r="V34" s="26"/>
      <c r="W34" s="26"/>
      <c r="X34" s="26"/>
      <c r="Y34" s="26"/>
      <c r="Z34" s="22"/>
    </row>
    <row r="35" spans="1:26" ht="18" customHeight="1" x14ac:dyDescent="0.15">
      <c r="A35" s="216" t="s">
        <v>94</v>
      </c>
      <c r="B35" s="216"/>
      <c r="C35" s="216"/>
      <c r="D35" s="216"/>
      <c r="E35" s="216"/>
      <c r="F35" s="216"/>
      <c r="G35" s="216"/>
      <c r="H35" s="216"/>
      <c r="I35" s="216"/>
      <c r="J35" s="216"/>
      <c r="K35" s="216"/>
      <c r="L35" s="216"/>
      <c r="M35" s="216"/>
      <c r="N35" s="216"/>
      <c r="O35" s="216"/>
      <c r="P35" s="216"/>
      <c r="Q35" s="216"/>
      <c r="R35" s="216"/>
      <c r="S35" s="216"/>
      <c r="T35" s="216"/>
      <c r="U35" s="216"/>
      <c r="V35" s="216"/>
      <c r="W35" s="216"/>
      <c r="X35" s="216"/>
      <c r="Y35" s="216"/>
      <c r="Z35" s="216"/>
    </row>
    <row r="36" spans="1:26" ht="18" customHeight="1" x14ac:dyDescent="0.15">
      <c r="A36" s="216"/>
      <c r="B36" s="216"/>
      <c r="C36" s="216"/>
      <c r="D36" s="216"/>
      <c r="E36" s="216"/>
      <c r="F36" s="216"/>
      <c r="G36" s="216"/>
      <c r="H36" s="216"/>
      <c r="I36" s="216"/>
      <c r="J36" s="216"/>
      <c r="K36" s="216"/>
      <c r="L36" s="216"/>
      <c r="M36" s="216"/>
      <c r="N36" s="216"/>
      <c r="O36" s="216"/>
      <c r="P36" s="216"/>
      <c r="Q36" s="216"/>
      <c r="R36" s="216"/>
      <c r="S36" s="216"/>
      <c r="T36" s="216"/>
      <c r="U36" s="216"/>
      <c r="V36" s="216"/>
      <c r="W36" s="216"/>
      <c r="X36" s="216"/>
      <c r="Y36" s="216"/>
      <c r="Z36" s="216"/>
    </row>
    <row r="37" spans="1:26" ht="18" customHeight="1" x14ac:dyDescent="0.15">
      <c r="A37" s="11"/>
      <c r="B37" s="139" t="s">
        <v>77</v>
      </c>
      <c r="C37" s="141"/>
      <c r="D37" s="141"/>
      <c r="E37" s="141"/>
      <c r="F37" s="140"/>
      <c r="G37" s="23" t="s">
        <v>78</v>
      </c>
      <c r="H37" s="90" t="s">
        <v>79</v>
      </c>
      <c r="I37" s="139" t="s">
        <v>80</v>
      </c>
      <c r="J37" s="141"/>
      <c r="K37" s="140"/>
      <c r="L37" s="91" t="s">
        <v>95</v>
      </c>
      <c r="M37" s="91" t="s">
        <v>96</v>
      </c>
      <c r="N37" s="139" t="s">
        <v>77</v>
      </c>
      <c r="O37" s="141"/>
      <c r="P37" s="141"/>
      <c r="Q37" s="141"/>
      <c r="R37" s="141"/>
      <c r="S37" s="140"/>
      <c r="T37" s="23" t="s">
        <v>78</v>
      </c>
      <c r="U37" s="90" t="s">
        <v>79</v>
      </c>
      <c r="V37" s="139" t="s">
        <v>80</v>
      </c>
      <c r="W37" s="141"/>
      <c r="X37" s="140"/>
      <c r="Y37" s="91" t="s">
        <v>95</v>
      </c>
      <c r="Z37" s="91" t="s">
        <v>96</v>
      </c>
    </row>
    <row r="38" spans="1:26" ht="18" customHeight="1" x14ac:dyDescent="0.15">
      <c r="A38" s="22"/>
      <c r="B38" s="220" t="s">
        <v>87</v>
      </c>
      <c r="C38" s="221"/>
      <c r="D38" s="221"/>
      <c r="E38" s="221"/>
      <c r="F38" s="222"/>
      <c r="G38" s="92">
        <v>1</v>
      </c>
      <c r="H38" s="92" t="s">
        <v>84</v>
      </c>
      <c r="I38" s="210" t="s">
        <v>85</v>
      </c>
      <c r="J38" s="211"/>
      <c r="K38" s="212"/>
      <c r="L38" s="93" t="s">
        <v>84</v>
      </c>
      <c r="M38" s="93" t="s">
        <v>84</v>
      </c>
      <c r="N38" s="195"/>
      <c r="O38" s="196"/>
      <c r="P38" s="196"/>
      <c r="Q38" s="196"/>
      <c r="R38" s="196"/>
      <c r="S38" s="197"/>
      <c r="T38" s="92"/>
      <c r="U38" s="92"/>
      <c r="V38" s="210"/>
      <c r="W38" s="211"/>
      <c r="X38" s="212"/>
      <c r="Y38" s="92"/>
      <c r="Z38" s="92"/>
    </row>
    <row r="39" spans="1:26" ht="18" customHeight="1" x14ac:dyDescent="0.15">
      <c r="A39" s="22"/>
      <c r="B39" s="217" t="s">
        <v>97</v>
      </c>
      <c r="C39" s="218"/>
      <c r="D39" s="218"/>
      <c r="E39" s="218"/>
      <c r="F39" s="219"/>
      <c r="G39" s="93">
        <v>1</v>
      </c>
      <c r="H39" s="93" t="s">
        <v>84</v>
      </c>
      <c r="I39" s="207" t="s">
        <v>85</v>
      </c>
      <c r="J39" s="208"/>
      <c r="K39" s="209"/>
      <c r="L39" s="93" t="s">
        <v>84</v>
      </c>
      <c r="M39" s="93" t="s">
        <v>84</v>
      </c>
      <c r="N39" s="189"/>
      <c r="O39" s="190"/>
      <c r="P39" s="190"/>
      <c r="Q39" s="190"/>
      <c r="R39" s="190"/>
      <c r="S39" s="191"/>
      <c r="T39" s="93"/>
      <c r="U39" s="93"/>
      <c r="V39" s="207"/>
      <c r="W39" s="208"/>
      <c r="X39" s="209"/>
      <c r="Y39" s="93"/>
      <c r="Z39" s="93"/>
    </row>
    <row r="40" spans="1:26" ht="18" customHeight="1" x14ac:dyDescent="0.15">
      <c r="A40" s="22"/>
      <c r="B40" s="217" t="s">
        <v>92</v>
      </c>
      <c r="C40" s="218"/>
      <c r="D40" s="218"/>
      <c r="E40" s="218"/>
      <c r="F40" s="219"/>
      <c r="G40" s="93">
        <v>2</v>
      </c>
      <c r="H40" s="93" t="s">
        <v>84</v>
      </c>
      <c r="I40" s="207" t="s">
        <v>85</v>
      </c>
      <c r="J40" s="208"/>
      <c r="K40" s="209"/>
      <c r="L40" s="93" t="s">
        <v>84</v>
      </c>
      <c r="M40" s="93" t="s">
        <v>84</v>
      </c>
      <c r="N40" s="189"/>
      <c r="O40" s="190"/>
      <c r="P40" s="190"/>
      <c r="Q40" s="190"/>
      <c r="R40" s="190"/>
      <c r="S40" s="191"/>
      <c r="T40" s="93"/>
      <c r="U40" s="93"/>
      <c r="V40" s="207"/>
      <c r="W40" s="208"/>
      <c r="X40" s="209"/>
      <c r="Y40" s="93"/>
      <c r="Z40" s="93"/>
    </row>
    <row r="41" spans="1:26" ht="18" customHeight="1" x14ac:dyDescent="0.15">
      <c r="A41" s="22"/>
      <c r="B41" s="217" t="s">
        <v>93</v>
      </c>
      <c r="C41" s="218"/>
      <c r="D41" s="218"/>
      <c r="E41" s="218"/>
      <c r="F41" s="219"/>
      <c r="G41" s="93">
        <v>2</v>
      </c>
      <c r="H41" s="93" t="s">
        <v>84</v>
      </c>
      <c r="I41" s="223" t="s">
        <v>85</v>
      </c>
      <c r="J41" s="224"/>
      <c r="K41" s="225"/>
      <c r="L41" s="93" t="s">
        <v>84</v>
      </c>
      <c r="M41" s="93" t="s">
        <v>84</v>
      </c>
      <c r="N41" s="189"/>
      <c r="O41" s="190"/>
      <c r="P41" s="190"/>
      <c r="Q41" s="190"/>
      <c r="R41" s="190"/>
      <c r="S41" s="191"/>
      <c r="T41" s="93"/>
      <c r="U41" s="93"/>
      <c r="V41" s="207"/>
      <c r="W41" s="208"/>
      <c r="X41" s="209"/>
      <c r="Y41" s="93"/>
      <c r="Z41" s="93"/>
    </row>
    <row r="42" spans="1:26" ht="18" customHeight="1" x14ac:dyDescent="0.15">
      <c r="A42" s="22"/>
      <c r="B42" s="217" t="s">
        <v>88</v>
      </c>
      <c r="C42" s="218"/>
      <c r="D42" s="218"/>
      <c r="E42" s="218"/>
      <c r="F42" s="219"/>
      <c r="G42" s="93">
        <v>2</v>
      </c>
      <c r="H42" s="93" t="s">
        <v>84</v>
      </c>
      <c r="I42" s="207" t="s">
        <v>85</v>
      </c>
      <c r="J42" s="208"/>
      <c r="K42" s="209"/>
      <c r="L42" s="93" t="s">
        <v>84</v>
      </c>
      <c r="M42" s="93" t="s">
        <v>84</v>
      </c>
      <c r="N42" s="189"/>
      <c r="O42" s="190"/>
      <c r="P42" s="190"/>
      <c r="Q42" s="190"/>
      <c r="R42" s="190"/>
      <c r="S42" s="191"/>
      <c r="T42" s="93"/>
      <c r="U42" s="93"/>
      <c r="V42" s="207"/>
      <c r="W42" s="208"/>
      <c r="X42" s="209"/>
      <c r="Y42" s="93"/>
      <c r="Z42" s="93"/>
    </row>
    <row r="43" spans="1:26" ht="18" customHeight="1" x14ac:dyDescent="0.15">
      <c r="A43" s="22"/>
      <c r="B43" s="217"/>
      <c r="C43" s="218"/>
      <c r="D43" s="218"/>
      <c r="E43" s="218"/>
      <c r="F43" s="219"/>
      <c r="G43" s="93"/>
      <c r="H43" s="93"/>
      <c r="I43" s="207"/>
      <c r="J43" s="208"/>
      <c r="K43" s="209"/>
      <c r="L43" s="93"/>
      <c r="M43" s="93"/>
      <c r="N43" s="189"/>
      <c r="O43" s="190"/>
      <c r="P43" s="190"/>
      <c r="Q43" s="190"/>
      <c r="R43" s="190"/>
      <c r="S43" s="191"/>
      <c r="T43" s="93"/>
      <c r="U43" s="93"/>
      <c r="V43" s="207"/>
      <c r="W43" s="208"/>
      <c r="X43" s="209"/>
      <c r="Y43" s="93"/>
      <c r="Z43" s="93"/>
    </row>
    <row r="44" spans="1:26" ht="18" customHeight="1" x14ac:dyDescent="0.15">
      <c r="A44" s="22"/>
      <c r="B44" s="213"/>
      <c r="C44" s="214"/>
      <c r="D44" s="214"/>
      <c r="E44" s="214"/>
      <c r="F44" s="215"/>
      <c r="G44" s="94"/>
      <c r="H44" s="94"/>
      <c r="I44" s="201"/>
      <c r="J44" s="202"/>
      <c r="K44" s="203"/>
      <c r="L44" s="95"/>
      <c r="M44" s="95"/>
      <c r="N44" s="178"/>
      <c r="O44" s="179"/>
      <c r="P44" s="179"/>
      <c r="Q44" s="179"/>
      <c r="R44" s="179"/>
      <c r="S44" s="180"/>
      <c r="T44" s="94"/>
      <c r="U44" s="94"/>
      <c r="V44" s="201"/>
      <c r="W44" s="202"/>
      <c r="X44" s="203"/>
      <c r="Y44" s="95"/>
      <c r="Z44" s="95"/>
    </row>
    <row r="45" spans="1:26" ht="7.5" customHeight="1" x14ac:dyDescent="0.15">
      <c r="B45" s="61"/>
      <c r="C45" s="61"/>
      <c r="D45" s="61"/>
      <c r="E45" s="61"/>
      <c r="F45" s="61"/>
      <c r="G45" s="61"/>
      <c r="H45" s="61"/>
      <c r="I45" s="61"/>
      <c r="J45" s="61"/>
      <c r="K45" s="61"/>
      <c r="L45" s="61"/>
      <c r="M45" s="61"/>
      <c r="N45" s="61"/>
      <c r="O45" s="61"/>
      <c r="P45" s="61"/>
      <c r="Q45" s="61"/>
      <c r="R45" s="61"/>
      <c r="S45" s="61"/>
      <c r="T45" s="61"/>
      <c r="U45" s="61"/>
      <c r="V45" s="61"/>
      <c r="W45" s="61"/>
      <c r="X45" s="61"/>
      <c r="Y45" s="61"/>
    </row>
    <row r="46" spans="1:26" ht="18" customHeight="1" x14ac:dyDescent="0.15">
      <c r="A46" s="216" t="s">
        <v>98</v>
      </c>
      <c r="B46" s="216"/>
      <c r="C46" s="216"/>
      <c r="D46" s="216"/>
      <c r="E46" s="216"/>
      <c r="F46" s="216"/>
      <c r="G46" s="216"/>
      <c r="H46" s="216"/>
      <c r="I46" s="216"/>
      <c r="J46" s="216"/>
      <c r="K46" s="216"/>
      <c r="L46" s="216"/>
      <c r="M46" s="216"/>
      <c r="N46" s="216"/>
      <c r="O46" s="216"/>
      <c r="P46" s="216"/>
      <c r="Q46" s="216"/>
      <c r="R46" s="216"/>
      <c r="S46" s="216"/>
      <c r="T46" s="216"/>
      <c r="U46" s="216"/>
      <c r="V46" s="216"/>
      <c r="W46" s="216"/>
      <c r="X46" s="216"/>
      <c r="Y46" s="216"/>
      <c r="Z46" s="216"/>
    </row>
    <row r="47" spans="1:26" ht="18" customHeight="1" x14ac:dyDescent="0.15">
      <c r="A47" s="216"/>
      <c r="B47" s="216"/>
      <c r="C47" s="216"/>
      <c r="D47" s="216"/>
      <c r="E47" s="216"/>
      <c r="F47" s="216"/>
      <c r="G47" s="216"/>
      <c r="H47" s="216"/>
      <c r="I47" s="216"/>
      <c r="J47" s="216"/>
      <c r="K47" s="216"/>
      <c r="L47" s="216"/>
      <c r="M47" s="216"/>
      <c r="N47" s="216"/>
      <c r="O47" s="216"/>
      <c r="P47" s="216"/>
      <c r="Q47" s="216"/>
      <c r="R47" s="216"/>
      <c r="S47" s="216"/>
      <c r="T47" s="216"/>
      <c r="U47" s="216"/>
      <c r="V47" s="216"/>
      <c r="W47" s="216"/>
      <c r="X47" s="216"/>
      <c r="Y47" s="216"/>
      <c r="Z47" s="216"/>
    </row>
    <row r="48" spans="1:26" ht="18" customHeight="1" x14ac:dyDescent="0.15">
      <c r="A48" s="11"/>
      <c r="B48" s="139" t="s">
        <v>77</v>
      </c>
      <c r="C48" s="141"/>
      <c r="D48" s="141"/>
      <c r="E48" s="141"/>
      <c r="F48" s="140"/>
      <c r="G48" s="23" t="s">
        <v>78</v>
      </c>
      <c r="H48" s="90" t="s">
        <v>79</v>
      </c>
      <c r="I48" s="139" t="s">
        <v>80</v>
      </c>
      <c r="J48" s="141"/>
      <c r="K48" s="140"/>
      <c r="L48" s="91" t="s">
        <v>99</v>
      </c>
      <c r="M48" s="91" t="s">
        <v>100</v>
      </c>
      <c r="N48" s="139" t="s">
        <v>77</v>
      </c>
      <c r="O48" s="141"/>
      <c r="P48" s="141"/>
      <c r="Q48" s="141"/>
      <c r="R48" s="141"/>
      <c r="S48" s="140"/>
      <c r="T48" s="23" t="s">
        <v>78</v>
      </c>
      <c r="U48" s="90" t="s">
        <v>79</v>
      </c>
      <c r="V48" s="139" t="s">
        <v>80</v>
      </c>
      <c r="W48" s="141"/>
      <c r="X48" s="140"/>
      <c r="Y48" s="91" t="s">
        <v>99</v>
      </c>
      <c r="Z48" s="91" t="s">
        <v>100</v>
      </c>
    </row>
    <row r="49" spans="1:26" ht="18" customHeight="1" x14ac:dyDescent="0.15">
      <c r="A49" s="22"/>
      <c r="B49" s="220" t="s">
        <v>87</v>
      </c>
      <c r="C49" s="221"/>
      <c r="D49" s="221"/>
      <c r="E49" s="221"/>
      <c r="F49" s="222"/>
      <c r="G49" s="92">
        <v>1</v>
      </c>
      <c r="H49" s="92" t="s">
        <v>84</v>
      </c>
      <c r="I49" s="207" t="s">
        <v>85</v>
      </c>
      <c r="J49" s="208"/>
      <c r="K49" s="209"/>
      <c r="L49" s="109" t="s">
        <v>84</v>
      </c>
      <c r="M49" s="109" t="s">
        <v>84</v>
      </c>
      <c r="N49" s="195"/>
      <c r="O49" s="196"/>
      <c r="P49" s="196"/>
      <c r="Q49" s="196"/>
      <c r="R49" s="196"/>
      <c r="S49" s="197"/>
      <c r="T49" s="92"/>
      <c r="U49" s="92"/>
      <c r="V49" s="210"/>
      <c r="W49" s="211"/>
      <c r="X49" s="212"/>
      <c r="Y49" s="92"/>
      <c r="Z49" s="92"/>
    </row>
    <row r="50" spans="1:26" ht="18" customHeight="1" x14ac:dyDescent="0.15">
      <c r="A50" s="22"/>
      <c r="B50" s="217" t="s">
        <v>97</v>
      </c>
      <c r="C50" s="218"/>
      <c r="D50" s="218"/>
      <c r="E50" s="218"/>
      <c r="F50" s="219"/>
      <c r="G50" s="93">
        <v>1</v>
      </c>
      <c r="H50" s="93" t="s">
        <v>84</v>
      </c>
      <c r="I50" s="207" t="s">
        <v>85</v>
      </c>
      <c r="J50" s="208"/>
      <c r="K50" s="209"/>
      <c r="L50" s="93" t="s">
        <v>84</v>
      </c>
      <c r="M50" s="93" t="s">
        <v>84</v>
      </c>
      <c r="N50" s="189"/>
      <c r="O50" s="190"/>
      <c r="P50" s="190"/>
      <c r="Q50" s="190"/>
      <c r="R50" s="190"/>
      <c r="S50" s="191"/>
      <c r="T50" s="93"/>
      <c r="U50" s="93"/>
      <c r="V50" s="207"/>
      <c r="W50" s="208"/>
      <c r="X50" s="209"/>
      <c r="Y50" s="93"/>
      <c r="Z50" s="93"/>
    </row>
    <row r="51" spans="1:26" ht="18" customHeight="1" x14ac:dyDescent="0.15">
      <c r="A51" s="22"/>
      <c r="B51" s="217" t="s">
        <v>88</v>
      </c>
      <c r="C51" s="218"/>
      <c r="D51" s="218"/>
      <c r="E51" s="218"/>
      <c r="F51" s="219"/>
      <c r="G51" s="93">
        <v>2</v>
      </c>
      <c r="H51" s="93" t="s">
        <v>84</v>
      </c>
      <c r="I51" s="207" t="s">
        <v>85</v>
      </c>
      <c r="J51" s="208"/>
      <c r="K51" s="209"/>
      <c r="L51" s="93" t="s">
        <v>84</v>
      </c>
      <c r="M51" s="93" t="s">
        <v>84</v>
      </c>
      <c r="N51" s="189"/>
      <c r="O51" s="190"/>
      <c r="P51" s="190"/>
      <c r="Q51" s="190"/>
      <c r="R51" s="190"/>
      <c r="S51" s="191"/>
      <c r="T51" s="93"/>
      <c r="U51" s="93"/>
      <c r="V51" s="207"/>
      <c r="W51" s="208"/>
      <c r="X51" s="209"/>
      <c r="Y51" s="93"/>
      <c r="Z51" s="93"/>
    </row>
    <row r="52" spans="1:26" ht="18" customHeight="1" x14ac:dyDescent="0.15">
      <c r="A52" s="22"/>
      <c r="B52" s="217" t="s">
        <v>101</v>
      </c>
      <c r="C52" s="218"/>
      <c r="D52" s="218"/>
      <c r="E52" s="218"/>
      <c r="F52" s="219"/>
      <c r="G52" s="93">
        <v>1</v>
      </c>
      <c r="H52" s="108" t="s">
        <v>84</v>
      </c>
      <c r="I52" s="207" t="s">
        <v>85</v>
      </c>
      <c r="J52" s="208"/>
      <c r="K52" s="209"/>
      <c r="L52" s="108" t="s">
        <v>84</v>
      </c>
      <c r="M52" s="108" t="s">
        <v>84</v>
      </c>
      <c r="N52" s="189"/>
      <c r="O52" s="190"/>
      <c r="P52" s="190"/>
      <c r="Q52" s="190"/>
      <c r="R52" s="190"/>
      <c r="S52" s="191"/>
      <c r="T52" s="93"/>
      <c r="U52" s="93"/>
      <c r="V52" s="207"/>
      <c r="W52" s="208"/>
      <c r="X52" s="209"/>
      <c r="Y52" s="93"/>
      <c r="Z52" s="93"/>
    </row>
    <row r="53" spans="1:26" ht="18" customHeight="1" x14ac:dyDescent="0.15">
      <c r="A53" s="22"/>
      <c r="B53" s="217"/>
      <c r="C53" s="218"/>
      <c r="D53" s="218"/>
      <c r="E53" s="218"/>
      <c r="F53" s="219"/>
      <c r="G53" s="93"/>
      <c r="H53" s="93"/>
      <c r="I53" s="207"/>
      <c r="J53" s="208"/>
      <c r="K53" s="209"/>
      <c r="L53" s="93"/>
      <c r="M53" s="93"/>
      <c r="N53" s="189"/>
      <c r="O53" s="190"/>
      <c r="P53" s="190"/>
      <c r="Q53" s="190"/>
      <c r="R53" s="190"/>
      <c r="S53" s="191"/>
      <c r="T53" s="93"/>
      <c r="U53" s="93"/>
      <c r="V53" s="207"/>
      <c r="W53" s="208"/>
      <c r="X53" s="209"/>
      <c r="Y53" s="93"/>
      <c r="Z53" s="93"/>
    </row>
    <row r="54" spans="1:26" ht="18" customHeight="1" x14ac:dyDescent="0.15">
      <c r="A54" s="22"/>
      <c r="B54" s="217"/>
      <c r="C54" s="218"/>
      <c r="D54" s="218"/>
      <c r="E54" s="218"/>
      <c r="F54" s="219"/>
      <c r="G54" s="93"/>
      <c r="H54" s="93"/>
      <c r="I54" s="207"/>
      <c r="J54" s="208"/>
      <c r="K54" s="209"/>
      <c r="L54" s="93"/>
      <c r="M54" s="93"/>
      <c r="N54" s="189"/>
      <c r="O54" s="190"/>
      <c r="P54" s="190"/>
      <c r="Q54" s="190"/>
      <c r="R54" s="190"/>
      <c r="S54" s="191"/>
      <c r="T54" s="93"/>
      <c r="U54" s="93"/>
      <c r="V54" s="207"/>
      <c r="W54" s="208"/>
      <c r="X54" s="209"/>
      <c r="Y54" s="93"/>
      <c r="Z54" s="93"/>
    </row>
    <row r="55" spans="1:26" ht="18" customHeight="1" x14ac:dyDescent="0.15">
      <c r="A55" s="22"/>
      <c r="B55" s="213"/>
      <c r="C55" s="214"/>
      <c r="D55" s="214"/>
      <c r="E55" s="214"/>
      <c r="F55" s="215"/>
      <c r="G55" s="94"/>
      <c r="H55" s="94"/>
      <c r="I55" s="201"/>
      <c r="J55" s="202"/>
      <c r="K55" s="203"/>
      <c r="L55" s="95"/>
      <c r="M55" s="95"/>
      <c r="N55" s="178"/>
      <c r="O55" s="179"/>
      <c r="P55" s="179"/>
      <c r="Q55" s="179"/>
      <c r="R55" s="179"/>
      <c r="S55" s="180"/>
      <c r="T55" s="94"/>
      <c r="U55" s="94"/>
      <c r="V55" s="201"/>
      <c r="W55" s="202"/>
      <c r="X55" s="203"/>
      <c r="Y55" s="95"/>
      <c r="Z55" s="95"/>
    </row>
    <row r="56" spans="1:26" ht="7.5" customHeight="1" x14ac:dyDescent="0.15">
      <c r="B56" s="61"/>
      <c r="C56" s="61"/>
      <c r="D56" s="61"/>
      <c r="E56" s="61"/>
      <c r="F56" s="61"/>
      <c r="G56" s="61"/>
      <c r="H56" s="61"/>
      <c r="I56" s="61"/>
      <c r="J56" s="61"/>
      <c r="K56" s="61"/>
      <c r="L56" s="61"/>
      <c r="M56" s="61"/>
      <c r="N56" s="61"/>
      <c r="O56" s="61"/>
      <c r="P56" s="61"/>
      <c r="Q56" s="61"/>
      <c r="R56" s="61"/>
      <c r="S56" s="61"/>
      <c r="T56" s="61"/>
      <c r="U56" s="61"/>
      <c r="V56" s="61"/>
      <c r="W56" s="61"/>
      <c r="X56" s="61"/>
      <c r="Y56" s="61"/>
    </row>
    <row r="57" spans="1:26" ht="18" customHeight="1" x14ac:dyDescent="0.15">
      <c r="A57" s="216" t="s">
        <v>102</v>
      </c>
      <c r="B57" s="216"/>
      <c r="C57" s="216"/>
      <c r="D57" s="216"/>
      <c r="E57" s="216"/>
      <c r="F57" s="216"/>
      <c r="G57" s="216"/>
      <c r="H57" s="216"/>
      <c r="I57" s="216"/>
      <c r="J57" s="216"/>
      <c r="K57" s="216"/>
      <c r="L57" s="216"/>
      <c r="M57" s="216"/>
      <c r="N57" s="216"/>
      <c r="O57" s="216"/>
      <c r="P57" s="216"/>
      <c r="Q57" s="216"/>
      <c r="R57" s="216"/>
      <c r="S57" s="216"/>
      <c r="T57" s="216"/>
      <c r="U57" s="216"/>
      <c r="V57" s="216"/>
      <c r="W57" s="216"/>
      <c r="X57" s="216"/>
      <c r="Y57" s="216"/>
      <c r="Z57" s="216"/>
    </row>
    <row r="58" spans="1:26" ht="18" customHeight="1" x14ac:dyDescent="0.15">
      <c r="A58" s="216"/>
      <c r="B58" s="216"/>
      <c r="C58" s="216"/>
      <c r="D58" s="216"/>
      <c r="E58" s="216"/>
      <c r="F58" s="216"/>
      <c r="G58" s="216"/>
      <c r="H58" s="216"/>
      <c r="I58" s="216"/>
      <c r="J58" s="216"/>
      <c r="K58" s="216"/>
      <c r="L58" s="216"/>
      <c r="M58" s="216"/>
      <c r="N58" s="216"/>
      <c r="O58" s="216"/>
      <c r="P58" s="216"/>
      <c r="Q58" s="216"/>
      <c r="R58" s="216"/>
      <c r="S58" s="216"/>
      <c r="T58" s="216"/>
      <c r="U58" s="216"/>
      <c r="V58" s="216"/>
      <c r="W58" s="216"/>
      <c r="X58" s="216"/>
      <c r="Y58" s="216"/>
      <c r="Z58" s="216"/>
    </row>
    <row r="59" spans="1:26" ht="18" customHeight="1" x14ac:dyDescent="0.15">
      <c r="A59" s="11"/>
      <c r="B59" s="139" t="s">
        <v>77</v>
      </c>
      <c r="C59" s="141"/>
      <c r="D59" s="141"/>
      <c r="E59" s="140"/>
      <c r="F59" s="23" t="s">
        <v>78</v>
      </c>
      <c r="G59" s="90" t="s">
        <v>79</v>
      </c>
      <c r="H59" s="19" t="s">
        <v>80</v>
      </c>
      <c r="I59" s="96"/>
      <c r="J59" s="20"/>
      <c r="K59" s="91" t="s">
        <v>103</v>
      </c>
      <c r="L59" s="91" t="s">
        <v>104</v>
      </c>
      <c r="M59" s="91" t="s">
        <v>105</v>
      </c>
      <c r="N59" s="139" t="s">
        <v>77</v>
      </c>
      <c r="O59" s="141"/>
      <c r="P59" s="141"/>
      <c r="Q59" s="141"/>
      <c r="R59" s="140"/>
      <c r="S59" s="23" t="s">
        <v>78</v>
      </c>
      <c r="T59" s="90" t="s">
        <v>79</v>
      </c>
      <c r="U59" s="19" t="s">
        <v>80</v>
      </c>
      <c r="V59" s="96"/>
      <c r="W59" s="20"/>
      <c r="X59" s="91" t="s">
        <v>103</v>
      </c>
      <c r="Y59" s="91" t="s">
        <v>104</v>
      </c>
      <c r="Z59" s="91" t="s">
        <v>105</v>
      </c>
    </row>
    <row r="60" spans="1:26" ht="18" customHeight="1" x14ac:dyDescent="0.15">
      <c r="A60" s="22"/>
      <c r="B60" s="195" t="s">
        <v>92</v>
      </c>
      <c r="C60" s="196"/>
      <c r="D60" s="196"/>
      <c r="E60" s="197"/>
      <c r="F60" s="92">
        <v>2</v>
      </c>
      <c r="G60" s="92" t="s">
        <v>84</v>
      </c>
      <c r="H60" s="207" t="s">
        <v>85</v>
      </c>
      <c r="I60" s="208"/>
      <c r="J60" s="209"/>
      <c r="K60" s="110" t="s">
        <v>84</v>
      </c>
      <c r="L60" s="97" t="s">
        <v>84</v>
      </c>
      <c r="M60" s="97" t="s">
        <v>84</v>
      </c>
      <c r="N60" s="195"/>
      <c r="O60" s="196"/>
      <c r="P60" s="196"/>
      <c r="Q60" s="196"/>
      <c r="R60" s="197"/>
      <c r="S60" s="92"/>
      <c r="T60" s="92"/>
      <c r="U60" s="210"/>
      <c r="V60" s="211"/>
      <c r="W60" s="212"/>
      <c r="X60" s="97"/>
      <c r="Y60" s="92"/>
      <c r="Z60" s="92"/>
    </row>
    <row r="61" spans="1:26" ht="18" customHeight="1" x14ac:dyDescent="0.15">
      <c r="A61" s="22"/>
      <c r="B61" s="189" t="s">
        <v>93</v>
      </c>
      <c r="C61" s="190"/>
      <c r="D61" s="190"/>
      <c r="E61" s="191"/>
      <c r="F61" s="93">
        <v>2</v>
      </c>
      <c r="G61" s="93" t="s">
        <v>84</v>
      </c>
      <c r="H61" s="207" t="s">
        <v>85</v>
      </c>
      <c r="I61" s="208"/>
      <c r="J61" s="209"/>
      <c r="K61" s="111" t="s">
        <v>84</v>
      </c>
      <c r="L61" s="111" t="s">
        <v>84</v>
      </c>
      <c r="M61" s="111" t="s">
        <v>84</v>
      </c>
      <c r="N61" s="189"/>
      <c r="O61" s="190"/>
      <c r="P61" s="190"/>
      <c r="Q61" s="190"/>
      <c r="R61" s="191"/>
      <c r="S61" s="93"/>
      <c r="T61" s="93"/>
      <c r="U61" s="207"/>
      <c r="V61" s="208"/>
      <c r="W61" s="209"/>
      <c r="X61" s="98"/>
      <c r="Y61" s="93"/>
      <c r="Z61" s="93"/>
    </row>
    <row r="62" spans="1:26" ht="18" customHeight="1" x14ac:dyDescent="0.15">
      <c r="A62" s="22"/>
      <c r="B62" s="189" t="s">
        <v>88</v>
      </c>
      <c r="C62" s="190"/>
      <c r="D62" s="190"/>
      <c r="E62" s="191"/>
      <c r="F62" s="93">
        <v>2</v>
      </c>
      <c r="G62" s="93" t="s">
        <v>84</v>
      </c>
      <c r="H62" s="207" t="s">
        <v>85</v>
      </c>
      <c r="I62" s="208"/>
      <c r="J62" s="209"/>
      <c r="K62" s="98" t="s">
        <v>84</v>
      </c>
      <c r="L62" s="98" t="s">
        <v>84</v>
      </c>
      <c r="M62" s="98" t="s">
        <v>84</v>
      </c>
      <c r="N62" s="189"/>
      <c r="O62" s="190"/>
      <c r="P62" s="190"/>
      <c r="Q62" s="190"/>
      <c r="R62" s="191"/>
      <c r="S62" s="93"/>
      <c r="T62" s="93"/>
      <c r="U62" s="207"/>
      <c r="V62" s="208"/>
      <c r="W62" s="209"/>
      <c r="X62" s="98"/>
      <c r="Y62" s="93"/>
      <c r="Z62" s="93"/>
    </row>
    <row r="63" spans="1:26" ht="18" customHeight="1" x14ac:dyDescent="0.15">
      <c r="A63" s="22"/>
      <c r="B63" s="189"/>
      <c r="C63" s="190"/>
      <c r="D63" s="190"/>
      <c r="E63" s="191"/>
      <c r="F63" s="93"/>
      <c r="G63" s="93"/>
      <c r="H63" s="207"/>
      <c r="I63" s="208"/>
      <c r="J63" s="209"/>
      <c r="K63" s="98"/>
      <c r="L63" s="93"/>
      <c r="M63" s="93"/>
      <c r="N63" s="189"/>
      <c r="O63" s="190"/>
      <c r="P63" s="190"/>
      <c r="Q63" s="190"/>
      <c r="R63" s="191"/>
      <c r="S63" s="93"/>
      <c r="T63" s="93"/>
      <c r="U63" s="207"/>
      <c r="V63" s="208"/>
      <c r="W63" s="209"/>
      <c r="X63" s="98"/>
      <c r="Y63" s="93"/>
      <c r="Z63" s="93"/>
    </row>
    <row r="64" spans="1:26" ht="18" customHeight="1" x14ac:dyDescent="0.15">
      <c r="A64" s="22"/>
      <c r="B64" s="189"/>
      <c r="C64" s="190"/>
      <c r="D64" s="190"/>
      <c r="E64" s="191"/>
      <c r="F64" s="93"/>
      <c r="G64" s="93"/>
      <c r="H64" s="207"/>
      <c r="I64" s="208"/>
      <c r="J64" s="209"/>
      <c r="K64" s="98"/>
      <c r="L64" s="93"/>
      <c r="M64" s="93"/>
      <c r="N64" s="189"/>
      <c r="O64" s="190"/>
      <c r="P64" s="190"/>
      <c r="Q64" s="190"/>
      <c r="R64" s="191"/>
      <c r="S64" s="93"/>
      <c r="T64" s="93"/>
      <c r="U64" s="207"/>
      <c r="V64" s="208"/>
      <c r="W64" s="209"/>
      <c r="X64" s="98"/>
      <c r="Y64" s="93"/>
      <c r="Z64" s="93"/>
    </row>
    <row r="65" spans="1:26" ht="18" customHeight="1" x14ac:dyDescent="0.15">
      <c r="A65" s="22"/>
      <c r="B65" s="189"/>
      <c r="C65" s="190"/>
      <c r="D65" s="190"/>
      <c r="E65" s="191"/>
      <c r="F65" s="93"/>
      <c r="G65" s="93"/>
      <c r="H65" s="207"/>
      <c r="I65" s="208"/>
      <c r="J65" s="209"/>
      <c r="K65" s="98"/>
      <c r="L65" s="93"/>
      <c r="M65" s="93"/>
      <c r="N65" s="189"/>
      <c r="O65" s="190"/>
      <c r="P65" s="190"/>
      <c r="Q65" s="190"/>
      <c r="R65" s="191"/>
      <c r="S65" s="93"/>
      <c r="T65" s="93"/>
      <c r="U65" s="207"/>
      <c r="V65" s="208"/>
      <c r="W65" s="209"/>
      <c r="X65" s="98"/>
      <c r="Y65" s="93"/>
      <c r="Z65" s="93"/>
    </row>
    <row r="66" spans="1:26" ht="18" customHeight="1" x14ac:dyDescent="0.15">
      <c r="A66" s="22"/>
      <c r="B66" s="178"/>
      <c r="C66" s="179"/>
      <c r="D66" s="179"/>
      <c r="E66" s="180"/>
      <c r="F66" s="94"/>
      <c r="G66" s="94"/>
      <c r="H66" s="201"/>
      <c r="I66" s="202"/>
      <c r="J66" s="203"/>
      <c r="K66" s="99"/>
      <c r="L66" s="95"/>
      <c r="M66" s="95"/>
      <c r="N66" s="178"/>
      <c r="O66" s="179"/>
      <c r="P66" s="179"/>
      <c r="Q66" s="179"/>
      <c r="R66" s="180"/>
      <c r="S66" s="94"/>
      <c r="T66" s="94"/>
      <c r="U66" s="201"/>
      <c r="V66" s="202"/>
      <c r="W66" s="203"/>
      <c r="X66" s="99"/>
      <c r="Y66" s="95"/>
      <c r="Z66" s="95"/>
    </row>
    <row r="67" spans="1:26" ht="7.5" customHeight="1" x14ac:dyDescent="0.15">
      <c r="B67" s="61"/>
      <c r="C67" s="61"/>
      <c r="D67" s="61"/>
      <c r="E67" s="61"/>
      <c r="F67" s="61"/>
      <c r="G67" s="61"/>
      <c r="H67" s="61"/>
      <c r="I67" s="61"/>
      <c r="J67" s="61"/>
      <c r="K67" s="61"/>
      <c r="L67" s="61"/>
      <c r="M67" s="61"/>
      <c r="N67" s="61"/>
      <c r="O67" s="61"/>
      <c r="P67" s="61"/>
      <c r="Q67" s="61"/>
      <c r="R67" s="61"/>
      <c r="S67" s="61"/>
      <c r="T67" s="61"/>
      <c r="U67" s="61"/>
      <c r="V67" s="61"/>
      <c r="W67" s="61"/>
      <c r="X67" s="61"/>
      <c r="Y67" s="61"/>
    </row>
    <row r="68" spans="1:26" ht="18" customHeight="1" x14ac:dyDescent="0.15">
      <c r="A68" s="11" t="s">
        <v>106</v>
      </c>
      <c r="B68" s="11"/>
      <c r="C68" s="11"/>
      <c r="D68" s="11"/>
      <c r="E68" s="11"/>
      <c r="F68" s="11"/>
      <c r="G68" s="11"/>
      <c r="H68" s="11"/>
      <c r="I68" s="11"/>
      <c r="J68" s="11"/>
      <c r="K68" s="11"/>
      <c r="L68" s="22"/>
      <c r="M68" s="22"/>
      <c r="N68" s="22"/>
      <c r="O68" s="22"/>
      <c r="P68" s="22"/>
      <c r="Q68" s="22"/>
      <c r="R68" s="22"/>
      <c r="S68" s="22"/>
      <c r="T68" s="22"/>
      <c r="U68" s="22"/>
      <c r="V68" s="22"/>
      <c r="W68" s="22"/>
      <c r="X68" s="22"/>
      <c r="Y68" s="22"/>
      <c r="Z68" s="22"/>
    </row>
    <row r="69" spans="1:26" ht="18" customHeight="1" x14ac:dyDescent="0.15">
      <c r="A69" s="11"/>
      <c r="B69" s="139" t="s">
        <v>77</v>
      </c>
      <c r="C69" s="141"/>
      <c r="D69" s="141"/>
      <c r="E69" s="141"/>
      <c r="F69" s="140"/>
      <c r="G69" s="139" t="s">
        <v>107</v>
      </c>
      <c r="H69" s="141"/>
      <c r="I69" s="141"/>
      <c r="J69" s="141"/>
      <c r="K69" s="141"/>
      <c r="L69" s="141"/>
      <c r="M69" s="140"/>
      <c r="N69" s="204" t="s">
        <v>77</v>
      </c>
      <c r="O69" s="205"/>
      <c r="P69" s="205"/>
      <c r="Q69" s="205"/>
      <c r="R69" s="205"/>
      <c r="S69" s="206"/>
      <c r="T69" s="139" t="s">
        <v>107</v>
      </c>
      <c r="U69" s="141"/>
      <c r="V69" s="141"/>
      <c r="W69" s="141"/>
      <c r="X69" s="141"/>
      <c r="Y69" s="141"/>
      <c r="Z69" s="140"/>
    </row>
    <row r="70" spans="1:26" ht="18" customHeight="1" x14ac:dyDescent="0.15">
      <c r="A70" s="22"/>
      <c r="B70" s="195" t="s">
        <v>108</v>
      </c>
      <c r="C70" s="196"/>
      <c r="D70" s="196"/>
      <c r="E70" s="196"/>
      <c r="F70" s="197"/>
      <c r="G70" s="198" t="s">
        <v>109</v>
      </c>
      <c r="H70" s="199"/>
      <c r="I70" s="199"/>
      <c r="J70" s="199"/>
      <c r="K70" s="199"/>
      <c r="L70" s="199"/>
      <c r="M70" s="200"/>
      <c r="N70" s="195"/>
      <c r="O70" s="196"/>
      <c r="P70" s="196"/>
      <c r="Q70" s="196"/>
      <c r="R70" s="196"/>
      <c r="S70" s="197"/>
      <c r="T70" s="198"/>
      <c r="U70" s="199"/>
      <c r="V70" s="199"/>
      <c r="W70" s="199"/>
      <c r="X70" s="199"/>
      <c r="Y70" s="199"/>
      <c r="Z70" s="200"/>
    </row>
    <row r="71" spans="1:26" ht="18" customHeight="1" x14ac:dyDescent="0.15">
      <c r="A71" s="22"/>
      <c r="B71" s="189"/>
      <c r="C71" s="190"/>
      <c r="D71" s="190"/>
      <c r="E71" s="190"/>
      <c r="F71" s="191"/>
      <c r="G71" s="192"/>
      <c r="H71" s="193"/>
      <c r="I71" s="193"/>
      <c r="J71" s="193"/>
      <c r="K71" s="193"/>
      <c r="L71" s="193"/>
      <c r="M71" s="194"/>
      <c r="N71" s="189"/>
      <c r="O71" s="190"/>
      <c r="P71" s="190"/>
      <c r="Q71" s="190"/>
      <c r="R71" s="190"/>
      <c r="S71" s="191"/>
      <c r="T71" s="192"/>
      <c r="U71" s="193"/>
      <c r="V71" s="193"/>
      <c r="W71" s="193"/>
      <c r="X71" s="193"/>
      <c r="Y71" s="193"/>
      <c r="Z71" s="194"/>
    </row>
    <row r="72" spans="1:26" ht="18" customHeight="1" x14ac:dyDescent="0.15">
      <c r="A72" s="22"/>
      <c r="B72" s="189"/>
      <c r="C72" s="190"/>
      <c r="D72" s="190"/>
      <c r="E72" s="190"/>
      <c r="F72" s="191"/>
      <c r="G72" s="192"/>
      <c r="H72" s="193"/>
      <c r="I72" s="193"/>
      <c r="J72" s="193"/>
      <c r="K72" s="193"/>
      <c r="L72" s="193"/>
      <c r="M72" s="194"/>
      <c r="N72" s="189"/>
      <c r="O72" s="190"/>
      <c r="P72" s="190"/>
      <c r="Q72" s="190"/>
      <c r="R72" s="190"/>
      <c r="S72" s="191"/>
      <c r="T72" s="192"/>
      <c r="U72" s="193"/>
      <c r="V72" s="193"/>
      <c r="W72" s="193"/>
      <c r="X72" s="193"/>
      <c r="Y72" s="193"/>
      <c r="Z72" s="194"/>
    </row>
    <row r="73" spans="1:26" ht="18" customHeight="1" x14ac:dyDescent="0.15">
      <c r="A73" s="22"/>
      <c r="B73" s="189"/>
      <c r="C73" s="190"/>
      <c r="D73" s="190"/>
      <c r="E73" s="190"/>
      <c r="F73" s="191"/>
      <c r="G73" s="192"/>
      <c r="H73" s="193"/>
      <c r="I73" s="193"/>
      <c r="J73" s="193"/>
      <c r="K73" s="193"/>
      <c r="L73" s="193"/>
      <c r="M73" s="194"/>
      <c r="N73" s="189"/>
      <c r="O73" s="190"/>
      <c r="P73" s="190"/>
      <c r="Q73" s="190"/>
      <c r="R73" s="190"/>
      <c r="S73" s="191"/>
      <c r="T73" s="192"/>
      <c r="U73" s="193"/>
      <c r="V73" s="193"/>
      <c r="W73" s="193"/>
      <c r="X73" s="193"/>
      <c r="Y73" s="193"/>
      <c r="Z73" s="194"/>
    </row>
    <row r="74" spans="1:26" ht="18" customHeight="1" x14ac:dyDescent="0.15">
      <c r="A74" s="22"/>
      <c r="B74" s="189"/>
      <c r="C74" s="190"/>
      <c r="D74" s="190"/>
      <c r="E74" s="190"/>
      <c r="F74" s="191"/>
      <c r="G74" s="192"/>
      <c r="H74" s="193"/>
      <c r="I74" s="193"/>
      <c r="J74" s="193"/>
      <c r="K74" s="193"/>
      <c r="L74" s="193"/>
      <c r="M74" s="194"/>
      <c r="N74" s="189"/>
      <c r="O74" s="190"/>
      <c r="P74" s="190"/>
      <c r="Q74" s="190"/>
      <c r="R74" s="190"/>
      <c r="S74" s="191"/>
      <c r="T74" s="192"/>
      <c r="U74" s="193"/>
      <c r="V74" s="193"/>
      <c r="W74" s="193"/>
      <c r="X74" s="193"/>
      <c r="Y74" s="193"/>
      <c r="Z74" s="194"/>
    </row>
    <row r="75" spans="1:26" ht="18" customHeight="1" x14ac:dyDescent="0.15">
      <c r="A75" s="22"/>
      <c r="B75" s="189"/>
      <c r="C75" s="190"/>
      <c r="D75" s="190"/>
      <c r="E75" s="190"/>
      <c r="F75" s="191"/>
      <c r="G75" s="192"/>
      <c r="H75" s="193"/>
      <c r="I75" s="193"/>
      <c r="J75" s="193"/>
      <c r="K75" s="193"/>
      <c r="L75" s="193"/>
      <c r="M75" s="194"/>
      <c r="N75" s="189"/>
      <c r="O75" s="190"/>
      <c r="P75" s="190"/>
      <c r="Q75" s="190"/>
      <c r="R75" s="190"/>
      <c r="S75" s="191"/>
      <c r="T75" s="192"/>
      <c r="U75" s="193"/>
      <c r="V75" s="193"/>
      <c r="W75" s="193"/>
      <c r="X75" s="193"/>
      <c r="Y75" s="193"/>
      <c r="Z75" s="194"/>
    </row>
    <row r="76" spans="1:26" ht="18" customHeight="1" x14ac:dyDescent="0.15">
      <c r="A76" s="22"/>
      <c r="B76" s="178"/>
      <c r="C76" s="179"/>
      <c r="D76" s="179"/>
      <c r="E76" s="179"/>
      <c r="F76" s="180"/>
      <c r="G76" s="181"/>
      <c r="H76" s="182"/>
      <c r="I76" s="182"/>
      <c r="J76" s="182"/>
      <c r="K76" s="182"/>
      <c r="L76" s="182"/>
      <c r="M76" s="183"/>
      <c r="N76" s="178"/>
      <c r="O76" s="179"/>
      <c r="P76" s="179"/>
      <c r="Q76" s="179"/>
      <c r="R76" s="179"/>
      <c r="S76" s="180"/>
      <c r="T76" s="181"/>
      <c r="U76" s="182"/>
      <c r="V76" s="182"/>
      <c r="W76" s="182"/>
      <c r="X76" s="182"/>
      <c r="Y76" s="182"/>
      <c r="Z76" s="183"/>
    </row>
    <row r="77" spans="1:26" ht="18" customHeight="1" x14ac:dyDescent="0.15">
      <c r="A77" s="22"/>
      <c r="B77" s="26"/>
      <c r="C77" s="26"/>
      <c r="D77" s="26"/>
      <c r="E77" s="26"/>
      <c r="F77" s="26"/>
      <c r="G77" s="9"/>
      <c r="H77" s="9"/>
      <c r="I77" s="9"/>
      <c r="J77" s="9"/>
      <c r="K77" s="9"/>
      <c r="L77" s="9"/>
      <c r="M77" s="9"/>
      <c r="N77" s="26"/>
      <c r="O77" s="26"/>
      <c r="P77" s="26"/>
      <c r="Q77" s="26"/>
      <c r="R77" s="26"/>
      <c r="S77" s="26"/>
      <c r="T77" s="9"/>
      <c r="U77" s="9"/>
      <c r="V77" s="9"/>
      <c r="W77" s="9"/>
      <c r="X77" s="9"/>
      <c r="Y77" s="9"/>
      <c r="Z77" s="9"/>
    </row>
    <row r="78" spans="1:26" ht="18.75" customHeight="1" x14ac:dyDescent="0.15">
      <c r="A78" s="10" t="s">
        <v>110</v>
      </c>
    </row>
    <row r="79" spans="1:26" ht="18.75" customHeight="1" x14ac:dyDescent="0.15">
      <c r="B79" s="100" t="s">
        <v>111</v>
      </c>
      <c r="C79" s="101"/>
      <c r="D79" s="184" t="s">
        <v>112</v>
      </c>
      <c r="E79" s="184"/>
      <c r="F79" s="184"/>
      <c r="G79" s="184"/>
      <c r="H79" s="184"/>
      <c r="I79" s="184"/>
      <c r="J79" s="184"/>
      <c r="K79" s="184"/>
      <c r="L79" s="184"/>
      <c r="M79" s="184"/>
      <c r="N79" s="184"/>
      <c r="O79" s="184"/>
      <c r="P79" s="184"/>
      <c r="Q79" s="184"/>
      <c r="R79" s="184"/>
      <c r="S79" s="184"/>
      <c r="T79" s="184"/>
      <c r="U79" s="184"/>
      <c r="V79" s="184"/>
      <c r="W79" s="184"/>
      <c r="X79" s="184"/>
      <c r="Y79" s="184"/>
      <c r="Z79" s="185"/>
    </row>
    <row r="80" spans="1:26" ht="78" customHeight="1" x14ac:dyDescent="0.15">
      <c r="B80" s="158" t="s">
        <v>113</v>
      </c>
      <c r="C80" s="102" t="s">
        <v>81</v>
      </c>
      <c r="D80" s="160" t="s">
        <v>114</v>
      </c>
      <c r="E80" s="161"/>
      <c r="F80" s="161"/>
      <c r="G80" s="161"/>
      <c r="H80" s="161"/>
      <c r="I80" s="161"/>
      <c r="J80" s="161"/>
      <c r="K80" s="161"/>
      <c r="L80" s="161"/>
      <c r="M80" s="161"/>
      <c r="N80" s="161"/>
      <c r="O80" s="161"/>
      <c r="P80" s="161"/>
      <c r="Q80" s="161"/>
      <c r="R80" s="161"/>
      <c r="S80" s="161"/>
      <c r="T80" s="161"/>
      <c r="U80" s="161"/>
      <c r="V80" s="161"/>
      <c r="W80" s="161"/>
      <c r="X80" s="161"/>
      <c r="Y80" s="161"/>
      <c r="Z80" s="162"/>
    </row>
    <row r="81" spans="1:26" ht="78" customHeight="1" x14ac:dyDescent="0.15">
      <c r="B81" s="166"/>
      <c r="C81" s="103" t="s">
        <v>115</v>
      </c>
      <c r="D81" s="186" t="s">
        <v>116</v>
      </c>
      <c r="E81" s="187"/>
      <c r="F81" s="187"/>
      <c r="G81" s="187"/>
      <c r="H81" s="187"/>
      <c r="I81" s="187"/>
      <c r="J81" s="187"/>
      <c r="K81" s="187"/>
      <c r="L81" s="187"/>
      <c r="M81" s="187"/>
      <c r="N81" s="187"/>
      <c r="O81" s="187"/>
      <c r="P81" s="187"/>
      <c r="Q81" s="187"/>
      <c r="R81" s="187"/>
      <c r="S81" s="187"/>
      <c r="T81" s="187"/>
      <c r="U81" s="187"/>
      <c r="V81" s="187"/>
      <c r="W81" s="187"/>
      <c r="X81" s="187"/>
      <c r="Y81" s="187"/>
      <c r="Z81" s="188"/>
    </row>
    <row r="82" spans="1:26" ht="78" customHeight="1" x14ac:dyDescent="0.15">
      <c r="B82" s="171" t="s">
        <v>117</v>
      </c>
      <c r="C82" s="104" t="s">
        <v>90</v>
      </c>
      <c r="D82" s="172" t="s">
        <v>118</v>
      </c>
      <c r="E82" s="173"/>
      <c r="F82" s="173"/>
      <c r="G82" s="173"/>
      <c r="H82" s="173"/>
      <c r="I82" s="173"/>
      <c r="J82" s="173"/>
      <c r="K82" s="173"/>
      <c r="L82" s="173"/>
      <c r="M82" s="173"/>
      <c r="N82" s="173"/>
      <c r="O82" s="173"/>
      <c r="P82" s="173"/>
      <c r="Q82" s="173"/>
      <c r="R82" s="173"/>
      <c r="S82" s="173"/>
      <c r="T82" s="173"/>
      <c r="U82" s="173"/>
      <c r="V82" s="173"/>
      <c r="W82" s="173"/>
      <c r="X82" s="173"/>
      <c r="Y82" s="173"/>
      <c r="Z82" s="174"/>
    </row>
    <row r="83" spans="1:26" ht="78" customHeight="1" x14ac:dyDescent="0.15">
      <c r="B83" s="167"/>
      <c r="C83" s="105" t="s">
        <v>91</v>
      </c>
      <c r="D83" s="175" t="s">
        <v>119</v>
      </c>
      <c r="E83" s="176"/>
      <c r="F83" s="176"/>
      <c r="G83" s="176"/>
      <c r="H83" s="176"/>
      <c r="I83" s="176"/>
      <c r="J83" s="176"/>
      <c r="K83" s="176"/>
      <c r="L83" s="176"/>
      <c r="M83" s="176"/>
      <c r="N83" s="176"/>
      <c r="O83" s="176"/>
      <c r="P83" s="176"/>
      <c r="Q83" s="176"/>
      <c r="R83" s="176"/>
      <c r="S83" s="176"/>
      <c r="T83" s="176"/>
      <c r="U83" s="176"/>
      <c r="V83" s="176"/>
      <c r="W83" s="176"/>
      <c r="X83" s="176"/>
      <c r="Y83" s="176"/>
      <c r="Z83" s="177"/>
    </row>
    <row r="84" spans="1:26" ht="66" customHeight="1" x14ac:dyDescent="0.15">
      <c r="B84" s="171" t="s">
        <v>120</v>
      </c>
      <c r="C84" s="104" t="s">
        <v>95</v>
      </c>
      <c r="D84" s="172" t="s">
        <v>121</v>
      </c>
      <c r="E84" s="173"/>
      <c r="F84" s="173"/>
      <c r="G84" s="173"/>
      <c r="H84" s="173"/>
      <c r="I84" s="173"/>
      <c r="J84" s="173"/>
      <c r="K84" s="173"/>
      <c r="L84" s="173"/>
      <c r="M84" s="173"/>
      <c r="N84" s="173"/>
      <c r="O84" s="173"/>
      <c r="P84" s="173"/>
      <c r="Q84" s="173"/>
      <c r="R84" s="173"/>
      <c r="S84" s="173"/>
      <c r="T84" s="173"/>
      <c r="U84" s="173"/>
      <c r="V84" s="173"/>
      <c r="W84" s="173"/>
      <c r="X84" s="173"/>
      <c r="Y84" s="173"/>
      <c r="Z84" s="174"/>
    </row>
    <row r="85" spans="1:26" ht="66" customHeight="1" x14ac:dyDescent="0.15">
      <c r="B85" s="167"/>
      <c r="C85" s="106" t="s">
        <v>96</v>
      </c>
      <c r="D85" s="172" t="s">
        <v>122</v>
      </c>
      <c r="E85" s="173"/>
      <c r="F85" s="173"/>
      <c r="G85" s="173"/>
      <c r="H85" s="173"/>
      <c r="I85" s="173"/>
      <c r="J85" s="173"/>
      <c r="K85" s="173"/>
      <c r="L85" s="173"/>
      <c r="M85" s="173"/>
      <c r="N85" s="173"/>
      <c r="O85" s="173"/>
      <c r="P85" s="173"/>
      <c r="Q85" s="173"/>
      <c r="R85" s="173"/>
      <c r="S85" s="173"/>
      <c r="T85" s="173"/>
      <c r="U85" s="173"/>
      <c r="V85" s="173"/>
      <c r="W85" s="173"/>
      <c r="X85" s="173"/>
      <c r="Y85" s="173"/>
      <c r="Z85" s="174"/>
    </row>
    <row r="86" spans="1:26" ht="66" customHeight="1" x14ac:dyDescent="0.15">
      <c r="B86" s="158" t="s">
        <v>123</v>
      </c>
      <c r="C86" s="102" t="s">
        <v>99</v>
      </c>
      <c r="D86" s="160" t="s">
        <v>124</v>
      </c>
      <c r="E86" s="161"/>
      <c r="F86" s="161"/>
      <c r="G86" s="161"/>
      <c r="H86" s="161"/>
      <c r="I86" s="161"/>
      <c r="J86" s="161"/>
      <c r="K86" s="161"/>
      <c r="L86" s="161"/>
      <c r="M86" s="161"/>
      <c r="N86" s="161"/>
      <c r="O86" s="161"/>
      <c r="P86" s="161"/>
      <c r="Q86" s="161"/>
      <c r="R86" s="161"/>
      <c r="S86" s="161"/>
      <c r="T86" s="161"/>
      <c r="U86" s="161"/>
      <c r="V86" s="161"/>
      <c r="W86" s="161"/>
      <c r="X86" s="161"/>
      <c r="Y86" s="161"/>
      <c r="Z86" s="162"/>
    </row>
    <row r="87" spans="1:26" ht="66" customHeight="1" x14ac:dyDescent="0.15">
      <c r="B87" s="159"/>
      <c r="C87" s="107" t="s">
        <v>100</v>
      </c>
      <c r="D87" s="163" t="s">
        <v>125</v>
      </c>
      <c r="E87" s="164"/>
      <c r="F87" s="164"/>
      <c r="G87" s="164"/>
      <c r="H87" s="164"/>
      <c r="I87" s="164"/>
      <c r="J87" s="164"/>
      <c r="K87" s="164"/>
      <c r="L87" s="164"/>
      <c r="M87" s="164"/>
      <c r="N87" s="164"/>
      <c r="O87" s="164"/>
      <c r="P87" s="164"/>
      <c r="Q87" s="164"/>
      <c r="R87" s="164"/>
      <c r="S87" s="164"/>
      <c r="T87" s="164"/>
      <c r="U87" s="164"/>
      <c r="V87" s="164"/>
      <c r="W87" s="164"/>
      <c r="X87" s="164"/>
      <c r="Y87" s="164"/>
      <c r="Z87" s="165"/>
    </row>
    <row r="88" spans="1:26" ht="66" customHeight="1" x14ac:dyDescent="0.15">
      <c r="B88" s="158" t="s">
        <v>126</v>
      </c>
      <c r="C88" s="104" t="s">
        <v>103</v>
      </c>
      <c r="D88" s="168" t="s">
        <v>127</v>
      </c>
      <c r="E88" s="169"/>
      <c r="F88" s="169"/>
      <c r="G88" s="169"/>
      <c r="H88" s="169"/>
      <c r="I88" s="169"/>
      <c r="J88" s="169"/>
      <c r="K88" s="169"/>
      <c r="L88" s="169"/>
      <c r="M88" s="169"/>
      <c r="N88" s="169"/>
      <c r="O88" s="169"/>
      <c r="P88" s="169"/>
      <c r="Q88" s="169"/>
      <c r="R88" s="169"/>
      <c r="S88" s="169"/>
      <c r="T88" s="169"/>
      <c r="U88" s="169"/>
      <c r="V88" s="169"/>
      <c r="W88" s="169"/>
      <c r="X88" s="169"/>
      <c r="Y88" s="169"/>
      <c r="Z88" s="170"/>
    </row>
    <row r="89" spans="1:26" ht="66" customHeight="1" x14ac:dyDescent="0.15">
      <c r="B89" s="166"/>
      <c r="C89" s="107" t="s">
        <v>104</v>
      </c>
      <c r="D89" s="168" t="s">
        <v>128</v>
      </c>
      <c r="E89" s="169"/>
      <c r="F89" s="169"/>
      <c r="G89" s="169"/>
      <c r="H89" s="169"/>
      <c r="I89" s="169"/>
      <c r="J89" s="169"/>
      <c r="K89" s="169"/>
      <c r="L89" s="169"/>
      <c r="M89" s="169"/>
      <c r="N89" s="169"/>
      <c r="O89" s="169"/>
      <c r="P89" s="169"/>
      <c r="Q89" s="169"/>
      <c r="R89" s="169"/>
      <c r="S89" s="169"/>
      <c r="T89" s="169"/>
      <c r="U89" s="169"/>
      <c r="V89" s="169"/>
      <c r="W89" s="169"/>
      <c r="X89" s="169"/>
      <c r="Y89" s="169"/>
      <c r="Z89" s="170"/>
    </row>
    <row r="90" spans="1:26" ht="66" customHeight="1" x14ac:dyDescent="0.15">
      <c r="B90" s="167"/>
      <c r="C90" s="106" t="s">
        <v>105</v>
      </c>
      <c r="D90" s="168" t="s">
        <v>129</v>
      </c>
      <c r="E90" s="169"/>
      <c r="F90" s="169"/>
      <c r="G90" s="169"/>
      <c r="H90" s="169"/>
      <c r="I90" s="169"/>
      <c r="J90" s="169"/>
      <c r="K90" s="169"/>
      <c r="L90" s="169"/>
      <c r="M90" s="169"/>
      <c r="N90" s="169"/>
      <c r="O90" s="169"/>
      <c r="P90" s="169"/>
      <c r="Q90" s="169"/>
      <c r="R90" s="169"/>
      <c r="S90" s="169"/>
      <c r="T90" s="169"/>
      <c r="U90" s="169"/>
      <c r="V90" s="169"/>
      <c r="W90" s="169"/>
      <c r="X90" s="169"/>
      <c r="Y90" s="169"/>
      <c r="Z90" s="170"/>
    </row>
    <row r="91" spans="1:26" ht="6" customHeight="1" x14ac:dyDescent="0.15"/>
    <row r="92" spans="1:26" ht="18.75" customHeight="1" x14ac:dyDescent="0.15">
      <c r="A92" s="10" t="s">
        <v>130</v>
      </c>
    </row>
    <row r="93" spans="1:26" ht="18.75" customHeight="1" x14ac:dyDescent="0.15">
      <c r="B93" s="146" t="s">
        <v>131</v>
      </c>
      <c r="C93" s="147"/>
      <c r="D93" s="147"/>
      <c r="E93" s="147"/>
      <c r="F93" s="147"/>
      <c r="G93" s="147"/>
      <c r="H93" s="147"/>
      <c r="I93" s="147"/>
      <c r="J93" s="147"/>
      <c r="K93" s="147"/>
      <c r="L93" s="147"/>
      <c r="M93" s="147"/>
      <c r="N93" s="147"/>
      <c r="O93" s="147"/>
      <c r="P93" s="147"/>
      <c r="Q93" s="147"/>
      <c r="R93" s="147"/>
      <c r="S93" s="147"/>
      <c r="T93" s="147"/>
      <c r="U93" s="147"/>
      <c r="V93" s="147"/>
      <c r="W93" s="147"/>
      <c r="X93" s="147"/>
      <c r="Y93" s="147"/>
      <c r="Z93" s="148"/>
    </row>
    <row r="94" spans="1:26" ht="18.75" customHeight="1" x14ac:dyDescent="0.15">
      <c r="B94" s="149"/>
      <c r="C94" s="150"/>
      <c r="D94" s="150"/>
      <c r="E94" s="150"/>
      <c r="F94" s="150"/>
      <c r="G94" s="150"/>
      <c r="H94" s="150"/>
      <c r="I94" s="150"/>
      <c r="J94" s="150"/>
      <c r="K94" s="150"/>
      <c r="L94" s="150"/>
      <c r="M94" s="150"/>
      <c r="N94" s="150"/>
      <c r="O94" s="150"/>
      <c r="P94" s="150"/>
      <c r="Q94" s="150"/>
      <c r="R94" s="150"/>
      <c r="S94" s="150"/>
      <c r="T94" s="150"/>
      <c r="U94" s="150"/>
      <c r="V94" s="150"/>
      <c r="W94" s="150"/>
      <c r="X94" s="150"/>
      <c r="Y94" s="150"/>
      <c r="Z94" s="151"/>
    </row>
    <row r="95" spans="1:26" ht="18.75" customHeight="1" x14ac:dyDescent="0.15">
      <c r="B95" s="152"/>
      <c r="C95" s="153"/>
      <c r="D95" s="153"/>
      <c r="E95" s="153"/>
      <c r="F95" s="153"/>
      <c r="G95" s="153"/>
      <c r="H95" s="153"/>
      <c r="I95" s="153"/>
      <c r="J95" s="153"/>
      <c r="K95" s="153"/>
      <c r="L95" s="153"/>
      <c r="M95" s="153"/>
      <c r="N95" s="153"/>
      <c r="O95" s="153"/>
      <c r="P95" s="153"/>
      <c r="Q95" s="153"/>
      <c r="R95" s="153"/>
      <c r="S95" s="153"/>
      <c r="T95" s="153"/>
      <c r="U95" s="153"/>
      <c r="V95" s="153"/>
      <c r="W95" s="153"/>
      <c r="X95" s="153"/>
      <c r="Y95" s="153"/>
      <c r="Z95" s="154"/>
    </row>
    <row r="96" spans="1:26" ht="6" customHeight="1" x14ac:dyDescent="0.15"/>
    <row r="97" spans="1:26" ht="15" customHeight="1" x14ac:dyDescent="0.15">
      <c r="A97" s="10" t="s">
        <v>132</v>
      </c>
    </row>
    <row r="98" spans="1:26" ht="15" customHeight="1" x14ac:dyDescent="0.15">
      <c r="B98" s="155" t="s">
        <v>133</v>
      </c>
      <c r="C98" s="156"/>
      <c r="D98" s="156"/>
      <c r="E98" s="156"/>
      <c r="F98" s="156"/>
      <c r="G98" s="156"/>
      <c r="H98" s="156"/>
      <c r="I98" s="156"/>
      <c r="J98" s="156"/>
      <c r="K98" s="156"/>
      <c r="L98" s="156"/>
      <c r="M98" s="156"/>
      <c r="N98" s="156"/>
      <c r="O98" s="156"/>
      <c r="P98" s="156"/>
      <c r="Q98" s="156"/>
      <c r="R98" s="156"/>
      <c r="S98" s="156"/>
      <c r="T98" s="156"/>
      <c r="U98" s="156"/>
      <c r="V98" s="156"/>
      <c r="W98" s="156"/>
      <c r="X98" s="156"/>
      <c r="Y98" s="156"/>
      <c r="Z98" s="157"/>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2"/>
  <dataValidations count="4">
    <dataValidation type="list" allowBlank="1" showInputMessage="1" showErrorMessage="1" sqref="Y16:Z22 T60:T66 Y27:Z33 H38:H44 Y38:Z44 L63:M66 Y49:Z55 Y60:Z66 L38:M44 H16:H22 U16:U22 H27:H33 U27:U33 L27:M33 U38:U44 L16:M22 U49:U55 G60:G66 H49:H55 L49:M55" xr:uid="{A7D0F774-B702-BF4C-90B1-777F108055CC}">
      <formula1>"○"</formula1>
    </dataValidation>
    <dataValidation type="list" allowBlank="1" showInputMessage="1" showErrorMessage="1" sqref="Z23 Z34 D34:K34 D23:K23 V16:V22 I38:I44 V27:V33 I16:I22 V38:V44 I27:I33 V49:V55 H60:H66 U60:U66 I49:I55" xr:uid="{FD22AA39-1767-E040-9697-BEE006204EC0}">
      <formula1>"全学開講,一部開講"</formula1>
    </dataValidation>
    <dataValidation type="list" allowBlank="1" showInputMessage="1" showErrorMessage="1" sqref="O4" xr:uid="{A5F4AB01-06A6-D444-8424-03976D5170EE}">
      <formula1>"学部・学科によって、修了要件は相違する,学部・学科によって、修了要件は相違しない"</formula1>
    </dataValidation>
    <dataValidation type="list" allowBlank="1" showInputMessage="1" showErrorMessage="1" sqref="H74:M77 G70:G77 H70:M71 T70:T77 U70:Z71 U74:Z77" xr:uid="{C46696F0-B5FE-064F-9E8D-518A0D9F4B0F}">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Z98" r:id="rId1" display="https://www.gifu-nct.ac.jp/campuslife/datascience/" xr:uid="{385BBB8B-D74B-0F49-ABE5-0B42456ADC6C}"/>
  </hyperlinks>
  <printOptions horizontalCentered="1"/>
  <pageMargins left="0.78740157480314965" right="0.78740157480314965" top="0.59055118110236227" bottom="0.19685039370078741" header="0.31496062992125984" footer="0.19685039370078741"/>
  <pageSetup paperSize="9" scale="98" fitToHeight="2" orientation="landscape" r:id="rId2"/>
  <rowBreaks count="3" manualBreakCount="3">
    <brk id="34" max="25" man="1"/>
    <brk id="67" max="25" man="1"/>
    <brk id="8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E3A37-5ED6-7B40-BC53-461DD6EAE331}">
  <dimension ref="A1:Z98"/>
  <sheetViews>
    <sheetView showZeros="0" view="pageBreakPreview" zoomScale="114" zoomScaleNormal="100" zoomScaleSheetLayoutView="114" workbookViewId="0">
      <selection activeCell="G40" sqref="G40"/>
    </sheetView>
  </sheetViews>
  <sheetFormatPr defaultColWidth="9" defaultRowHeight="18.75" customHeight="1" x14ac:dyDescent="0.15"/>
  <cols>
    <col min="1" max="1" width="2.5" style="10" customWidth="1"/>
    <col min="2" max="2" width="27.875" style="10" customWidth="1"/>
    <col min="3" max="13" width="3.375" style="10" customWidth="1"/>
    <col min="14" max="14" width="8.875" style="10" customWidth="1"/>
    <col min="15" max="15" width="18.875" style="10" customWidth="1"/>
    <col min="16" max="19" width="3.375" style="10" customWidth="1"/>
    <col min="20" max="20" width="3.5" style="10" customWidth="1"/>
    <col min="21" max="26" width="3.375" style="10" customWidth="1"/>
    <col min="27" max="16384" width="9" style="10"/>
  </cols>
  <sheetData>
    <row r="1" spans="1:26" ht="15" customHeight="1" x14ac:dyDescent="0.15">
      <c r="W1" s="229" t="s">
        <v>134</v>
      </c>
      <c r="X1" s="229"/>
      <c r="Y1" s="229"/>
      <c r="Z1" s="229"/>
    </row>
    <row r="2" spans="1:26" ht="18" customHeight="1" x14ac:dyDescent="0.15">
      <c r="A2" s="230" t="s">
        <v>71</v>
      </c>
      <c r="B2" s="230"/>
      <c r="C2" s="230"/>
      <c r="D2" s="230"/>
      <c r="E2" s="230"/>
      <c r="F2" s="230"/>
      <c r="G2" s="230"/>
      <c r="H2" s="230"/>
      <c r="I2" s="230"/>
      <c r="J2" s="230"/>
      <c r="K2" s="230"/>
      <c r="L2" s="230"/>
      <c r="M2" s="230"/>
      <c r="N2" s="230"/>
      <c r="O2" s="230"/>
      <c r="P2" s="230"/>
      <c r="Q2" s="230"/>
      <c r="R2" s="230"/>
      <c r="S2" s="230"/>
      <c r="T2" s="230"/>
      <c r="U2" s="230"/>
      <c r="V2" s="230"/>
      <c r="W2" s="230"/>
      <c r="X2" s="230"/>
      <c r="Y2" s="230"/>
      <c r="Z2" s="230"/>
    </row>
    <row r="3" spans="1:26" ht="15" customHeight="1" x14ac:dyDescent="0.15">
      <c r="B3" s="22"/>
      <c r="C3" s="22"/>
      <c r="D3" s="22"/>
      <c r="E3" s="22"/>
      <c r="F3" s="22"/>
      <c r="G3" s="22"/>
      <c r="H3" s="22"/>
      <c r="I3" s="22"/>
      <c r="J3" s="22"/>
      <c r="K3" s="22"/>
      <c r="L3" s="22"/>
      <c r="M3" s="22"/>
      <c r="N3" s="22"/>
      <c r="O3" s="22"/>
      <c r="P3" s="22"/>
      <c r="Q3" s="22"/>
      <c r="R3" s="22"/>
      <c r="S3" s="22"/>
      <c r="T3" s="22"/>
      <c r="U3" s="22"/>
      <c r="V3" s="22"/>
      <c r="W3" s="22"/>
      <c r="X3" s="22"/>
      <c r="Y3" s="22"/>
      <c r="Z3" s="22"/>
    </row>
    <row r="4" spans="1:26" ht="18" customHeight="1" x14ac:dyDescent="0.15">
      <c r="A4" s="10" t="s">
        <v>72</v>
      </c>
      <c r="B4" s="22"/>
      <c r="C4" s="22"/>
      <c r="D4" s="22"/>
      <c r="E4" s="22"/>
      <c r="F4" s="22"/>
      <c r="G4" s="22"/>
      <c r="H4" s="11" t="s">
        <v>73</v>
      </c>
      <c r="I4" s="22"/>
      <c r="J4" s="22"/>
      <c r="K4" s="22"/>
      <c r="L4" s="22"/>
      <c r="M4" s="22"/>
      <c r="N4" s="22"/>
      <c r="O4" s="139" t="s">
        <v>74</v>
      </c>
      <c r="P4" s="141"/>
      <c r="Q4" s="141"/>
      <c r="R4" s="141"/>
      <c r="S4" s="141"/>
      <c r="T4" s="141"/>
      <c r="U4" s="141"/>
      <c r="V4" s="141"/>
      <c r="W4" s="141"/>
      <c r="X4" s="141"/>
      <c r="Y4" s="141"/>
      <c r="Z4" s="140"/>
    </row>
    <row r="5" spans="1:26" ht="6" customHeight="1" x14ac:dyDescent="0.15">
      <c r="B5" s="22"/>
      <c r="C5" s="22"/>
      <c r="D5" s="22"/>
      <c r="E5" s="22"/>
      <c r="F5" s="22"/>
      <c r="G5" s="22"/>
      <c r="H5" s="22"/>
      <c r="I5" s="22"/>
      <c r="J5" s="22"/>
      <c r="K5" s="22"/>
      <c r="L5" s="22"/>
      <c r="M5" s="22"/>
      <c r="N5" s="22"/>
      <c r="O5" s="12"/>
      <c r="P5" s="22"/>
      <c r="Q5" s="22"/>
      <c r="R5" s="22"/>
      <c r="S5" s="22"/>
      <c r="T5" s="22"/>
      <c r="U5" s="22"/>
      <c r="V5" s="22"/>
      <c r="W5" s="22"/>
      <c r="X5" s="22"/>
      <c r="Y5" s="22"/>
      <c r="Z5" s="22"/>
    </row>
    <row r="6" spans="1:26" ht="18" customHeight="1" x14ac:dyDescent="0.15">
      <c r="B6" s="231" t="s">
        <v>135</v>
      </c>
      <c r="C6" s="232"/>
      <c r="D6" s="232"/>
      <c r="E6" s="232"/>
      <c r="F6" s="232"/>
      <c r="G6" s="232"/>
      <c r="H6" s="232"/>
      <c r="I6" s="232"/>
      <c r="J6" s="232"/>
      <c r="K6" s="232"/>
      <c r="L6" s="232"/>
      <c r="M6" s="232"/>
      <c r="N6" s="232"/>
      <c r="O6" s="232"/>
      <c r="P6" s="232"/>
      <c r="Q6" s="232"/>
      <c r="R6" s="232"/>
      <c r="S6" s="232"/>
      <c r="T6" s="232"/>
      <c r="U6" s="232"/>
      <c r="V6" s="232"/>
      <c r="W6" s="232"/>
      <c r="X6" s="232"/>
      <c r="Y6" s="232"/>
      <c r="Z6" s="233"/>
    </row>
    <row r="7" spans="1:26" ht="18" customHeight="1" x14ac:dyDescent="0.15">
      <c r="B7" s="234"/>
      <c r="C7" s="235"/>
      <c r="D7" s="235"/>
      <c r="E7" s="235"/>
      <c r="F7" s="235"/>
      <c r="G7" s="235"/>
      <c r="H7" s="235"/>
      <c r="I7" s="235"/>
      <c r="J7" s="235"/>
      <c r="K7" s="235"/>
      <c r="L7" s="235"/>
      <c r="M7" s="235"/>
      <c r="N7" s="235"/>
      <c r="O7" s="235"/>
      <c r="P7" s="235"/>
      <c r="Q7" s="235"/>
      <c r="R7" s="235"/>
      <c r="S7" s="235"/>
      <c r="T7" s="235"/>
      <c r="U7" s="235"/>
      <c r="V7" s="235"/>
      <c r="W7" s="235"/>
      <c r="X7" s="235"/>
      <c r="Y7" s="235"/>
      <c r="Z7" s="236"/>
    </row>
    <row r="8" spans="1:26" ht="18" customHeight="1" x14ac:dyDescent="0.15">
      <c r="B8" s="234"/>
      <c r="C8" s="235"/>
      <c r="D8" s="235"/>
      <c r="E8" s="235"/>
      <c r="F8" s="235"/>
      <c r="G8" s="235"/>
      <c r="H8" s="235"/>
      <c r="I8" s="235"/>
      <c r="J8" s="235"/>
      <c r="K8" s="235"/>
      <c r="L8" s="235"/>
      <c r="M8" s="235"/>
      <c r="N8" s="235"/>
      <c r="O8" s="235"/>
      <c r="P8" s="235"/>
      <c r="Q8" s="235"/>
      <c r="R8" s="235"/>
      <c r="S8" s="235"/>
      <c r="T8" s="235"/>
      <c r="U8" s="235"/>
      <c r="V8" s="235"/>
      <c r="W8" s="235"/>
      <c r="X8" s="235"/>
      <c r="Y8" s="235"/>
      <c r="Z8" s="236"/>
    </row>
    <row r="9" spans="1:26" ht="18" customHeight="1" x14ac:dyDescent="0.15">
      <c r="B9" s="234"/>
      <c r="C9" s="235"/>
      <c r="D9" s="235"/>
      <c r="E9" s="235"/>
      <c r="F9" s="235"/>
      <c r="G9" s="235"/>
      <c r="H9" s="235"/>
      <c r="I9" s="235"/>
      <c r="J9" s="235"/>
      <c r="K9" s="235"/>
      <c r="L9" s="235"/>
      <c r="M9" s="235"/>
      <c r="N9" s="235"/>
      <c r="O9" s="235"/>
      <c r="P9" s="235"/>
      <c r="Q9" s="235"/>
      <c r="R9" s="235"/>
      <c r="S9" s="235"/>
      <c r="T9" s="235"/>
      <c r="U9" s="235"/>
      <c r="V9" s="235"/>
      <c r="W9" s="235"/>
      <c r="X9" s="235"/>
      <c r="Y9" s="235"/>
      <c r="Z9" s="236"/>
    </row>
    <row r="10" spans="1:26" ht="18" customHeight="1" x14ac:dyDescent="0.15">
      <c r="B10" s="234"/>
      <c r="C10" s="235"/>
      <c r="D10" s="235"/>
      <c r="E10" s="235"/>
      <c r="F10" s="235"/>
      <c r="G10" s="235"/>
      <c r="H10" s="235"/>
      <c r="I10" s="235"/>
      <c r="J10" s="235"/>
      <c r="K10" s="235"/>
      <c r="L10" s="235"/>
      <c r="M10" s="235"/>
      <c r="N10" s="235"/>
      <c r="O10" s="235"/>
      <c r="P10" s="235"/>
      <c r="Q10" s="235"/>
      <c r="R10" s="235"/>
      <c r="S10" s="235"/>
      <c r="T10" s="235"/>
      <c r="U10" s="235"/>
      <c r="V10" s="235"/>
      <c r="W10" s="235"/>
      <c r="X10" s="235"/>
      <c r="Y10" s="235"/>
      <c r="Z10" s="236"/>
    </row>
    <row r="11" spans="1:26" ht="18" customHeight="1" x14ac:dyDescent="0.15">
      <c r="B11" s="237"/>
      <c r="C11" s="238"/>
      <c r="D11" s="238"/>
      <c r="E11" s="238"/>
      <c r="F11" s="238"/>
      <c r="G11" s="238"/>
      <c r="H11" s="238"/>
      <c r="I11" s="238"/>
      <c r="J11" s="238"/>
      <c r="K11" s="238"/>
      <c r="L11" s="238"/>
      <c r="M11" s="238"/>
      <c r="N11" s="238"/>
      <c r="O11" s="238"/>
      <c r="P11" s="238"/>
      <c r="Q11" s="238"/>
      <c r="R11" s="238"/>
      <c r="S11" s="238"/>
      <c r="T11" s="238"/>
      <c r="U11" s="238"/>
      <c r="V11" s="238"/>
      <c r="W11" s="238"/>
      <c r="X11" s="238"/>
      <c r="Y11" s="238"/>
      <c r="Z11" s="239"/>
    </row>
    <row r="12" spans="1:26" ht="7.5" customHeight="1" x14ac:dyDescent="0.15">
      <c r="B12" s="22"/>
      <c r="C12" s="22"/>
      <c r="D12" s="22"/>
      <c r="E12" s="22"/>
      <c r="F12" s="22"/>
      <c r="G12" s="22"/>
      <c r="H12" s="22"/>
      <c r="I12" s="22"/>
      <c r="J12" s="22"/>
      <c r="K12" s="22"/>
      <c r="L12" s="22"/>
      <c r="M12" s="22"/>
      <c r="N12" s="22"/>
      <c r="O12" s="22"/>
      <c r="P12" s="22"/>
      <c r="Q12" s="22"/>
      <c r="R12" s="22"/>
      <c r="S12" s="22"/>
      <c r="T12" s="22"/>
      <c r="U12" s="22"/>
      <c r="V12" s="22"/>
      <c r="W12" s="22"/>
      <c r="X12" s="22"/>
      <c r="Y12" s="22"/>
      <c r="Z12" s="22"/>
    </row>
    <row r="13" spans="1:26" ht="18" customHeight="1" x14ac:dyDescent="0.15">
      <c r="A13" s="216" t="s">
        <v>76</v>
      </c>
      <c r="B13" s="216"/>
      <c r="C13" s="216"/>
      <c r="D13" s="216"/>
      <c r="E13" s="216"/>
      <c r="F13" s="216"/>
      <c r="G13" s="216"/>
      <c r="H13" s="216"/>
      <c r="I13" s="216"/>
      <c r="J13" s="216"/>
      <c r="K13" s="216"/>
      <c r="L13" s="216"/>
      <c r="M13" s="216"/>
      <c r="N13" s="216"/>
      <c r="O13" s="216"/>
      <c r="P13" s="216"/>
      <c r="Q13" s="216"/>
      <c r="R13" s="216"/>
      <c r="S13" s="216"/>
      <c r="T13" s="216"/>
      <c r="U13" s="216"/>
      <c r="V13" s="216"/>
      <c r="W13" s="216"/>
      <c r="X13" s="216"/>
      <c r="Y13" s="216"/>
      <c r="Z13" s="216"/>
    </row>
    <row r="14" spans="1:26" ht="18" customHeight="1" x14ac:dyDescent="0.15">
      <c r="A14" s="216"/>
      <c r="B14" s="216"/>
      <c r="C14" s="216"/>
      <c r="D14" s="216"/>
      <c r="E14" s="216"/>
      <c r="F14" s="216"/>
      <c r="G14" s="216"/>
      <c r="H14" s="216"/>
      <c r="I14" s="216"/>
      <c r="J14" s="216"/>
      <c r="K14" s="216"/>
      <c r="L14" s="216"/>
      <c r="M14" s="216"/>
      <c r="N14" s="216"/>
      <c r="O14" s="216"/>
      <c r="P14" s="216"/>
      <c r="Q14" s="216"/>
      <c r="R14" s="216"/>
      <c r="S14" s="216"/>
      <c r="T14" s="216"/>
      <c r="U14" s="216"/>
      <c r="V14" s="216"/>
      <c r="W14" s="216"/>
      <c r="X14" s="216"/>
      <c r="Y14" s="216"/>
      <c r="Z14" s="216"/>
    </row>
    <row r="15" spans="1:26" ht="18" customHeight="1" x14ac:dyDescent="0.15">
      <c r="A15" s="11"/>
      <c r="B15" s="139" t="s">
        <v>77</v>
      </c>
      <c r="C15" s="141"/>
      <c r="D15" s="141"/>
      <c r="E15" s="141"/>
      <c r="F15" s="140"/>
      <c r="G15" s="23" t="s">
        <v>78</v>
      </c>
      <c r="H15" s="90" t="s">
        <v>79</v>
      </c>
      <c r="I15" s="141" t="s">
        <v>80</v>
      </c>
      <c r="J15" s="141"/>
      <c r="K15" s="141"/>
      <c r="L15" s="91" t="s">
        <v>81</v>
      </c>
      <c r="M15" s="91" t="s">
        <v>82</v>
      </c>
      <c r="N15" s="139" t="s">
        <v>77</v>
      </c>
      <c r="O15" s="141"/>
      <c r="P15" s="141"/>
      <c r="Q15" s="141"/>
      <c r="R15" s="141"/>
      <c r="S15" s="140"/>
      <c r="T15" s="23" t="s">
        <v>78</v>
      </c>
      <c r="U15" s="90" t="s">
        <v>79</v>
      </c>
      <c r="V15" s="141" t="s">
        <v>80</v>
      </c>
      <c r="W15" s="141"/>
      <c r="X15" s="141"/>
      <c r="Y15" s="91" t="s">
        <v>81</v>
      </c>
      <c r="Z15" s="91" t="s">
        <v>82</v>
      </c>
    </row>
    <row r="16" spans="1:26" ht="18" customHeight="1" x14ac:dyDescent="0.15">
      <c r="A16" s="11"/>
      <c r="B16" s="220" t="s">
        <v>136</v>
      </c>
      <c r="C16" s="221"/>
      <c r="D16" s="221"/>
      <c r="E16" s="221"/>
      <c r="F16" s="222"/>
      <c r="G16" s="92">
        <v>3</v>
      </c>
      <c r="H16" s="92" t="s">
        <v>84</v>
      </c>
      <c r="I16" s="210" t="s">
        <v>85</v>
      </c>
      <c r="J16" s="211"/>
      <c r="K16" s="212"/>
      <c r="L16" s="92" t="s">
        <v>84</v>
      </c>
      <c r="M16" s="92" t="s">
        <v>84</v>
      </c>
      <c r="N16" s="195"/>
      <c r="O16" s="196"/>
      <c r="P16" s="196"/>
      <c r="Q16" s="196"/>
      <c r="R16" s="196"/>
      <c r="S16" s="197"/>
      <c r="T16" s="92"/>
      <c r="U16" s="92"/>
      <c r="V16" s="210"/>
      <c r="W16" s="211"/>
      <c r="X16" s="212"/>
      <c r="Y16" s="92"/>
      <c r="Z16" s="92"/>
    </row>
    <row r="17" spans="1:26" ht="18" customHeight="1" x14ac:dyDescent="0.15">
      <c r="A17" s="11"/>
      <c r="B17" s="217" t="s">
        <v>137</v>
      </c>
      <c r="C17" s="218"/>
      <c r="D17" s="218"/>
      <c r="E17" s="218"/>
      <c r="F17" s="219"/>
      <c r="G17" s="93">
        <v>2</v>
      </c>
      <c r="H17" s="93" t="s">
        <v>84</v>
      </c>
      <c r="I17" s="207" t="s">
        <v>85</v>
      </c>
      <c r="J17" s="208"/>
      <c r="K17" s="209"/>
      <c r="L17" s="93" t="s">
        <v>84</v>
      </c>
      <c r="M17" s="93" t="s">
        <v>84</v>
      </c>
      <c r="N17" s="189"/>
      <c r="O17" s="190"/>
      <c r="P17" s="190"/>
      <c r="Q17" s="190"/>
      <c r="R17" s="190"/>
      <c r="S17" s="191"/>
      <c r="T17" s="93"/>
      <c r="U17" s="93"/>
      <c r="V17" s="207"/>
      <c r="W17" s="208"/>
      <c r="X17" s="209"/>
      <c r="Y17" s="93"/>
      <c r="Z17" s="93"/>
    </row>
    <row r="18" spans="1:26" ht="18" customHeight="1" x14ac:dyDescent="0.15">
      <c r="A18" s="11"/>
      <c r="B18" s="217"/>
      <c r="C18" s="218"/>
      <c r="D18" s="218"/>
      <c r="E18" s="218"/>
      <c r="F18" s="219"/>
      <c r="G18" s="93"/>
      <c r="H18" s="93"/>
      <c r="I18" s="207"/>
      <c r="J18" s="208"/>
      <c r="K18" s="209"/>
      <c r="L18" s="93"/>
      <c r="M18" s="93"/>
      <c r="N18" s="189"/>
      <c r="O18" s="190"/>
      <c r="P18" s="190"/>
      <c r="Q18" s="190"/>
      <c r="R18" s="190"/>
      <c r="S18" s="191"/>
      <c r="T18" s="93"/>
      <c r="U18" s="93"/>
      <c r="V18" s="207"/>
      <c r="W18" s="208"/>
      <c r="X18" s="209"/>
      <c r="Y18" s="93"/>
      <c r="Z18" s="93"/>
    </row>
    <row r="19" spans="1:26" ht="18" customHeight="1" x14ac:dyDescent="0.15">
      <c r="A19" s="11"/>
      <c r="B19" s="217"/>
      <c r="C19" s="218"/>
      <c r="D19" s="218"/>
      <c r="E19" s="218"/>
      <c r="F19" s="219"/>
      <c r="G19" s="93"/>
      <c r="H19" s="93"/>
      <c r="I19" s="207"/>
      <c r="J19" s="208"/>
      <c r="K19" s="209"/>
      <c r="L19" s="93"/>
      <c r="M19" s="93"/>
      <c r="N19" s="189"/>
      <c r="O19" s="190"/>
      <c r="P19" s="190"/>
      <c r="Q19" s="190"/>
      <c r="R19" s="190"/>
      <c r="S19" s="191"/>
      <c r="T19" s="93"/>
      <c r="U19" s="93"/>
      <c r="V19" s="207"/>
      <c r="W19" s="208"/>
      <c r="X19" s="209"/>
      <c r="Y19" s="93"/>
      <c r="Z19" s="93"/>
    </row>
    <row r="20" spans="1:26" ht="18" customHeight="1" x14ac:dyDescent="0.15">
      <c r="A20" s="11"/>
      <c r="B20" s="217"/>
      <c r="C20" s="218"/>
      <c r="D20" s="218"/>
      <c r="E20" s="218"/>
      <c r="F20" s="219"/>
      <c r="G20" s="93"/>
      <c r="H20" s="93"/>
      <c r="I20" s="207"/>
      <c r="J20" s="208"/>
      <c r="K20" s="209"/>
      <c r="L20" s="93"/>
      <c r="M20" s="93"/>
      <c r="N20" s="189"/>
      <c r="O20" s="190"/>
      <c r="P20" s="190"/>
      <c r="Q20" s="190"/>
      <c r="R20" s="190"/>
      <c r="S20" s="191"/>
      <c r="T20" s="93"/>
      <c r="U20" s="93"/>
      <c r="V20" s="207"/>
      <c r="W20" s="208"/>
      <c r="X20" s="209"/>
      <c r="Y20" s="93"/>
      <c r="Z20" s="93"/>
    </row>
    <row r="21" spans="1:26" ht="18" customHeight="1" x14ac:dyDescent="0.15">
      <c r="A21" s="22"/>
      <c r="B21" s="217"/>
      <c r="C21" s="218"/>
      <c r="D21" s="218"/>
      <c r="E21" s="218"/>
      <c r="F21" s="219"/>
      <c r="G21" s="93"/>
      <c r="H21" s="93"/>
      <c r="I21" s="207"/>
      <c r="J21" s="208"/>
      <c r="K21" s="209"/>
      <c r="L21" s="93"/>
      <c r="M21" s="93"/>
      <c r="N21" s="189"/>
      <c r="O21" s="190"/>
      <c r="P21" s="190"/>
      <c r="Q21" s="190"/>
      <c r="R21" s="190"/>
      <c r="S21" s="191"/>
      <c r="T21" s="93"/>
      <c r="U21" s="93"/>
      <c r="V21" s="207"/>
      <c r="W21" s="208"/>
      <c r="X21" s="209"/>
      <c r="Y21" s="93"/>
      <c r="Z21" s="93"/>
    </row>
    <row r="22" spans="1:26" ht="18" customHeight="1" x14ac:dyDescent="0.15">
      <c r="A22" s="22"/>
      <c r="B22" s="213"/>
      <c r="C22" s="214"/>
      <c r="D22" s="214"/>
      <c r="E22" s="214"/>
      <c r="F22" s="215"/>
      <c r="G22" s="94"/>
      <c r="H22" s="94"/>
      <c r="I22" s="201"/>
      <c r="J22" s="202"/>
      <c r="K22" s="203"/>
      <c r="L22" s="95"/>
      <c r="M22" s="95"/>
      <c r="N22" s="178"/>
      <c r="O22" s="179"/>
      <c r="P22" s="179"/>
      <c r="Q22" s="179"/>
      <c r="R22" s="179"/>
      <c r="S22" s="180"/>
      <c r="T22" s="94"/>
      <c r="U22" s="94"/>
      <c r="V22" s="201"/>
      <c r="W22" s="202"/>
      <c r="X22" s="203"/>
      <c r="Y22" s="95"/>
      <c r="Z22" s="95"/>
    </row>
    <row r="23" spans="1:26" ht="7.5" customHeight="1" x14ac:dyDescent="0.15">
      <c r="A23" s="22"/>
      <c r="B23" s="26"/>
      <c r="C23" s="26"/>
      <c r="D23" s="22"/>
      <c r="E23" s="22"/>
      <c r="F23" s="22"/>
      <c r="G23" s="22"/>
      <c r="H23" s="22"/>
      <c r="I23" s="22"/>
      <c r="J23" s="22"/>
      <c r="K23" s="22"/>
      <c r="L23" s="26"/>
      <c r="M23" s="26"/>
      <c r="N23" s="26"/>
      <c r="O23" s="26"/>
      <c r="P23" s="26"/>
      <c r="Q23" s="26"/>
      <c r="R23" s="26"/>
      <c r="S23" s="26"/>
      <c r="T23" s="26"/>
      <c r="U23" s="26"/>
      <c r="V23" s="26"/>
      <c r="W23" s="26"/>
      <c r="X23" s="26"/>
      <c r="Y23" s="26"/>
      <c r="Z23" s="22"/>
    </row>
    <row r="24" spans="1:26" ht="18" customHeight="1" x14ac:dyDescent="0.15">
      <c r="A24" s="216" t="s">
        <v>89</v>
      </c>
      <c r="B24" s="216"/>
      <c r="C24" s="216"/>
      <c r="D24" s="216"/>
      <c r="E24" s="216"/>
      <c r="F24" s="216"/>
      <c r="G24" s="216"/>
      <c r="H24" s="216"/>
      <c r="I24" s="216"/>
      <c r="J24" s="216"/>
      <c r="K24" s="216"/>
      <c r="L24" s="216"/>
      <c r="M24" s="216"/>
      <c r="N24" s="216"/>
      <c r="O24" s="216"/>
      <c r="P24" s="216"/>
      <c r="Q24" s="216"/>
      <c r="R24" s="216"/>
      <c r="S24" s="216"/>
      <c r="T24" s="216"/>
      <c r="U24" s="216"/>
      <c r="V24" s="216"/>
      <c r="W24" s="216"/>
      <c r="X24" s="216"/>
      <c r="Y24" s="216"/>
      <c r="Z24" s="216"/>
    </row>
    <row r="25" spans="1:26" ht="18" customHeight="1" x14ac:dyDescent="0.15">
      <c r="A25" s="216"/>
      <c r="B25" s="216"/>
      <c r="C25" s="216"/>
      <c r="D25" s="216"/>
      <c r="E25" s="216"/>
      <c r="F25" s="216"/>
      <c r="G25" s="216"/>
      <c r="H25" s="216"/>
      <c r="I25" s="216"/>
      <c r="J25" s="216"/>
      <c r="K25" s="216"/>
      <c r="L25" s="216"/>
      <c r="M25" s="216"/>
      <c r="N25" s="216"/>
      <c r="O25" s="216"/>
      <c r="P25" s="216"/>
      <c r="Q25" s="216"/>
      <c r="R25" s="216"/>
      <c r="S25" s="216"/>
      <c r="T25" s="216"/>
      <c r="U25" s="216"/>
      <c r="V25" s="216"/>
      <c r="W25" s="216"/>
      <c r="X25" s="216"/>
      <c r="Y25" s="216"/>
      <c r="Z25" s="216"/>
    </row>
    <row r="26" spans="1:26" ht="18" customHeight="1" x14ac:dyDescent="0.15">
      <c r="A26" s="11"/>
      <c r="B26" s="139" t="s">
        <v>77</v>
      </c>
      <c r="C26" s="141"/>
      <c r="D26" s="141"/>
      <c r="E26" s="141"/>
      <c r="F26" s="140"/>
      <c r="G26" s="23" t="s">
        <v>78</v>
      </c>
      <c r="H26" s="90" t="s">
        <v>79</v>
      </c>
      <c r="I26" s="141" t="s">
        <v>80</v>
      </c>
      <c r="J26" s="141"/>
      <c r="K26" s="141"/>
      <c r="L26" s="91" t="s">
        <v>90</v>
      </c>
      <c r="M26" s="91" t="s">
        <v>91</v>
      </c>
      <c r="N26" s="139" t="s">
        <v>77</v>
      </c>
      <c r="O26" s="141"/>
      <c r="P26" s="141"/>
      <c r="Q26" s="141"/>
      <c r="R26" s="141"/>
      <c r="S26" s="140"/>
      <c r="T26" s="23" t="s">
        <v>78</v>
      </c>
      <c r="U26" s="90" t="s">
        <v>79</v>
      </c>
      <c r="V26" s="141" t="s">
        <v>80</v>
      </c>
      <c r="W26" s="141"/>
      <c r="X26" s="141"/>
      <c r="Y26" s="91" t="s">
        <v>90</v>
      </c>
      <c r="Z26" s="91" t="s">
        <v>91</v>
      </c>
    </row>
    <row r="27" spans="1:26" ht="18" customHeight="1" x14ac:dyDescent="0.15">
      <c r="A27" s="11"/>
      <c r="B27" s="220" t="s">
        <v>136</v>
      </c>
      <c r="C27" s="221"/>
      <c r="D27" s="221"/>
      <c r="E27" s="221"/>
      <c r="F27" s="222"/>
      <c r="G27" s="92">
        <v>3</v>
      </c>
      <c r="H27" s="92" t="s">
        <v>84</v>
      </c>
      <c r="I27" s="210" t="s">
        <v>85</v>
      </c>
      <c r="J27" s="211"/>
      <c r="K27" s="212"/>
      <c r="L27" s="92" t="s">
        <v>84</v>
      </c>
      <c r="M27" s="92"/>
      <c r="N27" s="195"/>
      <c r="O27" s="196"/>
      <c r="P27" s="196"/>
      <c r="Q27" s="196"/>
      <c r="R27" s="196"/>
      <c r="S27" s="197"/>
      <c r="T27" s="92"/>
      <c r="U27" s="92"/>
      <c r="V27" s="210"/>
      <c r="W27" s="211"/>
      <c r="X27" s="212"/>
      <c r="Y27" s="92"/>
      <c r="Z27" s="92"/>
    </row>
    <row r="28" spans="1:26" ht="18" customHeight="1" x14ac:dyDescent="0.15">
      <c r="A28" s="11"/>
      <c r="B28" s="217" t="s">
        <v>138</v>
      </c>
      <c r="C28" s="218"/>
      <c r="D28" s="218"/>
      <c r="E28" s="218"/>
      <c r="F28" s="219"/>
      <c r="G28" s="93">
        <v>4</v>
      </c>
      <c r="H28" s="93" t="s">
        <v>84</v>
      </c>
      <c r="I28" s="207" t="s">
        <v>85</v>
      </c>
      <c r="J28" s="208"/>
      <c r="K28" s="209"/>
      <c r="L28" s="93" t="s">
        <v>84</v>
      </c>
      <c r="M28" s="93" t="s">
        <v>84</v>
      </c>
      <c r="N28" s="189"/>
      <c r="O28" s="190"/>
      <c r="P28" s="190"/>
      <c r="Q28" s="190"/>
      <c r="R28" s="190"/>
      <c r="S28" s="191"/>
      <c r="T28" s="93"/>
      <c r="U28" s="93"/>
      <c r="V28" s="207"/>
      <c r="W28" s="208"/>
      <c r="X28" s="209"/>
      <c r="Y28" s="93"/>
      <c r="Z28" s="93"/>
    </row>
    <row r="29" spans="1:26" ht="18" customHeight="1" x14ac:dyDescent="0.15">
      <c r="A29" s="11"/>
      <c r="B29" s="217"/>
      <c r="C29" s="218"/>
      <c r="D29" s="218"/>
      <c r="E29" s="218"/>
      <c r="F29" s="219"/>
      <c r="G29" s="93"/>
      <c r="H29" s="93"/>
      <c r="I29" s="207"/>
      <c r="J29" s="208"/>
      <c r="K29" s="209"/>
      <c r="L29" s="93"/>
      <c r="M29" s="93"/>
      <c r="N29" s="189"/>
      <c r="O29" s="190"/>
      <c r="P29" s="190"/>
      <c r="Q29" s="190"/>
      <c r="R29" s="190"/>
      <c r="S29" s="191"/>
      <c r="T29" s="93"/>
      <c r="U29" s="93"/>
      <c r="V29" s="207"/>
      <c r="W29" s="208"/>
      <c r="X29" s="209"/>
      <c r="Y29" s="93"/>
      <c r="Z29" s="93"/>
    </row>
    <row r="30" spans="1:26" ht="18" customHeight="1" x14ac:dyDescent="0.15">
      <c r="A30" s="11"/>
      <c r="B30" s="217"/>
      <c r="C30" s="218"/>
      <c r="D30" s="218"/>
      <c r="E30" s="218"/>
      <c r="F30" s="219"/>
      <c r="G30" s="93"/>
      <c r="H30" s="93"/>
      <c r="I30" s="207"/>
      <c r="J30" s="208"/>
      <c r="K30" s="209"/>
      <c r="L30" s="93"/>
      <c r="M30" s="93"/>
      <c r="N30" s="189"/>
      <c r="O30" s="190"/>
      <c r="P30" s="190"/>
      <c r="Q30" s="190"/>
      <c r="R30" s="190"/>
      <c r="S30" s="191"/>
      <c r="T30" s="93"/>
      <c r="U30" s="93"/>
      <c r="V30" s="207"/>
      <c r="W30" s="208"/>
      <c r="X30" s="209"/>
      <c r="Y30" s="93"/>
      <c r="Z30" s="93"/>
    </row>
    <row r="31" spans="1:26" ht="18" customHeight="1" x14ac:dyDescent="0.15">
      <c r="A31" s="11"/>
      <c r="B31" s="217"/>
      <c r="C31" s="218"/>
      <c r="D31" s="218"/>
      <c r="E31" s="218"/>
      <c r="F31" s="219"/>
      <c r="G31" s="93"/>
      <c r="H31" s="93"/>
      <c r="I31" s="207"/>
      <c r="J31" s="208"/>
      <c r="K31" s="209"/>
      <c r="L31" s="93"/>
      <c r="M31" s="93"/>
      <c r="N31" s="189"/>
      <c r="O31" s="190"/>
      <c r="P31" s="190"/>
      <c r="Q31" s="190"/>
      <c r="R31" s="190"/>
      <c r="S31" s="191"/>
      <c r="T31" s="93"/>
      <c r="U31" s="93"/>
      <c r="V31" s="207"/>
      <c r="W31" s="208"/>
      <c r="X31" s="209"/>
      <c r="Y31" s="93"/>
      <c r="Z31" s="93"/>
    </row>
    <row r="32" spans="1:26" ht="18" customHeight="1" x14ac:dyDescent="0.15">
      <c r="A32" s="11"/>
      <c r="B32" s="217"/>
      <c r="C32" s="218"/>
      <c r="D32" s="218"/>
      <c r="E32" s="218"/>
      <c r="F32" s="219"/>
      <c r="G32" s="93"/>
      <c r="H32" s="93"/>
      <c r="I32" s="207"/>
      <c r="J32" s="208"/>
      <c r="K32" s="209"/>
      <c r="L32" s="93"/>
      <c r="M32" s="93"/>
      <c r="N32" s="189"/>
      <c r="O32" s="190"/>
      <c r="P32" s="190"/>
      <c r="Q32" s="190"/>
      <c r="R32" s="190"/>
      <c r="S32" s="191"/>
      <c r="T32" s="93"/>
      <c r="U32" s="93"/>
      <c r="V32" s="207"/>
      <c r="W32" s="208"/>
      <c r="X32" s="209"/>
      <c r="Y32" s="93"/>
      <c r="Z32" s="93"/>
    </row>
    <row r="33" spans="1:26" ht="18" customHeight="1" x14ac:dyDescent="0.15">
      <c r="A33" s="11"/>
      <c r="B33" s="213"/>
      <c r="C33" s="214"/>
      <c r="D33" s="214"/>
      <c r="E33" s="214"/>
      <c r="F33" s="215"/>
      <c r="G33" s="94"/>
      <c r="H33" s="94"/>
      <c r="I33" s="201"/>
      <c r="J33" s="202"/>
      <c r="K33" s="203"/>
      <c r="L33" s="95"/>
      <c r="M33" s="95"/>
      <c r="N33" s="178"/>
      <c r="O33" s="179"/>
      <c r="P33" s="179"/>
      <c r="Q33" s="179"/>
      <c r="R33" s="179"/>
      <c r="S33" s="180"/>
      <c r="T33" s="94"/>
      <c r="U33" s="94"/>
      <c r="V33" s="201"/>
      <c r="W33" s="202"/>
      <c r="X33" s="203"/>
      <c r="Y33" s="95"/>
      <c r="Z33" s="95"/>
    </row>
    <row r="34" spans="1:26" ht="7.5" customHeight="1" x14ac:dyDescent="0.15">
      <c r="A34" s="22"/>
      <c r="B34" s="26"/>
      <c r="C34" s="26"/>
      <c r="D34" s="22"/>
      <c r="E34" s="22"/>
      <c r="F34" s="22"/>
      <c r="G34" s="22"/>
      <c r="H34" s="22"/>
      <c r="I34" s="22"/>
      <c r="J34" s="22"/>
      <c r="K34" s="22"/>
      <c r="L34" s="26"/>
      <c r="M34" s="26"/>
      <c r="N34" s="26"/>
      <c r="O34" s="26"/>
      <c r="P34" s="26"/>
      <c r="Q34" s="26"/>
      <c r="R34" s="26"/>
      <c r="S34" s="26"/>
      <c r="T34" s="26"/>
      <c r="U34" s="26"/>
      <c r="V34" s="26"/>
      <c r="W34" s="26"/>
      <c r="X34" s="26"/>
      <c r="Y34" s="26"/>
      <c r="Z34" s="22"/>
    </row>
    <row r="35" spans="1:26" ht="18" customHeight="1" x14ac:dyDescent="0.15">
      <c r="A35" s="216" t="s">
        <v>94</v>
      </c>
      <c r="B35" s="216"/>
      <c r="C35" s="216"/>
      <c r="D35" s="216"/>
      <c r="E35" s="216"/>
      <c r="F35" s="216"/>
      <c r="G35" s="216"/>
      <c r="H35" s="216"/>
      <c r="I35" s="216"/>
      <c r="J35" s="216"/>
      <c r="K35" s="216"/>
      <c r="L35" s="216"/>
      <c r="M35" s="216"/>
      <c r="N35" s="216"/>
      <c r="O35" s="216"/>
      <c r="P35" s="216"/>
      <c r="Q35" s="216"/>
      <c r="R35" s="216"/>
      <c r="S35" s="216"/>
      <c r="T35" s="216"/>
      <c r="U35" s="216"/>
      <c r="V35" s="216"/>
      <c r="W35" s="216"/>
      <c r="X35" s="216"/>
      <c r="Y35" s="216"/>
      <c r="Z35" s="216"/>
    </row>
    <row r="36" spans="1:26" ht="18" customHeight="1" x14ac:dyDescent="0.15">
      <c r="A36" s="216"/>
      <c r="B36" s="216"/>
      <c r="C36" s="216"/>
      <c r="D36" s="216"/>
      <c r="E36" s="216"/>
      <c r="F36" s="216"/>
      <c r="G36" s="216"/>
      <c r="H36" s="216"/>
      <c r="I36" s="216"/>
      <c r="J36" s="216"/>
      <c r="K36" s="216"/>
      <c r="L36" s="216"/>
      <c r="M36" s="216"/>
      <c r="N36" s="216"/>
      <c r="O36" s="216"/>
      <c r="P36" s="216"/>
      <c r="Q36" s="216"/>
      <c r="R36" s="216"/>
      <c r="S36" s="216"/>
      <c r="T36" s="216"/>
      <c r="U36" s="216"/>
      <c r="V36" s="216"/>
      <c r="W36" s="216"/>
      <c r="X36" s="216"/>
      <c r="Y36" s="216"/>
      <c r="Z36" s="216"/>
    </row>
    <row r="37" spans="1:26" ht="18" customHeight="1" x14ac:dyDescent="0.15">
      <c r="A37" s="11"/>
      <c r="B37" s="139" t="s">
        <v>77</v>
      </c>
      <c r="C37" s="141"/>
      <c r="D37" s="141"/>
      <c r="E37" s="141"/>
      <c r="F37" s="140"/>
      <c r="G37" s="23" t="s">
        <v>78</v>
      </c>
      <c r="H37" s="90" t="s">
        <v>79</v>
      </c>
      <c r="I37" s="139" t="s">
        <v>80</v>
      </c>
      <c r="J37" s="141"/>
      <c r="K37" s="140"/>
      <c r="L37" s="91" t="s">
        <v>95</v>
      </c>
      <c r="M37" s="91" t="s">
        <v>96</v>
      </c>
      <c r="N37" s="139" t="s">
        <v>77</v>
      </c>
      <c r="O37" s="141"/>
      <c r="P37" s="141"/>
      <c r="Q37" s="141"/>
      <c r="R37" s="141"/>
      <c r="S37" s="140"/>
      <c r="T37" s="23" t="s">
        <v>78</v>
      </c>
      <c r="U37" s="90" t="s">
        <v>79</v>
      </c>
      <c r="V37" s="139" t="s">
        <v>80</v>
      </c>
      <c r="W37" s="141"/>
      <c r="X37" s="140"/>
      <c r="Y37" s="91" t="s">
        <v>95</v>
      </c>
      <c r="Z37" s="91" t="s">
        <v>96</v>
      </c>
    </row>
    <row r="38" spans="1:26" ht="18" customHeight="1" x14ac:dyDescent="0.15">
      <c r="A38" s="22"/>
      <c r="B38" s="220" t="s">
        <v>136</v>
      </c>
      <c r="C38" s="221"/>
      <c r="D38" s="221"/>
      <c r="E38" s="221"/>
      <c r="F38" s="222"/>
      <c r="G38" s="92">
        <v>3</v>
      </c>
      <c r="H38" s="92" t="s">
        <v>84</v>
      </c>
      <c r="I38" s="210" t="s">
        <v>85</v>
      </c>
      <c r="J38" s="211"/>
      <c r="K38" s="212"/>
      <c r="L38" s="92" t="s">
        <v>84</v>
      </c>
      <c r="M38" s="92" t="s">
        <v>84</v>
      </c>
      <c r="N38" s="195"/>
      <c r="O38" s="196"/>
      <c r="P38" s="196"/>
      <c r="Q38" s="196"/>
      <c r="R38" s="196"/>
      <c r="S38" s="197"/>
      <c r="T38" s="92"/>
      <c r="U38" s="92"/>
      <c r="V38" s="210"/>
      <c r="W38" s="211"/>
      <c r="X38" s="212"/>
      <c r="Y38" s="92"/>
      <c r="Z38" s="92"/>
    </row>
    <row r="39" spans="1:26" ht="18" customHeight="1" x14ac:dyDescent="0.15">
      <c r="A39" s="22"/>
      <c r="B39" s="217" t="s">
        <v>139</v>
      </c>
      <c r="C39" s="218"/>
      <c r="D39" s="218"/>
      <c r="E39" s="218"/>
      <c r="F39" s="219"/>
      <c r="G39" s="93">
        <v>3</v>
      </c>
      <c r="H39" s="93" t="s">
        <v>84</v>
      </c>
      <c r="I39" s="207" t="s">
        <v>85</v>
      </c>
      <c r="J39" s="208"/>
      <c r="K39" s="209"/>
      <c r="L39" s="93" t="s">
        <v>84</v>
      </c>
      <c r="M39" s="93"/>
      <c r="N39" s="189"/>
      <c r="O39" s="190"/>
      <c r="P39" s="190"/>
      <c r="Q39" s="190"/>
      <c r="R39" s="190"/>
      <c r="S39" s="191"/>
      <c r="T39" s="93"/>
      <c r="U39" s="93"/>
      <c r="V39" s="207"/>
      <c r="W39" s="208"/>
      <c r="X39" s="209"/>
      <c r="Y39" s="93"/>
      <c r="Z39" s="93"/>
    </row>
    <row r="40" spans="1:26" ht="18" customHeight="1" x14ac:dyDescent="0.15">
      <c r="A40" s="22"/>
      <c r="B40" s="217" t="s">
        <v>140</v>
      </c>
      <c r="C40" s="218"/>
      <c r="D40" s="218"/>
      <c r="E40" s="218"/>
      <c r="F40" s="219"/>
      <c r="G40" s="93">
        <v>1</v>
      </c>
      <c r="H40" s="93" t="s">
        <v>84</v>
      </c>
      <c r="I40" s="207" t="s">
        <v>85</v>
      </c>
      <c r="J40" s="208"/>
      <c r="K40" s="209"/>
      <c r="L40" s="93" t="s">
        <v>84</v>
      </c>
      <c r="M40" s="93"/>
      <c r="N40" s="189"/>
      <c r="O40" s="190"/>
      <c r="P40" s="190"/>
      <c r="Q40" s="190"/>
      <c r="R40" s="190"/>
      <c r="S40" s="191"/>
      <c r="T40" s="93"/>
      <c r="U40" s="93"/>
      <c r="V40" s="207"/>
      <c r="W40" s="208"/>
      <c r="X40" s="209"/>
      <c r="Y40" s="93"/>
      <c r="Z40" s="93"/>
    </row>
    <row r="41" spans="1:26" ht="18" customHeight="1" x14ac:dyDescent="0.15">
      <c r="A41" s="22"/>
      <c r="B41" s="217"/>
      <c r="C41" s="218"/>
      <c r="D41" s="218"/>
      <c r="E41" s="218"/>
      <c r="F41" s="219"/>
      <c r="G41" s="93"/>
      <c r="H41" s="93"/>
      <c r="I41" s="207"/>
      <c r="J41" s="208"/>
      <c r="K41" s="209"/>
      <c r="L41" s="93"/>
      <c r="M41" s="93"/>
      <c r="N41" s="189"/>
      <c r="O41" s="190"/>
      <c r="P41" s="190"/>
      <c r="Q41" s="190"/>
      <c r="R41" s="190"/>
      <c r="S41" s="191"/>
      <c r="T41" s="93"/>
      <c r="U41" s="93"/>
      <c r="V41" s="207"/>
      <c r="W41" s="208"/>
      <c r="X41" s="209"/>
      <c r="Y41" s="93"/>
      <c r="Z41" s="93"/>
    </row>
    <row r="42" spans="1:26" ht="18" customHeight="1" x14ac:dyDescent="0.15">
      <c r="A42" s="22"/>
      <c r="B42" s="217"/>
      <c r="C42" s="218"/>
      <c r="D42" s="218"/>
      <c r="E42" s="218"/>
      <c r="F42" s="219"/>
      <c r="G42" s="93"/>
      <c r="H42" s="93"/>
      <c r="I42" s="207"/>
      <c r="J42" s="208"/>
      <c r="K42" s="209"/>
      <c r="L42" s="93"/>
      <c r="M42" s="93"/>
      <c r="N42" s="189"/>
      <c r="O42" s="190"/>
      <c r="P42" s="190"/>
      <c r="Q42" s="190"/>
      <c r="R42" s="190"/>
      <c r="S42" s="191"/>
      <c r="T42" s="93"/>
      <c r="U42" s="93"/>
      <c r="V42" s="207"/>
      <c r="W42" s="208"/>
      <c r="X42" s="209"/>
      <c r="Y42" s="93"/>
      <c r="Z42" s="93"/>
    </row>
    <row r="43" spans="1:26" ht="18" customHeight="1" x14ac:dyDescent="0.15">
      <c r="A43" s="22"/>
      <c r="B43" s="217"/>
      <c r="C43" s="218"/>
      <c r="D43" s="218"/>
      <c r="E43" s="218"/>
      <c r="F43" s="219"/>
      <c r="G43" s="93"/>
      <c r="H43" s="93"/>
      <c r="I43" s="207"/>
      <c r="J43" s="208"/>
      <c r="K43" s="209"/>
      <c r="L43" s="93"/>
      <c r="M43" s="93"/>
      <c r="N43" s="189"/>
      <c r="O43" s="190"/>
      <c r="P43" s="190"/>
      <c r="Q43" s="190"/>
      <c r="R43" s="190"/>
      <c r="S43" s="191"/>
      <c r="T43" s="93"/>
      <c r="U43" s="93"/>
      <c r="V43" s="207"/>
      <c r="W43" s="208"/>
      <c r="X43" s="209"/>
      <c r="Y43" s="93"/>
      <c r="Z43" s="93"/>
    </row>
    <row r="44" spans="1:26" ht="18" customHeight="1" x14ac:dyDescent="0.15">
      <c r="A44" s="22"/>
      <c r="B44" s="213"/>
      <c r="C44" s="214"/>
      <c r="D44" s="214"/>
      <c r="E44" s="214"/>
      <c r="F44" s="215"/>
      <c r="G44" s="94"/>
      <c r="H44" s="94"/>
      <c r="I44" s="201"/>
      <c r="J44" s="202"/>
      <c r="K44" s="203"/>
      <c r="L44" s="95"/>
      <c r="M44" s="95"/>
      <c r="N44" s="178"/>
      <c r="O44" s="179"/>
      <c r="P44" s="179"/>
      <c r="Q44" s="179"/>
      <c r="R44" s="179"/>
      <c r="S44" s="180"/>
      <c r="T44" s="94"/>
      <c r="U44" s="94"/>
      <c r="V44" s="201"/>
      <c r="W44" s="202"/>
      <c r="X44" s="203"/>
      <c r="Y44" s="95"/>
      <c r="Z44" s="95"/>
    </row>
    <row r="45" spans="1:26" ht="7.5" customHeight="1" x14ac:dyDescent="0.15">
      <c r="B45" s="61"/>
      <c r="C45" s="61"/>
      <c r="D45" s="61"/>
      <c r="E45" s="61"/>
      <c r="F45" s="61"/>
      <c r="G45" s="61"/>
      <c r="H45" s="61"/>
      <c r="I45" s="61"/>
      <c r="J45" s="61"/>
      <c r="K45" s="61"/>
      <c r="L45" s="61"/>
      <c r="M45" s="61"/>
      <c r="N45" s="61"/>
      <c r="O45" s="61"/>
      <c r="P45" s="61"/>
      <c r="Q45" s="61"/>
      <c r="R45" s="61"/>
      <c r="S45" s="61"/>
      <c r="T45" s="61"/>
      <c r="U45" s="61"/>
      <c r="V45" s="61"/>
      <c r="W45" s="61"/>
      <c r="X45" s="61"/>
      <c r="Y45" s="61"/>
    </row>
    <row r="46" spans="1:26" ht="18" customHeight="1" x14ac:dyDescent="0.15">
      <c r="A46" s="216" t="s">
        <v>98</v>
      </c>
      <c r="B46" s="216"/>
      <c r="C46" s="216"/>
      <c r="D46" s="216"/>
      <c r="E46" s="216"/>
      <c r="F46" s="216"/>
      <c r="G46" s="216"/>
      <c r="H46" s="216"/>
      <c r="I46" s="216"/>
      <c r="J46" s="216"/>
      <c r="K46" s="216"/>
      <c r="L46" s="216"/>
      <c r="M46" s="216"/>
      <c r="N46" s="216"/>
      <c r="O46" s="216"/>
      <c r="P46" s="216"/>
      <c r="Q46" s="216"/>
      <c r="R46" s="216"/>
      <c r="S46" s="216"/>
      <c r="T46" s="216"/>
      <c r="U46" s="216"/>
      <c r="V46" s="216"/>
      <c r="W46" s="216"/>
      <c r="X46" s="216"/>
      <c r="Y46" s="216"/>
      <c r="Z46" s="216"/>
    </row>
    <row r="47" spans="1:26" ht="18" customHeight="1" x14ac:dyDescent="0.15">
      <c r="A47" s="216"/>
      <c r="B47" s="216"/>
      <c r="C47" s="216"/>
      <c r="D47" s="216"/>
      <c r="E47" s="216"/>
      <c r="F47" s="216"/>
      <c r="G47" s="216"/>
      <c r="H47" s="216"/>
      <c r="I47" s="216"/>
      <c r="J47" s="216"/>
      <c r="K47" s="216"/>
      <c r="L47" s="216"/>
      <c r="M47" s="216"/>
      <c r="N47" s="216"/>
      <c r="O47" s="216"/>
      <c r="P47" s="216"/>
      <c r="Q47" s="216"/>
      <c r="R47" s="216"/>
      <c r="S47" s="216"/>
      <c r="T47" s="216"/>
      <c r="U47" s="216"/>
      <c r="V47" s="216"/>
      <c r="W47" s="216"/>
      <c r="X47" s="216"/>
      <c r="Y47" s="216"/>
      <c r="Z47" s="216"/>
    </row>
    <row r="48" spans="1:26" ht="18" customHeight="1" x14ac:dyDescent="0.15">
      <c r="A48" s="11"/>
      <c r="B48" s="139" t="s">
        <v>77</v>
      </c>
      <c r="C48" s="141"/>
      <c r="D48" s="141"/>
      <c r="E48" s="141"/>
      <c r="F48" s="140"/>
      <c r="G48" s="23" t="s">
        <v>78</v>
      </c>
      <c r="H48" s="90" t="s">
        <v>79</v>
      </c>
      <c r="I48" s="139" t="s">
        <v>80</v>
      </c>
      <c r="J48" s="141"/>
      <c r="K48" s="140"/>
      <c r="L48" s="91" t="s">
        <v>99</v>
      </c>
      <c r="M48" s="91" t="s">
        <v>100</v>
      </c>
      <c r="N48" s="139" t="s">
        <v>77</v>
      </c>
      <c r="O48" s="141"/>
      <c r="P48" s="141"/>
      <c r="Q48" s="141"/>
      <c r="R48" s="141"/>
      <c r="S48" s="140"/>
      <c r="T48" s="23" t="s">
        <v>78</v>
      </c>
      <c r="U48" s="90" t="s">
        <v>79</v>
      </c>
      <c r="V48" s="139" t="s">
        <v>80</v>
      </c>
      <c r="W48" s="141"/>
      <c r="X48" s="140"/>
      <c r="Y48" s="91" t="s">
        <v>99</v>
      </c>
      <c r="Z48" s="91" t="s">
        <v>100</v>
      </c>
    </row>
    <row r="49" spans="1:26" ht="18" customHeight="1" x14ac:dyDescent="0.15">
      <c r="A49" s="22"/>
      <c r="B49" s="220" t="s">
        <v>136</v>
      </c>
      <c r="C49" s="221"/>
      <c r="D49" s="221"/>
      <c r="E49" s="221"/>
      <c r="F49" s="222"/>
      <c r="G49" s="92">
        <v>3</v>
      </c>
      <c r="H49" s="92" t="s">
        <v>84</v>
      </c>
      <c r="I49" s="210" t="s">
        <v>85</v>
      </c>
      <c r="J49" s="211"/>
      <c r="K49" s="212"/>
      <c r="L49" s="92" t="s">
        <v>84</v>
      </c>
      <c r="M49" s="92" t="s">
        <v>84</v>
      </c>
      <c r="N49" s="195"/>
      <c r="O49" s="196"/>
      <c r="P49" s="196"/>
      <c r="Q49" s="196"/>
      <c r="R49" s="196"/>
      <c r="S49" s="197"/>
      <c r="T49" s="92"/>
      <c r="U49" s="92"/>
      <c r="V49" s="210"/>
      <c r="W49" s="211"/>
      <c r="X49" s="212"/>
      <c r="Y49" s="92"/>
      <c r="Z49" s="92"/>
    </row>
    <row r="50" spans="1:26" ht="18" customHeight="1" x14ac:dyDescent="0.15">
      <c r="A50" s="22"/>
      <c r="B50" s="217"/>
      <c r="C50" s="218"/>
      <c r="D50" s="218"/>
      <c r="E50" s="218"/>
      <c r="F50" s="219"/>
      <c r="G50" s="93"/>
      <c r="H50" s="93"/>
      <c r="I50" s="207"/>
      <c r="J50" s="208"/>
      <c r="K50" s="209"/>
      <c r="L50" s="93"/>
      <c r="M50" s="93"/>
      <c r="N50" s="189"/>
      <c r="O50" s="190"/>
      <c r="P50" s="190"/>
      <c r="Q50" s="190"/>
      <c r="R50" s="190"/>
      <c r="S50" s="191"/>
      <c r="T50" s="93"/>
      <c r="U50" s="93"/>
      <c r="V50" s="207"/>
      <c r="W50" s="208"/>
      <c r="X50" s="209"/>
      <c r="Y50" s="93"/>
      <c r="Z50" s="93"/>
    </row>
    <row r="51" spans="1:26" ht="18" customHeight="1" x14ac:dyDescent="0.15">
      <c r="A51" s="22"/>
      <c r="B51" s="217"/>
      <c r="C51" s="218"/>
      <c r="D51" s="218"/>
      <c r="E51" s="218"/>
      <c r="F51" s="219"/>
      <c r="G51" s="93"/>
      <c r="H51" s="93"/>
      <c r="I51" s="207"/>
      <c r="J51" s="208"/>
      <c r="K51" s="209"/>
      <c r="L51" s="93"/>
      <c r="M51" s="93"/>
      <c r="N51" s="189"/>
      <c r="O51" s="190"/>
      <c r="P51" s="190"/>
      <c r="Q51" s="190"/>
      <c r="R51" s="190"/>
      <c r="S51" s="191"/>
      <c r="T51" s="93"/>
      <c r="U51" s="93"/>
      <c r="V51" s="207"/>
      <c r="W51" s="208"/>
      <c r="X51" s="209"/>
      <c r="Y51" s="93"/>
      <c r="Z51" s="93"/>
    </row>
    <row r="52" spans="1:26" ht="18" customHeight="1" x14ac:dyDescent="0.15">
      <c r="A52" s="22"/>
      <c r="B52" s="217"/>
      <c r="C52" s="218"/>
      <c r="D52" s="218"/>
      <c r="E52" s="218"/>
      <c r="F52" s="219"/>
      <c r="G52" s="93"/>
      <c r="H52" s="93"/>
      <c r="I52" s="207"/>
      <c r="J52" s="208"/>
      <c r="K52" s="209"/>
      <c r="L52" s="93"/>
      <c r="M52" s="93"/>
      <c r="N52" s="189"/>
      <c r="O52" s="190"/>
      <c r="P52" s="190"/>
      <c r="Q52" s="190"/>
      <c r="R52" s="190"/>
      <c r="S52" s="191"/>
      <c r="T52" s="93"/>
      <c r="U52" s="93"/>
      <c r="V52" s="207"/>
      <c r="W52" s="208"/>
      <c r="X52" s="209"/>
      <c r="Y52" s="93"/>
      <c r="Z52" s="93"/>
    </row>
    <row r="53" spans="1:26" ht="18" customHeight="1" x14ac:dyDescent="0.15">
      <c r="A53" s="22"/>
      <c r="B53" s="217"/>
      <c r="C53" s="218"/>
      <c r="D53" s="218"/>
      <c r="E53" s="218"/>
      <c r="F53" s="219"/>
      <c r="G53" s="93"/>
      <c r="H53" s="93"/>
      <c r="I53" s="207"/>
      <c r="J53" s="208"/>
      <c r="K53" s="209"/>
      <c r="L53" s="93"/>
      <c r="M53" s="93"/>
      <c r="N53" s="189"/>
      <c r="O53" s="190"/>
      <c r="P53" s="190"/>
      <c r="Q53" s="190"/>
      <c r="R53" s="190"/>
      <c r="S53" s="191"/>
      <c r="T53" s="93"/>
      <c r="U53" s="93"/>
      <c r="V53" s="207"/>
      <c r="W53" s="208"/>
      <c r="X53" s="209"/>
      <c r="Y53" s="93"/>
      <c r="Z53" s="93"/>
    </row>
    <row r="54" spans="1:26" ht="18" customHeight="1" x14ac:dyDescent="0.15">
      <c r="A54" s="22"/>
      <c r="B54" s="217"/>
      <c r="C54" s="218"/>
      <c r="D54" s="218"/>
      <c r="E54" s="218"/>
      <c r="F54" s="219"/>
      <c r="G54" s="93"/>
      <c r="H54" s="93"/>
      <c r="I54" s="207"/>
      <c r="J54" s="208"/>
      <c r="K54" s="209"/>
      <c r="L54" s="93"/>
      <c r="M54" s="93"/>
      <c r="N54" s="189"/>
      <c r="O54" s="190"/>
      <c r="P54" s="190"/>
      <c r="Q54" s="190"/>
      <c r="R54" s="190"/>
      <c r="S54" s="191"/>
      <c r="T54" s="93"/>
      <c r="U54" s="93"/>
      <c r="V54" s="207"/>
      <c r="W54" s="208"/>
      <c r="X54" s="209"/>
      <c r="Y54" s="93"/>
      <c r="Z54" s="93"/>
    </row>
    <row r="55" spans="1:26" ht="18" customHeight="1" x14ac:dyDescent="0.15">
      <c r="A55" s="22"/>
      <c r="B55" s="213"/>
      <c r="C55" s="214"/>
      <c r="D55" s="214"/>
      <c r="E55" s="214"/>
      <c r="F55" s="215"/>
      <c r="G55" s="94"/>
      <c r="H55" s="94"/>
      <c r="I55" s="201"/>
      <c r="J55" s="202"/>
      <c r="K55" s="203"/>
      <c r="L55" s="95"/>
      <c r="M55" s="95"/>
      <c r="N55" s="178"/>
      <c r="O55" s="179"/>
      <c r="P55" s="179"/>
      <c r="Q55" s="179"/>
      <c r="R55" s="179"/>
      <c r="S55" s="180"/>
      <c r="T55" s="94"/>
      <c r="U55" s="94"/>
      <c r="V55" s="201"/>
      <c r="W55" s="202"/>
      <c r="X55" s="203"/>
      <c r="Y55" s="95"/>
      <c r="Z55" s="95"/>
    </row>
    <row r="56" spans="1:26" ht="7.5" customHeight="1" x14ac:dyDescent="0.15">
      <c r="B56" s="61"/>
      <c r="C56" s="61"/>
      <c r="D56" s="61"/>
      <c r="E56" s="61"/>
      <c r="F56" s="61"/>
      <c r="G56" s="61"/>
      <c r="H56" s="61"/>
      <c r="I56" s="61"/>
      <c r="J56" s="61"/>
      <c r="K56" s="61"/>
      <c r="L56" s="61"/>
      <c r="M56" s="61"/>
      <c r="N56" s="61"/>
      <c r="O56" s="61"/>
      <c r="P56" s="61"/>
      <c r="Q56" s="61"/>
      <c r="R56" s="61"/>
      <c r="S56" s="61"/>
      <c r="T56" s="61"/>
      <c r="U56" s="61"/>
      <c r="V56" s="61"/>
      <c r="W56" s="61"/>
      <c r="X56" s="61"/>
      <c r="Y56" s="61"/>
    </row>
    <row r="57" spans="1:26" ht="18" customHeight="1" x14ac:dyDescent="0.15">
      <c r="A57" s="216" t="s">
        <v>102</v>
      </c>
      <c r="B57" s="216"/>
      <c r="C57" s="216"/>
      <c r="D57" s="216"/>
      <c r="E57" s="216"/>
      <c r="F57" s="216"/>
      <c r="G57" s="216"/>
      <c r="H57" s="216"/>
      <c r="I57" s="216"/>
      <c r="J57" s="216"/>
      <c r="K57" s="216"/>
      <c r="L57" s="216"/>
      <c r="M57" s="216"/>
      <c r="N57" s="216"/>
      <c r="O57" s="216"/>
      <c r="P57" s="216"/>
      <c r="Q57" s="216"/>
      <c r="R57" s="216"/>
      <c r="S57" s="216"/>
      <c r="T57" s="216"/>
      <c r="U57" s="216"/>
      <c r="V57" s="216"/>
      <c r="W57" s="216"/>
      <c r="X57" s="216"/>
      <c r="Y57" s="216"/>
      <c r="Z57" s="216"/>
    </row>
    <row r="58" spans="1:26" ht="18" customHeight="1" x14ac:dyDescent="0.15">
      <c r="A58" s="216"/>
      <c r="B58" s="216"/>
      <c r="C58" s="216"/>
      <c r="D58" s="216"/>
      <c r="E58" s="216"/>
      <c r="F58" s="216"/>
      <c r="G58" s="216"/>
      <c r="H58" s="216"/>
      <c r="I58" s="216"/>
      <c r="J58" s="216"/>
      <c r="K58" s="216"/>
      <c r="L58" s="216"/>
      <c r="M58" s="216"/>
      <c r="N58" s="216"/>
      <c r="O58" s="216"/>
      <c r="P58" s="216"/>
      <c r="Q58" s="216"/>
      <c r="R58" s="216"/>
      <c r="S58" s="216"/>
      <c r="T58" s="216"/>
      <c r="U58" s="216"/>
      <c r="V58" s="216"/>
      <c r="W58" s="216"/>
      <c r="X58" s="216"/>
      <c r="Y58" s="216"/>
      <c r="Z58" s="216"/>
    </row>
    <row r="59" spans="1:26" ht="18" customHeight="1" x14ac:dyDescent="0.15">
      <c r="A59" s="11"/>
      <c r="B59" s="139" t="s">
        <v>77</v>
      </c>
      <c r="C59" s="141"/>
      <c r="D59" s="141"/>
      <c r="E59" s="140"/>
      <c r="F59" s="23" t="s">
        <v>78</v>
      </c>
      <c r="G59" s="90" t="s">
        <v>79</v>
      </c>
      <c r="H59" s="19" t="s">
        <v>80</v>
      </c>
      <c r="I59" s="96"/>
      <c r="J59" s="20"/>
      <c r="K59" s="91" t="s">
        <v>103</v>
      </c>
      <c r="L59" s="91" t="s">
        <v>104</v>
      </c>
      <c r="M59" s="91" t="s">
        <v>105</v>
      </c>
      <c r="N59" s="139" t="s">
        <v>77</v>
      </c>
      <c r="O59" s="141"/>
      <c r="P59" s="141"/>
      <c r="Q59" s="141"/>
      <c r="R59" s="140"/>
      <c r="S59" s="23" t="s">
        <v>78</v>
      </c>
      <c r="T59" s="90" t="s">
        <v>79</v>
      </c>
      <c r="U59" s="19" t="s">
        <v>80</v>
      </c>
      <c r="V59" s="96"/>
      <c r="W59" s="20"/>
      <c r="X59" s="91" t="s">
        <v>103</v>
      </c>
      <c r="Y59" s="91" t="s">
        <v>104</v>
      </c>
      <c r="Z59" s="91" t="s">
        <v>105</v>
      </c>
    </row>
    <row r="60" spans="1:26" ht="18" customHeight="1" x14ac:dyDescent="0.15">
      <c r="A60" s="22"/>
      <c r="B60" s="195" t="s">
        <v>141</v>
      </c>
      <c r="C60" s="196"/>
      <c r="D60" s="196"/>
      <c r="E60" s="197"/>
      <c r="F60" s="92">
        <v>3</v>
      </c>
      <c r="G60" s="92" t="s">
        <v>84</v>
      </c>
      <c r="H60" s="210" t="s">
        <v>85</v>
      </c>
      <c r="I60" s="211"/>
      <c r="J60" s="212"/>
      <c r="K60" s="109" t="s">
        <v>84</v>
      </c>
      <c r="L60" s="92" t="s">
        <v>84</v>
      </c>
      <c r="M60" s="92" t="s">
        <v>84</v>
      </c>
      <c r="N60" s="195"/>
      <c r="O60" s="196"/>
      <c r="P60" s="196"/>
      <c r="Q60" s="196"/>
      <c r="R60" s="197"/>
      <c r="S60" s="92"/>
      <c r="T60" s="92"/>
      <c r="U60" s="210"/>
      <c r="V60" s="211"/>
      <c r="W60" s="212"/>
      <c r="X60" s="97"/>
      <c r="Y60" s="92"/>
      <c r="Z60" s="92"/>
    </row>
    <row r="61" spans="1:26" ht="18" customHeight="1" x14ac:dyDescent="0.15">
      <c r="A61" s="22"/>
      <c r="B61" s="189" t="s">
        <v>138</v>
      </c>
      <c r="C61" s="190"/>
      <c r="D61" s="190"/>
      <c r="E61" s="191"/>
      <c r="F61" s="93">
        <v>4</v>
      </c>
      <c r="G61" s="93" t="s">
        <v>84</v>
      </c>
      <c r="H61" s="207" t="s">
        <v>85</v>
      </c>
      <c r="I61" s="208"/>
      <c r="J61" s="209"/>
      <c r="K61" s="93" t="s">
        <v>84</v>
      </c>
      <c r="L61" s="93" t="s">
        <v>84</v>
      </c>
      <c r="M61" s="93" t="s">
        <v>84</v>
      </c>
      <c r="N61" s="189"/>
      <c r="O61" s="190"/>
      <c r="P61" s="190"/>
      <c r="Q61" s="190"/>
      <c r="R61" s="191"/>
      <c r="S61" s="93"/>
      <c r="T61" s="93"/>
      <c r="U61" s="207"/>
      <c r="V61" s="208"/>
      <c r="W61" s="209"/>
      <c r="X61" s="98"/>
      <c r="Y61" s="93"/>
      <c r="Z61" s="93"/>
    </row>
    <row r="62" spans="1:26" ht="18" customHeight="1" x14ac:dyDescent="0.15">
      <c r="A62" s="22"/>
      <c r="B62" s="189" t="s">
        <v>142</v>
      </c>
      <c r="C62" s="190"/>
      <c r="D62" s="190"/>
      <c r="E62" s="191"/>
      <c r="F62" s="93">
        <v>1</v>
      </c>
      <c r="G62" s="93" t="s">
        <v>84</v>
      </c>
      <c r="H62" s="207" t="s">
        <v>85</v>
      </c>
      <c r="I62" s="208"/>
      <c r="J62" s="209"/>
      <c r="K62" s="108" t="s">
        <v>84</v>
      </c>
      <c r="L62" s="93"/>
      <c r="M62" s="93"/>
      <c r="N62" s="189"/>
      <c r="O62" s="190"/>
      <c r="P62" s="190"/>
      <c r="Q62" s="190"/>
      <c r="R62" s="191"/>
      <c r="S62" s="93"/>
      <c r="T62" s="93"/>
      <c r="U62" s="207"/>
      <c r="V62" s="208"/>
      <c r="W62" s="209"/>
      <c r="X62" s="98"/>
      <c r="Y62" s="93"/>
      <c r="Z62" s="93"/>
    </row>
    <row r="63" spans="1:26" ht="18" customHeight="1" x14ac:dyDescent="0.15">
      <c r="A63" s="22"/>
      <c r="B63" s="189" t="s">
        <v>143</v>
      </c>
      <c r="C63" s="190"/>
      <c r="D63" s="190"/>
      <c r="E63" s="191"/>
      <c r="F63" s="93">
        <v>2</v>
      </c>
      <c r="G63" s="93" t="s">
        <v>84</v>
      </c>
      <c r="H63" s="207" t="s">
        <v>85</v>
      </c>
      <c r="I63" s="208"/>
      <c r="J63" s="209"/>
      <c r="K63" s="98"/>
      <c r="L63" s="93"/>
      <c r="M63" s="93" t="s">
        <v>84</v>
      </c>
      <c r="N63" s="189"/>
      <c r="O63" s="190"/>
      <c r="P63" s="190"/>
      <c r="Q63" s="190"/>
      <c r="R63" s="191"/>
      <c r="S63" s="93"/>
      <c r="T63" s="93"/>
      <c r="U63" s="207"/>
      <c r="V63" s="208"/>
      <c r="W63" s="209"/>
      <c r="X63" s="98"/>
      <c r="Y63" s="93"/>
      <c r="Z63" s="93"/>
    </row>
    <row r="64" spans="1:26" ht="18" customHeight="1" x14ac:dyDescent="0.15">
      <c r="A64" s="22"/>
      <c r="B64" s="189"/>
      <c r="C64" s="190"/>
      <c r="D64" s="190"/>
      <c r="E64" s="191"/>
      <c r="F64" s="93"/>
      <c r="G64" s="93"/>
      <c r="H64" s="207"/>
      <c r="I64" s="208"/>
      <c r="J64" s="209"/>
      <c r="K64" s="98"/>
      <c r="L64" s="93"/>
      <c r="M64" s="93"/>
      <c r="N64" s="189"/>
      <c r="O64" s="190"/>
      <c r="P64" s="190"/>
      <c r="Q64" s="190"/>
      <c r="R64" s="191"/>
      <c r="S64" s="93"/>
      <c r="T64" s="93"/>
      <c r="U64" s="207"/>
      <c r="V64" s="208"/>
      <c r="W64" s="209"/>
      <c r="X64" s="98"/>
      <c r="Y64" s="93"/>
      <c r="Z64" s="93"/>
    </row>
    <row r="65" spans="1:26" ht="18" customHeight="1" x14ac:dyDescent="0.15">
      <c r="A65" s="22"/>
      <c r="B65" s="189"/>
      <c r="C65" s="190"/>
      <c r="D65" s="190"/>
      <c r="E65" s="191"/>
      <c r="F65" s="93"/>
      <c r="G65" s="93"/>
      <c r="H65" s="207"/>
      <c r="I65" s="208"/>
      <c r="J65" s="209"/>
      <c r="K65" s="98"/>
      <c r="L65" s="93"/>
      <c r="M65" s="93"/>
      <c r="N65" s="189"/>
      <c r="O65" s="190"/>
      <c r="P65" s="190"/>
      <c r="Q65" s="190"/>
      <c r="R65" s="191"/>
      <c r="S65" s="93"/>
      <c r="T65" s="93"/>
      <c r="U65" s="207"/>
      <c r="V65" s="208"/>
      <c r="W65" s="209"/>
      <c r="X65" s="98"/>
      <c r="Y65" s="93"/>
      <c r="Z65" s="93"/>
    </row>
    <row r="66" spans="1:26" ht="18" customHeight="1" x14ac:dyDescent="0.15">
      <c r="A66" s="22"/>
      <c r="B66" s="178"/>
      <c r="C66" s="179"/>
      <c r="D66" s="179"/>
      <c r="E66" s="180"/>
      <c r="F66" s="94"/>
      <c r="G66" s="94"/>
      <c r="H66" s="201"/>
      <c r="I66" s="202"/>
      <c r="J66" s="203"/>
      <c r="K66" s="99"/>
      <c r="L66" s="95"/>
      <c r="M66" s="95"/>
      <c r="N66" s="178"/>
      <c r="O66" s="179"/>
      <c r="P66" s="179"/>
      <c r="Q66" s="179"/>
      <c r="R66" s="180"/>
      <c r="S66" s="94"/>
      <c r="T66" s="94"/>
      <c r="U66" s="201"/>
      <c r="V66" s="202"/>
      <c r="W66" s="203"/>
      <c r="X66" s="99"/>
      <c r="Y66" s="95"/>
      <c r="Z66" s="95"/>
    </row>
    <row r="67" spans="1:26" ht="7.5" customHeight="1" x14ac:dyDescent="0.15">
      <c r="B67" s="61"/>
      <c r="C67" s="61"/>
      <c r="D67" s="61"/>
      <c r="E67" s="61"/>
      <c r="F67" s="61"/>
      <c r="G67" s="61"/>
      <c r="H67" s="61"/>
      <c r="I67" s="61"/>
      <c r="J67" s="61"/>
      <c r="K67" s="61"/>
      <c r="L67" s="61"/>
      <c r="M67" s="61"/>
      <c r="N67" s="61"/>
      <c r="O67" s="61"/>
      <c r="P67" s="61"/>
      <c r="Q67" s="61"/>
      <c r="R67" s="61"/>
      <c r="S67" s="61"/>
      <c r="T67" s="61"/>
      <c r="U67" s="61"/>
      <c r="V67" s="61"/>
      <c r="W67" s="61"/>
      <c r="X67" s="61"/>
      <c r="Y67" s="61"/>
    </row>
    <row r="68" spans="1:26" ht="18" customHeight="1" x14ac:dyDescent="0.15">
      <c r="A68" s="11" t="s">
        <v>106</v>
      </c>
      <c r="B68" s="11"/>
      <c r="C68" s="11"/>
      <c r="D68" s="11"/>
      <c r="E68" s="11"/>
      <c r="F68" s="11"/>
      <c r="G68" s="11"/>
      <c r="H68" s="11"/>
      <c r="I68" s="11"/>
      <c r="J68" s="11"/>
      <c r="K68" s="11"/>
      <c r="L68" s="22"/>
      <c r="M68" s="22"/>
      <c r="N68" s="22"/>
      <c r="O68" s="22"/>
      <c r="P68" s="22"/>
      <c r="Q68" s="22"/>
      <c r="R68" s="22"/>
      <c r="S68" s="22"/>
      <c r="T68" s="22"/>
      <c r="U68" s="22"/>
      <c r="V68" s="22"/>
      <c r="W68" s="22"/>
      <c r="X68" s="22"/>
      <c r="Y68" s="22"/>
      <c r="Z68" s="22"/>
    </row>
    <row r="69" spans="1:26" ht="18" customHeight="1" x14ac:dyDescent="0.15">
      <c r="A69" s="11"/>
      <c r="B69" s="139" t="s">
        <v>77</v>
      </c>
      <c r="C69" s="141"/>
      <c r="D69" s="141"/>
      <c r="E69" s="141"/>
      <c r="F69" s="140"/>
      <c r="G69" s="139" t="s">
        <v>107</v>
      </c>
      <c r="H69" s="141"/>
      <c r="I69" s="141"/>
      <c r="J69" s="141"/>
      <c r="K69" s="141"/>
      <c r="L69" s="141"/>
      <c r="M69" s="140"/>
      <c r="N69" s="204" t="s">
        <v>77</v>
      </c>
      <c r="O69" s="205"/>
      <c r="P69" s="205"/>
      <c r="Q69" s="205"/>
      <c r="R69" s="205"/>
      <c r="S69" s="206"/>
      <c r="T69" s="139" t="s">
        <v>107</v>
      </c>
      <c r="U69" s="141"/>
      <c r="V69" s="141"/>
      <c r="W69" s="141"/>
      <c r="X69" s="141"/>
      <c r="Y69" s="141"/>
      <c r="Z69" s="140"/>
    </row>
    <row r="70" spans="1:26" ht="18" customHeight="1" x14ac:dyDescent="0.15">
      <c r="A70" s="22"/>
      <c r="B70" s="195" t="s">
        <v>144</v>
      </c>
      <c r="C70" s="196"/>
      <c r="D70" s="196"/>
      <c r="E70" s="196"/>
      <c r="F70" s="197"/>
      <c r="G70" s="198" t="s">
        <v>145</v>
      </c>
      <c r="H70" s="199"/>
      <c r="I70" s="199"/>
      <c r="J70" s="199"/>
      <c r="K70" s="199"/>
      <c r="L70" s="199"/>
      <c r="M70" s="200"/>
      <c r="N70" s="195"/>
      <c r="O70" s="196"/>
      <c r="P70" s="196"/>
      <c r="Q70" s="196"/>
      <c r="R70" s="196"/>
      <c r="S70" s="197"/>
      <c r="T70" s="198"/>
      <c r="U70" s="199"/>
      <c r="V70" s="199"/>
      <c r="W70" s="199"/>
      <c r="X70" s="199"/>
      <c r="Y70" s="199"/>
      <c r="Z70" s="200"/>
    </row>
    <row r="71" spans="1:26" ht="18" customHeight="1" x14ac:dyDescent="0.15">
      <c r="A71" s="22"/>
      <c r="B71" s="189" t="s">
        <v>146</v>
      </c>
      <c r="C71" s="190"/>
      <c r="D71" s="190"/>
      <c r="E71" s="190"/>
      <c r="F71" s="191"/>
      <c r="G71" s="192" t="s">
        <v>145</v>
      </c>
      <c r="H71" s="193"/>
      <c r="I71" s="193"/>
      <c r="J71" s="193"/>
      <c r="K71" s="193"/>
      <c r="L71" s="193"/>
      <c r="M71" s="194"/>
      <c r="N71" s="189"/>
      <c r="O71" s="190"/>
      <c r="P71" s="190"/>
      <c r="Q71" s="190"/>
      <c r="R71" s="190"/>
      <c r="S71" s="191"/>
      <c r="T71" s="192"/>
      <c r="U71" s="193"/>
      <c r="V71" s="193"/>
      <c r="W71" s="193"/>
      <c r="X71" s="193"/>
      <c r="Y71" s="193"/>
      <c r="Z71" s="194"/>
    </row>
    <row r="72" spans="1:26" ht="18" customHeight="1" x14ac:dyDescent="0.15">
      <c r="A72" s="22"/>
      <c r="B72" s="189" t="s">
        <v>147</v>
      </c>
      <c r="C72" s="190"/>
      <c r="D72" s="190"/>
      <c r="E72" s="190"/>
      <c r="F72" s="191"/>
      <c r="G72" s="192" t="s">
        <v>148</v>
      </c>
      <c r="H72" s="193"/>
      <c r="I72" s="193"/>
      <c r="J72" s="193"/>
      <c r="K72" s="193"/>
      <c r="L72" s="193"/>
      <c r="M72" s="194"/>
      <c r="N72" s="189"/>
      <c r="O72" s="190"/>
      <c r="P72" s="190"/>
      <c r="Q72" s="190"/>
      <c r="R72" s="190"/>
      <c r="S72" s="191"/>
      <c r="T72" s="192"/>
      <c r="U72" s="193"/>
      <c r="V72" s="193"/>
      <c r="W72" s="193"/>
      <c r="X72" s="193"/>
      <c r="Y72" s="193"/>
      <c r="Z72" s="194"/>
    </row>
    <row r="73" spans="1:26" ht="18" customHeight="1" x14ac:dyDescent="0.15">
      <c r="A73" s="22"/>
      <c r="B73" s="189" t="s">
        <v>149</v>
      </c>
      <c r="C73" s="190"/>
      <c r="D73" s="190"/>
      <c r="E73" s="190"/>
      <c r="F73" s="191"/>
      <c r="G73" s="192" t="s">
        <v>150</v>
      </c>
      <c r="H73" s="193"/>
      <c r="I73" s="193"/>
      <c r="J73" s="193"/>
      <c r="K73" s="193"/>
      <c r="L73" s="193"/>
      <c r="M73" s="194"/>
      <c r="N73" s="189"/>
      <c r="O73" s="190"/>
      <c r="P73" s="190"/>
      <c r="Q73" s="190"/>
      <c r="R73" s="190"/>
      <c r="S73" s="191"/>
      <c r="T73" s="192"/>
      <c r="U73" s="193"/>
      <c r="V73" s="193"/>
      <c r="W73" s="193"/>
      <c r="X73" s="193"/>
      <c r="Y73" s="193"/>
      <c r="Z73" s="194"/>
    </row>
    <row r="74" spans="1:26" ht="18" customHeight="1" x14ac:dyDescent="0.15">
      <c r="A74" s="22"/>
      <c r="B74" s="189" t="s">
        <v>151</v>
      </c>
      <c r="C74" s="190"/>
      <c r="D74" s="190"/>
      <c r="E74" s="190"/>
      <c r="F74" s="191"/>
      <c r="G74" s="192" t="s">
        <v>152</v>
      </c>
      <c r="H74" s="193"/>
      <c r="I74" s="193"/>
      <c r="J74" s="193"/>
      <c r="K74" s="193"/>
      <c r="L74" s="193"/>
      <c r="M74" s="194"/>
      <c r="N74" s="189"/>
      <c r="O74" s="190"/>
      <c r="P74" s="190"/>
      <c r="Q74" s="190"/>
      <c r="R74" s="190"/>
      <c r="S74" s="191"/>
      <c r="T74" s="192"/>
      <c r="U74" s="193"/>
      <c r="V74" s="193"/>
      <c r="W74" s="193"/>
      <c r="X74" s="193"/>
      <c r="Y74" s="193"/>
      <c r="Z74" s="194"/>
    </row>
    <row r="75" spans="1:26" ht="18" customHeight="1" x14ac:dyDescent="0.15">
      <c r="A75" s="22"/>
      <c r="B75" s="189" t="s">
        <v>153</v>
      </c>
      <c r="C75" s="190"/>
      <c r="D75" s="190"/>
      <c r="E75" s="190"/>
      <c r="F75" s="191"/>
      <c r="G75" s="192" t="s">
        <v>154</v>
      </c>
      <c r="H75" s="193"/>
      <c r="I75" s="193"/>
      <c r="J75" s="193"/>
      <c r="K75" s="193"/>
      <c r="L75" s="193"/>
      <c r="M75" s="194"/>
      <c r="N75" s="189"/>
      <c r="O75" s="190"/>
      <c r="P75" s="190"/>
      <c r="Q75" s="190"/>
      <c r="R75" s="190"/>
      <c r="S75" s="191"/>
      <c r="T75" s="192"/>
      <c r="U75" s="193"/>
      <c r="V75" s="193"/>
      <c r="W75" s="193"/>
      <c r="X75" s="193"/>
      <c r="Y75" s="193"/>
      <c r="Z75" s="194"/>
    </row>
    <row r="76" spans="1:26" ht="18" customHeight="1" x14ac:dyDescent="0.15">
      <c r="A76" s="22"/>
      <c r="B76" s="178"/>
      <c r="C76" s="179"/>
      <c r="D76" s="179"/>
      <c r="E76" s="179"/>
      <c r="F76" s="180"/>
      <c r="G76" s="181"/>
      <c r="H76" s="182"/>
      <c r="I76" s="182"/>
      <c r="J76" s="182"/>
      <c r="K76" s="182"/>
      <c r="L76" s="182"/>
      <c r="M76" s="183"/>
      <c r="N76" s="178"/>
      <c r="O76" s="179"/>
      <c r="P76" s="179"/>
      <c r="Q76" s="179"/>
      <c r="R76" s="179"/>
      <c r="S76" s="180"/>
      <c r="T76" s="181"/>
      <c r="U76" s="182"/>
      <c r="V76" s="182"/>
      <c r="W76" s="182"/>
      <c r="X76" s="182"/>
      <c r="Y76" s="182"/>
      <c r="Z76" s="183"/>
    </row>
    <row r="77" spans="1:26" ht="18" customHeight="1" x14ac:dyDescent="0.15">
      <c r="A77" s="22"/>
      <c r="B77" s="26"/>
      <c r="C77" s="26"/>
      <c r="D77" s="26"/>
      <c r="E77" s="26"/>
      <c r="F77" s="26"/>
      <c r="G77" s="9"/>
      <c r="H77" s="9"/>
      <c r="I77" s="9"/>
      <c r="J77" s="9"/>
      <c r="K77" s="9"/>
      <c r="L77" s="9"/>
      <c r="M77" s="9"/>
      <c r="N77" s="26"/>
      <c r="O77" s="26"/>
      <c r="P77" s="26"/>
      <c r="Q77" s="26"/>
      <c r="R77" s="26"/>
      <c r="S77" s="26"/>
      <c r="T77" s="9"/>
      <c r="U77" s="9"/>
      <c r="V77" s="9"/>
      <c r="W77" s="9"/>
      <c r="X77" s="9"/>
      <c r="Y77" s="9"/>
      <c r="Z77" s="9"/>
    </row>
    <row r="78" spans="1:26" ht="18.75" customHeight="1" x14ac:dyDescent="0.15">
      <c r="A78" s="10" t="s">
        <v>110</v>
      </c>
    </row>
    <row r="79" spans="1:26" ht="18.75" customHeight="1" x14ac:dyDescent="0.15">
      <c r="B79" s="100" t="s">
        <v>111</v>
      </c>
      <c r="C79" s="101"/>
      <c r="D79" s="184" t="s">
        <v>112</v>
      </c>
      <c r="E79" s="184"/>
      <c r="F79" s="184"/>
      <c r="G79" s="184"/>
      <c r="H79" s="184"/>
      <c r="I79" s="184"/>
      <c r="J79" s="184"/>
      <c r="K79" s="184"/>
      <c r="L79" s="184"/>
      <c r="M79" s="184"/>
      <c r="N79" s="184"/>
      <c r="O79" s="184"/>
      <c r="P79" s="184"/>
      <c r="Q79" s="184"/>
      <c r="R79" s="184"/>
      <c r="S79" s="184"/>
      <c r="T79" s="184"/>
      <c r="U79" s="184"/>
      <c r="V79" s="184"/>
      <c r="W79" s="184"/>
      <c r="X79" s="184"/>
      <c r="Y79" s="184"/>
      <c r="Z79" s="185"/>
    </row>
    <row r="80" spans="1:26" ht="78" customHeight="1" x14ac:dyDescent="0.15">
      <c r="B80" s="158" t="s">
        <v>113</v>
      </c>
      <c r="C80" s="102" t="s">
        <v>81</v>
      </c>
      <c r="D80" s="241" t="s">
        <v>155</v>
      </c>
      <c r="E80" s="242"/>
      <c r="F80" s="242"/>
      <c r="G80" s="242"/>
      <c r="H80" s="242"/>
      <c r="I80" s="242"/>
      <c r="J80" s="242"/>
      <c r="K80" s="242"/>
      <c r="L80" s="242"/>
      <c r="M80" s="242"/>
      <c r="N80" s="242"/>
      <c r="O80" s="242"/>
      <c r="P80" s="242"/>
      <c r="Q80" s="242"/>
      <c r="R80" s="242"/>
      <c r="S80" s="242"/>
      <c r="T80" s="242"/>
      <c r="U80" s="242"/>
      <c r="V80" s="242"/>
      <c r="W80" s="242"/>
      <c r="X80" s="242"/>
      <c r="Y80" s="242"/>
      <c r="Z80" s="243"/>
    </row>
    <row r="81" spans="1:26" ht="78" customHeight="1" x14ac:dyDescent="0.15">
      <c r="B81" s="166"/>
      <c r="C81" s="103" t="s">
        <v>115</v>
      </c>
      <c r="D81" s="256" t="s">
        <v>156</v>
      </c>
      <c r="E81" s="257"/>
      <c r="F81" s="257"/>
      <c r="G81" s="257"/>
      <c r="H81" s="257"/>
      <c r="I81" s="257"/>
      <c r="J81" s="257"/>
      <c r="K81" s="257"/>
      <c r="L81" s="257"/>
      <c r="M81" s="257"/>
      <c r="N81" s="257"/>
      <c r="O81" s="257"/>
      <c r="P81" s="257"/>
      <c r="Q81" s="257"/>
      <c r="R81" s="257"/>
      <c r="S81" s="257"/>
      <c r="T81" s="257"/>
      <c r="U81" s="257"/>
      <c r="V81" s="257"/>
      <c r="W81" s="257"/>
      <c r="X81" s="257"/>
      <c r="Y81" s="257"/>
      <c r="Z81" s="258"/>
    </row>
    <row r="82" spans="1:26" ht="78" customHeight="1" x14ac:dyDescent="0.15">
      <c r="B82" s="171" t="s">
        <v>117</v>
      </c>
      <c r="C82" s="104" t="s">
        <v>90</v>
      </c>
      <c r="D82" s="241" t="s">
        <v>157</v>
      </c>
      <c r="E82" s="242"/>
      <c r="F82" s="242"/>
      <c r="G82" s="242"/>
      <c r="H82" s="242"/>
      <c r="I82" s="242"/>
      <c r="J82" s="242"/>
      <c r="K82" s="242"/>
      <c r="L82" s="242"/>
      <c r="M82" s="242"/>
      <c r="N82" s="242"/>
      <c r="O82" s="242"/>
      <c r="P82" s="242"/>
      <c r="Q82" s="242"/>
      <c r="R82" s="242"/>
      <c r="S82" s="242"/>
      <c r="T82" s="242"/>
      <c r="U82" s="242"/>
      <c r="V82" s="242"/>
      <c r="W82" s="242"/>
      <c r="X82" s="242"/>
      <c r="Y82" s="242"/>
      <c r="Z82" s="243"/>
    </row>
    <row r="83" spans="1:26" ht="78" customHeight="1" x14ac:dyDescent="0.15">
      <c r="B83" s="167"/>
      <c r="C83" s="105" t="s">
        <v>91</v>
      </c>
      <c r="D83" s="256" t="s">
        <v>158</v>
      </c>
      <c r="E83" s="257"/>
      <c r="F83" s="257"/>
      <c r="G83" s="257"/>
      <c r="H83" s="257"/>
      <c r="I83" s="257"/>
      <c r="J83" s="257"/>
      <c r="K83" s="257"/>
      <c r="L83" s="257"/>
      <c r="M83" s="257"/>
      <c r="N83" s="257"/>
      <c r="O83" s="257"/>
      <c r="P83" s="257"/>
      <c r="Q83" s="257"/>
      <c r="R83" s="257"/>
      <c r="S83" s="257"/>
      <c r="T83" s="257"/>
      <c r="U83" s="257"/>
      <c r="V83" s="257"/>
      <c r="W83" s="257"/>
      <c r="X83" s="257"/>
      <c r="Y83" s="257"/>
      <c r="Z83" s="258"/>
    </row>
    <row r="84" spans="1:26" ht="66" customHeight="1" x14ac:dyDescent="0.15">
      <c r="B84" s="171" t="s">
        <v>120</v>
      </c>
      <c r="C84" s="104" t="s">
        <v>95</v>
      </c>
      <c r="D84" s="241" t="s">
        <v>159</v>
      </c>
      <c r="E84" s="242"/>
      <c r="F84" s="242"/>
      <c r="G84" s="242"/>
      <c r="H84" s="242"/>
      <c r="I84" s="242"/>
      <c r="J84" s="242"/>
      <c r="K84" s="242"/>
      <c r="L84" s="242"/>
      <c r="M84" s="242"/>
      <c r="N84" s="242"/>
      <c r="O84" s="242"/>
      <c r="P84" s="242"/>
      <c r="Q84" s="242"/>
      <c r="R84" s="242"/>
      <c r="S84" s="242"/>
      <c r="T84" s="242"/>
      <c r="U84" s="242"/>
      <c r="V84" s="242"/>
      <c r="W84" s="242"/>
      <c r="X84" s="242"/>
      <c r="Y84" s="242"/>
      <c r="Z84" s="243"/>
    </row>
    <row r="85" spans="1:26" ht="66" customHeight="1" x14ac:dyDescent="0.15">
      <c r="B85" s="167"/>
      <c r="C85" s="106" t="s">
        <v>96</v>
      </c>
      <c r="D85" s="256" t="s">
        <v>160</v>
      </c>
      <c r="E85" s="257"/>
      <c r="F85" s="257"/>
      <c r="G85" s="257"/>
      <c r="H85" s="257"/>
      <c r="I85" s="257"/>
      <c r="J85" s="257"/>
      <c r="K85" s="257"/>
      <c r="L85" s="257"/>
      <c r="M85" s="257"/>
      <c r="N85" s="257"/>
      <c r="O85" s="257"/>
      <c r="P85" s="257"/>
      <c r="Q85" s="257"/>
      <c r="R85" s="257"/>
      <c r="S85" s="257"/>
      <c r="T85" s="257"/>
      <c r="U85" s="257"/>
      <c r="V85" s="257"/>
      <c r="W85" s="257"/>
      <c r="X85" s="257"/>
      <c r="Y85" s="257"/>
      <c r="Z85" s="258"/>
    </row>
    <row r="86" spans="1:26" ht="66" customHeight="1" x14ac:dyDescent="0.15">
      <c r="B86" s="158" t="s">
        <v>123</v>
      </c>
      <c r="C86" s="102" t="s">
        <v>99</v>
      </c>
      <c r="D86" s="241" t="s">
        <v>161</v>
      </c>
      <c r="E86" s="242"/>
      <c r="F86" s="242"/>
      <c r="G86" s="242"/>
      <c r="H86" s="242"/>
      <c r="I86" s="242"/>
      <c r="J86" s="242"/>
      <c r="K86" s="242"/>
      <c r="L86" s="242"/>
      <c r="M86" s="242"/>
      <c r="N86" s="242"/>
      <c r="O86" s="242"/>
      <c r="P86" s="242"/>
      <c r="Q86" s="242"/>
      <c r="R86" s="242"/>
      <c r="S86" s="242"/>
      <c r="T86" s="242"/>
      <c r="U86" s="242"/>
      <c r="V86" s="242"/>
      <c r="W86" s="242"/>
      <c r="X86" s="242"/>
      <c r="Y86" s="242"/>
      <c r="Z86" s="243"/>
    </row>
    <row r="87" spans="1:26" ht="66" customHeight="1" x14ac:dyDescent="0.15">
      <c r="B87" s="159"/>
      <c r="C87" s="107" t="s">
        <v>100</v>
      </c>
      <c r="D87" s="244" t="s">
        <v>161</v>
      </c>
      <c r="E87" s="245"/>
      <c r="F87" s="245"/>
      <c r="G87" s="245"/>
      <c r="H87" s="245"/>
      <c r="I87" s="245"/>
      <c r="J87" s="245"/>
      <c r="K87" s="245"/>
      <c r="L87" s="245"/>
      <c r="M87" s="245"/>
      <c r="N87" s="245"/>
      <c r="O87" s="245"/>
      <c r="P87" s="245"/>
      <c r="Q87" s="245"/>
      <c r="R87" s="245"/>
      <c r="S87" s="245"/>
      <c r="T87" s="245"/>
      <c r="U87" s="245"/>
      <c r="V87" s="245"/>
      <c r="W87" s="245"/>
      <c r="X87" s="245"/>
      <c r="Y87" s="245"/>
      <c r="Z87" s="246"/>
    </row>
    <row r="88" spans="1:26" ht="66" customHeight="1" x14ac:dyDescent="0.15">
      <c r="B88" s="158" t="s">
        <v>126</v>
      </c>
      <c r="C88" s="104" t="s">
        <v>103</v>
      </c>
      <c r="D88" s="247" t="s">
        <v>162</v>
      </c>
      <c r="E88" s="248"/>
      <c r="F88" s="248"/>
      <c r="G88" s="248"/>
      <c r="H88" s="248"/>
      <c r="I88" s="248"/>
      <c r="J88" s="248"/>
      <c r="K88" s="248"/>
      <c r="L88" s="248"/>
      <c r="M88" s="248"/>
      <c r="N88" s="248"/>
      <c r="O88" s="248"/>
      <c r="P88" s="248"/>
      <c r="Q88" s="248"/>
      <c r="R88" s="248"/>
      <c r="S88" s="248"/>
      <c r="T88" s="248"/>
      <c r="U88" s="248"/>
      <c r="V88" s="248"/>
      <c r="W88" s="248"/>
      <c r="X88" s="248"/>
      <c r="Y88" s="248"/>
      <c r="Z88" s="249"/>
    </row>
    <row r="89" spans="1:26" ht="66" customHeight="1" x14ac:dyDescent="0.15">
      <c r="B89" s="166"/>
      <c r="C89" s="107" t="s">
        <v>104</v>
      </c>
      <c r="D89" s="250" t="s">
        <v>163</v>
      </c>
      <c r="E89" s="251"/>
      <c r="F89" s="251"/>
      <c r="G89" s="251"/>
      <c r="H89" s="251"/>
      <c r="I89" s="251"/>
      <c r="J89" s="251"/>
      <c r="K89" s="251"/>
      <c r="L89" s="251"/>
      <c r="M89" s="251"/>
      <c r="N89" s="251"/>
      <c r="O89" s="251"/>
      <c r="P89" s="251"/>
      <c r="Q89" s="251"/>
      <c r="R89" s="251"/>
      <c r="S89" s="251"/>
      <c r="T89" s="251"/>
      <c r="U89" s="251"/>
      <c r="V89" s="251"/>
      <c r="W89" s="251"/>
      <c r="X89" s="251"/>
      <c r="Y89" s="251"/>
      <c r="Z89" s="252"/>
    </row>
    <row r="90" spans="1:26" ht="66" customHeight="1" x14ac:dyDescent="0.15">
      <c r="B90" s="167"/>
      <c r="C90" s="106" t="s">
        <v>105</v>
      </c>
      <c r="D90" s="253" t="s">
        <v>164</v>
      </c>
      <c r="E90" s="254"/>
      <c r="F90" s="254"/>
      <c r="G90" s="254"/>
      <c r="H90" s="254"/>
      <c r="I90" s="254"/>
      <c r="J90" s="254"/>
      <c r="K90" s="254"/>
      <c r="L90" s="254"/>
      <c r="M90" s="254"/>
      <c r="N90" s="254"/>
      <c r="O90" s="254"/>
      <c r="P90" s="254"/>
      <c r="Q90" s="254"/>
      <c r="R90" s="254"/>
      <c r="S90" s="254"/>
      <c r="T90" s="254"/>
      <c r="U90" s="254"/>
      <c r="V90" s="254"/>
      <c r="W90" s="254"/>
      <c r="X90" s="254"/>
      <c r="Y90" s="254"/>
      <c r="Z90" s="255"/>
    </row>
    <row r="91" spans="1:26" ht="6" customHeight="1" x14ac:dyDescent="0.15"/>
    <row r="92" spans="1:26" ht="18.75" customHeight="1" x14ac:dyDescent="0.15">
      <c r="A92" s="10" t="s">
        <v>130</v>
      </c>
    </row>
    <row r="93" spans="1:26" ht="18.75" customHeight="1" x14ac:dyDescent="0.15">
      <c r="B93" s="240" t="s">
        <v>165</v>
      </c>
      <c r="C93" s="147"/>
      <c r="D93" s="147"/>
      <c r="E93" s="147"/>
      <c r="F93" s="147"/>
      <c r="G93" s="147"/>
      <c r="H93" s="147"/>
      <c r="I93" s="147"/>
      <c r="J93" s="147"/>
      <c r="K93" s="147"/>
      <c r="L93" s="147"/>
      <c r="M93" s="147"/>
      <c r="N93" s="147"/>
      <c r="O93" s="147"/>
      <c r="P93" s="147"/>
      <c r="Q93" s="147"/>
      <c r="R93" s="147"/>
      <c r="S93" s="147"/>
      <c r="T93" s="147"/>
      <c r="U93" s="147"/>
      <c r="V93" s="147"/>
      <c r="W93" s="147"/>
      <c r="X93" s="147"/>
      <c r="Y93" s="147"/>
      <c r="Z93" s="148"/>
    </row>
    <row r="94" spans="1:26" ht="18.75" customHeight="1" x14ac:dyDescent="0.15">
      <c r="B94" s="149"/>
      <c r="C94" s="150"/>
      <c r="D94" s="150"/>
      <c r="E94" s="150"/>
      <c r="F94" s="150"/>
      <c r="G94" s="150"/>
      <c r="H94" s="150"/>
      <c r="I94" s="150"/>
      <c r="J94" s="150"/>
      <c r="K94" s="150"/>
      <c r="L94" s="150"/>
      <c r="M94" s="150"/>
      <c r="N94" s="150"/>
      <c r="O94" s="150"/>
      <c r="P94" s="150"/>
      <c r="Q94" s="150"/>
      <c r="R94" s="150"/>
      <c r="S94" s="150"/>
      <c r="T94" s="150"/>
      <c r="U94" s="150"/>
      <c r="V94" s="150"/>
      <c r="W94" s="150"/>
      <c r="X94" s="150"/>
      <c r="Y94" s="150"/>
      <c r="Z94" s="151"/>
    </row>
    <row r="95" spans="1:26" ht="18.75" customHeight="1" x14ac:dyDescent="0.15">
      <c r="B95" s="152"/>
      <c r="C95" s="153"/>
      <c r="D95" s="153"/>
      <c r="E95" s="153"/>
      <c r="F95" s="153"/>
      <c r="G95" s="153"/>
      <c r="H95" s="153"/>
      <c r="I95" s="153"/>
      <c r="J95" s="153"/>
      <c r="K95" s="153"/>
      <c r="L95" s="153"/>
      <c r="M95" s="153"/>
      <c r="N95" s="153"/>
      <c r="O95" s="153"/>
      <c r="P95" s="153"/>
      <c r="Q95" s="153"/>
      <c r="R95" s="153"/>
      <c r="S95" s="153"/>
      <c r="T95" s="153"/>
      <c r="U95" s="153"/>
      <c r="V95" s="153"/>
      <c r="W95" s="153"/>
      <c r="X95" s="153"/>
      <c r="Y95" s="153"/>
      <c r="Z95" s="154"/>
    </row>
    <row r="96" spans="1:26" ht="6" customHeight="1" x14ac:dyDescent="0.15"/>
    <row r="97" spans="1:26" ht="15" customHeight="1" x14ac:dyDescent="0.15">
      <c r="A97" s="10" t="s">
        <v>132</v>
      </c>
    </row>
    <row r="98" spans="1:26" ht="15" customHeight="1" x14ac:dyDescent="0.15">
      <c r="B98" s="155" t="s">
        <v>133</v>
      </c>
      <c r="C98" s="156"/>
      <c r="D98" s="156"/>
      <c r="E98" s="156"/>
      <c r="F98" s="156"/>
      <c r="G98" s="156"/>
      <c r="H98" s="156"/>
      <c r="I98" s="156"/>
      <c r="J98" s="156"/>
      <c r="K98" s="156"/>
      <c r="L98" s="156"/>
      <c r="M98" s="156"/>
      <c r="N98" s="156"/>
      <c r="O98" s="156"/>
      <c r="P98" s="156"/>
      <c r="Q98" s="156"/>
      <c r="R98" s="156"/>
      <c r="S98" s="156"/>
      <c r="T98" s="156"/>
      <c r="U98" s="156"/>
      <c r="V98" s="156"/>
      <c r="W98" s="156"/>
      <c r="X98" s="156"/>
      <c r="Y98" s="156"/>
      <c r="Z98" s="157"/>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2"/>
  <dataValidations count="4">
    <dataValidation type="list" allowBlank="1" showInputMessage="1" showErrorMessage="1" sqref="Y16:Z22 L16:M22 Y27:Z33 L27:M33 H38:H44 Y38:Z44 H49:H55 Y49:Z55 Y60:Z66 G60:G66 H16:H22 U16:U22 H27:H33 U27:U33 T60:T66 U38:U44 L38:M44 U49:U55 L49:M55 L60:M66 K60:K62" xr:uid="{922403D4-EA17-3242-A51F-3A003F4D0490}">
      <formula1>"○"</formula1>
    </dataValidation>
    <dataValidation type="list" allowBlank="1" showInputMessage="1" showErrorMessage="1" sqref="Z23 Z34 D34:K34 D23:K23 V16:V22 I16:I22 V27:V33 I27:I33 V38:V44 I49:I55 V49:V55 I38:I44 U60:U66 H60:H66" xr:uid="{8D853DD7-C7DE-5641-9904-9B05EBF316BF}">
      <formula1>"全学開講,一部開講"</formula1>
    </dataValidation>
    <dataValidation type="list" allowBlank="1" showInputMessage="1" showErrorMessage="1" sqref="O4" xr:uid="{C94677DB-594E-7E49-B82E-0DD3661C266A}">
      <formula1>"学部・学科によって、修了要件は相違する,学部・学科によって、修了要件は相違しない"</formula1>
    </dataValidation>
    <dataValidation type="list" allowBlank="1" showInputMessage="1" showErrorMessage="1" sqref="G70:G77 U70:Z71 U74:Z77 T70:T77 H74:M77 H70:M71" xr:uid="{47EFEF50-D8CF-3B4B-9729-E2894DD0358B}">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Z98" r:id="rId1" display="https://www.gifu-nct.ac.jp/campuslife/datascience/" xr:uid="{201484AD-3845-0A4E-97A3-AF5786ACF8A8}"/>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C40B2-D178-EE4F-BAAC-9B77ADC64919}">
  <sheetPr>
    <pageSetUpPr fitToPage="1"/>
  </sheetPr>
  <dimension ref="A1:Z98"/>
  <sheetViews>
    <sheetView showZeros="0" view="pageBreakPreview" topLeftCell="A20" zoomScaleNormal="100" zoomScaleSheetLayoutView="100" workbookViewId="0">
      <selection activeCell="H78" sqref="H78"/>
    </sheetView>
  </sheetViews>
  <sheetFormatPr defaultColWidth="9" defaultRowHeight="18.75" customHeight="1" x14ac:dyDescent="0.15"/>
  <cols>
    <col min="1" max="1" width="2.5" style="10" customWidth="1"/>
    <col min="2" max="2" width="27.625" style="10" customWidth="1"/>
    <col min="3" max="13" width="3.375" style="10" customWidth="1"/>
    <col min="14" max="14" width="8.875" style="10" customWidth="1"/>
    <col min="15" max="15" width="18.875" style="10" customWidth="1"/>
    <col min="16" max="19" width="3.375" style="10" customWidth="1"/>
    <col min="20" max="20" width="3.5" style="10" customWidth="1"/>
    <col min="21" max="26" width="3.375" style="10" customWidth="1"/>
    <col min="27" max="16384" width="9" style="10"/>
  </cols>
  <sheetData>
    <row r="1" spans="1:26" ht="15" customHeight="1" x14ac:dyDescent="0.15">
      <c r="W1" s="229" t="s">
        <v>166</v>
      </c>
      <c r="X1" s="124"/>
      <c r="Y1" s="124"/>
      <c r="Z1" s="124"/>
    </row>
    <row r="2" spans="1:26" ht="18" customHeight="1" x14ac:dyDescent="0.15">
      <c r="A2" s="230" t="s">
        <v>71</v>
      </c>
      <c r="B2" s="230"/>
      <c r="C2" s="230"/>
      <c r="D2" s="230"/>
      <c r="E2" s="230"/>
      <c r="F2" s="230"/>
      <c r="G2" s="230"/>
      <c r="H2" s="230"/>
      <c r="I2" s="230"/>
      <c r="J2" s="230"/>
      <c r="K2" s="230"/>
      <c r="L2" s="230"/>
      <c r="M2" s="230"/>
      <c r="N2" s="230"/>
      <c r="O2" s="230"/>
      <c r="P2" s="230"/>
      <c r="Q2" s="230"/>
      <c r="R2" s="230"/>
      <c r="S2" s="230"/>
      <c r="T2" s="230"/>
      <c r="U2" s="230"/>
      <c r="V2" s="230"/>
      <c r="W2" s="230"/>
      <c r="X2" s="230"/>
      <c r="Y2" s="230"/>
      <c r="Z2" s="230"/>
    </row>
    <row r="3" spans="1:26" ht="15" customHeight="1" x14ac:dyDescent="0.15">
      <c r="B3" s="22"/>
      <c r="C3" s="22"/>
      <c r="D3" s="22"/>
      <c r="E3" s="22"/>
      <c r="F3" s="22"/>
      <c r="G3" s="22"/>
      <c r="H3" s="22"/>
      <c r="I3" s="22"/>
      <c r="J3" s="22"/>
      <c r="K3" s="22"/>
      <c r="L3" s="22"/>
      <c r="M3" s="22"/>
      <c r="N3" s="22"/>
      <c r="O3" s="22"/>
      <c r="P3" s="22"/>
      <c r="Q3" s="22"/>
      <c r="R3" s="22"/>
      <c r="S3" s="22"/>
      <c r="T3" s="22"/>
      <c r="U3" s="22"/>
      <c r="V3" s="22"/>
      <c r="W3" s="22"/>
      <c r="X3" s="22"/>
      <c r="Y3" s="22"/>
      <c r="Z3" s="22"/>
    </row>
    <row r="4" spans="1:26" ht="18" customHeight="1" x14ac:dyDescent="0.15">
      <c r="A4" s="10" t="s">
        <v>72</v>
      </c>
      <c r="B4" s="22"/>
      <c r="C4" s="22"/>
      <c r="D4" s="22"/>
      <c r="E4" s="22"/>
      <c r="F4" s="22"/>
      <c r="G4" s="22"/>
      <c r="H4" s="11" t="s">
        <v>73</v>
      </c>
      <c r="I4" s="22"/>
      <c r="J4" s="22"/>
      <c r="K4" s="22"/>
      <c r="L4" s="22"/>
      <c r="M4" s="22"/>
      <c r="N4" s="22"/>
      <c r="O4" s="139" t="s">
        <v>74</v>
      </c>
      <c r="P4" s="141"/>
      <c r="Q4" s="141"/>
      <c r="R4" s="141"/>
      <c r="S4" s="141"/>
      <c r="T4" s="141"/>
      <c r="U4" s="141"/>
      <c r="V4" s="141"/>
      <c r="W4" s="141"/>
      <c r="X4" s="141"/>
      <c r="Y4" s="141"/>
      <c r="Z4" s="140"/>
    </row>
    <row r="5" spans="1:26" ht="6" customHeight="1" x14ac:dyDescent="0.15">
      <c r="B5" s="22"/>
      <c r="C5" s="22"/>
      <c r="D5" s="22"/>
      <c r="E5" s="22"/>
      <c r="F5" s="22"/>
      <c r="G5" s="22"/>
      <c r="H5" s="22"/>
      <c r="I5" s="22"/>
      <c r="J5" s="22"/>
      <c r="K5" s="22"/>
      <c r="L5" s="22"/>
      <c r="M5" s="22"/>
      <c r="N5" s="22"/>
      <c r="O5" s="12"/>
      <c r="P5" s="22"/>
      <c r="Q5" s="22"/>
      <c r="R5" s="22"/>
      <c r="S5" s="22"/>
      <c r="T5" s="22"/>
      <c r="U5" s="22"/>
      <c r="V5" s="22"/>
      <c r="W5" s="22"/>
      <c r="X5" s="22"/>
      <c r="Y5" s="22"/>
      <c r="Z5" s="22"/>
    </row>
    <row r="6" spans="1:26" ht="18" customHeight="1" x14ac:dyDescent="0.15">
      <c r="B6" s="231" t="s">
        <v>167</v>
      </c>
      <c r="C6" s="232"/>
      <c r="D6" s="232"/>
      <c r="E6" s="232"/>
      <c r="F6" s="232"/>
      <c r="G6" s="232"/>
      <c r="H6" s="232"/>
      <c r="I6" s="232"/>
      <c r="J6" s="232"/>
      <c r="K6" s="232"/>
      <c r="L6" s="232"/>
      <c r="M6" s="232"/>
      <c r="N6" s="232"/>
      <c r="O6" s="232"/>
      <c r="P6" s="232"/>
      <c r="Q6" s="232"/>
      <c r="R6" s="232"/>
      <c r="S6" s="232"/>
      <c r="T6" s="232"/>
      <c r="U6" s="232"/>
      <c r="V6" s="232"/>
      <c r="W6" s="232"/>
      <c r="X6" s="232"/>
      <c r="Y6" s="232"/>
      <c r="Z6" s="233"/>
    </row>
    <row r="7" spans="1:26" ht="18" customHeight="1" x14ac:dyDescent="0.15">
      <c r="B7" s="234"/>
      <c r="C7" s="235"/>
      <c r="D7" s="235"/>
      <c r="E7" s="235"/>
      <c r="F7" s="235"/>
      <c r="G7" s="235"/>
      <c r="H7" s="235"/>
      <c r="I7" s="235"/>
      <c r="J7" s="235"/>
      <c r="K7" s="235"/>
      <c r="L7" s="235"/>
      <c r="M7" s="235"/>
      <c r="N7" s="235"/>
      <c r="O7" s="235"/>
      <c r="P7" s="235"/>
      <c r="Q7" s="235"/>
      <c r="R7" s="235"/>
      <c r="S7" s="235"/>
      <c r="T7" s="235"/>
      <c r="U7" s="235"/>
      <c r="V7" s="235"/>
      <c r="W7" s="235"/>
      <c r="X7" s="235"/>
      <c r="Y7" s="235"/>
      <c r="Z7" s="236"/>
    </row>
    <row r="8" spans="1:26" ht="18" customHeight="1" x14ac:dyDescent="0.15">
      <c r="B8" s="234"/>
      <c r="C8" s="235"/>
      <c r="D8" s="235"/>
      <c r="E8" s="235"/>
      <c r="F8" s="235"/>
      <c r="G8" s="235"/>
      <c r="H8" s="235"/>
      <c r="I8" s="235"/>
      <c r="J8" s="235"/>
      <c r="K8" s="235"/>
      <c r="L8" s="235"/>
      <c r="M8" s="235"/>
      <c r="N8" s="235"/>
      <c r="O8" s="235"/>
      <c r="P8" s="235"/>
      <c r="Q8" s="235"/>
      <c r="R8" s="235"/>
      <c r="S8" s="235"/>
      <c r="T8" s="235"/>
      <c r="U8" s="235"/>
      <c r="V8" s="235"/>
      <c r="W8" s="235"/>
      <c r="X8" s="235"/>
      <c r="Y8" s="235"/>
      <c r="Z8" s="236"/>
    </row>
    <row r="9" spans="1:26" ht="18" customHeight="1" x14ac:dyDescent="0.15">
      <c r="B9" s="234"/>
      <c r="C9" s="235"/>
      <c r="D9" s="235"/>
      <c r="E9" s="235"/>
      <c r="F9" s="235"/>
      <c r="G9" s="235"/>
      <c r="H9" s="235"/>
      <c r="I9" s="235"/>
      <c r="J9" s="235"/>
      <c r="K9" s="235"/>
      <c r="L9" s="235"/>
      <c r="M9" s="235"/>
      <c r="N9" s="235"/>
      <c r="O9" s="235"/>
      <c r="P9" s="235"/>
      <c r="Q9" s="235"/>
      <c r="R9" s="235"/>
      <c r="S9" s="235"/>
      <c r="T9" s="235"/>
      <c r="U9" s="235"/>
      <c r="V9" s="235"/>
      <c r="W9" s="235"/>
      <c r="X9" s="235"/>
      <c r="Y9" s="235"/>
      <c r="Z9" s="236"/>
    </row>
    <row r="10" spans="1:26" ht="18" customHeight="1" x14ac:dyDescent="0.15">
      <c r="B10" s="234"/>
      <c r="C10" s="235"/>
      <c r="D10" s="235"/>
      <c r="E10" s="235"/>
      <c r="F10" s="235"/>
      <c r="G10" s="235"/>
      <c r="H10" s="235"/>
      <c r="I10" s="235"/>
      <c r="J10" s="235"/>
      <c r="K10" s="235"/>
      <c r="L10" s="235"/>
      <c r="M10" s="235"/>
      <c r="N10" s="235"/>
      <c r="O10" s="235"/>
      <c r="P10" s="235"/>
      <c r="Q10" s="235"/>
      <c r="R10" s="235"/>
      <c r="S10" s="235"/>
      <c r="T10" s="235"/>
      <c r="U10" s="235"/>
      <c r="V10" s="235"/>
      <c r="W10" s="235"/>
      <c r="X10" s="235"/>
      <c r="Y10" s="235"/>
      <c r="Z10" s="236"/>
    </row>
    <row r="11" spans="1:26" ht="18" customHeight="1" x14ac:dyDescent="0.15">
      <c r="B11" s="237"/>
      <c r="C11" s="238"/>
      <c r="D11" s="238"/>
      <c r="E11" s="238"/>
      <c r="F11" s="238"/>
      <c r="G11" s="238"/>
      <c r="H11" s="238"/>
      <c r="I11" s="238"/>
      <c r="J11" s="238"/>
      <c r="K11" s="238"/>
      <c r="L11" s="238"/>
      <c r="M11" s="238"/>
      <c r="N11" s="238"/>
      <c r="O11" s="238"/>
      <c r="P11" s="238"/>
      <c r="Q11" s="238"/>
      <c r="R11" s="238"/>
      <c r="S11" s="238"/>
      <c r="T11" s="238"/>
      <c r="U11" s="238"/>
      <c r="V11" s="238"/>
      <c r="W11" s="238"/>
      <c r="X11" s="238"/>
      <c r="Y11" s="238"/>
      <c r="Z11" s="239"/>
    </row>
    <row r="12" spans="1:26" ht="7.5" customHeight="1" x14ac:dyDescent="0.15">
      <c r="B12" s="22"/>
      <c r="C12" s="22"/>
      <c r="D12" s="22"/>
      <c r="E12" s="22"/>
      <c r="F12" s="22"/>
      <c r="G12" s="22"/>
      <c r="H12" s="22"/>
      <c r="I12" s="22"/>
      <c r="J12" s="22"/>
      <c r="K12" s="22"/>
      <c r="L12" s="22"/>
      <c r="M12" s="22"/>
      <c r="N12" s="22"/>
      <c r="O12" s="22"/>
      <c r="P12" s="22"/>
      <c r="Q12" s="22"/>
      <c r="R12" s="22"/>
      <c r="S12" s="22"/>
      <c r="T12" s="22"/>
      <c r="U12" s="22"/>
      <c r="V12" s="22"/>
      <c r="W12" s="22"/>
      <c r="X12" s="22"/>
      <c r="Y12" s="22"/>
      <c r="Z12" s="22"/>
    </row>
    <row r="13" spans="1:26" ht="18" customHeight="1" x14ac:dyDescent="0.15">
      <c r="A13" s="216" t="s">
        <v>76</v>
      </c>
      <c r="B13" s="216"/>
      <c r="C13" s="216"/>
      <c r="D13" s="216"/>
      <c r="E13" s="216"/>
      <c r="F13" s="216"/>
      <c r="G13" s="216"/>
      <c r="H13" s="216"/>
      <c r="I13" s="216"/>
      <c r="J13" s="216"/>
      <c r="K13" s="216"/>
      <c r="L13" s="216"/>
      <c r="M13" s="216"/>
      <c r="N13" s="216"/>
      <c r="O13" s="216"/>
      <c r="P13" s="216"/>
      <c r="Q13" s="216"/>
      <c r="R13" s="216"/>
      <c r="S13" s="216"/>
      <c r="T13" s="216"/>
      <c r="U13" s="216"/>
      <c r="V13" s="216"/>
      <c r="W13" s="216"/>
      <c r="X13" s="216"/>
      <c r="Y13" s="216"/>
      <c r="Z13" s="216"/>
    </row>
    <row r="14" spans="1:26" ht="18" customHeight="1" x14ac:dyDescent="0.15">
      <c r="A14" s="216"/>
      <c r="B14" s="216"/>
      <c r="C14" s="216"/>
      <c r="D14" s="216"/>
      <c r="E14" s="216"/>
      <c r="F14" s="216"/>
      <c r="G14" s="216"/>
      <c r="H14" s="216"/>
      <c r="I14" s="216"/>
      <c r="J14" s="216"/>
      <c r="K14" s="216"/>
      <c r="L14" s="216"/>
      <c r="M14" s="216"/>
      <c r="N14" s="216"/>
      <c r="O14" s="216"/>
      <c r="P14" s="216"/>
      <c r="Q14" s="216"/>
      <c r="R14" s="216"/>
      <c r="S14" s="216"/>
      <c r="T14" s="216"/>
      <c r="U14" s="216"/>
      <c r="V14" s="216"/>
      <c r="W14" s="216"/>
      <c r="X14" s="216"/>
      <c r="Y14" s="216"/>
      <c r="Z14" s="216"/>
    </row>
    <row r="15" spans="1:26" ht="18" customHeight="1" x14ac:dyDescent="0.15">
      <c r="A15" s="11"/>
      <c r="B15" s="139" t="s">
        <v>77</v>
      </c>
      <c r="C15" s="141"/>
      <c r="D15" s="141"/>
      <c r="E15" s="141"/>
      <c r="F15" s="140"/>
      <c r="G15" s="23" t="s">
        <v>78</v>
      </c>
      <c r="H15" s="90" t="s">
        <v>79</v>
      </c>
      <c r="I15" s="141" t="s">
        <v>80</v>
      </c>
      <c r="J15" s="141"/>
      <c r="K15" s="141"/>
      <c r="L15" s="91" t="s">
        <v>81</v>
      </c>
      <c r="M15" s="91" t="s">
        <v>82</v>
      </c>
      <c r="N15" s="139" t="s">
        <v>77</v>
      </c>
      <c r="O15" s="141"/>
      <c r="P15" s="141"/>
      <c r="Q15" s="141"/>
      <c r="R15" s="141"/>
      <c r="S15" s="140"/>
      <c r="T15" s="23" t="s">
        <v>78</v>
      </c>
      <c r="U15" s="90" t="s">
        <v>79</v>
      </c>
      <c r="V15" s="141" t="s">
        <v>80</v>
      </c>
      <c r="W15" s="141"/>
      <c r="X15" s="141"/>
      <c r="Y15" s="91" t="s">
        <v>81</v>
      </c>
      <c r="Z15" s="91" t="s">
        <v>82</v>
      </c>
    </row>
    <row r="16" spans="1:26" ht="18" customHeight="1" x14ac:dyDescent="0.15">
      <c r="A16" s="11"/>
      <c r="B16" s="220" t="s">
        <v>168</v>
      </c>
      <c r="C16" s="221"/>
      <c r="D16" s="221"/>
      <c r="E16" s="221"/>
      <c r="F16" s="222"/>
      <c r="G16" s="92">
        <v>1</v>
      </c>
      <c r="H16" s="92" t="s">
        <v>84</v>
      </c>
      <c r="I16" s="210" t="s">
        <v>85</v>
      </c>
      <c r="J16" s="211"/>
      <c r="K16" s="212"/>
      <c r="L16" s="92" t="s">
        <v>84</v>
      </c>
      <c r="M16" s="92" t="s">
        <v>84</v>
      </c>
      <c r="N16" s="195"/>
      <c r="O16" s="196"/>
      <c r="P16" s="196"/>
      <c r="Q16" s="196"/>
      <c r="R16" s="196"/>
      <c r="S16" s="197"/>
      <c r="T16" s="92"/>
      <c r="U16" s="92"/>
      <c r="V16" s="210"/>
      <c r="W16" s="211"/>
      <c r="X16" s="212"/>
      <c r="Y16" s="92"/>
      <c r="Z16" s="92"/>
    </row>
    <row r="17" spans="1:26" ht="18" customHeight="1" x14ac:dyDescent="0.15">
      <c r="A17" s="11"/>
      <c r="B17" s="217"/>
      <c r="C17" s="218"/>
      <c r="D17" s="218"/>
      <c r="E17" s="218"/>
      <c r="F17" s="219"/>
      <c r="G17" s="93"/>
      <c r="H17" s="93"/>
      <c r="I17" s="207"/>
      <c r="J17" s="208"/>
      <c r="K17" s="209"/>
      <c r="L17" s="93"/>
      <c r="M17" s="93"/>
      <c r="N17" s="189"/>
      <c r="O17" s="190"/>
      <c r="P17" s="190"/>
      <c r="Q17" s="190"/>
      <c r="R17" s="190"/>
      <c r="S17" s="191"/>
      <c r="T17" s="93"/>
      <c r="U17" s="93"/>
      <c r="V17" s="207"/>
      <c r="W17" s="208"/>
      <c r="X17" s="209"/>
      <c r="Y17" s="93"/>
      <c r="Z17" s="93"/>
    </row>
    <row r="18" spans="1:26" ht="18" customHeight="1" x14ac:dyDescent="0.15">
      <c r="A18" s="11"/>
      <c r="B18" s="217"/>
      <c r="C18" s="218"/>
      <c r="D18" s="218"/>
      <c r="E18" s="218"/>
      <c r="F18" s="219"/>
      <c r="G18" s="93"/>
      <c r="H18" s="93"/>
      <c r="I18" s="207"/>
      <c r="J18" s="208"/>
      <c r="K18" s="209"/>
      <c r="L18" s="93"/>
      <c r="M18" s="93"/>
      <c r="N18" s="189"/>
      <c r="O18" s="190"/>
      <c r="P18" s="190"/>
      <c r="Q18" s="190"/>
      <c r="R18" s="190"/>
      <c r="S18" s="191"/>
      <c r="T18" s="93"/>
      <c r="U18" s="93"/>
      <c r="V18" s="207"/>
      <c r="W18" s="208"/>
      <c r="X18" s="209"/>
      <c r="Y18" s="93"/>
      <c r="Z18" s="93"/>
    </row>
    <row r="19" spans="1:26" ht="18" customHeight="1" x14ac:dyDescent="0.15">
      <c r="A19" s="11"/>
      <c r="B19" s="217"/>
      <c r="C19" s="218"/>
      <c r="D19" s="218"/>
      <c r="E19" s="218"/>
      <c r="F19" s="219"/>
      <c r="G19" s="93"/>
      <c r="H19" s="93"/>
      <c r="I19" s="207"/>
      <c r="J19" s="208"/>
      <c r="K19" s="209"/>
      <c r="L19" s="93"/>
      <c r="M19" s="93"/>
      <c r="N19" s="189"/>
      <c r="O19" s="190"/>
      <c r="P19" s="190"/>
      <c r="Q19" s="190"/>
      <c r="R19" s="190"/>
      <c r="S19" s="191"/>
      <c r="T19" s="93"/>
      <c r="U19" s="93"/>
      <c r="V19" s="207"/>
      <c r="W19" s="208"/>
      <c r="X19" s="209"/>
      <c r="Y19" s="93"/>
      <c r="Z19" s="93"/>
    </row>
    <row r="20" spans="1:26" ht="18" customHeight="1" x14ac:dyDescent="0.15">
      <c r="A20" s="11"/>
      <c r="B20" s="217"/>
      <c r="C20" s="218"/>
      <c r="D20" s="218"/>
      <c r="E20" s="218"/>
      <c r="F20" s="219"/>
      <c r="G20" s="93"/>
      <c r="H20" s="93"/>
      <c r="I20" s="207"/>
      <c r="J20" s="208"/>
      <c r="K20" s="209"/>
      <c r="L20" s="93"/>
      <c r="M20" s="93"/>
      <c r="N20" s="189"/>
      <c r="O20" s="190"/>
      <c r="P20" s="190"/>
      <c r="Q20" s="190"/>
      <c r="R20" s="190"/>
      <c r="S20" s="191"/>
      <c r="T20" s="93"/>
      <c r="U20" s="93"/>
      <c r="V20" s="207"/>
      <c r="W20" s="208"/>
      <c r="X20" s="209"/>
      <c r="Y20" s="93"/>
      <c r="Z20" s="93"/>
    </row>
    <row r="21" spans="1:26" ht="18" customHeight="1" x14ac:dyDescent="0.15">
      <c r="A21" s="22"/>
      <c r="B21" s="217"/>
      <c r="C21" s="218"/>
      <c r="D21" s="218"/>
      <c r="E21" s="218"/>
      <c r="F21" s="219"/>
      <c r="G21" s="93"/>
      <c r="H21" s="93"/>
      <c r="I21" s="207"/>
      <c r="J21" s="208"/>
      <c r="K21" s="209"/>
      <c r="L21" s="93"/>
      <c r="M21" s="93"/>
      <c r="N21" s="189"/>
      <c r="O21" s="190"/>
      <c r="P21" s="190"/>
      <c r="Q21" s="190"/>
      <c r="R21" s="190"/>
      <c r="S21" s="191"/>
      <c r="T21" s="93"/>
      <c r="U21" s="93"/>
      <c r="V21" s="207"/>
      <c r="W21" s="208"/>
      <c r="X21" s="209"/>
      <c r="Y21" s="93"/>
      <c r="Z21" s="93"/>
    </row>
    <row r="22" spans="1:26" ht="18" customHeight="1" x14ac:dyDescent="0.15">
      <c r="A22" s="22"/>
      <c r="B22" s="213"/>
      <c r="C22" s="214"/>
      <c r="D22" s="214"/>
      <c r="E22" s="214"/>
      <c r="F22" s="215"/>
      <c r="G22" s="94"/>
      <c r="H22" s="94"/>
      <c r="I22" s="201"/>
      <c r="J22" s="202"/>
      <c r="K22" s="203"/>
      <c r="L22" s="95"/>
      <c r="M22" s="95"/>
      <c r="N22" s="178"/>
      <c r="O22" s="179"/>
      <c r="P22" s="179"/>
      <c r="Q22" s="179"/>
      <c r="R22" s="179"/>
      <c r="S22" s="180"/>
      <c r="T22" s="94"/>
      <c r="U22" s="94"/>
      <c r="V22" s="201"/>
      <c r="W22" s="202"/>
      <c r="X22" s="203"/>
      <c r="Y22" s="95"/>
      <c r="Z22" s="95"/>
    </row>
    <row r="23" spans="1:26" ht="7.5" customHeight="1" x14ac:dyDescent="0.15">
      <c r="A23" s="22"/>
      <c r="B23" s="26"/>
      <c r="C23" s="26"/>
      <c r="D23" s="22"/>
      <c r="E23" s="22"/>
      <c r="F23" s="22"/>
      <c r="G23" s="22"/>
      <c r="H23" s="22"/>
      <c r="I23" s="22"/>
      <c r="J23" s="22"/>
      <c r="K23" s="22"/>
      <c r="L23" s="26"/>
      <c r="M23" s="26"/>
      <c r="N23" s="26"/>
      <c r="O23" s="26"/>
      <c r="P23" s="26"/>
      <c r="Q23" s="26"/>
      <c r="R23" s="26"/>
      <c r="S23" s="26"/>
      <c r="T23" s="26"/>
      <c r="U23" s="26"/>
      <c r="V23" s="26"/>
      <c r="W23" s="26"/>
      <c r="X23" s="26"/>
      <c r="Y23" s="26"/>
      <c r="Z23" s="22"/>
    </row>
    <row r="24" spans="1:26" ht="18" customHeight="1" x14ac:dyDescent="0.15">
      <c r="A24" s="216" t="s">
        <v>89</v>
      </c>
      <c r="B24" s="216"/>
      <c r="C24" s="216"/>
      <c r="D24" s="216"/>
      <c r="E24" s="216"/>
      <c r="F24" s="216"/>
      <c r="G24" s="216"/>
      <c r="H24" s="216"/>
      <c r="I24" s="216"/>
      <c r="J24" s="216"/>
      <c r="K24" s="216"/>
      <c r="L24" s="216"/>
      <c r="M24" s="216"/>
      <c r="N24" s="216"/>
      <c r="O24" s="216"/>
      <c r="P24" s="216"/>
      <c r="Q24" s="216"/>
      <c r="R24" s="216"/>
      <c r="S24" s="216"/>
      <c r="T24" s="216"/>
      <c r="U24" s="216"/>
      <c r="V24" s="216"/>
      <c r="W24" s="216"/>
      <c r="X24" s="216"/>
      <c r="Y24" s="216"/>
      <c r="Z24" s="216"/>
    </row>
    <row r="25" spans="1:26" ht="18" customHeight="1" x14ac:dyDescent="0.15">
      <c r="A25" s="216"/>
      <c r="B25" s="216"/>
      <c r="C25" s="216"/>
      <c r="D25" s="216"/>
      <c r="E25" s="216"/>
      <c r="F25" s="216"/>
      <c r="G25" s="216"/>
      <c r="H25" s="216"/>
      <c r="I25" s="216"/>
      <c r="J25" s="216"/>
      <c r="K25" s="216"/>
      <c r="L25" s="216"/>
      <c r="M25" s="216"/>
      <c r="N25" s="216"/>
      <c r="O25" s="216"/>
      <c r="P25" s="216"/>
      <c r="Q25" s="216"/>
      <c r="R25" s="216"/>
      <c r="S25" s="216"/>
      <c r="T25" s="216"/>
      <c r="U25" s="216"/>
      <c r="V25" s="216"/>
      <c r="W25" s="216"/>
      <c r="X25" s="216"/>
      <c r="Y25" s="216"/>
      <c r="Z25" s="216"/>
    </row>
    <row r="26" spans="1:26" ht="18" customHeight="1" x14ac:dyDescent="0.15">
      <c r="A26" s="11"/>
      <c r="B26" s="139" t="s">
        <v>77</v>
      </c>
      <c r="C26" s="141"/>
      <c r="D26" s="141"/>
      <c r="E26" s="141"/>
      <c r="F26" s="140"/>
      <c r="G26" s="23" t="s">
        <v>78</v>
      </c>
      <c r="H26" s="90" t="s">
        <v>79</v>
      </c>
      <c r="I26" s="141" t="s">
        <v>80</v>
      </c>
      <c r="J26" s="141"/>
      <c r="K26" s="141"/>
      <c r="L26" s="91" t="s">
        <v>90</v>
      </c>
      <c r="M26" s="91" t="s">
        <v>91</v>
      </c>
      <c r="N26" s="139" t="s">
        <v>77</v>
      </c>
      <c r="O26" s="141"/>
      <c r="P26" s="141"/>
      <c r="Q26" s="141"/>
      <c r="R26" s="141"/>
      <c r="S26" s="140"/>
      <c r="T26" s="23" t="s">
        <v>78</v>
      </c>
      <c r="U26" s="90" t="s">
        <v>79</v>
      </c>
      <c r="V26" s="141" t="s">
        <v>80</v>
      </c>
      <c r="W26" s="141"/>
      <c r="X26" s="141"/>
      <c r="Y26" s="91" t="s">
        <v>90</v>
      </c>
      <c r="Z26" s="91" t="s">
        <v>91</v>
      </c>
    </row>
    <row r="27" spans="1:26" ht="18" customHeight="1" x14ac:dyDescent="0.15">
      <c r="A27" s="11"/>
      <c r="B27" s="220" t="s">
        <v>168</v>
      </c>
      <c r="C27" s="221"/>
      <c r="D27" s="221"/>
      <c r="E27" s="221"/>
      <c r="F27" s="222"/>
      <c r="G27" s="92">
        <v>1</v>
      </c>
      <c r="H27" s="92" t="s">
        <v>84</v>
      </c>
      <c r="I27" s="210" t="s">
        <v>85</v>
      </c>
      <c r="J27" s="211"/>
      <c r="K27" s="212"/>
      <c r="L27" s="92" t="s">
        <v>84</v>
      </c>
      <c r="M27" s="92" t="s">
        <v>84</v>
      </c>
      <c r="N27" s="195"/>
      <c r="O27" s="196"/>
      <c r="P27" s="196"/>
      <c r="Q27" s="196"/>
      <c r="R27" s="196"/>
      <c r="S27" s="197"/>
      <c r="T27" s="92"/>
      <c r="U27" s="92"/>
      <c r="V27" s="210"/>
      <c r="W27" s="211"/>
      <c r="X27" s="212"/>
      <c r="Y27" s="92"/>
      <c r="Z27" s="92"/>
    </row>
    <row r="28" spans="1:26" ht="18" customHeight="1" x14ac:dyDescent="0.15">
      <c r="A28" s="11"/>
      <c r="B28" s="217"/>
      <c r="C28" s="218"/>
      <c r="D28" s="218"/>
      <c r="E28" s="218"/>
      <c r="F28" s="219"/>
      <c r="G28" s="93"/>
      <c r="H28" s="93"/>
      <c r="I28" s="207"/>
      <c r="J28" s="208"/>
      <c r="K28" s="209"/>
      <c r="L28" s="93"/>
      <c r="M28" s="93"/>
      <c r="N28" s="189"/>
      <c r="O28" s="190"/>
      <c r="P28" s="190"/>
      <c r="Q28" s="190"/>
      <c r="R28" s="190"/>
      <c r="S28" s="191"/>
      <c r="T28" s="93"/>
      <c r="U28" s="93"/>
      <c r="V28" s="207"/>
      <c r="W28" s="208"/>
      <c r="X28" s="209"/>
      <c r="Y28" s="93"/>
      <c r="Z28" s="93"/>
    </row>
    <row r="29" spans="1:26" ht="18" customHeight="1" x14ac:dyDescent="0.15">
      <c r="A29" s="11"/>
      <c r="B29" s="217"/>
      <c r="C29" s="218"/>
      <c r="D29" s="218"/>
      <c r="E29" s="218"/>
      <c r="F29" s="219"/>
      <c r="G29" s="93"/>
      <c r="H29" s="93"/>
      <c r="I29" s="207"/>
      <c r="J29" s="208"/>
      <c r="K29" s="209"/>
      <c r="L29" s="93"/>
      <c r="M29" s="93"/>
      <c r="N29" s="189"/>
      <c r="O29" s="190"/>
      <c r="P29" s="190"/>
      <c r="Q29" s="190"/>
      <c r="R29" s="190"/>
      <c r="S29" s="191"/>
      <c r="T29" s="93"/>
      <c r="U29" s="93"/>
      <c r="V29" s="207"/>
      <c r="W29" s="208"/>
      <c r="X29" s="209"/>
      <c r="Y29" s="93"/>
      <c r="Z29" s="93"/>
    </row>
    <row r="30" spans="1:26" ht="18" customHeight="1" x14ac:dyDescent="0.15">
      <c r="A30" s="11"/>
      <c r="B30" s="217"/>
      <c r="C30" s="218"/>
      <c r="D30" s="218"/>
      <c r="E30" s="218"/>
      <c r="F30" s="219"/>
      <c r="G30" s="93"/>
      <c r="H30" s="93"/>
      <c r="I30" s="207"/>
      <c r="J30" s="208"/>
      <c r="K30" s="209"/>
      <c r="L30" s="93"/>
      <c r="M30" s="93"/>
      <c r="N30" s="189"/>
      <c r="O30" s="190"/>
      <c r="P30" s="190"/>
      <c r="Q30" s="190"/>
      <c r="R30" s="190"/>
      <c r="S30" s="191"/>
      <c r="T30" s="93"/>
      <c r="U30" s="93"/>
      <c r="V30" s="207"/>
      <c r="W30" s="208"/>
      <c r="X30" s="209"/>
      <c r="Y30" s="93"/>
      <c r="Z30" s="93"/>
    </row>
    <row r="31" spans="1:26" ht="18" customHeight="1" x14ac:dyDescent="0.15">
      <c r="A31" s="11"/>
      <c r="B31" s="217"/>
      <c r="C31" s="218"/>
      <c r="D31" s="218"/>
      <c r="E31" s="218"/>
      <c r="F31" s="219"/>
      <c r="G31" s="93"/>
      <c r="H31" s="93"/>
      <c r="I31" s="207"/>
      <c r="J31" s="208"/>
      <c r="K31" s="209"/>
      <c r="L31" s="93"/>
      <c r="M31" s="93"/>
      <c r="N31" s="189"/>
      <c r="O31" s="190"/>
      <c r="P31" s="190"/>
      <c r="Q31" s="190"/>
      <c r="R31" s="190"/>
      <c r="S31" s="191"/>
      <c r="T31" s="93"/>
      <c r="U31" s="93"/>
      <c r="V31" s="207"/>
      <c r="W31" s="208"/>
      <c r="X31" s="209"/>
      <c r="Y31" s="93"/>
      <c r="Z31" s="93"/>
    </row>
    <row r="32" spans="1:26" ht="18" customHeight="1" x14ac:dyDescent="0.15">
      <c r="A32" s="11"/>
      <c r="B32" s="217"/>
      <c r="C32" s="218"/>
      <c r="D32" s="218"/>
      <c r="E32" s="218"/>
      <c r="F32" s="219"/>
      <c r="G32" s="93"/>
      <c r="H32" s="93"/>
      <c r="I32" s="207"/>
      <c r="J32" s="208"/>
      <c r="K32" s="209"/>
      <c r="L32" s="93"/>
      <c r="M32" s="93"/>
      <c r="N32" s="189"/>
      <c r="O32" s="190"/>
      <c r="P32" s="190"/>
      <c r="Q32" s="190"/>
      <c r="R32" s="190"/>
      <c r="S32" s="191"/>
      <c r="T32" s="93"/>
      <c r="U32" s="93"/>
      <c r="V32" s="207"/>
      <c r="W32" s="208"/>
      <c r="X32" s="209"/>
      <c r="Y32" s="93"/>
      <c r="Z32" s="93"/>
    </row>
    <row r="33" spans="1:26" ht="18" customHeight="1" x14ac:dyDescent="0.15">
      <c r="A33" s="11"/>
      <c r="B33" s="213"/>
      <c r="C33" s="214"/>
      <c r="D33" s="214"/>
      <c r="E33" s="214"/>
      <c r="F33" s="215"/>
      <c r="G33" s="94"/>
      <c r="H33" s="94"/>
      <c r="I33" s="201"/>
      <c r="J33" s="202"/>
      <c r="K33" s="203"/>
      <c r="L33" s="95"/>
      <c r="M33" s="95"/>
      <c r="N33" s="178"/>
      <c r="O33" s="179"/>
      <c r="P33" s="179"/>
      <c r="Q33" s="179"/>
      <c r="R33" s="179"/>
      <c r="S33" s="180"/>
      <c r="T33" s="94"/>
      <c r="U33" s="94"/>
      <c r="V33" s="201"/>
      <c r="W33" s="202"/>
      <c r="X33" s="203"/>
      <c r="Y33" s="95"/>
      <c r="Z33" s="95"/>
    </row>
    <row r="34" spans="1:26" ht="7.5" customHeight="1" x14ac:dyDescent="0.15">
      <c r="A34" s="22"/>
      <c r="B34" s="26"/>
      <c r="C34" s="26"/>
      <c r="D34" s="22"/>
      <c r="E34" s="22"/>
      <c r="F34" s="22"/>
      <c r="G34" s="22"/>
      <c r="H34" s="22"/>
      <c r="I34" s="22"/>
      <c r="J34" s="22"/>
      <c r="K34" s="22"/>
      <c r="L34" s="26"/>
      <c r="M34" s="26"/>
      <c r="N34" s="26"/>
      <c r="O34" s="26"/>
      <c r="P34" s="26"/>
      <c r="Q34" s="26"/>
      <c r="R34" s="26"/>
      <c r="S34" s="26"/>
      <c r="T34" s="26"/>
      <c r="U34" s="26"/>
      <c r="V34" s="26"/>
      <c r="W34" s="26"/>
      <c r="X34" s="26"/>
      <c r="Y34" s="26"/>
      <c r="Z34" s="22"/>
    </row>
    <row r="35" spans="1:26" ht="18" customHeight="1" x14ac:dyDescent="0.15">
      <c r="A35" s="216" t="s">
        <v>94</v>
      </c>
      <c r="B35" s="216"/>
      <c r="C35" s="216"/>
      <c r="D35" s="216"/>
      <c r="E35" s="216"/>
      <c r="F35" s="216"/>
      <c r="G35" s="216"/>
      <c r="H35" s="216"/>
      <c r="I35" s="216"/>
      <c r="J35" s="216"/>
      <c r="K35" s="216"/>
      <c r="L35" s="216"/>
      <c r="M35" s="216"/>
      <c r="N35" s="216"/>
      <c r="O35" s="216"/>
      <c r="P35" s="216"/>
      <c r="Q35" s="216"/>
      <c r="R35" s="216"/>
      <c r="S35" s="216"/>
      <c r="T35" s="216"/>
      <c r="U35" s="216"/>
      <c r="V35" s="216"/>
      <c r="W35" s="216"/>
      <c r="X35" s="216"/>
      <c r="Y35" s="216"/>
      <c r="Z35" s="216"/>
    </row>
    <row r="36" spans="1:26" ht="18" customHeight="1" x14ac:dyDescent="0.15">
      <c r="A36" s="216"/>
      <c r="B36" s="216"/>
      <c r="C36" s="216"/>
      <c r="D36" s="216"/>
      <c r="E36" s="216"/>
      <c r="F36" s="216"/>
      <c r="G36" s="216"/>
      <c r="H36" s="216"/>
      <c r="I36" s="216"/>
      <c r="J36" s="216"/>
      <c r="K36" s="216"/>
      <c r="L36" s="216"/>
      <c r="M36" s="216"/>
      <c r="N36" s="216"/>
      <c r="O36" s="216"/>
      <c r="P36" s="216"/>
      <c r="Q36" s="216"/>
      <c r="R36" s="216"/>
      <c r="S36" s="216"/>
      <c r="T36" s="216"/>
      <c r="U36" s="216"/>
      <c r="V36" s="216"/>
      <c r="W36" s="216"/>
      <c r="X36" s="216"/>
      <c r="Y36" s="216"/>
      <c r="Z36" s="216"/>
    </row>
    <row r="37" spans="1:26" ht="18" customHeight="1" x14ac:dyDescent="0.15">
      <c r="A37" s="11"/>
      <c r="B37" s="139" t="s">
        <v>77</v>
      </c>
      <c r="C37" s="141"/>
      <c r="D37" s="141"/>
      <c r="E37" s="141"/>
      <c r="F37" s="140"/>
      <c r="G37" s="23" t="s">
        <v>78</v>
      </c>
      <c r="H37" s="90" t="s">
        <v>79</v>
      </c>
      <c r="I37" s="139" t="s">
        <v>80</v>
      </c>
      <c r="J37" s="141"/>
      <c r="K37" s="140"/>
      <c r="L37" s="91" t="s">
        <v>95</v>
      </c>
      <c r="M37" s="91" t="s">
        <v>96</v>
      </c>
      <c r="N37" s="139" t="s">
        <v>77</v>
      </c>
      <c r="O37" s="141"/>
      <c r="P37" s="141"/>
      <c r="Q37" s="141"/>
      <c r="R37" s="141"/>
      <c r="S37" s="140"/>
      <c r="T37" s="23" t="s">
        <v>78</v>
      </c>
      <c r="U37" s="90" t="s">
        <v>79</v>
      </c>
      <c r="V37" s="139" t="s">
        <v>80</v>
      </c>
      <c r="W37" s="141"/>
      <c r="X37" s="140"/>
      <c r="Y37" s="91" t="s">
        <v>95</v>
      </c>
      <c r="Z37" s="91" t="s">
        <v>96</v>
      </c>
    </row>
    <row r="38" spans="1:26" ht="18" customHeight="1" x14ac:dyDescent="0.15">
      <c r="A38" s="22"/>
      <c r="B38" s="220" t="s">
        <v>169</v>
      </c>
      <c r="C38" s="221"/>
      <c r="D38" s="221"/>
      <c r="E38" s="221"/>
      <c r="F38" s="222"/>
      <c r="G38" s="92">
        <v>2</v>
      </c>
      <c r="H38" s="92" t="s">
        <v>84</v>
      </c>
      <c r="I38" s="210" t="s">
        <v>85</v>
      </c>
      <c r="J38" s="211"/>
      <c r="K38" s="212"/>
      <c r="L38" s="92" t="s">
        <v>84</v>
      </c>
      <c r="M38" s="92"/>
      <c r="N38" s="195"/>
      <c r="O38" s="196"/>
      <c r="P38" s="196"/>
      <c r="Q38" s="196"/>
      <c r="R38" s="196"/>
      <c r="S38" s="197"/>
      <c r="T38" s="92"/>
      <c r="U38" s="92"/>
      <c r="V38" s="210"/>
      <c r="W38" s="211"/>
      <c r="X38" s="212"/>
      <c r="Y38" s="92"/>
      <c r="Z38" s="92"/>
    </row>
    <row r="39" spans="1:26" ht="18" customHeight="1" x14ac:dyDescent="0.15">
      <c r="A39" s="22"/>
      <c r="B39" s="217" t="s">
        <v>170</v>
      </c>
      <c r="C39" s="218"/>
      <c r="D39" s="218"/>
      <c r="E39" s="218"/>
      <c r="F39" s="219"/>
      <c r="G39" s="93">
        <v>2</v>
      </c>
      <c r="H39" s="93" t="s">
        <v>84</v>
      </c>
      <c r="I39" s="207" t="s">
        <v>85</v>
      </c>
      <c r="J39" s="208"/>
      <c r="K39" s="209"/>
      <c r="L39" s="93" t="s">
        <v>84</v>
      </c>
      <c r="M39" s="93"/>
      <c r="N39" s="189"/>
      <c r="O39" s="190"/>
      <c r="P39" s="190"/>
      <c r="Q39" s="190"/>
      <c r="R39" s="190"/>
      <c r="S39" s="191"/>
      <c r="T39" s="93"/>
      <c r="U39" s="93"/>
      <c r="V39" s="207"/>
      <c r="W39" s="208"/>
      <c r="X39" s="209"/>
      <c r="Y39" s="93"/>
      <c r="Z39" s="93"/>
    </row>
    <row r="40" spans="1:26" ht="18" customHeight="1" x14ac:dyDescent="0.15">
      <c r="A40" s="22"/>
      <c r="B40" s="217" t="s">
        <v>168</v>
      </c>
      <c r="C40" s="218"/>
      <c r="D40" s="218"/>
      <c r="E40" s="218"/>
      <c r="F40" s="219"/>
      <c r="G40" s="93">
        <v>1</v>
      </c>
      <c r="H40" s="93" t="s">
        <v>84</v>
      </c>
      <c r="I40" s="207" t="s">
        <v>85</v>
      </c>
      <c r="J40" s="208"/>
      <c r="K40" s="209"/>
      <c r="L40" s="93"/>
      <c r="M40" s="93" t="s">
        <v>84</v>
      </c>
      <c r="N40" s="189"/>
      <c r="O40" s="190"/>
      <c r="P40" s="190"/>
      <c r="Q40" s="190"/>
      <c r="R40" s="190"/>
      <c r="S40" s="191"/>
      <c r="T40" s="93"/>
      <c r="U40" s="93"/>
      <c r="V40" s="207"/>
      <c r="W40" s="208"/>
      <c r="X40" s="209"/>
      <c r="Y40" s="93"/>
      <c r="Z40" s="93"/>
    </row>
    <row r="41" spans="1:26" ht="18" customHeight="1" x14ac:dyDescent="0.15">
      <c r="A41" s="22"/>
      <c r="B41" s="217"/>
      <c r="C41" s="218"/>
      <c r="D41" s="218"/>
      <c r="E41" s="218"/>
      <c r="F41" s="219"/>
      <c r="G41" s="93"/>
      <c r="H41" s="93"/>
      <c r="I41" s="207"/>
      <c r="J41" s="208"/>
      <c r="K41" s="209"/>
      <c r="L41" s="93"/>
      <c r="M41" s="93"/>
      <c r="N41" s="189"/>
      <c r="O41" s="190"/>
      <c r="P41" s="190"/>
      <c r="Q41" s="190"/>
      <c r="R41" s="190"/>
      <c r="S41" s="191"/>
      <c r="T41" s="93"/>
      <c r="U41" s="93"/>
      <c r="V41" s="207"/>
      <c r="W41" s="208"/>
      <c r="X41" s="209"/>
      <c r="Y41" s="93"/>
      <c r="Z41" s="93"/>
    </row>
    <row r="42" spans="1:26" ht="18" customHeight="1" x14ac:dyDescent="0.15">
      <c r="A42" s="22"/>
      <c r="B42" s="217"/>
      <c r="C42" s="218"/>
      <c r="D42" s="218"/>
      <c r="E42" s="218"/>
      <c r="F42" s="219"/>
      <c r="G42" s="93"/>
      <c r="H42" s="93"/>
      <c r="I42" s="207"/>
      <c r="J42" s="208"/>
      <c r="K42" s="209"/>
      <c r="L42" s="93"/>
      <c r="M42" s="93"/>
      <c r="N42" s="189"/>
      <c r="O42" s="190"/>
      <c r="P42" s="190"/>
      <c r="Q42" s="190"/>
      <c r="R42" s="190"/>
      <c r="S42" s="191"/>
      <c r="T42" s="93"/>
      <c r="U42" s="93"/>
      <c r="V42" s="207"/>
      <c r="W42" s="208"/>
      <c r="X42" s="209"/>
      <c r="Y42" s="93"/>
      <c r="Z42" s="93"/>
    </row>
    <row r="43" spans="1:26" ht="18" customHeight="1" x14ac:dyDescent="0.15">
      <c r="A43" s="22"/>
      <c r="B43" s="217"/>
      <c r="C43" s="218"/>
      <c r="D43" s="218"/>
      <c r="E43" s="218"/>
      <c r="F43" s="219"/>
      <c r="G43" s="93"/>
      <c r="H43" s="93"/>
      <c r="I43" s="207"/>
      <c r="J43" s="208"/>
      <c r="K43" s="209"/>
      <c r="L43" s="93"/>
      <c r="M43" s="93"/>
      <c r="N43" s="189"/>
      <c r="O43" s="190"/>
      <c r="P43" s="190"/>
      <c r="Q43" s="190"/>
      <c r="R43" s="190"/>
      <c r="S43" s="191"/>
      <c r="T43" s="93"/>
      <c r="U43" s="93"/>
      <c r="V43" s="207"/>
      <c r="W43" s="208"/>
      <c r="X43" s="209"/>
      <c r="Y43" s="93"/>
      <c r="Z43" s="93"/>
    </row>
    <row r="44" spans="1:26" ht="18" customHeight="1" x14ac:dyDescent="0.15">
      <c r="A44" s="22"/>
      <c r="B44" s="213"/>
      <c r="C44" s="214"/>
      <c r="D44" s="214"/>
      <c r="E44" s="214"/>
      <c r="F44" s="215"/>
      <c r="G44" s="94"/>
      <c r="H44" s="94"/>
      <c r="I44" s="201"/>
      <c r="J44" s="202"/>
      <c r="K44" s="203"/>
      <c r="L44" s="95"/>
      <c r="M44" s="95"/>
      <c r="N44" s="178"/>
      <c r="O44" s="179"/>
      <c r="P44" s="179"/>
      <c r="Q44" s="179"/>
      <c r="R44" s="179"/>
      <c r="S44" s="180"/>
      <c r="T44" s="94"/>
      <c r="U44" s="94"/>
      <c r="V44" s="201"/>
      <c r="W44" s="202"/>
      <c r="X44" s="203"/>
      <c r="Y44" s="95"/>
      <c r="Z44" s="95"/>
    </row>
    <row r="45" spans="1:26" ht="7.5" customHeight="1" x14ac:dyDescent="0.15">
      <c r="B45" s="61"/>
      <c r="C45" s="61"/>
      <c r="D45" s="61"/>
      <c r="E45" s="61"/>
      <c r="F45" s="61"/>
      <c r="G45" s="61"/>
      <c r="H45" s="61"/>
      <c r="I45" s="61"/>
      <c r="J45" s="61"/>
      <c r="K45" s="61"/>
      <c r="L45" s="61"/>
      <c r="M45" s="61"/>
      <c r="N45" s="61"/>
      <c r="O45" s="61"/>
      <c r="P45" s="61"/>
      <c r="Q45" s="61"/>
      <c r="R45" s="61"/>
      <c r="S45" s="61"/>
      <c r="T45" s="61"/>
      <c r="U45" s="61"/>
      <c r="V45" s="61"/>
      <c r="W45" s="61"/>
      <c r="X45" s="61"/>
      <c r="Y45" s="61"/>
    </row>
    <row r="46" spans="1:26" ht="18" customHeight="1" x14ac:dyDescent="0.15">
      <c r="A46" s="216" t="s">
        <v>98</v>
      </c>
      <c r="B46" s="216"/>
      <c r="C46" s="216"/>
      <c r="D46" s="216"/>
      <c r="E46" s="216"/>
      <c r="F46" s="216"/>
      <c r="G46" s="216"/>
      <c r="H46" s="216"/>
      <c r="I46" s="216"/>
      <c r="J46" s="216"/>
      <c r="K46" s="216"/>
      <c r="L46" s="216"/>
      <c r="M46" s="216"/>
      <c r="N46" s="216"/>
      <c r="O46" s="216"/>
      <c r="P46" s="216"/>
      <c r="Q46" s="216"/>
      <c r="R46" s="216"/>
      <c r="S46" s="216"/>
      <c r="T46" s="216"/>
      <c r="U46" s="216"/>
      <c r="V46" s="216"/>
      <c r="W46" s="216"/>
      <c r="X46" s="216"/>
      <c r="Y46" s="216"/>
      <c r="Z46" s="216"/>
    </row>
    <row r="47" spans="1:26" ht="18" customHeight="1" x14ac:dyDescent="0.15">
      <c r="A47" s="216"/>
      <c r="B47" s="216"/>
      <c r="C47" s="216"/>
      <c r="D47" s="216"/>
      <c r="E47" s="216"/>
      <c r="F47" s="216"/>
      <c r="G47" s="216"/>
      <c r="H47" s="216"/>
      <c r="I47" s="216"/>
      <c r="J47" s="216"/>
      <c r="K47" s="216"/>
      <c r="L47" s="216"/>
      <c r="M47" s="216"/>
      <c r="N47" s="216"/>
      <c r="O47" s="216"/>
      <c r="P47" s="216"/>
      <c r="Q47" s="216"/>
      <c r="R47" s="216"/>
      <c r="S47" s="216"/>
      <c r="T47" s="216"/>
      <c r="U47" s="216"/>
      <c r="V47" s="216"/>
      <c r="W47" s="216"/>
      <c r="X47" s="216"/>
      <c r="Y47" s="216"/>
      <c r="Z47" s="216"/>
    </row>
    <row r="48" spans="1:26" ht="18" customHeight="1" x14ac:dyDescent="0.15">
      <c r="A48" s="11"/>
      <c r="B48" s="139" t="s">
        <v>77</v>
      </c>
      <c r="C48" s="141"/>
      <c r="D48" s="141"/>
      <c r="E48" s="141"/>
      <c r="F48" s="140"/>
      <c r="G48" s="23" t="s">
        <v>78</v>
      </c>
      <c r="H48" s="90" t="s">
        <v>79</v>
      </c>
      <c r="I48" s="139" t="s">
        <v>80</v>
      </c>
      <c r="J48" s="141"/>
      <c r="K48" s="140"/>
      <c r="L48" s="91" t="s">
        <v>99</v>
      </c>
      <c r="M48" s="91" t="s">
        <v>100</v>
      </c>
      <c r="N48" s="139" t="s">
        <v>77</v>
      </c>
      <c r="O48" s="141"/>
      <c r="P48" s="141"/>
      <c r="Q48" s="141"/>
      <c r="R48" s="141"/>
      <c r="S48" s="140"/>
      <c r="T48" s="23" t="s">
        <v>78</v>
      </c>
      <c r="U48" s="90" t="s">
        <v>79</v>
      </c>
      <c r="V48" s="139" t="s">
        <v>80</v>
      </c>
      <c r="W48" s="141"/>
      <c r="X48" s="140"/>
      <c r="Y48" s="91" t="s">
        <v>99</v>
      </c>
      <c r="Z48" s="91" t="s">
        <v>100</v>
      </c>
    </row>
    <row r="49" spans="1:26" ht="18" customHeight="1" x14ac:dyDescent="0.15">
      <c r="A49" s="22"/>
      <c r="B49" s="220" t="s">
        <v>168</v>
      </c>
      <c r="C49" s="221"/>
      <c r="D49" s="221"/>
      <c r="E49" s="221"/>
      <c r="F49" s="222"/>
      <c r="G49" s="92">
        <v>1</v>
      </c>
      <c r="H49" s="92" t="s">
        <v>84</v>
      </c>
      <c r="I49" s="210" t="s">
        <v>85</v>
      </c>
      <c r="J49" s="211"/>
      <c r="K49" s="212"/>
      <c r="L49" s="92" t="s">
        <v>84</v>
      </c>
      <c r="M49" s="92"/>
      <c r="N49" s="195"/>
      <c r="O49" s="196"/>
      <c r="P49" s="196"/>
      <c r="Q49" s="196"/>
      <c r="R49" s="196"/>
      <c r="S49" s="197"/>
      <c r="T49" s="92"/>
      <c r="U49" s="92"/>
      <c r="V49" s="210"/>
      <c r="W49" s="211"/>
      <c r="X49" s="212"/>
      <c r="Y49" s="92"/>
      <c r="Z49" s="92"/>
    </row>
    <row r="50" spans="1:26" ht="18" customHeight="1" x14ac:dyDescent="0.15">
      <c r="A50" s="22"/>
      <c r="B50" s="217" t="s">
        <v>171</v>
      </c>
      <c r="C50" s="218"/>
      <c r="D50" s="218"/>
      <c r="E50" s="218"/>
      <c r="F50" s="219"/>
      <c r="G50" s="93">
        <v>4</v>
      </c>
      <c r="H50" s="93" t="s">
        <v>84</v>
      </c>
      <c r="I50" s="207" t="s">
        <v>85</v>
      </c>
      <c r="J50" s="208"/>
      <c r="K50" s="209"/>
      <c r="L50" s="93"/>
      <c r="M50" s="93" t="s">
        <v>84</v>
      </c>
      <c r="N50" s="189"/>
      <c r="O50" s="190"/>
      <c r="P50" s="190"/>
      <c r="Q50" s="190"/>
      <c r="R50" s="190"/>
      <c r="S50" s="191"/>
      <c r="T50" s="93"/>
      <c r="U50" s="93"/>
      <c r="V50" s="207"/>
      <c r="W50" s="208"/>
      <c r="X50" s="209"/>
      <c r="Y50" s="93"/>
      <c r="Z50" s="93"/>
    </row>
    <row r="51" spans="1:26" ht="18" customHeight="1" x14ac:dyDescent="0.15">
      <c r="A51" s="22"/>
      <c r="B51" s="217"/>
      <c r="C51" s="218"/>
      <c r="D51" s="218"/>
      <c r="E51" s="218"/>
      <c r="F51" s="219"/>
      <c r="G51" s="93"/>
      <c r="H51" s="93"/>
      <c r="I51" s="207"/>
      <c r="J51" s="208"/>
      <c r="K51" s="209"/>
      <c r="L51" s="93"/>
      <c r="M51" s="93"/>
      <c r="N51" s="189"/>
      <c r="O51" s="190"/>
      <c r="P51" s="190"/>
      <c r="Q51" s="190"/>
      <c r="R51" s="190"/>
      <c r="S51" s="191"/>
      <c r="T51" s="93"/>
      <c r="U51" s="93"/>
      <c r="V51" s="207"/>
      <c r="W51" s="208"/>
      <c r="X51" s="209"/>
      <c r="Y51" s="93"/>
      <c r="Z51" s="93"/>
    </row>
    <row r="52" spans="1:26" ht="18" customHeight="1" x14ac:dyDescent="0.15">
      <c r="A52" s="22"/>
      <c r="B52" s="217"/>
      <c r="C52" s="218"/>
      <c r="D52" s="218"/>
      <c r="E52" s="218"/>
      <c r="F52" s="219"/>
      <c r="G52" s="93"/>
      <c r="H52" s="93"/>
      <c r="I52" s="207"/>
      <c r="J52" s="208"/>
      <c r="K52" s="209"/>
      <c r="L52" s="93"/>
      <c r="M52" s="93"/>
      <c r="N52" s="189"/>
      <c r="O52" s="190"/>
      <c r="P52" s="190"/>
      <c r="Q52" s="190"/>
      <c r="R52" s="190"/>
      <c r="S52" s="191"/>
      <c r="T52" s="93"/>
      <c r="U52" s="93"/>
      <c r="V52" s="207"/>
      <c r="W52" s="208"/>
      <c r="X52" s="209"/>
      <c r="Y52" s="93"/>
      <c r="Z52" s="93"/>
    </row>
    <row r="53" spans="1:26" ht="18" customHeight="1" x14ac:dyDescent="0.15">
      <c r="A53" s="22"/>
      <c r="B53" s="217"/>
      <c r="C53" s="218"/>
      <c r="D53" s="218"/>
      <c r="E53" s="218"/>
      <c r="F53" s="219"/>
      <c r="G53" s="93"/>
      <c r="H53" s="93"/>
      <c r="I53" s="207"/>
      <c r="J53" s="208"/>
      <c r="K53" s="209"/>
      <c r="L53" s="93"/>
      <c r="M53" s="93"/>
      <c r="N53" s="189"/>
      <c r="O53" s="190"/>
      <c r="P53" s="190"/>
      <c r="Q53" s="190"/>
      <c r="R53" s="190"/>
      <c r="S53" s="191"/>
      <c r="T53" s="93"/>
      <c r="U53" s="93"/>
      <c r="V53" s="207"/>
      <c r="W53" s="208"/>
      <c r="X53" s="209"/>
      <c r="Y53" s="93"/>
      <c r="Z53" s="93"/>
    </row>
    <row r="54" spans="1:26" ht="18" customHeight="1" x14ac:dyDescent="0.15">
      <c r="A54" s="22"/>
      <c r="B54" s="217"/>
      <c r="C54" s="218"/>
      <c r="D54" s="218"/>
      <c r="E54" s="218"/>
      <c r="F54" s="219"/>
      <c r="G54" s="93"/>
      <c r="H54" s="93"/>
      <c r="I54" s="207"/>
      <c r="J54" s="208"/>
      <c r="K54" s="209"/>
      <c r="L54" s="93"/>
      <c r="M54" s="93"/>
      <c r="N54" s="189"/>
      <c r="O54" s="190"/>
      <c r="P54" s="190"/>
      <c r="Q54" s="190"/>
      <c r="R54" s="190"/>
      <c r="S54" s="191"/>
      <c r="T54" s="93"/>
      <c r="U54" s="93"/>
      <c r="V54" s="207"/>
      <c r="W54" s="208"/>
      <c r="X54" s="209"/>
      <c r="Y54" s="93"/>
      <c r="Z54" s="93"/>
    </row>
    <row r="55" spans="1:26" ht="18" customHeight="1" x14ac:dyDescent="0.15">
      <c r="A55" s="22"/>
      <c r="B55" s="213"/>
      <c r="C55" s="214"/>
      <c r="D55" s="214"/>
      <c r="E55" s="214"/>
      <c r="F55" s="215"/>
      <c r="G55" s="94"/>
      <c r="H55" s="94"/>
      <c r="I55" s="201"/>
      <c r="J55" s="202"/>
      <c r="K55" s="203"/>
      <c r="L55" s="95"/>
      <c r="M55" s="95"/>
      <c r="N55" s="178"/>
      <c r="O55" s="179"/>
      <c r="P55" s="179"/>
      <c r="Q55" s="179"/>
      <c r="R55" s="179"/>
      <c r="S55" s="180"/>
      <c r="T55" s="94"/>
      <c r="U55" s="94"/>
      <c r="V55" s="201"/>
      <c r="W55" s="202"/>
      <c r="X55" s="203"/>
      <c r="Y55" s="95"/>
      <c r="Z55" s="95"/>
    </row>
    <row r="56" spans="1:26" ht="7.5" customHeight="1" x14ac:dyDescent="0.15">
      <c r="B56" s="61"/>
      <c r="C56" s="61"/>
      <c r="D56" s="61"/>
      <c r="E56" s="61"/>
      <c r="F56" s="61"/>
      <c r="G56" s="61"/>
      <c r="H56" s="61"/>
      <c r="I56" s="61"/>
      <c r="J56" s="61"/>
      <c r="K56" s="61"/>
      <c r="L56" s="61"/>
      <c r="M56" s="61"/>
      <c r="N56" s="61"/>
      <c r="O56" s="61"/>
      <c r="P56" s="61"/>
      <c r="Q56" s="61"/>
      <c r="R56" s="61"/>
      <c r="S56" s="61"/>
      <c r="T56" s="61"/>
      <c r="U56" s="61"/>
      <c r="V56" s="61"/>
      <c r="W56" s="61"/>
      <c r="X56" s="61"/>
      <c r="Y56" s="61"/>
    </row>
    <row r="57" spans="1:26" ht="18" customHeight="1" x14ac:dyDescent="0.15">
      <c r="A57" s="216" t="s">
        <v>102</v>
      </c>
      <c r="B57" s="216"/>
      <c r="C57" s="216"/>
      <c r="D57" s="216"/>
      <c r="E57" s="216"/>
      <c r="F57" s="216"/>
      <c r="G57" s="216"/>
      <c r="H57" s="216"/>
      <c r="I57" s="216"/>
      <c r="J57" s="216"/>
      <c r="K57" s="216"/>
      <c r="L57" s="216"/>
      <c r="M57" s="216"/>
      <c r="N57" s="216"/>
      <c r="O57" s="216"/>
      <c r="P57" s="216"/>
      <c r="Q57" s="216"/>
      <c r="R57" s="216"/>
      <c r="S57" s="216"/>
      <c r="T57" s="216"/>
      <c r="U57" s="216"/>
      <c r="V57" s="216"/>
      <c r="W57" s="216"/>
      <c r="X57" s="216"/>
      <c r="Y57" s="216"/>
      <c r="Z57" s="216"/>
    </row>
    <row r="58" spans="1:26" ht="18" customHeight="1" x14ac:dyDescent="0.15">
      <c r="A58" s="216"/>
      <c r="B58" s="216"/>
      <c r="C58" s="216"/>
      <c r="D58" s="216"/>
      <c r="E58" s="216"/>
      <c r="F58" s="216"/>
      <c r="G58" s="216"/>
      <c r="H58" s="216"/>
      <c r="I58" s="216"/>
      <c r="J58" s="216"/>
      <c r="K58" s="216"/>
      <c r="L58" s="216"/>
      <c r="M58" s="216"/>
      <c r="N58" s="216"/>
      <c r="O58" s="216"/>
      <c r="P58" s="216"/>
      <c r="Q58" s="216"/>
      <c r="R58" s="216"/>
      <c r="S58" s="216"/>
      <c r="T58" s="216"/>
      <c r="U58" s="216"/>
      <c r="V58" s="216"/>
      <c r="W58" s="216"/>
      <c r="X58" s="216"/>
      <c r="Y58" s="216"/>
      <c r="Z58" s="216"/>
    </row>
    <row r="59" spans="1:26" ht="18" customHeight="1" x14ac:dyDescent="0.15">
      <c r="A59" s="11"/>
      <c r="B59" s="139" t="s">
        <v>77</v>
      </c>
      <c r="C59" s="141"/>
      <c r="D59" s="141"/>
      <c r="E59" s="140"/>
      <c r="F59" s="23" t="s">
        <v>78</v>
      </c>
      <c r="G59" s="90" t="s">
        <v>79</v>
      </c>
      <c r="H59" s="19" t="s">
        <v>80</v>
      </c>
      <c r="I59" s="96"/>
      <c r="J59" s="20"/>
      <c r="K59" s="91" t="s">
        <v>103</v>
      </c>
      <c r="L59" s="91" t="s">
        <v>104</v>
      </c>
      <c r="M59" s="91" t="s">
        <v>105</v>
      </c>
      <c r="N59" s="139" t="s">
        <v>77</v>
      </c>
      <c r="O59" s="141"/>
      <c r="P59" s="141"/>
      <c r="Q59" s="141"/>
      <c r="R59" s="140"/>
      <c r="S59" s="23" t="s">
        <v>78</v>
      </c>
      <c r="T59" s="90" t="s">
        <v>79</v>
      </c>
      <c r="U59" s="19" t="s">
        <v>80</v>
      </c>
      <c r="V59" s="96"/>
      <c r="W59" s="20"/>
      <c r="X59" s="91" t="s">
        <v>103</v>
      </c>
      <c r="Y59" s="91" t="s">
        <v>104</v>
      </c>
      <c r="Z59" s="91" t="s">
        <v>105</v>
      </c>
    </row>
    <row r="60" spans="1:26" ht="18" customHeight="1" x14ac:dyDescent="0.15">
      <c r="A60" s="22"/>
      <c r="B60" s="195" t="s">
        <v>142</v>
      </c>
      <c r="C60" s="196"/>
      <c r="D60" s="196"/>
      <c r="E60" s="197"/>
      <c r="F60" s="92">
        <v>1</v>
      </c>
      <c r="G60" s="92" t="s">
        <v>84</v>
      </c>
      <c r="H60" s="210" t="s">
        <v>85</v>
      </c>
      <c r="I60" s="211"/>
      <c r="J60" s="212"/>
      <c r="K60" s="92" t="s">
        <v>84</v>
      </c>
      <c r="L60" s="92"/>
      <c r="M60" s="92"/>
      <c r="N60" s="195"/>
      <c r="O60" s="196"/>
      <c r="P60" s="196"/>
      <c r="Q60" s="196"/>
      <c r="R60" s="197"/>
      <c r="S60" s="92"/>
      <c r="T60" s="92"/>
      <c r="U60" s="210"/>
      <c r="V60" s="211"/>
      <c r="W60" s="212"/>
      <c r="X60" s="97"/>
      <c r="Y60" s="92"/>
      <c r="Z60" s="92"/>
    </row>
    <row r="61" spans="1:26" ht="18" customHeight="1" x14ac:dyDescent="0.15">
      <c r="A61" s="22"/>
      <c r="B61" s="189" t="s">
        <v>171</v>
      </c>
      <c r="C61" s="190"/>
      <c r="D61" s="190"/>
      <c r="E61" s="191"/>
      <c r="F61" s="93">
        <v>4</v>
      </c>
      <c r="G61" s="93" t="s">
        <v>84</v>
      </c>
      <c r="H61" s="207" t="s">
        <v>85</v>
      </c>
      <c r="I61" s="208"/>
      <c r="J61" s="209"/>
      <c r="K61" s="93"/>
      <c r="L61" s="93" t="s">
        <v>84</v>
      </c>
      <c r="M61" s="93" t="s">
        <v>84</v>
      </c>
      <c r="N61" s="189"/>
      <c r="O61" s="190"/>
      <c r="P61" s="190"/>
      <c r="Q61" s="190"/>
      <c r="R61" s="191"/>
      <c r="S61" s="93"/>
      <c r="T61" s="93"/>
      <c r="U61" s="207"/>
      <c r="V61" s="208"/>
      <c r="W61" s="209"/>
      <c r="X61" s="98"/>
      <c r="Y61" s="93"/>
      <c r="Z61" s="93"/>
    </row>
    <row r="62" spans="1:26" ht="18" customHeight="1" x14ac:dyDescent="0.15">
      <c r="A62" s="22"/>
      <c r="B62" s="189"/>
      <c r="C62" s="190"/>
      <c r="D62" s="190"/>
      <c r="E62" s="191"/>
      <c r="F62" s="93"/>
      <c r="G62" s="93"/>
      <c r="H62" s="207"/>
      <c r="I62" s="208"/>
      <c r="J62" s="209"/>
      <c r="K62" s="98"/>
      <c r="L62" s="93"/>
      <c r="M62" s="93"/>
      <c r="N62" s="189"/>
      <c r="O62" s="190"/>
      <c r="P62" s="190"/>
      <c r="Q62" s="190"/>
      <c r="R62" s="191"/>
      <c r="S62" s="93"/>
      <c r="T62" s="93"/>
      <c r="U62" s="207"/>
      <c r="V62" s="208"/>
      <c r="W62" s="209"/>
      <c r="X62" s="98"/>
      <c r="Y62" s="93"/>
      <c r="Z62" s="93"/>
    </row>
    <row r="63" spans="1:26" ht="18" customHeight="1" x14ac:dyDescent="0.15">
      <c r="A63" s="22"/>
      <c r="B63" s="189"/>
      <c r="C63" s="190"/>
      <c r="D63" s="190"/>
      <c r="E63" s="191"/>
      <c r="F63" s="93"/>
      <c r="G63" s="93"/>
      <c r="H63" s="207"/>
      <c r="I63" s="208"/>
      <c r="J63" s="209"/>
      <c r="K63" s="98"/>
      <c r="L63" s="93"/>
      <c r="M63" s="93"/>
      <c r="N63" s="189"/>
      <c r="O63" s="190"/>
      <c r="P63" s="190"/>
      <c r="Q63" s="190"/>
      <c r="R63" s="191"/>
      <c r="S63" s="93"/>
      <c r="T63" s="93"/>
      <c r="U63" s="207"/>
      <c r="V63" s="208"/>
      <c r="W63" s="209"/>
      <c r="X63" s="98"/>
      <c r="Y63" s="93"/>
      <c r="Z63" s="93"/>
    </row>
    <row r="64" spans="1:26" ht="18" customHeight="1" x14ac:dyDescent="0.15">
      <c r="A64" s="22"/>
      <c r="B64" s="189"/>
      <c r="C64" s="190"/>
      <c r="D64" s="190"/>
      <c r="E64" s="191"/>
      <c r="F64" s="93"/>
      <c r="G64" s="93"/>
      <c r="H64" s="207"/>
      <c r="I64" s="208"/>
      <c r="J64" s="209"/>
      <c r="K64" s="98"/>
      <c r="L64" s="93"/>
      <c r="M64" s="93"/>
      <c r="N64" s="189"/>
      <c r="O64" s="190"/>
      <c r="P64" s="190"/>
      <c r="Q64" s="190"/>
      <c r="R64" s="191"/>
      <c r="S64" s="93"/>
      <c r="T64" s="93"/>
      <c r="U64" s="207"/>
      <c r="V64" s="208"/>
      <c r="W64" s="209"/>
      <c r="X64" s="98"/>
      <c r="Y64" s="93"/>
      <c r="Z64" s="93"/>
    </row>
    <row r="65" spans="1:26" ht="18" customHeight="1" x14ac:dyDescent="0.15">
      <c r="A65" s="22"/>
      <c r="B65" s="189"/>
      <c r="C65" s="190"/>
      <c r="D65" s="190"/>
      <c r="E65" s="191"/>
      <c r="F65" s="93"/>
      <c r="G65" s="93"/>
      <c r="H65" s="207"/>
      <c r="I65" s="208"/>
      <c r="J65" s="209"/>
      <c r="K65" s="98"/>
      <c r="L65" s="93"/>
      <c r="M65" s="93"/>
      <c r="N65" s="189"/>
      <c r="O65" s="190"/>
      <c r="P65" s="190"/>
      <c r="Q65" s="190"/>
      <c r="R65" s="191"/>
      <c r="S65" s="93"/>
      <c r="T65" s="93"/>
      <c r="U65" s="207"/>
      <c r="V65" s="208"/>
      <c r="W65" s="209"/>
      <c r="X65" s="98"/>
      <c r="Y65" s="93"/>
      <c r="Z65" s="93"/>
    </row>
    <row r="66" spans="1:26" ht="18" customHeight="1" x14ac:dyDescent="0.15">
      <c r="A66" s="22"/>
      <c r="B66" s="178"/>
      <c r="C66" s="179"/>
      <c r="D66" s="179"/>
      <c r="E66" s="180"/>
      <c r="F66" s="94"/>
      <c r="G66" s="94"/>
      <c r="H66" s="201"/>
      <c r="I66" s="202"/>
      <c r="J66" s="203"/>
      <c r="K66" s="99"/>
      <c r="L66" s="95"/>
      <c r="M66" s="95"/>
      <c r="N66" s="178"/>
      <c r="O66" s="179"/>
      <c r="P66" s="179"/>
      <c r="Q66" s="179"/>
      <c r="R66" s="180"/>
      <c r="S66" s="94"/>
      <c r="T66" s="94"/>
      <c r="U66" s="201"/>
      <c r="V66" s="202"/>
      <c r="W66" s="203"/>
      <c r="X66" s="99"/>
      <c r="Y66" s="95"/>
      <c r="Z66" s="95"/>
    </row>
    <row r="67" spans="1:26" ht="7.5" customHeight="1" x14ac:dyDescent="0.15">
      <c r="B67" s="61"/>
      <c r="C67" s="61"/>
      <c r="D67" s="61"/>
      <c r="E67" s="61"/>
      <c r="F67" s="61"/>
      <c r="G67" s="61"/>
      <c r="H67" s="61"/>
      <c r="I67" s="61"/>
      <c r="J67" s="61"/>
      <c r="K67" s="61"/>
      <c r="L67" s="61"/>
      <c r="M67" s="61"/>
      <c r="N67" s="61"/>
      <c r="O67" s="61"/>
      <c r="P67" s="61"/>
      <c r="Q67" s="61"/>
      <c r="R67" s="61"/>
      <c r="S67" s="61"/>
      <c r="T67" s="61"/>
      <c r="U67" s="61"/>
      <c r="V67" s="61"/>
      <c r="W67" s="61"/>
      <c r="X67" s="61"/>
      <c r="Y67" s="61"/>
    </row>
    <row r="68" spans="1:26" ht="18" customHeight="1" x14ac:dyDescent="0.15">
      <c r="A68" s="11" t="s">
        <v>106</v>
      </c>
      <c r="B68" s="11"/>
      <c r="C68" s="11"/>
      <c r="D68" s="11"/>
      <c r="E68" s="11"/>
      <c r="F68" s="11"/>
      <c r="G68" s="11"/>
      <c r="H68" s="11"/>
      <c r="I68" s="11"/>
      <c r="J68" s="11"/>
      <c r="K68" s="11"/>
      <c r="L68" s="22"/>
      <c r="M68" s="22"/>
      <c r="N68" s="22"/>
      <c r="O68" s="22"/>
      <c r="P68" s="22"/>
      <c r="Q68" s="22"/>
      <c r="R68" s="22"/>
      <c r="S68" s="22"/>
      <c r="T68" s="22"/>
      <c r="U68" s="22"/>
      <c r="V68" s="22"/>
      <c r="W68" s="22"/>
      <c r="X68" s="22"/>
      <c r="Y68" s="22"/>
      <c r="Z68" s="22"/>
    </row>
    <row r="69" spans="1:26" ht="18" customHeight="1" x14ac:dyDescent="0.15">
      <c r="A69" s="11"/>
      <c r="B69" s="139" t="s">
        <v>77</v>
      </c>
      <c r="C69" s="141"/>
      <c r="D69" s="141"/>
      <c r="E69" s="141"/>
      <c r="F69" s="140"/>
      <c r="G69" s="139" t="s">
        <v>107</v>
      </c>
      <c r="H69" s="141"/>
      <c r="I69" s="141"/>
      <c r="J69" s="141"/>
      <c r="K69" s="141"/>
      <c r="L69" s="141"/>
      <c r="M69" s="140"/>
      <c r="N69" s="204" t="s">
        <v>77</v>
      </c>
      <c r="O69" s="205"/>
      <c r="P69" s="205"/>
      <c r="Q69" s="205"/>
      <c r="R69" s="205"/>
      <c r="S69" s="206"/>
      <c r="T69" s="139" t="s">
        <v>107</v>
      </c>
      <c r="U69" s="141"/>
      <c r="V69" s="141"/>
      <c r="W69" s="141"/>
      <c r="X69" s="141"/>
      <c r="Y69" s="141"/>
      <c r="Z69" s="140"/>
    </row>
    <row r="70" spans="1:26" ht="18" customHeight="1" x14ac:dyDescent="0.15">
      <c r="A70" s="22"/>
      <c r="B70" s="195"/>
      <c r="C70" s="196"/>
      <c r="D70" s="196"/>
      <c r="E70" s="196"/>
      <c r="F70" s="197"/>
      <c r="G70" s="198"/>
      <c r="H70" s="199"/>
      <c r="I70" s="199"/>
      <c r="J70" s="199"/>
      <c r="K70" s="199"/>
      <c r="L70" s="199"/>
      <c r="M70" s="200"/>
      <c r="N70" s="195"/>
      <c r="O70" s="196"/>
      <c r="P70" s="196"/>
      <c r="Q70" s="196"/>
      <c r="R70" s="196"/>
      <c r="S70" s="197"/>
      <c r="T70" s="198"/>
      <c r="U70" s="199"/>
      <c r="V70" s="199"/>
      <c r="W70" s="199"/>
      <c r="X70" s="199"/>
      <c r="Y70" s="199"/>
      <c r="Z70" s="200"/>
    </row>
    <row r="71" spans="1:26" ht="18" customHeight="1" x14ac:dyDescent="0.15">
      <c r="A71" s="22"/>
      <c r="B71" s="189"/>
      <c r="C71" s="190"/>
      <c r="D71" s="190"/>
      <c r="E71" s="190"/>
      <c r="F71" s="191"/>
      <c r="G71" s="192"/>
      <c r="H71" s="193"/>
      <c r="I71" s="193"/>
      <c r="J71" s="193"/>
      <c r="K71" s="193"/>
      <c r="L71" s="193"/>
      <c r="M71" s="194"/>
      <c r="N71" s="189"/>
      <c r="O71" s="190"/>
      <c r="P71" s="190"/>
      <c r="Q71" s="190"/>
      <c r="R71" s="190"/>
      <c r="S71" s="191"/>
      <c r="T71" s="192"/>
      <c r="U71" s="193"/>
      <c r="V71" s="193"/>
      <c r="W71" s="193"/>
      <c r="X71" s="193"/>
      <c r="Y71" s="193"/>
      <c r="Z71" s="194"/>
    </row>
    <row r="72" spans="1:26" ht="18" customHeight="1" x14ac:dyDescent="0.15">
      <c r="A72" s="22"/>
      <c r="B72" s="189"/>
      <c r="C72" s="190"/>
      <c r="D72" s="190"/>
      <c r="E72" s="190"/>
      <c r="F72" s="191"/>
      <c r="G72" s="192"/>
      <c r="H72" s="193"/>
      <c r="I72" s="193"/>
      <c r="J72" s="193"/>
      <c r="K72" s="193"/>
      <c r="L72" s="193"/>
      <c r="M72" s="194"/>
      <c r="N72" s="189"/>
      <c r="O72" s="190"/>
      <c r="P72" s="190"/>
      <c r="Q72" s="190"/>
      <c r="R72" s="190"/>
      <c r="S72" s="191"/>
      <c r="T72" s="192"/>
      <c r="U72" s="193"/>
      <c r="V72" s="193"/>
      <c r="W72" s="193"/>
      <c r="X72" s="193"/>
      <c r="Y72" s="193"/>
      <c r="Z72" s="194"/>
    </row>
    <row r="73" spans="1:26" ht="18" customHeight="1" x14ac:dyDescent="0.15">
      <c r="A73" s="22"/>
      <c r="B73" s="189"/>
      <c r="C73" s="190"/>
      <c r="D73" s="190"/>
      <c r="E73" s="190"/>
      <c r="F73" s="191"/>
      <c r="G73" s="192"/>
      <c r="H73" s="193"/>
      <c r="I73" s="193"/>
      <c r="J73" s="193"/>
      <c r="K73" s="193"/>
      <c r="L73" s="193"/>
      <c r="M73" s="194"/>
      <c r="N73" s="189"/>
      <c r="O73" s="190"/>
      <c r="P73" s="190"/>
      <c r="Q73" s="190"/>
      <c r="R73" s="190"/>
      <c r="S73" s="191"/>
      <c r="T73" s="192"/>
      <c r="U73" s="193"/>
      <c r="V73" s="193"/>
      <c r="W73" s="193"/>
      <c r="X73" s="193"/>
      <c r="Y73" s="193"/>
      <c r="Z73" s="194"/>
    </row>
    <row r="74" spans="1:26" ht="18" customHeight="1" x14ac:dyDescent="0.15">
      <c r="A74" s="22"/>
      <c r="B74" s="189"/>
      <c r="C74" s="190"/>
      <c r="D74" s="190"/>
      <c r="E74" s="190"/>
      <c r="F74" s="191"/>
      <c r="G74" s="192"/>
      <c r="H74" s="193"/>
      <c r="I74" s="193"/>
      <c r="J74" s="193"/>
      <c r="K74" s="193"/>
      <c r="L74" s="193"/>
      <c r="M74" s="194"/>
      <c r="N74" s="189"/>
      <c r="O74" s="190"/>
      <c r="P74" s="190"/>
      <c r="Q74" s="190"/>
      <c r="R74" s="190"/>
      <c r="S74" s="191"/>
      <c r="T74" s="192"/>
      <c r="U74" s="193"/>
      <c r="V74" s="193"/>
      <c r="W74" s="193"/>
      <c r="X74" s="193"/>
      <c r="Y74" s="193"/>
      <c r="Z74" s="194"/>
    </row>
    <row r="75" spans="1:26" ht="18" customHeight="1" x14ac:dyDescent="0.15">
      <c r="A75" s="22"/>
      <c r="B75" s="189"/>
      <c r="C75" s="190"/>
      <c r="D75" s="190"/>
      <c r="E75" s="190"/>
      <c r="F75" s="191"/>
      <c r="G75" s="192"/>
      <c r="H75" s="193"/>
      <c r="I75" s="193"/>
      <c r="J75" s="193"/>
      <c r="K75" s="193"/>
      <c r="L75" s="193"/>
      <c r="M75" s="194"/>
      <c r="N75" s="189"/>
      <c r="O75" s="190"/>
      <c r="P75" s="190"/>
      <c r="Q75" s="190"/>
      <c r="R75" s="190"/>
      <c r="S75" s="191"/>
      <c r="T75" s="192"/>
      <c r="U75" s="193"/>
      <c r="V75" s="193"/>
      <c r="W75" s="193"/>
      <c r="X75" s="193"/>
      <c r="Y75" s="193"/>
      <c r="Z75" s="194"/>
    </row>
    <row r="76" spans="1:26" ht="18" customHeight="1" x14ac:dyDescent="0.15">
      <c r="A76" s="22"/>
      <c r="B76" s="178"/>
      <c r="C76" s="179"/>
      <c r="D76" s="179"/>
      <c r="E76" s="179"/>
      <c r="F76" s="180"/>
      <c r="G76" s="181"/>
      <c r="H76" s="182"/>
      <c r="I76" s="182"/>
      <c r="J76" s="182"/>
      <c r="K76" s="182"/>
      <c r="L76" s="182"/>
      <c r="M76" s="183"/>
      <c r="N76" s="178"/>
      <c r="O76" s="179"/>
      <c r="P76" s="179"/>
      <c r="Q76" s="179"/>
      <c r="R76" s="179"/>
      <c r="S76" s="180"/>
      <c r="T76" s="181"/>
      <c r="U76" s="182"/>
      <c r="V76" s="182"/>
      <c r="W76" s="182"/>
      <c r="X76" s="182"/>
      <c r="Y76" s="182"/>
      <c r="Z76" s="183"/>
    </row>
    <row r="77" spans="1:26" ht="18" customHeight="1" x14ac:dyDescent="0.15">
      <c r="A77" s="22"/>
      <c r="B77" s="26"/>
      <c r="C77" s="26"/>
      <c r="D77" s="26"/>
      <c r="E77" s="26"/>
      <c r="F77" s="26"/>
      <c r="G77" s="9"/>
      <c r="H77" s="9"/>
      <c r="I77" s="9"/>
      <c r="J77" s="9"/>
      <c r="K77" s="9"/>
      <c r="L77" s="9"/>
      <c r="M77" s="9"/>
      <c r="N77" s="26"/>
      <c r="O77" s="26"/>
      <c r="P77" s="26"/>
      <c r="Q77" s="26"/>
      <c r="R77" s="26"/>
      <c r="S77" s="26"/>
      <c r="T77" s="9"/>
      <c r="U77" s="9"/>
      <c r="V77" s="9"/>
      <c r="W77" s="9"/>
      <c r="X77" s="9"/>
      <c r="Y77" s="9"/>
      <c r="Z77" s="9"/>
    </row>
    <row r="78" spans="1:26" ht="18.75" customHeight="1" x14ac:dyDescent="0.15">
      <c r="A78" s="10" t="s">
        <v>110</v>
      </c>
    </row>
    <row r="79" spans="1:26" ht="18.75" customHeight="1" x14ac:dyDescent="0.15">
      <c r="B79" s="100" t="s">
        <v>111</v>
      </c>
      <c r="C79" s="101"/>
      <c r="D79" s="184" t="s">
        <v>112</v>
      </c>
      <c r="E79" s="184"/>
      <c r="F79" s="184"/>
      <c r="G79" s="184"/>
      <c r="H79" s="184"/>
      <c r="I79" s="184"/>
      <c r="J79" s="184"/>
      <c r="K79" s="184"/>
      <c r="L79" s="184"/>
      <c r="M79" s="184"/>
      <c r="N79" s="184"/>
      <c r="O79" s="184"/>
      <c r="P79" s="184"/>
      <c r="Q79" s="184"/>
      <c r="R79" s="184"/>
      <c r="S79" s="184"/>
      <c r="T79" s="184"/>
      <c r="U79" s="184"/>
      <c r="V79" s="184"/>
      <c r="W79" s="184"/>
      <c r="X79" s="184"/>
      <c r="Y79" s="184"/>
      <c r="Z79" s="185"/>
    </row>
    <row r="80" spans="1:26" ht="78" customHeight="1" x14ac:dyDescent="0.15">
      <c r="B80" s="158" t="s">
        <v>113</v>
      </c>
      <c r="C80" s="102" t="s">
        <v>81</v>
      </c>
      <c r="D80" s="267" t="s">
        <v>172</v>
      </c>
      <c r="E80" s="268"/>
      <c r="F80" s="268"/>
      <c r="G80" s="268"/>
      <c r="H80" s="268"/>
      <c r="I80" s="268"/>
      <c r="J80" s="268"/>
      <c r="K80" s="268"/>
      <c r="L80" s="268"/>
      <c r="M80" s="268"/>
      <c r="N80" s="268"/>
      <c r="O80" s="268"/>
      <c r="P80" s="268"/>
      <c r="Q80" s="268"/>
      <c r="R80" s="268"/>
      <c r="S80" s="268"/>
      <c r="T80" s="268"/>
      <c r="U80" s="268"/>
      <c r="V80" s="268"/>
      <c r="W80" s="268"/>
      <c r="X80" s="268"/>
      <c r="Y80" s="268"/>
      <c r="Z80" s="269"/>
    </row>
    <row r="81" spans="1:26" ht="78" customHeight="1" x14ac:dyDescent="0.15">
      <c r="B81" s="166"/>
      <c r="C81" s="103" t="s">
        <v>115</v>
      </c>
      <c r="D81" s="291" t="s">
        <v>173</v>
      </c>
      <c r="E81" s="292"/>
      <c r="F81" s="292"/>
      <c r="G81" s="292"/>
      <c r="H81" s="292"/>
      <c r="I81" s="292"/>
      <c r="J81" s="292"/>
      <c r="K81" s="292"/>
      <c r="L81" s="292"/>
      <c r="M81" s="292"/>
      <c r="N81" s="292"/>
      <c r="O81" s="292"/>
      <c r="P81" s="292"/>
      <c r="Q81" s="292"/>
      <c r="R81" s="292"/>
      <c r="S81" s="292"/>
      <c r="T81" s="292"/>
      <c r="U81" s="292"/>
      <c r="V81" s="292"/>
      <c r="W81" s="292"/>
      <c r="X81" s="292"/>
      <c r="Y81" s="292"/>
      <c r="Z81" s="293"/>
    </row>
    <row r="82" spans="1:26" ht="78" customHeight="1" x14ac:dyDescent="0.15">
      <c r="B82" s="171" t="s">
        <v>117</v>
      </c>
      <c r="C82" s="104" t="s">
        <v>90</v>
      </c>
      <c r="D82" s="282" t="s">
        <v>173</v>
      </c>
      <c r="E82" s="283"/>
      <c r="F82" s="283"/>
      <c r="G82" s="283"/>
      <c r="H82" s="283"/>
      <c r="I82" s="283"/>
      <c r="J82" s="283"/>
      <c r="K82" s="283"/>
      <c r="L82" s="283"/>
      <c r="M82" s="283"/>
      <c r="N82" s="283"/>
      <c r="O82" s="283"/>
      <c r="P82" s="283"/>
      <c r="Q82" s="283"/>
      <c r="R82" s="283"/>
      <c r="S82" s="283"/>
      <c r="T82" s="283"/>
      <c r="U82" s="283"/>
      <c r="V82" s="283"/>
      <c r="W82" s="283"/>
      <c r="X82" s="283"/>
      <c r="Y82" s="283"/>
      <c r="Z82" s="284"/>
    </row>
    <row r="83" spans="1:26" ht="78" customHeight="1" x14ac:dyDescent="0.15">
      <c r="B83" s="167"/>
      <c r="C83" s="105" t="s">
        <v>91</v>
      </c>
      <c r="D83" s="285" t="s">
        <v>174</v>
      </c>
      <c r="E83" s="286"/>
      <c r="F83" s="286"/>
      <c r="G83" s="286"/>
      <c r="H83" s="286"/>
      <c r="I83" s="286"/>
      <c r="J83" s="286"/>
      <c r="K83" s="286"/>
      <c r="L83" s="286"/>
      <c r="M83" s="286"/>
      <c r="N83" s="286"/>
      <c r="O83" s="286"/>
      <c r="P83" s="286"/>
      <c r="Q83" s="286"/>
      <c r="R83" s="286"/>
      <c r="S83" s="286"/>
      <c r="T83" s="286"/>
      <c r="U83" s="286"/>
      <c r="V83" s="286"/>
      <c r="W83" s="286"/>
      <c r="X83" s="286"/>
      <c r="Y83" s="286"/>
      <c r="Z83" s="287"/>
    </row>
    <row r="84" spans="1:26" ht="66" customHeight="1" x14ac:dyDescent="0.15">
      <c r="B84" s="171" t="s">
        <v>120</v>
      </c>
      <c r="C84" s="104" t="s">
        <v>95</v>
      </c>
      <c r="D84" s="282" t="s">
        <v>297</v>
      </c>
      <c r="E84" s="283"/>
      <c r="F84" s="283"/>
      <c r="G84" s="283"/>
      <c r="H84" s="283"/>
      <c r="I84" s="283"/>
      <c r="J84" s="283"/>
      <c r="K84" s="283"/>
      <c r="L84" s="283"/>
      <c r="M84" s="283"/>
      <c r="N84" s="283"/>
      <c r="O84" s="283"/>
      <c r="P84" s="283"/>
      <c r="Q84" s="283"/>
      <c r="R84" s="283"/>
      <c r="S84" s="283"/>
      <c r="T84" s="283"/>
      <c r="U84" s="283"/>
      <c r="V84" s="283"/>
      <c r="W84" s="283"/>
      <c r="X84" s="283"/>
      <c r="Y84" s="283"/>
      <c r="Z84" s="284"/>
    </row>
    <row r="85" spans="1:26" ht="66" customHeight="1" x14ac:dyDescent="0.15">
      <c r="B85" s="167"/>
      <c r="C85" s="106" t="s">
        <v>96</v>
      </c>
      <c r="D85" s="288" t="s">
        <v>175</v>
      </c>
      <c r="E85" s="289"/>
      <c r="F85" s="289"/>
      <c r="G85" s="289"/>
      <c r="H85" s="289"/>
      <c r="I85" s="289"/>
      <c r="J85" s="289"/>
      <c r="K85" s="289"/>
      <c r="L85" s="289"/>
      <c r="M85" s="289"/>
      <c r="N85" s="289"/>
      <c r="O85" s="289"/>
      <c r="P85" s="289"/>
      <c r="Q85" s="289"/>
      <c r="R85" s="289"/>
      <c r="S85" s="289"/>
      <c r="T85" s="289"/>
      <c r="U85" s="289"/>
      <c r="V85" s="289"/>
      <c r="W85" s="289"/>
      <c r="X85" s="289"/>
      <c r="Y85" s="289"/>
      <c r="Z85" s="290"/>
    </row>
    <row r="86" spans="1:26" ht="66" customHeight="1" x14ac:dyDescent="0.15">
      <c r="B86" s="158" t="s">
        <v>123</v>
      </c>
      <c r="C86" s="102" t="s">
        <v>99</v>
      </c>
      <c r="D86" s="267" t="s">
        <v>176</v>
      </c>
      <c r="E86" s="268"/>
      <c r="F86" s="268"/>
      <c r="G86" s="268"/>
      <c r="H86" s="268"/>
      <c r="I86" s="268"/>
      <c r="J86" s="268"/>
      <c r="K86" s="268"/>
      <c r="L86" s="268"/>
      <c r="M86" s="268"/>
      <c r="N86" s="268"/>
      <c r="O86" s="268"/>
      <c r="P86" s="268"/>
      <c r="Q86" s="268"/>
      <c r="R86" s="268"/>
      <c r="S86" s="268"/>
      <c r="T86" s="268"/>
      <c r="U86" s="268"/>
      <c r="V86" s="268"/>
      <c r="W86" s="268"/>
      <c r="X86" s="268"/>
      <c r="Y86" s="268"/>
      <c r="Z86" s="269"/>
    </row>
    <row r="87" spans="1:26" ht="66" customHeight="1" x14ac:dyDescent="0.15">
      <c r="B87" s="159"/>
      <c r="C87" s="107" t="s">
        <v>100</v>
      </c>
      <c r="D87" s="270" t="s">
        <v>177</v>
      </c>
      <c r="E87" s="271"/>
      <c r="F87" s="271"/>
      <c r="G87" s="271"/>
      <c r="H87" s="271"/>
      <c r="I87" s="271"/>
      <c r="J87" s="271"/>
      <c r="K87" s="271"/>
      <c r="L87" s="271"/>
      <c r="M87" s="271"/>
      <c r="N87" s="271"/>
      <c r="O87" s="271"/>
      <c r="P87" s="271"/>
      <c r="Q87" s="271"/>
      <c r="R87" s="271"/>
      <c r="S87" s="271"/>
      <c r="T87" s="271"/>
      <c r="U87" s="271"/>
      <c r="V87" s="271"/>
      <c r="W87" s="271"/>
      <c r="X87" s="271"/>
      <c r="Y87" s="271"/>
      <c r="Z87" s="272"/>
    </row>
    <row r="88" spans="1:26" ht="66" customHeight="1" x14ac:dyDescent="0.15">
      <c r="B88" s="158" t="s">
        <v>126</v>
      </c>
      <c r="C88" s="104" t="s">
        <v>103</v>
      </c>
      <c r="D88" s="273" t="s">
        <v>178</v>
      </c>
      <c r="E88" s="274"/>
      <c r="F88" s="274"/>
      <c r="G88" s="274"/>
      <c r="H88" s="274"/>
      <c r="I88" s="274"/>
      <c r="J88" s="274"/>
      <c r="K88" s="274"/>
      <c r="L88" s="274"/>
      <c r="M88" s="274"/>
      <c r="N88" s="274"/>
      <c r="O88" s="274"/>
      <c r="P88" s="274"/>
      <c r="Q88" s="274"/>
      <c r="R88" s="274"/>
      <c r="S88" s="274"/>
      <c r="T88" s="274"/>
      <c r="U88" s="274"/>
      <c r="V88" s="274"/>
      <c r="W88" s="274"/>
      <c r="X88" s="274"/>
      <c r="Y88" s="274"/>
      <c r="Z88" s="275"/>
    </row>
    <row r="89" spans="1:26" ht="66" customHeight="1" x14ac:dyDescent="0.15">
      <c r="B89" s="166"/>
      <c r="C89" s="107" t="s">
        <v>104</v>
      </c>
      <c r="D89" s="276" t="s">
        <v>177</v>
      </c>
      <c r="E89" s="277"/>
      <c r="F89" s="277"/>
      <c r="G89" s="277"/>
      <c r="H89" s="277"/>
      <c r="I89" s="277"/>
      <c r="J89" s="277"/>
      <c r="K89" s="277"/>
      <c r="L89" s="277"/>
      <c r="M89" s="277"/>
      <c r="N89" s="277"/>
      <c r="O89" s="277"/>
      <c r="P89" s="277"/>
      <c r="Q89" s="277"/>
      <c r="R89" s="277"/>
      <c r="S89" s="277"/>
      <c r="T89" s="277"/>
      <c r="U89" s="277"/>
      <c r="V89" s="277"/>
      <c r="W89" s="277"/>
      <c r="X89" s="277"/>
      <c r="Y89" s="277"/>
      <c r="Z89" s="278"/>
    </row>
    <row r="90" spans="1:26" ht="66" customHeight="1" x14ac:dyDescent="0.15">
      <c r="B90" s="167"/>
      <c r="C90" s="106" t="s">
        <v>105</v>
      </c>
      <c r="D90" s="279" t="s">
        <v>179</v>
      </c>
      <c r="E90" s="280"/>
      <c r="F90" s="280"/>
      <c r="G90" s="280"/>
      <c r="H90" s="280"/>
      <c r="I90" s="280"/>
      <c r="J90" s="280"/>
      <c r="K90" s="280"/>
      <c r="L90" s="280"/>
      <c r="M90" s="280"/>
      <c r="N90" s="280"/>
      <c r="O90" s="280"/>
      <c r="P90" s="280"/>
      <c r="Q90" s="280"/>
      <c r="R90" s="280"/>
      <c r="S90" s="280"/>
      <c r="T90" s="280"/>
      <c r="U90" s="280"/>
      <c r="V90" s="280"/>
      <c r="W90" s="280"/>
      <c r="X90" s="280"/>
      <c r="Y90" s="280"/>
      <c r="Z90" s="281"/>
    </row>
    <row r="91" spans="1:26" ht="6" customHeight="1" x14ac:dyDescent="0.15"/>
    <row r="92" spans="1:26" ht="18.75" customHeight="1" x14ac:dyDescent="0.15">
      <c r="A92" s="10" t="s">
        <v>130</v>
      </c>
    </row>
    <row r="93" spans="1:26" ht="18.75" customHeight="1" x14ac:dyDescent="0.15">
      <c r="B93" s="240" t="s">
        <v>180</v>
      </c>
      <c r="C93" s="259"/>
      <c r="D93" s="259"/>
      <c r="E93" s="259"/>
      <c r="F93" s="259"/>
      <c r="G93" s="259"/>
      <c r="H93" s="259"/>
      <c r="I93" s="259"/>
      <c r="J93" s="259"/>
      <c r="K93" s="259"/>
      <c r="L93" s="259"/>
      <c r="M93" s="259"/>
      <c r="N93" s="259"/>
      <c r="O93" s="259"/>
      <c r="P93" s="259"/>
      <c r="Q93" s="259"/>
      <c r="R93" s="259"/>
      <c r="S93" s="259"/>
      <c r="T93" s="259"/>
      <c r="U93" s="259"/>
      <c r="V93" s="259"/>
      <c r="W93" s="259"/>
      <c r="X93" s="259"/>
      <c r="Y93" s="259"/>
      <c r="Z93" s="260"/>
    </row>
    <row r="94" spans="1:26" ht="18.75" customHeight="1" x14ac:dyDescent="0.15">
      <c r="B94" s="261"/>
      <c r="C94" s="262"/>
      <c r="D94" s="262"/>
      <c r="E94" s="262"/>
      <c r="F94" s="262"/>
      <c r="G94" s="262"/>
      <c r="H94" s="262"/>
      <c r="I94" s="262"/>
      <c r="J94" s="262"/>
      <c r="K94" s="262"/>
      <c r="L94" s="262"/>
      <c r="M94" s="262"/>
      <c r="N94" s="262"/>
      <c r="O94" s="262"/>
      <c r="P94" s="262"/>
      <c r="Q94" s="262"/>
      <c r="R94" s="262"/>
      <c r="S94" s="262"/>
      <c r="T94" s="262"/>
      <c r="U94" s="262"/>
      <c r="V94" s="262"/>
      <c r="W94" s="262"/>
      <c r="X94" s="262"/>
      <c r="Y94" s="262"/>
      <c r="Z94" s="263"/>
    </row>
    <row r="95" spans="1:26" ht="18.75" customHeight="1" x14ac:dyDescent="0.15">
      <c r="B95" s="264"/>
      <c r="C95" s="265"/>
      <c r="D95" s="265"/>
      <c r="E95" s="265"/>
      <c r="F95" s="265"/>
      <c r="G95" s="265"/>
      <c r="H95" s="265"/>
      <c r="I95" s="265"/>
      <c r="J95" s="265"/>
      <c r="K95" s="265"/>
      <c r="L95" s="265"/>
      <c r="M95" s="265"/>
      <c r="N95" s="265"/>
      <c r="O95" s="265"/>
      <c r="P95" s="265"/>
      <c r="Q95" s="265"/>
      <c r="R95" s="265"/>
      <c r="S95" s="265"/>
      <c r="T95" s="265"/>
      <c r="U95" s="265"/>
      <c r="V95" s="265"/>
      <c r="W95" s="265"/>
      <c r="X95" s="265"/>
      <c r="Y95" s="265"/>
      <c r="Z95" s="266"/>
    </row>
    <row r="96" spans="1:26" ht="6" customHeight="1" x14ac:dyDescent="0.15"/>
    <row r="97" spans="1:26" ht="15" customHeight="1" x14ac:dyDescent="0.15">
      <c r="A97" s="10" t="s">
        <v>132</v>
      </c>
    </row>
    <row r="98" spans="1:26" ht="15" customHeight="1" x14ac:dyDescent="0.15">
      <c r="B98" s="155" t="s">
        <v>133</v>
      </c>
      <c r="C98" s="156"/>
      <c r="D98" s="156"/>
      <c r="E98" s="156"/>
      <c r="F98" s="156"/>
      <c r="G98" s="156"/>
      <c r="H98" s="156"/>
      <c r="I98" s="156"/>
      <c r="J98" s="156"/>
      <c r="K98" s="156"/>
      <c r="L98" s="156"/>
      <c r="M98" s="156"/>
      <c r="N98" s="156"/>
      <c r="O98" s="156"/>
      <c r="P98" s="156"/>
      <c r="Q98" s="156"/>
      <c r="R98" s="156"/>
      <c r="S98" s="156"/>
      <c r="T98" s="156"/>
      <c r="U98" s="156"/>
      <c r="V98" s="156"/>
      <c r="W98" s="156"/>
      <c r="X98" s="156"/>
      <c r="Y98" s="156"/>
      <c r="Z98" s="157"/>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2"/>
  <dataValidations count="4">
    <dataValidation type="list" allowBlank="1" showInputMessage="1" showErrorMessage="1" sqref="H74:M77 G70:G77 H70:M71 T70:T77 U70:Z71 U74:Z77" xr:uid="{F112481C-333B-4148-B147-DEAD7D3726E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xr:uid="{384F7023-037A-1749-87D2-87B29D79484A}">
      <formula1>"学部・学科によって、修了要件は相違する,学部・学科によって、修了要件は相違しない"</formula1>
    </dataValidation>
    <dataValidation type="list" allowBlank="1" showInputMessage="1" showErrorMessage="1" sqref="Z23 Z34 D34:K34 D23:K23 V16:V22 I16:I22 V27:V33 I27:I33 V38:V44 I38:I44 V49:V55 I49:I55 U60:U66 H60:H66" xr:uid="{B17DF20C-5EBD-A441-9FFD-87263A3F710A}">
      <formula1>"全学開講,一部開講"</formula1>
    </dataValidation>
    <dataValidation type="list" allowBlank="1" showInputMessage="1" showErrorMessage="1" sqref="Y16:Z22 L16:M22 Y27:Z33 L27:M33 L38:M44 Y38:Z44 L49:M55 Y49:Z55 Y60:Z66 L60:M66 H16:H22 U16:U22 H27:H33 U27:U33 H38:H44 U38:U44 H49:H55 U49:U55 G60:G66 T60:T66 K60:K61" xr:uid="{32424FDC-8F62-F246-A5B8-4C13BFB5AA73}">
      <formula1>"○"</formula1>
    </dataValidation>
  </dataValidations>
  <hyperlinks>
    <hyperlink ref="B98:Z98" r:id="rId1" display="https://www.gifu-nct.ac.jp/campuslife/datascience/" xr:uid="{BBEFC935-D303-CF45-AA8E-36BAD2106A22}"/>
  </hyperlinks>
  <printOptions horizontalCentered="1"/>
  <pageMargins left="0.78740157480314965" right="0.78740157480314965" top="0.59055118110236227" bottom="0.19685039370078741" header="0.31496062992125984" footer="0.19685039370078741"/>
  <pageSetup paperSize="9" scale="98" fitToHeight="0" orientation="landscape" r:id="rId2"/>
  <rowBreaks count="3" manualBreakCount="3">
    <brk id="34" max="25" man="1"/>
    <brk id="67" max="25" man="1"/>
    <brk id="83" max="2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D4230-AF94-914A-A4AD-9C608BAC18CF}">
  <dimension ref="A1:Z98"/>
  <sheetViews>
    <sheetView showZeros="0" view="pageBreakPreview" zoomScaleNormal="100" zoomScaleSheetLayoutView="100" workbookViewId="0">
      <selection activeCell="B6" sqref="B6:Z11"/>
    </sheetView>
  </sheetViews>
  <sheetFormatPr defaultColWidth="9" defaultRowHeight="18.75" customHeight="1" x14ac:dyDescent="0.15"/>
  <cols>
    <col min="1" max="1" width="2.5" style="10" customWidth="1"/>
    <col min="2" max="2" width="27.625" style="10" customWidth="1"/>
    <col min="3" max="13" width="3.375" style="10" customWidth="1"/>
    <col min="14" max="14" width="8.875" style="10" customWidth="1"/>
    <col min="15" max="15" width="18.875" style="10" customWidth="1"/>
    <col min="16" max="19" width="3.375" style="10" customWidth="1"/>
    <col min="20" max="20" width="3.5" style="10" customWidth="1"/>
    <col min="21" max="26" width="3.375" style="10" customWidth="1"/>
    <col min="27" max="16384" width="9" style="10"/>
  </cols>
  <sheetData>
    <row r="1" spans="1:26" ht="15" customHeight="1" x14ac:dyDescent="0.15">
      <c r="W1" s="229" t="s">
        <v>181</v>
      </c>
      <c r="X1" s="229"/>
      <c r="Y1" s="229"/>
      <c r="Z1" s="229"/>
    </row>
    <row r="2" spans="1:26" ht="18" customHeight="1" x14ac:dyDescent="0.15">
      <c r="A2" s="230" t="s">
        <v>71</v>
      </c>
      <c r="B2" s="230"/>
      <c r="C2" s="230"/>
      <c r="D2" s="230"/>
      <c r="E2" s="230"/>
      <c r="F2" s="230"/>
      <c r="G2" s="230"/>
      <c r="H2" s="230"/>
      <c r="I2" s="230"/>
      <c r="J2" s="230"/>
      <c r="K2" s="230"/>
      <c r="L2" s="230"/>
      <c r="M2" s="230"/>
      <c r="N2" s="230"/>
      <c r="O2" s="230"/>
      <c r="P2" s="230"/>
      <c r="Q2" s="230"/>
      <c r="R2" s="230"/>
      <c r="S2" s="230"/>
      <c r="T2" s="230"/>
      <c r="U2" s="230"/>
      <c r="V2" s="230"/>
      <c r="W2" s="230"/>
      <c r="X2" s="230"/>
      <c r="Y2" s="230"/>
      <c r="Z2" s="230"/>
    </row>
    <row r="3" spans="1:26" ht="15" customHeight="1" x14ac:dyDescent="0.15">
      <c r="B3" s="22"/>
      <c r="C3" s="22"/>
      <c r="D3" s="22"/>
      <c r="E3" s="22"/>
      <c r="F3" s="22"/>
      <c r="G3" s="22"/>
      <c r="H3" s="22"/>
      <c r="I3" s="22"/>
      <c r="J3" s="22"/>
      <c r="K3" s="22"/>
      <c r="L3" s="22"/>
      <c r="M3" s="22"/>
      <c r="N3" s="22"/>
      <c r="O3" s="22"/>
      <c r="P3" s="22"/>
      <c r="Q3" s="22"/>
      <c r="R3" s="22"/>
      <c r="S3" s="22"/>
      <c r="T3" s="22"/>
      <c r="U3" s="22"/>
      <c r="V3" s="22"/>
      <c r="W3" s="22"/>
      <c r="X3" s="22"/>
      <c r="Y3" s="22"/>
      <c r="Z3" s="22"/>
    </row>
    <row r="4" spans="1:26" ht="18" customHeight="1" x14ac:dyDescent="0.15">
      <c r="A4" s="10" t="s">
        <v>72</v>
      </c>
      <c r="B4" s="22"/>
      <c r="C4" s="22"/>
      <c r="D4" s="22"/>
      <c r="E4" s="22"/>
      <c r="F4" s="22"/>
      <c r="G4" s="22"/>
      <c r="H4" s="11" t="s">
        <v>73</v>
      </c>
      <c r="I4" s="22"/>
      <c r="J4" s="22"/>
      <c r="K4" s="22"/>
      <c r="L4" s="22"/>
      <c r="M4" s="22"/>
      <c r="N4" s="22"/>
      <c r="O4" s="139" t="s">
        <v>74</v>
      </c>
      <c r="P4" s="141"/>
      <c r="Q4" s="141"/>
      <c r="R4" s="141"/>
      <c r="S4" s="141"/>
      <c r="T4" s="141"/>
      <c r="U4" s="141"/>
      <c r="V4" s="141"/>
      <c r="W4" s="141"/>
      <c r="X4" s="141"/>
      <c r="Y4" s="141"/>
      <c r="Z4" s="140"/>
    </row>
    <row r="5" spans="1:26" ht="6" customHeight="1" x14ac:dyDescent="0.15">
      <c r="B5" s="22"/>
      <c r="C5" s="22"/>
      <c r="D5" s="22"/>
      <c r="E5" s="22"/>
      <c r="F5" s="22"/>
      <c r="G5" s="22"/>
      <c r="H5" s="22"/>
      <c r="I5" s="22"/>
      <c r="J5" s="22"/>
      <c r="K5" s="22"/>
      <c r="L5" s="22"/>
      <c r="M5" s="22"/>
      <c r="N5" s="22"/>
      <c r="O5" s="12"/>
      <c r="P5" s="22"/>
      <c r="Q5" s="22"/>
      <c r="R5" s="22"/>
      <c r="S5" s="22"/>
      <c r="T5" s="22"/>
      <c r="U5" s="22"/>
      <c r="V5" s="22"/>
      <c r="W5" s="22"/>
      <c r="X5" s="22"/>
      <c r="Y5" s="22"/>
      <c r="Z5" s="22"/>
    </row>
    <row r="6" spans="1:26" ht="18" customHeight="1" x14ac:dyDescent="0.15">
      <c r="B6" s="231" t="s">
        <v>182</v>
      </c>
      <c r="C6" s="232"/>
      <c r="D6" s="232"/>
      <c r="E6" s="232"/>
      <c r="F6" s="232"/>
      <c r="G6" s="232"/>
      <c r="H6" s="232"/>
      <c r="I6" s="232"/>
      <c r="J6" s="232"/>
      <c r="K6" s="232"/>
      <c r="L6" s="232"/>
      <c r="M6" s="232"/>
      <c r="N6" s="232"/>
      <c r="O6" s="232"/>
      <c r="P6" s="232"/>
      <c r="Q6" s="232"/>
      <c r="R6" s="232"/>
      <c r="S6" s="232"/>
      <c r="T6" s="232"/>
      <c r="U6" s="232"/>
      <c r="V6" s="232"/>
      <c r="W6" s="232"/>
      <c r="X6" s="232"/>
      <c r="Y6" s="232"/>
      <c r="Z6" s="233"/>
    </row>
    <row r="7" spans="1:26" ht="18" customHeight="1" x14ac:dyDescent="0.15">
      <c r="B7" s="234"/>
      <c r="C7" s="235"/>
      <c r="D7" s="235"/>
      <c r="E7" s="235"/>
      <c r="F7" s="235"/>
      <c r="G7" s="235"/>
      <c r="H7" s="235"/>
      <c r="I7" s="235"/>
      <c r="J7" s="235"/>
      <c r="K7" s="235"/>
      <c r="L7" s="235"/>
      <c r="M7" s="235"/>
      <c r="N7" s="235"/>
      <c r="O7" s="235"/>
      <c r="P7" s="235"/>
      <c r="Q7" s="235"/>
      <c r="R7" s="235"/>
      <c r="S7" s="235"/>
      <c r="T7" s="235"/>
      <c r="U7" s="235"/>
      <c r="V7" s="235"/>
      <c r="W7" s="235"/>
      <c r="X7" s="235"/>
      <c r="Y7" s="235"/>
      <c r="Z7" s="236"/>
    </row>
    <row r="8" spans="1:26" ht="18" customHeight="1" x14ac:dyDescent="0.15">
      <c r="B8" s="234"/>
      <c r="C8" s="235"/>
      <c r="D8" s="235"/>
      <c r="E8" s="235"/>
      <c r="F8" s="235"/>
      <c r="G8" s="235"/>
      <c r="H8" s="235"/>
      <c r="I8" s="235"/>
      <c r="J8" s="235"/>
      <c r="K8" s="235"/>
      <c r="L8" s="235"/>
      <c r="M8" s="235"/>
      <c r="N8" s="235"/>
      <c r="O8" s="235"/>
      <c r="P8" s="235"/>
      <c r="Q8" s="235"/>
      <c r="R8" s="235"/>
      <c r="S8" s="235"/>
      <c r="T8" s="235"/>
      <c r="U8" s="235"/>
      <c r="V8" s="235"/>
      <c r="W8" s="235"/>
      <c r="X8" s="235"/>
      <c r="Y8" s="235"/>
      <c r="Z8" s="236"/>
    </row>
    <row r="9" spans="1:26" ht="18" customHeight="1" x14ac:dyDescent="0.15">
      <c r="B9" s="234"/>
      <c r="C9" s="235"/>
      <c r="D9" s="235"/>
      <c r="E9" s="235"/>
      <c r="F9" s="235"/>
      <c r="G9" s="235"/>
      <c r="H9" s="235"/>
      <c r="I9" s="235"/>
      <c r="J9" s="235"/>
      <c r="K9" s="235"/>
      <c r="L9" s="235"/>
      <c r="M9" s="235"/>
      <c r="N9" s="235"/>
      <c r="O9" s="235"/>
      <c r="P9" s="235"/>
      <c r="Q9" s="235"/>
      <c r="R9" s="235"/>
      <c r="S9" s="235"/>
      <c r="T9" s="235"/>
      <c r="U9" s="235"/>
      <c r="V9" s="235"/>
      <c r="W9" s="235"/>
      <c r="X9" s="235"/>
      <c r="Y9" s="235"/>
      <c r="Z9" s="236"/>
    </row>
    <row r="10" spans="1:26" ht="18" customHeight="1" x14ac:dyDescent="0.15">
      <c r="B10" s="234"/>
      <c r="C10" s="235"/>
      <c r="D10" s="235"/>
      <c r="E10" s="235"/>
      <c r="F10" s="235"/>
      <c r="G10" s="235"/>
      <c r="H10" s="235"/>
      <c r="I10" s="235"/>
      <c r="J10" s="235"/>
      <c r="K10" s="235"/>
      <c r="L10" s="235"/>
      <c r="M10" s="235"/>
      <c r="N10" s="235"/>
      <c r="O10" s="235"/>
      <c r="P10" s="235"/>
      <c r="Q10" s="235"/>
      <c r="R10" s="235"/>
      <c r="S10" s="235"/>
      <c r="T10" s="235"/>
      <c r="U10" s="235"/>
      <c r="V10" s="235"/>
      <c r="W10" s="235"/>
      <c r="X10" s="235"/>
      <c r="Y10" s="235"/>
      <c r="Z10" s="236"/>
    </row>
    <row r="11" spans="1:26" ht="18" customHeight="1" x14ac:dyDescent="0.15">
      <c r="B11" s="237"/>
      <c r="C11" s="238"/>
      <c r="D11" s="238"/>
      <c r="E11" s="238"/>
      <c r="F11" s="238"/>
      <c r="G11" s="238"/>
      <c r="H11" s="238"/>
      <c r="I11" s="238"/>
      <c r="J11" s="238"/>
      <c r="K11" s="238"/>
      <c r="L11" s="238"/>
      <c r="M11" s="238"/>
      <c r="N11" s="238"/>
      <c r="O11" s="238"/>
      <c r="P11" s="238"/>
      <c r="Q11" s="238"/>
      <c r="R11" s="238"/>
      <c r="S11" s="238"/>
      <c r="T11" s="238"/>
      <c r="U11" s="238"/>
      <c r="V11" s="238"/>
      <c r="W11" s="238"/>
      <c r="X11" s="238"/>
      <c r="Y11" s="238"/>
      <c r="Z11" s="239"/>
    </row>
    <row r="12" spans="1:26" ht="7.5" customHeight="1" x14ac:dyDescent="0.15">
      <c r="B12" s="22"/>
      <c r="C12" s="22"/>
      <c r="D12" s="22"/>
      <c r="E12" s="22"/>
      <c r="F12" s="22"/>
      <c r="G12" s="22"/>
      <c r="H12" s="22"/>
      <c r="I12" s="22"/>
      <c r="J12" s="22"/>
      <c r="K12" s="22"/>
      <c r="L12" s="22"/>
      <c r="M12" s="22"/>
      <c r="N12" s="22"/>
      <c r="O12" s="22"/>
      <c r="P12" s="22"/>
      <c r="Q12" s="22"/>
      <c r="R12" s="22"/>
      <c r="S12" s="22"/>
      <c r="T12" s="22"/>
      <c r="U12" s="22"/>
      <c r="V12" s="22"/>
      <c r="W12" s="22"/>
      <c r="X12" s="22"/>
      <c r="Y12" s="22"/>
      <c r="Z12" s="22"/>
    </row>
    <row r="13" spans="1:26" ht="18" customHeight="1" x14ac:dyDescent="0.15">
      <c r="A13" s="216" t="s">
        <v>76</v>
      </c>
      <c r="B13" s="216"/>
      <c r="C13" s="216"/>
      <c r="D13" s="216"/>
      <c r="E13" s="216"/>
      <c r="F13" s="216"/>
      <c r="G13" s="216"/>
      <c r="H13" s="216"/>
      <c r="I13" s="216"/>
      <c r="J13" s="216"/>
      <c r="K13" s="216"/>
      <c r="L13" s="216"/>
      <c r="M13" s="216"/>
      <c r="N13" s="216"/>
      <c r="O13" s="216"/>
      <c r="P13" s="216"/>
      <c r="Q13" s="216"/>
      <c r="R13" s="216"/>
      <c r="S13" s="216"/>
      <c r="T13" s="216"/>
      <c r="U13" s="216"/>
      <c r="V13" s="216"/>
      <c r="W13" s="216"/>
      <c r="X13" s="216"/>
      <c r="Y13" s="216"/>
      <c r="Z13" s="216"/>
    </row>
    <row r="14" spans="1:26" ht="18" customHeight="1" x14ac:dyDescent="0.15">
      <c r="A14" s="216"/>
      <c r="B14" s="216"/>
      <c r="C14" s="216"/>
      <c r="D14" s="216"/>
      <c r="E14" s="216"/>
      <c r="F14" s="216"/>
      <c r="G14" s="216"/>
      <c r="H14" s="216"/>
      <c r="I14" s="216"/>
      <c r="J14" s="216"/>
      <c r="K14" s="216"/>
      <c r="L14" s="216"/>
      <c r="M14" s="216"/>
      <c r="N14" s="216"/>
      <c r="O14" s="216"/>
      <c r="P14" s="216"/>
      <c r="Q14" s="216"/>
      <c r="R14" s="216"/>
      <c r="S14" s="216"/>
      <c r="T14" s="216"/>
      <c r="U14" s="216"/>
      <c r="V14" s="216"/>
      <c r="W14" s="216"/>
      <c r="X14" s="216"/>
      <c r="Y14" s="216"/>
      <c r="Z14" s="216"/>
    </row>
    <row r="15" spans="1:26" ht="18" customHeight="1" x14ac:dyDescent="0.15">
      <c r="A15" s="11"/>
      <c r="B15" s="139" t="s">
        <v>77</v>
      </c>
      <c r="C15" s="141"/>
      <c r="D15" s="141"/>
      <c r="E15" s="141"/>
      <c r="F15" s="140"/>
      <c r="G15" s="23" t="s">
        <v>78</v>
      </c>
      <c r="H15" s="90" t="s">
        <v>79</v>
      </c>
      <c r="I15" s="141" t="s">
        <v>80</v>
      </c>
      <c r="J15" s="141"/>
      <c r="K15" s="141"/>
      <c r="L15" s="91" t="s">
        <v>81</v>
      </c>
      <c r="M15" s="91" t="s">
        <v>82</v>
      </c>
      <c r="N15" s="139" t="s">
        <v>77</v>
      </c>
      <c r="O15" s="141"/>
      <c r="P15" s="141"/>
      <c r="Q15" s="141"/>
      <c r="R15" s="141"/>
      <c r="S15" s="140"/>
      <c r="T15" s="23" t="s">
        <v>78</v>
      </c>
      <c r="U15" s="90" t="s">
        <v>79</v>
      </c>
      <c r="V15" s="141" t="s">
        <v>80</v>
      </c>
      <c r="W15" s="141"/>
      <c r="X15" s="141"/>
      <c r="Y15" s="91" t="s">
        <v>81</v>
      </c>
      <c r="Z15" s="91" t="s">
        <v>82</v>
      </c>
    </row>
    <row r="16" spans="1:26" ht="18" customHeight="1" x14ac:dyDescent="0.15">
      <c r="A16" s="11"/>
      <c r="B16" s="220" t="s">
        <v>183</v>
      </c>
      <c r="C16" s="221"/>
      <c r="D16" s="221"/>
      <c r="E16" s="221"/>
      <c r="F16" s="222"/>
      <c r="G16" s="92">
        <v>1</v>
      </c>
      <c r="H16" s="92" t="s">
        <v>84</v>
      </c>
      <c r="I16" s="210" t="s">
        <v>85</v>
      </c>
      <c r="J16" s="211"/>
      <c r="K16" s="212"/>
      <c r="L16" s="92" t="s">
        <v>84</v>
      </c>
      <c r="M16" s="92" t="s">
        <v>84</v>
      </c>
      <c r="N16" s="195"/>
      <c r="O16" s="196"/>
      <c r="P16" s="196"/>
      <c r="Q16" s="196"/>
      <c r="R16" s="196"/>
      <c r="S16" s="197"/>
      <c r="T16" s="92"/>
      <c r="U16" s="92"/>
      <c r="V16" s="210"/>
      <c r="W16" s="211"/>
      <c r="X16" s="212"/>
      <c r="Y16" s="92"/>
      <c r="Z16" s="92"/>
    </row>
    <row r="17" spans="1:26" ht="18" customHeight="1" x14ac:dyDescent="0.15">
      <c r="A17" s="11"/>
      <c r="B17" s="217"/>
      <c r="C17" s="218"/>
      <c r="D17" s="218"/>
      <c r="E17" s="218"/>
      <c r="F17" s="219"/>
      <c r="G17" s="93"/>
      <c r="H17" s="93"/>
      <c r="I17" s="207"/>
      <c r="J17" s="208"/>
      <c r="K17" s="209"/>
      <c r="L17" s="93"/>
      <c r="M17" s="93"/>
      <c r="N17" s="189"/>
      <c r="O17" s="190"/>
      <c r="P17" s="190"/>
      <c r="Q17" s="190"/>
      <c r="R17" s="190"/>
      <c r="S17" s="191"/>
      <c r="T17" s="93"/>
      <c r="U17" s="93"/>
      <c r="V17" s="207"/>
      <c r="W17" s="208"/>
      <c r="X17" s="209"/>
      <c r="Y17" s="93"/>
      <c r="Z17" s="93"/>
    </row>
    <row r="18" spans="1:26" ht="18" customHeight="1" x14ac:dyDescent="0.15">
      <c r="A18" s="11"/>
      <c r="B18" s="217"/>
      <c r="C18" s="218"/>
      <c r="D18" s="218"/>
      <c r="E18" s="218"/>
      <c r="F18" s="219"/>
      <c r="G18" s="93"/>
      <c r="H18" s="93"/>
      <c r="I18" s="207"/>
      <c r="J18" s="208"/>
      <c r="K18" s="209"/>
      <c r="L18" s="93"/>
      <c r="M18" s="93"/>
      <c r="N18" s="189"/>
      <c r="O18" s="190"/>
      <c r="P18" s="190"/>
      <c r="Q18" s="190"/>
      <c r="R18" s="190"/>
      <c r="S18" s="191"/>
      <c r="T18" s="93"/>
      <c r="U18" s="93"/>
      <c r="V18" s="207"/>
      <c r="W18" s="208"/>
      <c r="X18" s="209"/>
      <c r="Y18" s="93"/>
      <c r="Z18" s="93"/>
    </row>
    <row r="19" spans="1:26" ht="18" customHeight="1" x14ac:dyDescent="0.15">
      <c r="A19" s="11"/>
      <c r="B19" s="217"/>
      <c r="C19" s="218"/>
      <c r="D19" s="218"/>
      <c r="E19" s="218"/>
      <c r="F19" s="219"/>
      <c r="G19" s="93"/>
      <c r="H19" s="93"/>
      <c r="I19" s="207"/>
      <c r="J19" s="208"/>
      <c r="K19" s="209"/>
      <c r="L19" s="93"/>
      <c r="M19" s="93"/>
      <c r="N19" s="189"/>
      <c r="O19" s="190"/>
      <c r="P19" s="190"/>
      <c r="Q19" s="190"/>
      <c r="R19" s="190"/>
      <c r="S19" s="191"/>
      <c r="T19" s="93"/>
      <c r="U19" s="93"/>
      <c r="V19" s="207"/>
      <c r="W19" s="208"/>
      <c r="X19" s="209"/>
      <c r="Y19" s="93"/>
      <c r="Z19" s="93"/>
    </row>
    <row r="20" spans="1:26" ht="18" customHeight="1" x14ac:dyDescent="0.15">
      <c r="A20" s="11"/>
      <c r="B20" s="217"/>
      <c r="C20" s="218"/>
      <c r="D20" s="218"/>
      <c r="E20" s="218"/>
      <c r="F20" s="219"/>
      <c r="G20" s="93"/>
      <c r="H20" s="93"/>
      <c r="I20" s="207"/>
      <c r="J20" s="208"/>
      <c r="K20" s="209"/>
      <c r="L20" s="93"/>
      <c r="M20" s="93"/>
      <c r="N20" s="189"/>
      <c r="O20" s="190"/>
      <c r="P20" s="190"/>
      <c r="Q20" s="190"/>
      <c r="R20" s="190"/>
      <c r="S20" s="191"/>
      <c r="T20" s="93"/>
      <c r="U20" s="93"/>
      <c r="V20" s="207"/>
      <c r="W20" s="208"/>
      <c r="X20" s="209"/>
      <c r="Y20" s="93"/>
      <c r="Z20" s="93"/>
    </row>
    <row r="21" spans="1:26" ht="18" customHeight="1" x14ac:dyDescent="0.15">
      <c r="A21" s="22"/>
      <c r="B21" s="217"/>
      <c r="C21" s="218"/>
      <c r="D21" s="218"/>
      <c r="E21" s="218"/>
      <c r="F21" s="219"/>
      <c r="G21" s="93"/>
      <c r="H21" s="93"/>
      <c r="I21" s="207"/>
      <c r="J21" s="208"/>
      <c r="K21" s="209"/>
      <c r="L21" s="93"/>
      <c r="M21" s="93"/>
      <c r="N21" s="189"/>
      <c r="O21" s="190"/>
      <c r="P21" s="190"/>
      <c r="Q21" s="190"/>
      <c r="R21" s="190"/>
      <c r="S21" s="191"/>
      <c r="T21" s="93"/>
      <c r="U21" s="93"/>
      <c r="V21" s="207"/>
      <c r="W21" s="208"/>
      <c r="X21" s="209"/>
      <c r="Y21" s="93"/>
      <c r="Z21" s="93"/>
    </row>
    <row r="22" spans="1:26" ht="18" customHeight="1" x14ac:dyDescent="0.15">
      <c r="A22" s="22"/>
      <c r="B22" s="213"/>
      <c r="C22" s="214"/>
      <c r="D22" s="214"/>
      <c r="E22" s="214"/>
      <c r="F22" s="215"/>
      <c r="G22" s="94"/>
      <c r="H22" s="94"/>
      <c r="I22" s="201"/>
      <c r="J22" s="202"/>
      <c r="K22" s="203"/>
      <c r="L22" s="95"/>
      <c r="M22" s="95"/>
      <c r="N22" s="178"/>
      <c r="O22" s="179"/>
      <c r="P22" s="179"/>
      <c r="Q22" s="179"/>
      <c r="R22" s="179"/>
      <c r="S22" s="180"/>
      <c r="T22" s="94"/>
      <c r="U22" s="94"/>
      <c r="V22" s="201"/>
      <c r="W22" s="202"/>
      <c r="X22" s="203"/>
      <c r="Y22" s="95"/>
      <c r="Z22" s="95"/>
    </row>
    <row r="23" spans="1:26" ht="7.5" customHeight="1" x14ac:dyDescent="0.15">
      <c r="A23" s="22"/>
      <c r="B23" s="26"/>
      <c r="C23" s="26"/>
      <c r="D23" s="22"/>
      <c r="E23" s="22"/>
      <c r="F23" s="22"/>
      <c r="G23" s="22"/>
      <c r="H23" s="22"/>
      <c r="I23" s="22"/>
      <c r="J23" s="22"/>
      <c r="K23" s="22"/>
      <c r="L23" s="26"/>
      <c r="M23" s="26"/>
      <c r="N23" s="26"/>
      <c r="O23" s="26"/>
      <c r="P23" s="26"/>
      <c r="Q23" s="26"/>
      <c r="R23" s="26"/>
      <c r="S23" s="26"/>
      <c r="T23" s="26"/>
      <c r="U23" s="26"/>
      <c r="V23" s="26"/>
      <c r="W23" s="26"/>
      <c r="X23" s="26"/>
      <c r="Y23" s="26"/>
      <c r="Z23" s="22"/>
    </row>
    <row r="24" spans="1:26" ht="18" customHeight="1" x14ac:dyDescent="0.15">
      <c r="A24" s="216" t="s">
        <v>89</v>
      </c>
      <c r="B24" s="216"/>
      <c r="C24" s="216"/>
      <c r="D24" s="216"/>
      <c r="E24" s="216"/>
      <c r="F24" s="216"/>
      <c r="G24" s="216"/>
      <c r="H24" s="216"/>
      <c r="I24" s="216"/>
      <c r="J24" s="216"/>
      <c r="K24" s="216"/>
      <c r="L24" s="216"/>
      <c r="M24" s="216"/>
      <c r="N24" s="216"/>
      <c r="O24" s="216"/>
      <c r="P24" s="216"/>
      <c r="Q24" s="216"/>
      <c r="R24" s="216"/>
      <c r="S24" s="216"/>
      <c r="T24" s="216"/>
      <c r="U24" s="216"/>
      <c r="V24" s="216"/>
      <c r="W24" s="216"/>
      <c r="X24" s="216"/>
      <c r="Y24" s="216"/>
      <c r="Z24" s="216"/>
    </row>
    <row r="25" spans="1:26" ht="18" customHeight="1" x14ac:dyDescent="0.15">
      <c r="A25" s="216"/>
      <c r="B25" s="216"/>
      <c r="C25" s="216"/>
      <c r="D25" s="216"/>
      <c r="E25" s="216"/>
      <c r="F25" s="216"/>
      <c r="G25" s="216"/>
      <c r="H25" s="216"/>
      <c r="I25" s="216"/>
      <c r="J25" s="216"/>
      <c r="K25" s="216"/>
      <c r="L25" s="216"/>
      <c r="M25" s="216"/>
      <c r="N25" s="216"/>
      <c r="O25" s="216"/>
      <c r="P25" s="216"/>
      <c r="Q25" s="216"/>
      <c r="R25" s="216"/>
      <c r="S25" s="216"/>
      <c r="T25" s="216"/>
      <c r="U25" s="216"/>
      <c r="V25" s="216"/>
      <c r="W25" s="216"/>
      <c r="X25" s="216"/>
      <c r="Y25" s="216"/>
      <c r="Z25" s="216"/>
    </row>
    <row r="26" spans="1:26" ht="18" customHeight="1" x14ac:dyDescent="0.15">
      <c r="A26" s="11"/>
      <c r="B26" s="139" t="s">
        <v>77</v>
      </c>
      <c r="C26" s="141"/>
      <c r="D26" s="141"/>
      <c r="E26" s="141"/>
      <c r="F26" s="140"/>
      <c r="G26" s="23" t="s">
        <v>78</v>
      </c>
      <c r="H26" s="90" t="s">
        <v>79</v>
      </c>
      <c r="I26" s="141" t="s">
        <v>80</v>
      </c>
      <c r="J26" s="141"/>
      <c r="K26" s="141"/>
      <c r="L26" s="91" t="s">
        <v>90</v>
      </c>
      <c r="M26" s="91" t="s">
        <v>91</v>
      </c>
      <c r="N26" s="139" t="s">
        <v>77</v>
      </c>
      <c r="O26" s="141"/>
      <c r="P26" s="141"/>
      <c r="Q26" s="141"/>
      <c r="R26" s="141"/>
      <c r="S26" s="140"/>
      <c r="T26" s="23" t="s">
        <v>78</v>
      </c>
      <c r="U26" s="90" t="s">
        <v>79</v>
      </c>
      <c r="V26" s="141" t="s">
        <v>80</v>
      </c>
      <c r="W26" s="141"/>
      <c r="X26" s="141"/>
      <c r="Y26" s="91" t="s">
        <v>90</v>
      </c>
      <c r="Z26" s="91" t="s">
        <v>91</v>
      </c>
    </row>
    <row r="27" spans="1:26" ht="18" customHeight="1" x14ac:dyDescent="0.15">
      <c r="A27" s="11"/>
      <c r="B27" s="220" t="s">
        <v>183</v>
      </c>
      <c r="C27" s="221"/>
      <c r="D27" s="221"/>
      <c r="E27" s="221"/>
      <c r="F27" s="222"/>
      <c r="G27" s="92">
        <v>1</v>
      </c>
      <c r="H27" s="92" t="s">
        <v>84</v>
      </c>
      <c r="I27" s="210" t="s">
        <v>85</v>
      </c>
      <c r="J27" s="211"/>
      <c r="K27" s="212"/>
      <c r="L27" s="92" t="s">
        <v>84</v>
      </c>
      <c r="M27" s="92" t="s">
        <v>84</v>
      </c>
      <c r="N27" s="195"/>
      <c r="O27" s="196"/>
      <c r="P27" s="196"/>
      <c r="Q27" s="196"/>
      <c r="R27" s="196"/>
      <c r="S27" s="197"/>
      <c r="T27" s="92"/>
      <c r="U27" s="92"/>
      <c r="V27" s="210"/>
      <c r="W27" s="211"/>
      <c r="X27" s="212"/>
      <c r="Y27" s="92"/>
      <c r="Z27" s="92"/>
    </row>
    <row r="28" spans="1:26" ht="18" customHeight="1" x14ac:dyDescent="0.15">
      <c r="A28" s="11"/>
      <c r="B28" s="217"/>
      <c r="C28" s="218"/>
      <c r="D28" s="218"/>
      <c r="E28" s="218"/>
      <c r="F28" s="219"/>
      <c r="G28" s="93"/>
      <c r="H28" s="93"/>
      <c r="I28" s="207"/>
      <c r="J28" s="208"/>
      <c r="K28" s="209"/>
      <c r="L28" s="93"/>
      <c r="M28" s="93"/>
      <c r="N28" s="189"/>
      <c r="O28" s="190"/>
      <c r="P28" s="190"/>
      <c r="Q28" s="190"/>
      <c r="R28" s="190"/>
      <c r="S28" s="191"/>
      <c r="T28" s="93"/>
      <c r="U28" s="93"/>
      <c r="V28" s="207"/>
      <c r="W28" s="208"/>
      <c r="X28" s="209"/>
      <c r="Y28" s="93"/>
      <c r="Z28" s="93"/>
    </row>
    <row r="29" spans="1:26" ht="18" customHeight="1" x14ac:dyDescent="0.15">
      <c r="A29" s="11"/>
      <c r="B29" s="217"/>
      <c r="C29" s="218"/>
      <c r="D29" s="218"/>
      <c r="E29" s="218"/>
      <c r="F29" s="219"/>
      <c r="G29" s="93"/>
      <c r="H29" s="93"/>
      <c r="I29" s="207"/>
      <c r="J29" s="208"/>
      <c r="K29" s="209"/>
      <c r="L29" s="93"/>
      <c r="M29" s="93"/>
      <c r="N29" s="189"/>
      <c r="O29" s="190"/>
      <c r="P29" s="190"/>
      <c r="Q29" s="190"/>
      <c r="R29" s="190"/>
      <c r="S29" s="191"/>
      <c r="T29" s="93"/>
      <c r="U29" s="93"/>
      <c r="V29" s="207"/>
      <c r="W29" s="208"/>
      <c r="X29" s="209"/>
      <c r="Y29" s="93"/>
      <c r="Z29" s="93"/>
    </row>
    <row r="30" spans="1:26" ht="18" customHeight="1" x14ac:dyDescent="0.15">
      <c r="A30" s="11"/>
      <c r="B30" s="217"/>
      <c r="C30" s="218"/>
      <c r="D30" s="218"/>
      <c r="E30" s="218"/>
      <c r="F30" s="219"/>
      <c r="G30" s="93"/>
      <c r="H30" s="93"/>
      <c r="I30" s="207"/>
      <c r="J30" s="208"/>
      <c r="K30" s="209"/>
      <c r="L30" s="93"/>
      <c r="M30" s="93"/>
      <c r="N30" s="189"/>
      <c r="O30" s="190"/>
      <c r="P30" s="190"/>
      <c r="Q30" s="190"/>
      <c r="R30" s="190"/>
      <c r="S30" s="191"/>
      <c r="T30" s="93"/>
      <c r="U30" s="93"/>
      <c r="V30" s="207"/>
      <c r="W30" s="208"/>
      <c r="X30" s="209"/>
      <c r="Y30" s="93"/>
      <c r="Z30" s="93"/>
    </row>
    <row r="31" spans="1:26" ht="18" customHeight="1" x14ac:dyDescent="0.15">
      <c r="A31" s="11"/>
      <c r="B31" s="217"/>
      <c r="C31" s="218"/>
      <c r="D31" s="218"/>
      <c r="E31" s="218"/>
      <c r="F31" s="219"/>
      <c r="G31" s="93"/>
      <c r="H31" s="93"/>
      <c r="I31" s="207"/>
      <c r="J31" s="208"/>
      <c r="K31" s="209"/>
      <c r="L31" s="93"/>
      <c r="M31" s="93"/>
      <c r="N31" s="189"/>
      <c r="O31" s="190"/>
      <c r="P31" s="190"/>
      <c r="Q31" s="190"/>
      <c r="R31" s="190"/>
      <c r="S31" s="191"/>
      <c r="T31" s="93"/>
      <c r="U31" s="93"/>
      <c r="V31" s="207"/>
      <c r="W31" s="208"/>
      <c r="X31" s="209"/>
      <c r="Y31" s="93"/>
      <c r="Z31" s="93"/>
    </row>
    <row r="32" spans="1:26" ht="18" customHeight="1" x14ac:dyDescent="0.15">
      <c r="A32" s="11"/>
      <c r="B32" s="217"/>
      <c r="C32" s="218"/>
      <c r="D32" s="218"/>
      <c r="E32" s="218"/>
      <c r="F32" s="219"/>
      <c r="G32" s="93"/>
      <c r="H32" s="93"/>
      <c r="I32" s="207"/>
      <c r="J32" s="208"/>
      <c r="K32" s="209"/>
      <c r="L32" s="93"/>
      <c r="M32" s="93"/>
      <c r="N32" s="189"/>
      <c r="O32" s="190"/>
      <c r="P32" s="190"/>
      <c r="Q32" s="190"/>
      <c r="R32" s="190"/>
      <c r="S32" s="191"/>
      <c r="T32" s="93"/>
      <c r="U32" s="93"/>
      <c r="V32" s="207"/>
      <c r="W32" s="208"/>
      <c r="X32" s="209"/>
      <c r="Y32" s="93"/>
      <c r="Z32" s="93"/>
    </row>
    <row r="33" spans="1:26" ht="18" customHeight="1" x14ac:dyDescent="0.15">
      <c r="A33" s="11"/>
      <c r="B33" s="213"/>
      <c r="C33" s="214"/>
      <c r="D33" s="214"/>
      <c r="E33" s="214"/>
      <c r="F33" s="215"/>
      <c r="G33" s="94"/>
      <c r="H33" s="94"/>
      <c r="I33" s="201"/>
      <c r="J33" s="202"/>
      <c r="K33" s="203"/>
      <c r="L33" s="95"/>
      <c r="M33" s="95"/>
      <c r="N33" s="178"/>
      <c r="O33" s="179"/>
      <c r="P33" s="179"/>
      <c r="Q33" s="179"/>
      <c r="R33" s="179"/>
      <c r="S33" s="180"/>
      <c r="T33" s="94"/>
      <c r="U33" s="94"/>
      <c r="V33" s="201"/>
      <c r="W33" s="202"/>
      <c r="X33" s="203"/>
      <c r="Y33" s="95"/>
      <c r="Z33" s="95"/>
    </row>
    <row r="34" spans="1:26" ht="7.5" customHeight="1" x14ac:dyDescent="0.15">
      <c r="A34" s="22"/>
      <c r="B34" s="26"/>
      <c r="C34" s="26"/>
      <c r="D34" s="22"/>
      <c r="E34" s="22"/>
      <c r="F34" s="22"/>
      <c r="G34" s="22"/>
      <c r="H34" s="22"/>
      <c r="I34" s="22"/>
      <c r="J34" s="22"/>
      <c r="K34" s="22"/>
      <c r="L34" s="26"/>
      <c r="M34" s="26"/>
      <c r="N34" s="26"/>
      <c r="O34" s="26"/>
      <c r="P34" s="26"/>
      <c r="Q34" s="26"/>
      <c r="R34" s="26"/>
      <c r="S34" s="26"/>
      <c r="T34" s="26"/>
      <c r="U34" s="26"/>
      <c r="V34" s="26"/>
      <c r="W34" s="26"/>
      <c r="X34" s="26"/>
      <c r="Y34" s="26"/>
      <c r="Z34" s="22"/>
    </row>
    <row r="35" spans="1:26" ht="18" customHeight="1" x14ac:dyDescent="0.15">
      <c r="A35" s="216" t="s">
        <v>94</v>
      </c>
      <c r="B35" s="216"/>
      <c r="C35" s="216"/>
      <c r="D35" s="216"/>
      <c r="E35" s="216"/>
      <c r="F35" s="216"/>
      <c r="G35" s="216"/>
      <c r="H35" s="216"/>
      <c r="I35" s="216"/>
      <c r="J35" s="216"/>
      <c r="K35" s="216"/>
      <c r="L35" s="216"/>
      <c r="M35" s="216"/>
      <c r="N35" s="216"/>
      <c r="O35" s="216"/>
      <c r="P35" s="216"/>
      <c r="Q35" s="216"/>
      <c r="R35" s="216"/>
      <c r="S35" s="216"/>
      <c r="T35" s="216"/>
      <c r="U35" s="216"/>
      <c r="V35" s="216"/>
      <c r="W35" s="216"/>
      <c r="X35" s="216"/>
      <c r="Y35" s="216"/>
      <c r="Z35" s="216"/>
    </row>
    <row r="36" spans="1:26" ht="18" customHeight="1" x14ac:dyDescent="0.15">
      <c r="A36" s="216"/>
      <c r="B36" s="216"/>
      <c r="C36" s="216"/>
      <c r="D36" s="216"/>
      <c r="E36" s="216"/>
      <c r="F36" s="216"/>
      <c r="G36" s="216"/>
      <c r="H36" s="216"/>
      <c r="I36" s="216"/>
      <c r="J36" s="216"/>
      <c r="K36" s="216"/>
      <c r="L36" s="216"/>
      <c r="M36" s="216"/>
      <c r="N36" s="216"/>
      <c r="O36" s="216"/>
      <c r="P36" s="216"/>
      <c r="Q36" s="216"/>
      <c r="R36" s="216"/>
      <c r="S36" s="216"/>
      <c r="T36" s="216"/>
      <c r="U36" s="216"/>
      <c r="V36" s="216"/>
      <c r="W36" s="216"/>
      <c r="X36" s="216"/>
      <c r="Y36" s="216"/>
      <c r="Z36" s="216"/>
    </row>
    <row r="37" spans="1:26" ht="18" customHeight="1" x14ac:dyDescent="0.15">
      <c r="A37" s="11"/>
      <c r="B37" s="139" t="s">
        <v>77</v>
      </c>
      <c r="C37" s="141"/>
      <c r="D37" s="141"/>
      <c r="E37" s="141"/>
      <c r="F37" s="140"/>
      <c r="G37" s="23" t="s">
        <v>78</v>
      </c>
      <c r="H37" s="90" t="s">
        <v>79</v>
      </c>
      <c r="I37" s="139" t="s">
        <v>80</v>
      </c>
      <c r="J37" s="141"/>
      <c r="K37" s="140"/>
      <c r="L37" s="91" t="s">
        <v>95</v>
      </c>
      <c r="M37" s="91" t="s">
        <v>96</v>
      </c>
      <c r="N37" s="139" t="s">
        <v>77</v>
      </c>
      <c r="O37" s="141"/>
      <c r="P37" s="141"/>
      <c r="Q37" s="141"/>
      <c r="R37" s="141"/>
      <c r="S37" s="140"/>
      <c r="T37" s="23" t="s">
        <v>78</v>
      </c>
      <c r="U37" s="90" t="s">
        <v>79</v>
      </c>
      <c r="V37" s="139" t="s">
        <v>80</v>
      </c>
      <c r="W37" s="141"/>
      <c r="X37" s="140"/>
      <c r="Y37" s="91" t="s">
        <v>95</v>
      </c>
      <c r="Z37" s="91" t="s">
        <v>96</v>
      </c>
    </row>
    <row r="38" spans="1:26" ht="18" customHeight="1" x14ac:dyDescent="0.15">
      <c r="A38" s="22"/>
      <c r="B38" s="220" t="s">
        <v>183</v>
      </c>
      <c r="C38" s="221"/>
      <c r="D38" s="221"/>
      <c r="E38" s="221"/>
      <c r="F38" s="222"/>
      <c r="G38" s="92">
        <v>1</v>
      </c>
      <c r="H38" s="92" t="s">
        <v>84</v>
      </c>
      <c r="I38" s="210" t="s">
        <v>85</v>
      </c>
      <c r="J38" s="211"/>
      <c r="K38" s="212"/>
      <c r="L38" s="92" t="s">
        <v>84</v>
      </c>
      <c r="M38" s="92" t="s">
        <v>84</v>
      </c>
      <c r="N38" s="195"/>
      <c r="O38" s="196"/>
      <c r="P38" s="196"/>
      <c r="Q38" s="196"/>
      <c r="R38" s="196"/>
      <c r="S38" s="197"/>
      <c r="T38" s="92"/>
      <c r="U38" s="92"/>
      <c r="V38" s="210"/>
      <c r="W38" s="211"/>
      <c r="X38" s="212"/>
      <c r="Y38" s="92"/>
      <c r="Z38" s="92"/>
    </row>
    <row r="39" spans="1:26" ht="18" customHeight="1" x14ac:dyDescent="0.15">
      <c r="A39" s="22"/>
      <c r="B39" s="217"/>
      <c r="C39" s="218"/>
      <c r="D39" s="218"/>
      <c r="E39" s="218"/>
      <c r="F39" s="219"/>
      <c r="G39" s="93"/>
      <c r="H39" s="93"/>
      <c r="I39" s="207"/>
      <c r="J39" s="208"/>
      <c r="K39" s="209"/>
      <c r="L39" s="93"/>
      <c r="M39" s="93"/>
      <c r="N39" s="189"/>
      <c r="O39" s="190"/>
      <c r="P39" s="190"/>
      <c r="Q39" s="190"/>
      <c r="R39" s="190"/>
      <c r="S39" s="191"/>
      <c r="T39" s="93"/>
      <c r="U39" s="93"/>
      <c r="V39" s="207"/>
      <c r="W39" s="208"/>
      <c r="X39" s="209"/>
      <c r="Y39" s="93"/>
      <c r="Z39" s="93"/>
    </row>
    <row r="40" spans="1:26" ht="18" customHeight="1" x14ac:dyDescent="0.15">
      <c r="A40" s="22"/>
      <c r="B40" s="217"/>
      <c r="C40" s="218"/>
      <c r="D40" s="218"/>
      <c r="E40" s="218"/>
      <c r="F40" s="219"/>
      <c r="G40" s="93"/>
      <c r="H40" s="93"/>
      <c r="I40" s="207"/>
      <c r="J40" s="208"/>
      <c r="K40" s="209"/>
      <c r="L40" s="93"/>
      <c r="M40" s="93"/>
      <c r="N40" s="189"/>
      <c r="O40" s="190"/>
      <c r="P40" s="190"/>
      <c r="Q40" s="190"/>
      <c r="R40" s="190"/>
      <c r="S40" s="191"/>
      <c r="T40" s="93"/>
      <c r="U40" s="93"/>
      <c r="V40" s="207"/>
      <c r="W40" s="208"/>
      <c r="X40" s="209"/>
      <c r="Y40" s="93"/>
      <c r="Z40" s="93"/>
    </row>
    <row r="41" spans="1:26" ht="18" customHeight="1" x14ac:dyDescent="0.15">
      <c r="A41" s="22"/>
      <c r="B41" s="217"/>
      <c r="C41" s="218"/>
      <c r="D41" s="218"/>
      <c r="E41" s="218"/>
      <c r="F41" s="219"/>
      <c r="G41" s="93"/>
      <c r="H41" s="93"/>
      <c r="I41" s="207"/>
      <c r="J41" s="208"/>
      <c r="K41" s="209"/>
      <c r="L41" s="93"/>
      <c r="M41" s="93"/>
      <c r="N41" s="189"/>
      <c r="O41" s="190"/>
      <c r="P41" s="190"/>
      <c r="Q41" s="190"/>
      <c r="R41" s="190"/>
      <c r="S41" s="191"/>
      <c r="T41" s="93"/>
      <c r="U41" s="93"/>
      <c r="V41" s="207"/>
      <c r="W41" s="208"/>
      <c r="X41" s="209"/>
      <c r="Y41" s="93"/>
      <c r="Z41" s="93"/>
    </row>
    <row r="42" spans="1:26" ht="18" customHeight="1" x14ac:dyDescent="0.15">
      <c r="A42" s="22"/>
      <c r="B42" s="217"/>
      <c r="C42" s="218"/>
      <c r="D42" s="218"/>
      <c r="E42" s="218"/>
      <c r="F42" s="219"/>
      <c r="G42" s="93"/>
      <c r="H42" s="93"/>
      <c r="I42" s="207"/>
      <c r="J42" s="208"/>
      <c r="K42" s="209"/>
      <c r="L42" s="93"/>
      <c r="M42" s="93"/>
      <c r="N42" s="189"/>
      <c r="O42" s="190"/>
      <c r="P42" s="190"/>
      <c r="Q42" s="190"/>
      <c r="R42" s="190"/>
      <c r="S42" s="191"/>
      <c r="T42" s="93"/>
      <c r="U42" s="93"/>
      <c r="V42" s="207"/>
      <c r="W42" s="208"/>
      <c r="X42" s="209"/>
      <c r="Y42" s="93"/>
      <c r="Z42" s="93"/>
    </row>
    <row r="43" spans="1:26" ht="18" customHeight="1" x14ac:dyDescent="0.15">
      <c r="A43" s="22"/>
      <c r="B43" s="217"/>
      <c r="C43" s="218"/>
      <c r="D43" s="218"/>
      <c r="E43" s="218"/>
      <c r="F43" s="219"/>
      <c r="G43" s="93"/>
      <c r="H43" s="93"/>
      <c r="I43" s="207"/>
      <c r="J43" s="208"/>
      <c r="K43" s="209"/>
      <c r="L43" s="93"/>
      <c r="M43" s="93"/>
      <c r="N43" s="189"/>
      <c r="O43" s="190"/>
      <c r="P43" s="190"/>
      <c r="Q43" s="190"/>
      <c r="R43" s="190"/>
      <c r="S43" s="191"/>
      <c r="T43" s="93"/>
      <c r="U43" s="93"/>
      <c r="V43" s="207"/>
      <c r="W43" s="208"/>
      <c r="X43" s="209"/>
      <c r="Y43" s="93"/>
      <c r="Z43" s="93"/>
    </row>
    <row r="44" spans="1:26" ht="18" customHeight="1" x14ac:dyDescent="0.15">
      <c r="A44" s="22"/>
      <c r="B44" s="213"/>
      <c r="C44" s="214"/>
      <c r="D44" s="214"/>
      <c r="E44" s="214"/>
      <c r="F44" s="215"/>
      <c r="G44" s="94"/>
      <c r="H44" s="94"/>
      <c r="I44" s="201"/>
      <c r="J44" s="202"/>
      <c r="K44" s="203"/>
      <c r="L44" s="95"/>
      <c r="M44" s="95"/>
      <c r="N44" s="178"/>
      <c r="O44" s="179"/>
      <c r="P44" s="179"/>
      <c r="Q44" s="179"/>
      <c r="R44" s="179"/>
      <c r="S44" s="180"/>
      <c r="T44" s="94"/>
      <c r="U44" s="94"/>
      <c r="V44" s="201"/>
      <c r="W44" s="202"/>
      <c r="X44" s="203"/>
      <c r="Y44" s="95"/>
      <c r="Z44" s="95"/>
    </row>
    <row r="45" spans="1:26" ht="7.5" customHeight="1" x14ac:dyDescent="0.15">
      <c r="B45" s="61"/>
      <c r="C45" s="61"/>
      <c r="D45" s="61"/>
      <c r="E45" s="61"/>
      <c r="F45" s="61"/>
      <c r="G45" s="61"/>
      <c r="H45" s="61"/>
      <c r="I45" s="61"/>
      <c r="J45" s="61"/>
      <c r="K45" s="61"/>
      <c r="L45" s="61"/>
      <c r="M45" s="61"/>
      <c r="N45" s="61"/>
      <c r="O45" s="61"/>
      <c r="P45" s="61"/>
      <c r="Q45" s="61"/>
      <c r="R45" s="61"/>
      <c r="S45" s="61"/>
      <c r="T45" s="61"/>
      <c r="U45" s="61"/>
      <c r="V45" s="61"/>
      <c r="W45" s="61"/>
      <c r="X45" s="61"/>
      <c r="Y45" s="61"/>
    </row>
    <row r="46" spans="1:26" ht="18" customHeight="1" x14ac:dyDescent="0.15">
      <c r="A46" s="216" t="s">
        <v>98</v>
      </c>
      <c r="B46" s="216"/>
      <c r="C46" s="216"/>
      <c r="D46" s="216"/>
      <c r="E46" s="216"/>
      <c r="F46" s="216"/>
      <c r="G46" s="216"/>
      <c r="H46" s="216"/>
      <c r="I46" s="216"/>
      <c r="J46" s="216"/>
      <c r="K46" s="216"/>
      <c r="L46" s="216"/>
      <c r="M46" s="216"/>
      <c r="N46" s="216"/>
      <c r="O46" s="216"/>
      <c r="P46" s="216"/>
      <c r="Q46" s="216"/>
      <c r="R46" s="216"/>
      <c r="S46" s="216"/>
      <c r="T46" s="216"/>
      <c r="U46" s="216"/>
      <c r="V46" s="216"/>
      <c r="W46" s="216"/>
      <c r="X46" s="216"/>
      <c r="Y46" s="216"/>
      <c r="Z46" s="216"/>
    </row>
    <row r="47" spans="1:26" ht="18" customHeight="1" x14ac:dyDescent="0.15">
      <c r="A47" s="216"/>
      <c r="B47" s="216"/>
      <c r="C47" s="216"/>
      <c r="D47" s="216"/>
      <c r="E47" s="216"/>
      <c r="F47" s="216"/>
      <c r="G47" s="216"/>
      <c r="H47" s="216"/>
      <c r="I47" s="216"/>
      <c r="J47" s="216"/>
      <c r="K47" s="216"/>
      <c r="L47" s="216"/>
      <c r="M47" s="216"/>
      <c r="N47" s="216"/>
      <c r="O47" s="216"/>
      <c r="P47" s="216"/>
      <c r="Q47" s="216"/>
      <c r="R47" s="216"/>
      <c r="S47" s="216"/>
      <c r="T47" s="216"/>
      <c r="U47" s="216"/>
      <c r="V47" s="216"/>
      <c r="W47" s="216"/>
      <c r="X47" s="216"/>
      <c r="Y47" s="216"/>
      <c r="Z47" s="216"/>
    </row>
    <row r="48" spans="1:26" ht="18" customHeight="1" x14ac:dyDescent="0.15">
      <c r="A48" s="11"/>
      <c r="B48" s="139" t="s">
        <v>77</v>
      </c>
      <c r="C48" s="141"/>
      <c r="D48" s="141"/>
      <c r="E48" s="141"/>
      <c r="F48" s="140"/>
      <c r="G48" s="23" t="s">
        <v>78</v>
      </c>
      <c r="H48" s="90" t="s">
        <v>79</v>
      </c>
      <c r="I48" s="139" t="s">
        <v>80</v>
      </c>
      <c r="J48" s="141"/>
      <c r="K48" s="140"/>
      <c r="L48" s="91" t="s">
        <v>99</v>
      </c>
      <c r="M48" s="91" t="s">
        <v>100</v>
      </c>
      <c r="N48" s="139" t="s">
        <v>77</v>
      </c>
      <c r="O48" s="141"/>
      <c r="P48" s="141"/>
      <c r="Q48" s="141"/>
      <c r="R48" s="141"/>
      <c r="S48" s="140"/>
      <c r="T48" s="23" t="s">
        <v>78</v>
      </c>
      <c r="U48" s="90" t="s">
        <v>79</v>
      </c>
      <c r="V48" s="139" t="s">
        <v>80</v>
      </c>
      <c r="W48" s="141"/>
      <c r="X48" s="140"/>
      <c r="Y48" s="91" t="s">
        <v>99</v>
      </c>
      <c r="Z48" s="91" t="s">
        <v>100</v>
      </c>
    </row>
    <row r="49" spans="1:26" ht="18" customHeight="1" x14ac:dyDescent="0.15">
      <c r="A49" s="22"/>
      <c r="B49" s="220" t="s">
        <v>184</v>
      </c>
      <c r="C49" s="221"/>
      <c r="D49" s="221"/>
      <c r="E49" s="221"/>
      <c r="F49" s="222"/>
      <c r="G49" s="92">
        <v>1</v>
      </c>
      <c r="H49" s="92" t="s">
        <v>84</v>
      </c>
      <c r="I49" s="210" t="s">
        <v>85</v>
      </c>
      <c r="J49" s="211"/>
      <c r="K49" s="212"/>
      <c r="L49" s="92" t="s">
        <v>84</v>
      </c>
      <c r="M49" s="92" t="s">
        <v>84</v>
      </c>
      <c r="N49" s="195"/>
      <c r="O49" s="196"/>
      <c r="P49" s="196"/>
      <c r="Q49" s="196"/>
      <c r="R49" s="196"/>
      <c r="S49" s="197"/>
      <c r="T49" s="92"/>
      <c r="U49" s="92"/>
      <c r="V49" s="210"/>
      <c r="W49" s="211"/>
      <c r="X49" s="212"/>
      <c r="Y49" s="92"/>
      <c r="Z49" s="92"/>
    </row>
    <row r="50" spans="1:26" ht="18" customHeight="1" x14ac:dyDescent="0.15">
      <c r="A50" s="22"/>
      <c r="B50" s="217"/>
      <c r="C50" s="218"/>
      <c r="D50" s="218"/>
      <c r="E50" s="218"/>
      <c r="F50" s="219"/>
      <c r="G50" s="93"/>
      <c r="H50" s="93"/>
      <c r="I50" s="207"/>
      <c r="J50" s="208"/>
      <c r="K50" s="209"/>
      <c r="L50" s="93"/>
      <c r="M50" s="93"/>
      <c r="N50" s="189"/>
      <c r="O50" s="190"/>
      <c r="P50" s="190"/>
      <c r="Q50" s="190"/>
      <c r="R50" s="190"/>
      <c r="S50" s="191"/>
      <c r="T50" s="93"/>
      <c r="U50" s="93"/>
      <c r="V50" s="207"/>
      <c r="W50" s="208"/>
      <c r="X50" s="209"/>
      <c r="Y50" s="93"/>
      <c r="Z50" s="93"/>
    </row>
    <row r="51" spans="1:26" ht="18" customHeight="1" x14ac:dyDescent="0.15">
      <c r="A51" s="22"/>
      <c r="B51" s="217"/>
      <c r="C51" s="218"/>
      <c r="D51" s="218"/>
      <c r="E51" s="218"/>
      <c r="F51" s="219"/>
      <c r="G51" s="93"/>
      <c r="H51" s="93"/>
      <c r="I51" s="207"/>
      <c r="J51" s="208"/>
      <c r="K51" s="209"/>
      <c r="L51" s="93"/>
      <c r="M51" s="93"/>
      <c r="N51" s="189"/>
      <c r="O51" s="190"/>
      <c r="P51" s="190"/>
      <c r="Q51" s="190"/>
      <c r="R51" s="190"/>
      <c r="S51" s="191"/>
      <c r="T51" s="93"/>
      <c r="U51" s="93"/>
      <c r="V51" s="207"/>
      <c r="W51" s="208"/>
      <c r="X51" s="209"/>
      <c r="Y51" s="93"/>
      <c r="Z51" s="93"/>
    </row>
    <row r="52" spans="1:26" ht="18" customHeight="1" x14ac:dyDescent="0.15">
      <c r="A52" s="22"/>
      <c r="B52" s="217"/>
      <c r="C52" s="218"/>
      <c r="D52" s="218"/>
      <c r="E52" s="218"/>
      <c r="F52" s="219"/>
      <c r="G52" s="93"/>
      <c r="H52" s="93"/>
      <c r="I52" s="207"/>
      <c r="J52" s="208"/>
      <c r="K52" s="209"/>
      <c r="L52" s="93"/>
      <c r="M52" s="93"/>
      <c r="N52" s="189"/>
      <c r="O52" s="190"/>
      <c r="P52" s="190"/>
      <c r="Q52" s="190"/>
      <c r="R52" s="190"/>
      <c r="S52" s="191"/>
      <c r="T52" s="93"/>
      <c r="U52" s="93"/>
      <c r="V52" s="207"/>
      <c r="W52" s="208"/>
      <c r="X52" s="209"/>
      <c r="Y52" s="93"/>
      <c r="Z52" s="93"/>
    </row>
    <row r="53" spans="1:26" ht="18" customHeight="1" x14ac:dyDescent="0.15">
      <c r="A53" s="22"/>
      <c r="B53" s="217"/>
      <c r="C53" s="218"/>
      <c r="D53" s="218"/>
      <c r="E53" s="218"/>
      <c r="F53" s="219"/>
      <c r="G53" s="93"/>
      <c r="H53" s="93"/>
      <c r="I53" s="207"/>
      <c r="J53" s="208"/>
      <c r="K53" s="209"/>
      <c r="L53" s="93"/>
      <c r="M53" s="93"/>
      <c r="N53" s="189"/>
      <c r="O53" s="190"/>
      <c r="P53" s="190"/>
      <c r="Q53" s="190"/>
      <c r="R53" s="190"/>
      <c r="S53" s="191"/>
      <c r="T53" s="93"/>
      <c r="U53" s="93"/>
      <c r="V53" s="207"/>
      <c r="W53" s="208"/>
      <c r="X53" s="209"/>
      <c r="Y53" s="93"/>
      <c r="Z53" s="93"/>
    </row>
    <row r="54" spans="1:26" ht="18" customHeight="1" x14ac:dyDescent="0.15">
      <c r="A54" s="22"/>
      <c r="B54" s="217"/>
      <c r="C54" s="218"/>
      <c r="D54" s="218"/>
      <c r="E54" s="218"/>
      <c r="F54" s="219"/>
      <c r="G54" s="93"/>
      <c r="H54" s="93"/>
      <c r="I54" s="207"/>
      <c r="J54" s="208"/>
      <c r="K54" s="209"/>
      <c r="L54" s="93"/>
      <c r="M54" s="93"/>
      <c r="N54" s="189"/>
      <c r="O54" s="190"/>
      <c r="P54" s="190"/>
      <c r="Q54" s="190"/>
      <c r="R54" s="190"/>
      <c r="S54" s="191"/>
      <c r="T54" s="93"/>
      <c r="U54" s="93"/>
      <c r="V54" s="207"/>
      <c r="W54" s="208"/>
      <c r="X54" s="209"/>
      <c r="Y54" s="93"/>
      <c r="Z54" s="93"/>
    </row>
    <row r="55" spans="1:26" ht="18" customHeight="1" x14ac:dyDescent="0.15">
      <c r="A55" s="22"/>
      <c r="B55" s="213"/>
      <c r="C55" s="214"/>
      <c r="D55" s="214"/>
      <c r="E55" s="214"/>
      <c r="F55" s="215"/>
      <c r="G55" s="94"/>
      <c r="H55" s="94"/>
      <c r="I55" s="201"/>
      <c r="J55" s="202"/>
      <c r="K55" s="203"/>
      <c r="L55" s="95"/>
      <c r="M55" s="95"/>
      <c r="N55" s="178"/>
      <c r="O55" s="179"/>
      <c r="P55" s="179"/>
      <c r="Q55" s="179"/>
      <c r="R55" s="179"/>
      <c r="S55" s="180"/>
      <c r="T55" s="94"/>
      <c r="U55" s="94"/>
      <c r="V55" s="201"/>
      <c r="W55" s="202"/>
      <c r="X55" s="203"/>
      <c r="Y55" s="95"/>
      <c r="Z55" s="95"/>
    </row>
    <row r="56" spans="1:26" ht="7.5" customHeight="1" x14ac:dyDescent="0.15">
      <c r="B56" s="61"/>
      <c r="C56" s="61"/>
      <c r="D56" s="61"/>
      <c r="E56" s="61"/>
      <c r="F56" s="61"/>
      <c r="G56" s="61"/>
      <c r="H56" s="61"/>
      <c r="I56" s="61"/>
      <c r="J56" s="61"/>
      <c r="K56" s="61"/>
      <c r="L56" s="61"/>
      <c r="M56" s="61"/>
      <c r="N56" s="61"/>
      <c r="O56" s="61"/>
      <c r="P56" s="61"/>
      <c r="Q56" s="61"/>
      <c r="R56" s="61"/>
      <c r="S56" s="61"/>
      <c r="T56" s="61"/>
      <c r="U56" s="61"/>
      <c r="V56" s="61"/>
      <c r="W56" s="61"/>
      <c r="X56" s="61"/>
      <c r="Y56" s="61"/>
    </row>
    <row r="57" spans="1:26" ht="18" customHeight="1" x14ac:dyDescent="0.15">
      <c r="A57" s="216" t="s">
        <v>102</v>
      </c>
      <c r="B57" s="216"/>
      <c r="C57" s="216"/>
      <c r="D57" s="216"/>
      <c r="E57" s="216"/>
      <c r="F57" s="216"/>
      <c r="G57" s="216"/>
      <c r="H57" s="216"/>
      <c r="I57" s="216"/>
      <c r="J57" s="216"/>
      <c r="K57" s="216"/>
      <c r="L57" s="216"/>
      <c r="M57" s="216"/>
      <c r="N57" s="216"/>
      <c r="O57" s="216"/>
      <c r="P57" s="216"/>
      <c r="Q57" s="216"/>
      <c r="R57" s="216"/>
      <c r="S57" s="216"/>
      <c r="T57" s="216"/>
      <c r="U57" s="216"/>
      <c r="V57" s="216"/>
      <c r="W57" s="216"/>
      <c r="X57" s="216"/>
      <c r="Y57" s="216"/>
      <c r="Z57" s="216"/>
    </row>
    <row r="58" spans="1:26" ht="18" customHeight="1" x14ac:dyDescent="0.15">
      <c r="A58" s="216"/>
      <c r="B58" s="216"/>
      <c r="C58" s="216"/>
      <c r="D58" s="216"/>
      <c r="E58" s="216"/>
      <c r="F58" s="216"/>
      <c r="G58" s="216"/>
      <c r="H58" s="216"/>
      <c r="I58" s="216"/>
      <c r="J58" s="216"/>
      <c r="K58" s="216"/>
      <c r="L58" s="216"/>
      <c r="M58" s="216"/>
      <c r="N58" s="216"/>
      <c r="O58" s="216"/>
      <c r="P58" s="216"/>
      <c r="Q58" s="216"/>
      <c r="R58" s="216"/>
      <c r="S58" s="216"/>
      <c r="T58" s="216"/>
      <c r="U58" s="216"/>
      <c r="V58" s="216"/>
      <c r="W58" s="216"/>
      <c r="X58" s="216"/>
      <c r="Y58" s="216"/>
      <c r="Z58" s="216"/>
    </row>
    <row r="59" spans="1:26" ht="18" customHeight="1" x14ac:dyDescent="0.15">
      <c r="A59" s="11"/>
      <c r="B59" s="139" t="s">
        <v>77</v>
      </c>
      <c r="C59" s="141"/>
      <c r="D59" s="141"/>
      <c r="E59" s="140"/>
      <c r="F59" s="23" t="s">
        <v>78</v>
      </c>
      <c r="G59" s="90" t="s">
        <v>79</v>
      </c>
      <c r="H59" s="19" t="s">
        <v>80</v>
      </c>
      <c r="I59" s="96"/>
      <c r="J59" s="20"/>
      <c r="K59" s="91" t="s">
        <v>103</v>
      </c>
      <c r="L59" s="91" t="s">
        <v>104</v>
      </c>
      <c r="M59" s="91" t="s">
        <v>105</v>
      </c>
      <c r="N59" s="139" t="s">
        <v>77</v>
      </c>
      <c r="O59" s="141"/>
      <c r="P59" s="141"/>
      <c r="Q59" s="141"/>
      <c r="R59" s="140"/>
      <c r="S59" s="23" t="s">
        <v>78</v>
      </c>
      <c r="T59" s="90" t="s">
        <v>79</v>
      </c>
      <c r="U59" s="19" t="s">
        <v>80</v>
      </c>
      <c r="V59" s="96"/>
      <c r="W59" s="20"/>
      <c r="X59" s="91" t="s">
        <v>103</v>
      </c>
      <c r="Y59" s="91" t="s">
        <v>104</v>
      </c>
      <c r="Z59" s="91" t="s">
        <v>105</v>
      </c>
    </row>
    <row r="60" spans="1:26" ht="18" customHeight="1" x14ac:dyDescent="0.15">
      <c r="A60" s="22"/>
      <c r="B60" s="195" t="s">
        <v>185</v>
      </c>
      <c r="C60" s="196"/>
      <c r="D60" s="196"/>
      <c r="E60" s="197"/>
      <c r="F60" s="92">
        <v>3</v>
      </c>
      <c r="G60" s="92" t="s">
        <v>84</v>
      </c>
      <c r="H60" s="210" t="s">
        <v>85</v>
      </c>
      <c r="I60" s="211"/>
      <c r="J60" s="212"/>
      <c r="K60" s="92" t="s">
        <v>84</v>
      </c>
      <c r="L60" s="92" t="s">
        <v>84</v>
      </c>
      <c r="M60" s="92" t="s">
        <v>84</v>
      </c>
      <c r="N60" s="195"/>
      <c r="O60" s="196"/>
      <c r="P60" s="196"/>
      <c r="Q60" s="196"/>
      <c r="R60" s="197"/>
      <c r="S60" s="92"/>
      <c r="T60" s="92"/>
      <c r="U60" s="210"/>
      <c r="V60" s="211"/>
      <c r="W60" s="212"/>
      <c r="X60" s="97"/>
      <c r="Y60" s="92"/>
      <c r="Z60" s="92"/>
    </row>
    <row r="61" spans="1:26" ht="18" customHeight="1" x14ac:dyDescent="0.15">
      <c r="A61" s="22"/>
      <c r="B61" s="189"/>
      <c r="C61" s="190"/>
      <c r="D61" s="190"/>
      <c r="E61" s="191"/>
      <c r="F61" s="93"/>
      <c r="G61" s="93"/>
      <c r="H61" s="207"/>
      <c r="I61" s="208"/>
      <c r="J61" s="209"/>
      <c r="K61" s="98"/>
      <c r="L61" s="93"/>
      <c r="M61" s="93"/>
      <c r="N61" s="189"/>
      <c r="O61" s="190"/>
      <c r="P61" s="190"/>
      <c r="Q61" s="190"/>
      <c r="R61" s="191"/>
      <c r="S61" s="93"/>
      <c r="T61" s="93"/>
      <c r="U61" s="207"/>
      <c r="V61" s="208"/>
      <c r="W61" s="209"/>
      <c r="X61" s="98"/>
      <c r="Y61" s="93"/>
      <c r="Z61" s="93"/>
    </row>
    <row r="62" spans="1:26" ht="18" customHeight="1" x14ac:dyDescent="0.15">
      <c r="A62" s="22"/>
      <c r="B62" s="189"/>
      <c r="C62" s="190"/>
      <c r="D62" s="190"/>
      <c r="E62" s="191"/>
      <c r="F62" s="93"/>
      <c r="G62" s="93"/>
      <c r="H62" s="207"/>
      <c r="I62" s="208"/>
      <c r="J62" s="209"/>
      <c r="K62" s="98"/>
      <c r="L62" s="93"/>
      <c r="M62" s="93"/>
      <c r="N62" s="189"/>
      <c r="O62" s="190"/>
      <c r="P62" s="190"/>
      <c r="Q62" s="190"/>
      <c r="R62" s="191"/>
      <c r="S62" s="93"/>
      <c r="T62" s="93"/>
      <c r="U62" s="207"/>
      <c r="V62" s="208"/>
      <c r="W62" s="209"/>
      <c r="X62" s="98"/>
      <c r="Y62" s="93"/>
      <c r="Z62" s="93"/>
    </row>
    <row r="63" spans="1:26" ht="18" customHeight="1" x14ac:dyDescent="0.15">
      <c r="A63" s="22"/>
      <c r="B63" s="189"/>
      <c r="C63" s="190"/>
      <c r="D63" s="190"/>
      <c r="E63" s="191"/>
      <c r="F63" s="93"/>
      <c r="G63" s="93"/>
      <c r="H63" s="207"/>
      <c r="I63" s="208"/>
      <c r="J63" s="209"/>
      <c r="K63" s="98"/>
      <c r="L63" s="93"/>
      <c r="M63" s="93"/>
      <c r="N63" s="189"/>
      <c r="O63" s="190"/>
      <c r="P63" s="190"/>
      <c r="Q63" s="190"/>
      <c r="R63" s="191"/>
      <c r="S63" s="93"/>
      <c r="T63" s="93"/>
      <c r="U63" s="207"/>
      <c r="V63" s="208"/>
      <c r="W63" s="209"/>
      <c r="X63" s="98"/>
      <c r="Y63" s="93"/>
      <c r="Z63" s="93"/>
    </row>
    <row r="64" spans="1:26" ht="18" customHeight="1" x14ac:dyDescent="0.15">
      <c r="A64" s="22"/>
      <c r="B64" s="189"/>
      <c r="C64" s="190"/>
      <c r="D64" s="190"/>
      <c r="E64" s="191"/>
      <c r="F64" s="93"/>
      <c r="G64" s="93"/>
      <c r="H64" s="207"/>
      <c r="I64" s="208"/>
      <c r="J64" s="209"/>
      <c r="K64" s="98"/>
      <c r="L64" s="93"/>
      <c r="M64" s="93"/>
      <c r="N64" s="189"/>
      <c r="O64" s="190"/>
      <c r="P64" s="190"/>
      <c r="Q64" s="190"/>
      <c r="R64" s="191"/>
      <c r="S64" s="93"/>
      <c r="T64" s="93"/>
      <c r="U64" s="207"/>
      <c r="V64" s="208"/>
      <c r="W64" s="209"/>
      <c r="X64" s="98"/>
      <c r="Y64" s="93"/>
      <c r="Z64" s="93"/>
    </row>
    <row r="65" spans="1:26" ht="18" customHeight="1" x14ac:dyDescent="0.15">
      <c r="A65" s="22"/>
      <c r="B65" s="189"/>
      <c r="C65" s="190"/>
      <c r="D65" s="190"/>
      <c r="E65" s="191"/>
      <c r="F65" s="93"/>
      <c r="G65" s="93"/>
      <c r="H65" s="207"/>
      <c r="I65" s="208"/>
      <c r="J65" s="209"/>
      <c r="K65" s="98"/>
      <c r="L65" s="93"/>
      <c r="M65" s="93"/>
      <c r="N65" s="189"/>
      <c r="O65" s="190"/>
      <c r="P65" s="190"/>
      <c r="Q65" s="190"/>
      <c r="R65" s="191"/>
      <c r="S65" s="93"/>
      <c r="T65" s="93"/>
      <c r="U65" s="207"/>
      <c r="V65" s="208"/>
      <c r="W65" s="209"/>
      <c r="X65" s="98"/>
      <c r="Y65" s="93"/>
      <c r="Z65" s="93"/>
    </row>
    <row r="66" spans="1:26" ht="18" customHeight="1" x14ac:dyDescent="0.15">
      <c r="A66" s="22"/>
      <c r="B66" s="178"/>
      <c r="C66" s="179"/>
      <c r="D66" s="179"/>
      <c r="E66" s="180"/>
      <c r="F66" s="94"/>
      <c r="G66" s="94"/>
      <c r="H66" s="201"/>
      <c r="I66" s="202"/>
      <c r="J66" s="203"/>
      <c r="K66" s="99"/>
      <c r="L66" s="95"/>
      <c r="M66" s="95"/>
      <c r="N66" s="178"/>
      <c r="O66" s="179"/>
      <c r="P66" s="179"/>
      <c r="Q66" s="179"/>
      <c r="R66" s="180"/>
      <c r="S66" s="94"/>
      <c r="T66" s="94"/>
      <c r="U66" s="201"/>
      <c r="V66" s="202"/>
      <c r="W66" s="203"/>
      <c r="X66" s="99"/>
      <c r="Y66" s="95"/>
      <c r="Z66" s="95"/>
    </row>
    <row r="67" spans="1:26" ht="7.5" customHeight="1" x14ac:dyDescent="0.15">
      <c r="B67" s="61"/>
      <c r="C67" s="61"/>
      <c r="D67" s="61"/>
      <c r="E67" s="61"/>
      <c r="F67" s="61"/>
      <c r="G67" s="61"/>
      <c r="H67" s="61"/>
      <c r="I67" s="61"/>
      <c r="J67" s="61"/>
      <c r="K67" s="61"/>
      <c r="L67" s="61"/>
      <c r="M67" s="61"/>
      <c r="N67" s="61"/>
      <c r="O67" s="61"/>
      <c r="P67" s="61"/>
      <c r="Q67" s="61"/>
      <c r="R67" s="61"/>
      <c r="S67" s="61"/>
      <c r="T67" s="61"/>
      <c r="U67" s="61"/>
      <c r="V67" s="61"/>
      <c r="W67" s="61"/>
      <c r="X67" s="61"/>
      <c r="Y67" s="61"/>
    </row>
    <row r="68" spans="1:26" ht="18" customHeight="1" x14ac:dyDescent="0.15">
      <c r="A68" s="11" t="s">
        <v>106</v>
      </c>
      <c r="B68" s="11"/>
      <c r="C68" s="11"/>
      <c r="D68" s="11"/>
      <c r="E68" s="11"/>
      <c r="F68" s="11"/>
      <c r="G68" s="11"/>
      <c r="H68" s="11"/>
      <c r="I68" s="11"/>
      <c r="J68" s="11"/>
      <c r="K68" s="11"/>
      <c r="L68" s="22"/>
      <c r="M68" s="22"/>
      <c r="N68" s="22"/>
      <c r="O68" s="22"/>
      <c r="P68" s="22"/>
      <c r="Q68" s="22"/>
      <c r="R68" s="22"/>
      <c r="S68" s="22"/>
      <c r="T68" s="22"/>
      <c r="U68" s="22"/>
      <c r="V68" s="22"/>
      <c r="W68" s="22"/>
      <c r="X68" s="22"/>
      <c r="Y68" s="22"/>
      <c r="Z68" s="22"/>
    </row>
    <row r="69" spans="1:26" ht="18" customHeight="1" x14ac:dyDescent="0.15">
      <c r="A69" s="11"/>
      <c r="B69" s="139" t="s">
        <v>77</v>
      </c>
      <c r="C69" s="141"/>
      <c r="D69" s="141"/>
      <c r="E69" s="141"/>
      <c r="F69" s="140"/>
      <c r="G69" s="139" t="s">
        <v>107</v>
      </c>
      <c r="H69" s="141"/>
      <c r="I69" s="141"/>
      <c r="J69" s="141"/>
      <c r="K69" s="141"/>
      <c r="L69" s="141"/>
      <c r="M69" s="140"/>
      <c r="N69" s="204" t="s">
        <v>77</v>
      </c>
      <c r="O69" s="205"/>
      <c r="P69" s="205"/>
      <c r="Q69" s="205"/>
      <c r="R69" s="205"/>
      <c r="S69" s="206"/>
      <c r="T69" s="139" t="s">
        <v>107</v>
      </c>
      <c r="U69" s="141"/>
      <c r="V69" s="141"/>
      <c r="W69" s="141"/>
      <c r="X69" s="141"/>
      <c r="Y69" s="141"/>
      <c r="Z69" s="140"/>
    </row>
    <row r="70" spans="1:26" ht="18" customHeight="1" x14ac:dyDescent="0.15">
      <c r="A70" s="22"/>
      <c r="B70" s="195" t="s">
        <v>186</v>
      </c>
      <c r="C70" s="196"/>
      <c r="D70" s="196"/>
      <c r="E70" s="196"/>
      <c r="F70" s="197"/>
      <c r="G70" s="198" t="s">
        <v>109</v>
      </c>
      <c r="H70" s="199"/>
      <c r="I70" s="199"/>
      <c r="J70" s="199"/>
      <c r="K70" s="199"/>
      <c r="L70" s="199"/>
      <c r="M70" s="200"/>
      <c r="N70" s="195"/>
      <c r="O70" s="196"/>
      <c r="P70" s="196"/>
      <c r="Q70" s="196"/>
      <c r="R70" s="196"/>
      <c r="S70" s="197"/>
      <c r="T70" s="198"/>
      <c r="U70" s="199"/>
      <c r="V70" s="199"/>
      <c r="W70" s="199"/>
      <c r="X70" s="199"/>
      <c r="Y70" s="199"/>
      <c r="Z70" s="200"/>
    </row>
    <row r="71" spans="1:26" ht="18" customHeight="1" x14ac:dyDescent="0.15">
      <c r="A71" s="22"/>
      <c r="B71" s="189"/>
      <c r="C71" s="190"/>
      <c r="D71" s="190"/>
      <c r="E71" s="190"/>
      <c r="F71" s="191"/>
      <c r="G71" s="192"/>
      <c r="H71" s="193"/>
      <c r="I71" s="193"/>
      <c r="J71" s="193"/>
      <c r="K71" s="193"/>
      <c r="L71" s="193"/>
      <c r="M71" s="194"/>
      <c r="N71" s="189"/>
      <c r="O71" s="190"/>
      <c r="P71" s="190"/>
      <c r="Q71" s="190"/>
      <c r="R71" s="190"/>
      <c r="S71" s="191"/>
      <c r="T71" s="192"/>
      <c r="U71" s="193"/>
      <c r="V71" s="193"/>
      <c r="W71" s="193"/>
      <c r="X71" s="193"/>
      <c r="Y71" s="193"/>
      <c r="Z71" s="194"/>
    </row>
    <row r="72" spans="1:26" ht="18" customHeight="1" x14ac:dyDescent="0.15">
      <c r="A72" s="22"/>
      <c r="B72" s="189"/>
      <c r="C72" s="190"/>
      <c r="D72" s="190"/>
      <c r="E72" s="190"/>
      <c r="F72" s="191"/>
      <c r="G72" s="192"/>
      <c r="H72" s="193"/>
      <c r="I72" s="193"/>
      <c r="J72" s="193"/>
      <c r="K72" s="193"/>
      <c r="L72" s="193"/>
      <c r="M72" s="194"/>
      <c r="N72" s="189"/>
      <c r="O72" s="190"/>
      <c r="P72" s="190"/>
      <c r="Q72" s="190"/>
      <c r="R72" s="190"/>
      <c r="S72" s="191"/>
      <c r="T72" s="192"/>
      <c r="U72" s="193"/>
      <c r="V72" s="193"/>
      <c r="W72" s="193"/>
      <c r="X72" s="193"/>
      <c r="Y72" s="193"/>
      <c r="Z72" s="194"/>
    </row>
    <row r="73" spans="1:26" ht="18" customHeight="1" x14ac:dyDescent="0.15">
      <c r="A73" s="22"/>
      <c r="B73" s="189"/>
      <c r="C73" s="190"/>
      <c r="D73" s="190"/>
      <c r="E73" s="190"/>
      <c r="F73" s="191"/>
      <c r="G73" s="192"/>
      <c r="H73" s="193"/>
      <c r="I73" s="193"/>
      <c r="J73" s="193"/>
      <c r="K73" s="193"/>
      <c r="L73" s="193"/>
      <c r="M73" s="194"/>
      <c r="N73" s="189"/>
      <c r="O73" s="190"/>
      <c r="P73" s="190"/>
      <c r="Q73" s="190"/>
      <c r="R73" s="190"/>
      <c r="S73" s="191"/>
      <c r="T73" s="192"/>
      <c r="U73" s="193"/>
      <c r="V73" s="193"/>
      <c r="W73" s="193"/>
      <c r="X73" s="193"/>
      <c r="Y73" s="193"/>
      <c r="Z73" s="194"/>
    </row>
    <row r="74" spans="1:26" ht="18" customHeight="1" x14ac:dyDescent="0.15">
      <c r="A74" s="22"/>
      <c r="B74" s="189"/>
      <c r="C74" s="190"/>
      <c r="D74" s="190"/>
      <c r="E74" s="190"/>
      <c r="F74" s="191"/>
      <c r="G74" s="192"/>
      <c r="H74" s="193"/>
      <c r="I74" s="193"/>
      <c r="J74" s="193"/>
      <c r="K74" s="193"/>
      <c r="L74" s="193"/>
      <c r="M74" s="194"/>
      <c r="N74" s="189"/>
      <c r="O74" s="190"/>
      <c r="P74" s="190"/>
      <c r="Q74" s="190"/>
      <c r="R74" s="190"/>
      <c r="S74" s="191"/>
      <c r="T74" s="192"/>
      <c r="U74" s="193"/>
      <c r="V74" s="193"/>
      <c r="W74" s="193"/>
      <c r="X74" s="193"/>
      <c r="Y74" s="193"/>
      <c r="Z74" s="194"/>
    </row>
    <row r="75" spans="1:26" ht="18" customHeight="1" x14ac:dyDescent="0.15">
      <c r="A75" s="22"/>
      <c r="B75" s="189"/>
      <c r="C75" s="190"/>
      <c r="D75" s="190"/>
      <c r="E75" s="190"/>
      <c r="F75" s="191"/>
      <c r="G75" s="192"/>
      <c r="H75" s="193"/>
      <c r="I75" s="193"/>
      <c r="J75" s="193"/>
      <c r="K75" s="193"/>
      <c r="L75" s="193"/>
      <c r="M75" s="194"/>
      <c r="N75" s="189"/>
      <c r="O75" s="190"/>
      <c r="P75" s="190"/>
      <c r="Q75" s="190"/>
      <c r="R75" s="190"/>
      <c r="S75" s="191"/>
      <c r="T75" s="192"/>
      <c r="U75" s="193"/>
      <c r="V75" s="193"/>
      <c r="W75" s="193"/>
      <c r="X75" s="193"/>
      <c r="Y75" s="193"/>
      <c r="Z75" s="194"/>
    </row>
    <row r="76" spans="1:26" ht="18" customHeight="1" x14ac:dyDescent="0.15">
      <c r="A76" s="22"/>
      <c r="B76" s="178"/>
      <c r="C76" s="179"/>
      <c r="D76" s="179"/>
      <c r="E76" s="179"/>
      <c r="F76" s="180"/>
      <c r="G76" s="181"/>
      <c r="H76" s="182"/>
      <c r="I76" s="182"/>
      <c r="J76" s="182"/>
      <c r="K76" s="182"/>
      <c r="L76" s="182"/>
      <c r="M76" s="183"/>
      <c r="N76" s="178"/>
      <c r="O76" s="179"/>
      <c r="P76" s="179"/>
      <c r="Q76" s="179"/>
      <c r="R76" s="179"/>
      <c r="S76" s="180"/>
      <c r="T76" s="181"/>
      <c r="U76" s="182"/>
      <c r="V76" s="182"/>
      <c r="W76" s="182"/>
      <c r="X76" s="182"/>
      <c r="Y76" s="182"/>
      <c r="Z76" s="183"/>
    </row>
    <row r="77" spans="1:26" ht="18" customHeight="1" x14ac:dyDescent="0.15">
      <c r="A77" s="22"/>
      <c r="B77" s="26"/>
      <c r="C77" s="26"/>
      <c r="D77" s="26"/>
      <c r="E77" s="26"/>
      <c r="F77" s="26"/>
      <c r="G77" s="9"/>
      <c r="H77" s="9"/>
      <c r="I77" s="9"/>
      <c r="J77" s="9"/>
      <c r="K77" s="9"/>
      <c r="L77" s="9"/>
      <c r="M77" s="9"/>
      <c r="N77" s="26"/>
      <c r="O77" s="26"/>
      <c r="P77" s="26"/>
      <c r="Q77" s="26"/>
      <c r="R77" s="26"/>
      <c r="S77" s="26"/>
      <c r="T77" s="9"/>
      <c r="U77" s="9"/>
      <c r="V77" s="9"/>
      <c r="W77" s="9"/>
      <c r="X77" s="9"/>
      <c r="Y77" s="9"/>
      <c r="Z77" s="9"/>
    </row>
    <row r="78" spans="1:26" ht="18.75" customHeight="1" x14ac:dyDescent="0.15">
      <c r="A78" s="10" t="s">
        <v>110</v>
      </c>
    </row>
    <row r="79" spans="1:26" ht="18.75" customHeight="1" x14ac:dyDescent="0.15">
      <c r="B79" s="100" t="s">
        <v>111</v>
      </c>
      <c r="C79" s="101"/>
      <c r="D79" s="184" t="s">
        <v>112</v>
      </c>
      <c r="E79" s="184"/>
      <c r="F79" s="184"/>
      <c r="G79" s="184"/>
      <c r="H79" s="184"/>
      <c r="I79" s="184"/>
      <c r="J79" s="184"/>
      <c r="K79" s="184"/>
      <c r="L79" s="184"/>
      <c r="M79" s="184"/>
      <c r="N79" s="184"/>
      <c r="O79" s="184"/>
      <c r="P79" s="184"/>
      <c r="Q79" s="184"/>
      <c r="R79" s="184"/>
      <c r="S79" s="184"/>
      <c r="T79" s="184"/>
      <c r="U79" s="184"/>
      <c r="V79" s="184"/>
      <c r="W79" s="184"/>
      <c r="X79" s="184"/>
      <c r="Y79" s="184"/>
      <c r="Z79" s="185"/>
    </row>
    <row r="80" spans="1:26" ht="78" customHeight="1" x14ac:dyDescent="0.15">
      <c r="B80" s="158" t="s">
        <v>113</v>
      </c>
      <c r="C80" s="102" t="s">
        <v>81</v>
      </c>
      <c r="D80" s="241" t="s">
        <v>187</v>
      </c>
      <c r="E80" s="306"/>
      <c r="F80" s="306"/>
      <c r="G80" s="306"/>
      <c r="H80" s="306"/>
      <c r="I80" s="306"/>
      <c r="J80" s="306"/>
      <c r="K80" s="306"/>
      <c r="L80" s="306"/>
      <c r="M80" s="306"/>
      <c r="N80" s="306"/>
      <c r="O80" s="306"/>
      <c r="P80" s="306"/>
      <c r="Q80" s="306"/>
      <c r="R80" s="306"/>
      <c r="S80" s="306"/>
      <c r="T80" s="306"/>
      <c r="U80" s="306"/>
      <c r="V80" s="306"/>
      <c r="W80" s="306"/>
      <c r="X80" s="306"/>
      <c r="Y80" s="306"/>
      <c r="Z80" s="307"/>
    </row>
    <row r="81" spans="1:26" ht="78" customHeight="1" x14ac:dyDescent="0.15">
      <c r="B81" s="166"/>
      <c r="C81" s="103" t="s">
        <v>115</v>
      </c>
      <c r="D81" s="308" t="s">
        <v>188</v>
      </c>
      <c r="E81" s="308"/>
      <c r="F81" s="308"/>
      <c r="G81" s="308"/>
      <c r="H81" s="308"/>
      <c r="I81" s="308"/>
      <c r="J81" s="308"/>
      <c r="K81" s="308"/>
      <c r="L81" s="308"/>
      <c r="M81" s="308"/>
      <c r="N81" s="308"/>
      <c r="O81" s="308"/>
      <c r="P81" s="308"/>
      <c r="Q81" s="308"/>
      <c r="R81" s="308"/>
      <c r="S81" s="308"/>
      <c r="T81" s="308"/>
      <c r="U81" s="308"/>
      <c r="V81" s="308"/>
      <c r="W81" s="308"/>
      <c r="X81" s="308"/>
      <c r="Y81" s="308"/>
      <c r="Z81" s="309"/>
    </row>
    <row r="82" spans="1:26" ht="78" customHeight="1" x14ac:dyDescent="0.15">
      <c r="B82" s="171" t="s">
        <v>117</v>
      </c>
      <c r="C82" s="104" t="s">
        <v>90</v>
      </c>
      <c r="D82" s="241" t="s">
        <v>189</v>
      </c>
      <c r="E82" s="306"/>
      <c r="F82" s="306"/>
      <c r="G82" s="306"/>
      <c r="H82" s="306"/>
      <c r="I82" s="306"/>
      <c r="J82" s="306"/>
      <c r="K82" s="306"/>
      <c r="L82" s="306"/>
      <c r="M82" s="306"/>
      <c r="N82" s="306"/>
      <c r="O82" s="306"/>
      <c r="P82" s="306"/>
      <c r="Q82" s="306"/>
      <c r="R82" s="306"/>
      <c r="S82" s="306"/>
      <c r="T82" s="306"/>
      <c r="U82" s="306"/>
      <c r="V82" s="306"/>
      <c r="W82" s="306"/>
      <c r="X82" s="306"/>
      <c r="Y82" s="306"/>
      <c r="Z82" s="307"/>
    </row>
    <row r="83" spans="1:26" ht="78" customHeight="1" x14ac:dyDescent="0.15">
      <c r="B83" s="167"/>
      <c r="C83" s="105" t="s">
        <v>91</v>
      </c>
      <c r="D83" s="308" t="s">
        <v>190</v>
      </c>
      <c r="E83" s="308"/>
      <c r="F83" s="308"/>
      <c r="G83" s="308"/>
      <c r="H83" s="308"/>
      <c r="I83" s="308"/>
      <c r="J83" s="308"/>
      <c r="K83" s="308"/>
      <c r="L83" s="308"/>
      <c r="M83" s="308"/>
      <c r="N83" s="308"/>
      <c r="O83" s="308"/>
      <c r="P83" s="308"/>
      <c r="Q83" s="308"/>
      <c r="R83" s="308"/>
      <c r="S83" s="308"/>
      <c r="T83" s="308"/>
      <c r="U83" s="308"/>
      <c r="V83" s="308"/>
      <c r="W83" s="308"/>
      <c r="X83" s="308"/>
      <c r="Y83" s="308"/>
      <c r="Z83" s="309"/>
    </row>
    <row r="84" spans="1:26" ht="66" customHeight="1" x14ac:dyDescent="0.15">
      <c r="B84" s="171" t="s">
        <v>120</v>
      </c>
      <c r="C84" s="104" t="s">
        <v>95</v>
      </c>
      <c r="D84" s="305" t="s">
        <v>191</v>
      </c>
      <c r="E84" s="306"/>
      <c r="F84" s="306"/>
      <c r="G84" s="306"/>
      <c r="H84" s="306"/>
      <c r="I84" s="306"/>
      <c r="J84" s="306"/>
      <c r="K84" s="306"/>
      <c r="L84" s="306"/>
      <c r="M84" s="306"/>
      <c r="N84" s="306"/>
      <c r="O84" s="306"/>
      <c r="P84" s="306"/>
      <c r="Q84" s="306"/>
      <c r="R84" s="306"/>
      <c r="S84" s="306"/>
      <c r="T84" s="306"/>
      <c r="U84" s="306"/>
      <c r="V84" s="306"/>
      <c r="W84" s="306"/>
      <c r="X84" s="306"/>
      <c r="Y84" s="306"/>
      <c r="Z84" s="307"/>
    </row>
    <row r="85" spans="1:26" ht="66" customHeight="1" x14ac:dyDescent="0.15">
      <c r="B85" s="167"/>
      <c r="C85" s="106" t="s">
        <v>96</v>
      </c>
      <c r="D85" s="308" t="s">
        <v>192</v>
      </c>
      <c r="E85" s="308"/>
      <c r="F85" s="308"/>
      <c r="G85" s="308"/>
      <c r="H85" s="308"/>
      <c r="I85" s="308"/>
      <c r="J85" s="308"/>
      <c r="K85" s="308"/>
      <c r="L85" s="308"/>
      <c r="M85" s="308"/>
      <c r="N85" s="308"/>
      <c r="O85" s="308"/>
      <c r="P85" s="308"/>
      <c r="Q85" s="308"/>
      <c r="R85" s="308"/>
      <c r="S85" s="308"/>
      <c r="T85" s="308"/>
      <c r="U85" s="308"/>
      <c r="V85" s="308"/>
      <c r="W85" s="308"/>
      <c r="X85" s="308"/>
      <c r="Y85" s="308"/>
      <c r="Z85" s="309"/>
    </row>
    <row r="86" spans="1:26" ht="66" customHeight="1" x14ac:dyDescent="0.15">
      <c r="B86" s="158" t="s">
        <v>123</v>
      </c>
      <c r="C86" s="102" t="s">
        <v>99</v>
      </c>
      <c r="D86" s="305" t="s">
        <v>193</v>
      </c>
      <c r="E86" s="306"/>
      <c r="F86" s="306"/>
      <c r="G86" s="306"/>
      <c r="H86" s="306"/>
      <c r="I86" s="306"/>
      <c r="J86" s="306"/>
      <c r="K86" s="306"/>
      <c r="L86" s="306"/>
      <c r="M86" s="306"/>
      <c r="N86" s="306"/>
      <c r="O86" s="306"/>
      <c r="P86" s="306"/>
      <c r="Q86" s="306"/>
      <c r="R86" s="306"/>
      <c r="S86" s="306"/>
      <c r="T86" s="306"/>
      <c r="U86" s="306"/>
      <c r="V86" s="306"/>
      <c r="W86" s="306"/>
      <c r="X86" s="306"/>
      <c r="Y86" s="306"/>
      <c r="Z86" s="307"/>
    </row>
    <row r="87" spans="1:26" ht="66" customHeight="1" x14ac:dyDescent="0.15">
      <c r="B87" s="159"/>
      <c r="C87" s="107" t="s">
        <v>100</v>
      </c>
      <c r="D87" s="308" t="s">
        <v>194</v>
      </c>
      <c r="E87" s="308"/>
      <c r="F87" s="308"/>
      <c r="G87" s="308"/>
      <c r="H87" s="308"/>
      <c r="I87" s="308"/>
      <c r="J87" s="308"/>
      <c r="K87" s="308"/>
      <c r="L87" s="308"/>
      <c r="M87" s="308"/>
      <c r="N87" s="308"/>
      <c r="O87" s="308"/>
      <c r="P87" s="308"/>
      <c r="Q87" s="308"/>
      <c r="R87" s="308"/>
      <c r="S87" s="308"/>
      <c r="T87" s="308"/>
      <c r="U87" s="308"/>
      <c r="V87" s="308"/>
      <c r="W87" s="308"/>
      <c r="X87" s="308"/>
      <c r="Y87" s="308"/>
      <c r="Z87" s="309"/>
    </row>
    <row r="88" spans="1:26" ht="66" customHeight="1" x14ac:dyDescent="0.15">
      <c r="B88" s="158" t="s">
        <v>126</v>
      </c>
      <c r="C88" s="104" t="s">
        <v>103</v>
      </c>
      <c r="D88" s="247" t="s">
        <v>195</v>
      </c>
      <c r="E88" s="248"/>
      <c r="F88" s="248"/>
      <c r="G88" s="248"/>
      <c r="H88" s="248"/>
      <c r="I88" s="248"/>
      <c r="J88" s="248"/>
      <c r="K88" s="248"/>
      <c r="L88" s="248"/>
      <c r="M88" s="248"/>
      <c r="N88" s="248"/>
      <c r="O88" s="248"/>
      <c r="P88" s="248"/>
      <c r="Q88" s="248"/>
      <c r="R88" s="248"/>
      <c r="S88" s="248"/>
      <c r="T88" s="248"/>
      <c r="U88" s="248"/>
      <c r="V88" s="248"/>
      <c r="W88" s="248"/>
      <c r="X88" s="248"/>
      <c r="Y88" s="248"/>
      <c r="Z88" s="310"/>
    </row>
    <row r="89" spans="1:26" ht="66" customHeight="1" x14ac:dyDescent="0.15">
      <c r="B89" s="166"/>
      <c r="C89" s="107" t="s">
        <v>104</v>
      </c>
      <c r="D89" s="311" t="s">
        <v>196</v>
      </c>
      <c r="E89" s="312"/>
      <c r="F89" s="312"/>
      <c r="G89" s="312"/>
      <c r="H89" s="312"/>
      <c r="I89" s="312"/>
      <c r="J89" s="312"/>
      <c r="K89" s="312"/>
      <c r="L89" s="312"/>
      <c r="M89" s="312"/>
      <c r="N89" s="312"/>
      <c r="O89" s="312"/>
      <c r="P89" s="312"/>
      <c r="Q89" s="312"/>
      <c r="R89" s="312"/>
      <c r="S89" s="312"/>
      <c r="T89" s="312"/>
      <c r="U89" s="312"/>
      <c r="V89" s="312"/>
      <c r="W89" s="312"/>
      <c r="X89" s="312"/>
      <c r="Y89" s="312"/>
      <c r="Z89" s="313"/>
    </row>
    <row r="90" spans="1:26" ht="66" customHeight="1" x14ac:dyDescent="0.15">
      <c r="B90" s="167"/>
      <c r="C90" s="106" t="s">
        <v>105</v>
      </c>
      <c r="D90" s="253" t="s">
        <v>197</v>
      </c>
      <c r="E90" s="254"/>
      <c r="F90" s="254"/>
      <c r="G90" s="254"/>
      <c r="H90" s="254"/>
      <c r="I90" s="254"/>
      <c r="J90" s="254"/>
      <c r="K90" s="254"/>
      <c r="L90" s="254"/>
      <c r="M90" s="254"/>
      <c r="N90" s="254"/>
      <c r="O90" s="254"/>
      <c r="P90" s="254"/>
      <c r="Q90" s="254"/>
      <c r="R90" s="254"/>
      <c r="S90" s="254"/>
      <c r="T90" s="254"/>
      <c r="U90" s="254"/>
      <c r="V90" s="254"/>
      <c r="W90" s="254"/>
      <c r="X90" s="254"/>
      <c r="Y90" s="254"/>
      <c r="Z90" s="314"/>
    </row>
    <row r="91" spans="1:26" ht="6" customHeight="1" x14ac:dyDescent="0.15"/>
    <row r="92" spans="1:26" ht="18.75" customHeight="1" x14ac:dyDescent="0.15">
      <c r="A92" s="10" t="s">
        <v>130</v>
      </c>
    </row>
    <row r="93" spans="1:26" ht="18.75" customHeight="1" x14ac:dyDescent="0.15">
      <c r="B93" s="240" t="s">
        <v>198</v>
      </c>
      <c r="C93" s="294"/>
      <c r="D93" s="294"/>
      <c r="E93" s="294"/>
      <c r="F93" s="294"/>
      <c r="G93" s="294"/>
      <c r="H93" s="294"/>
      <c r="I93" s="294"/>
      <c r="J93" s="294"/>
      <c r="K93" s="294"/>
      <c r="L93" s="294"/>
      <c r="M93" s="294"/>
      <c r="N93" s="294"/>
      <c r="O93" s="294"/>
      <c r="P93" s="294"/>
      <c r="Q93" s="294"/>
      <c r="R93" s="294"/>
      <c r="S93" s="294"/>
      <c r="T93" s="294"/>
      <c r="U93" s="294"/>
      <c r="V93" s="294"/>
      <c r="W93" s="294"/>
      <c r="X93" s="294"/>
      <c r="Y93" s="294"/>
      <c r="Z93" s="295"/>
    </row>
    <row r="94" spans="1:26" ht="18.75" customHeight="1" x14ac:dyDescent="0.15">
      <c r="B94" s="296"/>
      <c r="C94" s="297"/>
      <c r="D94" s="297"/>
      <c r="E94" s="297"/>
      <c r="F94" s="297"/>
      <c r="G94" s="297"/>
      <c r="H94" s="297"/>
      <c r="I94" s="297"/>
      <c r="J94" s="297"/>
      <c r="K94" s="297"/>
      <c r="L94" s="297"/>
      <c r="M94" s="297"/>
      <c r="N94" s="297"/>
      <c r="O94" s="297"/>
      <c r="P94" s="297"/>
      <c r="Q94" s="297"/>
      <c r="R94" s="297"/>
      <c r="S94" s="297"/>
      <c r="T94" s="297"/>
      <c r="U94" s="297"/>
      <c r="V94" s="297"/>
      <c r="W94" s="297"/>
      <c r="X94" s="297"/>
      <c r="Y94" s="297"/>
      <c r="Z94" s="298"/>
    </row>
    <row r="95" spans="1:26" ht="18.75" customHeight="1" x14ac:dyDescent="0.15">
      <c r="B95" s="299"/>
      <c r="C95" s="300"/>
      <c r="D95" s="300"/>
      <c r="E95" s="300"/>
      <c r="F95" s="300"/>
      <c r="G95" s="300"/>
      <c r="H95" s="300"/>
      <c r="I95" s="300"/>
      <c r="J95" s="300"/>
      <c r="K95" s="300"/>
      <c r="L95" s="300"/>
      <c r="M95" s="300"/>
      <c r="N95" s="300"/>
      <c r="O95" s="300"/>
      <c r="P95" s="300"/>
      <c r="Q95" s="300"/>
      <c r="R95" s="300"/>
      <c r="S95" s="300"/>
      <c r="T95" s="300"/>
      <c r="U95" s="300"/>
      <c r="V95" s="300"/>
      <c r="W95" s="300"/>
      <c r="X95" s="300"/>
      <c r="Y95" s="300"/>
      <c r="Z95" s="301"/>
    </row>
    <row r="96" spans="1:26" ht="6" customHeight="1" x14ac:dyDescent="0.15"/>
    <row r="97" spans="1:26" ht="15" customHeight="1" x14ac:dyDescent="0.15">
      <c r="A97" s="10" t="s">
        <v>132</v>
      </c>
    </row>
    <row r="98" spans="1:26" ht="15" customHeight="1" x14ac:dyDescent="0.15">
      <c r="B98" s="302" t="s">
        <v>133</v>
      </c>
      <c r="C98" s="303"/>
      <c r="D98" s="303"/>
      <c r="E98" s="303"/>
      <c r="F98" s="303"/>
      <c r="G98" s="303"/>
      <c r="H98" s="303"/>
      <c r="I98" s="303"/>
      <c r="J98" s="303"/>
      <c r="K98" s="303"/>
      <c r="L98" s="303"/>
      <c r="M98" s="303"/>
      <c r="N98" s="303"/>
      <c r="O98" s="303"/>
      <c r="P98" s="303"/>
      <c r="Q98" s="303"/>
      <c r="R98" s="303"/>
      <c r="S98" s="303"/>
      <c r="T98" s="303"/>
      <c r="U98" s="303"/>
      <c r="V98" s="303"/>
      <c r="W98" s="303"/>
      <c r="X98" s="303"/>
      <c r="Y98" s="303"/>
      <c r="Z98" s="304"/>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2"/>
  <dataValidations count="4">
    <dataValidation type="list" allowBlank="1" showInputMessage="1" showErrorMessage="1" sqref="H74:M77 G70:G77 H70:M71 T70:T77 U70:Z71 U74:Z77" xr:uid="{5D9DDBEE-F30D-E84B-A1F5-EB2BA8A99FF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xr:uid="{4D00EFBF-7E1A-8749-AA3D-2C53A7A0CEA6}">
      <formula1>"学部・学科によって、修了要件は相違する,学部・学科によって、修了要件は相違しない"</formula1>
    </dataValidation>
    <dataValidation type="list" allowBlank="1" showInputMessage="1" showErrorMessage="1" sqref="Z23 Z34 D34:K34 D23:K23 V16:V22 I16:I22 V27:V33 I49:I55 V38:V44 I27:I33 V49:V55 I38:I44 U60:U66 H60:H66" xr:uid="{DD7656B4-1529-CF41-B26F-F0110BE47580}">
      <formula1>"全学開講,一部開講"</formula1>
    </dataValidation>
    <dataValidation type="list" allowBlank="1" showInputMessage="1" showErrorMessage="1" sqref="Y16:Z22 L16:M22 Y27:Z33 H27:H33 H38:H44 Y38:Z44 H49:H55 Y49:Z55 Y60:Z66 G60:G66 H16:H22 U16:U22 T60:T66 U27:U33 L27:M33 U38:U44 L38:M44 U49:U55 L49:M55 M60:M66 L61:L66 K60:L60" xr:uid="{B1CE6C13-FACB-4B45-94DD-A9D3D1471314}">
      <formula1>"○"</formula1>
    </dataValidation>
  </dataValidations>
  <printOptions horizontalCentered="1"/>
  <pageMargins left="0.78740157480314965" right="0.78740157480314965" top="0.59055118110236227" bottom="0.19685039370078741" header="0.31496062992125984" footer="0.19685039370078741"/>
  <pageSetup paperSize="9" scale="98" orientation="landscape" r:id="rId1"/>
  <rowBreaks count="3" manualBreakCount="3">
    <brk id="34" max="25" man="1"/>
    <brk id="67" max="25" man="1"/>
    <brk id="83" max="25"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CEB29-35D8-1A47-8804-9BA68D7B1715}">
  <dimension ref="A1:Z98"/>
  <sheetViews>
    <sheetView showZeros="0" view="pageBreakPreview" topLeftCell="A6" zoomScaleNormal="100" zoomScaleSheetLayoutView="100" workbookViewId="0">
      <selection activeCell="B12" sqref="B12"/>
    </sheetView>
  </sheetViews>
  <sheetFormatPr defaultColWidth="9" defaultRowHeight="18.75" customHeight="1" x14ac:dyDescent="0.15"/>
  <cols>
    <col min="1" max="1" width="2.5" style="10" customWidth="1"/>
    <col min="2" max="2" width="27.625" style="10" customWidth="1"/>
    <col min="3" max="13" width="3.375" style="10" customWidth="1"/>
    <col min="14" max="14" width="8.875" style="10" customWidth="1"/>
    <col min="15" max="15" width="18.875" style="10" customWidth="1"/>
    <col min="16" max="19" width="3.375" style="10" customWidth="1"/>
    <col min="20" max="20" width="3.5" style="10" customWidth="1"/>
    <col min="21" max="26" width="3.375" style="10" customWidth="1"/>
    <col min="27" max="16384" width="9" style="10"/>
  </cols>
  <sheetData>
    <row r="1" spans="1:26" ht="15" customHeight="1" x14ac:dyDescent="0.15">
      <c r="W1" s="229" t="s">
        <v>199</v>
      </c>
      <c r="X1" s="229"/>
      <c r="Y1" s="229"/>
      <c r="Z1" s="229"/>
    </row>
    <row r="2" spans="1:26" ht="18" customHeight="1" x14ac:dyDescent="0.15">
      <c r="A2" s="230" t="s">
        <v>71</v>
      </c>
      <c r="B2" s="230"/>
      <c r="C2" s="230"/>
      <c r="D2" s="230"/>
      <c r="E2" s="230"/>
      <c r="F2" s="230"/>
      <c r="G2" s="230"/>
      <c r="H2" s="230"/>
      <c r="I2" s="230"/>
      <c r="J2" s="230"/>
      <c r="K2" s="230"/>
      <c r="L2" s="230"/>
      <c r="M2" s="230"/>
      <c r="N2" s="230"/>
      <c r="O2" s="230"/>
      <c r="P2" s="230"/>
      <c r="Q2" s="230"/>
      <c r="R2" s="230"/>
      <c r="S2" s="230"/>
      <c r="T2" s="230"/>
      <c r="U2" s="230"/>
      <c r="V2" s="230"/>
      <c r="W2" s="230"/>
      <c r="X2" s="230"/>
      <c r="Y2" s="230"/>
      <c r="Z2" s="230"/>
    </row>
    <row r="3" spans="1:26" ht="15" customHeight="1" x14ac:dyDescent="0.15">
      <c r="B3" s="22"/>
      <c r="C3" s="22"/>
      <c r="D3" s="22"/>
      <c r="E3" s="22"/>
      <c r="F3" s="22"/>
      <c r="G3" s="22"/>
      <c r="H3" s="22"/>
      <c r="I3" s="22"/>
      <c r="J3" s="22"/>
      <c r="K3" s="22"/>
      <c r="L3" s="22"/>
      <c r="M3" s="22"/>
      <c r="N3" s="22"/>
      <c r="O3" s="22"/>
      <c r="P3" s="22"/>
      <c r="Q3" s="22"/>
      <c r="R3" s="22"/>
      <c r="S3" s="22"/>
      <c r="T3" s="22"/>
      <c r="U3" s="22"/>
      <c r="V3" s="22"/>
      <c r="W3" s="22"/>
      <c r="X3" s="22"/>
      <c r="Y3" s="22"/>
      <c r="Z3" s="22"/>
    </row>
    <row r="4" spans="1:26" ht="18" customHeight="1" x14ac:dyDescent="0.15">
      <c r="A4" s="10" t="s">
        <v>72</v>
      </c>
      <c r="B4" s="22"/>
      <c r="C4" s="22"/>
      <c r="D4" s="22"/>
      <c r="E4" s="22"/>
      <c r="F4" s="22"/>
      <c r="G4" s="22"/>
      <c r="H4" s="11" t="s">
        <v>73</v>
      </c>
      <c r="I4" s="22"/>
      <c r="J4" s="22"/>
      <c r="K4" s="22"/>
      <c r="L4" s="22"/>
      <c r="M4" s="22"/>
      <c r="N4" s="22"/>
      <c r="O4" s="139" t="s">
        <v>74</v>
      </c>
      <c r="P4" s="141"/>
      <c r="Q4" s="141"/>
      <c r="R4" s="141"/>
      <c r="S4" s="141"/>
      <c r="T4" s="141"/>
      <c r="U4" s="141"/>
      <c r="V4" s="141"/>
      <c r="W4" s="141"/>
      <c r="X4" s="141"/>
      <c r="Y4" s="141"/>
      <c r="Z4" s="140"/>
    </row>
    <row r="5" spans="1:26" ht="6" customHeight="1" x14ac:dyDescent="0.15">
      <c r="B5" s="22"/>
      <c r="C5" s="22"/>
      <c r="D5" s="22"/>
      <c r="E5" s="22"/>
      <c r="F5" s="22"/>
      <c r="G5" s="22"/>
      <c r="H5" s="22"/>
      <c r="I5" s="22"/>
      <c r="J5" s="22"/>
      <c r="K5" s="22"/>
      <c r="L5" s="22"/>
      <c r="M5" s="22"/>
      <c r="N5" s="22"/>
      <c r="O5" s="12"/>
      <c r="P5" s="22"/>
      <c r="Q5" s="22"/>
      <c r="R5" s="22"/>
      <c r="S5" s="22"/>
      <c r="T5" s="22"/>
      <c r="U5" s="22"/>
      <c r="V5" s="22"/>
      <c r="W5" s="22"/>
      <c r="X5" s="22"/>
      <c r="Y5" s="22"/>
      <c r="Z5" s="22"/>
    </row>
    <row r="6" spans="1:26" ht="18" customHeight="1" x14ac:dyDescent="0.15">
      <c r="B6" s="231" t="s">
        <v>200</v>
      </c>
      <c r="C6" s="232"/>
      <c r="D6" s="232"/>
      <c r="E6" s="232"/>
      <c r="F6" s="232"/>
      <c r="G6" s="232"/>
      <c r="H6" s="232"/>
      <c r="I6" s="232"/>
      <c r="J6" s="232"/>
      <c r="K6" s="232"/>
      <c r="L6" s="232"/>
      <c r="M6" s="232"/>
      <c r="N6" s="232"/>
      <c r="O6" s="232"/>
      <c r="P6" s="232"/>
      <c r="Q6" s="232"/>
      <c r="R6" s="232"/>
      <c r="S6" s="232"/>
      <c r="T6" s="232"/>
      <c r="U6" s="232"/>
      <c r="V6" s="232"/>
      <c r="W6" s="232"/>
      <c r="X6" s="232"/>
      <c r="Y6" s="232"/>
      <c r="Z6" s="233"/>
    </row>
    <row r="7" spans="1:26" ht="18" customHeight="1" x14ac:dyDescent="0.15">
      <c r="B7" s="234"/>
      <c r="C7" s="235"/>
      <c r="D7" s="235"/>
      <c r="E7" s="235"/>
      <c r="F7" s="235"/>
      <c r="G7" s="235"/>
      <c r="H7" s="235"/>
      <c r="I7" s="235"/>
      <c r="J7" s="235"/>
      <c r="K7" s="235"/>
      <c r="L7" s="235"/>
      <c r="M7" s="235"/>
      <c r="N7" s="235"/>
      <c r="O7" s="235"/>
      <c r="P7" s="235"/>
      <c r="Q7" s="235"/>
      <c r="R7" s="235"/>
      <c r="S7" s="235"/>
      <c r="T7" s="235"/>
      <c r="U7" s="235"/>
      <c r="V7" s="235"/>
      <c r="W7" s="235"/>
      <c r="X7" s="235"/>
      <c r="Y7" s="235"/>
      <c r="Z7" s="236"/>
    </row>
    <row r="8" spans="1:26" ht="18" customHeight="1" x14ac:dyDescent="0.15">
      <c r="B8" s="234"/>
      <c r="C8" s="235"/>
      <c r="D8" s="235"/>
      <c r="E8" s="235"/>
      <c r="F8" s="235"/>
      <c r="G8" s="235"/>
      <c r="H8" s="235"/>
      <c r="I8" s="235"/>
      <c r="J8" s="235"/>
      <c r="K8" s="235"/>
      <c r="L8" s="235"/>
      <c r="M8" s="235"/>
      <c r="N8" s="235"/>
      <c r="O8" s="235"/>
      <c r="P8" s="235"/>
      <c r="Q8" s="235"/>
      <c r="R8" s="235"/>
      <c r="S8" s="235"/>
      <c r="T8" s="235"/>
      <c r="U8" s="235"/>
      <c r="V8" s="235"/>
      <c r="W8" s="235"/>
      <c r="X8" s="235"/>
      <c r="Y8" s="235"/>
      <c r="Z8" s="236"/>
    </row>
    <row r="9" spans="1:26" ht="18" customHeight="1" x14ac:dyDescent="0.15">
      <c r="B9" s="234"/>
      <c r="C9" s="235"/>
      <c r="D9" s="235"/>
      <c r="E9" s="235"/>
      <c r="F9" s="235"/>
      <c r="G9" s="235"/>
      <c r="H9" s="235"/>
      <c r="I9" s="235"/>
      <c r="J9" s="235"/>
      <c r="K9" s="235"/>
      <c r="L9" s="235"/>
      <c r="M9" s="235"/>
      <c r="N9" s="235"/>
      <c r="O9" s="235"/>
      <c r="P9" s="235"/>
      <c r="Q9" s="235"/>
      <c r="R9" s="235"/>
      <c r="S9" s="235"/>
      <c r="T9" s="235"/>
      <c r="U9" s="235"/>
      <c r="V9" s="235"/>
      <c r="W9" s="235"/>
      <c r="X9" s="235"/>
      <c r="Y9" s="235"/>
      <c r="Z9" s="236"/>
    </row>
    <row r="10" spans="1:26" ht="18" customHeight="1" x14ac:dyDescent="0.15">
      <c r="B10" s="234"/>
      <c r="C10" s="235"/>
      <c r="D10" s="235"/>
      <c r="E10" s="235"/>
      <c r="F10" s="235"/>
      <c r="G10" s="235"/>
      <c r="H10" s="235"/>
      <c r="I10" s="235"/>
      <c r="J10" s="235"/>
      <c r="K10" s="235"/>
      <c r="L10" s="235"/>
      <c r="M10" s="235"/>
      <c r="N10" s="235"/>
      <c r="O10" s="235"/>
      <c r="P10" s="235"/>
      <c r="Q10" s="235"/>
      <c r="R10" s="235"/>
      <c r="S10" s="235"/>
      <c r="T10" s="235"/>
      <c r="U10" s="235"/>
      <c r="V10" s="235"/>
      <c r="W10" s="235"/>
      <c r="X10" s="235"/>
      <c r="Y10" s="235"/>
      <c r="Z10" s="236"/>
    </row>
    <row r="11" spans="1:26" ht="18" customHeight="1" x14ac:dyDescent="0.15">
      <c r="B11" s="237"/>
      <c r="C11" s="238"/>
      <c r="D11" s="238"/>
      <c r="E11" s="238"/>
      <c r="F11" s="238"/>
      <c r="G11" s="238"/>
      <c r="H11" s="238"/>
      <c r="I11" s="238"/>
      <c r="J11" s="238"/>
      <c r="K11" s="238"/>
      <c r="L11" s="238"/>
      <c r="M11" s="238"/>
      <c r="N11" s="238"/>
      <c r="O11" s="238"/>
      <c r="P11" s="238"/>
      <c r="Q11" s="238"/>
      <c r="R11" s="238"/>
      <c r="S11" s="238"/>
      <c r="T11" s="238"/>
      <c r="U11" s="238"/>
      <c r="V11" s="238"/>
      <c r="W11" s="238"/>
      <c r="X11" s="238"/>
      <c r="Y11" s="238"/>
      <c r="Z11" s="239"/>
    </row>
    <row r="12" spans="1:26" ht="7.5" customHeight="1" x14ac:dyDescent="0.15">
      <c r="B12" s="22"/>
      <c r="C12" s="22"/>
      <c r="D12" s="22"/>
      <c r="E12" s="22"/>
      <c r="F12" s="22"/>
      <c r="G12" s="22"/>
      <c r="H12" s="22"/>
      <c r="I12" s="22"/>
      <c r="J12" s="22"/>
      <c r="K12" s="22"/>
      <c r="L12" s="22"/>
      <c r="M12" s="22"/>
      <c r="N12" s="22"/>
      <c r="O12" s="22"/>
      <c r="P12" s="22"/>
      <c r="Q12" s="22"/>
      <c r="R12" s="22"/>
      <c r="S12" s="22"/>
      <c r="T12" s="22"/>
      <c r="U12" s="22"/>
      <c r="V12" s="22"/>
      <c r="W12" s="22"/>
      <c r="X12" s="22"/>
      <c r="Y12" s="22"/>
      <c r="Z12" s="22"/>
    </row>
    <row r="13" spans="1:26" ht="18" customHeight="1" x14ac:dyDescent="0.15">
      <c r="A13" s="216" t="s">
        <v>76</v>
      </c>
      <c r="B13" s="216"/>
      <c r="C13" s="216"/>
      <c r="D13" s="216"/>
      <c r="E13" s="216"/>
      <c r="F13" s="216"/>
      <c r="G13" s="216"/>
      <c r="H13" s="216"/>
      <c r="I13" s="216"/>
      <c r="J13" s="216"/>
      <c r="K13" s="216"/>
      <c r="L13" s="216"/>
      <c r="M13" s="216"/>
      <c r="N13" s="216"/>
      <c r="O13" s="216"/>
      <c r="P13" s="216"/>
      <c r="Q13" s="216"/>
      <c r="R13" s="216"/>
      <c r="S13" s="216"/>
      <c r="T13" s="216"/>
      <c r="U13" s="216"/>
      <c r="V13" s="216"/>
      <c r="W13" s="216"/>
      <c r="X13" s="216"/>
      <c r="Y13" s="216"/>
      <c r="Z13" s="216"/>
    </row>
    <row r="14" spans="1:26" ht="18" customHeight="1" x14ac:dyDescent="0.15">
      <c r="A14" s="216"/>
      <c r="B14" s="216"/>
      <c r="C14" s="216"/>
      <c r="D14" s="216"/>
      <c r="E14" s="216"/>
      <c r="F14" s="216"/>
      <c r="G14" s="216"/>
      <c r="H14" s="216"/>
      <c r="I14" s="216"/>
      <c r="J14" s="216"/>
      <c r="K14" s="216"/>
      <c r="L14" s="216"/>
      <c r="M14" s="216"/>
      <c r="N14" s="216"/>
      <c r="O14" s="216"/>
      <c r="P14" s="216"/>
      <c r="Q14" s="216"/>
      <c r="R14" s="216"/>
      <c r="S14" s="216"/>
      <c r="T14" s="216"/>
      <c r="U14" s="216"/>
      <c r="V14" s="216"/>
      <c r="W14" s="216"/>
      <c r="X14" s="216"/>
      <c r="Y14" s="216"/>
      <c r="Z14" s="216"/>
    </row>
    <row r="15" spans="1:26" ht="18" customHeight="1" x14ac:dyDescent="0.15">
      <c r="A15" s="11"/>
      <c r="B15" s="139" t="s">
        <v>77</v>
      </c>
      <c r="C15" s="141"/>
      <c r="D15" s="141"/>
      <c r="E15" s="141"/>
      <c r="F15" s="140"/>
      <c r="G15" s="23" t="s">
        <v>78</v>
      </c>
      <c r="H15" s="90" t="s">
        <v>79</v>
      </c>
      <c r="I15" s="141" t="s">
        <v>80</v>
      </c>
      <c r="J15" s="141"/>
      <c r="K15" s="141"/>
      <c r="L15" s="91" t="s">
        <v>81</v>
      </c>
      <c r="M15" s="91" t="s">
        <v>82</v>
      </c>
      <c r="N15" s="139" t="s">
        <v>77</v>
      </c>
      <c r="O15" s="141"/>
      <c r="P15" s="141"/>
      <c r="Q15" s="141"/>
      <c r="R15" s="141"/>
      <c r="S15" s="140"/>
      <c r="T15" s="23" t="s">
        <v>78</v>
      </c>
      <c r="U15" s="90" t="s">
        <v>79</v>
      </c>
      <c r="V15" s="141" t="s">
        <v>80</v>
      </c>
      <c r="W15" s="141"/>
      <c r="X15" s="141"/>
      <c r="Y15" s="91" t="s">
        <v>81</v>
      </c>
      <c r="Z15" s="91" t="s">
        <v>82</v>
      </c>
    </row>
    <row r="16" spans="1:26" ht="18" customHeight="1" x14ac:dyDescent="0.15">
      <c r="A16" s="11"/>
      <c r="B16" s="220" t="s">
        <v>201</v>
      </c>
      <c r="C16" s="221"/>
      <c r="D16" s="221"/>
      <c r="E16" s="221"/>
      <c r="F16" s="222"/>
      <c r="G16" s="92">
        <v>1</v>
      </c>
      <c r="H16" s="92" t="s">
        <v>84</v>
      </c>
      <c r="I16" s="210" t="s">
        <v>85</v>
      </c>
      <c r="J16" s="211"/>
      <c r="K16" s="212"/>
      <c r="L16" s="92" t="s">
        <v>84</v>
      </c>
      <c r="M16" s="92" t="s">
        <v>84</v>
      </c>
      <c r="N16" s="195"/>
      <c r="O16" s="196"/>
      <c r="P16" s="196"/>
      <c r="Q16" s="196"/>
      <c r="R16" s="196"/>
      <c r="S16" s="197"/>
      <c r="T16" s="92"/>
      <c r="U16" s="92"/>
      <c r="V16" s="210"/>
      <c r="W16" s="211"/>
      <c r="X16" s="212"/>
      <c r="Y16" s="92"/>
      <c r="Z16" s="92"/>
    </row>
    <row r="17" spans="1:26" ht="18" customHeight="1" x14ac:dyDescent="0.15">
      <c r="A17" s="11"/>
      <c r="B17" s="217"/>
      <c r="C17" s="218"/>
      <c r="D17" s="218"/>
      <c r="E17" s="218"/>
      <c r="F17" s="219"/>
      <c r="G17" s="93"/>
      <c r="H17" s="93"/>
      <c r="I17" s="207"/>
      <c r="J17" s="208"/>
      <c r="K17" s="209"/>
      <c r="L17" s="93"/>
      <c r="M17" s="93"/>
      <c r="N17" s="189"/>
      <c r="O17" s="190"/>
      <c r="P17" s="190"/>
      <c r="Q17" s="190"/>
      <c r="R17" s="190"/>
      <c r="S17" s="191"/>
      <c r="T17" s="93"/>
      <c r="U17" s="93"/>
      <c r="V17" s="207"/>
      <c r="W17" s="208"/>
      <c r="X17" s="209"/>
      <c r="Y17" s="93"/>
      <c r="Z17" s="93"/>
    </row>
    <row r="18" spans="1:26" ht="18" customHeight="1" x14ac:dyDescent="0.15">
      <c r="A18" s="11"/>
      <c r="B18" s="217"/>
      <c r="C18" s="218"/>
      <c r="D18" s="218"/>
      <c r="E18" s="218"/>
      <c r="F18" s="219"/>
      <c r="G18" s="93"/>
      <c r="H18" s="93"/>
      <c r="I18" s="207"/>
      <c r="J18" s="208"/>
      <c r="K18" s="209"/>
      <c r="L18" s="93"/>
      <c r="M18" s="93"/>
      <c r="N18" s="189"/>
      <c r="O18" s="190"/>
      <c r="P18" s="190"/>
      <c r="Q18" s="190"/>
      <c r="R18" s="190"/>
      <c r="S18" s="191"/>
      <c r="T18" s="93"/>
      <c r="U18" s="93"/>
      <c r="V18" s="207"/>
      <c r="W18" s="208"/>
      <c r="X18" s="209"/>
      <c r="Y18" s="93"/>
      <c r="Z18" s="93"/>
    </row>
    <row r="19" spans="1:26" ht="18" customHeight="1" x14ac:dyDescent="0.15">
      <c r="A19" s="11"/>
      <c r="B19" s="217"/>
      <c r="C19" s="218"/>
      <c r="D19" s="218"/>
      <c r="E19" s="218"/>
      <c r="F19" s="219"/>
      <c r="G19" s="93"/>
      <c r="H19" s="93"/>
      <c r="I19" s="207"/>
      <c r="J19" s="208"/>
      <c r="K19" s="209"/>
      <c r="L19" s="93"/>
      <c r="M19" s="93"/>
      <c r="N19" s="189"/>
      <c r="O19" s="190"/>
      <c r="P19" s="190"/>
      <c r="Q19" s="190"/>
      <c r="R19" s="190"/>
      <c r="S19" s="191"/>
      <c r="T19" s="93"/>
      <c r="U19" s="93"/>
      <c r="V19" s="207"/>
      <c r="W19" s="208"/>
      <c r="X19" s="209"/>
      <c r="Y19" s="93"/>
      <c r="Z19" s="93"/>
    </row>
    <row r="20" spans="1:26" ht="18" customHeight="1" x14ac:dyDescent="0.15">
      <c r="A20" s="11"/>
      <c r="B20" s="217"/>
      <c r="C20" s="218"/>
      <c r="D20" s="218"/>
      <c r="E20" s="218"/>
      <c r="F20" s="219"/>
      <c r="G20" s="93"/>
      <c r="H20" s="93"/>
      <c r="I20" s="207"/>
      <c r="J20" s="208"/>
      <c r="K20" s="209"/>
      <c r="L20" s="93"/>
      <c r="M20" s="93"/>
      <c r="N20" s="189"/>
      <c r="O20" s="190"/>
      <c r="P20" s="190"/>
      <c r="Q20" s="190"/>
      <c r="R20" s="190"/>
      <c r="S20" s="191"/>
      <c r="T20" s="93"/>
      <c r="U20" s="93"/>
      <c r="V20" s="207"/>
      <c r="W20" s="208"/>
      <c r="X20" s="209"/>
      <c r="Y20" s="93"/>
      <c r="Z20" s="93"/>
    </row>
    <row r="21" spans="1:26" ht="18" customHeight="1" x14ac:dyDescent="0.15">
      <c r="A21" s="22"/>
      <c r="B21" s="217"/>
      <c r="C21" s="218"/>
      <c r="D21" s="218"/>
      <c r="E21" s="218"/>
      <c r="F21" s="219"/>
      <c r="G21" s="93"/>
      <c r="H21" s="93"/>
      <c r="I21" s="207"/>
      <c r="J21" s="208"/>
      <c r="K21" s="209"/>
      <c r="L21" s="93"/>
      <c r="M21" s="93"/>
      <c r="N21" s="189"/>
      <c r="O21" s="190"/>
      <c r="P21" s="190"/>
      <c r="Q21" s="190"/>
      <c r="R21" s="190"/>
      <c r="S21" s="191"/>
      <c r="T21" s="93"/>
      <c r="U21" s="93"/>
      <c r="V21" s="207"/>
      <c r="W21" s="208"/>
      <c r="X21" s="209"/>
      <c r="Y21" s="93"/>
      <c r="Z21" s="93"/>
    </row>
    <row r="22" spans="1:26" ht="18" customHeight="1" x14ac:dyDescent="0.15">
      <c r="A22" s="22"/>
      <c r="B22" s="213"/>
      <c r="C22" s="214"/>
      <c r="D22" s="214"/>
      <c r="E22" s="214"/>
      <c r="F22" s="215"/>
      <c r="G22" s="94"/>
      <c r="H22" s="94"/>
      <c r="I22" s="201"/>
      <c r="J22" s="202"/>
      <c r="K22" s="203"/>
      <c r="L22" s="95"/>
      <c r="M22" s="95"/>
      <c r="N22" s="178"/>
      <c r="O22" s="179"/>
      <c r="P22" s="179"/>
      <c r="Q22" s="179"/>
      <c r="R22" s="179"/>
      <c r="S22" s="180"/>
      <c r="T22" s="94"/>
      <c r="U22" s="94"/>
      <c r="V22" s="201"/>
      <c r="W22" s="202"/>
      <c r="X22" s="203"/>
      <c r="Y22" s="95"/>
      <c r="Z22" s="95"/>
    </row>
    <row r="23" spans="1:26" ht="7.5" customHeight="1" x14ac:dyDescent="0.15">
      <c r="A23" s="22"/>
      <c r="B23" s="26"/>
      <c r="C23" s="26"/>
      <c r="D23" s="22"/>
      <c r="E23" s="22"/>
      <c r="F23" s="22"/>
      <c r="G23" s="22"/>
      <c r="H23" s="22"/>
      <c r="I23" s="22"/>
      <c r="J23" s="22"/>
      <c r="K23" s="22"/>
      <c r="L23" s="26"/>
      <c r="M23" s="26"/>
      <c r="N23" s="26"/>
      <c r="O23" s="26"/>
      <c r="P23" s="26"/>
      <c r="Q23" s="26"/>
      <c r="R23" s="26"/>
      <c r="S23" s="26"/>
      <c r="T23" s="26"/>
      <c r="U23" s="26"/>
      <c r="V23" s="26"/>
      <c r="W23" s="26"/>
      <c r="X23" s="26"/>
      <c r="Y23" s="26"/>
      <c r="Z23" s="22"/>
    </row>
    <row r="24" spans="1:26" ht="18" customHeight="1" x14ac:dyDescent="0.15">
      <c r="A24" s="216" t="s">
        <v>89</v>
      </c>
      <c r="B24" s="216"/>
      <c r="C24" s="216"/>
      <c r="D24" s="216"/>
      <c r="E24" s="216"/>
      <c r="F24" s="216"/>
      <c r="G24" s="216"/>
      <c r="H24" s="216"/>
      <c r="I24" s="216"/>
      <c r="J24" s="216"/>
      <c r="K24" s="216"/>
      <c r="L24" s="216"/>
      <c r="M24" s="216"/>
      <c r="N24" s="216"/>
      <c r="O24" s="216"/>
      <c r="P24" s="216"/>
      <c r="Q24" s="216"/>
      <c r="R24" s="216"/>
      <c r="S24" s="216"/>
      <c r="T24" s="216"/>
      <c r="U24" s="216"/>
      <c r="V24" s="216"/>
      <c r="W24" s="216"/>
      <c r="X24" s="216"/>
      <c r="Y24" s="216"/>
      <c r="Z24" s="216"/>
    </row>
    <row r="25" spans="1:26" ht="18" customHeight="1" x14ac:dyDescent="0.15">
      <c r="A25" s="216"/>
      <c r="B25" s="216"/>
      <c r="C25" s="216"/>
      <c r="D25" s="216"/>
      <c r="E25" s="216"/>
      <c r="F25" s="216"/>
      <c r="G25" s="216"/>
      <c r="H25" s="216"/>
      <c r="I25" s="216"/>
      <c r="J25" s="216"/>
      <c r="K25" s="216"/>
      <c r="L25" s="216"/>
      <c r="M25" s="216"/>
      <c r="N25" s="216"/>
      <c r="O25" s="216"/>
      <c r="P25" s="216"/>
      <c r="Q25" s="216"/>
      <c r="R25" s="216"/>
      <c r="S25" s="216"/>
      <c r="T25" s="216"/>
      <c r="U25" s="216"/>
      <c r="V25" s="216"/>
      <c r="W25" s="216"/>
      <c r="X25" s="216"/>
      <c r="Y25" s="216"/>
      <c r="Z25" s="216"/>
    </row>
    <row r="26" spans="1:26" ht="18" customHeight="1" x14ac:dyDescent="0.15">
      <c r="A26" s="11"/>
      <c r="B26" s="139" t="s">
        <v>77</v>
      </c>
      <c r="C26" s="141"/>
      <c r="D26" s="141"/>
      <c r="E26" s="141"/>
      <c r="F26" s="140"/>
      <c r="G26" s="23" t="s">
        <v>78</v>
      </c>
      <c r="H26" s="90" t="s">
        <v>79</v>
      </c>
      <c r="I26" s="141" t="s">
        <v>80</v>
      </c>
      <c r="J26" s="141"/>
      <c r="K26" s="141"/>
      <c r="L26" s="91" t="s">
        <v>90</v>
      </c>
      <c r="M26" s="91" t="s">
        <v>91</v>
      </c>
      <c r="N26" s="139" t="s">
        <v>77</v>
      </c>
      <c r="O26" s="141"/>
      <c r="P26" s="141"/>
      <c r="Q26" s="141"/>
      <c r="R26" s="141"/>
      <c r="S26" s="140"/>
      <c r="T26" s="23" t="s">
        <v>78</v>
      </c>
      <c r="U26" s="90" t="s">
        <v>79</v>
      </c>
      <c r="V26" s="141" t="s">
        <v>80</v>
      </c>
      <c r="W26" s="141"/>
      <c r="X26" s="141"/>
      <c r="Y26" s="91" t="s">
        <v>90</v>
      </c>
      <c r="Z26" s="91" t="s">
        <v>91</v>
      </c>
    </row>
    <row r="27" spans="1:26" ht="18" customHeight="1" x14ac:dyDescent="0.15">
      <c r="A27" s="11"/>
      <c r="B27" s="345" t="s">
        <v>201</v>
      </c>
      <c r="C27" s="346"/>
      <c r="D27" s="346"/>
      <c r="E27" s="346"/>
      <c r="F27" s="347"/>
      <c r="G27" s="112">
        <v>1</v>
      </c>
      <c r="H27" s="112" t="s">
        <v>84</v>
      </c>
      <c r="I27" s="342" t="s">
        <v>85</v>
      </c>
      <c r="J27" s="343"/>
      <c r="K27" s="344"/>
      <c r="L27" s="92" t="s">
        <v>84</v>
      </c>
      <c r="M27" s="92" t="s">
        <v>84</v>
      </c>
      <c r="N27" s="195"/>
      <c r="O27" s="196"/>
      <c r="P27" s="196"/>
      <c r="Q27" s="196"/>
      <c r="R27" s="196"/>
      <c r="S27" s="197"/>
      <c r="T27" s="92"/>
      <c r="U27" s="92"/>
      <c r="V27" s="210"/>
      <c r="W27" s="211"/>
      <c r="X27" s="212"/>
      <c r="Y27" s="92"/>
      <c r="Z27" s="92"/>
    </row>
    <row r="28" spans="1:26" ht="18" customHeight="1" x14ac:dyDescent="0.15">
      <c r="A28" s="11"/>
      <c r="B28" s="217"/>
      <c r="C28" s="218"/>
      <c r="D28" s="218"/>
      <c r="E28" s="218"/>
      <c r="F28" s="219"/>
      <c r="G28" s="93"/>
      <c r="H28" s="93"/>
      <c r="I28" s="207"/>
      <c r="J28" s="208"/>
      <c r="K28" s="209"/>
      <c r="L28" s="93"/>
      <c r="M28" s="93"/>
      <c r="N28" s="189"/>
      <c r="O28" s="190"/>
      <c r="P28" s="190"/>
      <c r="Q28" s="190"/>
      <c r="R28" s="190"/>
      <c r="S28" s="191"/>
      <c r="T28" s="93"/>
      <c r="U28" s="93"/>
      <c r="V28" s="207"/>
      <c r="W28" s="208"/>
      <c r="X28" s="209"/>
      <c r="Y28" s="93"/>
      <c r="Z28" s="93"/>
    </row>
    <row r="29" spans="1:26" ht="18" customHeight="1" x14ac:dyDescent="0.15">
      <c r="A29" s="11"/>
      <c r="B29" s="217"/>
      <c r="C29" s="218"/>
      <c r="D29" s="218"/>
      <c r="E29" s="218"/>
      <c r="F29" s="219"/>
      <c r="G29" s="93"/>
      <c r="H29" s="93"/>
      <c r="I29" s="207"/>
      <c r="J29" s="208"/>
      <c r="K29" s="209"/>
      <c r="L29" s="93"/>
      <c r="M29" s="93"/>
      <c r="N29" s="189"/>
      <c r="O29" s="190"/>
      <c r="P29" s="190"/>
      <c r="Q29" s="190"/>
      <c r="R29" s="190"/>
      <c r="S29" s="191"/>
      <c r="T29" s="93"/>
      <c r="U29" s="93"/>
      <c r="V29" s="207"/>
      <c r="W29" s="208"/>
      <c r="X29" s="209"/>
      <c r="Y29" s="93"/>
      <c r="Z29" s="93"/>
    </row>
    <row r="30" spans="1:26" ht="18" customHeight="1" x14ac:dyDescent="0.15">
      <c r="A30" s="11"/>
      <c r="B30" s="217"/>
      <c r="C30" s="218"/>
      <c r="D30" s="218"/>
      <c r="E30" s="218"/>
      <c r="F30" s="219"/>
      <c r="G30" s="93"/>
      <c r="H30" s="93"/>
      <c r="I30" s="207"/>
      <c r="J30" s="208"/>
      <c r="K30" s="209"/>
      <c r="L30" s="93"/>
      <c r="M30" s="93"/>
      <c r="N30" s="189"/>
      <c r="O30" s="190"/>
      <c r="P30" s="190"/>
      <c r="Q30" s="190"/>
      <c r="R30" s="190"/>
      <c r="S30" s="191"/>
      <c r="T30" s="93"/>
      <c r="U30" s="93"/>
      <c r="V30" s="207"/>
      <c r="W30" s="208"/>
      <c r="X30" s="209"/>
      <c r="Y30" s="93"/>
      <c r="Z30" s="93"/>
    </row>
    <row r="31" spans="1:26" ht="18" customHeight="1" x14ac:dyDescent="0.15">
      <c r="A31" s="11"/>
      <c r="B31" s="217"/>
      <c r="C31" s="218"/>
      <c r="D31" s="218"/>
      <c r="E31" s="218"/>
      <c r="F31" s="219"/>
      <c r="G31" s="93"/>
      <c r="H31" s="93"/>
      <c r="I31" s="207"/>
      <c r="J31" s="208"/>
      <c r="K31" s="209"/>
      <c r="L31" s="93"/>
      <c r="M31" s="93"/>
      <c r="N31" s="189"/>
      <c r="O31" s="190"/>
      <c r="P31" s="190"/>
      <c r="Q31" s="190"/>
      <c r="R31" s="190"/>
      <c r="S31" s="191"/>
      <c r="T31" s="93"/>
      <c r="U31" s="93"/>
      <c r="V31" s="207"/>
      <c r="W31" s="208"/>
      <c r="X31" s="209"/>
      <c r="Y31" s="93"/>
      <c r="Z31" s="93"/>
    </row>
    <row r="32" spans="1:26" ht="18" customHeight="1" x14ac:dyDescent="0.15">
      <c r="A32" s="11"/>
      <c r="B32" s="217"/>
      <c r="C32" s="218"/>
      <c r="D32" s="218"/>
      <c r="E32" s="218"/>
      <c r="F32" s="219"/>
      <c r="G32" s="93"/>
      <c r="H32" s="93"/>
      <c r="I32" s="207"/>
      <c r="J32" s="208"/>
      <c r="K32" s="209"/>
      <c r="L32" s="93"/>
      <c r="M32" s="93"/>
      <c r="N32" s="189"/>
      <c r="O32" s="190"/>
      <c r="P32" s="190"/>
      <c r="Q32" s="190"/>
      <c r="R32" s="190"/>
      <c r="S32" s="191"/>
      <c r="T32" s="93"/>
      <c r="U32" s="93"/>
      <c r="V32" s="207"/>
      <c r="W32" s="208"/>
      <c r="X32" s="209"/>
      <c r="Y32" s="93"/>
      <c r="Z32" s="93"/>
    </row>
    <row r="33" spans="1:26" ht="18" customHeight="1" x14ac:dyDescent="0.15">
      <c r="A33" s="11"/>
      <c r="B33" s="213"/>
      <c r="C33" s="214"/>
      <c r="D33" s="214"/>
      <c r="E33" s="214"/>
      <c r="F33" s="215"/>
      <c r="G33" s="94"/>
      <c r="H33" s="94"/>
      <c r="I33" s="201"/>
      <c r="J33" s="202"/>
      <c r="K33" s="203"/>
      <c r="L33" s="95"/>
      <c r="M33" s="95"/>
      <c r="N33" s="178"/>
      <c r="O33" s="179"/>
      <c r="P33" s="179"/>
      <c r="Q33" s="179"/>
      <c r="R33" s="179"/>
      <c r="S33" s="180"/>
      <c r="T33" s="94"/>
      <c r="U33" s="94"/>
      <c r="V33" s="201"/>
      <c r="W33" s="202"/>
      <c r="X33" s="203"/>
      <c r="Y33" s="95"/>
      <c r="Z33" s="95"/>
    </row>
    <row r="34" spans="1:26" ht="7.5" customHeight="1" x14ac:dyDescent="0.15">
      <c r="A34" s="22"/>
      <c r="B34" s="26"/>
      <c r="C34" s="26"/>
      <c r="D34" s="22"/>
      <c r="E34" s="22"/>
      <c r="F34" s="22"/>
      <c r="G34" s="22"/>
      <c r="H34" s="22"/>
      <c r="I34" s="22"/>
      <c r="J34" s="22"/>
      <c r="K34" s="22"/>
      <c r="L34" s="26"/>
      <c r="M34" s="26"/>
      <c r="N34" s="26"/>
      <c r="O34" s="26"/>
      <c r="P34" s="26"/>
      <c r="Q34" s="26"/>
      <c r="R34" s="26"/>
      <c r="S34" s="26"/>
      <c r="T34" s="26"/>
      <c r="U34" s="26"/>
      <c r="V34" s="26"/>
      <c r="W34" s="26"/>
      <c r="X34" s="26"/>
      <c r="Y34" s="26"/>
      <c r="Z34" s="22"/>
    </row>
    <row r="35" spans="1:26" ht="18" customHeight="1" x14ac:dyDescent="0.15">
      <c r="A35" s="216" t="s">
        <v>94</v>
      </c>
      <c r="B35" s="216"/>
      <c r="C35" s="216"/>
      <c r="D35" s="216"/>
      <c r="E35" s="216"/>
      <c r="F35" s="216"/>
      <c r="G35" s="216"/>
      <c r="H35" s="216"/>
      <c r="I35" s="216"/>
      <c r="J35" s="216"/>
      <c r="K35" s="216"/>
      <c r="L35" s="216"/>
      <c r="M35" s="216"/>
      <c r="N35" s="216"/>
      <c r="O35" s="216"/>
      <c r="P35" s="216"/>
      <c r="Q35" s="216"/>
      <c r="R35" s="216"/>
      <c r="S35" s="216"/>
      <c r="T35" s="216"/>
      <c r="U35" s="216"/>
      <c r="V35" s="216"/>
      <c r="W35" s="216"/>
      <c r="X35" s="216"/>
      <c r="Y35" s="216"/>
      <c r="Z35" s="216"/>
    </row>
    <row r="36" spans="1:26" ht="18" customHeight="1" x14ac:dyDescent="0.15">
      <c r="A36" s="216"/>
      <c r="B36" s="216"/>
      <c r="C36" s="216"/>
      <c r="D36" s="216"/>
      <c r="E36" s="216"/>
      <c r="F36" s="216"/>
      <c r="G36" s="216"/>
      <c r="H36" s="216"/>
      <c r="I36" s="216"/>
      <c r="J36" s="216"/>
      <c r="K36" s="216"/>
      <c r="L36" s="216"/>
      <c r="M36" s="216"/>
      <c r="N36" s="216"/>
      <c r="O36" s="216"/>
      <c r="P36" s="216"/>
      <c r="Q36" s="216"/>
      <c r="R36" s="216"/>
      <c r="S36" s="216"/>
      <c r="T36" s="216"/>
      <c r="U36" s="216"/>
      <c r="V36" s="216"/>
      <c r="W36" s="216"/>
      <c r="X36" s="216"/>
      <c r="Y36" s="216"/>
      <c r="Z36" s="216"/>
    </row>
    <row r="37" spans="1:26" ht="18" customHeight="1" x14ac:dyDescent="0.15">
      <c r="A37" s="11"/>
      <c r="B37" s="139" t="s">
        <v>77</v>
      </c>
      <c r="C37" s="141"/>
      <c r="D37" s="141"/>
      <c r="E37" s="141"/>
      <c r="F37" s="140"/>
      <c r="G37" s="23" t="s">
        <v>78</v>
      </c>
      <c r="H37" s="90" t="s">
        <v>79</v>
      </c>
      <c r="I37" s="139" t="s">
        <v>80</v>
      </c>
      <c r="J37" s="141"/>
      <c r="K37" s="140"/>
      <c r="L37" s="91" t="s">
        <v>95</v>
      </c>
      <c r="M37" s="91" t="s">
        <v>96</v>
      </c>
      <c r="N37" s="139" t="s">
        <v>77</v>
      </c>
      <c r="O37" s="141"/>
      <c r="P37" s="141"/>
      <c r="Q37" s="141"/>
      <c r="R37" s="141"/>
      <c r="S37" s="140"/>
      <c r="T37" s="23" t="s">
        <v>78</v>
      </c>
      <c r="U37" s="90" t="s">
        <v>79</v>
      </c>
      <c r="V37" s="139" t="s">
        <v>80</v>
      </c>
      <c r="W37" s="141"/>
      <c r="X37" s="140"/>
      <c r="Y37" s="91" t="s">
        <v>95</v>
      </c>
      <c r="Z37" s="91" t="s">
        <v>96</v>
      </c>
    </row>
    <row r="38" spans="1:26" ht="18" customHeight="1" x14ac:dyDescent="0.15">
      <c r="A38" s="22"/>
      <c r="B38" s="345" t="s">
        <v>202</v>
      </c>
      <c r="C38" s="346"/>
      <c r="D38" s="346"/>
      <c r="E38" s="346"/>
      <c r="F38" s="347"/>
      <c r="G38" s="112">
        <v>1</v>
      </c>
      <c r="H38" s="112" t="s">
        <v>84</v>
      </c>
      <c r="I38" s="342" t="s">
        <v>85</v>
      </c>
      <c r="J38" s="343"/>
      <c r="K38" s="344"/>
      <c r="L38" s="92" t="s">
        <v>84</v>
      </c>
      <c r="M38" s="92"/>
      <c r="N38" s="195"/>
      <c r="O38" s="196"/>
      <c r="P38" s="196"/>
      <c r="Q38" s="196"/>
      <c r="R38" s="196"/>
      <c r="S38" s="197"/>
      <c r="T38" s="92"/>
      <c r="U38" s="92"/>
      <c r="V38" s="210"/>
      <c r="W38" s="211"/>
      <c r="X38" s="212"/>
      <c r="Y38" s="92"/>
      <c r="Z38" s="92"/>
    </row>
    <row r="39" spans="1:26" ht="18" customHeight="1" x14ac:dyDescent="0.15">
      <c r="A39" s="22"/>
      <c r="B39" s="217" t="s">
        <v>203</v>
      </c>
      <c r="C39" s="218"/>
      <c r="D39" s="218"/>
      <c r="E39" s="218"/>
      <c r="F39" s="219"/>
      <c r="G39" s="93">
        <v>1</v>
      </c>
      <c r="H39" s="93" t="s">
        <v>84</v>
      </c>
      <c r="I39" s="207" t="s">
        <v>85</v>
      </c>
      <c r="J39" s="208"/>
      <c r="K39" s="209"/>
      <c r="L39" s="93" t="s">
        <v>84</v>
      </c>
      <c r="M39" s="93" t="s">
        <v>84</v>
      </c>
      <c r="N39" s="189"/>
      <c r="O39" s="190"/>
      <c r="P39" s="190"/>
      <c r="Q39" s="190"/>
      <c r="R39" s="190"/>
      <c r="S39" s="191"/>
      <c r="T39" s="93"/>
      <c r="U39" s="93"/>
      <c r="V39" s="207"/>
      <c r="W39" s="208"/>
      <c r="X39" s="209"/>
      <c r="Y39" s="93"/>
      <c r="Z39" s="93"/>
    </row>
    <row r="40" spans="1:26" ht="18" customHeight="1" x14ac:dyDescent="0.15">
      <c r="A40" s="22"/>
      <c r="B40" s="217"/>
      <c r="C40" s="218"/>
      <c r="D40" s="218"/>
      <c r="E40" s="218"/>
      <c r="F40" s="219"/>
      <c r="G40" s="93"/>
      <c r="H40" s="93"/>
      <c r="I40" s="207"/>
      <c r="J40" s="208"/>
      <c r="K40" s="209"/>
      <c r="L40" s="93"/>
      <c r="M40" s="93"/>
      <c r="N40" s="189"/>
      <c r="O40" s="190"/>
      <c r="P40" s="190"/>
      <c r="Q40" s="190"/>
      <c r="R40" s="190"/>
      <c r="S40" s="191"/>
      <c r="T40" s="93"/>
      <c r="U40" s="93"/>
      <c r="V40" s="207"/>
      <c r="W40" s="208"/>
      <c r="X40" s="209"/>
      <c r="Y40" s="93"/>
      <c r="Z40" s="93"/>
    </row>
    <row r="41" spans="1:26" ht="18" customHeight="1" x14ac:dyDescent="0.15">
      <c r="A41" s="22"/>
      <c r="B41" s="217"/>
      <c r="C41" s="218"/>
      <c r="D41" s="218"/>
      <c r="E41" s="218"/>
      <c r="F41" s="219"/>
      <c r="G41" s="93"/>
      <c r="H41" s="93"/>
      <c r="I41" s="207"/>
      <c r="J41" s="208"/>
      <c r="K41" s="209"/>
      <c r="L41" s="93"/>
      <c r="M41" s="93"/>
      <c r="N41" s="189"/>
      <c r="O41" s="190"/>
      <c r="P41" s="190"/>
      <c r="Q41" s="190"/>
      <c r="R41" s="190"/>
      <c r="S41" s="191"/>
      <c r="T41" s="93"/>
      <c r="U41" s="93"/>
      <c r="V41" s="207"/>
      <c r="W41" s="208"/>
      <c r="X41" s="209"/>
      <c r="Y41" s="93"/>
      <c r="Z41" s="93"/>
    </row>
    <row r="42" spans="1:26" ht="18" customHeight="1" x14ac:dyDescent="0.15">
      <c r="A42" s="22"/>
      <c r="B42" s="217"/>
      <c r="C42" s="218"/>
      <c r="D42" s="218"/>
      <c r="E42" s="218"/>
      <c r="F42" s="219"/>
      <c r="G42" s="93"/>
      <c r="H42" s="93"/>
      <c r="I42" s="207"/>
      <c r="J42" s="208"/>
      <c r="K42" s="209"/>
      <c r="L42" s="93"/>
      <c r="M42" s="93"/>
      <c r="N42" s="189"/>
      <c r="O42" s="190"/>
      <c r="P42" s="190"/>
      <c r="Q42" s="190"/>
      <c r="R42" s="190"/>
      <c r="S42" s="191"/>
      <c r="T42" s="93"/>
      <c r="U42" s="93"/>
      <c r="V42" s="207"/>
      <c r="W42" s="208"/>
      <c r="X42" s="209"/>
      <c r="Y42" s="93"/>
      <c r="Z42" s="93"/>
    </row>
    <row r="43" spans="1:26" ht="18" customHeight="1" x14ac:dyDescent="0.15">
      <c r="A43" s="22"/>
      <c r="B43" s="217"/>
      <c r="C43" s="218"/>
      <c r="D43" s="218"/>
      <c r="E43" s="218"/>
      <c r="F43" s="219"/>
      <c r="G43" s="93"/>
      <c r="H43" s="93"/>
      <c r="I43" s="207"/>
      <c r="J43" s="208"/>
      <c r="K43" s="209"/>
      <c r="L43" s="93"/>
      <c r="M43" s="93"/>
      <c r="N43" s="189"/>
      <c r="O43" s="190"/>
      <c r="P43" s="190"/>
      <c r="Q43" s="190"/>
      <c r="R43" s="190"/>
      <c r="S43" s="191"/>
      <c r="T43" s="93"/>
      <c r="U43" s="93"/>
      <c r="V43" s="207"/>
      <c r="W43" s="208"/>
      <c r="X43" s="209"/>
      <c r="Y43" s="93"/>
      <c r="Z43" s="93"/>
    </row>
    <row r="44" spans="1:26" ht="18" customHeight="1" x14ac:dyDescent="0.15">
      <c r="A44" s="22"/>
      <c r="B44" s="213"/>
      <c r="C44" s="214"/>
      <c r="D44" s="214"/>
      <c r="E44" s="214"/>
      <c r="F44" s="215"/>
      <c r="G44" s="94"/>
      <c r="H44" s="94"/>
      <c r="I44" s="201"/>
      <c r="J44" s="202"/>
      <c r="K44" s="203"/>
      <c r="L44" s="95"/>
      <c r="M44" s="95"/>
      <c r="N44" s="178"/>
      <c r="O44" s="179"/>
      <c r="P44" s="179"/>
      <c r="Q44" s="179"/>
      <c r="R44" s="179"/>
      <c r="S44" s="180"/>
      <c r="T44" s="94"/>
      <c r="U44" s="94"/>
      <c r="V44" s="201"/>
      <c r="W44" s="202"/>
      <c r="X44" s="203"/>
      <c r="Y44" s="95"/>
      <c r="Z44" s="95"/>
    </row>
    <row r="45" spans="1:26" ht="7.5" customHeight="1" x14ac:dyDescent="0.15">
      <c r="B45" s="61"/>
      <c r="C45" s="61"/>
      <c r="D45" s="61"/>
      <c r="E45" s="61"/>
      <c r="F45" s="61"/>
      <c r="G45" s="61"/>
      <c r="H45" s="61"/>
      <c r="I45" s="61"/>
      <c r="J45" s="61"/>
      <c r="K45" s="61"/>
      <c r="L45" s="61"/>
      <c r="M45" s="61"/>
      <c r="N45" s="61"/>
      <c r="O45" s="61"/>
      <c r="P45" s="61"/>
      <c r="Q45" s="61"/>
      <c r="R45" s="61"/>
      <c r="S45" s="61"/>
      <c r="T45" s="61"/>
      <c r="U45" s="61"/>
      <c r="V45" s="61"/>
      <c r="W45" s="61"/>
      <c r="X45" s="61"/>
      <c r="Y45" s="61"/>
    </row>
    <row r="46" spans="1:26" ht="18" customHeight="1" x14ac:dyDescent="0.15">
      <c r="A46" s="216" t="s">
        <v>98</v>
      </c>
      <c r="B46" s="216"/>
      <c r="C46" s="216"/>
      <c r="D46" s="216"/>
      <c r="E46" s="216"/>
      <c r="F46" s="216"/>
      <c r="G46" s="216"/>
      <c r="H46" s="216"/>
      <c r="I46" s="216"/>
      <c r="J46" s="216"/>
      <c r="K46" s="216"/>
      <c r="L46" s="216"/>
      <c r="M46" s="216"/>
      <c r="N46" s="216"/>
      <c r="O46" s="216"/>
      <c r="P46" s="216"/>
      <c r="Q46" s="216"/>
      <c r="R46" s="216"/>
      <c r="S46" s="216"/>
      <c r="T46" s="216"/>
      <c r="U46" s="216"/>
      <c r="V46" s="216"/>
      <c r="W46" s="216"/>
      <c r="X46" s="216"/>
      <c r="Y46" s="216"/>
      <c r="Z46" s="216"/>
    </row>
    <row r="47" spans="1:26" ht="18" customHeight="1" x14ac:dyDescent="0.15">
      <c r="A47" s="216"/>
      <c r="B47" s="216"/>
      <c r="C47" s="216"/>
      <c r="D47" s="216"/>
      <c r="E47" s="216"/>
      <c r="F47" s="216"/>
      <c r="G47" s="216"/>
      <c r="H47" s="216"/>
      <c r="I47" s="216"/>
      <c r="J47" s="216"/>
      <c r="K47" s="216"/>
      <c r="L47" s="216"/>
      <c r="M47" s="216"/>
      <c r="N47" s="216"/>
      <c r="O47" s="216"/>
      <c r="P47" s="216"/>
      <c r="Q47" s="216"/>
      <c r="R47" s="216"/>
      <c r="S47" s="216"/>
      <c r="T47" s="216"/>
      <c r="U47" s="216"/>
      <c r="V47" s="216"/>
      <c r="W47" s="216"/>
      <c r="X47" s="216"/>
      <c r="Y47" s="216"/>
      <c r="Z47" s="216"/>
    </row>
    <row r="48" spans="1:26" ht="18" customHeight="1" x14ac:dyDescent="0.15">
      <c r="A48" s="11"/>
      <c r="B48" s="139" t="s">
        <v>77</v>
      </c>
      <c r="C48" s="141"/>
      <c r="D48" s="141"/>
      <c r="E48" s="141"/>
      <c r="F48" s="140"/>
      <c r="G48" s="23" t="s">
        <v>78</v>
      </c>
      <c r="H48" s="90" t="s">
        <v>79</v>
      </c>
      <c r="I48" s="139" t="s">
        <v>80</v>
      </c>
      <c r="J48" s="141"/>
      <c r="K48" s="140"/>
      <c r="L48" s="91" t="s">
        <v>99</v>
      </c>
      <c r="M48" s="91" t="s">
        <v>100</v>
      </c>
      <c r="N48" s="139" t="s">
        <v>77</v>
      </c>
      <c r="O48" s="141"/>
      <c r="P48" s="141"/>
      <c r="Q48" s="141"/>
      <c r="R48" s="141"/>
      <c r="S48" s="140"/>
      <c r="T48" s="23" t="s">
        <v>78</v>
      </c>
      <c r="U48" s="90" t="s">
        <v>79</v>
      </c>
      <c r="V48" s="139" t="s">
        <v>80</v>
      </c>
      <c r="W48" s="141"/>
      <c r="X48" s="140"/>
      <c r="Y48" s="91" t="s">
        <v>99</v>
      </c>
      <c r="Z48" s="91" t="s">
        <v>100</v>
      </c>
    </row>
    <row r="49" spans="1:26" ht="18" customHeight="1" x14ac:dyDescent="0.15">
      <c r="A49" s="22"/>
      <c r="B49" s="345" t="s">
        <v>204</v>
      </c>
      <c r="C49" s="346"/>
      <c r="D49" s="346"/>
      <c r="E49" s="346"/>
      <c r="F49" s="347"/>
      <c r="G49" s="112">
        <v>1</v>
      </c>
      <c r="H49" s="112" t="s">
        <v>84</v>
      </c>
      <c r="I49" s="342" t="s">
        <v>85</v>
      </c>
      <c r="J49" s="343"/>
      <c r="K49" s="344"/>
      <c r="L49" s="112" t="s">
        <v>84</v>
      </c>
      <c r="M49" s="112" t="s">
        <v>84</v>
      </c>
      <c r="N49" s="195"/>
      <c r="O49" s="196"/>
      <c r="P49" s="196"/>
      <c r="Q49" s="196"/>
      <c r="R49" s="196"/>
      <c r="S49" s="197"/>
      <c r="T49" s="92"/>
      <c r="U49" s="92"/>
      <c r="V49" s="210"/>
      <c r="W49" s="211"/>
      <c r="X49" s="212"/>
      <c r="Y49" s="92"/>
      <c r="Z49" s="92"/>
    </row>
    <row r="50" spans="1:26" ht="18" customHeight="1" x14ac:dyDescent="0.15">
      <c r="A50" s="22"/>
      <c r="B50" s="217"/>
      <c r="C50" s="218"/>
      <c r="D50" s="218"/>
      <c r="E50" s="218"/>
      <c r="F50" s="219"/>
      <c r="G50" s="93"/>
      <c r="H50" s="93"/>
      <c r="I50" s="207"/>
      <c r="J50" s="208"/>
      <c r="K50" s="209"/>
      <c r="L50" s="93"/>
      <c r="M50" s="93"/>
      <c r="N50" s="189"/>
      <c r="O50" s="190"/>
      <c r="P50" s="190"/>
      <c r="Q50" s="190"/>
      <c r="R50" s="190"/>
      <c r="S50" s="191"/>
      <c r="T50" s="93"/>
      <c r="U50" s="93"/>
      <c r="V50" s="207"/>
      <c r="W50" s="208"/>
      <c r="X50" s="209"/>
      <c r="Y50" s="93"/>
      <c r="Z50" s="93"/>
    </row>
    <row r="51" spans="1:26" ht="18" customHeight="1" x14ac:dyDescent="0.15">
      <c r="A51" s="22"/>
      <c r="B51" s="217"/>
      <c r="C51" s="218"/>
      <c r="D51" s="218"/>
      <c r="E51" s="218"/>
      <c r="F51" s="219"/>
      <c r="G51" s="93"/>
      <c r="H51" s="93"/>
      <c r="I51" s="207"/>
      <c r="J51" s="208"/>
      <c r="K51" s="209"/>
      <c r="L51" s="93"/>
      <c r="M51" s="93"/>
      <c r="N51" s="189"/>
      <c r="O51" s="190"/>
      <c r="P51" s="190"/>
      <c r="Q51" s="190"/>
      <c r="R51" s="190"/>
      <c r="S51" s="191"/>
      <c r="T51" s="93"/>
      <c r="U51" s="93"/>
      <c r="V51" s="207"/>
      <c r="W51" s="208"/>
      <c r="X51" s="209"/>
      <c r="Y51" s="93"/>
      <c r="Z51" s="93"/>
    </row>
    <row r="52" spans="1:26" ht="18" customHeight="1" x14ac:dyDescent="0.15">
      <c r="A52" s="22"/>
      <c r="B52" s="217"/>
      <c r="C52" s="218"/>
      <c r="D52" s="218"/>
      <c r="E52" s="218"/>
      <c r="F52" s="219"/>
      <c r="G52" s="93"/>
      <c r="H52" s="93"/>
      <c r="I52" s="207"/>
      <c r="J52" s="208"/>
      <c r="K52" s="209"/>
      <c r="L52" s="93"/>
      <c r="M52" s="93"/>
      <c r="N52" s="189"/>
      <c r="O52" s="190"/>
      <c r="P52" s="190"/>
      <c r="Q52" s="190"/>
      <c r="R52" s="190"/>
      <c r="S52" s="191"/>
      <c r="T52" s="93"/>
      <c r="U52" s="93"/>
      <c r="V52" s="207"/>
      <c r="W52" s="208"/>
      <c r="X52" s="209"/>
      <c r="Y52" s="93"/>
      <c r="Z52" s="93"/>
    </row>
    <row r="53" spans="1:26" ht="18" customHeight="1" x14ac:dyDescent="0.15">
      <c r="A53" s="22"/>
      <c r="B53" s="217"/>
      <c r="C53" s="218"/>
      <c r="D53" s="218"/>
      <c r="E53" s="218"/>
      <c r="F53" s="219"/>
      <c r="G53" s="93"/>
      <c r="H53" s="93"/>
      <c r="I53" s="207"/>
      <c r="J53" s="208"/>
      <c r="K53" s="209"/>
      <c r="L53" s="93"/>
      <c r="M53" s="93"/>
      <c r="N53" s="189"/>
      <c r="O53" s="190"/>
      <c r="P53" s="190"/>
      <c r="Q53" s="190"/>
      <c r="R53" s="190"/>
      <c r="S53" s="191"/>
      <c r="T53" s="93"/>
      <c r="U53" s="93"/>
      <c r="V53" s="207"/>
      <c r="W53" s="208"/>
      <c r="X53" s="209"/>
      <c r="Y53" s="93"/>
      <c r="Z53" s="93"/>
    </row>
    <row r="54" spans="1:26" ht="18" customHeight="1" x14ac:dyDescent="0.15">
      <c r="A54" s="22"/>
      <c r="B54" s="217"/>
      <c r="C54" s="218"/>
      <c r="D54" s="218"/>
      <c r="E54" s="218"/>
      <c r="F54" s="219"/>
      <c r="G54" s="93"/>
      <c r="H54" s="93"/>
      <c r="I54" s="207"/>
      <c r="J54" s="208"/>
      <c r="K54" s="209"/>
      <c r="L54" s="93"/>
      <c r="M54" s="93"/>
      <c r="N54" s="189"/>
      <c r="O54" s="190"/>
      <c r="P54" s="190"/>
      <c r="Q54" s="190"/>
      <c r="R54" s="190"/>
      <c r="S54" s="191"/>
      <c r="T54" s="93"/>
      <c r="U54" s="93"/>
      <c r="V54" s="207"/>
      <c r="W54" s="208"/>
      <c r="X54" s="209"/>
      <c r="Y54" s="93"/>
      <c r="Z54" s="93"/>
    </row>
    <row r="55" spans="1:26" ht="18" customHeight="1" x14ac:dyDescent="0.15">
      <c r="A55" s="22"/>
      <c r="B55" s="213"/>
      <c r="C55" s="214"/>
      <c r="D55" s="214"/>
      <c r="E55" s="214"/>
      <c r="F55" s="215"/>
      <c r="G55" s="94"/>
      <c r="H55" s="94"/>
      <c r="I55" s="201"/>
      <c r="J55" s="202"/>
      <c r="K55" s="203"/>
      <c r="L55" s="95"/>
      <c r="M55" s="95"/>
      <c r="N55" s="178"/>
      <c r="O55" s="179"/>
      <c r="P55" s="179"/>
      <c r="Q55" s="179"/>
      <c r="R55" s="179"/>
      <c r="S55" s="180"/>
      <c r="T55" s="94"/>
      <c r="U55" s="94"/>
      <c r="V55" s="201"/>
      <c r="W55" s="202"/>
      <c r="X55" s="203"/>
      <c r="Y55" s="95"/>
      <c r="Z55" s="95"/>
    </row>
    <row r="56" spans="1:26" ht="7.5" customHeight="1" x14ac:dyDescent="0.15">
      <c r="B56" s="61"/>
      <c r="C56" s="61"/>
      <c r="D56" s="61"/>
      <c r="E56" s="61"/>
      <c r="F56" s="61"/>
      <c r="G56" s="61"/>
      <c r="H56" s="61"/>
      <c r="I56" s="61"/>
      <c r="J56" s="61"/>
      <c r="K56" s="61"/>
      <c r="L56" s="61"/>
      <c r="M56" s="61"/>
      <c r="N56" s="61"/>
      <c r="O56" s="61"/>
      <c r="P56" s="61"/>
      <c r="Q56" s="61"/>
      <c r="R56" s="61"/>
      <c r="S56" s="61"/>
      <c r="T56" s="61"/>
      <c r="U56" s="61"/>
      <c r="V56" s="61"/>
      <c r="W56" s="61"/>
      <c r="X56" s="61"/>
      <c r="Y56" s="61"/>
    </row>
    <row r="57" spans="1:26" ht="18" customHeight="1" x14ac:dyDescent="0.15">
      <c r="A57" s="216" t="s">
        <v>102</v>
      </c>
      <c r="B57" s="216"/>
      <c r="C57" s="216"/>
      <c r="D57" s="216"/>
      <c r="E57" s="216"/>
      <c r="F57" s="216"/>
      <c r="G57" s="216"/>
      <c r="H57" s="216"/>
      <c r="I57" s="216"/>
      <c r="J57" s="216"/>
      <c r="K57" s="216"/>
      <c r="L57" s="216"/>
      <c r="M57" s="216"/>
      <c r="N57" s="216"/>
      <c r="O57" s="216"/>
      <c r="P57" s="216"/>
      <c r="Q57" s="216"/>
      <c r="R57" s="216"/>
      <c r="S57" s="216"/>
      <c r="T57" s="216"/>
      <c r="U57" s="216"/>
      <c r="V57" s="216"/>
      <c r="W57" s="216"/>
      <c r="X57" s="216"/>
      <c r="Y57" s="216"/>
      <c r="Z57" s="216"/>
    </row>
    <row r="58" spans="1:26" ht="18" customHeight="1" x14ac:dyDescent="0.15">
      <c r="A58" s="216"/>
      <c r="B58" s="216"/>
      <c r="C58" s="216"/>
      <c r="D58" s="216"/>
      <c r="E58" s="216"/>
      <c r="F58" s="216"/>
      <c r="G58" s="216"/>
      <c r="H58" s="216"/>
      <c r="I58" s="216"/>
      <c r="J58" s="216"/>
      <c r="K58" s="216"/>
      <c r="L58" s="216"/>
      <c r="M58" s="216"/>
      <c r="N58" s="216"/>
      <c r="O58" s="216"/>
      <c r="P58" s="216"/>
      <c r="Q58" s="216"/>
      <c r="R58" s="216"/>
      <c r="S58" s="216"/>
      <c r="T58" s="216"/>
      <c r="U58" s="216"/>
      <c r="V58" s="216"/>
      <c r="W58" s="216"/>
      <c r="X58" s="216"/>
      <c r="Y58" s="216"/>
      <c r="Z58" s="216"/>
    </row>
    <row r="59" spans="1:26" ht="18" customHeight="1" x14ac:dyDescent="0.15">
      <c r="A59" s="11"/>
      <c r="B59" s="139" t="s">
        <v>77</v>
      </c>
      <c r="C59" s="141"/>
      <c r="D59" s="141"/>
      <c r="E59" s="140"/>
      <c r="F59" s="23" t="s">
        <v>78</v>
      </c>
      <c r="G59" s="90" t="s">
        <v>79</v>
      </c>
      <c r="H59" s="19" t="s">
        <v>80</v>
      </c>
      <c r="I59" s="96"/>
      <c r="J59" s="20"/>
      <c r="K59" s="91" t="s">
        <v>103</v>
      </c>
      <c r="L59" s="91" t="s">
        <v>104</v>
      </c>
      <c r="M59" s="91" t="s">
        <v>105</v>
      </c>
      <c r="N59" s="139" t="s">
        <v>77</v>
      </c>
      <c r="O59" s="141"/>
      <c r="P59" s="141"/>
      <c r="Q59" s="141"/>
      <c r="R59" s="140"/>
      <c r="S59" s="23" t="s">
        <v>78</v>
      </c>
      <c r="T59" s="90" t="s">
        <v>79</v>
      </c>
      <c r="U59" s="19" t="s">
        <v>80</v>
      </c>
      <c r="V59" s="96"/>
      <c r="W59" s="20"/>
      <c r="X59" s="91" t="s">
        <v>103</v>
      </c>
      <c r="Y59" s="91" t="s">
        <v>104</v>
      </c>
      <c r="Z59" s="91" t="s">
        <v>105</v>
      </c>
    </row>
    <row r="60" spans="1:26" ht="18" customHeight="1" x14ac:dyDescent="0.15">
      <c r="A60" s="22"/>
      <c r="B60" s="339" t="s">
        <v>205</v>
      </c>
      <c r="C60" s="340"/>
      <c r="D60" s="340"/>
      <c r="E60" s="341"/>
      <c r="F60" s="112">
        <v>1</v>
      </c>
      <c r="G60" s="112" t="s">
        <v>84</v>
      </c>
      <c r="H60" s="342" t="s">
        <v>85</v>
      </c>
      <c r="I60" s="343"/>
      <c r="J60" s="344"/>
      <c r="K60" s="97" t="s">
        <v>84</v>
      </c>
      <c r="L60" s="92" t="s">
        <v>206</v>
      </c>
      <c r="M60" s="92" t="s">
        <v>84</v>
      </c>
      <c r="N60" s="195"/>
      <c r="O60" s="196"/>
      <c r="P60" s="196"/>
      <c r="Q60" s="196"/>
      <c r="R60" s="197"/>
      <c r="S60" s="92"/>
      <c r="T60" s="92"/>
      <c r="U60" s="210"/>
      <c r="V60" s="211"/>
      <c r="W60" s="212"/>
      <c r="X60" s="97"/>
      <c r="Y60" s="92"/>
      <c r="Z60" s="92"/>
    </row>
    <row r="61" spans="1:26" ht="18" customHeight="1" x14ac:dyDescent="0.15">
      <c r="A61" s="22"/>
      <c r="B61" s="189"/>
      <c r="C61" s="190"/>
      <c r="D61" s="190"/>
      <c r="E61" s="191"/>
      <c r="F61" s="93"/>
      <c r="G61" s="93"/>
      <c r="H61" s="207"/>
      <c r="I61" s="208"/>
      <c r="J61" s="209"/>
      <c r="K61" s="98"/>
      <c r="L61" s="93"/>
      <c r="M61" s="93"/>
      <c r="N61" s="189"/>
      <c r="O61" s="190"/>
      <c r="P61" s="190"/>
      <c r="Q61" s="190"/>
      <c r="R61" s="191"/>
      <c r="S61" s="93"/>
      <c r="T61" s="93"/>
      <c r="U61" s="207"/>
      <c r="V61" s="208"/>
      <c r="W61" s="209"/>
      <c r="X61" s="98"/>
      <c r="Y61" s="93"/>
      <c r="Z61" s="93"/>
    </row>
    <row r="62" spans="1:26" ht="18" customHeight="1" x14ac:dyDescent="0.15">
      <c r="A62" s="22"/>
      <c r="B62" s="189"/>
      <c r="C62" s="190"/>
      <c r="D62" s="190"/>
      <c r="E62" s="191"/>
      <c r="F62" s="93"/>
      <c r="G62" s="93"/>
      <c r="H62" s="207"/>
      <c r="I62" s="208"/>
      <c r="J62" s="209"/>
      <c r="K62" s="98"/>
      <c r="L62" s="93"/>
      <c r="M62" s="93"/>
      <c r="N62" s="189"/>
      <c r="O62" s="190"/>
      <c r="P62" s="190"/>
      <c r="Q62" s="190"/>
      <c r="R62" s="191"/>
      <c r="S62" s="93"/>
      <c r="T62" s="93"/>
      <c r="U62" s="207"/>
      <c r="V62" s="208"/>
      <c r="W62" s="209"/>
      <c r="X62" s="98"/>
      <c r="Y62" s="93"/>
      <c r="Z62" s="93"/>
    </row>
    <row r="63" spans="1:26" ht="18" customHeight="1" x14ac:dyDescent="0.15">
      <c r="A63" s="22"/>
      <c r="B63" s="189"/>
      <c r="C63" s="190"/>
      <c r="D63" s="190"/>
      <c r="E63" s="191"/>
      <c r="F63" s="93"/>
      <c r="G63" s="93"/>
      <c r="H63" s="207"/>
      <c r="I63" s="208"/>
      <c r="J63" s="209"/>
      <c r="K63" s="98"/>
      <c r="L63" s="93"/>
      <c r="M63" s="93"/>
      <c r="N63" s="189"/>
      <c r="O63" s="190"/>
      <c r="P63" s="190"/>
      <c r="Q63" s="190"/>
      <c r="R63" s="191"/>
      <c r="S63" s="93"/>
      <c r="T63" s="93"/>
      <c r="U63" s="207"/>
      <c r="V63" s="208"/>
      <c r="W63" s="209"/>
      <c r="X63" s="98"/>
      <c r="Y63" s="93"/>
      <c r="Z63" s="93"/>
    </row>
    <row r="64" spans="1:26" ht="18" customHeight="1" x14ac:dyDescent="0.15">
      <c r="A64" s="22"/>
      <c r="B64" s="189"/>
      <c r="C64" s="190"/>
      <c r="D64" s="190"/>
      <c r="E64" s="191"/>
      <c r="F64" s="93"/>
      <c r="G64" s="93"/>
      <c r="H64" s="207"/>
      <c r="I64" s="208"/>
      <c r="J64" s="209"/>
      <c r="K64" s="98"/>
      <c r="L64" s="93"/>
      <c r="M64" s="93"/>
      <c r="N64" s="189"/>
      <c r="O64" s="190"/>
      <c r="P64" s="190"/>
      <c r="Q64" s="190"/>
      <c r="R64" s="191"/>
      <c r="S64" s="93"/>
      <c r="T64" s="93"/>
      <c r="U64" s="207"/>
      <c r="V64" s="208"/>
      <c r="W64" s="209"/>
      <c r="X64" s="98"/>
      <c r="Y64" s="93"/>
      <c r="Z64" s="93"/>
    </row>
    <row r="65" spans="1:26" ht="18" customHeight="1" x14ac:dyDescent="0.15">
      <c r="A65" s="22"/>
      <c r="B65" s="189"/>
      <c r="C65" s="190"/>
      <c r="D65" s="190"/>
      <c r="E65" s="191"/>
      <c r="F65" s="93"/>
      <c r="G65" s="93"/>
      <c r="H65" s="207"/>
      <c r="I65" s="208"/>
      <c r="J65" s="209"/>
      <c r="K65" s="98"/>
      <c r="L65" s="93"/>
      <c r="M65" s="93"/>
      <c r="N65" s="189"/>
      <c r="O65" s="190"/>
      <c r="P65" s="190"/>
      <c r="Q65" s="190"/>
      <c r="R65" s="191"/>
      <c r="S65" s="93"/>
      <c r="T65" s="93"/>
      <c r="U65" s="207"/>
      <c r="V65" s="208"/>
      <c r="W65" s="209"/>
      <c r="X65" s="98"/>
      <c r="Y65" s="93"/>
      <c r="Z65" s="93"/>
    </row>
    <row r="66" spans="1:26" ht="18" customHeight="1" x14ac:dyDescent="0.15">
      <c r="A66" s="22"/>
      <c r="B66" s="178"/>
      <c r="C66" s="179"/>
      <c r="D66" s="179"/>
      <c r="E66" s="180"/>
      <c r="F66" s="94"/>
      <c r="G66" s="94"/>
      <c r="H66" s="201"/>
      <c r="I66" s="202"/>
      <c r="J66" s="203"/>
      <c r="K66" s="99"/>
      <c r="L66" s="95"/>
      <c r="M66" s="95"/>
      <c r="N66" s="178"/>
      <c r="O66" s="179"/>
      <c r="P66" s="179"/>
      <c r="Q66" s="179"/>
      <c r="R66" s="180"/>
      <c r="S66" s="94"/>
      <c r="T66" s="94"/>
      <c r="U66" s="201"/>
      <c r="V66" s="202"/>
      <c r="W66" s="203"/>
      <c r="X66" s="99"/>
      <c r="Y66" s="95"/>
      <c r="Z66" s="95"/>
    </row>
    <row r="67" spans="1:26" ht="7.5" customHeight="1" x14ac:dyDescent="0.15">
      <c r="B67" s="61"/>
      <c r="C67" s="61"/>
      <c r="D67" s="61"/>
      <c r="E67" s="61"/>
      <c r="F67" s="61"/>
      <c r="G67" s="61"/>
      <c r="H67" s="61"/>
      <c r="I67" s="61"/>
      <c r="J67" s="61"/>
      <c r="K67" s="61"/>
      <c r="L67" s="61"/>
      <c r="M67" s="61"/>
      <c r="N67" s="61"/>
      <c r="O67" s="61"/>
      <c r="P67" s="61"/>
      <c r="Q67" s="61"/>
      <c r="R67" s="61"/>
      <c r="S67" s="61"/>
      <c r="T67" s="61"/>
      <c r="U67" s="61"/>
      <c r="V67" s="61"/>
      <c r="W67" s="61"/>
      <c r="X67" s="61"/>
      <c r="Y67" s="61"/>
    </row>
    <row r="68" spans="1:26" ht="18" customHeight="1" x14ac:dyDescent="0.15">
      <c r="A68" s="11" t="s">
        <v>106</v>
      </c>
      <c r="B68" s="11"/>
      <c r="C68" s="11"/>
      <c r="D68" s="11"/>
      <c r="E68" s="11"/>
      <c r="F68" s="11"/>
      <c r="G68" s="11"/>
      <c r="H68" s="11"/>
      <c r="I68" s="11"/>
      <c r="J68" s="11"/>
      <c r="K68" s="11"/>
      <c r="L68" s="22"/>
      <c r="M68" s="22"/>
      <c r="N68" s="22"/>
      <c r="O68" s="22"/>
      <c r="P68" s="22"/>
      <c r="Q68" s="22"/>
      <c r="R68" s="22"/>
      <c r="S68" s="22"/>
      <c r="T68" s="22"/>
      <c r="U68" s="22"/>
      <c r="V68" s="22"/>
      <c r="W68" s="22"/>
      <c r="X68" s="22"/>
      <c r="Y68" s="22"/>
      <c r="Z68" s="22"/>
    </row>
    <row r="69" spans="1:26" ht="18" customHeight="1" x14ac:dyDescent="0.15">
      <c r="A69" s="11"/>
      <c r="B69" s="139" t="s">
        <v>77</v>
      </c>
      <c r="C69" s="141"/>
      <c r="D69" s="141"/>
      <c r="E69" s="141"/>
      <c r="F69" s="140"/>
      <c r="G69" s="139" t="s">
        <v>107</v>
      </c>
      <c r="H69" s="141"/>
      <c r="I69" s="141"/>
      <c r="J69" s="141"/>
      <c r="K69" s="141"/>
      <c r="L69" s="141"/>
      <c r="M69" s="140"/>
      <c r="N69" s="204" t="s">
        <v>77</v>
      </c>
      <c r="O69" s="205"/>
      <c r="P69" s="205"/>
      <c r="Q69" s="205"/>
      <c r="R69" s="205"/>
      <c r="S69" s="206"/>
      <c r="T69" s="139" t="s">
        <v>107</v>
      </c>
      <c r="U69" s="141"/>
      <c r="V69" s="141"/>
      <c r="W69" s="141"/>
      <c r="X69" s="141"/>
      <c r="Y69" s="141"/>
      <c r="Z69" s="140"/>
    </row>
    <row r="70" spans="1:26" ht="18" customHeight="1" x14ac:dyDescent="0.15">
      <c r="A70" s="22"/>
      <c r="B70" s="195"/>
      <c r="C70" s="196"/>
      <c r="D70" s="196"/>
      <c r="E70" s="196"/>
      <c r="F70" s="197"/>
      <c r="G70" s="198"/>
      <c r="H70" s="199"/>
      <c r="I70" s="199"/>
      <c r="J70" s="199"/>
      <c r="K70" s="199"/>
      <c r="L70" s="199"/>
      <c r="M70" s="200"/>
      <c r="N70" s="195"/>
      <c r="O70" s="196"/>
      <c r="P70" s="196"/>
      <c r="Q70" s="196"/>
      <c r="R70" s="196"/>
      <c r="S70" s="197"/>
      <c r="T70" s="198"/>
      <c r="U70" s="199"/>
      <c r="V70" s="199"/>
      <c r="W70" s="199"/>
      <c r="X70" s="199"/>
      <c r="Y70" s="199"/>
      <c r="Z70" s="200"/>
    </row>
    <row r="71" spans="1:26" ht="18" customHeight="1" x14ac:dyDescent="0.15">
      <c r="A71" s="22"/>
      <c r="B71" s="189"/>
      <c r="C71" s="190"/>
      <c r="D71" s="190"/>
      <c r="E71" s="190"/>
      <c r="F71" s="191"/>
      <c r="G71" s="192"/>
      <c r="H71" s="193"/>
      <c r="I71" s="193"/>
      <c r="J71" s="193"/>
      <c r="K71" s="193"/>
      <c r="L71" s="193"/>
      <c r="M71" s="194"/>
      <c r="N71" s="189"/>
      <c r="O71" s="190"/>
      <c r="P71" s="190"/>
      <c r="Q71" s="190"/>
      <c r="R71" s="190"/>
      <c r="S71" s="191"/>
      <c r="T71" s="192"/>
      <c r="U71" s="193"/>
      <c r="V71" s="193"/>
      <c r="W71" s="193"/>
      <c r="X71" s="193"/>
      <c r="Y71" s="193"/>
      <c r="Z71" s="194"/>
    </row>
    <row r="72" spans="1:26" ht="18" customHeight="1" x14ac:dyDescent="0.15">
      <c r="A72" s="22"/>
      <c r="B72" s="189"/>
      <c r="C72" s="190"/>
      <c r="D72" s="190"/>
      <c r="E72" s="190"/>
      <c r="F72" s="191"/>
      <c r="G72" s="192"/>
      <c r="H72" s="193"/>
      <c r="I72" s="193"/>
      <c r="J72" s="193"/>
      <c r="K72" s="193"/>
      <c r="L72" s="193"/>
      <c r="M72" s="194"/>
      <c r="N72" s="189"/>
      <c r="O72" s="190"/>
      <c r="P72" s="190"/>
      <c r="Q72" s="190"/>
      <c r="R72" s="190"/>
      <c r="S72" s="191"/>
      <c r="T72" s="192"/>
      <c r="U72" s="193"/>
      <c r="V72" s="193"/>
      <c r="W72" s="193"/>
      <c r="X72" s="193"/>
      <c r="Y72" s="193"/>
      <c r="Z72" s="194"/>
    </row>
    <row r="73" spans="1:26" ht="18" customHeight="1" x14ac:dyDescent="0.15">
      <c r="A73" s="22"/>
      <c r="B73" s="189"/>
      <c r="C73" s="190"/>
      <c r="D73" s="190"/>
      <c r="E73" s="190"/>
      <c r="F73" s="191"/>
      <c r="G73" s="192"/>
      <c r="H73" s="193"/>
      <c r="I73" s="193"/>
      <c r="J73" s="193"/>
      <c r="K73" s="193"/>
      <c r="L73" s="193"/>
      <c r="M73" s="194"/>
      <c r="N73" s="189"/>
      <c r="O73" s="190"/>
      <c r="P73" s="190"/>
      <c r="Q73" s="190"/>
      <c r="R73" s="190"/>
      <c r="S73" s="191"/>
      <c r="T73" s="192"/>
      <c r="U73" s="193"/>
      <c r="V73" s="193"/>
      <c r="W73" s="193"/>
      <c r="X73" s="193"/>
      <c r="Y73" s="193"/>
      <c r="Z73" s="194"/>
    </row>
    <row r="74" spans="1:26" ht="18" customHeight="1" x14ac:dyDescent="0.15">
      <c r="A74" s="22"/>
      <c r="B74" s="189"/>
      <c r="C74" s="190"/>
      <c r="D74" s="190"/>
      <c r="E74" s="190"/>
      <c r="F74" s="191"/>
      <c r="G74" s="192"/>
      <c r="H74" s="193"/>
      <c r="I74" s="193"/>
      <c r="J74" s="193"/>
      <c r="K74" s="193"/>
      <c r="L74" s="193"/>
      <c r="M74" s="194"/>
      <c r="N74" s="189"/>
      <c r="O74" s="190"/>
      <c r="P74" s="190"/>
      <c r="Q74" s="190"/>
      <c r="R74" s="190"/>
      <c r="S74" s="191"/>
      <c r="T74" s="192"/>
      <c r="U74" s="193"/>
      <c r="V74" s="193"/>
      <c r="W74" s="193"/>
      <c r="X74" s="193"/>
      <c r="Y74" s="193"/>
      <c r="Z74" s="194"/>
    </row>
    <row r="75" spans="1:26" ht="18" customHeight="1" x14ac:dyDescent="0.15">
      <c r="A75" s="22"/>
      <c r="B75" s="189"/>
      <c r="C75" s="190"/>
      <c r="D75" s="190"/>
      <c r="E75" s="190"/>
      <c r="F75" s="191"/>
      <c r="G75" s="192"/>
      <c r="H75" s="193"/>
      <c r="I75" s="193"/>
      <c r="J75" s="193"/>
      <c r="K75" s="193"/>
      <c r="L75" s="193"/>
      <c r="M75" s="194"/>
      <c r="N75" s="189"/>
      <c r="O75" s="190"/>
      <c r="P75" s="190"/>
      <c r="Q75" s="190"/>
      <c r="R75" s="190"/>
      <c r="S75" s="191"/>
      <c r="T75" s="192"/>
      <c r="U75" s="193"/>
      <c r="V75" s="193"/>
      <c r="W75" s="193"/>
      <c r="X75" s="193"/>
      <c r="Y75" s="193"/>
      <c r="Z75" s="194"/>
    </row>
    <row r="76" spans="1:26" ht="18" customHeight="1" x14ac:dyDescent="0.15">
      <c r="A76" s="22"/>
      <c r="B76" s="178"/>
      <c r="C76" s="179"/>
      <c r="D76" s="179"/>
      <c r="E76" s="179"/>
      <c r="F76" s="180"/>
      <c r="G76" s="181"/>
      <c r="H76" s="182"/>
      <c r="I76" s="182"/>
      <c r="J76" s="182"/>
      <c r="K76" s="182"/>
      <c r="L76" s="182"/>
      <c r="M76" s="183"/>
      <c r="N76" s="178"/>
      <c r="O76" s="179"/>
      <c r="P76" s="179"/>
      <c r="Q76" s="179"/>
      <c r="R76" s="179"/>
      <c r="S76" s="180"/>
      <c r="T76" s="181"/>
      <c r="U76" s="182"/>
      <c r="V76" s="182"/>
      <c r="W76" s="182"/>
      <c r="X76" s="182"/>
      <c r="Y76" s="182"/>
      <c r="Z76" s="183"/>
    </row>
    <row r="77" spans="1:26" ht="18" customHeight="1" x14ac:dyDescent="0.15">
      <c r="A77" s="22"/>
      <c r="B77" s="26"/>
      <c r="C77" s="26"/>
      <c r="D77" s="26"/>
      <c r="E77" s="26"/>
      <c r="F77" s="26"/>
      <c r="G77" s="9"/>
      <c r="H77" s="9"/>
      <c r="I77" s="9"/>
      <c r="J77" s="9"/>
      <c r="K77" s="9"/>
      <c r="L77" s="9"/>
      <c r="M77" s="9"/>
      <c r="N77" s="26"/>
      <c r="O77" s="26"/>
      <c r="P77" s="26"/>
      <c r="Q77" s="26"/>
      <c r="R77" s="26"/>
      <c r="S77" s="26"/>
      <c r="T77" s="9"/>
      <c r="U77" s="9"/>
      <c r="V77" s="9"/>
      <c r="W77" s="9"/>
      <c r="X77" s="9"/>
      <c r="Y77" s="9"/>
      <c r="Z77" s="9"/>
    </row>
    <row r="78" spans="1:26" ht="18.75" customHeight="1" x14ac:dyDescent="0.15">
      <c r="A78" s="10" t="s">
        <v>110</v>
      </c>
    </row>
    <row r="79" spans="1:26" ht="18.75" customHeight="1" x14ac:dyDescent="0.15">
      <c r="B79" s="100" t="s">
        <v>111</v>
      </c>
      <c r="C79" s="101"/>
      <c r="D79" s="184" t="s">
        <v>112</v>
      </c>
      <c r="E79" s="184"/>
      <c r="F79" s="184"/>
      <c r="G79" s="184"/>
      <c r="H79" s="184"/>
      <c r="I79" s="184"/>
      <c r="J79" s="184"/>
      <c r="K79" s="184"/>
      <c r="L79" s="184"/>
      <c r="M79" s="184"/>
      <c r="N79" s="184"/>
      <c r="O79" s="184"/>
      <c r="P79" s="184"/>
      <c r="Q79" s="184"/>
      <c r="R79" s="184"/>
      <c r="S79" s="184"/>
      <c r="T79" s="184"/>
      <c r="U79" s="184"/>
      <c r="V79" s="184"/>
      <c r="W79" s="184"/>
      <c r="X79" s="184"/>
      <c r="Y79" s="184"/>
      <c r="Z79" s="185"/>
    </row>
    <row r="80" spans="1:26" ht="78" customHeight="1" x14ac:dyDescent="0.15">
      <c r="B80" s="158" t="s">
        <v>113</v>
      </c>
      <c r="C80" s="102" t="s">
        <v>81</v>
      </c>
      <c r="D80" s="335" t="s">
        <v>207</v>
      </c>
      <c r="E80" s="335"/>
      <c r="F80" s="335"/>
      <c r="G80" s="335"/>
      <c r="H80" s="335"/>
      <c r="I80" s="335"/>
      <c r="J80" s="335"/>
      <c r="K80" s="335"/>
      <c r="L80" s="335"/>
      <c r="M80" s="335"/>
      <c r="N80" s="335"/>
      <c r="O80" s="335"/>
      <c r="P80" s="335"/>
      <c r="Q80" s="335"/>
      <c r="R80" s="335"/>
      <c r="S80" s="335"/>
      <c r="T80" s="335"/>
      <c r="U80" s="335"/>
      <c r="V80" s="335"/>
      <c r="W80" s="335"/>
      <c r="X80" s="335"/>
      <c r="Y80" s="335"/>
      <c r="Z80" s="336"/>
    </row>
    <row r="81" spans="1:26" ht="78" customHeight="1" x14ac:dyDescent="0.15">
      <c r="B81" s="166"/>
      <c r="C81" s="103" t="s">
        <v>115</v>
      </c>
      <c r="D81" s="337" t="s">
        <v>208</v>
      </c>
      <c r="E81" s="337"/>
      <c r="F81" s="337"/>
      <c r="G81" s="337"/>
      <c r="H81" s="337"/>
      <c r="I81" s="337"/>
      <c r="J81" s="337"/>
      <c r="K81" s="337"/>
      <c r="L81" s="337"/>
      <c r="M81" s="337"/>
      <c r="N81" s="337"/>
      <c r="O81" s="337"/>
      <c r="P81" s="337"/>
      <c r="Q81" s="337"/>
      <c r="R81" s="337"/>
      <c r="S81" s="337"/>
      <c r="T81" s="337"/>
      <c r="U81" s="337"/>
      <c r="V81" s="337"/>
      <c r="W81" s="337"/>
      <c r="X81" s="337"/>
      <c r="Y81" s="337"/>
      <c r="Z81" s="338"/>
    </row>
    <row r="82" spans="1:26" ht="78" customHeight="1" x14ac:dyDescent="0.15">
      <c r="B82" s="171" t="s">
        <v>117</v>
      </c>
      <c r="C82" s="104" t="s">
        <v>90</v>
      </c>
      <c r="D82" s="329" t="s">
        <v>209</v>
      </c>
      <c r="E82" s="329"/>
      <c r="F82" s="329"/>
      <c r="G82" s="329"/>
      <c r="H82" s="329"/>
      <c r="I82" s="329"/>
      <c r="J82" s="329"/>
      <c r="K82" s="329"/>
      <c r="L82" s="329"/>
      <c r="M82" s="329"/>
      <c r="N82" s="329"/>
      <c r="O82" s="329"/>
      <c r="P82" s="329"/>
      <c r="Q82" s="329"/>
      <c r="R82" s="329"/>
      <c r="S82" s="329"/>
      <c r="T82" s="329"/>
      <c r="U82" s="329"/>
      <c r="V82" s="329"/>
      <c r="W82" s="329"/>
      <c r="X82" s="329"/>
      <c r="Y82" s="329"/>
      <c r="Z82" s="330"/>
    </row>
    <row r="83" spans="1:26" ht="78" customHeight="1" x14ac:dyDescent="0.15">
      <c r="B83" s="167"/>
      <c r="C83" s="105" t="s">
        <v>91</v>
      </c>
      <c r="D83" s="331" t="s">
        <v>210</v>
      </c>
      <c r="E83" s="331"/>
      <c r="F83" s="331"/>
      <c r="G83" s="331"/>
      <c r="H83" s="331"/>
      <c r="I83" s="331"/>
      <c r="J83" s="331"/>
      <c r="K83" s="331"/>
      <c r="L83" s="331"/>
      <c r="M83" s="331"/>
      <c r="N83" s="331"/>
      <c r="O83" s="331"/>
      <c r="P83" s="331"/>
      <c r="Q83" s="331"/>
      <c r="R83" s="331"/>
      <c r="S83" s="331"/>
      <c r="T83" s="331"/>
      <c r="U83" s="331"/>
      <c r="V83" s="331"/>
      <c r="W83" s="331"/>
      <c r="X83" s="331"/>
      <c r="Y83" s="331"/>
      <c r="Z83" s="332"/>
    </row>
    <row r="84" spans="1:26" ht="66" customHeight="1" x14ac:dyDescent="0.15">
      <c r="B84" s="171" t="s">
        <v>120</v>
      </c>
      <c r="C84" s="104" t="s">
        <v>95</v>
      </c>
      <c r="D84" s="329" t="s">
        <v>211</v>
      </c>
      <c r="E84" s="329"/>
      <c r="F84" s="329"/>
      <c r="G84" s="329"/>
      <c r="H84" s="329"/>
      <c r="I84" s="329"/>
      <c r="J84" s="329"/>
      <c r="K84" s="329"/>
      <c r="L84" s="329"/>
      <c r="M84" s="329"/>
      <c r="N84" s="329"/>
      <c r="O84" s="329"/>
      <c r="P84" s="329"/>
      <c r="Q84" s="329"/>
      <c r="R84" s="329"/>
      <c r="S84" s="329"/>
      <c r="T84" s="329"/>
      <c r="U84" s="329"/>
      <c r="V84" s="329"/>
      <c r="W84" s="329"/>
      <c r="X84" s="329"/>
      <c r="Y84" s="329"/>
      <c r="Z84" s="330"/>
    </row>
    <row r="85" spans="1:26" ht="66" customHeight="1" x14ac:dyDescent="0.15">
      <c r="B85" s="167"/>
      <c r="C85" s="106" t="s">
        <v>96</v>
      </c>
      <c r="D85" s="333" t="s">
        <v>212</v>
      </c>
      <c r="E85" s="333"/>
      <c r="F85" s="333"/>
      <c r="G85" s="333"/>
      <c r="H85" s="333"/>
      <c r="I85" s="333"/>
      <c r="J85" s="333"/>
      <c r="K85" s="333"/>
      <c r="L85" s="333"/>
      <c r="M85" s="333"/>
      <c r="N85" s="333"/>
      <c r="O85" s="333"/>
      <c r="P85" s="333"/>
      <c r="Q85" s="333"/>
      <c r="R85" s="333"/>
      <c r="S85" s="333"/>
      <c r="T85" s="333"/>
      <c r="U85" s="333"/>
      <c r="V85" s="333"/>
      <c r="W85" s="333"/>
      <c r="X85" s="333"/>
      <c r="Y85" s="333"/>
      <c r="Z85" s="334"/>
    </row>
    <row r="86" spans="1:26" ht="66" customHeight="1" x14ac:dyDescent="0.15">
      <c r="B86" s="158" t="s">
        <v>123</v>
      </c>
      <c r="C86" s="102" t="s">
        <v>99</v>
      </c>
      <c r="D86" s="318" t="s">
        <v>213</v>
      </c>
      <c r="E86" s="318"/>
      <c r="F86" s="318"/>
      <c r="G86" s="318"/>
      <c r="H86" s="318"/>
      <c r="I86" s="318"/>
      <c r="J86" s="318"/>
      <c r="K86" s="318"/>
      <c r="L86" s="318"/>
      <c r="M86" s="318"/>
      <c r="N86" s="318"/>
      <c r="O86" s="318"/>
      <c r="P86" s="318"/>
      <c r="Q86" s="318"/>
      <c r="R86" s="318"/>
      <c r="S86" s="318"/>
      <c r="T86" s="318"/>
      <c r="U86" s="318"/>
      <c r="V86" s="318"/>
      <c r="W86" s="318"/>
      <c r="X86" s="318"/>
      <c r="Y86" s="318"/>
      <c r="Z86" s="319"/>
    </row>
    <row r="87" spans="1:26" ht="66" customHeight="1" x14ac:dyDescent="0.15">
      <c r="B87" s="159"/>
      <c r="C87" s="107" t="s">
        <v>100</v>
      </c>
      <c r="D87" s="320" t="s">
        <v>214</v>
      </c>
      <c r="E87" s="320"/>
      <c r="F87" s="320"/>
      <c r="G87" s="320"/>
      <c r="H87" s="320"/>
      <c r="I87" s="320"/>
      <c r="J87" s="320"/>
      <c r="K87" s="320"/>
      <c r="L87" s="320"/>
      <c r="M87" s="320"/>
      <c r="N87" s="320"/>
      <c r="O87" s="320"/>
      <c r="P87" s="320"/>
      <c r="Q87" s="320"/>
      <c r="R87" s="320"/>
      <c r="S87" s="320"/>
      <c r="T87" s="320"/>
      <c r="U87" s="320"/>
      <c r="V87" s="320"/>
      <c r="W87" s="320"/>
      <c r="X87" s="320"/>
      <c r="Y87" s="320"/>
      <c r="Z87" s="321"/>
    </row>
    <row r="88" spans="1:26" ht="66" customHeight="1" x14ac:dyDescent="0.15">
      <c r="B88" s="158" t="s">
        <v>126</v>
      </c>
      <c r="C88" s="104" t="s">
        <v>103</v>
      </c>
      <c r="D88" s="322" t="s">
        <v>215</v>
      </c>
      <c r="E88" s="322"/>
      <c r="F88" s="322"/>
      <c r="G88" s="322"/>
      <c r="H88" s="322"/>
      <c r="I88" s="322"/>
      <c r="J88" s="322"/>
      <c r="K88" s="322"/>
      <c r="L88" s="322"/>
      <c r="M88" s="322"/>
      <c r="N88" s="322"/>
      <c r="O88" s="322"/>
      <c r="P88" s="322"/>
      <c r="Q88" s="322"/>
      <c r="R88" s="322"/>
      <c r="S88" s="322"/>
      <c r="T88" s="322"/>
      <c r="U88" s="322"/>
      <c r="V88" s="322"/>
      <c r="W88" s="322"/>
      <c r="X88" s="322"/>
      <c r="Y88" s="322"/>
      <c r="Z88" s="323"/>
    </row>
    <row r="89" spans="1:26" ht="66" customHeight="1" x14ac:dyDescent="0.15">
      <c r="B89" s="166"/>
      <c r="C89" s="107" t="s">
        <v>104</v>
      </c>
      <c r="D89" s="324" t="s">
        <v>216</v>
      </c>
      <c r="E89" s="325"/>
      <c r="F89" s="325"/>
      <c r="G89" s="325"/>
      <c r="H89" s="325"/>
      <c r="I89" s="325"/>
      <c r="J89" s="325"/>
      <c r="K89" s="325"/>
      <c r="L89" s="325"/>
      <c r="M89" s="325"/>
      <c r="N89" s="325"/>
      <c r="O89" s="325"/>
      <c r="P89" s="325"/>
      <c r="Q89" s="325"/>
      <c r="R89" s="325"/>
      <c r="S89" s="325"/>
      <c r="T89" s="325"/>
      <c r="U89" s="325"/>
      <c r="V89" s="325"/>
      <c r="W89" s="325"/>
      <c r="X89" s="325"/>
      <c r="Y89" s="325"/>
      <c r="Z89" s="326"/>
    </row>
    <row r="90" spans="1:26" ht="66" customHeight="1" x14ac:dyDescent="0.15">
      <c r="B90" s="167"/>
      <c r="C90" s="106" t="s">
        <v>105</v>
      </c>
      <c r="D90" s="327" t="s">
        <v>217</v>
      </c>
      <c r="E90" s="327"/>
      <c r="F90" s="327"/>
      <c r="G90" s="327"/>
      <c r="H90" s="327"/>
      <c r="I90" s="327"/>
      <c r="J90" s="327"/>
      <c r="K90" s="327"/>
      <c r="L90" s="327"/>
      <c r="M90" s="327"/>
      <c r="N90" s="327"/>
      <c r="O90" s="327"/>
      <c r="P90" s="327"/>
      <c r="Q90" s="327"/>
      <c r="R90" s="327"/>
      <c r="S90" s="327"/>
      <c r="T90" s="327"/>
      <c r="U90" s="327"/>
      <c r="V90" s="327"/>
      <c r="W90" s="327"/>
      <c r="X90" s="327"/>
      <c r="Y90" s="327"/>
      <c r="Z90" s="328"/>
    </row>
    <row r="91" spans="1:26" ht="6" customHeight="1" x14ac:dyDescent="0.15"/>
    <row r="92" spans="1:26" ht="18.75" customHeight="1" x14ac:dyDescent="0.15">
      <c r="A92" s="10" t="s">
        <v>130</v>
      </c>
    </row>
    <row r="93" spans="1:26" ht="18.75" customHeight="1" x14ac:dyDescent="0.15">
      <c r="B93" s="240" t="s">
        <v>218</v>
      </c>
      <c r="C93" s="294"/>
      <c r="D93" s="294"/>
      <c r="E93" s="294"/>
      <c r="F93" s="294"/>
      <c r="G93" s="294"/>
      <c r="H93" s="294"/>
      <c r="I93" s="294"/>
      <c r="J93" s="294"/>
      <c r="K93" s="294"/>
      <c r="L93" s="294"/>
      <c r="M93" s="294"/>
      <c r="N93" s="294"/>
      <c r="O93" s="294"/>
      <c r="P93" s="294"/>
      <c r="Q93" s="294"/>
      <c r="R93" s="294"/>
      <c r="S93" s="294"/>
      <c r="T93" s="294"/>
      <c r="U93" s="294"/>
      <c r="V93" s="294"/>
      <c r="W93" s="294"/>
      <c r="X93" s="294"/>
      <c r="Y93" s="294"/>
      <c r="Z93" s="295"/>
    </row>
    <row r="94" spans="1:26" ht="18.75" customHeight="1" x14ac:dyDescent="0.15">
      <c r="B94" s="296"/>
      <c r="C94" s="297"/>
      <c r="D94" s="297"/>
      <c r="E94" s="297"/>
      <c r="F94" s="297"/>
      <c r="G94" s="297"/>
      <c r="H94" s="297"/>
      <c r="I94" s="297"/>
      <c r="J94" s="297"/>
      <c r="K94" s="297"/>
      <c r="L94" s="297"/>
      <c r="M94" s="297"/>
      <c r="N94" s="297"/>
      <c r="O94" s="297"/>
      <c r="P94" s="297"/>
      <c r="Q94" s="297"/>
      <c r="R94" s="297"/>
      <c r="S94" s="297"/>
      <c r="T94" s="297"/>
      <c r="U94" s="297"/>
      <c r="V94" s="297"/>
      <c r="W94" s="297"/>
      <c r="X94" s="297"/>
      <c r="Y94" s="297"/>
      <c r="Z94" s="298"/>
    </row>
    <row r="95" spans="1:26" ht="18.75" customHeight="1" x14ac:dyDescent="0.15">
      <c r="B95" s="299"/>
      <c r="C95" s="300"/>
      <c r="D95" s="300"/>
      <c r="E95" s="300"/>
      <c r="F95" s="300"/>
      <c r="G95" s="300"/>
      <c r="H95" s="300"/>
      <c r="I95" s="300"/>
      <c r="J95" s="300"/>
      <c r="K95" s="300"/>
      <c r="L95" s="300"/>
      <c r="M95" s="300"/>
      <c r="N95" s="300"/>
      <c r="O95" s="300"/>
      <c r="P95" s="300"/>
      <c r="Q95" s="300"/>
      <c r="R95" s="300"/>
      <c r="S95" s="300"/>
      <c r="T95" s="300"/>
      <c r="U95" s="300"/>
      <c r="V95" s="300"/>
      <c r="W95" s="300"/>
      <c r="X95" s="300"/>
      <c r="Y95" s="300"/>
      <c r="Z95" s="301"/>
    </row>
    <row r="96" spans="1:26" ht="6" customHeight="1" x14ac:dyDescent="0.15"/>
    <row r="97" spans="1:26" ht="15" customHeight="1" x14ac:dyDescent="0.15">
      <c r="A97" s="10" t="s">
        <v>132</v>
      </c>
    </row>
    <row r="98" spans="1:26" ht="15" customHeight="1" x14ac:dyDescent="0.15">
      <c r="B98" s="315" t="s">
        <v>133</v>
      </c>
      <c r="C98" s="316"/>
      <c r="D98" s="316"/>
      <c r="E98" s="316"/>
      <c r="F98" s="316"/>
      <c r="G98" s="316"/>
      <c r="H98" s="316"/>
      <c r="I98" s="316"/>
      <c r="J98" s="316"/>
      <c r="K98" s="316"/>
      <c r="L98" s="316"/>
      <c r="M98" s="316"/>
      <c r="N98" s="316"/>
      <c r="O98" s="316"/>
      <c r="P98" s="316"/>
      <c r="Q98" s="316"/>
      <c r="R98" s="316"/>
      <c r="S98" s="316"/>
      <c r="T98" s="316"/>
      <c r="U98" s="316"/>
      <c r="V98" s="316"/>
      <c r="W98" s="316"/>
      <c r="X98" s="316"/>
      <c r="Y98" s="316"/>
      <c r="Z98" s="317"/>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2"/>
  <dataValidations count="4">
    <dataValidation type="list" allowBlank="1" showInputMessage="1" showErrorMessage="1" sqref="H74:M77 G70:G77 H70:M71 T70:T77 U70:Z71 U74:Z77" xr:uid="{17EA3157-F1D5-8B47-AF4E-CE57EE093BD8}">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xr:uid="{3D364161-C091-904E-A22C-0B674E765C80}">
      <formula1>"学部・学科によって、修了要件は相違する,学部・学科によって、修了要件は相違しない"</formula1>
    </dataValidation>
    <dataValidation type="list" allowBlank="1" showInputMessage="1" showErrorMessage="1" sqref="Z23 Z34 D34:K34 D23:K23 V16:V22 I49:I55 V27:V33 I38:I44 V38:V44 I16:I22 V49:V55 I27:I33 U60:U66 H60:H66" xr:uid="{CF2510BD-4722-1A46-ABCC-92D3336EB83A}">
      <formula1>"全学開講,一部開講"</formula1>
    </dataValidation>
    <dataValidation type="list" allowBlank="1" showInputMessage="1" showErrorMessage="1" sqref="Y16:Z22 L16:M22 Y27:Z33 L27:M33 L38:M44 Y38:Z44 L49:M55 Y49:Z55 Y60:Z66 L60:M66 U16:U22 T60:T66 U27:U33 H16:H22 U38:U44 H27:H33 U49:U55 H38:H44 H49:H55 G60:G66" xr:uid="{984EDB89-788A-8D40-AE47-B6AF938A398D}">
      <formula1>"○"</formula1>
    </dataValidation>
  </dataValidations>
  <hyperlinks>
    <hyperlink ref="B98:Z98" r:id="rId1" display="https://www.gifu-nct.ac.jp/campuslife/datascience/" xr:uid="{7C42A2DC-5009-7642-9B35-3CAB1B8292C5}"/>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dimension ref="A1:T30"/>
  <sheetViews>
    <sheetView view="pageBreakPreview" topLeftCell="A2" zoomScaleNormal="100" zoomScaleSheetLayoutView="100" workbookViewId="0">
      <selection activeCell="G7" sqref="G7"/>
    </sheetView>
  </sheetViews>
  <sheetFormatPr defaultColWidth="9" defaultRowHeight="18.75" customHeight="1" x14ac:dyDescent="0.15"/>
  <cols>
    <col min="1" max="1" width="2.875" style="1" customWidth="1"/>
    <col min="2" max="2" width="30" style="1" customWidth="1"/>
    <col min="3" max="17" width="6.125" style="1" customWidth="1"/>
    <col min="18" max="18" width="6.625" style="1" customWidth="1"/>
    <col min="19" max="16384" width="9" style="1"/>
  </cols>
  <sheetData>
    <row r="1" spans="1:20" ht="18" customHeight="1" x14ac:dyDescent="0.15">
      <c r="A1" s="113"/>
      <c r="B1" s="113"/>
      <c r="C1" s="113"/>
      <c r="D1" s="113"/>
      <c r="E1" s="113"/>
      <c r="F1" s="348" t="s">
        <v>219</v>
      </c>
      <c r="G1" s="348"/>
      <c r="H1" s="348"/>
      <c r="I1" s="348"/>
      <c r="J1" s="348"/>
      <c r="K1" s="348"/>
      <c r="L1" s="348"/>
      <c r="M1" s="348"/>
      <c r="N1" s="348"/>
      <c r="O1" s="348"/>
      <c r="P1" s="348"/>
      <c r="Q1" s="348"/>
      <c r="R1" s="348"/>
      <c r="S1" s="113"/>
      <c r="T1" s="113"/>
    </row>
    <row r="2" spans="1:20" ht="18" customHeight="1" x14ac:dyDescent="0.15">
      <c r="A2" s="349" t="s">
        <v>220</v>
      </c>
      <c r="B2" s="349"/>
      <c r="C2" s="349"/>
      <c r="D2" s="349"/>
      <c r="E2" s="349"/>
      <c r="F2" s="349"/>
      <c r="G2" s="349"/>
      <c r="H2" s="349"/>
      <c r="I2" s="349"/>
      <c r="J2" s="349"/>
      <c r="K2" s="349"/>
      <c r="L2" s="349"/>
      <c r="M2" s="349"/>
      <c r="N2" s="349"/>
      <c r="O2" s="349"/>
      <c r="P2" s="349"/>
      <c r="Q2" s="349"/>
      <c r="R2" s="349"/>
      <c r="S2" s="2"/>
      <c r="T2" s="113"/>
    </row>
    <row r="3" spans="1:20" ht="7.5" customHeight="1" x14ac:dyDescent="0.15">
      <c r="A3" s="27"/>
      <c r="B3" s="27"/>
      <c r="C3" s="27"/>
      <c r="D3" s="27"/>
      <c r="E3" s="27"/>
      <c r="F3" s="27"/>
      <c r="G3" s="27"/>
      <c r="H3" s="27"/>
      <c r="I3" s="27"/>
      <c r="J3" s="27"/>
      <c r="K3" s="27"/>
      <c r="L3" s="27"/>
      <c r="M3" s="27"/>
      <c r="N3" s="27"/>
      <c r="O3" s="27"/>
      <c r="P3" s="27"/>
      <c r="Q3" s="27"/>
      <c r="R3" s="27"/>
      <c r="S3" s="113"/>
      <c r="T3" s="113"/>
    </row>
    <row r="4" spans="1:20" ht="18" customHeight="1" x14ac:dyDescent="0.15">
      <c r="A4" s="2" t="s">
        <v>221</v>
      </c>
      <c r="B4" s="2"/>
      <c r="C4" s="350" t="str">
        <f>'様式１　大学等概要'!E12</f>
        <v>平成29</v>
      </c>
      <c r="D4" s="351"/>
      <c r="E4" s="27" t="s">
        <v>20</v>
      </c>
      <c r="F4" s="27"/>
      <c r="G4" s="89"/>
      <c r="H4" s="27"/>
      <c r="I4" s="27"/>
      <c r="J4" s="64"/>
      <c r="K4" s="27"/>
      <c r="L4" s="27"/>
      <c r="M4" s="35"/>
      <c r="N4" s="35"/>
      <c r="O4" s="35"/>
      <c r="P4" s="35"/>
      <c r="Q4" s="35"/>
      <c r="R4" s="35"/>
      <c r="S4" s="113"/>
      <c r="T4" s="113"/>
    </row>
    <row r="5" spans="1:20" ht="6" customHeight="1" x14ac:dyDescent="0.15">
      <c r="A5" s="27"/>
      <c r="B5" s="27"/>
      <c r="C5" s="27"/>
      <c r="D5" s="27"/>
      <c r="E5" s="27"/>
      <c r="F5" s="27"/>
      <c r="G5" s="89"/>
      <c r="H5" s="27"/>
      <c r="I5" s="27"/>
      <c r="J5" s="27"/>
      <c r="K5" s="27"/>
      <c r="L5" s="27"/>
      <c r="M5" s="27"/>
      <c r="N5" s="27"/>
      <c r="O5" s="27"/>
      <c r="P5" s="27"/>
      <c r="Q5" s="27"/>
      <c r="R5" s="27"/>
      <c r="S5" s="113"/>
      <c r="T5" s="113"/>
    </row>
    <row r="6" spans="1:20" ht="18" customHeight="1" x14ac:dyDescent="0.15">
      <c r="A6" s="2" t="s">
        <v>222</v>
      </c>
      <c r="B6" s="27"/>
      <c r="C6" s="27"/>
      <c r="D6" s="27"/>
      <c r="E6" s="27"/>
      <c r="F6" s="27"/>
      <c r="G6" s="89"/>
      <c r="H6" s="27"/>
      <c r="I6" s="27"/>
      <c r="J6" s="27"/>
      <c r="K6" s="27"/>
      <c r="L6" s="27"/>
      <c r="M6" s="27"/>
      <c r="N6" s="27"/>
      <c r="O6" s="27"/>
      <c r="P6" s="27"/>
      <c r="Q6" s="27"/>
      <c r="R6" s="27"/>
      <c r="S6" s="113"/>
      <c r="T6" s="113"/>
    </row>
    <row r="7" spans="1:20" ht="6" customHeight="1" x14ac:dyDescent="0.15">
      <c r="A7" s="2"/>
      <c r="B7" s="27"/>
      <c r="C7" s="27"/>
      <c r="D7" s="27"/>
      <c r="E7" s="27"/>
      <c r="F7" s="27"/>
      <c r="G7" s="27"/>
      <c r="H7" s="27"/>
      <c r="I7" s="27"/>
      <c r="J7" s="27"/>
      <c r="K7" s="27"/>
      <c r="L7" s="27"/>
      <c r="M7" s="27"/>
      <c r="N7" s="27"/>
      <c r="O7" s="27"/>
      <c r="P7" s="27"/>
      <c r="Q7" s="27"/>
      <c r="R7" s="27"/>
      <c r="S7" s="113"/>
      <c r="T7" s="113"/>
    </row>
    <row r="8" spans="1:20" ht="18" customHeight="1" x14ac:dyDescent="0.15">
      <c r="A8" s="113"/>
      <c r="B8" s="352" t="s">
        <v>223</v>
      </c>
      <c r="C8" s="354" t="s">
        <v>224</v>
      </c>
      <c r="D8" s="356" t="s">
        <v>225</v>
      </c>
      <c r="E8" s="358" t="s">
        <v>226</v>
      </c>
      <c r="F8" s="358"/>
      <c r="G8" s="358" t="s">
        <v>227</v>
      </c>
      <c r="H8" s="358"/>
      <c r="I8" s="358" t="s">
        <v>228</v>
      </c>
      <c r="J8" s="358"/>
      <c r="K8" s="359" t="s">
        <v>229</v>
      </c>
      <c r="L8" s="360"/>
      <c r="M8" s="359" t="s">
        <v>230</v>
      </c>
      <c r="N8" s="360"/>
      <c r="O8" s="359" t="s">
        <v>231</v>
      </c>
      <c r="P8" s="360"/>
      <c r="Q8" s="361" t="s">
        <v>232</v>
      </c>
      <c r="R8" s="363" t="s">
        <v>233</v>
      </c>
      <c r="S8" s="113"/>
      <c r="T8" s="25"/>
    </row>
    <row r="9" spans="1:20" ht="18" customHeight="1" x14ac:dyDescent="0.15">
      <c r="A9" s="2"/>
      <c r="B9" s="353"/>
      <c r="C9" s="355"/>
      <c r="D9" s="357"/>
      <c r="E9" s="31" t="s">
        <v>234</v>
      </c>
      <c r="F9" s="32" t="s">
        <v>235</v>
      </c>
      <c r="G9" s="33" t="s">
        <v>234</v>
      </c>
      <c r="H9" s="34" t="s">
        <v>235</v>
      </c>
      <c r="I9" s="31" t="s">
        <v>234</v>
      </c>
      <c r="J9" s="32" t="s">
        <v>235</v>
      </c>
      <c r="K9" s="33" t="s">
        <v>234</v>
      </c>
      <c r="L9" s="34" t="s">
        <v>235</v>
      </c>
      <c r="M9" s="31" t="s">
        <v>234</v>
      </c>
      <c r="N9" s="32" t="s">
        <v>235</v>
      </c>
      <c r="O9" s="33" t="s">
        <v>234</v>
      </c>
      <c r="P9" s="34" t="s">
        <v>235</v>
      </c>
      <c r="Q9" s="362"/>
      <c r="R9" s="364"/>
      <c r="S9" s="113"/>
      <c r="T9" s="25"/>
    </row>
    <row r="10" spans="1:20" ht="18" customHeight="1" x14ac:dyDescent="0.15">
      <c r="A10" s="35"/>
      <c r="B10" s="65" t="s">
        <v>236</v>
      </c>
      <c r="C10" s="35">
        <v>40</v>
      </c>
      <c r="D10" s="36">
        <v>200</v>
      </c>
      <c r="E10" s="37">
        <v>43</v>
      </c>
      <c r="F10" s="38">
        <v>41</v>
      </c>
      <c r="G10" s="39">
        <v>42</v>
      </c>
      <c r="H10" s="40">
        <v>0</v>
      </c>
      <c r="I10" s="37">
        <v>42</v>
      </c>
      <c r="J10" s="38">
        <v>0</v>
      </c>
      <c r="K10" s="39">
        <v>42</v>
      </c>
      <c r="L10" s="40">
        <v>0</v>
      </c>
      <c r="M10" s="37">
        <v>42</v>
      </c>
      <c r="N10" s="38">
        <v>0</v>
      </c>
      <c r="O10" s="39">
        <v>0</v>
      </c>
      <c r="P10" s="40">
        <v>0</v>
      </c>
      <c r="Q10" s="41">
        <f>E10+G10+I10+K10+M10+O10</f>
        <v>211</v>
      </c>
      <c r="R10" s="42">
        <f>Q10/D10</f>
        <v>1.0549999999999999</v>
      </c>
      <c r="S10" s="113"/>
      <c r="T10" s="113"/>
    </row>
    <row r="11" spans="1:20" ht="18" customHeight="1" x14ac:dyDescent="0.15">
      <c r="A11" s="35"/>
      <c r="B11" s="66" t="s">
        <v>237</v>
      </c>
      <c r="C11" s="51">
        <v>40</v>
      </c>
      <c r="D11" s="44">
        <v>200</v>
      </c>
      <c r="E11" s="45">
        <v>41</v>
      </c>
      <c r="F11" s="46">
        <v>41</v>
      </c>
      <c r="G11" s="47">
        <v>42</v>
      </c>
      <c r="H11" s="48">
        <v>42</v>
      </c>
      <c r="I11" s="45">
        <v>42</v>
      </c>
      <c r="J11" s="46">
        <v>38</v>
      </c>
      <c r="K11" s="47">
        <v>42</v>
      </c>
      <c r="L11" s="48">
        <v>0</v>
      </c>
      <c r="M11" s="45">
        <v>42</v>
      </c>
      <c r="N11" s="46">
        <v>0</v>
      </c>
      <c r="O11" s="47">
        <v>0</v>
      </c>
      <c r="P11" s="48">
        <v>0</v>
      </c>
      <c r="Q11" s="49">
        <f t="shared" ref="Q11:Q29" si="0">E11+G11+I11+K11+M11+O11</f>
        <v>209</v>
      </c>
      <c r="R11" s="50">
        <f t="shared" ref="R11:R29" si="1">Q11/D11</f>
        <v>1.0449999999999999</v>
      </c>
      <c r="S11" s="113"/>
      <c r="T11" s="113"/>
    </row>
    <row r="12" spans="1:20" ht="18" customHeight="1" x14ac:dyDescent="0.15">
      <c r="A12" s="35"/>
      <c r="B12" s="66" t="s">
        <v>238</v>
      </c>
      <c r="C12" s="51">
        <v>40</v>
      </c>
      <c r="D12" s="44">
        <v>200</v>
      </c>
      <c r="E12" s="45">
        <v>42</v>
      </c>
      <c r="F12" s="46">
        <v>44</v>
      </c>
      <c r="G12" s="47">
        <v>42</v>
      </c>
      <c r="H12" s="48">
        <v>37</v>
      </c>
      <c r="I12" s="45">
        <v>42</v>
      </c>
      <c r="J12" s="46">
        <v>38</v>
      </c>
      <c r="K12" s="47">
        <v>42</v>
      </c>
      <c r="L12" s="48">
        <v>0</v>
      </c>
      <c r="M12" s="45">
        <v>42</v>
      </c>
      <c r="N12" s="46">
        <v>0</v>
      </c>
      <c r="O12" s="47">
        <v>0</v>
      </c>
      <c r="P12" s="48">
        <v>0</v>
      </c>
      <c r="Q12" s="49">
        <f t="shared" si="0"/>
        <v>210</v>
      </c>
      <c r="R12" s="50">
        <f t="shared" si="1"/>
        <v>1.05</v>
      </c>
      <c r="S12" s="113"/>
      <c r="T12" s="113"/>
    </row>
    <row r="13" spans="1:20" ht="18" customHeight="1" x14ac:dyDescent="0.15">
      <c r="A13" s="35"/>
      <c r="B13" s="66" t="s">
        <v>239</v>
      </c>
      <c r="C13" s="51">
        <v>40</v>
      </c>
      <c r="D13" s="44">
        <v>200</v>
      </c>
      <c r="E13" s="45">
        <v>43</v>
      </c>
      <c r="F13" s="46">
        <v>41</v>
      </c>
      <c r="G13" s="47">
        <v>38</v>
      </c>
      <c r="H13" s="48">
        <v>0</v>
      </c>
      <c r="I13" s="45">
        <v>0</v>
      </c>
      <c r="J13" s="46">
        <v>0</v>
      </c>
      <c r="K13" s="47">
        <v>0</v>
      </c>
      <c r="L13" s="48">
        <v>0</v>
      </c>
      <c r="M13" s="45">
        <v>0</v>
      </c>
      <c r="N13" s="46">
        <v>0</v>
      </c>
      <c r="O13" s="47">
        <v>0</v>
      </c>
      <c r="P13" s="48">
        <v>0</v>
      </c>
      <c r="Q13" s="49">
        <f t="shared" si="0"/>
        <v>81</v>
      </c>
      <c r="R13" s="50">
        <f t="shared" si="1"/>
        <v>0.40500000000000003</v>
      </c>
      <c r="S13" s="113"/>
      <c r="T13" s="113"/>
    </row>
    <row r="14" spans="1:20" ht="18" customHeight="1" x14ac:dyDescent="0.15">
      <c r="A14" s="35"/>
      <c r="B14" s="66" t="s">
        <v>240</v>
      </c>
      <c r="C14" s="51">
        <v>40</v>
      </c>
      <c r="D14" s="44">
        <v>200</v>
      </c>
      <c r="E14" s="45">
        <v>42</v>
      </c>
      <c r="F14" s="46">
        <v>44</v>
      </c>
      <c r="G14" s="47">
        <v>41</v>
      </c>
      <c r="H14" s="48">
        <v>41</v>
      </c>
      <c r="I14" s="45">
        <v>40</v>
      </c>
      <c r="J14" s="46">
        <v>0</v>
      </c>
      <c r="K14" s="47">
        <v>41</v>
      </c>
      <c r="L14" s="48">
        <v>0</v>
      </c>
      <c r="M14" s="45">
        <v>41</v>
      </c>
      <c r="N14" s="46">
        <v>0</v>
      </c>
      <c r="O14" s="47">
        <v>0</v>
      </c>
      <c r="P14" s="48">
        <v>0</v>
      </c>
      <c r="Q14" s="49">
        <f t="shared" si="0"/>
        <v>205</v>
      </c>
      <c r="R14" s="50">
        <f t="shared" si="1"/>
        <v>1.0249999999999999</v>
      </c>
      <c r="S14" s="113"/>
      <c r="T14" s="113"/>
    </row>
    <row r="15" spans="1:20" ht="18" customHeight="1" x14ac:dyDescent="0.15">
      <c r="A15" s="35"/>
      <c r="B15" s="66"/>
      <c r="C15" s="51"/>
      <c r="D15" s="44"/>
      <c r="E15" s="45"/>
      <c r="F15" s="46"/>
      <c r="G15" s="47"/>
      <c r="H15" s="48"/>
      <c r="I15" s="45"/>
      <c r="J15" s="46"/>
      <c r="K15" s="47"/>
      <c r="L15" s="48"/>
      <c r="M15" s="45"/>
      <c r="N15" s="46"/>
      <c r="O15" s="47"/>
      <c r="P15" s="48"/>
      <c r="Q15" s="49">
        <f t="shared" si="0"/>
        <v>0</v>
      </c>
      <c r="R15" s="50" t="e">
        <f t="shared" si="1"/>
        <v>#DIV/0!</v>
      </c>
      <c r="S15" s="113"/>
      <c r="T15" s="113"/>
    </row>
    <row r="16" spans="1:20" ht="18" customHeight="1" x14ac:dyDescent="0.15">
      <c r="A16" s="35"/>
      <c r="B16" s="66"/>
      <c r="C16" s="51"/>
      <c r="D16" s="44"/>
      <c r="E16" s="45"/>
      <c r="F16" s="46"/>
      <c r="G16" s="47"/>
      <c r="H16" s="48"/>
      <c r="I16" s="45"/>
      <c r="J16" s="46"/>
      <c r="K16" s="47"/>
      <c r="L16" s="48"/>
      <c r="M16" s="45"/>
      <c r="N16" s="46"/>
      <c r="O16" s="47"/>
      <c r="P16" s="48"/>
      <c r="Q16" s="49">
        <f t="shared" si="0"/>
        <v>0</v>
      </c>
      <c r="R16" s="50" t="e">
        <f t="shared" si="1"/>
        <v>#DIV/0!</v>
      </c>
      <c r="S16" s="113"/>
      <c r="T16" s="113"/>
    </row>
    <row r="17" spans="1:18" ht="18" customHeight="1" x14ac:dyDescent="0.15">
      <c r="A17" s="35"/>
      <c r="B17" s="66"/>
      <c r="C17" s="51"/>
      <c r="D17" s="44"/>
      <c r="E17" s="45"/>
      <c r="F17" s="46"/>
      <c r="G17" s="47"/>
      <c r="H17" s="48"/>
      <c r="I17" s="45"/>
      <c r="J17" s="46"/>
      <c r="K17" s="47"/>
      <c r="L17" s="48"/>
      <c r="M17" s="45"/>
      <c r="N17" s="46"/>
      <c r="O17" s="47"/>
      <c r="P17" s="48"/>
      <c r="Q17" s="49">
        <f t="shared" si="0"/>
        <v>0</v>
      </c>
      <c r="R17" s="50" t="e">
        <f t="shared" si="1"/>
        <v>#DIV/0!</v>
      </c>
    </row>
    <row r="18" spans="1:18" ht="18" customHeight="1" x14ac:dyDescent="0.15">
      <c r="A18" s="35"/>
      <c r="B18" s="66"/>
      <c r="C18" s="51"/>
      <c r="D18" s="44"/>
      <c r="E18" s="45"/>
      <c r="F18" s="46"/>
      <c r="G18" s="47"/>
      <c r="H18" s="48"/>
      <c r="I18" s="45"/>
      <c r="J18" s="46"/>
      <c r="K18" s="47"/>
      <c r="L18" s="48"/>
      <c r="M18" s="45"/>
      <c r="N18" s="46"/>
      <c r="O18" s="47"/>
      <c r="P18" s="48"/>
      <c r="Q18" s="49">
        <f>E18+G18+I18+K18+M18+O18</f>
        <v>0</v>
      </c>
      <c r="R18" s="50" t="e">
        <f t="shared" si="1"/>
        <v>#DIV/0!</v>
      </c>
    </row>
    <row r="19" spans="1:18" ht="18" customHeight="1" x14ac:dyDescent="0.15">
      <c r="A19" s="35"/>
      <c r="B19" s="66"/>
      <c r="C19" s="51"/>
      <c r="D19" s="44"/>
      <c r="E19" s="45"/>
      <c r="F19" s="46"/>
      <c r="G19" s="47"/>
      <c r="H19" s="48"/>
      <c r="I19" s="45"/>
      <c r="J19" s="46"/>
      <c r="K19" s="47"/>
      <c r="L19" s="48"/>
      <c r="M19" s="45"/>
      <c r="N19" s="46"/>
      <c r="O19" s="47"/>
      <c r="P19" s="48"/>
      <c r="Q19" s="49">
        <f t="shared" si="0"/>
        <v>0</v>
      </c>
      <c r="R19" s="50" t="e">
        <f t="shared" si="1"/>
        <v>#DIV/0!</v>
      </c>
    </row>
    <row r="20" spans="1:18" ht="18" customHeight="1" x14ac:dyDescent="0.15">
      <c r="A20" s="35"/>
      <c r="B20" s="66"/>
      <c r="C20" s="51"/>
      <c r="D20" s="44"/>
      <c r="E20" s="45"/>
      <c r="F20" s="46"/>
      <c r="G20" s="47"/>
      <c r="H20" s="48"/>
      <c r="I20" s="45"/>
      <c r="J20" s="46"/>
      <c r="K20" s="47"/>
      <c r="L20" s="48"/>
      <c r="M20" s="45"/>
      <c r="N20" s="46"/>
      <c r="O20" s="47"/>
      <c r="P20" s="48"/>
      <c r="Q20" s="49">
        <f t="shared" si="0"/>
        <v>0</v>
      </c>
      <c r="R20" s="50" t="e">
        <f t="shared" si="1"/>
        <v>#DIV/0!</v>
      </c>
    </row>
    <row r="21" spans="1:18" ht="18" customHeight="1" x14ac:dyDescent="0.15">
      <c r="A21" s="35"/>
      <c r="B21" s="66"/>
      <c r="C21" s="51"/>
      <c r="D21" s="44"/>
      <c r="E21" s="45"/>
      <c r="F21" s="46"/>
      <c r="G21" s="47"/>
      <c r="H21" s="48"/>
      <c r="I21" s="45"/>
      <c r="J21" s="46"/>
      <c r="K21" s="47"/>
      <c r="L21" s="48"/>
      <c r="M21" s="45"/>
      <c r="N21" s="46"/>
      <c r="O21" s="47"/>
      <c r="P21" s="48"/>
      <c r="Q21" s="49">
        <f t="shared" si="0"/>
        <v>0</v>
      </c>
      <c r="R21" s="50" t="e">
        <f t="shared" si="1"/>
        <v>#DIV/0!</v>
      </c>
    </row>
    <row r="22" spans="1:18" ht="18" customHeight="1" x14ac:dyDescent="0.15">
      <c r="A22" s="35"/>
      <c r="B22" s="66"/>
      <c r="C22" s="51"/>
      <c r="D22" s="44"/>
      <c r="E22" s="45"/>
      <c r="F22" s="46"/>
      <c r="G22" s="47"/>
      <c r="H22" s="48"/>
      <c r="I22" s="45"/>
      <c r="J22" s="46"/>
      <c r="K22" s="47"/>
      <c r="L22" s="48"/>
      <c r="M22" s="45"/>
      <c r="N22" s="46"/>
      <c r="O22" s="47"/>
      <c r="P22" s="48"/>
      <c r="Q22" s="49">
        <f t="shared" si="0"/>
        <v>0</v>
      </c>
      <c r="R22" s="50" t="e">
        <f t="shared" si="1"/>
        <v>#DIV/0!</v>
      </c>
    </row>
    <row r="23" spans="1:18" ht="18" customHeight="1" x14ac:dyDescent="0.15">
      <c r="A23" s="35"/>
      <c r="B23" s="66"/>
      <c r="C23" s="51"/>
      <c r="D23" s="44"/>
      <c r="E23" s="45"/>
      <c r="F23" s="46"/>
      <c r="G23" s="47"/>
      <c r="H23" s="48"/>
      <c r="I23" s="45"/>
      <c r="J23" s="46"/>
      <c r="K23" s="47"/>
      <c r="L23" s="48"/>
      <c r="M23" s="45"/>
      <c r="N23" s="46"/>
      <c r="O23" s="47"/>
      <c r="P23" s="48"/>
      <c r="Q23" s="49">
        <f t="shared" si="0"/>
        <v>0</v>
      </c>
      <c r="R23" s="50" t="e">
        <f t="shared" si="1"/>
        <v>#DIV/0!</v>
      </c>
    </row>
    <row r="24" spans="1:18" ht="18" customHeight="1" x14ac:dyDescent="0.15">
      <c r="A24" s="35"/>
      <c r="B24" s="66"/>
      <c r="C24" s="51"/>
      <c r="D24" s="44"/>
      <c r="E24" s="45"/>
      <c r="F24" s="46"/>
      <c r="G24" s="47"/>
      <c r="H24" s="48"/>
      <c r="I24" s="45"/>
      <c r="J24" s="46"/>
      <c r="K24" s="47"/>
      <c r="L24" s="48"/>
      <c r="M24" s="45"/>
      <c r="N24" s="46"/>
      <c r="O24" s="47"/>
      <c r="P24" s="48"/>
      <c r="Q24" s="49">
        <f t="shared" si="0"/>
        <v>0</v>
      </c>
      <c r="R24" s="50" t="e">
        <f t="shared" si="1"/>
        <v>#DIV/0!</v>
      </c>
    </row>
    <row r="25" spans="1:18" ht="18" customHeight="1" x14ac:dyDescent="0.15">
      <c r="A25" s="35"/>
      <c r="B25" s="66"/>
      <c r="C25" s="51"/>
      <c r="D25" s="44"/>
      <c r="E25" s="45"/>
      <c r="F25" s="46"/>
      <c r="G25" s="47"/>
      <c r="H25" s="48"/>
      <c r="I25" s="45"/>
      <c r="J25" s="46"/>
      <c r="K25" s="47"/>
      <c r="L25" s="48"/>
      <c r="M25" s="45"/>
      <c r="N25" s="46"/>
      <c r="O25" s="47"/>
      <c r="P25" s="48"/>
      <c r="Q25" s="49">
        <f t="shared" si="0"/>
        <v>0</v>
      </c>
      <c r="R25" s="50" t="e">
        <f t="shared" si="1"/>
        <v>#DIV/0!</v>
      </c>
    </row>
    <row r="26" spans="1:18" ht="18" customHeight="1" x14ac:dyDescent="0.15">
      <c r="A26" s="35"/>
      <c r="B26" s="66"/>
      <c r="C26" s="51"/>
      <c r="D26" s="44"/>
      <c r="E26" s="45"/>
      <c r="F26" s="46"/>
      <c r="G26" s="47"/>
      <c r="H26" s="48"/>
      <c r="I26" s="45"/>
      <c r="J26" s="46"/>
      <c r="K26" s="47"/>
      <c r="L26" s="48"/>
      <c r="M26" s="45"/>
      <c r="N26" s="46"/>
      <c r="O26" s="47"/>
      <c r="P26" s="48"/>
      <c r="Q26" s="49">
        <f t="shared" si="0"/>
        <v>0</v>
      </c>
      <c r="R26" s="50" t="e">
        <f t="shared" si="1"/>
        <v>#DIV/0!</v>
      </c>
    </row>
    <row r="27" spans="1:18" ht="18" customHeight="1" x14ac:dyDescent="0.15">
      <c r="A27" s="35"/>
      <c r="B27" s="66"/>
      <c r="C27" s="43"/>
      <c r="D27" s="44"/>
      <c r="E27" s="45"/>
      <c r="F27" s="46"/>
      <c r="G27" s="47"/>
      <c r="H27" s="48"/>
      <c r="I27" s="45"/>
      <c r="J27" s="46"/>
      <c r="K27" s="47"/>
      <c r="L27" s="48"/>
      <c r="M27" s="45"/>
      <c r="N27" s="46"/>
      <c r="O27" s="47"/>
      <c r="P27" s="48"/>
      <c r="Q27" s="49">
        <f t="shared" si="0"/>
        <v>0</v>
      </c>
      <c r="R27" s="50" t="e">
        <f t="shared" si="1"/>
        <v>#DIV/0!</v>
      </c>
    </row>
    <row r="28" spans="1:18" ht="18" customHeight="1" x14ac:dyDescent="0.15">
      <c r="A28" s="35"/>
      <c r="B28" s="66"/>
      <c r="C28" s="43"/>
      <c r="D28" s="44"/>
      <c r="E28" s="45"/>
      <c r="F28" s="46"/>
      <c r="G28" s="47"/>
      <c r="H28" s="48"/>
      <c r="I28" s="45"/>
      <c r="J28" s="46"/>
      <c r="K28" s="47"/>
      <c r="L28" s="48"/>
      <c r="M28" s="45"/>
      <c r="N28" s="46"/>
      <c r="O28" s="47"/>
      <c r="P28" s="48"/>
      <c r="Q28" s="49">
        <f t="shared" si="0"/>
        <v>0</v>
      </c>
      <c r="R28" s="50" t="e">
        <f t="shared" si="1"/>
        <v>#DIV/0!</v>
      </c>
    </row>
    <row r="29" spans="1:18" ht="18" customHeight="1" thickBot="1" x14ac:dyDescent="0.2">
      <c r="A29" s="35"/>
      <c r="B29" s="67"/>
      <c r="C29" s="68"/>
      <c r="D29" s="36"/>
      <c r="E29" s="37"/>
      <c r="F29" s="38"/>
      <c r="G29" s="39"/>
      <c r="H29" s="40"/>
      <c r="I29" s="37"/>
      <c r="J29" s="38"/>
      <c r="K29" s="39"/>
      <c r="L29" s="40"/>
      <c r="M29" s="37"/>
      <c r="N29" s="38"/>
      <c r="O29" s="39"/>
      <c r="P29" s="40"/>
      <c r="Q29" s="52">
        <f t="shared" si="0"/>
        <v>0</v>
      </c>
      <c r="R29" s="42" t="e">
        <f t="shared" si="1"/>
        <v>#DIV/0!</v>
      </c>
    </row>
    <row r="30" spans="1:18" ht="18" customHeight="1" thickTop="1" x14ac:dyDescent="0.15">
      <c r="A30" s="113"/>
      <c r="B30" s="69" t="s">
        <v>241</v>
      </c>
      <c r="C30" s="70">
        <f t="shared" ref="C30:Q30" si="2">SUM(C10:C29)</f>
        <v>200</v>
      </c>
      <c r="D30" s="53">
        <f t="shared" si="2"/>
        <v>1000</v>
      </c>
      <c r="E30" s="54">
        <f t="shared" si="2"/>
        <v>211</v>
      </c>
      <c r="F30" s="55">
        <f t="shared" si="2"/>
        <v>211</v>
      </c>
      <c r="G30" s="56">
        <f t="shared" si="2"/>
        <v>205</v>
      </c>
      <c r="H30" s="57">
        <f t="shared" si="2"/>
        <v>120</v>
      </c>
      <c r="I30" s="54">
        <f t="shared" si="2"/>
        <v>166</v>
      </c>
      <c r="J30" s="55">
        <f t="shared" si="2"/>
        <v>76</v>
      </c>
      <c r="K30" s="56">
        <f t="shared" si="2"/>
        <v>167</v>
      </c>
      <c r="L30" s="57">
        <f t="shared" si="2"/>
        <v>0</v>
      </c>
      <c r="M30" s="54">
        <f t="shared" si="2"/>
        <v>167</v>
      </c>
      <c r="N30" s="55">
        <f t="shared" si="2"/>
        <v>0</v>
      </c>
      <c r="O30" s="56">
        <f t="shared" si="2"/>
        <v>0</v>
      </c>
      <c r="P30" s="57">
        <f t="shared" si="2"/>
        <v>0</v>
      </c>
      <c r="Q30" s="58">
        <f t="shared" si="2"/>
        <v>916</v>
      </c>
      <c r="R30" s="59">
        <f>Q30/D30</f>
        <v>0.91600000000000004</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2"/>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484F4-02FF-426E-ADDC-911D98862473}">
  <dimension ref="A1:K144"/>
  <sheetViews>
    <sheetView showZeros="0" view="pageBreakPreview" zoomScaleNormal="100" zoomScaleSheetLayoutView="100" workbookViewId="0">
      <selection activeCell="B45" sqref="B45"/>
    </sheetView>
  </sheetViews>
  <sheetFormatPr defaultColWidth="11.375" defaultRowHeight="18.75" customHeight="1" x14ac:dyDescent="0.15"/>
  <cols>
    <col min="1" max="1" width="2.875" style="83" customWidth="1"/>
    <col min="2" max="2" width="16.625" style="11" customWidth="1"/>
    <col min="3" max="3" width="8.875" style="11" customWidth="1"/>
    <col min="4" max="4" width="2.125" style="11" customWidth="1"/>
    <col min="5" max="5" width="16.625" style="11" customWidth="1"/>
    <col min="6" max="6" width="8.875" style="11" customWidth="1"/>
    <col min="7" max="7" width="2.125" style="11" customWidth="1"/>
    <col min="8" max="8" width="16.625" style="11" customWidth="1"/>
    <col min="9" max="9" width="8.875" style="11" customWidth="1"/>
    <col min="10" max="10" width="2.125" style="11" customWidth="1"/>
    <col min="11" max="16384" width="11.375" style="11"/>
  </cols>
  <sheetData>
    <row r="1" spans="1:11" ht="18.75" customHeight="1" x14ac:dyDescent="0.15">
      <c r="A1" s="83" t="s">
        <v>242</v>
      </c>
      <c r="J1" s="81" t="s">
        <v>243</v>
      </c>
    </row>
    <row r="2" spans="1:11" ht="18.75" customHeight="1" x14ac:dyDescent="0.15">
      <c r="A2" s="230" t="s">
        <v>244</v>
      </c>
      <c r="B2" s="230"/>
      <c r="C2" s="230"/>
      <c r="D2" s="230"/>
      <c r="E2" s="230"/>
      <c r="F2" s="230"/>
      <c r="G2" s="230"/>
      <c r="H2" s="230"/>
      <c r="I2" s="230"/>
      <c r="J2" s="230"/>
    </row>
    <row r="3" spans="1:11" ht="7.5" customHeight="1" x14ac:dyDescent="0.15">
      <c r="B3" s="22"/>
      <c r="C3" s="22"/>
      <c r="D3" s="22"/>
      <c r="E3" s="22"/>
      <c r="F3" s="22"/>
      <c r="G3" s="22"/>
      <c r="H3" s="22"/>
      <c r="I3" s="22"/>
      <c r="J3" s="22"/>
    </row>
    <row r="4" spans="1:11" ht="18.75" customHeight="1" x14ac:dyDescent="0.15">
      <c r="A4" s="11" t="s">
        <v>2</v>
      </c>
      <c r="B4" s="11" t="s">
        <v>245</v>
      </c>
      <c r="I4" s="22"/>
      <c r="J4" s="22"/>
    </row>
    <row r="5" spans="1:11" ht="18.75" customHeight="1" x14ac:dyDescent="0.15">
      <c r="A5" s="11"/>
      <c r="B5" s="130" t="s">
        <v>246</v>
      </c>
      <c r="C5" s="131"/>
      <c r="D5" s="131"/>
      <c r="E5" s="131"/>
      <c r="F5" s="131"/>
      <c r="G5" s="131"/>
      <c r="H5" s="131"/>
      <c r="I5" s="131"/>
      <c r="J5" s="374"/>
      <c r="K5" s="11" t="str">
        <f>IF(B5="","入力してください","")</f>
        <v/>
      </c>
    </row>
    <row r="6" spans="1:11" ht="7.5" customHeight="1" x14ac:dyDescent="0.15">
      <c r="B6" s="22"/>
      <c r="C6" s="22"/>
      <c r="D6" s="22"/>
      <c r="E6" s="22"/>
      <c r="F6" s="22"/>
      <c r="G6" s="22"/>
      <c r="H6" s="22"/>
      <c r="I6" s="22"/>
      <c r="J6" s="22"/>
    </row>
    <row r="7" spans="1:11" ht="18.75" customHeight="1" x14ac:dyDescent="0.15">
      <c r="A7" s="11" t="s">
        <v>5</v>
      </c>
      <c r="B7" s="11" t="s">
        <v>247</v>
      </c>
    </row>
    <row r="8" spans="1:11" ht="18.75" customHeight="1" x14ac:dyDescent="0.15">
      <c r="A8" s="61"/>
      <c r="B8" s="375" t="s">
        <v>248</v>
      </c>
      <c r="C8" s="376"/>
      <c r="D8" s="376"/>
      <c r="E8" s="376"/>
      <c r="F8" s="376"/>
      <c r="G8" s="376"/>
      <c r="H8" s="376"/>
      <c r="I8" s="377"/>
      <c r="J8" s="378"/>
      <c r="K8" s="11" t="str">
        <f>IF(B8="","入力してください","")</f>
        <v/>
      </c>
    </row>
    <row r="9" spans="1:11" ht="18.75" customHeight="1" x14ac:dyDescent="0.15">
      <c r="A9" s="61"/>
      <c r="B9" s="379"/>
      <c r="C9" s="380"/>
      <c r="D9" s="380"/>
      <c r="E9" s="380"/>
      <c r="F9" s="380"/>
      <c r="G9" s="380"/>
      <c r="H9" s="380"/>
      <c r="I9" s="380"/>
      <c r="J9" s="381"/>
    </row>
    <row r="10" spans="1:11" ht="18.75" customHeight="1" x14ac:dyDescent="0.15">
      <c r="A10" s="61"/>
      <c r="B10" s="379"/>
      <c r="C10" s="380"/>
      <c r="D10" s="380"/>
      <c r="E10" s="380"/>
      <c r="F10" s="380"/>
      <c r="G10" s="380"/>
      <c r="H10" s="380"/>
      <c r="I10" s="380"/>
      <c r="J10" s="381"/>
    </row>
    <row r="11" spans="1:11" ht="18.75" customHeight="1" x14ac:dyDescent="0.15">
      <c r="A11" s="61"/>
      <c r="B11" s="379"/>
      <c r="C11" s="380"/>
      <c r="D11" s="380"/>
      <c r="E11" s="380"/>
      <c r="F11" s="380"/>
      <c r="G11" s="380"/>
      <c r="H11" s="380"/>
      <c r="I11" s="380"/>
      <c r="J11" s="381"/>
    </row>
    <row r="12" spans="1:11" ht="18.75" customHeight="1" x14ac:dyDescent="0.15">
      <c r="A12" s="61"/>
      <c r="B12" s="382"/>
      <c r="C12" s="383"/>
      <c r="D12" s="383"/>
      <c r="E12" s="383"/>
      <c r="F12" s="383"/>
      <c r="G12" s="383"/>
      <c r="H12" s="383"/>
      <c r="I12" s="383"/>
      <c r="J12" s="384"/>
    </row>
    <row r="13" spans="1:11" ht="7.5" customHeight="1" x14ac:dyDescent="0.15">
      <c r="A13" s="61"/>
      <c r="B13" s="61"/>
      <c r="C13" s="61"/>
      <c r="D13" s="61"/>
      <c r="E13" s="61"/>
      <c r="F13" s="61"/>
      <c r="G13" s="61"/>
      <c r="H13" s="61"/>
      <c r="I13" s="61"/>
      <c r="J13" s="61"/>
    </row>
    <row r="14" spans="1:11" ht="18.75" customHeight="1" x14ac:dyDescent="0.15">
      <c r="A14" s="82" t="s">
        <v>249</v>
      </c>
      <c r="B14" s="82" t="s">
        <v>250</v>
      </c>
      <c r="C14" s="82"/>
      <c r="D14" s="82"/>
      <c r="E14" s="82"/>
      <c r="F14" s="82"/>
      <c r="G14" s="82"/>
      <c r="H14" s="82"/>
      <c r="I14" s="82"/>
      <c r="J14" s="82"/>
    </row>
    <row r="15" spans="1:11" ht="18.75" customHeight="1" x14ac:dyDescent="0.15">
      <c r="A15" s="61"/>
      <c r="B15" s="375" t="s">
        <v>251</v>
      </c>
      <c r="C15" s="376"/>
      <c r="D15" s="376"/>
      <c r="E15" s="376"/>
      <c r="F15" s="376"/>
      <c r="G15" s="376"/>
      <c r="H15" s="376"/>
      <c r="I15" s="377"/>
      <c r="J15" s="378"/>
      <c r="K15" s="11" t="str">
        <f>IF(B15="","入力してください","")</f>
        <v/>
      </c>
    </row>
    <row r="16" spans="1:11" ht="18.75" customHeight="1" x14ac:dyDescent="0.15">
      <c r="A16" s="61"/>
      <c r="B16" s="379"/>
      <c r="C16" s="380"/>
      <c r="D16" s="380"/>
      <c r="E16" s="380"/>
      <c r="F16" s="380"/>
      <c r="G16" s="380"/>
      <c r="H16" s="380"/>
      <c r="I16" s="380"/>
      <c r="J16" s="381"/>
    </row>
    <row r="17" spans="1:11" ht="18.75" customHeight="1" x14ac:dyDescent="0.15">
      <c r="A17" s="61"/>
      <c r="B17" s="379"/>
      <c r="C17" s="380"/>
      <c r="D17" s="380"/>
      <c r="E17" s="380"/>
      <c r="F17" s="380"/>
      <c r="G17" s="380"/>
      <c r="H17" s="380"/>
      <c r="I17" s="380"/>
      <c r="J17" s="381"/>
    </row>
    <row r="18" spans="1:11" ht="18.75" customHeight="1" x14ac:dyDescent="0.15">
      <c r="A18" s="61"/>
      <c r="B18" s="379"/>
      <c r="C18" s="380"/>
      <c r="D18" s="380"/>
      <c r="E18" s="380"/>
      <c r="F18" s="380"/>
      <c r="G18" s="380"/>
      <c r="H18" s="380"/>
      <c r="I18" s="380"/>
      <c r="J18" s="381"/>
    </row>
    <row r="19" spans="1:11" ht="18.75" customHeight="1" x14ac:dyDescent="0.15">
      <c r="A19" s="61"/>
      <c r="B19" s="379"/>
      <c r="C19" s="380"/>
      <c r="D19" s="380"/>
      <c r="E19" s="380"/>
      <c r="F19" s="380"/>
      <c r="G19" s="380"/>
      <c r="H19" s="380"/>
      <c r="I19" s="380"/>
      <c r="J19" s="381"/>
    </row>
    <row r="20" spans="1:11" ht="18.75" customHeight="1" x14ac:dyDescent="0.15">
      <c r="A20" s="61"/>
      <c r="B20" s="379"/>
      <c r="C20" s="380"/>
      <c r="D20" s="380"/>
      <c r="E20" s="380"/>
      <c r="F20" s="380"/>
      <c r="G20" s="380"/>
      <c r="H20" s="380"/>
      <c r="I20" s="380"/>
      <c r="J20" s="381"/>
    </row>
    <row r="21" spans="1:11" ht="18.75" customHeight="1" x14ac:dyDescent="0.15">
      <c r="A21" s="61"/>
      <c r="B21" s="379"/>
      <c r="C21" s="380"/>
      <c r="D21" s="380"/>
      <c r="E21" s="380"/>
      <c r="F21" s="380"/>
      <c r="G21" s="380"/>
      <c r="H21" s="380"/>
      <c r="I21" s="380"/>
      <c r="J21" s="381"/>
    </row>
    <row r="22" spans="1:11" ht="18.75" customHeight="1" x14ac:dyDescent="0.15">
      <c r="A22" s="61"/>
      <c r="B22" s="379"/>
      <c r="C22" s="380"/>
      <c r="D22" s="380"/>
      <c r="E22" s="380"/>
      <c r="F22" s="380"/>
      <c r="G22" s="380"/>
      <c r="H22" s="380"/>
      <c r="I22" s="380"/>
      <c r="J22" s="381"/>
    </row>
    <row r="23" spans="1:11" ht="18.75" customHeight="1" x14ac:dyDescent="0.15">
      <c r="A23" s="61"/>
      <c r="B23" s="379"/>
      <c r="C23" s="380"/>
      <c r="D23" s="380"/>
      <c r="E23" s="380"/>
      <c r="F23" s="380"/>
      <c r="G23" s="380"/>
      <c r="H23" s="380"/>
      <c r="I23" s="380"/>
      <c r="J23" s="381"/>
    </row>
    <row r="24" spans="1:11" ht="18.75" customHeight="1" x14ac:dyDescent="0.15">
      <c r="A24" s="61"/>
      <c r="B24" s="379"/>
      <c r="C24" s="380"/>
      <c r="D24" s="380"/>
      <c r="E24" s="380"/>
      <c r="F24" s="380"/>
      <c r="G24" s="380"/>
      <c r="H24" s="380"/>
      <c r="I24" s="380"/>
      <c r="J24" s="381"/>
    </row>
    <row r="25" spans="1:11" ht="18.75" customHeight="1" x14ac:dyDescent="0.15">
      <c r="A25" s="61"/>
      <c r="B25" s="382"/>
      <c r="C25" s="383"/>
      <c r="D25" s="383"/>
      <c r="E25" s="383"/>
      <c r="F25" s="383"/>
      <c r="G25" s="383"/>
      <c r="H25" s="383"/>
      <c r="I25" s="383"/>
      <c r="J25" s="384"/>
    </row>
    <row r="26" spans="1:11" ht="7.5" customHeight="1" x14ac:dyDescent="0.15">
      <c r="A26" s="84"/>
      <c r="B26" s="84"/>
      <c r="C26" s="84"/>
      <c r="D26" s="84"/>
      <c r="E26" s="84"/>
      <c r="F26" s="84"/>
      <c r="G26" s="84"/>
      <c r="H26" s="84"/>
      <c r="I26" s="84"/>
      <c r="J26" s="84"/>
    </row>
    <row r="27" spans="1:11" ht="18.75" customHeight="1" x14ac:dyDescent="0.15">
      <c r="A27" s="11" t="s">
        <v>11</v>
      </c>
      <c r="B27" s="11" t="s">
        <v>252</v>
      </c>
    </row>
    <row r="28" spans="1:11" s="22" customFormat="1" ht="18.75" customHeight="1" x14ac:dyDescent="0.15">
      <c r="B28" s="72" t="s">
        <v>253</v>
      </c>
      <c r="C28" s="73">
        <f>'様式３　履修者等数の実績'!R30</f>
        <v>0.91600000000000004</v>
      </c>
      <c r="D28" s="74"/>
      <c r="E28" s="74" t="s">
        <v>254</v>
      </c>
      <c r="F28" s="73">
        <v>0.88</v>
      </c>
      <c r="G28" s="74"/>
      <c r="H28" s="74" t="s">
        <v>255</v>
      </c>
      <c r="I28" s="75">
        <v>0.88</v>
      </c>
      <c r="J28" s="76"/>
      <c r="K28" s="11"/>
    </row>
    <row r="29" spans="1:11" s="22" customFormat="1" ht="18.75" customHeight="1" x14ac:dyDescent="0.15">
      <c r="B29" s="62" t="s">
        <v>256</v>
      </c>
      <c r="C29" s="77">
        <v>0.88</v>
      </c>
      <c r="D29" s="63"/>
      <c r="E29" s="63" t="s">
        <v>257</v>
      </c>
      <c r="F29" s="77">
        <v>0.88</v>
      </c>
      <c r="G29" s="63"/>
      <c r="H29" s="63" t="s">
        <v>258</v>
      </c>
      <c r="I29" s="78">
        <f>'様式３　履修者等数の実績'!D30</f>
        <v>1000</v>
      </c>
      <c r="J29" s="79"/>
      <c r="K29" s="11"/>
    </row>
    <row r="30" spans="1:11" ht="18.75" customHeight="1" x14ac:dyDescent="0.15">
      <c r="A30" s="11"/>
      <c r="B30" s="192" t="s">
        <v>259</v>
      </c>
      <c r="C30" s="193"/>
      <c r="D30" s="193"/>
      <c r="E30" s="193"/>
      <c r="F30" s="193"/>
      <c r="G30" s="193"/>
      <c r="H30" s="193"/>
      <c r="I30" s="193"/>
      <c r="J30" s="194"/>
    </row>
    <row r="31" spans="1:11" ht="18.75" customHeight="1" x14ac:dyDescent="0.15">
      <c r="A31" s="11"/>
      <c r="B31" s="365" t="s">
        <v>260</v>
      </c>
      <c r="C31" s="366"/>
      <c r="D31" s="366"/>
      <c r="E31" s="366"/>
      <c r="F31" s="366"/>
      <c r="G31" s="366"/>
      <c r="H31" s="366"/>
      <c r="I31" s="366"/>
      <c r="J31" s="367"/>
      <c r="K31" s="11" t="str">
        <f>IF(B31="","入力してください","")</f>
        <v/>
      </c>
    </row>
    <row r="32" spans="1:11" ht="18.75" customHeight="1" x14ac:dyDescent="0.15">
      <c r="A32" s="11"/>
      <c r="B32" s="368"/>
      <c r="C32" s="369"/>
      <c r="D32" s="369"/>
      <c r="E32" s="369"/>
      <c r="F32" s="369"/>
      <c r="G32" s="369"/>
      <c r="H32" s="369"/>
      <c r="I32" s="369"/>
      <c r="J32" s="370"/>
    </row>
    <row r="33" spans="1:11" ht="18.75" customHeight="1" x14ac:dyDescent="0.15">
      <c r="A33" s="11"/>
      <c r="B33" s="368"/>
      <c r="C33" s="369"/>
      <c r="D33" s="369"/>
      <c r="E33" s="369"/>
      <c r="F33" s="369"/>
      <c r="G33" s="369"/>
      <c r="H33" s="369"/>
      <c r="I33" s="369"/>
      <c r="J33" s="370"/>
    </row>
    <row r="34" spans="1:11" ht="18.75" customHeight="1" x14ac:dyDescent="0.15">
      <c r="A34" s="11"/>
      <c r="B34" s="368"/>
      <c r="C34" s="369"/>
      <c r="D34" s="369"/>
      <c r="E34" s="369"/>
      <c r="F34" s="369"/>
      <c r="G34" s="369"/>
      <c r="H34" s="369"/>
      <c r="I34" s="369"/>
      <c r="J34" s="370"/>
    </row>
    <row r="35" spans="1:11" ht="18.75" customHeight="1" x14ac:dyDescent="0.15">
      <c r="A35" s="11"/>
      <c r="B35" s="368"/>
      <c r="C35" s="369"/>
      <c r="D35" s="369"/>
      <c r="E35" s="369"/>
      <c r="F35" s="369"/>
      <c r="G35" s="369"/>
      <c r="H35" s="369"/>
      <c r="I35" s="369"/>
      <c r="J35" s="370"/>
    </row>
    <row r="36" spans="1:11" ht="18.75" customHeight="1" x14ac:dyDescent="0.15">
      <c r="A36" s="11"/>
      <c r="B36" s="368"/>
      <c r="C36" s="369"/>
      <c r="D36" s="369"/>
      <c r="E36" s="369"/>
      <c r="F36" s="369"/>
      <c r="G36" s="369"/>
      <c r="H36" s="369"/>
      <c r="I36" s="369"/>
      <c r="J36" s="370"/>
    </row>
    <row r="37" spans="1:11" ht="18.75" customHeight="1" x14ac:dyDescent="0.15">
      <c r="A37" s="11"/>
      <c r="B37" s="368"/>
      <c r="C37" s="369"/>
      <c r="D37" s="369"/>
      <c r="E37" s="369"/>
      <c r="F37" s="369"/>
      <c r="G37" s="369"/>
      <c r="H37" s="369"/>
      <c r="I37" s="369"/>
      <c r="J37" s="370"/>
    </row>
    <row r="38" spans="1:11" ht="18.75" customHeight="1" x14ac:dyDescent="0.15">
      <c r="A38" s="11"/>
      <c r="B38" s="368"/>
      <c r="C38" s="369"/>
      <c r="D38" s="369"/>
      <c r="E38" s="369"/>
      <c r="F38" s="369"/>
      <c r="G38" s="369"/>
      <c r="H38" s="369"/>
      <c r="I38" s="369"/>
      <c r="J38" s="370"/>
    </row>
    <row r="39" spans="1:11" ht="18.75" customHeight="1" x14ac:dyDescent="0.15">
      <c r="A39" s="11"/>
      <c r="B39" s="368"/>
      <c r="C39" s="369"/>
      <c r="D39" s="369"/>
      <c r="E39" s="369"/>
      <c r="F39" s="369"/>
      <c r="G39" s="369"/>
      <c r="H39" s="369"/>
      <c r="I39" s="369"/>
      <c r="J39" s="370"/>
    </row>
    <row r="40" spans="1:11" ht="18.75" customHeight="1" x14ac:dyDescent="0.15">
      <c r="A40" s="11"/>
      <c r="B40" s="368"/>
      <c r="C40" s="369"/>
      <c r="D40" s="369"/>
      <c r="E40" s="369"/>
      <c r="F40" s="369"/>
      <c r="G40" s="369"/>
      <c r="H40" s="369"/>
      <c r="I40" s="369"/>
      <c r="J40" s="370"/>
    </row>
    <row r="41" spans="1:11" ht="18.75" customHeight="1" x14ac:dyDescent="0.15">
      <c r="A41" s="11"/>
      <c r="B41" s="368"/>
      <c r="C41" s="369"/>
      <c r="D41" s="369"/>
      <c r="E41" s="369"/>
      <c r="F41" s="369"/>
      <c r="G41" s="369"/>
      <c r="H41" s="369"/>
      <c r="I41" s="369"/>
      <c r="J41" s="370"/>
    </row>
    <row r="42" spans="1:11" ht="18.75" customHeight="1" x14ac:dyDescent="0.15">
      <c r="A42" s="11"/>
      <c r="B42" s="368"/>
      <c r="C42" s="369"/>
      <c r="D42" s="369"/>
      <c r="E42" s="369"/>
      <c r="F42" s="369"/>
      <c r="G42" s="369"/>
      <c r="H42" s="369"/>
      <c r="I42" s="369"/>
      <c r="J42" s="370"/>
    </row>
    <row r="43" spans="1:11" ht="18.75" customHeight="1" x14ac:dyDescent="0.15">
      <c r="A43" s="84"/>
      <c r="B43" s="368"/>
      <c r="C43" s="369"/>
      <c r="D43" s="369"/>
      <c r="E43" s="369"/>
      <c r="F43" s="369"/>
      <c r="G43" s="369"/>
      <c r="H43" s="369"/>
      <c r="I43" s="369"/>
      <c r="J43" s="370"/>
    </row>
    <row r="44" spans="1:11" ht="18.75" customHeight="1" x14ac:dyDescent="0.15">
      <c r="A44" s="84"/>
      <c r="B44" s="371"/>
      <c r="C44" s="372"/>
      <c r="D44" s="372"/>
      <c r="E44" s="372"/>
      <c r="F44" s="372"/>
      <c r="G44" s="372"/>
      <c r="H44" s="372"/>
      <c r="I44" s="372"/>
      <c r="J44" s="373"/>
    </row>
    <row r="45" spans="1:11" ht="18.75" customHeight="1" x14ac:dyDescent="0.15">
      <c r="A45" s="82" t="s">
        <v>14</v>
      </c>
      <c r="B45" s="11" t="s">
        <v>261</v>
      </c>
      <c r="I45" s="82"/>
      <c r="J45" s="82"/>
    </row>
    <row r="46" spans="1:11" ht="18.75" customHeight="1" x14ac:dyDescent="0.15">
      <c r="A46" s="84"/>
      <c r="B46" s="375" t="s">
        <v>262</v>
      </c>
      <c r="C46" s="376"/>
      <c r="D46" s="376"/>
      <c r="E46" s="376"/>
      <c r="F46" s="376"/>
      <c r="G46" s="376"/>
      <c r="H46" s="376"/>
      <c r="I46" s="376"/>
      <c r="J46" s="385"/>
      <c r="K46" s="11" t="str">
        <f>IF(B46="","入力してください","")</f>
        <v/>
      </c>
    </row>
    <row r="47" spans="1:11" ht="18.75" customHeight="1" x14ac:dyDescent="0.15">
      <c r="A47" s="84"/>
      <c r="B47" s="368"/>
      <c r="C47" s="369"/>
      <c r="D47" s="369"/>
      <c r="E47" s="369"/>
      <c r="F47" s="369"/>
      <c r="G47" s="369"/>
      <c r="H47" s="369"/>
      <c r="I47" s="369"/>
      <c r="J47" s="370"/>
    </row>
    <row r="48" spans="1:11" ht="18.75" customHeight="1" x14ac:dyDescent="0.15">
      <c r="A48" s="84"/>
      <c r="B48" s="368"/>
      <c r="C48" s="369"/>
      <c r="D48" s="369"/>
      <c r="E48" s="369"/>
      <c r="F48" s="369"/>
      <c r="G48" s="369"/>
      <c r="H48" s="369"/>
      <c r="I48" s="369"/>
      <c r="J48" s="370"/>
    </row>
    <row r="49" spans="1:10" ht="18.75" customHeight="1" x14ac:dyDescent="0.15">
      <c r="A49" s="84"/>
      <c r="B49" s="368"/>
      <c r="C49" s="369"/>
      <c r="D49" s="369"/>
      <c r="E49" s="369"/>
      <c r="F49" s="369"/>
      <c r="G49" s="369"/>
      <c r="H49" s="369"/>
      <c r="I49" s="369"/>
      <c r="J49" s="370"/>
    </row>
    <row r="50" spans="1:10" ht="18.75" customHeight="1" x14ac:dyDescent="0.15">
      <c r="A50" s="84"/>
      <c r="B50" s="368"/>
      <c r="C50" s="369"/>
      <c r="D50" s="369"/>
      <c r="E50" s="369"/>
      <c r="F50" s="369"/>
      <c r="G50" s="369"/>
      <c r="H50" s="369"/>
      <c r="I50" s="369"/>
      <c r="J50" s="370"/>
    </row>
    <row r="51" spans="1:10" ht="18.75" customHeight="1" x14ac:dyDescent="0.15">
      <c r="A51" s="84"/>
      <c r="B51" s="368"/>
      <c r="C51" s="369"/>
      <c r="D51" s="369"/>
      <c r="E51" s="369"/>
      <c r="F51" s="369"/>
      <c r="G51" s="369"/>
      <c r="H51" s="369"/>
      <c r="I51" s="369"/>
      <c r="J51" s="370"/>
    </row>
    <row r="52" spans="1:10" ht="18.75" customHeight="1" x14ac:dyDescent="0.15">
      <c r="A52" s="84"/>
      <c r="B52" s="368"/>
      <c r="C52" s="369"/>
      <c r="D52" s="369"/>
      <c r="E52" s="369"/>
      <c r="F52" s="369"/>
      <c r="G52" s="369"/>
      <c r="H52" s="369"/>
      <c r="I52" s="369"/>
      <c r="J52" s="370"/>
    </row>
    <row r="53" spans="1:10" ht="18.75" customHeight="1" x14ac:dyDescent="0.15">
      <c r="A53" s="84"/>
      <c r="B53" s="368"/>
      <c r="C53" s="369"/>
      <c r="D53" s="369"/>
      <c r="E53" s="369"/>
      <c r="F53" s="369"/>
      <c r="G53" s="369"/>
      <c r="H53" s="369"/>
      <c r="I53" s="369"/>
      <c r="J53" s="370"/>
    </row>
    <row r="54" spans="1:10" ht="18.75" customHeight="1" x14ac:dyDescent="0.15">
      <c r="A54" s="84"/>
      <c r="B54" s="368"/>
      <c r="C54" s="369"/>
      <c r="D54" s="369"/>
      <c r="E54" s="369"/>
      <c r="F54" s="369"/>
      <c r="G54" s="369"/>
      <c r="H54" s="369"/>
      <c r="I54" s="369"/>
      <c r="J54" s="370"/>
    </row>
    <row r="55" spans="1:10" ht="18.75" customHeight="1" x14ac:dyDescent="0.15">
      <c r="A55" s="84"/>
      <c r="B55" s="368"/>
      <c r="C55" s="369"/>
      <c r="D55" s="369"/>
      <c r="E55" s="369"/>
      <c r="F55" s="369"/>
      <c r="G55" s="369"/>
      <c r="H55" s="369"/>
      <c r="I55" s="369"/>
      <c r="J55" s="370"/>
    </row>
    <row r="56" spans="1:10" ht="18.75" customHeight="1" x14ac:dyDescent="0.15">
      <c r="A56" s="84"/>
      <c r="B56" s="368"/>
      <c r="C56" s="369"/>
      <c r="D56" s="369"/>
      <c r="E56" s="369"/>
      <c r="F56" s="369"/>
      <c r="G56" s="369"/>
      <c r="H56" s="369"/>
      <c r="I56" s="369"/>
      <c r="J56" s="370"/>
    </row>
    <row r="57" spans="1:10" ht="18.75" customHeight="1" x14ac:dyDescent="0.15">
      <c r="A57" s="84"/>
      <c r="B57" s="368"/>
      <c r="C57" s="369"/>
      <c r="D57" s="369"/>
      <c r="E57" s="369"/>
      <c r="F57" s="369"/>
      <c r="G57" s="369"/>
      <c r="H57" s="369"/>
      <c r="I57" s="369"/>
      <c r="J57" s="370"/>
    </row>
    <row r="58" spans="1:10" ht="18.75" customHeight="1" x14ac:dyDescent="0.15">
      <c r="A58" s="84"/>
      <c r="B58" s="368"/>
      <c r="C58" s="369"/>
      <c r="D58" s="369"/>
      <c r="E58" s="369"/>
      <c r="F58" s="369"/>
      <c r="G58" s="369"/>
      <c r="H58" s="369"/>
      <c r="I58" s="369"/>
      <c r="J58" s="370"/>
    </row>
    <row r="59" spans="1:10" ht="18.75" customHeight="1" x14ac:dyDescent="0.15">
      <c r="A59" s="84"/>
      <c r="B59" s="368"/>
      <c r="C59" s="369"/>
      <c r="D59" s="369"/>
      <c r="E59" s="369"/>
      <c r="F59" s="369"/>
      <c r="G59" s="369"/>
      <c r="H59" s="369"/>
      <c r="I59" s="369"/>
      <c r="J59" s="370"/>
    </row>
    <row r="60" spans="1:10" ht="18.75" customHeight="1" x14ac:dyDescent="0.15">
      <c r="A60" s="84"/>
      <c r="B60" s="368"/>
      <c r="C60" s="369"/>
      <c r="D60" s="369"/>
      <c r="E60" s="369"/>
      <c r="F60" s="369"/>
      <c r="G60" s="369"/>
      <c r="H60" s="369"/>
      <c r="I60" s="369"/>
      <c r="J60" s="370"/>
    </row>
    <row r="61" spans="1:10" ht="18.75" customHeight="1" x14ac:dyDescent="0.15">
      <c r="A61" s="84"/>
      <c r="B61" s="368"/>
      <c r="C61" s="369"/>
      <c r="D61" s="369"/>
      <c r="E61" s="369"/>
      <c r="F61" s="369"/>
      <c r="G61" s="369"/>
      <c r="H61" s="369"/>
      <c r="I61" s="369"/>
      <c r="J61" s="370"/>
    </row>
    <row r="62" spans="1:10" ht="18.75" customHeight="1" x14ac:dyDescent="0.15">
      <c r="A62" s="84"/>
      <c r="B62" s="368"/>
      <c r="C62" s="369"/>
      <c r="D62" s="369"/>
      <c r="E62" s="369"/>
      <c r="F62" s="369"/>
      <c r="G62" s="369"/>
      <c r="H62" s="369"/>
      <c r="I62" s="369"/>
      <c r="J62" s="370"/>
    </row>
    <row r="63" spans="1:10" ht="18.75" customHeight="1" x14ac:dyDescent="0.15">
      <c r="A63" s="84"/>
      <c r="B63" s="368"/>
      <c r="C63" s="369"/>
      <c r="D63" s="369"/>
      <c r="E63" s="369"/>
      <c r="F63" s="369"/>
      <c r="G63" s="369"/>
      <c r="H63" s="369"/>
      <c r="I63" s="369"/>
      <c r="J63" s="370"/>
    </row>
    <row r="64" spans="1:10" ht="18.75" customHeight="1" x14ac:dyDescent="0.15">
      <c r="A64" s="84"/>
      <c r="B64" s="368"/>
      <c r="C64" s="369"/>
      <c r="D64" s="369"/>
      <c r="E64" s="369"/>
      <c r="F64" s="369"/>
      <c r="G64" s="369"/>
      <c r="H64" s="369"/>
      <c r="I64" s="369"/>
      <c r="J64" s="370"/>
    </row>
    <row r="65" spans="1:11" ht="18.75" customHeight="1" x14ac:dyDescent="0.15">
      <c r="A65" s="84"/>
      <c r="B65" s="368"/>
      <c r="C65" s="369"/>
      <c r="D65" s="369"/>
      <c r="E65" s="369"/>
      <c r="F65" s="369"/>
      <c r="G65" s="369"/>
      <c r="H65" s="369"/>
      <c r="I65" s="369"/>
      <c r="J65" s="370"/>
    </row>
    <row r="66" spans="1:11" ht="18.75" customHeight="1" x14ac:dyDescent="0.15">
      <c r="A66" s="84"/>
      <c r="B66" s="371"/>
      <c r="C66" s="372"/>
      <c r="D66" s="372"/>
      <c r="E66" s="372"/>
      <c r="F66" s="372"/>
      <c r="G66" s="372"/>
      <c r="H66" s="372"/>
      <c r="I66" s="372"/>
      <c r="J66" s="373"/>
    </row>
    <row r="67" spans="1:11" ht="7.5" customHeight="1" x14ac:dyDescent="0.15">
      <c r="A67" s="84"/>
      <c r="B67" s="84"/>
      <c r="C67" s="84"/>
      <c r="D67" s="84"/>
      <c r="E67" s="84"/>
      <c r="F67" s="84"/>
      <c r="G67" s="84"/>
      <c r="H67" s="84"/>
      <c r="I67" s="84"/>
      <c r="J67" s="84"/>
    </row>
    <row r="68" spans="1:11" ht="18.75" customHeight="1" x14ac:dyDescent="0.15">
      <c r="A68" s="11" t="s">
        <v>17</v>
      </c>
      <c r="B68" s="11" t="s">
        <v>263</v>
      </c>
    </row>
    <row r="69" spans="1:11" ht="18.75" customHeight="1" x14ac:dyDescent="0.15">
      <c r="A69" s="11"/>
      <c r="B69" s="375" t="s">
        <v>262</v>
      </c>
      <c r="C69" s="376"/>
      <c r="D69" s="376"/>
      <c r="E69" s="376"/>
      <c r="F69" s="376"/>
      <c r="G69" s="376"/>
      <c r="H69" s="376"/>
      <c r="I69" s="377"/>
      <c r="J69" s="378"/>
      <c r="K69" s="11" t="str">
        <f>IF(B69="","入力してください","")</f>
        <v/>
      </c>
    </row>
    <row r="70" spans="1:11" ht="18.75" customHeight="1" x14ac:dyDescent="0.15">
      <c r="A70" s="11"/>
      <c r="B70" s="379"/>
      <c r="C70" s="380"/>
      <c r="D70" s="380"/>
      <c r="E70" s="380"/>
      <c r="F70" s="380"/>
      <c r="G70" s="380"/>
      <c r="H70" s="380"/>
      <c r="I70" s="380"/>
      <c r="J70" s="381"/>
    </row>
    <row r="71" spans="1:11" ht="18.75" customHeight="1" x14ac:dyDescent="0.15">
      <c r="A71" s="11"/>
      <c r="B71" s="379"/>
      <c r="C71" s="380"/>
      <c r="D71" s="380"/>
      <c r="E71" s="380"/>
      <c r="F71" s="380"/>
      <c r="G71" s="380"/>
      <c r="H71" s="380"/>
      <c r="I71" s="380"/>
      <c r="J71" s="381"/>
    </row>
    <row r="72" spans="1:11" ht="18.75" customHeight="1" x14ac:dyDescent="0.15">
      <c r="A72" s="11"/>
      <c r="B72" s="379"/>
      <c r="C72" s="380"/>
      <c r="D72" s="380"/>
      <c r="E72" s="380"/>
      <c r="F72" s="380"/>
      <c r="G72" s="380"/>
      <c r="H72" s="380"/>
      <c r="I72" s="380"/>
      <c r="J72" s="381"/>
    </row>
    <row r="73" spans="1:11" ht="18.75" customHeight="1" x14ac:dyDescent="0.15">
      <c r="A73" s="11"/>
      <c r="B73" s="379"/>
      <c r="C73" s="380"/>
      <c r="D73" s="380"/>
      <c r="E73" s="380"/>
      <c r="F73" s="380"/>
      <c r="G73" s="380"/>
      <c r="H73" s="380"/>
      <c r="I73" s="380"/>
      <c r="J73" s="381"/>
    </row>
    <row r="74" spans="1:11" ht="18.75" customHeight="1" x14ac:dyDescent="0.15">
      <c r="A74" s="11"/>
      <c r="B74" s="379"/>
      <c r="C74" s="380"/>
      <c r="D74" s="380"/>
      <c r="E74" s="380"/>
      <c r="F74" s="380"/>
      <c r="G74" s="380"/>
      <c r="H74" s="380"/>
      <c r="I74" s="380"/>
      <c r="J74" s="381"/>
    </row>
    <row r="75" spans="1:11" ht="18.75" customHeight="1" x14ac:dyDescent="0.15">
      <c r="A75" s="11"/>
      <c r="B75" s="379"/>
      <c r="C75" s="380"/>
      <c r="D75" s="380"/>
      <c r="E75" s="380"/>
      <c r="F75" s="380"/>
      <c r="G75" s="380"/>
      <c r="H75" s="380"/>
      <c r="I75" s="380"/>
      <c r="J75" s="381"/>
    </row>
    <row r="76" spans="1:11" ht="18.75" customHeight="1" x14ac:dyDescent="0.15">
      <c r="A76" s="11"/>
      <c r="B76" s="379"/>
      <c r="C76" s="380"/>
      <c r="D76" s="380"/>
      <c r="E76" s="380"/>
      <c r="F76" s="380"/>
      <c r="G76" s="380"/>
      <c r="H76" s="380"/>
      <c r="I76" s="380"/>
      <c r="J76" s="381"/>
    </row>
    <row r="77" spans="1:11" ht="18.75" customHeight="1" x14ac:dyDescent="0.15">
      <c r="A77" s="11"/>
      <c r="B77" s="379"/>
      <c r="C77" s="380"/>
      <c r="D77" s="380"/>
      <c r="E77" s="380"/>
      <c r="F77" s="380"/>
      <c r="G77" s="380"/>
      <c r="H77" s="380"/>
      <c r="I77" s="380"/>
      <c r="J77" s="381"/>
    </row>
    <row r="78" spans="1:11" ht="18.75" customHeight="1" x14ac:dyDescent="0.15">
      <c r="A78" s="11"/>
      <c r="B78" s="379"/>
      <c r="C78" s="380"/>
      <c r="D78" s="380"/>
      <c r="E78" s="380"/>
      <c r="F78" s="380"/>
      <c r="G78" s="380"/>
      <c r="H78" s="380"/>
      <c r="I78" s="380"/>
      <c r="J78" s="381"/>
    </row>
    <row r="79" spans="1:11" ht="18.75" customHeight="1" x14ac:dyDescent="0.15">
      <c r="A79" s="11"/>
      <c r="B79" s="379"/>
      <c r="C79" s="380"/>
      <c r="D79" s="380"/>
      <c r="E79" s="380"/>
      <c r="F79" s="380"/>
      <c r="G79" s="380"/>
      <c r="H79" s="380"/>
      <c r="I79" s="380"/>
      <c r="J79" s="381"/>
    </row>
    <row r="80" spans="1:11" ht="18.75" customHeight="1" x14ac:dyDescent="0.15">
      <c r="A80" s="11"/>
      <c r="B80" s="379"/>
      <c r="C80" s="380"/>
      <c r="D80" s="380"/>
      <c r="E80" s="380"/>
      <c r="F80" s="380"/>
      <c r="G80" s="380"/>
      <c r="H80" s="380"/>
      <c r="I80" s="380"/>
      <c r="J80" s="381"/>
    </row>
    <row r="81" spans="1:11" ht="18.75" customHeight="1" x14ac:dyDescent="0.15">
      <c r="A81" s="11"/>
      <c r="B81" s="379"/>
      <c r="C81" s="380"/>
      <c r="D81" s="380"/>
      <c r="E81" s="380"/>
      <c r="F81" s="380"/>
      <c r="G81" s="380"/>
      <c r="H81" s="380"/>
      <c r="I81" s="380"/>
      <c r="J81" s="381"/>
    </row>
    <row r="82" spans="1:11" ht="18.75" customHeight="1" x14ac:dyDescent="0.15">
      <c r="A82" s="11"/>
      <c r="B82" s="379"/>
      <c r="C82" s="380"/>
      <c r="D82" s="380"/>
      <c r="E82" s="380"/>
      <c r="F82" s="380"/>
      <c r="G82" s="380"/>
      <c r="H82" s="380"/>
      <c r="I82" s="380"/>
      <c r="J82" s="381"/>
    </row>
    <row r="83" spans="1:11" ht="18.75" customHeight="1" x14ac:dyDescent="0.15">
      <c r="A83" s="11"/>
      <c r="B83" s="379"/>
      <c r="C83" s="380"/>
      <c r="D83" s="380"/>
      <c r="E83" s="380"/>
      <c r="F83" s="380"/>
      <c r="G83" s="380"/>
      <c r="H83" s="380"/>
      <c r="I83" s="380"/>
      <c r="J83" s="381"/>
    </row>
    <row r="84" spans="1:11" ht="18.75" customHeight="1" x14ac:dyDescent="0.15">
      <c r="A84" s="11"/>
      <c r="B84" s="379"/>
      <c r="C84" s="380"/>
      <c r="D84" s="380"/>
      <c r="E84" s="380"/>
      <c r="F84" s="380"/>
      <c r="G84" s="380"/>
      <c r="H84" s="380"/>
      <c r="I84" s="380"/>
      <c r="J84" s="381"/>
    </row>
    <row r="85" spans="1:11" ht="18.75" customHeight="1" x14ac:dyDescent="0.15">
      <c r="A85" s="84"/>
      <c r="B85" s="379"/>
      <c r="C85" s="380"/>
      <c r="D85" s="380"/>
      <c r="E85" s="380"/>
      <c r="F85" s="380"/>
      <c r="G85" s="380"/>
      <c r="H85" s="380"/>
      <c r="I85" s="380"/>
      <c r="J85" s="381"/>
    </row>
    <row r="86" spans="1:11" ht="18.75" customHeight="1" x14ac:dyDescent="0.15">
      <c r="A86" s="84"/>
      <c r="B86" s="382"/>
      <c r="C86" s="383"/>
      <c r="D86" s="383"/>
      <c r="E86" s="383"/>
      <c r="F86" s="383"/>
      <c r="G86" s="383"/>
      <c r="H86" s="383"/>
      <c r="I86" s="383"/>
      <c r="J86" s="384"/>
    </row>
    <row r="87" spans="1:11" ht="7.5" customHeight="1" x14ac:dyDescent="0.15">
      <c r="A87" s="84"/>
      <c r="B87" s="84"/>
      <c r="C87" s="84"/>
      <c r="D87" s="84"/>
      <c r="E87" s="84"/>
      <c r="F87" s="84"/>
      <c r="G87" s="84"/>
      <c r="H87" s="84"/>
      <c r="I87" s="84"/>
      <c r="J87" s="84"/>
    </row>
    <row r="88" spans="1:11" ht="18.75" customHeight="1" x14ac:dyDescent="0.15">
      <c r="A88" s="11" t="s">
        <v>264</v>
      </c>
      <c r="B88" s="11" t="s">
        <v>265</v>
      </c>
    </row>
    <row r="89" spans="1:11" ht="18.75" customHeight="1" x14ac:dyDescent="0.15">
      <c r="A89" s="11"/>
      <c r="B89" s="375" t="s">
        <v>266</v>
      </c>
      <c r="C89" s="376"/>
      <c r="D89" s="376"/>
      <c r="E89" s="376"/>
      <c r="F89" s="376"/>
      <c r="G89" s="376"/>
      <c r="H89" s="376"/>
      <c r="I89" s="377"/>
      <c r="J89" s="378"/>
    </row>
    <row r="90" spans="1:11" ht="18.75" customHeight="1" x14ac:dyDescent="0.15">
      <c r="A90" s="11"/>
      <c r="B90" s="379"/>
      <c r="C90" s="380"/>
      <c r="D90" s="380"/>
      <c r="E90" s="380"/>
      <c r="F90" s="380"/>
      <c r="G90" s="380"/>
      <c r="H90" s="380"/>
      <c r="I90" s="380"/>
      <c r="J90" s="381"/>
    </row>
    <row r="91" spans="1:11" ht="18.75" customHeight="1" x14ac:dyDescent="0.15">
      <c r="A91" s="11"/>
      <c r="B91" s="379"/>
      <c r="C91" s="380"/>
      <c r="D91" s="380"/>
      <c r="E91" s="380"/>
      <c r="F91" s="380"/>
      <c r="G91" s="380"/>
      <c r="H91" s="380"/>
      <c r="I91" s="380"/>
      <c r="J91" s="381"/>
      <c r="K91" s="11" t="str">
        <f>IF(B89="","入力してください","")</f>
        <v/>
      </c>
    </row>
    <row r="92" spans="1:11" ht="18.75" customHeight="1" x14ac:dyDescent="0.15">
      <c r="A92" s="11"/>
      <c r="B92" s="379"/>
      <c r="C92" s="380"/>
      <c r="D92" s="380"/>
      <c r="E92" s="380"/>
      <c r="F92" s="380"/>
      <c r="G92" s="380"/>
      <c r="H92" s="380"/>
      <c r="I92" s="380"/>
      <c r="J92" s="381"/>
    </row>
    <row r="93" spans="1:11" ht="18.75" customHeight="1" x14ac:dyDescent="0.15">
      <c r="A93" s="11"/>
      <c r="B93" s="379"/>
      <c r="C93" s="380"/>
      <c r="D93" s="380"/>
      <c r="E93" s="380"/>
      <c r="F93" s="380"/>
      <c r="G93" s="380"/>
      <c r="H93" s="380"/>
      <c r="I93" s="380"/>
      <c r="J93" s="381"/>
    </row>
    <row r="94" spans="1:11" ht="18.75" customHeight="1" x14ac:dyDescent="0.15">
      <c r="A94" s="11"/>
      <c r="B94" s="379"/>
      <c r="C94" s="380"/>
      <c r="D94" s="380"/>
      <c r="E94" s="380"/>
      <c r="F94" s="380"/>
      <c r="G94" s="380"/>
      <c r="H94" s="380"/>
      <c r="I94" s="380"/>
      <c r="J94" s="381"/>
    </row>
    <row r="95" spans="1:11" ht="18.75" customHeight="1" x14ac:dyDescent="0.15">
      <c r="A95" s="11"/>
      <c r="B95" s="379"/>
      <c r="C95" s="380"/>
      <c r="D95" s="380"/>
      <c r="E95" s="380"/>
      <c r="F95" s="380"/>
      <c r="G95" s="380"/>
      <c r="H95" s="380"/>
      <c r="I95" s="380"/>
      <c r="J95" s="381"/>
    </row>
    <row r="96" spans="1:11" ht="18.75" customHeight="1" x14ac:dyDescent="0.15">
      <c r="A96" s="11"/>
      <c r="B96" s="379"/>
      <c r="C96" s="380"/>
      <c r="D96" s="380"/>
      <c r="E96" s="380"/>
      <c r="F96" s="380"/>
      <c r="G96" s="380"/>
      <c r="H96" s="380"/>
      <c r="I96" s="380"/>
      <c r="J96" s="381"/>
    </row>
    <row r="97" spans="1:10" ht="18.75" customHeight="1" x14ac:dyDescent="0.15">
      <c r="A97" s="11"/>
      <c r="B97" s="379"/>
      <c r="C97" s="380"/>
      <c r="D97" s="380"/>
      <c r="E97" s="380"/>
      <c r="F97" s="380"/>
      <c r="G97" s="380"/>
      <c r="H97" s="380"/>
      <c r="I97" s="380"/>
      <c r="J97" s="381"/>
    </row>
    <row r="98" spans="1:10" ht="18.75" customHeight="1" x14ac:dyDescent="0.15">
      <c r="A98" s="11"/>
      <c r="B98" s="379"/>
      <c r="C98" s="380"/>
      <c r="D98" s="380"/>
      <c r="E98" s="380"/>
      <c r="F98" s="380"/>
      <c r="G98" s="380"/>
      <c r="H98" s="380"/>
      <c r="I98" s="380"/>
      <c r="J98" s="381"/>
    </row>
    <row r="99" spans="1:10" ht="18.75" customHeight="1" x14ac:dyDescent="0.15">
      <c r="A99" s="11"/>
      <c r="B99" s="379"/>
      <c r="C99" s="380"/>
      <c r="D99" s="380"/>
      <c r="E99" s="380"/>
      <c r="F99" s="380"/>
      <c r="G99" s="380"/>
      <c r="H99" s="380"/>
      <c r="I99" s="380"/>
      <c r="J99" s="381"/>
    </row>
    <row r="100" spans="1:10" ht="18.75" customHeight="1" x14ac:dyDescent="0.15">
      <c r="A100" s="11"/>
      <c r="B100" s="379"/>
      <c r="C100" s="380"/>
      <c r="D100" s="380"/>
      <c r="E100" s="380"/>
      <c r="F100" s="380"/>
      <c r="G100" s="380"/>
      <c r="H100" s="380"/>
      <c r="I100" s="380"/>
      <c r="J100" s="381"/>
    </row>
    <row r="101" spans="1:10" ht="18.75" customHeight="1" x14ac:dyDescent="0.15">
      <c r="A101" s="11"/>
      <c r="B101" s="379"/>
      <c r="C101" s="380"/>
      <c r="D101" s="380"/>
      <c r="E101" s="380"/>
      <c r="F101" s="380"/>
      <c r="G101" s="380"/>
      <c r="H101" s="380"/>
      <c r="I101" s="380"/>
      <c r="J101" s="381"/>
    </row>
    <row r="102" spans="1:10" ht="18.75" customHeight="1" x14ac:dyDescent="0.15">
      <c r="A102" s="11"/>
      <c r="B102" s="379"/>
      <c r="C102" s="380"/>
      <c r="D102" s="380"/>
      <c r="E102" s="380"/>
      <c r="F102" s="380"/>
      <c r="G102" s="380"/>
      <c r="H102" s="380"/>
      <c r="I102" s="380"/>
      <c r="J102" s="381"/>
    </row>
    <row r="103" spans="1:10" ht="18.75" customHeight="1" x14ac:dyDescent="0.15">
      <c r="A103" s="11"/>
      <c r="B103" s="379"/>
      <c r="C103" s="380"/>
      <c r="D103" s="380"/>
      <c r="E103" s="380"/>
      <c r="F103" s="380"/>
      <c r="G103" s="380"/>
      <c r="H103" s="380"/>
      <c r="I103" s="380"/>
      <c r="J103" s="381"/>
    </row>
    <row r="104" spans="1:10" ht="18.75" customHeight="1" x14ac:dyDescent="0.15">
      <c r="A104" s="11"/>
      <c r="B104" s="379"/>
      <c r="C104" s="380"/>
      <c r="D104" s="380"/>
      <c r="E104" s="380"/>
      <c r="F104" s="380"/>
      <c r="G104" s="380"/>
      <c r="H104" s="380"/>
      <c r="I104" s="380"/>
      <c r="J104" s="381"/>
    </row>
    <row r="105" spans="1:10" ht="18.75" customHeight="1" x14ac:dyDescent="0.15">
      <c r="A105" s="11"/>
      <c r="B105" s="379"/>
      <c r="C105" s="380"/>
      <c r="D105" s="380"/>
      <c r="E105" s="380"/>
      <c r="F105" s="380"/>
      <c r="G105" s="380"/>
      <c r="H105" s="380"/>
      <c r="I105" s="380"/>
      <c r="J105" s="381"/>
    </row>
    <row r="106" spans="1:10" ht="18.75" customHeight="1" x14ac:dyDescent="0.15">
      <c r="A106" s="11"/>
      <c r="B106" s="379"/>
      <c r="C106" s="380"/>
      <c r="D106" s="380"/>
      <c r="E106" s="380"/>
      <c r="F106" s="380"/>
      <c r="G106" s="380"/>
      <c r="H106" s="380"/>
      <c r="I106" s="380"/>
      <c r="J106" s="381"/>
    </row>
    <row r="107" spans="1:10" ht="18.75" customHeight="1" x14ac:dyDescent="0.15">
      <c r="A107" s="84"/>
      <c r="B107" s="379"/>
      <c r="C107" s="380"/>
      <c r="D107" s="380"/>
      <c r="E107" s="380"/>
      <c r="F107" s="380"/>
      <c r="G107" s="380"/>
      <c r="H107" s="380"/>
      <c r="I107" s="380"/>
      <c r="J107" s="381"/>
    </row>
    <row r="108" spans="1:10" ht="18.75" customHeight="1" x14ac:dyDescent="0.15">
      <c r="A108" s="84"/>
      <c r="B108" s="382"/>
      <c r="C108" s="383"/>
      <c r="D108" s="383"/>
      <c r="E108" s="383"/>
      <c r="F108" s="383"/>
      <c r="G108" s="383"/>
      <c r="H108" s="383"/>
      <c r="I108" s="383"/>
      <c r="J108" s="384"/>
    </row>
    <row r="109" spans="1:10" ht="7.5" customHeight="1" x14ac:dyDescent="0.15">
      <c r="A109" s="84"/>
      <c r="B109" s="84"/>
      <c r="C109" s="84"/>
      <c r="D109" s="84"/>
      <c r="E109" s="84"/>
      <c r="F109" s="84"/>
      <c r="G109" s="84"/>
      <c r="H109" s="84"/>
      <c r="I109" s="84"/>
      <c r="J109" s="84"/>
    </row>
    <row r="110" spans="1:10" ht="18.75" customHeight="1" x14ac:dyDescent="0.15">
      <c r="A110" s="11" t="s">
        <v>23</v>
      </c>
      <c r="B110" s="386" t="s">
        <v>267</v>
      </c>
      <c r="C110" s="386"/>
      <c r="D110" s="386"/>
      <c r="E110" s="386"/>
      <c r="F110" s="386"/>
      <c r="G110" s="386"/>
      <c r="H110" s="386"/>
      <c r="I110" s="386"/>
      <c r="J110" s="386"/>
    </row>
    <row r="111" spans="1:10" ht="18.75" customHeight="1" x14ac:dyDescent="0.15">
      <c r="A111" s="84"/>
      <c r="B111" s="375" t="s">
        <v>268</v>
      </c>
      <c r="C111" s="376"/>
      <c r="D111" s="376"/>
      <c r="E111" s="376"/>
      <c r="F111" s="376"/>
      <c r="G111" s="376"/>
      <c r="H111" s="376"/>
      <c r="I111" s="377"/>
      <c r="J111" s="378"/>
    </row>
    <row r="112" spans="1:10" ht="18.75" customHeight="1" x14ac:dyDescent="0.15">
      <c r="A112" s="84"/>
      <c r="B112" s="379"/>
      <c r="C112" s="380"/>
      <c r="D112" s="380"/>
      <c r="E112" s="380"/>
      <c r="F112" s="380"/>
      <c r="G112" s="380"/>
      <c r="H112" s="380"/>
      <c r="I112" s="380"/>
      <c r="J112" s="381"/>
    </row>
    <row r="113" spans="1:11" ht="18.75" customHeight="1" x14ac:dyDescent="0.15">
      <c r="A113" s="84"/>
      <c r="B113" s="379"/>
      <c r="C113" s="380"/>
      <c r="D113" s="380"/>
      <c r="E113" s="380"/>
      <c r="F113" s="380"/>
      <c r="G113" s="380"/>
      <c r="H113" s="380"/>
      <c r="I113" s="380"/>
      <c r="J113" s="381"/>
      <c r="K113" s="11" t="str">
        <f>IF(B111="","入力してください","")</f>
        <v/>
      </c>
    </row>
    <row r="114" spans="1:11" ht="18.75" customHeight="1" x14ac:dyDescent="0.15">
      <c r="A114" s="84"/>
      <c r="B114" s="379"/>
      <c r="C114" s="380"/>
      <c r="D114" s="380"/>
      <c r="E114" s="380"/>
      <c r="F114" s="380"/>
      <c r="G114" s="380"/>
      <c r="H114" s="380"/>
      <c r="I114" s="380"/>
      <c r="J114" s="381"/>
    </row>
    <row r="115" spans="1:11" ht="18.75" customHeight="1" x14ac:dyDescent="0.15">
      <c r="A115" s="84"/>
      <c r="B115" s="379"/>
      <c r="C115" s="380"/>
      <c r="D115" s="380"/>
      <c r="E115" s="380"/>
      <c r="F115" s="380"/>
      <c r="G115" s="380"/>
      <c r="H115" s="380"/>
      <c r="I115" s="380"/>
      <c r="J115" s="381"/>
    </row>
    <row r="116" spans="1:11" ht="18.75" customHeight="1" x14ac:dyDescent="0.15">
      <c r="A116" s="84"/>
      <c r="B116" s="379"/>
      <c r="C116" s="380"/>
      <c r="D116" s="380"/>
      <c r="E116" s="380"/>
      <c r="F116" s="380"/>
      <c r="G116" s="380"/>
      <c r="H116" s="380"/>
      <c r="I116" s="380"/>
      <c r="J116" s="381"/>
    </row>
    <row r="117" spans="1:11" ht="18.75" customHeight="1" x14ac:dyDescent="0.15">
      <c r="A117" s="84"/>
      <c r="B117" s="379"/>
      <c r="C117" s="380"/>
      <c r="D117" s="380"/>
      <c r="E117" s="380"/>
      <c r="F117" s="380"/>
      <c r="G117" s="380"/>
      <c r="H117" s="380"/>
      <c r="I117" s="380"/>
      <c r="J117" s="381"/>
    </row>
    <row r="118" spans="1:11" ht="18.75" customHeight="1" x14ac:dyDescent="0.15">
      <c r="A118" s="84"/>
      <c r="B118" s="379"/>
      <c r="C118" s="380"/>
      <c r="D118" s="380"/>
      <c r="E118" s="380"/>
      <c r="F118" s="380"/>
      <c r="G118" s="380"/>
      <c r="H118" s="380"/>
      <c r="I118" s="380"/>
      <c r="J118" s="381"/>
    </row>
    <row r="119" spans="1:11" ht="18.75" customHeight="1" x14ac:dyDescent="0.15">
      <c r="A119" s="84"/>
      <c r="B119" s="379"/>
      <c r="C119" s="380"/>
      <c r="D119" s="380"/>
      <c r="E119" s="380"/>
      <c r="F119" s="380"/>
      <c r="G119" s="380"/>
      <c r="H119" s="380"/>
      <c r="I119" s="380"/>
      <c r="J119" s="381"/>
    </row>
    <row r="120" spans="1:11" ht="18.75" customHeight="1" x14ac:dyDescent="0.15">
      <c r="A120" s="84"/>
      <c r="B120" s="379"/>
      <c r="C120" s="380"/>
      <c r="D120" s="380"/>
      <c r="E120" s="380"/>
      <c r="F120" s="380"/>
      <c r="G120" s="380"/>
      <c r="H120" s="380"/>
      <c r="I120" s="380"/>
      <c r="J120" s="381"/>
    </row>
    <row r="121" spans="1:11" ht="18.75" customHeight="1" x14ac:dyDescent="0.15">
      <c r="A121" s="84"/>
      <c r="B121" s="379"/>
      <c r="C121" s="380"/>
      <c r="D121" s="380"/>
      <c r="E121" s="380"/>
      <c r="F121" s="380"/>
      <c r="G121" s="380"/>
      <c r="H121" s="380"/>
      <c r="I121" s="380"/>
      <c r="J121" s="381"/>
    </row>
    <row r="122" spans="1:11" ht="18.75" customHeight="1" x14ac:dyDescent="0.15">
      <c r="A122" s="84"/>
      <c r="B122" s="379"/>
      <c r="C122" s="380"/>
      <c r="D122" s="380"/>
      <c r="E122" s="380"/>
      <c r="F122" s="380"/>
      <c r="G122" s="380"/>
      <c r="H122" s="380"/>
      <c r="I122" s="380"/>
      <c r="J122" s="381"/>
    </row>
    <row r="123" spans="1:11" ht="18.75" customHeight="1" x14ac:dyDescent="0.15">
      <c r="A123" s="84"/>
      <c r="B123" s="379"/>
      <c r="C123" s="380"/>
      <c r="D123" s="380"/>
      <c r="E123" s="380"/>
      <c r="F123" s="380"/>
      <c r="G123" s="380"/>
      <c r="H123" s="380"/>
      <c r="I123" s="380"/>
      <c r="J123" s="381"/>
    </row>
    <row r="124" spans="1:11" ht="18.75" customHeight="1" x14ac:dyDescent="0.15">
      <c r="A124" s="84"/>
      <c r="B124" s="379"/>
      <c r="C124" s="380"/>
      <c r="D124" s="380"/>
      <c r="E124" s="380"/>
      <c r="F124" s="380"/>
      <c r="G124" s="380"/>
      <c r="H124" s="380"/>
      <c r="I124" s="380"/>
      <c r="J124" s="381"/>
    </row>
    <row r="125" spans="1:11" ht="18.75" customHeight="1" x14ac:dyDescent="0.15">
      <c r="A125" s="84"/>
      <c r="B125" s="379"/>
      <c r="C125" s="380"/>
      <c r="D125" s="380"/>
      <c r="E125" s="380"/>
      <c r="F125" s="380"/>
      <c r="G125" s="380"/>
      <c r="H125" s="380"/>
      <c r="I125" s="380"/>
      <c r="J125" s="381"/>
    </row>
    <row r="126" spans="1:11" ht="18.75" customHeight="1" x14ac:dyDescent="0.15">
      <c r="A126" s="84"/>
      <c r="B126" s="379"/>
      <c r="C126" s="380"/>
      <c r="D126" s="380"/>
      <c r="E126" s="380"/>
      <c r="F126" s="380"/>
      <c r="G126" s="380"/>
      <c r="H126" s="380"/>
      <c r="I126" s="380"/>
      <c r="J126" s="381"/>
    </row>
    <row r="127" spans="1:11" ht="18.75" customHeight="1" x14ac:dyDescent="0.15">
      <c r="A127" s="84"/>
      <c r="B127" s="379"/>
      <c r="C127" s="380"/>
      <c r="D127" s="380"/>
      <c r="E127" s="380"/>
      <c r="F127" s="380"/>
      <c r="G127" s="380"/>
      <c r="H127" s="380"/>
      <c r="I127" s="380"/>
      <c r="J127" s="381"/>
    </row>
    <row r="128" spans="1:11" ht="18.75" customHeight="1" x14ac:dyDescent="0.15">
      <c r="A128" s="84"/>
      <c r="B128" s="379"/>
      <c r="C128" s="380"/>
      <c r="D128" s="380"/>
      <c r="E128" s="380"/>
      <c r="F128" s="380"/>
      <c r="G128" s="380"/>
      <c r="H128" s="380"/>
      <c r="I128" s="380"/>
      <c r="J128" s="381"/>
    </row>
    <row r="129" spans="1:10" ht="18.75" customHeight="1" x14ac:dyDescent="0.15">
      <c r="A129" s="84"/>
      <c r="B129" s="382"/>
      <c r="C129" s="383"/>
      <c r="D129" s="383"/>
      <c r="E129" s="383"/>
      <c r="F129" s="383"/>
      <c r="G129" s="383"/>
      <c r="H129" s="383"/>
      <c r="I129" s="383"/>
      <c r="J129" s="384"/>
    </row>
    <row r="130" spans="1:10" ht="7.5" customHeight="1" x14ac:dyDescent="0.15">
      <c r="A130" s="84"/>
      <c r="B130" s="85"/>
      <c r="C130" s="85"/>
      <c r="D130" s="85"/>
      <c r="E130" s="85"/>
      <c r="F130" s="85"/>
      <c r="G130" s="85"/>
      <c r="H130" s="85"/>
      <c r="I130" s="85"/>
      <c r="J130" s="85"/>
    </row>
    <row r="131" spans="1:10" ht="18.75" customHeight="1" x14ac:dyDescent="0.15">
      <c r="A131" s="84"/>
      <c r="B131" s="84"/>
      <c r="C131" s="84"/>
      <c r="D131" s="84"/>
      <c r="E131" s="84"/>
      <c r="F131" s="84"/>
      <c r="G131" s="84"/>
      <c r="H131" s="84"/>
      <c r="I131" s="84"/>
      <c r="J131" s="84"/>
    </row>
    <row r="132" spans="1:10" ht="18.75" customHeight="1" x14ac:dyDescent="0.15">
      <c r="A132" s="84"/>
      <c r="B132" s="84"/>
      <c r="C132" s="84"/>
      <c r="D132" s="84"/>
      <c r="E132" s="84"/>
      <c r="F132" s="84"/>
      <c r="G132" s="84"/>
      <c r="H132" s="84"/>
      <c r="I132" s="84"/>
      <c r="J132" s="84"/>
    </row>
    <row r="133" spans="1:10" ht="18.75" customHeight="1" x14ac:dyDescent="0.15">
      <c r="A133" s="84"/>
      <c r="B133" s="84"/>
      <c r="C133" s="84"/>
      <c r="D133" s="84"/>
      <c r="E133" s="84"/>
      <c r="F133" s="84"/>
      <c r="G133" s="84"/>
      <c r="H133" s="84"/>
      <c r="I133" s="84"/>
      <c r="J133" s="84"/>
    </row>
    <row r="134" spans="1:10" ht="18.75" customHeight="1" x14ac:dyDescent="0.15">
      <c r="A134" s="84"/>
      <c r="B134" s="84"/>
      <c r="C134" s="84"/>
      <c r="D134" s="84"/>
      <c r="E134" s="84"/>
      <c r="F134" s="84"/>
      <c r="G134" s="84"/>
      <c r="H134" s="84"/>
      <c r="I134" s="84"/>
      <c r="J134" s="84"/>
    </row>
    <row r="135" spans="1:10" ht="18.75" customHeight="1" x14ac:dyDescent="0.15">
      <c r="A135" s="84"/>
      <c r="B135" s="84"/>
      <c r="C135" s="84"/>
      <c r="D135" s="84"/>
      <c r="E135" s="84"/>
      <c r="F135" s="84"/>
      <c r="G135" s="84"/>
      <c r="H135" s="84"/>
      <c r="I135" s="84"/>
      <c r="J135" s="84"/>
    </row>
    <row r="136" spans="1:10" ht="18.75" customHeight="1" x14ac:dyDescent="0.15">
      <c r="A136" s="84"/>
      <c r="B136" s="84"/>
      <c r="C136" s="84"/>
      <c r="D136" s="84"/>
      <c r="E136" s="84"/>
      <c r="F136" s="84"/>
      <c r="G136" s="84"/>
      <c r="H136" s="84"/>
      <c r="I136" s="84"/>
      <c r="J136" s="84"/>
    </row>
    <row r="137" spans="1:10" ht="18.75" customHeight="1" x14ac:dyDescent="0.15">
      <c r="A137" s="84"/>
      <c r="B137" s="84"/>
      <c r="C137" s="84"/>
      <c r="D137" s="84"/>
      <c r="E137" s="84"/>
      <c r="F137" s="84"/>
      <c r="G137" s="84"/>
      <c r="H137" s="84"/>
      <c r="I137" s="84"/>
      <c r="J137" s="84"/>
    </row>
    <row r="138" spans="1:10" ht="18.75" customHeight="1" x14ac:dyDescent="0.15">
      <c r="A138" s="84"/>
      <c r="B138" s="84"/>
      <c r="C138" s="84"/>
      <c r="D138" s="84"/>
      <c r="E138" s="84"/>
      <c r="F138" s="84"/>
      <c r="G138" s="84"/>
      <c r="H138" s="84"/>
      <c r="I138" s="84"/>
      <c r="J138" s="84"/>
    </row>
    <row r="139" spans="1:10" ht="18.75" customHeight="1" x14ac:dyDescent="0.15">
      <c r="A139" s="84"/>
      <c r="B139" s="84"/>
      <c r="C139" s="84"/>
      <c r="D139" s="84"/>
      <c r="E139" s="84"/>
      <c r="F139" s="84"/>
      <c r="G139" s="84"/>
      <c r="H139" s="84"/>
      <c r="I139" s="84"/>
      <c r="J139" s="84"/>
    </row>
    <row r="140" spans="1:10" ht="18.75" customHeight="1" x14ac:dyDescent="0.15">
      <c r="A140" s="84"/>
      <c r="B140" s="84"/>
      <c r="C140" s="84"/>
      <c r="D140" s="84"/>
      <c r="E140" s="84"/>
      <c r="F140" s="84"/>
      <c r="G140" s="84"/>
      <c r="H140" s="84"/>
      <c r="I140" s="84"/>
      <c r="J140" s="84"/>
    </row>
    <row r="141" spans="1:10" ht="18.75" customHeight="1" x14ac:dyDescent="0.15">
      <c r="A141" s="84"/>
      <c r="B141" s="84"/>
      <c r="C141" s="84"/>
      <c r="D141" s="84"/>
      <c r="E141" s="84"/>
      <c r="F141" s="84"/>
      <c r="G141" s="84"/>
      <c r="H141" s="84"/>
      <c r="I141" s="84"/>
      <c r="J141" s="84"/>
    </row>
    <row r="142" spans="1:10" ht="18.75" customHeight="1" x14ac:dyDescent="0.15">
      <c r="A142" s="84"/>
      <c r="B142" s="84"/>
      <c r="C142" s="84"/>
      <c r="D142" s="84"/>
      <c r="E142" s="84"/>
      <c r="F142" s="84"/>
      <c r="G142" s="84"/>
      <c r="H142" s="84"/>
      <c r="I142" s="84"/>
      <c r="J142" s="84"/>
    </row>
    <row r="143" spans="1:10" ht="14.25" x14ac:dyDescent="0.15">
      <c r="A143" s="84"/>
      <c r="B143" s="84"/>
      <c r="C143" s="84"/>
      <c r="D143" s="84"/>
      <c r="E143" s="84"/>
      <c r="F143" s="84"/>
      <c r="G143" s="84"/>
      <c r="H143" s="84"/>
      <c r="I143" s="84"/>
      <c r="J143" s="84"/>
    </row>
    <row r="144" spans="1:10" ht="7.5" customHeight="1" x14ac:dyDescent="0.15">
      <c r="A144" s="86"/>
      <c r="B144" s="86"/>
      <c r="C144" s="86"/>
      <c r="D144" s="86"/>
      <c r="E144" s="86"/>
      <c r="F144" s="86"/>
      <c r="G144" s="86"/>
      <c r="H144" s="86"/>
      <c r="I144" s="86"/>
      <c r="J144" s="86"/>
    </row>
  </sheetData>
  <mergeCells count="11">
    <mergeCell ref="B46:J66"/>
    <mergeCell ref="B69:J86"/>
    <mergeCell ref="B89:J108"/>
    <mergeCell ref="B110:J110"/>
    <mergeCell ref="B111:J129"/>
    <mergeCell ref="B31:J44"/>
    <mergeCell ref="A2:J2"/>
    <mergeCell ref="B5:J5"/>
    <mergeCell ref="B8:J12"/>
    <mergeCell ref="B15:J25"/>
    <mergeCell ref="B30:J30"/>
  </mergeCells>
  <phoneticPr fontId="2"/>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dimension ref="A1:K26"/>
  <sheetViews>
    <sheetView showZeros="0" view="pageBreakPreview" topLeftCell="A12" zoomScaleNormal="100" zoomScaleSheetLayoutView="100" workbookViewId="0">
      <selection activeCell="B16" sqref="B16:D16"/>
    </sheetView>
  </sheetViews>
  <sheetFormatPr defaultColWidth="11.375" defaultRowHeight="22.5" customHeight="1" x14ac:dyDescent="0.15"/>
  <cols>
    <col min="1" max="3" width="2.875" style="1" customWidth="1"/>
    <col min="4" max="4" width="22.125" style="1" customWidth="1"/>
    <col min="5" max="5" width="21.625" style="1" customWidth="1"/>
    <col min="6" max="7" width="7.875" style="1" customWidth="1"/>
    <col min="8" max="8" width="33.375" style="1" customWidth="1"/>
    <col min="9" max="9" width="24.5" style="1" customWidth="1"/>
    <col min="10" max="10" width="5.5" style="1" customWidth="1"/>
    <col min="11" max="11" width="4.125" style="24" customWidth="1"/>
    <col min="12" max="16384" width="11.375" style="1"/>
  </cols>
  <sheetData>
    <row r="1" spans="1:11" ht="18.75" customHeight="1" x14ac:dyDescent="0.15">
      <c r="A1" s="113" t="s">
        <v>269</v>
      </c>
      <c r="B1" s="113"/>
      <c r="C1" s="113"/>
      <c r="D1" s="113"/>
      <c r="E1" s="113"/>
      <c r="F1" s="113"/>
      <c r="G1" s="113"/>
      <c r="H1" s="113"/>
      <c r="I1" s="113"/>
      <c r="J1" s="114" t="s">
        <v>270</v>
      </c>
    </row>
    <row r="2" spans="1:11" ht="18.75" customHeight="1" x14ac:dyDescent="0.15">
      <c r="A2" s="349" t="s">
        <v>271</v>
      </c>
      <c r="B2" s="349"/>
      <c r="C2" s="349"/>
      <c r="D2" s="349"/>
      <c r="E2" s="349"/>
      <c r="F2" s="349"/>
      <c r="G2" s="349"/>
      <c r="H2" s="349"/>
      <c r="I2" s="349"/>
      <c r="J2" s="349"/>
    </row>
    <row r="3" spans="1:11" ht="7.5" customHeight="1" x14ac:dyDescent="0.15">
      <c r="A3" s="30"/>
      <c r="B3" s="30"/>
      <c r="C3" s="30"/>
      <c r="D3" s="30"/>
      <c r="E3" s="30"/>
      <c r="F3" s="30"/>
      <c r="G3" s="30"/>
      <c r="H3" s="30"/>
      <c r="I3" s="30"/>
      <c r="J3" s="30"/>
    </row>
    <row r="4" spans="1:11" ht="18.75" customHeight="1" x14ac:dyDescent="0.15">
      <c r="A4" s="113" t="s">
        <v>2</v>
      </c>
      <c r="B4" s="2" t="s">
        <v>272</v>
      </c>
      <c r="C4" s="28"/>
      <c r="D4" s="28"/>
      <c r="E4" s="29"/>
      <c r="F4" s="29"/>
      <c r="G4" s="29"/>
      <c r="H4" s="29"/>
      <c r="I4" s="29"/>
      <c r="J4" s="29"/>
    </row>
    <row r="5" spans="1:11" ht="18.75" customHeight="1" x14ac:dyDescent="0.15">
      <c r="A5" s="113"/>
      <c r="B5" s="392" t="s">
        <v>273</v>
      </c>
      <c r="C5" s="393"/>
      <c r="D5" s="394"/>
      <c r="E5" s="395" t="s">
        <v>274</v>
      </c>
      <c r="F5" s="395"/>
      <c r="G5" s="395"/>
      <c r="H5" s="395"/>
      <c r="I5" s="395"/>
      <c r="J5" s="396"/>
    </row>
    <row r="6" spans="1:11" ht="18.75" customHeight="1" x14ac:dyDescent="0.15">
      <c r="A6" s="113"/>
      <c r="B6" s="115" t="s">
        <v>275</v>
      </c>
      <c r="C6" s="28"/>
      <c r="D6" s="5"/>
      <c r="E6" s="113"/>
      <c r="F6" s="113"/>
      <c r="G6" s="113"/>
      <c r="H6" s="113"/>
      <c r="I6" s="29"/>
      <c r="J6" s="3"/>
    </row>
    <row r="7" spans="1:11" ht="207" customHeight="1" x14ac:dyDescent="0.15">
      <c r="A7" s="113"/>
      <c r="B7" s="4"/>
      <c r="C7" s="397" t="s">
        <v>276</v>
      </c>
      <c r="D7" s="398"/>
      <c r="E7" s="389" t="s">
        <v>277</v>
      </c>
      <c r="F7" s="390"/>
      <c r="G7" s="390"/>
      <c r="H7" s="390"/>
      <c r="I7" s="390"/>
      <c r="J7" s="391"/>
      <c r="K7" s="24" t="str">
        <f>IF(E7="","入力してください","")</f>
        <v/>
      </c>
    </row>
    <row r="8" spans="1:11" ht="207" customHeight="1" x14ac:dyDescent="0.15">
      <c r="A8" s="113"/>
      <c r="B8" s="4"/>
      <c r="C8" s="387" t="s">
        <v>278</v>
      </c>
      <c r="D8" s="388"/>
      <c r="E8" s="389" t="s">
        <v>279</v>
      </c>
      <c r="F8" s="390"/>
      <c r="G8" s="390"/>
      <c r="H8" s="390"/>
      <c r="I8" s="390"/>
      <c r="J8" s="391"/>
      <c r="K8" s="24" t="str">
        <f>IF(E8="","入力してください","")</f>
        <v/>
      </c>
    </row>
    <row r="9" spans="1:11" ht="172.5" customHeight="1" x14ac:dyDescent="0.15">
      <c r="A9" s="113"/>
      <c r="B9" s="4"/>
      <c r="C9" s="397" t="s">
        <v>280</v>
      </c>
      <c r="D9" s="398"/>
      <c r="E9" s="389" t="s">
        <v>281</v>
      </c>
      <c r="F9" s="390"/>
      <c r="G9" s="390"/>
      <c r="H9" s="390"/>
      <c r="I9" s="390"/>
      <c r="J9" s="391"/>
      <c r="K9" s="24" t="str">
        <f>IF(E9="","入力してください","")</f>
        <v/>
      </c>
    </row>
    <row r="10" spans="1:11" ht="172.5" customHeight="1" x14ac:dyDescent="0.15">
      <c r="A10" s="113"/>
      <c r="B10" s="4"/>
      <c r="C10" s="397" t="s">
        <v>282</v>
      </c>
      <c r="D10" s="398"/>
      <c r="E10" s="389" t="s">
        <v>283</v>
      </c>
      <c r="F10" s="390"/>
      <c r="G10" s="390"/>
      <c r="H10" s="390"/>
      <c r="I10" s="390"/>
      <c r="J10" s="391"/>
      <c r="K10" s="24" t="str">
        <f t="shared" ref="K10:K14" si="0">IF(E10="","入力してください","")</f>
        <v/>
      </c>
    </row>
    <row r="11" spans="1:11" ht="172.5" customHeight="1" x14ac:dyDescent="0.15">
      <c r="A11" s="113"/>
      <c r="B11" s="4"/>
      <c r="C11" s="397" t="s">
        <v>284</v>
      </c>
      <c r="D11" s="398"/>
      <c r="E11" s="389" t="s">
        <v>285</v>
      </c>
      <c r="F11" s="390"/>
      <c r="G11" s="390"/>
      <c r="H11" s="390"/>
      <c r="I11" s="390"/>
      <c r="J11" s="391"/>
      <c r="K11" s="24" t="str">
        <f t="shared" si="0"/>
        <v/>
      </c>
    </row>
    <row r="12" spans="1:11" ht="18.75" customHeight="1" x14ac:dyDescent="0.15">
      <c r="A12" s="113"/>
      <c r="B12" s="116" t="s">
        <v>286</v>
      </c>
      <c r="C12" s="21"/>
      <c r="D12" s="6"/>
      <c r="E12" s="87"/>
      <c r="F12" s="87"/>
      <c r="G12" s="87"/>
      <c r="H12" s="87"/>
      <c r="I12" s="87"/>
      <c r="J12" s="88"/>
    </row>
    <row r="13" spans="1:11" ht="244.35" customHeight="1" x14ac:dyDescent="0.15">
      <c r="A13" s="113"/>
      <c r="B13" s="4"/>
      <c r="C13" s="397" t="s">
        <v>287</v>
      </c>
      <c r="D13" s="398"/>
      <c r="E13" s="390" t="s">
        <v>288</v>
      </c>
      <c r="F13" s="390"/>
      <c r="G13" s="390"/>
      <c r="H13" s="390"/>
      <c r="I13" s="390"/>
      <c r="J13" s="391"/>
      <c r="K13" s="24" t="str">
        <f t="shared" si="0"/>
        <v/>
      </c>
    </row>
    <row r="14" spans="1:11" ht="255" customHeight="1" x14ac:dyDescent="0.15">
      <c r="A14" s="113"/>
      <c r="B14" s="4"/>
      <c r="C14" s="397" t="s">
        <v>289</v>
      </c>
      <c r="D14" s="398"/>
      <c r="E14" s="390" t="s">
        <v>290</v>
      </c>
      <c r="F14" s="390"/>
      <c r="G14" s="390"/>
      <c r="H14" s="390"/>
      <c r="I14" s="390"/>
      <c r="J14" s="391"/>
      <c r="K14" s="24" t="str">
        <f t="shared" si="0"/>
        <v/>
      </c>
    </row>
    <row r="15" spans="1:11" ht="243" customHeight="1" x14ac:dyDescent="0.15">
      <c r="A15" s="113"/>
      <c r="B15" s="405" t="s">
        <v>291</v>
      </c>
      <c r="C15" s="406"/>
      <c r="D15" s="398"/>
      <c r="E15" s="390" t="s">
        <v>292</v>
      </c>
      <c r="F15" s="390"/>
      <c r="G15" s="390"/>
      <c r="H15" s="390"/>
      <c r="I15" s="390"/>
      <c r="J15" s="391"/>
      <c r="K15" s="24" t="str">
        <f>IF(E15="","入力してください","")</f>
        <v/>
      </c>
    </row>
    <row r="16" spans="1:11" ht="243" customHeight="1" x14ac:dyDescent="0.15">
      <c r="A16" s="24"/>
      <c r="B16" s="399" t="s">
        <v>293</v>
      </c>
      <c r="C16" s="400"/>
      <c r="D16" s="401"/>
      <c r="E16" s="372" t="s">
        <v>294</v>
      </c>
      <c r="F16" s="372"/>
      <c r="G16" s="372"/>
      <c r="H16" s="372"/>
      <c r="I16" s="372"/>
      <c r="J16" s="373"/>
      <c r="K16" s="24" t="str">
        <f>IF(E16="","入力してください","")</f>
        <v/>
      </c>
    </row>
    <row r="17" spans="1:11" ht="7.5" customHeight="1" x14ac:dyDescent="0.15">
      <c r="A17" s="113"/>
      <c r="B17" s="28"/>
      <c r="C17" s="28"/>
      <c r="D17" s="28"/>
      <c r="E17" s="29"/>
      <c r="F17" s="29"/>
      <c r="G17" s="29"/>
      <c r="H17" s="29"/>
      <c r="I17" s="29"/>
      <c r="J17" s="29"/>
    </row>
    <row r="18" spans="1:11" ht="18.75" customHeight="1" x14ac:dyDescent="0.15">
      <c r="A18" s="113" t="s">
        <v>295</v>
      </c>
      <c r="B18" s="2"/>
      <c r="C18" s="28"/>
      <c r="D18" s="28"/>
      <c r="E18" s="29"/>
      <c r="F18" s="71"/>
      <c r="G18" s="402" t="s">
        <v>296</v>
      </c>
      <c r="H18" s="403"/>
      <c r="I18" s="403"/>
      <c r="J18" s="404"/>
      <c r="K18" s="24" t="str">
        <f>IF(G18="","入力してください","")</f>
        <v/>
      </c>
    </row>
    <row r="19" spans="1:11" ht="22.5" customHeight="1" x14ac:dyDescent="0.15">
      <c r="A19" s="113"/>
      <c r="B19" s="28"/>
      <c r="C19" s="28"/>
      <c r="D19" s="28"/>
      <c r="E19" s="29"/>
      <c r="F19" s="29"/>
      <c r="G19" s="29"/>
      <c r="H19" s="29"/>
      <c r="I19" s="29"/>
      <c r="J19" s="29"/>
    </row>
    <row r="20" spans="1:11" ht="22.5" customHeight="1" x14ac:dyDescent="0.15">
      <c r="A20" s="113"/>
      <c r="B20" s="28"/>
      <c r="C20" s="28"/>
      <c r="D20" s="28"/>
      <c r="E20" s="29"/>
      <c r="F20" s="29"/>
      <c r="G20" s="29"/>
      <c r="H20" s="29"/>
      <c r="I20" s="29"/>
      <c r="J20" s="29"/>
    </row>
    <row r="21" spans="1:11" ht="22.5" customHeight="1" x14ac:dyDescent="0.15">
      <c r="A21" s="113"/>
      <c r="B21" s="28"/>
      <c r="C21" s="28"/>
      <c r="D21" s="28"/>
      <c r="E21" s="29"/>
      <c r="F21" s="29"/>
      <c r="G21" s="29"/>
      <c r="H21" s="29"/>
      <c r="I21" s="29"/>
      <c r="J21" s="29"/>
    </row>
    <row r="22" spans="1:11" ht="22.5" customHeight="1" x14ac:dyDescent="0.15">
      <c r="A22" s="113"/>
      <c r="B22" s="28"/>
      <c r="C22" s="28"/>
      <c r="D22" s="28"/>
      <c r="E22" s="29"/>
      <c r="F22" s="29"/>
      <c r="G22" s="29"/>
      <c r="H22" s="29"/>
      <c r="I22" s="29"/>
      <c r="J22" s="29"/>
    </row>
    <row r="23" spans="1:11" ht="22.5" customHeight="1" x14ac:dyDescent="0.15">
      <c r="A23" s="113"/>
      <c r="B23" s="28"/>
      <c r="C23" s="28"/>
      <c r="D23" s="28"/>
      <c r="E23" s="29"/>
      <c r="F23" s="29"/>
      <c r="G23" s="29"/>
      <c r="H23" s="29"/>
      <c r="I23" s="29"/>
      <c r="J23" s="29"/>
    </row>
    <row r="24" spans="1:11" ht="22.5" customHeight="1" x14ac:dyDescent="0.15">
      <c r="A24" s="113"/>
      <c r="B24" s="117"/>
      <c r="C24" s="117"/>
      <c r="D24" s="117"/>
      <c r="E24" s="117"/>
      <c r="F24" s="117"/>
      <c r="G24" s="117"/>
      <c r="H24" s="117"/>
      <c r="I24" s="117"/>
      <c r="J24" s="117"/>
    </row>
    <row r="25" spans="1:11" ht="22.5" customHeight="1" x14ac:dyDescent="0.15">
      <c r="A25" s="113"/>
      <c r="B25" s="117"/>
      <c r="C25" s="117"/>
      <c r="D25" s="117"/>
      <c r="E25" s="117"/>
      <c r="F25" s="117"/>
      <c r="G25" s="117"/>
      <c r="H25" s="117"/>
      <c r="I25" s="117"/>
      <c r="J25" s="117"/>
    </row>
    <row r="26" spans="1:11" ht="22.5" customHeight="1" x14ac:dyDescent="0.15">
      <c r="A26" s="113"/>
      <c r="B26" s="117"/>
      <c r="C26" s="117"/>
      <c r="D26" s="117"/>
      <c r="E26" s="117"/>
      <c r="F26" s="117"/>
      <c r="G26" s="117"/>
      <c r="H26" s="117"/>
      <c r="I26" s="117"/>
      <c r="J26" s="117"/>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2"/>
  <hyperlinks>
    <hyperlink ref="G18" r:id="rId1" xr:uid="{43180CDB-977A-4D2A-9C2B-AED3077EFE86}"/>
  </hyperlinks>
  <printOptions horizontalCentered="1"/>
  <pageMargins left="0.78740157480314965" right="0.78740157480314965" top="0.78740157480314965" bottom="0.78740157480314965" header="0.31496062992125984" footer="0.31496062992125984"/>
  <pageSetup paperSize="9" orientation="landscape"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CBA9A3EB2C1FD040A19CB6DE3B6E1B75" ma:contentTypeVersion="15" ma:contentTypeDescription="新しいドキュメントを作成します。" ma:contentTypeScope="" ma:versionID="f7b430a61a809a3974bed193ebe7efae">
  <xsd:schema xmlns:xsd="http://www.w3.org/2001/XMLSchema" xmlns:xs="http://www.w3.org/2001/XMLSchema" xmlns:p="http://schemas.microsoft.com/office/2006/metadata/properties" xmlns:ns2="e16a0375-259f-40f6-a811-fcfec5c5b023" xmlns:ns3="1b91b913-5265-49b6-b1af-cb1f6c2f3181" targetNamespace="http://schemas.microsoft.com/office/2006/metadata/properties" ma:root="true" ma:fieldsID="55b8a20bf31256dc8e0fcad8bedb1fa1" ns2:_="" ns3:_="">
    <xsd:import namespace="e16a0375-259f-40f6-a811-fcfec5c5b023"/>
    <xsd:import namespace="1b91b913-5265-49b6-b1af-cb1f6c2f318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6a0375-259f-40f6-a811-fcfec5c5b0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画像タグ" ma:readOnly="false" ma:fieldId="{5cf76f15-5ced-4ddc-b409-7134ff3c332f}" ma:taxonomyMulti="true" ma:sspId="c1ec0f05-8db9-4cb4-a53b-b8806002f24b"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b91b913-5265-49b6-b1af-cb1f6c2f3181"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element name="TaxCatchAll" ma:index="21" nillable="true" ma:displayName="Taxonomy Catch All Column" ma:hidden="true" ma:list="{1dfe7da6-c6d3-4f96-97e4-57b94e8ec5e9}" ma:internalName="TaxCatchAll" ma:showField="CatchAllData" ma:web="1b91b913-5265-49b6-b1af-cb1f6c2f318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16a0375-259f-40f6-a811-fcfec5c5b023">
      <Terms xmlns="http://schemas.microsoft.com/office/infopath/2007/PartnerControls"/>
    </lcf76f155ced4ddcb4097134ff3c332f>
    <TaxCatchAll xmlns="1b91b913-5265-49b6-b1af-cb1f6c2f3181" xsi:nil="true"/>
  </documentManagement>
</p:properties>
</file>

<file path=customXml/itemProps1.xml><?xml version="1.0" encoding="utf-8"?>
<ds:datastoreItem xmlns:ds="http://schemas.openxmlformats.org/officeDocument/2006/customXml" ds:itemID="{14A4A081-545E-4F3D-8B5D-D8D6ED6AC7E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16a0375-259f-40f6-a811-fcfec5c5b023"/>
    <ds:schemaRef ds:uri="1b91b913-5265-49b6-b1af-cb1f6c2f31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A05D2C6-37ED-4778-8420-A262F9A02E7D}">
  <ds:schemaRefs>
    <ds:schemaRef ds:uri="http://schemas.microsoft.com/sharepoint/v3/contenttype/forms"/>
  </ds:schemaRefs>
</ds:datastoreItem>
</file>

<file path=customXml/itemProps3.xml><?xml version="1.0" encoding="utf-8"?>
<ds:datastoreItem xmlns:ds="http://schemas.openxmlformats.org/officeDocument/2006/customXml" ds:itemID="{4A631AF1-7486-4A38-AEEF-8064B56174B2}">
  <ds:schemaRefs>
    <ds:schemaRef ds:uri="http://schemas.microsoft.com/office/2006/documentManagement/types"/>
    <ds:schemaRef ds:uri="http://purl.org/dc/terms/"/>
    <ds:schemaRef ds:uri="http://www.w3.org/XML/1998/namespace"/>
    <ds:schemaRef ds:uri="http://purl.org/dc/elements/1.1/"/>
    <ds:schemaRef ds:uri="e16a0375-259f-40f6-a811-fcfec5c5b023"/>
    <ds:schemaRef ds:uri="http://schemas.openxmlformats.org/package/2006/metadata/core-properties"/>
    <ds:schemaRef ds:uri="http://schemas.microsoft.com/office/2006/metadata/properties"/>
    <ds:schemaRef ds:uri="http://schemas.microsoft.com/office/infopath/2007/PartnerControls"/>
    <ds:schemaRef ds:uri="1b91b913-5265-49b6-b1af-cb1f6c2f3181"/>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9</vt:i4>
      </vt:variant>
    </vt:vector>
  </HeadingPairs>
  <TitlesOfParts>
    <vt:vector size="18" baseType="lpstr">
      <vt:lpstr>様式１　大学等概要</vt:lpstr>
      <vt:lpstr>２－1</vt:lpstr>
      <vt:lpstr>２－２</vt:lpstr>
      <vt:lpstr>２－３</vt:lpstr>
      <vt:lpstr>２－４</vt:lpstr>
      <vt:lpstr>２－5</vt:lpstr>
      <vt:lpstr>様式３　履修者等数の実績</vt:lpstr>
      <vt:lpstr>様式４　教育の質・履修者数を向上させるための体制・計画</vt:lpstr>
      <vt:lpstr>様式５　自己点検・評価</vt:lpstr>
      <vt:lpstr>'２－1'!Print_Area</vt:lpstr>
      <vt:lpstr>'２－２'!Print_Area</vt:lpstr>
      <vt:lpstr>'２－３'!Print_Area</vt:lpstr>
      <vt:lpstr>'２－４'!Print_Area</vt:lpstr>
      <vt:lpstr>'２－5'!Print_Area</vt:lpstr>
      <vt:lpstr>'様式１　大学等概要'!Print_Area</vt:lpstr>
      <vt:lpstr>'様式３　履修者等数の実績'!Print_Area</vt:lpstr>
      <vt:lpstr>'様式４　教育の質・履修者数を向上させるための体制・計画'!Print_Area</vt:lpstr>
      <vt:lpstr>'様式５　自己点検・評価'!Print_Area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kyou1</cp:lastModifiedBy>
  <cp:revision/>
  <cp:lastPrinted>2022-05-24T06:31:52Z</cp:lastPrinted>
  <dcterms:created xsi:type="dcterms:W3CDTF">2011-06-14T05:32:50Z</dcterms:created>
  <dcterms:modified xsi:type="dcterms:W3CDTF">2022-06-16T08:41:13Z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0x010100CBA9A3EB2C1FD040A19CB6DE3B6E1B75</vt:lpwstr>
  </property>
  <property fmtid="{D5CDD505-2E9C-101B-9397-08002B2CF9AE}" pid="10" name="MediaServiceImageTags">
    <vt:lpwstr/>
  </property>
</Properties>
</file>