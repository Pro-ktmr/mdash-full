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01"/>
  <workbookPr defaultThemeVersion="124226"/>
  <mc:AlternateContent xmlns:mc="http://schemas.openxmlformats.org/markup-compatibility/2006">
    <mc:Choice Requires="x15">
      <x15ac:absPath xmlns:x15ac="http://schemas.microsoft.com/office/spreadsheetml/2010/11/ac" url="/Users/takao/Desktop/"/>
    </mc:Choice>
  </mc:AlternateContent>
  <xr:revisionPtr revIDLastSave="0" documentId="13_ncr:1_{C57F6EC2-FD4C-EF4B-BE22-722F8EBCFA80}" xr6:coauthVersionLast="47" xr6:coauthVersionMax="47" xr10:uidLastSave="{00000000-0000-0000-0000-000000000000}"/>
  <bookViews>
    <workbookView xWindow="47660" yWindow="1120" windowWidth="15540" windowHeight="21100" tabRatio="885" firstSheet="1" activeTab="1"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6" i="42"/>
  <c r="K15" i="42"/>
  <c r="K14" i="42"/>
  <c r="K13" i="42"/>
  <c r="K11" i="42"/>
  <c r="K10"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<sst xmlns="http://schemas.openxmlformats.org/spreadsheetml/2006/main" count="367" uniqueCount="220">
  <si>
    <t>様式１</t>
    <rPh sb="0" eb="2">
      <t>ヨウシキ</t>
    </rPh>
    <phoneticPr fontId="2"/>
  </si>
  <si>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2"/>
  </si>
  <si>
    <t>①</t>
    <phoneticPr fontId="2"/>
  </si>
  <si>
    <t>学校名</t>
    <rPh sb="0" eb="2">
      <t>ガッコウ</t>
    </rPh>
    <rPh sb="2" eb="3">
      <t>メイ</t>
    </rPh>
    <phoneticPr fontId="2"/>
  </si>
  <si>
    <t>東京工業大学</t>
  </si>
  <si>
    <t>②</t>
    <phoneticPr fontId="2"/>
  </si>
  <si>
    <t>大学等の設置者</t>
  </si>
  <si>
    <t>国立大学法人東京工業大学</t>
    <phoneticPr fontId="2"/>
  </si>
  <si>
    <t>③</t>
  </si>
  <si>
    <t>設置形態</t>
    <phoneticPr fontId="2"/>
  </si>
  <si>
    <t>国立大学</t>
  </si>
  <si>
    <t>④</t>
    <phoneticPr fontId="2"/>
  </si>
  <si>
    <t>所在地</t>
    <phoneticPr fontId="2"/>
  </si>
  <si>
    <t>東京都目黒区大岡山2丁目12番1号</t>
    <phoneticPr fontId="2"/>
  </si>
  <si>
    <t>⑤</t>
    <phoneticPr fontId="2"/>
  </si>
  <si>
    <t>申請するプログラム名称</t>
    <rPh sb="0" eb="2">
      <t>シンセイ</t>
    </rPh>
    <rPh sb="9" eb="11">
      <t>メイショウ</t>
    </rPh>
    <phoneticPr fontId="2"/>
  </si>
  <si>
    <t>データサイエンス・AI全学教育プログラム（リテラシーレベル）</t>
    <phoneticPr fontId="2"/>
  </si>
  <si>
    <t>⑥</t>
    <phoneticPr fontId="2"/>
  </si>
  <si>
    <t>プログラムの開設年度</t>
    <rPh sb="6" eb="8">
      <t>カイセツ</t>
    </rPh>
    <rPh sb="8" eb="10">
      <t>ネンド</t>
    </rPh>
    <phoneticPr fontId="2"/>
  </si>
  <si>
    <t>令和３</t>
    <rPh sb="0" eb="2">
      <t xml:space="preserve">レイワ </t>
    </rPh>
    <phoneticPr fontId="2"/>
  </si>
  <si>
    <t>年度</t>
    <rPh sb="0" eb="2">
      <t>ネンド</t>
    </rPh>
    <phoneticPr fontId="2"/>
  </si>
  <si>
    <t>⑦応用基礎レベルの申請の有無</t>
    <phoneticPr fontId="2"/>
  </si>
  <si>
    <t>無</t>
  </si>
  <si>
    <t>⑧</t>
    <phoneticPr fontId="2"/>
  </si>
  <si>
    <t>教員数</t>
    <rPh sb="0" eb="2">
      <t>キョウイン</t>
    </rPh>
    <rPh sb="2" eb="3">
      <t>スウ</t>
    </rPh>
    <phoneticPr fontId="2"/>
  </si>
  <si>
    <t>（常勤）</t>
    <rPh sb="1" eb="3">
      <t>ジョウキン</t>
    </rPh>
    <phoneticPr fontId="2"/>
  </si>
  <si>
    <t>人</t>
    <rPh sb="0" eb="1">
      <t>ニン</t>
    </rPh>
    <phoneticPr fontId="2"/>
  </si>
  <si>
    <t>（非常勤）</t>
    <rPh sb="1" eb="4">
      <t>ヒジョウキン</t>
    </rPh>
    <phoneticPr fontId="2"/>
  </si>
  <si>
    <t>⑨</t>
    <phoneticPr fontId="2"/>
  </si>
  <si>
    <t>プログラムの授業を教えている教員数</t>
    <rPh sb="6" eb="8">
      <t>ジュギョウ</t>
    </rPh>
    <rPh sb="9" eb="10">
      <t>オシ</t>
    </rPh>
    <rPh sb="14" eb="16">
      <t>キョウイン</t>
    </rPh>
    <rPh sb="16" eb="17">
      <t>スウ</t>
    </rPh>
    <phoneticPr fontId="2"/>
  </si>
  <si>
    <t>⑩</t>
    <phoneticPr fontId="2"/>
  </si>
  <si>
    <t>全学部・学科の入学定員</t>
    <rPh sb="0" eb="1">
      <t>ゼン</t>
    </rPh>
    <rPh sb="4" eb="6">
      <t>ガッカ</t>
    </rPh>
    <rPh sb="7" eb="9">
      <t>ニュウガク</t>
    </rPh>
    <rPh sb="9" eb="11">
      <t>テイイン</t>
    </rPh>
    <phoneticPr fontId="2"/>
  </si>
  <si>
    <t>人</t>
  </si>
  <si>
    <t>⑪</t>
    <phoneticPr fontId="2"/>
  </si>
  <si>
    <t>全学部・学科の学生数（学年別）</t>
    <rPh sb="0" eb="1">
      <t>ゼン</t>
    </rPh>
    <rPh sb="4" eb="6">
      <t>ガッカ</t>
    </rPh>
    <rPh sb="7" eb="10">
      <t>ガクセイスウ</t>
    </rPh>
    <rPh sb="11" eb="13">
      <t>ガクネン</t>
    </rPh>
    <rPh sb="13" eb="14">
      <t>ベツ</t>
    </rPh>
    <phoneticPr fontId="2"/>
  </si>
  <si>
    <t>総数</t>
    <rPh sb="0" eb="2">
      <t>ソウスウ</t>
    </rPh>
    <phoneticPr fontId="2"/>
  </si>
  <si>
    <t>１年次</t>
    <rPh sb="1" eb="2">
      <t>ネン</t>
    </rPh>
    <rPh sb="2" eb="3">
      <t>ツギ</t>
    </rPh>
    <phoneticPr fontId="2"/>
  </si>
  <si>
    <t>２年次</t>
    <rPh sb="1" eb="2">
      <t>ネン</t>
    </rPh>
    <rPh sb="2" eb="3">
      <t>ツギ</t>
    </rPh>
    <phoneticPr fontId="2"/>
  </si>
  <si>
    <t>３年次</t>
    <rPh sb="1" eb="2">
      <t>ネン</t>
    </rPh>
    <rPh sb="2" eb="3">
      <t>ツギ</t>
    </rPh>
    <phoneticPr fontId="2"/>
  </si>
  <si>
    <t>４年次</t>
    <rPh sb="1" eb="2">
      <t>ネン</t>
    </rPh>
    <rPh sb="2" eb="3">
      <t>ツギ</t>
    </rPh>
    <phoneticPr fontId="2"/>
  </si>
  <si>
    <t>５年次</t>
    <rPh sb="1" eb="2">
      <t>ネン</t>
    </rPh>
    <rPh sb="2" eb="3">
      <t>ツギ</t>
    </rPh>
    <phoneticPr fontId="2"/>
  </si>
  <si>
    <t>６年次</t>
    <rPh sb="1" eb="2">
      <t>ネン</t>
    </rPh>
    <rPh sb="2" eb="3">
      <t>ツギ</t>
    </rPh>
    <phoneticPr fontId="2"/>
  </si>
  <si>
    <t>⑫</t>
    <phoneticPr fontId="2"/>
  </si>
  <si>
    <t>プログラムの運営責任者</t>
    <phoneticPr fontId="2"/>
  </si>
  <si>
    <t>（責任者名）</t>
    <rPh sb="1" eb="4">
      <t>セキニンシャ</t>
    </rPh>
    <rPh sb="4" eb="5">
      <t>メイ</t>
    </rPh>
    <phoneticPr fontId="2"/>
  </si>
  <si>
    <t>井村　順一</t>
    <rPh sb="0" eb="2">
      <t xml:space="preserve">イムラ </t>
    </rPh>
    <rPh sb="3" eb="5">
      <t xml:space="preserve">ジュンイチ </t>
    </rPh>
    <phoneticPr fontId="2"/>
  </si>
  <si>
    <t>（役職名）</t>
    <rPh sb="1" eb="4">
      <t>ヤクショクメイ</t>
    </rPh>
    <phoneticPr fontId="2"/>
  </si>
  <si>
    <t>理事・副学長</t>
    <phoneticPr fontId="2"/>
  </si>
  <si>
    <t>⑬</t>
    <phoneticPr fontId="2"/>
  </si>
  <si>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2"/>
  </si>
  <si>
    <t>データサイエンス・AI全学教育実施委員会</t>
    <phoneticPr fontId="2"/>
  </si>
  <si>
    <t>三宅　美博</t>
    <phoneticPr fontId="2"/>
  </si>
  <si>
    <t>主査</t>
    <phoneticPr fontId="2"/>
  </si>
  <si>
    <t>⑭</t>
    <phoneticPr fontId="2"/>
  </si>
  <si>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2"/>
  </si>
  <si>
    <t>⑮</t>
    <phoneticPr fontId="2"/>
  </si>
  <si>
    <t>申請する認定プログラム</t>
    <rPh sb="0" eb="2">
      <t>シンセイ</t>
    </rPh>
    <rPh sb="4" eb="6">
      <t>ニンテイ</t>
    </rPh>
    <phoneticPr fontId="2"/>
  </si>
  <si>
    <t>認定教育プログラム</t>
  </si>
  <si>
    <t>連絡先</t>
  </si>
  <si>
    <t>所属部署名</t>
    <rPh sb="0" eb="2">
      <t>ショゾク</t>
    </rPh>
    <rPh sb="2" eb="4">
      <t>ブショ</t>
    </rPh>
    <rPh sb="4" eb="5">
      <t>メイ</t>
    </rPh>
    <phoneticPr fontId="2"/>
  </si>
  <si>
    <t>学務部教務課教育企画グループ</t>
    <phoneticPr fontId="2"/>
  </si>
  <si>
    <t>担当者名</t>
    <rPh sb="0" eb="2">
      <t>タントウ</t>
    </rPh>
    <rPh sb="2" eb="3">
      <t>シャ</t>
    </rPh>
    <rPh sb="3" eb="4">
      <t>メイ</t>
    </rPh>
    <phoneticPr fontId="2"/>
  </si>
  <si>
    <t>岡村　純</t>
    <phoneticPr fontId="2"/>
  </si>
  <si>
    <t>E-mail</t>
  </si>
  <si>
    <t>kyo.kyo@jim.titech.ac.jp</t>
    <phoneticPr fontId="2"/>
  </si>
  <si>
    <t>電話番号</t>
  </si>
  <si>
    <t>03-5734-7602</t>
    <phoneticPr fontId="2"/>
  </si>
  <si>
    <t>様式２</t>
    <phoneticPr fontId="2"/>
  </si>
  <si>
    <t>プログラムを構成する授業科目について</t>
    <phoneticPr fontId="2"/>
  </si>
  <si>
    <t>①具体的な修了要件</t>
    <phoneticPr fontId="2"/>
  </si>
  <si>
    <t>②教育プログラムの修了要件</t>
    <phoneticPr fontId="2"/>
  </si>
  <si>
    <t>学部・学科によって、修了要件は相違しない</t>
  </si>
  <si>
    <t>理工系教養科目（情報）の「情報リテラシ第一」、「情報リテラシ第二*」、「コンピュータサイエンス第一」及び「コンピュータサイエンス第二」の４科目４単位を取得すること。（* 令和３年度に限り特別講義を実施したクラスの履修者を対象とする）</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</si>
  <si>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2"/>
  </si>
  <si>
    <t>授業科目</t>
    <rPh sb="0" eb="2">
      <t>ジュギョウ</t>
    </rPh>
    <rPh sb="2" eb="4">
      <t>カモク</t>
    </rPh>
    <phoneticPr fontId="2"/>
  </si>
  <si>
    <t>単位数</t>
    <rPh sb="0" eb="3">
      <t>タンイスウ</t>
    </rPh>
    <phoneticPr fontId="2"/>
  </si>
  <si>
    <t>必修</t>
    <rPh sb="0" eb="2">
      <t>ヒッシュウ</t>
    </rPh>
    <phoneticPr fontId="2"/>
  </si>
  <si>
    <t>開講状況</t>
    <phoneticPr fontId="2"/>
  </si>
  <si>
    <t>1-1</t>
    <phoneticPr fontId="2"/>
  </si>
  <si>
    <t>1-6</t>
  </si>
  <si>
    <t>情報リテラシ第一 (IL1)</t>
  </si>
  <si>
    <t>○</t>
  </si>
  <si>
    <t>全学開講</t>
  </si>
  <si>
    <t>情報リテラシ第二 (IL2)</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</si>
  <si>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2"/>
  </si>
  <si>
    <t>1-2</t>
    <phoneticPr fontId="2"/>
  </si>
  <si>
    <t>1-3</t>
    <phoneticPr fontId="2"/>
  </si>
  <si>
    <t>情報リテラシ第二 (IL2)</t>
    <phoneticPr fontId="2"/>
  </si>
  <si>
    <t>コンピュータサイエンス第一 (CS1)</t>
  </si>
  <si>
    <t>コンピュータサイエンス第二 (CS2)</t>
  </si>
  <si>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2"/>
  </si>
  <si>
    <t>1-4</t>
    <phoneticPr fontId="2"/>
  </si>
  <si>
    <t>1-5</t>
    <phoneticPr fontId="2"/>
  </si>
  <si>
    <t>コンピュータサイエンス第一 (CS1)</t>
    <rPh sb="12" eb="13">
      <t xml:space="preserve">イチ </t>
    </rPh>
    <phoneticPr fontId="2"/>
  </si>
  <si>
    <t>コンピュータサイエンス第二 (CS2)</t>
    <phoneticPr fontId="2"/>
  </si>
  <si>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2"/>
  </si>
  <si>
    <t>3-1</t>
    <phoneticPr fontId="2"/>
  </si>
  <si>
    <t>3-2</t>
    <phoneticPr fontId="2"/>
  </si>
  <si>
    <t>情報リテラシ第一 (IL1)</t>
    <phoneticPr fontId="2"/>
  </si>
  <si>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2"/>
  </si>
  <si>
    <t>2-1</t>
    <phoneticPr fontId="2"/>
  </si>
  <si>
    <t>2-2</t>
    <phoneticPr fontId="2"/>
  </si>
  <si>
    <t>2-3</t>
    <phoneticPr fontId="2"/>
  </si>
  <si>
    <t>○</t>
    <phoneticPr fontId="2"/>
  </si>
  <si>
    <t>コンピュータサイエンス第一 (CS1)</t>
    <phoneticPr fontId="2"/>
  </si>
  <si>
    <t>⑧選択「４．オプション」の内容を含む授業科目</t>
    <rPh sb="13" eb="15">
      <t>ナイヨウ</t>
    </rPh>
    <rPh sb="16" eb="17">
      <t>フク</t>
    </rPh>
    <rPh sb="18" eb="20">
      <t>ジュギョウ</t>
    </rPh>
    <rPh sb="20" eb="22">
      <t>カモク</t>
    </rPh>
    <phoneticPr fontId="2"/>
  </si>
  <si>
    <t>選択項目</t>
    <rPh sb="0" eb="2">
      <t>センタク</t>
    </rPh>
    <rPh sb="2" eb="4">
      <t>コウモク</t>
    </rPh>
    <phoneticPr fontId="2"/>
  </si>
  <si>
    <t>コンピュータサイエンス第一</t>
    <phoneticPr fontId="2"/>
  </si>
  <si>
    <t>4‐3データ構造とプログラミング基礎</t>
  </si>
  <si>
    <t>コンピュータサイエンス第二</t>
    <phoneticPr fontId="2"/>
  </si>
  <si>
    <t>4‐2アルゴリズム基礎</t>
  </si>
  <si>
    <t>⑨プログラムを構成する授業の内容</t>
    <phoneticPr fontId="2"/>
  </si>
  <si>
    <t>授業に含まれている内容・要素</t>
    <phoneticPr fontId="2"/>
  </si>
  <si>
    <t>講義内容</t>
    <rPh sb="0" eb="2">
      <t>コウギ</t>
    </rPh>
    <rPh sb="2" eb="4">
      <t>ナイヨウ</t>
    </rPh>
    <phoneticPr fontId="2"/>
  </si>
  <si>
    <t>（１）現在進行中の社会変化（第４次産業革命、Society 5.0、データ駆動型社会等）に深く寄与しているものであり、それが自らの生活と密接に結びついている</t>
    <phoneticPr fontId="2"/>
  </si>
  <si>
    <t>・ビッグデータ、IoT、AI、ロボット 「IL1」（6回目）/「IL2」（5回目）
・データ量の増加、計算機の処理性能の向上、AIの非連続的進化 「IL1」（6回目）/「IL2」（5回目）
・第4次産業革命、Society 5.0、データ駆動型社会 「IL2」（5回目）
・複数技術を組み合わせたAIサービス 「IL1」（6回目）
・人間の知的活動とAIの関係性 「IL2」（5回目）</t>
    <phoneticPr fontId="2"/>
  </si>
  <si>
    <t>1-6</t>
    <phoneticPr fontId="2"/>
  </si>
  <si>
    <t>・AI等を活用した新しいビジネスモデル(シェアリングエコノミー、商品のレコメンデーションなど) 「IL1」（6回目）
・AI最新技術の活用例(深層生成モデル、敵対的生成ネットワーク、強化学習、転移学習など) 「IL2」（5回目）</t>
    <phoneticPr fontId="2"/>
  </si>
  <si>
    <t>（２）「社会で活用されているデータ」や「データの活用領域」は非常に広範囲であって、日常生活や社会の課題を解決する有用なツールになり得るもの</t>
    <phoneticPr fontId="2"/>
  </si>
  <si>
    <t>・調査データ、実験データ、人の行動ログデータ、機械の稼働ログデータなど  「IL2」（2回目）
・1次データ、2次データ、データのメタ化 「IL1」（６回目）/「CS1」（1回目）
・構造化データ、非構造化データ(文章、画像/動画、音声/音楽など) 「IL2」（6回目）/「CS1」（1回目）
・データ作成(ビッグデータとアノテーション) 「IL2」（6回目）
・データのオープン化(オープンデータ) 「IL2」（6回目）</t>
    <phoneticPr fontId="2"/>
  </si>
  <si>
    <t>・データ・AI活用領域の広がり（生産、消費、文化活動など）  「CS2」（7回目）
・研究開発、調達、製造、物流、販売、マーケティング、サービスなど 「IL2」（5回目）
・仮説検証、知識発見、原因究明、計画策定、判断支援、活動代替、新規生成など 「IL2」（5回目）/「CS2」（7回目）</t>
    <phoneticPr fontId="2"/>
  </si>
  <si>
    <t>（３）様々なデータ利活用の現場におけるデータ利活用事例が示され、様々な適用領域（流通、製造、金融、サービス、インフラ、公共、ヘルスケア等）の知見と組み合わせることで価値を創出するもの</t>
    <phoneticPr fontId="2"/>
  </si>
  <si>
    <t>・データ解析：予測、グルーピング、パターン発見、最適化など  「CS1」（1回目）/「CS2」（6, 7回目）
・データ可視化：複合グラフ、2軸グラフ、多次元の可視化、関係性の可視化、地図上の可視化、挙動・軌跡の可視化、リアルタイム可視化など  「IL2」（2, 4回目）
・認識技術、ルールベース、自動化技術 「CS2」（6, 7回目）</t>
    <phoneticPr fontId="2"/>
  </si>
  <si>
    <t>・データサイエンスのサイクル(課題抽出と定式化、データの取得・管理・加工、 探索的データ解析、データ解析と推論、結果の共有・伝達、課題解決に向けた提案) 「CS2」（2, 4, 6回目）
・流通、製造、金融、サービス、インフラ、公共、ヘルスケア等におけるデータ・AI利活用事例紹介 「IL2」（5回目）</t>
    <phoneticPr fontId="2"/>
  </si>
  <si>
    <t>（４）活用に当たっての様々な留意事項（ELSI、個人情報、データ倫理、ＡＩ社会原則等）を考慮し、情報セキュリティや情報漏洩等、データを守る上での留意事項への理解をする</t>
    <phoneticPr fontId="2"/>
  </si>
  <si>
    <t>・ELSI(Ethical, Legal and Social Issues)  「IL2」（5回目）
・個人情報保護、EU一般データ保護規則(GDPR)、忘れられる権利、オプトアウト  「IL1」（3回目）
・データ倫理:データのねつ造、改ざん、盗用、プライバシー保護  「IL1」（5, 7回目）
・AI社会原則(公平性、説明責任、透明性、人間中心の判断)  「IL2」（5回目）</t>
    <phoneticPr fontId="2"/>
  </si>
  <si>
    <t>・情報セキュリティ:機密性、完全性、可用性  「IL1」（7回目）
・匿名加工情報、暗号化、パスワード、悪意ある情報搾取  「IL2」（6回目）
・情報漏洩等によるセキュリティ事故の事例紹介 「IL1」（7回目）</t>
    <phoneticPr fontId="2"/>
  </si>
  <si>
    <t>（５）実データ・実課題（学術データ等を含む）を用いた演習など、社会での実例を題材として、「データを読む、説明する、扱う」といった数理・データサイエンス・ＡＩの基本的な活用法に関するもの</t>
    <phoneticPr fontId="2"/>
  </si>
  <si>
    <t>・データの種類(量的変数、質的変数)  「IL2」（6回目）/ 「CS1」（1回目）
・データの分布(ヒストグラム)と代表値(平均値、中央値、最頻値)  「IL2」（6回目）
・データのばらつき(分散、標準偏差、偏差値) 「IL2」（6回目）
・相関と因果(相関係数、擬似相関、交絡)  「IL2」（6回目）</t>
    <phoneticPr fontId="2"/>
  </si>
  <si>
    <t>・データ表現(棒グラフ、折線グラフ、散布図、ヒートマップ)   「IL2」（2回目）
・データの図表表現(チャート化)   「IL2」（6回目）
・不適切なグラフ表現(チャートジャンク、不必要な視覚的要素)  「IL2」（2回目）</t>
    <phoneticPr fontId="2"/>
  </si>
  <si>
    <t>・データの集計(和、平均)  「IL2」（6回目）
・データの並び替え、ランキング ・データ解析ツール(スプレッドシート)  「CS1」（4回目）/ 「IL2」（6回目）
・表形式のデータ(csv)  「IL2」（6回目）/「CS2」（5回目）</t>
    <phoneticPr fontId="2"/>
  </si>
  <si>
    <t>⑩プログラムの学修成果（学生等が身に付けられる能力等）</t>
    <phoneticPr fontId="2"/>
  </si>
  <si>
    <t>将来的に学生が進むであろう専門分野に依らず、数理・データサイエンス・AIを駆使して問題解決ができる能力を身につけるための基礎的素養を習得し、引き続く学士課程における応用基礎レベル、さらには大学院課程におけるエキスパートレベルの能力獲得の際に基盤となる基本的なプログラミング能力を獲得する。</t>
  </si>
  <si>
    <t>⑪プログラムの授業内容等を公表しているアドレス</t>
    <phoneticPr fontId="2"/>
  </si>
  <si>
    <t>https://www.dsai.titech.ac.jp/ja/program/literacy.html</t>
    <rPh sb="43" eb="46">
      <t xml:space="preserve">ジュンビチュウ </t>
    </rPh>
    <phoneticPr fontId="2"/>
  </si>
  <si>
    <t>様式３</t>
    <rPh sb="0" eb="2">
      <t>ヨウシキ</t>
    </rPh>
    <phoneticPr fontId="2"/>
  </si>
  <si>
    <t>プログラムの履修者数等の実績について</t>
    <phoneticPr fontId="2"/>
  </si>
  <si>
    <t>①プログラム開設年度</t>
    <rPh sb="6" eb="8">
      <t>カイセツ</t>
    </rPh>
    <rPh sb="8" eb="10">
      <t>ネンド</t>
    </rPh>
    <phoneticPr fontId="2"/>
  </si>
  <si>
    <t>②履修者・修了者の実績</t>
    <rPh sb="1" eb="3">
      <t>リシュウ</t>
    </rPh>
    <rPh sb="3" eb="4">
      <t>シャ</t>
    </rPh>
    <rPh sb="5" eb="8">
      <t>シュウリョウシャ</t>
    </rPh>
    <rPh sb="9" eb="11">
      <t>ジッセキ</t>
    </rPh>
    <phoneticPr fontId="2"/>
  </si>
  <si>
    <t>学部・学科名称</t>
    <rPh sb="0" eb="2">
      <t>ガクブ</t>
    </rPh>
    <rPh sb="3" eb="5">
      <t>ガッカ</t>
    </rPh>
    <rPh sb="5" eb="7">
      <t>メイショウ</t>
    </rPh>
    <phoneticPr fontId="2"/>
  </si>
  <si>
    <t>入学
定員</t>
    <rPh sb="0" eb="2">
      <t>ニュウガク</t>
    </rPh>
    <rPh sb="3" eb="5">
      <t>テイイン</t>
    </rPh>
    <phoneticPr fontId="2"/>
  </si>
  <si>
    <t>収容
定員</t>
    <rPh sb="0" eb="2">
      <t>シュウヨウ</t>
    </rPh>
    <rPh sb="3" eb="5">
      <t>テイイン</t>
    </rPh>
    <phoneticPr fontId="2"/>
  </si>
  <si>
    <t>令和3年度</t>
    <rPh sb="0" eb="2">
      <t>レイワ</t>
    </rPh>
    <rPh sb="3" eb="5">
      <t>ネンド</t>
    </rPh>
    <phoneticPr fontId="2"/>
  </si>
  <si>
    <t>令和2年度</t>
    <rPh sb="0" eb="2">
      <t>レイワ</t>
    </rPh>
    <rPh sb="3" eb="5">
      <t>ネンド</t>
    </rPh>
    <phoneticPr fontId="2"/>
  </si>
  <si>
    <t>令和元年度</t>
    <rPh sb="0" eb="2">
      <t>レイワ</t>
    </rPh>
    <rPh sb="2" eb="3">
      <t>モト</t>
    </rPh>
    <rPh sb="3" eb="5">
      <t>ネンド</t>
    </rPh>
    <phoneticPr fontId="2"/>
  </si>
  <si>
    <t>平成30年度</t>
    <rPh sb="0" eb="2">
      <t>ヘイセイ</t>
    </rPh>
    <rPh sb="4" eb="6">
      <t>ネンド</t>
    </rPh>
    <phoneticPr fontId="2"/>
  </si>
  <si>
    <t>平成29年度</t>
    <rPh sb="0" eb="2">
      <t>ヘイセイ</t>
    </rPh>
    <rPh sb="4" eb="6">
      <t>ネンド</t>
    </rPh>
    <phoneticPr fontId="2"/>
  </si>
  <si>
    <t>平成28年度</t>
    <rPh sb="0" eb="2">
      <t>ヘイセイ</t>
    </rPh>
    <rPh sb="4" eb="6">
      <t>ネンド</t>
    </rPh>
    <phoneticPr fontId="2"/>
  </si>
  <si>
    <t>履修者数
合計</t>
    <rPh sb="0" eb="2">
      <t>リシュウ</t>
    </rPh>
    <rPh sb="2" eb="3">
      <t>シャ</t>
    </rPh>
    <rPh sb="3" eb="4">
      <t>スウ</t>
    </rPh>
    <rPh sb="5" eb="7">
      <t>ゴウケイ</t>
    </rPh>
    <phoneticPr fontId="2"/>
  </si>
  <si>
    <t>履修率</t>
    <rPh sb="0" eb="2">
      <t>リシュウ</t>
    </rPh>
    <rPh sb="2" eb="3">
      <t>リツ</t>
    </rPh>
    <phoneticPr fontId="2"/>
  </si>
  <si>
    <t>履修者数</t>
    <rPh sb="0" eb="2">
      <t>リシュウ</t>
    </rPh>
    <rPh sb="2" eb="3">
      <t>シャ</t>
    </rPh>
    <rPh sb="3" eb="4">
      <t>スウ</t>
    </rPh>
    <phoneticPr fontId="2"/>
  </si>
  <si>
    <t>修了者数</t>
    <rPh sb="0" eb="3">
      <t>シュウリョウシャ</t>
    </rPh>
    <rPh sb="3" eb="4">
      <t>スウ</t>
    </rPh>
    <phoneticPr fontId="2"/>
  </si>
  <si>
    <t>理学院</t>
    <phoneticPr fontId="2"/>
  </si>
  <si>
    <t>工学院</t>
    <phoneticPr fontId="2"/>
  </si>
  <si>
    <t>物質理工学院</t>
    <phoneticPr fontId="2"/>
  </si>
  <si>
    <t>情報理工学院</t>
    <phoneticPr fontId="2"/>
  </si>
  <si>
    <t>生命理工学院</t>
    <phoneticPr fontId="2"/>
  </si>
  <si>
    <t>環境・社会理工学院</t>
    <phoneticPr fontId="2"/>
  </si>
  <si>
    <t>合　計</t>
    <phoneticPr fontId="2"/>
  </si>
  <si>
    <t>　　　　　　　　　　　　　　　　　　　　　　　　　　　　　　　　　　　　　　　　　　　　　　　　　　　　　　　　　　　　　　　　　　　　　　　　　　　　　　　　　　　　　　　　　　　　　　　　　　　　　　　　　　　　　　　　　　　　　　　　　　　　　　　　　　　　　　　　　　　　　　　　　　　　　　　　　　　　　　　　　　　　　　　　　　　　　　　　　　　　　　　　　　　　　　　　　　　　　　　　　　　　　　　　　　　　　　　　　　　　　　　　　　　　　　　　　　　　　　　　　　　　　　　　　　　　　　　　　　　　　　　　　　　　　　　　　　　　　　　　　　　　　　　　　　　　　　　　　　　　　　　　　　　　　　　　　　　　　　　　　　　　　　　　　　　　　　　　　　　　　　　　　　　　　　　　　　　　　　　　　　　　　　　　　　　　　　　　　　　　　　　　　　　　　　　　　　　　　　　　　　　　　　　　　　　　　　　　　　　　　　　　　　　　　　　　　　　　　　　　　　　　　　　　　　　　　　　　　　　　　　　　　　　　　　　　　　　　　　　　　　　　　　　　　　　　　　　　　　　　　　　　　　　　　　　　　　　　　　　　　　　　　　　　　　　　　　　　　　　　　　　　　　　　　　　　　　　　　　　　　　　　　　　　　　　　　　　　　　　　　　　　　　　　　　　　　　　　　　　　　　　　　　　　　　　　　　　　　　　　　　　　　　　　　　　　　　　　　　　　　　　　　　　　　　　　　　　　　　　　　　　　　　　　　　　　　　　　　　　　　　　　　　　　　　　　　　　　　　　　　　　　　　　　　　　　　　　　　　　　　　　　　　　　　　　　　　</t>
    <phoneticPr fontId="2"/>
  </si>
  <si>
    <t>様式４</t>
    <rPh sb="0" eb="2">
      <t>ヨウシキ</t>
    </rPh>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</si>
  <si>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</si>
  <si>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プログラムを改善・進化させるための体制を定める規則名称</t>
    <phoneticPr fontId="2"/>
  </si>
  <si>
    <t>データサイエンス・AI全学教育実施委員会内規</t>
    <phoneticPr fontId="2"/>
  </si>
  <si>
    <t>体制の目的</t>
    <rPh sb="0" eb="2">
      <t>タイセイ</t>
    </rPh>
    <rPh sb="3" eb="5">
      <t>モクテキ</t>
    </rPh>
    <phoneticPr fontId="2"/>
  </si>
  <si>
    <t>理工系大学院修士レベルの高度データサイエンス(以下データサイエンスをDSと略す)・AI全学教育のために設置されていたDS・AI全学教育実施WGを、学士課程レベルから大学院博士課程レベルまで一貫したDS・AI全学教育を行うことを目的に、全学組織である教育・国際連携本部直下のDS・AI全学教育実施委員会として再編し、令和３年度に設置。学生が所属する全ての学院・教育院から選出された教員により構成される本委員会は、学士課程１年次の理工系教養科目（情報）実施委員会と連携しつつ、DS・AI教育におけるカリキュラムや教材の検討、授業実施に関わる学院間の調整等、リテラシーレベルからエキスパートレベルまでカバーする全学DS・AI教育の充実を担う。</t>
    <phoneticPr fontId="2"/>
  </si>
  <si>
    <t>③</t>
    <phoneticPr fontId="2"/>
  </si>
  <si>
    <t>具体的な構成員</t>
    <rPh sb="0" eb="3">
      <t>グタイテキ</t>
    </rPh>
    <rPh sb="4" eb="7">
      <t>コウセイイン</t>
    </rPh>
    <phoneticPr fontId="2"/>
  </si>
  <si>
    <t>副学長（教育運営担当）　　　　　　　　教授　　　井村 順一　　　　　　（令和３年５月現在の構成員）
理事・副学長特別補佐（教育推進部門長）教授　　　神田 学
理事・副学長特別補佐　　　　　　　　　教授　　　岩澤 伸治
情報理工学院　　　　　　　　　　　　　教授　　　三宅 美博（主査）
情報理工学院　　　　　　　　　　　　　准教授　　金崎 朝子
情報理工学院　　　　　　　　　　　　　助教　　　柳澤 渓甫
理学院　　　　　　　　　　　　　　　　教授　　　陣内 修
工学院　　　　　　　　　　　　　　　　教授　　　藤田 英明
物質理工学院　　　　　　　　　　　　　准教授　　松本 秀行
情報理工学院　　　　　　　　　　　　　教授　　　村田 剛志（副主査）
生命理工学院　　　　　　　　　　　　　教授　　　伊藤 武彦
環境・社会理工学院　　　　　　　　　　教授　　　鍵 直樹
物質・情報卓越教育院　　　　　　　　　准教授　　関嶋 政和
超スマート社会卓越教育院　　　　　　　特任助教　新山 祐介
エネルギー・情報卓越教育院　　　　　　准教授　　MANZHOS, Sergei</t>
    <phoneticPr fontId="2"/>
  </si>
  <si>
    <t>履修者数・履修率の向上に向けた計画</t>
    <rPh sb="5" eb="7">
      <t>リシュウ</t>
    </rPh>
    <rPh sb="7" eb="8">
      <t>リツ</t>
    </rPh>
    <phoneticPr fontId="2"/>
  </si>
  <si>
    <t>令和３年度実績</t>
    <rPh sb="0" eb="2">
      <t>レイワ</t>
    </rPh>
    <rPh sb="3" eb="5">
      <t>ネンド</t>
    </rPh>
    <rPh sb="5" eb="7">
      <t>ジッセキ</t>
    </rPh>
    <phoneticPr fontId="2"/>
  </si>
  <si>
    <t>令和４年度予定</t>
    <rPh sb="0" eb="2">
      <t>レイワ</t>
    </rPh>
    <rPh sb="3" eb="5">
      <t>ネンド</t>
    </rPh>
    <rPh sb="5" eb="7">
      <t>ヨテイ</t>
    </rPh>
    <phoneticPr fontId="2"/>
  </si>
  <si>
    <t>令和５年度予定</t>
    <rPh sb="0" eb="2">
      <t>レイワ</t>
    </rPh>
    <rPh sb="3" eb="5">
      <t>ネンド</t>
    </rPh>
    <rPh sb="5" eb="7">
      <t>ヨテイ</t>
    </rPh>
    <phoneticPr fontId="2"/>
  </si>
  <si>
    <t>令和６年度予定</t>
    <rPh sb="0" eb="2">
      <t>レイワ</t>
    </rPh>
    <rPh sb="3" eb="5">
      <t>ネンド</t>
    </rPh>
    <rPh sb="5" eb="7">
      <t>ヨテイ</t>
    </rPh>
    <phoneticPr fontId="2"/>
  </si>
  <si>
    <t>令和７年度予定</t>
    <rPh sb="0" eb="2">
      <t>レイワ</t>
    </rPh>
    <rPh sb="3" eb="5">
      <t>ネンド</t>
    </rPh>
    <rPh sb="5" eb="7">
      <t>ヨテイ</t>
    </rPh>
    <phoneticPr fontId="2"/>
  </si>
  <si>
    <t>収容定員（名）</t>
    <rPh sb="0" eb="4">
      <t>シュウヨウテイイン</t>
    </rPh>
    <rPh sb="5" eb="6">
      <t>メイ</t>
    </rPh>
    <phoneticPr fontId="2"/>
  </si>
  <si>
    <t>具体的な計画</t>
    <rPh sb="0" eb="3">
      <t>グタイテキ</t>
    </rPh>
    <rPh sb="4" eb="6">
      <t>ケイカク</t>
    </rPh>
    <phoneticPr fontId="2"/>
  </si>
  <si>
    <t>プログラムを開始した令和３年度は、それまで各学院に委ねられていたリテラシーレベルのDS・AI教育を学士課程１年次における全学教育に移行するための過渡的な期間であったため、プログラム履修対象者を全学から無作為にクラス分けした後、特別講義を実施した２クラスのみに制限せざるを得なかったことから履修率が低い結果となった。対象外となったクラスに配属された学生には救済措置として令和４年度に補講を行い履修対象者とする。さらに、令和４年度以降は、4科目に分散しているリテラシーレベルの学修内容を整理・体系化した理工系教養科目（情報）「基礎データサイエンス・AI」を新設し、クラスの制限をなくし全学教育を本格実施することで、収容定員に対する履修率は年度経過と共に順調に増えることを見込んでいる。</t>
    <rPh sb="113" eb="115">
      <t xml:space="preserve">トクベツ </t>
    </rPh>
    <rPh sb="115" eb="117">
      <t xml:space="preserve">コウギ </t>
    </rPh>
    <rPh sb="118" eb="120">
      <t xml:space="preserve">ジッシシタ </t>
    </rPh>
    <rPh sb="305" eb="307">
      <t xml:space="preserve">シュウヨウ </t>
    </rPh>
    <rPh sb="307" eb="309">
      <t xml:space="preserve">テイイン </t>
    </rPh>
    <rPh sb="310" eb="311">
      <t xml:space="preserve">タイスル </t>
    </rPh>
    <rPh sb="313" eb="316">
      <t xml:space="preserve">リシュウリツ </t>
    </rPh>
    <rPh sb="317" eb="319">
      <t xml:space="preserve">ネンド </t>
    </rPh>
    <rPh sb="319" eb="321">
      <t xml:space="preserve">ケイカ </t>
    </rPh>
    <rPh sb="324" eb="326">
      <t xml:space="preserve">ジュンチョウニ </t>
    </rPh>
    <rPh sb="327" eb="328">
      <t xml:space="preserve">フエル </t>
    </rPh>
    <rPh sb="333" eb="335">
      <t xml:space="preserve">ミコンデ </t>
    </rPh>
    <phoneticPr fontId="2"/>
  </si>
  <si>
    <t>学部・学科に関係なく希望する学生全員が受講可能となるような必要な体制・取組等</t>
    <rPh sb="29" eb="31">
      <t>ヒツヨウ</t>
    </rPh>
    <rPh sb="32" eb="34">
      <t>タイセイ</t>
    </rPh>
    <rPh sb="35" eb="37">
      <t>トリクミ</t>
    </rPh>
    <rPh sb="37" eb="38">
      <t>トウ</t>
    </rPh>
    <phoneticPr fontId="2"/>
  </si>
  <si>
    <t>プログラムを構成する理工系教養科目（情報）は、学生が入学時に所属する学院とは無関係に誰もが受講できる学士課程１年次の全学科目であり、きめ細かな学修指導を可能とするために１クラスの人数が数十名程度となるように複数クラス編成としている。令和３年度実績では、プログラム対象履修者以外を含んだ理工系教養科目（情報）４科目履修者数は733名であり、必修科目でないにも関わらず学士課程１年次学生の7割程度が履修している。全学教育への移行期の令和３年度に行ったクラス制限を令和４年度からは取り払い、上述の科目「基礎データサイエンス・AI」を新設することにより希望する学生が受講可能な体制を整える。さらに、令和４年度からは全学教育を実施する部門を設置し、実施運営に関わる教員を増員する予定である。</t>
    <rPh sb="156" eb="158">
      <t xml:space="preserve">リシュウヘシャ </t>
    </rPh>
    <rPh sb="159" eb="160">
      <t xml:space="preserve">スウ </t>
    </rPh>
    <rPh sb="164" eb="165">
      <t xml:space="preserve">ジョウジュツ </t>
    </rPh>
    <rPh sb="169" eb="171">
      <t xml:space="preserve">ヒッシュウ </t>
    </rPh>
    <rPh sb="171" eb="173">
      <t xml:space="preserve">カモク </t>
    </rPh>
    <rPh sb="182" eb="186">
      <t xml:space="preserve">ガクシカテイ </t>
    </rPh>
    <rPh sb="189" eb="191">
      <t xml:space="preserve">ガクセイ </t>
    </rPh>
    <rPh sb="193" eb="194">
      <t xml:space="preserve">ワリ </t>
    </rPh>
    <rPh sb="194" eb="196">
      <t xml:space="preserve">テイド </t>
    </rPh>
    <rPh sb="197" eb="199">
      <t xml:space="preserve">リシュウシテイル </t>
    </rPh>
    <rPh sb="205" eb="207">
      <t xml:space="preserve">シンセツ </t>
    </rPh>
    <rPh sb="214" eb="216">
      <t xml:space="preserve">キボウスル </t>
    </rPh>
    <rPh sb="229" eb="230">
      <t xml:space="preserve">トトノエル </t>
    </rPh>
    <rPh sb="280" eb="282">
      <t xml:space="preserve">レイワ </t>
    </rPh>
    <rPh sb="288" eb="292">
      <t>ゼンガク</t>
    </rPh>
    <rPh sb="293" eb="295">
      <t xml:space="preserve">ジッシイインカイ </t>
    </rPh>
    <rPh sb="297" eb="299">
      <t xml:space="preserve">ブモン </t>
    </rPh>
    <rPh sb="300" eb="302">
      <t xml:space="preserve">セッチ </t>
    </rPh>
    <rPh sb="304" eb="308">
      <t xml:space="preserve">ジッシウンエイニ </t>
    </rPh>
    <rPh sb="309" eb="310">
      <t xml:space="preserve">カカワル </t>
    </rPh>
    <rPh sb="312" eb="314">
      <t xml:space="preserve">キョウイン </t>
    </rPh>
    <rPh sb="315" eb="317">
      <t xml:space="preserve">ゾウイン </t>
    </rPh>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</si>
  <si>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</si>
  <si>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入学時のガイダンスにおいて、理工系教養科目（情報）の学修項目が所属学院を問わず理工系総合大学である本学では必須基盤となることを周知している。さらに、データサイエンス・AI全学教育実施委員会委員がそれぞれ所属する学院の教授会・代議員会等で説明を行い、各教員から学生への周知を依頼する。一方、本学の大学院課程では既にエキスパートレベルの人材育成をめざした高度DS・AI教育を行う特別専門学修プログラムが実施されており、本プログラムはDS・AI教育における初期段階としてそれに繋がるリテラシーレベル全学教育となっており、その重要性を本プログラムのウェブサイトを通して発信し周知に努める。</t>
    <rPh sb="94" eb="96">
      <t xml:space="preserve">イイン </t>
    </rPh>
    <rPh sb="101" eb="103">
      <t xml:space="preserve">ショゾク </t>
    </rPh>
    <rPh sb="116" eb="117">
      <t xml:space="preserve">トウ </t>
    </rPh>
    <rPh sb="124" eb="125">
      <t xml:space="preserve">カク </t>
    </rPh>
    <rPh sb="125" eb="127">
      <t xml:space="preserve">キョウイン </t>
    </rPh>
    <rPh sb="136" eb="138">
      <t xml:space="preserve">イライ </t>
    </rPh>
    <rPh sb="141" eb="143">
      <t xml:space="preserve">イッポウ </t>
    </rPh>
    <rPh sb="219" eb="221">
      <t xml:space="preserve">キョウイクノ </t>
    </rPh>
    <phoneticPr fontId="2"/>
  </si>
  <si>
    <t>⑦</t>
    <phoneticPr fontId="2"/>
  </si>
  <si>
    <t>できる限り多くの学生が履修・修得できるようなサポート体制</t>
    <rPh sb="26" eb="28">
      <t>タイセイ</t>
    </rPh>
    <phoneticPr fontId="2"/>
  </si>
  <si>
    <t>理工系教養科目（情報）の各科目は、全新入生を対象として開講され、全学の時間割編成でどの学生も履修できる機会を提供している。また、きめ細かい学修指導を目的として１クラス数十名を限度とした多クラス編成とし、授業支援システムやチャットを介してリアルタイムのフィードバックをしている。なお、多クラス編成とする際に、基本的に学修内容が大きく異なることのないよう共通シラバスを用意した上で、各クラス担当教員間で調整を行なっている。令和３年度に関しては コロナ禍対応のためオンライン授業を基本としたが、令和４年度以降はオンライン授業実施により得られたノウハウに基づき特定の授業について録画動画を視聴できるよう計画している。</t>
    <rPh sb="234" eb="236">
      <t xml:space="preserve">ジュギョウ </t>
    </rPh>
    <rPh sb="249" eb="251">
      <t xml:space="preserve">ジュギョウ </t>
    </rPh>
    <rPh sb="251" eb="253">
      <t xml:space="preserve">ジッシ </t>
    </rPh>
    <rPh sb="256" eb="257">
      <t xml:space="preserve">エラレタ </t>
    </rPh>
    <rPh sb="265" eb="266">
      <t xml:space="preserve">モトニ </t>
    </rPh>
    <rPh sb="269" eb="271">
      <t xml:space="preserve">レイワ </t>
    </rPh>
    <rPh sb="274" eb="275">
      <t xml:space="preserve">イコウ </t>
    </rPh>
    <rPh sb="276" eb="278">
      <t xml:space="preserve">トクテイ </t>
    </rPh>
    <rPh sb="279" eb="281">
      <t xml:space="preserve">ジュギョウ </t>
    </rPh>
    <rPh sb="290" eb="292">
      <t xml:space="preserve">シチョウ </t>
    </rPh>
    <phoneticPr fontId="2"/>
  </si>
  <si>
    <t>授業時間内外で学習指導、質問を受け付ける具体的な仕組み</t>
    <rPh sb="20" eb="23">
      <t>グタイテキ</t>
    </rPh>
    <phoneticPr fontId="2"/>
  </si>
  <si>
    <t>本学の学修管理システムであるT2SCHOLAを通して課題管理や課題提出状況を担当教員がリアルタイムに把握できると同時に、質問等を受け付ける仕組みが整っている。また、授業時間内並びにオフィスアワーを利用して、学生から直接質問を受け付ける時間を十分確保している。さらに、担当教員毎にSNSやメールを併用して随時質問を受け付けている他、授業毎に行っている演習の結果や課題提出の際には、できる限り授業の感想、疑問点、質問を書くように推奨し、学習指導・質問への対応を積極的に行っている。</t>
    <phoneticPr fontId="2"/>
  </si>
  <si>
    <t>　　　　　　　　　　　　　　　　　　　　　　　　　　　　　　　　　　　　　　　　　　　　　　　　　　　　　　　　　　　　　　　　　　　　　　　　　</t>
    <phoneticPr fontId="2"/>
  </si>
  <si>
    <t>様式５</t>
    <rPh sb="0" eb="2">
      <t>ヨウシキ</t>
    </rPh>
    <phoneticPr fontId="2"/>
  </si>
  <si>
    <t>自己点検・評価について</t>
    <rPh sb="0" eb="2">
      <t>ジコ</t>
    </rPh>
    <rPh sb="2" eb="4">
      <t>テンケン</t>
    </rPh>
    <rPh sb="5" eb="7">
      <t>ヒョウカ</t>
    </rPh>
    <phoneticPr fontId="2"/>
  </si>
  <si>
    <t>自己点検・評価体制における意見等</t>
    <rPh sb="15" eb="16">
      <t>トウ</t>
    </rPh>
    <phoneticPr fontId="2"/>
  </si>
  <si>
    <t>自己点検・評価の視点</t>
    <rPh sb="0" eb="2">
      <t>ジコ</t>
    </rPh>
    <rPh sb="2" eb="4">
      <t>テンケン</t>
    </rPh>
    <rPh sb="5" eb="7">
      <t>ヒョウカ</t>
    </rPh>
    <rPh sb="8" eb="10">
      <t>シテン</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</si>
  <si>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</si>
  <si>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</si>
  <si>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</si>
  <si>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t>プログラムを構成する科目の履修状況や修得状況については、教務Web及び本学の学修管理システムT2SCHOLAを通して担当教員がリアルタイムに把握できる仕組みが整っており、その内容が理工系教養科目（情報）実施委員会及びデータサイエンス・AI全学教育実施委員会に定期的に報告されている。当該委員会では、状況の分析や問題点の共有と対応、履修率の向上や修了者数の増加に向けた方策の検討を継続的に行っている。</t>
    <rPh sb="18" eb="20">
      <t xml:space="preserve">シュウトク </t>
    </rPh>
    <rPh sb="169" eb="171">
      <t xml:space="preserve">コウジョウ </t>
    </rPh>
    <rPh sb="172" eb="175">
      <t xml:space="preserve">シュウリョウシャ </t>
    </rPh>
    <rPh sb="175" eb="176">
      <t xml:space="preserve">シャスウ </t>
    </rPh>
    <rPh sb="177" eb="179">
      <t xml:space="preserve">ゾウカ </t>
    </rPh>
    <phoneticPr fontId="2"/>
  </si>
  <si>
    <t>学修成果</t>
    <rPh sb="0" eb="2">
      <t>ガクシュウ</t>
    </rPh>
    <rPh sb="2" eb="4">
      <t>セイカ</t>
    </rPh>
    <phoneticPr fontId="2"/>
  </si>
  <si>
    <t>本学では、教育革新センターが全授業科目について履修学生を対象として各クオータ終了時に「授業学修アンケート」を実施している。授業の難易度、理解度、関心度、到達度、講義内容、授業の進め方等、学生の学修成果に関して調査を行い、結果を担当教員にフィードバックすることにより、教育改善に活用している。本教育プログラムでも、データサイエンス・AI全学教育実施委員会が理工系教養科目（情報）実施委員会と連携して、授業学修アンケート結果を自己点検・評価に役立てている。</t>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</si>
  <si>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2"/>
  </si>
  <si>
    <t>上記「授業学修アンケート」の調査項目中の授業の難易度、理解度、関心度、到達度の集計結果より、授業全体を通した学生の内容の理解度を把握することができる。さらによりきめ細かい対応として、各授業回で適宜実施している課題レポート提出と共に授業の感想を提出してもらい、学生の理解度をチェックしながら授業を進めている。</t>
    <phoneticPr fontId="2"/>
  </si>
  <si>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</si>
  <si>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t>本学におけるデータサイエンス・AI全学教育は、学士課程１年次のリテラシーレベル、学士課程２年次の応用基礎レベル、大学院課程におけるエキスパートレベルと、それぞれの学修項目が段階的かつ効果的につながるようカリキュラムを編成している。そこで、リテラシーレベルのみならず上位レベルにおける学生の意見や感想を総合し、本教育プログラムの意義や重要性の情報をウェブサイトで発信することにより講義受講の推奨に活用する。</t>
    <rPh sb="194" eb="196">
      <t xml:space="preserve">スイショウニ </t>
    </rPh>
    <rPh sb="197" eb="199">
      <t xml:space="preserve">カツヨウ </t>
    </rPh>
    <phoneticPr fontId="2"/>
  </si>
  <si>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</si>
  <si>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理工系教養科目（情報）実施委員会とデータサイエンス・AI全学教育実施委員会が協力して、履修者数や履修率、授業学修アンケートの結果等を定期的に分析・確認している。また各学院の関連教員から全学教育で必要とされる学修内容ついてヒアリングを実施し、適宜科目の新設や既存科目における学修項目を更新するなど、履修者数や履修率の向上に向けた検討を行っている。</t>
    <phoneticPr fontId="2"/>
  </si>
  <si>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</si>
  <si>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</si>
  <si>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t>本学の学生支援センター未来人材育成部門が毎年調査収集している本学修了生の進路・就職情報や企業情報、同窓会組織を通した修了生の活躍情報を活用すると共に、「高度情報理工学人材育成事業(AI基金)」に参画しているサポーター企業からのヒアリングや、キャリアフォーラム等のイベントにおける意見交換を通して、教育プログラム修了者に対する企業評価を把握し、教育プログラムの改善に役立てる。</t>
    <rPh sb="15" eb="17">
      <t xml:space="preserve">イクセイ </t>
    </rPh>
    <rPh sb="49" eb="52">
      <t xml:space="preserve">ドウソウカイ </t>
    </rPh>
    <rPh sb="52" eb="54">
      <t xml:space="preserve">ソシキ </t>
    </rPh>
    <rPh sb="55" eb="56">
      <t xml:space="preserve">トオシタ </t>
    </rPh>
    <rPh sb="58" eb="61">
      <t xml:space="preserve">シュウリョウセイノ </t>
    </rPh>
    <rPh sb="62" eb="64">
      <t xml:space="preserve">カツヤク </t>
    </rPh>
    <rPh sb="64" eb="66">
      <t xml:space="preserve">ジョウホウ </t>
    </rPh>
    <rPh sb="85" eb="86">
      <t xml:space="preserve">イクセイ </t>
    </rPh>
    <phoneticPr fontId="2"/>
  </si>
  <si>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</si>
  <si>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t>本学は令和４年度より「数理・データサイエンス・AI教育の全国展開の推進」の拠点校に採択されており、その教育実施基盤の強化策の一つとして「高度情報理工学人材育成事業(AI基金)」を拡張したコンソーシアムを形成して共同教育と財務基盤強化を計画している。このサポーター企業として現在38社が参画しており、既にエキスパートレベル教育では共同教育を実施している。これらの参画企業からの意見を収集することによりリテラシーレベルからエキスパートレベルまでの一貫した教育プログラムの改善に役立てる。</t>
    <rPh sb="77" eb="79">
      <t xml:space="preserve">イクセイ </t>
    </rPh>
    <rPh sb="149" eb="150">
      <t xml:space="preserve">スデニ </t>
    </rPh>
    <rPh sb="160" eb="162">
      <t xml:space="preserve">キョウイク </t>
    </rPh>
    <rPh sb="164" eb="166">
      <t xml:space="preserve">キョウドウ </t>
    </rPh>
    <rPh sb="166" eb="168">
      <t xml:space="preserve">キョウイクヲ </t>
    </rPh>
    <rPh sb="169" eb="171">
      <t xml:space="preserve">ジッシ </t>
    </rPh>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</si>
  <si>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</si>
  <si>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t>各科目において座学一辺倒にならないように、できる限り身近な例や問題を題材にした実例紹介や演習を取り入れた授業を行っている。また、モデルカリキュラム（リテラシーレベル）の導入部分に準じた内容を適宜取り入れて、データサイエンス・AIを学ぶ楽しさや意義を実感できるよう工夫すると共に、将来的に自らがツールを駆使して問題解決するための基礎的なプログラミングスキルを身につけることができる授業内容としている。</t>
    <phoneticPr fontId="2"/>
  </si>
  <si>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2"/>
  </si>
  <si>
    <t>前述の通り、本学では教育革新センターが全授業科目について履修学生を対象として各クオータ終了時に「授業学修アンケート」を実施している。これにより授業の難易度や理解度をはじめとする学生の学修成果に関して調査を行い、結果を担当教員にフィードバックすることにより、教育改善に活用している。さらに、令和４年度から始まる高等学校共通必履修科目「情報Ⅰ」を学んだ学生が入学する３年後に向けて、授業内容の見直しの検討を始めている。</t>
    <phoneticPr fontId="2"/>
  </si>
  <si>
    <t>②自己点検・評価体制における意見等を公表しているアドレス</t>
    <phoneticPr fontId="2"/>
  </si>
  <si>
    <t>https://www.dsai.titech.ac.jp/ja/about/#selfcheck</t>
    <rPh sb="35" eb="38">
      <t xml:space="preserve">ジュンビチュウ </t>
    </rPh>
    <phoneticPr fontId="2"/>
  </si>
  <si>
    <t>様式６</t>
    <rPh sb="0" eb="2">
      <t>ヨウシキ</t>
    </rPh>
    <phoneticPr fontId="2"/>
  </si>
  <si>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2"/>
  </si>
  <si>
    <t>授業内容</t>
    <rPh sb="0" eb="2">
      <t>ジュギョウ</t>
    </rPh>
    <rPh sb="2" eb="4">
      <t>ナイヨウ</t>
    </rPh>
    <phoneticPr fontId="2"/>
  </si>
  <si>
    <t>学生への学習支援</t>
    <rPh sb="0" eb="2">
      <t>ガクセイ</t>
    </rPh>
    <rPh sb="4" eb="6">
      <t>ガクシュウ</t>
    </rPh>
    <rPh sb="6" eb="8">
      <t>シエン</t>
    </rPh>
    <phoneticPr fontId="2"/>
  </si>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</sst>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1">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1"/>
      <color theme="1"/>
      <name val="ＭＳ Ｐゴシック"/>
      <family val="2"/>
      <charset val="128"/>
      <scheme val="minor"/>
    </font>
    <font>
      <sz val="12"/>
      <color theme="1"/>
      <name val="ＭＳ Ｐゴシック"/>
      <family val="3"/>
      <charset val="128"/>
    </font>
    <font>
      <sz val="10.5"/>
      <color rgb="FFFF0000"/>
      <name val="ＭＳ Ｐゴシック"/>
      <family val="2"/>
      <charset val="128"/>
      <scheme val="minor"/>
    </font>
    <font>
      <sz val="11"/>
      <name val="ＭＳ Ｐゴシック"/>
      <family val="3"/>
      <charset val="128"/>
    </font>
    <font>
      <sz val="10"/>
      <color theme="1"/>
      <name val="ＭＳ ゴシック"/>
      <family val="2"/>
      <charset val="128"/>
    </font>
    <font>
      <sz val="10"/>
      <color rgb="FFFF0000"/>
      <name val="ＭＳ Ｐゴシック"/>
      <family val="3"/>
      <charset val="128"/>
      <scheme val="minor"/>
    </font>
    <font>
      <sz val="12"/>
      <color theme="1"/>
      <name val="ＭＳ Ｐゴシック"/>
      <family val="2"/>
      <charset val="128"/>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7" fillId="0" borderId="0" applyFont="0" applyFill="0" applyBorder="0" applyAlignment="0" applyProtection="0">
      <alignment vertical="center"/>
    </xf>
    <xf numFmtId="0" fontId="8" fillId="0" borderId="0" applyNumberFormat="0" applyFill="0" applyBorder="0" applyAlignment="0" applyProtection="0">
      <alignment vertical="center"/>
    </xf>
  </cellStyleXfs>
  <cellXfs count="355">
    <xf numFmtId="0" fontId="0" fillId="0" borderId="0" xfId="0">
      <alignment vertical="center"/>
    </xf>
    <xf numFmtId="0" fontId="3" fillId="0" borderId="0" xfId="0" applyFont="1">
      <alignment vertical="center"/>
    </xf>
    <xf numFmtId="0" fontId="5" fillId="0" borderId="0" xfId="0" applyFont="1">
      <alignment vertical="center"/>
    </xf>
    <xf numFmtId="0" fontId="4" fillId="0" borderId="0" xfId="0" applyFont="1">
      <alignment vertical="center"/>
    </xf>
    <xf numFmtId="0" fontId="6" fillId="0" borderId="10" xfId="0" applyFont="1" applyBorder="1" applyAlignment="1">
      <alignment vertical="top" wrapText="1"/>
    </xf>
    <xf numFmtId="0" fontId="5" fillId="0" borderId="5" xfId="0" applyFont="1" applyBorder="1" applyAlignment="1">
      <alignment vertical="top" wrapText="1"/>
    </xf>
    <xf numFmtId="0" fontId="5" fillId="0" borderId="10" xfId="0" applyFont="1" applyBorder="1" applyAlignment="1">
      <alignment vertical="top" wrapText="1"/>
    </xf>
    <xf numFmtId="0" fontId="5" fillId="0" borderId="18" xfId="0" applyFont="1" applyBorder="1" applyAlignment="1">
      <alignment vertical="top" wrapText="1"/>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9" fillId="0" borderId="0" xfId="0" applyFont="1" applyBorder="1" applyAlignment="1">
      <alignment horizontal="center"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176" fontId="9" fillId="0" borderId="0" xfId="0" applyNumberFormat="1" applyFont="1" applyAlignment="1">
      <alignment horizontal="left" vertical="center" wrapText="1"/>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5" fillId="0" borderId="20" xfId="0" applyFont="1" applyBorder="1" applyAlignment="1">
      <alignment vertical="top" wrapText="1"/>
    </xf>
    <xf numFmtId="0" fontId="9" fillId="0" borderId="0" xfId="0" applyFont="1" applyAlignment="1">
      <alignment horizontal="center" vertical="center"/>
    </xf>
    <xf numFmtId="0" fontId="9" fillId="0" borderId="1" xfId="0" applyFont="1" applyBorder="1" applyAlignment="1">
      <alignment vertical="center" shrinkToFit="1"/>
    </xf>
    <xf numFmtId="0" fontId="11"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1" fillId="0" borderId="0" xfId="0" applyFont="1" applyAlignment="1">
      <alignment vertical="center"/>
    </xf>
    <xf numFmtId="0" fontId="5" fillId="0" borderId="0" xfId="0" applyFont="1" applyAlignment="1">
      <alignment vertical="top" wrapText="1"/>
    </xf>
    <xf numFmtId="0" fontId="6" fillId="0" borderId="0" xfId="0" applyFont="1" applyAlignment="1">
      <alignment vertical="top" wrapText="1"/>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4" fillId="0" borderId="0" xfId="0" applyFont="1" applyAlignment="1">
      <alignment vertical="center" shrinkToFit="1"/>
    </xf>
    <xf numFmtId="0" fontId="4" fillId="0" borderId="5" xfId="0" applyFont="1" applyBorder="1" applyAlignment="1">
      <alignment vertical="center" shrinkToFit="1"/>
    </xf>
    <xf numFmtId="176" fontId="4" fillId="0" borderId="5" xfId="0" applyNumberFormat="1" applyFont="1" applyBorder="1" applyAlignment="1">
      <alignment vertical="center" shrinkToFit="1"/>
    </xf>
    <xf numFmtId="176" fontId="4" fillId="0" borderId="31" xfId="0" applyNumberFormat="1" applyFont="1" applyBorder="1" applyAlignment="1">
      <alignment vertical="center" shrinkToFit="1"/>
    </xf>
    <xf numFmtId="176" fontId="4" fillId="0" borderId="32"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0" fontId="4" fillId="0" borderId="18" xfId="0" applyFont="1" applyBorder="1" applyAlignment="1">
      <alignment vertical="center" shrinkToFit="1"/>
    </xf>
    <xf numFmtId="0" fontId="4" fillId="0" borderId="19" xfId="0" applyFont="1" applyBorder="1" applyAlignment="1">
      <alignment vertical="center" shrinkToFit="1"/>
    </xf>
    <xf numFmtId="176" fontId="4" fillId="0" borderId="19"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8" xfId="0" applyNumberFormat="1" applyFont="1" applyBorder="1" applyAlignment="1">
      <alignment vertical="center" shrinkToFit="1"/>
    </xf>
    <xf numFmtId="176" fontId="4" fillId="0" borderId="23" xfId="0" applyNumberFormat="1" applyFont="1" applyBorder="1" applyAlignment="1">
      <alignment vertical="center" shrinkToFit="1"/>
    </xf>
    <xf numFmtId="9" fontId="4" fillId="0" borderId="23" xfId="0" applyNumberFormat="1" applyFont="1" applyBorder="1" applyAlignment="1">
      <alignment vertical="center" shrinkToFit="1"/>
    </xf>
    <xf numFmtId="0" fontId="4" fillId="0" borderId="20" xfId="0" applyFont="1" applyBorder="1" applyAlignment="1">
      <alignment vertical="center" shrinkToFit="1"/>
    </xf>
    <xf numFmtId="176" fontId="4" fillId="0" borderId="24" xfId="0" applyNumberFormat="1" applyFont="1" applyBorder="1" applyAlignment="1">
      <alignment vertical="center" shrinkToFit="1"/>
    </xf>
    <xf numFmtId="0" fontId="4" fillId="0" borderId="25" xfId="0" applyFont="1" applyBorder="1" applyAlignment="1">
      <alignment vertical="center" shrinkToFit="1"/>
    </xf>
    <xf numFmtId="176" fontId="4" fillId="0" borderId="25"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27" xfId="0" applyNumberFormat="1" applyFont="1" applyBorder="1" applyAlignment="1">
      <alignment vertical="center" shrinkToFit="1"/>
    </xf>
    <xf numFmtId="176" fontId="4" fillId="0" borderId="28" xfId="0" applyNumberFormat="1" applyFont="1" applyBorder="1" applyAlignment="1">
      <alignment vertical="center" shrinkToFit="1"/>
    </xf>
    <xf numFmtId="9" fontId="4" fillId="0" borderId="27" xfId="0" applyNumberFormat="1" applyFont="1" applyBorder="1" applyAlignment="1">
      <alignment vertical="center" shrinkToFit="1"/>
    </xf>
    <xf numFmtId="0" fontId="9" fillId="0" borderId="0" xfId="0" applyFont="1" applyFill="1">
      <alignment vertical="center"/>
    </xf>
    <xf numFmtId="0" fontId="9" fillId="0" borderId="10" xfId="0" applyFont="1" applyBorder="1" applyAlignment="1">
      <alignment vertical="center" shrinkToFit="1"/>
    </xf>
    <xf numFmtId="49" fontId="20" fillId="0" borderId="1" xfId="0" applyNumberFormat="1" applyFont="1" applyBorder="1" applyAlignment="1">
      <alignment horizontal="center" vertical="center"/>
    </xf>
    <xf numFmtId="0" fontId="9" fillId="0" borderId="0" xfId="0" applyFont="1" applyAlignment="1">
      <alignment vertical="center" shrinkToFit="1"/>
    </xf>
    <xf numFmtId="0" fontId="9" fillId="0" borderId="0" xfId="0" applyFont="1" applyAlignment="1">
      <alignment vertical="top" wrapText="1"/>
    </xf>
    <xf numFmtId="0" fontId="10" fillId="0" borderId="2" xfId="0" applyFont="1" applyBorder="1">
      <alignment vertical="center"/>
    </xf>
    <xf numFmtId="0" fontId="10"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9" fillId="0" borderId="44" xfId="0" applyFont="1" applyBorder="1" applyAlignment="1">
      <alignment horizontal="center" vertical="center" shrinkToFit="1"/>
    </xf>
    <xf numFmtId="0" fontId="9"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4" fillId="0" borderId="0" xfId="0" applyFont="1" applyAlignment="1">
      <alignment horizontal="left" vertical="center"/>
    </xf>
    <xf numFmtId="0" fontId="4" fillId="0" borderId="14"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24" xfId="0" applyFont="1" applyBorder="1" applyAlignment="1">
      <alignment horizontal="left" vertical="center" shrinkToFit="1"/>
    </xf>
    <xf numFmtId="0" fontId="4" fillId="0" borderId="10" xfId="0" applyFont="1" applyBorder="1" applyAlignment="1">
      <alignment vertical="center" shrinkToFit="1"/>
    </xf>
    <xf numFmtId="0" fontId="4" fillId="0" borderId="28" xfId="0" applyFont="1" applyBorder="1" applyAlignment="1">
      <alignment horizontal="center" vertical="center" shrinkToFit="1"/>
    </xf>
    <xf numFmtId="0" fontId="4" fillId="0" borderId="26" xfId="0" applyFont="1" applyBorder="1" applyAlignment="1">
      <alignment vertical="center" shrinkToFit="1"/>
    </xf>
    <xf numFmtId="0" fontId="4" fillId="0" borderId="0" xfId="0" applyFont="1" applyAlignment="1">
      <alignment vertical="top" wrapText="1"/>
    </xf>
    <xf numFmtId="0" fontId="4" fillId="0" borderId="0" xfId="0" applyFont="1" applyAlignment="1">
      <alignment vertical="center" wrapText="1"/>
    </xf>
    <xf numFmtId="0" fontId="9" fillId="0" borderId="7" xfId="0" applyFont="1" applyBorder="1" applyAlignment="1">
      <alignment horizontal="center" vertical="center" wrapText="1" shrinkToFit="1"/>
    </xf>
    <xf numFmtId="9" fontId="9" fillId="0" borderId="8" xfId="0" applyNumberFormat="1" applyFont="1" applyBorder="1" applyAlignment="1">
      <alignment horizontal="center" vertical="center" wrapText="1" shrinkToFit="1"/>
    </xf>
    <xf numFmtId="0" fontId="9" fillId="0" borderId="8" xfId="0" applyFont="1" applyBorder="1" applyAlignment="1">
      <alignment horizontal="center" vertical="center" wrapText="1" shrinkToFit="1"/>
    </xf>
    <xf numFmtId="0" fontId="9" fillId="0" borderId="9" xfId="0" applyFont="1" applyBorder="1" applyAlignment="1">
      <alignment horizontal="center" vertical="center" shrinkToFit="1"/>
    </xf>
    <xf numFmtId="176" fontId="9" fillId="0" borderId="45" xfId="0" applyNumberFormat="1" applyFont="1" applyBorder="1" applyAlignment="1">
      <alignment horizontal="center" vertical="center" shrinkToFit="1"/>
    </xf>
    <xf numFmtId="0" fontId="9" fillId="0" borderId="46" xfId="0" applyFont="1" applyBorder="1" applyAlignment="1">
      <alignment horizontal="center" vertical="center" shrinkToFit="1"/>
    </xf>
    <xf numFmtId="0" fontId="5" fillId="0" borderId="0" xfId="0" applyFont="1" applyAlignment="1">
      <alignment vertical="top" shrinkToFit="1"/>
    </xf>
    <xf numFmtId="0" fontId="5" fillId="0" borderId="0" xfId="0" applyFont="1" applyAlignment="1">
      <alignment vertical="center" wrapText="1"/>
    </xf>
    <xf numFmtId="0" fontId="9" fillId="0" borderId="2" xfId="0" applyFont="1" applyBorder="1" applyAlignment="1">
      <alignment vertical="center"/>
    </xf>
    <xf numFmtId="0" fontId="9" fillId="0" borderId="3" xfId="0" applyFont="1" applyBorder="1" applyAlignment="1">
      <alignment vertical="center"/>
    </xf>
    <xf numFmtId="0" fontId="9" fillId="0" borderId="4" xfId="0" applyFont="1" applyBorder="1" applyAlignment="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13" xfId="0" applyFont="1" applyBorder="1" applyAlignment="1">
      <alignment horizontal="center" vertical="center" shrinkToFit="1"/>
    </xf>
    <xf numFmtId="0" fontId="4" fillId="0" borderId="0" xfId="0" applyFont="1" applyBorder="1" applyAlignment="1">
      <alignment vertical="center" shrinkToFit="1"/>
    </xf>
    <xf numFmtId="0" fontId="9" fillId="0" borderId="1" xfId="0" applyFont="1" applyBorder="1" applyAlignment="1">
      <alignment horizontal="center" vertical="center" shrinkToFit="1"/>
    </xf>
    <xf numFmtId="0" fontId="9" fillId="0" borderId="43" xfId="0" applyFont="1" applyBorder="1" applyAlignment="1">
      <alignment horizontal="center" vertical="center" shrinkToFit="1"/>
    </xf>
    <xf numFmtId="9" fontId="4" fillId="0" borderId="8" xfId="0" applyNumberFormat="1" applyFont="1" applyBorder="1" applyAlignment="1">
      <alignment horizontal="center" vertical="center" wrapText="1" shrinkToFit="1"/>
    </xf>
    <xf numFmtId="9" fontId="4" fillId="0" borderId="8" xfId="0" applyNumberFormat="1" applyFont="1" applyBorder="1" applyAlignment="1">
      <alignment horizontal="center" vertical="center" shrinkToFit="1"/>
    </xf>
    <xf numFmtId="9" fontId="4" fillId="0" borderId="45" xfId="0" applyNumberFormat="1" applyFont="1" applyBorder="1" applyAlignment="1">
      <alignment horizontal="center" vertical="center" shrinkToFit="1"/>
    </xf>
    <xf numFmtId="0" fontId="9" fillId="0" borderId="0" xfId="0" applyFont="1" applyBorder="1" applyAlignment="1">
      <alignment horizontal="center" vertical="center"/>
    </xf>
    <xf numFmtId="0" fontId="9" fillId="0" borderId="0" xfId="0" applyFont="1" applyBorder="1" applyAlignment="1">
      <alignment vertical="center" shrinkToFit="1"/>
    </xf>
    <xf numFmtId="0" fontId="9" fillId="0" borderId="18" xfId="0" applyFont="1" applyBorder="1" applyAlignment="1">
      <alignment horizontal="center" vertical="center"/>
    </xf>
    <xf numFmtId="0" fontId="9" fillId="0" borderId="42" xfId="0" applyFont="1" applyBorder="1" applyAlignment="1">
      <alignment horizontal="center" vertical="center"/>
    </xf>
    <xf numFmtId="0" fontId="9" fillId="0" borderId="38" xfId="0" applyFont="1" applyBorder="1" applyAlignment="1">
      <alignment horizontal="center" vertical="center"/>
    </xf>
    <xf numFmtId="0" fontId="16" fillId="0" borderId="0" xfId="0" applyFont="1" applyAlignment="1">
      <alignment horizontal="center" vertical="center"/>
    </xf>
    <xf numFmtId="0" fontId="4" fillId="0" borderId="0" xfId="0" applyFont="1" applyAlignment="1">
      <alignment horizontal="center" vertical="center"/>
    </xf>
    <xf numFmtId="49" fontId="24" fillId="0" borderId="2" xfId="2" applyNumberFormat="1" applyFont="1" applyBorder="1" applyAlignment="1">
      <alignment vertical="center" shrinkToFit="1"/>
    </xf>
    <xf numFmtId="49" fontId="9" fillId="0" borderId="2" xfId="1" applyNumberFormat="1" applyFont="1" applyBorder="1" applyAlignment="1">
      <alignment horizontal="center" vertical="center" shrinkToFit="1"/>
    </xf>
    <xf numFmtId="49" fontId="9" fillId="0" borderId="3" xfId="1" applyNumberFormat="1" applyFont="1" applyBorder="1" applyAlignment="1">
      <alignment horizontal="center" vertical="center" shrinkToFit="1"/>
    </xf>
    <xf numFmtId="49" fontId="9" fillId="0" borderId="4" xfId="1" applyNumberFormat="1" applyFont="1" applyBorder="1" applyAlignment="1">
      <alignment horizontal="center" vertical="center" shrinkToFit="1"/>
    </xf>
    <xf numFmtId="0" fontId="9" fillId="0" borderId="0" xfId="0" applyFont="1" applyBorder="1" applyAlignment="1">
      <alignment horizontal="center" vertical="center"/>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176" fontId="9" fillId="0" borderId="2" xfId="0" applyNumberFormat="1" applyFont="1" applyBorder="1" applyAlignment="1">
      <alignment horizontal="center" vertical="center" shrinkToFit="1"/>
    </xf>
    <xf numFmtId="176" fontId="9" fillId="0" borderId="4" xfId="0" applyNumberFormat="1" applyFont="1" applyBorder="1" applyAlignment="1">
      <alignment horizontal="center"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9"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9" fillId="0" borderId="3" xfId="0" applyNumberFormat="1" applyFont="1" applyBorder="1" applyAlignment="1">
      <alignment horizontal="center" vertical="center" shrinkToFit="1"/>
    </xf>
    <xf numFmtId="0" fontId="15" fillId="0" borderId="0" xfId="0" applyFont="1" applyAlignment="1">
      <alignment horizontal="center" vertical="center"/>
    </xf>
    <xf numFmtId="0" fontId="9" fillId="0" borderId="2" xfId="0" applyNumberFormat="1" applyFont="1" applyBorder="1" applyAlignment="1">
      <alignment horizontal="center" vertical="center"/>
    </xf>
    <xf numFmtId="0" fontId="9" fillId="0" borderId="4" xfId="0" applyNumberFormat="1"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176" fontId="9" fillId="0" borderId="2" xfId="0" applyNumberFormat="1" applyFont="1" applyBorder="1" applyAlignment="1">
      <alignment horizontal="center" vertical="center"/>
    </xf>
    <xf numFmtId="176" fontId="9" fillId="0" borderId="3" xfId="0" applyNumberFormat="1" applyFont="1" applyBorder="1" applyAlignment="1">
      <alignment horizontal="center" vertical="center"/>
    </xf>
    <xf numFmtId="176" fontId="9" fillId="0" borderId="4" xfId="0" applyNumberFormat="1" applyFont="1" applyBorder="1" applyAlignment="1">
      <alignment horizontal="center" vertical="center"/>
    </xf>
    <xf numFmtId="0" fontId="9" fillId="0" borderId="0" xfId="0" applyFont="1" applyBorder="1" applyAlignment="1">
      <alignment vertical="center" shrinkToFit="1"/>
    </xf>
    <xf numFmtId="0" fontId="9" fillId="0" borderId="37" xfId="0" applyFont="1" applyBorder="1" applyAlignment="1">
      <alignment vertical="center"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37" xfId="0" applyFont="1" applyBorder="1" applyAlignment="1">
      <alignment horizontal="center" vertical="center" shrinkToFit="1"/>
    </xf>
    <xf numFmtId="0" fontId="9" fillId="0" borderId="39" xfId="0" applyFont="1" applyBorder="1" applyAlignment="1">
      <alignment horizontal="center" vertical="center" shrinkToFit="1"/>
    </xf>
    <xf numFmtId="0" fontId="9" fillId="0" borderId="38" xfId="0" applyFont="1" applyBorder="1" applyAlignment="1">
      <alignment horizontal="center" vertical="center" shrinkToFit="1"/>
    </xf>
    <xf numFmtId="0" fontId="27" fillId="0" borderId="19" xfId="0" applyFont="1" applyBorder="1" applyAlignment="1">
      <alignment vertical="center" wrapText="1" shrinkToFit="1"/>
    </xf>
    <xf numFmtId="0" fontId="10" fillId="0" borderId="20" xfId="0" applyFont="1" applyBorder="1" applyAlignment="1">
      <alignment vertical="center" shrinkToFit="1"/>
    </xf>
    <xf numFmtId="0" fontId="10" fillId="0" borderId="18" xfId="0" applyFont="1" applyBorder="1" applyAlignment="1">
      <alignment vertical="center" shrinkToFit="1"/>
    </xf>
    <xf numFmtId="0" fontId="9" fillId="0" borderId="19" xfId="0" applyFont="1" applyBorder="1" applyAlignment="1">
      <alignment vertical="center"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9" fillId="0" borderId="19"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8" xfId="0" applyFont="1" applyBorder="1" applyAlignment="1">
      <alignment horizontal="center" vertical="center"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27" fillId="0" borderId="39" xfId="0" applyFont="1" applyBorder="1" applyAlignment="1">
      <alignment vertical="center" wrapText="1" shrinkToFit="1"/>
    </xf>
    <xf numFmtId="0" fontId="10" fillId="0" borderId="39" xfId="0" applyFont="1" applyBorder="1" applyAlignment="1">
      <alignment vertical="center" shrinkToFit="1"/>
    </xf>
    <xf numFmtId="0" fontId="10" fillId="0" borderId="38" xfId="0" applyFont="1" applyBorder="1" applyAlignment="1">
      <alignment vertical="center" shrinkToFit="1"/>
    </xf>
    <xf numFmtId="0" fontId="27" fillId="0" borderId="6" xfId="0" applyFont="1" applyBorder="1" applyAlignment="1">
      <alignment vertical="center" wrapText="1" shrinkToFit="1"/>
    </xf>
    <xf numFmtId="0" fontId="10" fillId="0" borderId="6" xfId="0" applyFont="1" applyBorder="1" applyAlignment="1">
      <alignment vertical="center" shrinkToFit="1"/>
    </xf>
    <xf numFmtId="0" fontId="10" fillId="0" borderId="12" xfId="0" applyFont="1" applyBorder="1" applyAlignment="1">
      <alignment vertical="center" shrinkToFit="1"/>
    </xf>
    <xf numFmtId="0" fontId="22" fillId="0" borderId="32" xfId="0" applyFont="1" applyBorder="1" applyAlignment="1">
      <alignment vertical="center" wrapText="1"/>
    </xf>
    <xf numFmtId="0" fontId="27" fillId="0" borderId="8" xfId="0" applyFont="1" applyBorder="1" applyAlignment="1">
      <alignment horizontal="left" vertical="center" wrapText="1" shrinkToFit="1"/>
    </xf>
    <xf numFmtId="0" fontId="10" fillId="0" borderId="8" xfId="0" applyFont="1" applyBorder="1" applyAlignment="1">
      <alignment horizontal="left" vertical="center" shrinkToFit="1"/>
    </xf>
    <xf numFmtId="0" fontId="10" fillId="0" borderId="9" xfId="0" applyFont="1" applyBorder="1" applyAlignment="1">
      <alignment horizontal="left" vertical="center" shrinkToFit="1"/>
    </xf>
    <xf numFmtId="0" fontId="27" fillId="0" borderId="20" xfId="0" applyFont="1" applyBorder="1" applyAlignment="1">
      <alignment horizontal="left" vertical="center" wrapText="1" shrinkToFit="1"/>
    </xf>
    <xf numFmtId="0" fontId="10" fillId="0" borderId="20" xfId="0" applyFont="1" applyBorder="1" applyAlignment="1">
      <alignment horizontal="left" vertical="center" shrinkToFit="1"/>
    </xf>
    <xf numFmtId="0" fontId="10" fillId="0" borderId="18" xfId="0" applyFont="1" applyBorder="1" applyAlignment="1">
      <alignment horizontal="left" vertical="center" shrinkToFi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9" fillId="0" borderId="37" xfId="0" applyFont="1" applyBorder="1" applyAlignment="1">
      <alignment horizontal="center" vertical="center"/>
    </xf>
    <xf numFmtId="0" fontId="9" fillId="0" borderId="39" xfId="0" applyFont="1" applyBorder="1" applyAlignment="1">
      <alignment horizontal="center" vertical="center"/>
    </xf>
    <xf numFmtId="0" fontId="9" fillId="0" borderId="38" xfId="0" applyFont="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18" xfId="0" applyFont="1" applyBorder="1" applyAlignment="1">
      <alignment horizontal="center" vertical="center"/>
    </xf>
    <xf numFmtId="0" fontId="9" fillId="0" borderId="37" xfId="0" applyFont="1" applyBorder="1" applyAlignment="1">
      <alignment horizontal="left" vertical="center"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19" xfId="0" applyFont="1" applyBorder="1" applyAlignment="1">
      <alignment horizontal="left" vertical="center"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40" xfId="0" applyFont="1" applyBorder="1" applyAlignment="1">
      <alignment horizontal="center" vertical="center"/>
    </xf>
    <xf numFmtId="0" fontId="9" fillId="0" borderId="41" xfId="0" applyFont="1" applyBorder="1" applyAlignment="1">
      <alignment horizontal="center" vertical="center"/>
    </xf>
    <xf numFmtId="0" fontId="9" fillId="0" borderId="42" xfId="0" applyFont="1" applyBorder="1" applyAlignment="1">
      <alignment horizontal="center" vertical="center"/>
    </xf>
    <xf numFmtId="0" fontId="9" fillId="0" borderId="0" xfId="0" applyFont="1" applyAlignment="1">
      <alignment vertical="center" wrapText="1"/>
    </xf>
    <xf numFmtId="0" fontId="9" fillId="0" borderId="40" xfId="0" applyFont="1" applyBorder="1" applyAlignment="1">
      <alignment horizontal="left" vertical="center"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19" fillId="0" borderId="0" xfId="0" applyFont="1" applyAlignment="1">
      <alignment horizontal="center" vertical="center"/>
    </xf>
    <xf numFmtId="0" fontId="25" fillId="0" borderId="7" xfId="0" applyFont="1" applyBorder="1" applyAlignment="1">
      <alignment horizontal="left" vertical="top" wrapText="1" shrinkToFit="1"/>
    </xf>
    <xf numFmtId="0" fontId="12" fillId="0" borderId="8" xfId="0" applyFont="1" applyBorder="1" applyAlignment="1">
      <alignment horizontal="left" vertical="top" shrinkToFit="1"/>
    </xf>
    <xf numFmtId="0" fontId="12" fillId="0" borderId="9" xfId="0" applyFont="1" applyBorder="1" applyAlignment="1">
      <alignment horizontal="left" vertical="top" shrinkToFit="1"/>
    </xf>
    <xf numFmtId="0" fontId="12" fillId="0" borderId="5" xfId="0" applyFont="1" applyBorder="1" applyAlignment="1">
      <alignment horizontal="left" vertical="top" shrinkToFit="1"/>
    </xf>
    <xf numFmtId="0" fontId="12" fillId="0" borderId="0" xfId="0" applyFont="1" applyBorder="1" applyAlignment="1">
      <alignment horizontal="left" vertical="top" shrinkToFit="1"/>
    </xf>
    <xf numFmtId="0" fontId="12" fillId="0" borderId="10" xfId="0" applyFont="1" applyBorder="1" applyAlignment="1">
      <alignment horizontal="left" vertical="top" shrinkToFit="1"/>
    </xf>
    <xf numFmtId="0" fontId="12" fillId="0" borderId="0" xfId="0" applyFont="1" applyAlignment="1">
      <alignment horizontal="left" vertical="top" shrinkToFit="1"/>
    </xf>
    <xf numFmtId="0" fontId="12" fillId="0" borderId="11" xfId="0" applyFont="1" applyBorder="1" applyAlignment="1">
      <alignment horizontal="left" vertical="top" shrinkToFit="1"/>
    </xf>
    <xf numFmtId="0" fontId="12" fillId="0" borderId="6" xfId="0" applyFont="1" applyBorder="1" applyAlignment="1">
      <alignment horizontal="left" vertical="top" shrinkToFit="1"/>
    </xf>
    <xf numFmtId="0" fontId="12" fillId="0" borderId="12" xfId="0" applyFont="1" applyBorder="1" applyAlignment="1">
      <alignment horizontal="left" vertical="top" shrinkToFit="1"/>
    </xf>
    <xf numFmtId="0" fontId="27" fillId="0" borderId="22" xfId="0" applyFont="1" applyBorder="1" applyAlignment="1">
      <alignment horizontal="left" vertical="center" wrapText="1" shrinkToFit="1"/>
    </xf>
    <xf numFmtId="0" fontId="10" fillId="0" borderId="22" xfId="0" applyFont="1" applyBorder="1" applyAlignment="1">
      <alignment horizontal="left" vertical="center" shrinkToFit="1"/>
    </xf>
    <xf numFmtId="0" fontId="10" fillId="0" borderId="21" xfId="0" applyFont="1" applyBorder="1" applyAlignment="1">
      <alignment horizontal="left" vertical="center" shrinkToFit="1"/>
    </xf>
    <xf numFmtId="0" fontId="27" fillId="0" borderId="39" xfId="0" applyFont="1" applyBorder="1" applyAlignment="1">
      <alignment horizontal="left" vertical="center" wrapText="1" shrinkToFit="1"/>
    </xf>
    <xf numFmtId="0" fontId="10" fillId="0" borderId="39" xfId="0" applyFont="1" applyBorder="1" applyAlignment="1">
      <alignment horizontal="left" vertical="center" shrinkToFit="1"/>
    </xf>
    <xf numFmtId="0" fontId="10" fillId="0" borderId="38" xfId="0" applyFont="1" applyBorder="1" applyAlignment="1">
      <alignment horizontal="left" vertical="center" shrinkToFit="1"/>
    </xf>
    <xf numFmtId="0" fontId="27" fillId="0" borderId="6" xfId="0" applyFont="1" applyBorder="1" applyAlignment="1">
      <alignment horizontal="left" vertical="center" wrapText="1" shrinkToFit="1"/>
    </xf>
    <xf numFmtId="0" fontId="10" fillId="0" borderId="6" xfId="0" applyFont="1" applyBorder="1" applyAlignment="1">
      <alignment horizontal="left" vertical="center" shrinkToFit="1"/>
    </xf>
    <xf numFmtId="0" fontId="10" fillId="0" borderId="12" xfId="0" applyFont="1" applyBorder="1" applyAlignment="1">
      <alignment horizontal="left" vertical="center" shrinkToFit="1"/>
    </xf>
    <xf numFmtId="0" fontId="27" fillId="0" borderId="41" xfId="0" applyFont="1" applyBorder="1" applyAlignment="1">
      <alignment horizontal="left" vertical="center" wrapText="1" shrinkToFit="1"/>
    </xf>
    <xf numFmtId="0" fontId="10" fillId="0" borderId="41" xfId="0" applyFont="1" applyBorder="1" applyAlignment="1">
      <alignment horizontal="left" vertical="center" shrinkToFit="1"/>
    </xf>
    <xf numFmtId="0" fontId="10" fillId="0" borderId="42" xfId="0" applyFont="1" applyBorder="1" applyAlignment="1">
      <alignment horizontal="left" vertical="center" shrinkToFit="1"/>
    </xf>
    <xf numFmtId="0" fontId="9" fillId="0" borderId="40" xfId="0" applyFont="1" applyBorder="1" applyAlignment="1">
      <alignment vertical="center" shrinkToFit="1"/>
    </xf>
    <xf numFmtId="0" fontId="9" fillId="0" borderId="41" xfId="0" applyFont="1" applyBorder="1" applyAlignment="1">
      <alignment vertical="center" shrinkToFit="1"/>
    </xf>
    <xf numFmtId="0" fontId="9" fillId="0" borderId="42" xfId="0" applyFont="1" applyBorder="1" applyAlignment="1">
      <alignment vertical="center" shrinkToFit="1"/>
    </xf>
    <xf numFmtId="0" fontId="9" fillId="0" borderId="40" xfId="0" applyFont="1" applyBorder="1" applyAlignment="1">
      <alignment horizontal="center" vertical="center" shrinkToFit="1"/>
    </xf>
    <xf numFmtId="0" fontId="9" fillId="0" borderId="41" xfId="0" applyFont="1" applyBorder="1" applyAlignment="1">
      <alignment horizontal="center" vertical="center" shrinkToFit="1"/>
    </xf>
    <xf numFmtId="0" fontId="9" fillId="0" borderId="42" xfId="0" applyFont="1" applyBorder="1" applyAlignment="1">
      <alignment horizontal="center" vertical="center" shrinkToFit="1"/>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10" fillId="0" borderId="7" xfId="0" applyFont="1" applyBorder="1" applyAlignment="1">
      <alignment vertical="center" wrapText="1" shrinkToFit="1"/>
    </xf>
    <xf numFmtId="0" fontId="10" fillId="0" borderId="8" xfId="0" applyFont="1" applyBorder="1" applyAlignment="1">
      <alignment vertical="center" wrapText="1" shrinkToFit="1"/>
    </xf>
    <xf numFmtId="0" fontId="10" fillId="0" borderId="9" xfId="0" applyFont="1" applyBorder="1" applyAlignment="1">
      <alignment vertical="center" wrapText="1" shrinkToFit="1"/>
    </xf>
    <xf numFmtId="0" fontId="10" fillId="0" borderId="5" xfId="0" applyFont="1" applyBorder="1" applyAlignment="1">
      <alignment vertical="center" wrapText="1" shrinkToFit="1"/>
    </xf>
    <xf numFmtId="0" fontId="10" fillId="0" borderId="0" xfId="0" applyFont="1" applyBorder="1" applyAlignment="1">
      <alignment vertical="center" wrapText="1" shrinkToFit="1"/>
    </xf>
    <xf numFmtId="0" fontId="10" fillId="0" borderId="10" xfId="0" applyFont="1" applyBorder="1" applyAlignment="1">
      <alignment vertical="center" wrapText="1" shrinkToFit="1"/>
    </xf>
    <xf numFmtId="0" fontId="10" fillId="0" borderId="11" xfId="0" applyFont="1" applyBorder="1" applyAlignment="1">
      <alignment vertical="center" wrapText="1" shrinkToFit="1"/>
    </xf>
    <xf numFmtId="0" fontId="10" fillId="0" borderId="6" xfId="0" applyFont="1" applyBorder="1" applyAlignment="1">
      <alignment vertical="center" wrapText="1" shrinkToFit="1"/>
    </xf>
    <xf numFmtId="0" fontId="10" fillId="0" borderId="12" xfId="0" applyFont="1" applyBorder="1" applyAlignment="1">
      <alignment vertical="center" wrapText="1" shrinkToFit="1"/>
    </xf>
    <xf numFmtId="0" fontId="24" fillId="0" borderId="2" xfId="2" applyFont="1" applyBorder="1" applyAlignment="1">
      <alignment vertical="center" shrinkToFit="1"/>
    </xf>
    <xf numFmtId="0" fontId="10" fillId="0" borderId="0" xfId="0" applyFont="1" applyAlignment="1">
      <alignment horizontal="center" vertical="center"/>
    </xf>
    <xf numFmtId="0" fontId="16" fillId="0" borderId="0" xfId="0" applyFont="1" applyAlignment="1">
      <alignment horizontal="center" vertical="center"/>
    </xf>
    <xf numFmtId="0" fontId="4" fillId="0" borderId="2" xfId="0" applyNumberFormat="1" applyFont="1" applyBorder="1" applyAlignment="1">
      <alignment horizontal="center" vertical="center" shrinkToFit="1"/>
    </xf>
    <xf numFmtId="0" fontId="4" fillId="0" borderId="4" xfId="0" applyNumberFormat="1" applyFont="1" applyBorder="1" applyAlignment="1">
      <alignment horizontal="center" vertical="center" shrinkToFit="1"/>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4" fillId="0" borderId="14"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4" fillId="0" borderId="16" xfId="0" applyFont="1" applyBorder="1" applyAlignment="1">
      <alignment vertical="top" wrapText="1" shrinkToFit="1"/>
    </xf>
    <xf numFmtId="0" fontId="25" fillId="0" borderId="2" xfId="0" applyFont="1" applyBorder="1" applyAlignment="1">
      <alignment vertical="center" shrinkToFit="1"/>
    </xf>
    <xf numFmtId="0" fontId="12" fillId="0" borderId="3" xfId="0" applyFont="1" applyBorder="1" applyAlignment="1">
      <alignment vertical="center" shrinkToFit="1"/>
    </xf>
    <xf numFmtId="0" fontId="12" fillId="0" borderId="4" xfId="0" applyFont="1" applyBorder="1" applyAlignment="1">
      <alignment vertical="center" shrinkToFit="1"/>
    </xf>
    <xf numFmtId="0" fontId="30" fillId="0" borderId="7" xfId="0" applyFont="1" applyBorder="1" applyAlignment="1">
      <alignment vertical="top" wrapText="1" shrinkToFit="1"/>
    </xf>
    <xf numFmtId="0" fontId="26" fillId="0" borderId="8" xfId="0" applyFont="1" applyBorder="1" applyAlignment="1">
      <alignment vertical="top" wrapText="1" shrinkToFit="1"/>
    </xf>
    <xf numFmtId="0" fontId="26" fillId="0" borderId="8" xfId="0" applyFont="1" applyBorder="1" applyAlignment="1">
      <alignment vertical="top" shrinkToFit="1"/>
    </xf>
    <xf numFmtId="0" fontId="26" fillId="0" borderId="9" xfId="0" applyFont="1" applyBorder="1" applyAlignment="1">
      <alignment vertical="top" shrinkToFit="1"/>
    </xf>
    <xf numFmtId="0" fontId="26" fillId="0" borderId="5" xfId="0" applyFont="1" applyBorder="1" applyAlignment="1">
      <alignment vertical="top" shrinkToFit="1"/>
    </xf>
    <xf numFmtId="0" fontId="26" fillId="0" borderId="0" xfId="0" applyFont="1" applyAlignment="1">
      <alignment vertical="top" shrinkToFit="1"/>
    </xf>
    <xf numFmtId="0" fontId="26" fillId="0" borderId="10" xfId="0" applyFont="1" applyBorder="1" applyAlignment="1">
      <alignment vertical="top" shrinkToFit="1"/>
    </xf>
    <xf numFmtId="0" fontId="26" fillId="0" borderId="11" xfId="0" applyFont="1" applyBorder="1" applyAlignment="1">
      <alignment vertical="top" shrinkToFit="1"/>
    </xf>
    <xf numFmtId="0" fontId="26" fillId="0" borderId="6" xfId="0" applyFont="1" applyBorder="1" applyAlignment="1">
      <alignment vertical="top" shrinkToFit="1"/>
    </xf>
    <xf numFmtId="0" fontId="26" fillId="0" borderId="12" xfId="0" applyFont="1" applyBorder="1" applyAlignment="1">
      <alignment vertical="top" shrinkToFit="1"/>
    </xf>
    <xf numFmtId="0" fontId="28" fillId="0" borderId="7" xfId="0" applyFont="1" applyBorder="1" applyAlignment="1">
      <alignment vertical="top" wrapText="1" shrinkToFit="1"/>
    </xf>
    <xf numFmtId="0" fontId="29" fillId="0" borderId="8" xfId="0" applyFont="1" applyBorder="1" applyAlignment="1">
      <alignment vertical="top" wrapText="1" shrinkToFit="1"/>
    </xf>
    <xf numFmtId="0" fontId="17" fillId="0" borderId="8" xfId="0" applyFont="1" applyBorder="1" applyAlignment="1">
      <alignment vertical="top" shrinkToFit="1"/>
    </xf>
    <xf numFmtId="0" fontId="17" fillId="0" borderId="9" xfId="0" applyFont="1" applyBorder="1" applyAlignment="1">
      <alignment vertical="top" shrinkToFit="1"/>
    </xf>
    <xf numFmtId="0" fontId="17" fillId="0" borderId="5" xfId="0" applyFont="1" applyBorder="1" applyAlignment="1">
      <alignment vertical="top" shrinkToFit="1"/>
    </xf>
    <xf numFmtId="0" fontId="17" fillId="0" borderId="0" xfId="0" applyFont="1" applyAlignment="1">
      <alignment vertical="top" shrinkToFit="1"/>
    </xf>
    <xf numFmtId="0" fontId="17" fillId="0" borderId="10" xfId="0" applyFont="1" applyBorder="1" applyAlignment="1">
      <alignment vertical="top" shrinkToFit="1"/>
    </xf>
    <xf numFmtId="0" fontId="17" fillId="0" borderId="11" xfId="0" applyFont="1" applyBorder="1" applyAlignment="1">
      <alignment vertical="top" shrinkToFit="1"/>
    </xf>
    <xf numFmtId="0" fontId="17" fillId="0" borderId="6" xfId="0" applyFont="1" applyBorder="1" applyAlignment="1">
      <alignment vertical="top" shrinkToFit="1"/>
    </xf>
    <xf numFmtId="0" fontId="17" fillId="0" borderId="12" xfId="0" applyFont="1" applyBorder="1" applyAlignment="1">
      <alignment vertical="top" shrinkToFit="1"/>
    </xf>
    <xf numFmtId="0" fontId="1" fillId="0" borderId="7" xfId="0" applyFont="1" applyBorder="1" applyAlignment="1">
      <alignment vertical="top" wrapText="1" shrinkToFit="1"/>
    </xf>
    <xf numFmtId="0" fontId="25" fillId="0" borderId="7" xfId="0" applyFont="1" applyBorder="1" applyAlignment="1">
      <alignment vertical="top" wrapText="1" shrinkToFit="1"/>
    </xf>
    <xf numFmtId="0" fontId="11" fillId="0" borderId="8" xfId="0" applyFont="1" applyBorder="1" applyAlignment="1">
      <alignment vertical="top" wrapText="1" shrinkToFit="1"/>
    </xf>
    <xf numFmtId="0" fontId="12" fillId="0" borderId="8" xfId="0" applyFont="1" applyBorder="1" applyAlignment="1">
      <alignment vertical="top" shrinkToFit="1"/>
    </xf>
    <xf numFmtId="0" fontId="12" fillId="0" borderId="9" xfId="0" applyFont="1" applyBorder="1" applyAlignment="1">
      <alignment vertical="top" shrinkToFit="1"/>
    </xf>
    <xf numFmtId="0" fontId="12" fillId="0" borderId="5" xfId="0" applyFont="1" applyBorder="1" applyAlignment="1">
      <alignment vertical="top" shrinkToFit="1"/>
    </xf>
    <xf numFmtId="0" fontId="12" fillId="0" borderId="0" xfId="0" applyFont="1" applyAlignment="1">
      <alignment vertical="top" shrinkToFit="1"/>
    </xf>
    <xf numFmtId="0" fontId="12" fillId="0" borderId="10" xfId="0" applyFont="1" applyBorder="1" applyAlignment="1">
      <alignment vertical="top" shrinkToFit="1"/>
    </xf>
    <xf numFmtId="0" fontId="12" fillId="0" borderId="11" xfId="0" applyFont="1" applyBorder="1" applyAlignment="1">
      <alignment vertical="top" shrinkToFit="1"/>
    </xf>
    <xf numFmtId="0" fontId="12" fillId="0" borderId="6" xfId="0" applyFont="1" applyBorder="1" applyAlignment="1">
      <alignment vertical="top" shrinkToFit="1"/>
    </xf>
    <xf numFmtId="0" fontId="12" fillId="0" borderId="12" xfId="0" applyFont="1" applyBorder="1" applyAlignment="1">
      <alignment vertical="top" shrinkToFit="1"/>
    </xf>
    <xf numFmtId="0" fontId="4" fillId="0" borderId="19" xfId="0" applyFont="1" applyBorder="1" applyAlignment="1">
      <alignment vertical="top" wrapText="1" shrinkToFi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6" xfId="0" applyFont="1" applyBorder="1" applyAlignment="1">
      <alignment vertical="top" wrapText="1" shrinkToFit="1"/>
    </xf>
    <xf numFmtId="0" fontId="24" fillId="0" borderId="2" xfId="2" applyFont="1" applyBorder="1" applyAlignment="1">
      <alignment horizontal="left" vertical="center" shrinkToFit="1"/>
    </xf>
    <xf numFmtId="0" fontId="24" fillId="0" borderId="3" xfId="2" applyFont="1" applyBorder="1" applyAlignment="1">
      <alignment horizontal="left" vertical="center" shrinkToFit="1"/>
    </xf>
    <xf numFmtId="0" fontId="24" fillId="0" borderId="4" xfId="2" applyFont="1" applyBorder="1" applyAlignment="1">
      <alignment horizontal="left" vertical="center" shrinkToFit="1"/>
    </xf>
    <xf numFmtId="0" fontId="4" fillId="0" borderId="20" xfId="0" applyFont="1" applyBorder="1" applyAlignment="1">
      <alignment vertical="top" wrapText="1" shrinkToFit="1"/>
    </xf>
    <xf numFmtId="0" fontId="4" fillId="0" borderId="0" xfId="0" applyFont="1" applyAlignment="1">
      <alignment horizontal="center" vertical="center"/>
    </xf>
    <xf numFmtId="0" fontId="4" fillId="0" borderId="7" xfId="0" applyFont="1" applyBorder="1" applyAlignment="1">
      <alignment vertical="top"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5" xfId="0" applyFont="1" applyBorder="1" applyAlignment="1">
      <alignment vertical="top" shrinkToFit="1"/>
    </xf>
    <xf numFmtId="0" fontId="4" fillId="0" borderId="0" xfId="0" applyFont="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49" fontId="1" fillId="0" borderId="3" xfId="0" applyNumberFormat="1" applyFont="1" applyBorder="1" applyAlignment="1">
      <alignment vertical="center" shrinkToFit="1"/>
    </xf>
    <xf numFmtId="49" fontId="1" fillId="0" borderId="4" xfId="0" applyNumberFormat="1" applyFont="1" applyBorder="1" applyAlignment="1">
      <alignment vertical="center" shrinkToFit="1"/>
    </xf>
    <xf numFmtId="0" fontId="1" fillId="0" borderId="3" xfId="0" applyFont="1" applyBorder="1" applyAlignment="1">
      <alignment vertical="center" shrinkToFit="1"/>
    </xf>
    <xf numFmtId="0" fontId="1" fillId="0" borderId="4" xfId="0" applyFont="1" applyBorder="1" applyAlignment="1">
      <alignment vertical="center" shrinkToFit="1"/>
    </xf>
    <xf numFmtId="0" fontId="1" fillId="0" borderId="0" xfId="0" applyFont="1">
      <alignment vertical="center"/>
    </xf>
    <xf numFmtId="0" fontId="1" fillId="0" borderId="0" xfId="0" applyFont="1" applyAlignment="1">
      <alignment horizontal="right" vertical="center"/>
    </xf>
    <xf numFmtId="0" fontId="1" fillId="0" borderId="0" xfId="0" applyFont="1" applyAlignment="1">
      <alignment horizontal="right" vertical="center"/>
    </xf>
    <xf numFmtId="0" fontId="1" fillId="0" borderId="22" xfId="0" applyFont="1" applyBorder="1" applyAlignment="1">
      <alignment vertical="top" wrapText="1" shrinkToFit="1"/>
    </xf>
    <xf numFmtId="0" fontId="1" fillId="0" borderId="21" xfId="0" applyFont="1" applyBorder="1" applyAlignment="1">
      <alignment vertical="top" wrapText="1" shrinkToFit="1"/>
    </xf>
    <xf numFmtId="0" fontId="1" fillId="0" borderId="5" xfId="0" applyFont="1" applyBorder="1" applyAlignment="1">
      <alignment vertical="top" wrapText="1" shrinkToFit="1"/>
    </xf>
    <xf numFmtId="0" fontId="1" fillId="0" borderId="0" xfId="0" applyFont="1" applyAlignment="1">
      <alignment vertical="top" wrapText="1" shrinkToFit="1"/>
    </xf>
    <xf numFmtId="0" fontId="1" fillId="0" borderId="10" xfId="0" applyFont="1" applyBorder="1" applyAlignment="1">
      <alignment vertical="top" wrapText="1" shrinkToFit="1"/>
    </xf>
    <xf numFmtId="0" fontId="1" fillId="0" borderId="11" xfId="0" applyFont="1" applyBorder="1" applyAlignment="1">
      <alignment vertical="top" wrapText="1" shrinkToFit="1"/>
    </xf>
    <xf numFmtId="0" fontId="1" fillId="0" borderId="6" xfId="0" applyFont="1" applyBorder="1" applyAlignment="1">
      <alignment vertical="top" wrapText="1" shrinkToFit="1"/>
    </xf>
    <xf numFmtId="0" fontId="1" fillId="0" borderId="12" xfId="0" applyFont="1" applyBorder="1" applyAlignment="1">
      <alignment vertical="top" wrapText="1" shrinkToFit="1"/>
    </xf>
    <xf numFmtId="0" fontId="1" fillId="0" borderId="0" xfId="0" applyFont="1" applyAlignment="1">
      <alignment vertical="center" wrapText="1"/>
    </xf>
    <xf numFmtId="0" fontId="1" fillId="0" borderId="8" xfId="0" applyFont="1" applyBorder="1" applyAlignment="1">
      <alignment vertical="top" wrapText="1" shrinkToFit="1"/>
    </xf>
    <xf numFmtId="0" fontId="1" fillId="0" borderId="9" xfId="0" applyFont="1" applyBorder="1" applyAlignment="1">
      <alignment vertical="top" wrapText="1" shrinkToFit="1"/>
    </xf>
    <xf numFmtId="0" fontId="1" fillId="0" borderId="8" xfId="0" applyFont="1" applyBorder="1" applyAlignment="1">
      <alignment vertical="top" shrinkToFit="1"/>
    </xf>
    <xf numFmtId="0" fontId="1" fillId="0" borderId="9" xfId="0" applyFont="1" applyBorder="1" applyAlignment="1">
      <alignment vertical="top" shrinkToFit="1"/>
    </xf>
    <xf numFmtId="0" fontId="1" fillId="0" borderId="5" xfId="0" applyFont="1" applyBorder="1" applyAlignment="1">
      <alignment vertical="top" shrinkToFit="1"/>
    </xf>
    <xf numFmtId="0" fontId="1" fillId="0" borderId="0" xfId="0" applyFont="1" applyAlignment="1">
      <alignment vertical="top" shrinkToFit="1"/>
    </xf>
    <xf numFmtId="0" fontId="1" fillId="0" borderId="10" xfId="0" applyFont="1" applyBorder="1" applyAlignment="1">
      <alignment vertical="top" shrinkToFit="1"/>
    </xf>
    <xf numFmtId="0" fontId="1" fillId="0" borderId="11" xfId="0" applyFont="1" applyBorder="1" applyAlignment="1">
      <alignment vertical="top" shrinkToFit="1"/>
    </xf>
    <xf numFmtId="0" fontId="1" fillId="0" borderId="6" xfId="0" applyFont="1" applyBorder="1" applyAlignment="1">
      <alignment vertical="top" shrinkToFit="1"/>
    </xf>
    <xf numFmtId="0" fontId="1" fillId="0" borderId="12" xfId="0" applyFont="1" applyBorder="1" applyAlignment="1">
      <alignment vertical="top" shrinkToFit="1"/>
    </xf>
    <xf numFmtId="0" fontId="1" fillId="0" borderId="6" xfId="0" applyFont="1" applyBorder="1" applyAlignment="1">
      <alignmen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lignment vertical="center"/>
    </xf>
    <xf numFmtId="0" fontId="1" fillId="0" borderId="17" xfId="0" applyFont="1" applyBorder="1" applyAlignment="1">
      <alignment vertical="center" wrapText="1"/>
    </xf>
    <xf numFmtId="0" fontId="1" fillId="0" borderId="18" xfId="0" applyFont="1" applyBorder="1" applyAlignment="1">
      <alignment vertical="center" wrapText="1"/>
    </xf>
    <xf numFmtId="0" fontId="1" fillId="0" borderId="20" xfId="0" applyFont="1" applyBorder="1" applyAlignment="1">
      <alignment vertical="top" wrapText="1" shrinkToFit="1"/>
    </xf>
    <xf numFmtId="0" fontId="1" fillId="0" borderId="18" xfId="0" applyFont="1" applyBorder="1" applyAlignment="1">
      <alignment vertical="top" wrapText="1" shrinkToFit="1"/>
    </xf>
    <xf numFmtId="0" fontId="1" fillId="0" borderId="17" xfId="0" applyFont="1" applyBorder="1" applyAlignment="1">
      <alignment vertical="center"/>
    </xf>
    <xf numFmtId="0" fontId="0" fillId="0" borderId="18" xfId="0" applyBorder="1" applyAlignment="1">
      <alignment vertical="center"/>
    </xf>
    <xf numFmtId="0" fontId="1" fillId="0" borderId="16" xfId="0" applyFont="1" applyBorder="1">
      <alignment vertical="center"/>
    </xf>
    <xf numFmtId="0" fontId="1" fillId="0" borderId="19" xfId="0" applyFont="1" applyBorder="1" applyAlignment="1">
      <alignment vertical="center" wrapText="1"/>
    </xf>
    <xf numFmtId="0" fontId="1" fillId="0" borderId="20" xfId="0" applyFont="1" applyBorder="1" applyAlignment="1">
      <alignment vertical="center" wrapText="1"/>
    </xf>
    <xf numFmtId="0" fontId="1" fillId="0" borderId="11" xfId="0" applyFont="1" applyBorder="1" applyAlignment="1">
      <alignment vertical="center" wrapText="1"/>
    </xf>
    <xf numFmtId="0" fontId="1" fillId="0" borderId="6" xfId="0" applyFont="1" applyBorder="1" applyAlignment="1">
      <alignment vertical="center" wrapText="1"/>
    </xf>
    <xf numFmtId="0" fontId="1" fillId="0" borderId="12" xfId="0" applyFont="1" applyBorder="1" applyAlignment="1">
      <alignment vertical="center" wrapText="1"/>
    </xf>
    <xf numFmtId="0" fontId="1" fillId="0" borderId="0" xfId="0" applyFont="1" applyAlignment="1">
      <alignment vertical="top"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kyo@jim.titech.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dsai.titech.ac.jp/ja/program/literacy.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dsai.titech.ac.jp/ja/about/"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C4" sqref="C4:N4"/>
    </sheetView>
  </sheetViews>
  <sheetFormatPr defaultColWidth="9" defaultRowHeight="18.75" customHeight="1"/>
  <cols>
    <col min="1" max="1" width="3.375" style="12" customWidth="1"/>
    <col min="2" max="2" width="11.125" style="12" customWidth="1"/>
    <col min="3" max="8" width="6.625" style="12" customWidth="1"/>
    <col min="9" max="9" width="3.375" style="12" customWidth="1"/>
    <col min="10" max="10" width="10" style="12" customWidth="1"/>
    <col min="11" max="11" width="3.375" style="12" customWidth="1"/>
    <col min="12" max="12" width="7.625" style="12" customWidth="1"/>
    <col min="13" max="13" width="3.375" style="12" customWidth="1"/>
    <col min="14" max="14" width="4.5" style="12" customWidth="1"/>
    <col min="15" max="15" width="9" style="29"/>
    <col min="16" max="16384" width="9" style="11"/>
  </cols>
  <sheetData>
    <row r="1" spans="1:15" ht="24" customHeight="1">
      <c r="M1" s="132" t="s">
        <v>0</v>
      </c>
      <c r="N1" s="132"/>
    </row>
    <row r="2" spans="1:15" ht="24" customHeight="1">
      <c r="A2" s="136" t="s">
        <v>1</v>
      </c>
      <c r="B2" s="136"/>
      <c r="C2" s="136"/>
      <c r="D2" s="136"/>
      <c r="E2" s="136"/>
      <c r="F2" s="136"/>
      <c r="G2" s="136"/>
      <c r="H2" s="136"/>
      <c r="I2" s="136"/>
      <c r="J2" s="136"/>
      <c r="K2" s="136"/>
      <c r="L2" s="136"/>
      <c r="M2" s="136"/>
      <c r="N2" s="136"/>
    </row>
    <row r="3" spans="1:15" ht="24" customHeight="1"/>
    <row r="4" spans="1:15" ht="24" customHeight="1">
      <c r="A4" s="12" t="s">
        <v>2</v>
      </c>
      <c r="B4" s="13" t="s">
        <v>3</v>
      </c>
      <c r="C4" s="122" t="s">
        <v>4</v>
      </c>
      <c r="D4" s="123"/>
      <c r="E4" s="123"/>
      <c r="F4" s="123"/>
      <c r="G4" s="123"/>
      <c r="H4" s="123"/>
      <c r="I4" s="123"/>
      <c r="J4" s="123"/>
      <c r="K4" s="123"/>
      <c r="L4" s="123"/>
      <c r="M4" s="123"/>
      <c r="N4" s="124"/>
      <c r="O4" s="29" t="str">
        <f>IF(C4="","入力してください","")</f>
        <v/>
      </c>
    </row>
    <row r="5" spans="1:15" ht="7.5" customHeight="1">
      <c r="B5" s="13"/>
      <c r="C5" s="13"/>
      <c r="D5" s="13"/>
      <c r="E5" s="14"/>
      <c r="F5" s="111"/>
      <c r="G5" s="111"/>
      <c r="H5" s="111"/>
      <c r="I5" s="111"/>
      <c r="J5" s="111"/>
      <c r="K5" s="111"/>
      <c r="L5" s="111"/>
      <c r="M5" s="111"/>
      <c r="N5" s="111"/>
    </row>
    <row r="6" spans="1:15" ht="24" customHeight="1">
      <c r="A6" s="12" t="s">
        <v>5</v>
      </c>
      <c r="B6" s="13" t="s">
        <v>6</v>
      </c>
      <c r="C6" s="13"/>
      <c r="D6" s="122" t="s">
        <v>7</v>
      </c>
      <c r="E6" s="123"/>
      <c r="F6" s="123"/>
      <c r="G6" s="123"/>
      <c r="H6" s="124"/>
      <c r="I6" s="15" t="s">
        <v>8</v>
      </c>
      <c r="J6" s="111" t="s">
        <v>9</v>
      </c>
      <c r="K6" s="122" t="s">
        <v>10</v>
      </c>
      <c r="L6" s="123"/>
      <c r="M6" s="123"/>
      <c r="N6" s="124"/>
      <c r="O6" s="29" t="str">
        <f>IF(D6="","入力してください","")</f>
        <v/>
      </c>
    </row>
    <row r="7" spans="1:15" ht="7.5" customHeight="1">
      <c r="B7" s="13"/>
      <c r="C7" s="13"/>
      <c r="D7" s="13"/>
      <c r="E7" s="14"/>
      <c r="F7" s="111"/>
      <c r="G7" s="111"/>
      <c r="H7" s="111"/>
      <c r="I7" s="111"/>
      <c r="J7" s="111"/>
      <c r="K7" s="111"/>
      <c r="L7" s="111"/>
      <c r="M7" s="111"/>
      <c r="N7" s="111"/>
    </row>
    <row r="8" spans="1:15" ht="24" customHeight="1">
      <c r="A8" s="12" t="s">
        <v>11</v>
      </c>
      <c r="B8" s="13" t="s">
        <v>12</v>
      </c>
      <c r="C8" s="122" t="s">
        <v>13</v>
      </c>
      <c r="D8" s="123"/>
      <c r="E8" s="123"/>
      <c r="F8" s="123"/>
      <c r="G8" s="123"/>
      <c r="H8" s="123"/>
      <c r="I8" s="123"/>
      <c r="J8" s="123"/>
      <c r="K8" s="123"/>
      <c r="L8" s="123"/>
      <c r="M8" s="123"/>
      <c r="N8" s="124"/>
      <c r="O8" s="29" t="str">
        <f>IF(C8="","入力してください","")</f>
        <v/>
      </c>
    </row>
    <row r="9" spans="1:15" ht="7.5" customHeight="1">
      <c r="B9" s="13"/>
      <c r="C9" s="13"/>
      <c r="D9" s="13"/>
      <c r="E9" s="14"/>
      <c r="F9" s="111"/>
      <c r="G9" s="111"/>
      <c r="H9" s="111"/>
      <c r="I9" s="111"/>
      <c r="J9" s="111"/>
      <c r="K9" s="111"/>
      <c r="L9" s="111"/>
      <c r="M9" s="111"/>
      <c r="N9" s="111"/>
    </row>
    <row r="10" spans="1:15" ht="24" customHeight="1">
      <c r="A10" s="12" t="s">
        <v>14</v>
      </c>
      <c r="B10" s="13" t="s">
        <v>15</v>
      </c>
      <c r="C10" s="13"/>
      <c r="D10" s="13"/>
      <c r="E10" s="122" t="s">
        <v>16</v>
      </c>
      <c r="F10" s="123"/>
      <c r="G10" s="123"/>
      <c r="H10" s="123"/>
      <c r="I10" s="123"/>
      <c r="J10" s="123"/>
      <c r="K10" s="123"/>
      <c r="L10" s="123"/>
      <c r="M10" s="123"/>
      <c r="N10" s="124"/>
      <c r="O10" s="29" t="str">
        <f>IF(E10="","入力してください","")</f>
        <v/>
      </c>
    </row>
    <row r="11" spans="1:15" ht="7.5" customHeight="1">
      <c r="B11" s="14"/>
      <c r="C11" s="14"/>
      <c r="D11" s="14"/>
      <c r="E11" s="14"/>
      <c r="F11" s="111"/>
      <c r="G11" s="111"/>
      <c r="H11" s="111"/>
      <c r="I11" s="111"/>
      <c r="J11" s="111"/>
      <c r="K11" s="111"/>
      <c r="L11" s="111"/>
      <c r="M11" s="111"/>
      <c r="N11" s="111"/>
    </row>
    <row r="12" spans="1:15" ht="24" customHeight="1">
      <c r="A12" s="12" t="s">
        <v>17</v>
      </c>
      <c r="B12" s="14" t="s">
        <v>18</v>
      </c>
      <c r="C12" s="14"/>
      <c r="D12" s="14"/>
      <c r="E12" s="137" t="s">
        <v>19</v>
      </c>
      <c r="F12" s="138"/>
      <c r="G12" s="15" t="s">
        <v>20</v>
      </c>
      <c r="H12" s="12" t="s">
        <v>21</v>
      </c>
      <c r="N12" s="105" t="s">
        <v>22</v>
      </c>
      <c r="O12" s="29" t="str">
        <f>IF(E12="","入力してください","")</f>
        <v/>
      </c>
    </row>
    <row r="13" spans="1:15" ht="7.5" customHeight="1">
      <c r="B13" s="14"/>
      <c r="C13" s="14"/>
      <c r="D13" s="14"/>
      <c r="E13" s="14"/>
      <c r="F13" s="111"/>
      <c r="G13" s="111"/>
      <c r="H13" s="111"/>
      <c r="I13" s="111"/>
      <c r="J13" s="111"/>
      <c r="K13" s="111"/>
      <c r="L13" s="111"/>
      <c r="M13" s="111"/>
      <c r="N13" s="111"/>
    </row>
    <row r="14" spans="1:15" ht="24" customHeight="1">
      <c r="A14" s="12" t="s">
        <v>23</v>
      </c>
      <c r="B14" s="12" t="s">
        <v>24</v>
      </c>
      <c r="C14" s="133" t="s">
        <v>25</v>
      </c>
      <c r="D14" s="134"/>
      <c r="E14" s="125">
        <v>1046</v>
      </c>
      <c r="F14" s="126"/>
      <c r="G14" s="16" t="s">
        <v>26</v>
      </c>
      <c r="I14" s="133" t="s">
        <v>27</v>
      </c>
      <c r="J14" s="134"/>
      <c r="K14" s="125">
        <v>494</v>
      </c>
      <c r="L14" s="135"/>
      <c r="M14" s="126"/>
      <c r="N14" s="17" t="s">
        <v>26</v>
      </c>
      <c r="O14" s="29" t="str">
        <f>IF(OR(E14="",K14=""),"入力してください","")</f>
        <v/>
      </c>
    </row>
    <row r="15" spans="1:15" ht="7.5" customHeight="1">
      <c r="F15" s="18"/>
      <c r="G15" s="18"/>
      <c r="H15" s="18"/>
      <c r="I15" s="18"/>
      <c r="J15" s="18"/>
      <c r="K15" s="18"/>
      <c r="L15" s="18"/>
      <c r="M15" s="17"/>
      <c r="N15" s="17"/>
    </row>
    <row r="16" spans="1:15" ht="24" customHeight="1">
      <c r="A16" s="12" t="s">
        <v>28</v>
      </c>
      <c r="B16" s="12" t="s">
        <v>29</v>
      </c>
      <c r="F16" s="18"/>
      <c r="G16" s="18"/>
      <c r="H16" s="18"/>
      <c r="I16" s="18"/>
      <c r="J16" s="18"/>
      <c r="K16" s="139">
        <v>20</v>
      </c>
      <c r="L16" s="140"/>
      <c r="M16" s="141"/>
      <c r="N16" s="17" t="s">
        <v>26</v>
      </c>
      <c r="O16" s="29" t="str">
        <f>IF(K16="","入力してください","")</f>
        <v/>
      </c>
    </row>
    <row r="17" spans="1:15" ht="7.5" customHeight="1">
      <c r="F17" s="18"/>
      <c r="G17" s="18"/>
      <c r="H17" s="18"/>
      <c r="I17" s="18"/>
      <c r="J17" s="18"/>
      <c r="K17" s="18"/>
      <c r="L17" s="18"/>
      <c r="M17" s="17"/>
      <c r="N17" s="17"/>
    </row>
    <row r="18" spans="1:15" ht="24" customHeight="1">
      <c r="A18" s="12" t="s">
        <v>30</v>
      </c>
      <c r="B18" s="12" t="s">
        <v>31</v>
      </c>
      <c r="E18" s="125">
        <v>1068</v>
      </c>
      <c r="F18" s="126"/>
      <c r="G18" s="19" t="s">
        <v>32</v>
      </c>
      <c r="H18" s="18"/>
      <c r="K18" s="145"/>
      <c r="L18" s="145"/>
      <c r="M18" s="145"/>
      <c r="N18" s="145"/>
      <c r="O18" s="29" t="str">
        <f>IF(E18="","入力してください","")</f>
        <v/>
      </c>
    </row>
    <row r="19" spans="1:15" ht="7.5" customHeight="1">
      <c r="E19" s="8"/>
      <c r="F19" s="18"/>
      <c r="G19" s="18"/>
      <c r="L19" s="110"/>
      <c r="M19" s="110"/>
      <c r="N19" s="20"/>
    </row>
    <row r="20" spans="1:15" ht="24" customHeight="1">
      <c r="A20" s="12" t="s">
        <v>33</v>
      </c>
      <c r="B20" s="12" t="s">
        <v>34</v>
      </c>
      <c r="E20" s="8"/>
      <c r="F20" s="18"/>
      <c r="G20" s="18"/>
      <c r="H20" s="12" t="s">
        <v>35</v>
      </c>
      <c r="J20" s="142">
        <v>4858</v>
      </c>
      <c r="K20" s="143"/>
      <c r="L20" s="144"/>
      <c r="M20" s="110" t="s">
        <v>26</v>
      </c>
      <c r="N20" s="20"/>
      <c r="O20" s="29" t="str">
        <f>IF(J20="","入力してください","")</f>
        <v/>
      </c>
    </row>
    <row r="21" spans="1:15" ht="7.5" customHeight="1">
      <c r="E21" s="8"/>
      <c r="F21" s="18"/>
      <c r="G21" s="18"/>
      <c r="L21" s="110"/>
      <c r="M21" s="110"/>
      <c r="N21" s="20"/>
    </row>
    <row r="22" spans="1:15" ht="24" customHeight="1">
      <c r="B22" s="27" t="s">
        <v>36</v>
      </c>
      <c r="C22" s="125">
        <v>1157</v>
      </c>
      <c r="D22" s="126"/>
      <c r="E22" s="8" t="s">
        <v>26</v>
      </c>
      <c r="F22" s="18"/>
      <c r="G22" s="121" t="s">
        <v>37</v>
      </c>
      <c r="H22" s="121"/>
      <c r="I22" s="125">
        <v>1118</v>
      </c>
      <c r="J22" s="126"/>
      <c r="K22" s="15" t="s">
        <v>26</v>
      </c>
      <c r="M22" s="110"/>
      <c r="N22" s="20"/>
    </row>
    <row r="23" spans="1:15" ht="7.5" customHeight="1">
      <c r="B23" s="27"/>
      <c r="C23" s="9"/>
      <c r="D23" s="9"/>
      <c r="E23" s="8"/>
      <c r="F23" s="18"/>
      <c r="G23" s="110"/>
      <c r="H23" s="110"/>
      <c r="I23" s="9"/>
      <c r="J23" s="9"/>
      <c r="K23" s="15"/>
      <c r="M23" s="110"/>
      <c r="N23" s="20"/>
    </row>
    <row r="24" spans="1:15" ht="24" customHeight="1">
      <c r="B24" s="27" t="s">
        <v>38</v>
      </c>
      <c r="C24" s="125">
        <v>1146</v>
      </c>
      <c r="D24" s="126"/>
      <c r="E24" s="8" t="s">
        <v>26</v>
      </c>
      <c r="F24" s="18"/>
      <c r="G24" s="121" t="s">
        <v>39</v>
      </c>
      <c r="H24" s="121"/>
      <c r="I24" s="125">
        <v>1437</v>
      </c>
      <c r="J24" s="126"/>
      <c r="K24" s="15" t="s">
        <v>26</v>
      </c>
      <c r="M24" s="110"/>
      <c r="N24" s="20"/>
    </row>
    <row r="25" spans="1:15" ht="7.5" customHeight="1">
      <c r="B25" s="27"/>
      <c r="C25" s="9"/>
      <c r="D25" s="9"/>
      <c r="E25" s="8"/>
      <c r="F25" s="18"/>
      <c r="G25" s="110"/>
      <c r="H25" s="110"/>
      <c r="I25" s="9"/>
      <c r="J25" s="9"/>
      <c r="K25" s="15"/>
      <c r="M25" s="110"/>
      <c r="N25" s="20"/>
    </row>
    <row r="26" spans="1:15" ht="24" customHeight="1">
      <c r="B26" s="27" t="s">
        <v>40</v>
      </c>
      <c r="C26" s="125"/>
      <c r="D26" s="126"/>
      <c r="E26" s="8" t="s">
        <v>26</v>
      </c>
      <c r="F26" s="18"/>
      <c r="G26" s="121" t="s">
        <v>41</v>
      </c>
      <c r="H26" s="121"/>
      <c r="I26" s="125"/>
      <c r="J26" s="126"/>
      <c r="K26" s="15" t="s">
        <v>26</v>
      </c>
      <c r="M26" s="110"/>
      <c r="N26" s="20"/>
    </row>
    <row r="27" spans="1:15" ht="7.5" customHeight="1">
      <c r="F27" s="18"/>
      <c r="G27" s="18"/>
      <c r="M27" s="21"/>
      <c r="N27" s="21"/>
    </row>
    <row r="28" spans="1:15" ht="24" customHeight="1">
      <c r="A28" s="12" t="s">
        <v>42</v>
      </c>
      <c r="B28" s="13" t="s">
        <v>43</v>
      </c>
      <c r="C28" s="13"/>
      <c r="D28" s="13"/>
      <c r="E28" s="13"/>
      <c r="F28" s="15"/>
      <c r="G28" s="111"/>
      <c r="H28" s="111"/>
      <c r="I28" s="111"/>
      <c r="J28" s="22"/>
      <c r="K28" s="22"/>
      <c r="L28" s="22"/>
      <c r="M28" s="22"/>
      <c r="N28" s="22"/>
    </row>
    <row r="29" spans="1:15" s="12" customFormat="1" ht="24" customHeight="1">
      <c r="B29" s="129" t="s">
        <v>44</v>
      </c>
      <c r="C29" s="129"/>
      <c r="D29" s="122" t="s">
        <v>45</v>
      </c>
      <c r="E29" s="123"/>
      <c r="F29" s="123"/>
      <c r="G29" s="130" t="s">
        <v>46</v>
      </c>
      <c r="H29" s="129"/>
      <c r="I29" s="131"/>
      <c r="J29" s="122" t="s">
        <v>47</v>
      </c>
      <c r="K29" s="123"/>
      <c r="L29" s="123"/>
      <c r="M29" s="123"/>
      <c r="N29" s="124"/>
      <c r="O29" s="29" t="str">
        <f>IF(OR(D29="",J29=""),"入力してください","")</f>
        <v/>
      </c>
    </row>
    <row r="30" spans="1:15" ht="7.5" customHeight="1">
      <c r="F30" s="18"/>
      <c r="G30" s="18"/>
      <c r="M30" s="21"/>
      <c r="N30" s="21"/>
    </row>
    <row r="31" spans="1:15" ht="24" customHeight="1">
      <c r="A31" s="12" t="s">
        <v>48</v>
      </c>
      <c r="B31" s="13" t="s">
        <v>49</v>
      </c>
      <c r="C31" s="13"/>
      <c r="D31" s="13"/>
      <c r="E31" s="13"/>
      <c r="F31" s="15"/>
      <c r="G31" s="22"/>
      <c r="H31" s="22"/>
      <c r="I31" s="22"/>
      <c r="J31" s="22"/>
      <c r="K31" s="22"/>
      <c r="L31" s="22"/>
      <c r="M31" s="22"/>
      <c r="N31" s="22"/>
    </row>
    <row r="32" spans="1:15" ht="24" customHeight="1">
      <c r="B32" s="122" t="s">
        <v>50</v>
      </c>
      <c r="C32" s="123"/>
      <c r="D32" s="123"/>
      <c r="E32" s="123"/>
      <c r="F32" s="123"/>
      <c r="G32" s="123"/>
      <c r="H32" s="123"/>
      <c r="I32" s="123"/>
      <c r="J32" s="123"/>
      <c r="K32" s="123"/>
      <c r="L32" s="123"/>
      <c r="M32" s="123"/>
      <c r="N32" s="124"/>
      <c r="O32" s="29" t="str">
        <f>IF(B32="","入力してください","")</f>
        <v/>
      </c>
    </row>
    <row r="33" spans="1:15" ht="7.5" customHeight="1">
      <c r="B33" s="10"/>
      <c r="C33" s="10"/>
      <c r="D33" s="10"/>
      <c r="E33" s="10"/>
      <c r="F33" s="10"/>
      <c r="G33" s="10"/>
      <c r="H33" s="10"/>
      <c r="I33" s="10"/>
      <c r="J33" s="10"/>
      <c r="K33" s="10"/>
      <c r="L33" s="10"/>
      <c r="M33" s="10"/>
      <c r="N33" s="10"/>
    </row>
    <row r="34" spans="1:15" s="12" customFormat="1" ht="24" customHeight="1">
      <c r="B34" s="129" t="s">
        <v>44</v>
      </c>
      <c r="C34" s="129"/>
      <c r="D34" s="122" t="s">
        <v>51</v>
      </c>
      <c r="E34" s="123"/>
      <c r="F34" s="123"/>
      <c r="G34" s="130" t="s">
        <v>46</v>
      </c>
      <c r="H34" s="129"/>
      <c r="I34" s="131"/>
      <c r="J34" s="122" t="s">
        <v>52</v>
      </c>
      <c r="K34" s="123"/>
      <c r="L34" s="123"/>
      <c r="M34" s="123"/>
      <c r="N34" s="124"/>
      <c r="O34" s="29" t="str">
        <f>IF(OR(D34="",J34=""),"入力してください","")</f>
        <v/>
      </c>
    </row>
    <row r="35" spans="1:15" ht="7.5" customHeight="1">
      <c r="F35" s="111"/>
      <c r="G35" s="111"/>
      <c r="H35" s="111"/>
      <c r="I35" s="111"/>
      <c r="J35" s="111"/>
      <c r="K35" s="111"/>
      <c r="L35" s="111"/>
      <c r="M35" s="111"/>
      <c r="N35" s="111"/>
    </row>
    <row r="36" spans="1:15" ht="24" customHeight="1">
      <c r="A36" s="12" t="s">
        <v>53</v>
      </c>
      <c r="B36" s="12" t="s">
        <v>54</v>
      </c>
      <c r="M36" s="21"/>
      <c r="N36" s="21"/>
    </row>
    <row r="37" spans="1:15" ht="24" customHeight="1">
      <c r="B37" s="122" t="s">
        <v>50</v>
      </c>
      <c r="C37" s="123"/>
      <c r="D37" s="123"/>
      <c r="E37" s="123"/>
      <c r="F37" s="123"/>
      <c r="G37" s="123"/>
      <c r="H37" s="123"/>
      <c r="I37" s="123"/>
      <c r="J37" s="123"/>
      <c r="K37" s="123"/>
      <c r="L37" s="123"/>
      <c r="M37" s="123"/>
      <c r="N37" s="124"/>
      <c r="O37" s="29" t="str">
        <f>IF(B37="","入力してください","")</f>
        <v/>
      </c>
    </row>
    <row r="38" spans="1:15" ht="7.5" customHeight="1">
      <c r="F38" s="111"/>
      <c r="G38" s="111"/>
      <c r="H38" s="111"/>
      <c r="I38" s="111"/>
      <c r="J38" s="111"/>
      <c r="K38" s="111"/>
      <c r="L38" s="111"/>
      <c r="M38" s="111"/>
      <c r="N38" s="111"/>
    </row>
    <row r="39" spans="1:15" s="12" customFormat="1" ht="24" customHeight="1">
      <c r="B39" s="129" t="s">
        <v>44</v>
      </c>
      <c r="C39" s="129"/>
      <c r="D39" s="122" t="s">
        <v>51</v>
      </c>
      <c r="E39" s="123"/>
      <c r="F39" s="123"/>
      <c r="G39" s="130" t="s">
        <v>46</v>
      </c>
      <c r="H39" s="129"/>
      <c r="I39" s="131"/>
      <c r="J39" s="122" t="s">
        <v>52</v>
      </c>
      <c r="K39" s="123"/>
      <c r="L39" s="123"/>
      <c r="M39" s="123"/>
      <c r="N39" s="124"/>
      <c r="O39" s="29" t="str">
        <f>IF(OR(D39="",J39=""),"入力してください","")</f>
        <v/>
      </c>
    </row>
    <row r="40" spans="1:15" ht="7.5" customHeight="1">
      <c r="F40" s="111"/>
      <c r="G40" s="111"/>
      <c r="H40" s="111"/>
      <c r="I40" s="111"/>
      <c r="J40" s="111"/>
      <c r="K40" s="111"/>
      <c r="L40" s="111"/>
      <c r="M40" s="111"/>
      <c r="N40" s="111"/>
    </row>
    <row r="41" spans="1:15" ht="24" customHeight="1">
      <c r="A41" s="12" t="s">
        <v>55</v>
      </c>
      <c r="B41" s="65" t="s">
        <v>56</v>
      </c>
      <c r="E41" s="66"/>
      <c r="F41" s="122" t="s">
        <v>57</v>
      </c>
      <c r="G41" s="123"/>
      <c r="H41" s="123"/>
      <c r="I41" s="123"/>
      <c r="J41" s="123"/>
      <c r="K41" s="123"/>
      <c r="L41" s="123"/>
      <c r="M41" s="123"/>
      <c r="N41" s="124"/>
      <c r="O41" s="29" t="str">
        <f>IF(F41="","入力してください","")</f>
        <v/>
      </c>
    </row>
    <row r="42" spans="1:15" ht="7.5" customHeight="1">
      <c r="F42" s="111"/>
      <c r="G42" s="111"/>
      <c r="H42" s="111"/>
      <c r="I42" s="111"/>
      <c r="J42" s="111"/>
      <c r="K42" s="111"/>
      <c r="L42" s="111"/>
      <c r="M42" s="111"/>
      <c r="N42" s="111"/>
    </row>
    <row r="43" spans="1:15" ht="24" customHeight="1">
      <c r="A43" s="12" t="s">
        <v>58</v>
      </c>
    </row>
    <row r="44" spans="1:15" ht="24" customHeight="1">
      <c r="B44" s="28" t="s">
        <v>59</v>
      </c>
      <c r="C44" s="127" t="s">
        <v>60</v>
      </c>
      <c r="D44" s="128"/>
      <c r="E44" s="128"/>
      <c r="F44" s="128"/>
      <c r="G44" s="128"/>
      <c r="H44" s="128"/>
      <c r="I44" s="24" t="s">
        <v>61</v>
      </c>
      <c r="J44" s="25"/>
      <c r="K44" s="122" t="s">
        <v>62</v>
      </c>
      <c r="L44" s="123"/>
      <c r="M44" s="123"/>
      <c r="N44" s="124"/>
      <c r="O44" s="29" t="str">
        <f>IF(OR(C44="",K44=""),"入力してください","")</f>
        <v/>
      </c>
    </row>
    <row r="45" spans="1:15" ht="24" customHeight="1">
      <c r="B45" s="23" t="s">
        <v>63</v>
      </c>
      <c r="C45" s="117" t="s">
        <v>64</v>
      </c>
      <c r="D45" s="311"/>
      <c r="E45" s="311"/>
      <c r="F45" s="311"/>
      <c r="G45" s="311"/>
      <c r="H45" s="312"/>
      <c r="I45" s="24" t="s">
        <v>65</v>
      </c>
      <c r="J45" s="25"/>
      <c r="K45" s="118" t="s">
        <v>66</v>
      </c>
      <c r="L45" s="119"/>
      <c r="M45" s="119"/>
      <c r="N45" s="120"/>
      <c r="O45" s="29"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2"/>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AC7F4D97-614D-AB44-8B6D-90DD761D72A4}"/>
  </hyperlinks>
  <printOptions horizontalCentered="1"/>
  <pageMargins left="0.78740157480314998" right="0.78740157480314998" top="0.78740157480314998" bottom="0.39370078740157499" header="0.31496062992126" footer="0.31496062992126"/>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tabSelected="1" view="pageBreakPreview" topLeftCell="A83" zoomScaleNormal="100" zoomScaleSheetLayoutView="100" workbookViewId="0">
      <selection activeCell="B99" sqref="B99"/>
    </sheetView>
  </sheetViews>
  <sheetFormatPr defaultColWidth="9" defaultRowHeight="18.75" customHeight="1"/>
  <cols>
    <col min="1" max="1" width="2.5" style="11" customWidth="1"/>
    <col min="2" max="2" width="27.625" style="11" customWidth="1"/>
    <col min="3" max="13" width="3.375" style="11" customWidth="1"/>
    <col min="14" max="14" width="8.875" style="11" customWidth="1"/>
    <col min="15" max="15" width="18.875" style="11" customWidth="1"/>
    <col min="16" max="19" width="3.375" style="11" customWidth="1"/>
    <col min="20" max="20" width="3.5" style="11" customWidth="1"/>
    <col min="21" max="26" width="3.375" style="11" customWidth="1"/>
    <col min="27" max="16384" width="9" style="11"/>
  </cols>
  <sheetData>
    <row r="1" spans="1:26" ht="15" customHeight="1">
      <c r="W1" s="241" t="s">
        <v>67</v>
      </c>
      <c r="X1" s="241"/>
      <c r="Y1" s="241"/>
      <c r="Z1" s="241"/>
    </row>
    <row r="2" spans="1:26" ht="18" customHeight="1">
      <c r="A2" s="199" t="s">
        <v>68</v>
      </c>
      <c r="B2" s="199"/>
      <c r="C2" s="199"/>
      <c r="D2" s="199"/>
      <c r="E2" s="199"/>
      <c r="F2" s="199"/>
      <c r="G2" s="199"/>
      <c r="H2" s="199"/>
      <c r="I2" s="199"/>
      <c r="J2" s="199"/>
      <c r="K2" s="199"/>
      <c r="L2" s="199"/>
      <c r="M2" s="199"/>
      <c r="N2" s="199"/>
      <c r="O2" s="199"/>
      <c r="P2" s="199"/>
      <c r="Q2" s="199"/>
      <c r="R2" s="199"/>
      <c r="S2" s="199"/>
      <c r="T2" s="199"/>
      <c r="U2" s="199"/>
      <c r="V2" s="199"/>
      <c r="W2" s="199"/>
      <c r="X2" s="199"/>
      <c r="Y2" s="199"/>
      <c r="Z2" s="199"/>
    </row>
    <row r="3" spans="1:26" ht="15" customHeight="1">
      <c r="B3" s="27"/>
      <c r="C3" s="27"/>
      <c r="D3" s="27"/>
      <c r="E3" s="27"/>
      <c r="F3" s="27"/>
      <c r="G3" s="27"/>
      <c r="H3" s="27"/>
      <c r="I3" s="27"/>
      <c r="J3" s="27"/>
      <c r="K3" s="27"/>
      <c r="L3" s="27"/>
      <c r="M3" s="27"/>
      <c r="N3" s="27"/>
      <c r="O3" s="27"/>
      <c r="P3" s="27"/>
      <c r="Q3" s="27"/>
      <c r="R3" s="27"/>
      <c r="S3" s="27"/>
      <c r="T3" s="27"/>
      <c r="U3" s="27"/>
      <c r="V3" s="27"/>
      <c r="W3" s="27"/>
      <c r="X3" s="27"/>
      <c r="Y3" s="27"/>
      <c r="Z3" s="27"/>
    </row>
    <row r="4" spans="1:26" ht="18" customHeight="1">
      <c r="A4" s="11" t="s">
        <v>69</v>
      </c>
      <c r="B4" s="27"/>
      <c r="C4" s="27"/>
      <c r="D4" s="27"/>
      <c r="E4" s="27"/>
      <c r="F4" s="27"/>
      <c r="G4" s="27"/>
      <c r="H4" s="13" t="s">
        <v>70</v>
      </c>
      <c r="I4" s="27"/>
      <c r="J4" s="27"/>
      <c r="K4" s="27"/>
      <c r="L4" s="27"/>
      <c r="M4" s="27"/>
      <c r="N4" s="27"/>
      <c r="O4" s="139" t="s">
        <v>71</v>
      </c>
      <c r="P4" s="140"/>
      <c r="Q4" s="140"/>
      <c r="R4" s="140"/>
      <c r="S4" s="140"/>
      <c r="T4" s="140"/>
      <c r="U4" s="140"/>
      <c r="V4" s="140"/>
      <c r="W4" s="140"/>
      <c r="X4" s="140"/>
      <c r="Y4" s="140"/>
      <c r="Z4" s="141"/>
    </row>
    <row r="5" spans="1:26" ht="6" customHeight="1">
      <c r="B5" s="27"/>
      <c r="C5" s="27"/>
      <c r="D5" s="27"/>
      <c r="E5" s="27"/>
      <c r="F5" s="27"/>
      <c r="G5" s="27"/>
      <c r="H5" s="27"/>
      <c r="I5" s="27"/>
      <c r="J5" s="27"/>
      <c r="K5" s="27"/>
      <c r="L5" s="27"/>
      <c r="M5" s="27"/>
      <c r="N5" s="27"/>
      <c r="O5" s="14"/>
      <c r="P5" s="27"/>
      <c r="Q5" s="27"/>
      <c r="R5" s="27"/>
      <c r="S5" s="27"/>
      <c r="T5" s="27"/>
      <c r="U5" s="27"/>
      <c r="V5" s="27"/>
      <c r="W5" s="27"/>
      <c r="X5" s="27"/>
      <c r="Y5" s="27"/>
      <c r="Z5" s="27"/>
    </row>
    <row r="6" spans="1:26" ht="18" customHeight="1">
      <c r="B6" s="200" t="s">
        <v>72</v>
      </c>
      <c r="C6" s="201"/>
      <c r="D6" s="201"/>
      <c r="E6" s="201"/>
      <c r="F6" s="201"/>
      <c r="G6" s="201"/>
      <c r="H6" s="201"/>
      <c r="I6" s="201"/>
      <c r="J6" s="201"/>
      <c r="K6" s="201"/>
      <c r="L6" s="201"/>
      <c r="M6" s="201"/>
      <c r="N6" s="201"/>
      <c r="O6" s="201"/>
      <c r="P6" s="201"/>
      <c r="Q6" s="201"/>
      <c r="R6" s="201"/>
      <c r="S6" s="201"/>
      <c r="T6" s="201"/>
      <c r="U6" s="201"/>
      <c r="V6" s="201"/>
      <c r="W6" s="201"/>
      <c r="X6" s="201"/>
      <c r="Y6" s="201"/>
      <c r="Z6" s="202"/>
    </row>
    <row r="7" spans="1:26" ht="18" customHeight="1">
      <c r="B7" s="203"/>
      <c r="C7" s="204"/>
      <c r="D7" s="204"/>
      <c r="E7" s="204"/>
      <c r="F7" s="204"/>
      <c r="G7" s="204"/>
      <c r="H7" s="204"/>
      <c r="I7" s="204"/>
      <c r="J7" s="204"/>
      <c r="K7" s="204"/>
      <c r="L7" s="204"/>
      <c r="M7" s="204"/>
      <c r="N7" s="204"/>
      <c r="O7" s="204"/>
      <c r="P7" s="204"/>
      <c r="Q7" s="204"/>
      <c r="R7" s="204"/>
      <c r="S7" s="204"/>
      <c r="T7" s="204"/>
      <c r="U7" s="204"/>
      <c r="V7" s="204"/>
      <c r="W7" s="204"/>
      <c r="X7" s="204"/>
      <c r="Y7" s="204"/>
      <c r="Z7" s="205"/>
    </row>
    <row r="8" spans="1:26" ht="18" customHeight="1">
      <c r="B8" s="203"/>
      <c r="C8" s="204"/>
      <c r="D8" s="204"/>
      <c r="E8" s="204"/>
      <c r="F8" s="204"/>
      <c r="G8" s="204"/>
      <c r="H8" s="204"/>
      <c r="I8" s="204"/>
      <c r="J8" s="204"/>
      <c r="K8" s="204"/>
      <c r="L8" s="204"/>
      <c r="M8" s="204"/>
      <c r="N8" s="204"/>
      <c r="O8" s="204"/>
      <c r="P8" s="204"/>
      <c r="Q8" s="204"/>
      <c r="R8" s="204"/>
      <c r="S8" s="204"/>
      <c r="T8" s="204"/>
      <c r="U8" s="204"/>
      <c r="V8" s="204"/>
      <c r="W8" s="204"/>
      <c r="X8" s="204"/>
      <c r="Y8" s="204"/>
      <c r="Z8" s="205"/>
    </row>
    <row r="9" spans="1:26" ht="18" customHeight="1">
      <c r="B9" s="203"/>
      <c r="C9" s="204"/>
      <c r="D9" s="204"/>
      <c r="E9" s="204"/>
      <c r="F9" s="204"/>
      <c r="G9" s="204"/>
      <c r="H9" s="204"/>
      <c r="I9" s="204"/>
      <c r="J9" s="204"/>
      <c r="K9" s="204"/>
      <c r="L9" s="204"/>
      <c r="M9" s="204"/>
      <c r="N9" s="204"/>
      <c r="O9" s="204"/>
      <c r="P9" s="204"/>
      <c r="Q9" s="204"/>
      <c r="R9" s="204"/>
      <c r="S9" s="204"/>
      <c r="T9" s="204"/>
      <c r="U9" s="204"/>
      <c r="V9" s="204"/>
      <c r="W9" s="204"/>
      <c r="X9" s="204"/>
      <c r="Y9" s="204"/>
      <c r="Z9" s="205"/>
    </row>
    <row r="10" spans="1:26" ht="18" customHeight="1">
      <c r="B10" s="203"/>
      <c r="C10" s="206"/>
      <c r="D10" s="206"/>
      <c r="E10" s="206"/>
      <c r="F10" s="206"/>
      <c r="G10" s="206"/>
      <c r="H10" s="206"/>
      <c r="I10" s="206"/>
      <c r="J10" s="206"/>
      <c r="K10" s="206"/>
      <c r="L10" s="206"/>
      <c r="M10" s="206"/>
      <c r="N10" s="206"/>
      <c r="O10" s="206"/>
      <c r="P10" s="206"/>
      <c r="Q10" s="206"/>
      <c r="R10" s="206"/>
      <c r="S10" s="206"/>
      <c r="T10" s="206"/>
      <c r="U10" s="206"/>
      <c r="V10" s="206"/>
      <c r="W10" s="206"/>
      <c r="X10" s="206"/>
      <c r="Y10" s="206"/>
      <c r="Z10" s="205"/>
    </row>
    <row r="11" spans="1:26" ht="18" customHeight="1">
      <c r="B11" s="207"/>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9"/>
    </row>
    <row r="12" spans="1:26" ht="7.5" customHeight="1">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spans="1:26" ht="18" customHeight="1">
      <c r="A13" s="195" t="s">
        <v>73</v>
      </c>
      <c r="B13" s="195"/>
      <c r="C13" s="195"/>
      <c r="D13" s="195"/>
      <c r="E13" s="195"/>
      <c r="F13" s="195"/>
      <c r="G13" s="195"/>
      <c r="H13" s="195"/>
      <c r="I13" s="195"/>
      <c r="J13" s="195"/>
      <c r="K13" s="195"/>
      <c r="L13" s="195"/>
      <c r="M13" s="195"/>
      <c r="N13" s="195"/>
      <c r="O13" s="195"/>
      <c r="P13" s="195"/>
      <c r="Q13" s="195"/>
      <c r="R13" s="195"/>
      <c r="S13" s="195"/>
      <c r="T13" s="195"/>
      <c r="U13" s="195"/>
      <c r="V13" s="195"/>
      <c r="W13" s="195"/>
      <c r="X13" s="195"/>
      <c r="Y13" s="195"/>
      <c r="Z13" s="195"/>
    </row>
    <row r="14" spans="1:26" ht="18" customHeight="1">
      <c r="A14" s="195"/>
      <c r="B14" s="195"/>
      <c r="C14" s="195"/>
      <c r="D14" s="195"/>
      <c r="E14" s="195"/>
      <c r="F14" s="195"/>
      <c r="G14" s="195"/>
      <c r="H14" s="195"/>
      <c r="I14" s="195"/>
      <c r="J14" s="195"/>
      <c r="K14" s="195"/>
      <c r="L14" s="195"/>
      <c r="M14" s="195"/>
      <c r="N14" s="195"/>
      <c r="O14" s="195"/>
      <c r="P14" s="195"/>
      <c r="Q14" s="195"/>
      <c r="R14" s="195"/>
      <c r="S14" s="195"/>
      <c r="T14" s="195"/>
      <c r="U14" s="195"/>
      <c r="V14" s="195"/>
      <c r="W14" s="195"/>
      <c r="X14" s="195"/>
      <c r="Y14" s="195"/>
      <c r="Z14" s="195"/>
    </row>
    <row r="15" spans="1:26" ht="18" customHeight="1">
      <c r="A15" s="12"/>
      <c r="B15" s="139" t="s">
        <v>74</v>
      </c>
      <c r="C15" s="140"/>
      <c r="D15" s="140"/>
      <c r="E15" s="140"/>
      <c r="F15" s="141"/>
      <c r="G15" s="28" t="s">
        <v>75</v>
      </c>
      <c r="H15" s="100" t="s">
        <v>76</v>
      </c>
      <c r="I15" s="140" t="s">
        <v>77</v>
      </c>
      <c r="J15" s="140"/>
      <c r="K15" s="140"/>
      <c r="L15" s="67" t="s">
        <v>78</v>
      </c>
      <c r="M15" s="67" t="s">
        <v>79</v>
      </c>
      <c r="N15" s="139" t="s">
        <v>74</v>
      </c>
      <c r="O15" s="140"/>
      <c r="P15" s="140"/>
      <c r="Q15" s="140"/>
      <c r="R15" s="140"/>
      <c r="S15" s="141"/>
      <c r="T15" s="28" t="s">
        <v>75</v>
      </c>
      <c r="U15" s="100" t="s">
        <v>76</v>
      </c>
      <c r="V15" s="140" t="s">
        <v>77</v>
      </c>
      <c r="W15" s="140"/>
      <c r="X15" s="140"/>
      <c r="Y15" s="67" t="s">
        <v>78</v>
      </c>
      <c r="Z15" s="67" t="s">
        <v>79</v>
      </c>
    </row>
    <row r="16" spans="1:26" ht="18" customHeight="1">
      <c r="A16" s="12"/>
      <c r="B16" s="186" t="s">
        <v>80</v>
      </c>
      <c r="C16" s="187"/>
      <c r="D16" s="187"/>
      <c r="E16" s="187"/>
      <c r="F16" s="188"/>
      <c r="G16" s="101">
        <v>1</v>
      </c>
      <c r="H16" s="101" t="s">
        <v>81</v>
      </c>
      <c r="I16" s="180" t="s">
        <v>82</v>
      </c>
      <c r="J16" s="181"/>
      <c r="K16" s="182"/>
      <c r="L16" s="101" t="s">
        <v>81</v>
      </c>
      <c r="M16" s="101" t="s">
        <v>81</v>
      </c>
      <c r="N16" s="146"/>
      <c r="O16" s="147"/>
      <c r="P16" s="147"/>
      <c r="Q16" s="147"/>
      <c r="R16" s="147"/>
      <c r="S16" s="148"/>
      <c r="T16" s="101"/>
      <c r="U16" s="101"/>
      <c r="V16" s="180"/>
      <c r="W16" s="181"/>
      <c r="X16" s="182"/>
      <c r="Y16" s="101"/>
      <c r="Z16" s="101"/>
    </row>
    <row r="17" spans="1:26" ht="18" customHeight="1">
      <c r="A17" s="12"/>
      <c r="B17" s="189" t="s">
        <v>83</v>
      </c>
      <c r="C17" s="190"/>
      <c r="D17" s="190"/>
      <c r="E17" s="190"/>
      <c r="F17" s="191"/>
      <c r="G17" s="102">
        <v>1</v>
      </c>
      <c r="H17" s="102" t="s">
        <v>81</v>
      </c>
      <c r="I17" s="183" t="s">
        <v>82</v>
      </c>
      <c r="J17" s="184"/>
      <c r="K17" s="185"/>
      <c r="L17" s="102" t="s">
        <v>81</v>
      </c>
      <c r="M17" s="102" t="s">
        <v>81</v>
      </c>
      <c r="N17" s="155"/>
      <c r="O17" s="156"/>
      <c r="P17" s="156"/>
      <c r="Q17" s="156"/>
      <c r="R17" s="156"/>
      <c r="S17" s="157"/>
      <c r="T17" s="102"/>
      <c r="U17" s="102"/>
      <c r="V17" s="183"/>
      <c r="W17" s="184"/>
      <c r="X17" s="185"/>
      <c r="Y17" s="102"/>
      <c r="Z17" s="102"/>
    </row>
    <row r="18" spans="1:26" ht="18" customHeight="1">
      <c r="A18" s="12"/>
      <c r="B18" s="189"/>
      <c r="C18" s="190"/>
      <c r="D18" s="190"/>
      <c r="E18" s="190"/>
      <c r="F18" s="191"/>
      <c r="G18" s="102"/>
      <c r="H18" s="102"/>
      <c r="I18" s="183"/>
      <c r="J18" s="184"/>
      <c r="K18" s="185"/>
      <c r="L18" s="102"/>
      <c r="M18" s="102"/>
      <c r="N18" s="155"/>
      <c r="O18" s="156"/>
      <c r="P18" s="156"/>
      <c r="Q18" s="156"/>
      <c r="R18" s="156"/>
      <c r="S18" s="157"/>
      <c r="T18" s="102"/>
      <c r="U18" s="102"/>
      <c r="V18" s="183"/>
      <c r="W18" s="184"/>
      <c r="X18" s="185"/>
      <c r="Y18" s="102"/>
      <c r="Z18" s="102"/>
    </row>
    <row r="19" spans="1:26" ht="18" customHeight="1">
      <c r="A19" s="12"/>
      <c r="B19" s="189"/>
      <c r="C19" s="190"/>
      <c r="D19" s="190"/>
      <c r="E19" s="190"/>
      <c r="F19" s="191"/>
      <c r="G19" s="102"/>
      <c r="H19" s="102"/>
      <c r="I19" s="183"/>
      <c r="J19" s="184"/>
      <c r="K19" s="185"/>
      <c r="L19" s="102"/>
      <c r="M19" s="102"/>
      <c r="N19" s="155"/>
      <c r="O19" s="156"/>
      <c r="P19" s="156"/>
      <c r="Q19" s="156"/>
      <c r="R19" s="156"/>
      <c r="S19" s="157"/>
      <c r="T19" s="102"/>
      <c r="U19" s="102"/>
      <c r="V19" s="183"/>
      <c r="W19" s="184"/>
      <c r="X19" s="185"/>
      <c r="Y19" s="102"/>
      <c r="Z19" s="102"/>
    </row>
    <row r="20" spans="1:26" ht="18" customHeight="1">
      <c r="A20" s="12"/>
      <c r="B20" s="189"/>
      <c r="C20" s="190"/>
      <c r="D20" s="190"/>
      <c r="E20" s="190"/>
      <c r="F20" s="191"/>
      <c r="G20" s="102"/>
      <c r="H20" s="102"/>
      <c r="I20" s="183"/>
      <c r="J20" s="184"/>
      <c r="K20" s="185"/>
      <c r="L20" s="102"/>
      <c r="M20" s="102"/>
      <c r="N20" s="155"/>
      <c r="O20" s="156"/>
      <c r="P20" s="156"/>
      <c r="Q20" s="156"/>
      <c r="R20" s="156"/>
      <c r="S20" s="157"/>
      <c r="T20" s="102"/>
      <c r="U20" s="102"/>
      <c r="V20" s="183"/>
      <c r="W20" s="184"/>
      <c r="X20" s="185"/>
      <c r="Y20" s="102"/>
      <c r="Z20" s="102"/>
    </row>
    <row r="21" spans="1:26" ht="18" customHeight="1">
      <c r="A21" s="27"/>
      <c r="B21" s="189"/>
      <c r="C21" s="190"/>
      <c r="D21" s="190"/>
      <c r="E21" s="190"/>
      <c r="F21" s="191"/>
      <c r="G21" s="102"/>
      <c r="H21" s="102"/>
      <c r="I21" s="183"/>
      <c r="J21" s="184"/>
      <c r="K21" s="185"/>
      <c r="L21" s="102"/>
      <c r="M21" s="102"/>
      <c r="N21" s="155"/>
      <c r="O21" s="156"/>
      <c r="P21" s="156"/>
      <c r="Q21" s="156"/>
      <c r="R21" s="156"/>
      <c r="S21" s="157"/>
      <c r="T21" s="102"/>
      <c r="U21" s="102"/>
      <c r="V21" s="183"/>
      <c r="W21" s="184"/>
      <c r="X21" s="185"/>
      <c r="Y21" s="102"/>
      <c r="Z21" s="102"/>
    </row>
    <row r="22" spans="1:26" ht="18" customHeight="1">
      <c r="A22" s="27"/>
      <c r="B22" s="196"/>
      <c r="C22" s="197"/>
      <c r="D22" s="197"/>
      <c r="E22" s="197"/>
      <c r="F22" s="198"/>
      <c r="G22" s="103"/>
      <c r="H22" s="103"/>
      <c r="I22" s="192"/>
      <c r="J22" s="193"/>
      <c r="K22" s="194"/>
      <c r="L22" s="106"/>
      <c r="M22" s="106"/>
      <c r="N22" s="222"/>
      <c r="O22" s="223"/>
      <c r="P22" s="223"/>
      <c r="Q22" s="223"/>
      <c r="R22" s="223"/>
      <c r="S22" s="224"/>
      <c r="T22" s="103"/>
      <c r="U22" s="103"/>
      <c r="V22" s="192"/>
      <c r="W22" s="193"/>
      <c r="X22" s="194"/>
      <c r="Y22" s="106"/>
      <c r="Z22" s="106"/>
    </row>
    <row r="23" spans="1:26" ht="7.5" customHeight="1">
      <c r="A23" s="27"/>
      <c r="B23" s="68"/>
      <c r="C23" s="68"/>
      <c r="D23" s="27"/>
      <c r="E23" s="27"/>
      <c r="F23" s="27"/>
      <c r="G23" s="27"/>
      <c r="H23" s="27"/>
      <c r="I23" s="27"/>
      <c r="J23" s="27"/>
      <c r="K23" s="27"/>
      <c r="L23" s="68"/>
      <c r="M23" s="68"/>
      <c r="N23" s="68"/>
      <c r="O23" s="68"/>
      <c r="P23" s="68"/>
      <c r="Q23" s="68"/>
      <c r="R23" s="68"/>
      <c r="S23" s="68"/>
      <c r="T23" s="68"/>
      <c r="U23" s="68"/>
      <c r="V23" s="68"/>
      <c r="W23" s="68"/>
      <c r="X23" s="68"/>
      <c r="Y23" s="68"/>
      <c r="Z23" s="27"/>
    </row>
    <row r="24" spans="1:26" ht="18" customHeight="1">
      <c r="A24" s="195" t="s">
        <v>84</v>
      </c>
      <c r="B24" s="195"/>
      <c r="C24" s="195"/>
      <c r="D24" s="195"/>
      <c r="E24" s="195"/>
      <c r="F24" s="195"/>
      <c r="G24" s="195"/>
      <c r="H24" s="195"/>
      <c r="I24" s="195"/>
      <c r="J24" s="195"/>
      <c r="K24" s="195"/>
      <c r="L24" s="195"/>
      <c r="M24" s="195"/>
      <c r="N24" s="195"/>
      <c r="O24" s="195"/>
      <c r="P24" s="195"/>
      <c r="Q24" s="195"/>
      <c r="R24" s="195"/>
      <c r="S24" s="195"/>
      <c r="T24" s="195"/>
      <c r="U24" s="195"/>
      <c r="V24" s="195"/>
      <c r="W24" s="195"/>
      <c r="X24" s="195"/>
      <c r="Y24" s="195"/>
      <c r="Z24" s="195"/>
    </row>
    <row r="25" spans="1:26" ht="18" customHeight="1">
      <c r="A25" s="195"/>
      <c r="B25" s="195"/>
      <c r="C25" s="195"/>
      <c r="D25" s="195"/>
      <c r="E25" s="195"/>
      <c r="F25" s="195"/>
      <c r="G25" s="195"/>
      <c r="H25" s="195"/>
      <c r="I25" s="195"/>
      <c r="J25" s="195"/>
      <c r="K25" s="195"/>
      <c r="L25" s="195"/>
      <c r="M25" s="195"/>
      <c r="N25" s="195"/>
      <c r="O25" s="195"/>
      <c r="P25" s="195"/>
      <c r="Q25" s="195"/>
      <c r="R25" s="195"/>
      <c r="S25" s="195"/>
      <c r="T25" s="195"/>
      <c r="U25" s="195"/>
      <c r="V25" s="195"/>
      <c r="W25" s="195"/>
      <c r="X25" s="195"/>
      <c r="Y25" s="195"/>
      <c r="Z25" s="195"/>
    </row>
    <row r="26" spans="1:26" ht="18" customHeight="1">
      <c r="A26" s="12"/>
      <c r="B26" s="139" t="s">
        <v>74</v>
      </c>
      <c r="C26" s="140"/>
      <c r="D26" s="140"/>
      <c r="E26" s="140"/>
      <c r="F26" s="141"/>
      <c r="G26" s="28" t="s">
        <v>75</v>
      </c>
      <c r="H26" s="100" t="s">
        <v>76</v>
      </c>
      <c r="I26" s="140" t="s">
        <v>77</v>
      </c>
      <c r="J26" s="140"/>
      <c r="K26" s="140"/>
      <c r="L26" s="67" t="s">
        <v>85</v>
      </c>
      <c r="M26" s="67" t="s">
        <v>86</v>
      </c>
      <c r="N26" s="139" t="s">
        <v>74</v>
      </c>
      <c r="O26" s="140"/>
      <c r="P26" s="140"/>
      <c r="Q26" s="140"/>
      <c r="R26" s="140"/>
      <c r="S26" s="141"/>
      <c r="T26" s="28" t="s">
        <v>75</v>
      </c>
      <c r="U26" s="100" t="s">
        <v>76</v>
      </c>
      <c r="V26" s="140" t="s">
        <v>77</v>
      </c>
      <c r="W26" s="140"/>
      <c r="X26" s="140"/>
      <c r="Y26" s="67" t="s">
        <v>85</v>
      </c>
      <c r="Z26" s="67" t="s">
        <v>86</v>
      </c>
    </row>
    <row r="27" spans="1:26" ht="18" customHeight="1">
      <c r="A27" s="12"/>
      <c r="B27" s="186" t="s">
        <v>87</v>
      </c>
      <c r="C27" s="187"/>
      <c r="D27" s="187"/>
      <c r="E27" s="187"/>
      <c r="F27" s="188"/>
      <c r="G27" s="101">
        <v>1</v>
      </c>
      <c r="H27" s="101" t="s">
        <v>81</v>
      </c>
      <c r="I27" s="180" t="s">
        <v>82</v>
      </c>
      <c r="J27" s="181"/>
      <c r="K27" s="182"/>
      <c r="L27" s="101" t="s">
        <v>81</v>
      </c>
      <c r="M27" s="101" t="s">
        <v>81</v>
      </c>
      <c r="N27" s="146"/>
      <c r="O27" s="147"/>
      <c r="P27" s="147"/>
      <c r="Q27" s="147"/>
      <c r="R27" s="147"/>
      <c r="S27" s="148"/>
      <c r="T27" s="101"/>
      <c r="U27" s="101"/>
      <c r="V27" s="180"/>
      <c r="W27" s="181"/>
      <c r="X27" s="182"/>
      <c r="Y27" s="101"/>
      <c r="Z27" s="101"/>
    </row>
    <row r="28" spans="1:26" ht="18" customHeight="1">
      <c r="A28" s="12"/>
      <c r="B28" s="189" t="s">
        <v>88</v>
      </c>
      <c r="C28" s="190"/>
      <c r="D28" s="190"/>
      <c r="E28" s="190"/>
      <c r="F28" s="191"/>
      <c r="G28" s="102">
        <v>1</v>
      </c>
      <c r="H28" s="102" t="s">
        <v>81</v>
      </c>
      <c r="I28" s="183" t="s">
        <v>82</v>
      </c>
      <c r="J28" s="184"/>
      <c r="K28" s="185"/>
      <c r="L28" s="102" t="s">
        <v>81</v>
      </c>
      <c r="N28" s="155"/>
      <c r="O28" s="156"/>
      <c r="P28" s="156"/>
      <c r="Q28" s="156"/>
      <c r="R28" s="156"/>
      <c r="S28" s="157"/>
      <c r="T28" s="102"/>
      <c r="U28" s="102"/>
      <c r="V28" s="183"/>
      <c r="W28" s="184"/>
      <c r="X28" s="185"/>
      <c r="Y28" s="102"/>
      <c r="Z28" s="102"/>
    </row>
    <row r="29" spans="1:26" ht="18" customHeight="1">
      <c r="A29" s="12"/>
      <c r="B29" s="189" t="s">
        <v>89</v>
      </c>
      <c r="C29" s="190"/>
      <c r="D29" s="190"/>
      <c r="E29" s="190"/>
      <c r="F29" s="191"/>
      <c r="G29" s="102">
        <v>1</v>
      </c>
      <c r="H29" s="102" t="s">
        <v>81</v>
      </c>
      <c r="I29" s="183" t="s">
        <v>82</v>
      </c>
      <c r="J29" s="184"/>
      <c r="K29" s="185"/>
      <c r="L29" s="102"/>
      <c r="M29" s="102" t="s">
        <v>81</v>
      </c>
      <c r="N29" s="155"/>
      <c r="O29" s="156"/>
      <c r="P29" s="156"/>
      <c r="Q29" s="156"/>
      <c r="R29" s="156"/>
      <c r="S29" s="157"/>
      <c r="T29" s="102"/>
      <c r="U29" s="102"/>
      <c r="V29" s="183"/>
      <c r="W29" s="184"/>
      <c r="X29" s="185"/>
      <c r="Y29" s="102"/>
      <c r="Z29" s="102"/>
    </row>
    <row r="30" spans="1:26" ht="18" customHeight="1">
      <c r="A30" s="12"/>
      <c r="B30" s="189"/>
      <c r="C30" s="190"/>
      <c r="D30" s="190"/>
      <c r="E30" s="190"/>
      <c r="F30" s="191"/>
      <c r="G30" s="102"/>
      <c r="H30" s="102"/>
      <c r="I30" s="183"/>
      <c r="J30" s="184"/>
      <c r="K30" s="185"/>
      <c r="L30" s="102"/>
      <c r="M30" s="102"/>
      <c r="N30" s="155"/>
      <c r="O30" s="156"/>
      <c r="P30" s="156"/>
      <c r="Q30" s="156"/>
      <c r="R30" s="156"/>
      <c r="S30" s="157"/>
      <c r="T30" s="102"/>
      <c r="U30" s="102"/>
      <c r="V30" s="183"/>
      <c r="W30" s="184"/>
      <c r="X30" s="185"/>
      <c r="Y30" s="102"/>
      <c r="Z30" s="102"/>
    </row>
    <row r="31" spans="1:26" ht="18" customHeight="1">
      <c r="A31" s="12"/>
      <c r="B31" s="189"/>
      <c r="C31" s="190"/>
      <c r="D31" s="190"/>
      <c r="E31" s="190"/>
      <c r="F31" s="191"/>
      <c r="G31" s="102"/>
      <c r="H31" s="102"/>
      <c r="I31" s="183"/>
      <c r="J31" s="184"/>
      <c r="K31" s="185"/>
      <c r="L31" s="102"/>
      <c r="M31" s="102"/>
      <c r="N31" s="155"/>
      <c r="O31" s="156"/>
      <c r="P31" s="156"/>
      <c r="Q31" s="156"/>
      <c r="R31" s="156"/>
      <c r="S31" s="157"/>
      <c r="T31" s="102"/>
      <c r="U31" s="102"/>
      <c r="V31" s="183"/>
      <c r="W31" s="184"/>
      <c r="X31" s="185"/>
      <c r="Y31" s="102"/>
      <c r="Z31" s="102"/>
    </row>
    <row r="32" spans="1:26" ht="18" customHeight="1">
      <c r="A32" s="12"/>
      <c r="B32" s="189"/>
      <c r="C32" s="190"/>
      <c r="D32" s="190"/>
      <c r="E32" s="190"/>
      <c r="F32" s="191"/>
      <c r="G32" s="102"/>
      <c r="H32" s="102"/>
      <c r="I32" s="183"/>
      <c r="J32" s="184"/>
      <c r="K32" s="185"/>
      <c r="L32" s="102"/>
      <c r="M32" s="102"/>
      <c r="N32" s="155"/>
      <c r="O32" s="156"/>
      <c r="P32" s="156"/>
      <c r="Q32" s="156"/>
      <c r="R32" s="156"/>
      <c r="S32" s="157"/>
      <c r="T32" s="102"/>
      <c r="U32" s="102"/>
      <c r="V32" s="183"/>
      <c r="W32" s="184"/>
      <c r="X32" s="185"/>
      <c r="Y32" s="102"/>
      <c r="Z32" s="102"/>
    </row>
    <row r="33" spans="1:26" ht="18" customHeight="1">
      <c r="A33" s="12"/>
      <c r="B33" s="196"/>
      <c r="C33" s="197"/>
      <c r="D33" s="197"/>
      <c r="E33" s="197"/>
      <c r="F33" s="198"/>
      <c r="G33" s="103"/>
      <c r="H33" s="103"/>
      <c r="I33" s="192"/>
      <c r="J33" s="193"/>
      <c r="K33" s="194"/>
      <c r="L33" s="106"/>
      <c r="M33" s="106"/>
      <c r="N33" s="222"/>
      <c r="O33" s="223"/>
      <c r="P33" s="223"/>
      <c r="Q33" s="223"/>
      <c r="R33" s="223"/>
      <c r="S33" s="224"/>
      <c r="T33" s="103"/>
      <c r="U33" s="103"/>
      <c r="V33" s="192"/>
      <c r="W33" s="193"/>
      <c r="X33" s="194"/>
      <c r="Y33" s="106"/>
      <c r="Z33" s="106"/>
    </row>
    <row r="34" spans="1:26" ht="7.5" customHeight="1">
      <c r="A34" s="27"/>
      <c r="B34" s="68"/>
      <c r="C34" s="68"/>
      <c r="D34" s="27"/>
      <c r="E34" s="27"/>
      <c r="F34" s="27"/>
      <c r="G34" s="27"/>
      <c r="H34" s="27"/>
      <c r="I34" s="27"/>
      <c r="J34" s="27"/>
      <c r="K34" s="27"/>
      <c r="L34" s="68"/>
      <c r="M34" s="68"/>
      <c r="N34" s="68"/>
      <c r="O34" s="68"/>
      <c r="P34" s="68"/>
      <c r="Q34" s="68"/>
      <c r="R34" s="68"/>
      <c r="S34" s="68"/>
      <c r="T34" s="68"/>
      <c r="U34" s="68"/>
      <c r="V34" s="68"/>
      <c r="W34" s="68"/>
      <c r="X34" s="68"/>
      <c r="Y34" s="68"/>
      <c r="Z34" s="27"/>
    </row>
    <row r="35" spans="1:26" ht="18" customHeight="1">
      <c r="A35" s="195" t="s">
        <v>90</v>
      </c>
      <c r="B35" s="195"/>
      <c r="C35" s="195"/>
      <c r="D35" s="195"/>
      <c r="E35" s="195"/>
      <c r="F35" s="195"/>
      <c r="G35" s="195"/>
      <c r="H35" s="195"/>
      <c r="I35" s="195"/>
      <c r="J35" s="195"/>
      <c r="K35" s="195"/>
      <c r="L35" s="195"/>
      <c r="M35" s="195"/>
      <c r="N35" s="195"/>
      <c r="O35" s="195"/>
      <c r="P35" s="195"/>
      <c r="Q35" s="195"/>
      <c r="R35" s="195"/>
      <c r="S35" s="195"/>
      <c r="T35" s="195"/>
      <c r="U35" s="195"/>
      <c r="V35" s="195"/>
      <c r="W35" s="195"/>
      <c r="X35" s="195"/>
      <c r="Y35" s="195"/>
      <c r="Z35" s="195"/>
    </row>
    <row r="36" spans="1:26" ht="18" customHeight="1">
      <c r="A36" s="195"/>
      <c r="B36" s="195"/>
      <c r="C36" s="195"/>
      <c r="D36" s="195"/>
      <c r="E36" s="195"/>
      <c r="F36" s="195"/>
      <c r="G36" s="195"/>
      <c r="H36" s="195"/>
      <c r="I36" s="195"/>
      <c r="J36" s="195"/>
      <c r="K36" s="195"/>
      <c r="L36" s="195"/>
      <c r="M36" s="195"/>
      <c r="N36" s="195"/>
      <c r="O36" s="195"/>
      <c r="P36" s="195"/>
      <c r="Q36" s="195"/>
      <c r="R36" s="195"/>
      <c r="S36" s="195"/>
      <c r="T36" s="195"/>
      <c r="U36" s="195"/>
      <c r="V36" s="195"/>
      <c r="W36" s="195"/>
      <c r="X36" s="195"/>
      <c r="Y36" s="195"/>
      <c r="Z36" s="195"/>
    </row>
    <row r="37" spans="1:26" ht="18" customHeight="1">
      <c r="A37" s="12"/>
      <c r="B37" s="139" t="s">
        <v>74</v>
      </c>
      <c r="C37" s="140"/>
      <c r="D37" s="140"/>
      <c r="E37" s="140"/>
      <c r="F37" s="141"/>
      <c r="G37" s="28" t="s">
        <v>75</v>
      </c>
      <c r="H37" s="100" t="s">
        <v>76</v>
      </c>
      <c r="I37" s="139" t="s">
        <v>77</v>
      </c>
      <c r="J37" s="140"/>
      <c r="K37" s="141"/>
      <c r="L37" s="67" t="s">
        <v>91</v>
      </c>
      <c r="M37" s="67" t="s">
        <v>92</v>
      </c>
      <c r="N37" s="139" t="s">
        <v>74</v>
      </c>
      <c r="O37" s="140"/>
      <c r="P37" s="140"/>
      <c r="Q37" s="140"/>
      <c r="R37" s="140"/>
      <c r="S37" s="141"/>
      <c r="T37" s="28" t="s">
        <v>75</v>
      </c>
      <c r="U37" s="100" t="s">
        <v>76</v>
      </c>
      <c r="V37" s="139" t="s">
        <v>77</v>
      </c>
      <c r="W37" s="140"/>
      <c r="X37" s="141"/>
      <c r="Y37" s="67" t="s">
        <v>91</v>
      </c>
      <c r="Z37" s="67" t="s">
        <v>92</v>
      </c>
    </row>
    <row r="38" spans="1:26" ht="18" customHeight="1">
      <c r="A38" s="27"/>
      <c r="B38" s="186" t="s">
        <v>87</v>
      </c>
      <c r="C38" s="187"/>
      <c r="D38" s="187"/>
      <c r="E38" s="187"/>
      <c r="F38" s="188"/>
      <c r="G38" s="101">
        <v>1</v>
      </c>
      <c r="H38" s="101" t="s">
        <v>81</v>
      </c>
      <c r="I38" s="180" t="s">
        <v>82</v>
      </c>
      <c r="J38" s="181"/>
      <c r="K38" s="182"/>
      <c r="L38" s="101" t="s">
        <v>81</v>
      </c>
      <c r="M38" s="101" t="s">
        <v>81</v>
      </c>
      <c r="N38" s="146"/>
      <c r="O38" s="147"/>
      <c r="P38" s="147"/>
      <c r="Q38" s="147"/>
      <c r="R38" s="147"/>
      <c r="S38" s="148"/>
      <c r="T38" s="101"/>
      <c r="U38" s="101"/>
      <c r="V38" s="180"/>
      <c r="W38" s="181"/>
      <c r="X38" s="182"/>
      <c r="Y38" s="101"/>
      <c r="Z38" s="101"/>
    </row>
    <row r="39" spans="1:26" ht="18" customHeight="1">
      <c r="A39" s="27"/>
      <c r="B39" s="189" t="s">
        <v>93</v>
      </c>
      <c r="C39" s="190"/>
      <c r="D39" s="190"/>
      <c r="E39" s="190"/>
      <c r="F39" s="191"/>
      <c r="G39" s="102">
        <v>1</v>
      </c>
      <c r="H39" s="102" t="s">
        <v>81</v>
      </c>
      <c r="I39" s="183" t="s">
        <v>82</v>
      </c>
      <c r="J39" s="184"/>
      <c r="K39" s="185"/>
      <c r="L39" s="102" t="s">
        <v>81</v>
      </c>
      <c r="M39" s="102"/>
      <c r="N39" s="155"/>
      <c r="O39" s="156"/>
      <c r="P39" s="156"/>
      <c r="Q39" s="156"/>
      <c r="R39" s="156"/>
      <c r="S39" s="157"/>
      <c r="T39" s="102"/>
      <c r="U39" s="102"/>
      <c r="V39" s="183"/>
      <c r="W39" s="184"/>
      <c r="X39" s="185"/>
      <c r="Y39" s="102"/>
      <c r="Z39" s="102"/>
    </row>
    <row r="40" spans="1:26" ht="18" customHeight="1">
      <c r="A40" s="27"/>
      <c r="B40" s="189" t="s">
        <v>94</v>
      </c>
      <c r="C40" s="190"/>
      <c r="D40" s="190"/>
      <c r="E40" s="190"/>
      <c r="F40" s="191"/>
      <c r="G40" s="102">
        <v>1</v>
      </c>
      <c r="H40" s="102" t="s">
        <v>81</v>
      </c>
      <c r="I40" s="183" t="s">
        <v>82</v>
      </c>
      <c r="J40" s="184"/>
      <c r="K40" s="185"/>
      <c r="L40" s="102" t="s">
        <v>81</v>
      </c>
      <c r="M40" s="102" t="s">
        <v>81</v>
      </c>
      <c r="N40" s="155"/>
      <c r="O40" s="156"/>
      <c r="P40" s="156"/>
      <c r="Q40" s="156"/>
      <c r="R40" s="156"/>
      <c r="S40" s="157"/>
      <c r="T40" s="102"/>
      <c r="U40" s="102"/>
      <c r="V40" s="183"/>
      <c r="W40" s="184"/>
      <c r="X40" s="185"/>
      <c r="Y40" s="102"/>
      <c r="Z40" s="102"/>
    </row>
    <row r="41" spans="1:26" ht="18" customHeight="1">
      <c r="A41" s="27"/>
      <c r="B41" s="189"/>
      <c r="C41" s="190"/>
      <c r="D41" s="190"/>
      <c r="E41" s="190"/>
      <c r="F41" s="191"/>
      <c r="G41" s="102"/>
      <c r="H41" s="102"/>
      <c r="I41" s="183"/>
      <c r="J41" s="184"/>
      <c r="K41" s="185"/>
      <c r="L41" s="102"/>
      <c r="M41" s="102"/>
      <c r="N41" s="155"/>
      <c r="O41" s="156"/>
      <c r="P41" s="156"/>
      <c r="Q41" s="156"/>
      <c r="R41" s="156"/>
      <c r="S41" s="157"/>
      <c r="T41" s="102"/>
      <c r="U41" s="102"/>
      <c r="V41" s="183"/>
      <c r="W41" s="184"/>
      <c r="X41" s="185"/>
      <c r="Y41" s="102"/>
      <c r="Z41" s="102"/>
    </row>
    <row r="42" spans="1:26" ht="18" customHeight="1">
      <c r="A42" s="27"/>
      <c r="B42" s="189"/>
      <c r="C42" s="190"/>
      <c r="D42" s="190"/>
      <c r="E42" s="190"/>
      <c r="F42" s="191"/>
      <c r="G42" s="102"/>
      <c r="H42" s="102"/>
      <c r="I42" s="183"/>
      <c r="J42" s="184"/>
      <c r="K42" s="185"/>
      <c r="L42" s="102"/>
      <c r="M42" s="102"/>
      <c r="N42" s="155"/>
      <c r="O42" s="156"/>
      <c r="P42" s="156"/>
      <c r="Q42" s="156"/>
      <c r="R42" s="156"/>
      <c r="S42" s="157"/>
      <c r="T42" s="102"/>
      <c r="U42" s="102"/>
      <c r="V42" s="183"/>
      <c r="W42" s="184"/>
      <c r="X42" s="185"/>
      <c r="Y42" s="102"/>
      <c r="Z42" s="102"/>
    </row>
    <row r="43" spans="1:26" ht="18" customHeight="1">
      <c r="A43" s="27"/>
      <c r="B43" s="189"/>
      <c r="C43" s="190"/>
      <c r="D43" s="190"/>
      <c r="E43" s="190"/>
      <c r="F43" s="191"/>
      <c r="G43" s="102"/>
      <c r="H43" s="102"/>
      <c r="I43" s="183"/>
      <c r="J43" s="184"/>
      <c r="K43" s="185"/>
      <c r="L43" s="102"/>
      <c r="M43" s="102"/>
      <c r="N43" s="155"/>
      <c r="O43" s="156"/>
      <c r="P43" s="156"/>
      <c r="Q43" s="156"/>
      <c r="R43" s="156"/>
      <c r="S43" s="157"/>
      <c r="T43" s="102"/>
      <c r="U43" s="102"/>
      <c r="V43" s="183"/>
      <c r="W43" s="184"/>
      <c r="X43" s="185"/>
      <c r="Y43" s="102"/>
      <c r="Z43" s="102"/>
    </row>
    <row r="44" spans="1:26" ht="18" customHeight="1">
      <c r="A44" s="27"/>
      <c r="B44" s="196"/>
      <c r="C44" s="197"/>
      <c r="D44" s="197"/>
      <c r="E44" s="197"/>
      <c r="F44" s="198"/>
      <c r="G44" s="103"/>
      <c r="H44" s="103"/>
      <c r="I44" s="192"/>
      <c r="J44" s="193"/>
      <c r="K44" s="194"/>
      <c r="L44" s="106"/>
      <c r="M44" s="106"/>
      <c r="N44" s="222"/>
      <c r="O44" s="223"/>
      <c r="P44" s="223"/>
      <c r="Q44" s="223"/>
      <c r="R44" s="223"/>
      <c r="S44" s="224"/>
      <c r="T44" s="103"/>
      <c r="U44" s="103"/>
      <c r="V44" s="192"/>
      <c r="W44" s="193"/>
      <c r="X44" s="194"/>
      <c r="Y44" s="106"/>
      <c r="Z44" s="106"/>
    </row>
    <row r="45" spans="1:26" ht="7.5" customHeight="1">
      <c r="B45" s="69"/>
      <c r="C45" s="69"/>
      <c r="D45" s="69"/>
      <c r="E45" s="69"/>
      <c r="F45" s="69"/>
      <c r="G45" s="69"/>
      <c r="H45" s="69"/>
      <c r="I45" s="69"/>
      <c r="J45" s="69"/>
      <c r="K45" s="69"/>
      <c r="L45" s="69"/>
      <c r="M45" s="69"/>
      <c r="N45" s="69"/>
      <c r="O45" s="69"/>
      <c r="P45" s="69"/>
      <c r="Q45" s="69"/>
      <c r="R45" s="69"/>
      <c r="S45" s="69"/>
      <c r="T45" s="69"/>
      <c r="U45" s="69"/>
      <c r="V45" s="69"/>
      <c r="W45" s="69"/>
      <c r="X45" s="69"/>
      <c r="Y45" s="69"/>
    </row>
    <row r="46" spans="1:26" ht="18" customHeight="1">
      <c r="A46" s="195" t="s">
        <v>95</v>
      </c>
      <c r="B46" s="195"/>
      <c r="C46" s="195"/>
      <c r="D46" s="195"/>
      <c r="E46" s="195"/>
      <c r="F46" s="195"/>
      <c r="G46" s="195"/>
      <c r="H46" s="195"/>
      <c r="I46" s="195"/>
      <c r="J46" s="195"/>
      <c r="K46" s="195"/>
      <c r="L46" s="195"/>
      <c r="M46" s="195"/>
      <c r="N46" s="195"/>
      <c r="O46" s="195"/>
      <c r="P46" s="195"/>
      <c r="Q46" s="195"/>
      <c r="R46" s="195"/>
      <c r="S46" s="195"/>
      <c r="T46" s="195"/>
      <c r="U46" s="195"/>
      <c r="V46" s="195"/>
      <c r="W46" s="195"/>
      <c r="X46" s="195"/>
      <c r="Y46" s="195"/>
      <c r="Z46" s="195"/>
    </row>
    <row r="47" spans="1:26" ht="18" customHeight="1">
      <c r="A47" s="195"/>
      <c r="B47" s="195"/>
      <c r="C47" s="195"/>
      <c r="D47" s="195"/>
      <c r="E47" s="195"/>
      <c r="F47" s="195"/>
      <c r="G47" s="195"/>
      <c r="H47" s="195"/>
      <c r="I47" s="195"/>
      <c r="J47" s="195"/>
      <c r="K47" s="195"/>
      <c r="L47" s="195"/>
      <c r="M47" s="195"/>
      <c r="N47" s="195"/>
      <c r="O47" s="195"/>
      <c r="P47" s="195"/>
      <c r="Q47" s="195"/>
      <c r="R47" s="195"/>
      <c r="S47" s="195"/>
      <c r="T47" s="195"/>
      <c r="U47" s="195"/>
      <c r="V47" s="195"/>
      <c r="W47" s="195"/>
      <c r="X47" s="195"/>
      <c r="Y47" s="195"/>
      <c r="Z47" s="195"/>
    </row>
    <row r="48" spans="1:26" ht="18" customHeight="1">
      <c r="A48" s="12"/>
      <c r="B48" s="139" t="s">
        <v>74</v>
      </c>
      <c r="C48" s="140"/>
      <c r="D48" s="140"/>
      <c r="E48" s="140"/>
      <c r="F48" s="141"/>
      <c r="G48" s="28" t="s">
        <v>75</v>
      </c>
      <c r="H48" s="100" t="s">
        <v>76</v>
      </c>
      <c r="I48" s="139" t="s">
        <v>77</v>
      </c>
      <c r="J48" s="140"/>
      <c r="K48" s="141"/>
      <c r="L48" s="67" t="s">
        <v>96</v>
      </c>
      <c r="M48" s="67" t="s">
        <v>97</v>
      </c>
      <c r="N48" s="139" t="s">
        <v>74</v>
      </c>
      <c r="O48" s="140"/>
      <c r="P48" s="140"/>
      <c r="Q48" s="140"/>
      <c r="R48" s="140"/>
      <c r="S48" s="141"/>
      <c r="T48" s="28" t="s">
        <v>75</v>
      </c>
      <c r="U48" s="100" t="s">
        <v>76</v>
      </c>
      <c r="V48" s="139" t="s">
        <v>77</v>
      </c>
      <c r="W48" s="140"/>
      <c r="X48" s="141"/>
      <c r="Y48" s="67" t="s">
        <v>96</v>
      </c>
      <c r="Z48" s="67" t="s">
        <v>97</v>
      </c>
    </row>
    <row r="49" spans="1:26" ht="18" customHeight="1">
      <c r="A49" s="27"/>
      <c r="B49" s="186" t="s">
        <v>98</v>
      </c>
      <c r="C49" s="187"/>
      <c r="D49" s="187"/>
      <c r="E49" s="187"/>
      <c r="F49" s="188"/>
      <c r="G49" s="101">
        <v>1</v>
      </c>
      <c r="H49" s="101" t="s">
        <v>81</v>
      </c>
      <c r="I49" s="180" t="s">
        <v>82</v>
      </c>
      <c r="J49" s="181"/>
      <c r="K49" s="182"/>
      <c r="L49" s="101" t="s">
        <v>81</v>
      </c>
      <c r="M49" s="101" t="s">
        <v>81</v>
      </c>
      <c r="N49" s="146"/>
      <c r="O49" s="147"/>
      <c r="P49" s="147"/>
      <c r="Q49" s="147"/>
      <c r="R49" s="147"/>
      <c r="S49" s="148"/>
      <c r="T49" s="101"/>
      <c r="U49" s="101"/>
      <c r="V49" s="180"/>
      <c r="W49" s="181"/>
      <c r="X49" s="182"/>
      <c r="Y49" s="101"/>
      <c r="Z49" s="101"/>
    </row>
    <row r="50" spans="1:26" ht="18" customHeight="1">
      <c r="A50" s="27"/>
      <c r="B50" s="189" t="s">
        <v>87</v>
      </c>
      <c r="C50" s="190"/>
      <c r="D50" s="190"/>
      <c r="E50" s="190"/>
      <c r="F50" s="191"/>
      <c r="G50" s="102">
        <v>1</v>
      </c>
      <c r="H50" s="102" t="s">
        <v>81</v>
      </c>
      <c r="I50" s="183" t="s">
        <v>82</v>
      </c>
      <c r="J50" s="184"/>
      <c r="K50" s="185"/>
      <c r="L50" s="102" t="s">
        <v>81</v>
      </c>
      <c r="M50" s="102" t="s">
        <v>81</v>
      </c>
      <c r="N50" s="155"/>
      <c r="O50" s="156"/>
      <c r="P50" s="156"/>
      <c r="Q50" s="156"/>
      <c r="R50" s="156"/>
      <c r="S50" s="157"/>
      <c r="T50" s="102"/>
      <c r="U50" s="102"/>
      <c r="V50" s="183"/>
      <c r="W50" s="184"/>
      <c r="X50" s="185"/>
      <c r="Y50" s="102"/>
      <c r="Z50" s="102"/>
    </row>
    <row r="51" spans="1:26" ht="18" customHeight="1">
      <c r="A51" s="27"/>
      <c r="B51" s="189"/>
      <c r="C51" s="190"/>
      <c r="D51" s="190"/>
      <c r="E51" s="190"/>
      <c r="F51" s="191"/>
      <c r="G51" s="102"/>
      <c r="H51" s="102"/>
      <c r="I51" s="183"/>
      <c r="J51" s="184"/>
      <c r="K51" s="185"/>
      <c r="L51" s="102"/>
      <c r="M51" s="102"/>
      <c r="N51" s="155"/>
      <c r="O51" s="156"/>
      <c r="P51" s="156"/>
      <c r="Q51" s="156"/>
      <c r="R51" s="156"/>
      <c r="S51" s="157"/>
      <c r="T51" s="102"/>
      <c r="U51" s="102"/>
      <c r="V51" s="183"/>
      <c r="W51" s="184"/>
      <c r="X51" s="185"/>
      <c r="Y51" s="102"/>
      <c r="Z51" s="102"/>
    </row>
    <row r="52" spans="1:26" ht="18" customHeight="1">
      <c r="A52" s="27"/>
      <c r="B52" s="189"/>
      <c r="C52" s="190"/>
      <c r="D52" s="190"/>
      <c r="E52" s="190"/>
      <c r="F52" s="191"/>
      <c r="G52" s="102"/>
      <c r="H52" s="102"/>
      <c r="I52" s="183"/>
      <c r="J52" s="184"/>
      <c r="K52" s="185"/>
      <c r="L52" s="102"/>
      <c r="M52" s="102"/>
      <c r="N52" s="155"/>
      <c r="O52" s="156"/>
      <c r="P52" s="156"/>
      <c r="Q52" s="156"/>
      <c r="R52" s="156"/>
      <c r="S52" s="157"/>
      <c r="T52" s="102"/>
      <c r="U52" s="102"/>
      <c r="V52" s="183"/>
      <c r="W52" s="184"/>
      <c r="X52" s="185"/>
      <c r="Y52" s="102"/>
      <c r="Z52" s="102"/>
    </row>
    <row r="53" spans="1:26" ht="18" customHeight="1">
      <c r="A53" s="27"/>
      <c r="B53" s="189"/>
      <c r="C53" s="190"/>
      <c r="D53" s="190"/>
      <c r="E53" s="190"/>
      <c r="F53" s="191"/>
      <c r="G53" s="102"/>
      <c r="H53" s="102"/>
      <c r="I53" s="183"/>
      <c r="J53" s="184"/>
      <c r="K53" s="185"/>
      <c r="L53" s="102"/>
      <c r="M53" s="102"/>
      <c r="N53" s="155"/>
      <c r="O53" s="156"/>
      <c r="P53" s="156"/>
      <c r="Q53" s="156"/>
      <c r="R53" s="156"/>
      <c r="S53" s="157"/>
      <c r="T53" s="102"/>
      <c r="U53" s="102"/>
      <c r="V53" s="183"/>
      <c r="W53" s="184"/>
      <c r="X53" s="185"/>
      <c r="Y53" s="102"/>
      <c r="Z53" s="102"/>
    </row>
    <row r="54" spans="1:26" ht="18" customHeight="1">
      <c r="A54" s="27"/>
      <c r="B54" s="189"/>
      <c r="C54" s="190"/>
      <c r="D54" s="190"/>
      <c r="E54" s="190"/>
      <c r="F54" s="191"/>
      <c r="G54" s="102"/>
      <c r="H54" s="102"/>
      <c r="I54" s="183"/>
      <c r="J54" s="184"/>
      <c r="K54" s="185"/>
      <c r="L54" s="102"/>
      <c r="M54" s="102"/>
      <c r="N54" s="155"/>
      <c r="O54" s="156"/>
      <c r="P54" s="156"/>
      <c r="Q54" s="156"/>
      <c r="R54" s="156"/>
      <c r="S54" s="157"/>
      <c r="T54" s="102"/>
      <c r="U54" s="102"/>
      <c r="V54" s="183"/>
      <c r="W54" s="184"/>
      <c r="X54" s="185"/>
      <c r="Y54" s="102"/>
      <c r="Z54" s="102"/>
    </row>
    <row r="55" spans="1:26" ht="18" customHeight="1">
      <c r="A55" s="27"/>
      <c r="B55" s="196"/>
      <c r="C55" s="197"/>
      <c r="D55" s="197"/>
      <c r="E55" s="197"/>
      <c r="F55" s="198"/>
      <c r="G55" s="103"/>
      <c r="H55" s="103"/>
      <c r="I55" s="192"/>
      <c r="J55" s="193"/>
      <c r="K55" s="194"/>
      <c r="L55" s="106"/>
      <c r="M55" s="106"/>
      <c r="N55" s="222"/>
      <c r="O55" s="223"/>
      <c r="P55" s="223"/>
      <c r="Q55" s="223"/>
      <c r="R55" s="223"/>
      <c r="S55" s="224"/>
      <c r="T55" s="103"/>
      <c r="U55" s="103"/>
      <c r="V55" s="192"/>
      <c r="W55" s="193"/>
      <c r="X55" s="194"/>
      <c r="Y55" s="106"/>
      <c r="Z55" s="106"/>
    </row>
    <row r="56" spans="1:26" ht="7.5" customHeight="1">
      <c r="B56" s="69"/>
      <c r="C56" s="69"/>
      <c r="D56" s="69"/>
      <c r="E56" s="69"/>
      <c r="F56" s="69"/>
      <c r="G56" s="69"/>
      <c r="H56" s="69"/>
      <c r="I56" s="69"/>
      <c r="J56" s="69"/>
      <c r="K56" s="69"/>
      <c r="L56" s="69"/>
      <c r="M56" s="69"/>
      <c r="N56" s="69"/>
      <c r="O56" s="69"/>
      <c r="P56" s="69"/>
      <c r="Q56" s="69"/>
      <c r="R56" s="69"/>
      <c r="S56" s="69"/>
      <c r="T56" s="69"/>
      <c r="U56" s="69"/>
      <c r="V56" s="69"/>
      <c r="W56" s="69"/>
      <c r="X56" s="69"/>
      <c r="Y56" s="69"/>
    </row>
    <row r="57" spans="1:26" ht="18" customHeight="1">
      <c r="A57" s="195" t="s">
        <v>99</v>
      </c>
      <c r="B57" s="195"/>
      <c r="C57" s="195"/>
      <c r="D57" s="195"/>
      <c r="E57" s="195"/>
      <c r="F57" s="195"/>
      <c r="G57" s="195"/>
      <c r="H57" s="195"/>
      <c r="I57" s="195"/>
      <c r="J57" s="195"/>
      <c r="K57" s="195"/>
      <c r="L57" s="195"/>
      <c r="M57" s="195"/>
      <c r="N57" s="195"/>
      <c r="O57" s="195"/>
      <c r="P57" s="195"/>
      <c r="Q57" s="195"/>
      <c r="R57" s="195"/>
      <c r="S57" s="195"/>
      <c r="T57" s="195"/>
      <c r="U57" s="195"/>
      <c r="V57" s="195"/>
      <c r="W57" s="195"/>
      <c r="X57" s="195"/>
      <c r="Y57" s="195"/>
      <c r="Z57" s="195"/>
    </row>
    <row r="58" spans="1:26" ht="18" customHeight="1">
      <c r="A58" s="195"/>
      <c r="B58" s="195"/>
      <c r="C58" s="195"/>
      <c r="D58" s="195"/>
      <c r="E58" s="195"/>
      <c r="F58" s="195"/>
      <c r="G58" s="195"/>
      <c r="H58" s="195"/>
      <c r="I58" s="195"/>
      <c r="J58" s="195"/>
      <c r="K58" s="195"/>
      <c r="L58" s="195"/>
      <c r="M58" s="195"/>
      <c r="N58" s="195"/>
      <c r="O58" s="195"/>
      <c r="P58" s="195"/>
      <c r="Q58" s="195"/>
      <c r="R58" s="195"/>
      <c r="S58" s="195"/>
      <c r="T58" s="195"/>
      <c r="U58" s="195"/>
      <c r="V58" s="195"/>
      <c r="W58" s="195"/>
      <c r="X58" s="195"/>
      <c r="Y58" s="195"/>
      <c r="Z58" s="195"/>
    </row>
    <row r="59" spans="1:26" ht="18" customHeight="1">
      <c r="A59" s="12"/>
      <c r="B59" s="139" t="s">
        <v>74</v>
      </c>
      <c r="C59" s="140"/>
      <c r="D59" s="140"/>
      <c r="E59" s="141"/>
      <c r="F59" s="28" t="s">
        <v>75</v>
      </c>
      <c r="G59" s="100" t="s">
        <v>76</v>
      </c>
      <c r="H59" s="95" t="s">
        <v>77</v>
      </c>
      <c r="I59" s="96"/>
      <c r="J59" s="97"/>
      <c r="K59" s="67" t="s">
        <v>100</v>
      </c>
      <c r="L59" s="67" t="s">
        <v>101</v>
      </c>
      <c r="M59" s="67" t="s">
        <v>102</v>
      </c>
      <c r="N59" s="139" t="s">
        <v>74</v>
      </c>
      <c r="O59" s="140"/>
      <c r="P59" s="140"/>
      <c r="Q59" s="140"/>
      <c r="R59" s="141"/>
      <c r="S59" s="28" t="s">
        <v>75</v>
      </c>
      <c r="T59" s="100" t="s">
        <v>76</v>
      </c>
      <c r="U59" s="95" t="s">
        <v>77</v>
      </c>
      <c r="V59" s="96"/>
      <c r="W59" s="97"/>
      <c r="X59" s="67" t="s">
        <v>100</v>
      </c>
      <c r="Y59" s="67" t="s">
        <v>101</v>
      </c>
      <c r="Z59" s="67" t="s">
        <v>102</v>
      </c>
    </row>
    <row r="60" spans="1:26" ht="18" customHeight="1">
      <c r="A60" s="27"/>
      <c r="B60" s="146" t="s">
        <v>87</v>
      </c>
      <c r="C60" s="147"/>
      <c r="D60" s="147"/>
      <c r="E60" s="148"/>
      <c r="F60" s="101">
        <v>1</v>
      </c>
      <c r="G60" s="101" t="s">
        <v>81</v>
      </c>
      <c r="H60" s="180" t="s">
        <v>82</v>
      </c>
      <c r="I60" s="181"/>
      <c r="J60" s="182"/>
      <c r="K60" s="101" t="s">
        <v>81</v>
      </c>
      <c r="L60" s="101" t="s">
        <v>103</v>
      </c>
      <c r="M60" s="101" t="s">
        <v>81</v>
      </c>
      <c r="N60" s="146"/>
      <c r="O60" s="147"/>
      <c r="P60" s="147"/>
      <c r="Q60" s="147"/>
      <c r="R60" s="148"/>
      <c r="S60" s="101"/>
      <c r="T60" s="101"/>
      <c r="U60" s="180"/>
      <c r="V60" s="181"/>
      <c r="W60" s="182"/>
      <c r="X60" s="114"/>
      <c r="Y60" s="101"/>
      <c r="Z60" s="101"/>
    </row>
    <row r="61" spans="1:26" ht="18" customHeight="1">
      <c r="A61" s="27"/>
      <c r="B61" s="155" t="s">
        <v>104</v>
      </c>
      <c r="C61" s="156"/>
      <c r="D61" s="156"/>
      <c r="E61" s="157"/>
      <c r="F61" s="102">
        <v>1</v>
      </c>
      <c r="G61" s="102" t="s">
        <v>81</v>
      </c>
      <c r="H61" s="183" t="s">
        <v>82</v>
      </c>
      <c r="I61" s="184"/>
      <c r="J61" s="185"/>
      <c r="K61" s="102" t="s">
        <v>103</v>
      </c>
      <c r="L61" s="102"/>
      <c r="M61" s="102" t="s">
        <v>103</v>
      </c>
      <c r="N61" s="155"/>
      <c r="O61" s="156"/>
      <c r="P61" s="156"/>
      <c r="Q61" s="156"/>
      <c r="R61" s="157"/>
      <c r="S61" s="102"/>
      <c r="T61" s="102"/>
      <c r="U61" s="183"/>
      <c r="V61" s="184"/>
      <c r="W61" s="185"/>
      <c r="X61" s="112"/>
      <c r="Y61" s="102"/>
      <c r="Z61" s="102"/>
    </row>
    <row r="62" spans="1:26" ht="18" customHeight="1">
      <c r="A62" s="27"/>
      <c r="B62" s="155" t="s">
        <v>94</v>
      </c>
      <c r="C62" s="156"/>
      <c r="D62" s="156"/>
      <c r="E62" s="157"/>
      <c r="F62" s="102">
        <v>1</v>
      </c>
      <c r="G62" s="102" t="s">
        <v>81</v>
      </c>
      <c r="H62" s="183" t="s">
        <v>82</v>
      </c>
      <c r="I62" s="184"/>
      <c r="J62" s="185"/>
      <c r="K62" s="112"/>
      <c r="L62" s="102"/>
      <c r="M62" s="102" t="s">
        <v>81</v>
      </c>
      <c r="N62" s="155"/>
      <c r="O62" s="156"/>
      <c r="P62" s="156"/>
      <c r="Q62" s="156"/>
      <c r="R62" s="157"/>
      <c r="S62" s="102"/>
      <c r="T62" s="102"/>
      <c r="U62" s="183"/>
      <c r="V62" s="184"/>
      <c r="W62" s="185"/>
      <c r="X62" s="112"/>
      <c r="Y62" s="102"/>
      <c r="Z62" s="102"/>
    </row>
    <row r="63" spans="1:26" ht="18" customHeight="1">
      <c r="A63" s="27"/>
      <c r="B63" s="155"/>
      <c r="C63" s="156"/>
      <c r="D63" s="156"/>
      <c r="E63" s="157"/>
      <c r="F63" s="102"/>
      <c r="G63" s="102"/>
      <c r="H63" s="183"/>
      <c r="I63" s="184"/>
      <c r="J63" s="185"/>
      <c r="K63" s="112"/>
      <c r="L63" s="102"/>
      <c r="M63" s="102"/>
      <c r="N63" s="155"/>
      <c r="O63" s="156"/>
      <c r="P63" s="156"/>
      <c r="Q63" s="156"/>
      <c r="R63" s="157"/>
      <c r="S63" s="102"/>
      <c r="T63" s="102"/>
      <c r="U63" s="183"/>
      <c r="V63" s="184"/>
      <c r="W63" s="185"/>
      <c r="X63" s="112"/>
      <c r="Y63" s="102"/>
      <c r="Z63" s="102"/>
    </row>
    <row r="64" spans="1:26" ht="18" customHeight="1">
      <c r="A64" s="27"/>
      <c r="B64" s="155"/>
      <c r="C64" s="156"/>
      <c r="D64" s="156"/>
      <c r="E64" s="157"/>
      <c r="F64" s="102"/>
      <c r="G64" s="102"/>
      <c r="H64" s="183"/>
      <c r="I64" s="184"/>
      <c r="J64" s="185"/>
      <c r="K64" s="112"/>
      <c r="L64" s="102"/>
      <c r="M64" s="102"/>
      <c r="N64" s="155"/>
      <c r="O64" s="156"/>
      <c r="P64" s="156"/>
      <c r="Q64" s="156"/>
      <c r="R64" s="157"/>
      <c r="S64" s="102"/>
      <c r="T64" s="102"/>
      <c r="U64" s="183"/>
      <c r="V64" s="184"/>
      <c r="W64" s="185"/>
      <c r="X64" s="112"/>
      <c r="Y64" s="102"/>
      <c r="Z64" s="102"/>
    </row>
    <row r="65" spans="1:26" ht="18" customHeight="1">
      <c r="A65" s="27"/>
      <c r="B65" s="155"/>
      <c r="C65" s="156"/>
      <c r="D65" s="156"/>
      <c r="E65" s="157"/>
      <c r="F65" s="102"/>
      <c r="G65" s="102"/>
      <c r="H65" s="183"/>
      <c r="I65" s="184"/>
      <c r="J65" s="185"/>
      <c r="K65" s="112"/>
      <c r="L65" s="102"/>
      <c r="M65" s="102"/>
      <c r="N65" s="155"/>
      <c r="O65" s="156"/>
      <c r="P65" s="156"/>
      <c r="Q65" s="156"/>
      <c r="R65" s="157"/>
      <c r="S65" s="102"/>
      <c r="T65" s="102"/>
      <c r="U65" s="183"/>
      <c r="V65" s="184"/>
      <c r="W65" s="185"/>
      <c r="X65" s="112"/>
      <c r="Y65" s="102"/>
      <c r="Z65" s="102"/>
    </row>
    <row r="66" spans="1:26" ht="18" customHeight="1">
      <c r="A66" s="27"/>
      <c r="B66" s="222"/>
      <c r="C66" s="223"/>
      <c r="D66" s="223"/>
      <c r="E66" s="224"/>
      <c r="F66" s="103"/>
      <c r="G66" s="103"/>
      <c r="H66" s="192"/>
      <c r="I66" s="193"/>
      <c r="J66" s="194"/>
      <c r="K66" s="113"/>
      <c r="L66" s="106"/>
      <c r="M66" s="106"/>
      <c r="N66" s="222"/>
      <c r="O66" s="223"/>
      <c r="P66" s="223"/>
      <c r="Q66" s="223"/>
      <c r="R66" s="224"/>
      <c r="S66" s="103"/>
      <c r="T66" s="103"/>
      <c r="U66" s="192"/>
      <c r="V66" s="193"/>
      <c r="W66" s="194"/>
      <c r="X66" s="113"/>
      <c r="Y66" s="106"/>
      <c r="Z66" s="106"/>
    </row>
    <row r="67" spans="1:26" ht="7.5" customHeight="1">
      <c r="B67" s="69"/>
      <c r="C67" s="69"/>
      <c r="D67" s="69"/>
      <c r="E67" s="69"/>
      <c r="F67" s="69"/>
      <c r="G67" s="69"/>
      <c r="H67" s="69"/>
      <c r="I67" s="69"/>
      <c r="J67" s="69"/>
      <c r="K67" s="69"/>
      <c r="L67" s="69"/>
      <c r="M67" s="69"/>
      <c r="N67" s="69"/>
      <c r="O67" s="69"/>
      <c r="P67" s="69"/>
      <c r="Q67" s="69"/>
      <c r="R67" s="69"/>
      <c r="S67" s="69"/>
      <c r="T67" s="69"/>
      <c r="U67" s="69"/>
      <c r="V67" s="69"/>
      <c r="W67" s="69"/>
      <c r="X67" s="69"/>
      <c r="Y67" s="69"/>
    </row>
    <row r="68" spans="1:26" ht="18" customHeight="1">
      <c r="A68" s="12" t="s">
        <v>105</v>
      </c>
      <c r="B68" s="12"/>
      <c r="C68" s="12"/>
      <c r="D68" s="12"/>
      <c r="E68" s="12"/>
      <c r="F68" s="12"/>
      <c r="G68" s="12"/>
      <c r="H68" s="12"/>
      <c r="I68" s="12"/>
      <c r="J68" s="12"/>
      <c r="K68" s="12"/>
      <c r="L68" s="27"/>
      <c r="M68" s="27"/>
      <c r="N68" s="27"/>
      <c r="O68" s="27"/>
      <c r="P68" s="27"/>
      <c r="Q68" s="27"/>
      <c r="R68" s="27"/>
      <c r="S68" s="27"/>
      <c r="T68" s="27"/>
      <c r="U68" s="27"/>
      <c r="V68" s="27"/>
      <c r="W68" s="27"/>
      <c r="X68" s="27"/>
      <c r="Y68" s="27"/>
      <c r="Z68" s="27"/>
    </row>
    <row r="69" spans="1:26" ht="18" customHeight="1">
      <c r="A69" s="12"/>
      <c r="B69" s="139" t="s">
        <v>74</v>
      </c>
      <c r="C69" s="140"/>
      <c r="D69" s="140"/>
      <c r="E69" s="140"/>
      <c r="F69" s="141"/>
      <c r="G69" s="139" t="s">
        <v>106</v>
      </c>
      <c r="H69" s="140"/>
      <c r="I69" s="140"/>
      <c r="J69" s="140"/>
      <c r="K69" s="140"/>
      <c r="L69" s="140"/>
      <c r="M69" s="141"/>
      <c r="N69" s="228" t="s">
        <v>74</v>
      </c>
      <c r="O69" s="229"/>
      <c r="P69" s="229"/>
      <c r="Q69" s="229"/>
      <c r="R69" s="229"/>
      <c r="S69" s="230"/>
      <c r="T69" s="139" t="s">
        <v>106</v>
      </c>
      <c r="U69" s="140"/>
      <c r="V69" s="140"/>
      <c r="W69" s="140"/>
      <c r="X69" s="140"/>
      <c r="Y69" s="140"/>
      <c r="Z69" s="141"/>
    </row>
    <row r="70" spans="1:26" ht="18" customHeight="1">
      <c r="A70" s="27"/>
      <c r="B70" s="146" t="s">
        <v>107</v>
      </c>
      <c r="C70" s="147"/>
      <c r="D70" s="147"/>
      <c r="E70" s="147"/>
      <c r="F70" s="148"/>
      <c r="G70" s="149" t="s">
        <v>108</v>
      </c>
      <c r="H70" s="150"/>
      <c r="I70" s="150"/>
      <c r="J70" s="150"/>
      <c r="K70" s="150"/>
      <c r="L70" s="150"/>
      <c r="M70" s="151"/>
      <c r="N70" s="146"/>
      <c r="O70" s="147"/>
      <c r="P70" s="147"/>
      <c r="Q70" s="147"/>
      <c r="R70" s="147"/>
      <c r="S70" s="148"/>
      <c r="T70" s="149"/>
      <c r="U70" s="150"/>
      <c r="V70" s="150"/>
      <c r="W70" s="150"/>
      <c r="X70" s="150"/>
      <c r="Y70" s="150"/>
      <c r="Z70" s="151"/>
    </row>
    <row r="71" spans="1:26" ht="18" customHeight="1">
      <c r="A71" s="27"/>
      <c r="B71" s="155" t="s">
        <v>109</v>
      </c>
      <c r="C71" s="156"/>
      <c r="D71" s="156"/>
      <c r="E71" s="156"/>
      <c r="F71" s="157"/>
      <c r="G71" s="158" t="s">
        <v>110</v>
      </c>
      <c r="H71" s="159"/>
      <c r="I71" s="159"/>
      <c r="J71" s="159"/>
      <c r="K71" s="159"/>
      <c r="L71" s="159"/>
      <c r="M71" s="160"/>
      <c r="N71" s="155"/>
      <c r="O71" s="156"/>
      <c r="P71" s="156"/>
      <c r="Q71" s="156"/>
      <c r="R71" s="156"/>
      <c r="S71" s="157"/>
      <c r="T71" s="158"/>
      <c r="U71" s="159"/>
      <c r="V71" s="159"/>
      <c r="W71" s="159"/>
      <c r="X71" s="159"/>
      <c r="Y71" s="159"/>
      <c r="Z71" s="160"/>
    </row>
    <row r="72" spans="1:26" ht="18" customHeight="1">
      <c r="A72" s="27"/>
      <c r="B72" s="155"/>
      <c r="C72" s="156"/>
      <c r="D72" s="156"/>
      <c r="E72" s="156"/>
      <c r="F72" s="157"/>
      <c r="G72" s="158"/>
      <c r="H72" s="159"/>
      <c r="I72" s="159"/>
      <c r="J72" s="159"/>
      <c r="K72" s="159"/>
      <c r="L72" s="159"/>
      <c r="M72" s="160"/>
      <c r="N72" s="155"/>
      <c r="O72" s="156"/>
      <c r="P72" s="156"/>
      <c r="Q72" s="156"/>
      <c r="R72" s="156"/>
      <c r="S72" s="157"/>
      <c r="T72" s="158"/>
      <c r="U72" s="159"/>
      <c r="V72" s="159"/>
      <c r="W72" s="159"/>
      <c r="X72" s="159"/>
      <c r="Y72" s="159"/>
      <c r="Z72" s="160"/>
    </row>
    <row r="73" spans="1:26" ht="18" customHeight="1">
      <c r="A73" s="27"/>
      <c r="B73" s="155"/>
      <c r="C73" s="156"/>
      <c r="D73" s="156"/>
      <c r="E73" s="156"/>
      <c r="F73" s="157"/>
      <c r="G73" s="158"/>
      <c r="H73" s="159"/>
      <c r="I73" s="159"/>
      <c r="J73" s="159"/>
      <c r="K73" s="159"/>
      <c r="L73" s="159"/>
      <c r="M73" s="160"/>
      <c r="N73" s="155"/>
      <c r="O73" s="156"/>
      <c r="P73" s="156"/>
      <c r="Q73" s="156"/>
      <c r="R73" s="156"/>
      <c r="S73" s="157"/>
      <c r="T73" s="158"/>
      <c r="U73" s="159"/>
      <c r="V73" s="159"/>
      <c r="W73" s="159"/>
      <c r="X73" s="159"/>
      <c r="Y73" s="159"/>
      <c r="Z73" s="160"/>
    </row>
    <row r="74" spans="1:26" ht="18" customHeight="1">
      <c r="A74" s="27"/>
      <c r="B74" s="155"/>
      <c r="C74" s="156"/>
      <c r="D74" s="156"/>
      <c r="E74" s="156"/>
      <c r="F74" s="157"/>
      <c r="G74" s="158"/>
      <c r="H74" s="159"/>
      <c r="I74" s="159"/>
      <c r="J74" s="159"/>
      <c r="K74" s="159"/>
      <c r="L74" s="159"/>
      <c r="M74" s="160"/>
      <c r="N74" s="155"/>
      <c r="O74" s="156"/>
      <c r="P74" s="156"/>
      <c r="Q74" s="156"/>
      <c r="R74" s="156"/>
      <c r="S74" s="157"/>
      <c r="T74" s="158"/>
      <c r="U74" s="159"/>
      <c r="V74" s="159"/>
      <c r="W74" s="159"/>
      <c r="X74" s="159"/>
      <c r="Y74" s="159"/>
      <c r="Z74" s="160"/>
    </row>
    <row r="75" spans="1:26" ht="18" customHeight="1">
      <c r="A75" s="27"/>
      <c r="B75" s="155"/>
      <c r="C75" s="156"/>
      <c r="D75" s="156"/>
      <c r="E75" s="156"/>
      <c r="F75" s="157"/>
      <c r="G75" s="158"/>
      <c r="H75" s="159"/>
      <c r="I75" s="159"/>
      <c r="J75" s="159"/>
      <c r="K75" s="159"/>
      <c r="L75" s="159"/>
      <c r="M75" s="160"/>
      <c r="N75" s="155"/>
      <c r="O75" s="156"/>
      <c r="P75" s="156"/>
      <c r="Q75" s="156"/>
      <c r="R75" s="156"/>
      <c r="S75" s="157"/>
      <c r="T75" s="158"/>
      <c r="U75" s="159"/>
      <c r="V75" s="159"/>
      <c r="W75" s="159"/>
      <c r="X75" s="159"/>
      <c r="Y75" s="159"/>
      <c r="Z75" s="160"/>
    </row>
    <row r="76" spans="1:26" ht="18" customHeight="1">
      <c r="A76" s="27"/>
      <c r="B76" s="222"/>
      <c r="C76" s="223"/>
      <c r="D76" s="223"/>
      <c r="E76" s="223"/>
      <c r="F76" s="224"/>
      <c r="G76" s="225"/>
      <c r="H76" s="226"/>
      <c r="I76" s="226"/>
      <c r="J76" s="226"/>
      <c r="K76" s="226"/>
      <c r="L76" s="226"/>
      <c r="M76" s="227"/>
      <c r="N76" s="222"/>
      <c r="O76" s="223"/>
      <c r="P76" s="223"/>
      <c r="Q76" s="223"/>
      <c r="R76" s="223"/>
      <c r="S76" s="224"/>
      <c r="T76" s="225"/>
      <c r="U76" s="226"/>
      <c r="V76" s="226"/>
      <c r="W76" s="226"/>
      <c r="X76" s="226"/>
      <c r="Y76" s="226"/>
      <c r="Z76" s="227"/>
    </row>
    <row r="77" spans="1:26" ht="18" customHeight="1">
      <c r="A77" s="27"/>
      <c r="B77" s="111"/>
      <c r="C77" s="111"/>
      <c r="D77" s="111"/>
      <c r="E77" s="111"/>
      <c r="F77" s="111"/>
      <c r="G77" s="10"/>
      <c r="H77" s="10"/>
      <c r="I77" s="10"/>
      <c r="J77" s="10"/>
      <c r="K77" s="10"/>
      <c r="L77" s="10"/>
      <c r="M77" s="10"/>
      <c r="N77" s="111"/>
      <c r="O77" s="111"/>
      <c r="P77" s="111"/>
      <c r="Q77" s="111"/>
      <c r="R77" s="111"/>
      <c r="S77" s="111"/>
      <c r="T77" s="10"/>
      <c r="U77" s="10"/>
      <c r="V77" s="10"/>
      <c r="W77" s="10"/>
      <c r="X77" s="10"/>
      <c r="Y77" s="10"/>
      <c r="Z77" s="10"/>
    </row>
    <row r="78" spans="1:26" ht="18.75" customHeight="1">
      <c r="A78" s="11" t="s">
        <v>111</v>
      </c>
    </row>
    <row r="79" spans="1:26" ht="18.75" customHeight="1">
      <c r="B79" s="70" t="s">
        <v>112</v>
      </c>
      <c r="C79" s="71"/>
      <c r="D79" s="178" t="s">
        <v>113</v>
      </c>
      <c r="E79" s="178"/>
      <c r="F79" s="178"/>
      <c r="G79" s="178"/>
      <c r="H79" s="178"/>
      <c r="I79" s="178"/>
      <c r="J79" s="178"/>
      <c r="K79" s="178"/>
      <c r="L79" s="178"/>
      <c r="M79" s="178"/>
      <c r="N79" s="178"/>
      <c r="O79" s="178"/>
      <c r="P79" s="178"/>
      <c r="Q79" s="178"/>
      <c r="R79" s="178"/>
      <c r="S79" s="178"/>
      <c r="T79" s="178"/>
      <c r="U79" s="178"/>
      <c r="V79" s="178"/>
      <c r="W79" s="178"/>
      <c r="X79" s="178"/>
      <c r="Y79" s="178"/>
      <c r="Z79" s="179"/>
    </row>
    <row r="80" spans="1:26" ht="78" customHeight="1">
      <c r="B80" s="163" t="s">
        <v>114</v>
      </c>
      <c r="C80" s="77" t="s">
        <v>78</v>
      </c>
      <c r="D80" s="172" t="s">
        <v>115</v>
      </c>
      <c r="E80" s="173"/>
      <c r="F80" s="173"/>
      <c r="G80" s="173"/>
      <c r="H80" s="173"/>
      <c r="I80" s="173"/>
      <c r="J80" s="173"/>
      <c r="K80" s="173"/>
      <c r="L80" s="173"/>
      <c r="M80" s="173"/>
      <c r="N80" s="173"/>
      <c r="O80" s="173"/>
      <c r="P80" s="173"/>
      <c r="Q80" s="173"/>
      <c r="R80" s="173"/>
      <c r="S80" s="173"/>
      <c r="T80" s="173"/>
      <c r="U80" s="173"/>
      <c r="V80" s="173"/>
      <c r="W80" s="173"/>
      <c r="X80" s="173"/>
      <c r="Y80" s="173"/>
      <c r="Z80" s="174"/>
    </row>
    <row r="81" spans="1:26" ht="78" customHeight="1">
      <c r="B81" s="164"/>
      <c r="C81" s="98" t="s">
        <v>116</v>
      </c>
      <c r="D81" s="210" t="s">
        <v>117</v>
      </c>
      <c r="E81" s="211"/>
      <c r="F81" s="211"/>
      <c r="G81" s="211"/>
      <c r="H81" s="211"/>
      <c r="I81" s="211"/>
      <c r="J81" s="211"/>
      <c r="K81" s="211"/>
      <c r="L81" s="211"/>
      <c r="M81" s="211"/>
      <c r="N81" s="211"/>
      <c r="O81" s="211"/>
      <c r="P81" s="211"/>
      <c r="Q81" s="211"/>
      <c r="R81" s="211"/>
      <c r="S81" s="211"/>
      <c r="T81" s="211"/>
      <c r="U81" s="211"/>
      <c r="V81" s="211"/>
      <c r="W81" s="211"/>
      <c r="X81" s="211"/>
      <c r="Y81" s="211"/>
      <c r="Z81" s="212"/>
    </row>
    <row r="82" spans="1:26" ht="78" customHeight="1">
      <c r="B82" s="161" t="s">
        <v>118</v>
      </c>
      <c r="C82" s="72" t="s">
        <v>85</v>
      </c>
      <c r="D82" s="213" t="s">
        <v>119</v>
      </c>
      <c r="E82" s="214"/>
      <c r="F82" s="214"/>
      <c r="G82" s="214"/>
      <c r="H82" s="214"/>
      <c r="I82" s="214"/>
      <c r="J82" s="214"/>
      <c r="K82" s="214"/>
      <c r="L82" s="214"/>
      <c r="M82" s="214"/>
      <c r="N82" s="214"/>
      <c r="O82" s="214"/>
      <c r="P82" s="214"/>
      <c r="Q82" s="214"/>
      <c r="R82" s="214"/>
      <c r="S82" s="214"/>
      <c r="T82" s="214"/>
      <c r="U82" s="214"/>
      <c r="V82" s="214"/>
      <c r="W82" s="214"/>
      <c r="X82" s="214"/>
      <c r="Y82" s="214"/>
      <c r="Z82" s="215"/>
    </row>
    <row r="83" spans="1:26" ht="78" customHeight="1">
      <c r="B83" s="162"/>
      <c r="C83" s="99" t="s">
        <v>86</v>
      </c>
      <c r="D83" s="219" t="s">
        <v>120</v>
      </c>
      <c r="E83" s="220"/>
      <c r="F83" s="220"/>
      <c r="G83" s="220"/>
      <c r="H83" s="220"/>
      <c r="I83" s="220"/>
      <c r="J83" s="220"/>
      <c r="K83" s="220"/>
      <c r="L83" s="220"/>
      <c r="M83" s="220"/>
      <c r="N83" s="220"/>
      <c r="O83" s="220"/>
      <c r="P83" s="220"/>
      <c r="Q83" s="220"/>
      <c r="R83" s="220"/>
      <c r="S83" s="220"/>
      <c r="T83" s="220"/>
      <c r="U83" s="220"/>
      <c r="V83" s="220"/>
      <c r="W83" s="220"/>
      <c r="X83" s="220"/>
      <c r="Y83" s="220"/>
      <c r="Z83" s="221"/>
    </row>
    <row r="84" spans="1:26" ht="66" customHeight="1">
      <c r="B84" s="161" t="s">
        <v>121</v>
      </c>
      <c r="C84" s="72" t="s">
        <v>91</v>
      </c>
      <c r="D84" s="213" t="s">
        <v>122</v>
      </c>
      <c r="E84" s="214"/>
      <c r="F84" s="214"/>
      <c r="G84" s="214"/>
      <c r="H84" s="214"/>
      <c r="I84" s="214"/>
      <c r="J84" s="214"/>
      <c r="K84" s="214"/>
      <c r="L84" s="214"/>
      <c r="M84" s="214"/>
      <c r="N84" s="214"/>
      <c r="O84" s="214"/>
      <c r="P84" s="214"/>
      <c r="Q84" s="214"/>
      <c r="R84" s="214"/>
      <c r="S84" s="214"/>
      <c r="T84" s="214"/>
      <c r="U84" s="214"/>
      <c r="V84" s="214"/>
      <c r="W84" s="214"/>
      <c r="X84" s="214"/>
      <c r="Y84" s="214"/>
      <c r="Z84" s="215"/>
    </row>
    <row r="85" spans="1:26" ht="66" customHeight="1">
      <c r="B85" s="162"/>
      <c r="C85" s="74" t="s">
        <v>92</v>
      </c>
      <c r="D85" s="216" t="s">
        <v>123</v>
      </c>
      <c r="E85" s="217"/>
      <c r="F85" s="217"/>
      <c r="G85" s="217"/>
      <c r="H85" s="217"/>
      <c r="I85" s="217"/>
      <c r="J85" s="217"/>
      <c r="K85" s="217"/>
      <c r="L85" s="217"/>
      <c r="M85" s="217"/>
      <c r="N85" s="217"/>
      <c r="O85" s="217"/>
      <c r="P85" s="217"/>
      <c r="Q85" s="217"/>
      <c r="R85" s="217"/>
      <c r="S85" s="217"/>
      <c r="T85" s="217"/>
      <c r="U85" s="217"/>
      <c r="V85" s="217"/>
      <c r="W85" s="217"/>
      <c r="X85" s="217"/>
      <c r="Y85" s="217"/>
      <c r="Z85" s="218"/>
    </row>
    <row r="86" spans="1:26" ht="66" customHeight="1">
      <c r="B86" s="163" t="s">
        <v>124</v>
      </c>
      <c r="C86" s="77" t="s">
        <v>96</v>
      </c>
      <c r="D86" s="172" t="s">
        <v>125</v>
      </c>
      <c r="E86" s="173"/>
      <c r="F86" s="173"/>
      <c r="G86" s="173"/>
      <c r="H86" s="173"/>
      <c r="I86" s="173"/>
      <c r="J86" s="173"/>
      <c r="K86" s="173"/>
      <c r="L86" s="173"/>
      <c r="M86" s="173"/>
      <c r="N86" s="173"/>
      <c r="O86" s="173"/>
      <c r="P86" s="173"/>
      <c r="Q86" s="173"/>
      <c r="R86" s="173"/>
      <c r="S86" s="173"/>
      <c r="T86" s="173"/>
      <c r="U86" s="173"/>
      <c r="V86" s="173"/>
      <c r="W86" s="173"/>
      <c r="X86" s="173"/>
      <c r="Y86" s="173"/>
      <c r="Z86" s="174"/>
    </row>
    <row r="87" spans="1:26" ht="66" customHeight="1">
      <c r="B87" s="171"/>
      <c r="C87" s="73" t="s">
        <v>97</v>
      </c>
      <c r="D87" s="175" t="s">
        <v>126</v>
      </c>
      <c r="E87" s="176"/>
      <c r="F87" s="176"/>
      <c r="G87" s="176"/>
      <c r="H87" s="176"/>
      <c r="I87" s="176"/>
      <c r="J87" s="176"/>
      <c r="K87" s="176"/>
      <c r="L87" s="176"/>
      <c r="M87" s="176"/>
      <c r="N87" s="176"/>
      <c r="O87" s="176"/>
      <c r="P87" s="176"/>
      <c r="Q87" s="176"/>
      <c r="R87" s="176"/>
      <c r="S87" s="176"/>
      <c r="T87" s="176"/>
      <c r="U87" s="176"/>
      <c r="V87" s="176"/>
      <c r="W87" s="176"/>
      <c r="X87" s="176"/>
      <c r="Y87" s="176"/>
      <c r="Z87" s="177"/>
    </row>
    <row r="88" spans="1:26" ht="66" customHeight="1">
      <c r="B88" s="163" t="s">
        <v>127</v>
      </c>
      <c r="C88" s="72" t="s">
        <v>100</v>
      </c>
      <c r="D88" s="165" t="s">
        <v>128</v>
      </c>
      <c r="E88" s="166"/>
      <c r="F88" s="166"/>
      <c r="G88" s="166"/>
      <c r="H88" s="166"/>
      <c r="I88" s="166"/>
      <c r="J88" s="166"/>
      <c r="K88" s="166"/>
      <c r="L88" s="166"/>
      <c r="M88" s="166"/>
      <c r="N88" s="166"/>
      <c r="O88" s="166"/>
      <c r="P88" s="166"/>
      <c r="Q88" s="166"/>
      <c r="R88" s="166"/>
      <c r="S88" s="166"/>
      <c r="T88" s="166"/>
      <c r="U88" s="166"/>
      <c r="V88" s="166"/>
      <c r="W88" s="166"/>
      <c r="X88" s="166"/>
      <c r="Y88" s="166"/>
      <c r="Z88" s="167"/>
    </row>
    <row r="89" spans="1:26" ht="66" customHeight="1">
      <c r="B89" s="164"/>
      <c r="C89" s="73" t="s">
        <v>101</v>
      </c>
      <c r="D89" s="152" t="s">
        <v>129</v>
      </c>
      <c r="E89" s="153"/>
      <c r="F89" s="153"/>
      <c r="G89" s="153"/>
      <c r="H89" s="153"/>
      <c r="I89" s="153"/>
      <c r="J89" s="153"/>
      <c r="K89" s="153"/>
      <c r="L89" s="153"/>
      <c r="M89" s="153"/>
      <c r="N89" s="153"/>
      <c r="O89" s="153"/>
      <c r="P89" s="153"/>
      <c r="Q89" s="153"/>
      <c r="R89" s="153"/>
      <c r="S89" s="153"/>
      <c r="T89" s="153"/>
      <c r="U89" s="153"/>
      <c r="V89" s="153"/>
      <c r="W89" s="153"/>
      <c r="X89" s="153"/>
      <c r="Y89" s="153"/>
      <c r="Z89" s="154"/>
    </row>
    <row r="90" spans="1:26" ht="66" customHeight="1">
      <c r="B90" s="162"/>
      <c r="C90" s="74" t="s">
        <v>102</v>
      </c>
      <c r="D90" s="168" t="s">
        <v>130</v>
      </c>
      <c r="E90" s="169"/>
      <c r="F90" s="169"/>
      <c r="G90" s="169"/>
      <c r="H90" s="169"/>
      <c r="I90" s="169"/>
      <c r="J90" s="169"/>
      <c r="K90" s="169"/>
      <c r="L90" s="169"/>
      <c r="M90" s="169"/>
      <c r="N90" s="169"/>
      <c r="O90" s="169"/>
      <c r="P90" s="169"/>
      <c r="Q90" s="169"/>
      <c r="R90" s="169"/>
      <c r="S90" s="169"/>
      <c r="T90" s="169"/>
      <c r="U90" s="169"/>
      <c r="V90" s="169"/>
      <c r="W90" s="169"/>
      <c r="X90" s="169"/>
      <c r="Y90" s="169"/>
      <c r="Z90" s="170"/>
    </row>
    <row r="91" spans="1:26" ht="6" customHeight="1"/>
    <row r="92" spans="1:26" ht="18.75" customHeight="1">
      <c r="A92" s="11" t="s">
        <v>131</v>
      </c>
    </row>
    <row r="93" spans="1:26" ht="18.75" customHeight="1">
      <c r="B93" s="231" t="s">
        <v>132</v>
      </c>
      <c r="C93" s="232"/>
      <c r="D93" s="232"/>
      <c r="E93" s="232"/>
      <c r="F93" s="232"/>
      <c r="G93" s="232"/>
      <c r="H93" s="232"/>
      <c r="I93" s="232"/>
      <c r="J93" s="232"/>
      <c r="K93" s="232"/>
      <c r="L93" s="232"/>
      <c r="M93" s="232"/>
      <c r="N93" s="232"/>
      <c r="O93" s="232"/>
      <c r="P93" s="232"/>
      <c r="Q93" s="232"/>
      <c r="R93" s="232"/>
      <c r="S93" s="232"/>
      <c r="T93" s="232"/>
      <c r="U93" s="232"/>
      <c r="V93" s="232"/>
      <c r="W93" s="232"/>
      <c r="X93" s="232"/>
      <c r="Y93" s="232"/>
      <c r="Z93" s="233"/>
    </row>
    <row r="94" spans="1:26" ht="18.75" customHeight="1">
      <c r="B94" s="234"/>
      <c r="C94" s="235"/>
      <c r="D94" s="235"/>
      <c r="E94" s="235"/>
      <c r="F94" s="235"/>
      <c r="G94" s="235"/>
      <c r="H94" s="235"/>
      <c r="I94" s="235"/>
      <c r="J94" s="235"/>
      <c r="K94" s="235"/>
      <c r="L94" s="235"/>
      <c r="M94" s="235"/>
      <c r="N94" s="235"/>
      <c r="O94" s="235"/>
      <c r="P94" s="235"/>
      <c r="Q94" s="235"/>
      <c r="R94" s="235"/>
      <c r="S94" s="235"/>
      <c r="T94" s="235"/>
      <c r="U94" s="235"/>
      <c r="V94" s="235"/>
      <c r="W94" s="235"/>
      <c r="X94" s="235"/>
      <c r="Y94" s="235"/>
      <c r="Z94" s="236"/>
    </row>
    <row r="95" spans="1:26" ht="18.75" customHeight="1">
      <c r="B95" s="237"/>
      <c r="C95" s="238"/>
      <c r="D95" s="238"/>
      <c r="E95" s="238"/>
      <c r="F95" s="238"/>
      <c r="G95" s="238"/>
      <c r="H95" s="238"/>
      <c r="I95" s="238"/>
      <c r="J95" s="238"/>
      <c r="K95" s="238"/>
      <c r="L95" s="238"/>
      <c r="M95" s="238"/>
      <c r="N95" s="238"/>
      <c r="O95" s="238"/>
      <c r="P95" s="238"/>
      <c r="Q95" s="238"/>
      <c r="R95" s="238"/>
      <c r="S95" s="238"/>
      <c r="T95" s="238"/>
      <c r="U95" s="238"/>
      <c r="V95" s="238"/>
      <c r="W95" s="238"/>
      <c r="X95" s="238"/>
      <c r="Y95" s="238"/>
      <c r="Z95" s="239"/>
    </row>
    <row r="96" spans="1:26" ht="6" customHeight="1"/>
    <row r="97" spans="1:26" ht="15" customHeight="1">
      <c r="A97" s="11" t="s">
        <v>133</v>
      </c>
    </row>
    <row r="98" spans="1:26" ht="15" customHeight="1">
      <c r="B98" s="240" t="s">
        <v>134</v>
      </c>
      <c r="C98" s="313"/>
      <c r="D98" s="313"/>
      <c r="E98" s="313"/>
      <c r="F98" s="313"/>
      <c r="G98" s="313"/>
      <c r="H98" s="313"/>
      <c r="I98" s="313"/>
      <c r="J98" s="313"/>
      <c r="K98" s="313"/>
      <c r="L98" s="313"/>
      <c r="M98" s="313"/>
      <c r="N98" s="313"/>
      <c r="O98" s="313"/>
      <c r="P98" s="313"/>
      <c r="Q98" s="313"/>
      <c r="R98" s="313"/>
      <c r="S98" s="313"/>
      <c r="T98" s="313"/>
      <c r="U98" s="313"/>
      <c r="V98" s="313"/>
      <c r="W98" s="313"/>
      <c r="X98" s="313"/>
      <c r="Y98" s="313"/>
      <c r="Z98" s="314"/>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2"/>
  <dataValidations count="4">
    <dataValidation type="list" allowBlank="1" showInputMessage="1" showErrorMessage="1" sqref="Y16:Z22 L16:M22 Y27:Z33 L38:M44 Y38:Z44 L49:M55 Y49:Z55 Y60:Z66 L60:M66 H16:H22 U16:U22 H27:H33 U27:U33 H38:H44 U38:U44 H49:H55 U49:U55 G60:G66 T60:T66 M29 L27:M27 L30:M33 L28:L29 K60:K61" xr:uid="{4C0986EB-3601-4249-85F7-B678A400A117}">
      <formula1>"○"</formula1>
    </dataValidation>
    <dataValidation type="list" allowBlank="1" showInputMessage="1" showErrorMessage="1" sqref="Z23 Z34 D34:K34 D23:K23 V16:V22 I16:I22 V27:V33 I27:I33 V38:V44 I38:I44 V49:V55 I49:I55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E01F0932-77D9-C743-961E-00DB1B0A1E2B}"/>
  </hyperlinks>
  <printOptions horizontalCentered="1"/>
  <pageMargins left="0.78740157480314998" right="0.78740157480314998" top="0.59055118110236204" bottom="0.196850393700787" header="0.31496062992126" footer="0.196850393700787"/>
  <pageSetup paperSize="9"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election activeCell="Q10" sqref="Q10"/>
    </sheetView>
  </sheetViews>
  <sheetFormatPr defaultColWidth="9" defaultRowHeight="18.75" customHeight="1"/>
  <cols>
    <col min="1" max="1" width="2.625" style="1" customWidth="1"/>
    <col min="2" max="2" width="30" style="1" customWidth="1"/>
    <col min="3" max="17" width="6.125" style="1" customWidth="1"/>
    <col min="18" max="18" width="6.625" style="1" customWidth="1"/>
    <col min="19" max="16384" width="9" style="1"/>
  </cols>
  <sheetData>
    <row r="1" spans="1:20" ht="18" customHeight="1">
      <c r="A1" s="315"/>
      <c r="B1" s="315"/>
      <c r="C1" s="315"/>
      <c r="D1" s="315"/>
      <c r="E1" s="315"/>
      <c r="F1" s="316" t="s">
        <v>135</v>
      </c>
      <c r="G1" s="316"/>
      <c r="H1" s="316"/>
      <c r="I1" s="316"/>
      <c r="J1" s="316"/>
      <c r="K1" s="316"/>
      <c r="L1" s="316"/>
      <c r="M1" s="316"/>
      <c r="N1" s="316"/>
      <c r="O1" s="316"/>
      <c r="P1" s="316"/>
      <c r="Q1" s="316"/>
      <c r="R1" s="316"/>
      <c r="S1" s="315"/>
      <c r="T1" s="315"/>
    </row>
    <row r="2" spans="1:20" ht="18" customHeight="1">
      <c r="A2" s="242" t="s">
        <v>136</v>
      </c>
      <c r="B2" s="242"/>
      <c r="C2" s="242"/>
      <c r="D2" s="242"/>
      <c r="E2" s="242"/>
      <c r="F2" s="242"/>
      <c r="G2" s="242"/>
      <c r="H2" s="242"/>
      <c r="I2" s="242"/>
      <c r="J2" s="242"/>
      <c r="K2" s="242"/>
      <c r="L2" s="242"/>
      <c r="M2" s="242"/>
      <c r="N2" s="242"/>
      <c r="O2" s="242"/>
      <c r="P2" s="242"/>
      <c r="Q2" s="242"/>
      <c r="R2" s="242"/>
      <c r="S2" s="3"/>
      <c r="T2" s="315"/>
    </row>
    <row r="3" spans="1:20" ht="7.5" customHeight="1">
      <c r="A3" s="116"/>
      <c r="B3" s="116"/>
      <c r="C3" s="116"/>
      <c r="D3" s="116"/>
      <c r="E3" s="116"/>
      <c r="F3" s="116"/>
      <c r="G3" s="116"/>
      <c r="H3" s="116"/>
      <c r="I3" s="116"/>
      <c r="J3" s="116"/>
      <c r="K3" s="116"/>
      <c r="L3" s="116"/>
      <c r="M3" s="116"/>
      <c r="N3" s="116"/>
      <c r="O3" s="116"/>
      <c r="P3" s="116"/>
      <c r="Q3" s="116"/>
      <c r="R3" s="116"/>
      <c r="S3" s="315"/>
      <c r="T3" s="315"/>
    </row>
    <row r="4" spans="1:20" ht="18" customHeight="1">
      <c r="A4" s="3" t="s">
        <v>137</v>
      </c>
      <c r="B4" s="3"/>
      <c r="C4" s="243" t="str">
        <f>'様式１　大学等概要'!E12</f>
        <v>令和３</v>
      </c>
      <c r="D4" s="244"/>
      <c r="E4" s="116" t="s">
        <v>20</v>
      </c>
      <c r="F4" s="116"/>
      <c r="G4" s="116"/>
      <c r="H4" s="116"/>
      <c r="I4" s="116"/>
      <c r="J4" s="78"/>
      <c r="K4" s="116"/>
      <c r="L4" s="116"/>
      <c r="M4" s="104"/>
      <c r="N4" s="104"/>
      <c r="O4" s="104"/>
      <c r="P4" s="104"/>
      <c r="Q4" s="104"/>
      <c r="R4" s="104"/>
      <c r="S4" s="315"/>
      <c r="T4" s="315"/>
    </row>
    <row r="5" spans="1:20" ht="6" customHeight="1">
      <c r="A5" s="116"/>
      <c r="B5" s="116"/>
      <c r="C5" s="116"/>
      <c r="D5" s="116"/>
      <c r="E5" s="116"/>
      <c r="F5" s="116"/>
      <c r="G5" s="116"/>
      <c r="H5" s="116"/>
      <c r="I5" s="116"/>
      <c r="J5" s="116"/>
      <c r="K5" s="116"/>
      <c r="L5" s="116"/>
      <c r="M5" s="116"/>
      <c r="N5" s="116"/>
      <c r="O5" s="116"/>
      <c r="P5" s="116"/>
      <c r="Q5" s="116"/>
      <c r="R5" s="116"/>
      <c r="S5" s="315"/>
      <c r="T5" s="315"/>
    </row>
    <row r="6" spans="1:20" ht="18" customHeight="1">
      <c r="A6" s="3" t="s">
        <v>138</v>
      </c>
      <c r="B6" s="116"/>
      <c r="C6" s="116"/>
      <c r="D6" s="116"/>
      <c r="E6" s="116"/>
      <c r="F6" s="116"/>
      <c r="G6" s="116"/>
      <c r="H6" s="116"/>
      <c r="I6" s="116"/>
      <c r="J6" s="116"/>
      <c r="K6" s="116"/>
      <c r="L6" s="116"/>
      <c r="M6" s="116"/>
      <c r="N6" s="116"/>
      <c r="O6" s="116"/>
      <c r="P6" s="116"/>
      <c r="Q6" s="116"/>
      <c r="R6" s="116"/>
      <c r="S6" s="315"/>
      <c r="T6" s="315"/>
    </row>
    <row r="7" spans="1:20" ht="6" customHeight="1">
      <c r="A7" s="3"/>
      <c r="B7" s="116"/>
      <c r="C7" s="116"/>
      <c r="D7" s="116"/>
      <c r="E7" s="116"/>
      <c r="F7" s="116"/>
      <c r="G7" s="116"/>
      <c r="H7" s="116"/>
      <c r="I7" s="116"/>
      <c r="J7" s="116"/>
      <c r="K7" s="116"/>
      <c r="L7" s="116"/>
      <c r="M7" s="116"/>
      <c r="N7" s="116"/>
      <c r="O7" s="116"/>
      <c r="P7" s="116"/>
      <c r="Q7" s="116"/>
      <c r="R7" s="116"/>
      <c r="S7" s="315"/>
      <c r="T7" s="315"/>
    </row>
    <row r="8" spans="1:20" ht="18" customHeight="1">
      <c r="A8" s="315"/>
      <c r="B8" s="245" t="s">
        <v>139</v>
      </c>
      <c r="C8" s="247" t="s">
        <v>140</v>
      </c>
      <c r="D8" s="249" t="s">
        <v>141</v>
      </c>
      <c r="E8" s="251" t="s">
        <v>142</v>
      </c>
      <c r="F8" s="251"/>
      <c r="G8" s="251" t="s">
        <v>143</v>
      </c>
      <c r="H8" s="251"/>
      <c r="I8" s="251" t="s">
        <v>144</v>
      </c>
      <c r="J8" s="251"/>
      <c r="K8" s="252" t="s">
        <v>145</v>
      </c>
      <c r="L8" s="253"/>
      <c r="M8" s="252" t="s">
        <v>146</v>
      </c>
      <c r="N8" s="253"/>
      <c r="O8" s="252" t="s">
        <v>147</v>
      </c>
      <c r="P8" s="253"/>
      <c r="Q8" s="254" t="s">
        <v>148</v>
      </c>
      <c r="R8" s="256" t="s">
        <v>149</v>
      </c>
      <c r="S8" s="315"/>
      <c r="T8" s="32"/>
    </row>
    <row r="9" spans="1:20" ht="18" customHeight="1">
      <c r="A9" s="3"/>
      <c r="B9" s="246"/>
      <c r="C9" s="248"/>
      <c r="D9" s="250"/>
      <c r="E9" s="36" t="s">
        <v>150</v>
      </c>
      <c r="F9" s="37" t="s">
        <v>151</v>
      </c>
      <c r="G9" s="38" t="s">
        <v>150</v>
      </c>
      <c r="H9" s="39" t="s">
        <v>151</v>
      </c>
      <c r="I9" s="36" t="s">
        <v>150</v>
      </c>
      <c r="J9" s="37" t="s">
        <v>151</v>
      </c>
      <c r="K9" s="38" t="s">
        <v>150</v>
      </c>
      <c r="L9" s="39" t="s">
        <v>151</v>
      </c>
      <c r="M9" s="36" t="s">
        <v>150</v>
      </c>
      <c r="N9" s="37" t="s">
        <v>151</v>
      </c>
      <c r="O9" s="38" t="s">
        <v>150</v>
      </c>
      <c r="P9" s="39" t="s">
        <v>151</v>
      </c>
      <c r="Q9" s="255"/>
      <c r="R9" s="257"/>
      <c r="S9" s="315"/>
      <c r="T9" s="32"/>
    </row>
    <row r="10" spans="1:20" ht="18" customHeight="1">
      <c r="A10" s="40"/>
      <c r="B10" s="79" t="s">
        <v>152</v>
      </c>
      <c r="C10" s="40">
        <v>151</v>
      </c>
      <c r="D10" s="41">
        <v>604</v>
      </c>
      <c r="E10" s="42">
        <v>8</v>
      </c>
      <c r="F10" s="43">
        <v>6</v>
      </c>
      <c r="G10" s="44"/>
      <c r="H10" s="45"/>
      <c r="I10" s="42"/>
      <c r="J10" s="43"/>
      <c r="K10" s="44"/>
      <c r="L10" s="45"/>
      <c r="M10" s="42"/>
      <c r="N10" s="43"/>
      <c r="O10" s="44"/>
      <c r="P10" s="45"/>
      <c r="Q10" s="46">
        <f>E10+G10+I10+K10+M10+O10</f>
        <v>8</v>
      </c>
      <c r="R10" s="47">
        <f>Q10/D10</f>
        <v>1.3245033112582781E-2</v>
      </c>
      <c r="S10" s="315"/>
      <c r="T10" s="315"/>
    </row>
    <row r="11" spans="1:20" ht="18" customHeight="1">
      <c r="A11" s="40"/>
      <c r="B11" s="80" t="s">
        <v>153</v>
      </c>
      <c r="C11" s="56">
        <v>358</v>
      </c>
      <c r="D11" s="49">
        <v>1450</v>
      </c>
      <c r="E11" s="50">
        <v>35</v>
      </c>
      <c r="F11" s="51">
        <v>32</v>
      </c>
      <c r="G11" s="52"/>
      <c r="H11" s="53"/>
      <c r="I11" s="50"/>
      <c r="J11" s="51"/>
      <c r="K11" s="52"/>
      <c r="L11" s="53"/>
      <c r="M11" s="50"/>
      <c r="N11" s="51"/>
      <c r="O11" s="52"/>
      <c r="P11" s="53"/>
      <c r="Q11" s="54">
        <f t="shared" ref="Q11:Q29" si="0">E11+G11+I11+K11+M11+O11</f>
        <v>35</v>
      </c>
      <c r="R11" s="55">
        <f t="shared" ref="R11:R29" si="1">Q11/D11</f>
        <v>2.4137931034482758E-2</v>
      </c>
      <c r="S11" s="315"/>
      <c r="T11" s="315"/>
    </row>
    <row r="12" spans="1:20" ht="18" customHeight="1">
      <c r="A12" s="40"/>
      <c r="B12" s="80" t="s">
        <v>154</v>
      </c>
      <c r="C12" s="56">
        <v>183</v>
      </c>
      <c r="D12" s="49">
        <v>742</v>
      </c>
      <c r="E12" s="50">
        <v>17</v>
      </c>
      <c r="F12" s="51">
        <v>15</v>
      </c>
      <c r="G12" s="52"/>
      <c r="H12" s="53"/>
      <c r="I12" s="50"/>
      <c r="J12" s="51"/>
      <c r="K12" s="52"/>
      <c r="L12" s="53"/>
      <c r="M12" s="50"/>
      <c r="N12" s="51"/>
      <c r="O12" s="52"/>
      <c r="P12" s="53"/>
      <c r="Q12" s="54">
        <f t="shared" si="0"/>
        <v>17</v>
      </c>
      <c r="R12" s="55">
        <f t="shared" si="1"/>
        <v>2.2911051212938006E-2</v>
      </c>
      <c r="S12" s="315"/>
      <c r="T12" s="315"/>
    </row>
    <row r="13" spans="1:20" ht="18" customHeight="1">
      <c r="A13" s="40"/>
      <c r="B13" s="80" t="s">
        <v>155</v>
      </c>
      <c r="C13" s="56">
        <v>92</v>
      </c>
      <c r="D13" s="49">
        <v>372</v>
      </c>
      <c r="E13" s="50">
        <v>10</v>
      </c>
      <c r="F13" s="51">
        <v>7</v>
      </c>
      <c r="G13" s="52"/>
      <c r="H13" s="53"/>
      <c r="I13" s="50"/>
      <c r="J13" s="51"/>
      <c r="K13" s="52"/>
      <c r="L13" s="53"/>
      <c r="M13" s="50"/>
      <c r="N13" s="51"/>
      <c r="O13" s="52"/>
      <c r="P13" s="53"/>
      <c r="Q13" s="54">
        <f t="shared" si="0"/>
        <v>10</v>
      </c>
      <c r="R13" s="55">
        <f t="shared" si="1"/>
        <v>2.6881720430107527E-2</v>
      </c>
      <c r="S13" s="315"/>
      <c r="T13" s="315"/>
    </row>
    <row r="14" spans="1:20" ht="18" customHeight="1">
      <c r="A14" s="40"/>
      <c r="B14" s="80" t="s">
        <v>156</v>
      </c>
      <c r="C14" s="56">
        <v>150</v>
      </c>
      <c r="D14" s="49">
        <v>620</v>
      </c>
      <c r="E14" s="50">
        <v>12</v>
      </c>
      <c r="F14" s="51">
        <v>12</v>
      </c>
      <c r="G14" s="52"/>
      <c r="H14" s="53"/>
      <c r="I14" s="50"/>
      <c r="J14" s="51"/>
      <c r="K14" s="52"/>
      <c r="L14" s="53"/>
      <c r="M14" s="50"/>
      <c r="N14" s="51"/>
      <c r="O14" s="52"/>
      <c r="P14" s="53"/>
      <c r="Q14" s="54">
        <f t="shared" si="0"/>
        <v>12</v>
      </c>
      <c r="R14" s="55">
        <f t="shared" si="1"/>
        <v>1.935483870967742E-2</v>
      </c>
      <c r="S14" s="315"/>
      <c r="T14" s="315"/>
    </row>
    <row r="15" spans="1:20" ht="18" customHeight="1">
      <c r="A15" s="40"/>
      <c r="B15" s="80" t="s">
        <v>157</v>
      </c>
      <c r="C15" s="56">
        <v>134</v>
      </c>
      <c r="D15" s="49">
        <v>544</v>
      </c>
      <c r="E15" s="50">
        <v>16</v>
      </c>
      <c r="F15" s="51">
        <v>15</v>
      </c>
      <c r="G15" s="52"/>
      <c r="H15" s="53"/>
      <c r="I15" s="50"/>
      <c r="J15" s="51"/>
      <c r="K15" s="52"/>
      <c r="L15" s="53"/>
      <c r="M15" s="50"/>
      <c r="N15" s="51"/>
      <c r="O15" s="52"/>
      <c r="P15" s="53"/>
      <c r="Q15" s="54">
        <f t="shared" si="0"/>
        <v>16</v>
      </c>
      <c r="R15" s="55">
        <f t="shared" si="1"/>
        <v>2.9411764705882353E-2</v>
      </c>
      <c r="S15" s="315"/>
      <c r="T15" s="315"/>
    </row>
    <row r="16" spans="1:20" ht="18" customHeight="1">
      <c r="A16" s="40"/>
      <c r="B16" s="80"/>
      <c r="C16" s="56"/>
      <c r="D16" s="49"/>
      <c r="E16" s="50"/>
      <c r="F16" s="51"/>
      <c r="G16" s="52"/>
      <c r="H16" s="53"/>
      <c r="I16" s="50"/>
      <c r="J16" s="51"/>
      <c r="K16" s="52"/>
      <c r="L16" s="53"/>
      <c r="M16" s="50"/>
      <c r="N16" s="51"/>
      <c r="O16" s="52"/>
      <c r="P16" s="53"/>
      <c r="Q16" s="54">
        <f t="shared" si="0"/>
        <v>0</v>
      </c>
      <c r="R16" s="55" t="e">
        <f t="shared" si="1"/>
        <v>#DIV/0!</v>
      </c>
      <c r="S16" s="315"/>
      <c r="T16" s="315"/>
    </row>
    <row r="17" spans="1:18" ht="18" customHeight="1">
      <c r="A17" s="40"/>
      <c r="B17" s="80"/>
      <c r="C17" s="56"/>
      <c r="D17" s="49"/>
      <c r="E17" s="50"/>
      <c r="F17" s="51"/>
      <c r="G17" s="52"/>
      <c r="H17" s="53"/>
      <c r="I17" s="50"/>
      <c r="J17" s="51"/>
      <c r="K17" s="52"/>
      <c r="L17" s="53"/>
      <c r="M17" s="50"/>
      <c r="N17" s="51"/>
      <c r="O17" s="52"/>
      <c r="P17" s="53"/>
      <c r="Q17" s="54">
        <f t="shared" si="0"/>
        <v>0</v>
      </c>
      <c r="R17" s="55" t="e">
        <f t="shared" si="1"/>
        <v>#DIV/0!</v>
      </c>
    </row>
    <row r="18" spans="1:18" ht="18" customHeight="1">
      <c r="A18" s="40"/>
      <c r="B18" s="80"/>
      <c r="C18" s="56"/>
      <c r="D18" s="49"/>
      <c r="E18" s="50"/>
      <c r="F18" s="51"/>
      <c r="G18" s="52"/>
      <c r="H18" s="53"/>
      <c r="I18" s="50"/>
      <c r="J18" s="51"/>
      <c r="K18" s="52"/>
      <c r="L18" s="53"/>
      <c r="M18" s="50"/>
      <c r="N18" s="51"/>
      <c r="O18" s="52"/>
      <c r="P18" s="53"/>
      <c r="Q18" s="54">
        <f>E18+G18+I18+K18+M18+O18</f>
        <v>0</v>
      </c>
      <c r="R18" s="55" t="e">
        <f t="shared" si="1"/>
        <v>#DIV/0!</v>
      </c>
    </row>
    <row r="19" spans="1:18" ht="18" customHeight="1">
      <c r="A19" s="40"/>
      <c r="B19" s="80"/>
      <c r="C19" s="56"/>
      <c r="D19" s="49"/>
      <c r="E19" s="50"/>
      <c r="F19" s="51"/>
      <c r="G19" s="52"/>
      <c r="H19" s="53"/>
      <c r="I19" s="50"/>
      <c r="J19" s="51"/>
      <c r="K19" s="52"/>
      <c r="L19" s="53"/>
      <c r="M19" s="50"/>
      <c r="N19" s="51"/>
      <c r="O19" s="52"/>
      <c r="P19" s="53"/>
      <c r="Q19" s="54">
        <f t="shared" si="0"/>
        <v>0</v>
      </c>
      <c r="R19" s="55" t="e">
        <f t="shared" si="1"/>
        <v>#DIV/0!</v>
      </c>
    </row>
    <row r="20" spans="1:18" ht="18" customHeight="1">
      <c r="A20" s="40"/>
      <c r="B20" s="80"/>
      <c r="C20" s="56"/>
      <c r="D20" s="49"/>
      <c r="E20" s="50"/>
      <c r="F20" s="51"/>
      <c r="G20" s="52"/>
      <c r="H20" s="53"/>
      <c r="I20" s="50"/>
      <c r="J20" s="51"/>
      <c r="K20" s="52"/>
      <c r="L20" s="53"/>
      <c r="M20" s="50"/>
      <c r="N20" s="51"/>
      <c r="O20" s="52"/>
      <c r="P20" s="53"/>
      <c r="Q20" s="54">
        <f t="shared" si="0"/>
        <v>0</v>
      </c>
      <c r="R20" s="55" t="e">
        <f t="shared" si="1"/>
        <v>#DIV/0!</v>
      </c>
    </row>
    <row r="21" spans="1:18" ht="18" customHeight="1">
      <c r="A21" s="40"/>
      <c r="B21" s="80"/>
      <c r="C21" s="56"/>
      <c r="D21" s="49"/>
      <c r="E21" s="50"/>
      <c r="F21" s="51"/>
      <c r="G21" s="52"/>
      <c r="H21" s="53"/>
      <c r="I21" s="50"/>
      <c r="J21" s="51"/>
      <c r="K21" s="52"/>
      <c r="L21" s="53"/>
      <c r="M21" s="50"/>
      <c r="N21" s="51"/>
      <c r="O21" s="52"/>
      <c r="P21" s="53"/>
      <c r="Q21" s="54">
        <f t="shared" si="0"/>
        <v>0</v>
      </c>
      <c r="R21" s="55" t="e">
        <f t="shared" si="1"/>
        <v>#DIV/0!</v>
      </c>
    </row>
    <row r="22" spans="1:18" ht="18" customHeight="1">
      <c r="A22" s="40"/>
      <c r="B22" s="80"/>
      <c r="C22" s="56"/>
      <c r="D22" s="49"/>
      <c r="E22" s="50"/>
      <c r="F22" s="51"/>
      <c r="G22" s="52"/>
      <c r="H22" s="53"/>
      <c r="I22" s="50"/>
      <c r="J22" s="51"/>
      <c r="K22" s="52"/>
      <c r="L22" s="53"/>
      <c r="M22" s="50"/>
      <c r="N22" s="51"/>
      <c r="O22" s="52"/>
      <c r="P22" s="53"/>
      <c r="Q22" s="54">
        <f t="shared" si="0"/>
        <v>0</v>
      </c>
      <c r="R22" s="55" t="e">
        <f t="shared" si="1"/>
        <v>#DIV/0!</v>
      </c>
    </row>
    <row r="23" spans="1:18" ht="18" customHeight="1">
      <c r="A23" s="40"/>
      <c r="B23" s="80"/>
      <c r="C23" s="56"/>
      <c r="D23" s="49"/>
      <c r="E23" s="50"/>
      <c r="F23" s="51"/>
      <c r="G23" s="52"/>
      <c r="H23" s="53"/>
      <c r="I23" s="50"/>
      <c r="J23" s="51"/>
      <c r="K23" s="52"/>
      <c r="L23" s="53"/>
      <c r="M23" s="50"/>
      <c r="N23" s="51"/>
      <c r="O23" s="52"/>
      <c r="P23" s="53"/>
      <c r="Q23" s="54">
        <f t="shared" si="0"/>
        <v>0</v>
      </c>
      <c r="R23" s="55" t="e">
        <f t="shared" si="1"/>
        <v>#DIV/0!</v>
      </c>
    </row>
    <row r="24" spans="1:18" ht="18" customHeight="1">
      <c r="A24" s="40"/>
      <c r="B24" s="80"/>
      <c r="C24" s="56"/>
      <c r="D24" s="49"/>
      <c r="E24" s="50"/>
      <c r="F24" s="51"/>
      <c r="G24" s="52"/>
      <c r="H24" s="53"/>
      <c r="I24" s="50"/>
      <c r="J24" s="51"/>
      <c r="K24" s="52"/>
      <c r="L24" s="53"/>
      <c r="M24" s="50"/>
      <c r="N24" s="51"/>
      <c r="O24" s="52"/>
      <c r="P24" s="53"/>
      <c r="Q24" s="54">
        <f t="shared" si="0"/>
        <v>0</v>
      </c>
      <c r="R24" s="55" t="e">
        <f t="shared" si="1"/>
        <v>#DIV/0!</v>
      </c>
    </row>
    <row r="25" spans="1:18" ht="18" customHeight="1">
      <c r="A25" s="40"/>
      <c r="B25" s="80"/>
      <c r="C25" s="56"/>
      <c r="D25" s="49"/>
      <c r="E25" s="50"/>
      <c r="F25" s="51"/>
      <c r="G25" s="52"/>
      <c r="H25" s="53"/>
      <c r="I25" s="50"/>
      <c r="J25" s="51"/>
      <c r="K25" s="52"/>
      <c r="L25" s="53"/>
      <c r="M25" s="50"/>
      <c r="N25" s="51"/>
      <c r="O25" s="52"/>
      <c r="P25" s="53"/>
      <c r="Q25" s="54">
        <f t="shared" si="0"/>
        <v>0</v>
      </c>
      <c r="R25" s="55" t="e">
        <f t="shared" si="1"/>
        <v>#DIV/0!</v>
      </c>
    </row>
    <row r="26" spans="1:18" ht="18" customHeight="1">
      <c r="A26" s="40"/>
      <c r="B26" s="80"/>
      <c r="C26" s="56"/>
      <c r="D26" s="49"/>
      <c r="E26" s="50"/>
      <c r="F26" s="51"/>
      <c r="G26" s="52"/>
      <c r="H26" s="53"/>
      <c r="I26" s="50"/>
      <c r="J26" s="51"/>
      <c r="K26" s="52"/>
      <c r="L26" s="53"/>
      <c r="M26" s="50"/>
      <c r="N26" s="51"/>
      <c r="O26" s="52"/>
      <c r="P26" s="53"/>
      <c r="Q26" s="54">
        <f t="shared" si="0"/>
        <v>0</v>
      </c>
      <c r="R26" s="55" t="e">
        <f t="shared" si="1"/>
        <v>#DIV/0!</v>
      </c>
    </row>
    <row r="27" spans="1:18" ht="18" customHeight="1">
      <c r="A27" s="40"/>
      <c r="B27" s="80"/>
      <c r="C27" s="48"/>
      <c r="D27" s="49"/>
      <c r="E27" s="50"/>
      <c r="F27" s="51"/>
      <c r="G27" s="52"/>
      <c r="H27" s="53"/>
      <c r="I27" s="50"/>
      <c r="J27" s="51"/>
      <c r="K27" s="52"/>
      <c r="L27" s="53"/>
      <c r="M27" s="50"/>
      <c r="N27" s="51"/>
      <c r="O27" s="52"/>
      <c r="P27" s="53"/>
      <c r="Q27" s="54">
        <f t="shared" si="0"/>
        <v>0</v>
      </c>
      <c r="R27" s="55" t="e">
        <f t="shared" si="1"/>
        <v>#DIV/0!</v>
      </c>
    </row>
    <row r="28" spans="1:18" ht="18" customHeight="1">
      <c r="A28" s="40"/>
      <c r="B28" s="80"/>
      <c r="C28" s="48"/>
      <c r="D28" s="49"/>
      <c r="E28" s="50"/>
      <c r="F28" s="51"/>
      <c r="G28" s="52"/>
      <c r="H28" s="53"/>
      <c r="I28" s="50"/>
      <c r="J28" s="51"/>
      <c r="K28" s="52"/>
      <c r="L28" s="53"/>
      <c r="M28" s="50"/>
      <c r="N28" s="51"/>
      <c r="O28" s="52"/>
      <c r="P28" s="53"/>
      <c r="Q28" s="54">
        <f t="shared" si="0"/>
        <v>0</v>
      </c>
      <c r="R28" s="55" t="e">
        <f t="shared" si="1"/>
        <v>#DIV/0!</v>
      </c>
    </row>
    <row r="29" spans="1:18" ht="18" customHeight="1" thickBot="1">
      <c r="A29" s="40"/>
      <c r="B29" s="81"/>
      <c r="C29" s="82"/>
      <c r="D29" s="41"/>
      <c r="E29" s="42"/>
      <c r="F29" s="43"/>
      <c r="G29" s="44"/>
      <c r="H29" s="45"/>
      <c r="I29" s="42"/>
      <c r="J29" s="43"/>
      <c r="K29" s="44"/>
      <c r="L29" s="45"/>
      <c r="M29" s="42"/>
      <c r="N29" s="43"/>
      <c r="O29" s="44"/>
      <c r="P29" s="45"/>
      <c r="Q29" s="57">
        <f t="shared" si="0"/>
        <v>0</v>
      </c>
      <c r="R29" s="47" t="e">
        <f t="shared" si="1"/>
        <v>#DIV/0!</v>
      </c>
    </row>
    <row r="30" spans="1:18" ht="18" customHeight="1" thickTop="1">
      <c r="A30" s="315"/>
      <c r="B30" s="83" t="s">
        <v>158</v>
      </c>
      <c r="C30" s="84">
        <f t="shared" ref="C30:Q30" si="2">SUM(C10:C29)</f>
        <v>1068</v>
      </c>
      <c r="D30" s="58">
        <f t="shared" si="2"/>
        <v>4332</v>
      </c>
      <c r="E30" s="59">
        <f t="shared" si="2"/>
        <v>98</v>
      </c>
      <c r="F30" s="60">
        <f t="shared" si="2"/>
        <v>87</v>
      </c>
      <c r="G30" s="61">
        <f t="shared" si="2"/>
        <v>0</v>
      </c>
      <c r="H30" s="62">
        <f t="shared" si="2"/>
        <v>0</v>
      </c>
      <c r="I30" s="59">
        <f t="shared" si="2"/>
        <v>0</v>
      </c>
      <c r="J30" s="60">
        <f t="shared" si="2"/>
        <v>0</v>
      </c>
      <c r="K30" s="61">
        <f t="shared" si="2"/>
        <v>0</v>
      </c>
      <c r="L30" s="62">
        <f t="shared" si="2"/>
        <v>0</v>
      </c>
      <c r="M30" s="59">
        <f t="shared" si="2"/>
        <v>0</v>
      </c>
      <c r="N30" s="60">
        <f t="shared" si="2"/>
        <v>0</v>
      </c>
      <c r="O30" s="61">
        <f t="shared" si="2"/>
        <v>0</v>
      </c>
      <c r="P30" s="62">
        <f t="shared" si="2"/>
        <v>0</v>
      </c>
      <c r="Q30" s="63">
        <f t="shared" si="2"/>
        <v>98</v>
      </c>
      <c r="R30" s="64">
        <f>Q30/D30</f>
        <v>2.2622345337026777E-2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2"/>
  <conditionalFormatting sqref="C4:D4">
    <cfRule type="cellIs" priority="1" operator="equal">
      <formula>0</formula>
    </cfRule>
  </conditionalFormatting>
  <printOptions horizontalCentered="1"/>
  <pageMargins left="0.78740157480314998" right="0.78740157480314998" top="0.78740157480314998" bottom="0.59055118110236204" header="0.31496062992126" footer="0.31496062992126"/>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election activeCell="M34" sqref="M34"/>
    </sheetView>
  </sheetViews>
  <sheetFormatPr defaultColWidth="11.375" defaultRowHeight="18.75" customHeight="1"/>
  <cols>
    <col min="1" max="1" width="2.625" style="2" customWidth="1"/>
    <col min="2" max="2" width="16.625" style="1" customWidth="1"/>
    <col min="3" max="3" width="8.875" style="1" customWidth="1"/>
    <col min="4" max="4" width="2.125" style="1" customWidth="1"/>
    <col min="5" max="5" width="16.625" style="1" customWidth="1"/>
    <col min="6" max="6" width="8.875" style="1" customWidth="1"/>
    <col min="7" max="7" width="2.125" style="1" customWidth="1"/>
    <col min="8" max="8" width="16.625" style="1" customWidth="1"/>
    <col min="9" max="9" width="8.875" style="1" customWidth="1"/>
    <col min="10" max="10" width="2.125" style="1" customWidth="1"/>
    <col min="11" max="11" width="11.375" style="29"/>
    <col min="12" max="16384" width="11.375" style="1"/>
  </cols>
  <sheetData>
    <row r="1" spans="1:11" ht="18.75" customHeight="1">
      <c r="A1" s="2" t="s">
        <v>159</v>
      </c>
      <c r="B1" s="315"/>
      <c r="C1" s="315"/>
      <c r="D1" s="315"/>
      <c r="E1" s="315"/>
      <c r="F1" s="315"/>
      <c r="G1" s="315"/>
      <c r="H1" s="315"/>
      <c r="I1" s="315"/>
      <c r="J1" s="317" t="s">
        <v>160</v>
      </c>
    </row>
    <row r="2" spans="1:11" ht="18.75" customHeight="1">
      <c r="A2" s="242" t="s">
        <v>161</v>
      </c>
      <c r="B2" s="242"/>
      <c r="C2" s="242"/>
      <c r="D2" s="242"/>
      <c r="E2" s="242"/>
      <c r="F2" s="242"/>
      <c r="G2" s="242"/>
      <c r="H2" s="242"/>
      <c r="I2" s="242"/>
      <c r="J2" s="242"/>
    </row>
    <row r="3" spans="1:11" ht="7.5" customHeight="1">
      <c r="B3" s="116"/>
      <c r="C3" s="116"/>
      <c r="D3" s="116"/>
      <c r="E3" s="116"/>
      <c r="F3" s="116"/>
      <c r="G3" s="116"/>
      <c r="H3" s="116"/>
      <c r="I3" s="116"/>
      <c r="J3" s="116"/>
    </row>
    <row r="4" spans="1:11" ht="18.75" customHeight="1">
      <c r="A4" s="315" t="s">
        <v>2</v>
      </c>
      <c r="B4" s="3" t="s">
        <v>162</v>
      </c>
      <c r="C4" s="3"/>
      <c r="D4" s="3"/>
      <c r="E4" s="3"/>
      <c r="F4" s="3"/>
      <c r="G4" s="3"/>
      <c r="H4" s="3"/>
      <c r="I4" s="116"/>
      <c r="J4" s="116"/>
    </row>
    <row r="5" spans="1:11" ht="18.75" customHeight="1">
      <c r="A5" s="315"/>
      <c r="B5" s="259" t="s">
        <v>163</v>
      </c>
      <c r="C5" s="260"/>
      <c r="D5" s="260"/>
      <c r="E5" s="260"/>
      <c r="F5" s="260"/>
      <c r="G5" s="260"/>
      <c r="H5" s="260"/>
      <c r="I5" s="260"/>
      <c r="J5" s="261"/>
      <c r="K5" s="29" t="str">
        <f>IF(B5="","入力してください","")</f>
        <v/>
      </c>
    </row>
    <row r="6" spans="1:11" ht="7.5" customHeight="1">
      <c r="B6" s="116"/>
      <c r="C6" s="116"/>
      <c r="D6" s="116"/>
      <c r="E6" s="116"/>
      <c r="F6" s="116"/>
      <c r="G6" s="116"/>
      <c r="H6" s="116"/>
      <c r="I6" s="116"/>
      <c r="J6" s="116"/>
    </row>
    <row r="7" spans="1:11" s="3" customFormat="1" ht="18.75" customHeight="1">
      <c r="A7" s="315" t="s">
        <v>5</v>
      </c>
      <c r="B7" s="315" t="s">
        <v>164</v>
      </c>
      <c r="C7" s="315"/>
      <c r="D7" s="315"/>
      <c r="E7" s="315"/>
      <c r="F7" s="315"/>
      <c r="G7" s="315"/>
      <c r="H7" s="315"/>
      <c r="I7" s="315"/>
      <c r="J7" s="315"/>
      <c r="K7" s="33"/>
    </row>
    <row r="8" spans="1:11" s="3" customFormat="1" ht="18" customHeight="1">
      <c r="A8" s="85"/>
      <c r="B8" s="262" t="s">
        <v>165</v>
      </c>
      <c r="C8" s="263"/>
      <c r="D8" s="263"/>
      <c r="E8" s="263"/>
      <c r="F8" s="263"/>
      <c r="G8" s="263"/>
      <c r="H8" s="263"/>
      <c r="I8" s="264"/>
      <c r="J8" s="265"/>
      <c r="K8" s="29" t="str">
        <f>IF(B8="","入力してください","")</f>
        <v/>
      </c>
    </row>
    <row r="9" spans="1:11" s="3" customFormat="1" ht="18" customHeight="1">
      <c r="A9" s="85"/>
      <c r="B9" s="266"/>
      <c r="C9" s="267"/>
      <c r="D9" s="267"/>
      <c r="E9" s="267"/>
      <c r="F9" s="267"/>
      <c r="G9" s="267"/>
      <c r="H9" s="267"/>
      <c r="I9" s="267"/>
      <c r="J9" s="268"/>
      <c r="K9" s="29"/>
    </row>
    <row r="10" spans="1:11" s="3" customFormat="1" ht="18" customHeight="1">
      <c r="A10" s="85"/>
      <c r="B10" s="266"/>
      <c r="C10" s="267"/>
      <c r="D10" s="267"/>
      <c r="E10" s="267"/>
      <c r="F10" s="267"/>
      <c r="G10" s="267"/>
      <c r="H10" s="267"/>
      <c r="I10" s="267"/>
      <c r="J10" s="268"/>
      <c r="K10" s="29"/>
    </row>
    <row r="11" spans="1:11" s="3" customFormat="1" ht="18" customHeight="1">
      <c r="A11" s="85"/>
      <c r="B11" s="266"/>
      <c r="C11" s="267"/>
      <c r="D11" s="267"/>
      <c r="E11" s="267"/>
      <c r="F11" s="267"/>
      <c r="G11" s="267"/>
      <c r="H11" s="267"/>
      <c r="I11" s="267"/>
      <c r="J11" s="268"/>
      <c r="K11" s="29"/>
    </row>
    <row r="12" spans="1:11" s="3" customFormat="1" ht="38.1" customHeight="1">
      <c r="A12" s="85"/>
      <c r="B12" s="269"/>
      <c r="C12" s="270"/>
      <c r="D12" s="270"/>
      <c r="E12" s="270"/>
      <c r="F12" s="270"/>
      <c r="G12" s="270"/>
      <c r="H12" s="270"/>
      <c r="I12" s="270"/>
      <c r="J12" s="271"/>
      <c r="K12" s="29"/>
    </row>
    <row r="13" spans="1:11" s="3" customFormat="1" ht="7.5" customHeight="1">
      <c r="A13" s="85"/>
      <c r="B13" s="85"/>
      <c r="C13" s="85"/>
      <c r="D13" s="85"/>
      <c r="E13" s="85"/>
      <c r="F13" s="85"/>
      <c r="G13" s="85"/>
      <c r="H13" s="85"/>
      <c r="I13" s="85"/>
      <c r="J13" s="85"/>
      <c r="K13" s="29"/>
    </row>
    <row r="14" spans="1:11" s="3" customFormat="1" ht="18.75" customHeight="1">
      <c r="A14" s="86" t="s">
        <v>166</v>
      </c>
      <c r="B14" s="86" t="s">
        <v>167</v>
      </c>
      <c r="C14" s="86"/>
      <c r="D14" s="86"/>
      <c r="E14" s="86"/>
      <c r="F14" s="86"/>
      <c r="G14" s="86"/>
      <c r="H14" s="86"/>
      <c r="I14" s="86"/>
      <c r="J14" s="86"/>
      <c r="K14" s="29"/>
    </row>
    <row r="15" spans="1:11" s="3" customFormat="1" ht="20.100000000000001" customHeight="1">
      <c r="A15" s="85"/>
      <c r="B15" s="272" t="s">
        <v>168</v>
      </c>
      <c r="C15" s="273"/>
      <c r="D15" s="273"/>
      <c r="E15" s="273"/>
      <c r="F15" s="273"/>
      <c r="G15" s="273"/>
      <c r="H15" s="273"/>
      <c r="I15" s="274"/>
      <c r="J15" s="275"/>
      <c r="K15" s="29" t="str">
        <f>IF(B15="","入力してください","")</f>
        <v/>
      </c>
    </row>
    <row r="16" spans="1:11" s="3" customFormat="1" ht="20.100000000000001" customHeight="1">
      <c r="A16" s="85"/>
      <c r="B16" s="276"/>
      <c r="C16" s="277"/>
      <c r="D16" s="277"/>
      <c r="E16" s="277"/>
      <c r="F16" s="277"/>
      <c r="G16" s="277"/>
      <c r="H16" s="277"/>
      <c r="I16" s="277"/>
      <c r="J16" s="278"/>
      <c r="K16" s="29"/>
    </row>
    <row r="17" spans="1:11" s="3" customFormat="1" ht="20.100000000000001" customHeight="1">
      <c r="A17" s="85"/>
      <c r="B17" s="276"/>
      <c r="C17" s="277"/>
      <c r="D17" s="277"/>
      <c r="E17" s="277"/>
      <c r="F17" s="277"/>
      <c r="G17" s="277"/>
      <c r="H17" s="277"/>
      <c r="I17" s="277"/>
      <c r="J17" s="278"/>
      <c r="K17" s="29"/>
    </row>
    <row r="18" spans="1:11" s="3" customFormat="1" ht="20.100000000000001" customHeight="1">
      <c r="A18" s="85"/>
      <c r="B18" s="276"/>
      <c r="C18" s="277"/>
      <c r="D18" s="277"/>
      <c r="E18" s="277"/>
      <c r="F18" s="277"/>
      <c r="G18" s="277"/>
      <c r="H18" s="277"/>
      <c r="I18" s="277"/>
      <c r="J18" s="278"/>
      <c r="K18" s="29"/>
    </row>
    <row r="19" spans="1:11" s="3" customFormat="1" ht="20.100000000000001" customHeight="1">
      <c r="A19" s="85"/>
      <c r="B19" s="276"/>
      <c r="C19" s="277"/>
      <c r="D19" s="277"/>
      <c r="E19" s="277"/>
      <c r="F19" s="277"/>
      <c r="G19" s="277"/>
      <c r="H19" s="277"/>
      <c r="I19" s="277"/>
      <c r="J19" s="278"/>
      <c r="K19" s="29"/>
    </row>
    <row r="20" spans="1:11" s="3" customFormat="1" ht="20.100000000000001" customHeight="1">
      <c r="A20" s="85"/>
      <c r="B20" s="276"/>
      <c r="C20" s="277"/>
      <c r="D20" s="277"/>
      <c r="E20" s="277"/>
      <c r="F20" s="277"/>
      <c r="G20" s="277"/>
      <c r="H20" s="277"/>
      <c r="I20" s="277"/>
      <c r="J20" s="278"/>
      <c r="K20" s="29"/>
    </row>
    <row r="21" spans="1:11" s="3" customFormat="1" ht="20.100000000000001" customHeight="1">
      <c r="A21" s="85"/>
      <c r="B21" s="276"/>
      <c r="C21" s="277"/>
      <c r="D21" s="277"/>
      <c r="E21" s="277"/>
      <c r="F21" s="277"/>
      <c r="G21" s="277"/>
      <c r="H21" s="277"/>
      <c r="I21" s="277"/>
      <c r="J21" s="278"/>
      <c r="K21" s="29"/>
    </row>
    <row r="22" spans="1:11" s="3" customFormat="1" ht="18" customHeight="1">
      <c r="A22" s="85"/>
      <c r="B22" s="276"/>
      <c r="C22" s="277"/>
      <c r="D22" s="277"/>
      <c r="E22" s="277"/>
      <c r="F22" s="277"/>
      <c r="G22" s="277"/>
      <c r="H22" s="277"/>
      <c r="I22" s="277"/>
      <c r="J22" s="278"/>
      <c r="K22" s="29"/>
    </row>
    <row r="23" spans="1:11" s="3" customFormat="1" ht="18" customHeight="1">
      <c r="A23" s="85"/>
      <c r="B23" s="276"/>
      <c r="C23" s="277"/>
      <c r="D23" s="277"/>
      <c r="E23" s="277"/>
      <c r="F23" s="277"/>
      <c r="G23" s="277"/>
      <c r="H23" s="277"/>
      <c r="I23" s="277"/>
      <c r="J23" s="278"/>
      <c r="K23" s="29"/>
    </row>
    <row r="24" spans="1:11" s="3" customFormat="1" ht="18" customHeight="1">
      <c r="A24" s="85"/>
      <c r="B24" s="276"/>
      <c r="C24" s="277"/>
      <c r="D24" s="277"/>
      <c r="E24" s="277"/>
      <c r="F24" s="277"/>
      <c r="G24" s="277"/>
      <c r="H24" s="277"/>
      <c r="I24" s="277"/>
      <c r="J24" s="278"/>
      <c r="K24" s="29"/>
    </row>
    <row r="25" spans="1:11" s="3" customFormat="1" ht="18" customHeight="1">
      <c r="A25" s="85"/>
      <c r="B25" s="279"/>
      <c r="C25" s="280"/>
      <c r="D25" s="280"/>
      <c r="E25" s="280"/>
      <c r="F25" s="280"/>
      <c r="G25" s="280"/>
      <c r="H25" s="280"/>
      <c r="I25" s="280"/>
      <c r="J25" s="281"/>
      <c r="K25" s="29"/>
    </row>
    <row r="26" spans="1:11" ht="7.5" customHeight="1">
      <c r="A26" s="34"/>
      <c r="B26" s="34"/>
      <c r="C26" s="34"/>
      <c r="D26" s="34"/>
      <c r="E26" s="34"/>
      <c r="F26" s="34"/>
      <c r="G26" s="34"/>
      <c r="H26" s="34"/>
      <c r="I26" s="34"/>
      <c r="J26" s="34"/>
    </row>
    <row r="27" spans="1:11" s="3" customFormat="1" ht="18.75" customHeight="1">
      <c r="A27" s="315" t="s">
        <v>11</v>
      </c>
      <c r="B27" s="315" t="s">
        <v>169</v>
      </c>
      <c r="C27" s="315"/>
      <c r="D27" s="315"/>
      <c r="E27" s="315"/>
      <c r="F27" s="315"/>
      <c r="G27" s="315"/>
      <c r="H27" s="315"/>
      <c r="I27" s="315"/>
      <c r="J27" s="315"/>
      <c r="K27" s="29"/>
    </row>
    <row r="28" spans="1:11" s="27" customFormat="1" ht="18.75" customHeight="1">
      <c r="B28" s="87" t="s">
        <v>170</v>
      </c>
      <c r="C28" s="88">
        <f>'様式３　履修者等数の実績'!R30</f>
        <v>2.2622345337026777E-2</v>
      </c>
      <c r="D28" s="89"/>
      <c r="E28" s="89" t="s">
        <v>171</v>
      </c>
      <c r="F28" s="107">
        <v>0.1</v>
      </c>
      <c r="G28" s="89"/>
      <c r="H28" s="89" t="s">
        <v>172</v>
      </c>
      <c r="I28" s="108">
        <v>0.25</v>
      </c>
      <c r="J28" s="90"/>
      <c r="K28" s="29"/>
    </row>
    <row r="29" spans="1:11" s="27" customFormat="1" ht="18.75" customHeight="1">
      <c r="B29" s="75" t="s">
        <v>173</v>
      </c>
      <c r="C29" s="109">
        <v>0.4</v>
      </c>
      <c r="D29" s="76"/>
      <c r="E29" s="76" t="s">
        <v>174</v>
      </c>
      <c r="F29" s="109">
        <v>0.6</v>
      </c>
      <c r="G29" s="76"/>
      <c r="H29" s="76" t="s">
        <v>175</v>
      </c>
      <c r="I29" s="91">
        <f>'様式３　履修者等数の実績'!D30</f>
        <v>4332</v>
      </c>
      <c r="J29" s="92"/>
      <c r="K29" s="33"/>
    </row>
    <row r="30" spans="1:11" s="3" customFormat="1" ht="18.75" customHeight="1">
      <c r="A30" s="315"/>
      <c r="B30" s="158" t="s">
        <v>176</v>
      </c>
      <c r="C30" s="159"/>
      <c r="D30" s="159"/>
      <c r="E30" s="159"/>
      <c r="F30" s="159"/>
      <c r="G30" s="159"/>
      <c r="H30" s="159"/>
      <c r="I30" s="159"/>
      <c r="J30" s="160"/>
      <c r="K30" s="33"/>
    </row>
    <row r="31" spans="1:11" s="3" customFormat="1" ht="18.75" customHeight="1">
      <c r="A31" s="315"/>
      <c r="B31" s="258" t="s">
        <v>177</v>
      </c>
      <c r="C31" s="318"/>
      <c r="D31" s="318"/>
      <c r="E31" s="318"/>
      <c r="F31" s="318"/>
      <c r="G31" s="318"/>
      <c r="H31" s="318"/>
      <c r="I31" s="318"/>
      <c r="J31" s="319"/>
      <c r="K31" s="33" t="str">
        <f>IF(B31="","入力してください","")</f>
        <v/>
      </c>
    </row>
    <row r="32" spans="1:11" s="3" customFormat="1" ht="18.75" customHeight="1">
      <c r="A32" s="315"/>
      <c r="B32" s="320"/>
      <c r="C32" s="321"/>
      <c r="D32" s="321"/>
      <c r="E32" s="321"/>
      <c r="F32" s="321"/>
      <c r="G32" s="321"/>
      <c r="H32" s="321"/>
      <c r="I32" s="321"/>
      <c r="J32" s="322"/>
      <c r="K32" s="33"/>
    </row>
    <row r="33" spans="1:11" s="3" customFormat="1" ht="18.75" customHeight="1">
      <c r="A33" s="315"/>
      <c r="B33" s="320"/>
      <c r="C33" s="321"/>
      <c r="D33" s="321"/>
      <c r="E33" s="321"/>
      <c r="F33" s="321"/>
      <c r="G33" s="321"/>
      <c r="H33" s="321"/>
      <c r="I33" s="321"/>
      <c r="J33" s="322"/>
      <c r="K33" s="33"/>
    </row>
    <row r="34" spans="1:11" s="3" customFormat="1" ht="18.75" customHeight="1">
      <c r="A34" s="315"/>
      <c r="B34" s="320"/>
      <c r="C34" s="321"/>
      <c r="D34" s="321"/>
      <c r="E34" s="321"/>
      <c r="F34" s="321"/>
      <c r="G34" s="321"/>
      <c r="H34" s="321"/>
      <c r="I34" s="321"/>
      <c r="J34" s="322"/>
      <c r="K34" s="33"/>
    </row>
    <row r="35" spans="1:11" s="3" customFormat="1" ht="18.75" customHeight="1">
      <c r="A35" s="315"/>
      <c r="B35" s="320"/>
      <c r="C35" s="321"/>
      <c r="D35" s="321"/>
      <c r="E35" s="321"/>
      <c r="F35" s="321"/>
      <c r="G35" s="321"/>
      <c r="H35" s="321"/>
      <c r="I35" s="321"/>
      <c r="J35" s="322"/>
      <c r="K35" s="33"/>
    </row>
    <row r="36" spans="1:11" s="3" customFormat="1" ht="18.75" customHeight="1">
      <c r="A36" s="315"/>
      <c r="B36" s="320"/>
      <c r="C36" s="321"/>
      <c r="D36" s="321"/>
      <c r="E36" s="321"/>
      <c r="F36" s="321"/>
      <c r="G36" s="321"/>
      <c r="H36" s="321"/>
      <c r="I36" s="321"/>
      <c r="J36" s="322"/>
      <c r="K36" s="33"/>
    </row>
    <row r="37" spans="1:11" s="3" customFormat="1" ht="18.75" customHeight="1">
      <c r="A37" s="315"/>
      <c r="B37" s="320"/>
      <c r="C37" s="321"/>
      <c r="D37" s="321"/>
      <c r="E37" s="321"/>
      <c r="F37" s="321"/>
      <c r="G37" s="321"/>
      <c r="H37" s="321"/>
      <c r="I37" s="321"/>
      <c r="J37" s="322"/>
      <c r="K37" s="33"/>
    </row>
    <row r="38" spans="1:11" s="3" customFormat="1" ht="15.95" customHeight="1">
      <c r="A38" s="315"/>
      <c r="B38" s="320"/>
      <c r="C38" s="321"/>
      <c r="D38" s="321"/>
      <c r="E38" s="321"/>
      <c r="F38" s="321"/>
      <c r="G38" s="321"/>
      <c r="H38" s="321"/>
      <c r="I38" s="321"/>
      <c r="J38" s="322"/>
      <c r="K38" s="33"/>
    </row>
    <row r="39" spans="1:11" s="3" customFormat="1" ht="15.95" customHeight="1">
      <c r="A39" s="315"/>
      <c r="B39" s="320"/>
      <c r="C39" s="321"/>
      <c r="D39" s="321"/>
      <c r="E39" s="321"/>
      <c r="F39" s="321"/>
      <c r="G39" s="321"/>
      <c r="H39" s="321"/>
      <c r="I39" s="321"/>
      <c r="J39" s="322"/>
      <c r="K39" s="33"/>
    </row>
    <row r="40" spans="1:11" s="3" customFormat="1" ht="15.95" customHeight="1">
      <c r="A40" s="315"/>
      <c r="B40" s="320"/>
      <c r="C40" s="321"/>
      <c r="D40" s="321"/>
      <c r="E40" s="321"/>
      <c r="F40" s="321"/>
      <c r="G40" s="321"/>
      <c r="H40" s="321"/>
      <c r="I40" s="321"/>
      <c r="J40" s="322"/>
      <c r="K40" s="33"/>
    </row>
    <row r="41" spans="1:11" s="3" customFormat="1" ht="15.95" customHeight="1">
      <c r="A41" s="315"/>
      <c r="B41" s="320"/>
      <c r="C41" s="321"/>
      <c r="D41" s="321"/>
      <c r="E41" s="321"/>
      <c r="F41" s="321"/>
      <c r="G41" s="321"/>
      <c r="H41" s="321"/>
      <c r="I41" s="321"/>
      <c r="J41" s="322"/>
      <c r="K41" s="33"/>
    </row>
    <row r="42" spans="1:11" s="3" customFormat="1" ht="15.95" customHeight="1">
      <c r="A42" s="315"/>
      <c r="B42" s="320"/>
      <c r="C42" s="321"/>
      <c r="D42" s="321"/>
      <c r="E42" s="321"/>
      <c r="F42" s="321"/>
      <c r="G42" s="321"/>
      <c r="H42" s="321"/>
      <c r="I42" s="321"/>
      <c r="J42" s="322"/>
      <c r="K42" s="33"/>
    </row>
    <row r="43" spans="1:11" ht="15.95" customHeight="1">
      <c r="A43" s="34"/>
      <c r="B43" s="320"/>
      <c r="C43" s="321"/>
      <c r="D43" s="321"/>
      <c r="E43" s="321"/>
      <c r="F43" s="321"/>
      <c r="G43" s="321"/>
      <c r="H43" s="321"/>
      <c r="I43" s="321"/>
      <c r="J43" s="322"/>
      <c r="K43" s="33"/>
    </row>
    <row r="44" spans="1:11" ht="15.95" customHeight="1">
      <c r="A44" s="34"/>
      <c r="B44" s="323"/>
      <c r="C44" s="324"/>
      <c r="D44" s="324"/>
      <c r="E44" s="324"/>
      <c r="F44" s="324"/>
      <c r="G44" s="324"/>
      <c r="H44" s="324"/>
      <c r="I44" s="324"/>
      <c r="J44" s="325"/>
    </row>
    <row r="45" spans="1:11" s="3" customFormat="1" ht="18.75" customHeight="1">
      <c r="A45" s="326" t="s">
        <v>14</v>
      </c>
      <c r="B45" s="315" t="s">
        <v>178</v>
      </c>
      <c r="C45" s="315"/>
      <c r="D45" s="315"/>
      <c r="E45" s="315"/>
      <c r="F45" s="315"/>
      <c r="G45" s="315"/>
      <c r="H45" s="315"/>
      <c r="I45" s="326"/>
      <c r="J45" s="326"/>
      <c r="K45" s="29"/>
    </row>
    <row r="46" spans="1:11" ht="18.75" customHeight="1">
      <c r="A46" s="34"/>
      <c r="B46" s="282" t="s">
        <v>179</v>
      </c>
      <c r="C46" s="327"/>
      <c r="D46" s="327"/>
      <c r="E46" s="327"/>
      <c r="F46" s="327"/>
      <c r="G46" s="327"/>
      <c r="H46" s="327"/>
      <c r="I46" s="327"/>
      <c r="J46" s="328"/>
      <c r="K46" s="29" t="str">
        <f>IF(B46="","入力してください","")</f>
        <v/>
      </c>
    </row>
    <row r="47" spans="1:11" ht="18.75" customHeight="1">
      <c r="A47" s="34"/>
      <c r="B47" s="320"/>
      <c r="C47" s="321"/>
      <c r="D47" s="321"/>
      <c r="E47" s="321"/>
      <c r="F47" s="321"/>
      <c r="G47" s="321"/>
      <c r="H47" s="321"/>
      <c r="I47" s="321"/>
      <c r="J47" s="322"/>
    </row>
    <row r="48" spans="1:11" ht="18.75" customHeight="1">
      <c r="A48" s="34"/>
      <c r="B48" s="320"/>
      <c r="C48" s="321"/>
      <c r="D48" s="321"/>
      <c r="E48" s="321"/>
      <c r="F48" s="321"/>
      <c r="G48" s="321"/>
      <c r="H48" s="321"/>
      <c r="I48" s="321"/>
      <c r="J48" s="322"/>
    </row>
    <row r="49" spans="1:10" ht="18.75" customHeight="1">
      <c r="A49" s="34"/>
      <c r="B49" s="320"/>
      <c r="C49" s="321"/>
      <c r="D49" s="321"/>
      <c r="E49" s="321"/>
      <c r="F49" s="321"/>
      <c r="G49" s="321"/>
      <c r="H49" s="321"/>
      <c r="I49" s="321"/>
      <c r="J49" s="322"/>
    </row>
    <row r="50" spans="1:10" ht="18.75" customHeight="1">
      <c r="A50" s="34"/>
      <c r="B50" s="320"/>
      <c r="C50" s="321"/>
      <c r="D50" s="321"/>
      <c r="E50" s="321"/>
      <c r="F50" s="321"/>
      <c r="G50" s="321"/>
      <c r="H50" s="321"/>
      <c r="I50" s="321"/>
      <c r="J50" s="322"/>
    </row>
    <row r="51" spans="1:10" ht="18.75" customHeight="1">
      <c r="A51" s="34"/>
      <c r="B51" s="320"/>
      <c r="C51" s="321"/>
      <c r="D51" s="321"/>
      <c r="E51" s="321"/>
      <c r="F51" s="321"/>
      <c r="G51" s="321"/>
      <c r="H51" s="321"/>
      <c r="I51" s="321"/>
      <c r="J51" s="322"/>
    </row>
    <row r="52" spans="1:10" ht="18.75" customHeight="1">
      <c r="A52" s="34"/>
      <c r="B52" s="320"/>
      <c r="C52" s="321"/>
      <c r="D52" s="321"/>
      <c r="E52" s="321"/>
      <c r="F52" s="321"/>
      <c r="G52" s="321"/>
      <c r="H52" s="321"/>
      <c r="I52" s="321"/>
      <c r="J52" s="322"/>
    </row>
    <row r="53" spans="1:10" ht="18.75" customHeight="1">
      <c r="A53" s="34"/>
      <c r="B53" s="320"/>
      <c r="C53" s="321"/>
      <c r="D53" s="321"/>
      <c r="E53" s="321"/>
      <c r="F53" s="321"/>
      <c r="G53" s="321"/>
      <c r="H53" s="321"/>
      <c r="I53" s="321"/>
      <c r="J53" s="322"/>
    </row>
    <row r="54" spans="1:10" ht="18.75" customHeight="1">
      <c r="A54" s="34"/>
      <c r="B54" s="320"/>
      <c r="C54" s="321"/>
      <c r="D54" s="321"/>
      <c r="E54" s="321"/>
      <c r="F54" s="321"/>
      <c r="G54" s="321"/>
      <c r="H54" s="321"/>
      <c r="I54" s="321"/>
      <c r="J54" s="322"/>
    </row>
    <row r="55" spans="1:10" ht="18.75" customHeight="1">
      <c r="A55" s="34"/>
      <c r="B55" s="320"/>
      <c r="C55" s="321"/>
      <c r="D55" s="321"/>
      <c r="E55" s="321"/>
      <c r="F55" s="321"/>
      <c r="G55" s="321"/>
      <c r="H55" s="321"/>
      <c r="I55" s="321"/>
      <c r="J55" s="322"/>
    </row>
    <row r="56" spans="1:10" ht="18.75" customHeight="1">
      <c r="A56" s="34"/>
      <c r="B56" s="320"/>
      <c r="C56" s="321"/>
      <c r="D56" s="321"/>
      <c r="E56" s="321"/>
      <c r="F56" s="321"/>
      <c r="G56" s="321"/>
      <c r="H56" s="321"/>
      <c r="I56" s="321"/>
      <c r="J56" s="322"/>
    </row>
    <row r="57" spans="1:10" ht="18.75" customHeight="1">
      <c r="A57" s="34"/>
      <c r="B57" s="320"/>
      <c r="C57" s="321"/>
      <c r="D57" s="321"/>
      <c r="E57" s="321"/>
      <c r="F57" s="321"/>
      <c r="G57" s="321"/>
      <c r="H57" s="321"/>
      <c r="I57" s="321"/>
      <c r="J57" s="322"/>
    </row>
    <row r="58" spans="1:10" ht="18.75" customHeight="1">
      <c r="A58" s="34"/>
      <c r="B58" s="320"/>
      <c r="C58" s="321"/>
      <c r="D58" s="321"/>
      <c r="E58" s="321"/>
      <c r="F58" s="321"/>
      <c r="G58" s="321"/>
      <c r="H58" s="321"/>
      <c r="I58" s="321"/>
      <c r="J58" s="322"/>
    </row>
    <row r="59" spans="1:10" ht="18.75" customHeight="1">
      <c r="A59" s="34"/>
      <c r="B59" s="320"/>
      <c r="C59" s="321"/>
      <c r="D59" s="321"/>
      <c r="E59" s="321"/>
      <c r="F59" s="321"/>
      <c r="G59" s="321"/>
      <c r="H59" s="321"/>
      <c r="I59" s="321"/>
      <c r="J59" s="322"/>
    </row>
    <row r="60" spans="1:10" ht="18.75" customHeight="1">
      <c r="A60" s="34"/>
      <c r="B60" s="320"/>
      <c r="C60" s="321"/>
      <c r="D60" s="321"/>
      <c r="E60" s="321"/>
      <c r="F60" s="321"/>
      <c r="G60" s="321"/>
      <c r="H60" s="321"/>
      <c r="I60" s="321"/>
      <c r="J60" s="322"/>
    </row>
    <row r="61" spans="1:10" ht="18.75" customHeight="1">
      <c r="A61" s="34"/>
      <c r="B61" s="320"/>
      <c r="C61" s="321"/>
      <c r="D61" s="321"/>
      <c r="E61" s="321"/>
      <c r="F61" s="321"/>
      <c r="G61" s="321"/>
      <c r="H61" s="321"/>
      <c r="I61" s="321"/>
      <c r="J61" s="322"/>
    </row>
    <row r="62" spans="1:10" ht="18.75" customHeight="1">
      <c r="A62" s="34"/>
      <c r="B62" s="320"/>
      <c r="C62" s="321"/>
      <c r="D62" s="321"/>
      <c r="E62" s="321"/>
      <c r="F62" s="321"/>
      <c r="G62" s="321"/>
      <c r="H62" s="321"/>
      <c r="I62" s="321"/>
      <c r="J62" s="322"/>
    </row>
    <row r="63" spans="1:10" ht="18.75" customHeight="1">
      <c r="A63" s="34"/>
      <c r="B63" s="320"/>
      <c r="C63" s="321"/>
      <c r="D63" s="321"/>
      <c r="E63" s="321"/>
      <c r="F63" s="321"/>
      <c r="G63" s="321"/>
      <c r="H63" s="321"/>
      <c r="I63" s="321"/>
      <c r="J63" s="322"/>
    </row>
    <row r="64" spans="1:10" ht="18.75" customHeight="1">
      <c r="A64" s="34"/>
      <c r="B64" s="320"/>
      <c r="C64" s="321"/>
      <c r="D64" s="321"/>
      <c r="E64" s="321"/>
      <c r="F64" s="321"/>
      <c r="G64" s="321"/>
      <c r="H64" s="321"/>
      <c r="I64" s="321"/>
      <c r="J64" s="322"/>
    </row>
    <row r="65" spans="1:11" ht="18.75" customHeight="1">
      <c r="A65" s="34"/>
      <c r="B65" s="320"/>
      <c r="C65" s="321"/>
      <c r="D65" s="321"/>
      <c r="E65" s="321"/>
      <c r="F65" s="321"/>
      <c r="G65" s="321"/>
      <c r="H65" s="321"/>
      <c r="I65" s="321"/>
      <c r="J65" s="322"/>
    </row>
    <row r="66" spans="1:11" ht="18.75" customHeight="1">
      <c r="A66" s="34"/>
      <c r="B66" s="323"/>
      <c r="C66" s="324"/>
      <c r="D66" s="324"/>
      <c r="E66" s="324"/>
      <c r="F66" s="324"/>
      <c r="G66" s="324"/>
      <c r="H66" s="324"/>
      <c r="I66" s="324"/>
      <c r="J66" s="325"/>
    </row>
    <row r="67" spans="1:11" ht="7.5" customHeight="1">
      <c r="A67" s="34"/>
      <c r="B67" s="34"/>
      <c r="C67" s="34"/>
      <c r="D67" s="34"/>
      <c r="E67" s="34"/>
      <c r="F67" s="34"/>
      <c r="G67" s="34"/>
      <c r="H67" s="34"/>
      <c r="I67" s="34"/>
      <c r="J67" s="34"/>
    </row>
    <row r="68" spans="1:11" s="3" customFormat="1" ht="18.75" customHeight="1">
      <c r="A68" s="315" t="s">
        <v>17</v>
      </c>
      <c r="B68" s="315" t="s">
        <v>180</v>
      </c>
      <c r="C68" s="315"/>
      <c r="D68" s="315"/>
      <c r="E68" s="315"/>
      <c r="F68" s="315"/>
      <c r="G68" s="315"/>
      <c r="H68" s="315"/>
      <c r="I68" s="315"/>
      <c r="J68" s="315"/>
      <c r="K68" s="29"/>
    </row>
    <row r="69" spans="1:11" s="3" customFormat="1" ht="18.75" customHeight="1">
      <c r="A69" s="315"/>
      <c r="B69" s="282" t="s">
        <v>181</v>
      </c>
      <c r="C69" s="327"/>
      <c r="D69" s="327"/>
      <c r="E69" s="327"/>
      <c r="F69" s="327"/>
      <c r="G69" s="327"/>
      <c r="H69" s="327"/>
      <c r="I69" s="329"/>
      <c r="J69" s="330"/>
      <c r="K69" s="33" t="str">
        <f>IF(B69="","入力してください","")</f>
        <v/>
      </c>
    </row>
    <row r="70" spans="1:11" s="3" customFormat="1" ht="18.75" customHeight="1">
      <c r="A70" s="315"/>
      <c r="B70" s="331"/>
      <c r="C70" s="332"/>
      <c r="D70" s="332"/>
      <c r="E70" s="332"/>
      <c r="F70" s="332"/>
      <c r="G70" s="332"/>
      <c r="H70" s="332"/>
      <c r="I70" s="332"/>
      <c r="J70" s="333"/>
      <c r="K70" s="33"/>
    </row>
    <row r="71" spans="1:11" s="3" customFormat="1" ht="18.75" customHeight="1">
      <c r="A71" s="315"/>
      <c r="B71" s="331"/>
      <c r="C71" s="332"/>
      <c r="D71" s="332"/>
      <c r="E71" s="332"/>
      <c r="F71" s="332"/>
      <c r="G71" s="332"/>
      <c r="H71" s="332"/>
      <c r="I71" s="332"/>
      <c r="J71" s="333"/>
      <c r="K71" s="33"/>
    </row>
    <row r="72" spans="1:11" s="3" customFormat="1" ht="18.75" customHeight="1">
      <c r="A72" s="315"/>
      <c r="B72" s="331"/>
      <c r="C72" s="332"/>
      <c r="D72" s="332"/>
      <c r="E72" s="332"/>
      <c r="F72" s="332"/>
      <c r="G72" s="332"/>
      <c r="H72" s="332"/>
      <c r="I72" s="332"/>
      <c r="J72" s="333"/>
      <c r="K72" s="33"/>
    </row>
    <row r="73" spans="1:11" s="3" customFormat="1" ht="18.75" customHeight="1">
      <c r="A73" s="315"/>
      <c r="B73" s="331"/>
      <c r="C73" s="332"/>
      <c r="D73" s="332"/>
      <c r="E73" s="332"/>
      <c r="F73" s="332"/>
      <c r="G73" s="332"/>
      <c r="H73" s="332"/>
      <c r="I73" s="332"/>
      <c r="J73" s="333"/>
      <c r="K73" s="33"/>
    </row>
    <row r="74" spans="1:11" s="3" customFormat="1" ht="18.75" customHeight="1">
      <c r="A74" s="315"/>
      <c r="B74" s="331"/>
      <c r="C74" s="332"/>
      <c r="D74" s="332"/>
      <c r="E74" s="332"/>
      <c r="F74" s="332"/>
      <c r="G74" s="332"/>
      <c r="H74" s="332"/>
      <c r="I74" s="332"/>
      <c r="J74" s="333"/>
      <c r="K74" s="33"/>
    </row>
    <row r="75" spans="1:11" s="3" customFormat="1" ht="18.75" customHeight="1">
      <c r="A75" s="315"/>
      <c r="B75" s="331"/>
      <c r="C75" s="332"/>
      <c r="D75" s="332"/>
      <c r="E75" s="332"/>
      <c r="F75" s="332"/>
      <c r="G75" s="332"/>
      <c r="H75" s="332"/>
      <c r="I75" s="332"/>
      <c r="J75" s="333"/>
      <c r="K75" s="33"/>
    </row>
    <row r="76" spans="1:11" s="3" customFormat="1" ht="18.75" customHeight="1">
      <c r="A76" s="315"/>
      <c r="B76" s="331"/>
      <c r="C76" s="332"/>
      <c r="D76" s="332"/>
      <c r="E76" s="332"/>
      <c r="F76" s="332"/>
      <c r="G76" s="332"/>
      <c r="H76" s="332"/>
      <c r="I76" s="332"/>
      <c r="J76" s="333"/>
      <c r="K76" s="33"/>
    </row>
    <row r="77" spans="1:11" s="3" customFormat="1" ht="18.75" customHeight="1">
      <c r="A77" s="315"/>
      <c r="B77" s="331"/>
      <c r="C77" s="332"/>
      <c r="D77" s="332"/>
      <c r="E77" s="332"/>
      <c r="F77" s="332"/>
      <c r="G77" s="332"/>
      <c r="H77" s="332"/>
      <c r="I77" s="332"/>
      <c r="J77" s="333"/>
      <c r="K77" s="33"/>
    </row>
    <row r="78" spans="1:11" s="3" customFormat="1" ht="18.75" customHeight="1">
      <c r="A78" s="315"/>
      <c r="B78" s="331"/>
      <c r="C78" s="332"/>
      <c r="D78" s="332"/>
      <c r="E78" s="332"/>
      <c r="F78" s="332"/>
      <c r="G78" s="332"/>
      <c r="H78" s="332"/>
      <c r="I78" s="332"/>
      <c r="J78" s="333"/>
      <c r="K78" s="33"/>
    </row>
    <row r="79" spans="1:11" s="3" customFormat="1" ht="18.75" customHeight="1">
      <c r="A79" s="315"/>
      <c r="B79" s="331"/>
      <c r="C79" s="332"/>
      <c r="D79" s="332"/>
      <c r="E79" s="332"/>
      <c r="F79" s="332"/>
      <c r="G79" s="332"/>
      <c r="H79" s="332"/>
      <c r="I79" s="332"/>
      <c r="J79" s="333"/>
      <c r="K79" s="33"/>
    </row>
    <row r="80" spans="1:11" s="3" customFormat="1" ht="18.75" customHeight="1">
      <c r="A80" s="315"/>
      <c r="B80" s="331"/>
      <c r="C80" s="332"/>
      <c r="D80" s="332"/>
      <c r="E80" s="332"/>
      <c r="F80" s="332"/>
      <c r="G80" s="332"/>
      <c r="H80" s="332"/>
      <c r="I80" s="332"/>
      <c r="J80" s="333"/>
      <c r="K80" s="33"/>
    </row>
    <row r="81" spans="1:11" s="3" customFormat="1" ht="18.75" customHeight="1">
      <c r="A81" s="315"/>
      <c r="B81" s="331"/>
      <c r="C81" s="332"/>
      <c r="D81" s="332"/>
      <c r="E81" s="332"/>
      <c r="F81" s="332"/>
      <c r="G81" s="332"/>
      <c r="H81" s="332"/>
      <c r="I81" s="332"/>
      <c r="J81" s="333"/>
      <c r="K81" s="33"/>
    </row>
    <row r="82" spans="1:11" s="3" customFormat="1" ht="18.75" customHeight="1">
      <c r="A82" s="315"/>
      <c r="B82" s="331"/>
      <c r="C82" s="332"/>
      <c r="D82" s="332"/>
      <c r="E82" s="332"/>
      <c r="F82" s="332"/>
      <c r="G82" s="332"/>
      <c r="H82" s="332"/>
      <c r="I82" s="332"/>
      <c r="J82" s="333"/>
      <c r="K82" s="33"/>
    </row>
    <row r="83" spans="1:11" s="3" customFormat="1" ht="18.75" customHeight="1">
      <c r="A83" s="315"/>
      <c r="B83" s="331"/>
      <c r="C83" s="332"/>
      <c r="D83" s="332"/>
      <c r="E83" s="332"/>
      <c r="F83" s="332"/>
      <c r="G83" s="332"/>
      <c r="H83" s="332"/>
      <c r="I83" s="332"/>
      <c r="J83" s="333"/>
      <c r="K83" s="33"/>
    </row>
    <row r="84" spans="1:11" s="3" customFormat="1" ht="18.75" customHeight="1">
      <c r="A84" s="315"/>
      <c r="B84" s="331"/>
      <c r="C84" s="332"/>
      <c r="D84" s="332"/>
      <c r="E84" s="332"/>
      <c r="F84" s="332"/>
      <c r="G84" s="332"/>
      <c r="H84" s="332"/>
      <c r="I84" s="332"/>
      <c r="J84" s="333"/>
      <c r="K84" s="33"/>
    </row>
    <row r="85" spans="1:11" ht="18.75" customHeight="1">
      <c r="A85" s="34"/>
      <c r="B85" s="331"/>
      <c r="C85" s="332"/>
      <c r="D85" s="332"/>
      <c r="E85" s="332"/>
      <c r="F85" s="332"/>
      <c r="G85" s="332"/>
      <c r="H85" s="332"/>
      <c r="I85" s="332"/>
      <c r="J85" s="333"/>
      <c r="K85" s="33"/>
    </row>
    <row r="86" spans="1:11" ht="18.75" customHeight="1">
      <c r="A86" s="34"/>
      <c r="B86" s="334"/>
      <c r="C86" s="335"/>
      <c r="D86" s="335"/>
      <c r="E86" s="335"/>
      <c r="F86" s="335"/>
      <c r="G86" s="335"/>
      <c r="H86" s="335"/>
      <c r="I86" s="335"/>
      <c r="J86" s="336"/>
      <c r="K86" s="33"/>
    </row>
    <row r="87" spans="1:11" ht="7.5" customHeight="1">
      <c r="A87" s="34"/>
      <c r="B87" s="34"/>
      <c r="C87" s="34"/>
      <c r="D87" s="34"/>
      <c r="E87" s="34"/>
      <c r="F87" s="34"/>
      <c r="G87" s="34"/>
      <c r="H87" s="34"/>
      <c r="I87" s="34"/>
      <c r="J87" s="34"/>
    </row>
    <row r="88" spans="1:11" s="3" customFormat="1" ht="18.75" customHeight="1">
      <c r="A88" s="315" t="s">
        <v>182</v>
      </c>
      <c r="B88" s="315" t="s">
        <v>183</v>
      </c>
      <c r="C88" s="315"/>
      <c r="D88" s="315"/>
      <c r="E88" s="315"/>
      <c r="F88" s="315"/>
      <c r="G88" s="315"/>
      <c r="H88" s="315"/>
      <c r="I88" s="315"/>
      <c r="J88" s="315"/>
      <c r="K88" s="29"/>
    </row>
    <row r="89" spans="1:11" s="3" customFormat="1" ht="18.75" customHeight="1">
      <c r="A89" s="315"/>
      <c r="B89" s="283" t="s">
        <v>184</v>
      </c>
      <c r="C89" s="284"/>
      <c r="D89" s="284"/>
      <c r="E89" s="284"/>
      <c r="F89" s="284"/>
      <c r="G89" s="284"/>
      <c r="H89" s="284"/>
      <c r="I89" s="285"/>
      <c r="J89" s="286"/>
      <c r="K89" s="29"/>
    </row>
    <row r="90" spans="1:11" s="3" customFormat="1" ht="18.75" customHeight="1">
      <c r="A90" s="315"/>
      <c r="B90" s="287"/>
      <c r="C90" s="288"/>
      <c r="D90" s="288"/>
      <c r="E90" s="288"/>
      <c r="F90" s="288"/>
      <c r="G90" s="288"/>
      <c r="H90" s="288"/>
      <c r="I90" s="288"/>
      <c r="J90" s="289"/>
      <c r="K90" s="33"/>
    </row>
    <row r="91" spans="1:11" s="3" customFormat="1" ht="18.75" customHeight="1">
      <c r="A91" s="315"/>
      <c r="B91" s="287"/>
      <c r="C91" s="288"/>
      <c r="D91" s="288"/>
      <c r="E91" s="288"/>
      <c r="F91" s="288"/>
      <c r="G91" s="288"/>
      <c r="H91" s="288"/>
      <c r="I91" s="288"/>
      <c r="J91" s="289"/>
      <c r="K91" s="33" t="str">
        <f>IF(B89="","入力してください","")</f>
        <v/>
      </c>
    </row>
    <row r="92" spans="1:11" s="3" customFormat="1" ht="18.75" customHeight="1">
      <c r="A92" s="315"/>
      <c r="B92" s="287"/>
      <c r="C92" s="288"/>
      <c r="D92" s="288"/>
      <c r="E92" s="288"/>
      <c r="F92" s="288"/>
      <c r="G92" s="288"/>
      <c r="H92" s="288"/>
      <c r="I92" s="288"/>
      <c r="J92" s="289"/>
      <c r="K92" s="33"/>
    </row>
    <row r="93" spans="1:11" s="3" customFormat="1" ht="18.75" customHeight="1">
      <c r="A93" s="315"/>
      <c r="B93" s="287"/>
      <c r="C93" s="288"/>
      <c r="D93" s="288"/>
      <c r="E93" s="288"/>
      <c r="F93" s="288"/>
      <c r="G93" s="288"/>
      <c r="H93" s="288"/>
      <c r="I93" s="288"/>
      <c r="J93" s="289"/>
      <c r="K93" s="33"/>
    </row>
    <row r="94" spans="1:11" s="3" customFormat="1" ht="18.75" customHeight="1">
      <c r="A94" s="315"/>
      <c r="B94" s="287"/>
      <c r="C94" s="288"/>
      <c r="D94" s="288"/>
      <c r="E94" s="288"/>
      <c r="F94" s="288"/>
      <c r="G94" s="288"/>
      <c r="H94" s="288"/>
      <c r="I94" s="288"/>
      <c r="J94" s="289"/>
      <c r="K94" s="33"/>
    </row>
    <row r="95" spans="1:11" s="3" customFormat="1" ht="18.75" customHeight="1">
      <c r="A95" s="315"/>
      <c r="B95" s="287"/>
      <c r="C95" s="288"/>
      <c r="D95" s="288"/>
      <c r="E95" s="288"/>
      <c r="F95" s="288"/>
      <c r="G95" s="288"/>
      <c r="H95" s="288"/>
      <c r="I95" s="288"/>
      <c r="J95" s="289"/>
      <c r="K95" s="33"/>
    </row>
    <row r="96" spans="1:11" s="3" customFormat="1" ht="18.75" customHeight="1">
      <c r="A96" s="315"/>
      <c r="B96" s="287"/>
      <c r="C96" s="288"/>
      <c r="D96" s="288"/>
      <c r="E96" s="288"/>
      <c r="F96" s="288"/>
      <c r="G96" s="288"/>
      <c r="H96" s="288"/>
      <c r="I96" s="288"/>
      <c r="J96" s="289"/>
      <c r="K96" s="33"/>
    </row>
    <row r="97" spans="1:11" s="3" customFormat="1" ht="18.75" customHeight="1">
      <c r="A97" s="315"/>
      <c r="B97" s="287"/>
      <c r="C97" s="288"/>
      <c r="D97" s="288"/>
      <c r="E97" s="288"/>
      <c r="F97" s="288"/>
      <c r="G97" s="288"/>
      <c r="H97" s="288"/>
      <c r="I97" s="288"/>
      <c r="J97" s="289"/>
      <c r="K97" s="33"/>
    </row>
    <row r="98" spans="1:11" s="3" customFormat="1" ht="18.75" customHeight="1">
      <c r="A98" s="315"/>
      <c r="B98" s="287"/>
      <c r="C98" s="288"/>
      <c r="D98" s="288"/>
      <c r="E98" s="288"/>
      <c r="F98" s="288"/>
      <c r="G98" s="288"/>
      <c r="H98" s="288"/>
      <c r="I98" s="288"/>
      <c r="J98" s="289"/>
      <c r="K98" s="33"/>
    </row>
    <row r="99" spans="1:11" s="3" customFormat="1" ht="18.75" customHeight="1">
      <c r="A99" s="315"/>
      <c r="B99" s="287"/>
      <c r="C99" s="288"/>
      <c r="D99" s="288"/>
      <c r="E99" s="288"/>
      <c r="F99" s="288"/>
      <c r="G99" s="288"/>
      <c r="H99" s="288"/>
      <c r="I99" s="288"/>
      <c r="J99" s="289"/>
      <c r="K99" s="33"/>
    </row>
    <row r="100" spans="1:11" s="3" customFormat="1" ht="18.75" customHeight="1">
      <c r="A100" s="315"/>
      <c r="B100" s="287"/>
      <c r="C100" s="288"/>
      <c r="D100" s="288"/>
      <c r="E100" s="288"/>
      <c r="F100" s="288"/>
      <c r="G100" s="288"/>
      <c r="H100" s="288"/>
      <c r="I100" s="288"/>
      <c r="J100" s="289"/>
      <c r="K100" s="33"/>
    </row>
    <row r="101" spans="1:11" s="3" customFormat="1" ht="18.75" customHeight="1">
      <c r="A101" s="315"/>
      <c r="B101" s="287"/>
      <c r="C101" s="288"/>
      <c r="D101" s="288"/>
      <c r="E101" s="288"/>
      <c r="F101" s="288"/>
      <c r="G101" s="288"/>
      <c r="H101" s="288"/>
      <c r="I101" s="288"/>
      <c r="J101" s="289"/>
      <c r="K101" s="33"/>
    </row>
    <row r="102" spans="1:11" s="3" customFormat="1" ht="18.75" customHeight="1">
      <c r="A102" s="315"/>
      <c r="B102" s="287"/>
      <c r="C102" s="288"/>
      <c r="D102" s="288"/>
      <c r="E102" s="288"/>
      <c r="F102" s="288"/>
      <c r="G102" s="288"/>
      <c r="H102" s="288"/>
      <c r="I102" s="288"/>
      <c r="J102" s="289"/>
      <c r="K102" s="33"/>
    </row>
    <row r="103" spans="1:11" s="3" customFormat="1" ht="18.75" customHeight="1">
      <c r="A103" s="315"/>
      <c r="B103" s="287"/>
      <c r="C103" s="288"/>
      <c r="D103" s="288"/>
      <c r="E103" s="288"/>
      <c r="F103" s="288"/>
      <c r="G103" s="288"/>
      <c r="H103" s="288"/>
      <c r="I103" s="288"/>
      <c r="J103" s="289"/>
      <c r="K103" s="33"/>
    </row>
    <row r="104" spans="1:11" s="3" customFormat="1" ht="18.75" customHeight="1">
      <c r="A104" s="315"/>
      <c r="B104" s="287"/>
      <c r="C104" s="288"/>
      <c r="D104" s="288"/>
      <c r="E104" s="288"/>
      <c r="F104" s="288"/>
      <c r="G104" s="288"/>
      <c r="H104" s="288"/>
      <c r="I104" s="288"/>
      <c r="J104" s="289"/>
      <c r="K104" s="33"/>
    </row>
    <row r="105" spans="1:11" s="3" customFormat="1" ht="18.75" customHeight="1">
      <c r="A105" s="315"/>
      <c r="B105" s="287"/>
      <c r="C105" s="288"/>
      <c r="D105" s="288"/>
      <c r="E105" s="288"/>
      <c r="F105" s="288"/>
      <c r="G105" s="288"/>
      <c r="H105" s="288"/>
      <c r="I105" s="288"/>
      <c r="J105" s="289"/>
      <c r="K105" s="33"/>
    </row>
    <row r="106" spans="1:11" s="3" customFormat="1" ht="18.75" customHeight="1">
      <c r="A106" s="315"/>
      <c r="B106" s="287"/>
      <c r="C106" s="288"/>
      <c r="D106" s="288"/>
      <c r="E106" s="288"/>
      <c r="F106" s="288"/>
      <c r="G106" s="288"/>
      <c r="H106" s="288"/>
      <c r="I106" s="288"/>
      <c r="J106" s="289"/>
      <c r="K106" s="33"/>
    </row>
    <row r="107" spans="1:11" ht="18.75" customHeight="1">
      <c r="A107" s="34"/>
      <c r="B107" s="287"/>
      <c r="C107" s="288"/>
      <c r="D107" s="288"/>
      <c r="E107" s="288"/>
      <c r="F107" s="288"/>
      <c r="G107" s="288"/>
      <c r="H107" s="288"/>
      <c r="I107" s="288"/>
      <c r="J107" s="289"/>
      <c r="K107" s="33"/>
    </row>
    <row r="108" spans="1:11" ht="18.75" customHeight="1">
      <c r="A108" s="34"/>
      <c r="B108" s="290"/>
      <c r="C108" s="291"/>
      <c r="D108" s="291"/>
      <c r="E108" s="291"/>
      <c r="F108" s="291"/>
      <c r="G108" s="291"/>
      <c r="H108" s="291"/>
      <c r="I108" s="291"/>
      <c r="J108" s="292"/>
      <c r="K108" s="33"/>
    </row>
    <row r="109" spans="1:11" ht="7.5" customHeight="1">
      <c r="A109" s="34"/>
      <c r="B109" s="34"/>
      <c r="C109" s="34"/>
      <c r="D109" s="34"/>
      <c r="E109" s="34"/>
      <c r="F109" s="34"/>
      <c r="G109" s="34"/>
      <c r="H109" s="34"/>
      <c r="I109" s="34"/>
      <c r="J109" s="34"/>
    </row>
    <row r="110" spans="1:11" s="3" customFormat="1" ht="18.75" customHeight="1">
      <c r="A110" s="315" t="s">
        <v>23</v>
      </c>
      <c r="B110" s="337" t="s">
        <v>185</v>
      </c>
      <c r="C110" s="337"/>
      <c r="D110" s="337"/>
      <c r="E110" s="337"/>
      <c r="F110" s="337"/>
      <c r="G110" s="337"/>
      <c r="H110" s="337"/>
      <c r="I110" s="337"/>
      <c r="J110" s="337"/>
      <c r="K110" s="29"/>
    </row>
    <row r="111" spans="1:11" ht="18.75" customHeight="1">
      <c r="A111" s="34"/>
      <c r="B111" s="283" t="s">
        <v>186</v>
      </c>
      <c r="C111" s="284"/>
      <c r="D111" s="284"/>
      <c r="E111" s="284"/>
      <c r="F111" s="284"/>
      <c r="G111" s="284"/>
      <c r="H111" s="284"/>
      <c r="I111" s="285"/>
      <c r="J111" s="286"/>
    </row>
    <row r="112" spans="1:11" ht="18.75" customHeight="1">
      <c r="A112" s="34"/>
      <c r="B112" s="287"/>
      <c r="C112" s="288"/>
      <c r="D112" s="288"/>
      <c r="E112" s="288"/>
      <c r="F112" s="288"/>
      <c r="G112" s="288"/>
      <c r="H112" s="288"/>
      <c r="I112" s="288"/>
      <c r="J112" s="289"/>
      <c r="K112" s="33"/>
    </row>
    <row r="113" spans="1:11" ht="18.75" customHeight="1">
      <c r="A113" s="34"/>
      <c r="B113" s="287"/>
      <c r="C113" s="288"/>
      <c r="D113" s="288"/>
      <c r="E113" s="288"/>
      <c r="F113" s="288"/>
      <c r="G113" s="288"/>
      <c r="H113" s="288"/>
      <c r="I113" s="288"/>
      <c r="J113" s="289"/>
      <c r="K113" s="29" t="str">
        <f>IF(B111="","入力してください","")</f>
        <v/>
      </c>
    </row>
    <row r="114" spans="1:11" ht="18.75" customHeight="1">
      <c r="A114" s="34"/>
      <c r="B114" s="287"/>
      <c r="C114" s="288"/>
      <c r="D114" s="288"/>
      <c r="E114" s="288"/>
      <c r="F114" s="288"/>
      <c r="G114" s="288"/>
      <c r="H114" s="288"/>
      <c r="I114" s="288"/>
      <c r="J114" s="289"/>
    </row>
    <row r="115" spans="1:11" ht="18.75" customHeight="1">
      <c r="A115" s="34"/>
      <c r="B115" s="287"/>
      <c r="C115" s="288"/>
      <c r="D115" s="288"/>
      <c r="E115" s="288"/>
      <c r="F115" s="288"/>
      <c r="G115" s="288"/>
      <c r="H115" s="288"/>
      <c r="I115" s="288"/>
      <c r="J115" s="289"/>
    </row>
    <row r="116" spans="1:11" ht="18.75" customHeight="1">
      <c r="A116" s="34"/>
      <c r="B116" s="287"/>
      <c r="C116" s="288"/>
      <c r="D116" s="288"/>
      <c r="E116" s="288"/>
      <c r="F116" s="288"/>
      <c r="G116" s="288"/>
      <c r="H116" s="288"/>
      <c r="I116" s="288"/>
      <c r="J116" s="289"/>
    </row>
    <row r="117" spans="1:11" ht="18.75" customHeight="1">
      <c r="A117" s="34"/>
      <c r="B117" s="287"/>
      <c r="C117" s="288"/>
      <c r="D117" s="288"/>
      <c r="E117" s="288"/>
      <c r="F117" s="288"/>
      <c r="G117" s="288"/>
      <c r="H117" s="288"/>
      <c r="I117" s="288"/>
      <c r="J117" s="289"/>
    </row>
    <row r="118" spans="1:11" ht="18.75" customHeight="1">
      <c r="A118" s="34"/>
      <c r="B118" s="287"/>
      <c r="C118" s="288"/>
      <c r="D118" s="288"/>
      <c r="E118" s="288"/>
      <c r="F118" s="288"/>
      <c r="G118" s="288"/>
      <c r="H118" s="288"/>
      <c r="I118" s="288"/>
      <c r="J118" s="289"/>
    </row>
    <row r="119" spans="1:11" ht="18.75" customHeight="1">
      <c r="A119" s="34"/>
      <c r="B119" s="287"/>
      <c r="C119" s="288"/>
      <c r="D119" s="288"/>
      <c r="E119" s="288"/>
      <c r="F119" s="288"/>
      <c r="G119" s="288"/>
      <c r="H119" s="288"/>
      <c r="I119" s="288"/>
      <c r="J119" s="289"/>
    </row>
    <row r="120" spans="1:11" ht="18.75" customHeight="1">
      <c r="A120" s="34"/>
      <c r="B120" s="287"/>
      <c r="C120" s="288"/>
      <c r="D120" s="288"/>
      <c r="E120" s="288"/>
      <c r="F120" s="288"/>
      <c r="G120" s="288"/>
      <c r="H120" s="288"/>
      <c r="I120" s="288"/>
      <c r="J120" s="289"/>
    </row>
    <row r="121" spans="1:11" ht="18.75" customHeight="1">
      <c r="A121" s="34"/>
      <c r="B121" s="287"/>
      <c r="C121" s="288"/>
      <c r="D121" s="288"/>
      <c r="E121" s="288"/>
      <c r="F121" s="288"/>
      <c r="G121" s="288"/>
      <c r="H121" s="288"/>
      <c r="I121" s="288"/>
      <c r="J121" s="289"/>
    </row>
    <row r="122" spans="1:11" ht="18.75" customHeight="1">
      <c r="A122" s="34"/>
      <c r="B122" s="287"/>
      <c r="C122" s="288"/>
      <c r="D122" s="288"/>
      <c r="E122" s="288"/>
      <c r="F122" s="288"/>
      <c r="G122" s="288"/>
      <c r="H122" s="288"/>
      <c r="I122" s="288"/>
      <c r="J122" s="289"/>
    </row>
    <row r="123" spans="1:11" ht="18.75" customHeight="1">
      <c r="A123" s="34"/>
      <c r="B123" s="287"/>
      <c r="C123" s="288"/>
      <c r="D123" s="288"/>
      <c r="E123" s="288"/>
      <c r="F123" s="288"/>
      <c r="G123" s="288"/>
      <c r="H123" s="288"/>
      <c r="I123" s="288"/>
      <c r="J123" s="289"/>
    </row>
    <row r="124" spans="1:11" ht="18.75" customHeight="1">
      <c r="A124" s="34"/>
      <c r="B124" s="287"/>
      <c r="C124" s="288"/>
      <c r="D124" s="288"/>
      <c r="E124" s="288"/>
      <c r="F124" s="288"/>
      <c r="G124" s="288"/>
      <c r="H124" s="288"/>
      <c r="I124" s="288"/>
      <c r="J124" s="289"/>
    </row>
    <row r="125" spans="1:11" ht="18.75" customHeight="1">
      <c r="A125" s="34"/>
      <c r="B125" s="287"/>
      <c r="C125" s="288"/>
      <c r="D125" s="288"/>
      <c r="E125" s="288"/>
      <c r="F125" s="288"/>
      <c r="G125" s="288"/>
      <c r="H125" s="288"/>
      <c r="I125" s="288"/>
      <c r="J125" s="289"/>
    </row>
    <row r="126" spans="1:11" ht="18.75" customHeight="1">
      <c r="A126" s="34"/>
      <c r="B126" s="287"/>
      <c r="C126" s="288"/>
      <c r="D126" s="288"/>
      <c r="E126" s="288"/>
      <c r="F126" s="288"/>
      <c r="G126" s="288"/>
      <c r="H126" s="288"/>
      <c r="I126" s="288"/>
      <c r="J126" s="289"/>
    </row>
    <row r="127" spans="1:11" ht="18.75" customHeight="1">
      <c r="A127" s="34"/>
      <c r="B127" s="287"/>
      <c r="C127" s="288"/>
      <c r="D127" s="288"/>
      <c r="E127" s="288"/>
      <c r="F127" s="288"/>
      <c r="G127" s="288"/>
      <c r="H127" s="288"/>
      <c r="I127" s="288"/>
      <c r="J127" s="289"/>
    </row>
    <row r="128" spans="1:11" ht="18.75" customHeight="1">
      <c r="A128" s="34"/>
      <c r="B128" s="287"/>
      <c r="C128" s="288"/>
      <c r="D128" s="288"/>
      <c r="E128" s="288"/>
      <c r="F128" s="288"/>
      <c r="G128" s="288"/>
      <c r="H128" s="288"/>
      <c r="I128" s="288"/>
      <c r="J128" s="289"/>
    </row>
    <row r="129" spans="1:10" ht="18.75" customHeight="1">
      <c r="A129" s="34"/>
      <c r="B129" s="290"/>
      <c r="C129" s="291"/>
      <c r="D129" s="291"/>
      <c r="E129" s="291"/>
      <c r="F129" s="291"/>
      <c r="G129" s="291"/>
      <c r="H129" s="291"/>
      <c r="I129" s="291"/>
      <c r="J129" s="292"/>
    </row>
    <row r="130" spans="1:10" ht="7.5" customHeight="1">
      <c r="A130" s="34"/>
      <c r="B130" s="93"/>
      <c r="C130" s="93"/>
      <c r="D130" s="93"/>
      <c r="E130" s="93"/>
      <c r="F130" s="93"/>
      <c r="G130" s="93"/>
      <c r="H130" s="93"/>
      <c r="I130" s="93"/>
      <c r="J130" s="93"/>
    </row>
    <row r="131" spans="1:10" ht="18.75" customHeight="1">
      <c r="A131" s="34"/>
      <c r="B131" s="34"/>
      <c r="C131" s="34"/>
      <c r="D131" s="34"/>
      <c r="E131" s="34"/>
      <c r="F131" s="34"/>
      <c r="G131" s="34"/>
      <c r="H131" s="34"/>
      <c r="I131" s="34"/>
      <c r="J131" s="34"/>
    </row>
    <row r="132" spans="1:10" ht="18.75" customHeight="1">
      <c r="A132" s="34"/>
      <c r="B132" s="34"/>
      <c r="C132" s="34"/>
      <c r="D132" s="34"/>
      <c r="E132" s="34"/>
      <c r="F132" s="34"/>
      <c r="G132" s="34"/>
      <c r="H132" s="34"/>
      <c r="I132" s="34"/>
      <c r="J132" s="34"/>
    </row>
    <row r="133" spans="1:10" ht="18.75" customHeight="1">
      <c r="A133" s="34"/>
      <c r="B133" s="34"/>
      <c r="C133" s="34"/>
      <c r="D133" s="34"/>
      <c r="E133" s="34"/>
      <c r="F133" s="34"/>
      <c r="G133" s="34"/>
      <c r="H133" s="34"/>
      <c r="I133" s="34"/>
      <c r="J133" s="34"/>
    </row>
    <row r="134" spans="1:10" ht="18.75" customHeight="1">
      <c r="A134" s="34"/>
      <c r="B134" s="34"/>
      <c r="C134" s="34"/>
      <c r="D134" s="34"/>
      <c r="E134" s="34"/>
      <c r="F134" s="34"/>
      <c r="G134" s="34"/>
      <c r="H134" s="34"/>
      <c r="I134" s="34"/>
      <c r="J134" s="34"/>
    </row>
    <row r="135" spans="1:10" ht="18.75" customHeight="1">
      <c r="A135" s="34"/>
      <c r="B135" s="34"/>
      <c r="C135" s="34"/>
      <c r="D135" s="34"/>
      <c r="E135" s="34"/>
      <c r="F135" s="34"/>
      <c r="G135" s="34"/>
      <c r="H135" s="34"/>
      <c r="I135" s="34"/>
      <c r="J135" s="34"/>
    </row>
    <row r="136" spans="1:10" ht="18.75" customHeight="1">
      <c r="A136" s="34"/>
      <c r="B136" s="34"/>
      <c r="C136" s="34"/>
      <c r="D136" s="34"/>
      <c r="E136" s="34"/>
      <c r="F136" s="34"/>
      <c r="G136" s="34"/>
      <c r="H136" s="34"/>
      <c r="I136" s="34"/>
      <c r="J136" s="34"/>
    </row>
    <row r="137" spans="1:10" ht="18.75" customHeight="1">
      <c r="A137" s="34"/>
      <c r="B137" s="34"/>
      <c r="C137" s="34"/>
      <c r="D137" s="34"/>
      <c r="E137" s="34"/>
      <c r="F137" s="34"/>
      <c r="G137" s="34"/>
      <c r="H137" s="34"/>
      <c r="I137" s="34"/>
      <c r="J137" s="34"/>
    </row>
    <row r="138" spans="1:10" ht="18.75" customHeight="1">
      <c r="A138" s="34"/>
      <c r="B138" s="34"/>
      <c r="C138" s="34"/>
      <c r="D138" s="34"/>
      <c r="E138" s="34"/>
      <c r="F138" s="34"/>
      <c r="G138" s="34"/>
      <c r="H138" s="34"/>
      <c r="I138" s="34"/>
      <c r="J138" s="34"/>
    </row>
    <row r="139" spans="1:10" ht="18.75" customHeight="1">
      <c r="A139" s="34"/>
      <c r="B139" s="34"/>
      <c r="C139" s="34"/>
      <c r="D139" s="34"/>
      <c r="E139" s="34"/>
      <c r="F139" s="34"/>
      <c r="G139" s="34"/>
      <c r="H139" s="34"/>
      <c r="I139" s="34"/>
      <c r="J139" s="34"/>
    </row>
    <row r="140" spans="1:10" ht="18.75" customHeight="1">
      <c r="A140" s="34"/>
      <c r="B140" s="34"/>
      <c r="C140" s="34"/>
      <c r="D140" s="34"/>
      <c r="E140" s="34"/>
      <c r="F140" s="34"/>
      <c r="G140" s="34"/>
      <c r="H140" s="34"/>
      <c r="I140" s="34"/>
      <c r="J140" s="34"/>
    </row>
    <row r="141" spans="1:10" ht="18.75" customHeight="1">
      <c r="A141" s="34"/>
      <c r="B141" s="34"/>
      <c r="C141" s="34"/>
      <c r="D141" s="34"/>
      <c r="E141" s="34"/>
      <c r="F141" s="34"/>
      <c r="G141" s="34"/>
      <c r="H141" s="34"/>
      <c r="I141" s="34"/>
      <c r="J141" s="34"/>
    </row>
    <row r="142" spans="1:10" ht="18.75" customHeight="1">
      <c r="A142" s="34"/>
      <c r="B142" s="34"/>
      <c r="C142" s="34"/>
      <c r="D142" s="34"/>
      <c r="E142" s="34"/>
      <c r="F142" s="34"/>
      <c r="G142" s="34"/>
      <c r="H142" s="34"/>
      <c r="I142" s="34"/>
      <c r="J142" s="34"/>
    </row>
    <row r="143" spans="1:10" ht="15">
      <c r="A143" s="34"/>
      <c r="B143" s="34"/>
      <c r="C143" s="34"/>
      <c r="D143" s="34"/>
      <c r="E143" s="34"/>
      <c r="F143" s="34"/>
      <c r="G143" s="34"/>
      <c r="H143" s="34"/>
      <c r="I143" s="34"/>
      <c r="J143" s="34"/>
    </row>
    <row r="144" spans="1:10" ht="7.5" customHeight="1">
      <c r="A144" s="94"/>
      <c r="B144" s="94"/>
      <c r="C144" s="94"/>
      <c r="D144" s="94"/>
      <c r="E144" s="94"/>
      <c r="F144" s="94"/>
      <c r="G144" s="94"/>
      <c r="H144" s="94"/>
      <c r="I144" s="94"/>
      <c r="J144" s="94"/>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2"/>
  <printOptions horizontalCentered="1"/>
  <pageMargins left="0.78740157480314998" right="0.78740157480314998" top="0.78740157480314998" bottom="0.78740157480314998" header="0.31496062992126" footer="0.31496062992126"/>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zoomScaleNormal="100" zoomScaleSheetLayoutView="100" workbookViewId="0">
      <selection activeCell="E15" sqref="E15:J15"/>
    </sheetView>
  </sheetViews>
  <sheetFormatPr defaultColWidth="11.375" defaultRowHeight="22.5" customHeight="1"/>
  <cols>
    <col min="1" max="3" width="2.625" style="1" customWidth="1"/>
    <col min="4" max="4" width="22.125" style="1" customWidth="1"/>
    <col min="5" max="5" width="21.625" style="1" customWidth="1"/>
    <col min="6" max="7" width="7.625" style="1" customWidth="1"/>
    <col min="8" max="8" width="33.375" style="1" customWidth="1"/>
    <col min="9" max="9" width="24.5" style="1" customWidth="1"/>
    <col min="10" max="10" width="5.5" style="1" customWidth="1"/>
    <col min="11" max="11" width="4.125" style="29" customWidth="1"/>
    <col min="12" max="16384" width="11.375" style="1"/>
  </cols>
  <sheetData>
    <row r="1" spans="1:11" ht="18.75" customHeight="1">
      <c r="A1" s="315" t="s">
        <v>187</v>
      </c>
      <c r="B1" s="315"/>
      <c r="C1" s="315"/>
      <c r="D1" s="315"/>
      <c r="E1" s="315"/>
      <c r="F1" s="315"/>
      <c r="G1" s="315"/>
      <c r="H1" s="315"/>
      <c r="I1" s="315"/>
      <c r="J1" s="317" t="s">
        <v>188</v>
      </c>
    </row>
    <row r="2" spans="1:11" ht="18.75" customHeight="1">
      <c r="A2" s="242" t="s">
        <v>189</v>
      </c>
      <c r="B2" s="242"/>
      <c r="C2" s="242"/>
      <c r="D2" s="242"/>
      <c r="E2" s="242"/>
      <c r="F2" s="242"/>
      <c r="G2" s="242"/>
      <c r="H2" s="242"/>
      <c r="I2" s="242"/>
      <c r="J2" s="242"/>
    </row>
    <row r="3" spans="1:11" ht="7.5" customHeight="1">
      <c r="A3" s="115"/>
      <c r="B3" s="115"/>
      <c r="C3" s="115"/>
      <c r="D3" s="115"/>
      <c r="E3" s="115"/>
      <c r="F3" s="115"/>
      <c r="G3" s="115"/>
      <c r="H3" s="115"/>
      <c r="I3" s="115"/>
      <c r="J3" s="115"/>
    </row>
    <row r="4" spans="1:11" ht="18.75" customHeight="1">
      <c r="A4" s="315" t="s">
        <v>2</v>
      </c>
      <c r="B4" s="3" t="s">
        <v>190</v>
      </c>
      <c r="C4" s="34"/>
      <c r="D4" s="34"/>
      <c r="E4" s="35"/>
      <c r="F4" s="35"/>
      <c r="G4" s="35"/>
      <c r="H4" s="35"/>
      <c r="I4" s="35"/>
      <c r="J4" s="35"/>
    </row>
    <row r="5" spans="1:11" ht="18.75" customHeight="1">
      <c r="A5" s="315"/>
      <c r="B5" s="338" t="s">
        <v>191</v>
      </c>
      <c r="C5" s="339"/>
      <c r="D5" s="340"/>
      <c r="E5" s="294" t="s">
        <v>192</v>
      </c>
      <c r="F5" s="294"/>
      <c r="G5" s="294"/>
      <c r="H5" s="294"/>
      <c r="I5" s="294"/>
      <c r="J5" s="295"/>
    </row>
    <row r="6" spans="1:11" ht="18.75" customHeight="1">
      <c r="A6" s="315"/>
      <c r="B6" s="341" t="s">
        <v>193</v>
      </c>
      <c r="C6" s="34"/>
      <c r="D6" s="6"/>
      <c r="E6" s="315"/>
      <c r="F6" s="315"/>
      <c r="G6" s="315"/>
      <c r="H6" s="315"/>
      <c r="I6" s="35"/>
      <c r="J6" s="4"/>
    </row>
    <row r="7" spans="1:11" ht="207" customHeight="1">
      <c r="A7" s="315"/>
      <c r="B7" s="5"/>
      <c r="C7" s="342" t="s">
        <v>194</v>
      </c>
      <c r="D7" s="343"/>
      <c r="E7" s="293" t="s">
        <v>195</v>
      </c>
      <c r="F7" s="344"/>
      <c r="G7" s="344"/>
      <c r="H7" s="344"/>
      <c r="I7" s="344"/>
      <c r="J7" s="345"/>
      <c r="K7" s="29" t="str">
        <f>IF(E7="","入力してください","")</f>
        <v/>
      </c>
    </row>
    <row r="8" spans="1:11" ht="207" customHeight="1">
      <c r="A8" s="315"/>
      <c r="B8" s="5"/>
      <c r="C8" s="346" t="s">
        <v>196</v>
      </c>
      <c r="D8" s="347"/>
      <c r="E8" s="293" t="s">
        <v>197</v>
      </c>
      <c r="F8" s="344"/>
      <c r="G8" s="344"/>
      <c r="H8" s="344"/>
      <c r="I8" s="344"/>
      <c r="J8" s="345"/>
      <c r="K8" s="29" t="str">
        <f>IF(E8="","入力してください","")</f>
        <v/>
      </c>
    </row>
    <row r="9" spans="1:11" ht="172.5" customHeight="1">
      <c r="A9" s="315"/>
      <c r="B9" s="5"/>
      <c r="C9" s="342" t="s">
        <v>198</v>
      </c>
      <c r="D9" s="343"/>
      <c r="E9" s="293" t="s">
        <v>199</v>
      </c>
      <c r="F9" s="344"/>
      <c r="G9" s="344"/>
      <c r="H9" s="344"/>
      <c r="I9" s="344"/>
      <c r="J9" s="345"/>
      <c r="K9" s="29" t="str">
        <f>IF(E9="","入力してください","")</f>
        <v/>
      </c>
    </row>
    <row r="10" spans="1:11" ht="172.5" customHeight="1">
      <c r="A10" s="315"/>
      <c r="B10" s="5"/>
      <c r="C10" s="342" t="s">
        <v>200</v>
      </c>
      <c r="D10" s="343"/>
      <c r="E10" s="293" t="s">
        <v>201</v>
      </c>
      <c r="F10" s="344"/>
      <c r="G10" s="344"/>
      <c r="H10" s="344"/>
      <c r="I10" s="344"/>
      <c r="J10" s="345"/>
      <c r="K10" s="29" t="str">
        <f>IF(E10="","入力してください","")</f>
        <v/>
      </c>
    </row>
    <row r="11" spans="1:11" ht="172.5" customHeight="1">
      <c r="A11" s="315"/>
      <c r="B11" s="5"/>
      <c r="C11" s="342" t="s">
        <v>202</v>
      </c>
      <c r="D11" s="343"/>
      <c r="E11" s="293" t="s">
        <v>203</v>
      </c>
      <c r="F11" s="344"/>
      <c r="G11" s="344"/>
      <c r="H11" s="344"/>
      <c r="I11" s="344"/>
      <c r="J11" s="345"/>
      <c r="K11" s="29" t="str">
        <f>IF(E11="","入力してください","")</f>
        <v/>
      </c>
    </row>
    <row r="12" spans="1:11" ht="18.75" customHeight="1">
      <c r="A12" s="315"/>
      <c r="B12" s="348" t="s">
        <v>204</v>
      </c>
      <c r="C12" s="26"/>
      <c r="D12" s="7"/>
      <c r="E12" s="30"/>
      <c r="F12" s="30"/>
      <c r="G12" s="30"/>
      <c r="H12" s="30"/>
      <c r="I12" s="30"/>
      <c r="J12" s="31"/>
    </row>
    <row r="13" spans="1:11" ht="244.35" customHeight="1">
      <c r="A13" s="315"/>
      <c r="B13" s="5"/>
      <c r="C13" s="342" t="s">
        <v>205</v>
      </c>
      <c r="D13" s="343"/>
      <c r="E13" s="300" t="s">
        <v>206</v>
      </c>
      <c r="F13" s="344"/>
      <c r="G13" s="344"/>
      <c r="H13" s="344"/>
      <c r="I13" s="344"/>
      <c r="J13" s="345"/>
      <c r="K13" s="29" t="str">
        <f>IF(E13="","入力してください","")</f>
        <v/>
      </c>
    </row>
    <row r="14" spans="1:11" ht="255" customHeight="1">
      <c r="A14" s="315"/>
      <c r="B14" s="5"/>
      <c r="C14" s="342" t="s">
        <v>207</v>
      </c>
      <c r="D14" s="343"/>
      <c r="E14" s="300" t="s">
        <v>208</v>
      </c>
      <c r="F14" s="344"/>
      <c r="G14" s="344"/>
      <c r="H14" s="344"/>
      <c r="I14" s="344"/>
      <c r="J14" s="345"/>
      <c r="K14" s="29" t="str">
        <f>IF(E14="","入力してください","")</f>
        <v/>
      </c>
    </row>
    <row r="15" spans="1:11" ht="243" customHeight="1">
      <c r="A15" s="315"/>
      <c r="B15" s="349" t="s">
        <v>209</v>
      </c>
      <c r="C15" s="350"/>
      <c r="D15" s="343"/>
      <c r="E15" s="300" t="s">
        <v>210</v>
      </c>
      <c r="F15" s="344"/>
      <c r="G15" s="344"/>
      <c r="H15" s="344"/>
      <c r="I15" s="344"/>
      <c r="J15" s="345"/>
      <c r="K15" s="29" t="str">
        <f>IF(E15="","入力してください","")</f>
        <v/>
      </c>
    </row>
    <row r="16" spans="1:11" ht="243" customHeight="1">
      <c r="A16" s="29"/>
      <c r="B16" s="351" t="s">
        <v>211</v>
      </c>
      <c r="C16" s="352"/>
      <c r="D16" s="353"/>
      <c r="E16" s="296" t="s">
        <v>212</v>
      </c>
      <c r="F16" s="324"/>
      <c r="G16" s="324"/>
      <c r="H16" s="324"/>
      <c r="I16" s="324"/>
      <c r="J16" s="325"/>
      <c r="K16" s="29" t="str">
        <f>IF(E16="","入力してください","")</f>
        <v/>
      </c>
    </row>
    <row r="17" spans="1:11" ht="7.5" customHeight="1">
      <c r="A17" s="315"/>
      <c r="B17" s="34"/>
      <c r="C17" s="34"/>
      <c r="D17" s="34"/>
      <c r="E17" s="35"/>
      <c r="F17" s="35"/>
      <c r="G17" s="35"/>
      <c r="H17" s="35"/>
      <c r="I17" s="35"/>
      <c r="J17" s="35"/>
    </row>
    <row r="18" spans="1:11" ht="18.75" customHeight="1">
      <c r="A18" s="315" t="s">
        <v>213</v>
      </c>
      <c r="B18" s="3"/>
      <c r="C18" s="34"/>
      <c r="D18" s="34"/>
      <c r="E18" s="35"/>
      <c r="F18" s="86"/>
      <c r="G18" s="297" t="s">
        <v>214</v>
      </c>
      <c r="H18" s="298"/>
      <c r="I18" s="298"/>
      <c r="J18" s="299"/>
      <c r="K18" s="29" t="str">
        <f>IF(G18="","入力してください","")</f>
        <v/>
      </c>
    </row>
    <row r="19" spans="1:11" ht="22.5" customHeight="1">
      <c r="A19" s="315"/>
      <c r="B19" s="34"/>
      <c r="C19" s="34"/>
      <c r="D19" s="34"/>
      <c r="E19" s="35"/>
      <c r="F19" s="35"/>
      <c r="G19" s="35"/>
      <c r="H19" s="35"/>
      <c r="I19" s="35"/>
      <c r="J19" s="35"/>
    </row>
    <row r="20" spans="1:11" ht="22.5" customHeight="1">
      <c r="A20" s="315"/>
      <c r="B20" s="34"/>
      <c r="C20" s="34"/>
      <c r="D20" s="34"/>
      <c r="E20" s="35"/>
      <c r="F20" s="35"/>
      <c r="G20" s="35"/>
      <c r="H20" s="35"/>
      <c r="I20" s="35"/>
      <c r="J20" s="35"/>
    </row>
    <row r="21" spans="1:11" ht="22.5" customHeight="1">
      <c r="A21" s="315"/>
      <c r="B21" s="34"/>
      <c r="C21" s="34"/>
      <c r="D21" s="34"/>
      <c r="E21" s="35"/>
      <c r="F21" s="35"/>
      <c r="G21" s="35"/>
      <c r="H21" s="35"/>
      <c r="I21" s="35"/>
      <c r="J21" s="35"/>
    </row>
    <row r="22" spans="1:11" ht="22.5" customHeight="1">
      <c r="A22" s="315"/>
      <c r="B22" s="34"/>
      <c r="C22" s="34"/>
      <c r="D22" s="34"/>
      <c r="E22" s="35"/>
      <c r="F22" s="35"/>
      <c r="G22" s="35"/>
      <c r="H22" s="35"/>
      <c r="I22" s="35"/>
      <c r="J22" s="35"/>
    </row>
    <row r="23" spans="1:11" ht="22.5" customHeight="1">
      <c r="A23" s="315"/>
      <c r="B23" s="34"/>
      <c r="C23" s="34"/>
      <c r="D23" s="34"/>
      <c r="E23" s="35"/>
      <c r="F23" s="35"/>
      <c r="G23" s="35"/>
      <c r="H23" s="35"/>
      <c r="I23" s="35"/>
      <c r="J23" s="35"/>
    </row>
    <row r="24" spans="1:11" ht="22.5" customHeight="1">
      <c r="A24" s="315"/>
      <c r="B24" s="354"/>
      <c r="C24" s="354"/>
      <c r="D24" s="354"/>
      <c r="E24" s="354"/>
      <c r="F24" s="354"/>
      <c r="G24" s="354"/>
      <c r="H24" s="354"/>
      <c r="I24" s="354"/>
      <c r="J24" s="354"/>
    </row>
    <row r="25" spans="1:11" ht="22.5" customHeight="1">
      <c r="A25" s="315"/>
      <c r="B25" s="354"/>
      <c r="C25" s="354"/>
      <c r="D25" s="354"/>
      <c r="E25" s="354"/>
      <c r="F25" s="354"/>
      <c r="G25" s="354"/>
      <c r="H25" s="354"/>
      <c r="I25" s="354"/>
      <c r="J25" s="354"/>
    </row>
    <row r="26" spans="1:11" ht="22.5" customHeight="1">
      <c r="A26" s="315"/>
      <c r="B26" s="354"/>
      <c r="C26" s="354"/>
      <c r="D26" s="354"/>
      <c r="E26" s="354"/>
      <c r="F26" s="354"/>
      <c r="G26" s="354"/>
      <c r="H26" s="354"/>
      <c r="I26" s="354"/>
      <c r="J26" s="354"/>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2"/>
  <hyperlinks>
    <hyperlink ref="G18" r:id="rId1" location="selfcheck" xr:uid="{0D90EAC1-1CDF-2F4D-A1F8-8FC033DEB842}"/>
  </hyperlinks>
  <printOptions horizontalCentered="1"/>
  <pageMargins left="0.78740157480314998" right="0.78740157480314998" top="0.78740157480314998" bottom="0.78740157480314998" header="0.31496062992126" footer="0.31496062992126"/>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17A4-B6C5-4825-BFA5-3BC5BF08C6C7}">
  <dimension ref="A1:F124"/>
  <sheetViews>
    <sheetView showZeros="0" view="pageBreakPreview" zoomScaleNormal="100" zoomScaleSheetLayoutView="100" workbookViewId="0">
      <selection activeCell="B5" sqref="B5:F42"/>
    </sheetView>
  </sheetViews>
  <sheetFormatPr defaultColWidth="11.375" defaultRowHeight="18.75" customHeight="1"/>
  <cols>
    <col min="1" max="1" width="3.375" style="1" customWidth="1"/>
    <col min="2" max="2" width="15.5" style="1" customWidth="1"/>
    <col min="3" max="3" width="37.625" style="1" customWidth="1"/>
    <col min="4" max="4" width="1.125" style="1" customWidth="1"/>
    <col min="5" max="5" width="21.125" style="1" customWidth="1"/>
    <col min="6" max="6" width="7.625" style="1" customWidth="1"/>
    <col min="7" max="8" width="2.125" style="1" customWidth="1"/>
    <col min="9" max="16384" width="11.375" style="1"/>
  </cols>
  <sheetData>
    <row r="1" spans="1:6" ht="18.75" customHeight="1">
      <c r="A1" s="315"/>
      <c r="B1" s="315"/>
      <c r="C1" s="315"/>
      <c r="D1" s="315"/>
      <c r="E1" s="316" t="s">
        <v>215</v>
      </c>
      <c r="F1" s="316"/>
    </row>
    <row r="2" spans="1:6" ht="18.75" customHeight="1">
      <c r="A2" s="301" t="s">
        <v>216</v>
      </c>
      <c r="B2" s="301"/>
      <c r="C2" s="301"/>
      <c r="D2" s="301"/>
      <c r="E2" s="301"/>
      <c r="F2" s="301"/>
    </row>
    <row r="3" spans="1:6" ht="7.5" customHeight="1">
      <c r="A3" s="116"/>
      <c r="B3" s="116"/>
      <c r="C3" s="116"/>
      <c r="D3" s="116"/>
      <c r="E3" s="116"/>
      <c r="F3" s="116"/>
    </row>
    <row r="4" spans="1:6" ht="18.75" customHeight="1">
      <c r="A4" s="116" t="s">
        <v>2</v>
      </c>
      <c r="B4" s="3" t="s">
        <v>217</v>
      </c>
      <c r="C4" s="116"/>
      <c r="D4" s="116"/>
      <c r="E4" s="116"/>
      <c r="F4" s="116"/>
    </row>
    <row r="5" spans="1:6" ht="18.75" customHeight="1">
      <c r="A5" s="116"/>
      <c r="B5" s="302"/>
      <c r="C5" s="303"/>
      <c r="D5" s="303"/>
      <c r="E5" s="303"/>
      <c r="F5" s="304"/>
    </row>
    <row r="6" spans="1:6" ht="18.75" customHeight="1">
      <c r="A6" s="116"/>
      <c r="B6" s="305"/>
      <c r="C6" s="306"/>
      <c r="D6" s="306"/>
      <c r="E6" s="306"/>
      <c r="F6" s="307"/>
    </row>
    <row r="7" spans="1:6" ht="18.75" customHeight="1">
      <c r="A7" s="116"/>
      <c r="B7" s="305"/>
      <c r="C7" s="306"/>
      <c r="D7" s="306"/>
      <c r="E7" s="306"/>
      <c r="F7" s="307"/>
    </row>
    <row r="8" spans="1:6" ht="18.75" customHeight="1">
      <c r="A8" s="116"/>
      <c r="B8" s="305"/>
      <c r="C8" s="306"/>
      <c r="D8" s="306"/>
      <c r="E8" s="306"/>
      <c r="F8" s="307"/>
    </row>
    <row r="9" spans="1:6" ht="18.75" customHeight="1">
      <c r="A9" s="116"/>
      <c r="B9" s="305"/>
      <c r="C9" s="306"/>
      <c r="D9" s="306"/>
      <c r="E9" s="306"/>
      <c r="F9" s="307"/>
    </row>
    <row r="10" spans="1:6" ht="18.75" customHeight="1">
      <c r="A10" s="116"/>
      <c r="B10" s="305"/>
      <c r="C10" s="306"/>
      <c r="D10" s="306"/>
      <c r="E10" s="306"/>
      <c r="F10" s="307"/>
    </row>
    <row r="11" spans="1:6" ht="18.75" customHeight="1">
      <c r="A11" s="116"/>
      <c r="B11" s="305"/>
      <c r="C11" s="306"/>
      <c r="D11" s="306"/>
      <c r="E11" s="306"/>
      <c r="F11" s="307"/>
    </row>
    <row r="12" spans="1:6" ht="18.75" customHeight="1">
      <c r="A12" s="116"/>
      <c r="B12" s="305"/>
      <c r="C12" s="306"/>
      <c r="D12" s="306"/>
      <c r="E12" s="306"/>
      <c r="F12" s="307"/>
    </row>
    <row r="13" spans="1:6" ht="18.75" customHeight="1">
      <c r="A13" s="116"/>
      <c r="B13" s="305"/>
      <c r="C13" s="306"/>
      <c r="D13" s="306"/>
      <c r="E13" s="306"/>
      <c r="F13" s="307"/>
    </row>
    <row r="14" spans="1:6" ht="18.75" customHeight="1">
      <c r="A14" s="116"/>
      <c r="B14" s="305"/>
      <c r="C14" s="306"/>
      <c r="D14" s="306"/>
      <c r="E14" s="306"/>
      <c r="F14" s="307"/>
    </row>
    <row r="15" spans="1:6" ht="18.75" customHeight="1">
      <c r="A15" s="116"/>
      <c r="B15" s="305"/>
      <c r="C15" s="306"/>
      <c r="D15" s="306"/>
      <c r="E15" s="306"/>
      <c r="F15" s="307"/>
    </row>
    <row r="16" spans="1:6" ht="18.75" customHeight="1">
      <c r="A16" s="116"/>
      <c r="B16" s="305"/>
      <c r="C16" s="306"/>
      <c r="D16" s="306"/>
      <c r="E16" s="306"/>
      <c r="F16" s="307"/>
    </row>
    <row r="17" spans="1:6" ht="18.75" customHeight="1">
      <c r="A17" s="116"/>
      <c r="B17" s="305"/>
      <c r="C17" s="306"/>
      <c r="D17" s="306"/>
      <c r="E17" s="306"/>
      <c r="F17" s="307"/>
    </row>
    <row r="18" spans="1:6" ht="18.75" customHeight="1">
      <c r="A18" s="116"/>
      <c r="B18" s="305"/>
      <c r="C18" s="306"/>
      <c r="D18" s="306"/>
      <c r="E18" s="306"/>
      <c r="F18" s="307"/>
    </row>
    <row r="19" spans="1:6" ht="18.75" customHeight="1">
      <c r="A19" s="116"/>
      <c r="B19" s="305"/>
      <c r="C19" s="306"/>
      <c r="D19" s="306"/>
      <c r="E19" s="306"/>
      <c r="F19" s="307"/>
    </row>
    <row r="20" spans="1:6" ht="18.75" customHeight="1">
      <c r="A20" s="116"/>
      <c r="B20" s="305"/>
      <c r="C20" s="306"/>
      <c r="D20" s="306"/>
      <c r="E20" s="306"/>
      <c r="F20" s="307"/>
    </row>
    <row r="21" spans="1:6" ht="18.75" customHeight="1">
      <c r="A21" s="116"/>
      <c r="B21" s="305"/>
      <c r="C21" s="306"/>
      <c r="D21" s="306"/>
      <c r="E21" s="306"/>
      <c r="F21" s="307"/>
    </row>
    <row r="22" spans="1:6" ht="18.75" customHeight="1">
      <c r="A22" s="116"/>
      <c r="B22" s="305"/>
      <c r="C22" s="306"/>
      <c r="D22" s="306"/>
      <c r="E22" s="306"/>
      <c r="F22" s="307"/>
    </row>
    <row r="23" spans="1:6" ht="18.75" customHeight="1">
      <c r="A23" s="116"/>
      <c r="B23" s="305"/>
      <c r="C23" s="306"/>
      <c r="D23" s="306"/>
      <c r="E23" s="306"/>
      <c r="F23" s="307"/>
    </row>
    <row r="24" spans="1:6" ht="18.75" customHeight="1">
      <c r="A24" s="116"/>
      <c r="B24" s="305"/>
      <c r="C24" s="306"/>
      <c r="D24" s="306"/>
      <c r="E24" s="306"/>
      <c r="F24" s="307"/>
    </row>
    <row r="25" spans="1:6" ht="18.75" customHeight="1">
      <c r="A25" s="116"/>
      <c r="B25" s="305"/>
      <c r="C25" s="306"/>
      <c r="D25" s="306"/>
      <c r="E25" s="306"/>
      <c r="F25" s="307"/>
    </row>
    <row r="26" spans="1:6" ht="18.75" customHeight="1">
      <c r="A26" s="116"/>
      <c r="B26" s="305"/>
      <c r="C26" s="306"/>
      <c r="D26" s="306"/>
      <c r="E26" s="306"/>
      <c r="F26" s="307"/>
    </row>
    <row r="27" spans="1:6" ht="18.75" customHeight="1">
      <c r="A27" s="116"/>
      <c r="B27" s="305"/>
      <c r="C27" s="306"/>
      <c r="D27" s="306"/>
      <c r="E27" s="306"/>
      <c r="F27" s="307"/>
    </row>
    <row r="28" spans="1:6" ht="18.75" customHeight="1">
      <c r="A28" s="116"/>
      <c r="B28" s="305"/>
      <c r="C28" s="306"/>
      <c r="D28" s="306"/>
      <c r="E28" s="306"/>
      <c r="F28" s="307"/>
    </row>
    <row r="29" spans="1:6" ht="18.75" customHeight="1">
      <c r="A29" s="116"/>
      <c r="B29" s="305"/>
      <c r="C29" s="306"/>
      <c r="D29" s="306"/>
      <c r="E29" s="306"/>
      <c r="F29" s="307"/>
    </row>
    <row r="30" spans="1:6" ht="18.75" customHeight="1">
      <c r="A30" s="116"/>
      <c r="B30" s="305"/>
      <c r="C30" s="306"/>
      <c r="D30" s="306"/>
      <c r="E30" s="306"/>
      <c r="F30" s="307"/>
    </row>
    <row r="31" spans="1:6" ht="18.75" customHeight="1">
      <c r="A31" s="116"/>
      <c r="B31" s="305"/>
      <c r="C31" s="306"/>
      <c r="D31" s="306"/>
      <c r="E31" s="306"/>
      <c r="F31" s="307"/>
    </row>
    <row r="32" spans="1:6" ht="18.75" customHeight="1">
      <c r="A32" s="116"/>
      <c r="B32" s="305"/>
      <c r="C32" s="306"/>
      <c r="D32" s="306"/>
      <c r="E32" s="306"/>
      <c r="F32" s="307"/>
    </row>
    <row r="33" spans="1:6" ht="18.75" customHeight="1">
      <c r="A33" s="116"/>
      <c r="B33" s="305"/>
      <c r="C33" s="306"/>
      <c r="D33" s="306"/>
      <c r="E33" s="306"/>
      <c r="F33" s="307"/>
    </row>
    <row r="34" spans="1:6" ht="18.75" customHeight="1">
      <c r="A34" s="116"/>
      <c r="B34" s="305"/>
      <c r="C34" s="306"/>
      <c r="D34" s="306"/>
      <c r="E34" s="306"/>
      <c r="F34" s="307"/>
    </row>
    <row r="35" spans="1:6" ht="18.75" customHeight="1">
      <c r="A35" s="116"/>
      <c r="B35" s="305"/>
      <c r="C35" s="306"/>
      <c r="D35" s="306"/>
      <c r="E35" s="306"/>
      <c r="F35" s="307"/>
    </row>
    <row r="36" spans="1:6" ht="18.75" customHeight="1">
      <c r="A36" s="116"/>
      <c r="B36" s="305"/>
      <c r="C36" s="306"/>
      <c r="D36" s="306"/>
      <c r="E36" s="306"/>
      <c r="F36" s="307"/>
    </row>
    <row r="37" spans="1:6" ht="18.75" customHeight="1">
      <c r="A37" s="116"/>
      <c r="B37" s="305"/>
      <c r="C37" s="306"/>
      <c r="D37" s="306"/>
      <c r="E37" s="306"/>
      <c r="F37" s="307"/>
    </row>
    <row r="38" spans="1:6" ht="18.75" customHeight="1">
      <c r="A38" s="116"/>
      <c r="B38" s="305"/>
      <c r="C38" s="306"/>
      <c r="D38" s="306"/>
      <c r="E38" s="306"/>
      <c r="F38" s="307"/>
    </row>
    <row r="39" spans="1:6" ht="18.75" customHeight="1">
      <c r="A39" s="116"/>
      <c r="B39" s="305"/>
      <c r="C39" s="306"/>
      <c r="D39" s="306"/>
      <c r="E39" s="306"/>
      <c r="F39" s="307"/>
    </row>
    <row r="40" spans="1:6" ht="18.75" customHeight="1">
      <c r="A40" s="116"/>
      <c r="B40" s="305"/>
      <c r="C40" s="306"/>
      <c r="D40" s="306"/>
      <c r="E40" s="306"/>
      <c r="F40" s="307"/>
    </row>
    <row r="41" spans="1:6" ht="18.75" customHeight="1">
      <c r="A41" s="116"/>
      <c r="B41" s="305"/>
      <c r="C41" s="306"/>
      <c r="D41" s="306"/>
      <c r="E41" s="306"/>
      <c r="F41" s="307"/>
    </row>
    <row r="42" spans="1:6" ht="18.75" customHeight="1">
      <c r="A42" s="116"/>
      <c r="B42" s="308"/>
      <c r="C42" s="309"/>
      <c r="D42" s="309"/>
      <c r="E42" s="309"/>
      <c r="F42" s="310"/>
    </row>
    <row r="43" spans="1:6" ht="18.75" customHeight="1">
      <c r="A43" s="116" t="s">
        <v>5</v>
      </c>
      <c r="B43" s="3" t="s">
        <v>218</v>
      </c>
      <c r="C43" s="116"/>
      <c r="D43" s="116"/>
      <c r="E43" s="116"/>
      <c r="F43" s="116"/>
    </row>
    <row r="44" spans="1:6" ht="18.75" customHeight="1">
      <c r="A44" s="116"/>
      <c r="B44" s="302"/>
      <c r="C44" s="303"/>
      <c r="D44" s="303"/>
      <c r="E44" s="303"/>
      <c r="F44" s="304"/>
    </row>
    <row r="45" spans="1:6" ht="18.75" customHeight="1">
      <c r="A45" s="116"/>
      <c r="B45" s="305"/>
      <c r="C45" s="306"/>
      <c r="D45" s="306"/>
      <c r="E45" s="306"/>
      <c r="F45" s="307"/>
    </row>
    <row r="46" spans="1:6" ht="18.75" customHeight="1">
      <c r="A46" s="116"/>
      <c r="B46" s="305"/>
      <c r="C46" s="306"/>
      <c r="D46" s="306"/>
      <c r="E46" s="306"/>
      <c r="F46" s="307"/>
    </row>
    <row r="47" spans="1:6" ht="18.75" customHeight="1">
      <c r="A47" s="116"/>
      <c r="B47" s="305"/>
      <c r="C47" s="306"/>
      <c r="D47" s="306"/>
      <c r="E47" s="306"/>
      <c r="F47" s="307"/>
    </row>
    <row r="48" spans="1:6" ht="18.75" customHeight="1">
      <c r="A48" s="116"/>
      <c r="B48" s="305"/>
      <c r="C48" s="306"/>
      <c r="D48" s="306"/>
      <c r="E48" s="306"/>
      <c r="F48" s="307"/>
    </row>
    <row r="49" spans="1:6" ht="18.75" customHeight="1">
      <c r="A49" s="116"/>
      <c r="B49" s="305"/>
      <c r="C49" s="306"/>
      <c r="D49" s="306"/>
      <c r="E49" s="306"/>
      <c r="F49" s="307"/>
    </row>
    <row r="50" spans="1:6" ht="18.75" customHeight="1">
      <c r="A50" s="116"/>
      <c r="B50" s="305"/>
      <c r="C50" s="306"/>
      <c r="D50" s="306"/>
      <c r="E50" s="306"/>
      <c r="F50" s="307"/>
    </row>
    <row r="51" spans="1:6" ht="18.75" customHeight="1">
      <c r="A51" s="116"/>
      <c r="B51" s="305"/>
      <c r="C51" s="306"/>
      <c r="D51" s="306"/>
      <c r="E51" s="306"/>
      <c r="F51" s="307"/>
    </row>
    <row r="52" spans="1:6" ht="18.75" customHeight="1">
      <c r="A52" s="116"/>
      <c r="B52" s="305"/>
      <c r="C52" s="306"/>
      <c r="D52" s="306"/>
      <c r="E52" s="306"/>
      <c r="F52" s="307"/>
    </row>
    <row r="53" spans="1:6" ht="18.75" customHeight="1">
      <c r="A53" s="116"/>
      <c r="B53" s="305"/>
      <c r="C53" s="306"/>
      <c r="D53" s="306"/>
      <c r="E53" s="306"/>
      <c r="F53" s="307"/>
    </row>
    <row r="54" spans="1:6" ht="18.75" customHeight="1">
      <c r="A54" s="116"/>
      <c r="B54" s="305"/>
      <c r="C54" s="306"/>
      <c r="D54" s="306"/>
      <c r="E54" s="306"/>
      <c r="F54" s="307"/>
    </row>
    <row r="55" spans="1:6" ht="18.75" customHeight="1">
      <c r="A55" s="116"/>
      <c r="B55" s="305"/>
      <c r="C55" s="306"/>
      <c r="D55" s="306"/>
      <c r="E55" s="306"/>
      <c r="F55" s="307"/>
    </row>
    <row r="56" spans="1:6" ht="18.75" customHeight="1">
      <c r="A56" s="116"/>
      <c r="B56" s="305"/>
      <c r="C56" s="306"/>
      <c r="D56" s="306"/>
      <c r="E56" s="306"/>
      <c r="F56" s="307"/>
    </row>
    <row r="57" spans="1:6" ht="18.75" customHeight="1">
      <c r="A57" s="116"/>
      <c r="B57" s="305"/>
      <c r="C57" s="306"/>
      <c r="D57" s="306"/>
      <c r="E57" s="306"/>
      <c r="F57" s="307"/>
    </row>
    <row r="58" spans="1:6" ht="18.75" customHeight="1">
      <c r="A58" s="116"/>
      <c r="B58" s="305"/>
      <c r="C58" s="306"/>
      <c r="D58" s="306"/>
      <c r="E58" s="306"/>
      <c r="F58" s="307"/>
    </row>
    <row r="59" spans="1:6" ht="18.75" customHeight="1">
      <c r="A59" s="116"/>
      <c r="B59" s="305"/>
      <c r="C59" s="306"/>
      <c r="D59" s="306"/>
      <c r="E59" s="306"/>
      <c r="F59" s="307"/>
    </row>
    <row r="60" spans="1:6" ht="18.75" customHeight="1">
      <c r="A60" s="116"/>
      <c r="B60" s="305"/>
      <c r="C60" s="306"/>
      <c r="D60" s="306"/>
      <c r="E60" s="306"/>
      <c r="F60" s="307"/>
    </row>
    <row r="61" spans="1:6" ht="18.75" customHeight="1">
      <c r="A61" s="116"/>
      <c r="B61" s="305"/>
      <c r="C61" s="306"/>
      <c r="D61" s="306"/>
      <c r="E61" s="306"/>
      <c r="F61" s="307"/>
    </row>
    <row r="62" spans="1:6" ht="18.75" customHeight="1">
      <c r="A62" s="116"/>
      <c r="B62" s="305"/>
      <c r="C62" s="306"/>
      <c r="D62" s="306"/>
      <c r="E62" s="306"/>
      <c r="F62" s="307"/>
    </row>
    <row r="63" spans="1:6" ht="18.75" customHeight="1">
      <c r="A63" s="116"/>
      <c r="B63" s="305"/>
      <c r="C63" s="306"/>
      <c r="D63" s="306"/>
      <c r="E63" s="306"/>
      <c r="F63" s="307"/>
    </row>
    <row r="64" spans="1:6" ht="18.75" customHeight="1">
      <c r="A64" s="116"/>
      <c r="B64" s="305"/>
      <c r="C64" s="306"/>
      <c r="D64" s="306"/>
      <c r="E64" s="306"/>
      <c r="F64" s="307"/>
    </row>
    <row r="65" spans="1:6" ht="18.75" customHeight="1">
      <c r="A65" s="116"/>
      <c r="B65" s="305"/>
      <c r="C65" s="306"/>
      <c r="D65" s="306"/>
      <c r="E65" s="306"/>
      <c r="F65" s="307"/>
    </row>
    <row r="66" spans="1:6" ht="18.75" customHeight="1">
      <c r="A66" s="116"/>
      <c r="B66" s="305"/>
      <c r="C66" s="306"/>
      <c r="D66" s="306"/>
      <c r="E66" s="306"/>
      <c r="F66" s="307"/>
    </row>
    <row r="67" spans="1:6" ht="18.75" customHeight="1">
      <c r="A67" s="116"/>
      <c r="B67" s="305"/>
      <c r="C67" s="306"/>
      <c r="D67" s="306"/>
      <c r="E67" s="306"/>
      <c r="F67" s="307"/>
    </row>
    <row r="68" spans="1:6" ht="18.75" customHeight="1">
      <c r="A68" s="116"/>
      <c r="B68" s="305"/>
      <c r="C68" s="306"/>
      <c r="D68" s="306"/>
      <c r="E68" s="306"/>
      <c r="F68" s="307"/>
    </row>
    <row r="69" spans="1:6" ht="18.75" customHeight="1">
      <c r="A69" s="116"/>
      <c r="B69" s="305"/>
      <c r="C69" s="306"/>
      <c r="D69" s="306"/>
      <c r="E69" s="306"/>
      <c r="F69" s="307"/>
    </row>
    <row r="70" spans="1:6" ht="18.75" customHeight="1">
      <c r="A70" s="116"/>
      <c r="B70" s="305"/>
      <c r="C70" s="306"/>
      <c r="D70" s="306"/>
      <c r="E70" s="306"/>
      <c r="F70" s="307"/>
    </row>
    <row r="71" spans="1:6" ht="18.75" customHeight="1">
      <c r="A71" s="116"/>
      <c r="B71" s="305"/>
      <c r="C71" s="306"/>
      <c r="D71" s="306"/>
      <c r="E71" s="306"/>
      <c r="F71" s="307"/>
    </row>
    <row r="72" spans="1:6" ht="18.75" customHeight="1">
      <c r="A72" s="116"/>
      <c r="B72" s="305"/>
      <c r="C72" s="306"/>
      <c r="D72" s="306"/>
      <c r="E72" s="306"/>
      <c r="F72" s="307"/>
    </row>
    <row r="73" spans="1:6" ht="18.75" customHeight="1">
      <c r="A73" s="116"/>
      <c r="B73" s="305"/>
      <c r="C73" s="306"/>
      <c r="D73" s="306"/>
      <c r="E73" s="306"/>
      <c r="F73" s="307"/>
    </row>
    <row r="74" spans="1:6" ht="18.75" customHeight="1">
      <c r="A74" s="116"/>
      <c r="B74" s="305"/>
      <c r="C74" s="306"/>
      <c r="D74" s="306"/>
      <c r="E74" s="306"/>
      <c r="F74" s="307"/>
    </row>
    <row r="75" spans="1:6" ht="18.75" customHeight="1">
      <c r="A75" s="116"/>
      <c r="B75" s="305"/>
      <c r="C75" s="306"/>
      <c r="D75" s="306"/>
      <c r="E75" s="306"/>
      <c r="F75" s="307"/>
    </row>
    <row r="76" spans="1:6" ht="18.75" customHeight="1">
      <c r="A76" s="116"/>
      <c r="B76" s="305"/>
      <c r="C76" s="306"/>
      <c r="D76" s="306"/>
      <c r="E76" s="306"/>
      <c r="F76" s="307"/>
    </row>
    <row r="77" spans="1:6" ht="18.75" customHeight="1">
      <c r="A77" s="116"/>
      <c r="B77" s="305"/>
      <c r="C77" s="306"/>
      <c r="D77" s="306"/>
      <c r="E77" s="306"/>
      <c r="F77" s="307"/>
    </row>
    <row r="78" spans="1:6" ht="18.75" customHeight="1">
      <c r="A78" s="116"/>
      <c r="B78" s="305"/>
      <c r="C78" s="306"/>
      <c r="D78" s="306"/>
      <c r="E78" s="306"/>
      <c r="F78" s="307"/>
    </row>
    <row r="79" spans="1:6" ht="18.75" customHeight="1">
      <c r="A79" s="116"/>
      <c r="B79" s="305"/>
      <c r="C79" s="306"/>
      <c r="D79" s="306"/>
      <c r="E79" s="306"/>
      <c r="F79" s="307"/>
    </row>
    <row r="80" spans="1:6" ht="18.75" customHeight="1">
      <c r="A80" s="116"/>
      <c r="B80" s="305"/>
      <c r="C80" s="306"/>
      <c r="D80" s="306"/>
      <c r="E80" s="306"/>
      <c r="F80" s="307"/>
    </row>
    <row r="81" spans="1:6" ht="18.75" customHeight="1">
      <c r="A81" s="116"/>
      <c r="B81" s="305"/>
      <c r="C81" s="306"/>
      <c r="D81" s="306"/>
      <c r="E81" s="306"/>
      <c r="F81" s="307"/>
    </row>
    <row r="82" spans="1:6" ht="18.75" customHeight="1">
      <c r="A82" s="116"/>
      <c r="B82" s="305"/>
      <c r="C82" s="306"/>
      <c r="D82" s="306"/>
      <c r="E82" s="306"/>
      <c r="F82" s="307"/>
    </row>
    <row r="83" spans="1:6" ht="18.75" customHeight="1">
      <c r="A83" s="116"/>
      <c r="B83" s="308"/>
      <c r="C83" s="309"/>
      <c r="D83" s="309"/>
      <c r="E83" s="309"/>
      <c r="F83" s="310"/>
    </row>
    <row r="84" spans="1:6" ht="18.75" customHeight="1">
      <c r="A84" s="3" t="s">
        <v>166</v>
      </c>
      <c r="B84" s="3" t="s">
        <v>219</v>
      </c>
      <c r="C84" s="3"/>
      <c r="D84" s="3"/>
      <c r="E84" s="3"/>
      <c r="F84" s="3"/>
    </row>
    <row r="85" spans="1:6" ht="18.75" customHeight="1">
      <c r="A85" s="116"/>
      <c r="B85" s="302"/>
      <c r="C85" s="303"/>
      <c r="D85" s="303"/>
      <c r="E85" s="303"/>
      <c r="F85" s="304"/>
    </row>
    <row r="86" spans="1:6" ht="18.75" customHeight="1">
      <c r="A86" s="116"/>
      <c r="B86" s="305"/>
      <c r="C86" s="306"/>
      <c r="D86" s="306"/>
      <c r="E86" s="306"/>
      <c r="F86" s="307"/>
    </row>
    <row r="87" spans="1:6" ht="18.75" customHeight="1">
      <c r="A87" s="116"/>
      <c r="B87" s="305"/>
      <c r="C87" s="306"/>
      <c r="D87" s="306"/>
      <c r="E87" s="306"/>
      <c r="F87" s="307"/>
    </row>
    <row r="88" spans="1:6" ht="18.75" customHeight="1">
      <c r="A88" s="116"/>
      <c r="B88" s="305"/>
      <c r="C88" s="306"/>
      <c r="D88" s="306"/>
      <c r="E88" s="306"/>
      <c r="F88" s="307"/>
    </row>
    <row r="89" spans="1:6" ht="18.75" customHeight="1">
      <c r="A89" s="116"/>
      <c r="B89" s="305"/>
      <c r="C89" s="306"/>
      <c r="D89" s="306"/>
      <c r="E89" s="306"/>
      <c r="F89" s="307"/>
    </row>
    <row r="90" spans="1:6" ht="18.75" customHeight="1">
      <c r="A90" s="116"/>
      <c r="B90" s="305"/>
      <c r="C90" s="306"/>
      <c r="D90" s="306"/>
      <c r="E90" s="306"/>
      <c r="F90" s="307"/>
    </row>
    <row r="91" spans="1:6" ht="18.75" customHeight="1">
      <c r="A91" s="116"/>
      <c r="B91" s="305"/>
      <c r="C91" s="306"/>
      <c r="D91" s="306"/>
      <c r="E91" s="306"/>
      <c r="F91" s="307"/>
    </row>
    <row r="92" spans="1:6" ht="18.75" customHeight="1">
      <c r="A92" s="116"/>
      <c r="B92" s="305"/>
      <c r="C92" s="306"/>
      <c r="D92" s="306"/>
      <c r="E92" s="306"/>
      <c r="F92" s="307"/>
    </row>
    <row r="93" spans="1:6" ht="18.75" customHeight="1">
      <c r="A93" s="116"/>
      <c r="B93" s="305"/>
      <c r="C93" s="306"/>
      <c r="D93" s="306"/>
      <c r="E93" s="306"/>
      <c r="F93" s="307"/>
    </row>
    <row r="94" spans="1:6" ht="18.75" customHeight="1">
      <c r="A94" s="116"/>
      <c r="B94" s="305"/>
      <c r="C94" s="306"/>
      <c r="D94" s="306"/>
      <c r="E94" s="306"/>
      <c r="F94" s="307"/>
    </row>
    <row r="95" spans="1:6" ht="18.75" customHeight="1">
      <c r="A95" s="116"/>
      <c r="B95" s="305"/>
      <c r="C95" s="306"/>
      <c r="D95" s="306"/>
      <c r="E95" s="306"/>
      <c r="F95" s="307"/>
    </row>
    <row r="96" spans="1:6" ht="18.75" customHeight="1">
      <c r="A96" s="116"/>
      <c r="B96" s="305"/>
      <c r="C96" s="306"/>
      <c r="D96" s="306"/>
      <c r="E96" s="306"/>
      <c r="F96" s="307"/>
    </row>
    <row r="97" spans="1:6" ht="18.75" customHeight="1">
      <c r="A97" s="116"/>
      <c r="B97" s="305"/>
      <c r="C97" s="306"/>
      <c r="D97" s="306"/>
      <c r="E97" s="306"/>
      <c r="F97" s="307"/>
    </row>
    <row r="98" spans="1:6" ht="18.75" customHeight="1">
      <c r="A98" s="116"/>
      <c r="B98" s="305"/>
      <c r="C98" s="306"/>
      <c r="D98" s="306"/>
      <c r="E98" s="306"/>
      <c r="F98" s="307"/>
    </row>
    <row r="99" spans="1:6" ht="18.75" customHeight="1">
      <c r="A99" s="116"/>
      <c r="B99" s="305"/>
      <c r="C99" s="306"/>
      <c r="D99" s="306"/>
      <c r="E99" s="306"/>
      <c r="F99" s="307"/>
    </row>
    <row r="100" spans="1:6" ht="18.75" customHeight="1">
      <c r="A100" s="116"/>
      <c r="B100" s="305"/>
      <c r="C100" s="306"/>
      <c r="D100" s="306"/>
      <c r="E100" s="306"/>
      <c r="F100" s="307"/>
    </row>
    <row r="101" spans="1:6" ht="18.75" customHeight="1">
      <c r="A101" s="116"/>
      <c r="B101" s="305"/>
      <c r="C101" s="306"/>
      <c r="D101" s="306"/>
      <c r="E101" s="306"/>
      <c r="F101" s="307"/>
    </row>
    <row r="102" spans="1:6" ht="18.75" customHeight="1">
      <c r="A102" s="116"/>
      <c r="B102" s="305"/>
      <c r="C102" s="306"/>
      <c r="D102" s="306"/>
      <c r="E102" s="306"/>
      <c r="F102" s="307"/>
    </row>
    <row r="103" spans="1:6" ht="18.75" customHeight="1">
      <c r="A103" s="116"/>
      <c r="B103" s="305"/>
      <c r="C103" s="306"/>
      <c r="D103" s="306"/>
      <c r="E103" s="306"/>
      <c r="F103" s="307"/>
    </row>
    <row r="104" spans="1:6" ht="18.75" customHeight="1">
      <c r="A104" s="116"/>
      <c r="B104" s="305"/>
      <c r="C104" s="306"/>
      <c r="D104" s="306"/>
      <c r="E104" s="306"/>
      <c r="F104" s="307"/>
    </row>
    <row r="105" spans="1:6" ht="18.75" customHeight="1">
      <c r="A105" s="116"/>
      <c r="B105" s="305"/>
      <c r="C105" s="306"/>
      <c r="D105" s="306"/>
      <c r="E105" s="306"/>
      <c r="F105" s="307"/>
    </row>
    <row r="106" spans="1:6" ht="18.75" customHeight="1">
      <c r="A106" s="116"/>
      <c r="B106" s="305"/>
      <c r="C106" s="306"/>
      <c r="D106" s="306"/>
      <c r="E106" s="306"/>
      <c r="F106" s="307"/>
    </row>
    <row r="107" spans="1:6" ht="18.75" customHeight="1">
      <c r="A107" s="116"/>
      <c r="B107" s="305"/>
      <c r="C107" s="306"/>
      <c r="D107" s="306"/>
      <c r="E107" s="306"/>
      <c r="F107" s="307"/>
    </row>
    <row r="108" spans="1:6" ht="18.75" customHeight="1">
      <c r="A108" s="116"/>
      <c r="B108" s="305"/>
      <c r="C108" s="306"/>
      <c r="D108" s="306"/>
      <c r="E108" s="306"/>
      <c r="F108" s="307"/>
    </row>
    <row r="109" spans="1:6" ht="18.75" customHeight="1">
      <c r="A109" s="116"/>
      <c r="B109" s="305"/>
      <c r="C109" s="306"/>
      <c r="D109" s="306"/>
      <c r="E109" s="306"/>
      <c r="F109" s="307"/>
    </row>
    <row r="110" spans="1:6" ht="18.75" customHeight="1">
      <c r="A110" s="116"/>
      <c r="B110" s="305"/>
      <c r="C110" s="306"/>
      <c r="D110" s="306"/>
      <c r="E110" s="306"/>
      <c r="F110" s="307"/>
    </row>
    <row r="111" spans="1:6" ht="18.75" customHeight="1">
      <c r="A111" s="116"/>
      <c r="B111" s="305"/>
      <c r="C111" s="306"/>
      <c r="D111" s="306"/>
      <c r="E111" s="306"/>
      <c r="F111" s="307"/>
    </row>
    <row r="112" spans="1:6" ht="18.75" customHeight="1">
      <c r="A112" s="116"/>
      <c r="B112" s="305"/>
      <c r="C112" s="306"/>
      <c r="D112" s="306"/>
      <c r="E112" s="306"/>
      <c r="F112" s="307"/>
    </row>
    <row r="113" spans="1:6" ht="18.75" customHeight="1">
      <c r="A113" s="116"/>
      <c r="B113" s="305"/>
      <c r="C113" s="306"/>
      <c r="D113" s="306"/>
      <c r="E113" s="306"/>
      <c r="F113" s="307"/>
    </row>
    <row r="114" spans="1:6" ht="18.75" customHeight="1">
      <c r="A114" s="116"/>
      <c r="B114" s="305"/>
      <c r="C114" s="306"/>
      <c r="D114" s="306"/>
      <c r="E114" s="306"/>
      <c r="F114" s="307"/>
    </row>
    <row r="115" spans="1:6" ht="18.75" customHeight="1">
      <c r="A115" s="116"/>
      <c r="B115" s="305"/>
      <c r="C115" s="306"/>
      <c r="D115" s="306"/>
      <c r="E115" s="306"/>
      <c r="F115" s="307"/>
    </row>
    <row r="116" spans="1:6" ht="18.75" customHeight="1">
      <c r="A116" s="116"/>
      <c r="B116" s="305"/>
      <c r="C116" s="306"/>
      <c r="D116" s="306"/>
      <c r="E116" s="306"/>
      <c r="F116" s="307"/>
    </row>
    <row r="117" spans="1:6" ht="18.75" customHeight="1">
      <c r="A117" s="116"/>
      <c r="B117" s="305"/>
      <c r="C117" s="306"/>
      <c r="D117" s="306"/>
      <c r="E117" s="306"/>
      <c r="F117" s="307"/>
    </row>
    <row r="118" spans="1:6" ht="18.75" customHeight="1">
      <c r="A118" s="116"/>
      <c r="B118" s="305"/>
      <c r="C118" s="306"/>
      <c r="D118" s="306"/>
      <c r="E118" s="306"/>
      <c r="F118" s="307"/>
    </row>
    <row r="119" spans="1:6" ht="18.75" customHeight="1">
      <c r="A119" s="116"/>
      <c r="B119" s="305"/>
      <c r="C119" s="306"/>
      <c r="D119" s="306"/>
      <c r="E119" s="306"/>
      <c r="F119" s="307"/>
    </row>
    <row r="120" spans="1:6" ht="18.75" customHeight="1">
      <c r="A120" s="116"/>
      <c r="B120" s="305"/>
      <c r="C120" s="306"/>
      <c r="D120" s="306"/>
      <c r="E120" s="306"/>
      <c r="F120" s="307"/>
    </row>
    <row r="121" spans="1:6" ht="18.75" customHeight="1">
      <c r="A121" s="116"/>
      <c r="B121" s="305"/>
      <c r="C121" s="306"/>
      <c r="D121" s="306"/>
      <c r="E121" s="306"/>
      <c r="F121" s="307"/>
    </row>
    <row r="122" spans="1:6" ht="18.75" customHeight="1">
      <c r="A122" s="116"/>
      <c r="B122" s="305"/>
      <c r="C122" s="306"/>
      <c r="D122" s="306"/>
      <c r="E122" s="306"/>
      <c r="F122" s="307"/>
    </row>
    <row r="123" spans="1:6" ht="18.75" customHeight="1">
      <c r="A123" s="116"/>
      <c r="B123" s="305"/>
      <c r="C123" s="306"/>
      <c r="D123" s="306"/>
      <c r="E123" s="306"/>
      <c r="F123" s="307"/>
    </row>
    <row r="124" spans="1:6" ht="18.75" customHeight="1">
      <c r="A124" s="116"/>
      <c r="B124" s="308"/>
      <c r="C124" s="309"/>
      <c r="D124" s="309"/>
      <c r="E124" s="309"/>
      <c r="F124" s="310"/>
    </row>
  </sheetData>
  <mergeCells count="5">
    <mergeCell ref="E1:F1"/>
    <mergeCell ref="A2:F2"/>
    <mergeCell ref="B5:F42"/>
    <mergeCell ref="B44:F83"/>
    <mergeCell ref="B85:F124"/>
  </mergeCells>
  <phoneticPr fontId="2"/>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木谷慎一</cp:lastModifiedBy>
  <cp:revision/>
  <dcterms:created xsi:type="dcterms:W3CDTF">2011-06-14T05:32:50Z</dcterms:created>
  <dcterms:modified xsi:type="dcterms:W3CDTF">2022-06-09T06:22:32Z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