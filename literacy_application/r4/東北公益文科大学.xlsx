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defaultThemeVersion="124226"/>
  <mc:AlternateContent xmlns:mc="http://schemas.openxmlformats.org/markup-compatibility/2006">
    <mc:Choice Requires="x15">
      <x15ac:absPath xmlns:x15ac="http://schemas.microsoft.com/office/spreadsheetml/2010/11/ac" url="\\172.17.0.14\kyoumu_gakusei\k教務\★共有財産\数理等教育P\申請書類\"/>
    </mc:Choice>
  </mc:AlternateContent>
  <xr:revisionPtr revIDLastSave="0" documentId="13_ncr:1_{180E15FB-9B71-4C31-BF8B-185926EEC545}" xr6:coauthVersionLast="47" xr6:coauthVersionMax="47" xr10:uidLastSave="{00000000-0000-0000-0000-000000000000}"/>
  <bookViews>
    <workbookView xWindow="-120" yWindow="-120" windowWidth="20730" windowHeight="11160"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4"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プログラムを構成する授業科目'!$A$1:$Z$103</definedName>
    <definedName name="_xlnm.Print_Area" localSheetId="2">'様式３　履修者等数の実績'!$A$1:$R$30</definedName>
    <definedName name="_xlnm.Print_Area" localSheetId="3">'様式４　教育の質・履修者数を向上させるための体制・計画'!$A$1:$J$131</definedName>
    <definedName name="_xlnm.Print_Area" localSheetId="4">'様式５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4" l="1"/>
  <c r="K16" i="44"/>
  <c r="K15" i="44"/>
  <c r="K14" i="44"/>
  <c r="K13" i="44"/>
  <c r="K11" i="44"/>
  <c r="K10" i="44"/>
  <c r="K9" i="44"/>
  <c r="K8" i="44"/>
  <c r="K7" i="44"/>
  <c r="K114" i="41" l="1"/>
  <c r="K92" i="41"/>
  <c r="K70" i="41"/>
  <c r="K47" i="41"/>
  <c r="K32" i="41"/>
  <c r="K15" i="41"/>
  <c r="K8" i="41"/>
  <c r="K5" i="41"/>
  <c r="C4" i="40"/>
  <c r="O45" i="8"/>
  <c r="O44" i="8"/>
  <c r="O41" i="8"/>
  <c r="O39" i="8"/>
  <c r="O37" i="8"/>
  <c r="O34" i="8"/>
  <c r="O32" i="8"/>
  <c r="O29" i="8"/>
  <c r="O20" i="8"/>
  <c r="O18" i="8"/>
  <c r="O16" i="8"/>
  <c r="O14" i="8"/>
  <c r="O12" i="8"/>
  <c r="O10" i="8"/>
  <c r="O6" i="8"/>
  <c r="O8" i="8"/>
  <c r="O4" i="8"/>
  <c r="P30" i="40" l="1"/>
  <c r="O30" i="40"/>
  <c r="N30" i="40"/>
  <c r="M30" i="40"/>
  <c r="L30" i="40"/>
  <c r="K30" i="40"/>
  <c r="J30" i="40"/>
  <c r="I30" i="40"/>
  <c r="H30" i="40"/>
  <c r="G30" i="40"/>
  <c r="F30" i="40"/>
  <c r="E30" i="40"/>
  <c r="D30" i="40"/>
  <c r="I30"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R12" i="40"/>
  <c r="Q12" i="40"/>
  <c r="Q11" i="40"/>
  <c r="R11" i="40" s="1"/>
  <c r="Q10" i="40"/>
  <c r="Q30" i="40" s="1"/>
  <c r="R30" i="40" l="1"/>
  <c r="C29" i="41" s="1"/>
  <c r="R10" i="40"/>
</calcChain>
</file>

<file path=xl/sharedStrings.xml><?xml version="1.0" encoding="utf-8"?>
<sst xmlns="http://schemas.openxmlformats.org/spreadsheetml/2006/main" count="398" uniqueCount="236">
  <si>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</si>
  <si>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</si>
  <si>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</si>
  <si>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</si>
  <si>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</si>
  <si>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</si>
  <si>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</si>
  <si>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</si>
  <si>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</si>
  <si>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</si>
  <si>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</si>
  <si>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</si>
  <si>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</si>
  <si>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</si>
  <si>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</si>
  <si>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</si>
  <si>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</si>
  <si>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</si>
  <si>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</si>
  <si>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</si>
  <si>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</si>
  <si>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</si>
  <si>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</si>
  <si>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</si>
  <si>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</si>
  <si>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</si>
  <si>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</si>
  <si>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</si>
  <si>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</si>
  <si>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</si>
  <si>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</si>
  <si>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</si>
  <si>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</si>
  <si>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</si>
  <si>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</si>
  <si>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</si>
  <si>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</si>
  <si>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</si>
  <si>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</si>
  <si>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</si>
  <si>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</si>
  <si>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</si>
  <si>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</si>
  <si>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</si>
  <si>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</si>
  <si>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</si>
  <si>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</si>
  <si>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</si>
  <si>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</si>
  <si>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</si>
  <si>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</si>
  <si>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</si>
  <si>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</si>
  <si>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</si>
  <si>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</si>
  <si>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</si>
  <si>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</si>
  <si>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</si>
  <si>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</si>
  <si>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</si>
  <si>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</si>
  <si>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</si>
  <si>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</si>
  <si>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</si>
  <si>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</si>
  <si>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</si>
  <si>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</si>
  <si>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</si>
  <si>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</si>
  <si>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</si>
  <si>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</si>
  <si>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</si>
  <si>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</si>
  <si>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</si>
  <si>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</si>
  <si>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</si>
  <si>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</si>
  <si>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</si>
  <si>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</si>
  <si>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</si>
  <si>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</si>
  <si>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</si>
  <si>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</si>
  <si>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</si>
  <si>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</si>
  <si>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</si>
  <si>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</si>
  <si>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</si>
  <si>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</si>
  <si>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</si>
  <si>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</si>
  <si>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</si>
  <si>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</si>
  <si>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</si>
  <si>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</si>
  <si>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</si>
  <si>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</si>
  <si>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</si>
  <si>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</si>
  <si>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</si>
  <si>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</si>
  <si>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</si>
  <si>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</si>
  <si>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</si>
  <si>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</si>
  <si>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</si>
  <si>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</si>
  <si>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</si>
  <si>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</si>
  <si>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</si>
  <si>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</si>
  <si>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</si>
  <si>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</si>
  <si>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</si>
  <si>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</si>
  <si>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</si>
  <si>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</si>
  <si>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</si>
  <si>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</si>
  <si>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</si>
  <si>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</si>
  <si>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</si>
  <si>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</si>
  <si>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</si>
  <si>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</si>
  <si>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</si>
  <si>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</si>
  <si>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</si>
  <si>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</si>
  <si>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</si>
  <si>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</si>
  <si>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</si>
  <si>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</si>
  <si>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</si>
  <si>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</si>
  <si>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</si>
  <si>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</si>
  <si>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</si>
  <si>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</si>
  <si>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</si>
  <si>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</si>
  <si>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</si>
  <si>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</si>
  <si>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</si>
  <si>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</si>
  <si>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</si>
  <si>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</si>
  <si>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</si>
  <si>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東北公益文科大学</t>
    <rPh sb="0" eb="8">
      <t>トウホクコウエキブンカダイガク</t>
    </rPh>
    <phoneticPr fontId="1"/>
  </si>
  <si>
    <t>学校法人東北公益文科大学</t>
    <rPh sb="0" eb="4">
      <t>ガッコウホウジン</t>
    </rPh>
    <rPh sb="4" eb="12">
      <t>トウホクコウエキブンカダイガク</t>
    </rPh>
    <phoneticPr fontId="1"/>
  </si>
  <si>
    <t>私立大学</t>
  </si>
  <si>
    <t>山形県酒田市飯森山三丁目５番地の１</t>
    <rPh sb="0" eb="6">
      <t>ヤマガタケンサカタシ</t>
    </rPh>
    <rPh sb="6" eb="9">
      <t>イイモリヤマ</t>
    </rPh>
    <rPh sb="9" eb="12">
      <t>サンチョウメ</t>
    </rPh>
    <rPh sb="13" eb="15">
      <t>バンチ</t>
    </rPh>
    <phoneticPr fontId="1"/>
  </si>
  <si>
    <t>データサイエンス・ＡＩ教育プログラム</t>
    <rPh sb="11" eb="13">
      <t>キョウイク</t>
    </rPh>
    <phoneticPr fontId="1"/>
  </si>
  <si>
    <t>令和3</t>
    <rPh sb="0" eb="2">
      <t>レイワ</t>
    </rPh>
    <phoneticPr fontId="1"/>
  </si>
  <si>
    <t>無</t>
  </si>
  <si>
    <t>広瀬　雄二</t>
    <rPh sb="0" eb="2">
      <t>ヒロセ</t>
    </rPh>
    <rPh sb="3" eb="5">
      <t>ユウジ</t>
    </rPh>
    <phoneticPr fontId="1"/>
  </si>
  <si>
    <t>教育推進センター</t>
    <rPh sb="0" eb="4">
      <t>キョウイクスイシン</t>
    </rPh>
    <phoneticPr fontId="1"/>
  </si>
  <si>
    <t>小野　英一</t>
    <rPh sb="0" eb="2">
      <t>オノ</t>
    </rPh>
    <rPh sb="3" eb="5">
      <t>エイイチ</t>
    </rPh>
    <phoneticPr fontId="1"/>
  </si>
  <si>
    <t>教育推進センター長、教授</t>
    <rPh sb="0" eb="4">
      <t>キョウイクスイシン</t>
    </rPh>
    <rPh sb="8" eb="9">
      <t>チョウ</t>
    </rPh>
    <rPh sb="10" eb="12">
      <t>キョウジュ</t>
    </rPh>
    <phoneticPr fontId="1"/>
  </si>
  <si>
    <t>点検評価委員会</t>
    <rPh sb="0" eb="7">
      <t>テンケンヒョウカイインカイ</t>
    </rPh>
    <phoneticPr fontId="1"/>
  </si>
  <si>
    <t>神田　直弥</t>
    <rPh sb="0" eb="2">
      <t>カンダ</t>
    </rPh>
    <rPh sb="3" eb="5">
      <t>ナオヤ</t>
    </rPh>
    <phoneticPr fontId="1"/>
  </si>
  <si>
    <t>学長、教授</t>
    <rPh sb="0" eb="2">
      <t>ガクチョウ</t>
    </rPh>
    <rPh sb="3" eb="5">
      <t>キョウジュ</t>
    </rPh>
    <phoneticPr fontId="1"/>
  </si>
  <si>
    <t>認定教育プログラム</t>
  </si>
  <si>
    <t>教務学生課</t>
    <rPh sb="0" eb="5">
      <t>キョウムガクセイカ</t>
    </rPh>
    <phoneticPr fontId="1"/>
  </si>
  <si>
    <t>白田　裕司</t>
    <rPh sb="0" eb="2">
      <t>シラタ</t>
    </rPh>
    <rPh sb="3" eb="5">
      <t>ユウジ</t>
    </rPh>
    <phoneticPr fontId="1"/>
  </si>
  <si>
    <t>kyomu@koeki-u.ac.jp</t>
    <phoneticPr fontId="1"/>
  </si>
  <si>
    <t>0234-41-1116</t>
    <phoneticPr fontId="1"/>
  </si>
  <si>
    <t>学部・学科によって、修了要件は相違しない</t>
  </si>
  <si>
    <t>データリテラシー</t>
    <phoneticPr fontId="1"/>
  </si>
  <si>
    <t>日経講座：デジタル化で加速する世界の変容</t>
    <rPh sb="0" eb="4">
      <t>ニッケイコウザ</t>
    </rPh>
    <rPh sb="9" eb="10">
      <t>カ</t>
    </rPh>
    <rPh sb="11" eb="13">
      <t>カソク</t>
    </rPh>
    <rPh sb="15" eb="17">
      <t>セカイ</t>
    </rPh>
    <rPh sb="18" eb="20">
      <t>ヘンヨウ</t>
    </rPh>
    <phoneticPr fontId="1"/>
  </si>
  <si>
    <t>○</t>
  </si>
  <si>
    <t>全学開講</t>
  </si>
  <si>
    <t>セキュリティ論</t>
    <rPh sb="6" eb="7">
      <t>ロン</t>
    </rPh>
    <phoneticPr fontId="1"/>
  </si>
  <si>
    <t>基礎プログラミングⅡ</t>
    <rPh sb="0" eb="2">
      <t>キソ</t>
    </rPh>
    <phoneticPr fontId="1"/>
  </si>
  <si>
    <t>統計学ａ</t>
    <rPh sb="0" eb="3">
      <t>トウケイガク</t>
    </rPh>
    <phoneticPr fontId="1"/>
  </si>
  <si>
    <t>ＡＩと社会</t>
    <rPh sb="3" eb="5">
      <t>シャカイ</t>
    </rPh>
    <phoneticPr fontId="1"/>
  </si>
  <si>
    <t>プログラムを構成する科目から、次の必修科目6単位及び選択必修科目2単位を含む8単位以上を修得すること。
必修：「データリテラシー」「基礎プログラミングⅠ」「基礎プログラミングⅡ」各2単位
選択必修：「ＡＩと社会」「セキュリティ論」各1単位、「日経講座：デジタル化で加速する世界の変容」2単位</t>
    <rPh sb="6" eb="8">
      <t>コウセイ</t>
    </rPh>
    <rPh sb="10" eb="12">
      <t>カモク</t>
    </rPh>
    <rPh sb="15" eb="16">
      <t>ツギ</t>
    </rPh>
    <rPh sb="17" eb="21">
      <t>ヒッシュウカモク</t>
    </rPh>
    <rPh sb="22" eb="24">
      <t>タンイ</t>
    </rPh>
    <rPh sb="24" eb="25">
      <t>オヨ</t>
    </rPh>
    <rPh sb="26" eb="28">
      <t>センタク</t>
    </rPh>
    <rPh sb="28" eb="30">
      <t>ヒッシュウ</t>
    </rPh>
    <rPh sb="30" eb="32">
      <t>カモク</t>
    </rPh>
    <rPh sb="33" eb="35">
      <t>タンイ</t>
    </rPh>
    <rPh sb="36" eb="37">
      <t>フク</t>
    </rPh>
    <rPh sb="39" eb="43">
      <t>タンイイジョウ</t>
    </rPh>
    <rPh sb="44" eb="46">
      <t>シュウトク</t>
    </rPh>
    <rPh sb="52" eb="54">
      <t>ヒッシュウ</t>
    </rPh>
    <rPh sb="66" eb="68">
      <t>キソ</t>
    </rPh>
    <rPh sb="78" eb="80">
      <t>キソ</t>
    </rPh>
    <rPh sb="89" eb="90">
      <t>カク</t>
    </rPh>
    <rPh sb="91" eb="93">
      <t>タンイ</t>
    </rPh>
    <rPh sb="94" eb="98">
      <t>センタクヒッシュウ</t>
    </rPh>
    <rPh sb="103" eb="105">
      <t>シャカイ</t>
    </rPh>
    <rPh sb="113" eb="114">
      <t>ロン</t>
    </rPh>
    <rPh sb="115" eb="116">
      <t>カク</t>
    </rPh>
    <rPh sb="117" eb="119">
      <t>タンイ</t>
    </rPh>
    <rPh sb="121" eb="125">
      <t>ニッケイコウザ</t>
    </rPh>
    <rPh sb="130" eb="131">
      <t>カ</t>
    </rPh>
    <rPh sb="132" eb="134">
      <t>カソク</t>
    </rPh>
    <rPh sb="136" eb="138">
      <t>セカイ</t>
    </rPh>
    <rPh sb="139" eb="141">
      <t>ヘンヨウ</t>
    </rPh>
    <rPh sb="143" eb="145">
      <t>タンイ</t>
    </rPh>
    <phoneticPr fontId="1"/>
  </si>
  <si>
    <t>統計学ｂ</t>
    <rPh sb="0" eb="3">
      <t>トウケイガク</t>
    </rPh>
    <phoneticPr fontId="1"/>
  </si>
  <si>
    <t>〇</t>
    <phoneticPr fontId="1"/>
  </si>
  <si>
    <t>・データの種類と代表値（「データリテラシー」4回目）
・社会におけるビッグデータとAIの利活用（「AIと社会」1回目）</t>
    <rPh sb="5" eb="7">
      <t>シュルイ</t>
    </rPh>
    <rPh sb="8" eb="10">
      <t>ダイヒョウ</t>
    </rPh>
    <rPh sb="10" eb="11">
      <t>アタイ</t>
    </rPh>
    <rPh sb="23" eb="25">
      <t>カイメ</t>
    </rPh>
    <rPh sb="28" eb="30">
      <t>シャカイ</t>
    </rPh>
    <rPh sb="44" eb="47">
      <t>リカツヨウ</t>
    </rPh>
    <rPh sb="52" eb="54">
      <t>シャカイ</t>
    </rPh>
    <rPh sb="56" eb="58">
      <t>カイメ</t>
    </rPh>
    <phoneticPr fontId="1"/>
  </si>
  <si>
    <t>・統計情報の正しい理解（「データリテラシー」6回目）
・社会におけるビッグデータとAIの利活用（「AIと社会」1回目）</t>
    <rPh sb="1" eb="5">
      <t>トウケイジョウホウ</t>
    </rPh>
    <rPh sb="6" eb="7">
      <t>タダ</t>
    </rPh>
    <rPh sb="9" eb="11">
      <t>リカイ</t>
    </rPh>
    <rPh sb="23" eb="25">
      <t>カイメ</t>
    </rPh>
    <rPh sb="28" eb="30">
      <t>シャカイ</t>
    </rPh>
    <rPh sb="44" eb="47">
      <t>リカツヨウ</t>
    </rPh>
    <rPh sb="52" eb="54">
      <t>シャカイ</t>
    </rPh>
    <rPh sb="56" eb="58">
      <t>カイメ</t>
    </rPh>
    <phoneticPr fontId="1"/>
  </si>
  <si>
    <t>・社会におけるデータ・AI利活用（「データリテラシー」1回目）
・社会におけるビッグデータとAIの利活用（「AIと社会」1回目）
・デジタル社会・総論①データエコノミーの光と影（「日経講座」1回目）</t>
    <rPh sb="1" eb="3">
      <t>シャカイ</t>
    </rPh>
    <rPh sb="13" eb="16">
      <t>リカツヨウ</t>
    </rPh>
    <rPh sb="28" eb="30">
      <t>カイメ</t>
    </rPh>
    <rPh sb="33" eb="35">
      <t>シャカイ</t>
    </rPh>
    <rPh sb="49" eb="52">
      <t>リカツヨウ</t>
    </rPh>
    <rPh sb="57" eb="59">
      <t>シャカイ</t>
    </rPh>
    <rPh sb="61" eb="63">
      <t>カイメ</t>
    </rPh>
    <rPh sb="70" eb="72">
      <t>シャカイ</t>
    </rPh>
    <rPh sb="73" eb="75">
      <t>ソウロン</t>
    </rPh>
    <rPh sb="85" eb="86">
      <t>ヒカリ</t>
    </rPh>
    <rPh sb="87" eb="88">
      <t>カゲ</t>
    </rPh>
    <rPh sb="90" eb="94">
      <t>ニッケイコウザ</t>
    </rPh>
    <rPh sb="96" eb="98">
      <t>カイメ</t>
    </rPh>
    <phoneticPr fontId="1"/>
  </si>
  <si>
    <t>・個人情報データの社会的活用（「AIと社会」5回目）
・デジタル化と世界経済①GAFAの実態とビジネスモデル（「日経講座」3回目）
・デジタル化と世界経済②デジタルと国家と規制と（「日経講座」4回目）
・デジタル化と世界経済③仮想通貨とフィンテック（「日経講座」5回目）
・デジタル化と産業①変わるリーディング産業の条件（「日経講座」8回目）
・デジタル化と産業②デジタル時代の個人消費（「日経講座」9回目）
・デジタル化と産業③DXと経営の新潮流（「日経講座」10回目）</t>
    <rPh sb="1" eb="5">
      <t>コジンジョウホウ</t>
    </rPh>
    <rPh sb="9" eb="14">
      <t>シャカイテキカツヨウ</t>
    </rPh>
    <rPh sb="19" eb="21">
      <t>シャカイ</t>
    </rPh>
    <rPh sb="23" eb="25">
      <t>カイメ</t>
    </rPh>
    <rPh sb="32" eb="33">
      <t>カ</t>
    </rPh>
    <rPh sb="34" eb="38">
      <t>セカイケイザイ</t>
    </rPh>
    <rPh sb="44" eb="46">
      <t>ジッタイ</t>
    </rPh>
    <rPh sb="58" eb="60">
      <t>コウザ</t>
    </rPh>
    <rPh sb="71" eb="72">
      <t>カ</t>
    </rPh>
    <rPh sb="73" eb="77">
      <t>セカイケイザイ</t>
    </rPh>
    <rPh sb="83" eb="85">
      <t>コッカ</t>
    </rPh>
    <rPh sb="86" eb="88">
      <t>キセイ</t>
    </rPh>
    <rPh sb="106" eb="107">
      <t>カ</t>
    </rPh>
    <rPh sb="108" eb="112">
      <t>セカイケイザイ</t>
    </rPh>
    <rPh sb="113" eb="117">
      <t>カソウツウカ</t>
    </rPh>
    <rPh sb="141" eb="142">
      <t>カ</t>
    </rPh>
    <rPh sb="143" eb="145">
      <t>サンギョウ</t>
    </rPh>
    <rPh sb="146" eb="147">
      <t>カ</t>
    </rPh>
    <rPh sb="155" eb="157">
      <t>サンギョウ</t>
    </rPh>
    <rPh sb="158" eb="160">
      <t>ジョウケン</t>
    </rPh>
    <rPh sb="177" eb="178">
      <t>カ</t>
    </rPh>
    <rPh sb="179" eb="181">
      <t>サンギョウ</t>
    </rPh>
    <rPh sb="186" eb="188">
      <t>ジダイ</t>
    </rPh>
    <rPh sb="189" eb="193">
      <t>コジンショウヒ</t>
    </rPh>
    <rPh sb="197" eb="199">
      <t>コウザ</t>
    </rPh>
    <rPh sb="210" eb="211">
      <t>カ</t>
    </rPh>
    <rPh sb="212" eb="214">
      <t>サンギョウ</t>
    </rPh>
    <rPh sb="218" eb="220">
      <t>ケイエイ</t>
    </rPh>
    <rPh sb="221" eb="224">
      <t>シンチョウリュウ</t>
    </rPh>
    <phoneticPr fontId="1"/>
  </si>
  <si>
    <t>・データの分布（「データリテラシー」7回目）
・分割表とクロス集計表（「データリテラシー」8回目）
・二変量データと相関（「データリテラシー」9回目）
・AIサービスの責任の所在（「AIと社会」2回目）</t>
    <rPh sb="5" eb="7">
      <t>ブンプ</t>
    </rPh>
    <rPh sb="19" eb="21">
      <t>カイメ</t>
    </rPh>
    <rPh sb="24" eb="27">
      <t>ブンカツヒョウ</t>
    </rPh>
    <rPh sb="31" eb="34">
      <t>シュウケイヒョウ</t>
    </rPh>
    <rPh sb="46" eb="48">
      <t>カイメ</t>
    </rPh>
    <rPh sb="51" eb="52">
      <t>ニ</t>
    </rPh>
    <rPh sb="52" eb="54">
      <t>ヘンリョウ</t>
    </rPh>
    <rPh sb="58" eb="60">
      <t>ソウカン</t>
    </rPh>
    <rPh sb="72" eb="74">
      <t>カイメ</t>
    </rPh>
    <rPh sb="84" eb="86">
      <t>セキニン</t>
    </rPh>
    <rPh sb="87" eb="89">
      <t>ショザイ</t>
    </rPh>
    <rPh sb="94" eb="96">
      <t>シャカイ</t>
    </rPh>
    <rPh sb="98" eb="100">
      <t>カイメ</t>
    </rPh>
    <phoneticPr fontId="1"/>
  </si>
  <si>
    <t>・時系列データ（「データリテラシー」11回目）
・デジタル社会・総論②データエコノミーはどこまで進歩するか（「日経講座」2回目）</t>
    <rPh sb="1" eb="4">
      <t>ジケイレツ</t>
    </rPh>
    <rPh sb="20" eb="22">
      <t>カイメ</t>
    </rPh>
    <rPh sb="29" eb="31">
      <t>シャカイ</t>
    </rPh>
    <rPh sb="32" eb="34">
      <t>ソウロン</t>
    </rPh>
    <rPh sb="48" eb="50">
      <t>シンポ</t>
    </rPh>
    <rPh sb="55" eb="59">
      <t>ニッケイコウザ</t>
    </rPh>
    <rPh sb="61" eb="63">
      <t>カイメ</t>
    </rPh>
    <phoneticPr fontId="1"/>
  </si>
  <si>
    <t>数学ａ</t>
    <rPh sb="0" eb="2">
      <t>スウガク</t>
    </rPh>
    <phoneticPr fontId="1"/>
  </si>
  <si>
    <t>数学ｂ</t>
    <rPh sb="0" eb="2">
      <t>スウガク</t>
    </rPh>
    <phoneticPr fontId="1"/>
  </si>
  <si>
    <t>経営工学ａ</t>
    <rPh sb="0" eb="4">
      <t>ケイエイコウガク</t>
    </rPh>
    <phoneticPr fontId="1"/>
  </si>
  <si>
    <t>経営工学ｂ</t>
    <rPh sb="0" eb="4">
      <t>ケイエイコウガク</t>
    </rPh>
    <phoneticPr fontId="1"/>
  </si>
  <si>
    <t>基礎プログラミングⅠ</t>
    <rPh sb="0" eb="2">
      <t>キソ</t>
    </rPh>
    <phoneticPr fontId="1"/>
  </si>
  <si>
    <t>データ構造とアルゴリズム</t>
    <rPh sb="3" eb="5">
      <t>コウゾウ</t>
    </rPh>
    <phoneticPr fontId="1"/>
  </si>
  <si>
    <t>応用プログラミング</t>
    <rPh sb="0" eb="2">
      <t>オウヨウ</t>
    </rPh>
    <phoneticPr fontId="1"/>
  </si>
  <si>
    <t>4-1統計および数理基礎</t>
  </si>
  <si>
    <t>4‐2アルゴリズム基礎</t>
  </si>
  <si>
    <t>4‐3データ構造とプログラミング基礎</t>
  </si>
  <si>
    <t>データサイエンス入門ｂ</t>
    <rPh sb="8" eb="10">
      <t>ニュウモン</t>
    </rPh>
    <phoneticPr fontId="1"/>
  </si>
  <si>
    <t>データベース演習</t>
    <rPh sb="6" eb="8">
      <t>エンシュウ</t>
    </rPh>
    <phoneticPr fontId="1"/>
  </si>
  <si>
    <t>画像情報処理</t>
    <rPh sb="0" eb="6">
      <t>ガゾウジョウホウショリ</t>
    </rPh>
    <phoneticPr fontId="1"/>
  </si>
  <si>
    <t>数値情報処理ｂ</t>
    <rPh sb="0" eb="6">
      <t>スウチジョウホウショリ</t>
    </rPh>
    <phoneticPr fontId="1"/>
  </si>
  <si>
    <t>データベース論</t>
    <rPh sb="6" eb="7">
      <t>ロン</t>
    </rPh>
    <phoneticPr fontId="1"/>
  </si>
  <si>
    <t>応用統計学ｂ</t>
    <rPh sb="0" eb="5">
      <t>オウヨウトウケイガク</t>
    </rPh>
    <phoneticPr fontId="1"/>
  </si>
  <si>
    <t>科学メディア論ａ</t>
    <rPh sb="0" eb="2">
      <t>カガク</t>
    </rPh>
    <rPh sb="6" eb="7">
      <t>ロン</t>
    </rPh>
    <phoneticPr fontId="1"/>
  </si>
  <si>
    <t>科学メディア論ｂ</t>
    <rPh sb="0" eb="2">
      <t>カガク</t>
    </rPh>
    <rPh sb="6" eb="7">
      <t>ロン</t>
    </rPh>
    <phoneticPr fontId="1"/>
  </si>
  <si>
    <t>4‐4時系列データ解析</t>
  </si>
  <si>
    <t>4‐5テキスト解析</t>
  </si>
  <si>
    <t>4‐6画像解析</t>
  </si>
  <si>
    <t>4‐7データハンドリング</t>
  </si>
  <si>
    <t>4‐8データ活用実践（教師あり学習）</t>
  </si>
  <si>
    <t>4‐9データ活用実践（教師なし学習）</t>
  </si>
  <si>
    <t>データサイエンス・AIに関する基礎的な知識と技術、及びその知識や技術を他の科目の学修で応用する能力</t>
    <rPh sb="12" eb="13">
      <t>カン</t>
    </rPh>
    <rPh sb="15" eb="18">
      <t>キソテキ</t>
    </rPh>
    <rPh sb="19" eb="21">
      <t>チシキ</t>
    </rPh>
    <rPh sb="22" eb="24">
      <t>ギジュツ</t>
    </rPh>
    <rPh sb="25" eb="26">
      <t>オヨ</t>
    </rPh>
    <rPh sb="29" eb="31">
      <t>チシキ</t>
    </rPh>
    <rPh sb="32" eb="34">
      <t>ギジュツ</t>
    </rPh>
    <rPh sb="35" eb="36">
      <t>タ</t>
    </rPh>
    <rPh sb="37" eb="39">
      <t>カモク</t>
    </rPh>
    <rPh sb="40" eb="42">
      <t>ガクシュウ</t>
    </rPh>
    <rPh sb="43" eb="45">
      <t>オウヨウ</t>
    </rPh>
    <rPh sb="47" eb="49">
      <t>ノウリョク</t>
    </rPh>
    <phoneticPr fontId="1"/>
  </si>
  <si>
    <t>・データ倫理（著作権）（「基礎プログラミングⅡ」11回目）
・AIの倫理、データの倫理（「AIと社会」3回目、4回目）
・海外の個人情報保護制度（「AIと社会」6回目）
・デジタル化と市民生活①AIは仕事を奪うか（「日経講座」12回目）
・デジタル化と市民生活②値踏みされる個人の価値（「日経講座」13回目）</t>
    <rPh sb="4" eb="6">
      <t>リンリ</t>
    </rPh>
    <rPh sb="7" eb="10">
      <t>チョサクケン</t>
    </rPh>
    <rPh sb="13" eb="15">
      <t>キソ</t>
    </rPh>
    <rPh sb="26" eb="28">
      <t>カイメ</t>
    </rPh>
    <rPh sb="34" eb="36">
      <t>リンリ</t>
    </rPh>
    <rPh sb="41" eb="43">
      <t>リンリ</t>
    </rPh>
    <rPh sb="48" eb="50">
      <t>シャカイ</t>
    </rPh>
    <rPh sb="52" eb="54">
      <t>カイメ</t>
    </rPh>
    <rPh sb="56" eb="58">
      <t>カイメ</t>
    </rPh>
    <rPh sb="61" eb="63">
      <t>カイガイ</t>
    </rPh>
    <rPh sb="64" eb="72">
      <t>コジンジョウホウホゴセイド</t>
    </rPh>
    <rPh sb="77" eb="79">
      <t>シャカイ</t>
    </rPh>
    <rPh sb="81" eb="83">
      <t>カイメ</t>
    </rPh>
    <rPh sb="90" eb="91">
      <t>カ</t>
    </rPh>
    <rPh sb="92" eb="96">
      <t>シミンセイカツ</t>
    </rPh>
    <rPh sb="100" eb="102">
      <t>シゴト</t>
    </rPh>
    <rPh sb="103" eb="104">
      <t>ウバ</t>
    </rPh>
    <rPh sb="108" eb="112">
      <t>ニッケイコウザ</t>
    </rPh>
    <rPh sb="115" eb="117">
      <t>カイメ</t>
    </rPh>
    <rPh sb="124" eb="125">
      <t>カ</t>
    </rPh>
    <rPh sb="126" eb="130">
      <t>シミンセイカツ</t>
    </rPh>
    <rPh sb="131" eb="133">
      <t>ネブ</t>
    </rPh>
    <rPh sb="137" eb="139">
      <t>コジン</t>
    </rPh>
    <rPh sb="140" eb="142">
      <t>カチ</t>
    </rPh>
    <rPh sb="144" eb="148">
      <t>ニッケイコウザ</t>
    </rPh>
    <rPh sb="151" eb="153">
      <t>カイメ</t>
    </rPh>
    <phoneticPr fontId="1"/>
  </si>
  <si>
    <t>・CGI(Common Gateway Interface): セキュリティ上の注意（「基礎プログラミングⅡ」9回目）
・情報セキュリティとは何か（「セキュリティ論」1回目）
・情報セキュリティ関連技術の基礎、情報セキュリティの脅威と対策（「セキュリティ論」3回目、4回目）
・Internet of Things (IoT)と情報セキュリティ、情報セキュリティとマネジメント（「セキュリティ論」5回目、6回目）</t>
    <rPh sb="38" eb="39">
      <t>ジョウ</t>
    </rPh>
    <rPh sb="40" eb="42">
      <t>チュウイ</t>
    </rPh>
    <rPh sb="44" eb="46">
      <t>キソ</t>
    </rPh>
    <rPh sb="56" eb="58">
      <t>カイメ</t>
    </rPh>
    <rPh sb="61" eb="63">
      <t>ジョウホウ</t>
    </rPh>
    <rPh sb="71" eb="72">
      <t>ナニ</t>
    </rPh>
    <rPh sb="81" eb="82">
      <t>ロン</t>
    </rPh>
    <rPh sb="84" eb="86">
      <t>カイメ</t>
    </rPh>
    <rPh sb="89" eb="91">
      <t>ジョウホウ</t>
    </rPh>
    <rPh sb="97" eb="101">
      <t>カンレンギジュツ</t>
    </rPh>
    <rPh sb="102" eb="104">
      <t>キソ</t>
    </rPh>
    <rPh sb="105" eb="107">
      <t>ジョウホウ</t>
    </rPh>
    <rPh sb="114" eb="116">
      <t>キョウイ</t>
    </rPh>
    <rPh sb="117" eb="119">
      <t>タイサク</t>
    </rPh>
    <rPh sb="127" eb="128">
      <t>ロン</t>
    </rPh>
    <rPh sb="130" eb="132">
      <t>カイメ</t>
    </rPh>
    <rPh sb="134" eb="136">
      <t>カイメ</t>
    </rPh>
    <rPh sb="164" eb="166">
      <t>ジョウホウ</t>
    </rPh>
    <rPh sb="173" eb="175">
      <t>ジョウホウ</t>
    </rPh>
    <phoneticPr fontId="1"/>
  </si>
  <si>
    <t>・データの種類と代表値（「データリテラシー」4回目）
・統計情報の正しい理解（「データリテラシー」6回目）
・分布の特性値、確率と確率分布、様々な確率分布、正規分布、中心極限定理（「統計学a」2～6回目）
・母平均の推定、母分散の推定、母平均の仮説検定、母分散の仮説検定と相関分析、単回帰分析と重回帰分析（「統計学b」2～6回目）</t>
    <rPh sb="5" eb="7">
      <t>シュルイ</t>
    </rPh>
    <rPh sb="8" eb="10">
      <t>ダイヒョウ</t>
    </rPh>
    <rPh sb="10" eb="11">
      <t>アタイ</t>
    </rPh>
    <rPh sb="23" eb="25">
      <t>カイメ</t>
    </rPh>
    <rPh sb="28" eb="32">
      <t>トウケイジョウホウ</t>
    </rPh>
    <rPh sb="33" eb="34">
      <t>タダ</t>
    </rPh>
    <rPh sb="36" eb="38">
      <t>リカイ</t>
    </rPh>
    <rPh sb="50" eb="52">
      <t>カイメ</t>
    </rPh>
    <rPh sb="55" eb="57">
      <t>ブンプ</t>
    </rPh>
    <rPh sb="58" eb="61">
      <t>トクセイチ</t>
    </rPh>
    <rPh sb="62" eb="64">
      <t>カクリツ</t>
    </rPh>
    <rPh sb="65" eb="69">
      <t>カクリツブンプ</t>
    </rPh>
    <rPh sb="70" eb="72">
      <t>サマザマ</t>
    </rPh>
    <rPh sb="73" eb="77">
      <t>カクリツブンプ</t>
    </rPh>
    <rPh sb="78" eb="82">
      <t>セイキブンプ</t>
    </rPh>
    <rPh sb="83" eb="89">
      <t>チュウシンキョクゲンテイリ</t>
    </rPh>
    <rPh sb="91" eb="94">
      <t>トウケイガク</t>
    </rPh>
    <rPh sb="99" eb="101">
      <t>カイメ</t>
    </rPh>
    <rPh sb="104" eb="107">
      <t>ボヘイキン</t>
    </rPh>
    <rPh sb="108" eb="110">
      <t>スイテイ</t>
    </rPh>
    <rPh sb="111" eb="112">
      <t>ハハ</t>
    </rPh>
    <rPh sb="112" eb="114">
      <t>ブンサン</t>
    </rPh>
    <rPh sb="115" eb="117">
      <t>スイテイ</t>
    </rPh>
    <rPh sb="118" eb="121">
      <t>ボヘイキン</t>
    </rPh>
    <rPh sb="122" eb="126">
      <t>カセツケンテイ</t>
    </rPh>
    <rPh sb="127" eb="128">
      <t>ハハ</t>
    </rPh>
    <rPh sb="128" eb="130">
      <t>ブンサン</t>
    </rPh>
    <rPh sb="131" eb="135">
      <t>カセツケンテイ</t>
    </rPh>
    <rPh sb="136" eb="140">
      <t>ソウカンブンセキ</t>
    </rPh>
    <phoneticPr fontId="1"/>
  </si>
  <si>
    <t>・データのグラフによる表現（「データリテラシー」5回目）
・データの比較（「データリテラシー」10回目）</t>
    <rPh sb="11" eb="13">
      <t>ヒョウゲン</t>
    </rPh>
    <rPh sb="25" eb="27">
      <t>カイメ</t>
    </rPh>
    <rPh sb="34" eb="36">
      <t>ヒカク</t>
    </rPh>
    <rPh sb="49" eb="51">
      <t>カイメ</t>
    </rPh>
    <phoneticPr fontId="1"/>
  </si>
  <si>
    <t>・データの分布（「データリテラシー」7回目）
・分割表とクロス集計表（「データリテラシー」8回目）
・二変量データと相関（「データリテラシー」9回目）
・時系列データ（「データリテラシー」11回目）
・データ構造設計とCSV形式の取り扱い（「基礎プログラミングⅡ」10回目）</t>
    <rPh sb="5" eb="7">
      <t>ブンプ</t>
    </rPh>
    <rPh sb="19" eb="21">
      <t>カイメ</t>
    </rPh>
    <rPh sb="24" eb="27">
      <t>ブンカツヒョウ</t>
    </rPh>
    <rPh sb="31" eb="34">
      <t>シュウケイヒョウ</t>
    </rPh>
    <rPh sb="46" eb="48">
      <t>カイメ</t>
    </rPh>
    <rPh sb="51" eb="52">
      <t>ニ</t>
    </rPh>
    <rPh sb="52" eb="54">
      <t>ヘンリョウ</t>
    </rPh>
    <rPh sb="58" eb="60">
      <t>ソウカン</t>
    </rPh>
    <rPh sb="72" eb="74">
      <t>カイメ</t>
    </rPh>
    <rPh sb="77" eb="80">
      <t>ジケイレツ</t>
    </rPh>
    <rPh sb="96" eb="98">
      <t>カイメ</t>
    </rPh>
    <rPh sb="104" eb="108">
      <t>コウゾウセッケイ</t>
    </rPh>
    <rPh sb="112" eb="114">
      <t>ケイシキ</t>
    </rPh>
    <rPh sb="115" eb="116">
      <t>ト</t>
    </rPh>
    <rPh sb="117" eb="118">
      <t>アツカ</t>
    </rPh>
    <rPh sb="121" eb="123">
      <t>キソ</t>
    </rPh>
    <rPh sb="134" eb="136">
      <t>カイメ</t>
    </rPh>
    <phoneticPr fontId="1"/>
  </si>
  <si>
    <t>公益学部公益学科</t>
    <rPh sb="0" eb="2">
      <t>コウエキ</t>
    </rPh>
    <rPh sb="2" eb="8">
      <t>ガクブコウエキガッカ</t>
    </rPh>
    <phoneticPr fontId="1"/>
  </si>
  <si>
    <t>データサイエンス・AI教育プログラム推進要綱</t>
    <rPh sb="11" eb="13">
      <t>キョウイク</t>
    </rPh>
    <rPh sb="18" eb="22">
      <t>スイシンヨウコウ</t>
    </rPh>
    <phoneticPr fontId="1"/>
  </si>
  <si>
    <t>本学のデータサイエンス・AI教育プログラムを改善・進化させるため、履修者数・履修率の向上等に向けた計画を作成し、評価を行う。</t>
    <rPh sb="0" eb="2">
      <t>ホンガク</t>
    </rPh>
    <rPh sb="14" eb="16">
      <t>キョウイク</t>
    </rPh>
    <rPh sb="22" eb="24">
      <t>カイゼン</t>
    </rPh>
    <rPh sb="25" eb="27">
      <t>シンカ</t>
    </rPh>
    <rPh sb="33" eb="37">
      <t>リシュウシャスウ</t>
    </rPh>
    <rPh sb="38" eb="41">
      <t>リシュウリツ</t>
    </rPh>
    <rPh sb="42" eb="45">
      <t>コウジョウトウ</t>
    </rPh>
    <rPh sb="46" eb="47">
      <t>ム</t>
    </rPh>
    <rPh sb="49" eb="51">
      <t>ケイカク</t>
    </rPh>
    <rPh sb="52" eb="54">
      <t>サクセイ</t>
    </rPh>
    <rPh sb="56" eb="58">
      <t>ヒョウカ</t>
    </rPh>
    <rPh sb="59" eb="60">
      <t>オコナ</t>
    </rPh>
    <phoneticPr fontId="1"/>
  </si>
  <si>
    <t>モデルカリキュラムの「導入」「基礎」「心得」に相当する科目のうち、「データリテラシー」2単位を1年次必修、「基礎プログラミングⅠ」「基礎プログラミングⅡ」各2単位を2年次必修とするとともに、「ＡＩと社会」「セキュリティ論」各1単位と「日経講座：デジタル化で加速する世界の変容」2単位を1年次から履修可能な「基礎教育科目」の「STEAM系」科目に配置している。また、「データサイエンス入門ｂ」等の「専門教育科目」についても、卒業単位に含まれるようカリキュラム全体を設計している。</t>
    <rPh sb="11" eb="13">
      <t>ドウニュウ</t>
    </rPh>
    <rPh sb="15" eb="17">
      <t>キソ</t>
    </rPh>
    <rPh sb="19" eb="21">
      <t>ココロエ</t>
    </rPh>
    <rPh sb="23" eb="25">
      <t>ソウトウ</t>
    </rPh>
    <rPh sb="27" eb="29">
      <t>カモク</t>
    </rPh>
    <rPh sb="44" eb="46">
      <t>タンイ</t>
    </rPh>
    <rPh sb="48" eb="50">
      <t>ネンジ</t>
    </rPh>
    <rPh sb="50" eb="52">
      <t>ヒッシュウ</t>
    </rPh>
    <rPh sb="83" eb="87">
      <t>ネンジヒッシュウ</t>
    </rPh>
    <rPh sb="143" eb="145">
      <t>ネンジ</t>
    </rPh>
    <rPh sb="147" eb="151">
      <t>リシュウカノウ</t>
    </rPh>
    <rPh sb="153" eb="159">
      <t>キソキョウイクカモク</t>
    </rPh>
    <rPh sb="167" eb="168">
      <t>ケイ</t>
    </rPh>
    <rPh sb="169" eb="171">
      <t>カモク</t>
    </rPh>
    <rPh sb="172" eb="174">
      <t>ハイチ</t>
    </rPh>
    <rPh sb="191" eb="193">
      <t>ニュウモン</t>
    </rPh>
    <rPh sb="195" eb="196">
      <t>トウ</t>
    </rPh>
    <rPh sb="198" eb="204">
      <t>センモンキョウイクカモク</t>
    </rPh>
    <rPh sb="211" eb="215">
      <t>ソツギョウタンイ</t>
    </rPh>
    <rPh sb="216" eb="217">
      <t>フク</t>
    </rPh>
    <rPh sb="228" eb="230">
      <t>ゼンタイ</t>
    </rPh>
    <rPh sb="231" eb="233">
      <t>セッケイ</t>
    </rPh>
    <phoneticPr fontId="1"/>
  </si>
  <si>
    <t>重要な科目を必修または選択必修としているほか、「統計学」「数学」等の科目を基礎教育科目に置き、学生が所属コース等にかかわらず1年次から幅広く履修できるよう工夫している。</t>
  </si>
  <si>
    <t>令和3年度入学生から新カリキュラムが適用されたため、まだ卒業生は出ていないが、卒業生調査を卒業後3年目に実施しており、本教育プログラムを修了した卒業生の進路先や活躍状況を把握している。また、就職先に対しても調査を行い、大学時代に身に着けたスキルがどのように活かされているかを把握している。</t>
  </si>
  <si>
    <t>令和3年度から開講された1年次必修科目「データリテラシー」では、学生からのコメントやTA学生からの意見などを共通教材に反映させるなどして、よりわかりやすい授業を目指すことを確認した。また、年2回、各学期の最終週に実施している、学生による授業評価アンケートや教育改善意見交換会での意見をもとに、教育推進委員会FD部会が、授業方法の改善についてのFDを行っている。</t>
    <rPh sb="32" eb="34">
      <t>ガクセイ</t>
    </rPh>
    <rPh sb="44" eb="46">
      <t>ガクセイ</t>
    </rPh>
    <rPh sb="49" eb="51">
      <t>イケン</t>
    </rPh>
    <rPh sb="54" eb="56">
      <t>キョウツウ</t>
    </rPh>
    <rPh sb="77" eb="79">
      <t>ジュギョウ</t>
    </rPh>
    <rPh sb="80" eb="82">
      <t>メザ</t>
    </rPh>
    <rPh sb="86" eb="88">
      <t>カクニン</t>
    </rPh>
    <rPh sb="94" eb="95">
      <t>ネン</t>
    </rPh>
    <rPh sb="96" eb="97">
      <t>カイ</t>
    </rPh>
    <rPh sb="98" eb="101">
      <t>カクガッキ</t>
    </rPh>
    <rPh sb="102" eb="105">
      <t>サイシュウシュウ</t>
    </rPh>
    <rPh sb="106" eb="108">
      <t>ジッシ</t>
    </rPh>
    <rPh sb="113" eb="115">
      <t>ガクセイ</t>
    </rPh>
    <rPh sb="118" eb="122">
      <t>ジュギョウヒョウカ</t>
    </rPh>
    <rPh sb="128" eb="137">
      <t>キョウイクカイゼンイケンコウカンカイ</t>
    </rPh>
    <rPh sb="139" eb="141">
      <t>イケン</t>
    </rPh>
    <rPh sb="146" eb="153">
      <t>キョウイクスイシンイインカイ</t>
    </rPh>
    <rPh sb="155" eb="157">
      <t>ブカイ</t>
    </rPh>
    <rPh sb="159" eb="163">
      <t>ジュギョウホウホウ</t>
    </rPh>
    <rPh sb="164" eb="166">
      <t>カイゼン</t>
    </rPh>
    <rPh sb="174" eb="175">
      <t>オコナ</t>
    </rPh>
    <phoneticPr fontId="1"/>
  </si>
  <si>
    <t>令和3年度から開講された1年次必修科目「データリテラシー」の単位修得率（履修者における単位修得者の割合）は95.0％、選択必修科目の「日経講座：デジタル化で加速する世界の変容」は90.2％と、履修者の9割以上が修得した。なお、「データリテラシー」を含む3科目は、少人数教育を行うため、複数の教員で分担して担当しているが、共通シラバスの設定や、共通教材の作成などにより、教員によって授業内容に違いが出ないようにしている。</t>
    <rPh sb="131" eb="134">
      <t>ショウニンズウ</t>
    </rPh>
    <rPh sb="134" eb="136">
      <t>キョウイク</t>
    </rPh>
    <rPh sb="137" eb="138">
      <t>オコナ</t>
    </rPh>
    <rPh sb="142" eb="144">
      <t>フクスウ</t>
    </rPh>
    <rPh sb="145" eb="147">
      <t>キョウイン</t>
    </rPh>
    <rPh sb="148" eb="150">
      <t>ブンタン</t>
    </rPh>
    <rPh sb="152" eb="154">
      <t>タントウ</t>
    </rPh>
    <rPh sb="160" eb="162">
      <t>キョウツウ</t>
    </rPh>
    <rPh sb="167" eb="169">
      <t>セッテイ</t>
    </rPh>
    <rPh sb="171" eb="175">
      <t>キョウツウキョウザイ</t>
    </rPh>
    <rPh sb="176" eb="178">
      <t>サクセイ</t>
    </rPh>
    <rPh sb="184" eb="186">
      <t>キョウイン</t>
    </rPh>
    <rPh sb="190" eb="194">
      <t>ジュギョウナイヨウ</t>
    </rPh>
    <rPh sb="195" eb="196">
      <t>チガ</t>
    </rPh>
    <rPh sb="198" eb="199">
      <t>デ</t>
    </rPh>
    <phoneticPr fontId="1"/>
  </si>
  <si>
    <t>公益学部では年2回の学期末に学生による授業評価アンケートを行っているが、令和3年度から開講された「データリテラシー」と「日経講座：デジタル化で加速する世界の変容」について、「授業で扱った分野に関する専門知識・技術は身につきましたか」との問いに対し、「そう思う」「ややそう思う」と回答した学生がそれぞれ97.0％、92.0％と、極めて高い修得度が確認された。また、2年次必修科目である「基礎プログラミングⅠ」「基礎プログラミングⅡ」では、終了後に合同成果報告会を行い、社会課題の解決等に向けて作成したプログラムを作成者のチームが発表し、履修者相互の採点投票により評価項目ごとに順位付けして成果を確認した。</t>
    <rPh sb="75" eb="77">
      <t>セカイ</t>
    </rPh>
    <rPh sb="267" eb="272">
      <t>リシュウシャソウゴ</t>
    </rPh>
    <rPh sb="273" eb="277">
      <t>サイテントウヒョウ</t>
    </rPh>
    <rPh sb="280" eb="282">
      <t>ヒョウカ</t>
    </rPh>
    <rPh sb="282" eb="284">
      <t>コウモク</t>
    </rPh>
    <rPh sb="287" eb="290">
      <t>ジュンイヅ</t>
    </rPh>
    <rPh sb="293" eb="295">
      <t>セイカ</t>
    </rPh>
    <rPh sb="296" eb="298">
      <t>カクニン</t>
    </rPh>
    <phoneticPr fontId="1"/>
  </si>
  <si>
    <t>令和3年度新規開講科目の「データリテラシー」について、「授業内容を理解することができましたか」「授業の内容について受講前と比較して関心が深まりましたか」との問いに対し「そう思う」「ややそう思う」と肯定的な回答をした者がそれぞれ97.0％、92.4％と、理解度の高まりだけでなく関心の深まりについても成果があったことが示された。同様に、令和3年度から開講された「日経講座：デジタル化で加速する世界の変容」でも、それぞれ88.0％、92.0％と、高い自己評価が得られた。</t>
    <rPh sb="189" eb="190">
      <t>カ</t>
    </rPh>
    <rPh sb="195" eb="197">
      <t>セカイ</t>
    </rPh>
    <rPh sb="198" eb="200">
      <t>ヘンヨウ</t>
    </rPh>
    <phoneticPr fontId="1"/>
  </si>
  <si>
    <t>令和3年度新規開講科目の「データリテラシー」「日経講座：デジタル化で加速する世界の変容」について、公益学部で年2回行っている授業評価アンケートでの「この授業の履修を他の学生にも勧めたいと思いますか」との問いに対し「そう思う」「ややそう思う」と肯定的な回答をした者が、それぞれ93.8％、88.0％であり、多くの学生が他の学生に勧めたいと回答した。</t>
    <rPh sb="32" eb="33">
      <t>カ</t>
    </rPh>
    <rPh sb="34" eb="36">
      <t>カソク</t>
    </rPh>
    <rPh sb="38" eb="40">
      <t>セカイ</t>
    </rPh>
    <rPh sb="41" eb="43">
      <t>ヘンヨウ</t>
    </rPh>
    <phoneticPr fontId="1"/>
  </si>
  <si>
    <t>令和3年度から開講された「日経講座：デジタル化で加速する世界の変容」では、日本経済新聞社の論説委員、編集委員らベテラン記者が解説する教材を使用し、かつ、随時質問を投げかけるなどして、学生に考える機会を与えている。また、わかりやすい文章の書き方についても伝えている。</t>
    <rPh sb="22" eb="23">
      <t>カ</t>
    </rPh>
    <rPh sb="24" eb="26">
      <t>カソク</t>
    </rPh>
    <rPh sb="28" eb="30">
      <t>セカイ</t>
    </rPh>
    <rPh sb="31" eb="33">
      <t>ヘンヨウ</t>
    </rPh>
    <phoneticPr fontId="1"/>
  </si>
  <si>
    <t>様式２</t>
    <phoneticPr fontId="1"/>
  </si>
  <si>
    <t>・次の必修科目及び選択必修科目を、休学者等を除く全学生が2年次までに修得するよう指導する。
　必修：「データリテラシー」2単位（1年次必修）、「基礎プログラミングⅠ」2単位（2年次必修）、「基礎プログラミングⅡ」2単位（2年次必修）
　選択必修：「ＡＩと社会」1単位と「セキュリティ論」1単位の計2単位、または「日経講座：デジタル化で加速する世界の変容」2単位
・個々の科目について、メディア情報コース教員が中心になり、履修者数や単位修得状況、科目担当教員からの課題提出状況等の情報をふまえて、授業内容の検討・見直しを行う。
・年2回、各学期の最終週に実施している、学生による授業評価アンケートや教育改善意見交換会での意見をもとに、教育推進委員会FD部会が、授業方法の改善についてのFDを行う。
・教育推進センターが、上記のほか、教員やTA(ティーチング・アシスタント)学生からの意見なども参考にしながら、プログラムでの学修内容と各科目の内容の接続等を推進することを通して、履修者数・履修率の向上を図る。</t>
    <rPh sb="17" eb="21">
      <t>キュウガクシャトウ</t>
    </rPh>
    <rPh sb="22" eb="23">
      <t>ノゾ</t>
    </rPh>
    <rPh sb="24" eb="27">
      <t>ゼンガクセイ</t>
    </rPh>
    <rPh sb="29" eb="31">
      <t>ネンジ</t>
    </rPh>
    <rPh sb="34" eb="36">
      <t>シュウトク</t>
    </rPh>
    <rPh sb="40" eb="42">
      <t>シドウ</t>
    </rPh>
    <rPh sb="61" eb="63">
      <t>タンイ</t>
    </rPh>
    <rPh sb="65" eb="69">
      <t>ネンジヒッシュウ</t>
    </rPh>
    <rPh sb="84" eb="86">
      <t>タンイ</t>
    </rPh>
    <rPh sb="88" eb="92">
      <t>ネンジヒッシュウ</t>
    </rPh>
    <rPh sb="107" eb="109">
      <t>タンイ</t>
    </rPh>
    <rPh sb="111" eb="115">
      <t>ネンジヒッシュウ</t>
    </rPh>
    <rPh sb="118" eb="122">
      <t>センタクヒッシュウ</t>
    </rPh>
    <rPh sb="127" eb="129">
      <t>シャカイ</t>
    </rPh>
    <rPh sb="131" eb="133">
      <t>タンイ</t>
    </rPh>
    <rPh sb="141" eb="142">
      <t>ロン</t>
    </rPh>
    <rPh sb="144" eb="146">
      <t>タンイ</t>
    </rPh>
    <rPh sb="147" eb="148">
      <t>ケイ</t>
    </rPh>
    <rPh sb="149" eb="151">
      <t>タンイ</t>
    </rPh>
    <rPh sb="156" eb="160">
      <t>ニッケイコウザ</t>
    </rPh>
    <rPh sb="165" eb="166">
      <t>カ</t>
    </rPh>
    <rPh sb="167" eb="169">
      <t>カソク</t>
    </rPh>
    <rPh sb="171" eb="173">
      <t>セカイ</t>
    </rPh>
    <rPh sb="174" eb="176">
      <t>ヘンヨウ</t>
    </rPh>
    <rPh sb="178" eb="180">
      <t>タンイ</t>
    </rPh>
    <rPh sb="182" eb="184">
      <t>ココ</t>
    </rPh>
    <rPh sb="185" eb="187">
      <t>カモク</t>
    </rPh>
    <rPh sb="196" eb="198">
      <t>ジョウホウ</t>
    </rPh>
    <rPh sb="201" eb="203">
      <t>キョウイン</t>
    </rPh>
    <rPh sb="204" eb="206">
      <t>チュウシン</t>
    </rPh>
    <rPh sb="210" eb="214">
      <t>リシュウシャスウ</t>
    </rPh>
    <rPh sb="215" eb="221">
      <t>タンイシュウトクジョウキョウ</t>
    </rPh>
    <rPh sb="222" eb="228">
      <t>カモクタントウキョウイン</t>
    </rPh>
    <rPh sb="239" eb="241">
      <t>ジョウホウ</t>
    </rPh>
    <rPh sb="247" eb="251">
      <t>ジュギョウナイヨウ</t>
    </rPh>
    <rPh sb="252" eb="254">
      <t>ケントウ</t>
    </rPh>
    <rPh sb="255" eb="257">
      <t>ミナオ</t>
    </rPh>
    <rPh sb="259" eb="260">
      <t>オコナ</t>
    </rPh>
    <rPh sb="274" eb="275">
      <t>シュウ</t>
    </rPh>
    <rPh sb="283" eb="285">
      <t>ガクセイ</t>
    </rPh>
    <rPh sb="288" eb="292">
      <t>ジュギョウヒョウカ</t>
    </rPh>
    <rPh sb="349" eb="353">
      <t>キョウイクスイシン</t>
    </rPh>
    <rPh sb="395" eb="397">
      <t>サンコウ</t>
    </rPh>
    <rPh sb="415" eb="416">
      <t>カク</t>
    </rPh>
    <rPh sb="419" eb="421">
      <t>ナイヨウ</t>
    </rPh>
    <rPh sb="424" eb="425">
      <t>トウ</t>
    </rPh>
    <rPh sb="437" eb="441">
      <t>リシュウシャスウ</t>
    </rPh>
    <rPh sb="442" eb="445">
      <t>リシュウリツ</t>
    </rPh>
    <rPh sb="446" eb="448">
      <t>コウジョウ</t>
    </rPh>
    <rPh sb="449" eb="450">
      <t>ハカ</t>
    </rPh>
    <phoneticPr fontId="1"/>
  </si>
  <si>
    <t>メディア情報コースリーダー、教授</t>
    <rPh sb="4" eb="6">
      <t>ジョウホウ</t>
    </rPh>
    <rPh sb="14" eb="16">
      <t>キョウジュ</t>
    </rPh>
    <phoneticPr fontId="1"/>
  </si>
  <si>
    <t>年2回、各学期の授業開始前に行う履修ガイダンスにおいて、本プログラム履修の意義を伝えるとともに、必修科目を配当年次に確実に履修するよう、指導を行っている。なお、履修登録はすべて学生自身がシステム上で行い、必修科目の履修登録がなされていない場合は、エラーが表示されて学生が履修の必要性を認識できるようになっている。</t>
    <rPh sb="0" eb="1">
      <t>ネン</t>
    </rPh>
    <rPh sb="2" eb="3">
      <t>カイ</t>
    </rPh>
    <rPh sb="4" eb="7">
      <t>カクガッキ</t>
    </rPh>
    <rPh sb="8" eb="10">
      <t>ジュギョウ</t>
    </rPh>
    <rPh sb="10" eb="13">
      <t>カイシマエ</t>
    </rPh>
    <rPh sb="14" eb="15">
      <t>オコナ</t>
    </rPh>
    <rPh sb="16" eb="18">
      <t>リシュウ</t>
    </rPh>
    <rPh sb="28" eb="29">
      <t>ホン</t>
    </rPh>
    <rPh sb="34" eb="36">
      <t>リシュウ</t>
    </rPh>
    <rPh sb="37" eb="39">
      <t>イギ</t>
    </rPh>
    <rPh sb="40" eb="41">
      <t>ツタ</t>
    </rPh>
    <rPh sb="48" eb="52">
      <t>ヒッシュウカモク</t>
    </rPh>
    <rPh sb="53" eb="57">
      <t>ハイトウネンジ</t>
    </rPh>
    <rPh sb="58" eb="60">
      <t>カクジツ</t>
    </rPh>
    <rPh sb="61" eb="63">
      <t>リシュウ</t>
    </rPh>
    <rPh sb="68" eb="70">
      <t>シドウ</t>
    </rPh>
    <rPh sb="71" eb="72">
      <t>オコナ</t>
    </rPh>
    <rPh sb="80" eb="84">
      <t>リシュウトウロク</t>
    </rPh>
    <rPh sb="97" eb="98">
      <t>ジョウ</t>
    </rPh>
    <rPh sb="99" eb="100">
      <t>オコナ</t>
    </rPh>
    <rPh sb="102" eb="106">
      <t>ヒッシュウカモク</t>
    </rPh>
    <rPh sb="107" eb="111">
      <t>リシュウトウロク</t>
    </rPh>
    <rPh sb="119" eb="121">
      <t>バアイ</t>
    </rPh>
    <rPh sb="127" eb="129">
      <t>ヒョウジ</t>
    </rPh>
    <rPh sb="138" eb="141">
      <t>ヒツヨウセイ</t>
    </rPh>
    <rPh sb="142" eb="144">
      <t>ニンシキ</t>
    </rPh>
    <phoneticPr fontId="1"/>
  </si>
  <si>
    <t>「データリテラシー」「基礎プログラミングⅠ」「基礎プログラミングⅡ」等、必修の情報科目については、前年度に当該科目を履修した学生のうち成績優秀な上級生を「TA(ティーチング・アシスタント)」学生として配置し、機器の操作に慣れていない学生の支援を行ってもらうとともに、理解状況に応じて個別指導も受け付け、全員が確実に修得できるよう支援している。また、1クラス当たりの履修者数を少なくして、教員やTA学生によるきめ細やかな指導が行き届くように配慮している。</t>
    <rPh sb="116" eb="118">
      <t>ガクセイ</t>
    </rPh>
    <rPh sb="119" eb="121">
      <t>シエン</t>
    </rPh>
    <rPh sb="122" eb="123">
      <t>オコナ</t>
    </rPh>
    <rPh sb="146" eb="147">
      <t>ウ</t>
    </rPh>
    <rPh sb="148" eb="149">
      <t>ツ</t>
    </rPh>
    <rPh sb="198" eb="200">
      <t>ガクセイ</t>
    </rPh>
    <rPh sb="205" eb="206">
      <t>コマ</t>
    </rPh>
    <rPh sb="209" eb="211">
      <t>シドウ</t>
    </rPh>
    <rPh sb="212" eb="213">
      <t>イ</t>
    </rPh>
    <rPh sb="214" eb="215">
      <t>トド</t>
    </rPh>
    <rPh sb="219" eb="221">
      <t>ハイリョ</t>
    </rPh>
    <phoneticPr fontId="1"/>
  </si>
  <si>
    <t>科目担当教員やTA学生が、授業中の履修者からの質問や個別相談に対応するほか、全教員（非常勤講師を含む）が授業時間外に学生への質問に答えたり、学修指導を行ったりできるオフィスアワーを設けている。また、教員が学生からの質問等に随時対応できるよう、SNSを活用している。このほか、VPN接続により学内ネットワークに学外から接続し、いつでも学修できる体制を整備しているほか、授業を録画し、オンデマンド形式で事前・事後学修を行うことができる科目も設けており、今後こうした科目を増やしていく方向で検討している。</t>
    <rPh sb="0" eb="4">
      <t>カモクタントウ</t>
    </rPh>
    <rPh sb="4" eb="6">
      <t>キョウイン</t>
    </rPh>
    <rPh sb="9" eb="11">
      <t>ガクセイ</t>
    </rPh>
    <rPh sb="13" eb="16">
      <t>ジュギョウチュウ</t>
    </rPh>
    <rPh sb="17" eb="20">
      <t>リシュウシャ</t>
    </rPh>
    <rPh sb="23" eb="25">
      <t>シツモン</t>
    </rPh>
    <rPh sb="26" eb="28">
      <t>コベツ</t>
    </rPh>
    <rPh sb="28" eb="30">
      <t>ソウダン</t>
    </rPh>
    <rPh sb="31" eb="33">
      <t>タイオウ</t>
    </rPh>
    <rPh sb="52" eb="57">
      <t>ジュギョウジカンガイ</t>
    </rPh>
    <rPh sb="58" eb="60">
      <t>ガクセイ</t>
    </rPh>
    <rPh sb="62" eb="64">
      <t>シツモン</t>
    </rPh>
    <rPh sb="65" eb="66">
      <t>コタ</t>
    </rPh>
    <rPh sb="70" eb="74">
      <t>ガクシュウシドウ</t>
    </rPh>
    <rPh sb="75" eb="76">
      <t>オコナ</t>
    </rPh>
    <rPh sb="90" eb="91">
      <t>モウ</t>
    </rPh>
    <rPh sb="125" eb="127">
      <t>カツヨウ</t>
    </rPh>
    <rPh sb="186" eb="188">
      <t>キョウイン</t>
    </rPh>
    <rPh sb="189" eb="191">
      <t>ガクセイ</t>
    </rPh>
    <rPh sb="194" eb="196">
      <t>シツモン</t>
    </rPh>
    <rPh sb="196" eb="197">
      <t>トウ</t>
    </rPh>
    <rPh sb="207" eb="208">
      <t>オコナ</t>
    </rPh>
    <rPh sb="218" eb="219">
      <t>モウ</t>
    </rPh>
    <rPh sb="224" eb="226">
      <t>コンゴ</t>
    </rPh>
    <rPh sb="230" eb="232">
      <t>カモク</t>
    </rPh>
    <rPh sb="233" eb="234">
      <t>フ</t>
    </rPh>
    <rPh sb="239" eb="241">
      <t>ホウコウ</t>
    </rPh>
    <rPh sb="242" eb="244">
      <t>ケントウガクシュウ</t>
    </rPh>
    <phoneticPr fontId="1"/>
  </si>
  <si>
    <t>教育推進委員（令和3年度の委員は次のとおり。）
・委員長 ： 松田　憲　公益学部教授（国際教養コース所属）
・委員 ： 古山　隆　公益学部教授（学修支援部会長、経営コース所属）
・委員 ： 白旗　希実子　公益学部准教授（教職課程運営部会長、政策コース所属）
・委員 ： 鎌田　剛　公益学部准教授（長期学外学修部会長、地域福祉コース所属）
・委員 ： 玉井　雅隆　公益学部准教授（国際交流センター長、国際教養コース所属）
・委員 ： 温井　亨　公益学部教授（FD部会長、観光・まちづくりコース所属）
・委員 ： ノヴァコフスキ　カロル　公益学部講師（研究科運営委員、メディア情報コース所属）
・委員 ： 白田　裕司　教務学生課長
教育推進委員会では、学部のカリキュラムの検討や学修成果の確認、改善方策の検討を行っている。
教員の委員は委員長のほか、6つのコースの教員各1名から構成されており、各コースの教育にデータサイエンス教育の成果を反映させる方法について検討するなど、全学体制でデータサイエンス・AI教育プログラムの推進を図ることができる体制となっている。</t>
    <rPh sb="0" eb="6">
      <t>キョウイクスイシンイイン</t>
    </rPh>
    <rPh sb="7" eb="9">
      <t>レイワ</t>
    </rPh>
    <rPh sb="10" eb="12">
      <t>ネンド</t>
    </rPh>
    <rPh sb="13" eb="15">
      <t>イイン</t>
    </rPh>
    <rPh sb="16" eb="17">
      <t>ツギ</t>
    </rPh>
    <rPh sb="25" eb="28">
      <t>イインチョウ</t>
    </rPh>
    <rPh sb="31" eb="33">
      <t>マツタ</t>
    </rPh>
    <rPh sb="34" eb="35">
      <t>ケン</t>
    </rPh>
    <rPh sb="36" eb="42">
      <t>コウエキガクブキョウジュ</t>
    </rPh>
    <rPh sb="43" eb="47">
      <t>コクサイキョウヨウ</t>
    </rPh>
    <rPh sb="50" eb="52">
      <t>ショゾク</t>
    </rPh>
    <rPh sb="55" eb="57">
      <t>イイン</t>
    </rPh>
    <rPh sb="60" eb="62">
      <t>フルヤマ</t>
    </rPh>
    <rPh sb="63" eb="64">
      <t>タカシ</t>
    </rPh>
    <rPh sb="72" eb="79">
      <t>ガクシュウシエンブカイチョウ</t>
    </rPh>
    <rPh sb="80" eb="82">
      <t>ケイエイ</t>
    </rPh>
    <rPh sb="85" eb="87">
      <t>ショゾク</t>
    </rPh>
    <rPh sb="90" eb="92">
      <t>イイン</t>
    </rPh>
    <rPh sb="95" eb="97">
      <t>シラハタ</t>
    </rPh>
    <rPh sb="106" eb="107">
      <t>ジュン</t>
    </rPh>
    <rPh sb="110" eb="119">
      <t>キョウショクカテイウンエイブカイチョウ</t>
    </rPh>
    <rPh sb="130" eb="132">
      <t>イイン</t>
    </rPh>
    <rPh sb="135" eb="137">
      <t>カマダ</t>
    </rPh>
    <rPh sb="138" eb="139">
      <t>ゴウ</t>
    </rPh>
    <rPh sb="144" eb="145">
      <t>ジュン</t>
    </rPh>
    <rPh sb="148" eb="150">
      <t>チョウキ</t>
    </rPh>
    <rPh sb="150" eb="157">
      <t>ガクガイガクシュウブカイチョウ</t>
    </rPh>
    <rPh sb="158" eb="162">
      <t>チイキフクシ</t>
    </rPh>
    <rPh sb="170" eb="172">
      <t>イイン</t>
    </rPh>
    <rPh sb="175" eb="177">
      <t>タマイ</t>
    </rPh>
    <rPh sb="178" eb="180">
      <t>マサタカ</t>
    </rPh>
    <rPh sb="185" eb="186">
      <t>ジュン</t>
    </rPh>
    <rPh sb="189" eb="193">
      <t>コクサイコウリュウ</t>
    </rPh>
    <rPh sb="197" eb="198">
      <t>チョウ</t>
    </rPh>
    <rPh sb="208" eb="210">
      <t>イイン</t>
    </rPh>
    <rPh sb="271" eb="273">
      <t>コウシ</t>
    </rPh>
    <rPh sb="286" eb="288">
      <t>ジョウホウ</t>
    </rPh>
    <rPh sb="296" eb="298">
      <t>シラタ</t>
    </rPh>
    <rPh sb="301" eb="303">
      <t>ユウジ</t>
    </rPh>
    <rPh sb="363" eb="366">
      <t>イインチョウ</t>
    </rPh>
    <rPh sb="377" eb="379">
      <t>キョウイン</t>
    </rPh>
    <rPh sb="379" eb="380">
      <t>カク</t>
    </rPh>
    <rPh sb="381" eb="382">
      <t>メイ</t>
    </rPh>
    <phoneticPr fontId="1"/>
  </si>
  <si>
    <t>令和3年度は「株式会社エヌ・ティ・ティ・データ」から、モデルカリキュラム「導入」「基礎」「心得」に対応する科目について、「審査項目1～5」の観点から外部評価を受けた。この中で、「組織マネジメントと技術活用」という観点から「経営工学ａ・ｂ」を含めることの提案などをいただき、指摘をふまえて改善を図った。</t>
    <rPh sb="49" eb="51">
      <t>タイオウ</t>
    </rPh>
    <rPh sb="53" eb="55">
      <t>カモク</t>
    </rPh>
    <rPh sb="70" eb="72">
      <t>カンテン</t>
    </rPh>
    <rPh sb="74" eb="78">
      <t>ガイブヒョウカ</t>
    </rPh>
    <rPh sb="79" eb="80">
      <t>ウ</t>
    </rPh>
    <rPh sb="85" eb="86">
      <t>ナカ</t>
    </rPh>
    <rPh sb="89" eb="91">
      <t>ソシキ</t>
    </rPh>
    <rPh sb="98" eb="102">
      <t>ギジュツカツヨウ</t>
    </rPh>
    <rPh sb="106" eb="108">
      <t>カンテン</t>
    </rPh>
    <rPh sb="111" eb="115">
      <t>ケイエイコウガク</t>
    </rPh>
    <rPh sb="120" eb="121">
      <t>フク</t>
    </rPh>
    <rPh sb="126" eb="128">
      <t>テイアン</t>
    </rPh>
    <rPh sb="143" eb="145">
      <t>カイゼン</t>
    </rPh>
    <rPh sb="146" eb="147">
      <t>ハカ</t>
    </rPh>
    <phoneticPr fontId="1"/>
  </si>
  <si>
    <t>https://www.koeki-u.ac.jp/academics/datascience_ai_kyoiku_program.html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</si>
</sst>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2" fillId="0" borderId="0" xfId="0" applyFont="1" applyAlignment="1">
      <alignment horizontal="right" vertical="center"/>
    </xf>
    <xf numFmtId="0" fontId="14" fillId="0" borderId="0" xfId="0" applyFont="1" applyAlignment="1">
      <alignment horizontal="center" vertical="center"/>
    </xf>
    <xf numFmtId="0" fontId="18" fillId="0" borderId="20" xfId="0" applyFont="1" applyBorder="1" applyAlignment="1">
      <alignment vertical="top" shrinkToFit="1"/>
    </xf>
    <xf numFmtId="0" fontId="18" fillId="0" borderId="18" xfId="0" applyFont="1" applyBorder="1" applyAlignment="1">
      <alignment vertical="top"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20"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9" fillId="0" borderId="0" xfId="0" applyFont="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9" fillId="0" borderId="7" xfId="0" applyFont="1" applyBorder="1" applyAlignment="1">
      <alignment vertical="center"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0" fillId="0" borderId="2" xfId="2" applyFont="1" applyBorder="1" applyAlignment="1">
      <alignment vertical="center" shrinkToFit="1"/>
    </xf>
    <xf numFmtId="0" fontId="8"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Alignment="1">
      <alignment vertical="center" wrapText="1"/>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20"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8"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0" fillId="0" borderId="2" xfId="2" applyFont="1" applyBorder="1" applyAlignment="1">
      <alignment horizontal="center" vertical="center" shrinkToFit="1"/>
    </xf>
    <xf numFmtId="0" fontId="20" fillId="0" borderId="3" xfId="2" applyFont="1" applyBorder="1" applyAlignment="1">
      <alignment horizontal="center" vertical="center" shrinkToFit="1"/>
    </xf>
    <xf numFmtId="0" fontId="20"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19" xfId="0" applyFont="1" applyBorder="1" applyAlignment="1">
      <alignment vertical="top" wrapText="1" shrinkToFit="1"/>
    </xf>
    <xf numFmtId="0" fontId="20" fillId="0" borderId="20" xfId="0" applyFont="1" applyBorder="1" applyAlignment="1">
      <alignment vertical="top" wrapText="1" shrinkToFit="1"/>
    </xf>
    <xf numFmtId="0" fontId="20"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koeki-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oeki-u.ac.jp/about_us/assessmen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9" t="s">
        <v>25</v>
      </c>
      <c r="N1" s="139"/>
    </row>
    <row r="2" spans="1:15" ht="24" customHeight="1" x14ac:dyDescent="0.15">
      <c r="A2" s="143" t="s">
        <v>83</v>
      </c>
      <c r="B2" s="143"/>
      <c r="C2" s="143"/>
      <c r="D2" s="143"/>
      <c r="E2" s="143"/>
      <c r="F2" s="143"/>
      <c r="G2" s="143"/>
      <c r="H2" s="143"/>
      <c r="I2" s="143"/>
      <c r="J2" s="143"/>
      <c r="K2" s="143"/>
      <c r="L2" s="143"/>
      <c r="M2" s="143"/>
      <c r="N2" s="143"/>
    </row>
    <row r="3" spans="1:15" ht="24" customHeight="1" x14ac:dyDescent="0.15"/>
    <row r="4" spans="1:15" ht="24" customHeight="1" x14ac:dyDescent="0.15">
      <c r="A4" s="14" t="s">
        <v>6</v>
      </c>
      <c r="B4" s="15" t="s">
        <v>16</v>
      </c>
      <c r="C4" s="131" t="s">
        <v>148</v>
      </c>
      <c r="D4" s="132"/>
      <c r="E4" s="132"/>
      <c r="F4" s="132"/>
      <c r="G4" s="132"/>
      <c r="H4" s="132"/>
      <c r="I4" s="132"/>
      <c r="J4" s="132"/>
      <c r="K4" s="132"/>
      <c r="L4" s="132"/>
      <c r="M4" s="132"/>
      <c r="N4" s="138"/>
      <c r="O4" s="31" t="str">
        <f>IF(C4="","入力してください","")</f>
        <v/>
      </c>
    </row>
    <row r="5" spans="1:15" ht="7.5" customHeight="1" x14ac:dyDescent="0.15">
      <c r="B5" s="15"/>
      <c r="C5" s="15"/>
      <c r="D5" s="15"/>
      <c r="E5" s="16"/>
      <c r="F5" s="35"/>
      <c r="G5" s="35"/>
      <c r="H5" s="35"/>
      <c r="I5" s="35"/>
      <c r="J5" s="35"/>
      <c r="K5" s="35"/>
      <c r="L5" s="35"/>
      <c r="M5" s="35"/>
      <c r="N5" s="35"/>
    </row>
    <row r="6" spans="1:15" ht="24" customHeight="1" x14ac:dyDescent="0.15">
      <c r="A6" s="14" t="s">
        <v>48</v>
      </c>
      <c r="B6" s="15" t="s">
        <v>49</v>
      </c>
      <c r="C6" s="15"/>
      <c r="D6" s="131" t="s">
        <v>149</v>
      </c>
      <c r="E6" s="132"/>
      <c r="F6" s="132"/>
      <c r="G6" s="132"/>
      <c r="H6" s="138"/>
      <c r="I6" s="17" t="s">
        <v>86</v>
      </c>
      <c r="J6" s="35" t="s">
        <v>87</v>
      </c>
      <c r="K6" s="131" t="s">
        <v>150</v>
      </c>
      <c r="L6" s="132"/>
      <c r="M6" s="132"/>
      <c r="N6" s="138"/>
      <c r="O6" s="31" t="str">
        <f>IF(D6="","入力してください","")</f>
        <v/>
      </c>
    </row>
    <row r="7" spans="1:15" ht="7.5" customHeight="1" x14ac:dyDescent="0.15">
      <c r="B7" s="15"/>
      <c r="C7" s="15"/>
      <c r="D7" s="15"/>
      <c r="E7" s="16"/>
      <c r="F7" s="35"/>
      <c r="G7" s="35"/>
      <c r="H7" s="35"/>
      <c r="I7" s="35"/>
      <c r="J7" s="35"/>
      <c r="K7" s="35"/>
      <c r="L7" s="35"/>
      <c r="M7" s="35"/>
      <c r="N7" s="35"/>
    </row>
    <row r="8" spans="1:15" ht="24" customHeight="1" x14ac:dyDescent="0.15">
      <c r="A8" s="14" t="s">
        <v>13</v>
      </c>
      <c r="B8" s="15" t="s">
        <v>45</v>
      </c>
      <c r="C8" s="131" t="s">
        <v>151</v>
      </c>
      <c r="D8" s="132"/>
      <c r="E8" s="132"/>
      <c r="F8" s="132"/>
      <c r="G8" s="132"/>
      <c r="H8" s="132"/>
      <c r="I8" s="132"/>
      <c r="J8" s="132"/>
      <c r="K8" s="132"/>
      <c r="L8" s="132"/>
      <c r="M8" s="132"/>
      <c r="N8" s="138"/>
      <c r="O8" s="31" t="str">
        <f>IF(C8="","入力してください","")</f>
        <v/>
      </c>
    </row>
    <row r="9" spans="1:15" ht="7.5" customHeight="1" x14ac:dyDescent="0.15">
      <c r="B9" s="15"/>
      <c r="C9" s="15"/>
      <c r="D9" s="15"/>
      <c r="E9" s="16"/>
      <c r="F9" s="35"/>
      <c r="G9" s="35"/>
      <c r="H9" s="35"/>
      <c r="I9" s="35"/>
      <c r="J9" s="35"/>
      <c r="K9" s="35"/>
      <c r="L9" s="35"/>
      <c r="M9" s="35"/>
      <c r="N9" s="35"/>
    </row>
    <row r="10" spans="1:15" ht="24" customHeight="1" x14ac:dyDescent="0.15">
      <c r="A10" s="14" t="s">
        <v>11</v>
      </c>
      <c r="B10" s="15" t="s">
        <v>85</v>
      </c>
      <c r="C10" s="15"/>
      <c r="D10" s="15"/>
      <c r="E10" s="131" t="s">
        <v>152</v>
      </c>
      <c r="F10" s="132"/>
      <c r="G10" s="132"/>
      <c r="H10" s="132"/>
      <c r="I10" s="132"/>
      <c r="J10" s="132"/>
      <c r="K10" s="132"/>
      <c r="L10" s="132"/>
      <c r="M10" s="132"/>
      <c r="N10" s="138"/>
      <c r="O10" s="31" t="str">
        <f>IF(E10="","入力してください","")</f>
        <v/>
      </c>
    </row>
    <row r="11" spans="1:15" ht="7.5" customHeight="1" x14ac:dyDescent="0.15">
      <c r="B11" s="16"/>
      <c r="C11" s="16"/>
      <c r="D11" s="16"/>
      <c r="E11" s="16"/>
      <c r="F11" s="35"/>
      <c r="G11" s="35"/>
      <c r="H11" s="35"/>
      <c r="I11" s="35"/>
      <c r="J11" s="35"/>
      <c r="K11" s="35"/>
      <c r="L11" s="35"/>
      <c r="M11" s="35"/>
      <c r="N11" s="35"/>
    </row>
    <row r="12" spans="1:15" ht="24" customHeight="1" x14ac:dyDescent="0.15">
      <c r="A12" s="14" t="s">
        <v>58</v>
      </c>
      <c r="B12" s="16" t="s">
        <v>59</v>
      </c>
      <c r="C12" s="16"/>
      <c r="D12" s="16"/>
      <c r="E12" s="144" t="s">
        <v>153</v>
      </c>
      <c r="F12" s="145"/>
      <c r="G12" s="17" t="s">
        <v>96</v>
      </c>
      <c r="H12" s="14" t="s">
        <v>97</v>
      </c>
      <c r="N12" s="114" t="s">
        <v>154</v>
      </c>
      <c r="O12" s="31" t="str">
        <f>IF(E12="","入力してください","")</f>
        <v/>
      </c>
    </row>
    <row r="13" spans="1:15" ht="7.5" customHeight="1" x14ac:dyDescent="0.15">
      <c r="B13" s="16"/>
      <c r="C13" s="16"/>
      <c r="D13" s="16"/>
      <c r="E13" s="16"/>
      <c r="F13" s="35"/>
      <c r="G13" s="35"/>
      <c r="H13" s="35"/>
      <c r="I13" s="35"/>
      <c r="J13" s="35"/>
      <c r="K13" s="35"/>
      <c r="L13" s="35"/>
      <c r="M13" s="35"/>
      <c r="N13" s="35"/>
    </row>
    <row r="14" spans="1:15" ht="24" customHeight="1" x14ac:dyDescent="0.15">
      <c r="A14" s="14" t="s">
        <v>53</v>
      </c>
      <c r="B14" s="14" t="s">
        <v>0</v>
      </c>
      <c r="C14" s="140" t="s">
        <v>5</v>
      </c>
      <c r="D14" s="141"/>
      <c r="E14" s="135">
        <v>39</v>
      </c>
      <c r="F14" s="136"/>
      <c r="G14" s="18" t="s">
        <v>7</v>
      </c>
      <c r="I14" s="140" t="s">
        <v>8</v>
      </c>
      <c r="J14" s="141"/>
      <c r="K14" s="135">
        <v>63</v>
      </c>
      <c r="L14" s="142"/>
      <c r="M14" s="136"/>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23">
        <v>12</v>
      </c>
      <c r="L16" s="124"/>
      <c r="M16" s="125"/>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5">
        <v>235</v>
      </c>
      <c r="F18" s="136"/>
      <c r="G18" s="21" t="s">
        <v>21</v>
      </c>
      <c r="H18" s="20"/>
      <c r="K18" s="137"/>
      <c r="L18" s="137"/>
      <c r="M18" s="137"/>
      <c r="N18" s="137"/>
      <c r="O18" s="31" t="str">
        <f>IF(E18="","入力してください","")</f>
        <v/>
      </c>
    </row>
    <row r="19" spans="1:15" ht="7.5" customHeight="1" x14ac:dyDescent="0.15">
      <c r="E19" s="10"/>
      <c r="F19" s="20"/>
      <c r="G19" s="20"/>
      <c r="L19" s="34"/>
      <c r="M19" s="34"/>
      <c r="N19" s="22"/>
    </row>
    <row r="20" spans="1:15" ht="24" customHeight="1" x14ac:dyDescent="0.15">
      <c r="A20" s="14" t="s">
        <v>76</v>
      </c>
      <c r="B20" s="14" t="s">
        <v>78</v>
      </c>
      <c r="E20" s="10"/>
      <c r="F20" s="20"/>
      <c r="G20" s="20"/>
      <c r="H20" s="14" t="s">
        <v>52</v>
      </c>
      <c r="J20" s="126">
        <v>985</v>
      </c>
      <c r="K20" s="127"/>
      <c r="L20" s="128"/>
      <c r="M20" s="34" t="s">
        <v>51</v>
      </c>
      <c r="N20" s="22"/>
      <c r="O20" s="31" t="str">
        <f>IF(J20="","入力してください","")</f>
        <v/>
      </c>
    </row>
    <row r="21" spans="1:15" ht="7.5" customHeight="1" x14ac:dyDescent="0.15">
      <c r="E21" s="10"/>
      <c r="F21" s="20"/>
      <c r="G21" s="20"/>
      <c r="L21" s="34"/>
      <c r="M21" s="34"/>
      <c r="N21" s="22"/>
    </row>
    <row r="22" spans="1:15" ht="24" customHeight="1" x14ac:dyDescent="0.15">
      <c r="B22" s="29" t="s">
        <v>17</v>
      </c>
      <c r="C22" s="135">
        <v>234</v>
      </c>
      <c r="D22" s="136"/>
      <c r="E22" s="10" t="s">
        <v>22</v>
      </c>
      <c r="F22" s="20"/>
      <c r="G22" s="129" t="s">
        <v>18</v>
      </c>
      <c r="H22" s="129"/>
      <c r="I22" s="135">
        <v>254</v>
      </c>
      <c r="J22" s="136"/>
      <c r="K22" s="17" t="s">
        <v>22</v>
      </c>
      <c r="M22" s="34"/>
      <c r="N22" s="22"/>
    </row>
    <row r="23" spans="1:15" ht="7.5" customHeight="1" x14ac:dyDescent="0.15">
      <c r="B23" s="29"/>
      <c r="C23" s="11"/>
      <c r="D23" s="11"/>
      <c r="E23" s="10"/>
      <c r="F23" s="20"/>
      <c r="G23" s="34"/>
      <c r="H23" s="34"/>
      <c r="I23" s="11"/>
      <c r="J23" s="11"/>
      <c r="K23" s="17"/>
      <c r="M23" s="34"/>
      <c r="N23" s="22"/>
    </row>
    <row r="24" spans="1:15" ht="24" customHeight="1" x14ac:dyDescent="0.15">
      <c r="B24" s="29" t="s">
        <v>19</v>
      </c>
      <c r="C24" s="135">
        <v>248</v>
      </c>
      <c r="D24" s="136"/>
      <c r="E24" s="10" t="s">
        <v>22</v>
      </c>
      <c r="F24" s="20"/>
      <c r="G24" s="129" t="s">
        <v>20</v>
      </c>
      <c r="H24" s="129"/>
      <c r="I24" s="135">
        <v>249</v>
      </c>
      <c r="J24" s="136"/>
      <c r="K24" s="17" t="s">
        <v>22</v>
      </c>
      <c r="M24" s="34"/>
      <c r="N24" s="22"/>
    </row>
    <row r="25" spans="1:15" ht="7.5" customHeight="1" x14ac:dyDescent="0.15">
      <c r="B25" s="29"/>
      <c r="C25" s="11"/>
      <c r="D25" s="11"/>
      <c r="E25" s="10"/>
      <c r="F25" s="20"/>
      <c r="G25" s="34"/>
      <c r="H25" s="34"/>
      <c r="I25" s="11"/>
      <c r="J25" s="11"/>
      <c r="K25" s="17"/>
      <c r="M25" s="34"/>
      <c r="N25" s="22"/>
    </row>
    <row r="26" spans="1:15" ht="24" customHeight="1" x14ac:dyDescent="0.15">
      <c r="B26" s="29" t="s">
        <v>46</v>
      </c>
      <c r="C26" s="135"/>
      <c r="D26" s="136"/>
      <c r="E26" s="10" t="s">
        <v>7</v>
      </c>
      <c r="F26" s="20"/>
      <c r="G26" s="129" t="s">
        <v>47</v>
      </c>
      <c r="H26" s="129"/>
      <c r="I26" s="135"/>
      <c r="J26" s="136"/>
      <c r="K26" s="17" t="s">
        <v>7</v>
      </c>
      <c r="M26" s="34"/>
      <c r="N26" s="22"/>
    </row>
    <row r="27" spans="1:15" ht="7.5" customHeight="1" x14ac:dyDescent="0.15">
      <c r="F27" s="20"/>
      <c r="G27" s="20"/>
      <c r="M27" s="23"/>
      <c r="N27" s="23"/>
    </row>
    <row r="28" spans="1:15" ht="24" customHeight="1" x14ac:dyDescent="0.15">
      <c r="A28" s="14" t="s">
        <v>50</v>
      </c>
      <c r="B28" s="15" t="s">
        <v>75</v>
      </c>
      <c r="C28" s="15"/>
      <c r="D28" s="15"/>
      <c r="E28" s="15"/>
      <c r="F28" s="17"/>
      <c r="G28" s="35"/>
      <c r="H28" s="35"/>
      <c r="I28" s="35"/>
      <c r="J28" s="24"/>
      <c r="K28" s="24"/>
      <c r="L28" s="24"/>
      <c r="M28" s="24"/>
      <c r="N28" s="24"/>
    </row>
    <row r="29" spans="1:15" s="14" customFormat="1" ht="24" customHeight="1" x14ac:dyDescent="0.15">
      <c r="B29" s="130" t="s">
        <v>74</v>
      </c>
      <c r="C29" s="130"/>
      <c r="D29" s="131" t="s">
        <v>155</v>
      </c>
      <c r="E29" s="132"/>
      <c r="F29" s="132"/>
      <c r="G29" s="133" t="s">
        <v>23</v>
      </c>
      <c r="H29" s="130"/>
      <c r="I29" s="134"/>
      <c r="J29" s="131" t="s">
        <v>229</v>
      </c>
      <c r="K29" s="132"/>
      <c r="L29" s="132"/>
      <c r="M29" s="132"/>
      <c r="N29" s="138"/>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1" t="s">
        <v>156</v>
      </c>
      <c r="C32" s="132"/>
      <c r="D32" s="132"/>
      <c r="E32" s="132"/>
      <c r="F32" s="132"/>
      <c r="G32" s="132"/>
      <c r="H32" s="132"/>
      <c r="I32" s="132"/>
      <c r="J32" s="132"/>
      <c r="K32" s="132"/>
      <c r="L32" s="132"/>
      <c r="M32" s="132"/>
      <c r="N32" s="138"/>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0" t="s">
        <v>74</v>
      </c>
      <c r="C34" s="130"/>
      <c r="D34" s="131" t="s">
        <v>157</v>
      </c>
      <c r="E34" s="132"/>
      <c r="F34" s="132"/>
      <c r="G34" s="133" t="s">
        <v>55</v>
      </c>
      <c r="H34" s="130"/>
      <c r="I34" s="134"/>
      <c r="J34" s="131" t="s">
        <v>158</v>
      </c>
      <c r="K34" s="132"/>
      <c r="L34" s="132"/>
      <c r="M34" s="132"/>
      <c r="N34" s="138"/>
      <c r="O34" s="31" t="str">
        <f>IF(OR(D34="",J34=""),"入力してください","")</f>
        <v/>
      </c>
    </row>
    <row r="35" spans="1:15" ht="7.5" customHeight="1" x14ac:dyDescent="0.15">
      <c r="F35" s="35"/>
      <c r="G35" s="35"/>
      <c r="H35" s="35"/>
      <c r="I35" s="35"/>
      <c r="J35" s="35"/>
      <c r="K35" s="35"/>
      <c r="L35" s="35"/>
      <c r="M35" s="35"/>
      <c r="N35" s="35"/>
    </row>
    <row r="36" spans="1:15" ht="24" customHeight="1" x14ac:dyDescent="0.15">
      <c r="A36" s="14" t="s">
        <v>61</v>
      </c>
      <c r="B36" s="14" t="s">
        <v>81</v>
      </c>
      <c r="M36" s="23"/>
      <c r="N36" s="23"/>
    </row>
    <row r="37" spans="1:15" ht="24" customHeight="1" x14ac:dyDescent="0.15">
      <c r="B37" s="131" t="s">
        <v>159</v>
      </c>
      <c r="C37" s="132"/>
      <c r="D37" s="132"/>
      <c r="E37" s="132"/>
      <c r="F37" s="132"/>
      <c r="G37" s="132"/>
      <c r="H37" s="132"/>
      <c r="I37" s="132"/>
      <c r="J37" s="132"/>
      <c r="K37" s="132"/>
      <c r="L37" s="132"/>
      <c r="M37" s="132"/>
      <c r="N37" s="138"/>
      <c r="O37" s="31" t="str">
        <f>IF(B37="","入力してください","")</f>
        <v/>
      </c>
    </row>
    <row r="38" spans="1:15" ht="7.5" customHeight="1" x14ac:dyDescent="0.15">
      <c r="F38" s="35"/>
      <c r="G38" s="35"/>
      <c r="H38" s="35"/>
      <c r="I38" s="35"/>
      <c r="J38" s="35"/>
      <c r="K38" s="35"/>
      <c r="L38" s="35"/>
      <c r="M38" s="35"/>
      <c r="N38" s="35"/>
    </row>
    <row r="39" spans="1:15" s="14" customFormat="1" ht="24" customHeight="1" x14ac:dyDescent="0.15">
      <c r="B39" s="130" t="s">
        <v>74</v>
      </c>
      <c r="C39" s="130"/>
      <c r="D39" s="131" t="s">
        <v>160</v>
      </c>
      <c r="E39" s="132"/>
      <c r="F39" s="132"/>
      <c r="G39" s="133" t="s">
        <v>55</v>
      </c>
      <c r="H39" s="130"/>
      <c r="I39" s="134"/>
      <c r="J39" s="131" t="s">
        <v>161</v>
      </c>
      <c r="K39" s="132"/>
      <c r="L39" s="132"/>
      <c r="M39" s="132"/>
      <c r="N39" s="138"/>
      <c r="O39" s="31" t="str">
        <f>IF(OR(D39="",J39=""),"入力してください","")</f>
        <v/>
      </c>
    </row>
    <row r="40" spans="1:15" ht="7.5" customHeight="1" x14ac:dyDescent="0.15">
      <c r="F40" s="35"/>
      <c r="G40" s="35"/>
      <c r="H40" s="35"/>
      <c r="I40" s="35"/>
      <c r="J40" s="35"/>
      <c r="K40" s="35"/>
      <c r="L40" s="35"/>
      <c r="M40" s="35"/>
      <c r="N40" s="35"/>
    </row>
    <row r="41" spans="1:15" ht="24" customHeight="1" x14ac:dyDescent="0.15">
      <c r="A41" s="14" t="s">
        <v>88</v>
      </c>
      <c r="B41" s="70" t="s">
        <v>69</v>
      </c>
      <c r="E41" s="71"/>
      <c r="F41" s="131" t="s">
        <v>162</v>
      </c>
      <c r="G41" s="132"/>
      <c r="H41" s="132"/>
      <c r="I41" s="132"/>
      <c r="J41" s="132"/>
      <c r="K41" s="132"/>
      <c r="L41" s="132"/>
      <c r="M41" s="132"/>
      <c r="N41" s="138"/>
      <c r="O41" s="31" t="str">
        <f>IF(F41="","入力してください","")</f>
        <v/>
      </c>
    </row>
    <row r="42" spans="1:15" ht="7.5" customHeight="1" x14ac:dyDescent="0.15">
      <c r="F42" s="35"/>
      <c r="G42" s="35"/>
      <c r="H42" s="35"/>
      <c r="I42" s="35"/>
      <c r="J42" s="35"/>
      <c r="K42" s="35"/>
      <c r="L42" s="35"/>
      <c r="M42" s="35"/>
      <c r="N42" s="35"/>
    </row>
    <row r="43" spans="1:15" ht="24" customHeight="1" x14ac:dyDescent="0.15">
      <c r="A43" s="14" t="s">
        <v>98</v>
      </c>
    </row>
    <row r="44" spans="1:15" ht="24" customHeight="1" x14ac:dyDescent="0.15">
      <c r="B44" s="30" t="s">
        <v>1</v>
      </c>
      <c r="C44" s="152" t="s">
        <v>163</v>
      </c>
      <c r="D44" s="153"/>
      <c r="E44" s="153"/>
      <c r="F44" s="153"/>
      <c r="G44" s="153"/>
      <c r="H44" s="153"/>
      <c r="I44" s="26" t="s">
        <v>2</v>
      </c>
      <c r="J44" s="27"/>
      <c r="K44" s="131" t="s">
        <v>164</v>
      </c>
      <c r="L44" s="132"/>
      <c r="M44" s="132"/>
      <c r="N44" s="138"/>
      <c r="O44" s="31" t="str">
        <f>IF(OR(C44="",K44=""),"入力してください","")</f>
        <v/>
      </c>
    </row>
    <row r="45" spans="1:15" ht="24" customHeight="1" x14ac:dyDescent="0.15">
      <c r="B45" s="25" t="s">
        <v>4</v>
      </c>
      <c r="C45" s="146" t="s">
        <v>165</v>
      </c>
      <c r="D45" s="147"/>
      <c r="E45" s="147"/>
      <c r="F45" s="147"/>
      <c r="G45" s="147"/>
      <c r="H45" s="148"/>
      <c r="I45" s="26" t="s">
        <v>3</v>
      </c>
      <c r="J45" s="27"/>
      <c r="K45" s="149" t="s">
        <v>166</v>
      </c>
      <c r="L45" s="150"/>
      <c r="M45" s="150"/>
      <c r="N45" s="151"/>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6FE847FF-3F4D-4673-84F7-A692BC7420D8}"/>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103"/>
  <sheetViews>
    <sheetView showZeros="0"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5" t="s">
        <v>227</v>
      </c>
      <c r="X1" s="175"/>
      <c r="Y1" s="175"/>
      <c r="Z1" s="175"/>
    </row>
    <row r="2" spans="1:26" ht="18" customHeight="1" x14ac:dyDescent="0.15">
      <c r="A2" s="200" t="s">
        <v>67</v>
      </c>
      <c r="B2" s="200"/>
      <c r="C2" s="200"/>
      <c r="D2" s="200"/>
      <c r="E2" s="200"/>
      <c r="F2" s="200"/>
      <c r="G2" s="200"/>
      <c r="H2" s="200"/>
      <c r="I2" s="200"/>
      <c r="J2" s="200"/>
      <c r="K2" s="200"/>
      <c r="L2" s="200"/>
      <c r="M2" s="200"/>
      <c r="N2" s="200"/>
      <c r="O2" s="200"/>
      <c r="P2" s="200"/>
      <c r="Q2" s="200"/>
      <c r="R2" s="200"/>
      <c r="S2" s="200"/>
      <c r="T2" s="200"/>
      <c r="U2" s="200"/>
      <c r="V2" s="200"/>
      <c r="W2" s="200"/>
      <c r="X2" s="200"/>
      <c r="Y2" s="200"/>
      <c r="Z2" s="20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3" t="s">
        <v>167</v>
      </c>
      <c r="P4" s="124"/>
      <c r="Q4" s="124"/>
      <c r="R4" s="124"/>
      <c r="S4" s="124"/>
      <c r="T4" s="124"/>
      <c r="U4" s="124"/>
      <c r="V4" s="124"/>
      <c r="W4" s="124"/>
      <c r="X4" s="124"/>
      <c r="Y4" s="124"/>
      <c r="Z4" s="125"/>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01" t="s">
        <v>176</v>
      </c>
      <c r="C6" s="202"/>
      <c r="D6" s="202"/>
      <c r="E6" s="202"/>
      <c r="F6" s="202"/>
      <c r="G6" s="202"/>
      <c r="H6" s="202"/>
      <c r="I6" s="202"/>
      <c r="J6" s="202"/>
      <c r="K6" s="202"/>
      <c r="L6" s="202"/>
      <c r="M6" s="202"/>
      <c r="N6" s="202"/>
      <c r="O6" s="202"/>
      <c r="P6" s="202"/>
      <c r="Q6" s="202"/>
      <c r="R6" s="202"/>
      <c r="S6" s="202"/>
      <c r="T6" s="202"/>
      <c r="U6" s="202"/>
      <c r="V6" s="202"/>
      <c r="W6" s="202"/>
      <c r="X6" s="202"/>
      <c r="Y6" s="202"/>
      <c r="Z6" s="203"/>
    </row>
    <row r="7" spans="1:26" ht="18" customHeight="1" x14ac:dyDescent="0.15">
      <c r="B7" s="204"/>
      <c r="C7" s="205"/>
      <c r="D7" s="205"/>
      <c r="E7" s="205"/>
      <c r="F7" s="205"/>
      <c r="G7" s="205"/>
      <c r="H7" s="205"/>
      <c r="I7" s="205"/>
      <c r="J7" s="205"/>
      <c r="K7" s="205"/>
      <c r="L7" s="205"/>
      <c r="M7" s="205"/>
      <c r="N7" s="205"/>
      <c r="O7" s="205"/>
      <c r="P7" s="205"/>
      <c r="Q7" s="205"/>
      <c r="R7" s="205"/>
      <c r="S7" s="205"/>
      <c r="T7" s="205"/>
      <c r="U7" s="205"/>
      <c r="V7" s="205"/>
      <c r="W7" s="205"/>
      <c r="X7" s="205"/>
      <c r="Y7" s="205"/>
      <c r="Z7" s="206"/>
    </row>
    <row r="8" spans="1:26" ht="18" customHeight="1" x14ac:dyDescent="0.15">
      <c r="B8" s="204"/>
      <c r="C8" s="205"/>
      <c r="D8" s="205"/>
      <c r="E8" s="205"/>
      <c r="F8" s="205"/>
      <c r="G8" s="205"/>
      <c r="H8" s="205"/>
      <c r="I8" s="205"/>
      <c r="J8" s="205"/>
      <c r="K8" s="205"/>
      <c r="L8" s="205"/>
      <c r="M8" s="205"/>
      <c r="N8" s="205"/>
      <c r="O8" s="205"/>
      <c r="P8" s="205"/>
      <c r="Q8" s="205"/>
      <c r="R8" s="205"/>
      <c r="S8" s="205"/>
      <c r="T8" s="205"/>
      <c r="U8" s="205"/>
      <c r="V8" s="205"/>
      <c r="W8" s="205"/>
      <c r="X8" s="205"/>
      <c r="Y8" s="205"/>
      <c r="Z8" s="206"/>
    </row>
    <row r="9" spans="1:26" ht="18" customHeight="1" x14ac:dyDescent="0.15">
      <c r="B9" s="204"/>
      <c r="C9" s="205"/>
      <c r="D9" s="205"/>
      <c r="E9" s="205"/>
      <c r="F9" s="205"/>
      <c r="G9" s="205"/>
      <c r="H9" s="205"/>
      <c r="I9" s="205"/>
      <c r="J9" s="205"/>
      <c r="K9" s="205"/>
      <c r="L9" s="205"/>
      <c r="M9" s="205"/>
      <c r="N9" s="205"/>
      <c r="O9" s="205"/>
      <c r="P9" s="205"/>
      <c r="Q9" s="205"/>
      <c r="R9" s="205"/>
      <c r="S9" s="205"/>
      <c r="T9" s="205"/>
      <c r="U9" s="205"/>
      <c r="V9" s="205"/>
      <c r="W9" s="205"/>
      <c r="X9" s="205"/>
      <c r="Y9" s="205"/>
      <c r="Z9" s="206"/>
    </row>
    <row r="10" spans="1:26" ht="18" customHeight="1" x14ac:dyDescent="0.15">
      <c r="B10" s="204"/>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6"/>
    </row>
    <row r="11" spans="1:26" ht="18" customHeight="1" x14ac:dyDescent="0.15">
      <c r="B11" s="208"/>
      <c r="C11" s="209"/>
      <c r="D11" s="209"/>
      <c r="E11" s="209"/>
      <c r="F11" s="209"/>
      <c r="G11" s="209"/>
      <c r="H11" s="209"/>
      <c r="I11" s="209"/>
      <c r="J11" s="209"/>
      <c r="K11" s="209"/>
      <c r="L11" s="209"/>
      <c r="M11" s="209"/>
      <c r="N11" s="209"/>
      <c r="O11" s="209"/>
      <c r="P11" s="209"/>
      <c r="Q11" s="209"/>
      <c r="R11" s="209"/>
      <c r="S11" s="209"/>
      <c r="T11" s="209"/>
      <c r="U11" s="209"/>
      <c r="V11" s="209"/>
      <c r="W11" s="209"/>
      <c r="X11" s="209"/>
      <c r="Y11" s="209"/>
      <c r="Z11" s="21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99" t="s">
        <v>125</v>
      </c>
      <c r="B13" s="199"/>
      <c r="C13" s="199"/>
      <c r="D13" s="199"/>
      <c r="E13" s="199"/>
      <c r="F13" s="199"/>
      <c r="G13" s="199"/>
      <c r="H13" s="199"/>
      <c r="I13" s="199"/>
      <c r="J13" s="199"/>
      <c r="K13" s="199"/>
      <c r="L13" s="199"/>
      <c r="M13" s="199"/>
      <c r="N13" s="199"/>
      <c r="O13" s="199"/>
      <c r="P13" s="199"/>
      <c r="Q13" s="199"/>
      <c r="R13" s="199"/>
      <c r="S13" s="199"/>
      <c r="T13" s="199"/>
      <c r="U13" s="199"/>
      <c r="V13" s="199"/>
      <c r="W13" s="199"/>
      <c r="X13" s="199"/>
      <c r="Y13" s="199"/>
      <c r="Z13" s="199"/>
    </row>
    <row r="14" spans="1:26" ht="18" customHeight="1" x14ac:dyDescent="0.15">
      <c r="A14" s="199"/>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row>
    <row r="15" spans="1:26" ht="18" customHeight="1" x14ac:dyDescent="0.15">
      <c r="A15" s="14"/>
      <c r="B15" s="123" t="s">
        <v>100</v>
      </c>
      <c r="C15" s="124"/>
      <c r="D15" s="124"/>
      <c r="E15" s="124"/>
      <c r="F15" s="125"/>
      <c r="G15" s="30" t="s">
        <v>141</v>
      </c>
      <c r="H15" s="109" t="s">
        <v>140</v>
      </c>
      <c r="I15" s="124" t="s">
        <v>101</v>
      </c>
      <c r="J15" s="124"/>
      <c r="K15" s="124"/>
      <c r="L15" s="72" t="s">
        <v>104</v>
      </c>
      <c r="M15" s="72" t="s">
        <v>107</v>
      </c>
      <c r="N15" s="123" t="s">
        <v>100</v>
      </c>
      <c r="O15" s="124"/>
      <c r="P15" s="124"/>
      <c r="Q15" s="124"/>
      <c r="R15" s="124"/>
      <c r="S15" s="125"/>
      <c r="T15" s="30" t="s">
        <v>141</v>
      </c>
      <c r="U15" s="109" t="s">
        <v>140</v>
      </c>
      <c r="V15" s="124" t="s">
        <v>101</v>
      </c>
      <c r="W15" s="124"/>
      <c r="X15" s="124"/>
      <c r="Y15" s="72" t="s">
        <v>104</v>
      </c>
      <c r="Z15" s="72" t="s">
        <v>107</v>
      </c>
    </row>
    <row r="16" spans="1:26" ht="18" customHeight="1" x14ac:dyDescent="0.15">
      <c r="A16" s="14"/>
      <c r="B16" s="172" t="s">
        <v>168</v>
      </c>
      <c r="C16" s="173"/>
      <c r="D16" s="173"/>
      <c r="E16" s="173"/>
      <c r="F16" s="174"/>
      <c r="G16" s="110">
        <v>2</v>
      </c>
      <c r="H16" s="110" t="s">
        <v>170</v>
      </c>
      <c r="I16" s="196" t="s">
        <v>171</v>
      </c>
      <c r="J16" s="197"/>
      <c r="K16" s="198"/>
      <c r="L16" s="110" t="s">
        <v>170</v>
      </c>
      <c r="M16" s="110"/>
      <c r="N16" s="160"/>
      <c r="O16" s="161"/>
      <c r="P16" s="161"/>
      <c r="Q16" s="161"/>
      <c r="R16" s="161"/>
      <c r="S16" s="162"/>
      <c r="T16" s="110"/>
      <c r="U16" s="110"/>
      <c r="V16" s="196"/>
      <c r="W16" s="197"/>
      <c r="X16" s="198"/>
      <c r="Y16" s="110"/>
      <c r="Z16" s="110"/>
    </row>
    <row r="17" spans="1:26" ht="18" customHeight="1" x14ac:dyDescent="0.15">
      <c r="A17" s="14"/>
      <c r="B17" s="154" t="s">
        <v>175</v>
      </c>
      <c r="C17" s="155"/>
      <c r="D17" s="155"/>
      <c r="E17" s="155"/>
      <c r="F17" s="156"/>
      <c r="G17" s="111">
        <v>1</v>
      </c>
      <c r="H17" s="111"/>
      <c r="I17" s="169" t="s">
        <v>171</v>
      </c>
      <c r="J17" s="170"/>
      <c r="K17" s="171"/>
      <c r="L17" s="111" t="s">
        <v>170</v>
      </c>
      <c r="M17" s="111" t="s">
        <v>170</v>
      </c>
      <c r="N17" s="163"/>
      <c r="O17" s="164"/>
      <c r="P17" s="164"/>
      <c r="Q17" s="164"/>
      <c r="R17" s="164"/>
      <c r="S17" s="165"/>
      <c r="T17" s="111"/>
      <c r="U17" s="111"/>
      <c r="V17" s="169"/>
      <c r="W17" s="170"/>
      <c r="X17" s="171"/>
      <c r="Y17" s="111"/>
      <c r="Z17" s="111"/>
    </row>
    <row r="18" spans="1:26" ht="18" customHeight="1" x14ac:dyDescent="0.15">
      <c r="A18" s="14"/>
      <c r="B18" s="154" t="s">
        <v>169</v>
      </c>
      <c r="C18" s="155"/>
      <c r="D18" s="155"/>
      <c r="E18" s="155"/>
      <c r="F18" s="156"/>
      <c r="G18" s="111">
        <v>2</v>
      </c>
      <c r="H18" s="111"/>
      <c r="I18" s="169" t="s">
        <v>171</v>
      </c>
      <c r="J18" s="170"/>
      <c r="K18" s="171"/>
      <c r="L18" s="111" t="s">
        <v>170</v>
      </c>
      <c r="M18" s="111" t="s">
        <v>170</v>
      </c>
      <c r="N18" s="163"/>
      <c r="O18" s="164"/>
      <c r="P18" s="164"/>
      <c r="Q18" s="164"/>
      <c r="R18" s="164"/>
      <c r="S18" s="165"/>
      <c r="T18" s="111"/>
      <c r="U18" s="111"/>
      <c r="V18" s="169"/>
      <c r="W18" s="170"/>
      <c r="X18" s="171"/>
      <c r="Y18" s="111"/>
      <c r="Z18" s="111"/>
    </row>
    <row r="19" spans="1:26" ht="18" customHeight="1" x14ac:dyDescent="0.15">
      <c r="A19" s="14"/>
      <c r="B19" s="154"/>
      <c r="C19" s="155"/>
      <c r="D19" s="155"/>
      <c r="E19" s="155"/>
      <c r="F19" s="156"/>
      <c r="G19" s="111"/>
      <c r="H19" s="111"/>
      <c r="I19" s="169"/>
      <c r="J19" s="170"/>
      <c r="K19" s="171"/>
      <c r="L19" s="111"/>
      <c r="M19" s="111"/>
      <c r="N19" s="163"/>
      <c r="O19" s="164"/>
      <c r="P19" s="164"/>
      <c r="Q19" s="164"/>
      <c r="R19" s="164"/>
      <c r="S19" s="165"/>
      <c r="T19" s="111"/>
      <c r="U19" s="111"/>
      <c r="V19" s="169"/>
      <c r="W19" s="170"/>
      <c r="X19" s="171"/>
      <c r="Y19" s="111"/>
      <c r="Z19" s="111"/>
    </row>
    <row r="20" spans="1:26" ht="18" customHeight="1" x14ac:dyDescent="0.15">
      <c r="A20" s="14"/>
      <c r="B20" s="154"/>
      <c r="C20" s="155"/>
      <c r="D20" s="155"/>
      <c r="E20" s="155"/>
      <c r="F20" s="156"/>
      <c r="G20" s="111"/>
      <c r="H20" s="111"/>
      <c r="I20" s="169"/>
      <c r="J20" s="170"/>
      <c r="K20" s="171"/>
      <c r="L20" s="111"/>
      <c r="M20" s="111"/>
      <c r="N20" s="163"/>
      <c r="O20" s="164"/>
      <c r="P20" s="164"/>
      <c r="Q20" s="164"/>
      <c r="R20" s="164"/>
      <c r="S20" s="165"/>
      <c r="T20" s="111"/>
      <c r="U20" s="111"/>
      <c r="V20" s="169"/>
      <c r="W20" s="170"/>
      <c r="X20" s="171"/>
      <c r="Y20" s="111"/>
      <c r="Z20" s="111"/>
    </row>
    <row r="21" spans="1:26" ht="18" customHeight="1" x14ac:dyDescent="0.15">
      <c r="A21" s="29"/>
      <c r="B21" s="154"/>
      <c r="C21" s="155"/>
      <c r="D21" s="155"/>
      <c r="E21" s="155"/>
      <c r="F21" s="156"/>
      <c r="G21" s="111"/>
      <c r="H21" s="111"/>
      <c r="I21" s="169"/>
      <c r="J21" s="170"/>
      <c r="K21" s="171"/>
      <c r="L21" s="111"/>
      <c r="M21" s="111"/>
      <c r="N21" s="163"/>
      <c r="O21" s="164"/>
      <c r="P21" s="164"/>
      <c r="Q21" s="164"/>
      <c r="R21" s="164"/>
      <c r="S21" s="165"/>
      <c r="T21" s="111"/>
      <c r="U21" s="111"/>
      <c r="V21" s="169"/>
      <c r="W21" s="170"/>
      <c r="X21" s="171"/>
      <c r="Y21" s="111"/>
      <c r="Z21" s="111"/>
    </row>
    <row r="22" spans="1:26" ht="18" customHeight="1" x14ac:dyDescent="0.15">
      <c r="A22" s="29"/>
      <c r="B22" s="157"/>
      <c r="C22" s="158"/>
      <c r="D22" s="158"/>
      <c r="E22" s="158"/>
      <c r="F22" s="159"/>
      <c r="G22" s="112"/>
      <c r="H22" s="112"/>
      <c r="I22" s="176"/>
      <c r="J22" s="177"/>
      <c r="K22" s="178"/>
      <c r="L22" s="118"/>
      <c r="M22" s="118"/>
      <c r="N22" s="166"/>
      <c r="O22" s="167"/>
      <c r="P22" s="167"/>
      <c r="Q22" s="167"/>
      <c r="R22" s="167"/>
      <c r="S22" s="168"/>
      <c r="T22" s="112"/>
      <c r="U22" s="112"/>
      <c r="V22" s="176"/>
      <c r="W22" s="177"/>
      <c r="X22" s="178"/>
      <c r="Y22" s="118"/>
      <c r="Z22" s="118"/>
    </row>
    <row r="23" spans="1:26" ht="7.5" customHeight="1" x14ac:dyDescent="0.15">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x14ac:dyDescent="0.15">
      <c r="A24" s="199" t="s">
        <v>126</v>
      </c>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row>
    <row r="25" spans="1:26" ht="18" customHeight="1" x14ac:dyDescent="0.15">
      <c r="A25" s="19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row>
    <row r="26" spans="1:26" ht="18" customHeight="1" x14ac:dyDescent="0.15">
      <c r="A26" s="14"/>
      <c r="B26" s="123" t="s">
        <v>100</v>
      </c>
      <c r="C26" s="124"/>
      <c r="D26" s="124"/>
      <c r="E26" s="124"/>
      <c r="F26" s="125"/>
      <c r="G26" s="30" t="s">
        <v>141</v>
      </c>
      <c r="H26" s="109" t="s">
        <v>140</v>
      </c>
      <c r="I26" s="124" t="s">
        <v>101</v>
      </c>
      <c r="J26" s="124"/>
      <c r="K26" s="124"/>
      <c r="L26" s="72" t="s">
        <v>127</v>
      </c>
      <c r="M26" s="72" t="s">
        <v>128</v>
      </c>
      <c r="N26" s="123" t="s">
        <v>100</v>
      </c>
      <c r="O26" s="124"/>
      <c r="P26" s="124"/>
      <c r="Q26" s="124"/>
      <c r="R26" s="124"/>
      <c r="S26" s="125"/>
      <c r="T26" s="30" t="s">
        <v>141</v>
      </c>
      <c r="U26" s="109" t="s">
        <v>140</v>
      </c>
      <c r="V26" s="124" t="s">
        <v>101</v>
      </c>
      <c r="W26" s="124"/>
      <c r="X26" s="124"/>
      <c r="Y26" s="72" t="s">
        <v>127</v>
      </c>
      <c r="Z26" s="72" t="s">
        <v>128</v>
      </c>
    </row>
    <row r="27" spans="1:26" ht="18" customHeight="1" x14ac:dyDescent="0.15">
      <c r="A27" s="14"/>
      <c r="B27" s="172" t="s">
        <v>168</v>
      </c>
      <c r="C27" s="173"/>
      <c r="D27" s="173"/>
      <c r="E27" s="173"/>
      <c r="F27" s="174"/>
      <c r="G27" s="110">
        <v>2</v>
      </c>
      <c r="H27" s="110" t="s">
        <v>170</v>
      </c>
      <c r="I27" s="196" t="s">
        <v>171</v>
      </c>
      <c r="J27" s="197"/>
      <c r="K27" s="198"/>
      <c r="L27" s="110" t="s">
        <v>170</v>
      </c>
      <c r="M27" s="110" t="s">
        <v>170</v>
      </c>
      <c r="N27" s="160"/>
      <c r="O27" s="161"/>
      <c r="P27" s="161"/>
      <c r="Q27" s="161"/>
      <c r="R27" s="161"/>
      <c r="S27" s="162"/>
      <c r="T27" s="110"/>
      <c r="U27" s="110"/>
      <c r="V27" s="196"/>
      <c r="W27" s="197"/>
      <c r="X27" s="198"/>
      <c r="Y27" s="110"/>
      <c r="Z27" s="110"/>
    </row>
    <row r="28" spans="1:26" ht="18" customHeight="1" x14ac:dyDescent="0.15">
      <c r="A28" s="14"/>
      <c r="B28" s="154" t="s">
        <v>175</v>
      </c>
      <c r="C28" s="155"/>
      <c r="D28" s="155"/>
      <c r="E28" s="155"/>
      <c r="F28" s="156"/>
      <c r="G28" s="111">
        <v>1</v>
      </c>
      <c r="H28" s="111"/>
      <c r="I28" s="169" t="s">
        <v>171</v>
      </c>
      <c r="J28" s="170"/>
      <c r="K28" s="171"/>
      <c r="L28" s="111" t="s">
        <v>170</v>
      </c>
      <c r="M28" s="111" t="s">
        <v>170</v>
      </c>
      <c r="N28" s="163"/>
      <c r="O28" s="164"/>
      <c r="P28" s="164"/>
      <c r="Q28" s="164"/>
      <c r="R28" s="164"/>
      <c r="S28" s="165"/>
      <c r="T28" s="111"/>
      <c r="U28" s="111"/>
      <c r="V28" s="169"/>
      <c r="W28" s="170"/>
      <c r="X28" s="171"/>
      <c r="Y28" s="111"/>
      <c r="Z28" s="111"/>
    </row>
    <row r="29" spans="1:26" ht="18" customHeight="1" x14ac:dyDescent="0.15">
      <c r="A29" s="14"/>
      <c r="B29" s="154"/>
      <c r="C29" s="155"/>
      <c r="D29" s="155"/>
      <c r="E29" s="155"/>
      <c r="F29" s="156"/>
      <c r="G29" s="111"/>
      <c r="H29" s="111"/>
      <c r="I29" s="169"/>
      <c r="J29" s="170"/>
      <c r="K29" s="171"/>
      <c r="L29" s="111"/>
      <c r="M29" s="111"/>
      <c r="N29" s="163"/>
      <c r="O29" s="164"/>
      <c r="P29" s="164"/>
      <c r="Q29" s="164"/>
      <c r="R29" s="164"/>
      <c r="S29" s="165"/>
      <c r="T29" s="111"/>
      <c r="U29" s="111"/>
      <c r="V29" s="169"/>
      <c r="W29" s="170"/>
      <c r="X29" s="171"/>
      <c r="Y29" s="111"/>
      <c r="Z29" s="111"/>
    </row>
    <row r="30" spans="1:26" ht="18" customHeight="1" x14ac:dyDescent="0.15">
      <c r="A30" s="14"/>
      <c r="B30" s="154"/>
      <c r="C30" s="155"/>
      <c r="D30" s="155"/>
      <c r="E30" s="155"/>
      <c r="F30" s="156"/>
      <c r="G30" s="111"/>
      <c r="H30" s="111"/>
      <c r="I30" s="169"/>
      <c r="J30" s="170"/>
      <c r="K30" s="171"/>
      <c r="L30" s="111"/>
      <c r="M30" s="111"/>
      <c r="N30" s="163"/>
      <c r="O30" s="164"/>
      <c r="P30" s="164"/>
      <c r="Q30" s="164"/>
      <c r="R30" s="164"/>
      <c r="S30" s="165"/>
      <c r="T30" s="111"/>
      <c r="U30" s="111"/>
      <c r="V30" s="169"/>
      <c r="W30" s="170"/>
      <c r="X30" s="171"/>
      <c r="Y30" s="111"/>
      <c r="Z30" s="111"/>
    </row>
    <row r="31" spans="1:26" ht="18" customHeight="1" x14ac:dyDescent="0.15">
      <c r="A31" s="14"/>
      <c r="B31" s="154"/>
      <c r="C31" s="155"/>
      <c r="D31" s="155"/>
      <c r="E31" s="155"/>
      <c r="F31" s="156"/>
      <c r="G31" s="111"/>
      <c r="H31" s="111"/>
      <c r="I31" s="169"/>
      <c r="J31" s="170"/>
      <c r="K31" s="171"/>
      <c r="L31" s="111"/>
      <c r="M31" s="111"/>
      <c r="N31" s="163"/>
      <c r="O31" s="164"/>
      <c r="P31" s="164"/>
      <c r="Q31" s="164"/>
      <c r="R31" s="164"/>
      <c r="S31" s="165"/>
      <c r="T31" s="111"/>
      <c r="U31" s="111"/>
      <c r="V31" s="169"/>
      <c r="W31" s="170"/>
      <c r="X31" s="171"/>
      <c r="Y31" s="111"/>
      <c r="Z31" s="111"/>
    </row>
    <row r="32" spans="1:26" ht="18" customHeight="1" x14ac:dyDescent="0.15">
      <c r="A32" s="14"/>
      <c r="B32" s="154"/>
      <c r="C32" s="155"/>
      <c r="D32" s="155"/>
      <c r="E32" s="155"/>
      <c r="F32" s="156"/>
      <c r="G32" s="111"/>
      <c r="H32" s="111"/>
      <c r="I32" s="169"/>
      <c r="J32" s="170"/>
      <c r="K32" s="171"/>
      <c r="L32" s="111"/>
      <c r="M32" s="111"/>
      <c r="N32" s="163"/>
      <c r="O32" s="164"/>
      <c r="P32" s="164"/>
      <c r="Q32" s="164"/>
      <c r="R32" s="164"/>
      <c r="S32" s="165"/>
      <c r="T32" s="111"/>
      <c r="U32" s="111"/>
      <c r="V32" s="169"/>
      <c r="W32" s="170"/>
      <c r="X32" s="171"/>
      <c r="Y32" s="111"/>
      <c r="Z32" s="111"/>
    </row>
    <row r="33" spans="1:26" ht="18" customHeight="1" x14ac:dyDescent="0.15">
      <c r="A33" s="14"/>
      <c r="B33" s="157"/>
      <c r="C33" s="158"/>
      <c r="D33" s="158"/>
      <c r="E33" s="158"/>
      <c r="F33" s="159"/>
      <c r="G33" s="112"/>
      <c r="H33" s="112"/>
      <c r="I33" s="176"/>
      <c r="J33" s="177"/>
      <c r="K33" s="178"/>
      <c r="L33" s="118"/>
      <c r="M33" s="118"/>
      <c r="N33" s="166"/>
      <c r="O33" s="167"/>
      <c r="P33" s="167"/>
      <c r="Q33" s="167"/>
      <c r="R33" s="167"/>
      <c r="S33" s="168"/>
      <c r="T33" s="112"/>
      <c r="U33" s="112"/>
      <c r="V33" s="176"/>
      <c r="W33" s="177"/>
      <c r="X33" s="178"/>
      <c r="Y33" s="118"/>
      <c r="Z33" s="118"/>
    </row>
    <row r="34" spans="1:26" ht="7.5" customHeight="1" x14ac:dyDescent="0.15">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x14ac:dyDescent="0.15">
      <c r="A35" s="199" t="s">
        <v>129</v>
      </c>
      <c r="B35" s="199"/>
      <c r="C35" s="199"/>
      <c r="D35" s="199"/>
      <c r="E35" s="199"/>
      <c r="F35" s="199"/>
      <c r="G35" s="199"/>
      <c r="H35" s="199"/>
      <c r="I35" s="199"/>
      <c r="J35" s="199"/>
      <c r="K35" s="199"/>
      <c r="L35" s="199"/>
      <c r="M35" s="199"/>
      <c r="N35" s="199"/>
      <c r="O35" s="199"/>
      <c r="P35" s="199"/>
      <c r="Q35" s="199"/>
      <c r="R35" s="199"/>
      <c r="S35" s="199"/>
      <c r="T35" s="199"/>
      <c r="U35" s="199"/>
      <c r="V35" s="199"/>
      <c r="W35" s="199"/>
      <c r="X35" s="199"/>
      <c r="Y35" s="199"/>
      <c r="Z35" s="199"/>
    </row>
    <row r="36" spans="1:26" ht="18" customHeight="1" x14ac:dyDescent="0.15">
      <c r="A36" s="199"/>
      <c r="B36" s="199"/>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row>
    <row r="37" spans="1:26" ht="18" customHeight="1" x14ac:dyDescent="0.15">
      <c r="A37" s="14"/>
      <c r="B37" s="123" t="s">
        <v>100</v>
      </c>
      <c r="C37" s="124"/>
      <c r="D37" s="124"/>
      <c r="E37" s="124"/>
      <c r="F37" s="125"/>
      <c r="G37" s="30" t="s">
        <v>141</v>
      </c>
      <c r="H37" s="109" t="s">
        <v>140</v>
      </c>
      <c r="I37" s="123" t="s">
        <v>101</v>
      </c>
      <c r="J37" s="124"/>
      <c r="K37" s="125"/>
      <c r="L37" s="72" t="s">
        <v>130</v>
      </c>
      <c r="M37" s="72" t="s">
        <v>131</v>
      </c>
      <c r="N37" s="123" t="s">
        <v>100</v>
      </c>
      <c r="O37" s="124"/>
      <c r="P37" s="124"/>
      <c r="Q37" s="124"/>
      <c r="R37" s="124"/>
      <c r="S37" s="125"/>
      <c r="T37" s="30" t="s">
        <v>141</v>
      </c>
      <c r="U37" s="109" t="s">
        <v>140</v>
      </c>
      <c r="V37" s="123" t="s">
        <v>101</v>
      </c>
      <c r="W37" s="124"/>
      <c r="X37" s="125"/>
      <c r="Y37" s="72" t="s">
        <v>130</v>
      </c>
      <c r="Z37" s="72" t="s">
        <v>131</v>
      </c>
    </row>
    <row r="38" spans="1:26" ht="18" customHeight="1" x14ac:dyDescent="0.15">
      <c r="A38" s="29"/>
      <c r="B38" s="172" t="s">
        <v>168</v>
      </c>
      <c r="C38" s="173"/>
      <c r="D38" s="173"/>
      <c r="E38" s="173"/>
      <c r="F38" s="174"/>
      <c r="G38" s="110">
        <v>2</v>
      </c>
      <c r="H38" s="110" t="s">
        <v>170</v>
      </c>
      <c r="I38" s="196" t="s">
        <v>171</v>
      </c>
      <c r="J38" s="197"/>
      <c r="K38" s="198"/>
      <c r="L38" s="110" t="s">
        <v>170</v>
      </c>
      <c r="M38" s="110" t="s">
        <v>170</v>
      </c>
      <c r="N38" s="160"/>
      <c r="O38" s="161"/>
      <c r="P38" s="161"/>
      <c r="Q38" s="161"/>
      <c r="R38" s="161"/>
      <c r="S38" s="162"/>
      <c r="T38" s="110"/>
      <c r="U38" s="110"/>
      <c r="V38" s="196"/>
      <c r="W38" s="197"/>
      <c r="X38" s="198"/>
      <c r="Y38" s="110"/>
      <c r="Z38" s="110"/>
    </row>
    <row r="39" spans="1:26" ht="18" customHeight="1" x14ac:dyDescent="0.15">
      <c r="A39" s="29"/>
      <c r="B39" s="154" t="s">
        <v>175</v>
      </c>
      <c r="C39" s="155"/>
      <c r="D39" s="155"/>
      <c r="E39" s="155"/>
      <c r="F39" s="156"/>
      <c r="G39" s="111">
        <v>1</v>
      </c>
      <c r="H39" s="111"/>
      <c r="I39" s="169" t="s">
        <v>171</v>
      </c>
      <c r="J39" s="170"/>
      <c r="K39" s="171"/>
      <c r="L39" s="111" t="s">
        <v>170</v>
      </c>
      <c r="M39" s="111"/>
      <c r="N39" s="163"/>
      <c r="O39" s="164"/>
      <c r="P39" s="164"/>
      <c r="Q39" s="164"/>
      <c r="R39" s="164"/>
      <c r="S39" s="165"/>
      <c r="T39" s="111"/>
      <c r="U39" s="111"/>
      <c r="V39" s="169"/>
      <c r="W39" s="170"/>
      <c r="X39" s="171"/>
      <c r="Y39" s="111"/>
      <c r="Z39" s="111"/>
    </row>
    <row r="40" spans="1:26" ht="18" customHeight="1" x14ac:dyDescent="0.15">
      <c r="A40" s="29"/>
      <c r="B40" s="154" t="s">
        <v>169</v>
      </c>
      <c r="C40" s="155"/>
      <c r="D40" s="155"/>
      <c r="E40" s="155"/>
      <c r="F40" s="156"/>
      <c r="G40" s="111">
        <v>2</v>
      </c>
      <c r="H40" s="111"/>
      <c r="I40" s="169" t="s">
        <v>171</v>
      </c>
      <c r="J40" s="170"/>
      <c r="K40" s="171"/>
      <c r="L40" s="111"/>
      <c r="M40" s="111" t="s">
        <v>170</v>
      </c>
      <c r="N40" s="163"/>
      <c r="O40" s="164"/>
      <c r="P40" s="164"/>
      <c r="Q40" s="164"/>
      <c r="R40" s="164"/>
      <c r="S40" s="165"/>
      <c r="T40" s="111"/>
      <c r="U40" s="111"/>
      <c r="V40" s="169"/>
      <c r="W40" s="170"/>
      <c r="X40" s="171"/>
      <c r="Y40" s="111"/>
      <c r="Z40" s="111"/>
    </row>
    <row r="41" spans="1:26" ht="18" customHeight="1" x14ac:dyDescent="0.15">
      <c r="A41" s="29"/>
      <c r="B41" s="154"/>
      <c r="C41" s="155"/>
      <c r="D41" s="155"/>
      <c r="E41" s="155"/>
      <c r="F41" s="156"/>
      <c r="G41" s="111"/>
      <c r="H41" s="111"/>
      <c r="I41" s="169"/>
      <c r="J41" s="170"/>
      <c r="K41" s="171"/>
      <c r="L41" s="111"/>
      <c r="M41" s="111"/>
      <c r="N41" s="163"/>
      <c r="O41" s="164"/>
      <c r="P41" s="164"/>
      <c r="Q41" s="164"/>
      <c r="R41" s="164"/>
      <c r="S41" s="165"/>
      <c r="T41" s="111"/>
      <c r="U41" s="111"/>
      <c r="V41" s="169"/>
      <c r="W41" s="170"/>
      <c r="X41" s="171"/>
      <c r="Y41" s="111"/>
      <c r="Z41" s="111"/>
    </row>
    <row r="42" spans="1:26" ht="18" customHeight="1" x14ac:dyDescent="0.15">
      <c r="A42" s="29"/>
      <c r="B42" s="154"/>
      <c r="C42" s="155"/>
      <c r="D42" s="155"/>
      <c r="E42" s="155"/>
      <c r="F42" s="156"/>
      <c r="G42" s="111"/>
      <c r="H42" s="111"/>
      <c r="I42" s="169"/>
      <c r="J42" s="170"/>
      <c r="K42" s="171"/>
      <c r="L42" s="111"/>
      <c r="M42" s="111"/>
      <c r="N42" s="163"/>
      <c r="O42" s="164"/>
      <c r="P42" s="164"/>
      <c r="Q42" s="164"/>
      <c r="R42" s="164"/>
      <c r="S42" s="165"/>
      <c r="T42" s="111"/>
      <c r="U42" s="111"/>
      <c r="V42" s="169"/>
      <c r="W42" s="170"/>
      <c r="X42" s="171"/>
      <c r="Y42" s="111"/>
      <c r="Z42" s="111"/>
    </row>
    <row r="43" spans="1:26" ht="18" customHeight="1" x14ac:dyDescent="0.15">
      <c r="A43" s="29"/>
      <c r="B43" s="154"/>
      <c r="C43" s="155"/>
      <c r="D43" s="155"/>
      <c r="E43" s="155"/>
      <c r="F43" s="156"/>
      <c r="G43" s="111"/>
      <c r="H43" s="111"/>
      <c r="I43" s="169"/>
      <c r="J43" s="170"/>
      <c r="K43" s="171"/>
      <c r="L43" s="111"/>
      <c r="M43" s="111"/>
      <c r="N43" s="163"/>
      <c r="O43" s="164"/>
      <c r="P43" s="164"/>
      <c r="Q43" s="164"/>
      <c r="R43" s="164"/>
      <c r="S43" s="165"/>
      <c r="T43" s="111"/>
      <c r="U43" s="111"/>
      <c r="V43" s="169"/>
      <c r="W43" s="170"/>
      <c r="X43" s="171"/>
      <c r="Y43" s="111"/>
      <c r="Z43" s="111"/>
    </row>
    <row r="44" spans="1:26" ht="18" customHeight="1" x14ac:dyDescent="0.15">
      <c r="A44" s="29"/>
      <c r="B44" s="157"/>
      <c r="C44" s="158"/>
      <c r="D44" s="158"/>
      <c r="E44" s="158"/>
      <c r="F44" s="159"/>
      <c r="G44" s="112"/>
      <c r="H44" s="112"/>
      <c r="I44" s="176"/>
      <c r="J44" s="177"/>
      <c r="K44" s="178"/>
      <c r="L44" s="118"/>
      <c r="M44" s="118"/>
      <c r="N44" s="166"/>
      <c r="O44" s="167"/>
      <c r="P44" s="167"/>
      <c r="Q44" s="167"/>
      <c r="R44" s="167"/>
      <c r="S44" s="168"/>
      <c r="T44" s="112"/>
      <c r="U44" s="112"/>
      <c r="V44" s="176"/>
      <c r="W44" s="177"/>
      <c r="X44" s="178"/>
      <c r="Y44" s="118"/>
      <c r="Z44" s="118"/>
    </row>
    <row r="45" spans="1:26" ht="7.5" customHeight="1" x14ac:dyDescent="0.15">
      <c r="B45" s="74"/>
      <c r="C45" s="74"/>
      <c r="D45" s="74"/>
      <c r="E45" s="74"/>
      <c r="F45" s="74"/>
      <c r="G45" s="74"/>
      <c r="H45" s="74"/>
      <c r="I45" s="74"/>
      <c r="J45" s="74"/>
      <c r="K45" s="74"/>
      <c r="L45" s="74"/>
      <c r="M45" s="74"/>
      <c r="N45" s="74"/>
      <c r="O45" s="74"/>
      <c r="P45" s="74"/>
      <c r="Q45" s="74"/>
      <c r="R45" s="74"/>
      <c r="S45" s="74"/>
      <c r="T45" s="74"/>
      <c r="U45" s="74"/>
      <c r="V45" s="74"/>
      <c r="W45" s="74"/>
      <c r="X45" s="74"/>
      <c r="Y45" s="74"/>
    </row>
    <row r="46" spans="1:26" ht="18" customHeight="1" x14ac:dyDescent="0.15">
      <c r="A46" s="199" t="s">
        <v>132</v>
      </c>
      <c r="B46" s="199"/>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row>
    <row r="47" spans="1:26" ht="18" customHeight="1" x14ac:dyDescent="0.15">
      <c r="A47" s="199"/>
      <c r="B47" s="199"/>
      <c r="C47" s="199"/>
      <c r="D47" s="199"/>
      <c r="E47" s="199"/>
      <c r="F47" s="199"/>
      <c r="G47" s="199"/>
      <c r="H47" s="199"/>
      <c r="I47" s="199"/>
      <c r="J47" s="199"/>
      <c r="K47" s="199"/>
      <c r="L47" s="199"/>
      <c r="M47" s="199"/>
      <c r="N47" s="199"/>
      <c r="O47" s="199"/>
      <c r="P47" s="199"/>
      <c r="Q47" s="199"/>
      <c r="R47" s="199"/>
      <c r="S47" s="199"/>
      <c r="T47" s="199"/>
      <c r="U47" s="199"/>
      <c r="V47" s="199"/>
      <c r="W47" s="199"/>
      <c r="X47" s="199"/>
      <c r="Y47" s="199"/>
      <c r="Z47" s="199"/>
    </row>
    <row r="48" spans="1:26" ht="18" customHeight="1" x14ac:dyDescent="0.15">
      <c r="A48" s="14"/>
      <c r="B48" s="123" t="s">
        <v>100</v>
      </c>
      <c r="C48" s="124"/>
      <c r="D48" s="124"/>
      <c r="E48" s="124"/>
      <c r="F48" s="125"/>
      <c r="G48" s="30" t="s">
        <v>141</v>
      </c>
      <c r="H48" s="109" t="s">
        <v>140</v>
      </c>
      <c r="I48" s="123" t="s">
        <v>101</v>
      </c>
      <c r="J48" s="124"/>
      <c r="K48" s="125"/>
      <c r="L48" s="72" t="s">
        <v>106</v>
      </c>
      <c r="M48" s="72" t="s">
        <v>108</v>
      </c>
      <c r="N48" s="123" t="s">
        <v>100</v>
      </c>
      <c r="O48" s="124"/>
      <c r="P48" s="124"/>
      <c r="Q48" s="124"/>
      <c r="R48" s="124"/>
      <c r="S48" s="125"/>
      <c r="T48" s="30" t="s">
        <v>141</v>
      </c>
      <c r="U48" s="109" t="s">
        <v>140</v>
      </c>
      <c r="V48" s="123" t="s">
        <v>101</v>
      </c>
      <c r="W48" s="124"/>
      <c r="X48" s="125"/>
      <c r="Y48" s="72" t="s">
        <v>106</v>
      </c>
      <c r="Z48" s="72" t="s">
        <v>108</v>
      </c>
    </row>
    <row r="49" spans="1:26" ht="18" customHeight="1" x14ac:dyDescent="0.15">
      <c r="A49" s="29"/>
      <c r="B49" s="172" t="s">
        <v>172</v>
      </c>
      <c r="C49" s="173"/>
      <c r="D49" s="173"/>
      <c r="E49" s="173"/>
      <c r="F49" s="174"/>
      <c r="G49" s="110">
        <v>1</v>
      </c>
      <c r="H49" s="110"/>
      <c r="I49" s="196" t="s">
        <v>171</v>
      </c>
      <c r="J49" s="197"/>
      <c r="K49" s="198"/>
      <c r="L49" s="110"/>
      <c r="M49" s="110" t="s">
        <v>170</v>
      </c>
      <c r="N49" s="160"/>
      <c r="O49" s="161"/>
      <c r="P49" s="161"/>
      <c r="Q49" s="161"/>
      <c r="R49" s="161"/>
      <c r="S49" s="162"/>
      <c r="T49" s="110"/>
      <c r="U49" s="110"/>
      <c r="V49" s="196"/>
      <c r="W49" s="197"/>
      <c r="X49" s="198"/>
      <c r="Y49" s="110"/>
      <c r="Z49" s="110"/>
    </row>
    <row r="50" spans="1:26" ht="18" customHeight="1" x14ac:dyDescent="0.15">
      <c r="A50" s="29"/>
      <c r="B50" s="154" t="s">
        <v>175</v>
      </c>
      <c r="C50" s="155"/>
      <c r="D50" s="155"/>
      <c r="E50" s="155"/>
      <c r="F50" s="156"/>
      <c r="G50" s="111">
        <v>1</v>
      </c>
      <c r="H50" s="111"/>
      <c r="I50" s="169" t="s">
        <v>171</v>
      </c>
      <c r="J50" s="170"/>
      <c r="K50" s="171"/>
      <c r="L50" s="111" t="s">
        <v>170</v>
      </c>
      <c r="M50" s="111"/>
      <c r="N50" s="163"/>
      <c r="O50" s="164"/>
      <c r="P50" s="164"/>
      <c r="Q50" s="164"/>
      <c r="R50" s="164"/>
      <c r="S50" s="165"/>
      <c r="T50" s="111"/>
      <c r="U50" s="111"/>
      <c r="V50" s="169"/>
      <c r="W50" s="170"/>
      <c r="X50" s="171"/>
      <c r="Y50" s="111"/>
      <c r="Z50" s="111"/>
    </row>
    <row r="51" spans="1:26" ht="18" customHeight="1" x14ac:dyDescent="0.15">
      <c r="A51" s="29"/>
      <c r="B51" s="154" t="s">
        <v>169</v>
      </c>
      <c r="C51" s="155"/>
      <c r="D51" s="155"/>
      <c r="E51" s="155"/>
      <c r="F51" s="156"/>
      <c r="G51" s="111">
        <v>2</v>
      </c>
      <c r="H51" s="111"/>
      <c r="I51" s="169" t="s">
        <v>171</v>
      </c>
      <c r="J51" s="170"/>
      <c r="K51" s="171"/>
      <c r="L51" s="111" t="s">
        <v>170</v>
      </c>
      <c r="M51" s="111"/>
      <c r="N51" s="163"/>
      <c r="O51" s="164"/>
      <c r="P51" s="164"/>
      <c r="Q51" s="164"/>
      <c r="R51" s="164"/>
      <c r="S51" s="165"/>
      <c r="T51" s="111"/>
      <c r="U51" s="111"/>
      <c r="V51" s="169"/>
      <c r="W51" s="170"/>
      <c r="X51" s="171"/>
      <c r="Y51" s="111"/>
      <c r="Z51" s="111"/>
    </row>
    <row r="52" spans="1:26" ht="18" customHeight="1" x14ac:dyDescent="0.15">
      <c r="A52" s="29"/>
      <c r="B52" s="154" t="s">
        <v>173</v>
      </c>
      <c r="C52" s="155"/>
      <c r="D52" s="155"/>
      <c r="E52" s="155"/>
      <c r="F52" s="156"/>
      <c r="G52" s="111">
        <v>2</v>
      </c>
      <c r="H52" s="111" t="s">
        <v>170</v>
      </c>
      <c r="I52" s="169" t="s">
        <v>171</v>
      </c>
      <c r="J52" s="170"/>
      <c r="K52" s="171"/>
      <c r="L52" s="111" t="s">
        <v>170</v>
      </c>
      <c r="M52" s="111" t="s">
        <v>170</v>
      </c>
      <c r="N52" s="163"/>
      <c r="O52" s="164"/>
      <c r="P52" s="164"/>
      <c r="Q52" s="164"/>
      <c r="R52" s="164"/>
      <c r="S52" s="165"/>
      <c r="T52" s="111"/>
      <c r="U52" s="111"/>
      <c r="V52" s="169"/>
      <c r="W52" s="170"/>
      <c r="X52" s="171"/>
      <c r="Y52" s="111"/>
      <c r="Z52" s="111"/>
    </row>
    <row r="53" spans="1:26" ht="18" customHeight="1" x14ac:dyDescent="0.15">
      <c r="A53" s="29"/>
      <c r="B53" s="154"/>
      <c r="C53" s="155"/>
      <c r="D53" s="155"/>
      <c r="E53" s="155"/>
      <c r="F53" s="156"/>
      <c r="G53" s="111"/>
      <c r="H53" s="111"/>
      <c r="I53" s="169"/>
      <c r="J53" s="170"/>
      <c r="K53" s="171"/>
      <c r="L53" s="111"/>
      <c r="M53" s="111"/>
      <c r="N53" s="163"/>
      <c r="O53" s="164"/>
      <c r="P53" s="164"/>
      <c r="Q53" s="164"/>
      <c r="R53" s="164"/>
      <c r="S53" s="165"/>
      <c r="T53" s="111"/>
      <c r="U53" s="111"/>
      <c r="V53" s="169"/>
      <c r="W53" s="170"/>
      <c r="X53" s="171"/>
      <c r="Y53" s="111"/>
      <c r="Z53" s="111"/>
    </row>
    <row r="54" spans="1:26" ht="18" customHeight="1" x14ac:dyDescent="0.15">
      <c r="A54" s="29"/>
      <c r="B54" s="154"/>
      <c r="C54" s="155"/>
      <c r="D54" s="155"/>
      <c r="E54" s="155"/>
      <c r="F54" s="156"/>
      <c r="G54" s="111"/>
      <c r="H54" s="111"/>
      <c r="I54" s="169"/>
      <c r="J54" s="170"/>
      <c r="K54" s="171"/>
      <c r="L54" s="111"/>
      <c r="M54" s="111"/>
      <c r="N54" s="163"/>
      <c r="O54" s="164"/>
      <c r="P54" s="164"/>
      <c r="Q54" s="164"/>
      <c r="R54" s="164"/>
      <c r="S54" s="165"/>
      <c r="T54" s="111"/>
      <c r="U54" s="111"/>
      <c r="V54" s="169"/>
      <c r="W54" s="170"/>
      <c r="X54" s="171"/>
      <c r="Y54" s="111"/>
      <c r="Z54" s="111"/>
    </row>
    <row r="55" spans="1:26" ht="18" customHeight="1" x14ac:dyDescent="0.15">
      <c r="A55" s="29"/>
      <c r="B55" s="157"/>
      <c r="C55" s="158"/>
      <c r="D55" s="158"/>
      <c r="E55" s="158"/>
      <c r="F55" s="159"/>
      <c r="G55" s="112"/>
      <c r="H55" s="112"/>
      <c r="I55" s="176"/>
      <c r="J55" s="177"/>
      <c r="K55" s="178"/>
      <c r="L55" s="118"/>
      <c r="M55" s="118"/>
      <c r="N55" s="166"/>
      <c r="O55" s="167"/>
      <c r="P55" s="167"/>
      <c r="Q55" s="167"/>
      <c r="R55" s="167"/>
      <c r="S55" s="168"/>
      <c r="T55" s="112"/>
      <c r="U55" s="112"/>
      <c r="V55" s="176"/>
      <c r="W55" s="177"/>
      <c r="X55" s="178"/>
      <c r="Y55" s="118"/>
      <c r="Z55" s="118"/>
    </row>
    <row r="56" spans="1:26" ht="7.5" customHeight="1" x14ac:dyDescent="0.15">
      <c r="B56" s="74"/>
      <c r="C56" s="74"/>
      <c r="D56" s="74"/>
      <c r="E56" s="74"/>
      <c r="F56" s="74"/>
      <c r="G56" s="74"/>
      <c r="H56" s="74"/>
      <c r="I56" s="74"/>
      <c r="J56" s="74"/>
      <c r="K56" s="74"/>
      <c r="L56" s="74"/>
      <c r="M56" s="74"/>
      <c r="N56" s="74"/>
      <c r="O56" s="74"/>
      <c r="P56" s="74"/>
      <c r="Q56" s="74"/>
      <c r="R56" s="74"/>
      <c r="S56" s="74"/>
      <c r="T56" s="74"/>
      <c r="U56" s="74"/>
      <c r="V56" s="74"/>
      <c r="W56" s="74"/>
      <c r="X56" s="74"/>
      <c r="Y56" s="74"/>
    </row>
    <row r="57" spans="1:26" ht="18" customHeight="1" x14ac:dyDescent="0.15">
      <c r="A57" s="199" t="s">
        <v>133</v>
      </c>
      <c r="B57" s="199"/>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row>
    <row r="58" spans="1:26" ht="18" customHeight="1" x14ac:dyDescent="0.15">
      <c r="A58" s="199"/>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row>
    <row r="59" spans="1:26" ht="18" customHeight="1" x14ac:dyDescent="0.15">
      <c r="A59" s="14"/>
      <c r="B59" s="123" t="s">
        <v>100</v>
      </c>
      <c r="C59" s="124"/>
      <c r="D59" s="124"/>
      <c r="E59" s="125"/>
      <c r="F59" s="30" t="s">
        <v>141</v>
      </c>
      <c r="G59" s="109" t="s">
        <v>140</v>
      </c>
      <c r="H59" s="104" t="s">
        <v>101</v>
      </c>
      <c r="I59" s="105"/>
      <c r="J59" s="106"/>
      <c r="K59" s="72" t="s">
        <v>105</v>
      </c>
      <c r="L59" s="72" t="s">
        <v>134</v>
      </c>
      <c r="M59" s="72" t="s">
        <v>135</v>
      </c>
      <c r="N59" s="123" t="s">
        <v>100</v>
      </c>
      <c r="O59" s="124"/>
      <c r="P59" s="124"/>
      <c r="Q59" s="124"/>
      <c r="R59" s="125"/>
      <c r="S59" s="30" t="s">
        <v>141</v>
      </c>
      <c r="T59" s="109" t="s">
        <v>140</v>
      </c>
      <c r="U59" s="104" t="s">
        <v>101</v>
      </c>
      <c r="V59" s="105"/>
      <c r="W59" s="106"/>
      <c r="X59" s="72" t="s">
        <v>105</v>
      </c>
      <c r="Y59" s="72" t="s">
        <v>134</v>
      </c>
      <c r="Z59" s="72" t="s">
        <v>135</v>
      </c>
    </row>
    <row r="60" spans="1:26" ht="18" customHeight="1" x14ac:dyDescent="0.15">
      <c r="A60" s="29"/>
      <c r="B60" s="160" t="s">
        <v>174</v>
      </c>
      <c r="C60" s="161"/>
      <c r="D60" s="161"/>
      <c r="E60" s="162"/>
      <c r="F60" s="110">
        <v>1</v>
      </c>
      <c r="G60" s="110"/>
      <c r="H60" s="196" t="s">
        <v>171</v>
      </c>
      <c r="I60" s="197"/>
      <c r="J60" s="198"/>
      <c r="K60" s="117" t="s">
        <v>178</v>
      </c>
      <c r="L60" s="110"/>
      <c r="M60" s="110"/>
      <c r="N60" s="160"/>
      <c r="O60" s="161"/>
      <c r="P60" s="161"/>
      <c r="Q60" s="161"/>
      <c r="R60" s="162"/>
      <c r="S60" s="110"/>
      <c r="T60" s="110"/>
      <c r="U60" s="196"/>
      <c r="V60" s="197"/>
      <c r="W60" s="198"/>
      <c r="X60" s="117"/>
      <c r="Y60" s="110"/>
      <c r="Z60" s="110"/>
    </row>
    <row r="61" spans="1:26" ht="18" customHeight="1" x14ac:dyDescent="0.15">
      <c r="A61" s="29"/>
      <c r="B61" s="163" t="s">
        <v>177</v>
      </c>
      <c r="C61" s="164"/>
      <c r="D61" s="164"/>
      <c r="E61" s="165"/>
      <c r="F61" s="111">
        <v>1</v>
      </c>
      <c r="G61" s="111"/>
      <c r="H61" s="169" t="s">
        <v>171</v>
      </c>
      <c r="I61" s="170"/>
      <c r="J61" s="171"/>
      <c r="K61" s="115" t="s">
        <v>178</v>
      </c>
      <c r="L61" s="111"/>
      <c r="M61" s="111"/>
      <c r="N61" s="163"/>
      <c r="O61" s="164"/>
      <c r="P61" s="164"/>
      <c r="Q61" s="164"/>
      <c r="R61" s="165"/>
      <c r="S61" s="111"/>
      <c r="T61" s="111"/>
      <c r="U61" s="169"/>
      <c r="V61" s="170"/>
      <c r="W61" s="171"/>
      <c r="X61" s="115"/>
      <c r="Y61" s="111"/>
      <c r="Z61" s="111"/>
    </row>
    <row r="62" spans="1:26" ht="18" customHeight="1" x14ac:dyDescent="0.15">
      <c r="A62" s="29"/>
      <c r="B62" s="163" t="s">
        <v>168</v>
      </c>
      <c r="C62" s="164"/>
      <c r="D62" s="164"/>
      <c r="E62" s="165"/>
      <c r="F62" s="111">
        <v>2</v>
      </c>
      <c r="G62" s="111" t="s">
        <v>170</v>
      </c>
      <c r="H62" s="169" t="s">
        <v>171</v>
      </c>
      <c r="I62" s="170"/>
      <c r="J62" s="171"/>
      <c r="K62" s="115" t="s">
        <v>178</v>
      </c>
      <c r="L62" s="111" t="s">
        <v>170</v>
      </c>
      <c r="M62" s="111" t="s">
        <v>170</v>
      </c>
      <c r="N62" s="163"/>
      <c r="O62" s="164"/>
      <c r="P62" s="164"/>
      <c r="Q62" s="164"/>
      <c r="R62" s="165"/>
      <c r="S62" s="111"/>
      <c r="T62" s="111"/>
      <c r="U62" s="169"/>
      <c r="V62" s="170"/>
      <c r="W62" s="171"/>
      <c r="X62" s="115"/>
      <c r="Y62" s="111"/>
      <c r="Z62" s="111"/>
    </row>
    <row r="63" spans="1:26" ht="18" customHeight="1" x14ac:dyDescent="0.15">
      <c r="A63" s="29"/>
      <c r="B63" s="163" t="s">
        <v>173</v>
      </c>
      <c r="C63" s="164"/>
      <c r="D63" s="164"/>
      <c r="E63" s="165"/>
      <c r="F63" s="111">
        <v>2</v>
      </c>
      <c r="G63" s="111" t="s">
        <v>170</v>
      </c>
      <c r="H63" s="169" t="s">
        <v>171</v>
      </c>
      <c r="I63" s="170"/>
      <c r="J63" s="171"/>
      <c r="K63" s="115"/>
      <c r="L63" s="111"/>
      <c r="M63" s="111" t="s">
        <v>170</v>
      </c>
      <c r="N63" s="163"/>
      <c r="O63" s="164"/>
      <c r="P63" s="164"/>
      <c r="Q63" s="164"/>
      <c r="R63" s="165"/>
      <c r="S63" s="111"/>
      <c r="T63" s="111"/>
      <c r="U63" s="169"/>
      <c r="V63" s="170"/>
      <c r="W63" s="171"/>
      <c r="X63" s="115"/>
      <c r="Y63" s="111"/>
      <c r="Z63" s="111"/>
    </row>
    <row r="64" spans="1:26" ht="18" customHeight="1" x14ac:dyDescent="0.15">
      <c r="A64" s="29"/>
      <c r="B64" s="163"/>
      <c r="C64" s="164"/>
      <c r="D64" s="164"/>
      <c r="E64" s="165"/>
      <c r="F64" s="111"/>
      <c r="G64" s="111"/>
      <c r="H64" s="169"/>
      <c r="I64" s="170"/>
      <c r="J64" s="171"/>
      <c r="K64" s="115"/>
      <c r="L64" s="111"/>
      <c r="M64" s="111"/>
      <c r="N64" s="163"/>
      <c r="O64" s="164"/>
      <c r="P64" s="164"/>
      <c r="Q64" s="164"/>
      <c r="R64" s="165"/>
      <c r="S64" s="111"/>
      <c r="T64" s="111"/>
      <c r="U64" s="169"/>
      <c r="V64" s="170"/>
      <c r="W64" s="171"/>
      <c r="X64" s="115"/>
      <c r="Y64" s="111"/>
      <c r="Z64" s="111"/>
    </row>
    <row r="65" spans="1:26" ht="18" customHeight="1" x14ac:dyDescent="0.15">
      <c r="A65" s="29"/>
      <c r="B65" s="163"/>
      <c r="C65" s="164"/>
      <c r="D65" s="164"/>
      <c r="E65" s="165"/>
      <c r="F65" s="111"/>
      <c r="G65" s="111"/>
      <c r="H65" s="169"/>
      <c r="I65" s="170"/>
      <c r="J65" s="171"/>
      <c r="K65" s="115"/>
      <c r="L65" s="111"/>
      <c r="M65" s="111"/>
      <c r="N65" s="163"/>
      <c r="O65" s="164"/>
      <c r="P65" s="164"/>
      <c r="Q65" s="164"/>
      <c r="R65" s="165"/>
      <c r="S65" s="111"/>
      <c r="T65" s="111"/>
      <c r="U65" s="169"/>
      <c r="V65" s="170"/>
      <c r="W65" s="171"/>
      <c r="X65" s="115"/>
      <c r="Y65" s="111"/>
      <c r="Z65" s="111"/>
    </row>
    <row r="66" spans="1:26" ht="18" customHeight="1" x14ac:dyDescent="0.15">
      <c r="A66" s="29"/>
      <c r="B66" s="166"/>
      <c r="C66" s="167"/>
      <c r="D66" s="167"/>
      <c r="E66" s="168"/>
      <c r="F66" s="112"/>
      <c r="G66" s="112"/>
      <c r="H66" s="176"/>
      <c r="I66" s="177"/>
      <c r="J66" s="178"/>
      <c r="K66" s="116"/>
      <c r="L66" s="118"/>
      <c r="M66" s="118"/>
      <c r="N66" s="166"/>
      <c r="O66" s="167"/>
      <c r="P66" s="167"/>
      <c r="Q66" s="167"/>
      <c r="R66" s="168"/>
      <c r="S66" s="112"/>
      <c r="T66" s="112"/>
      <c r="U66" s="176"/>
      <c r="V66" s="177"/>
      <c r="W66" s="178"/>
      <c r="X66" s="116"/>
      <c r="Y66" s="118"/>
      <c r="Z66" s="118"/>
    </row>
    <row r="67" spans="1:26" ht="7.5" customHeight="1" x14ac:dyDescent="0.15">
      <c r="B67" s="74"/>
      <c r="C67" s="74"/>
      <c r="D67" s="74"/>
      <c r="E67" s="74"/>
      <c r="F67" s="74"/>
      <c r="G67" s="74"/>
      <c r="H67" s="74"/>
      <c r="I67" s="74"/>
      <c r="J67" s="74"/>
      <c r="K67" s="74"/>
      <c r="L67" s="74"/>
      <c r="M67" s="74"/>
      <c r="N67" s="74"/>
      <c r="O67" s="74"/>
      <c r="P67" s="74"/>
      <c r="Q67" s="74"/>
      <c r="R67" s="74"/>
      <c r="S67" s="74"/>
      <c r="T67" s="74"/>
      <c r="U67" s="74"/>
      <c r="V67" s="74"/>
      <c r="W67" s="74"/>
      <c r="X67" s="74"/>
      <c r="Y67" s="74"/>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3" t="s">
        <v>100</v>
      </c>
      <c r="C69" s="124"/>
      <c r="D69" s="124"/>
      <c r="E69" s="124"/>
      <c r="F69" s="125"/>
      <c r="G69" s="123" t="s">
        <v>146</v>
      </c>
      <c r="H69" s="124"/>
      <c r="I69" s="124"/>
      <c r="J69" s="124"/>
      <c r="K69" s="124"/>
      <c r="L69" s="124"/>
      <c r="M69" s="125"/>
      <c r="N69" s="246" t="s">
        <v>100</v>
      </c>
      <c r="O69" s="247"/>
      <c r="P69" s="247"/>
      <c r="Q69" s="247"/>
      <c r="R69" s="247"/>
      <c r="S69" s="248"/>
      <c r="T69" s="123" t="s">
        <v>146</v>
      </c>
      <c r="U69" s="124"/>
      <c r="V69" s="124"/>
      <c r="W69" s="124"/>
      <c r="X69" s="124"/>
      <c r="Y69" s="124"/>
      <c r="Z69" s="125"/>
    </row>
    <row r="70" spans="1:26" ht="18" customHeight="1" x14ac:dyDescent="0.15">
      <c r="A70" s="29"/>
      <c r="B70" s="160" t="s">
        <v>174</v>
      </c>
      <c r="C70" s="161"/>
      <c r="D70" s="161"/>
      <c r="E70" s="161"/>
      <c r="F70" s="162"/>
      <c r="G70" s="243" t="s">
        <v>192</v>
      </c>
      <c r="H70" s="244"/>
      <c r="I70" s="244"/>
      <c r="J70" s="244"/>
      <c r="K70" s="244"/>
      <c r="L70" s="244"/>
      <c r="M70" s="245"/>
      <c r="N70" s="160" t="s">
        <v>168</v>
      </c>
      <c r="O70" s="161"/>
      <c r="P70" s="161"/>
      <c r="Q70" s="161"/>
      <c r="R70" s="161"/>
      <c r="S70" s="162"/>
      <c r="T70" s="243" t="s">
        <v>203</v>
      </c>
      <c r="U70" s="244"/>
      <c r="V70" s="244"/>
      <c r="W70" s="244"/>
      <c r="X70" s="244"/>
      <c r="Y70" s="244"/>
      <c r="Z70" s="245"/>
    </row>
    <row r="71" spans="1:26" ht="18" customHeight="1" x14ac:dyDescent="0.15">
      <c r="A71" s="29"/>
      <c r="B71" s="163" t="s">
        <v>177</v>
      </c>
      <c r="C71" s="164"/>
      <c r="D71" s="164"/>
      <c r="E71" s="164"/>
      <c r="F71" s="165"/>
      <c r="G71" s="193" t="s">
        <v>192</v>
      </c>
      <c r="H71" s="194"/>
      <c r="I71" s="194"/>
      <c r="J71" s="194"/>
      <c r="K71" s="194"/>
      <c r="L71" s="194"/>
      <c r="M71" s="195"/>
      <c r="N71" s="163" t="s">
        <v>195</v>
      </c>
      <c r="O71" s="164"/>
      <c r="P71" s="164"/>
      <c r="Q71" s="164"/>
      <c r="R71" s="164"/>
      <c r="S71" s="165"/>
      <c r="T71" s="193" t="s">
        <v>203</v>
      </c>
      <c r="U71" s="194"/>
      <c r="V71" s="194"/>
      <c r="W71" s="194"/>
      <c r="X71" s="194"/>
      <c r="Y71" s="194"/>
      <c r="Z71" s="195"/>
    </row>
    <row r="72" spans="1:26" ht="18" customHeight="1" x14ac:dyDescent="0.15">
      <c r="A72" s="29"/>
      <c r="B72" s="163" t="s">
        <v>185</v>
      </c>
      <c r="C72" s="164"/>
      <c r="D72" s="164"/>
      <c r="E72" s="164"/>
      <c r="F72" s="165"/>
      <c r="G72" s="193" t="s">
        <v>192</v>
      </c>
      <c r="H72" s="194"/>
      <c r="I72" s="194"/>
      <c r="J72" s="194"/>
      <c r="K72" s="194"/>
      <c r="L72" s="194"/>
      <c r="M72" s="195"/>
      <c r="N72" s="163" t="s">
        <v>196</v>
      </c>
      <c r="O72" s="164"/>
      <c r="P72" s="164"/>
      <c r="Q72" s="164"/>
      <c r="R72" s="164"/>
      <c r="S72" s="165"/>
      <c r="T72" s="193" t="s">
        <v>204</v>
      </c>
      <c r="U72" s="194"/>
      <c r="V72" s="194"/>
      <c r="W72" s="194"/>
      <c r="X72" s="194"/>
      <c r="Y72" s="194"/>
      <c r="Z72" s="195"/>
    </row>
    <row r="73" spans="1:26" ht="18" customHeight="1" x14ac:dyDescent="0.15">
      <c r="A73" s="29"/>
      <c r="B73" s="163" t="s">
        <v>186</v>
      </c>
      <c r="C73" s="164"/>
      <c r="D73" s="164"/>
      <c r="E73" s="164"/>
      <c r="F73" s="165"/>
      <c r="G73" s="193" t="s">
        <v>192</v>
      </c>
      <c r="H73" s="194"/>
      <c r="I73" s="194"/>
      <c r="J73" s="194"/>
      <c r="K73" s="194"/>
      <c r="L73" s="194"/>
      <c r="M73" s="195"/>
      <c r="N73" s="163" t="s">
        <v>197</v>
      </c>
      <c r="O73" s="164"/>
      <c r="P73" s="164"/>
      <c r="Q73" s="164"/>
      <c r="R73" s="164"/>
      <c r="S73" s="165"/>
      <c r="T73" s="193" t="s">
        <v>205</v>
      </c>
      <c r="U73" s="194"/>
      <c r="V73" s="194"/>
      <c r="W73" s="194"/>
      <c r="X73" s="194"/>
      <c r="Y73" s="194"/>
      <c r="Z73" s="195"/>
    </row>
    <row r="74" spans="1:26" ht="18" customHeight="1" x14ac:dyDescent="0.15">
      <c r="A74" s="29"/>
      <c r="B74" s="163" t="s">
        <v>187</v>
      </c>
      <c r="C74" s="164"/>
      <c r="D74" s="164"/>
      <c r="E74" s="164"/>
      <c r="F74" s="165"/>
      <c r="G74" s="193" t="s">
        <v>192</v>
      </c>
      <c r="H74" s="194"/>
      <c r="I74" s="194"/>
      <c r="J74" s="194"/>
      <c r="K74" s="194"/>
      <c r="L74" s="194"/>
      <c r="M74" s="195"/>
      <c r="N74" s="163" t="s">
        <v>198</v>
      </c>
      <c r="O74" s="164"/>
      <c r="P74" s="164"/>
      <c r="Q74" s="164"/>
      <c r="R74" s="164"/>
      <c r="S74" s="165"/>
      <c r="T74" s="193" t="s">
        <v>205</v>
      </c>
      <c r="U74" s="194"/>
      <c r="V74" s="194"/>
      <c r="W74" s="194"/>
      <c r="X74" s="194"/>
      <c r="Y74" s="194"/>
      <c r="Z74" s="195"/>
    </row>
    <row r="75" spans="1:26" ht="18" customHeight="1" x14ac:dyDescent="0.15">
      <c r="A75" s="29"/>
      <c r="B75" s="163" t="s">
        <v>188</v>
      </c>
      <c r="C75" s="164"/>
      <c r="D75" s="164"/>
      <c r="E75" s="164"/>
      <c r="F75" s="165"/>
      <c r="G75" s="193" t="s">
        <v>192</v>
      </c>
      <c r="H75" s="194"/>
      <c r="I75" s="194"/>
      <c r="J75" s="194"/>
      <c r="K75" s="194"/>
      <c r="L75" s="194"/>
      <c r="M75" s="195"/>
      <c r="N75" s="163" t="s">
        <v>189</v>
      </c>
      <c r="O75" s="164"/>
      <c r="P75" s="164"/>
      <c r="Q75" s="164"/>
      <c r="R75" s="164"/>
      <c r="S75" s="165"/>
      <c r="T75" s="193" t="s">
        <v>206</v>
      </c>
      <c r="U75" s="194"/>
      <c r="V75" s="194"/>
      <c r="W75" s="194"/>
      <c r="X75" s="194"/>
      <c r="Y75" s="194"/>
      <c r="Z75" s="195"/>
    </row>
    <row r="76" spans="1:26" ht="18" customHeight="1" x14ac:dyDescent="0.15">
      <c r="A76" s="29"/>
      <c r="B76" s="163" t="s">
        <v>189</v>
      </c>
      <c r="C76" s="164"/>
      <c r="D76" s="164"/>
      <c r="E76" s="164"/>
      <c r="F76" s="165"/>
      <c r="G76" s="193" t="s">
        <v>193</v>
      </c>
      <c r="H76" s="194"/>
      <c r="I76" s="194"/>
      <c r="J76" s="194"/>
      <c r="K76" s="194"/>
      <c r="L76" s="194"/>
      <c r="M76" s="195"/>
      <c r="N76" s="163" t="s">
        <v>173</v>
      </c>
      <c r="O76" s="164"/>
      <c r="P76" s="164"/>
      <c r="Q76" s="164"/>
      <c r="R76" s="164"/>
      <c r="S76" s="165"/>
      <c r="T76" s="193" t="s">
        <v>206</v>
      </c>
      <c r="U76" s="194"/>
      <c r="V76" s="194"/>
      <c r="W76" s="194"/>
      <c r="X76" s="194"/>
      <c r="Y76" s="194"/>
      <c r="Z76" s="195"/>
    </row>
    <row r="77" spans="1:26" ht="18" customHeight="1" x14ac:dyDescent="0.15">
      <c r="A77" s="29"/>
      <c r="B77" s="163" t="s">
        <v>173</v>
      </c>
      <c r="C77" s="164"/>
      <c r="D77" s="164"/>
      <c r="E77" s="164"/>
      <c r="F77" s="165"/>
      <c r="G77" s="193" t="s">
        <v>193</v>
      </c>
      <c r="H77" s="194"/>
      <c r="I77" s="194"/>
      <c r="J77" s="194"/>
      <c r="K77" s="194"/>
      <c r="L77" s="194"/>
      <c r="M77" s="195"/>
      <c r="N77" s="163" t="s">
        <v>199</v>
      </c>
      <c r="O77" s="164"/>
      <c r="P77" s="164"/>
      <c r="Q77" s="164"/>
      <c r="R77" s="164"/>
      <c r="S77" s="165"/>
      <c r="T77" s="193" t="s">
        <v>206</v>
      </c>
      <c r="U77" s="194"/>
      <c r="V77" s="194"/>
      <c r="W77" s="194"/>
      <c r="X77" s="194"/>
      <c r="Y77" s="194"/>
      <c r="Z77" s="195"/>
    </row>
    <row r="78" spans="1:26" ht="18" customHeight="1" x14ac:dyDescent="0.15">
      <c r="A78" s="29"/>
      <c r="B78" s="163" t="s">
        <v>190</v>
      </c>
      <c r="C78" s="164"/>
      <c r="D78" s="164"/>
      <c r="E78" s="164"/>
      <c r="F78" s="165"/>
      <c r="G78" s="193" t="s">
        <v>193</v>
      </c>
      <c r="H78" s="194"/>
      <c r="I78" s="194"/>
      <c r="J78" s="194"/>
      <c r="K78" s="194"/>
      <c r="L78" s="194"/>
      <c r="M78" s="195"/>
      <c r="N78" s="163" t="s">
        <v>196</v>
      </c>
      <c r="O78" s="164"/>
      <c r="P78" s="164"/>
      <c r="Q78" s="164"/>
      <c r="R78" s="164"/>
      <c r="S78" s="165"/>
      <c r="T78" s="193" t="s">
        <v>206</v>
      </c>
      <c r="U78" s="194"/>
      <c r="V78" s="194"/>
      <c r="W78" s="194"/>
      <c r="X78" s="194"/>
      <c r="Y78" s="194"/>
      <c r="Z78" s="195"/>
    </row>
    <row r="79" spans="1:26" ht="18" customHeight="1" x14ac:dyDescent="0.15">
      <c r="A79" s="29"/>
      <c r="B79" s="163" t="s">
        <v>189</v>
      </c>
      <c r="C79" s="164"/>
      <c r="D79" s="164"/>
      <c r="E79" s="164"/>
      <c r="F79" s="165"/>
      <c r="G79" s="193" t="s">
        <v>194</v>
      </c>
      <c r="H79" s="194"/>
      <c r="I79" s="194"/>
      <c r="J79" s="194"/>
      <c r="K79" s="194"/>
      <c r="L79" s="194"/>
      <c r="M79" s="195"/>
      <c r="N79" s="163" t="s">
        <v>200</v>
      </c>
      <c r="O79" s="164"/>
      <c r="P79" s="164"/>
      <c r="Q79" s="164"/>
      <c r="R79" s="164"/>
      <c r="S79" s="165"/>
      <c r="T79" s="193" t="s">
        <v>207</v>
      </c>
      <c r="U79" s="194"/>
      <c r="V79" s="194"/>
      <c r="W79" s="194"/>
      <c r="X79" s="194"/>
      <c r="Y79" s="194"/>
      <c r="Z79" s="195"/>
    </row>
    <row r="80" spans="1:26" ht="18" customHeight="1" x14ac:dyDescent="0.15">
      <c r="A80" s="29"/>
      <c r="B80" s="163" t="s">
        <v>173</v>
      </c>
      <c r="C80" s="164"/>
      <c r="D80" s="164"/>
      <c r="E80" s="164"/>
      <c r="F80" s="165"/>
      <c r="G80" s="193" t="s">
        <v>194</v>
      </c>
      <c r="H80" s="194"/>
      <c r="I80" s="194"/>
      <c r="J80" s="194"/>
      <c r="K80" s="194"/>
      <c r="L80" s="194"/>
      <c r="M80" s="195"/>
      <c r="N80" s="163" t="s">
        <v>201</v>
      </c>
      <c r="O80" s="164"/>
      <c r="P80" s="164"/>
      <c r="Q80" s="164"/>
      <c r="R80" s="164"/>
      <c r="S80" s="165"/>
      <c r="T80" s="193" t="s">
        <v>208</v>
      </c>
      <c r="U80" s="194"/>
      <c r="V80" s="194"/>
      <c r="W80" s="194"/>
      <c r="X80" s="194"/>
      <c r="Y80" s="194"/>
      <c r="Z80" s="195"/>
    </row>
    <row r="81" spans="1:26" ht="18" customHeight="1" x14ac:dyDescent="0.15">
      <c r="A81" s="29"/>
      <c r="B81" s="166" t="s">
        <v>191</v>
      </c>
      <c r="C81" s="167"/>
      <c r="D81" s="167"/>
      <c r="E81" s="167"/>
      <c r="F81" s="168"/>
      <c r="G81" s="190" t="s">
        <v>194</v>
      </c>
      <c r="H81" s="191"/>
      <c r="I81" s="191"/>
      <c r="J81" s="191"/>
      <c r="K81" s="191"/>
      <c r="L81" s="191"/>
      <c r="M81" s="192"/>
      <c r="N81" s="166" t="s">
        <v>202</v>
      </c>
      <c r="O81" s="167"/>
      <c r="P81" s="167"/>
      <c r="Q81" s="167"/>
      <c r="R81" s="167"/>
      <c r="S81" s="168"/>
      <c r="T81" s="190" t="s">
        <v>208</v>
      </c>
      <c r="U81" s="191"/>
      <c r="V81" s="191"/>
      <c r="W81" s="191"/>
      <c r="X81" s="191"/>
      <c r="Y81" s="191"/>
      <c r="Z81" s="192"/>
    </row>
    <row r="82" spans="1:26" ht="18" customHeight="1" x14ac:dyDescent="0.15">
      <c r="A82" s="29"/>
      <c r="B82" s="69"/>
      <c r="C82" s="69"/>
      <c r="D82" s="69"/>
      <c r="E82" s="69"/>
      <c r="F82" s="69"/>
      <c r="G82" s="12"/>
      <c r="H82" s="12"/>
      <c r="I82" s="12"/>
      <c r="J82" s="12"/>
      <c r="K82" s="12"/>
      <c r="L82" s="12"/>
      <c r="M82" s="12"/>
      <c r="N82" s="69"/>
      <c r="O82" s="69"/>
      <c r="P82" s="69"/>
      <c r="Q82" s="69"/>
      <c r="R82" s="69"/>
      <c r="S82" s="69"/>
      <c r="T82" s="12"/>
      <c r="U82" s="12"/>
      <c r="V82" s="12"/>
      <c r="W82" s="12"/>
      <c r="X82" s="12"/>
      <c r="Y82" s="12"/>
      <c r="Z82" s="12"/>
    </row>
    <row r="83" spans="1:26" ht="18.75" customHeight="1" x14ac:dyDescent="0.15">
      <c r="A83" s="13" t="s">
        <v>142</v>
      </c>
    </row>
    <row r="84" spans="1:26" ht="18.75" customHeight="1" x14ac:dyDescent="0.15">
      <c r="B84" s="75" t="s">
        <v>102</v>
      </c>
      <c r="C84" s="76"/>
      <c r="D84" s="229" t="s">
        <v>103</v>
      </c>
      <c r="E84" s="229"/>
      <c r="F84" s="229"/>
      <c r="G84" s="229"/>
      <c r="H84" s="229"/>
      <c r="I84" s="229"/>
      <c r="J84" s="229"/>
      <c r="K84" s="229"/>
      <c r="L84" s="229"/>
      <c r="M84" s="229"/>
      <c r="N84" s="229"/>
      <c r="O84" s="229"/>
      <c r="P84" s="229"/>
      <c r="Q84" s="229"/>
      <c r="R84" s="229"/>
      <c r="S84" s="229"/>
      <c r="T84" s="229"/>
      <c r="U84" s="229"/>
      <c r="V84" s="229"/>
      <c r="W84" s="229"/>
      <c r="X84" s="229"/>
      <c r="Y84" s="229"/>
      <c r="Z84" s="230"/>
    </row>
    <row r="85" spans="1:26" ht="54" customHeight="1" x14ac:dyDescent="0.15">
      <c r="B85" s="216" t="s">
        <v>109</v>
      </c>
      <c r="C85" s="82" t="s">
        <v>104</v>
      </c>
      <c r="D85" s="223" t="s">
        <v>181</v>
      </c>
      <c r="E85" s="224"/>
      <c r="F85" s="224"/>
      <c r="G85" s="224"/>
      <c r="H85" s="224"/>
      <c r="I85" s="224"/>
      <c r="J85" s="224"/>
      <c r="K85" s="224"/>
      <c r="L85" s="224"/>
      <c r="M85" s="224"/>
      <c r="N85" s="224"/>
      <c r="O85" s="224"/>
      <c r="P85" s="224"/>
      <c r="Q85" s="224"/>
      <c r="R85" s="224"/>
      <c r="S85" s="224"/>
      <c r="T85" s="224"/>
      <c r="U85" s="224"/>
      <c r="V85" s="224"/>
      <c r="W85" s="224"/>
      <c r="X85" s="224"/>
      <c r="Y85" s="224"/>
      <c r="Z85" s="225"/>
    </row>
    <row r="86" spans="1:26" ht="117" customHeight="1" x14ac:dyDescent="0.15">
      <c r="B86" s="217"/>
      <c r="C86" s="107" t="s">
        <v>137</v>
      </c>
      <c r="D86" s="231" t="s">
        <v>182</v>
      </c>
      <c r="E86" s="232"/>
      <c r="F86" s="232"/>
      <c r="G86" s="232"/>
      <c r="H86" s="232"/>
      <c r="I86" s="232"/>
      <c r="J86" s="232"/>
      <c r="K86" s="232"/>
      <c r="L86" s="232"/>
      <c r="M86" s="232"/>
      <c r="N86" s="232"/>
      <c r="O86" s="232"/>
      <c r="P86" s="232"/>
      <c r="Q86" s="232"/>
      <c r="R86" s="232"/>
      <c r="S86" s="232"/>
      <c r="T86" s="232"/>
      <c r="U86" s="232"/>
      <c r="V86" s="232"/>
      <c r="W86" s="232"/>
      <c r="X86" s="232"/>
      <c r="Y86" s="232"/>
      <c r="Z86" s="233"/>
    </row>
    <row r="87" spans="1:26" ht="40.5" customHeight="1" x14ac:dyDescent="0.15">
      <c r="B87" s="214" t="s">
        <v>110</v>
      </c>
      <c r="C87" s="77" t="s">
        <v>127</v>
      </c>
      <c r="D87" s="234" t="s">
        <v>179</v>
      </c>
      <c r="E87" s="235"/>
      <c r="F87" s="235"/>
      <c r="G87" s="235"/>
      <c r="H87" s="235"/>
      <c r="I87" s="235"/>
      <c r="J87" s="235"/>
      <c r="K87" s="235"/>
      <c r="L87" s="235"/>
      <c r="M87" s="235"/>
      <c r="N87" s="235"/>
      <c r="O87" s="235"/>
      <c r="P87" s="235"/>
      <c r="Q87" s="235"/>
      <c r="R87" s="235"/>
      <c r="S87" s="235"/>
      <c r="T87" s="235"/>
      <c r="U87" s="235"/>
      <c r="V87" s="235"/>
      <c r="W87" s="235"/>
      <c r="X87" s="235"/>
      <c r="Y87" s="235"/>
      <c r="Z87" s="236"/>
    </row>
    <row r="88" spans="1:26" ht="40.5" customHeight="1" x14ac:dyDescent="0.15">
      <c r="B88" s="215"/>
      <c r="C88" s="108" t="s">
        <v>128</v>
      </c>
      <c r="D88" s="240" t="s">
        <v>180</v>
      </c>
      <c r="E88" s="241"/>
      <c r="F88" s="241"/>
      <c r="G88" s="241"/>
      <c r="H88" s="241"/>
      <c r="I88" s="241"/>
      <c r="J88" s="241"/>
      <c r="K88" s="241"/>
      <c r="L88" s="241"/>
      <c r="M88" s="241"/>
      <c r="N88" s="241"/>
      <c r="O88" s="241"/>
      <c r="P88" s="241"/>
      <c r="Q88" s="241"/>
      <c r="R88" s="241"/>
      <c r="S88" s="241"/>
      <c r="T88" s="241"/>
      <c r="U88" s="241"/>
      <c r="V88" s="241"/>
      <c r="W88" s="241"/>
      <c r="X88" s="241"/>
      <c r="Y88" s="241"/>
      <c r="Z88" s="242"/>
    </row>
    <row r="89" spans="1:26" ht="66" customHeight="1" x14ac:dyDescent="0.15">
      <c r="B89" s="214" t="s">
        <v>111</v>
      </c>
      <c r="C89" s="77" t="s">
        <v>130</v>
      </c>
      <c r="D89" s="234" t="s">
        <v>183</v>
      </c>
      <c r="E89" s="235"/>
      <c r="F89" s="235"/>
      <c r="G89" s="235"/>
      <c r="H89" s="235"/>
      <c r="I89" s="235"/>
      <c r="J89" s="235"/>
      <c r="K89" s="235"/>
      <c r="L89" s="235"/>
      <c r="M89" s="235"/>
      <c r="N89" s="235"/>
      <c r="O89" s="235"/>
      <c r="P89" s="235"/>
      <c r="Q89" s="235"/>
      <c r="R89" s="235"/>
      <c r="S89" s="235"/>
      <c r="T89" s="235"/>
      <c r="U89" s="235"/>
      <c r="V89" s="235"/>
      <c r="W89" s="235"/>
      <c r="X89" s="235"/>
      <c r="Y89" s="235"/>
      <c r="Z89" s="236"/>
    </row>
    <row r="90" spans="1:26" ht="40.5" customHeight="1" x14ac:dyDescent="0.15">
      <c r="B90" s="215"/>
      <c r="C90" s="79" t="s">
        <v>131</v>
      </c>
      <c r="D90" s="237" t="s">
        <v>184</v>
      </c>
      <c r="E90" s="238"/>
      <c r="F90" s="238"/>
      <c r="G90" s="238"/>
      <c r="H90" s="238"/>
      <c r="I90" s="238"/>
      <c r="J90" s="238"/>
      <c r="K90" s="238"/>
      <c r="L90" s="238"/>
      <c r="M90" s="238"/>
      <c r="N90" s="238"/>
      <c r="O90" s="238"/>
      <c r="P90" s="238"/>
      <c r="Q90" s="238"/>
      <c r="R90" s="238"/>
      <c r="S90" s="238"/>
      <c r="T90" s="238"/>
      <c r="U90" s="238"/>
      <c r="V90" s="238"/>
      <c r="W90" s="238"/>
      <c r="X90" s="238"/>
      <c r="Y90" s="238"/>
      <c r="Z90" s="239"/>
    </row>
    <row r="91" spans="1:26" ht="81" customHeight="1" x14ac:dyDescent="0.15">
      <c r="B91" s="216" t="s">
        <v>138</v>
      </c>
      <c r="C91" s="82" t="s">
        <v>106</v>
      </c>
      <c r="D91" s="223" t="s">
        <v>210</v>
      </c>
      <c r="E91" s="224"/>
      <c r="F91" s="224"/>
      <c r="G91" s="224"/>
      <c r="H91" s="224"/>
      <c r="I91" s="224"/>
      <c r="J91" s="224"/>
      <c r="K91" s="224"/>
      <c r="L91" s="224"/>
      <c r="M91" s="224"/>
      <c r="N91" s="224"/>
      <c r="O91" s="224"/>
      <c r="P91" s="224"/>
      <c r="Q91" s="224"/>
      <c r="R91" s="224"/>
      <c r="S91" s="224"/>
      <c r="T91" s="224"/>
      <c r="U91" s="224"/>
      <c r="V91" s="224"/>
      <c r="W91" s="224"/>
      <c r="X91" s="224"/>
      <c r="Y91" s="224"/>
      <c r="Z91" s="225"/>
    </row>
    <row r="92" spans="1:26" ht="66" customHeight="1" x14ac:dyDescent="0.15">
      <c r="B92" s="222"/>
      <c r="C92" s="78" t="s">
        <v>108</v>
      </c>
      <c r="D92" s="226" t="s">
        <v>211</v>
      </c>
      <c r="E92" s="227"/>
      <c r="F92" s="227"/>
      <c r="G92" s="227"/>
      <c r="H92" s="227"/>
      <c r="I92" s="227"/>
      <c r="J92" s="227"/>
      <c r="K92" s="227"/>
      <c r="L92" s="227"/>
      <c r="M92" s="227"/>
      <c r="N92" s="227"/>
      <c r="O92" s="227"/>
      <c r="P92" s="227"/>
      <c r="Q92" s="227"/>
      <c r="R92" s="227"/>
      <c r="S92" s="227"/>
      <c r="T92" s="227"/>
      <c r="U92" s="227"/>
      <c r="V92" s="227"/>
      <c r="W92" s="227"/>
      <c r="X92" s="227"/>
      <c r="Y92" s="227"/>
      <c r="Z92" s="228"/>
    </row>
    <row r="93" spans="1:26" ht="81" customHeight="1" x14ac:dyDescent="0.15">
      <c r="B93" s="216" t="s">
        <v>139</v>
      </c>
      <c r="C93" s="77" t="s">
        <v>105</v>
      </c>
      <c r="D93" s="218" t="s">
        <v>212</v>
      </c>
      <c r="E93" s="219"/>
      <c r="F93" s="219"/>
      <c r="G93" s="219"/>
      <c r="H93" s="219"/>
      <c r="I93" s="219"/>
      <c r="J93" s="219"/>
      <c r="K93" s="219"/>
      <c r="L93" s="219"/>
      <c r="M93" s="219"/>
      <c r="N93" s="219"/>
      <c r="O93" s="219"/>
      <c r="P93" s="219"/>
      <c r="Q93" s="219"/>
      <c r="R93" s="219"/>
      <c r="S93" s="219"/>
      <c r="T93" s="219"/>
      <c r="U93" s="219"/>
      <c r="V93" s="219"/>
      <c r="W93" s="219"/>
      <c r="X93" s="219"/>
      <c r="Y93" s="219"/>
      <c r="Z93" s="220"/>
    </row>
    <row r="94" spans="1:26" ht="40.5" customHeight="1" x14ac:dyDescent="0.15">
      <c r="B94" s="217"/>
      <c r="C94" s="78" t="s">
        <v>134</v>
      </c>
      <c r="D94" s="211" t="s">
        <v>213</v>
      </c>
      <c r="E94" s="212"/>
      <c r="F94" s="212"/>
      <c r="G94" s="212"/>
      <c r="H94" s="212"/>
      <c r="I94" s="212"/>
      <c r="J94" s="212"/>
      <c r="K94" s="212"/>
      <c r="L94" s="212"/>
      <c r="M94" s="212"/>
      <c r="N94" s="212"/>
      <c r="O94" s="212"/>
      <c r="P94" s="212"/>
      <c r="Q94" s="212"/>
      <c r="R94" s="212"/>
      <c r="S94" s="212"/>
      <c r="T94" s="212"/>
      <c r="U94" s="212"/>
      <c r="V94" s="212"/>
      <c r="W94" s="212"/>
      <c r="X94" s="212"/>
      <c r="Y94" s="212"/>
      <c r="Z94" s="213"/>
    </row>
    <row r="95" spans="1:26" ht="81" customHeight="1" x14ac:dyDescent="0.15">
      <c r="B95" s="215"/>
      <c r="C95" s="79" t="s">
        <v>135</v>
      </c>
      <c r="D95" s="221" t="s">
        <v>214</v>
      </c>
      <c r="E95" s="186"/>
      <c r="F95" s="186"/>
      <c r="G95" s="186"/>
      <c r="H95" s="186"/>
      <c r="I95" s="186"/>
      <c r="J95" s="186"/>
      <c r="K95" s="186"/>
      <c r="L95" s="186"/>
      <c r="M95" s="186"/>
      <c r="N95" s="186"/>
      <c r="O95" s="186"/>
      <c r="P95" s="186"/>
      <c r="Q95" s="186"/>
      <c r="R95" s="186"/>
      <c r="S95" s="186"/>
      <c r="T95" s="186"/>
      <c r="U95" s="186"/>
      <c r="V95" s="186"/>
      <c r="W95" s="186"/>
      <c r="X95" s="186"/>
      <c r="Y95" s="186"/>
      <c r="Z95" s="187"/>
    </row>
    <row r="96" spans="1:26" ht="6" customHeight="1" x14ac:dyDescent="0.15"/>
    <row r="97" spans="1:26" ht="18.75" customHeight="1" x14ac:dyDescent="0.15">
      <c r="A97" s="13" t="s">
        <v>143</v>
      </c>
    </row>
    <row r="98" spans="1:26" ht="12" customHeight="1" x14ac:dyDescent="0.15">
      <c r="B98" s="179" t="s">
        <v>209</v>
      </c>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1"/>
    </row>
    <row r="99" spans="1:26" ht="12" customHeight="1" x14ac:dyDescent="0.15">
      <c r="B99" s="182"/>
      <c r="C99" s="183"/>
      <c r="D99" s="183"/>
      <c r="E99" s="183"/>
      <c r="F99" s="183"/>
      <c r="G99" s="183"/>
      <c r="H99" s="183"/>
      <c r="I99" s="183"/>
      <c r="J99" s="183"/>
      <c r="K99" s="183"/>
      <c r="L99" s="183"/>
      <c r="M99" s="183"/>
      <c r="N99" s="183"/>
      <c r="O99" s="183"/>
      <c r="P99" s="183"/>
      <c r="Q99" s="183"/>
      <c r="R99" s="183"/>
      <c r="S99" s="183"/>
      <c r="T99" s="183"/>
      <c r="U99" s="183"/>
      <c r="V99" s="183"/>
      <c r="W99" s="183"/>
      <c r="X99" s="183"/>
      <c r="Y99" s="183"/>
      <c r="Z99" s="184"/>
    </row>
    <row r="100" spans="1:26" ht="12" customHeight="1" x14ac:dyDescent="0.15">
      <c r="B100" s="185"/>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7"/>
    </row>
    <row r="101" spans="1:26" ht="6" customHeight="1" x14ac:dyDescent="0.15"/>
    <row r="102" spans="1:26" ht="15" customHeight="1" x14ac:dyDescent="0.15">
      <c r="A102" s="13" t="s">
        <v>144</v>
      </c>
    </row>
    <row r="103" spans="1:26" ht="15" customHeight="1" x14ac:dyDescent="0.15">
      <c r="B103" s="188" t="s">
        <v>235</v>
      </c>
      <c r="C103" s="153"/>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89"/>
    </row>
  </sheetData>
  <mergeCells count="238">
    <mergeCell ref="T69:Z69"/>
    <mergeCell ref="B70:F70"/>
    <mergeCell ref="G70:M70"/>
    <mergeCell ref="B75:F75"/>
    <mergeCell ref="G75:M75"/>
    <mergeCell ref="N75:S75"/>
    <mergeCell ref="T75:Z75"/>
    <mergeCell ref="T76:Z76"/>
    <mergeCell ref="T77:Z77"/>
    <mergeCell ref="B69:F69"/>
    <mergeCell ref="G69:M69"/>
    <mergeCell ref="N69:S69"/>
    <mergeCell ref="N76:S76"/>
    <mergeCell ref="N77:S77"/>
    <mergeCell ref="D90:Z90"/>
    <mergeCell ref="D88:Z88"/>
    <mergeCell ref="D89:Z89"/>
    <mergeCell ref="T78:Z78"/>
    <mergeCell ref="N79:S79"/>
    <mergeCell ref="T79:Z79"/>
    <mergeCell ref="N80:S80"/>
    <mergeCell ref="T80:Z80"/>
    <mergeCell ref="N70:S70"/>
    <mergeCell ref="T70:Z70"/>
    <mergeCell ref="G80:M80"/>
    <mergeCell ref="N78:S78"/>
    <mergeCell ref="V43:X43"/>
    <mergeCell ref="I44:K44"/>
    <mergeCell ref="V44:X44"/>
    <mergeCell ref="D94:Z94"/>
    <mergeCell ref="B73:F73"/>
    <mergeCell ref="G72:M72"/>
    <mergeCell ref="G73:M73"/>
    <mergeCell ref="N72:S72"/>
    <mergeCell ref="N73:S73"/>
    <mergeCell ref="T72:Z72"/>
    <mergeCell ref="T73:Z73"/>
    <mergeCell ref="B87:B88"/>
    <mergeCell ref="B89:B90"/>
    <mergeCell ref="B85:B86"/>
    <mergeCell ref="B93:B95"/>
    <mergeCell ref="D93:Z93"/>
    <mergeCell ref="D95:Z95"/>
    <mergeCell ref="B91:B92"/>
    <mergeCell ref="D91:Z91"/>
    <mergeCell ref="D92:Z92"/>
    <mergeCell ref="D84:Z84"/>
    <mergeCell ref="D85:Z85"/>
    <mergeCell ref="D86:Z86"/>
    <mergeCell ref="D87:Z87"/>
    <mergeCell ref="V33:X33"/>
    <mergeCell ref="I42:K42"/>
    <mergeCell ref="V42:X42"/>
    <mergeCell ref="V37:X37"/>
    <mergeCell ref="I38:K38"/>
    <mergeCell ref="V38:X38"/>
    <mergeCell ref="I39:K39"/>
    <mergeCell ref="V39:X39"/>
    <mergeCell ref="I37:K37"/>
    <mergeCell ref="V26:X26"/>
    <mergeCell ref="V27:X27"/>
    <mergeCell ref="V28:X28"/>
    <mergeCell ref="I26:K26"/>
    <mergeCell ref="I27:K27"/>
    <mergeCell ref="I28:K28"/>
    <mergeCell ref="B26:F26"/>
    <mergeCell ref="B27:F27"/>
    <mergeCell ref="B28:F28"/>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32:X32"/>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I50:K50"/>
    <mergeCell ref="V50:X50"/>
    <mergeCell ref="A46:Z47"/>
    <mergeCell ref="I48:K48"/>
    <mergeCell ref="V49:X49"/>
    <mergeCell ref="I51:K51"/>
    <mergeCell ref="V51:X51"/>
    <mergeCell ref="I52:K52"/>
    <mergeCell ref="V52:X52"/>
    <mergeCell ref="B48:F48"/>
    <mergeCell ref="B49:F49"/>
    <mergeCell ref="B50:F50"/>
    <mergeCell ref="N48:S48"/>
    <mergeCell ref="N49:S49"/>
    <mergeCell ref="N50:S50"/>
    <mergeCell ref="V55:X55"/>
    <mergeCell ref="A57:Z58"/>
    <mergeCell ref="I53:K53"/>
    <mergeCell ref="V53:X53"/>
    <mergeCell ref="I54:K54"/>
    <mergeCell ref="V54:X54"/>
    <mergeCell ref="I55:K55"/>
    <mergeCell ref="B51:F51"/>
    <mergeCell ref="B60:E60"/>
    <mergeCell ref="B59:E59"/>
    <mergeCell ref="N59:R59"/>
    <mergeCell ref="B52:F52"/>
    <mergeCell ref="B53:F53"/>
    <mergeCell ref="N51:S51"/>
    <mergeCell ref="N52:S52"/>
    <mergeCell ref="N53:S53"/>
    <mergeCell ref="N54:S54"/>
    <mergeCell ref="N55:S55"/>
    <mergeCell ref="B54:F54"/>
    <mergeCell ref="B55:F55"/>
    <mergeCell ref="U60:W60"/>
    <mergeCell ref="B61:E61"/>
    <mergeCell ref="B62:E62"/>
    <mergeCell ref="B63:E63"/>
    <mergeCell ref="B64:E64"/>
    <mergeCell ref="B65:E65"/>
    <mergeCell ref="B66:E66"/>
    <mergeCell ref="N60:R60"/>
    <mergeCell ref="N61:R61"/>
    <mergeCell ref="N62:R62"/>
    <mergeCell ref="N63:R63"/>
    <mergeCell ref="N64:R64"/>
    <mergeCell ref="N65:R65"/>
    <mergeCell ref="N66:R66"/>
    <mergeCell ref="H64:J64"/>
    <mergeCell ref="H65:J65"/>
    <mergeCell ref="H66:J66"/>
    <mergeCell ref="H60:J60"/>
    <mergeCell ref="H61:J61"/>
    <mergeCell ref="B98:Z100"/>
    <mergeCell ref="B103:Z103"/>
    <mergeCell ref="T81:Z81"/>
    <mergeCell ref="B71:F71"/>
    <mergeCell ref="G71:M71"/>
    <mergeCell ref="N71:S71"/>
    <mergeCell ref="T71:Z71"/>
    <mergeCell ref="B74:F74"/>
    <mergeCell ref="G74:M74"/>
    <mergeCell ref="N74:S74"/>
    <mergeCell ref="T74:Z74"/>
    <mergeCell ref="B72:F72"/>
    <mergeCell ref="B81:F81"/>
    <mergeCell ref="G81:M81"/>
    <mergeCell ref="N81:S81"/>
    <mergeCell ref="B76:F76"/>
    <mergeCell ref="G76:M76"/>
    <mergeCell ref="B77:F77"/>
    <mergeCell ref="G77:M77"/>
    <mergeCell ref="B78:F78"/>
    <mergeCell ref="G78:M78"/>
    <mergeCell ref="B79:F79"/>
    <mergeCell ref="G79:M79"/>
    <mergeCell ref="B80:F80"/>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B37:F37"/>
    <mergeCell ref="B38:F38"/>
    <mergeCell ref="B39:F39"/>
    <mergeCell ref="B40:F40"/>
  </mergeCells>
  <phoneticPr fontId="1"/>
  <dataValidations count="4">
    <dataValidation type="list" allowBlank="1" showInputMessage="1" showErrorMessage="1" sqref="Y16:Z22 L16:M22 Y27:Z33 L27:M33 L38:M44 Y38:Z44 L49:M55 Y49:Z55 Y60:Z66 L60:M66 H16:H22 U16:U22 H27:H33 U27:U33 H38:H44 U38:U44 H49:H55 U49:U55 G60:G66 T60:T66"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0:M71 H74:M82 U70:Z71 G70:G82 T70:T82 U74:Z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8"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9" t="s">
        <v>63</v>
      </c>
      <c r="G1" s="249"/>
      <c r="H1" s="249"/>
      <c r="I1" s="249"/>
      <c r="J1" s="249"/>
      <c r="K1" s="249"/>
      <c r="L1" s="249"/>
      <c r="M1" s="249"/>
      <c r="N1" s="249"/>
      <c r="O1" s="249"/>
      <c r="P1" s="249"/>
      <c r="Q1" s="249"/>
      <c r="R1" s="249"/>
    </row>
    <row r="2" spans="1:20" ht="18" customHeight="1" x14ac:dyDescent="0.15">
      <c r="A2" s="250" t="s">
        <v>89</v>
      </c>
      <c r="B2" s="250"/>
      <c r="C2" s="250"/>
      <c r="D2" s="250"/>
      <c r="E2" s="250"/>
      <c r="F2" s="250"/>
      <c r="G2" s="250"/>
      <c r="H2" s="250"/>
      <c r="I2" s="250"/>
      <c r="J2" s="250"/>
      <c r="K2" s="250"/>
      <c r="L2" s="250"/>
      <c r="M2" s="250"/>
      <c r="N2" s="250"/>
      <c r="O2" s="250"/>
      <c r="P2" s="250"/>
      <c r="Q2" s="250"/>
      <c r="R2" s="250"/>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147</v>
      </c>
      <c r="B4" s="4"/>
      <c r="C4" s="251" t="str">
        <f>'様式１　大学等概要'!E12</f>
        <v>令和3</v>
      </c>
      <c r="D4" s="252"/>
      <c r="E4" s="36" t="s">
        <v>113</v>
      </c>
      <c r="F4" s="36"/>
      <c r="G4" s="36"/>
      <c r="H4" s="36"/>
      <c r="I4" s="36"/>
      <c r="J4" s="83"/>
      <c r="K4" s="36"/>
      <c r="L4" s="36"/>
      <c r="M4" s="113"/>
      <c r="N4" s="113"/>
      <c r="O4" s="113"/>
      <c r="P4" s="113"/>
      <c r="Q4" s="113"/>
      <c r="R4" s="113"/>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145</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253" t="s">
        <v>79</v>
      </c>
      <c r="C8" s="255" t="s">
        <v>84</v>
      </c>
      <c r="D8" s="257" t="s">
        <v>68</v>
      </c>
      <c r="E8" s="259" t="s">
        <v>90</v>
      </c>
      <c r="F8" s="259"/>
      <c r="G8" s="259" t="s">
        <v>91</v>
      </c>
      <c r="H8" s="259"/>
      <c r="I8" s="259" t="s">
        <v>92</v>
      </c>
      <c r="J8" s="259"/>
      <c r="K8" s="260" t="s">
        <v>93</v>
      </c>
      <c r="L8" s="261"/>
      <c r="M8" s="260" t="s">
        <v>94</v>
      </c>
      <c r="N8" s="261"/>
      <c r="O8" s="260" t="s">
        <v>95</v>
      </c>
      <c r="P8" s="261"/>
      <c r="Q8" s="262" t="s">
        <v>62</v>
      </c>
      <c r="R8" s="264" t="s">
        <v>56</v>
      </c>
      <c r="T8" s="32"/>
    </row>
    <row r="9" spans="1:20" ht="18" customHeight="1" x14ac:dyDescent="0.15">
      <c r="A9" s="4"/>
      <c r="B9" s="254"/>
      <c r="C9" s="256"/>
      <c r="D9" s="258"/>
      <c r="E9" s="40" t="s">
        <v>44</v>
      </c>
      <c r="F9" s="41" t="s">
        <v>43</v>
      </c>
      <c r="G9" s="42" t="s">
        <v>44</v>
      </c>
      <c r="H9" s="43" t="s">
        <v>43</v>
      </c>
      <c r="I9" s="40" t="s">
        <v>44</v>
      </c>
      <c r="J9" s="41" t="s">
        <v>43</v>
      </c>
      <c r="K9" s="42" t="s">
        <v>44</v>
      </c>
      <c r="L9" s="43" t="s">
        <v>43</v>
      </c>
      <c r="M9" s="40" t="s">
        <v>44</v>
      </c>
      <c r="N9" s="41" t="s">
        <v>43</v>
      </c>
      <c r="O9" s="42" t="s">
        <v>44</v>
      </c>
      <c r="P9" s="43" t="s">
        <v>43</v>
      </c>
      <c r="Q9" s="263"/>
      <c r="R9" s="265"/>
      <c r="T9" s="32"/>
    </row>
    <row r="10" spans="1:20" ht="18" customHeight="1" x14ac:dyDescent="0.15">
      <c r="A10" s="44"/>
      <c r="B10" s="84" t="s">
        <v>215</v>
      </c>
      <c r="C10" s="44">
        <v>235</v>
      </c>
      <c r="D10" s="45">
        <v>960</v>
      </c>
      <c r="E10" s="46">
        <v>234</v>
      </c>
      <c r="F10" s="47">
        <v>0</v>
      </c>
      <c r="G10" s="48"/>
      <c r="H10" s="49"/>
      <c r="I10" s="46"/>
      <c r="J10" s="47"/>
      <c r="K10" s="48"/>
      <c r="L10" s="49"/>
      <c r="M10" s="46"/>
      <c r="N10" s="47"/>
      <c r="O10" s="48"/>
      <c r="P10" s="49"/>
      <c r="Q10" s="50">
        <f>E10+G10+I10+K10+M10+O10</f>
        <v>234</v>
      </c>
      <c r="R10" s="51">
        <f>Q10/D10</f>
        <v>0.24374999999999999</v>
      </c>
    </row>
    <row r="11" spans="1:20" ht="18" customHeight="1" x14ac:dyDescent="0.15">
      <c r="A11" s="44"/>
      <c r="B11" s="85"/>
      <c r="C11" s="60"/>
      <c r="D11" s="53"/>
      <c r="E11" s="54"/>
      <c r="F11" s="55"/>
      <c r="G11" s="56"/>
      <c r="H11" s="57"/>
      <c r="I11" s="54"/>
      <c r="J11" s="55"/>
      <c r="K11" s="56"/>
      <c r="L11" s="57"/>
      <c r="M11" s="54"/>
      <c r="N11" s="55"/>
      <c r="O11" s="56"/>
      <c r="P11" s="57"/>
      <c r="Q11" s="58">
        <f t="shared" ref="Q11:Q29" si="0">E11+G11+I11+K11+M11+O11</f>
        <v>0</v>
      </c>
      <c r="R11" s="59" t="e">
        <f t="shared" ref="R11:R29" si="1">Q11/D11</f>
        <v>#DIV/0!</v>
      </c>
    </row>
    <row r="12" spans="1:20" ht="18" customHeight="1" x14ac:dyDescent="0.15">
      <c r="A12" s="44"/>
      <c r="B12" s="85"/>
      <c r="C12" s="60"/>
      <c r="D12" s="53"/>
      <c r="E12" s="54"/>
      <c r="F12" s="55"/>
      <c r="G12" s="56"/>
      <c r="H12" s="57"/>
      <c r="I12" s="54"/>
      <c r="J12" s="55"/>
      <c r="K12" s="56"/>
      <c r="L12" s="57"/>
      <c r="M12" s="54"/>
      <c r="N12" s="55"/>
      <c r="O12" s="56"/>
      <c r="P12" s="57"/>
      <c r="Q12" s="58">
        <f t="shared" si="0"/>
        <v>0</v>
      </c>
      <c r="R12" s="59" t="e">
        <f t="shared" si="1"/>
        <v>#DIV/0!</v>
      </c>
    </row>
    <row r="13" spans="1:20" ht="18" customHeight="1" x14ac:dyDescent="0.15">
      <c r="A13" s="44"/>
      <c r="B13" s="85"/>
      <c r="C13" s="60"/>
      <c r="D13" s="53"/>
      <c r="E13" s="54"/>
      <c r="F13" s="55"/>
      <c r="G13" s="56"/>
      <c r="H13" s="57"/>
      <c r="I13" s="54"/>
      <c r="J13" s="55"/>
      <c r="K13" s="56"/>
      <c r="L13" s="57"/>
      <c r="M13" s="54"/>
      <c r="N13" s="55"/>
      <c r="O13" s="56"/>
      <c r="P13" s="57"/>
      <c r="Q13" s="58">
        <f t="shared" si="0"/>
        <v>0</v>
      </c>
      <c r="R13" s="59" t="e">
        <f t="shared" si="1"/>
        <v>#DIV/0!</v>
      </c>
    </row>
    <row r="14" spans="1:20" ht="18" customHeight="1" x14ac:dyDescent="0.15">
      <c r="A14" s="44"/>
      <c r="B14" s="85"/>
      <c r="C14" s="60"/>
      <c r="D14" s="53"/>
      <c r="E14" s="54"/>
      <c r="F14" s="55"/>
      <c r="G14" s="56"/>
      <c r="H14" s="57"/>
      <c r="I14" s="54"/>
      <c r="J14" s="55"/>
      <c r="K14" s="56"/>
      <c r="L14" s="57"/>
      <c r="M14" s="54"/>
      <c r="N14" s="55"/>
      <c r="O14" s="56"/>
      <c r="P14" s="57"/>
      <c r="Q14" s="58">
        <f t="shared" si="0"/>
        <v>0</v>
      </c>
      <c r="R14" s="59" t="e">
        <f t="shared" si="1"/>
        <v>#DIV/0!</v>
      </c>
    </row>
    <row r="15" spans="1:20" ht="18" customHeight="1" x14ac:dyDescent="0.15">
      <c r="A15" s="44"/>
      <c r="B15" s="85"/>
      <c r="C15" s="60"/>
      <c r="D15" s="53"/>
      <c r="E15" s="54"/>
      <c r="F15" s="55"/>
      <c r="G15" s="56"/>
      <c r="H15" s="57"/>
      <c r="I15" s="54"/>
      <c r="J15" s="55"/>
      <c r="K15" s="56"/>
      <c r="L15" s="57"/>
      <c r="M15" s="54"/>
      <c r="N15" s="55"/>
      <c r="O15" s="56"/>
      <c r="P15" s="57"/>
      <c r="Q15" s="58">
        <f t="shared" si="0"/>
        <v>0</v>
      </c>
      <c r="R15" s="59" t="e">
        <f t="shared" si="1"/>
        <v>#DIV/0!</v>
      </c>
    </row>
    <row r="16" spans="1:20" ht="18" customHeight="1" x14ac:dyDescent="0.15">
      <c r="A16" s="44"/>
      <c r="B16" s="85"/>
      <c r="C16" s="60"/>
      <c r="D16" s="53"/>
      <c r="E16" s="54"/>
      <c r="F16" s="55"/>
      <c r="G16" s="56"/>
      <c r="H16" s="57"/>
      <c r="I16" s="54"/>
      <c r="J16" s="55"/>
      <c r="K16" s="56"/>
      <c r="L16" s="57"/>
      <c r="M16" s="54"/>
      <c r="N16" s="55"/>
      <c r="O16" s="56"/>
      <c r="P16" s="57"/>
      <c r="Q16" s="58">
        <f t="shared" si="0"/>
        <v>0</v>
      </c>
      <c r="R16" s="59" t="e">
        <f t="shared" si="1"/>
        <v>#DIV/0!</v>
      </c>
    </row>
    <row r="17" spans="1:18" ht="18" customHeight="1" x14ac:dyDescent="0.15">
      <c r="A17" s="44"/>
      <c r="B17" s="85"/>
      <c r="C17" s="60"/>
      <c r="D17" s="53"/>
      <c r="E17" s="54"/>
      <c r="F17" s="55"/>
      <c r="G17" s="56"/>
      <c r="H17" s="57"/>
      <c r="I17" s="54"/>
      <c r="J17" s="55"/>
      <c r="K17" s="56"/>
      <c r="L17" s="57"/>
      <c r="M17" s="54"/>
      <c r="N17" s="55"/>
      <c r="O17" s="56"/>
      <c r="P17" s="57"/>
      <c r="Q17" s="58">
        <f t="shared" si="0"/>
        <v>0</v>
      </c>
      <c r="R17" s="59" t="e">
        <f t="shared" si="1"/>
        <v>#DIV/0!</v>
      </c>
    </row>
    <row r="18" spans="1:18" ht="18" customHeight="1" x14ac:dyDescent="0.15">
      <c r="A18" s="44"/>
      <c r="B18" s="85"/>
      <c r="C18" s="60"/>
      <c r="D18" s="53"/>
      <c r="E18" s="54"/>
      <c r="F18" s="55"/>
      <c r="G18" s="56"/>
      <c r="H18" s="57"/>
      <c r="I18" s="54"/>
      <c r="J18" s="55"/>
      <c r="K18" s="56"/>
      <c r="L18" s="57"/>
      <c r="M18" s="54"/>
      <c r="N18" s="55"/>
      <c r="O18" s="56"/>
      <c r="P18" s="57"/>
      <c r="Q18" s="58">
        <f>E18+G18+I18+K18+M18+O18</f>
        <v>0</v>
      </c>
      <c r="R18" s="59" t="e">
        <f t="shared" si="1"/>
        <v>#DIV/0!</v>
      </c>
    </row>
    <row r="19" spans="1:18" ht="18" customHeight="1" x14ac:dyDescent="0.15">
      <c r="A19" s="44"/>
      <c r="B19" s="85"/>
      <c r="C19" s="60"/>
      <c r="D19" s="53"/>
      <c r="E19" s="54"/>
      <c r="F19" s="55"/>
      <c r="G19" s="56"/>
      <c r="H19" s="57"/>
      <c r="I19" s="54"/>
      <c r="J19" s="55"/>
      <c r="K19" s="56"/>
      <c r="L19" s="57"/>
      <c r="M19" s="54"/>
      <c r="N19" s="55"/>
      <c r="O19" s="56"/>
      <c r="P19" s="57"/>
      <c r="Q19" s="58">
        <f t="shared" si="0"/>
        <v>0</v>
      </c>
      <c r="R19" s="59" t="e">
        <f t="shared" si="1"/>
        <v>#DIV/0!</v>
      </c>
    </row>
    <row r="20" spans="1:18" ht="18" customHeight="1" x14ac:dyDescent="0.15">
      <c r="A20" s="44"/>
      <c r="B20" s="85"/>
      <c r="C20" s="60"/>
      <c r="D20" s="53"/>
      <c r="E20" s="54"/>
      <c r="F20" s="55"/>
      <c r="G20" s="56"/>
      <c r="H20" s="57"/>
      <c r="I20" s="54"/>
      <c r="J20" s="55"/>
      <c r="K20" s="56"/>
      <c r="L20" s="57"/>
      <c r="M20" s="54"/>
      <c r="N20" s="55"/>
      <c r="O20" s="56"/>
      <c r="P20" s="57"/>
      <c r="Q20" s="58">
        <f t="shared" si="0"/>
        <v>0</v>
      </c>
      <c r="R20" s="59" t="e">
        <f t="shared" si="1"/>
        <v>#DIV/0!</v>
      </c>
    </row>
    <row r="21" spans="1:18" ht="18" customHeight="1" x14ac:dyDescent="0.15">
      <c r="A21" s="44"/>
      <c r="B21" s="85"/>
      <c r="C21" s="60"/>
      <c r="D21" s="53"/>
      <c r="E21" s="54"/>
      <c r="F21" s="55"/>
      <c r="G21" s="56"/>
      <c r="H21" s="57"/>
      <c r="I21" s="54"/>
      <c r="J21" s="55"/>
      <c r="K21" s="56"/>
      <c r="L21" s="57"/>
      <c r="M21" s="54"/>
      <c r="N21" s="55"/>
      <c r="O21" s="56"/>
      <c r="P21" s="57"/>
      <c r="Q21" s="58">
        <f t="shared" si="0"/>
        <v>0</v>
      </c>
      <c r="R21" s="59" t="e">
        <f t="shared" si="1"/>
        <v>#DIV/0!</v>
      </c>
    </row>
    <row r="22" spans="1:18" ht="18" customHeight="1" x14ac:dyDescent="0.15">
      <c r="A22" s="44"/>
      <c r="B22" s="85"/>
      <c r="C22" s="60"/>
      <c r="D22" s="53"/>
      <c r="E22" s="54"/>
      <c r="F22" s="55"/>
      <c r="G22" s="56"/>
      <c r="H22" s="57"/>
      <c r="I22" s="54"/>
      <c r="J22" s="55"/>
      <c r="K22" s="56"/>
      <c r="L22" s="57"/>
      <c r="M22" s="54"/>
      <c r="N22" s="55"/>
      <c r="O22" s="56"/>
      <c r="P22" s="57"/>
      <c r="Q22" s="58">
        <f t="shared" si="0"/>
        <v>0</v>
      </c>
      <c r="R22" s="59" t="e">
        <f t="shared" si="1"/>
        <v>#DIV/0!</v>
      </c>
    </row>
    <row r="23" spans="1:18" ht="18" customHeight="1" x14ac:dyDescent="0.15">
      <c r="A23" s="44"/>
      <c r="B23" s="85"/>
      <c r="C23" s="60"/>
      <c r="D23" s="53"/>
      <c r="E23" s="54"/>
      <c r="F23" s="55"/>
      <c r="G23" s="56"/>
      <c r="H23" s="57"/>
      <c r="I23" s="54"/>
      <c r="J23" s="55"/>
      <c r="K23" s="56"/>
      <c r="L23" s="57"/>
      <c r="M23" s="54"/>
      <c r="N23" s="55"/>
      <c r="O23" s="56"/>
      <c r="P23" s="57"/>
      <c r="Q23" s="58">
        <f t="shared" si="0"/>
        <v>0</v>
      </c>
      <c r="R23" s="59" t="e">
        <f t="shared" si="1"/>
        <v>#DIV/0!</v>
      </c>
    </row>
    <row r="24" spans="1:18" ht="18" customHeight="1" x14ac:dyDescent="0.15">
      <c r="A24" s="44"/>
      <c r="B24" s="85"/>
      <c r="C24" s="60"/>
      <c r="D24" s="53"/>
      <c r="E24" s="54"/>
      <c r="F24" s="55"/>
      <c r="G24" s="56"/>
      <c r="H24" s="57"/>
      <c r="I24" s="54"/>
      <c r="J24" s="55"/>
      <c r="K24" s="56"/>
      <c r="L24" s="57"/>
      <c r="M24" s="54"/>
      <c r="N24" s="55"/>
      <c r="O24" s="56"/>
      <c r="P24" s="57"/>
      <c r="Q24" s="58">
        <f t="shared" si="0"/>
        <v>0</v>
      </c>
      <c r="R24" s="59" t="e">
        <f t="shared" si="1"/>
        <v>#DIV/0!</v>
      </c>
    </row>
    <row r="25" spans="1:18" ht="18" customHeight="1" x14ac:dyDescent="0.15">
      <c r="A25" s="44"/>
      <c r="B25" s="85"/>
      <c r="C25" s="60"/>
      <c r="D25" s="53"/>
      <c r="E25" s="54"/>
      <c r="F25" s="55"/>
      <c r="G25" s="56"/>
      <c r="H25" s="57"/>
      <c r="I25" s="54"/>
      <c r="J25" s="55"/>
      <c r="K25" s="56"/>
      <c r="L25" s="57"/>
      <c r="M25" s="54"/>
      <c r="N25" s="55"/>
      <c r="O25" s="56"/>
      <c r="P25" s="57"/>
      <c r="Q25" s="58">
        <f t="shared" si="0"/>
        <v>0</v>
      </c>
      <c r="R25" s="59" t="e">
        <f t="shared" si="1"/>
        <v>#DIV/0!</v>
      </c>
    </row>
    <row r="26" spans="1:18" ht="18" customHeight="1" x14ac:dyDescent="0.15">
      <c r="A26" s="44"/>
      <c r="B26" s="85"/>
      <c r="C26" s="60"/>
      <c r="D26" s="53"/>
      <c r="E26" s="54"/>
      <c r="F26" s="55"/>
      <c r="G26" s="56"/>
      <c r="H26" s="57"/>
      <c r="I26" s="54"/>
      <c r="J26" s="55"/>
      <c r="K26" s="56"/>
      <c r="L26" s="57"/>
      <c r="M26" s="54"/>
      <c r="N26" s="55"/>
      <c r="O26" s="56"/>
      <c r="P26" s="57"/>
      <c r="Q26" s="58">
        <f t="shared" si="0"/>
        <v>0</v>
      </c>
      <c r="R26" s="59" t="e">
        <f t="shared" si="1"/>
        <v>#DIV/0!</v>
      </c>
    </row>
    <row r="27" spans="1:18" ht="18" customHeight="1" x14ac:dyDescent="0.15">
      <c r="A27" s="44"/>
      <c r="B27" s="85"/>
      <c r="C27" s="52"/>
      <c r="D27" s="53"/>
      <c r="E27" s="54"/>
      <c r="F27" s="55"/>
      <c r="G27" s="56"/>
      <c r="H27" s="57"/>
      <c r="I27" s="54"/>
      <c r="J27" s="55"/>
      <c r="K27" s="56"/>
      <c r="L27" s="57"/>
      <c r="M27" s="54"/>
      <c r="N27" s="55"/>
      <c r="O27" s="56"/>
      <c r="P27" s="57"/>
      <c r="Q27" s="58">
        <f t="shared" si="0"/>
        <v>0</v>
      </c>
      <c r="R27" s="59" t="e">
        <f t="shared" si="1"/>
        <v>#DIV/0!</v>
      </c>
    </row>
    <row r="28" spans="1:18" ht="18" customHeight="1" x14ac:dyDescent="0.15">
      <c r="A28" s="44"/>
      <c r="B28" s="85"/>
      <c r="C28" s="52"/>
      <c r="D28" s="53"/>
      <c r="E28" s="54"/>
      <c r="F28" s="55"/>
      <c r="G28" s="56"/>
      <c r="H28" s="57"/>
      <c r="I28" s="54"/>
      <c r="J28" s="55"/>
      <c r="K28" s="56"/>
      <c r="L28" s="57"/>
      <c r="M28" s="54"/>
      <c r="N28" s="55"/>
      <c r="O28" s="56"/>
      <c r="P28" s="57"/>
      <c r="Q28" s="58">
        <f t="shared" si="0"/>
        <v>0</v>
      </c>
      <c r="R28" s="59" t="e">
        <f t="shared" si="1"/>
        <v>#DIV/0!</v>
      </c>
    </row>
    <row r="29" spans="1:18" ht="18" customHeight="1" thickBot="1" x14ac:dyDescent="0.2">
      <c r="A29" s="44"/>
      <c r="B29" s="86"/>
      <c r="C29" s="87"/>
      <c r="D29" s="45"/>
      <c r="E29" s="46"/>
      <c r="F29" s="47"/>
      <c r="G29" s="48"/>
      <c r="H29" s="49"/>
      <c r="I29" s="46"/>
      <c r="J29" s="47"/>
      <c r="K29" s="48"/>
      <c r="L29" s="49"/>
      <c r="M29" s="46"/>
      <c r="N29" s="47"/>
      <c r="O29" s="48"/>
      <c r="P29" s="49"/>
      <c r="Q29" s="61">
        <f t="shared" si="0"/>
        <v>0</v>
      </c>
      <c r="R29" s="51" t="e">
        <f t="shared" si="1"/>
        <v>#DIV/0!</v>
      </c>
    </row>
    <row r="30" spans="1:18" ht="18" customHeight="1" thickTop="1" x14ac:dyDescent="0.15">
      <c r="B30" s="88" t="s">
        <v>57</v>
      </c>
      <c r="C30" s="89">
        <f t="shared" ref="C30:Q30" si="2">SUM(C10:C29)</f>
        <v>235</v>
      </c>
      <c r="D30" s="62">
        <f t="shared" si="2"/>
        <v>960</v>
      </c>
      <c r="E30" s="63">
        <f t="shared" si="2"/>
        <v>234</v>
      </c>
      <c r="F30" s="64">
        <f t="shared" si="2"/>
        <v>0</v>
      </c>
      <c r="G30" s="65">
        <f t="shared" si="2"/>
        <v>0</v>
      </c>
      <c r="H30" s="66">
        <f t="shared" si="2"/>
        <v>0</v>
      </c>
      <c r="I30" s="63">
        <f t="shared" si="2"/>
        <v>0</v>
      </c>
      <c r="J30" s="64">
        <f t="shared" si="2"/>
        <v>0</v>
      </c>
      <c r="K30" s="65">
        <f t="shared" si="2"/>
        <v>0</v>
      </c>
      <c r="L30" s="66">
        <f t="shared" si="2"/>
        <v>0</v>
      </c>
      <c r="M30" s="63">
        <f t="shared" si="2"/>
        <v>0</v>
      </c>
      <c r="N30" s="64">
        <f t="shared" si="2"/>
        <v>0</v>
      </c>
      <c r="O30" s="65">
        <f t="shared" si="2"/>
        <v>0</v>
      </c>
      <c r="P30" s="66">
        <f t="shared" si="2"/>
        <v>0</v>
      </c>
      <c r="Q30" s="67">
        <f t="shared" si="2"/>
        <v>234</v>
      </c>
      <c r="R30" s="68">
        <f>Q30/D30</f>
        <v>0.24374999999999999</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5"/>
  <sheetViews>
    <sheetView showZeros="0" view="pageBreakPreview" zoomScaleNormal="100" zoomScaleSheetLayoutView="100" workbookViewId="0"/>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39" t="s">
        <v>115</v>
      </c>
    </row>
    <row r="2" spans="1:11" ht="18.75" customHeight="1" x14ac:dyDescent="0.15">
      <c r="A2" s="250" t="s">
        <v>64</v>
      </c>
      <c r="B2" s="250"/>
      <c r="C2" s="250"/>
      <c r="D2" s="250"/>
      <c r="E2" s="250"/>
      <c r="F2" s="250"/>
      <c r="G2" s="250"/>
      <c r="H2" s="250"/>
      <c r="I2" s="250"/>
      <c r="J2" s="250"/>
    </row>
    <row r="3" spans="1:11" ht="7.5" customHeight="1" x14ac:dyDescent="0.15">
      <c r="B3" s="36"/>
      <c r="C3" s="36"/>
      <c r="D3" s="36"/>
      <c r="E3" s="36"/>
      <c r="F3" s="36"/>
      <c r="G3" s="36"/>
      <c r="H3" s="36"/>
      <c r="I3" s="36"/>
      <c r="J3" s="36"/>
    </row>
    <row r="4" spans="1:11" ht="18.75" customHeight="1" x14ac:dyDescent="0.15">
      <c r="A4" s="1" t="s">
        <v>6</v>
      </c>
      <c r="B4" s="4" t="s">
        <v>72</v>
      </c>
      <c r="C4" s="4"/>
      <c r="D4" s="4"/>
      <c r="E4" s="4"/>
      <c r="F4" s="4"/>
      <c r="G4" s="4"/>
      <c r="H4" s="4"/>
      <c r="I4" s="36"/>
      <c r="J4" s="36"/>
    </row>
    <row r="5" spans="1:11" ht="18.75" customHeight="1" x14ac:dyDescent="0.15">
      <c r="A5" s="1"/>
      <c r="B5" s="152" t="s">
        <v>216</v>
      </c>
      <c r="C5" s="153"/>
      <c r="D5" s="153"/>
      <c r="E5" s="153"/>
      <c r="F5" s="153"/>
      <c r="G5" s="153"/>
      <c r="H5" s="153"/>
      <c r="I5" s="153"/>
      <c r="J5" s="189"/>
      <c r="K5" s="31" t="str">
        <f>IF(B5="","入力してください","")</f>
        <v/>
      </c>
    </row>
    <row r="6" spans="1:11" ht="7.5" customHeight="1" x14ac:dyDescent="0.15">
      <c r="B6" s="36"/>
      <c r="C6" s="36"/>
      <c r="D6" s="36"/>
      <c r="E6" s="36"/>
      <c r="F6" s="36"/>
      <c r="G6" s="36"/>
      <c r="H6" s="36"/>
      <c r="I6" s="36"/>
      <c r="J6" s="36"/>
    </row>
    <row r="7" spans="1:11" s="4" customFormat="1" ht="18.75" customHeight="1" x14ac:dyDescent="0.15">
      <c r="A7" s="1" t="s">
        <v>9</v>
      </c>
      <c r="B7" s="1" t="s">
        <v>39</v>
      </c>
      <c r="C7" s="1"/>
      <c r="D7" s="1"/>
      <c r="E7" s="1"/>
      <c r="F7" s="1"/>
      <c r="G7" s="1"/>
      <c r="H7" s="1"/>
      <c r="I7" s="1"/>
      <c r="J7" s="1"/>
      <c r="K7" s="33"/>
    </row>
    <row r="8" spans="1:11" s="4" customFormat="1" ht="18.75" customHeight="1" x14ac:dyDescent="0.15">
      <c r="A8" s="90"/>
      <c r="B8" s="266" t="s">
        <v>217</v>
      </c>
      <c r="C8" s="276"/>
      <c r="D8" s="276"/>
      <c r="E8" s="276"/>
      <c r="F8" s="276"/>
      <c r="G8" s="276"/>
      <c r="H8" s="276"/>
      <c r="I8" s="277"/>
      <c r="J8" s="278"/>
      <c r="K8" s="31" t="str">
        <f>IF(B8="","入力してください","")</f>
        <v/>
      </c>
    </row>
    <row r="9" spans="1:11" s="4" customFormat="1" ht="18.75" customHeight="1" x14ac:dyDescent="0.15">
      <c r="A9" s="90"/>
      <c r="B9" s="279"/>
      <c r="C9" s="280"/>
      <c r="D9" s="280"/>
      <c r="E9" s="280"/>
      <c r="F9" s="280"/>
      <c r="G9" s="280"/>
      <c r="H9" s="280"/>
      <c r="I9" s="280"/>
      <c r="J9" s="281"/>
      <c r="K9" s="31"/>
    </row>
    <row r="10" spans="1:11" s="4" customFormat="1" ht="18.75" customHeight="1" x14ac:dyDescent="0.15">
      <c r="A10" s="90"/>
      <c r="B10" s="279"/>
      <c r="C10" s="280"/>
      <c r="D10" s="280"/>
      <c r="E10" s="280"/>
      <c r="F10" s="280"/>
      <c r="G10" s="280"/>
      <c r="H10" s="280"/>
      <c r="I10" s="280"/>
      <c r="J10" s="281"/>
      <c r="K10" s="31"/>
    </row>
    <row r="11" spans="1:11" s="4" customFormat="1" ht="18.75" customHeight="1" x14ac:dyDescent="0.15">
      <c r="A11" s="90"/>
      <c r="B11" s="279"/>
      <c r="C11" s="280"/>
      <c r="D11" s="280"/>
      <c r="E11" s="280"/>
      <c r="F11" s="280"/>
      <c r="G11" s="280"/>
      <c r="H11" s="280"/>
      <c r="I11" s="280"/>
      <c r="J11" s="281"/>
      <c r="K11" s="31"/>
    </row>
    <row r="12" spans="1:11" s="4" customFormat="1" ht="18.75" customHeight="1" x14ac:dyDescent="0.15">
      <c r="A12" s="90"/>
      <c r="B12" s="282"/>
      <c r="C12" s="283"/>
      <c r="D12" s="283"/>
      <c r="E12" s="283"/>
      <c r="F12" s="283"/>
      <c r="G12" s="283"/>
      <c r="H12" s="283"/>
      <c r="I12" s="283"/>
      <c r="J12" s="284"/>
      <c r="K12" s="31"/>
    </row>
    <row r="13" spans="1:11" s="4" customFormat="1" ht="7.5" customHeight="1" x14ac:dyDescent="0.15">
      <c r="A13" s="90"/>
      <c r="B13" s="90"/>
      <c r="C13" s="90"/>
      <c r="D13" s="90"/>
      <c r="E13" s="90"/>
      <c r="F13" s="90"/>
      <c r="G13" s="90"/>
      <c r="H13" s="90"/>
      <c r="I13" s="90"/>
      <c r="J13" s="90"/>
      <c r="K13" s="31"/>
    </row>
    <row r="14" spans="1:11" s="4" customFormat="1" ht="18.75" customHeight="1" x14ac:dyDescent="0.15">
      <c r="A14" s="91" t="s">
        <v>10</v>
      </c>
      <c r="B14" s="91" t="s">
        <v>15</v>
      </c>
      <c r="C14" s="91"/>
      <c r="D14" s="91"/>
      <c r="E14" s="91"/>
      <c r="F14" s="91"/>
      <c r="G14" s="91"/>
      <c r="H14" s="91"/>
      <c r="I14" s="91"/>
      <c r="J14" s="91"/>
      <c r="K14" s="31"/>
    </row>
    <row r="15" spans="1:11" s="4" customFormat="1" ht="18.75" customHeight="1" x14ac:dyDescent="0.15">
      <c r="A15" s="90"/>
      <c r="B15" s="266" t="s">
        <v>233</v>
      </c>
      <c r="C15" s="276"/>
      <c r="D15" s="276"/>
      <c r="E15" s="276"/>
      <c r="F15" s="276"/>
      <c r="G15" s="276"/>
      <c r="H15" s="276"/>
      <c r="I15" s="277"/>
      <c r="J15" s="278"/>
      <c r="K15" s="31" t="str">
        <f>IF(B15="","入力してください","")</f>
        <v/>
      </c>
    </row>
    <row r="16" spans="1:11" s="4" customFormat="1" ht="18.75" customHeight="1" x14ac:dyDescent="0.15">
      <c r="A16" s="90"/>
      <c r="B16" s="279"/>
      <c r="C16" s="280"/>
      <c r="D16" s="280"/>
      <c r="E16" s="280"/>
      <c r="F16" s="280"/>
      <c r="G16" s="280"/>
      <c r="H16" s="280"/>
      <c r="I16" s="280"/>
      <c r="J16" s="281"/>
      <c r="K16" s="31"/>
    </row>
    <row r="17" spans="1:11" s="4" customFormat="1" ht="18.75" customHeight="1" x14ac:dyDescent="0.15">
      <c r="A17" s="90"/>
      <c r="B17" s="279"/>
      <c r="C17" s="280"/>
      <c r="D17" s="280"/>
      <c r="E17" s="280"/>
      <c r="F17" s="280"/>
      <c r="G17" s="280"/>
      <c r="H17" s="280"/>
      <c r="I17" s="280"/>
      <c r="J17" s="281"/>
      <c r="K17" s="31"/>
    </row>
    <row r="18" spans="1:11" s="4" customFormat="1" ht="18.75" customHeight="1" x14ac:dyDescent="0.15">
      <c r="A18" s="90"/>
      <c r="B18" s="279"/>
      <c r="C18" s="280"/>
      <c r="D18" s="280"/>
      <c r="E18" s="280"/>
      <c r="F18" s="280"/>
      <c r="G18" s="280"/>
      <c r="H18" s="280"/>
      <c r="I18" s="280"/>
      <c r="J18" s="281"/>
      <c r="K18" s="31"/>
    </row>
    <row r="19" spans="1:11" s="4" customFormat="1" ht="18.75" customHeight="1" x14ac:dyDescent="0.15">
      <c r="A19" s="90"/>
      <c r="B19" s="279"/>
      <c r="C19" s="280"/>
      <c r="D19" s="280"/>
      <c r="E19" s="280"/>
      <c r="F19" s="280"/>
      <c r="G19" s="280"/>
      <c r="H19" s="280"/>
      <c r="I19" s="280"/>
      <c r="J19" s="281"/>
      <c r="K19" s="31"/>
    </row>
    <row r="20" spans="1:11" s="4" customFormat="1" ht="18.75" customHeight="1" x14ac:dyDescent="0.15">
      <c r="A20" s="90"/>
      <c r="B20" s="279"/>
      <c r="C20" s="280"/>
      <c r="D20" s="280"/>
      <c r="E20" s="280"/>
      <c r="F20" s="280"/>
      <c r="G20" s="280"/>
      <c r="H20" s="280"/>
      <c r="I20" s="280"/>
      <c r="J20" s="281"/>
      <c r="K20" s="31"/>
    </row>
    <row r="21" spans="1:11" s="4" customFormat="1" ht="18.75" customHeight="1" x14ac:dyDescent="0.15">
      <c r="A21" s="90"/>
      <c r="B21" s="279"/>
      <c r="C21" s="280"/>
      <c r="D21" s="280"/>
      <c r="E21" s="280"/>
      <c r="F21" s="280"/>
      <c r="G21" s="280"/>
      <c r="H21" s="280"/>
      <c r="I21" s="280"/>
      <c r="J21" s="281"/>
      <c r="K21" s="31"/>
    </row>
    <row r="22" spans="1:11" s="4" customFormat="1" ht="18.75" customHeight="1" x14ac:dyDescent="0.15">
      <c r="A22" s="90"/>
      <c r="B22" s="279"/>
      <c r="C22" s="280"/>
      <c r="D22" s="280"/>
      <c r="E22" s="280"/>
      <c r="F22" s="280"/>
      <c r="G22" s="280"/>
      <c r="H22" s="280"/>
      <c r="I22" s="280"/>
      <c r="J22" s="281"/>
      <c r="K22" s="31"/>
    </row>
    <row r="23" spans="1:11" s="4" customFormat="1" ht="18.75" customHeight="1" x14ac:dyDescent="0.15">
      <c r="A23" s="90"/>
      <c r="B23" s="279"/>
      <c r="C23" s="280"/>
      <c r="D23" s="280"/>
      <c r="E23" s="280"/>
      <c r="F23" s="280"/>
      <c r="G23" s="280"/>
      <c r="H23" s="280"/>
      <c r="I23" s="280"/>
      <c r="J23" s="281"/>
      <c r="K23" s="31"/>
    </row>
    <row r="24" spans="1:11" s="4" customFormat="1" ht="18.75" customHeight="1" x14ac:dyDescent="0.15">
      <c r="A24" s="90"/>
      <c r="B24" s="279"/>
      <c r="C24" s="280"/>
      <c r="D24" s="280"/>
      <c r="E24" s="280"/>
      <c r="F24" s="280"/>
      <c r="G24" s="280"/>
      <c r="H24" s="280"/>
      <c r="I24" s="280"/>
      <c r="J24" s="281"/>
      <c r="K24" s="31"/>
    </row>
    <row r="25" spans="1:11" s="4" customFormat="1" ht="18.75" customHeight="1" x14ac:dyDescent="0.15">
      <c r="A25" s="90"/>
      <c r="B25" s="279"/>
      <c r="C25" s="280"/>
      <c r="D25" s="280"/>
      <c r="E25" s="280"/>
      <c r="F25" s="280"/>
      <c r="G25" s="280"/>
      <c r="H25" s="280"/>
      <c r="I25" s="280"/>
      <c r="J25" s="281"/>
      <c r="K25" s="31"/>
    </row>
    <row r="26" spans="1:11" s="4" customFormat="1" ht="18.75" customHeight="1" x14ac:dyDescent="0.15">
      <c r="A26" s="90"/>
      <c r="B26" s="282"/>
      <c r="C26" s="283"/>
      <c r="D26" s="283"/>
      <c r="E26" s="283"/>
      <c r="F26" s="283"/>
      <c r="G26" s="283"/>
      <c r="H26" s="283"/>
      <c r="I26" s="283"/>
      <c r="J26" s="284"/>
      <c r="K26" s="31"/>
    </row>
    <row r="27" spans="1:11" ht="7.5" customHeight="1" x14ac:dyDescent="0.15">
      <c r="A27" s="37"/>
      <c r="B27" s="37"/>
      <c r="C27" s="37"/>
      <c r="D27" s="37"/>
      <c r="E27" s="37"/>
      <c r="F27" s="37"/>
      <c r="G27" s="37"/>
      <c r="H27" s="37"/>
      <c r="I27" s="37"/>
      <c r="J27" s="37"/>
    </row>
    <row r="28" spans="1:11" s="4" customFormat="1" ht="18.75" customHeight="1" x14ac:dyDescent="0.15">
      <c r="A28" s="1" t="s">
        <v>13</v>
      </c>
      <c r="B28" s="1" t="s">
        <v>26</v>
      </c>
      <c r="C28" s="1"/>
      <c r="D28" s="1"/>
      <c r="E28" s="1"/>
      <c r="F28" s="1"/>
      <c r="G28" s="1"/>
      <c r="H28" s="1"/>
      <c r="I28" s="1"/>
      <c r="J28" s="1"/>
      <c r="K28" s="31"/>
    </row>
    <row r="29" spans="1:11" s="29" customFormat="1" ht="18.75" customHeight="1" x14ac:dyDescent="0.15">
      <c r="B29" s="92" t="s">
        <v>116</v>
      </c>
      <c r="C29" s="93">
        <f>'様式３　履修者等数の実績'!R30</f>
        <v>0.24374999999999999</v>
      </c>
      <c r="D29" s="94"/>
      <c r="E29" s="94" t="s">
        <v>117</v>
      </c>
      <c r="F29" s="93">
        <v>0.5</v>
      </c>
      <c r="G29" s="94"/>
      <c r="H29" s="94" t="s">
        <v>118</v>
      </c>
      <c r="I29" s="95">
        <v>0.75</v>
      </c>
      <c r="J29" s="96"/>
      <c r="K29" s="31"/>
    </row>
    <row r="30" spans="1:11" s="29" customFormat="1" ht="18.75" customHeight="1" x14ac:dyDescent="0.15">
      <c r="B30" s="80" t="s">
        <v>119</v>
      </c>
      <c r="C30" s="97">
        <v>1</v>
      </c>
      <c r="D30" s="81"/>
      <c r="E30" s="81" t="s">
        <v>120</v>
      </c>
      <c r="F30" s="97">
        <v>1</v>
      </c>
      <c r="G30" s="81"/>
      <c r="H30" s="81" t="s">
        <v>121</v>
      </c>
      <c r="I30" s="98">
        <f>'様式３　履修者等数の実績'!D30</f>
        <v>960</v>
      </c>
      <c r="J30" s="99"/>
      <c r="K30" s="33"/>
    </row>
    <row r="31" spans="1:11" s="4" customFormat="1" ht="18.75" customHeight="1" x14ac:dyDescent="0.15">
      <c r="A31" s="1"/>
      <c r="B31" s="193" t="s">
        <v>122</v>
      </c>
      <c r="C31" s="194"/>
      <c r="D31" s="194"/>
      <c r="E31" s="194"/>
      <c r="F31" s="194"/>
      <c r="G31" s="194"/>
      <c r="H31" s="194"/>
      <c r="I31" s="194"/>
      <c r="J31" s="195"/>
      <c r="K31" s="33"/>
    </row>
    <row r="32" spans="1:11" s="4" customFormat="1" ht="18.75" customHeight="1" x14ac:dyDescent="0.15">
      <c r="A32" s="1"/>
      <c r="B32" s="294" t="s">
        <v>228</v>
      </c>
      <c r="C32" s="295"/>
      <c r="D32" s="295"/>
      <c r="E32" s="295"/>
      <c r="F32" s="295"/>
      <c r="G32" s="295"/>
      <c r="H32" s="295"/>
      <c r="I32" s="295"/>
      <c r="J32" s="296"/>
      <c r="K32" s="33" t="str">
        <f>IF(B32="","入力してください","")</f>
        <v/>
      </c>
    </row>
    <row r="33" spans="1:11" s="4" customFormat="1" ht="18.75" customHeight="1" x14ac:dyDescent="0.15">
      <c r="A33" s="1"/>
      <c r="B33" s="288"/>
      <c r="C33" s="289"/>
      <c r="D33" s="289"/>
      <c r="E33" s="289"/>
      <c r="F33" s="289"/>
      <c r="G33" s="289"/>
      <c r="H33" s="289"/>
      <c r="I33" s="289"/>
      <c r="J33" s="290"/>
      <c r="K33" s="33"/>
    </row>
    <row r="34" spans="1:11" s="4" customFormat="1" ht="18.75" customHeight="1" x14ac:dyDescent="0.15">
      <c r="A34" s="1"/>
      <c r="B34" s="288"/>
      <c r="C34" s="289"/>
      <c r="D34" s="289"/>
      <c r="E34" s="289"/>
      <c r="F34" s="289"/>
      <c r="G34" s="289"/>
      <c r="H34" s="289"/>
      <c r="I34" s="289"/>
      <c r="J34" s="290"/>
      <c r="K34" s="33"/>
    </row>
    <row r="35" spans="1:11" s="4" customFormat="1" ht="18.75" customHeight="1" x14ac:dyDescent="0.15">
      <c r="A35" s="1"/>
      <c r="B35" s="288"/>
      <c r="C35" s="289"/>
      <c r="D35" s="289"/>
      <c r="E35" s="289"/>
      <c r="F35" s="289"/>
      <c r="G35" s="289"/>
      <c r="H35" s="289"/>
      <c r="I35" s="289"/>
      <c r="J35" s="290"/>
      <c r="K35" s="33"/>
    </row>
    <row r="36" spans="1:11" s="4" customFormat="1" ht="18.75" customHeight="1" x14ac:dyDescent="0.15">
      <c r="A36" s="1"/>
      <c r="B36" s="288"/>
      <c r="C36" s="289"/>
      <c r="D36" s="289"/>
      <c r="E36" s="289"/>
      <c r="F36" s="289"/>
      <c r="G36" s="289"/>
      <c r="H36" s="289"/>
      <c r="I36" s="289"/>
      <c r="J36" s="290"/>
      <c r="K36" s="33"/>
    </row>
    <row r="37" spans="1:11" s="4" customFormat="1" ht="18.75" customHeight="1" x14ac:dyDescent="0.15">
      <c r="A37" s="1"/>
      <c r="B37" s="288"/>
      <c r="C37" s="289"/>
      <c r="D37" s="289"/>
      <c r="E37" s="289"/>
      <c r="F37" s="289"/>
      <c r="G37" s="289"/>
      <c r="H37" s="289"/>
      <c r="I37" s="289"/>
      <c r="J37" s="290"/>
      <c r="K37" s="33"/>
    </row>
    <row r="38" spans="1:11" s="4" customFormat="1" ht="18.75" customHeight="1" x14ac:dyDescent="0.15">
      <c r="A38" s="1"/>
      <c r="B38" s="288"/>
      <c r="C38" s="289"/>
      <c r="D38" s="289"/>
      <c r="E38" s="289"/>
      <c r="F38" s="289"/>
      <c r="G38" s="289"/>
      <c r="H38" s="289"/>
      <c r="I38" s="289"/>
      <c r="J38" s="290"/>
      <c r="K38" s="33"/>
    </row>
    <row r="39" spans="1:11" s="4" customFormat="1" ht="18.75" customHeight="1" x14ac:dyDescent="0.15">
      <c r="A39" s="1"/>
      <c r="B39" s="288"/>
      <c r="C39" s="289"/>
      <c r="D39" s="289"/>
      <c r="E39" s="289"/>
      <c r="F39" s="289"/>
      <c r="G39" s="289"/>
      <c r="H39" s="289"/>
      <c r="I39" s="289"/>
      <c r="J39" s="290"/>
      <c r="K39" s="33"/>
    </row>
    <row r="40" spans="1:11" s="4" customFormat="1" ht="18.75" customHeight="1" x14ac:dyDescent="0.15">
      <c r="A40" s="1"/>
      <c r="B40" s="288"/>
      <c r="C40" s="289"/>
      <c r="D40" s="289"/>
      <c r="E40" s="289"/>
      <c r="F40" s="289"/>
      <c r="G40" s="289"/>
      <c r="H40" s="289"/>
      <c r="I40" s="289"/>
      <c r="J40" s="290"/>
      <c r="K40" s="33"/>
    </row>
    <row r="41" spans="1:11" s="4" customFormat="1" ht="18.75" customHeight="1" x14ac:dyDescent="0.15">
      <c r="A41" s="1"/>
      <c r="B41" s="288"/>
      <c r="C41" s="289"/>
      <c r="D41" s="289"/>
      <c r="E41" s="289"/>
      <c r="F41" s="289"/>
      <c r="G41" s="289"/>
      <c r="H41" s="289"/>
      <c r="I41" s="289"/>
      <c r="J41" s="290"/>
      <c r="K41" s="33"/>
    </row>
    <row r="42" spans="1:11" s="4" customFormat="1" ht="18.75" customHeight="1" x14ac:dyDescent="0.15">
      <c r="A42" s="1"/>
      <c r="B42" s="288"/>
      <c r="C42" s="289"/>
      <c r="D42" s="289"/>
      <c r="E42" s="289"/>
      <c r="F42" s="289"/>
      <c r="G42" s="289"/>
      <c r="H42" s="289"/>
      <c r="I42" s="289"/>
      <c r="J42" s="290"/>
      <c r="K42" s="33"/>
    </row>
    <row r="43" spans="1:11" s="4" customFormat="1" ht="18.75" customHeight="1" x14ac:dyDescent="0.15">
      <c r="A43" s="1"/>
      <c r="B43" s="288"/>
      <c r="C43" s="289"/>
      <c r="D43" s="289"/>
      <c r="E43" s="289"/>
      <c r="F43" s="289"/>
      <c r="G43" s="289"/>
      <c r="H43" s="289"/>
      <c r="I43" s="289"/>
      <c r="J43" s="290"/>
      <c r="K43" s="33"/>
    </row>
    <row r="44" spans="1:11" ht="18.75" customHeight="1" x14ac:dyDescent="0.15">
      <c r="A44" s="37"/>
      <c r="B44" s="288"/>
      <c r="C44" s="289"/>
      <c r="D44" s="289"/>
      <c r="E44" s="289"/>
      <c r="F44" s="289"/>
      <c r="G44" s="289"/>
      <c r="H44" s="289"/>
      <c r="I44" s="289"/>
      <c r="J44" s="290"/>
      <c r="K44" s="33"/>
    </row>
    <row r="45" spans="1:11" ht="18.75" customHeight="1" x14ac:dyDescent="0.15">
      <c r="A45" s="37"/>
      <c r="B45" s="291"/>
      <c r="C45" s="292"/>
      <c r="D45" s="292"/>
      <c r="E45" s="292"/>
      <c r="F45" s="292"/>
      <c r="G45" s="292"/>
      <c r="H45" s="292"/>
      <c r="I45" s="292"/>
      <c r="J45" s="293"/>
    </row>
    <row r="46" spans="1:11" s="4" customFormat="1" ht="18.75" customHeight="1" x14ac:dyDescent="0.15">
      <c r="A46" s="100" t="s">
        <v>11</v>
      </c>
      <c r="B46" s="1" t="s">
        <v>65</v>
      </c>
      <c r="C46" s="1"/>
      <c r="D46" s="1"/>
      <c r="E46" s="1"/>
      <c r="F46" s="1"/>
      <c r="G46" s="1"/>
      <c r="H46" s="1"/>
      <c r="I46" s="100"/>
      <c r="J46" s="100"/>
      <c r="K46" s="31"/>
    </row>
    <row r="47" spans="1:11" ht="18.75" customHeight="1" x14ac:dyDescent="0.15">
      <c r="A47" s="37"/>
      <c r="B47" s="266" t="s">
        <v>218</v>
      </c>
      <c r="C47" s="267"/>
      <c r="D47" s="267"/>
      <c r="E47" s="267"/>
      <c r="F47" s="267"/>
      <c r="G47" s="267"/>
      <c r="H47" s="267"/>
      <c r="I47" s="268"/>
      <c r="J47" s="269"/>
      <c r="K47" s="31" t="str">
        <f>IF(B47="","入力してください","")</f>
        <v/>
      </c>
    </row>
    <row r="48" spans="1:11" ht="18.75" customHeight="1" x14ac:dyDescent="0.15">
      <c r="A48" s="37"/>
      <c r="B48" s="270"/>
      <c r="C48" s="271"/>
      <c r="D48" s="271"/>
      <c r="E48" s="271"/>
      <c r="F48" s="271"/>
      <c r="G48" s="271"/>
      <c r="H48" s="271"/>
      <c r="I48" s="271"/>
      <c r="J48" s="272"/>
    </row>
    <row r="49" spans="1:10" ht="18.75" customHeight="1" x14ac:dyDescent="0.15">
      <c r="A49" s="37"/>
      <c r="B49" s="270"/>
      <c r="C49" s="271"/>
      <c r="D49" s="271"/>
      <c r="E49" s="271"/>
      <c r="F49" s="271"/>
      <c r="G49" s="271"/>
      <c r="H49" s="271"/>
      <c r="I49" s="271"/>
      <c r="J49" s="272"/>
    </row>
    <row r="50" spans="1:10" ht="18.75" customHeight="1" x14ac:dyDescent="0.15">
      <c r="A50" s="37"/>
      <c r="B50" s="270"/>
      <c r="C50" s="271"/>
      <c r="D50" s="271"/>
      <c r="E50" s="271"/>
      <c r="F50" s="271"/>
      <c r="G50" s="271"/>
      <c r="H50" s="271"/>
      <c r="I50" s="271"/>
      <c r="J50" s="272"/>
    </row>
    <row r="51" spans="1:10" ht="18.75" customHeight="1" x14ac:dyDescent="0.15">
      <c r="A51" s="37"/>
      <c r="B51" s="270"/>
      <c r="C51" s="271"/>
      <c r="D51" s="271"/>
      <c r="E51" s="271"/>
      <c r="F51" s="271"/>
      <c r="G51" s="271"/>
      <c r="H51" s="271"/>
      <c r="I51" s="271"/>
      <c r="J51" s="272"/>
    </row>
    <row r="52" spans="1:10" ht="18.75" customHeight="1" x14ac:dyDescent="0.15">
      <c r="A52" s="37"/>
      <c r="B52" s="270"/>
      <c r="C52" s="271"/>
      <c r="D52" s="271"/>
      <c r="E52" s="271"/>
      <c r="F52" s="271"/>
      <c r="G52" s="271"/>
      <c r="H52" s="271"/>
      <c r="I52" s="271"/>
      <c r="J52" s="272"/>
    </row>
    <row r="53" spans="1:10" ht="18.75" customHeight="1" x14ac:dyDescent="0.15">
      <c r="A53" s="37"/>
      <c r="B53" s="270"/>
      <c r="C53" s="271"/>
      <c r="D53" s="271"/>
      <c r="E53" s="271"/>
      <c r="F53" s="271"/>
      <c r="G53" s="271"/>
      <c r="H53" s="271"/>
      <c r="I53" s="271"/>
      <c r="J53" s="272"/>
    </row>
    <row r="54" spans="1:10" ht="18.75" customHeight="1" x14ac:dyDescent="0.15">
      <c r="A54" s="37"/>
      <c r="B54" s="270"/>
      <c r="C54" s="271"/>
      <c r="D54" s="271"/>
      <c r="E54" s="271"/>
      <c r="F54" s="271"/>
      <c r="G54" s="271"/>
      <c r="H54" s="271"/>
      <c r="I54" s="271"/>
      <c r="J54" s="272"/>
    </row>
    <row r="55" spans="1:10" ht="18.75" customHeight="1" x14ac:dyDescent="0.15">
      <c r="A55" s="37"/>
      <c r="B55" s="270"/>
      <c r="C55" s="271"/>
      <c r="D55" s="271"/>
      <c r="E55" s="271"/>
      <c r="F55" s="271"/>
      <c r="G55" s="271"/>
      <c r="H55" s="271"/>
      <c r="I55" s="271"/>
      <c r="J55" s="272"/>
    </row>
    <row r="56" spans="1:10" ht="18.75" customHeight="1" x14ac:dyDescent="0.15">
      <c r="A56" s="37"/>
      <c r="B56" s="270"/>
      <c r="C56" s="271"/>
      <c r="D56" s="271"/>
      <c r="E56" s="271"/>
      <c r="F56" s="271"/>
      <c r="G56" s="271"/>
      <c r="H56" s="271"/>
      <c r="I56" s="271"/>
      <c r="J56" s="272"/>
    </row>
    <row r="57" spans="1:10" ht="18.75" customHeight="1" x14ac:dyDescent="0.15">
      <c r="A57" s="37"/>
      <c r="B57" s="270"/>
      <c r="C57" s="271"/>
      <c r="D57" s="271"/>
      <c r="E57" s="271"/>
      <c r="F57" s="271"/>
      <c r="G57" s="271"/>
      <c r="H57" s="271"/>
      <c r="I57" s="271"/>
      <c r="J57" s="272"/>
    </row>
    <row r="58" spans="1:10" ht="18.75" customHeight="1" x14ac:dyDescent="0.15">
      <c r="A58" s="37"/>
      <c r="B58" s="270"/>
      <c r="C58" s="271"/>
      <c r="D58" s="271"/>
      <c r="E58" s="271"/>
      <c r="F58" s="271"/>
      <c r="G58" s="271"/>
      <c r="H58" s="271"/>
      <c r="I58" s="271"/>
      <c r="J58" s="272"/>
    </row>
    <row r="59" spans="1:10" ht="18.75" customHeight="1" x14ac:dyDescent="0.15">
      <c r="A59" s="37"/>
      <c r="B59" s="270"/>
      <c r="C59" s="271"/>
      <c r="D59" s="271"/>
      <c r="E59" s="271"/>
      <c r="F59" s="271"/>
      <c r="G59" s="271"/>
      <c r="H59" s="271"/>
      <c r="I59" s="271"/>
      <c r="J59" s="272"/>
    </row>
    <row r="60" spans="1:10" ht="18.75" customHeight="1" x14ac:dyDescent="0.15">
      <c r="A60" s="37"/>
      <c r="B60" s="270"/>
      <c r="C60" s="271"/>
      <c r="D60" s="271"/>
      <c r="E60" s="271"/>
      <c r="F60" s="271"/>
      <c r="G60" s="271"/>
      <c r="H60" s="271"/>
      <c r="I60" s="271"/>
      <c r="J60" s="272"/>
    </row>
    <row r="61" spans="1:10" ht="18.75" customHeight="1" x14ac:dyDescent="0.15">
      <c r="A61" s="37"/>
      <c r="B61" s="270"/>
      <c r="C61" s="271"/>
      <c r="D61" s="271"/>
      <c r="E61" s="271"/>
      <c r="F61" s="271"/>
      <c r="G61" s="271"/>
      <c r="H61" s="271"/>
      <c r="I61" s="271"/>
      <c r="J61" s="272"/>
    </row>
    <row r="62" spans="1:10" ht="18.75" customHeight="1" x14ac:dyDescent="0.15">
      <c r="A62" s="37"/>
      <c r="B62" s="270"/>
      <c r="C62" s="271"/>
      <c r="D62" s="271"/>
      <c r="E62" s="271"/>
      <c r="F62" s="271"/>
      <c r="G62" s="271"/>
      <c r="H62" s="271"/>
      <c r="I62" s="271"/>
      <c r="J62" s="272"/>
    </row>
    <row r="63" spans="1:10" ht="18.75" customHeight="1" x14ac:dyDescent="0.15">
      <c r="A63" s="37"/>
      <c r="B63" s="270"/>
      <c r="C63" s="271"/>
      <c r="D63" s="271"/>
      <c r="E63" s="271"/>
      <c r="F63" s="271"/>
      <c r="G63" s="271"/>
      <c r="H63" s="271"/>
      <c r="I63" s="271"/>
      <c r="J63" s="272"/>
    </row>
    <row r="64" spans="1:10" ht="18.75" customHeight="1" x14ac:dyDescent="0.15">
      <c r="A64" s="37"/>
      <c r="B64" s="270"/>
      <c r="C64" s="271"/>
      <c r="D64" s="271"/>
      <c r="E64" s="271"/>
      <c r="F64" s="271"/>
      <c r="G64" s="271"/>
      <c r="H64" s="271"/>
      <c r="I64" s="271"/>
      <c r="J64" s="272"/>
    </row>
    <row r="65" spans="1:11" ht="18.75" customHeight="1" x14ac:dyDescent="0.15">
      <c r="A65" s="37"/>
      <c r="B65" s="270"/>
      <c r="C65" s="271"/>
      <c r="D65" s="271"/>
      <c r="E65" s="271"/>
      <c r="F65" s="271"/>
      <c r="G65" s="271"/>
      <c r="H65" s="271"/>
      <c r="I65" s="271"/>
      <c r="J65" s="272"/>
    </row>
    <row r="66" spans="1:11" ht="18.75" customHeight="1" x14ac:dyDescent="0.15">
      <c r="A66" s="37"/>
      <c r="B66" s="270"/>
      <c r="C66" s="271"/>
      <c r="D66" s="271"/>
      <c r="E66" s="271"/>
      <c r="F66" s="271"/>
      <c r="G66" s="271"/>
      <c r="H66" s="271"/>
      <c r="I66" s="271"/>
      <c r="J66" s="272"/>
    </row>
    <row r="67" spans="1:11" ht="18.75" customHeight="1" x14ac:dyDescent="0.15">
      <c r="A67" s="37"/>
      <c r="B67" s="273"/>
      <c r="C67" s="274"/>
      <c r="D67" s="274"/>
      <c r="E67" s="274"/>
      <c r="F67" s="274"/>
      <c r="G67" s="274"/>
      <c r="H67" s="274"/>
      <c r="I67" s="274"/>
      <c r="J67" s="275"/>
    </row>
    <row r="68" spans="1:11" ht="7.5" customHeight="1" x14ac:dyDescent="0.15">
      <c r="A68" s="37"/>
      <c r="B68" s="37"/>
      <c r="C68" s="37"/>
      <c r="D68" s="37"/>
      <c r="E68" s="37"/>
      <c r="F68" s="37"/>
      <c r="G68" s="37"/>
      <c r="H68" s="37"/>
      <c r="I68" s="37"/>
      <c r="J68" s="37"/>
    </row>
    <row r="69" spans="1:11" s="4" customFormat="1" ht="18.75" customHeight="1" x14ac:dyDescent="0.15">
      <c r="A69" s="1" t="s">
        <v>14</v>
      </c>
      <c r="B69" s="1" t="s">
        <v>71</v>
      </c>
      <c r="C69" s="1"/>
      <c r="D69" s="1"/>
      <c r="E69" s="1"/>
      <c r="F69" s="1"/>
      <c r="G69" s="1"/>
      <c r="H69" s="1"/>
      <c r="I69" s="1"/>
      <c r="J69" s="1"/>
      <c r="K69" s="31"/>
    </row>
    <row r="70" spans="1:11" s="4" customFormat="1" ht="18.75" customHeight="1" x14ac:dyDescent="0.15">
      <c r="A70" s="1"/>
      <c r="B70" s="266" t="s">
        <v>230</v>
      </c>
      <c r="C70" s="276"/>
      <c r="D70" s="276"/>
      <c r="E70" s="276"/>
      <c r="F70" s="276"/>
      <c r="G70" s="276"/>
      <c r="H70" s="276"/>
      <c r="I70" s="277"/>
      <c r="J70" s="278"/>
      <c r="K70" s="33" t="str">
        <f>IF(B70="","入力してください","")</f>
        <v/>
      </c>
    </row>
    <row r="71" spans="1:11" s="4" customFormat="1" ht="18.75" customHeight="1" x14ac:dyDescent="0.15">
      <c r="A71" s="1"/>
      <c r="B71" s="279"/>
      <c r="C71" s="280"/>
      <c r="D71" s="280"/>
      <c r="E71" s="280"/>
      <c r="F71" s="280"/>
      <c r="G71" s="280"/>
      <c r="H71" s="280"/>
      <c r="I71" s="280"/>
      <c r="J71" s="281"/>
      <c r="K71" s="33"/>
    </row>
    <row r="72" spans="1:11" s="4" customFormat="1" ht="18.75" customHeight="1" x14ac:dyDescent="0.15">
      <c r="A72" s="1"/>
      <c r="B72" s="279"/>
      <c r="C72" s="280"/>
      <c r="D72" s="280"/>
      <c r="E72" s="280"/>
      <c r="F72" s="280"/>
      <c r="G72" s="280"/>
      <c r="H72" s="280"/>
      <c r="I72" s="280"/>
      <c r="J72" s="281"/>
      <c r="K72" s="33"/>
    </row>
    <row r="73" spans="1:11" s="4" customFormat="1" ht="18.75" customHeight="1" x14ac:dyDescent="0.15">
      <c r="A73" s="1"/>
      <c r="B73" s="279"/>
      <c r="C73" s="280"/>
      <c r="D73" s="280"/>
      <c r="E73" s="280"/>
      <c r="F73" s="280"/>
      <c r="G73" s="280"/>
      <c r="H73" s="280"/>
      <c r="I73" s="280"/>
      <c r="J73" s="281"/>
      <c r="K73" s="33"/>
    </row>
    <row r="74" spans="1:11" s="4" customFormat="1" ht="18.75" customHeight="1" x14ac:dyDescent="0.15">
      <c r="A74" s="1"/>
      <c r="B74" s="279"/>
      <c r="C74" s="280"/>
      <c r="D74" s="280"/>
      <c r="E74" s="280"/>
      <c r="F74" s="280"/>
      <c r="G74" s="280"/>
      <c r="H74" s="280"/>
      <c r="I74" s="280"/>
      <c r="J74" s="281"/>
      <c r="K74" s="33"/>
    </row>
    <row r="75" spans="1:11" s="4" customFormat="1" ht="18.75" customHeight="1" x14ac:dyDescent="0.15">
      <c r="A75" s="1"/>
      <c r="B75" s="279"/>
      <c r="C75" s="280"/>
      <c r="D75" s="280"/>
      <c r="E75" s="280"/>
      <c r="F75" s="280"/>
      <c r="G75" s="280"/>
      <c r="H75" s="280"/>
      <c r="I75" s="280"/>
      <c r="J75" s="281"/>
      <c r="K75" s="33"/>
    </row>
    <row r="76" spans="1:11" s="4" customFormat="1" ht="18.75" customHeight="1" x14ac:dyDescent="0.15">
      <c r="A76" s="1"/>
      <c r="B76" s="279"/>
      <c r="C76" s="280"/>
      <c r="D76" s="280"/>
      <c r="E76" s="280"/>
      <c r="F76" s="280"/>
      <c r="G76" s="280"/>
      <c r="H76" s="280"/>
      <c r="I76" s="280"/>
      <c r="J76" s="281"/>
      <c r="K76" s="33"/>
    </row>
    <row r="77" spans="1:11" s="4" customFormat="1" ht="18.75" customHeight="1" x14ac:dyDescent="0.15">
      <c r="A77" s="1"/>
      <c r="B77" s="279"/>
      <c r="C77" s="280"/>
      <c r="D77" s="280"/>
      <c r="E77" s="280"/>
      <c r="F77" s="280"/>
      <c r="G77" s="280"/>
      <c r="H77" s="280"/>
      <c r="I77" s="280"/>
      <c r="J77" s="281"/>
      <c r="K77" s="33"/>
    </row>
    <row r="78" spans="1:11" s="4" customFormat="1" ht="18.75" customHeight="1" x14ac:dyDescent="0.15">
      <c r="A78" s="1"/>
      <c r="B78" s="279"/>
      <c r="C78" s="280"/>
      <c r="D78" s="280"/>
      <c r="E78" s="280"/>
      <c r="F78" s="280"/>
      <c r="G78" s="280"/>
      <c r="H78" s="280"/>
      <c r="I78" s="280"/>
      <c r="J78" s="281"/>
      <c r="K78" s="33"/>
    </row>
    <row r="79" spans="1:11" s="4" customFormat="1" ht="18.75" customHeight="1" x14ac:dyDescent="0.15">
      <c r="A79" s="1"/>
      <c r="B79" s="279"/>
      <c r="C79" s="280"/>
      <c r="D79" s="280"/>
      <c r="E79" s="280"/>
      <c r="F79" s="280"/>
      <c r="G79" s="280"/>
      <c r="H79" s="280"/>
      <c r="I79" s="280"/>
      <c r="J79" s="281"/>
      <c r="K79" s="33"/>
    </row>
    <row r="80" spans="1:11" s="4" customFormat="1" ht="18.75" customHeight="1" x14ac:dyDescent="0.15">
      <c r="A80" s="1"/>
      <c r="B80" s="279"/>
      <c r="C80" s="280"/>
      <c r="D80" s="280"/>
      <c r="E80" s="280"/>
      <c r="F80" s="280"/>
      <c r="G80" s="280"/>
      <c r="H80" s="280"/>
      <c r="I80" s="280"/>
      <c r="J80" s="281"/>
      <c r="K80" s="33"/>
    </row>
    <row r="81" spans="1:11" s="4" customFormat="1" ht="18.75" customHeight="1" x14ac:dyDescent="0.15">
      <c r="A81" s="1"/>
      <c r="B81" s="279"/>
      <c r="C81" s="280"/>
      <c r="D81" s="280"/>
      <c r="E81" s="280"/>
      <c r="F81" s="280"/>
      <c r="G81" s="280"/>
      <c r="H81" s="280"/>
      <c r="I81" s="280"/>
      <c r="J81" s="281"/>
      <c r="K81" s="33"/>
    </row>
    <row r="82" spans="1:11" s="4" customFormat="1" ht="18.75" customHeight="1" x14ac:dyDescent="0.15">
      <c r="A82" s="1"/>
      <c r="B82" s="279"/>
      <c r="C82" s="280"/>
      <c r="D82" s="280"/>
      <c r="E82" s="280"/>
      <c r="F82" s="280"/>
      <c r="G82" s="280"/>
      <c r="H82" s="280"/>
      <c r="I82" s="280"/>
      <c r="J82" s="281"/>
      <c r="K82" s="33"/>
    </row>
    <row r="83" spans="1:11" s="4" customFormat="1" ht="18.75" customHeight="1" x14ac:dyDescent="0.15">
      <c r="A83" s="1"/>
      <c r="B83" s="279"/>
      <c r="C83" s="280"/>
      <c r="D83" s="280"/>
      <c r="E83" s="280"/>
      <c r="F83" s="280"/>
      <c r="G83" s="280"/>
      <c r="H83" s="280"/>
      <c r="I83" s="280"/>
      <c r="J83" s="281"/>
      <c r="K83" s="33"/>
    </row>
    <row r="84" spans="1:11" s="4" customFormat="1" ht="18.75" customHeight="1" x14ac:dyDescent="0.15">
      <c r="A84" s="1"/>
      <c r="B84" s="279"/>
      <c r="C84" s="280"/>
      <c r="D84" s="280"/>
      <c r="E84" s="280"/>
      <c r="F84" s="280"/>
      <c r="G84" s="280"/>
      <c r="H84" s="280"/>
      <c r="I84" s="280"/>
      <c r="J84" s="281"/>
      <c r="K84" s="33"/>
    </row>
    <row r="85" spans="1:11" s="4" customFormat="1" ht="18.75" customHeight="1" x14ac:dyDescent="0.15">
      <c r="A85" s="1"/>
      <c r="B85" s="279"/>
      <c r="C85" s="280"/>
      <c r="D85" s="280"/>
      <c r="E85" s="280"/>
      <c r="F85" s="280"/>
      <c r="G85" s="280"/>
      <c r="H85" s="280"/>
      <c r="I85" s="280"/>
      <c r="J85" s="281"/>
      <c r="K85" s="33"/>
    </row>
    <row r="86" spans="1:11" ht="18.75" customHeight="1" x14ac:dyDescent="0.15">
      <c r="A86" s="37"/>
      <c r="B86" s="279"/>
      <c r="C86" s="280"/>
      <c r="D86" s="280"/>
      <c r="E86" s="280"/>
      <c r="F86" s="280"/>
      <c r="G86" s="280"/>
      <c r="H86" s="280"/>
      <c r="I86" s="280"/>
      <c r="J86" s="281"/>
      <c r="K86" s="33"/>
    </row>
    <row r="87" spans="1:11" ht="18.75" customHeight="1" x14ac:dyDescent="0.15">
      <c r="A87" s="37"/>
      <c r="B87" s="282"/>
      <c r="C87" s="283"/>
      <c r="D87" s="283"/>
      <c r="E87" s="283"/>
      <c r="F87" s="283"/>
      <c r="G87" s="283"/>
      <c r="H87" s="283"/>
      <c r="I87" s="283"/>
      <c r="J87" s="284"/>
      <c r="K87" s="33"/>
    </row>
    <row r="88" spans="1:11" ht="7.5" customHeight="1" x14ac:dyDescent="0.15">
      <c r="A88" s="37"/>
      <c r="B88" s="37"/>
      <c r="C88" s="37"/>
      <c r="D88" s="37"/>
      <c r="E88" s="37"/>
      <c r="F88" s="37"/>
      <c r="G88" s="37"/>
      <c r="H88" s="37"/>
      <c r="I88" s="37"/>
      <c r="J88" s="37"/>
    </row>
    <row r="89" spans="1:11" s="4" customFormat="1" ht="18.75" customHeight="1" x14ac:dyDescent="0.15">
      <c r="A89" s="1" t="s">
        <v>12</v>
      </c>
      <c r="B89" s="1" t="s">
        <v>27</v>
      </c>
      <c r="C89" s="1"/>
      <c r="D89" s="1"/>
      <c r="E89" s="1"/>
      <c r="F89" s="1"/>
      <c r="G89" s="1"/>
      <c r="H89" s="1"/>
      <c r="I89" s="1"/>
      <c r="J89" s="1"/>
      <c r="K89" s="31"/>
    </row>
    <row r="90" spans="1:11" s="4" customFormat="1" ht="18.75" customHeight="1" x14ac:dyDescent="0.15">
      <c r="A90" s="1"/>
      <c r="B90" s="266" t="s">
        <v>231</v>
      </c>
      <c r="C90" s="276"/>
      <c r="D90" s="276"/>
      <c r="E90" s="276"/>
      <c r="F90" s="276"/>
      <c r="G90" s="276"/>
      <c r="H90" s="276"/>
      <c r="I90" s="277"/>
      <c r="J90" s="278"/>
      <c r="K90" s="31"/>
    </row>
    <row r="91" spans="1:11" s="4" customFormat="1" ht="18.75" customHeight="1" x14ac:dyDescent="0.15">
      <c r="A91" s="1"/>
      <c r="B91" s="279"/>
      <c r="C91" s="280"/>
      <c r="D91" s="280"/>
      <c r="E91" s="280"/>
      <c r="F91" s="280"/>
      <c r="G91" s="280"/>
      <c r="H91" s="280"/>
      <c r="I91" s="280"/>
      <c r="J91" s="281"/>
      <c r="K91" s="33"/>
    </row>
    <row r="92" spans="1:11" s="4" customFormat="1" ht="18.75" customHeight="1" x14ac:dyDescent="0.15">
      <c r="A92" s="1"/>
      <c r="B92" s="279"/>
      <c r="C92" s="280"/>
      <c r="D92" s="280"/>
      <c r="E92" s="280"/>
      <c r="F92" s="280"/>
      <c r="G92" s="280"/>
      <c r="H92" s="280"/>
      <c r="I92" s="280"/>
      <c r="J92" s="281"/>
      <c r="K92" s="33" t="str">
        <f>IF(B90="","入力してください","")</f>
        <v/>
      </c>
    </row>
    <row r="93" spans="1:11" s="4" customFormat="1" ht="18.75" customHeight="1" x14ac:dyDescent="0.15">
      <c r="A93" s="1"/>
      <c r="B93" s="279"/>
      <c r="C93" s="280"/>
      <c r="D93" s="280"/>
      <c r="E93" s="280"/>
      <c r="F93" s="280"/>
      <c r="G93" s="280"/>
      <c r="H93" s="280"/>
      <c r="I93" s="280"/>
      <c r="J93" s="281"/>
      <c r="K93" s="33"/>
    </row>
    <row r="94" spans="1:11" s="4" customFormat="1" ht="18.75" customHeight="1" x14ac:dyDescent="0.15">
      <c r="A94" s="1"/>
      <c r="B94" s="279"/>
      <c r="C94" s="280"/>
      <c r="D94" s="280"/>
      <c r="E94" s="280"/>
      <c r="F94" s="280"/>
      <c r="G94" s="280"/>
      <c r="H94" s="280"/>
      <c r="I94" s="280"/>
      <c r="J94" s="281"/>
      <c r="K94" s="33"/>
    </row>
    <row r="95" spans="1:11" s="4" customFormat="1" ht="18.75" customHeight="1" x14ac:dyDescent="0.15">
      <c r="A95" s="1"/>
      <c r="B95" s="279"/>
      <c r="C95" s="280"/>
      <c r="D95" s="280"/>
      <c r="E95" s="280"/>
      <c r="F95" s="280"/>
      <c r="G95" s="280"/>
      <c r="H95" s="280"/>
      <c r="I95" s="280"/>
      <c r="J95" s="281"/>
      <c r="K95" s="33"/>
    </row>
    <row r="96" spans="1:11" s="4" customFormat="1" ht="18.75" customHeight="1" x14ac:dyDescent="0.15">
      <c r="A96" s="1"/>
      <c r="B96" s="279"/>
      <c r="C96" s="280"/>
      <c r="D96" s="280"/>
      <c r="E96" s="280"/>
      <c r="F96" s="280"/>
      <c r="G96" s="280"/>
      <c r="H96" s="280"/>
      <c r="I96" s="280"/>
      <c r="J96" s="281"/>
      <c r="K96" s="33"/>
    </row>
    <row r="97" spans="1:11" s="4" customFormat="1" ht="18.75" customHeight="1" x14ac:dyDescent="0.15">
      <c r="A97" s="1"/>
      <c r="B97" s="279"/>
      <c r="C97" s="280"/>
      <c r="D97" s="280"/>
      <c r="E97" s="280"/>
      <c r="F97" s="280"/>
      <c r="G97" s="280"/>
      <c r="H97" s="280"/>
      <c r="I97" s="280"/>
      <c r="J97" s="281"/>
      <c r="K97" s="33"/>
    </row>
    <row r="98" spans="1:11" s="4" customFormat="1" ht="18.75" customHeight="1" x14ac:dyDescent="0.15">
      <c r="A98" s="1"/>
      <c r="B98" s="279"/>
      <c r="C98" s="280"/>
      <c r="D98" s="280"/>
      <c r="E98" s="280"/>
      <c r="F98" s="280"/>
      <c r="G98" s="280"/>
      <c r="H98" s="280"/>
      <c r="I98" s="280"/>
      <c r="J98" s="281"/>
      <c r="K98" s="33"/>
    </row>
    <row r="99" spans="1:11" s="4" customFormat="1" ht="18.75" customHeight="1" x14ac:dyDescent="0.15">
      <c r="A99" s="1"/>
      <c r="B99" s="279"/>
      <c r="C99" s="280"/>
      <c r="D99" s="280"/>
      <c r="E99" s="280"/>
      <c r="F99" s="280"/>
      <c r="G99" s="280"/>
      <c r="H99" s="280"/>
      <c r="I99" s="280"/>
      <c r="J99" s="281"/>
      <c r="K99" s="33"/>
    </row>
    <row r="100" spans="1:11" s="4" customFormat="1" ht="18.75" customHeight="1" x14ac:dyDescent="0.15">
      <c r="A100" s="1"/>
      <c r="B100" s="279"/>
      <c r="C100" s="280"/>
      <c r="D100" s="280"/>
      <c r="E100" s="280"/>
      <c r="F100" s="280"/>
      <c r="G100" s="280"/>
      <c r="H100" s="280"/>
      <c r="I100" s="280"/>
      <c r="J100" s="281"/>
      <c r="K100" s="33"/>
    </row>
    <row r="101" spans="1:11" s="4" customFormat="1" ht="18.75" customHeight="1" x14ac:dyDescent="0.15">
      <c r="A101" s="1"/>
      <c r="B101" s="279"/>
      <c r="C101" s="280"/>
      <c r="D101" s="280"/>
      <c r="E101" s="280"/>
      <c r="F101" s="280"/>
      <c r="G101" s="280"/>
      <c r="H101" s="280"/>
      <c r="I101" s="280"/>
      <c r="J101" s="281"/>
      <c r="K101" s="33"/>
    </row>
    <row r="102" spans="1:11" s="4" customFormat="1" ht="18.75" customHeight="1" x14ac:dyDescent="0.15">
      <c r="A102" s="1"/>
      <c r="B102" s="279"/>
      <c r="C102" s="280"/>
      <c r="D102" s="280"/>
      <c r="E102" s="280"/>
      <c r="F102" s="280"/>
      <c r="G102" s="280"/>
      <c r="H102" s="280"/>
      <c r="I102" s="280"/>
      <c r="J102" s="281"/>
      <c r="K102" s="33"/>
    </row>
    <row r="103" spans="1:11" s="4" customFormat="1" ht="18.75" customHeight="1" x14ac:dyDescent="0.15">
      <c r="A103" s="1"/>
      <c r="B103" s="279"/>
      <c r="C103" s="280"/>
      <c r="D103" s="280"/>
      <c r="E103" s="280"/>
      <c r="F103" s="280"/>
      <c r="G103" s="280"/>
      <c r="H103" s="280"/>
      <c r="I103" s="280"/>
      <c r="J103" s="281"/>
      <c r="K103" s="33"/>
    </row>
    <row r="104" spans="1:11" s="4" customFormat="1" ht="18.75" customHeight="1" x14ac:dyDescent="0.15">
      <c r="A104" s="1"/>
      <c r="B104" s="279"/>
      <c r="C104" s="280"/>
      <c r="D104" s="280"/>
      <c r="E104" s="280"/>
      <c r="F104" s="280"/>
      <c r="G104" s="280"/>
      <c r="H104" s="280"/>
      <c r="I104" s="280"/>
      <c r="J104" s="281"/>
      <c r="K104" s="33"/>
    </row>
    <row r="105" spans="1:11" s="4" customFormat="1" ht="18.75" customHeight="1" x14ac:dyDescent="0.15">
      <c r="A105" s="1"/>
      <c r="B105" s="279"/>
      <c r="C105" s="280"/>
      <c r="D105" s="280"/>
      <c r="E105" s="280"/>
      <c r="F105" s="280"/>
      <c r="G105" s="280"/>
      <c r="H105" s="280"/>
      <c r="I105" s="280"/>
      <c r="J105" s="281"/>
      <c r="K105" s="33"/>
    </row>
    <row r="106" spans="1:11" s="4" customFormat="1" ht="18.75" customHeight="1" x14ac:dyDescent="0.15">
      <c r="A106" s="1"/>
      <c r="B106" s="279"/>
      <c r="C106" s="280"/>
      <c r="D106" s="280"/>
      <c r="E106" s="280"/>
      <c r="F106" s="280"/>
      <c r="G106" s="280"/>
      <c r="H106" s="280"/>
      <c r="I106" s="280"/>
      <c r="J106" s="281"/>
      <c r="K106" s="33"/>
    </row>
    <row r="107" spans="1:11" s="4" customFormat="1" ht="18.75" customHeight="1" x14ac:dyDescent="0.15">
      <c r="A107" s="1"/>
      <c r="B107" s="279"/>
      <c r="C107" s="280"/>
      <c r="D107" s="280"/>
      <c r="E107" s="280"/>
      <c r="F107" s="280"/>
      <c r="G107" s="280"/>
      <c r="H107" s="280"/>
      <c r="I107" s="280"/>
      <c r="J107" s="281"/>
      <c r="K107" s="33"/>
    </row>
    <row r="108" spans="1:11" ht="18.75" customHeight="1" x14ac:dyDescent="0.15">
      <c r="A108" s="37"/>
      <c r="B108" s="279"/>
      <c r="C108" s="280"/>
      <c r="D108" s="280"/>
      <c r="E108" s="280"/>
      <c r="F108" s="280"/>
      <c r="G108" s="280"/>
      <c r="H108" s="280"/>
      <c r="I108" s="280"/>
      <c r="J108" s="281"/>
      <c r="K108" s="33"/>
    </row>
    <row r="109" spans="1:11" ht="18.75" customHeight="1" x14ac:dyDescent="0.15">
      <c r="A109" s="37"/>
      <c r="B109" s="282"/>
      <c r="C109" s="283"/>
      <c r="D109" s="283"/>
      <c r="E109" s="283"/>
      <c r="F109" s="283"/>
      <c r="G109" s="283"/>
      <c r="H109" s="283"/>
      <c r="I109" s="283"/>
      <c r="J109" s="284"/>
      <c r="K109" s="33"/>
    </row>
    <row r="110" spans="1:11" ht="7.5" customHeight="1" x14ac:dyDescent="0.15">
      <c r="A110" s="37"/>
      <c r="B110" s="37"/>
      <c r="C110" s="37"/>
      <c r="D110" s="37"/>
      <c r="E110" s="37"/>
      <c r="F110" s="37"/>
      <c r="G110" s="37"/>
      <c r="H110" s="37"/>
      <c r="I110" s="37"/>
      <c r="J110" s="37"/>
    </row>
    <row r="111" spans="1:11" s="4" customFormat="1" ht="18.75" customHeight="1" x14ac:dyDescent="0.15">
      <c r="A111" s="1" t="s">
        <v>53</v>
      </c>
      <c r="B111" s="285" t="s">
        <v>82</v>
      </c>
      <c r="C111" s="285"/>
      <c r="D111" s="285"/>
      <c r="E111" s="285"/>
      <c r="F111" s="285"/>
      <c r="G111" s="285"/>
      <c r="H111" s="285"/>
      <c r="I111" s="285"/>
      <c r="J111" s="285"/>
      <c r="K111" s="31"/>
    </row>
    <row r="112" spans="1:11" ht="18.75" customHeight="1" x14ac:dyDescent="0.15">
      <c r="A112" s="37"/>
      <c r="B112" s="266" t="s">
        <v>232</v>
      </c>
      <c r="C112" s="267"/>
      <c r="D112" s="267"/>
      <c r="E112" s="267"/>
      <c r="F112" s="267"/>
      <c r="G112" s="267"/>
      <c r="H112" s="267"/>
      <c r="I112" s="286"/>
      <c r="J112" s="287"/>
    </row>
    <row r="113" spans="1:11" ht="18.75" customHeight="1" x14ac:dyDescent="0.15">
      <c r="A113" s="37"/>
      <c r="B113" s="288"/>
      <c r="C113" s="289"/>
      <c r="D113" s="289"/>
      <c r="E113" s="289"/>
      <c r="F113" s="289"/>
      <c r="G113" s="289"/>
      <c r="H113" s="289"/>
      <c r="I113" s="289"/>
      <c r="J113" s="290"/>
      <c r="K113" s="33"/>
    </row>
    <row r="114" spans="1:11" ht="18.75" customHeight="1" x14ac:dyDescent="0.15">
      <c r="A114" s="37"/>
      <c r="B114" s="288"/>
      <c r="C114" s="289"/>
      <c r="D114" s="289"/>
      <c r="E114" s="289"/>
      <c r="F114" s="289"/>
      <c r="G114" s="289"/>
      <c r="H114" s="289"/>
      <c r="I114" s="289"/>
      <c r="J114" s="290"/>
      <c r="K114" s="31" t="str">
        <f>IF(B112="","入力してください","")</f>
        <v/>
      </c>
    </row>
    <row r="115" spans="1:11" ht="18.75" customHeight="1" x14ac:dyDescent="0.15">
      <c r="A115" s="37"/>
      <c r="B115" s="288"/>
      <c r="C115" s="289"/>
      <c r="D115" s="289"/>
      <c r="E115" s="289"/>
      <c r="F115" s="289"/>
      <c r="G115" s="289"/>
      <c r="H115" s="289"/>
      <c r="I115" s="289"/>
      <c r="J115" s="290"/>
    </row>
    <row r="116" spans="1:11" ht="18.75" customHeight="1" x14ac:dyDescent="0.15">
      <c r="A116" s="37"/>
      <c r="B116" s="288"/>
      <c r="C116" s="289"/>
      <c r="D116" s="289"/>
      <c r="E116" s="289"/>
      <c r="F116" s="289"/>
      <c r="G116" s="289"/>
      <c r="H116" s="289"/>
      <c r="I116" s="289"/>
      <c r="J116" s="290"/>
    </row>
    <row r="117" spans="1:11" ht="18.75" customHeight="1" x14ac:dyDescent="0.15">
      <c r="A117" s="37"/>
      <c r="B117" s="288"/>
      <c r="C117" s="289"/>
      <c r="D117" s="289"/>
      <c r="E117" s="289"/>
      <c r="F117" s="289"/>
      <c r="G117" s="289"/>
      <c r="H117" s="289"/>
      <c r="I117" s="289"/>
      <c r="J117" s="290"/>
    </row>
    <row r="118" spans="1:11" ht="18.75" customHeight="1" x14ac:dyDescent="0.15">
      <c r="A118" s="37"/>
      <c r="B118" s="288"/>
      <c r="C118" s="289"/>
      <c r="D118" s="289"/>
      <c r="E118" s="289"/>
      <c r="F118" s="289"/>
      <c r="G118" s="289"/>
      <c r="H118" s="289"/>
      <c r="I118" s="289"/>
      <c r="J118" s="290"/>
    </row>
    <row r="119" spans="1:11" ht="18.75" customHeight="1" x14ac:dyDescent="0.15">
      <c r="A119" s="37"/>
      <c r="B119" s="288"/>
      <c r="C119" s="289"/>
      <c r="D119" s="289"/>
      <c r="E119" s="289"/>
      <c r="F119" s="289"/>
      <c r="G119" s="289"/>
      <c r="H119" s="289"/>
      <c r="I119" s="289"/>
      <c r="J119" s="290"/>
    </row>
    <row r="120" spans="1:11" ht="18.75" customHeight="1" x14ac:dyDescent="0.15">
      <c r="A120" s="37"/>
      <c r="B120" s="288"/>
      <c r="C120" s="289"/>
      <c r="D120" s="289"/>
      <c r="E120" s="289"/>
      <c r="F120" s="289"/>
      <c r="G120" s="289"/>
      <c r="H120" s="289"/>
      <c r="I120" s="289"/>
      <c r="J120" s="290"/>
    </row>
    <row r="121" spans="1:11" ht="18.75" customHeight="1" x14ac:dyDescent="0.15">
      <c r="A121" s="37"/>
      <c r="B121" s="288"/>
      <c r="C121" s="289"/>
      <c r="D121" s="289"/>
      <c r="E121" s="289"/>
      <c r="F121" s="289"/>
      <c r="G121" s="289"/>
      <c r="H121" s="289"/>
      <c r="I121" s="289"/>
      <c r="J121" s="290"/>
    </row>
    <row r="122" spans="1:11" ht="18.75" customHeight="1" x14ac:dyDescent="0.15">
      <c r="A122" s="37"/>
      <c r="B122" s="288"/>
      <c r="C122" s="289"/>
      <c r="D122" s="289"/>
      <c r="E122" s="289"/>
      <c r="F122" s="289"/>
      <c r="G122" s="289"/>
      <c r="H122" s="289"/>
      <c r="I122" s="289"/>
      <c r="J122" s="290"/>
    </row>
    <row r="123" spans="1:11" ht="18.75" customHeight="1" x14ac:dyDescent="0.15">
      <c r="A123" s="37"/>
      <c r="B123" s="288"/>
      <c r="C123" s="289"/>
      <c r="D123" s="289"/>
      <c r="E123" s="289"/>
      <c r="F123" s="289"/>
      <c r="G123" s="289"/>
      <c r="H123" s="289"/>
      <c r="I123" s="289"/>
      <c r="J123" s="290"/>
    </row>
    <row r="124" spans="1:11" ht="18.75" customHeight="1" x14ac:dyDescent="0.15">
      <c r="A124" s="37"/>
      <c r="B124" s="288"/>
      <c r="C124" s="289"/>
      <c r="D124" s="289"/>
      <c r="E124" s="289"/>
      <c r="F124" s="289"/>
      <c r="G124" s="289"/>
      <c r="H124" s="289"/>
      <c r="I124" s="289"/>
      <c r="J124" s="290"/>
    </row>
    <row r="125" spans="1:11" ht="18.75" customHeight="1" x14ac:dyDescent="0.15">
      <c r="A125" s="37"/>
      <c r="B125" s="288"/>
      <c r="C125" s="289"/>
      <c r="D125" s="289"/>
      <c r="E125" s="289"/>
      <c r="F125" s="289"/>
      <c r="G125" s="289"/>
      <c r="H125" s="289"/>
      <c r="I125" s="289"/>
      <c r="J125" s="290"/>
    </row>
    <row r="126" spans="1:11" ht="18.75" customHeight="1" x14ac:dyDescent="0.15">
      <c r="A126" s="37"/>
      <c r="B126" s="288"/>
      <c r="C126" s="289"/>
      <c r="D126" s="289"/>
      <c r="E126" s="289"/>
      <c r="F126" s="289"/>
      <c r="G126" s="289"/>
      <c r="H126" s="289"/>
      <c r="I126" s="289"/>
      <c r="J126" s="290"/>
    </row>
    <row r="127" spans="1:11" ht="18.75" customHeight="1" x14ac:dyDescent="0.15">
      <c r="A127" s="37"/>
      <c r="B127" s="288"/>
      <c r="C127" s="289"/>
      <c r="D127" s="289"/>
      <c r="E127" s="289"/>
      <c r="F127" s="289"/>
      <c r="G127" s="289"/>
      <c r="H127" s="289"/>
      <c r="I127" s="289"/>
      <c r="J127" s="290"/>
    </row>
    <row r="128" spans="1:11" ht="18.75" customHeight="1" x14ac:dyDescent="0.15">
      <c r="A128" s="37"/>
      <c r="B128" s="288"/>
      <c r="C128" s="289"/>
      <c r="D128" s="289"/>
      <c r="E128" s="289"/>
      <c r="F128" s="289"/>
      <c r="G128" s="289"/>
      <c r="H128" s="289"/>
      <c r="I128" s="289"/>
      <c r="J128" s="290"/>
    </row>
    <row r="129" spans="1:10" ht="18.75" customHeight="1" x14ac:dyDescent="0.15">
      <c r="A129" s="37"/>
      <c r="B129" s="288"/>
      <c r="C129" s="289"/>
      <c r="D129" s="289"/>
      <c r="E129" s="289"/>
      <c r="F129" s="289"/>
      <c r="G129" s="289"/>
      <c r="H129" s="289"/>
      <c r="I129" s="289"/>
      <c r="J129" s="290"/>
    </row>
    <row r="130" spans="1:10" ht="18.75" customHeight="1" x14ac:dyDescent="0.15">
      <c r="A130" s="37"/>
      <c r="B130" s="291"/>
      <c r="C130" s="292"/>
      <c r="D130" s="292"/>
      <c r="E130" s="292"/>
      <c r="F130" s="292"/>
      <c r="G130" s="292"/>
      <c r="H130" s="292"/>
      <c r="I130" s="292"/>
      <c r="J130" s="293"/>
    </row>
    <row r="131" spans="1:10" ht="7.5" customHeight="1" x14ac:dyDescent="0.15">
      <c r="A131" s="37"/>
      <c r="B131" s="101"/>
      <c r="C131" s="101"/>
      <c r="D131" s="101"/>
      <c r="E131" s="101"/>
      <c r="F131" s="101"/>
      <c r="G131" s="101"/>
      <c r="H131" s="101"/>
      <c r="I131" s="101"/>
      <c r="J131" s="101"/>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8.75" customHeight="1" x14ac:dyDescent="0.15">
      <c r="A143" s="37"/>
      <c r="B143" s="37"/>
      <c r="C143" s="37"/>
      <c r="D143" s="37"/>
      <c r="E143" s="37"/>
      <c r="F143" s="37"/>
      <c r="G143" s="37"/>
      <c r="H143" s="37"/>
      <c r="I143" s="37"/>
      <c r="J143" s="37"/>
    </row>
    <row r="144" spans="1:10" ht="14.25" x14ac:dyDescent="0.15">
      <c r="A144" s="37"/>
      <c r="B144" s="37"/>
      <c r="C144" s="37"/>
      <c r="D144" s="37"/>
      <c r="E144" s="37"/>
      <c r="F144" s="37"/>
      <c r="G144" s="37"/>
      <c r="H144" s="37"/>
      <c r="I144" s="37"/>
      <c r="J144" s="37"/>
    </row>
    <row r="145" spans="1:10" ht="7.5" customHeight="1" x14ac:dyDescent="0.15">
      <c r="A145" s="102"/>
      <c r="B145" s="102"/>
      <c r="C145" s="102"/>
      <c r="D145" s="102"/>
      <c r="E145" s="102"/>
      <c r="F145" s="102"/>
      <c r="G145" s="102"/>
      <c r="H145" s="102"/>
      <c r="I145" s="102"/>
      <c r="J145" s="102"/>
    </row>
  </sheetData>
  <mergeCells count="11">
    <mergeCell ref="B32:J45"/>
    <mergeCell ref="A2:J2"/>
    <mergeCell ref="B5:J5"/>
    <mergeCell ref="B8:J12"/>
    <mergeCell ref="B15:J26"/>
    <mergeCell ref="B31:J31"/>
    <mergeCell ref="B47:J67"/>
    <mergeCell ref="B70:J87"/>
    <mergeCell ref="B90:J109"/>
    <mergeCell ref="B111:J111"/>
    <mergeCell ref="B112:J1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5" max="9" man="1"/>
    <brk id="88"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6B71E-1DE7-4C8C-9C1E-93357FC35ACC}">
  <dimension ref="A1:K26"/>
  <sheetViews>
    <sheetView showZeros="0" view="pageBreakPreview" zoomScaleNormal="100" zoomScaleSheetLayoutView="100" workbookViewId="0"/>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119" t="s">
        <v>73</v>
      </c>
    </row>
    <row r="2" spans="1:11" ht="18.75" customHeight="1" x14ac:dyDescent="0.15">
      <c r="A2" s="250" t="s">
        <v>42</v>
      </c>
      <c r="B2" s="250"/>
      <c r="C2" s="250"/>
      <c r="D2" s="250"/>
      <c r="E2" s="250"/>
      <c r="F2" s="250"/>
      <c r="G2" s="250"/>
      <c r="H2" s="250"/>
      <c r="I2" s="250"/>
      <c r="J2" s="250"/>
    </row>
    <row r="3" spans="1:11" ht="7.5" customHeight="1" x14ac:dyDescent="0.15">
      <c r="A3" s="120"/>
      <c r="B3" s="120"/>
      <c r="C3" s="120"/>
      <c r="D3" s="120"/>
      <c r="E3" s="120"/>
      <c r="F3" s="120"/>
      <c r="G3" s="120"/>
      <c r="H3" s="120"/>
      <c r="I3" s="120"/>
      <c r="J3" s="120"/>
    </row>
    <row r="4" spans="1:11" ht="18.75" customHeight="1" x14ac:dyDescent="0.15">
      <c r="A4" s="1" t="s">
        <v>6</v>
      </c>
      <c r="B4" s="4" t="s">
        <v>41</v>
      </c>
      <c r="C4" s="37"/>
      <c r="D4" s="37"/>
      <c r="E4" s="38"/>
      <c r="F4" s="38"/>
      <c r="G4" s="38"/>
      <c r="H4" s="38"/>
      <c r="I4" s="38"/>
      <c r="J4" s="38"/>
    </row>
    <row r="5" spans="1:11" ht="18.75" customHeight="1" x14ac:dyDescent="0.15">
      <c r="B5" s="314" t="s">
        <v>38</v>
      </c>
      <c r="C5" s="315"/>
      <c r="D5" s="316"/>
      <c r="E5" s="317" t="s">
        <v>40</v>
      </c>
      <c r="F5" s="317"/>
      <c r="G5" s="317"/>
      <c r="H5" s="317"/>
      <c r="I5" s="317"/>
      <c r="J5" s="318"/>
    </row>
    <row r="6" spans="1:11" ht="18.75" customHeight="1" x14ac:dyDescent="0.15">
      <c r="B6" s="3" t="s">
        <v>28</v>
      </c>
      <c r="C6" s="37"/>
      <c r="D6" s="7"/>
      <c r="I6" s="38"/>
      <c r="J6" s="5"/>
    </row>
    <row r="7" spans="1:11" ht="207" customHeight="1" x14ac:dyDescent="0.15">
      <c r="B7" s="6"/>
      <c r="C7" s="305" t="s">
        <v>29</v>
      </c>
      <c r="D7" s="306"/>
      <c r="E7" s="307" t="s">
        <v>222</v>
      </c>
      <c r="F7" s="308"/>
      <c r="G7" s="308"/>
      <c r="H7" s="308"/>
      <c r="I7" s="308"/>
      <c r="J7" s="309"/>
      <c r="K7" s="31" t="str">
        <f>IF(E7="","入力してください","")</f>
        <v/>
      </c>
    </row>
    <row r="8" spans="1:11" ht="207" customHeight="1" x14ac:dyDescent="0.15">
      <c r="B8" s="6"/>
      <c r="C8" s="312" t="s">
        <v>30</v>
      </c>
      <c r="D8" s="313"/>
      <c r="E8" s="307" t="s">
        <v>223</v>
      </c>
      <c r="F8" s="308"/>
      <c r="G8" s="308"/>
      <c r="H8" s="308"/>
      <c r="I8" s="308"/>
      <c r="J8" s="309"/>
      <c r="K8" s="31" t="str">
        <f>IF(E8="","入力してください","")</f>
        <v/>
      </c>
    </row>
    <row r="9" spans="1:11" ht="172.5" customHeight="1" x14ac:dyDescent="0.15">
      <c r="B9" s="6"/>
      <c r="C9" s="305" t="s">
        <v>31</v>
      </c>
      <c r="D9" s="306"/>
      <c r="E9" s="307" t="s">
        <v>224</v>
      </c>
      <c r="F9" s="308"/>
      <c r="G9" s="308"/>
      <c r="H9" s="308"/>
      <c r="I9" s="308"/>
      <c r="J9" s="309"/>
      <c r="K9" s="31" t="str">
        <f>IF(E9="","入力してください","")</f>
        <v/>
      </c>
    </row>
    <row r="10" spans="1:11" ht="172.5" customHeight="1" x14ac:dyDescent="0.15">
      <c r="B10" s="6"/>
      <c r="C10" s="305" t="s">
        <v>32</v>
      </c>
      <c r="D10" s="306"/>
      <c r="E10" s="307" t="s">
        <v>225</v>
      </c>
      <c r="F10" s="308"/>
      <c r="G10" s="308"/>
      <c r="H10" s="308"/>
      <c r="I10" s="308"/>
      <c r="J10" s="309"/>
      <c r="K10" s="31" t="str">
        <f t="shared" ref="K10:K14" si="0">IF(E10="","入力してください","")</f>
        <v/>
      </c>
    </row>
    <row r="11" spans="1:11" ht="172.5" customHeight="1" x14ac:dyDescent="0.15">
      <c r="B11" s="6"/>
      <c r="C11" s="305" t="s">
        <v>33</v>
      </c>
      <c r="D11" s="306"/>
      <c r="E11" s="307" t="s">
        <v>219</v>
      </c>
      <c r="F11" s="308"/>
      <c r="G11" s="308"/>
      <c r="H11" s="308"/>
      <c r="I11" s="308"/>
      <c r="J11" s="309"/>
      <c r="K11" s="31" t="str">
        <f t="shared" si="0"/>
        <v/>
      </c>
    </row>
    <row r="12" spans="1:11" ht="18.75" customHeight="1" x14ac:dyDescent="0.15">
      <c r="B12" s="9" t="s">
        <v>34</v>
      </c>
      <c r="C12" s="28"/>
      <c r="D12" s="8"/>
      <c r="E12" s="121"/>
      <c r="F12" s="121"/>
      <c r="G12" s="121"/>
      <c r="H12" s="121"/>
      <c r="I12" s="121"/>
      <c r="J12" s="122"/>
    </row>
    <row r="13" spans="1:11" ht="244.15" customHeight="1" x14ac:dyDescent="0.15">
      <c r="B13" s="6"/>
      <c r="C13" s="305" t="s">
        <v>35</v>
      </c>
      <c r="D13" s="306"/>
      <c r="E13" s="307" t="s">
        <v>220</v>
      </c>
      <c r="F13" s="308"/>
      <c r="G13" s="308"/>
      <c r="H13" s="308"/>
      <c r="I13" s="308"/>
      <c r="J13" s="309"/>
      <c r="K13" s="31" t="str">
        <f t="shared" si="0"/>
        <v/>
      </c>
    </row>
    <row r="14" spans="1:11" ht="255" customHeight="1" x14ac:dyDescent="0.15">
      <c r="B14" s="6"/>
      <c r="C14" s="305" t="s">
        <v>36</v>
      </c>
      <c r="D14" s="306"/>
      <c r="E14" s="307" t="s">
        <v>234</v>
      </c>
      <c r="F14" s="308"/>
      <c r="G14" s="308"/>
      <c r="H14" s="308"/>
      <c r="I14" s="308"/>
      <c r="J14" s="309"/>
      <c r="K14" s="31" t="str">
        <f t="shared" si="0"/>
        <v/>
      </c>
    </row>
    <row r="15" spans="1:11" ht="243" customHeight="1" x14ac:dyDescent="0.15">
      <c r="B15" s="310" t="s">
        <v>37</v>
      </c>
      <c r="C15" s="311"/>
      <c r="D15" s="306"/>
      <c r="E15" s="307" t="s">
        <v>226</v>
      </c>
      <c r="F15" s="308"/>
      <c r="G15" s="308"/>
      <c r="H15" s="308"/>
      <c r="I15" s="308"/>
      <c r="J15" s="309"/>
      <c r="K15" s="31" t="str">
        <f>IF(E15="","入力してください","")</f>
        <v/>
      </c>
    </row>
    <row r="16" spans="1:11" ht="243" customHeight="1" x14ac:dyDescent="0.15">
      <c r="A16" s="31"/>
      <c r="B16" s="297" t="s">
        <v>66</v>
      </c>
      <c r="C16" s="298"/>
      <c r="D16" s="299"/>
      <c r="E16" s="300" t="s">
        <v>221</v>
      </c>
      <c r="F16" s="300"/>
      <c r="G16" s="300"/>
      <c r="H16" s="300"/>
      <c r="I16" s="300"/>
      <c r="J16" s="301"/>
      <c r="K16" s="31" t="str">
        <f>IF(E16="","入力してください","")</f>
        <v/>
      </c>
    </row>
    <row r="17" spans="1:11" ht="7.5" customHeight="1" x14ac:dyDescent="0.15">
      <c r="B17" s="37"/>
      <c r="C17" s="37"/>
      <c r="D17" s="37"/>
      <c r="E17" s="38"/>
      <c r="F17" s="38"/>
      <c r="G17" s="38"/>
      <c r="H17" s="38"/>
      <c r="I17" s="38"/>
      <c r="J17" s="38"/>
    </row>
    <row r="18" spans="1:11" ht="18.75" customHeight="1" x14ac:dyDescent="0.15">
      <c r="A18" s="1" t="s">
        <v>124</v>
      </c>
      <c r="B18" s="4"/>
      <c r="C18" s="37"/>
      <c r="D18" s="37"/>
      <c r="E18" s="38"/>
      <c r="F18" s="91"/>
      <c r="G18" s="302" t="s">
        <v>235</v>
      </c>
      <c r="H18" s="303"/>
      <c r="I18" s="303"/>
      <c r="J18" s="304"/>
      <c r="K18" s="31"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103"/>
      <c r="C24" s="103"/>
      <c r="D24" s="103"/>
      <c r="E24" s="103"/>
      <c r="F24" s="103"/>
      <c r="G24" s="103"/>
      <c r="H24" s="103"/>
      <c r="I24" s="103"/>
      <c r="J24" s="103"/>
    </row>
    <row r="25" spans="1:11" ht="22.5" customHeight="1" x14ac:dyDescent="0.15">
      <c r="B25" s="103"/>
      <c r="C25" s="103"/>
      <c r="D25" s="103"/>
      <c r="E25" s="103"/>
      <c r="F25" s="103"/>
      <c r="G25" s="103"/>
      <c r="H25" s="103"/>
      <c r="I25" s="103"/>
      <c r="J25" s="103"/>
    </row>
    <row r="26" spans="1:11" ht="22.5" customHeight="1" x14ac:dyDescent="0.15">
      <c r="B26" s="103"/>
      <c r="C26" s="103"/>
      <c r="D26" s="103"/>
      <c r="E26" s="103"/>
      <c r="F26" s="103"/>
      <c r="G26" s="103"/>
      <c r="H26" s="103"/>
      <c r="I26" s="103"/>
      <c r="J26" s="103"/>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display="https://www.koeki-u.ac.jp/about_us/assessment.html" xr:uid="{AAC34FEA-7A74-4406-86EC-C8F0F4A35500}"/>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白田裕司</cp:lastModifiedBy>
  <cp:lastPrinted>2022-07-12T23:02:42Z</cp:lastPrinted>
  <dcterms:created xsi:type="dcterms:W3CDTF">2011-06-14T05:32:50Z</dcterms:created>
  <dcterms:modified xsi:type="dcterms:W3CDTF">2022-07-12T23:03:06Z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