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506"/>
  <workbookPr defaultThemeVersion="124226"/>
  <mc:AlternateContent xmlns:mc="http://schemas.openxmlformats.org/markup-compatibility/2006">
    <mc:Choice Requires="x15">
      <x15ac:absPath xmlns:x15ac="http://schemas.microsoft.com/office/spreadsheetml/2010/11/ac" url="\\Jimu102\313教務学生課\データサイエンス教育\0520提出　01新潟県立大学＿リテラシー\"/>
    </mc:Choice>
  </mc:AlternateContent>
  <xr:revisionPtr revIDLastSave="0" documentId="11_7B456698E8D88AC3ACC72EA3E3CD47A3C60C9676" xr6:coauthVersionLast="47" xr6:coauthVersionMax="47" xr10:uidLastSave="{00000000-0000-0000-0000-000000000000}"/>
  <bookViews>
    <workbookView xWindow="-120" yWindow="-120" windowWidth="29040" windowHeight="15720" tabRatio="885" xr2:uid="{00000000-000D-0000-FFFF-FFFF00000000}"/>
  </bookViews>
  <sheets>
    <sheet name="様式１　大学等概要" sheetId="8" r:id="rId1"/>
    <sheet name="様式２-1　プログラムを構成する授業科目" sheetId="39" r:id="rId2"/>
    <sheet name="様式２-2　プログラムを構成する授業科目 (2)" sheetId="45" r:id="rId3"/>
    <sheet name="様式３　履修者等数の実績" sheetId="40" r:id="rId4"/>
    <sheet name="様式４　教育の質・履修者数を向上させるための体制・計画" sheetId="41" r:id="rId5"/>
    <sheet name="様式５　自己点検・評価" sheetId="42" r:id="rId6"/>
  </sheets>
  <definedNames>
    <definedName name="_xlnm._FilterDatabase" localSheetId="1" hidden="1">'様式２-1　プログラムを構成する授業科目'!#REF!</definedName>
    <definedName name="_xlnm._FilterDatabase" localSheetId="2" hidden="1">'様式２-2　プログラムを構成する授業科目 (2)'!#REF!</definedName>
    <definedName name="_xlnm._FilterDatabase" localSheetId="3" hidden="1">'様式３　履修者等数の実績'!#REF!</definedName>
    <definedName name="_xlnm.Print_Area" localSheetId="0">'様式１　大学等概要'!$A$1:$N$45</definedName>
    <definedName name="_xlnm.Print_Area" localSheetId="1">'様式２-1　プログラムを構成する授業科目'!$A$1:$Z$98</definedName>
    <definedName name="_xlnm.Print_Area" localSheetId="2">'様式２-2　プログラムを構成する授業科目 (2)'!$A$1:$Z$98</definedName>
    <definedName name="_xlnm.Print_Area" localSheetId="3">'様式３　履修者等数の実績'!$A$1:$R$30</definedName>
    <definedName name="_xlnm.Print_Area" localSheetId="4">'様式４　教育の質・履修者数を向上させるための体制・計画'!$A$1:$J$130</definedName>
    <definedName name="_xlnm.Print_Area" localSheetId="5">'様式５　自己点検・評価'!$A$1:$J$18</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Q12" i="40" l="1"/>
  <c r="R12" i="40" s="1"/>
  <c r="K18" i="42"/>
  <c r="K16" i="42"/>
  <c r="K15" i="42"/>
  <c r="K9" i="42"/>
  <c r="K8" i="42"/>
  <c r="K7" i="42"/>
  <c r="K113" i="41"/>
  <c r="K91" i="41"/>
  <c r="K69" i="41"/>
  <c r="K46" i="41"/>
  <c r="K31" i="41"/>
  <c r="K15" i="41"/>
  <c r="K8" i="41"/>
  <c r="K5" i="41"/>
  <c r="O45" i="8"/>
  <c r="O44" i="8"/>
  <c r="O41" i="8"/>
  <c r="O39" i="8"/>
  <c r="O37" i="8"/>
  <c r="O34" i="8"/>
  <c r="O32" i="8"/>
  <c r="O29" i="8"/>
  <c r="O20" i="8"/>
  <c r="O18" i="8"/>
  <c r="O16" i="8"/>
  <c r="O14" i="8"/>
  <c r="O12" i="8"/>
  <c r="O10" i="8"/>
  <c r="O6" i="8"/>
  <c r="O8" i="8"/>
  <c r="O4" i="8"/>
  <c r="K14" i="42"/>
  <c r="K13" i="42"/>
  <c r="K11" i="42"/>
  <c r="K10" i="42"/>
  <c r="P30" i="40" l="1"/>
  <c r="O30" i="40"/>
  <c r="N30" i="40"/>
  <c r="M30" i="40"/>
  <c r="L30" i="40"/>
  <c r="K30" i="40"/>
  <c r="J30" i="40"/>
  <c r="I30" i="40"/>
  <c r="H30" i="40"/>
  <c r="G30" i="40"/>
  <c r="F30" i="40"/>
  <c r="E30" i="40"/>
  <c r="D30" i="40"/>
  <c r="I29" i="41" s="1"/>
  <c r="C30" i="40"/>
  <c r="Q11" i="40"/>
  <c r="R11" i="40" s="1"/>
  <c r="Q10" i="40"/>
  <c r="Q30" i="40" l="1"/>
  <c r="R30" i="40" s="1"/>
  <c r="C28" i="41" s="1"/>
  <c r="R10" i="40"/>
</calcChain>
</file>

<file path=xl/sharedStrings.xml><?xml version="1.0" encoding="utf-8"?>
<sst xmlns="http://schemas.openxmlformats.org/spreadsheetml/2006/main" count="524" uniqueCount="231">
  <si>
    <t>様式１</t>
    <rPh sb="0" eb="2">
      <t>ヨウシキ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</si>
  <si>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</si>
  <si>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①</t>
    <phoneticPr fontId="1"/>
  </si>
  <si>
    <t>学校名</t>
    <rPh sb="0" eb="2">
      <t>ガッコウ</t>
    </rPh>
    <rPh sb="2" eb="3">
      <t>メイ</t>
    </rPh>
    <phoneticPr fontId="1"/>
  </si>
  <si>
    <t>新潟県立大学</t>
    <rPh sb="0" eb="6">
      <t>ニイガタケンリツダイガク</t>
    </rPh>
    <phoneticPr fontId="1"/>
  </si>
  <si>
    <t>②</t>
    <phoneticPr fontId="1"/>
  </si>
  <si>
    <t>大学等の設置者</t>
  </si>
  <si>
    <t>公立大学法人新潟県立大学</t>
  </si>
  <si>
    <t>③</t>
  </si>
  <si>
    <t>設置形態</t>
    <phoneticPr fontId="1"/>
  </si>
  <si>
    <t>公立大学</t>
  </si>
  <si>
    <t>④</t>
    <phoneticPr fontId="1"/>
  </si>
  <si>
    <t>所在地</t>
    <phoneticPr fontId="1"/>
  </si>
  <si>
    <t>新潟県新潟市東区海老ケ瀬471</t>
    <rPh sb="0" eb="3">
      <t>ニイガタケン</t>
    </rPh>
    <rPh sb="3" eb="6">
      <t>ニイガタシ</t>
    </rPh>
    <rPh sb="6" eb="8">
      <t>ヒガシク</t>
    </rPh>
    <rPh sb="8" eb="10">
      <t>エビ</t>
    </rPh>
    <rPh sb="11" eb="12">
      <t>セ</t>
    </rPh>
    <phoneticPr fontId="1"/>
  </si>
  <si>
    <t>⑤</t>
    <phoneticPr fontId="1"/>
  </si>
  <si>
    <t>申請するプログラム名称</t>
    <rPh sb="0" eb="2">
      <t>シンセイ</t>
    </rPh>
    <rPh sb="9" eb="11">
      <t>メイショウ</t>
    </rPh>
    <phoneticPr fontId="1"/>
  </si>
  <si>
    <t>UNP DSリテラシー</t>
    <phoneticPr fontId="1"/>
  </si>
  <si>
    <t>⑥</t>
    <phoneticPr fontId="1"/>
  </si>
  <si>
    <t>プログラムの開設年度</t>
    <rPh sb="6" eb="8">
      <t>カイセツ</t>
    </rPh>
    <rPh sb="8" eb="10">
      <t>ネンド</t>
    </rPh>
    <phoneticPr fontId="1"/>
  </si>
  <si>
    <t>令和2</t>
    <rPh sb="0" eb="2">
      <t>レイワ</t>
    </rPh>
    <phoneticPr fontId="1"/>
  </si>
  <si>
    <t>年度</t>
    <rPh sb="0" eb="2">
      <t>ネンド</t>
    </rPh>
    <phoneticPr fontId="1"/>
  </si>
  <si>
    <t>⑦応用基礎レベルの申請の有無</t>
    <phoneticPr fontId="1"/>
  </si>
  <si>
    <t>無</t>
  </si>
  <si>
    <t>⑧</t>
    <phoneticPr fontId="1"/>
  </si>
  <si>
    <t>教員数</t>
    <rPh sb="0" eb="2">
      <t>キョウイン</t>
    </rPh>
    <rPh sb="2" eb="3">
      <t>スウ</t>
    </rPh>
    <phoneticPr fontId="1"/>
  </si>
  <si>
    <t>（常勤）</t>
    <rPh sb="1" eb="3">
      <t>ジョウキン</t>
    </rPh>
    <phoneticPr fontId="1"/>
  </si>
  <si>
    <t>人</t>
    <rPh sb="0" eb="1">
      <t>ニン</t>
    </rPh>
    <phoneticPr fontId="1"/>
  </si>
  <si>
    <t>（非常勤）</t>
    <rPh sb="1" eb="4">
      <t>ヒジョウキン</t>
    </rPh>
    <phoneticPr fontId="1"/>
  </si>
  <si>
    <t>⑨</t>
    <phoneticPr fontId="1"/>
  </si>
  <si>
    <t>プログラムの授業を教えている教員数</t>
    <rPh sb="6" eb="8">
      <t>ジュギョウ</t>
    </rPh>
    <rPh sb="9" eb="10">
      <t>オシ</t>
    </rPh>
    <rPh sb="14" eb="16">
      <t>キョウイン</t>
    </rPh>
    <rPh sb="16" eb="17">
      <t>スウ</t>
    </rPh>
    <phoneticPr fontId="1"/>
  </si>
  <si>
    <t>⑩</t>
    <phoneticPr fontId="1"/>
  </si>
  <si>
    <t>全学部・学科の入学定員</t>
    <rPh sb="0" eb="1">
      <t>ゼン</t>
    </rPh>
    <rPh sb="4" eb="6">
      <t>ガッカ</t>
    </rPh>
    <rPh sb="7" eb="9">
      <t>ニュウガク</t>
    </rPh>
    <rPh sb="9" eb="11">
      <t>テイイン</t>
    </rPh>
    <phoneticPr fontId="1"/>
  </si>
  <si>
    <t>人</t>
  </si>
  <si>
    <t>⑪</t>
    <phoneticPr fontId="1"/>
  </si>
  <si>
    <t>全学部・学科の学生数（学年別）</t>
    <rPh sb="0" eb="1">
      <t>ゼン</t>
    </rPh>
    <rPh sb="4" eb="6">
      <t>ガッカ</t>
    </rPh>
    <rPh sb="7" eb="10">
      <t>ガクセイスウ</t>
    </rPh>
    <rPh sb="11" eb="13">
      <t>ガクネン</t>
    </rPh>
    <rPh sb="13" eb="14">
      <t>ベツ</t>
    </rPh>
    <phoneticPr fontId="1"/>
  </si>
  <si>
    <t>総数</t>
    <rPh sb="0" eb="2">
      <t>ソウスウ</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</si>
  <si>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</si>
  <si>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</si>
  <si>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</si>
  <si>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</si>
  <si>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５年次</t>
    <rPh sb="1" eb="2">
      <t>ネン</t>
    </rPh>
    <rPh sb="2" eb="3">
      <t>ツギ</t>
    </rPh>
    <phoneticPr fontId="1"/>
  </si>
  <si>
    <t>６年次</t>
    <rPh sb="1" eb="2">
      <t>ネン</t>
    </rPh>
    <rPh sb="2" eb="3">
      <t>ツギ</t>
    </rPh>
    <phoneticPr fontId="1"/>
  </si>
  <si>
    <t>⑫</t>
    <phoneticPr fontId="1"/>
  </si>
  <si>
    <t>プログラムの運営責任者</t>
    <phoneticPr fontId="1"/>
  </si>
  <si>
    <t>（責任者名）</t>
    <rPh sb="1" eb="4">
      <t>セキニンシャ</t>
    </rPh>
    <rPh sb="4" eb="5">
      <t>メイ</t>
    </rPh>
    <phoneticPr fontId="1"/>
  </si>
  <si>
    <t>秋山　太郎</t>
    <rPh sb="0" eb="2">
      <t>アキヤマ</t>
    </rPh>
    <rPh sb="3" eb="5">
      <t>タロウ</t>
    </rPh>
    <phoneticPr fontId="1"/>
  </si>
  <si>
    <t>（役職名）</t>
    <rPh sb="1" eb="4">
      <t>ヤクショクメイ</t>
    </rPh>
    <phoneticPr fontId="1"/>
  </si>
  <si>
    <t>国際経済学部長・教授</t>
    <rPh sb="0" eb="6">
      <t>コクサイケイザイガクブ</t>
    </rPh>
    <rPh sb="6" eb="7">
      <t>チョウ</t>
    </rPh>
    <rPh sb="8" eb="10">
      <t>キョウジュ</t>
    </rPh>
    <phoneticPr fontId="1"/>
  </si>
  <si>
    <t>⑬</t>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</si>
  <si>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</si>
  <si>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データサイエンス教育ワーキンググループ</t>
    <rPh sb="8" eb="10">
      <t>キョウイク</t>
    </rPh>
    <phoneticPr fontId="1"/>
  </si>
  <si>
    <t>秋山　太郎</t>
    <phoneticPr fontId="1"/>
  </si>
  <si>
    <t>国際経済学部長・教授</t>
    <rPh sb="6" eb="7">
      <t>チョウ</t>
    </rPh>
    <phoneticPr fontId="1"/>
  </si>
  <si>
    <t>⑭</t>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</si>
  <si>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</si>
  <si>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データサイエンス教育ワーキンググループ</t>
    <phoneticPr fontId="1"/>
  </si>
  <si>
    <t>⑮</t>
    <phoneticPr fontId="1"/>
  </si>
  <si>
    <t>申請する認定プログラム</t>
    <rPh sb="0" eb="2">
      <t>シンセイ</t>
    </rPh>
    <rPh sb="4" eb="6">
      <t>ニンテイ</t>
    </rPh>
    <phoneticPr fontId="1"/>
  </si>
  <si>
    <t>認定教育プログラム</t>
  </si>
  <si>
    <t>連絡先</t>
  </si>
  <si>
    <t>所属部署名</t>
    <rPh sb="0" eb="2">
      <t>ショゾク</t>
    </rPh>
    <rPh sb="2" eb="4">
      <t>ブショ</t>
    </rPh>
    <rPh sb="4" eb="5">
      <t>メイ</t>
    </rPh>
    <phoneticPr fontId="1"/>
  </si>
  <si>
    <t>新潟県立大学教務学生課</t>
    <phoneticPr fontId="1"/>
  </si>
  <si>
    <t>担当者名</t>
    <rPh sb="0" eb="2">
      <t>タントウ</t>
    </rPh>
    <rPh sb="2" eb="3">
      <t>シャ</t>
    </rPh>
    <rPh sb="3" eb="4">
      <t>メイ</t>
    </rPh>
    <phoneticPr fontId="1"/>
  </si>
  <si>
    <t>宮尾修一</t>
    <rPh sb="0" eb="2">
      <t>ミヤオ</t>
    </rPh>
    <rPh sb="2" eb="4">
      <t>シュウイチ</t>
    </rPh>
    <phoneticPr fontId="1"/>
  </si>
  <si>
    <t>E-mail</t>
  </si>
  <si>
    <t>kyougaku@unii.ac.jp</t>
    <phoneticPr fontId="1"/>
  </si>
  <si>
    <t>電話番号</t>
  </si>
  <si>
    <t xml:space="preserve"> 025-270-1302 </t>
    <phoneticPr fontId="1"/>
  </si>
  <si>
    <t>様式２－１</t>
    <phoneticPr fontId="1"/>
  </si>
  <si>
    <t>プログラムを構成する授業科目について</t>
    <phoneticPr fontId="1"/>
  </si>
  <si>
    <t>①具体的な修了要件</t>
    <phoneticPr fontId="1"/>
  </si>
  <si>
    <t>②教育プログラムの修了要件</t>
    <phoneticPr fontId="1"/>
  </si>
  <si>
    <t>学部・学科によって、修了要件は相違する</t>
  </si>
  <si>
    <t>【国際経済学部】　　　　　　　　　　　　　　　　　　　　　　　　　　　　　　　　　　　　　　　　　　　　　　　　　　　　　　　　　　　　　　　　　　　　　　　　　　　　　　　　　　　　　　　　　　　　「統計分析入門」（２単位：１年次後期）　「データサイエンスの基礎」（２単位：2年次前期）　　計４単位を履修　　　　　　　　　　　　　　　　　　　　　　　　　　　　　　　　　　　　　　　　　　　　　　　　　　　　　　　　　　　　　　　　　　　　　　　　　　　　　　　　　　　　　　　　　　　　　　　　　　　　　　　　　　　　　　　　　　　　　　　　　　　　　　　　　　　　　　　　　　　　　　　　　　　　　　　　　
　　　　　　　　　　　　　　　　　　　　　　　　　　　　　　　　　　　　　　　　　　　　　　　　　　　　　　　　　　　　　　　　　　　　　　　　　　　　　　　　　　　　　　　　　　　　　　　　　　　　　　　　　　　　　　　　　　　　　　　　　　　　　　　　　　（参考）　令和４年度から「データサイエンスリテラシー」（２単位：1年次後期）を新設し、以下のように修了要件を変更　　　　　　　　　　　　　　　　　　　　　　　　　　　　　　　　　　　　　　　　　　　　　　　　　　　　　　　　　　　　　　　　　　　　　　　　　　　　　　　　　　　　　　　　　　　　　　　　　　　　　　　　　　　　　　　　　　　　　　　　　　　　　　　　　　　　　　　　　　　　　　　　　　　　　　　
          「統計分析入門」２単位必修　　「データサイエンスリテラシー」、「データサイエンスの基礎」から2単位以上履修　計４単位以上を履修　　　　　　　　　　　　　　　　　　　　　　　　　　　　　　　　　　　　　　　　　　　　　　　　　　　　　　　　　　　　　　　　　　　　　　　　　　　　　　　　　　　　　　　　　　　　　　　　　　　　　　　　　　　　　　　　　　　　　　　　　　　　　　　　　　　　　　　　　　　　　　　　　　　　　　　　　　　　　　　　　　　　　　　　　　　　　　　　　　　　　　　　　　　　　　　　　　　　　　　　　　　　　　　　　　　　　　　　　　　　　　　　　　　　　　　　　　　　　　　　　　　　　　　　　　　　　　　　　　　　　　　　　　　　　　　　　　　　　　　　　　　　　　　　　　　　　　　　　　　　　　　　　　　　　　　　　　　　　　　　　　　　　　　　　　　　　　　　　　　　　　　　　　　　　　　　　　　　　　　　　　　　　　　　　　　　　　　　　　　　　　　　　　　　　　　　　　　　　　　　　　　　　　　　　　　　　　　　　　　　　　</t>
    <rPh sb="1" eb="7">
      <t>コクサイケイザイガクブ</t>
    </rPh>
    <rPh sb="146" eb="147">
      <t>ケイ</t>
    </rPh>
    <rPh sb="148" eb="150">
      <t>タンイ</t>
    </rPh>
    <rPh sb="151" eb="153">
      <t>リシュウ</t>
    </rPh>
    <rPh sb="438" eb="440">
      <t>サンコウ</t>
    </rPh>
    <rPh sb="480" eb="482">
      <t>イカ</t>
    </rPh>
    <rPh sb="706" eb="708">
      <t>リシュウ</t>
    </rPh>
    <phoneticPr fontId="1"/>
  </si>
  <si>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1"/>
  </si>
  <si>
    <t>授業科目</t>
    <rPh sb="0" eb="2">
      <t>ジュギョウ</t>
    </rPh>
    <rPh sb="2" eb="4">
      <t>カモク</t>
    </rPh>
    <phoneticPr fontId="1"/>
  </si>
  <si>
    <t>単位数</t>
    <rPh sb="0" eb="3">
      <t>タンイスウ</t>
    </rPh>
    <phoneticPr fontId="1"/>
  </si>
  <si>
    <t>必修</t>
    <rPh sb="0" eb="2">
      <t>ヒッシュウ</t>
    </rPh>
    <phoneticPr fontId="1"/>
  </si>
  <si>
    <t>開講状況</t>
    <phoneticPr fontId="1"/>
  </si>
  <si>
    <t>1-1</t>
    <phoneticPr fontId="1"/>
  </si>
  <si>
    <t>1-6</t>
  </si>
  <si>
    <t>データサイエンスの基礎</t>
    <rPh sb="9" eb="11">
      <t>キソ</t>
    </rPh>
    <phoneticPr fontId="1"/>
  </si>
  <si>
    <t>○</t>
  </si>
  <si>
    <t>一部開講</t>
  </si>
  <si>
    <t>（参考）令和４年度新設科目</t>
    <rPh sb="1" eb="3">
      <t>サンコウ</t>
    </rPh>
    <rPh sb="4" eb="6">
      <t>レイワ</t>
    </rPh>
    <rPh sb="7" eb="9">
      <t>ネンド</t>
    </rPh>
    <rPh sb="9" eb="13">
      <t>シンセツカモク</t>
    </rPh>
    <phoneticPr fontId="1"/>
  </si>
  <si>
    <t>データサイエンスリテラシー</t>
    <phoneticPr fontId="1"/>
  </si>
  <si>
    <t>全学開講</t>
  </si>
  <si>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</si>
  <si>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1-2</t>
    <phoneticPr fontId="1"/>
  </si>
  <si>
    <t>1-3</t>
    <phoneticPr fontId="1"/>
  </si>
  <si>
    <t>(参考）令和４年度新設科目</t>
    <rPh sb="1" eb="3">
      <t>サンコウ</t>
    </rPh>
    <rPh sb="4" eb="6">
      <t>レイワ</t>
    </rPh>
    <rPh sb="7" eb="9">
      <t>ネンド</t>
    </rPh>
    <rPh sb="9" eb="13">
      <t>シンセツカモク</t>
    </rPh>
    <phoneticPr fontId="1"/>
  </si>
  <si>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</si>
  <si>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1-4</t>
    <phoneticPr fontId="1"/>
  </si>
  <si>
    <t>1-5</t>
    <phoneticPr fontId="1"/>
  </si>
  <si>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</si>
  <si>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3-1</t>
    <phoneticPr fontId="1"/>
  </si>
  <si>
    <t>3-2</t>
    <phoneticPr fontId="1"/>
  </si>
  <si>
    <t>○</t>
    <phoneticPr fontId="1"/>
  </si>
  <si>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</si>
  <si>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2-1</t>
    <phoneticPr fontId="1"/>
  </si>
  <si>
    <t>2-2</t>
    <phoneticPr fontId="1"/>
  </si>
  <si>
    <t>2-3</t>
    <phoneticPr fontId="1"/>
  </si>
  <si>
    <t>統計分析入門</t>
    <rPh sb="0" eb="4">
      <t>トウケイブンセキ</t>
    </rPh>
    <rPh sb="4" eb="6">
      <t>ニュウモン</t>
    </rPh>
    <phoneticPr fontId="1"/>
  </si>
  <si>
    <t>⑧選択「４．オプション」の内容を含む授業科目</t>
    <rPh sb="13" eb="15">
      <t>ナイヨウ</t>
    </rPh>
    <rPh sb="16" eb="17">
      <t>フク</t>
    </rPh>
    <rPh sb="18" eb="20">
      <t>ジュギョウ</t>
    </rPh>
    <rPh sb="20" eb="22">
      <t>カモク</t>
    </rPh>
    <phoneticPr fontId="1"/>
  </si>
  <si>
    <t>選択項目</t>
    <rPh sb="0" eb="2">
      <t>センタク</t>
    </rPh>
    <rPh sb="2" eb="4">
      <t>コウモク</t>
    </rPh>
    <phoneticPr fontId="1"/>
  </si>
  <si>
    <t>統計分析入門</t>
    <rPh sb="0" eb="2">
      <t>トウケイ</t>
    </rPh>
    <rPh sb="2" eb="6">
      <t>ブンセキニュウモン</t>
    </rPh>
    <phoneticPr fontId="1"/>
  </si>
  <si>
    <t>4-1統計および数理基礎</t>
  </si>
  <si>
    <t>4‐2アルゴリズム基礎</t>
  </si>
  <si>
    <t>4‐3データ構造とプログラミング基礎</t>
  </si>
  <si>
    <t>4‐8データ活用実践（教師あり学習）</t>
  </si>
  <si>
    <t>⑨プログラムを構成する授業の内容</t>
    <phoneticPr fontId="1"/>
  </si>
  <si>
    <t>授業に含まれている内容・要素</t>
    <phoneticPr fontId="1"/>
  </si>
  <si>
    <t>講義内容</t>
    <rPh sb="0" eb="2">
      <t>コウギ</t>
    </rPh>
    <rPh sb="2" eb="4">
      <t>ナイヨウ</t>
    </rPh>
    <phoneticPr fontId="1"/>
  </si>
  <si>
    <t>（１）現在進行中の社会変化（第４次産業革命、Society 5.0、データ駆動型社会等）に深く寄与しているものであり、それが自らの生活と密接に結びついている</t>
    <phoneticPr fontId="1"/>
  </si>
  <si>
    <t>・データ量の増加、計算機の処理能力の増加、AIの非連続的変化、第４次産業革命、Society 5.0、データ駆動型社会：「データサイエンスの基礎」第1回　　　　　　　　　　　　　　　　　　　　　　　　　　　　　　　　　　　　　　　　　　　　　　　　　　　　                         ・データ量の増加、計算機の処理能力の増加、AIの非連続的変化、第４次産業革命、Society 5.0、データ駆動型社会：「データサイエンスリテラシー第1回　　　　　　　　　　　　　　　　　　　　　　　　　　　　　　　　　　　　　　　　　　　　　　　　　</t>
    <rPh sb="4" eb="5">
      <t>リョウ</t>
    </rPh>
    <rPh sb="6" eb="8">
      <t>ゾウカ</t>
    </rPh>
    <rPh sb="9" eb="12">
      <t>ケイサンキ</t>
    </rPh>
    <rPh sb="13" eb="17">
      <t>ショリノウリョク</t>
    </rPh>
    <rPh sb="18" eb="20">
      <t>ゾウカ</t>
    </rPh>
    <rPh sb="24" eb="30">
      <t>ヒレンゾクテキヘンカ</t>
    </rPh>
    <rPh sb="54" eb="57">
      <t>クドウガタ</t>
    </rPh>
    <rPh sb="57" eb="59">
      <t>シャカイ</t>
    </rPh>
    <rPh sb="70" eb="72">
      <t>キソ</t>
    </rPh>
    <rPh sb="207" eb="210">
      <t>クドウガタ</t>
    </rPh>
    <rPh sb="210" eb="212">
      <t>シャカイ</t>
    </rPh>
    <phoneticPr fontId="1"/>
  </si>
  <si>
    <t>1-6</t>
    <phoneticPr fontId="1"/>
  </si>
  <si>
    <t>・AI等を活用した新たなビジネスモデル：「データサイエンスの基礎」第14回　　　　　　　　　　　　　　　　　　　　　　　　　　　　　　　　　　　　　　　　　　　　　　　　　　　　　　　　　・AI最新技術の活用例　：「データサイエンスの基礎」第15回　　　　　　　　　　　　　　　　　　　　　　　　　　　　　　　　　　　　　　　　　　　　　　　　　　　　　　　　　　　　　　　　　　　　　　　　　　　　　　　　　　　　　　　　　　　　　・AI等を活用した新たなビジネスモデル：「データサイエンスリテラシー」第1、8回　</t>
    <rPh sb="97" eb="101">
      <t>サイシンギジュツ</t>
    </rPh>
    <rPh sb="102" eb="105">
      <t>カツヨウレイ</t>
    </rPh>
    <phoneticPr fontId="1"/>
  </si>
  <si>
    <t>（２）「社会で活用されているデータ」や「データの活用領域」は非常に広範囲であって、日常生活や社会の課題を解決する有用なツールになり得るもの</t>
    <phoneticPr fontId="1"/>
  </si>
  <si>
    <t>・データ作成、構造化データ・非構造化データ：「データサイエンスの基礎」：第2、9回　　　　　　　　　　　　　              　　・調査データ、実験データ、人の行動ログデータ、機械の稼働ログデータなど、データ作成、構造化データ・非構造化データ：「データサイエンスリテラシー」：第2、4回</t>
    <rPh sb="8" eb="11">
      <t>コウゾウカ</t>
    </rPh>
    <rPh sb="15" eb="16">
      <t>ヒ</t>
    </rPh>
    <rPh sb="16" eb="19">
      <t>コウゾウカ</t>
    </rPh>
    <rPh sb="147" eb="148">
      <t>カイ</t>
    </rPh>
    <phoneticPr fontId="1"/>
  </si>
  <si>
    <t>・データ・AI活用領域の広がり：「データサイエンスの基礎」　第1回　　　　　　　　　　　　　　　　　　　　　　　　　　　　　　　　　　・データ・AI活用領域の広がり：「データサイエンスリテラシー」　第1、3回　</t>
    <rPh sb="7" eb="9">
      <t>カツヨウ</t>
    </rPh>
    <rPh sb="9" eb="11">
      <t>リョウイキ</t>
    </rPh>
    <rPh sb="12" eb="13">
      <t>ヒロ</t>
    </rPh>
    <rPh sb="26" eb="28">
      <t>キソ</t>
    </rPh>
    <rPh sb="32" eb="33">
      <t>カイ</t>
    </rPh>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</si>
  <si>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</si>
  <si>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・非構造化データ処理：　「データサイエンスの基礎」　第2，9回　　　　　　　　　　　　　　　　　　　　　　　　　　            　　　・認識技術、ルールベース、自動化技術　「データサイエンスの基礎」　第10，11回　　　　　　　　　　　　　　　　　　　　　　　　　　　　　　　　　　　　　　　　　・特化型AIと汎用型AI、今のAIで出来ることと出来ないこと：「データサイエンスの基礎」　第15回　　　　　　　　　　　　　　　　　　　　　　　　　　　　　　　　　　　　・データ解析、データ可視化、予測、分類：　「データサイエンスリテラシー」　第3回　</t>
    <rPh sb="1" eb="5">
      <t>ヒコウゾウカ</t>
    </rPh>
    <rPh sb="8" eb="10">
      <t>ショリ</t>
    </rPh>
    <rPh sb="73" eb="77">
      <t>ニンシキギジュツ</t>
    </rPh>
    <rPh sb="85" eb="88">
      <t>ジドウカ</t>
    </rPh>
    <rPh sb="88" eb="90">
      <t>ギジュツ</t>
    </rPh>
    <rPh sb="154" eb="157">
      <t>トッカガタ</t>
    </rPh>
    <rPh sb="160" eb="163">
      <t>ハンヨウガタ</t>
    </rPh>
    <rPh sb="166" eb="167">
      <t>イマ</t>
    </rPh>
    <rPh sb="171" eb="173">
      <t>デキ</t>
    </rPh>
    <rPh sb="177" eb="179">
      <t>デキ</t>
    </rPh>
    <rPh sb="242" eb="244">
      <t>カイセキ</t>
    </rPh>
    <rPh sb="248" eb="251">
      <t>カシカ</t>
    </rPh>
    <rPh sb="252" eb="254">
      <t>ヨソク</t>
    </rPh>
    <rPh sb="255" eb="257">
      <t>ブンルイ</t>
    </rPh>
    <phoneticPr fontId="1"/>
  </si>
  <si>
    <t>・マーケティング、インフラ、金融等におけるデータ・AI活用事例紹介：「データサイエンスの基礎」第11回　　　　　　　　　　　　　　　　　　　　　　　　　　　　　　　　　・マーケティング、ヘルスケア、国際紛争の分析におけるデータ・AI利活用事例紹介：「データサイエンスリテラシー」　　第8～10回　</t>
    <rPh sb="14" eb="16">
      <t>キンユウ</t>
    </rPh>
    <rPh sb="16" eb="17">
      <t>トウ</t>
    </rPh>
    <rPh sb="27" eb="33">
      <t>カツヨウジレイショウカイ</t>
    </rPh>
    <rPh sb="99" eb="103">
      <t>コクサイフンソウ</t>
    </rPh>
    <rPh sb="104" eb="106">
      <t>ブンセキ</t>
    </rPh>
    <rPh sb="116" eb="117">
      <t>リ</t>
    </rPh>
    <phoneticPr fontId="1"/>
  </si>
  <si>
    <t>（４）活用に当たっての様々な留意事項（ELSI、個人情報、データ倫理、ＡＩ社会原則等）を考慮し、情報セキュリティや情報漏洩等、データを守る上での留意事項への理解をする</t>
    <phoneticPr fontId="1"/>
  </si>
  <si>
    <t>・データバイアス、アルゴリズムバイアス、情報倫理の事例：「データサイエンスの基礎」第14回　　　　　　　　　　　　　　　　　　　　・データバイアス、アルゴリズムバイアス、情報倫理の事例：「データサイエンスリテラシー」第11回　</t>
    <rPh sb="43" eb="44">
      <t>ダイ</t>
    </rPh>
    <phoneticPr fontId="1"/>
  </si>
  <si>
    <t>・情報セキュリティ：　「データサイエンスの基礎」　第14回　　　　　　　　　　　　　　　　　　　　　　　　　　　　　       　　　　　・情報セキュリティ：「データサイエンスリテラシー」：第11回　　　　　　　　　　　　　</t>
    <rPh sb="71" eb="73">
      <t>ジョウホウ</t>
    </rPh>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</si>
  <si>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</si>
  <si>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・データの分布と代表値、代表値の性質の違い：「統計分析入門」　第２回　　　　　　　　　　　　　　　　　　　　　　　　　　　　　　　　　　　　　　　　　　　　　　　　　　　　　　・データの散らばり：「統計分析入門」　第３回　　・母集団と標本抽出　「統計分析入門」第８回　　　　　        　　　　　　　　　　　　・データの分布と代表値、代表値の性質の違い：「データサイエンスリテラシー」　第２回　　　　　　　　　　　　　　　　　　　　　　　　　　　　　　　　　　　　　　　　　　　　　　　　　　　　　　・データの散らばり：「データサイエンスリテラシー」　第３回　　　　　　　　　　　　　　　　　　　　　　　　　　　　　　　　　　　　　　　　　　　　　　　　　　　　　　・相関と因果、因果推論の考え方：「データサイエンスリテラシー」　第７回　　　　　　　　　　　　　　　　　　　　　　　　　　　　　　　　　　　　　　　</t>
    <rPh sb="5" eb="7">
      <t>ブンプ</t>
    </rPh>
    <rPh sb="8" eb="10">
      <t>ダイヒョウ</t>
    </rPh>
    <rPh sb="10" eb="11">
      <t>アタイ</t>
    </rPh>
    <rPh sb="12" eb="14">
      <t>ダイヒョウ</t>
    </rPh>
    <rPh sb="14" eb="15">
      <t>アタイ</t>
    </rPh>
    <rPh sb="16" eb="18">
      <t>セイシツ</t>
    </rPh>
    <rPh sb="19" eb="20">
      <t>チガ</t>
    </rPh>
    <rPh sb="23" eb="25">
      <t>トウケイ</t>
    </rPh>
    <rPh sb="113" eb="116">
      <t>ボシュウダン</t>
    </rPh>
    <rPh sb="117" eb="121">
      <t>ヒョウホンチュウシュツ</t>
    </rPh>
    <rPh sb="130" eb="131">
      <t>ダイ</t>
    </rPh>
    <rPh sb="132" eb="133">
      <t>カイ</t>
    </rPh>
    <rPh sb="337" eb="339">
      <t>ソウカン</t>
    </rPh>
    <rPh sb="340" eb="342">
      <t>インガ</t>
    </rPh>
    <rPh sb="343" eb="347">
      <t>インガスイロン</t>
    </rPh>
    <rPh sb="348" eb="349">
      <t>カンガ</t>
    </rPh>
    <rPh sb="350" eb="351">
      <t>カタ</t>
    </rPh>
    <phoneticPr fontId="1"/>
  </si>
  <si>
    <t>・データ表現：「統計分析入門」　第４回　　　データの比較：「統計分析入門」第13、14回　　　　　　　　　　　　　　　　　　　　　　　　　　　　　　　　　　　　　　　　　　　　　　　　　　　　　　　　　　　　　　　・データ表現、優れた可視化事例の紹介：「データサイエンスリテラシー」　第5、6回</t>
    <rPh sb="4" eb="6">
      <t>ヒョウゲン</t>
    </rPh>
    <rPh sb="26" eb="28">
      <t>ヒカク</t>
    </rPh>
    <rPh sb="30" eb="32">
      <t>トウケイ</t>
    </rPh>
    <rPh sb="32" eb="36">
      <t>ブンセキニュウモン</t>
    </rPh>
    <rPh sb="37" eb="38">
      <t>ダイ</t>
    </rPh>
    <rPh sb="43" eb="44">
      <t>カイ</t>
    </rPh>
    <rPh sb="45" eb="46">
      <t>カイ</t>
    </rPh>
    <rPh sb="114" eb="115">
      <t>スグ</t>
    </rPh>
    <rPh sb="117" eb="120">
      <t>カシカ</t>
    </rPh>
    <rPh sb="120" eb="122">
      <t>ジレイ</t>
    </rPh>
    <rPh sb="123" eb="125">
      <t>ショウカイ</t>
    </rPh>
    <rPh sb="146" eb="147">
      <t>カイ</t>
    </rPh>
    <phoneticPr fontId="1"/>
  </si>
  <si>
    <t>・データ分析ツール（スプレッドシート）：「統計分析入門」第１回～５回　　　　　　　　　　　　　　　　　　　　　　　　　　　　　　　　　　　　　　　　　　　　・データの集計：「統計分析入門」　第5回　　　　　　　　　　　　　　　　　　　　　　　　　　　　　　　　　　　　　　　　　　　　　　　　　　　　　　　　　　　　　　　・データ分析ツール（スプレッドシート）：「データサイエンスリテラシー」　第4回　および補講</t>
    <rPh sb="4" eb="6">
      <t>ブンセキ</t>
    </rPh>
    <rPh sb="28" eb="29">
      <t>ダイ</t>
    </rPh>
    <rPh sb="30" eb="31">
      <t>カイ</t>
    </rPh>
    <rPh sb="33" eb="34">
      <t>カイ</t>
    </rPh>
    <rPh sb="83" eb="85">
      <t>シュウケイ</t>
    </rPh>
    <rPh sb="165" eb="167">
      <t>ブンセキ</t>
    </rPh>
    <rPh sb="204" eb="206">
      <t>ホコウ</t>
    </rPh>
    <phoneticPr fontId="1"/>
  </si>
  <si>
    <t>⑩プログラムの学修成果（学生等が身に付けられる能力等）</t>
    <phoneticPr fontId="1"/>
  </si>
  <si>
    <t>データサイエンスやAIが必要とされる社会的背景、その利活用の現状や技術の概略、データサイエンス・AIがもたらす社会問題と倫理について理解するとともに、データ分析のための具体的な基本手法を身に付けることができる。</t>
    <phoneticPr fontId="1"/>
  </si>
  <si>
    <t>⑪プログラムの授業内容等を公表しているアドレス</t>
    <phoneticPr fontId="1"/>
  </si>
  <si>
    <t>https://www.unii.ac.jp/DataScienceProgram/index-UNP-DS.html</t>
    <phoneticPr fontId="1"/>
  </si>
  <si>
    <t>様式２－２</t>
    <phoneticPr fontId="1"/>
  </si>
  <si>
    <t>【国際地域学部・人間生活学部】　　　　　　　　　　　　　　　　　　　　　　　　　　　　　　　　　　　　　　　　　　　　　　　　　　　　　　　　　　　　　　　　　　　　　　　　　　　　　　　　「統計分析入門」　（２単位：１年次後期）、「情報システムと倫理」（２単位：１年次後期)　　　計４単位を履修
　　　　　　　　　　　　　　　　　　　　　　　　　　　　　　　　　　　　　　　　　　　　　　　　　　　　　　　　　　　　　　　　　　　　　　　　　　　　　　　　　　　　　　　　　　　　　　　　　　　　（参考）令和４年度から「データサイエンスリテラシー」（２単位：１年次後期）を新設し、修了要件を以下のように変更　　　　　　　　　　　　　　　　　　　　
          「統計分析入門」２単位必修　　「情報システムと倫理」、「データサイエンスリテラシー」から2単位以上履修　計４単位以上を履修　　</t>
    <rPh sb="110" eb="112">
      <t>ネンジ</t>
    </rPh>
    <rPh sb="112" eb="114">
      <t>コウキ</t>
    </rPh>
    <rPh sb="141" eb="142">
      <t>ケイ</t>
    </rPh>
    <rPh sb="143" eb="145">
      <t>タンイ</t>
    </rPh>
    <rPh sb="146" eb="148">
      <t>リシュウ</t>
    </rPh>
    <rPh sb="250" eb="252">
      <t>サンコウ</t>
    </rPh>
    <rPh sb="287" eb="289">
      <t>シンセツ</t>
    </rPh>
    <rPh sb="296" eb="298">
      <t>イカ</t>
    </rPh>
    <rPh sb="302" eb="304">
      <t>ヘンコウ</t>
    </rPh>
    <rPh sb="351" eb="353">
      <t>ジョウホウ</t>
    </rPh>
    <rPh sb="358" eb="360">
      <t>リンリ</t>
    </rPh>
    <rPh sb="384" eb="386">
      <t>リシュウ</t>
    </rPh>
    <phoneticPr fontId="1"/>
  </si>
  <si>
    <t>情報システムと倫理</t>
    <rPh sb="0" eb="2">
      <t>ジョウホウ</t>
    </rPh>
    <rPh sb="7" eb="9">
      <t>リンリ</t>
    </rPh>
    <phoneticPr fontId="1"/>
  </si>
  <si>
    <t>（参考）令和4年度新設科目</t>
    <rPh sb="1" eb="3">
      <t>サンコウ</t>
    </rPh>
    <rPh sb="4" eb="6">
      <t>レイワ</t>
    </rPh>
    <rPh sb="7" eb="9">
      <t>ネンド</t>
    </rPh>
    <rPh sb="9" eb="11">
      <t>シンセツ</t>
    </rPh>
    <rPh sb="11" eb="13">
      <t>カモク</t>
    </rPh>
    <phoneticPr fontId="1"/>
  </si>
  <si>
    <t>一部開講</t>
    <phoneticPr fontId="1"/>
  </si>
  <si>
    <t>（参考）令和4年度新設科目</t>
    <rPh sb="1" eb="3">
      <t>サンコウ</t>
    </rPh>
    <rPh sb="4" eb="6">
      <t>レイワ</t>
    </rPh>
    <rPh sb="7" eb="9">
      <t>ネンド</t>
    </rPh>
    <rPh sb="9" eb="13">
      <t>シンセツカモク</t>
    </rPh>
    <phoneticPr fontId="1"/>
  </si>
  <si>
    <t>・第４次産業革命、Society 5.0、データ駆動型社会：「情報システムと倫理」第9回　　　　　　　　　　　　　　　　　　　　　　　　　　　　　　　　　　　　　　　　　　　　　　　　　　　　・データ量の増加、計算機の処理能力の増加、AIの非連続的変化、第４次産業革命、Society 5.0、データ駆動型社会：「データサイエンスリテラシー第1回　　　</t>
    <rPh sb="24" eb="27">
      <t>クドウガタ</t>
    </rPh>
    <rPh sb="27" eb="29">
      <t>シャカイ</t>
    </rPh>
    <rPh sb="150" eb="153">
      <t>クドウガタ</t>
    </rPh>
    <rPh sb="153" eb="155">
      <t>シャカイ</t>
    </rPh>
    <phoneticPr fontId="1"/>
  </si>
  <si>
    <t>・AI等を活用した新たなビジネスモデル：「情報システムと倫理」第11回　　　　　　　　　　　　　　　　　　　　　　　　　　　　　・AI等を活用した新たなビジネスモデル：「データサイエンスリテラシー」第1、8回　　　</t>
    <phoneticPr fontId="1"/>
  </si>
  <si>
    <t>・データ作成、構造化データ、非構造化データ：「情報システムと倫理」：第5、6回　　　　　　　　　　　　　　　　　　　　　　　　　　　　　・調査データ、実験データ、人の行動ログデータ、機械の稼働ログデータなど、データ作成、構造化データ・非構造化データ：「データサイエンスリテラシー」：第2、4回</t>
    <rPh sb="7" eb="10">
      <t>コウゾウカ</t>
    </rPh>
    <rPh sb="14" eb="15">
      <t>ヒ</t>
    </rPh>
    <rPh sb="15" eb="18">
      <t>コウゾウカ</t>
    </rPh>
    <phoneticPr fontId="1"/>
  </si>
  <si>
    <t>・データ・AI活用領域の広がり（福祉）：「情報システムと倫理」　第11回　　　　　　　　　　　　　　　　　　　　　　　　　　　　　・データ・AI活用領域の広がり：「データサイエンスリテラシー」　第1、3回　　</t>
    <rPh sb="7" eb="9">
      <t>カツヨウ</t>
    </rPh>
    <rPh sb="9" eb="11">
      <t>リョウイキ</t>
    </rPh>
    <rPh sb="12" eb="13">
      <t>ヒロ</t>
    </rPh>
    <rPh sb="16" eb="18">
      <t>フクシ</t>
    </rPh>
    <rPh sb="21" eb="23">
      <t>ジョウホウ</t>
    </rPh>
    <rPh sb="35" eb="36">
      <t>カイ</t>
    </rPh>
    <phoneticPr fontId="1"/>
  </si>
  <si>
    <t>・非構造化データ処理「情報システムと倫理」　第6、7回　　　　　　　　　　　　　　　　　　　　　　　　　　　　　　　　　　　　　　　　　・データ解析、データ可視化、予測、分類：　「データサイエンスリテラシー」　第3回　　</t>
    <rPh sb="1" eb="5">
      <t>ヒコウゾウカ</t>
    </rPh>
    <rPh sb="8" eb="10">
      <t>ショリ</t>
    </rPh>
    <phoneticPr fontId="1"/>
  </si>
  <si>
    <t>・福祉分野におけるデータ・AI利活用事例紹介：「情報システムと倫理」　　第11回　　　　　　　　　　　　　　　　　　　　　　　　　　　　　　　　・マーケッティング、ヘルスケア、国際紛争の分析におけるデータ・AI利活用事例紹介：「データサイエンスリテラシー」　　第8～10回　　</t>
    <rPh sb="1" eb="3">
      <t>フクシ</t>
    </rPh>
    <rPh sb="3" eb="5">
      <t>ブンヤ</t>
    </rPh>
    <rPh sb="15" eb="22">
      <t>リカツヨウジレイショウカイ</t>
    </rPh>
    <phoneticPr fontId="1"/>
  </si>
  <si>
    <t>・情報倫理、個人情報、データ倫理、情報倫理の事例：「情報システムと倫理」13～15回　　　　　　　　　　　　　　　　　　　　　　　　　　　　　　　　　・データバイアス、アルゴリズムバイアス、情報倫理の事例：「データサイエンスリテラシー」第11回　　</t>
    <rPh sb="14" eb="16">
      <t>リンリ</t>
    </rPh>
    <rPh sb="26" eb="28">
      <t>ジョウホウ</t>
    </rPh>
    <rPh sb="33" eb="35">
      <t>リンリ</t>
    </rPh>
    <phoneticPr fontId="1"/>
  </si>
  <si>
    <t>・情報セキュリティ：　「情報システムと倫理」　第12回　　　　　　　　　　　　　　　　　　　　　　　　　　　　　　　　　　　　　　　　・情報セキュリティ「データサイエンスリテラシー」第11回　</t>
    <rPh sb="68" eb="70">
      <t>ジョウホウ</t>
    </rPh>
    <phoneticPr fontId="1"/>
  </si>
  <si>
    <t>・データの分布と代表値、代表値の性質の違い：「統計分析入門」　第２回　　　　　　　　　　　　　　　　　　　　　　　　　　　　　　　　　　　　　　　　　　　　　　　　　　　　　　・データの散らばり：「統計分析入門」　第３回　　・母集団と標本抽出　「統計分析入門」第８回　　　　　　　　　　　　　　　　　・データの分布と代表値、代表値の性質の違い：「データサイエンスリテラシー」　第２回　　　　　　　　　　　　　　　　　　　　　　　　　　　　　　　　　　　　　　　　　　　　　　　　　　　　　　・データの散らばり：「データサイエンスリテラシー」　第３回　　　　　　　　　　　　　　　　　　　　　　　　　　　　　　　　　　　　　　　　　　　　　　　　　　　　　　・相関と因果、因果推論の考え方：「データサイエンスリテラシー」　第７回　　　　　　　　　　　　　　　　　　　　　　　　　　　　　　　　　　　　　　　</t>
    <rPh sb="5" eb="7">
      <t>ブンプ</t>
    </rPh>
    <rPh sb="8" eb="10">
      <t>ダイヒョウ</t>
    </rPh>
    <rPh sb="10" eb="11">
      <t>アタイ</t>
    </rPh>
    <rPh sb="12" eb="14">
      <t>ダイヒョウ</t>
    </rPh>
    <rPh sb="14" eb="15">
      <t>アタイ</t>
    </rPh>
    <rPh sb="16" eb="18">
      <t>セイシツ</t>
    </rPh>
    <rPh sb="19" eb="20">
      <t>チガ</t>
    </rPh>
    <rPh sb="23" eb="25">
      <t>トウケイ</t>
    </rPh>
    <rPh sb="113" eb="116">
      <t>ボシュウダン</t>
    </rPh>
    <rPh sb="117" eb="121">
      <t>ヒョウホンチュウシュツ</t>
    </rPh>
    <rPh sb="130" eb="131">
      <t>ダイ</t>
    </rPh>
    <rPh sb="132" eb="133">
      <t>カイ</t>
    </rPh>
    <rPh sb="329" eb="331">
      <t>ソウカン</t>
    </rPh>
    <rPh sb="332" eb="334">
      <t>インガ</t>
    </rPh>
    <rPh sb="335" eb="339">
      <t>インガスイロン</t>
    </rPh>
    <rPh sb="340" eb="341">
      <t>カンガ</t>
    </rPh>
    <rPh sb="342" eb="343">
      <t>カタ</t>
    </rPh>
    <phoneticPr fontId="1"/>
  </si>
  <si>
    <t>・データ表現：「統計分析入門」　第４回　　・データの比較：「統計分析入門」第13、14回　　　　　　　　　　　　　　　　　　　　　　　　　　　　　　　　　　　　　　　　　・データ表現、優れた可視化事例の紹介：「データサイエンスリテラシー」　第6、７回</t>
    <rPh sb="4" eb="6">
      <t>ヒョウゲン</t>
    </rPh>
    <rPh sb="48" eb="49">
      <t>ダイ</t>
    </rPh>
    <rPh sb="50" eb="51">
      <t>カイ</t>
    </rPh>
    <rPh sb="124" eb="125">
      <t>カイ</t>
    </rPh>
    <phoneticPr fontId="1"/>
  </si>
  <si>
    <t>・データ分析ツール（スプレッドシート）：「統計分析入門」第１回～５回　　　　　　　　　　　　　　　　　　　　　　　　　　　　　　・データの集計：「統計分析入門」　第5回　　　　　　　　　　　　　　　　　　　　　　　　　　　　　　　　　　　　　　　　　　　　　　　　　　　　　　　　　　　　　　　・データ分析ツール（スプレッドシート）：「データサイエンスリテラシー」　第4回　および補講</t>
    <rPh sb="4" eb="6">
      <t>ブンセキ</t>
    </rPh>
    <rPh sb="28" eb="29">
      <t>ダイ</t>
    </rPh>
    <rPh sb="30" eb="31">
      <t>カイ</t>
    </rPh>
    <rPh sb="33" eb="34">
      <t>カイ</t>
    </rPh>
    <rPh sb="69" eb="71">
      <t>シュウケイ</t>
    </rPh>
    <rPh sb="151" eb="153">
      <t>ブンセキ</t>
    </rPh>
    <rPh sb="190" eb="192">
      <t>ホコウ</t>
    </rPh>
    <phoneticPr fontId="1"/>
  </si>
  <si>
    <t>様式３</t>
    <rPh sb="0" eb="2">
      <t>ヨウシキ</t>
    </rPh>
    <phoneticPr fontId="1"/>
  </si>
  <si>
    <t>プログラムの履修者数等の実績について</t>
    <phoneticPr fontId="1"/>
  </si>
  <si>
    <t>①プログラム開設年度</t>
    <rPh sb="6" eb="8">
      <t>カイセツ</t>
    </rPh>
    <rPh sb="8" eb="10">
      <t>ネンド</t>
    </rPh>
    <phoneticPr fontId="1"/>
  </si>
  <si>
    <t>②履修者・修了者の実績</t>
    <rPh sb="1" eb="3">
      <t>リシュウ</t>
    </rPh>
    <rPh sb="3" eb="4">
      <t>シャ</t>
    </rPh>
    <rPh sb="5" eb="8">
      <t>シュウリョウシャ</t>
    </rPh>
    <rPh sb="9" eb="11">
      <t>ジッセキ</t>
    </rPh>
    <phoneticPr fontId="1"/>
  </si>
  <si>
    <t>学部・学科名称</t>
    <rPh sb="0" eb="2">
      <t>ガクブ</t>
    </rPh>
    <rPh sb="3" eb="5">
      <t>ガッカ</t>
    </rPh>
    <rPh sb="5" eb="7">
      <t>メイショウ</t>
    </rPh>
    <phoneticPr fontId="1"/>
  </si>
  <si>
    <t>入学
定員</t>
    <rPh sb="0" eb="2">
      <t>ニュウガク</t>
    </rPh>
    <rPh sb="3" eb="5">
      <t>テイイン</t>
    </rPh>
    <phoneticPr fontId="1"/>
  </si>
  <si>
    <t>収容
定員</t>
    <rPh sb="0" eb="2">
      <t>シュウヨウ</t>
    </rPh>
    <rPh sb="3" eb="5">
      <t>テイイン</t>
    </rPh>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</si>
  <si>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</si>
  <si>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</si>
  <si>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</si>
  <si>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</si>
  <si>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</si>
  <si>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</si>
  <si>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</si>
  <si>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</si>
  <si>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2">
      <t>リシュウ</t>
    </rPh>
    <rPh sb="2" eb="3">
      <t>シャ</t>
    </rPh>
    <rPh sb="3" eb="4">
      <t>スウ</t>
    </rPh>
    <phoneticPr fontId="1"/>
  </si>
  <si>
    <t>修了者数</t>
    <rPh sb="0" eb="3">
      <t>シュウリョウシャ</t>
    </rPh>
    <rPh sb="3" eb="4">
      <t>スウ</t>
    </rPh>
    <phoneticPr fontId="1"/>
  </si>
  <si>
    <t>国際地域学部</t>
    <rPh sb="0" eb="6">
      <t>コクサイチイキガクブ</t>
    </rPh>
    <phoneticPr fontId="1"/>
  </si>
  <si>
    <t>国際経済学部</t>
    <rPh sb="0" eb="6">
      <t>コクサイケイザイガクブ</t>
    </rPh>
    <phoneticPr fontId="1"/>
  </si>
  <si>
    <t>人間生活学部</t>
    <rPh sb="0" eb="6">
      <t>ニンゲンセイカツガクブ</t>
    </rPh>
    <phoneticPr fontId="1"/>
  </si>
  <si>
    <t>注）国際経済学部は2学年にまたがる</t>
    <phoneticPr fontId="1"/>
  </si>
  <si>
    <t>カリキュラムのため、初年度である</t>
    <phoneticPr fontId="1"/>
  </si>
  <si>
    <t>令和2年度の修了者数は0</t>
    <phoneticPr fontId="1"/>
  </si>
  <si>
    <t>合　計</t>
    <phoneticPr fontId="1"/>
  </si>
  <si>
    <t>　　　　　　　　　　　　　　　　　　　　　　　　　　　　　　　　　　　　　　　　　　　　　　　　　　　　　　　　　　　　　　　　　　　　　　　　　　　　　　　　　　　　　　　　　　　　　　　　　　　　　　　　　　　　　　　　　　　　　　　　　　　　　　　　　　　　　　　　　　　　　　　　　　　　　　　　　　　　　　　　　　　　　　　　　　　　　　　　　　　　　　　　　　　　　　　　　　　　　　　　　　　　　　　　　　　　　　　　　　　　　　　　　　　　　　　　　　　　　　　　　　　　　　　　　　　　　　　　　　　　　　　　　　　　　　　　　　　　　　　　　　　　　　　　　　　　　　　　　　　　　　　　　　　　　　　　　　　　　　　　　　　　　　　　　　　　　　　　　　　　　　　　　　　　　　　　　　　　　　　　　　　　　　　　　　　　　　　　　　　　　　　　　　　　　　　　　　　　　　　　　　　　　　　　　　　　　　　　　　　　　　　　　　　　　　　　　　　　　　　　　　　　　　　　　　　　　　　　　　　　　　　　　　　　　　　　　　　　　　　　　　　　　　　　　　　　　　　　　　　　　　　　　　　　　　　　　　　　　　　　　　　　　　　　　　　　　　　　　　　　　　　　　　　　　　　　　　　　　　　　　　　　　　　　　　　　　　　　　　　　　　　　　　　　　　　　　　　　　　　　　　　　　　　　　　　　　　　　　　　　　　　　　　　　　　　　　　　　　　　　　　　　　　　　　　　　　　　　　　　　　　　　　　　　　　　　　　　　　　　　　　　　　　　　　　　　　　　　　　　　　　　　　　　　　　　　　　　　　　　　　　　　　　　　　　　　　　</t>
    <phoneticPr fontId="1"/>
  </si>
  <si>
    <t>様式４</t>
    <rPh sb="0" eb="2">
      <t>ヨウシキ</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</si>
  <si>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</si>
  <si>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プログラムを改善・進化させるための体制を定める規則名称</t>
    <phoneticPr fontId="1"/>
  </si>
  <si>
    <t>データサイエンス教育プログラム・ワーキンググループ（令和3年度第9回教育研究評議会決定（議事録・資料6））</t>
    <phoneticPr fontId="1"/>
  </si>
  <si>
    <t>体制の目的</t>
    <rPh sb="0" eb="2">
      <t>タイセイ</t>
    </rPh>
    <rPh sb="3" eb="5">
      <t>モクテキ</t>
    </rPh>
    <phoneticPr fontId="1"/>
  </si>
  <si>
    <t>データサイエンス教育に関する教学マネジメントを強化するため、 教育研究評議会 に 「 データサイエンス教育プログラム・ワーキンググループ 」 を設置。複数の学部教員が担当する全学教育プログラムである本教育プログラムの学習目標の設定、教育課程編成、運営とコーディネート、教育実施状況と教育成果の把握、自己点検と評価、プログラムの改善等を担う。なお、認定がなされた場合には正式な学内組織である「データサイエンス教育センター」(仮称）を開設する計画である。　　　　　　　　　　　　　　　　　　　　　　　　　　　　　　　　　　　　　　　　　　　　　　　　　　　　　</t>
    <rPh sb="72" eb="74">
      <t>セッチ</t>
    </rPh>
    <rPh sb="75" eb="77">
      <t>フクスウ</t>
    </rPh>
    <rPh sb="78" eb="80">
      <t>ガクブ</t>
    </rPh>
    <rPh sb="80" eb="82">
      <t>キョウイン</t>
    </rPh>
    <rPh sb="83" eb="85">
      <t>タントウ</t>
    </rPh>
    <rPh sb="87" eb="89">
      <t>ゼンガク</t>
    </rPh>
    <rPh sb="89" eb="91">
      <t>キョウイク</t>
    </rPh>
    <rPh sb="99" eb="100">
      <t>ホン</t>
    </rPh>
    <rPh sb="100" eb="102">
      <t>キョウイク</t>
    </rPh>
    <rPh sb="108" eb="112">
      <t>ガクシュウモクヒョウ</t>
    </rPh>
    <rPh sb="113" eb="115">
      <t>セッテイ</t>
    </rPh>
    <rPh sb="116" eb="122">
      <t>キョウイクカテイヘンセイ</t>
    </rPh>
    <rPh sb="123" eb="125">
      <t>ウンエイ</t>
    </rPh>
    <rPh sb="138" eb="140">
      <t>ジョウキョウ</t>
    </rPh>
    <rPh sb="141" eb="145">
      <t>キョウイクセイカ</t>
    </rPh>
    <rPh sb="146" eb="148">
      <t>ハアク</t>
    </rPh>
    <rPh sb="149" eb="153">
      <t>ジコテンケン</t>
    </rPh>
    <rPh sb="154" eb="156">
      <t>ヒョウカ</t>
    </rPh>
    <rPh sb="163" eb="165">
      <t>カイゼン</t>
    </rPh>
    <rPh sb="165" eb="166">
      <t>トウ</t>
    </rPh>
    <rPh sb="167" eb="168">
      <t>ニナ</t>
    </rPh>
    <rPh sb="173" eb="175">
      <t>ニンテイ</t>
    </rPh>
    <rPh sb="180" eb="182">
      <t>バアイ</t>
    </rPh>
    <rPh sb="184" eb="186">
      <t>セイシキ</t>
    </rPh>
    <rPh sb="187" eb="191">
      <t>ガクナイソシキ</t>
    </rPh>
    <rPh sb="203" eb="205">
      <t>キョウイク</t>
    </rPh>
    <rPh sb="211" eb="213">
      <t>カショウ</t>
    </rPh>
    <rPh sb="215" eb="217">
      <t>カイセツ</t>
    </rPh>
    <rPh sb="219" eb="221">
      <t>ケイカク</t>
    </rPh>
    <phoneticPr fontId="1"/>
  </si>
  <si>
    <t>③</t>
    <phoneticPr fontId="1"/>
  </si>
  <si>
    <t>具体的な構成員</t>
    <rPh sb="0" eb="3">
      <t>グタイテキ</t>
    </rPh>
    <rPh sb="4" eb="7">
      <t>コウセイイン</t>
    </rPh>
    <phoneticPr fontId="1"/>
  </si>
  <si>
    <t>データサイエンス教育を担う各学部の教員 から構成され、 委員長は学長が指名する。具体的な構成員は、下記の通りである。　　　　　　　　　　　　　　　　　　　　　　　　　　　　　　　　　　　　　　　　　　　　　　　　　　　　　　　　　　　　　　　　委員長　秋山太郎　国際経済学部長・教授　　　　　　　　　　　　　　　　　　　　　　　　　　　　　　　　　　　　　　　　　　委員　　石塚辰美　国際経済学部教授　　　　　野本洋平　国際地域学部教授　　　　　　　　　　　　　　　　　　　　　　　　　　　　　　曽根英行　　人間生活学部教授</t>
    <rPh sb="22" eb="24">
      <t>コウセイ</t>
    </rPh>
    <rPh sb="40" eb="43">
      <t>グタイテキ</t>
    </rPh>
    <rPh sb="44" eb="47">
      <t>コウセイイン</t>
    </rPh>
    <rPh sb="49" eb="51">
      <t>カキ</t>
    </rPh>
    <rPh sb="52" eb="53">
      <t>トオ</t>
    </rPh>
    <rPh sb="122" eb="125">
      <t>イインチョウ</t>
    </rPh>
    <rPh sb="126" eb="130">
      <t>アキヤマタロウ</t>
    </rPh>
    <rPh sb="139" eb="141">
      <t>キョウジュ</t>
    </rPh>
    <rPh sb="183" eb="185">
      <t>イイン</t>
    </rPh>
    <rPh sb="187" eb="191">
      <t>イシヅカタツミ</t>
    </rPh>
    <rPh sb="192" eb="200">
      <t>コクサイケイザイガクブキョウジュ</t>
    </rPh>
    <rPh sb="205" eb="207">
      <t>ノモト</t>
    </rPh>
    <rPh sb="207" eb="209">
      <t>ヨウヘイ</t>
    </rPh>
    <rPh sb="210" eb="216">
      <t>コクサイチイキガクブ</t>
    </rPh>
    <rPh sb="216" eb="218">
      <t>キョウジュ</t>
    </rPh>
    <rPh sb="248" eb="250">
      <t>ソネ</t>
    </rPh>
    <rPh sb="250" eb="251">
      <t>エイ</t>
    </rPh>
    <phoneticPr fontId="1"/>
  </si>
  <si>
    <t>履修者数・履修率の向上に向けた計画</t>
    <rPh sb="5" eb="7">
      <t>リシュウ</t>
    </rPh>
    <rPh sb="7" eb="8">
      <t>リツ</t>
    </rPh>
    <phoneticPr fontId="1"/>
  </si>
  <si>
    <t>令和３年度実績</t>
    <rPh sb="0" eb="2">
      <t>レイワ</t>
    </rPh>
    <rPh sb="3" eb="5">
      <t>ネンド</t>
    </rPh>
    <rPh sb="5" eb="7">
      <t>ジッセキ</t>
    </rPh>
    <phoneticPr fontId="1"/>
  </si>
  <si>
    <t>令和４年度予定</t>
    <rPh sb="0" eb="2">
      <t>レイワ</t>
    </rPh>
    <rPh sb="3" eb="5">
      <t>ネンド</t>
    </rPh>
    <rPh sb="5" eb="7">
      <t>ヨテイ</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</si>
  <si>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</si>
  <si>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</si>
  <si>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</si>
  <si>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</si>
  <si>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</si>
  <si>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【国際経済学部】　　　　　　　　　　　　　　　　　　　　　　　　　　　　　　　　　　　　　　　　　　　　　　　　　　　　　　　　　　　　　　　　　　　　　国際経済学部は、学部教育の大きな柱としてデータサイエンス教育を掲げていることもあり、ほぼ100％の学生が履修している。１年次開講である新科目「データサイエンスリテラシー」を選択必修として付け加えることにより、１年次にプログラムの終了要件を満たす学生が増えることにより、１年次の修了率が上昇するという効果も存在する。　　　　　　　　　　　　　　　　　　　　　　　　　　　　　　　　　　　　　　　　　　　　　　　　　　　　【国際地域学部・人間生活学部】　　　　　　　　　　　　　　　　　　　　　　　　　　　　　　　　　　　　　　　　　　　　　　　　　　　　　　　　　　　　　　　　　　　　　　　　　　従来の「情報システムと倫理」に加えて、より新たなビジネスやヘルスケア等の例（学生に身近な新潟県の例も含む）を多く含み、かつ各学部の専門教育におけるデータサイエンス関係の分野（例えば人間生活学部での疫学や国際地域学部での計量政治学）との連携を考慮した科目である「データサイエンスリテラシー」を新たに開講する。これにより、とくに従来多くなかった国際経済学部以外からの履修が増加する効果がある。また、この講義については、他の基盤科目（教養科目）がほとんど開講されていない時間帯に配置し、またオンデマンドによる授業の割合を大きくし、履修しやすいようにする。さらに、周知にも力を入れることにより、とくに国際地域学部の履修者・率を向上させる。　　</t>
    <rPh sb="1" eb="7">
      <t>コクサイケイザイガクブ</t>
    </rPh>
    <rPh sb="77" eb="83">
      <t>コクサイケイザイガクブ</t>
    </rPh>
    <rPh sb="85" eb="87">
      <t>ガクブ</t>
    </rPh>
    <rPh sb="87" eb="89">
      <t>キョウイク</t>
    </rPh>
    <rPh sb="90" eb="91">
      <t>オオ</t>
    </rPh>
    <rPh sb="93" eb="94">
      <t>ハシラ</t>
    </rPh>
    <rPh sb="105" eb="107">
      <t>キョウイク</t>
    </rPh>
    <rPh sb="108" eb="109">
      <t>カカ</t>
    </rPh>
    <rPh sb="126" eb="128">
      <t>ガクセイ</t>
    </rPh>
    <rPh sb="129" eb="131">
      <t>リシュウ</t>
    </rPh>
    <rPh sb="137" eb="139">
      <t>ネンジ</t>
    </rPh>
    <rPh sb="144" eb="147">
      <t>シンカモク</t>
    </rPh>
    <rPh sb="163" eb="167">
      <t>センタクヒッシュウ</t>
    </rPh>
    <rPh sb="170" eb="171">
      <t>ツ</t>
    </rPh>
    <rPh sb="172" eb="173">
      <t>クワ</t>
    </rPh>
    <rPh sb="182" eb="184">
      <t>ネンジ</t>
    </rPh>
    <rPh sb="191" eb="195">
      <t>シュウリョウヨウケン</t>
    </rPh>
    <rPh sb="196" eb="197">
      <t>ミ</t>
    </rPh>
    <rPh sb="199" eb="201">
      <t>ガクセイ</t>
    </rPh>
    <rPh sb="202" eb="203">
      <t>フ</t>
    </rPh>
    <rPh sb="212" eb="214">
      <t>ネンジ</t>
    </rPh>
    <rPh sb="219" eb="221">
      <t>ジョウショウ</t>
    </rPh>
    <rPh sb="226" eb="228">
      <t>コウカ</t>
    </rPh>
    <rPh sb="229" eb="231">
      <t>ソンザイ</t>
    </rPh>
    <rPh sb="287" eb="289">
      <t>コクサイ</t>
    </rPh>
    <rPh sb="289" eb="293">
      <t>チイキガクブ</t>
    </rPh>
    <rPh sb="294" eb="300">
      <t>ニンゲンセイカツガクブ</t>
    </rPh>
    <rPh sb="375" eb="377">
      <t>ジュウライ</t>
    </rPh>
    <rPh sb="379" eb="381">
      <t>ジョウホウ</t>
    </rPh>
    <rPh sb="386" eb="388">
      <t>リンリ</t>
    </rPh>
    <rPh sb="390" eb="391">
      <t>クワ</t>
    </rPh>
    <rPh sb="396" eb="397">
      <t>アラ</t>
    </rPh>
    <rPh sb="409" eb="410">
      <t>トウ</t>
    </rPh>
    <rPh sb="411" eb="412">
      <t>レイ</t>
    </rPh>
    <rPh sb="413" eb="415">
      <t>ガクセイ</t>
    </rPh>
    <rPh sb="416" eb="418">
      <t>ミジカ</t>
    </rPh>
    <rPh sb="419" eb="422">
      <t>ニイガタケン</t>
    </rPh>
    <rPh sb="423" eb="424">
      <t>レイ</t>
    </rPh>
    <rPh sb="425" eb="426">
      <t>フク</t>
    </rPh>
    <rPh sb="429" eb="430">
      <t>オオ</t>
    </rPh>
    <rPh sb="431" eb="432">
      <t>フク</t>
    </rPh>
    <rPh sb="436" eb="439">
      <t>カクガクブ</t>
    </rPh>
    <rPh sb="440" eb="442">
      <t>センモン</t>
    </rPh>
    <rPh sb="442" eb="444">
      <t>キョウイク</t>
    </rPh>
    <rPh sb="456" eb="458">
      <t>カンケイ</t>
    </rPh>
    <rPh sb="459" eb="461">
      <t>ブンヤ</t>
    </rPh>
    <rPh sb="492" eb="494">
      <t>レンケイ</t>
    </rPh>
    <rPh sb="495" eb="497">
      <t>コウリョ</t>
    </rPh>
    <rPh sb="499" eb="501">
      <t>カモク</t>
    </rPh>
    <rPh sb="520" eb="521">
      <t>アラ</t>
    </rPh>
    <rPh sb="523" eb="525">
      <t>カイコウ</t>
    </rPh>
    <rPh sb="537" eb="540">
      <t>ジュウライオオ</t>
    </rPh>
    <rPh sb="545" eb="553">
      <t>コクサイケイザイガクブイガイ</t>
    </rPh>
    <rPh sb="556" eb="558">
      <t>リシュウ</t>
    </rPh>
    <rPh sb="559" eb="561">
      <t>ゾウカ</t>
    </rPh>
    <rPh sb="563" eb="565">
      <t>コウカ</t>
    </rPh>
    <rPh sb="574" eb="576">
      <t>コウギ</t>
    </rPh>
    <rPh sb="582" eb="583">
      <t>タ</t>
    </rPh>
    <rPh sb="584" eb="588">
      <t>キバンカモク</t>
    </rPh>
    <rPh sb="589" eb="593">
      <t>キョウヨウカモク</t>
    </rPh>
    <rPh sb="599" eb="601">
      <t>カイコウ</t>
    </rPh>
    <rPh sb="607" eb="610">
      <t>ジカンタイ</t>
    </rPh>
    <rPh sb="611" eb="613">
      <t>ハイチ</t>
    </rPh>
    <rPh sb="626" eb="628">
      <t>ジュギョウ</t>
    </rPh>
    <rPh sb="629" eb="631">
      <t>ワリアイ</t>
    </rPh>
    <rPh sb="632" eb="633">
      <t>オオ</t>
    </rPh>
    <rPh sb="637" eb="639">
      <t>リシュウ</t>
    </rPh>
    <rPh sb="678" eb="681">
      <t>リシュウシャ</t>
    </rPh>
    <rPh sb="682" eb="683">
      <t>リツ</t>
    </rPh>
    <rPh sb="684" eb="686">
      <t>コウジョウ</t>
    </rPh>
    <phoneticPr fontId="1"/>
  </si>
  <si>
    <t>学部・学科に関係なく希望する学生全員が受講可能となるような必要な体制・取組等</t>
    <phoneticPr fontId="1"/>
  </si>
  <si>
    <t>【国際経済学部】　　　　　　　　　　　　　　　　　　　　　　　　　　　　　　　　　　　　　　　　　　　　　　　　　　　　　　　　　　　　　　　　　　　　　　　　　　　　　　　ほとんど全学生が受講している。　　　　　　　　　　　　　　　　　　　　　　　　　　　　　　　　　　　　　　　　　　　　　　　　　　　　　　　　　　　　　【国際地域学部・人間生活学部】　　　　　　　　　　　　　　　　　　　　　　　　　　　　　　　　　　　　　　　　　　　　　　　　　　　　　　　　　　　　　　以下のような取り組みを行うことにより、希望する学生全員が受講可能となるようにする。　　　　　　　　　　　　　　　　　　　　　　　　　　　　　　　　　　　　　　　　　　　　　　　　　　　　　　　　　　・統計分析入門については、必要に応じて対面型授業と同時に授業を他教室に配信するハイブリッド型授業とし、希望する学生が受講できるようにする。実習等に関しては、詳しい説明スライド・動画等をLMSに掲載し、またSAが補助をする形として、きめ細かな指導ができるようにする。　　　　　　　　　　　　　　　　　　　　　　　　　　　　　　　　　　　　　　　　　　　　　　　　　　　　　　　　　　　　　　　　　　　　　　　　　　　　　　　　　　　　　　　　　　　　　　　　　　　　　　　　　　　　　　　　　　　　　　　　　　　　　　　　　　・今年度から新たに開講する「データサイエンスリテラシー」については、ビデオを利用したオンデマンド授業の割合を高くする。さらに、イントロダクション部分等のを対面型授業についても、必要に応じて同時に授業を他教室に配信するハイブリッド型授業とする。以上により、希望する学生が受講できるようにする。実習等に関しては細かいクラスをいくつか設けるとともに、詳しい説明スライド・動画等をLMSに掲載し、またSAが補助をする形として、きめ細かな指導ができるようにする。</t>
    <rPh sb="3" eb="5">
      <t>ケイザイ</t>
    </rPh>
    <rPh sb="91" eb="92">
      <t>ゼン</t>
    </rPh>
    <rPh sb="92" eb="94">
      <t>ガクセイ</t>
    </rPh>
    <rPh sb="95" eb="97">
      <t>ジュコウ</t>
    </rPh>
    <rPh sb="164" eb="166">
      <t>コクサイ</t>
    </rPh>
    <rPh sb="166" eb="170">
      <t>チイキガクブ</t>
    </rPh>
    <rPh sb="171" eb="177">
      <t>ニンゲンセイカツガクブ</t>
    </rPh>
    <rPh sb="240" eb="242">
      <t>イカ</t>
    </rPh>
    <rPh sb="246" eb="247">
      <t>ト</t>
    </rPh>
    <rPh sb="248" eb="249">
      <t>ク</t>
    </rPh>
    <rPh sb="251" eb="252">
      <t>オコナ</t>
    </rPh>
    <rPh sb="259" eb="261">
      <t>キボウ</t>
    </rPh>
    <rPh sb="263" eb="267">
      <t>ガクセイゼンイン</t>
    </rPh>
    <rPh sb="268" eb="272">
      <t>ジュコウカノウ</t>
    </rPh>
    <rPh sb="340" eb="344">
      <t>トウケイブンセキ</t>
    </rPh>
    <rPh sb="344" eb="346">
      <t>ニュウモン</t>
    </rPh>
    <rPh sb="352" eb="354">
      <t>ヒツヨウ</t>
    </rPh>
    <rPh sb="355" eb="356">
      <t>オウ</t>
    </rPh>
    <rPh sb="358" eb="361">
      <t>タイメンガタ</t>
    </rPh>
    <rPh sb="361" eb="363">
      <t>ジュギョウ</t>
    </rPh>
    <rPh sb="364" eb="366">
      <t>ドウジ</t>
    </rPh>
    <rPh sb="367" eb="369">
      <t>ジュギョウ</t>
    </rPh>
    <rPh sb="370" eb="373">
      <t>タキョウシツ</t>
    </rPh>
    <rPh sb="374" eb="376">
      <t>ハイシン</t>
    </rPh>
    <rPh sb="384" eb="385">
      <t>ガタ</t>
    </rPh>
    <rPh sb="385" eb="387">
      <t>ジュギョウ</t>
    </rPh>
    <rPh sb="390" eb="392">
      <t>キボウ</t>
    </rPh>
    <rPh sb="394" eb="396">
      <t>ガクセイ</t>
    </rPh>
    <rPh sb="397" eb="399">
      <t>ジュコウ</t>
    </rPh>
    <rPh sb="408" eb="411">
      <t>ジッシュウトウ</t>
    </rPh>
    <rPh sb="412" eb="413">
      <t>カン</t>
    </rPh>
    <rPh sb="417" eb="418">
      <t>クワ</t>
    </rPh>
    <rPh sb="420" eb="422">
      <t>セツメイ</t>
    </rPh>
    <rPh sb="427" eb="430">
      <t>ドウガトウ</t>
    </rPh>
    <rPh sb="435" eb="437">
      <t>ケイサイ</t>
    </rPh>
    <rPh sb="444" eb="446">
      <t>ホジョ</t>
    </rPh>
    <rPh sb="449" eb="450">
      <t>カタチ</t>
    </rPh>
    <rPh sb="456" eb="457">
      <t>コマ</t>
    </rPh>
    <rPh sb="459" eb="461">
      <t>シドウ</t>
    </rPh>
    <rPh sb="602" eb="605">
      <t>コンネンド</t>
    </rPh>
    <rPh sb="607" eb="608">
      <t>アラ</t>
    </rPh>
    <rPh sb="610" eb="612">
      <t>カイコウ</t>
    </rPh>
    <rPh sb="639" eb="641">
      <t>リヨウ</t>
    </rPh>
    <rPh sb="649" eb="651">
      <t>ジュギョウ</t>
    </rPh>
    <rPh sb="652" eb="654">
      <t>ワリアイ</t>
    </rPh>
    <rPh sb="655" eb="656">
      <t>タカ</t>
    </rPh>
    <rPh sb="673" eb="676">
      <t>ブブントウ</t>
    </rPh>
    <rPh sb="689" eb="691">
      <t>ヒツヨウ</t>
    </rPh>
    <rPh sb="692" eb="693">
      <t>オウ</t>
    </rPh>
    <rPh sb="722" eb="724">
      <t>イジョウ</t>
    </rPh>
    <rPh sb="754" eb="755">
      <t>コマ</t>
    </rPh>
    <rPh sb="765" eb="766">
      <t>モウ</t>
    </rPh>
    <rPh sb="773" eb="774">
      <t>クワ</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</si>
  <si>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</si>
  <si>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r>
      <t>【国際経済学部】　　　　　　　　　　　　　　　　　　　　　　　　　　　　　　　　　　　　　　　　　　　　　　　　　　　　　　　　　　　　　　　　　　　　　　　　　　　　　　　現状、ほとんど全学生が履修している。今後とも現在行われている履修ガイダンス等での周知を引き続き徹底して行い、高い履修率を維持している。　　　　　　　　　　　　　　　　　　　　　　　　　　　　　　　　　　　　　　　　　　　　　　　　　　　　　　　　　　　　　【国際地域学部・人間生活学部】　　　　　　　　　　　　　　　　　　　　　　　　　　　　　　　　　　　　　　　　　　　　　　　　　　　　　　　　　　　　　　全学生が履修する１年次の「情報リテラシー」で本プログラムについて説明を行い、周知をはかるとともに、下記の取り組みを講じ、各年度の</t>
    </r>
    <r>
      <rPr>
        <sz val="12"/>
        <rFont val="ＭＳ Ｐゴシック"/>
        <family val="2"/>
        <charset val="128"/>
      </rPr>
      <t>目標</t>
    </r>
    <r>
      <rPr>
        <sz val="12"/>
        <rFont val="ＭＳ Ｐゴシック"/>
        <family val="2"/>
        <charset val="128"/>
        <scheme val="minor"/>
      </rPr>
      <t>とする履修者数確保に努める。
 ・新</t>
    </r>
    <r>
      <rPr>
        <sz val="12"/>
        <rFont val="Microsoft JhengHei UI"/>
        <family val="2"/>
        <charset val="134"/>
      </rPr>
      <t>⼊</t>
    </r>
    <r>
      <rPr>
        <sz val="12"/>
        <rFont val="ＭＳ Ｐゴシック"/>
        <family val="2"/>
        <charset val="128"/>
      </rPr>
      <t>生</t>
    </r>
    <r>
      <rPr>
        <sz val="12"/>
        <rFont val="ＭＳ Ｐゴシック"/>
        <family val="2"/>
        <charset val="128"/>
        <scheme val="minor"/>
      </rPr>
      <t>ガイダンスでの本プログラム周知
 ・１年次後期ガイダンス等での本プログラム周知
 ・オープンキャンパス・高校教員対象説明会等での</t>
    </r>
    <r>
      <rPr>
        <sz val="12"/>
        <rFont val="Microsoft JhengHei UI"/>
        <family val="2"/>
        <charset val="134"/>
      </rPr>
      <t>⼊</t>
    </r>
    <r>
      <rPr>
        <sz val="12"/>
        <rFont val="ＭＳ Ｐゴシック"/>
        <family val="2"/>
        <charset val="128"/>
        <scheme val="minor"/>
      </rPr>
      <t>学前からの説明会の開催
 ・スチューデントアシスタント等授業外学修</t>
    </r>
    <r>
      <rPr>
        <sz val="12"/>
        <rFont val="Microsoft JhengHei UI"/>
        <family val="2"/>
        <charset val="134"/>
      </rPr>
      <t>⽀</t>
    </r>
    <r>
      <rPr>
        <sz val="12"/>
        <rFont val="ＭＳ Ｐゴシック"/>
        <family val="2"/>
        <charset val="128"/>
        <scheme val="minor"/>
      </rPr>
      <t>援
 ・新科</t>
    </r>
    <r>
      <rPr>
        <sz val="12"/>
        <rFont val="Microsoft JhengHei UI"/>
        <family val="2"/>
        <charset val="134"/>
      </rPr>
      <t>⽬</t>
    </r>
    <r>
      <rPr>
        <sz val="12"/>
        <rFont val="ＭＳ Ｐゴシック"/>
        <family val="2"/>
        <charset val="128"/>
        <scheme val="minor"/>
      </rPr>
      <t>「データサイエンスリテラシー」を令和4年度開設
 ・本プログラム専</t>
    </r>
    <r>
      <rPr>
        <sz val="12"/>
        <rFont val="Microsoft JhengHei"/>
        <family val="2"/>
        <charset val="136"/>
      </rPr>
      <t>⽤</t>
    </r>
    <r>
      <rPr>
        <sz val="12"/>
        <rFont val="ＭＳ Ｐゴシック"/>
        <family val="2"/>
        <charset val="128"/>
        <scheme val="minor"/>
      </rPr>
      <t>WEBサイト等による学内外周知・情報提供</t>
    </r>
    <rPh sb="87" eb="89">
      <t>ゲンジョウ</t>
    </rPh>
    <rPh sb="98" eb="100">
      <t>リシュウ</t>
    </rPh>
    <rPh sb="105" eb="107">
      <t>コンゴ</t>
    </rPh>
    <rPh sb="109" eb="112">
      <t>ゲンザイオコナ</t>
    </rPh>
    <rPh sb="117" eb="119">
      <t>リシュウ</t>
    </rPh>
    <rPh sb="124" eb="125">
      <t>トウ</t>
    </rPh>
    <rPh sb="127" eb="129">
      <t>シュウチ</t>
    </rPh>
    <rPh sb="130" eb="131">
      <t>ヒ</t>
    </rPh>
    <rPh sb="132" eb="133">
      <t>ツヅ</t>
    </rPh>
    <rPh sb="134" eb="136">
      <t>テッテイ</t>
    </rPh>
    <rPh sb="138" eb="139">
      <t>オコナ</t>
    </rPh>
    <rPh sb="141" eb="142">
      <t>タカ</t>
    </rPh>
    <rPh sb="143" eb="146">
      <t>リシュウリツ</t>
    </rPh>
    <rPh sb="147" eb="149">
      <t>イジ</t>
    </rPh>
    <rPh sb="356" eb="358">
      <t>モクヒョウ</t>
    </rPh>
    <rPh sb="377" eb="378">
      <t>セイ</t>
    </rPh>
    <phoneticPr fontId="1"/>
  </si>
  <si>
    <t>⑦</t>
    <phoneticPr fontId="1"/>
  </si>
  <si>
    <t>できる限り多くの学生が履修・修得できるようなサポート体制</t>
    <rPh sb="26" eb="28">
      <t>タイセイ</t>
    </rPh>
    <phoneticPr fontId="1"/>
  </si>
  <si>
    <t>以下のような取り組みを行うことにより、希望する学生全員が受講可能となるようにする。　　　　　　　　　　　　　　　　　　　　　　　　　　　　　　　　　　　　　　　　　　　　　　　　　　　　　　　　　　・「統計分析入門」については、必要に応じて対面型授業と同時に授業を他教室に配信するハイブリッド型授業とし、希望する学生が受講できるようにする。実習等に関しては、詳しい説明スライド・動画等をLMSに掲載し、またSAが補助をする形として、きめ細かな指導ができるようにする。　　　　　　　　　　　　　　　　　　　　　　　　　　　　　　　　　　　　　　　　　　　　　　　・今年度から新たに開講する「データサイエンスリテラシー」については、ビデオを利用したオンデマンド授業の割合を高くする。さらに、イントロダクション部分等のを対面型授業についても、必要に応じて同時に授業を他教室に配信するハイブリッド型授業とする。以上により、希望する学生が受講できるようにする。実習等に関しては細かいクラスをいくつか設けるとともに、詳しい説明スライド・動画等をLMSに掲載し、またSAが補助をする形として、きめ細かな指導ができるようにする。・「統計分析入門」については、必要に応じて対面型授業と同時に授業を他教室に配信するハイブリッド型授業とし、希望する学生が受講できるようにする。実習等に関しては、詳しい説明スライド・動画等をLMSに掲載し、またSAが補助をする形として、きめ細かな指導ができるようにする　　　　　　　　　　　　　　　　　　　　　　　　　　　　　　　　　　　　　　　　　　　　　　　・「情報システムと倫理」「データサイエンスの基礎」については、必要に応じて同時に授業を他教室に配信するハイブリッド型授業とすることにより、希望する学生が受講できるようにする。</t>
    <rPh sb="688" eb="690">
      <t>ジョウホウ</t>
    </rPh>
    <rPh sb="695" eb="697">
      <t>リンリ</t>
    </rPh>
    <rPh sb="708" eb="710">
      <t>キソ</t>
    </rPh>
    <phoneticPr fontId="1"/>
  </si>
  <si>
    <t>授業時間内外で学習指導、質問を受け付ける具体的な仕組み</t>
    <rPh sb="20" eb="23">
      <t>グタイテキ</t>
    </rPh>
    <phoneticPr fontId="1"/>
  </si>
  <si>
    <t>・各担当教員のオフィスアワーにおいて、質問を受けるとともに、必要に応じて学習指導を行う。　　　　　　　　　　　　　　　　　　　　　　　　　　　　　　　　　　　　　　　　　　　　　　　　　　　　　　　　　・優秀な学生をSA（スチューデントアシスタント）として雇用し、授業時間内における補佐のほかに、時間外で受講生への実習や課題を中心として質問を受け、回答やアドバイスを行う。　　　　　　　　　　　　　　　　　　　　　　　　　　　　　　　　　　　　　　　　　　　　　　　　　　　　　　　　　　　　　　　　　　　　　　　　　　　　　　　　　　　　　　　　　　・PCの操作等については、操作法についてのスライド・ビデオe-ラーニング教材等をLMS上で公開する。　　　　　　　　　　　　　　　　　　　　　　　　　　　　　　　　　　　　　　　　　　　　　　　　　　　　                                     　・頻繁にある質問については、質問とその回答をFAQにまとめ、WEB上に公開する。　　　　　　　　　　　　　　　　　　　　　　　　　　　　　　　　　　　　　　　　　　　　　　　　　　　　　　　　　　　　　　</t>
    <rPh sb="1" eb="2">
      <t>カク</t>
    </rPh>
    <rPh sb="2" eb="6">
      <t>タントウキョウイン</t>
    </rPh>
    <rPh sb="19" eb="21">
      <t>シツモン</t>
    </rPh>
    <rPh sb="22" eb="23">
      <t>ウ</t>
    </rPh>
    <rPh sb="30" eb="32">
      <t>ヒツヨウ</t>
    </rPh>
    <rPh sb="33" eb="34">
      <t>オウ</t>
    </rPh>
    <rPh sb="36" eb="38">
      <t>ガクシュウ</t>
    </rPh>
    <rPh sb="38" eb="40">
      <t>シドウ</t>
    </rPh>
    <rPh sb="41" eb="42">
      <t>オコナ</t>
    </rPh>
    <rPh sb="102" eb="104">
      <t>ユウシュウ</t>
    </rPh>
    <rPh sb="105" eb="107">
      <t>ガクセイ</t>
    </rPh>
    <rPh sb="128" eb="130">
      <t>コヨウ</t>
    </rPh>
    <rPh sb="132" eb="134">
      <t>ジュギョウ</t>
    </rPh>
    <rPh sb="136" eb="137">
      <t>ナイ</t>
    </rPh>
    <rPh sb="141" eb="143">
      <t>ホサ</t>
    </rPh>
    <rPh sb="148" eb="151">
      <t>ジカンガイ</t>
    </rPh>
    <rPh sb="152" eb="155">
      <t>ジュコウセイ</t>
    </rPh>
    <rPh sb="157" eb="159">
      <t>ジッシュウ</t>
    </rPh>
    <rPh sb="160" eb="162">
      <t>カダイ</t>
    </rPh>
    <rPh sb="163" eb="165">
      <t>チュウシン</t>
    </rPh>
    <rPh sb="168" eb="170">
      <t>シツモン</t>
    </rPh>
    <rPh sb="171" eb="172">
      <t>ウ</t>
    </rPh>
    <rPh sb="174" eb="176">
      <t>カイトウ</t>
    </rPh>
    <rPh sb="183" eb="184">
      <t>オコナ</t>
    </rPh>
    <rPh sb="280" eb="283">
      <t>ソウサトウ</t>
    </rPh>
    <rPh sb="289" eb="292">
      <t>ソウサホウ</t>
    </rPh>
    <rPh sb="312" eb="314">
      <t>キョウザイ</t>
    </rPh>
    <rPh sb="314" eb="315">
      <t>トウ</t>
    </rPh>
    <rPh sb="319" eb="320">
      <t>ジョウ</t>
    </rPh>
    <rPh sb="321" eb="323">
      <t>コウカイ</t>
    </rPh>
    <rPh sb="417" eb="419">
      <t>ヒンパン</t>
    </rPh>
    <rPh sb="422" eb="424">
      <t>シツモン</t>
    </rPh>
    <rPh sb="430" eb="432">
      <t>シツモン</t>
    </rPh>
    <rPh sb="435" eb="437">
      <t>カイトウ</t>
    </rPh>
    <rPh sb="449" eb="450">
      <t>ジョウ</t>
    </rPh>
    <rPh sb="451" eb="453">
      <t>コウカイ</t>
    </rPh>
    <phoneticPr fontId="1"/>
  </si>
  <si>
    <t>　　　　　　　　　　　　　　　　　　　　　　　　　　　　　　　　　　　　　　　　　　　　　　　　　　　　　　　　　　　　　　　　　　　　　　　　　</t>
    <phoneticPr fontId="1"/>
  </si>
  <si>
    <t>様式５</t>
    <rPh sb="0" eb="2">
      <t>ヨウシキ</t>
    </rPh>
    <phoneticPr fontId="1"/>
  </si>
  <si>
    <t>自己点検・評価について</t>
    <rPh sb="0" eb="2">
      <t>ジコ</t>
    </rPh>
    <rPh sb="2" eb="4">
      <t>テンケン</t>
    </rPh>
    <rPh sb="5" eb="7">
      <t>ヒョウカ</t>
    </rPh>
    <phoneticPr fontId="1"/>
  </si>
  <si>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</si>
  <si>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</si>
  <si>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</si>
  <si>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</si>
  <si>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</si>
  <si>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r>
      <t>令和２年度の履修者数は102名、令和3年度の履修者数は104名であり、申請書の定義による履修率は14％である。履修者の所属学部は国際経済学部、国際地域学部の2学部であり、人間生活学部の履修者はいなかった。
国際経済学部の申請書の定義による履修率は53％であるが、同学部は令和2年度新設であり、学年進行を考慮した収容定員は半数の180名であり、ほとんど全学生が履修している。　　　　　　　　　　　　　　　　　　　　　　　　　　　　　　　　　　　　　　　　　　　　　　　　　　　　　　　　　　　　　　　　　　　　　　国際経済学部以外の履修者の増加については、人間生活学部は資格試験との関係で必要単位数が非常に多く、履修者の増加には限界がある。履修者の大きな増加の余地があると考えられるのは国際地域学部であり、今後は本プログラムについての積極的な情報提供を通じて、各年度の</t>
    </r>
    <r>
      <rPr>
        <sz val="12"/>
        <rFont val="Microsoft JhengHei UI"/>
        <family val="3"/>
        <charset val="134"/>
      </rPr>
      <t>⽬</t>
    </r>
    <r>
      <rPr>
        <sz val="12"/>
        <rFont val="ＭＳ Ｐゴシック"/>
        <family val="3"/>
        <charset val="128"/>
        <scheme val="minor"/>
      </rPr>
      <t>標とする履修者数確保に努める。</t>
    </r>
    <rPh sb="0" eb="2">
      <t>レイワ</t>
    </rPh>
    <rPh sb="3" eb="5">
      <t>ネンド</t>
    </rPh>
    <rPh sb="6" eb="10">
      <t>リシュウシャスウ</t>
    </rPh>
    <rPh sb="14" eb="15">
      <t>メイ</t>
    </rPh>
    <rPh sb="160" eb="162">
      <t>ハンスウ</t>
    </rPh>
    <rPh sb="166" eb="167">
      <t>メイ</t>
    </rPh>
    <rPh sb="265" eb="268">
      <t>リシュウシャ</t>
    </rPh>
    <rPh sb="269" eb="271">
      <t>ゾウカ</t>
    </rPh>
    <rPh sb="323" eb="324">
      <t>オオ</t>
    </rPh>
    <rPh sb="335" eb="336">
      <t>カンガ</t>
    </rPh>
    <rPh sb="352" eb="354">
      <t>コンゴ</t>
    </rPh>
    <phoneticPr fontId="1"/>
  </si>
  <si>
    <t>学修成果</t>
    <rPh sb="0" eb="2">
      <t>ガクシュウ</t>
    </rPh>
    <rPh sb="2" eb="4">
      <t>セイカ</t>
    </rPh>
    <phoneticPr fontId="1"/>
  </si>
  <si>
    <t>授業評価アンケートの「私はこの授業を通して、新しい知識を得たり、新しい技能を身につけることができた」という項目に対する回答（５段階評価）の平均は4.5程度であり、他の講義とほぼ同じではあるが、高い評価であると判断できる。</t>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</si>
  <si>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</si>
  <si>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観点2〕と重複する面はあるが、授業評価アンケートの「私はこの授業の目的や目標を理解して、受講中にこれらを意識して学ぶことができた」「私はこの授業を通して、自分の能力（思考力、判断力、表現力など）を高めることができた」「私はこの授業を通して、新しい知識を得たり、新しい技能を身につけることができた」の3つの項目の回答（５段階評価）の平均はいずれも4.5前後であり、他の授業とほぼ同じではあるが、高い評価であり、学生の理解度も高いと判断できる。</t>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</si>
  <si>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</si>
  <si>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本学の授業評価アンケートでは他の学生の推奨度に関する設問がなく、確認できていない。今後、本プログラム履修者を対象としたアンケートを行う際に、他学生への推奨度に関する設問を追加して行うこととする。</t>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</si>
  <si>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</si>
  <si>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r>
      <t>全学生が履修する１年次の「情報リテラシー」で本プログラムについて説明を行い、周知をはかるとともに、下記の取り組みを講じ、各年度の</t>
    </r>
    <r>
      <rPr>
        <sz val="12"/>
        <rFont val="Microsoft JhengHei UI"/>
        <family val="3"/>
        <charset val="134"/>
      </rPr>
      <t>⽬</t>
    </r>
    <r>
      <rPr>
        <sz val="12"/>
        <rFont val="ＭＳ Ｐゴシック"/>
        <family val="3"/>
        <charset val="128"/>
        <scheme val="minor"/>
      </rPr>
      <t>標とする履修者数確保に努める。
 ・新</t>
    </r>
    <r>
      <rPr>
        <sz val="12"/>
        <rFont val="Microsoft JhengHei"/>
        <family val="2"/>
        <charset val="136"/>
      </rPr>
      <t>⼊⽣</t>
    </r>
    <r>
      <rPr>
        <sz val="12"/>
        <rFont val="ＭＳ Ｐゴシック"/>
        <family val="3"/>
        <charset val="128"/>
        <scheme val="minor"/>
      </rPr>
      <t>ガイダンスでの本プログラム周知　　・１年次後期ガイダンス等での本プログラム周知
 ・オープンキャンパス・高校教員対象説明会等での</t>
    </r>
    <r>
      <rPr>
        <sz val="12"/>
        <rFont val="Microsoft JhengHei UI"/>
        <family val="3"/>
        <charset val="134"/>
      </rPr>
      <t>⼊</t>
    </r>
    <r>
      <rPr>
        <sz val="12"/>
        <rFont val="ＭＳ Ｐゴシック"/>
        <family val="3"/>
        <charset val="128"/>
        <scheme val="minor"/>
      </rPr>
      <t>学前からの説明会の開催
 ・スチューデントアシスタント等授業外学修</t>
    </r>
    <r>
      <rPr>
        <sz val="12"/>
        <rFont val="Microsoft JhengHei"/>
        <family val="2"/>
        <charset val="136"/>
      </rPr>
      <t>⽀</t>
    </r>
    <r>
      <rPr>
        <sz val="12"/>
        <rFont val="ＭＳ Ｐゴシック"/>
        <family val="3"/>
        <charset val="128"/>
        <scheme val="minor"/>
      </rPr>
      <t>援
 ・新科</t>
    </r>
    <r>
      <rPr>
        <sz val="12"/>
        <rFont val="Microsoft JhengHei"/>
        <family val="2"/>
        <charset val="136"/>
      </rPr>
      <t>⽬</t>
    </r>
    <r>
      <rPr>
        <sz val="12"/>
        <rFont val="ＭＳ Ｐゴシック"/>
        <family val="3"/>
        <charset val="128"/>
        <scheme val="minor"/>
      </rPr>
      <t>「データサイエンスリテラシー」を令和4年度開設
 ・本プログラム専</t>
    </r>
    <r>
      <rPr>
        <sz val="12"/>
        <rFont val="Microsoft JhengHei"/>
        <family val="2"/>
        <charset val="136"/>
      </rPr>
      <t>⽤</t>
    </r>
    <r>
      <rPr>
        <sz val="12"/>
        <rFont val="ＭＳ Ｐゴシック"/>
        <family val="3"/>
        <charset val="128"/>
        <scheme val="minor"/>
      </rPr>
      <t>WEBサイト等による学内外周知・情報提供</t>
    </r>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</si>
  <si>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</si>
  <si>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</si>
  <si>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本プログラムは、令和3年度からスタートしたばかりであり、現段階では本プログラム修了者の中で卒業したものがいないため、進路や企業等の評価は確認できない。卒業者が出た時点で、就職先企業等を対象としたアンケートを行うことを計画している。</t>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</si>
  <si>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</si>
  <si>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本学主催の企業等の実務家対象のデータサイエンス研究会への参加者へアンケートによって、産業界からの意見をうかがっている。
企業の実務家からの意見としては、学生に興味を抱かせるために、リテラシーレベルでは「社会的技術的な背景と将来の社会像」「データを活用した新しいビジネス/サービスやビジネスモデルの紹介」に重点を置くべきという指摘を頂いている。また、リテラシーレベルで教えるスキルとしては、現行の統計分析入門の中で扱っている「データの集計、並び替え、ランキング」、「データの代表値と散らばり」、「データの視覚化」まででよいという意見が多かったが、「回帰分析」までは教えた方がよいという意見も複数あった。また、リテラシーレベルではプログラミング教育は現状では必要ないという意見が大多数だが、今後の高校での情報教育の変革を受けて、将来的には導入を検討すべきという意見もあった。
このような企業の実務家からの意見に基づき、「社会的技術的な背景と将来の社会像」「データを活用した新しいビジネス/サービスやビジネスモデルの紹介」により重点を置き、「回帰分析」までを扱う新たな講義「データサイエンスリテラシー」を平成4年度から開設する。</t>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</si>
  <si>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</si>
  <si>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観点3〕と一部重複する面があるが、授業評価アンケートの「私はこの授業の目的や目標を理解して、受講中にこれらを意識して学ぶことができた。」、「私はこの授業に積極的、主体的に参加し、（課題や試験を含めて）真剣に取り組んだ。」「この授業に満足できた。」の3つの項目の回答（５段階評価）の平均はいずれも4.5前後であり、他の授業とほぼ同じではあるが、高い評価であり、学生は「学ぶ楽しさ」「学ぶことの意義」に対する理解があると判断できる。
　ただし、授業評価アンケートの「この科目をさらに専門的に学びたい。」に対しての回答（５段階評価）の平均は3.5前後であり、他の授業より大幅に低くなっている。令和４年度から導入する新たな科目「データサイエンスリテラシー」では、専門におけるデータサイエンス関連科目に興味を抱かせるような内容の工夫を行うこととする。</t>
    <rPh sb="283" eb="285">
      <t>オオハバ</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</si>
  <si>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</si>
  <si>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授業評価アンケートの「担当教員の伝え方（話し方、資料の表現方法、進めるスピード等）は適当だった」、「担当教員は学生が授業を理解できるよう充分な支援をおこなっていた」、「授業で使用された教材（テキスト、配布資料、視聴覚教材など）は、授業の内容を理解するのに効果的だった」、「この授業の難易度は適切だった」の4つの項目の回答（５段階評価）の平均はいずれも4.5前後であり、他の授業とほぼ同じではあるが、高い評価であり、「分かりやすい」授業となっていると判断できる。</t>
    <phoneticPr fontId="1"/>
  </si>
  <si>
    <t>②自己点検・評価体制における意見等を公表しているアドレス</t>
    <phoneticPr fontId="1"/>
  </si>
  <si>
    <t>https://www.unii.ac.jp/DataScienceProgram/doc/UNP-DS-Eval2021.pdf</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</si>
</sst>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7">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2"/>
      <charset val="128"/>
      <scheme val="minor"/>
    </font>
    <font>
      <u/>
      <sz val="11"/>
      <color rgb="FFFF0000"/>
      <name val="ＭＳ Ｐゴシック"/>
      <family val="2"/>
      <charset val="128"/>
      <scheme val="minor"/>
    </font>
    <font>
      <sz val="9"/>
      <color rgb="FFFF0000"/>
      <name val="ＭＳ Ｐゴシック"/>
      <family val="3"/>
      <charset val="128"/>
      <scheme val="minor"/>
    </font>
    <font>
      <sz val="11"/>
      <color theme="1"/>
      <name val="ＭＳ Ｐゴシック"/>
      <family val="3"/>
      <charset val="128"/>
      <scheme val="minor"/>
    </font>
    <font>
      <sz val="13"/>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2"/>
      <charset val="128"/>
      <scheme val="minor"/>
    </font>
    <font>
      <sz val="11"/>
      <name val="ＭＳ Ｐゴシック"/>
      <family val="3"/>
      <charset val="128"/>
      <scheme val="minor"/>
    </font>
    <font>
      <sz val="8"/>
      <name val="ＭＳ Ｐゴシック"/>
      <family val="3"/>
      <charset val="128"/>
      <scheme val="minor"/>
    </font>
    <font>
      <sz val="12"/>
      <name val="Microsoft JhengHei UI"/>
      <family val="2"/>
      <charset val="134"/>
    </font>
    <font>
      <sz val="12"/>
      <name val="Microsoft JhengHei UI"/>
      <family val="3"/>
      <charset val="134"/>
    </font>
    <font>
      <sz val="12"/>
      <name val="Microsoft JhengHei"/>
      <family val="2"/>
      <charset val="136"/>
    </font>
    <font>
      <sz val="12"/>
      <name val="ＭＳ Ｐゴシック"/>
      <family val="2"/>
      <charset val="128"/>
    </font>
  </fonts>
  <fills count="2">
    <fill>
      <patternFill patternType="none"/>
    </fill>
    <fill>
      <patternFill patternType="gray125"/>
    </fill>
  </fills>
  <borders count="5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s>
  <cellStyleXfs count="3">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cellStyleXfs>
  <cellXfs count="306">
    <xf numFmtId="0" fontId="0" fillId="0" borderId="0" xfId="0">
      <alignment vertical="center"/>
    </xf>
    <xf numFmtId="0" fontId="2" fillId="0" borderId="0" xfId="0" applyFont="1">
      <alignment vertical="center"/>
    </xf>
    <xf numFmtId="0" fontId="4" fillId="0" borderId="0" xfId="0" applyFont="1">
      <alignment vertical="center"/>
    </xf>
    <xf numFmtId="0" fontId="2" fillId="0" borderId="5" xfId="0" applyFont="1" applyBorder="1">
      <alignment vertical="center"/>
    </xf>
    <xf numFmtId="0" fontId="3" fillId="0" borderId="0" xfId="0" applyFont="1">
      <alignment vertical="center"/>
    </xf>
    <xf numFmtId="0" fontId="5" fillId="0" borderId="10" xfId="0" applyFont="1" applyBorder="1" applyAlignment="1">
      <alignment vertical="top" wrapText="1"/>
    </xf>
    <xf numFmtId="0" fontId="4" fillId="0" borderId="5" xfId="0" applyFont="1" applyBorder="1" applyAlignment="1">
      <alignment vertical="top" wrapText="1"/>
    </xf>
    <xf numFmtId="0" fontId="4" fillId="0" borderId="10" xfId="0" applyFont="1" applyBorder="1" applyAlignment="1">
      <alignment vertical="top" wrapText="1"/>
    </xf>
    <xf numFmtId="0" fontId="4" fillId="0" borderId="18" xfId="0" applyFont="1" applyBorder="1" applyAlignment="1">
      <alignment vertical="top" wrapText="1"/>
    </xf>
    <xf numFmtId="0" fontId="2" fillId="0" borderId="16" xfId="0" applyFont="1" applyBorder="1">
      <alignment vertical="center"/>
    </xf>
    <xf numFmtId="176" fontId="8" fillId="0" borderId="0" xfId="0" applyNumberFormat="1" applyFont="1" applyBorder="1">
      <alignment vertical="center"/>
    </xf>
    <xf numFmtId="176" fontId="8" fillId="0" borderId="3" xfId="0" applyNumberFormat="1" applyFont="1" applyBorder="1" applyAlignment="1">
      <alignment vertical="center" shrinkToFit="1"/>
    </xf>
    <xf numFmtId="0" fontId="8" fillId="0" borderId="0" xfId="0" applyFont="1" applyBorder="1" applyAlignment="1">
      <alignment horizontal="center" vertical="center" shrinkToFit="1"/>
    </xf>
    <xf numFmtId="0" fontId="9" fillId="0" borderId="0" xfId="0" applyFont="1">
      <alignment vertical="center"/>
    </xf>
    <xf numFmtId="0" fontId="8" fillId="0" borderId="0" xfId="0" applyFont="1">
      <alignment vertical="center"/>
    </xf>
    <xf numFmtId="0" fontId="8" fillId="0" borderId="0" xfId="0" applyFont="1" applyAlignment="1">
      <alignment vertical="center"/>
    </xf>
    <xf numFmtId="0" fontId="8" fillId="0" borderId="0" xfId="0" applyFont="1" applyAlignment="1">
      <alignment horizontal="left" vertical="center"/>
    </xf>
    <xf numFmtId="0" fontId="8" fillId="0" borderId="0" xfId="0" applyFont="1" applyBorder="1" applyAlignment="1">
      <alignment vertical="center"/>
    </xf>
    <xf numFmtId="0" fontId="8" fillId="0" borderId="5" xfId="0" applyFont="1" applyBorder="1">
      <alignment vertical="center"/>
    </xf>
    <xf numFmtId="176" fontId="8" fillId="0" borderId="0" xfId="0" applyNumberFormat="1" applyFont="1" applyBorder="1" applyAlignment="1">
      <alignment vertical="center" wrapText="1"/>
    </xf>
    <xf numFmtId="0" fontId="8" fillId="0" borderId="0" xfId="0" applyFont="1" applyBorder="1">
      <alignment vertical="center"/>
    </xf>
    <xf numFmtId="176" fontId="8" fillId="0" borderId="5" xfId="0" applyNumberFormat="1" applyFont="1" applyBorder="1" applyAlignment="1">
      <alignment vertical="center"/>
    </xf>
    <xf numFmtId="176" fontId="8" fillId="0" borderId="0" xfId="0" applyNumberFormat="1" applyFont="1" applyAlignment="1">
      <alignment vertical="center" wrapText="1"/>
    </xf>
    <xf numFmtId="176" fontId="8" fillId="0" borderId="0" xfId="0" applyNumberFormat="1" applyFont="1" applyAlignment="1">
      <alignment horizontal="left" vertical="center" wrapText="1"/>
    </xf>
    <xf numFmtId="0" fontId="8" fillId="0" borderId="6" xfId="0" applyFont="1" applyBorder="1" applyAlignment="1">
      <alignment vertical="center" shrinkToFit="1"/>
    </xf>
    <xf numFmtId="0" fontId="8" fillId="0" borderId="1" xfId="0" applyFont="1" applyBorder="1">
      <alignment vertical="center"/>
    </xf>
    <xf numFmtId="0" fontId="8" fillId="0" borderId="2" xfId="0" applyFont="1" applyBorder="1">
      <alignment vertical="center"/>
    </xf>
    <xf numFmtId="0" fontId="8" fillId="0" borderId="4" xfId="0" applyFont="1" applyBorder="1">
      <alignment vertical="center"/>
    </xf>
    <xf numFmtId="0" fontId="4" fillId="0" borderId="20" xfId="0" applyFont="1" applyBorder="1" applyAlignment="1">
      <alignment vertical="top" wrapText="1"/>
    </xf>
    <xf numFmtId="0" fontId="8" fillId="0" borderId="0" xfId="0" applyFont="1" applyAlignment="1">
      <alignment horizontal="center" vertical="center"/>
    </xf>
    <xf numFmtId="0" fontId="8" fillId="0" borderId="1" xfId="0" applyFont="1" applyBorder="1" applyAlignment="1">
      <alignment vertical="center" shrinkToFit="1"/>
    </xf>
    <xf numFmtId="0" fontId="10" fillId="0" borderId="0" xfId="0" applyFont="1">
      <alignment vertical="center"/>
    </xf>
    <xf numFmtId="0" fontId="12" fillId="0" borderId="20" xfId="0" applyFont="1" applyBorder="1" applyAlignment="1">
      <alignment vertical="top" shrinkToFit="1"/>
    </xf>
    <xf numFmtId="0" fontId="12" fillId="0" borderId="18" xfId="0" applyFont="1" applyBorder="1" applyAlignment="1">
      <alignment vertical="top" shrinkToFit="1"/>
    </xf>
    <xf numFmtId="0" fontId="13" fillId="0" borderId="0" xfId="0" applyFont="1">
      <alignment vertical="center"/>
    </xf>
    <xf numFmtId="0" fontId="10" fillId="0" borderId="0" xfId="0" applyFont="1" applyAlignment="1">
      <alignment vertical="center"/>
    </xf>
    <xf numFmtId="0" fontId="4" fillId="0" borderId="0" xfId="0" applyFont="1" applyAlignment="1">
      <alignment vertical="top" wrapText="1"/>
    </xf>
    <xf numFmtId="0" fontId="5" fillId="0" borderId="0" xfId="0" applyFont="1" applyAlignment="1">
      <alignment vertical="top" wrapText="1"/>
    </xf>
    <xf numFmtId="0" fontId="17" fillId="0" borderId="11" xfId="0" applyFont="1" applyBorder="1" applyAlignment="1">
      <alignment horizontal="center" vertical="center"/>
    </xf>
    <xf numFmtId="0" fontId="17" fillId="0" borderId="29" xfId="0" applyFont="1" applyBorder="1" applyAlignment="1">
      <alignment horizontal="center" vertical="center" wrapText="1"/>
    </xf>
    <xf numFmtId="0" fontId="17" fillId="0" borderId="30" xfId="0" applyFont="1" applyBorder="1" applyAlignment="1">
      <alignment horizontal="center" vertical="center"/>
    </xf>
    <xf numFmtId="0" fontId="17" fillId="0" borderId="12" xfId="0" applyFont="1" applyBorder="1" applyAlignment="1">
      <alignment horizontal="center" vertical="center" wrapText="1"/>
    </xf>
    <xf numFmtId="0" fontId="3" fillId="0" borderId="0" xfId="0" applyFont="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1" xfId="0" applyNumberFormat="1" applyFont="1" applyBorder="1" applyAlignment="1">
      <alignment vertical="center" shrinkToFit="1"/>
    </xf>
    <xf numFmtId="176" fontId="3" fillId="0" borderId="32"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0" fontId="3" fillId="0" borderId="18" xfId="0" applyFont="1" applyBorder="1" applyAlignment="1">
      <alignment vertical="center" shrinkToFit="1"/>
    </xf>
    <xf numFmtId="0" fontId="3" fillId="0" borderId="19" xfId="0" applyFont="1" applyBorder="1" applyAlignment="1">
      <alignment vertical="center" shrinkToFit="1"/>
    </xf>
    <xf numFmtId="176" fontId="3" fillId="0" borderId="19"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8" xfId="0" applyNumberFormat="1" applyFont="1" applyBorder="1" applyAlignment="1">
      <alignment vertical="center" shrinkToFit="1"/>
    </xf>
    <xf numFmtId="176" fontId="3" fillId="0" borderId="23" xfId="0" applyNumberFormat="1" applyFont="1" applyBorder="1" applyAlignment="1">
      <alignment vertical="center" shrinkToFit="1"/>
    </xf>
    <xf numFmtId="9" fontId="3" fillId="0" borderId="23" xfId="0" applyNumberFormat="1" applyFont="1" applyBorder="1" applyAlignment="1">
      <alignment vertical="center" shrinkToFit="1"/>
    </xf>
    <xf numFmtId="0" fontId="3" fillId="0" borderId="20" xfId="0" applyFont="1" applyBorder="1" applyAlignment="1">
      <alignment vertical="center" shrinkToFit="1"/>
    </xf>
    <xf numFmtId="176" fontId="3" fillId="0" borderId="24" xfId="0" applyNumberFormat="1" applyFont="1" applyBorder="1" applyAlignment="1">
      <alignment vertical="center" shrinkToFit="1"/>
    </xf>
    <xf numFmtId="0" fontId="3" fillId="0" borderId="25" xfId="0" applyFont="1" applyBorder="1" applyAlignment="1">
      <alignment vertical="center" shrinkToFit="1"/>
    </xf>
    <xf numFmtId="176" fontId="3" fillId="0" borderId="25"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27" xfId="0" applyNumberFormat="1" applyFont="1" applyBorder="1" applyAlignment="1">
      <alignment vertical="center" shrinkToFit="1"/>
    </xf>
    <xf numFmtId="176" fontId="3" fillId="0" borderId="28" xfId="0" applyNumberFormat="1" applyFont="1" applyBorder="1" applyAlignment="1">
      <alignment vertical="center" shrinkToFit="1"/>
    </xf>
    <xf numFmtId="9" fontId="3" fillId="0" borderId="27" xfId="0" applyNumberFormat="1" applyFont="1" applyBorder="1" applyAlignment="1">
      <alignment vertical="center" shrinkToFit="1"/>
    </xf>
    <xf numFmtId="0" fontId="8" fillId="0" borderId="0" xfId="0" applyFont="1" applyFill="1">
      <alignment vertical="center"/>
    </xf>
    <xf numFmtId="0" fontId="8" fillId="0" borderId="10" xfId="0" applyFont="1" applyBorder="1" applyAlignment="1">
      <alignment vertical="center" shrinkToFit="1"/>
    </xf>
    <xf numFmtId="49" fontId="19" fillId="0" borderId="1" xfId="0" applyNumberFormat="1" applyFont="1" applyBorder="1" applyAlignment="1">
      <alignment horizontal="center" vertical="center"/>
    </xf>
    <xf numFmtId="0" fontId="8" fillId="0" borderId="0" xfId="0" applyFont="1" applyAlignment="1">
      <alignment vertical="center" shrinkToFit="1"/>
    </xf>
    <xf numFmtId="0" fontId="8" fillId="0" borderId="0" xfId="0" applyFont="1" applyAlignment="1">
      <alignment vertical="top" wrapText="1"/>
    </xf>
    <xf numFmtId="0" fontId="9" fillId="0" borderId="2" xfId="0" applyFont="1" applyBorder="1">
      <alignment vertical="center"/>
    </xf>
    <xf numFmtId="0" fontId="9" fillId="0" borderId="4" xfId="0" applyFont="1" applyBorder="1">
      <alignment vertical="center"/>
    </xf>
    <xf numFmtId="49" fontId="19" fillId="0" borderId="47" xfId="0" applyNumberFormat="1" applyFont="1" applyBorder="1" applyAlignment="1">
      <alignment horizontal="center" vertical="center"/>
    </xf>
    <xf numFmtId="49" fontId="19" fillId="0" borderId="33" xfId="0" applyNumberFormat="1" applyFont="1" applyBorder="1" applyAlignment="1">
      <alignment horizontal="center" vertical="center"/>
    </xf>
    <xf numFmtId="49" fontId="19" fillId="0" borderId="50" xfId="0" applyNumberFormat="1" applyFont="1" applyBorder="1" applyAlignment="1">
      <alignment horizontal="center" vertical="center"/>
    </xf>
    <xf numFmtId="0" fontId="8" fillId="0" borderId="44" xfId="0" applyFont="1" applyBorder="1" applyAlignment="1">
      <alignment horizontal="center" vertical="center" shrinkToFit="1"/>
    </xf>
    <xf numFmtId="0" fontId="8" fillId="0" borderId="45" xfId="0" applyFont="1" applyBorder="1" applyAlignment="1">
      <alignment horizontal="center" vertical="center" shrinkToFit="1"/>
    </xf>
    <xf numFmtId="49" fontId="19" fillId="0" borderId="51" xfId="0" applyNumberFormat="1" applyFont="1" applyBorder="1" applyAlignment="1">
      <alignment horizontal="center" vertical="center"/>
    </xf>
    <xf numFmtId="0" fontId="3" fillId="0" borderId="0" xfId="0" applyFont="1" applyAlignment="1">
      <alignment horizontal="left" vertical="center"/>
    </xf>
    <xf numFmtId="0" fontId="3" fillId="0" borderId="14" xfId="0" applyFont="1" applyBorder="1" applyAlignment="1">
      <alignment horizontal="left" vertical="center" shrinkToFit="1"/>
    </xf>
    <xf numFmtId="0" fontId="3" fillId="0" borderId="23" xfId="0" applyFont="1" applyBorder="1" applyAlignment="1">
      <alignment horizontal="left" vertical="center" shrinkToFit="1"/>
    </xf>
    <xf numFmtId="0" fontId="3" fillId="0" borderId="24" xfId="0" applyFont="1" applyBorder="1" applyAlignment="1">
      <alignment horizontal="left" vertical="center" shrinkToFit="1"/>
    </xf>
    <xf numFmtId="0" fontId="3" fillId="0" borderId="10" xfId="0" applyFont="1" applyBorder="1" applyAlignment="1">
      <alignment vertical="center" shrinkToFit="1"/>
    </xf>
    <xf numFmtId="0" fontId="3" fillId="0" borderId="28" xfId="0" applyFont="1" applyBorder="1" applyAlignment="1">
      <alignment horizontal="center" vertical="center" shrinkToFit="1"/>
    </xf>
    <xf numFmtId="0" fontId="3" fillId="0" borderId="26" xfId="0" applyFont="1" applyBorder="1" applyAlignment="1">
      <alignment vertical="center" shrinkToFit="1"/>
    </xf>
    <xf numFmtId="0" fontId="3" fillId="0" borderId="0" xfId="0" applyFont="1" applyAlignment="1">
      <alignment vertical="top" wrapText="1"/>
    </xf>
    <xf numFmtId="0" fontId="3" fillId="0" borderId="0" xfId="0" applyFont="1" applyAlignment="1">
      <alignment vertical="center" wrapText="1"/>
    </xf>
    <xf numFmtId="0" fontId="8" fillId="0" borderId="7" xfId="0" applyFont="1" applyBorder="1" applyAlignment="1">
      <alignment horizontal="center" vertical="center" wrapText="1" shrinkToFit="1"/>
    </xf>
    <xf numFmtId="9" fontId="8" fillId="0" borderId="8" xfId="0" applyNumberFormat="1" applyFont="1" applyBorder="1" applyAlignment="1">
      <alignment horizontal="center" vertical="center" wrapText="1" shrinkToFit="1"/>
    </xf>
    <xf numFmtId="0" fontId="8" fillId="0" borderId="8" xfId="0" applyFont="1" applyBorder="1" applyAlignment="1">
      <alignment horizontal="center" vertical="center" wrapText="1" shrinkToFit="1"/>
    </xf>
    <xf numFmtId="9" fontId="8" fillId="0" borderId="8" xfId="0" applyNumberFormat="1" applyFont="1" applyBorder="1" applyAlignment="1">
      <alignment horizontal="center" vertical="center" shrinkToFit="1"/>
    </xf>
    <xf numFmtId="0" fontId="8" fillId="0" borderId="9" xfId="0" applyFont="1" applyBorder="1" applyAlignment="1">
      <alignment horizontal="center" vertical="center" shrinkToFit="1"/>
    </xf>
    <xf numFmtId="9" fontId="8" fillId="0" borderId="45" xfId="0" applyNumberFormat="1" applyFont="1" applyBorder="1" applyAlignment="1">
      <alignment horizontal="center" vertical="center" shrinkToFit="1"/>
    </xf>
    <xf numFmtId="176" fontId="8" fillId="0" borderId="45" xfId="0" applyNumberFormat="1" applyFont="1" applyBorder="1" applyAlignment="1">
      <alignment horizontal="center" vertical="center" shrinkToFit="1"/>
    </xf>
    <xf numFmtId="0" fontId="8" fillId="0" borderId="46" xfId="0" applyFont="1" applyBorder="1" applyAlignment="1">
      <alignment horizontal="center" vertical="center" shrinkToFit="1"/>
    </xf>
    <xf numFmtId="0" fontId="2" fillId="0" borderId="0" xfId="0" applyFont="1" applyAlignment="1">
      <alignment vertical="center" wrapText="1"/>
    </xf>
    <xf numFmtId="0" fontId="4" fillId="0" borderId="0" xfId="0" applyFont="1" applyAlignment="1">
      <alignment vertical="top" shrinkToFit="1"/>
    </xf>
    <xf numFmtId="0" fontId="4" fillId="0" borderId="0" xfId="0" applyFont="1" applyAlignment="1">
      <alignment vertical="center" wrapText="1"/>
    </xf>
    <xf numFmtId="0" fontId="2" fillId="0" borderId="0" xfId="0" applyFont="1" applyAlignment="1">
      <alignment vertical="top" wrapText="1"/>
    </xf>
    <xf numFmtId="0" fontId="8" fillId="0" borderId="2" xfId="0" applyFont="1" applyBorder="1" applyAlignment="1">
      <alignment vertical="center"/>
    </xf>
    <xf numFmtId="0" fontId="8" fillId="0" borderId="3" xfId="0" applyFont="1" applyBorder="1" applyAlignment="1">
      <alignment vertical="center"/>
    </xf>
    <xf numFmtId="0" fontId="8" fillId="0" borderId="4" xfId="0" applyFont="1" applyBorder="1" applyAlignment="1">
      <alignment vertical="center"/>
    </xf>
    <xf numFmtId="49" fontId="19" fillId="0" borderId="52" xfId="0" applyNumberFormat="1" applyFont="1" applyBorder="1" applyAlignment="1">
      <alignment horizontal="center" vertical="center"/>
    </xf>
    <xf numFmtId="49" fontId="19" fillId="0" borderId="29" xfId="0" applyNumberFormat="1" applyFont="1" applyBorder="1" applyAlignment="1">
      <alignment horizontal="center" vertical="center"/>
    </xf>
    <xf numFmtId="0" fontId="22" fillId="0" borderId="4" xfId="0" applyFont="1" applyBorder="1" applyAlignment="1">
      <alignment horizontal="center" vertical="center" shrinkToFit="1"/>
    </xf>
    <xf numFmtId="0" fontId="8" fillId="0" borderId="14" xfId="0" applyFont="1" applyBorder="1" applyAlignment="1">
      <alignment horizontal="center" vertical="center" shrinkToFit="1"/>
    </xf>
    <xf numFmtId="0" fontId="8" fillId="0" borderId="23" xfId="0" applyFont="1" applyBorder="1" applyAlignment="1">
      <alignment horizontal="center" vertical="center" shrinkToFit="1"/>
    </xf>
    <xf numFmtId="0" fontId="8" fillId="0" borderId="13" xfId="0" applyFont="1" applyBorder="1" applyAlignment="1">
      <alignment horizontal="center" vertical="center" shrinkToFit="1"/>
    </xf>
    <xf numFmtId="0" fontId="3" fillId="0" borderId="0" xfId="0" applyFont="1" applyBorder="1" applyAlignment="1">
      <alignment vertical="center" shrinkToFit="1"/>
    </xf>
    <xf numFmtId="0" fontId="8" fillId="0" borderId="1" xfId="0" applyFont="1" applyBorder="1" applyAlignment="1">
      <alignment horizontal="center" vertical="center" shrinkToFit="1"/>
    </xf>
    <xf numFmtId="0" fontId="8" fillId="0" borderId="43" xfId="0" applyFont="1" applyBorder="1" applyAlignment="1">
      <alignment horizontal="center" vertical="center" shrinkToFit="1"/>
    </xf>
    <xf numFmtId="0" fontId="3" fillId="0" borderId="0" xfId="0" applyFont="1" applyAlignment="1">
      <alignment horizontal="center" vertical="center"/>
    </xf>
    <xf numFmtId="0" fontId="7" fillId="0" borderId="0" xfId="2">
      <alignment vertical="center"/>
    </xf>
    <xf numFmtId="0" fontId="9" fillId="0" borderId="0" xfId="0" applyFont="1" applyAlignment="1">
      <alignment vertical="center"/>
    </xf>
    <xf numFmtId="0" fontId="5" fillId="0" borderId="23" xfId="0" applyFont="1" applyBorder="1" applyAlignment="1">
      <alignment horizontal="left" vertical="center" wrapText="1"/>
    </xf>
    <xf numFmtId="0" fontId="5" fillId="0" borderId="23" xfId="0" applyFont="1" applyBorder="1" applyAlignment="1">
      <alignment horizontal="left" vertical="center" wrapText="1" shrinkToFit="1"/>
    </xf>
    <xf numFmtId="0" fontId="8" fillId="0" borderId="0" xfId="0" applyFont="1" applyBorder="1" applyAlignment="1">
      <alignment horizontal="center" vertical="center"/>
    </xf>
    <xf numFmtId="0" fontId="8" fillId="0" borderId="0" xfId="0" applyFont="1" applyBorder="1" applyAlignment="1">
      <alignment vertical="center" shrinkToFit="1"/>
    </xf>
    <xf numFmtId="0" fontId="8" fillId="0" borderId="18" xfId="0" applyFont="1" applyBorder="1" applyAlignment="1">
      <alignment horizontal="center" vertical="center"/>
    </xf>
    <xf numFmtId="0" fontId="8" fillId="0" borderId="42" xfId="0" applyFont="1" applyBorder="1" applyAlignment="1">
      <alignment horizontal="center" vertical="center"/>
    </xf>
    <xf numFmtId="0" fontId="8" fillId="0" borderId="38" xfId="0" applyFont="1" applyBorder="1" applyAlignment="1">
      <alignment horizontal="center" vertical="center"/>
    </xf>
    <xf numFmtId="0" fontId="2" fillId="0" borderId="0" xfId="0" applyFont="1" applyAlignment="1">
      <alignment horizontal="right" vertical="center"/>
    </xf>
    <xf numFmtId="0" fontId="15" fillId="0" borderId="0" xfId="0" applyFont="1" applyAlignment="1">
      <alignment horizontal="center" vertical="center"/>
    </xf>
    <xf numFmtId="49" fontId="7" fillId="0" borderId="2" xfId="2" applyNumberFormat="1" applyBorder="1" applyAlignment="1">
      <alignment vertical="center" shrinkToFit="1"/>
    </xf>
    <xf numFmtId="49" fontId="8" fillId="0" borderId="3" xfId="0" applyNumberFormat="1" applyFont="1" applyBorder="1" applyAlignment="1">
      <alignment vertical="center" shrinkToFit="1"/>
    </xf>
    <xf numFmtId="49" fontId="8" fillId="0" borderId="4" xfId="0" applyNumberFormat="1" applyFont="1" applyBorder="1" applyAlignment="1">
      <alignment vertical="center" shrinkToFit="1"/>
    </xf>
    <xf numFmtId="49" fontId="8" fillId="0" borderId="2" xfId="1" applyNumberFormat="1" applyFont="1" applyBorder="1" applyAlignment="1">
      <alignment horizontal="center" vertical="center" shrinkToFit="1"/>
    </xf>
    <xf numFmtId="49" fontId="8" fillId="0" borderId="3" xfId="1" applyNumberFormat="1" applyFont="1" applyBorder="1" applyAlignment="1">
      <alignment horizontal="center" vertical="center" shrinkToFit="1"/>
    </xf>
    <xf numFmtId="49" fontId="8" fillId="0" borderId="4" xfId="1" applyNumberFormat="1" applyFont="1" applyBorder="1" applyAlignment="1">
      <alignment horizontal="center" vertical="center" shrinkToFit="1"/>
    </xf>
    <xf numFmtId="0" fontId="8" fillId="0" borderId="0" xfId="0" applyFont="1" applyBorder="1" applyAlignment="1">
      <alignment horizontal="center" vertical="center"/>
    </xf>
    <xf numFmtId="0" fontId="8" fillId="0" borderId="2"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4" xfId="0" applyFont="1" applyBorder="1" applyAlignment="1">
      <alignment horizontal="center" vertical="center" shrinkToFit="1"/>
    </xf>
    <xf numFmtId="176" fontId="8" fillId="0" borderId="2" xfId="0" applyNumberFormat="1" applyFont="1" applyBorder="1" applyAlignment="1">
      <alignment horizontal="center" vertical="center" shrinkToFit="1"/>
    </xf>
    <xf numFmtId="176" fontId="8" fillId="0" borderId="4" xfId="0" applyNumberFormat="1" applyFont="1" applyBorder="1" applyAlignment="1">
      <alignment horizontal="center" vertical="center" shrinkToFit="1"/>
    </xf>
    <xf numFmtId="0" fontId="8" fillId="0" borderId="2" xfId="0" applyFont="1" applyBorder="1" applyAlignment="1">
      <alignment vertical="center" shrinkToFit="1"/>
    </xf>
    <xf numFmtId="0" fontId="8" fillId="0" borderId="3" xfId="0" applyFont="1" applyBorder="1" applyAlignment="1">
      <alignment vertical="center" shrinkToFit="1"/>
    </xf>
    <xf numFmtId="0" fontId="8" fillId="0" borderId="0" xfId="0" applyFont="1" applyBorder="1" applyAlignment="1">
      <alignment horizontal="right" vertical="center" shrinkToFit="1"/>
    </xf>
    <xf numFmtId="0" fontId="8" fillId="0" borderId="5" xfId="0" applyFont="1" applyBorder="1" applyAlignment="1">
      <alignment horizontal="right" vertical="center" shrinkToFit="1"/>
    </xf>
    <xf numFmtId="0" fontId="8" fillId="0" borderId="10" xfId="0" applyFont="1" applyBorder="1" applyAlignment="1">
      <alignment horizontal="right" vertical="center" shrinkToFit="1"/>
    </xf>
    <xf numFmtId="0" fontId="8" fillId="0" borderId="0" xfId="0" applyFont="1" applyAlignment="1">
      <alignment horizontal="right" vertical="center"/>
    </xf>
    <xf numFmtId="0" fontId="8" fillId="0" borderId="0" xfId="0" applyFont="1" applyBorder="1" applyAlignment="1">
      <alignment horizontal="right" vertical="center"/>
    </xf>
    <xf numFmtId="0" fontId="8" fillId="0" borderId="10" xfId="0" applyFont="1" applyBorder="1" applyAlignment="1">
      <alignment horizontal="right" vertical="center"/>
    </xf>
    <xf numFmtId="176" fontId="8" fillId="0" borderId="3" xfId="0" applyNumberFormat="1" applyFont="1" applyBorder="1" applyAlignment="1">
      <alignment horizontal="center" vertical="center" shrinkToFit="1"/>
    </xf>
    <xf numFmtId="0" fontId="14" fillId="0" borderId="0" xfId="0" applyFont="1" applyAlignment="1">
      <alignment horizontal="center" vertical="center"/>
    </xf>
    <xf numFmtId="0" fontId="8" fillId="0" borderId="2" xfId="0" applyNumberFormat="1" applyFont="1" applyBorder="1" applyAlignment="1">
      <alignment horizontal="center" vertical="center"/>
    </xf>
    <xf numFmtId="0" fontId="8" fillId="0" borderId="4" xfId="0" applyNumberFormat="1" applyFont="1" applyBorder="1" applyAlignment="1">
      <alignment horizontal="center" vertical="center"/>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176" fontId="8" fillId="0" borderId="2" xfId="0" applyNumberFormat="1" applyFont="1" applyBorder="1" applyAlignment="1">
      <alignment horizontal="center" vertical="center"/>
    </xf>
    <xf numFmtId="176" fontId="8" fillId="0" borderId="3" xfId="0" applyNumberFormat="1" applyFont="1" applyBorder="1" applyAlignment="1">
      <alignment horizontal="center" vertical="center"/>
    </xf>
    <xf numFmtId="176" fontId="8" fillId="0" borderId="4" xfId="0" applyNumberFormat="1" applyFont="1" applyBorder="1" applyAlignment="1">
      <alignment horizontal="center" vertical="center"/>
    </xf>
    <xf numFmtId="0" fontId="8" fillId="0" borderId="0" xfId="0" applyFont="1" applyBorder="1" applyAlignment="1">
      <alignment vertical="center" shrinkToFit="1"/>
    </xf>
    <xf numFmtId="0" fontId="8" fillId="0" borderId="37" xfId="0" applyFont="1" applyBorder="1" applyAlignment="1">
      <alignment vertical="center" shrinkToFit="1"/>
    </xf>
    <xf numFmtId="0" fontId="8" fillId="0" borderId="39" xfId="0" applyFont="1" applyBorder="1" applyAlignment="1">
      <alignment vertical="center" shrinkToFit="1"/>
    </xf>
    <xf numFmtId="0" fontId="8" fillId="0" borderId="38" xfId="0" applyFont="1" applyBorder="1" applyAlignment="1">
      <alignment vertical="center" shrinkToFit="1"/>
    </xf>
    <xf numFmtId="0" fontId="8" fillId="0" borderId="37" xfId="0" applyFont="1" applyBorder="1" applyAlignment="1">
      <alignment horizontal="center" vertical="center" shrinkToFit="1"/>
    </xf>
    <xf numFmtId="0" fontId="8" fillId="0" borderId="39" xfId="0" applyFont="1" applyBorder="1" applyAlignment="1">
      <alignment horizontal="center" vertical="center" shrinkToFit="1"/>
    </xf>
    <xf numFmtId="0" fontId="8" fillId="0" borderId="38" xfId="0" applyFont="1" applyBorder="1" applyAlignment="1">
      <alignment horizontal="center" vertical="center" shrinkToFit="1"/>
    </xf>
    <xf numFmtId="0" fontId="9" fillId="0" borderId="19" xfId="0" applyFont="1" applyBorder="1" applyAlignment="1">
      <alignment vertical="center" wrapText="1" shrinkToFit="1"/>
    </xf>
    <xf numFmtId="0" fontId="9" fillId="0" borderId="20" xfId="0" applyFont="1" applyBorder="1" applyAlignment="1">
      <alignment vertical="center" wrapText="1" shrinkToFit="1"/>
    </xf>
    <xf numFmtId="0" fontId="9" fillId="0" borderId="18" xfId="0" applyFont="1" applyBorder="1" applyAlignment="1">
      <alignment vertical="center" wrapText="1" shrinkToFit="1"/>
    </xf>
    <xf numFmtId="0" fontId="8" fillId="0" borderId="19" xfId="0" applyFont="1" applyBorder="1" applyAlignment="1">
      <alignment vertical="center" shrinkToFit="1"/>
    </xf>
    <xf numFmtId="0" fontId="8" fillId="0" borderId="20" xfId="0" applyFont="1" applyBorder="1" applyAlignment="1">
      <alignment vertical="center" shrinkToFit="1"/>
    </xf>
    <xf numFmtId="0" fontId="8" fillId="0" borderId="18" xfId="0" applyFont="1" applyBorder="1" applyAlignment="1">
      <alignment vertical="center" shrinkToFit="1"/>
    </xf>
    <xf numFmtId="0" fontId="8" fillId="0" borderId="19" xfId="0" applyFont="1" applyBorder="1" applyAlignment="1">
      <alignment horizontal="center" vertical="center" shrinkToFit="1"/>
    </xf>
    <xf numFmtId="0" fontId="8" fillId="0" borderId="20" xfId="0" applyFont="1" applyBorder="1" applyAlignment="1">
      <alignment horizontal="center" vertical="center" shrinkToFit="1"/>
    </xf>
    <xf numFmtId="0" fontId="8" fillId="0" borderId="18" xfId="0" applyFont="1" applyBorder="1" applyAlignment="1">
      <alignment horizontal="center" vertical="center" shrinkToFit="1"/>
    </xf>
    <xf numFmtId="0" fontId="21" fillId="0" borderId="48" xfId="0" applyFont="1" applyBorder="1" applyAlignment="1">
      <alignment vertical="center" wrapText="1"/>
    </xf>
    <xf numFmtId="0" fontId="21" fillId="0" borderId="49" xfId="0" applyFont="1" applyBorder="1" applyAlignment="1">
      <alignment vertical="center" wrapText="1"/>
    </xf>
    <xf numFmtId="0" fontId="20" fillId="0" borderId="48" xfId="0" applyFont="1" applyBorder="1" applyAlignment="1">
      <alignment vertical="center" wrapText="1"/>
    </xf>
    <xf numFmtId="0" fontId="20" fillId="0" borderId="32" xfId="0" applyFont="1" applyBorder="1" applyAlignment="1">
      <alignment vertical="center" wrapText="1"/>
    </xf>
    <xf numFmtId="0" fontId="9" fillId="0" borderId="39" xfId="0" applyFont="1" applyBorder="1" applyAlignment="1">
      <alignment vertical="center" wrapText="1" shrinkToFit="1"/>
    </xf>
    <xf numFmtId="0" fontId="9" fillId="0" borderId="38" xfId="0" applyFont="1" applyBorder="1" applyAlignment="1">
      <alignment vertical="center" wrapText="1" shrinkToFit="1"/>
    </xf>
    <xf numFmtId="0" fontId="9" fillId="0" borderId="6" xfId="0" applyFont="1" applyBorder="1" applyAlignment="1">
      <alignment vertical="center" wrapText="1" shrinkToFit="1"/>
    </xf>
    <xf numFmtId="0" fontId="9" fillId="0" borderId="12" xfId="0" applyFont="1" applyBorder="1" applyAlignment="1">
      <alignment vertical="center" wrapText="1" shrinkToFit="1"/>
    </xf>
    <xf numFmtId="0" fontId="21" fillId="0" borderId="32" xfId="0" applyFont="1" applyBorder="1" applyAlignment="1">
      <alignment vertical="center" wrapText="1"/>
    </xf>
    <xf numFmtId="0" fontId="9" fillId="0" borderId="8" xfId="0" applyFont="1" applyBorder="1" applyAlignment="1">
      <alignment horizontal="left" vertical="center" wrapText="1" shrinkToFit="1"/>
    </xf>
    <xf numFmtId="0" fontId="9" fillId="0" borderId="9" xfId="0" applyFont="1" applyBorder="1" applyAlignment="1">
      <alignment horizontal="left" vertical="center" wrapText="1" shrinkToFit="1"/>
    </xf>
    <xf numFmtId="0" fontId="9" fillId="0" borderId="20" xfId="0" applyFont="1" applyBorder="1" applyAlignment="1">
      <alignment horizontal="left" vertical="center" wrapText="1" shrinkToFit="1"/>
    </xf>
    <xf numFmtId="0" fontId="9" fillId="0" borderId="18" xfId="0" applyFont="1" applyBorder="1" applyAlignment="1">
      <alignment horizontal="left" vertical="center" wrapText="1" shrinkToFit="1"/>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37" xfId="0" applyFont="1" applyBorder="1" applyAlignment="1">
      <alignment horizontal="left" vertical="center" wrapText="1" shrinkToFit="1"/>
    </xf>
    <xf numFmtId="0" fontId="9" fillId="0" borderId="39" xfId="0" applyFont="1" applyBorder="1" applyAlignment="1">
      <alignment horizontal="left" vertical="center" wrapText="1" shrinkToFit="1"/>
    </xf>
    <xf numFmtId="0" fontId="9" fillId="0" borderId="38" xfId="0" applyFont="1" applyBorder="1" applyAlignment="1">
      <alignment horizontal="left" vertical="center" wrapText="1" shrinkToFit="1"/>
    </xf>
    <xf numFmtId="0" fontId="8" fillId="0" borderId="37" xfId="0" applyFont="1" applyBorder="1" applyAlignment="1">
      <alignment horizontal="center" vertical="center"/>
    </xf>
    <xf numFmtId="0" fontId="8" fillId="0" borderId="39" xfId="0" applyFont="1" applyBorder="1" applyAlignment="1">
      <alignment horizontal="center" vertical="center"/>
    </xf>
    <xf numFmtId="0" fontId="8" fillId="0" borderId="38" xfId="0" applyFont="1" applyBorder="1" applyAlignment="1">
      <alignment horizontal="center" vertical="center"/>
    </xf>
    <xf numFmtId="0" fontId="8" fillId="0" borderId="19" xfId="0" applyFont="1" applyBorder="1" applyAlignment="1">
      <alignment horizontal="center" vertical="center"/>
    </xf>
    <xf numFmtId="0" fontId="8" fillId="0" borderId="20" xfId="0" applyFont="1" applyBorder="1" applyAlignment="1">
      <alignment horizontal="center" vertical="center"/>
    </xf>
    <xf numFmtId="0" fontId="8" fillId="0" borderId="18" xfId="0" applyFont="1" applyBorder="1" applyAlignment="1">
      <alignment horizontal="center" vertical="center"/>
    </xf>
    <xf numFmtId="0" fontId="8" fillId="0" borderId="37" xfId="0" applyFont="1" applyBorder="1" applyAlignment="1">
      <alignment horizontal="left" vertical="center" shrinkToFit="1"/>
    </xf>
    <xf numFmtId="0" fontId="8" fillId="0" borderId="39" xfId="0" applyFont="1" applyBorder="1" applyAlignment="1">
      <alignment horizontal="left" vertical="center" shrinkToFit="1"/>
    </xf>
    <xf numFmtId="0" fontId="8" fillId="0" borderId="38" xfId="0" applyFont="1" applyBorder="1" applyAlignment="1">
      <alignment horizontal="left" vertical="center" shrinkToFit="1"/>
    </xf>
    <xf numFmtId="0" fontId="8" fillId="0" borderId="19" xfId="0" applyFont="1" applyBorder="1" applyAlignment="1">
      <alignment horizontal="left" vertical="center" shrinkToFit="1"/>
    </xf>
    <xf numFmtId="0" fontId="8" fillId="0" borderId="20"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40" xfId="0" applyFont="1" applyBorder="1" applyAlignment="1">
      <alignment horizontal="center" vertical="center"/>
    </xf>
    <xf numFmtId="0" fontId="8" fillId="0" borderId="41" xfId="0" applyFont="1" applyBorder="1" applyAlignment="1">
      <alignment horizontal="center" vertical="center"/>
    </xf>
    <xf numFmtId="0" fontId="8" fillId="0" borderId="42" xfId="0" applyFont="1" applyBorder="1" applyAlignment="1">
      <alignment horizontal="center" vertical="center"/>
    </xf>
    <xf numFmtId="0" fontId="8" fillId="0" borderId="0" xfId="0" applyFont="1" applyAlignment="1">
      <alignment vertical="center" wrapText="1"/>
    </xf>
    <xf numFmtId="0" fontId="8" fillId="0" borderId="40" xfId="0" applyFont="1" applyBorder="1" applyAlignment="1">
      <alignment horizontal="left" vertical="center" shrinkToFit="1"/>
    </xf>
    <xf numFmtId="0" fontId="8" fillId="0" borderId="41" xfId="0" applyFont="1" applyBorder="1" applyAlignment="1">
      <alignment horizontal="left" vertical="center" shrinkToFit="1"/>
    </xf>
    <xf numFmtId="0" fontId="8" fillId="0" borderId="42" xfId="0" applyFont="1" applyBorder="1" applyAlignment="1">
      <alignment horizontal="left" vertical="center" shrinkToFit="1"/>
    </xf>
    <xf numFmtId="0" fontId="18" fillId="0" borderId="0" xfId="0" applyFont="1" applyAlignment="1">
      <alignment horizontal="center" vertical="center"/>
    </xf>
    <xf numFmtId="0" fontId="8" fillId="0" borderId="7" xfId="0" applyFont="1" applyBorder="1" applyAlignment="1">
      <alignment horizontal="left" vertical="top" wrapText="1" shrinkToFit="1"/>
    </xf>
    <xf numFmtId="0" fontId="8" fillId="0" borderId="8" xfId="0" applyFont="1" applyBorder="1" applyAlignment="1">
      <alignment horizontal="left" vertical="top" shrinkToFit="1"/>
    </xf>
    <xf numFmtId="0" fontId="8" fillId="0" borderId="9" xfId="0" applyFont="1" applyBorder="1" applyAlignment="1">
      <alignment horizontal="left" vertical="top" shrinkToFit="1"/>
    </xf>
    <xf numFmtId="0" fontId="8" fillId="0" borderId="5" xfId="0" applyFont="1" applyBorder="1" applyAlignment="1">
      <alignment horizontal="left" vertical="top" shrinkToFit="1"/>
    </xf>
    <xf numFmtId="0" fontId="8" fillId="0" borderId="0" xfId="0" applyFont="1" applyBorder="1" applyAlignment="1">
      <alignment horizontal="left" vertical="top" shrinkToFit="1"/>
    </xf>
    <xf numFmtId="0" fontId="8" fillId="0" borderId="10" xfId="0" applyFont="1" applyBorder="1" applyAlignment="1">
      <alignment horizontal="left" vertical="top" shrinkToFit="1"/>
    </xf>
    <xf numFmtId="0" fontId="8" fillId="0" borderId="0" xfId="0" applyFont="1" applyAlignment="1">
      <alignment horizontal="left" vertical="top" shrinkToFit="1"/>
    </xf>
    <xf numFmtId="0" fontId="8" fillId="0" borderId="11" xfId="0" applyFont="1" applyBorder="1" applyAlignment="1">
      <alignment horizontal="left" vertical="top" shrinkToFit="1"/>
    </xf>
    <xf numFmtId="0" fontId="8" fillId="0" borderId="6" xfId="0" applyFont="1" applyBorder="1" applyAlignment="1">
      <alignment horizontal="left" vertical="top" shrinkToFit="1"/>
    </xf>
    <xf numFmtId="0" fontId="8" fillId="0" borderId="12" xfId="0" applyFont="1" applyBorder="1" applyAlignment="1">
      <alignment horizontal="left" vertical="top" shrinkToFit="1"/>
    </xf>
    <xf numFmtId="0" fontId="9" fillId="0" borderId="22" xfId="0" applyFont="1" applyBorder="1" applyAlignment="1">
      <alignment horizontal="left" vertical="center" wrapText="1" shrinkToFit="1"/>
    </xf>
    <xf numFmtId="0" fontId="9" fillId="0" borderId="21" xfId="0" applyFont="1" applyBorder="1" applyAlignment="1">
      <alignment horizontal="left" vertical="center" wrapText="1" shrinkToFit="1"/>
    </xf>
    <xf numFmtId="0" fontId="9" fillId="0" borderId="6" xfId="0" applyFont="1" applyBorder="1" applyAlignment="1">
      <alignment horizontal="left" vertical="center" wrapText="1" shrinkToFit="1"/>
    </xf>
    <xf numFmtId="0" fontId="9" fillId="0" borderId="12" xfId="0" applyFont="1" applyBorder="1" applyAlignment="1">
      <alignment horizontal="left" vertical="center" wrapText="1" shrinkToFit="1"/>
    </xf>
    <xf numFmtId="0" fontId="9" fillId="0" borderId="41" xfId="0" applyFont="1" applyBorder="1" applyAlignment="1">
      <alignment horizontal="left" vertical="center" wrapText="1" shrinkToFit="1"/>
    </xf>
    <xf numFmtId="0" fontId="9" fillId="0" borderId="42" xfId="0" applyFont="1" applyBorder="1" applyAlignment="1">
      <alignment horizontal="left" vertical="center" wrapText="1" shrinkToFit="1"/>
    </xf>
    <xf numFmtId="0" fontId="8" fillId="0" borderId="40" xfId="0" applyFont="1" applyBorder="1" applyAlignment="1">
      <alignment vertical="center" shrinkToFit="1"/>
    </xf>
    <xf numFmtId="0" fontId="8" fillId="0" borderId="41" xfId="0" applyFont="1" applyBorder="1" applyAlignment="1">
      <alignment vertical="center" shrinkToFit="1"/>
    </xf>
    <xf numFmtId="0" fontId="8" fillId="0" borderId="42" xfId="0" applyFont="1" applyBorder="1" applyAlignment="1">
      <alignment vertical="center" shrinkToFit="1"/>
    </xf>
    <xf numFmtId="0" fontId="8" fillId="0" borderId="40" xfId="0" applyFont="1" applyBorder="1" applyAlignment="1">
      <alignment horizontal="center" vertical="center" shrinkToFit="1"/>
    </xf>
    <xf numFmtId="0" fontId="8" fillId="0" borderId="41" xfId="0" applyFont="1" applyBorder="1" applyAlignment="1">
      <alignment horizontal="center" vertical="center" shrinkToFit="1"/>
    </xf>
    <xf numFmtId="0" fontId="8" fillId="0" borderId="42" xfId="0" applyFont="1" applyBorder="1" applyAlignment="1">
      <alignment horizontal="center" vertical="center"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9" fillId="0" borderId="7" xfId="0" applyFont="1" applyBorder="1" applyAlignment="1">
      <alignment vertical="center" wrapText="1" shrinkToFit="1"/>
    </xf>
    <xf numFmtId="0" fontId="9" fillId="0" borderId="8" xfId="0" applyFont="1" applyBorder="1" applyAlignment="1">
      <alignment vertical="center" wrapText="1" shrinkToFit="1"/>
    </xf>
    <xf numFmtId="0" fontId="9" fillId="0" borderId="9" xfId="0" applyFont="1" applyBorder="1" applyAlignment="1">
      <alignment vertical="center" wrapText="1" shrinkToFit="1"/>
    </xf>
    <xf numFmtId="0" fontId="9" fillId="0" borderId="5" xfId="0" applyFont="1" applyBorder="1" applyAlignment="1">
      <alignment vertical="center" wrapText="1" shrinkToFit="1"/>
    </xf>
    <xf numFmtId="0" fontId="9" fillId="0" borderId="0" xfId="0" applyFont="1" applyBorder="1" applyAlignment="1">
      <alignment vertical="center" wrapText="1" shrinkToFit="1"/>
    </xf>
    <xf numFmtId="0" fontId="9" fillId="0" borderId="10" xfId="0" applyFont="1" applyBorder="1" applyAlignment="1">
      <alignment vertical="center" wrapText="1" shrinkToFit="1"/>
    </xf>
    <xf numFmtId="0" fontId="9" fillId="0" borderId="11" xfId="0" applyFont="1" applyBorder="1" applyAlignment="1">
      <alignment vertical="center" wrapText="1" shrinkToFit="1"/>
    </xf>
    <xf numFmtId="0" fontId="7" fillId="0" borderId="2" xfId="2" applyBorder="1" applyAlignment="1">
      <alignment vertical="center" shrinkToFit="1"/>
    </xf>
    <xf numFmtId="0" fontId="9" fillId="0" borderId="3" xfId="0" applyFont="1" applyBorder="1" applyAlignment="1">
      <alignment vertical="center" shrinkToFit="1"/>
    </xf>
    <xf numFmtId="0" fontId="9" fillId="0" borderId="4" xfId="0" applyFont="1" applyBorder="1" applyAlignment="1">
      <alignment vertical="center" shrinkToFit="1"/>
    </xf>
    <xf numFmtId="0" fontId="9" fillId="0" borderId="0" xfId="0" applyFont="1" applyAlignment="1">
      <alignment horizontal="center" vertical="center"/>
    </xf>
    <xf numFmtId="0" fontId="2" fillId="0" borderId="0" xfId="0" applyFont="1" applyAlignment="1">
      <alignment horizontal="right" vertical="center"/>
    </xf>
    <xf numFmtId="0" fontId="15" fillId="0" borderId="0" xfId="0" applyFont="1" applyAlignment="1">
      <alignment horizontal="center" vertical="center"/>
    </xf>
    <xf numFmtId="0" fontId="3" fillId="0" borderId="2" xfId="0" applyNumberFormat="1" applyFont="1" applyBorder="1" applyAlignment="1">
      <alignment horizontal="center" vertical="center" shrinkToFit="1"/>
    </xf>
    <xf numFmtId="0" fontId="3" fillId="0" borderId="4" xfId="0" applyNumberFormat="1" applyFont="1" applyBorder="1" applyAlignment="1">
      <alignment horizontal="center" vertical="center" shrinkToFit="1"/>
    </xf>
    <xf numFmtId="0" fontId="3" fillId="0" borderId="15" xfId="0" applyFont="1" applyBorder="1" applyAlignment="1">
      <alignment horizontal="center" vertical="center"/>
    </xf>
    <xf numFmtId="0" fontId="3" fillId="0" borderId="13" xfId="0" applyFont="1" applyBorder="1" applyAlignment="1">
      <alignment horizontal="center" vertical="center"/>
    </xf>
    <xf numFmtId="0" fontId="16" fillId="0" borderId="8" xfId="0" applyFont="1" applyBorder="1" applyAlignment="1">
      <alignment horizontal="center" vertical="center" wrapText="1"/>
    </xf>
    <xf numFmtId="0" fontId="16" fillId="0" borderId="6" xfId="0" applyFont="1" applyBorder="1" applyAlignment="1">
      <alignment horizontal="center" vertical="center"/>
    </xf>
    <xf numFmtId="0" fontId="16" fillId="0" borderId="7" xfId="0" applyFont="1" applyBorder="1" applyAlignment="1">
      <alignment horizontal="center" vertical="center" wrapText="1"/>
    </xf>
    <xf numFmtId="0" fontId="16" fillId="0" borderId="11" xfId="0" applyFont="1" applyBorder="1" applyAlignment="1">
      <alignment horizontal="center" vertical="center"/>
    </xf>
    <xf numFmtId="0" fontId="3" fillId="0" borderId="14" xfId="0" applyFont="1" applyBorder="1" applyAlignment="1">
      <alignment horizontal="center" vertical="center"/>
    </xf>
    <xf numFmtId="0" fontId="3" fillId="0" borderId="37" xfId="0" applyFont="1" applyBorder="1" applyAlignment="1">
      <alignment horizontal="center" vertical="center"/>
    </xf>
    <xf numFmtId="0" fontId="3" fillId="0" borderId="38" xfId="0" applyFont="1" applyBorder="1" applyAlignment="1">
      <alignment horizontal="center" vertical="center"/>
    </xf>
    <xf numFmtId="0" fontId="17" fillId="0" borderId="15" xfId="0" applyFont="1" applyBorder="1" applyAlignment="1">
      <alignment horizontal="center" vertical="center" wrapText="1"/>
    </xf>
    <xf numFmtId="0" fontId="17" fillId="0" borderId="13" xfId="0" applyFont="1" applyBorder="1" applyAlignment="1">
      <alignment horizontal="center" vertical="center"/>
    </xf>
    <xf numFmtId="0" fontId="16" fillId="0" borderId="9" xfId="0" applyFont="1" applyBorder="1" applyAlignment="1">
      <alignment horizontal="center" vertical="center"/>
    </xf>
    <xf numFmtId="0" fontId="16" fillId="0" borderId="12" xfId="0" applyFont="1" applyBorder="1" applyAlignment="1">
      <alignment horizontal="center" vertical="center"/>
    </xf>
    <xf numFmtId="0" fontId="8" fillId="0" borderId="16" xfId="0" applyFont="1" applyBorder="1" applyAlignment="1">
      <alignment vertical="top" wrapText="1" shrinkToFit="1"/>
    </xf>
    <xf numFmtId="0" fontId="8" fillId="0" borderId="22" xfId="0" applyFont="1" applyBorder="1" applyAlignment="1">
      <alignment vertical="top" wrapText="1" shrinkToFit="1"/>
    </xf>
    <xf numFmtId="0" fontId="8" fillId="0" borderId="21" xfId="0" applyFont="1" applyBorder="1" applyAlignment="1">
      <alignment vertical="top" wrapText="1" shrinkToFit="1"/>
    </xf>
    <xf numFmtId="0" fontId="8" fillId="0" borderId="5" xfId="0" applyFont="1" applyBorder="1" applyAlignment="1">
      <alignment vertical="top" wrapText="1" shrinkToFit="1"/>
    </xf>
    <xf numFmtId="0" fontId="8" fillId="0" borderId="0" xfId="0" applyFont="1" applyAlignment="1">
      <alignment vertical="top" wrapText="1" shrinkToFit="1"/>
    </xf>
    <xf numFmtId="0" fontId="8" fillId="0" borderId="10" xfId="0" applyFont="1" applyBorder="1" applyAlignment="1">
      <alignment vertical="top" wrapText="1" shrinkToFit="1"/>
    </xf>
    <xf numFmtId="0" fontId="8" fillId="0" borderId="11" xfId="0" applyFont="1" applyBorder="1" applyAlignment="1">
      <alignment vertical="top" wrapText="1" shrinkToFit="1"/>
    </xf>
    <xf numFmtId="0" fontId="8" fillId="0" borderId="6" xfId="0" applyFont="1" applyBorder="1" applyAlignment="1">
      <alignment vertical="top" wrapText="1" shrinkToFit="1"/>
    </xf>
    <xf numFmtId="0" fontId="8" fillId="0" borderId="12" xfId="0" applyFont="1" applyBorder="1" applyAlignment="1">
      <alignment vertical="top" wrapText="1" shrinkToFit="1"/>
    </xf>
    <xf numFmtId="0" fontId="8" fillId="0" borderId="4" xfId="0" applyFont="1" applyBorder="1" applyAlignment="1">
      <alignment vertical="center" shrinkToFit="1"/>
    </xf>
    <xf numFmtId="0" fontId="8" fillId="0" borderId="7" xfId="0" applyFont="1" applyBorder="1" applyAlignment="1">
      <alignment vertical="top" wrapText="1" shrinkToFit="1"/>
    </xf>
    <xf numFmtId="0" fontId="8" fillId="0" borderId="8" xfId="0" applyFont="1" applyBorder="1" applyAlignment="1">
      <alignment vertical="top" wrapText="1" shrinkToFit="1"/>
    </xf>
    <xf numFmtId="0" fontId="8" fillId="0" borderId="8" xfId="0" applyFont="1" applyBorder="1" applyAlignment="1">
      <alignment vertical="top" shrinkToFit="1"/>
    </xf>
    <xf numFmtId="0" fontId="8" fillId="0" borderId="9" xfId="0" applyFont="1" applyBorder="1" applyAlignment="1">
      <alignment vertical="top" shrinkToFit="1"/>
    </xf>
    <xf numFmtId="0" fontId="8" fillId="0" borderId="5" xfId="0" applyFont="1" applyBorder="1" applyAlignment="1">
      <alignment vertical="top" shrinkToFit="1"/>
    </xf>
    <xf numFmtId="0" fontId="8" fillId="0" borderId="0" xfId="0" applyFont="1" applyAlignment="1">
      <alignment vertical="top" shrinkToFit="1"/>
    </xf>
    <xf numFmtId="0" fontId="8" fillId="0" borderId="10" xfId="0" applyFont="1" applyBorder="1" applyAlignment="1">
      <alignment vertical="top" shrinkToFit="1"/>
    </xf>
    <xf numFmtId="0" fontId="8" fillId="0" borderId="11" xfId="0" applyFont="1" applyBorder="1" applyAlignment="1">
      <alignment vertical="top" shrinkToFit="1"/>
    </xf>
    <xf numFmtId="0" fontId="8" fillId="0" borderId="6" xfId="0" applyFont="1" applyBorder="1" applyAlignment="1">
      <alignment vertical="top" shrinkToFit="1"/>
    </xf>
    <xf numFmtId="0" fontId="8" fillId="0" borderId="12" xfId="0" applyFont="1" applyBorder="1" applyAlignment="1">
      <alignment vertical="top" shrinkToFit="1"/>
    </xf>
    <xf numFmtId="0" fontId="8" fillId="0" borderId="9" xfId="0" applyFont="1" applyBorder="1" applyAlignment="1">
      <alignment vertical="top" wrapText="1" shrinkToFit="1"/>
    </xf>
    <xf numFmtId="0" fontId="9" fillId="0" borderId="7" xfId="0" applyFont="1" applyBorder="1" applyAlignment="1">
      <alignment vertical="top" wrapText="1" shrinkToFit="1"/>
    </xf>
    <xf numFmtId="0" fontId="9" fillId="0" borderId="8" xfId="0" applyFont="1" applyBorder="1" applyAlignment="1">
      <alignment vertical="top" wrapText="1" shrinkToFit="1"/>
    </xf>
    <xf numFmtId="0" fontId="2" fillId="0" borderId="6" xfId="0" applyFont="1" applyBorder="1" applyAlignment="1">
      <alignment vertical="center"/>
    </xf>
    <xf numFmtId="0" fontId="2" fillId="0" borderId="17" xfId="0" applyFont="1" applyBorder="1" applyAlignment="1">
      <alignment vertical="center"/>
    </xf>
    <xf numFmtId="0" fontId="0" fillId="0" borderId="18" xfId="0" applyBorder="1" applyAlignment="1">
      <alignment vertical="center"/>
    </xf>
    <xf numFmtId="0" fontId="8" fillId="0" borderId="19" xfId="0" applyFont="1" applyBorder="1" applyAlignment="1">
      <alignment vertical="top" wrapText="1" shrinkToFit="1"/>
    </xf>
    <xf numFmtId="0" fontId="8" fillId="0" borderId="20" xfId="0" applyFont="1" applyBorder="1" applyAlignment="1">
      <alignment vertical="top" wrapText="1" shrinkToFit="1"/>
    </xf>
    <xf numFmtId="0" fontId="8" fillId="0" borderId="18" xfId="0" applyFont="1" applyBorder="1" applyAlignment="1">
      <alignment vertical="top" wrapText="1"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7" fillId="0" borderId="2" xfId="2" applyBorder="1" applyAlignment="1">
      <alignment horizontal="center" vertical="center" shrinkToFit="1"/>
    </xf>
    <xf numFmtId="0" fontId="11" fillId="0" borderId="3" xfId="2" applyFont="1" applyBorder="1" applyAlignment="1">
      <alignment horizontal="center" vertical="center" shrinkToFit="1"/>
    </xf>
    <xf numFmtId="0" fontId="11" fillId="0" borderId="4" xfId="2" applyFont="1" applyBorder="1" applyAlignment="1">
      <alignment horizontal="center" vertical="center" shrinkToFit="1"/>
    </xf>
    <xf numFmtId="0" fontId="2" fillId="0" borderId="19" xfId="0" applyFont="1" applyBorder="1" applyAlignment="1">
      <alignment vertical="center" wrapText="1"/>
    </xf>
    <xf numFmtId="0" fontId="2" fillId="0" borderId="20" xfId="0" applyFont="1" applyBorder="1" applyAlignment="1">
      <alignment vertical="center" wrapText="1"/>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kyougaku@unii.ac.jp"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unii.ac.jp/DataScienceProgram/index-UNP-DS.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unii.ac.jp/DataScienceProgram/index-UNP-DS.html"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www.unii.ac.jp/DataScienceProgram/doc/UNP-DS-Eval2021.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5"/>
  <sheetViews>
    <sheetView tabSelected="1" view="pageBreakPreview" zoomScaleNormal="100" zoomScaleSheetLayoutView="100" workbookViewId="0">
      <selection activeCell="D6" sqref="D6:H6"/>
    </sheetView>
  </sheetViews>
  <sheetFormatPr defaultColWidth="9" defaultRowHeight="18.75" customHeight="1"/>
  <cols>
    <col min="1" max="1" width="3.375" style="14" customWidth="1"/>
    <col min="2" max="2" width="11.125" style="14" customWidth="1"/>
    <col min="3" max="8" width="6.625" style="14" customWidth="1"/>
    <col min="9" max="9" width="3.375" style="14" customWidth="1"/>
    <col min="10" max="10" width="10" style="14" customWidth="1"/>
    <col min="11" max="11" width="3.375" style="14" customWidth="1"/>
    <col min="12" max="12" width="7.75" style="14" customWidth="1"/>
    <col min="13" max="13" width="3.375" style="14" customWidth="1"/>
    <col min="14" max="14" width="4.5" style="14" customWidth="1"/>
    <col min="15" max="15" width="9" style="31"/>
    <col min="16" max="16384" width="9" style="13"/>
  </cols>
  <sheetData>
    <row r="1" spans="1:15" ht="24" customHeight="1">
      <c r="M1" s="142" t="s">
        <v>0</v>
      </c>
      <c r="N1" s="142"/>
    </row>
    <row r="2" spans="1:15" ht="24" customHeight="1">
      <c r="A2" s="146" t="s">
        <v>1</v>
      </c>
      <c r="B2" s="146"/>
      <c r="C2" s="146"/>
      <c r="D2" s="146"/>
      <c r="E2" s="146"/>
      <c r="F2" s="146"/>
      <c r="G2" s="146"/>
      <c r="H2" s="146"/>
      <c r="I2" s="146"/>
      <c r="J2" s="146"/>
      <c r="K2" s="146"/>
      <c r="L2" s="146"/>
      <c r="M2" s="146"/>
      <c r="N2" s="146"/>
    </row>
    <row r="3" spans="1:15" ht="24" customHeight="1"/>
    <row r="4" spans="1:15" ht="24" customHeight="1">
      <c r="A4" s="14" t="s">
        <v>2</v>
      </c>
      <c r="B4" s="15" t="s">
        <v>3</v>
      </c>
      <c r="C4" s="132" t="s">
        <v>4</v>
      </c>
      <c r="D4" s="133"/>
      <c r="E4" s="133"/>
      <c r="F4" s="133"/>
      <c r="G4" s="133"/>
      <c r="H4" s="133"/>
      <c r="I4" s="133"/>
      <c r="J4" s="133"/>
      <c r="K4" s="133"/>
      <c r="L4" s="133"/>
      <c r="M4" s="133"/>
      <c r="N4" s="134"/>
      <c r="O4" s="31" t="str">
        <f>IF(C4="","入力してください","")</f>
        <v/>
      </c>
    </row>
    <row r="5" spans="1:15" ht="7.5" customHeight="1">
      <c r="B5" s="15"/>
      <c r="C5" s="15"/>
      <c r="D5" s="15"/>
      <c r="E5" s="16"/>
      <c r="F5" s="119"/>
      <c r="G5" s="119"/>
      <c r="H5" s="119"/>
      <c r="I5" s="119"/>
      <c r="J5" s="119"/>
      <c r="K5" s="119"/>
      <c r="L5" s="119"/>
      <c r="M5" s="119"/>
      <c r="N5" s="119"/>
    </row>
    <row r="6" spans="1:15" ht="24" customHeight="1">
      <c r="A6" s="14" t="s">
        <v>5</v>
      </c>
      <c r="B6" s="15" t="s">
        <v>6</v>
      </c>
      <c r="C6" s="15"/>
      <c r="D6" s="132" t="s">
        <v>7</v>
      </c>
      <c r="E6" s="133"/>
      <c r="F6" s="133"/>
      <c r="G6" s="133"/>
      <c r="H6" s="134"/>
      <c r="I6" s="17" t="s">
        <v>8</v>
      </c>
      <c r="J6" s="119" t="s">
        <v>9</v>
      </c>
      <c r="K6" s="132" t="s">
        <v>10</v>
      </c>
      <c r="L6" s="133"/>
      <c r="M6" s="133"/>
      <c r="N6" s="134"/>
      <c r="O6" s="31" t="str">
        <f>IF(D6="","入力してください","")</f>
        <v/>
      </c>
    </row>
    <row r="7" spans="1:15" ht="7.5" customHeight="1">
      <c r="B7" s="15"/>
      <c r="C7" s="15"/>
      <c r="D7" s="15"/>
      <c r="E7" s="16"/>
      <c r="F7" s="119"/>
      <c r="G7" s="119"/>
      <c r="H7" s="119"/>
      <c r="I7" s="119"/>
      <c r="J7" s="119"/>
      <c r="K7" s="119"/>
      <c r="L7" s="119"/>
      <c r="M7" s="119"/>
      <c r="N7" s="119"/>
    </row>
    <row r="8" spans="1:15" ht="24" customHeight="1">
      <c r="A8" s="14" t="s">
        <v>11</v>
      </c>
      <c r="B8" s="15" t="s">
        <v>12</v>
      </c>
      <c r="C8" s="132" t="s">
        <v>13</v>
      </c>
      <c r="D8" s="133"/>
      <c r="E8" s="133"/>
      <c r="F8" s="133"/>
      <c r="G8" s="133"/>
      <c r="H8" s="133"/>
      <c r="I8" s="133"/>
      <c r="J8" s="133"/>
      <c r="K8" s="133"/>
      <c r="L8" s="133"/>
      <c r="M8" s="133"/>
      <c r="N8" s="134"/>
      <c r="O8" s="31" t="str">
        <f>IF(C8="","入力してください","")</f>
        <v/>
      </c>
    </row>
    <row r="9" spans="1:15" ht="7.5" customHeight="1">
      <c r="B9" s="15"/>
      <c r="C9" s="15"/>
      <c r="D9" s="15"/>
      <c r="E9" s="16"/>
      <c r="F9" s="119"/>
      <c r="G9" s="119"/>
      <c r="H9" s="119"/>
      <c r="I9" s="119"/>
      <c r="J9" s="119"/>
      <c r="K9" s="119"/>
      <c r="L9" s="119"/>
      <c r="M9" s="119"/>
      <c r="N9" s="119"/>
    </row>
    <row r="10" spans="1:15" ht="24" customHeight="1">
      <c r="A10" s="14" t="s">
        <v>14</v>
      </c>
      <c r="B10" s="15" t="s">
        <v>15</v>
      </c>
      <c r="C10" s="15"/>
      <c r="D10" s="15"/>
      <c r="E10" s="132" t="s">
        <v>16</v>
      </c>
      <c r="F10" s="133"/>
      <c r="G10" s="133"/>
      <c r="H10" s="133"/>
      <c r="I10" s="133"/>
      <c r="J10" s="133"/>
      <c r="K10" s="133"/>
      <c r="L10" s="133"/>
      <c r="M10" s="133"/>
      <c r="N10" s="134"/>
      <c r="O10" s="31" t="str">
        <f>IF(E10="","入力してください","")</f>
        <v/>
      </c>
    </row>
    <row r="11" spans="1:15" ht="7.5" customHeight="1">
      <c r="B11" s="16"/>
      <c r="C11" s="16"/>
      <c r="D11" s="16"/>
      <c r="E11" s="16"/>
      <c r="F11" s="119"/>
      <c r="G11" s="119"/>
      <c r="H11" s="119"/>
      <c r="I11" s="119"/>
      <c r="J11" s="119"/>
      <c r="K11" s="119"/>
      <c r="L11" s="119"/>
      <c r="M11" s="119"/>
      <c r="N11" s="119"/>
    </row>
    <row r="12" spans="1:15" ht="24" customHeight="1">
      <c r="A12" s="14" t="s">
        <v>17</v>
      </c>
      <c r="B12" s="16" t="s">
        <v>18</v>
      </c>
      <c r="C12" s="16"/>
      <c r="D12" s="16"/>
      <c r="E12" s="147" t="s">
        <v>19</v>
      </c>
      <c r="F12" s="148"/>
      <c r="G12" s="17" t="s">
        <v>20</v>
      </c>
      <c r="H12" s="14" t="s">
        <v>21</v>
      </c>
      <c r="N12" s="111" t="s">
        <v>22</v>
      </c>
      <c r="O12" s="31" t="str">
        <f>IF(E12="","入力してください","")</f>
        <v/>
      </c>
    </row>
    <row r="13" spans="1:15" ht="7.5" customHeight="1">
      <c r="B13" s="16"/>
      <c r="C13" s="16"/>
      <c r="D13" s="16"/>
      <c r="E13" s="16"/>
      <c r="F13" s="119"/>
      <c r="G13" s="119"/>
      <c r="H13" s="119"/>
      <c r="I13" s="119"/>
      <c r="J13" s="119"/>
      <c r="K13" s="119"/>
      <c r="L13" s="119"/>
      <c r="M13" s="119"/>
      <c r="N13" s="119"/>
    </row>
    <row r="14" spans="1:15" ht="24" customHeight="1">
      <c r="A14" s="14" t="s">
        <v>23</v>
      </c>
      <c r="B14" s="14" t="s">
        <v>24</v>
      </c>
      <c r="C14" s="143" t="s">
        <v>25</v>
      </c>
      <c r="D14" s="144"/>
      <c r="E14" s="135">
        <v>83</v>
      </c>
      <c r="F14" s="136"/>
      <c r="G14" s="18" t="s">
        <v>26</v>
      </c>
      <c r="I14" s="143" t="s">
        <v>27</v>
      </c>
      <c r="J14" s="144"/>
      <c r="K14" s="135">
        <v>94</v>
      </c>
      <c r="L14" s="145"/>
      <c r="M14" s="136"/>
      <c r="N14" s="19" t="s">
        <v>26</v>
      </c>
      <c r="O14" s="31" t="str">
        <f>IF(OR(E14="",K14=""),"入力してください","")</f>
        <v/>
      </c>
    </row>
    <row r="15" spans="1:15" ht="7.5" customHeight="1">
      <c r="F15" s="20"/>
      <c r="G15" s="20"/>
      <c r="H15" s="20"/>
      <c r="I15" s="20"/>
      <c r="J15" s="20"/>
      <c r="K15" s="20"/>
      <c r="L15" s="20"/>
      <c r="M15" s="19"/>
      <c r="N15" s="19"/>
    </row>
    <row r="16" spans="1:15" ht="24" customHeight="1">
      <c r="A16" s="14" t="s">
        <v>28</v>
      </c>
      <c r="B16" s="14" t="s">
        <v>29</v>
      </c>
      <c r="F16" s="20"/>
      <c r="G16" s="20"/>
      <c r="H16" s="20"/>
      <c r="I16" s="20"/>
      <c r="J16" s="20"/>
      <c r="K16" s="149">
        <v>3</v>
      </c>
      <c r="L16" s="150"/>
      <c r="M16" s="151"/>
      <c r="N16" s="19" t="s">
        <v>26</v>
      </c>
      <c r="O16" s="31" t="str">
        <f>IF(K16="","入力してください","")</f>
        <v/>
      </c>
    </row>
    <row r="17" spans="1:15" ht="7.5" customHeight="1">
      <c r="F17" s="20"/>
      <c r="G17" s="20"/>
      <c r="H17" s="20"/>
      <c r="I17" s="20"/>
      <c r="J17" s="20"/>
      <c r="K17" s="20"/>
      <c r="L17" s="20"/>
      <c r="M17" s="19"/>
      <c r="N17" s="19"/>
    </row>
    <row r="18" spans="1:15" ht="24" customHeight="1">
      <c r="A18" s="14" t="s">
        <v>30</v>
      </c>
      <c r="B18" s="14" t="s">
        <v>31</v>
      </c>
      <c r="E18" s="135">
        <v>360</v>
      </c>
      <c r="F18" s="136"/>
      <c r="G18" s="21" t="s">
        <v>32</v>
      </c>
      <c r="H18" s="20"/>
      <c r="K18" s="155"/>
      <c r="L18" s="155"/>
      <c r="M18" s="155"/>
      <c r="N18" s="155"/>
      <c r="O18" s="31" t="str">
        <f>IF(E18="","入力してください","")</f>
        <v/>
      </c>
    </row>
    <row r="19" spans="1:15" ht="7.5" customHeight="1">
      <c r="E19" s="10"/>
      <c r="F19" s="20"/>
      <c r="G19" s="20"/>
      <c r="L19" s="118"/>
      <c r="M19" s="118"/>
      <c r="N19" s="22"/>
    </row>
    <row r="20" spans="1:15" ht="24" customHeight="1">
      <c r="A20" s="14" t="s">
        <v>33</v>
      </c>
      <c r="B20" s="14" t="s">
        <v>34</v>
      </c>
      <c r="E20" s="10"/>
      <c r="F20" s="20"/>
      <c r="G20" s="20"/>
      <c r="H20" s="14" t="s">
        <v>35</v>
      </c>
      <c r="J20" s="152">
        <v>1432</v>
      </c>
      <c r="K20" s="153"/>
      <c r="L20" s="154"/>
      <c r="M20" s="118" t="s">
        <v>26</v>
      </c>
      <c r="N20" s="22"/>
      <c r="O20" s="31" t="str">
        <f>IF(J20="","入力してください","")</f>
        <v/>
      </c>
    </row>
    <row r="21" spans="1:15" ht="7.5" customHeight="1">
      <c r="E21" s="10"/>
      <c r="F21" s="20"/>
      <c r="G21" s="20"/>
      <c r="L21" s="118"/>
      <c r="M21" s="118"/>
      <c r="N21" s="22"/>
    </row>
    <row r="22" spans="1:15" ht="24" customHeight="1">
      <c r="B22" s="29" t="s">
        <v>36</v>
      </c>
      <c r="C22" s="135">
        <v>381</v>
      </c>
      <c r="D22" s="136"/>
      <c r="E22" s="10" t="s">
        <v>26</v>
      </c>
      <c r="F22" s="20"/>
      <c r="G22" s="131" t="s">
        <v>37</v>
      </c>
      <c r="H22" s="131"/>
      <c r="I22" s="135">
        <v>391</v>
      </c>
      <c r="J22" s="136"/>
      <c r="K22" s="17" t="s">
        <v>26</v>
      </c>
      <c r="M22" s="118"/>
      <c r="N22" s="22"/>
    </row>
    <row r="23" spans="1:15" ht="7.5" customHeight="1">
      <c r="B23" s="29"/>
      <c r="C23" s="11"/>
      <c r="D23" s="11"/>
      <c r="E23" s="10"/>
      <c r="F23" s="20"/>
      <c r="G23" s="118"/>
      <c r="H23" s="118"/>
      <c r="I23" s="11"/>
      <c r="J23" s="11"/>
      <c r="K23" s="17"/>
      <c r="M23" s="118"/>
      <c r="N23" s="22"/>
    </row>
    <row r="24" spans="1:15" ht="24" customHeight="1">
      <c r="B24" s="29" t="s">
        <v>38</v>
      </c>
      <c r="C24" s="135">
        <v>375</v>
      </c>
      <c r="D24" s="136"/>
      <c r="E24" s="10" t="s">
        <v>26</v>
      </c>
      <c r="F24" s="20"/>
      <c r="G24" s="131" t="s">
        <v>39</v>
      </c>
      <c r="H24" s="131"/>
      <c r="I24" s="135">
        <v>285</v>
      </c>
      <c r="J24" s="136"/>
      <c r="K24" s="17" t="s">
        <v>26</v>
      </c>
      <c r="M24" s="118"/>
      <c r="N24" s="22"/>
    </row>
    <row r="25" spans="1:15" ht="7.5" customHeight="1">
      <c r="B25" s="29"/>
      <c r="C25" s="11"/>
      <c r="D25" s="11"/>
      <c r="E25" s="10"/>
      <c r="F25" s="20"/>
      <c r="G25" s="118"/>
      <c r="H25" s="118"/>
      <c r="I25" s="11"/>
      <c r="J25" s="11"/>
      <c r="K25" s="17"/>
      <c r="M25" s="118"/>
      <c r="N25" s="22"/>
    </row>
    <row r="26" spans="1:15" ht="24" customHeight="1">
      <c r="B26" s="29" t="s">
        <v>40</v>
      </c>
      <c r="C26" s="135"/>
      <c r="D26" s="136"/>
      <c r="E26" s="10" t="s">
        <v>26</v>
      </c>
      <c r="F26" s="20"/>
      <c r="G26" s="131" t="s">
        <v>41</v>
      </c>
      <c r="H26" s="131"/>
      <c r="I26" s="135"/>
      <c r="J26" s="136"/>
      <c r="K26" s="17" t="s">
        <v>26</v>
      </c>
      <c r="M26" s="118"/>
      <c r="N26" s="22"/>
    </row>
    <row r="27" spans="1:15" ht="7.5" customHeight="1">
      <c r="F27" s="20"/>
      <c r="G27" s="20"/>
      <c r="M27" s="23"/>
      <c r="N27" s="23"/>
    </row>
    <row r="28" spans="1:15" ht="24" customHeight="1">
      <c r="A28" s="14" t="s">
        <v>42</v>
      </c>
      <c r="B28" s="15" t="s">
        <v>43</v>
      </c>
      <c r="C28" s="15"/>
      <c r="D28" s="15"/>
      <c r="E28" s="15"/>
      <c r="F28" s="17"/>
      <c r="G28" s="119"/>
      <c r="H28" s="119"/>
      <c r="I28" s="119"/>
      <c r="J28" s="24"/>
      <c r="K28" s="24"/>
      <c r="L28" s="24"/>
      <c r="M28" s="24"/>
      <c r="N28" s="24"/>
    </row>
    <row r="29" spans="1:15" s="14" customFormat="1" ht="24" customHeight="1">
      <c r="B29" s="139" t="s">
        <v>44</v>
      </c>
      <c r="C29" s="139"/>
      <c r="D29" s="132" t="s">
        <v>45</v>
      </c>
      <c r="E29" s="133"/>
      <c r="F29" s="133"/>
      <c r="G29" s="140" t="s">
        <v>46</v>
      </c>
      <c r="H29" s="139"/>
      <c r="I29" s="141"/>
      <c r="J29" s="132" t="s">
        <v>47</v>
      </c>
      <c r="K29" s="133"/>
      <c r="L29" s="133"/>
      <c r="M29" s="133"/>
      <c r="N29" s="134"/>
      <c r="O29" s="31" t="str">
        <f>IF(OR(D29="",J29=""),"入力してください","")</f>
        <v/>
      </c>
    </row>
    <row r="30" spans="1:15" ht="7.5" customHeight="1">
      <c r="F30" s="20"/>
      <c r="G30" s="20"/>
      <c r="M30" s="23"/>
      <c r="N30" s="23"/>
    </row>
    <row r="31" spans="1:15" ht="24" customHeight="1">
      <c r="A31" s="14" t="s">
        <v>48</v>
      </c>
      <c r="B31" s="15" t="s">
        <v>49</v>
      </c>
      <c r="C31" s="15"/>
      <c r="D31" s="15"/>
      <c r="E31" s="15"/>
      <c r="F31" s="17"/>
      <c r="G31" s="24"/>
      <c r="H31" s="24"/>
      <c r="I31" s="24"/>
      <c r="J31" s="24"/>
      <c r="K31" s="24"/>
      <c r="L31" s="24"/>
      <c r="M31" s="24"/>
      <c r="N31" s="24"/>
    </row>
    <row r="32" spans="1:15" ht="24" customHeight="1">
      <c r="B32" s="132" t="s">
        <v>50</v>
      </c>
      <c r="C32" s="133"/>
      <c r="D32" s="133"/>
      <c r="E32" s="133"/>
      <c r="F32" s="133"/>
      <c r="G32" s="133"/>
      <c r="H32" s="133"/>
      <c r="I32" s="133"/>
      <c r="J32" s="133"/>
      <c r="K32" s="133"/>
      <c r="L32" s="133"/>
      <c r="M32" s="133"/>
      <c r="N32" s="134"/>
      <c r="O32" s="31" t="str">
        <f>IF(B32="","入力してください","")</f>
        <v/>
      </c>
    </row>
    <row r="33" spans="1:15" ht="7.5" customHeight="1">
      <c r="B33" s="12"/>
      <c r="C33" s="12"/>
      <c r="D33" s="12"/>
      <c r="E33" s="12"/>
      <c r="F33" s="12"/>
      <c r="G33" s="12"/>
      <c r="H33" s="12"/>
      <c r="I33" s="12"/>
      <c r="J33" s="12"/>
      <c r="K33" s="12"/>
      <c r="L33" s="12"/>
      <c r="M33" s="12"/>
      <c r="N33" s="12"/>
    </row>
    <row r="34" spans="1:15" s="14" customFormat="1" ht="24" customHeight="1">
      <c r="B34" s="139" t="s">
        <v>44</v>
      </c>
      <c r="C34" s="139"/>
      <c r="D34" s="132" t="s">
        <v>51</v>
      </c>
      <c r="E34" s="133"/>
      <c r="F34" s="133"/>
      <c r="G34" s="140" t="s">
        <v>46</v>
      </c>
      <c r="H34" s="139"/>
      <c r="I34" s="141"/>
      <c r="J34" s="132" t="s">
        <v>52</v>
      </c>
      <c r="K34" s="133"/>
      <c r="L34" s="133"/>
      <c r="M34" s="133"/>
      <c r="N34" s="134"/>
      <c r="O34" s="31" t="str">
        <f>IF(OR(D34="",J34=""),"入力してください","")</f>
        <v/>
      </c>
    </row>
    <row r="35" spans="1:15" ht="7.5" customHeight="1">
      <c r="F35" s="119"/>
      <c r="G35" s="119"/>
      <c r="H35" s="119"/>
      <c r="I35" s="119"/>
      <c r="J35" s="119"/>
      <c r="K35" s="119"/>
      <c r="L35" s="119"/>
      <c r="M35" s="119"/>
      <c r="N35" s="119"/>
    </row>
    <row r="36" spans="1:15" ht="24" customHeight="1">
      <c r="A36" s="14" t="s">
        <v>53</v>
      </c>
      <c r="B36" s="14" t="s">
        <v>54</v>
      </c>
      <c r="J36" s="114"/>
      <c r="M36" s="23"/>
      <c r="N36" s="23"/>
    </row>
    <row r="37" spans="1:15" ht="24" customHeight="1">
      <c r="B37" s="132" t="s">
        <v>55</v>
      </c>
      <c r="C37" s="133"/>
      <c r="D37" s="133"/>
      <c r="E37" s="133"/>
      <c r="F37" s="133"/>
      <c r="G37" s="133"/>
      <c r="H37" s="133"/>
      <c r="I37" s="133"/>
      <c r="J37" s="133"/>
      <c r="K37" s="133"/>
      <c r="L37" s="133"/>
      <c r="M37" s="133"/>
      <c r="N37" s="134"/>
      <c r="O37" s="31" t="str">
        <f>IF(B37="","入力してください","")</f>
        <v/>
      </c>
    </row>
    <row r="38" spans="1:15" ht="7.5" customHeight="1">
      <c r="F38" s="119"/>
      <c r="G38" s="119"/>
      <c r="H38" s="119"/>
      <c r="I38" s="119"/>
      <c r="J38" s="119"/>
      <c r="K38" s="119"/>
      <c r="L38" s="119"/>
      <c r="M38" s="119"/>
      <c r="N38" s="119"/>
    </row>
    <row r="39" spans="1:15" s="14" customFormat="1" ht="24" customHeight="1">
      <c r="B39" s="139" t="s">
        <v>44</v>
      </c>
      <c r="C39" s="139"/>
      <c r="D39" s="132" t="s">
        <v>51</v>
      </c>
      <c r="E39" s="133"/>
      <c r="F39" s="133"/>
      <c r="G39" s="140" t="s">
        <v>46</v>
      </c>
      <c r="H39" s="139"/>
      <c r="I39" s="141"/>
      <c r="J39" s="132" t="s">
        <v>52</v>
      </c>
      <c r="K39" s="133"/>
      <c r="L39" s="133"/>
      <c r="M39" s="133"/>
      <c r="N39" s="134"/>
      <c r="O39" s="31" t="str">
        <f>IF(OR(D39="",J39=""),"入力してください","")</f>
        <v/>
      </c>
    </row>
    <row r="40" spans="1:15" ht="7.5" customHeight="1">
      <c r="F40" s="119"/>
      <c r="G40" s="119"/>
      <c r="H40" s="119"/>
      <c r="I40" s="119"/>
      <c r="J40" s="119"/>
      <c r="K40" s="119"/>
      <c r="L40" s="119"/>
      <c r="M40" s="119"/>
      <c r="N40" s="119"/>
    </row>
    <row r="41" spans="1:15" ht="24" customHeight="1">
      <c r="A41" s="14" t="s">
        <v>56</v>
      </c>
      <c r="B41" s="67" t="s">
        <v>57</v>
      </c>
      <c r="E41" s="68"/>
      <c r="F41" s="132" t="s">
        <v>58</v>
      </c>
      <c r="G41" s="133"/>
      <c r="H41" s="133"/>
      <c r="I41" s="133"/>
      <c r="J41" s="133"/>
      <c r="K41" s="133"/>
      <c r="L41" s="133"/>
      <c r="M41" s="133"/>
      <c r="N41" s="134"/>
      <c r="O41" s="31" t="str">
        <f>IF(F41="","入力してください","")</f>
        <v/>
      </c>
    </row>
    <row r="42" spans="1:15" ht="7.5" customHeight="1">
      <c r="F42" s="119"/>
      <c r="G42" s="119"/>
      <c r="H42" s="119"/>
      <c r="I42" s="119"/>
      <c r="J42" s="119"/>
      <c r="K42" s="119"/>
      <c r="L42" s="119"/>
      <c r="M42" s="119"/>
      <c r="N42" s="119"/>
    </row>
    <row r="43" spans="1:15" ht="24" customHeight="1">
      <c r="A43" s="14" t="s">
        <v>59</v>
      </c>
    </row>
    <row r="44" spans="1:15" ht="24" customHeight="1">
      <c r="B44" s="30" t="s">
        <v>60</v>
      </c>
      <c r="C44" s="137" t="s">
        <v>61</v>
      </c>
      <c r="D44" s="138"/>
      <c r="E44" s="138"/>
      <c r="F44" s="138"/>
      <c r="G44" s="138"/>
      <c r="H44" s="138"/>
      <c r="I44" s="26" t="s">
        <v>62</v>
      </c>
      <c r="J44" s="27"/>
      <c r="K44" s="132" t="s">
        <v>63</v>
      </c>
      <c r="L44" s="133"/>
      <c r="M44" s="133"/>
      <c r="N44" s="134"/>
      <c r="O44" s="31" t="str">
        <f>IF(OR(C44="",K44=""),"入力してください","")</f>
        <v/>
      </c>
    </row>
    <row r="45" spans="1:15" ht="24" customHeight="1">
      <c r="B45" s="25" t="s">
        <v>64</v>
      </c>
      <c r="C45" s="125" t="s">
        <v>65</v>
      </c>
      <c r="D45" s="126"/>
      <c r="E45" s="126"/>
      <c r="F45" s="126"/>
      <c r="G45" s="126"/>
      <c r="H45" s="127"/>
      <c r="I45" s="26" t="s">
        <v>66</v>
      </c>
      <c r="J45" s="27"/>
      <c r="K45" s="128" t="s">
        <v>67</v>
      </c>
      <c r="L45" s="129"/>
      <c r="M45" s="129"/>
      <c r="N45" s="130"/>
      <c r="O45" s="31" t="str">
        <f>IF(OR(C45="",K45=""),"入力してください","")</f>
        <v/>
      </c>
    </row>
  </sheetData>
  <mergeCells count="44">
    <mergeCell ref="K16:M16"/>
    <mergeCell ref="J20:L20"/>
    <mergeCell ref="G22:H22"/>
    <mergeCell ref="B29:C29"/>
    <mergeCell ref="D29:F29"/>
    <mergeCell ref="G29:I29"/>
    <mergeCell ref="C26:D26"/>
    <mergeCell ref="I22:J22"/>
    <mergeCell ref="C22:D22"/>
    <mergeCell ref="K18:N18"/>
    <mergeCell ref="E18:F18"/>
    <mergeCell ref="J39:N39"/>
    <mergeCell ref="B32:N32"/>
    <mergeCell ref="B37:N37"/>
    <mergeCell ref="G26:H26"/>
    <mergeCell ref="I26:J26"/>
    <mergeCell ref="M1:N1"/>
    <mergeCell ref="C14:D14"/>
    <mergeCell ref="C8:N8"/>
    <mergeCell ref="K14:M14"/>
    <mergeCell ref="C4:N4"/>
    <mergeCell ref="A2:N2"/>
    <mergeCell ref="E14:F14"/>
    <mergeCell ref="I14:J14"/>
    <mergeCell ref="E10:N10"/>
    <mergeCell ref="K6:N6"/>
    <mergeCell ref="D6:H6"/>
    <mergeCell ref="E12:F12"/>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s>
  <phoneticPr fontId="1"/>
  <dataValidations count="3">
    <dataValidation type="list" allowBlank="1" showInputMessage="1" showErrorMessage="1" sqref="K6" xr:uid="{00000000-0002-0000-0000-000000000000}">
      <formula1>"国立大学, 公立大学, 私立大学, 短期大学, 高等専門学校, その他"</formula1>
    </dataValidation>
    <dataValidation type="list" allowBlank="1" showInputMessage="1" showErrorMessage="1" sqref="N12" xr:uid="{00000000-0002-0000-0000-000001000000}">
      <formula1>"有,無"</formula1>
    </dataValidation>
    <dataValidation type="list" allowBlank="1" showInputMessage="1" showErrorMessage="1" sqref="F41:N41" xr:uid="{00000000-0002-0000-0000-000002000000}">
      <formula1>"認定教育プログラム,認定教育プログラム+（プラス）,認定教育プログラムと認定教育プログラム+（プラス）"</formula1>
    </dataValidation>
  </dataValidations>
  <hyperlinks>
    <hyperlink ref="C45" r:id="rId1" xr:uid="{00000000-0004-0000-0000-000000000000}"/>
  </hyperlinks>
  <printOptions horizontalCentered="1"/>
  <pageMargins left="0.78740157480314965" right="0.78740157480314965" top="0.78740157480314965" bottom="0.39370078740157483" header="0.31496062992125984" footer="0.31496062992125984"/>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8"/>
  <sheetViews>
    <sheetView showZeros="0" view="pageBreakPreview" topLeftCell="A2" zoomScaleNormal="100" zoomScaleSheetLayoutView="100" workbookViewId="0">
      <selection activeCell="AA17" sqref="AA17"/>
    </sheetView>
  </sheetViews>
  <sheetFormatPr defaultColWidth="9" defaultRowHeight="18.75" customHeight="1"/>
  <cols>
    <col min="1" max="1" width="2.5" style="13" customWidth="1"/>
    <col min="2" max="2" width="27.75" style="13" customWidth="1"/>
    <col min="3" max="13" width="3.375" style="13" customWidth="1"/>
    <col min="14" max="14" width="8.875" style="13" customWidth="1"/>
    <col min="15" max="15" width="18.875" style="13" customWidth="1"/>
    <col min="16" max="19" width="3.375" style="13" customWidth="1"/>
    <col min="20" max="20" width="3.5" style="13" customWidth="1"/>
    <col min="21" max="26" width="3.375" style="13" customWidth="1"/>
    <col min="27" max="16384" width="9" style="13"/>
  </cols>
  <sheetData>
    <row r="1" spans="1:26" ht="15" customHeight="1">
      <c r="W1" s="244" t="s">
        <v>68</v>
      </c>
      <c r="X1" s="244"/>
      <c r="Y1" s="244"/>
      <c r="Z1" s="244"/>
    </row>
    <row r="2" spans="1:26" ht="18" customHeight="1">
      <c r="A2" s="208" t="s">
        <v>69</v>
      </c>
      <c r="B2" s="208"/>
      <c r="C2" s="208"/>
      <c r="D2" s="208"/>
      <c r="E2" s="208"/>
      <c r="F2" s="208"/>
      <c r="G2" s="208"/>
      <c r="H2" s="208"/>
      <c r="I2" s="208"/>
      <c r="J2" s="208"/>
      <c r="K2" s="208"/>
      <c r="L2" s="208"/>
      <c r="M2" s="208"/>
      <c r="N2" s="208"/>
      <c r="O2" s="208"/>
      <c r="P2" s="208"/>
      <c r="Q2" s="208"/>
      <c r="R2" s="208"/>
      <c r="S2" s="208"/>
      <c r="T2" s="208"/>
      <c r="U2" s="208"/>
      <c r="V2" s="208"/>
      <c r="W2" s="208"/>
      <c r="X2" s="208"/>
      <c r="Y2" s="208"/>
      <c r="Z2" s="208"/>
    </row>
    <row r="3" spans="1:26" ht="15" customHeight="1">
      <c r="B3" s="29"/>
      <c r="C3" s="29"/>
      <c r="D3" s="29"/>
      <c r="E3" s="29"/>
      <c r="F3" s="29"/>
      <c r="G3" s="29"/>
      <c r="H3" s="29"/>
      <c r="I3" s="29"/>
      <c r="J3" s="29"/>
      <c r="K3" s="29"/>
      <c r="L3" s="29"/>
      <c r="M3" s="29"/>
      <c r="N3" s="29"/>
      <c r="O3" s="29"/>
      <c r="P3" s="29"/>
      <c r="Q3" s="29"/>
      <c r="R3" s="29"/>
      <c r="S3" s="29"/>
      <c r="T3" s="29"/>
      <c r="U3" s="29"/>
      <c r="V3" s="29"/>
      <c r="W3" s="29"/>
      <c r="X3" s="29"/>
      <c r="Y3" s="29"/>
      <c r="Z3" s="29"/>
    </row>
    <row r="4" spans="1:26" ht="18" customHeight="1">
      <c r="A4" s="13" t="s">
        <v>70</v>
      </c>
      <c r="B4" s="29"/>
      <c r="C4" s="29"/>
      <c r="D4" s="29"/>
      <c r="E4" s="29"/>
      <c r="F4" s="29"/>
      <c r="G4" s="29"/>
      <c r="H4" s="15" t="s">
        <v>71</v>
      </c>
      <c r="I4" s="29"/>
      <c r="J4" s="29"/>
      <c r="K4" s="29"/>
      <c r="L4" s="29"/>
      <c r="M4" s="29"/>
      <c r="N4" s="29"/>
      <c r="O4" s="149" t="s">
        <v>72</v>
      </c>
      <c r="P4" s="150"/>
      <c r="Q4" s="150"/>
      <c r="R4" s="150"/>
      <c r="S4" s="150"/>
      <c r="T4" s="150"/>
      <c r="U4" s="150"/>
      <c r="V4" s="150"/>
      <c r="W4" s="150"/>
      <c r="X4" s="150"/>
      <c r="Y4" s="150"/>
      <c r="Z4" s="151"/>
    </row>
    <row r="5" spans="1:26" ht="6" customHeight="1">
      <c r="B5" s="29"/>
      <c r="C5" s="29"/>
      <c r="D5" s="29"/>
      <c r="E5" s="29"/>
      <c r="F5" s="29"/>
      <c r="G5" s="29"/>
      <c r="H5" s="29"/>
      <c r="I5" s="29"/>
      <c r="J5" s="29"/>
      <c r="K5" s="29"/>
      <c r="L5" s="29"/>
      <c r="M5" s="29"/>
      <c r="N5" s="29"/>
      <c r="O5" s="16"/>
      <c r="P5" s="29"/>
      <c r="Q5" s="29"/>
      <c r="R5" s="29"/>
      <c r="S5" s="29"/>
      <c r="T5" s="29"/>
      <c r="U5" s="29"/>
      <c r="V5" s="29"/>
      <c r="W5" s="29"/>
      <c r="X5" s="29"/>
      <c r="Y5" s="29"/>
      <c r="Z5" s="29"/>
    </row>
    <row r="6" spans="1:26" ht="18" customHeight="1">
      <c r="B6" s="209" t="s">
        <v>73</v>
      </c>
      <c r="C6" s="210"/>
      <c r="D6" s="210"/>
      <c r="E6" s="210"/>
      <c r="F6" s="210"/>
      <c r="G6" s="210"/>
      <c r="H6" s="210"/>
      <c r="I6" s="210"/>
      <c r="J6" s="210"/>
      <c r="K6" s="210"/>
      <c r="L6" s="210"/>
      <c r="M6" s="210"/>
      <c r="N6" s="210"/>
      <c r="O6" s="210"/>
      <c r="P6" s="210"/>
      <c r="Q6" s="210"/>
      <c r="R6" s="210"/>
      <c r="S6" s="210"/>
      <c r="T6" s="210"/>
      <c r="U6" s="210"/>
      <c r="V6" s="210"/>
      <c r="W6" s="210"/>
      <c r="X6" s="210"/>
      <c r="Y6" s="210"/>
      <c r="Z6" s="211"/>
    </row>
    <row r="7" spans="1:26" ht="18" customHeight="1">
      <c r="B7" s="212"/>
      <c r="C7" s="213"/>
      <c r="D7" s="213"/>
      <c r="E7" s="213"/>
      <c r="F7" s="213"/>
      <c r="G7" s="213"/>
      <c r="H7" s="213"/>
      <c r="I7" s="213"/>
      <c r="J7" s="213"/>
      <c r="K7" s="213"/>
      <c r="L7" s="213"/>
      <c r="M7" s="213"/>
      <c r="N7" s="213"/>
      <c r="O7" s="213"/>
      <c r="P7" s="213"/>
      <c r="Q7" s="213"/>
      <c r="R7" s="213"/>
      <c r="S7" s="213"/>
      <c r="T7" s="213"/>
      <c r="U7" s="213"/>
      <c r="V7" s="213"/>
      <c r="W7" s="213"/>
      <c r="X7" s="213"/>
      <c r="Y7" s="213"/>
      <c r="Z7" s="214"/>
    </row>
    <row r="8" spans="1:26" ht="18" customHeight="1">
      <c r="B8" s="212"/>
      <c r="C8" s="213"/>
      <c r="D8" s="213"/>
      <c r="E8" s="213"/>
      <c r="F8" s="213"/>
      <c r="G8" s="213"/>
      <c r="H8" s="213"/>
      <c r="I8" s="213"/>
      <c r="J8" s="213"/>
      <c r="K8" s="213"/>
      <c r="L8" s="213"/>
      <c r="M8" s="213"/>
      <c r="N8" s="213"/>
      <c r="O8" s="213"/>
      <c r="P8" s="213"/>
      <c r="Q8" s="213"/>
      <c r="R8" s="213"/>
      <c r="S8" s="213"/>
      <c r="T8" s="213"/>
      <c r="U8" s="213"/>
      <c r="V8" s="213"/>
      <c r="W8" s="213"/>
      <c r="X8" s="213"/>
      <c r="Y8" s="213"/>
      <c r="Z8" s="214"/>
    </row>
    <row r="9" spans="1:26" ht="18" customHeight="1">
      <c r="B9" s="212"/>
      <c r="C9" s="213"/>
      <c r="D9" s="213"/>
      <c r="E9" s="213"/>
      <c r="F9" s="213"/>
      <c r="G9" s="213"/>
      <c r="H9" s="213"/>
      <c r="I9" s="213"/>
      <c r="J9" s="213"/>
      <c r="K9" s="213"/>
      <c r="L9" s="213"/>
      <c r="M9" s="213"/>
      <c r="N9" s="213"/>
      <c r="O9" s="213"/>
      <c r="P9" s="213"/>
      <c r="Q9" s="213"/>
      <c r="R9" s="213"/>
      <c r="S9" s="213"/>
      <c r="T9" s="213"/>
      <c r="U9" s="213"/>
      <c r="V9" s="213"/>
      <c r="W9" s="213"/>
      <c r="X9" s="213"/>
      <c r="Y9" s="213"/>
      <c r="Z9" s="214"/>
    </row>
    <row r="10" spans="1:26" ht="18" customHeight="1">
      <c r="B10" s="212"/>
      <c r="C10" s="215"/>
      <c r="D10" s="215"/>
      <c r="E10" s="215"/>
      <c r="F10" s="215"/>
      <c r="G10" s="215"/>
      <c r="H10" s="215"/>
      <c r="I10" s="215"/>
      <c r="J10" s="215"/>
      <c r="K10" s="215"/>
      <c r="L10" s="215"/>
      <c r="M10" s="215"/>
      <c r="N10" s="215"/>
      <c r="O10" s="215"/>
      <c r="P10" s="215"/>
      <c r="Q10" s="215"/>
      <c r="R10" s="215"/>
      <c r="S10" s="215"/>
      <c r="T10" s="215"/>
      <c r="U10" s="215"/>
      <c r="V10" s="215"/>
      <c r="W10" s="215"/>
      <c r="X10" s="215"/>
      <c r="Y10" s="215"/>
      <c r="Z10" s="214"/>
    </row>
    <row r="11" spans="1:26" ht="18" customHeight="1">
      <c r="B11" s="216"/>
      <c r="C11" s="217"/>
      <c r="D11" s="217"/>
      <c r="E11" s="217"/>
      <c r="F11" s="217"/>
      <c r="G11" s="217"/>
      <c r="H11" s="217"/>
      <c r="I11" s="217"/>
      <c r="J11" s="217"/>
      <c r="K11" s="217"/>
      <c r="L11" s="217"/>
      <c r="M11" s="217"/>
      <c r="N11" s="217"/>
      <c r="O11" s="217"/>
      <c r="P11" s="217"/>
      <c r="Q11" s="217"/>
      <c r="R11" s="217"/>
      <c r="S11" s="217"/>
      <c r="T11" s="217"/>
      <c r="U11" s="217"/>
      <c r="V11" s="217"/>
      <c r="W11" s="217"/>
      <c r="X11" s="217"/>
      <c r="Y11" s="217"/>
      <c r="Z11" s="218"/>
    </row>
    <row r="12" spans="1:26" ht="7.5" customHeight="1">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spans="1:26" ht="18" customHeight="1">
      <c r="A13" s="204" t="s">
        <v>74</v>
      </c>
      <c r="B13" s="204"/>
      <c r="C13" s="204"/>
      <c r="D13" s="204"/>
      <c r="E13" s="204"/>
      <c r="F13" s="204"/>
      <c r="G13" s="204"/>
      <c r="H13" s="204"/>
      <c r="I13" s="204"/>
      <c r="J13" s="204"/>
      <c r="K13" s="204"/>
      <c r="L13" s="204"/>
      <c r="M13" s="204"/>
      <c r="N13" s="204"/>
      <c r="O13" s="204"/>
      <c r="P13" s="204"/>
      <c r="Q13" s="204"/>
      <c r="R13" s="204"/>
      <c r="S13" s="204"/>
      <c r="T13" s="204"/>
      <c r="U13" s="204"/>
      <c r="V13" s="204"/>
      <c r="W13" s="204"/>
      <c r="X13" s="204"/>
      <c r="Y13" s="204"/>
      <c r="Z13" s="204"/>
    </row>
    <row r="14" spans="1:26" ht="18" customHeight="1">
      <c r="A14" s="204"/>
      <c r="B14" s="204"/>
      <c r="C14" s="204"/>
      <c r="D14" s="204"/>
      <c r="E14" s="204"/>
      <c r="F14" s="204"/>
      <c r="G14" s="204"/>
      <c r="H14" s="204"/>
      <c r="I14" s="204"/>
      <c r="J14" s="204"/>
      <c r="K14" s="204"/>
      <c r="L14" s="204"/>
      <c r="M14" s="204"/>
      <c r="N14" s="204"/>
      <c r="O14" s="204"/>
      <c r="P14" s="204"/>
      <c r="Q14" s="204"/>
      <c r="R14" s="204"/>
      <c r="S14" s="204"/>
      <c r="T14" s="204"/>
      <c r="U14" s="204"/>
      <c r="V14" s="204"/>
      <c r="W14" s="204"/>
      <c r="X14" s="204"/>
      <c r="Y14" s="204"/>
      <c r="Z14" s="204"/>
    </row>
    <row r="15" spans="1:26" ht="18" customHeight="1">
      <c r="A15" s="14"/>
      <c r="B15" s="149" t="s">
        <v>75</v>
      </c>
      <c r="C15" s="150"/>
      <c r="D15" s="150"/>
      <c r="E15" s="150"/>
      <c r="F15" s="151"/>
      <c r="G15" s="30" t="s">
        <v>76</v>
      </c>
      <c r="H15" s="106" t="s">
        <v>77</v>
      </c>
      <c r="I15" s="150" t="s">
        <v>78</v>
      </c>
      <c r="J15" s="150"/>
      <c r="K15" s="150"/>
      <c r="L15" s="69" t="s">
        <v>79</v>
      </c>
      <c r="M15" s="69" t="s">
        <v>80</v>
      </c>
      <c r="N15" s="149" t="s">
        <v>75</v>
      </c>
      <c r="O15" s="150"/>
      <c r="P15" s="150"/>
      <c r="Q15" s="150"/>
      <c r="R15" s="150"/>
      <c r="S15" s="151"/>
      <c r="T15" s="30" t="s">
        <v>76</v>
      </c>
      <c r="U15" s="106" t="s">
        <v>77</v>
      </c>
      <c r="V15" s="150" t="s">
        <v>78</v>
      </c>
      <c r="W15" s="150"/>
      <c r="X15" s="150"/>
      <c r="Y15" s="69" t="s">
        <v>79</v>
      </c>
      <c r="Z15" s="69" t="s">
        <v>80</v>
      </c>
    </row>
    <row r="16" spans="1:26" ht="18" customHeight="1">
      <c r="A16" s="14"/>
      <c r="B16" s="195" t="s">
        <v>81</v>
      </c>
      <c r="C16" s="196"/>
      <c r="D16" s="196"/>
      <c r="E16" s="196"/>
      <c r="F16" s="197"/>
      <c r="G16" s="107">
        <v>2</v>
      </c>
      <c r="H16" s="107" t="s">
        <v>82</v>
      </c>
      <c r="I16" s="189" t="s">
        <v>83</v>
      </c>
      <c r="J16" s="190"/>
      <c r="K16" s="191"/>
      <c r="L16" s="107" t="s">
        <v>82</v>
      </c>
      <c r="M16" s="107" t="s">
        <v>82</v>
      </c>
      <c r="N16" s="156"/>
      <c r="O16" s="157"/>
      <c r="P16" s="157"/>
      <c r="Q16" s="157"/>
      <c r="R16" s="157"/>
      <c r="S16" s="158"/>
      <c r="T16" s="107"/>
      <c r="U16" s="107"/>
      <c r="V16" s="189"/>
      <c r="W16" s="190"/>
      <c r="X16" s="191"/>
      <c r="Y16" s="107"/>
      <c r="Z16" s="107"/>
    </row>
    <row r="17" spans="1:26" ht="18" customHeight="1">
      <c r="A17" s="14"/>
      <c r="B17" s="198"/>
      <c r="C17" s="199"/>
      <c r="D17" s="199"/>
      <c r="E17" s="199"/>
      <c r="F17" s="200"/>
      <c r="G17" s="108"/>
      <c r="H17" s="108"/>
      <c r="I17" s="192"/>
      <c r="J17" s="193"/>
      <c r="K17" s="194"/>
      <c r="L17" s="108"/>
      <c r="M17" s="108"/>
      <c r="N17" s="165"/>
      <c r="O17" s="166"/>
      <c r="P17" s="166"/>
      <c r="Q17" s="166"/>
      <c r="R17" s="166"/>
      <c r="S17" s="167"/>
      <c r="T17" s="108"/>
      <c r="U17" s="108"/>
      <c r="V17" s="192"/>
      <c r="W17" s="193"/>
      <c r="X17" s="194"/>
      <c r="Y17" s="108"/>
      <c r="Z17" s="108"/>
    </row>
    <row r="18" spans="1:26" ht="18" customHeight="1">
      <c r="A18" s="14"/>
      <c r="B18" s="198" t="s">
        <v>84</v>
      </c>
      <c r="C18" s="199"/>
      <c r="D18" s="199"/>
      <c r="E18" s="199"/>
      <c r="F18" s="200"/>
      <c r="G18" s="108"/>
      <c r="H18" s="108"/>
      <c r="I18" s="192"/>
      <c r="J18" s="193"/>
      <c r="K18" s="194"/>
      <c r="L18" s="108"/>
      <c r="M18" s="108"/>
      <c r="N18" s="165"/>
      <c r="O18" s="166"/>
      <c r="P18" s="166"/>
      <c r="Q18" s="166"/>
      <c r="R18" s="166"/>
      <c r="S18" s="167"/>
      <c r="T18" s="108"/>
      <c r="U18" s="108"/>
      <c r="V18" s="192"/>
      <c r="W18" s="193"/>
      <c r="X18" s="194"/>
      <c r="Y18" s="108"/>
      <c r="Z18" s="108"/>
    </row>
    <row r="19" spans="1:26" ht="18" customHeight="1">
      <c r="A19" s="14"/>
      <c r="B19" s="198" t="s">
        <v>85</v>
      </c>
      <c r="C19" s="199"/>
      <c r="D19" s="199"/>
      <c r="E19" s="199"/>
      <c r="F19" s="200"/>
      <c r="G19" s="108">
        <v>2</v>
      </c>
      <c r="H19" s="108"/>
      <c r="I19" s="192" t="s">
        <v>86</v>
      </c>
      <c r="J19" s="193"/>
      <c r="K19" s="194"/>
      <c r="L19" s="108" t="s">
        <v>82</v>
      </c>
      <c r="M19" s="108" t="s">
        <v>82</v>
      </c>
      <c r="N19" s="165"/>
      <c r="O19" s="166"/>
      <c r="P19" s="166"/>
      <c r="Q19" s="166"/>
      <c r="R19" s="166"/>
      <c r="S19" s="167"/>
      <c r="T19" s="108"/>
      <c r="U19" s="108"/>
      <c r="V19" s="192"/>
      <c r="W19" s="193"/>
      <c r="X19" s="194"/>
      <c r="Y19" s="108"/>
      <c r="Z19" s="108"/>
    </row>
    <row r="20" spans="1:26" ht="18" customHeight="1">
      <c r="A20" s="14"/>
      <c r="B20" s="198"/>
      <c r="C20" s="199"/>
      <c r="D20" s="199"/>
      <c r="E20" s="199"/>
      <c r="F20" s="200"/>
      <c r="G20" s="108"/>
      <c r="H20" s="108"/>
      <c r="I20" s="192"/>
      <c r="J20" s="193"/>
      <c r="K20" s="194"/>
      <c r="L20" s="108"/>
      <c r="M20" s="108"/>
      <c r="N20" s="165"/>
      <c r="O20" s="166"/>
      <c r="P20" s="166"/>
      <c r="Q20" s="166"/>
      <c r="R20" s="166"/>
      <c r="S20" s="167"/>
      <c r="T20" s="108"/>
      <c r="U20" s="108"/>
      <c r="V20" s="192"/>
      <c r="W20" s="193"/>
      <c r="X20" s="194"/>
      <c r="Y20" s="108"/>
      <c r="Z20" s="108"/>
    </row>
    <row r="21" spans="1:26" ht="18" customHeight="1">
      <c r="A21" s="29"/>
      <c r="B21" s="198"/>
      <c r="C21" s="199"/>
      <c r="D21" s="199"/>
      <c r="E21" s="199"/>
      <c r="F21" s="200"/>
      <c r="G21" s="108"/>
      <c r="H21" s="108"/>
      <c r="I21" s="192"/>
      <c r="J21" s="193"/>
      <c r="K21" s="194"/>
      <c r="L21" s="108"/>
      <c r="M21" s="108"/>
      <c r="N21" s="165"/>
      <c r="O21" s="166"/>
      <c r="P21" s="166"/>
      <c r="Q21" s="166"/>
      <c r="R21" s="166"/>
      <c r="S21" s="167"/>
      <c r="T21" s="108"/>
      <c r="U21" s="108"/>
      <c r="V21" s="192"/>
      <c r="W21" s="193"/>
      <c r="X21" s="194"/>
      <c r="Y21" s="108"/>
      <c r="Z21" s="108"/>
    </row>
    <row r="22" spans="1:26" ht="18" customHeight="1">
      <c r="A22" s="29"/>
      <c r="B22" s="205"/>
      <c r="C22" s="206"/>
      <c r="D22" s="206"/>
      <c r="E22" s="206"/>
      <c r="F22" s="207"/>
      <c r="G22" s="109"/>
      <c r="H22" s="109"/>
      <c r="I22" s="201"/>
      <c r="J22" s="202"/>
      <c r="K22" s="203"/>
      <c r="L22" s="112"/>
      <c r="M22" s="112"/>
      <c r="N22" s="225"/>
      <c r="O22" s="226"/>
      <c r="P22" s="226"/>
      <c r="Q22" s="226"/>
      <c r="R22" s="226"/>
      <c r="S22" s="227"/>
      <c r="T22" s="109"/>
      <c r="U22" s="109"/>
      <c r="V22" s="201"/>
      <c r="W22" s="202"/>
      <c r="X22" s="203"/>
      <c r="Y22" s="112"/>
      <c r="Z22" s="112"/>
    </row>
    <row r="23" spans="1:26" ht="7.5" customHeight="1">
      <c r="A23" s="29"/>
      <c r="B23" s="70"/>
      <c r="C23" s="70"/>
      <c r="D23" s="29"/>
      <c r="E23" s="29"/>
      <c r="F23" s="29"/>
      <c r="G23" s="29"/>
      <c r="H23" s="29"/>
      <c r="I23" s="29"/>
      <c r="J23" s="29"/>
      <c r="K23" s="29"/>
      <c r="L23" s="70"/>
      <c r="M23" s="70"/>
      <c r="N23" s="70"/>
      <c r="O23" s="70"/>
      <c r="P23" s="70"/>
      <c r="Q23" s="70"/>
      <c r="R23" s="70"/>
      <c r="S23" s="70"/>
      <c r="T23" s="70"/>
      <c r="U23" s="70"/>
      <c r="V23" s="70"/>
      <c r="W23" s="70"/>
      <c r="X23" s="70"/>
      <c r="Y23" s="70"/>
      <c r="Z23" s="29"/>
    </row>
    <row r="24" spans="1:26" ht="18" customHeight="1">
      <c r="A24" s="204" t="s">
        <v>87</v>
      </c>
      <c r="B24" s="204"/>
      <c r="C24" s="204"/>
      <c r="D24" s="204"/>
      <c r="E24" s="204"/>
      <c r="F24" s="204"/>
      <c r="G24" s="204"/>
      <c r="H24" s="204"/>
      <c r="I24" s="204"/>
      <c r="J24" s="204"/>
      <c r="K24" s="204"/>
      <c r="L24" s="204"/>
      <c r="M24" s="204"/>
      <c r="N24" s="204"/>
      <c r="O24" s="204"/>
      <c r="P24" s="204"/>
      <c r="Q24" s="204"/>
      <c r="R24" s="204"/>
      <c r="S24" s="204"/>
      <c r="T24" s="204"/>
      <c r="U24" s="204"/>
      <c r="V24" s="204"/>
      <c r="W24" s="204"/>
      <c r="X24" s="204"/>
      <c r="Y24" s="204"/>
      <c r="Z24" s="204"/>
    </row>
    <row r="25" spans="1:26" ht="18" customHeight="1">
      <c r="A25" s="204"/>
      <c r="B25" s="204"/>
      <c r="C25" s="204"/>
      <c r="D25" s="204"/>
      <c r="E25" s="204"/>
      <c r="F25" s="204"/>
      <c r="G25" s="204"/>
      <c r="H25" s="204"/>
      <c r="I25" s="204"/>
      <c r="J25" s="204"/>
      <c r="K25" s="204"/>
      <c r="L25" s="204"/>
      <c r="M25" s="204"/>
      <c r="N25" s="204"/>
      <c r="O25" s="204"/>
      <c r="P25" s="204"/>
      <c r="Q25" s="204"/>
      <c r="R25" s="204"/>
      <c r="S25" s="204"/>
      <c r="T25" s="204"/>
      <c r="U25" s="204"/>
      <c r="V25" s="204"/>
      <c r="W25" s="204"/>
      <c r="X25" s="204"/>
      <c r="Y25" s="204"/>
      <c r="Z25" s="204"/>
    </row>
    <row r="26" spans="1:26" ht="18" customHeight="1">
      <c r="A26" s="14"/>
      <c r="B26" s="149" t="s">
        <v>75</v>
      </c>
      <c r="C26" s="150"/>
      <c r="D26" s="150"/>
      <c r="E26" s="150"/>
      <c r="F26" s="151"/>
      <c r="G26" s="30" t="s">
        <v>76</v>
      </c>
      <c r="H26" s="106" t="s">
        <v>77</v>
      </c>
      <c r="I26" s="150" t="s">
        <v>78</v>
      </c>
      <c r="J26" s="150"/>
      <c r="K26" s="150"/>
      <c r="L26" s="69" t="s">
        <v>88</v>
      </c>
      <c r="M26" s="69" t="s">
        <v>89</v>
      </c>
      <c r="N26" s="149" t="s">
        <v>75</v>
      </c>
      <c r="O26" s="150"/>
      <c r="P26" s="150"/>
      <c r="Q26" s="150"/>
      <c r="R26" s="150"/>
      <c r="S26" s="151"/>
      <c r="T26" s="30" t="s">
        <v>76</v>
      </c>
      <c r="U26" s="106" t="s">
        <v>77</v>
      </c>
      <c r="V26" s="150" t="s">
        <v>78</v>
      </c>
      <c r="W26" s="150"/>
      <c r="X26" s="150"/>
      <c r="Y26" s="69" t="s">
        <v>88</v>
      </c>
      <c r="Z26" s="69" t="s">
        <v>89</v>
      </c>
    </row>
    <row r="27" spans="1:26" ht="18" customHeight="1">
      <c r="A27" s="14"/>
      <c r="B27" s="195" t="s">
        <v>81</v>
      </c>
      <c r="C27" s="196"/>
      <c r="D27" s="196"/>
      <c r="E27" s="196"/>
      <c r="F27" s="197"/>
      <c r="G27" s="107">
        <v>2</v>
      </c>
      <c r="H27" s="107" t="s">
        <v>82</v>
      </c>
      <c r="I27" s="189" t="s">
        <v>83</v>
      </c>
      <c r="J27" s="190"/>
      <c r="K27" s="191"/>
      <c r="L27" s="107" t="s">
        <v>82</v>
      </c>
      <c r="M27" s="107" t="s">
        <v>82</v>
      </c>
      <c r="N27" s="156"/>
      <c r="O27" s="157"/>
      <c r="P27" s="157"/>
      <c r="Q27" s="157"/>
      <c r="R27" s="157"/>
      <c r="S27" s="158"/>
      <c r="T27" s="107"/>
      <c r="U27" s="107"/>
      <c r="V27" s="189"/>
      <c r="W27" s="190"/>
      <c r="X27" s="191"/>
      <c r="Y27" s="107"/>
      <c r="Z27" s="107"/>
    </row>
    <row r="28" spans="1:26" ht="18" customHeight="1">
      <c r="A28" s="14"/>
      <c r="B28" s="198"/>
      <c r="C28" s="199"/>
      <c r="D28" s="199"/>
      <c r="E28" s="199"/>
      <c r="F28" s="200"/>
      <c r="G28" s="108"/>
      <c r="H28" s="108"/>
      <c r="I28" s="192"/>
      <c r="J28" s="193"/>
      <c r="K28" s="194"/>
      <c r="L28" s="108"/>
      <c r="M28" s="108"/>
      <c r="N28" s="165"/>
      <c r="O28" s="166"/>
      <c r="P28" s="166"/>
      <c r="Q28" s="166"/>
      <c r="R28" s="166"/>
      <c r="S28" s="167"/>
      <c r="T28" s="108"/>
      <c r="U28" s="108"/>
      <c r="V28" s="192"/>
      <c r="W28" s="193"/>
      <c r="X28" s="194"/>
      <c r="Y28" s="108"/>
      <c r="Z28" s="108"/>
    </row>
    <row r="29" spans="1:26" ht="18" customHeight="1">
      <c r="A29" s="14"/>
      <c r="B29" s="198" t="s">
        <v>90</v>
      </c>
      <c r="C29" s="199"/>
      <c r="D29" s="199"/>
      <c r="E29" s="199"/>
      <c r="F29" s="200"/>
      <c r="G29" s="108"/>
      <c r="H29" s="108"/>
      <c r="I29" s="192"/>
      <c r="J29" s="193"/>
      <c r="K29" s="194"/>
      <c r="L29" s="108"/>
      <c r="M29" s="108"/>
      <c r="N29" s="165"/>
      <c r="O29" s="166"/>
      <c r="P29" s="166"/>
      <c r="Q29" s="166"/>
      <c r="R29" s="166"/>
      <c r="S29" s="167"/>
      <c r="T29" s="108"/>
      <c r="U29" s="108"/>
      <c r="V29" s="192"/>
      <c r="W29" s="193"/>
      <c r="X29" s="194"/>
      <c r="Y29" s="108"/>
      <c r="Z29" s="108"/>
    </row>
    <row r="30" spans="1:26" ht="18" customHeight="1">
      <c r="A30" s="14"/>
      <c r="B30" s="198" t="s">
        <v>85</v>
      </c>
      <c r="C30" s="199"/>
      <c r="D30" s="199"/>
      <c r="E30" s="199"/>
      <c r="F30" s="200"/>
      <c r="G30" s="108">
        <v>2</v>
      </c>
      <c r="H30" s="108"/>
      <c r="I30" s="192" t="s">
        <v>86</v>
      </c>
      <c r="J30" s="193"/>
      <c r="K30" s="194"/>
      <c r="L30" s="108" t="s">
        <v>82</v>
      </c>
      <c r="M30" s="108" t="s">
        <v>82</v>
      </c>
      <c r="N30" s="165"/>
      <c r="O30" s="166"/>
      <c r="P30" s="166"/>
      <c r="Q30" s="166"/>
      <c r="R30" s="166"/>
      <c r="S30" s="167"/>
      <c r="T30" s="108"/>
      <c r="U30" s="108"/>
      <c r="V30" s="192"/>
      <c r="W30" s="193"/>
      <c r="X30" s="194"/>
      <c r="Y30" s="108"/>
      <c r="Z30" s="108"/>
    </row>
    <row r="31" spans="1:26" ht="18" customHeight="1">
      <c r="A31" s="14"/>
      <c r="B31" s="198"/>
      <c r="C31" s="199"/>
      <c r="D31" s="199"/>
      <c r="E31" s="199"/>
      <c r="F31" s="200"/>
      <c r="G31" s="108"/>
      <c r="H31" s="108"/>
      <c r="I31" s="192"/>
      <c r="J31" s="193"/>
      <c r="K31" s="194"/>
      <c r="L31" s="108"/>
      <c r="M31" s="108"/>
      <c r="N31" s="165"/>
      <c r="O31" s="166"/>
      <c r="P31" s="166"/>
      <c r="Q31" s="166"/>
      <c r="R31" s="166"/>
      <c r="S31" s="167"/>
      <c r="T31" s="108"/>
      <c r="U31" s="108"/>
      <c r="V31" s="192"/>
      <c r="W31" s="193"/>
      <c r="X31" s="194"/>
      <c r="Y31" s="108"/>
      <c r="Z31" s="108"/>
    </row>
    <row r="32" spans="1:26" ht="18" customHeight="1">
      <c r="A32" s="14"/>
      <c r="B32" s="198"/>
      <c r="C32" s="199"/>
      <c r="D32" s="199"/>
      <c r="E32" s="199"/>
      <c r="F32" s="200"/>
      <c r="G32" s="108"/>
      <c r="H32" s="108"/>
      <c r="I32" s="192"/>
      <c r="J32" s="193"/>
      <c r="K32" s="194"/>
      <c r="L32" s="108"/>
      <c r="M32" s="108"/>
      <c r="N32" s="165"/>
      <c r="O32" s="166"/>
      <c r="P32" s="166"/>
      <c r="Q32" s="166"/>
      <c r="R32" s="166"/>
      <c r="S32" s="167"/>
      <c r="T32" s="108"/>
      <c r="U32" s="108"/>
      <c r="V32" s="192"/>
      <c r="W32" s="193"/>
      <c r="X32" s="194"/>
      <c r="Y32" s="108"/>
      <c r="Z32" s="108"/>
    </row>
    <row r="33" spans="1:26" ht="18" customHeight="1">
      <c r="A33" s="14"/>
      <c r="B33" s="205"/>
      <c r="C33" s="206"/>
      <c r="D33" s="206"/>
      <c r="E33" s="206"/>
      <c r="F33" s="207"/>
      <c r="G33" s="109"/>
      <c r="H33" s="109"/>
      <c r="I33" s="201"/>
      <c r="J33" s="202"/>
      <c r="K33" s="203"/>
      <c r="L33" s="112"/>
      <c r="M33" s="112"/>
      <c r="N33" s="225"/>
      <c r="O33" s="226"/>
      <c r="P33" s="226"/>
      <c r="Q33" s="226"/>
      <c r="R33" s="226"/>
      <c r="S33" s="227"/>
      <c r="T33" s="109"/>
      <c r="U33" s="109"/>
      <c r="V33" s="201"/>
      <c r="W33" s="202"/>
      <c r="X33" s="203"/>
      <c r="Y33" s="112"/>
      <c r="Z33" s="112"/>
    </row>
    <row r="34" spans="1:26" ht="7.5" customHeight="1">
      <c r="A34" s="29"/>
      <c r="B34" s="70"/>
      <c r="C34" s="70"/>
      <c r="D34" s="29"/>
      <c r="E34" s="29"/>
      <c r="F34" s="29"/>
      <c r="G34" s="29"/>
      <c r="H34" s="29"/>
      <c r="I34" s="29"/>
      <c r="J34" s="29"/>
      <c r="K34" s="29"/>
      <c r="L34" s="70"/>
      <c r="M34" s="70"/>
      <c r="N34" s="70"/>
      <c r="O34" s="70"/>
      <c r="P34" s="70"/>
      <c r="Q34" s="70"/>
      <c r="R34" s="70"/>
      <c r="S34" s="70"/>
      <c r="T34" s="70"/>
      <c r="U34" s="70"/>
      <c r="V34" s="70"/>
      <c r="W34" s="70"/>
      <c r="X34" s="70"/>
      <c r="Y34" s="70"/>
      <c r="Z34" s="29"/>
    </row>
    <row r="35" spans="1:26" ht="18" customHeight="1">
      <c r="A35" s="204" t="s">
        <v>91</v>
      </c>
      <c r="B35" s="204"/>
      <c r="C35" s="204"/>
      <c r="D35" s="204"/>
      <c r="E35" s="204"/>
      <c r="F35" s="204"/>
      <c r="G35" s="204"/>
      <c r="H35" s="204"/>
      <c r="I35" s="204"/>
      <c r="J35" s="204"/>
      <c r="K35" s="204"/>
      <c r="L35" s="204"/>
      <c r="M35" s="204"/>
      <c r="N35" s="204"/>
      <c r="O35" s="204"/>
      <c r="P35" s="204"/>
      <c r="Q35" s="204"/>
      <c r="R35" s="204"/>
      <c r="S35" s="204"/>
      <c r="T35" s="204"/>
      <c r="U35" s="204"/>
      <c r="V35" s="204"/>
      <c r="W35" s="204"/>
      <c r="X35" s="204"/>
      <c r="Y35" s="204"/>
      <c r="Z35" s="204"/>
    </row>
    <row r="36" spans="1:26" ht="18" customHeight="1">
      <c r="A36" s="204"/>
      <c r="B36" s="204"/>
      <c r="C36" s="204"/>
      <c r="D36" s="204"/>
      <c r="E36" s="204"/>
      <c r="F36" s="204"/>
      <c r="G36" s="204"/>
      <c r="H36" s="204"/>
      <c r="I36" s="204"/>
      <c r="J36" s="204"/>
      <c r="K36" s="204"/>
      <c r="L36" s="204"/>
      <c r="M36" s="204"/>
      <c r="N36" s="204"/>
      <c r="O36" s="204"/>
      <c r="P36" s="204"/>
      <c r="Q36" s="204"/>
      <c r="R36" s="204"/>
      <c r="S36" s="204"/>
      <c r="T36" s="204"/>
      <c r="U36" s="204"/>
      <c r="V36" s="204"/>
      <c r="W36" s="204"/>
      <c r="X36" s="204"/>
      <c r="Y36" s="204"/>
      <c r="Z36" s="204"/>
    </row>
    <row r="37" spans="1:26" ht="18" customHeight="1">
      <c r="A37" s="14"/>
      <c r="B37" s="149" t="s">
        <v>75</v>
      </c>
      <c r="C37" s="150"/>
      <c r="D37" s="150"/>
      <c r="E37" s="150"/>
      <c r="F37" s="151"/>
      <c r="G37" s="30" t="s">
        <v>76</v>
      </c>
      <c r="H37" s="106" t="s">
        <v>77</v>
      </c>
      <c r="I37" s="149" t="s">
        <v>78</v>
      </c>
      <c r="J37" s="150"/>
      <c r="K37" s="151"/>
      <c r="L37" s="69" t="s">
        <v>92</v>
      </c>
      <c r="M37" s="69" t="s">
        <v>93</v>
      </c>
      <c r="N37" s="149" t="s">
        <v>75</v>
      </c>
      <c r="O37" s="150"/>
      <c r="P37" s="150"/>
      <c r="Q37" s="150"/>
      <c r="R37" s="150"/>
      <c r="S37" s="151"/>
      <c r="T37" s="30" t="s">
        <v>76</v>
      </c>
      <c r="U37" s="106" t="s">
        <v>77</v>
      </c>
      <c r="V37" s="149" t="s">
        <v>78</v>
      </c>
      <c r="W37" s="150"/>
      <c r="X37" s="151"/>
      <c r="Y37" s="69" t="s">
        <v>92</v>
      </c>
      <c r="Z37" s="69" t="s">
        <v>93</v>
      </c>
    </row>
    <row r="38" spans="1:26" ht="18" customHeight="1">
      <c r="A38" s="29"/>
      <c r="B38" s="195" t="s">
        <v>81</v>
      </c>
      <c r="C38" s="196"/>
      <c r="D38" s="196"/>
      <c r="E38" s="196"/>
      <c r="F38" s="197"/>
      <c r="G38" s="107">
        <v>2</v>
      </c>
      <c r="H38" s="107" t="s">
        <v>82</v>
      </c>
      <c r="I38" s="189" t="s">
        <v>83</v>
      </c>
      <c r="J38" s="190"/>
      <c r="K38" s="191"/>
      <c r="L38" s="107" t="s">
        <v>82</v>
      </c>
      <c r="M38" s="107" t="s">
        <v>82</v>
      </c>
      <c r="N38" s="156"/>
      <c r="O38" s="157"/>
      <c r="P38" s="157"/>
      <c r="Q38" s="157"/>
      <c r="R38" s="157"/>
      <c r="S38" s="158"/>
      <c r="T38" s="107"/>
      <c r="U38" s="107"/>
      <c r="V38" s="189"/>
      <c r="W38" s="190"/>
      <c r="X38" s="191"/>
      <c r="Y38" s="107"/>
      <c r="Z38" s="107"/>
    </row>
    <row r="39" spans="1:26" ht="18" customHeight="1">
      <c r="A39" s="29"/>
      <c r="B39" s="198"/>
      <c r="C39" s="199"/>
      <c r="D39" s="199"/>
      <c r="E39" s="199"/>
      <c r="F39" s="200"/>
      <c r="G39" s="108"/>
      <c r="H39" s="108"/>
      <c r="I39" s="192"/>
      <c r="J39" s="193"/>
      <c r="K39" s="194"/>
      <c r="L39" s="108"/>
      <c r="M39" s="108"/>
      <c r="N39" s="165"/>
      <c r="O39" s="166"/>
      <c r="P39" s="166"/>
      <c r="Q39" s="166"/>
      <c r="R39" s="166"/>
      <c r="S39" s="167"/>
      <c r="T39" s="108"/>
      <c r="U39" s="108"/>
      <c r="V39" s="192"/>
      <c r="W39" s="193"/>
      <c r="X39" s="194"/>
      <c r="Y39" s="108"/>
      <c r="Z39" s="108"/>
    </row>
    <row r="40" spans="1:26" ht="18" customHeight="1">
      <c r="A40" s="29"/>
      <c r="B40" s="198" t="s">
        <v>84</v>
      </c>
      <c r="C40" s="199"/>
      <c r="D40" s="199"/>
      <c r="E40" s="199"/>
      <c r="F40" s="200"/>
      <c r="G40" s="108"/>
      <c r="H40" s="108"/>
      <c r="I40" s="192"/>
      <c r="J40" s="193"/>
      <c r="K40" s="194"/>
      <c r="L40" s="108"/>
      <c r="M40" s="108"/>
      <c r="N40" s="165"/>
      <c r="O40" s="166"/>
      <c r="P40" s="166"/>
      <c r="Q40" s="166"/>
      <c r="R40" s="166"/>
      <c r="S40" s="167"/>
      <c r="T40" s="108"/>
      <c r="U40" s="108"/>
      <c r="V40" s="192"/>
      <c r="W40" s="193"/>
      <c r="X40" s="194"/>
      <c r="Y40" s="108"/>
      <c r="Z40" s="108"/>
    </row>
    <row r="41" spans="1:26" ht="18" customHeight="1">
      <c r="A41" s="29"/>
      <c r="B41" s="198" t="s">
        <v>85</v>
      </c>
      <c r="C41" s="199"/>
      <c r="D41" s="199"/>
      <c r="E41" s="199"/>
      <c r="F41" s="200"/>
      <c r="G41" s="108">
        <v>2</v>
      </c>
      <c r="H41" s="108"/>
      <c r="I41" s="192" t="s">
        <v>86</v>
      </c>
      <c r="J41" s="193"/>
      <c r="K41" s="194"/>
      <c r="L41" s="108" t="s">
        <v>82</v>
      </c>
      <c r="M41" s="108" t="s">
        <v>82</v>
      </c>
      <c r="N41" s="165"/>
      <c r="O41" s="166"/>
      <c r="P41" s="166"/>
      <c r="Q41" s="166"/>
      <c r="R41" s="166"/>
      <c r="S41" s="167"/>
      <c r="T41" s="108"/>
      <c r="U41" s="108"/>
      <c r="V41" s="192"/>
      <c r="W41" s="193"/>
      <c r="X41" s="194"/>
      <c r="Y41" s="108"/>
      <c r="Z41" s="108"/>
    </row>
    <row r="42" spans="1:26" ht="18" customHeight="1">
      <c r="A42" s="29"/>
      <c r="B42" s="198"/>
      <c r="C42" s="199"/>
      <c r="D42" s="199"/>
      <c r="E42" s="199"/>
      <c r="F42" s="200"/>
      <c r="G42" s="108"/>
      <c r="H42" s="108"/>
      <c r="I42" s="192"/>
      <c r="J42" s="193"/>
      <c r="K42" s="194"/>
      <c r="L42" s="108"/>
      <c r="M42" s="108"/>
      <c r="N42" s="165"/>
      <c r="O42" s="166"/>
      <c r="P42" s="166"/>
      <c r="Q42" s="166"/>
      <c r="R42" s="166"/>
      <c r="S42" s="167"/>
      <c r="T42" s="108"/>
      <c r="U42" s="108"/>
      <c r="V42" s="192"/>
      <c r="W42" s="193"/>
      <c r="X42" s="194"/>
      <c r="Y42" s="108"/>
      <c r="Z42" s="108"/>
    </row>
    <row r="43" spans="1:26" ht="18" customHeight="1">
      <c r="A43" s="29"/>
      <c r="B43" s="198"/>
      <c r="C43" s="199"/>
      <c r="D43" s="199"/>
      <c r="E43" s="199"/>
      <c r="F43" s="200"/>
      <c r="G43" s="108"/>
      <c r="H43" s="108"/>
      <c r="I43" s="192"/>
      <c r="J43" s="193"/>
      <c r="K43" s="194"/>
      <c r="L43" s="108"/>
      <c r="M43" s="108"/>
      <c r="N43" s="165"/>
      <c r="O43" s="166"/>
      <c r="P43" s="166"/>
      <c r="Q43" s="166"/>
      <c r="R43" s="166"/>
      <c r="S43" s="167"/>
      <c r="T43" s="108"/>
      <c r="U43" s="108"/>
      <c r="V43" s="192"/>
      <c r="W43" s="193"/>
      <c r="X43" s="194"/>
      <c r="Y43" s="108"/>
      <c r="Z43" s="108"/>
    </row>
    <row r="44" spans="1:26" ht="18" customHeight="1">
      <c r="A44" s="29"/>
      <c r="B44" s="205"/>
      <c r="C44" s="206"/>
      <c r="D44" s="206"/>
      <c r="E44" s="206"/>
      <c r="F44" s="207"/>
      <c r="G44" s="109"/>
      <c r="H44" s="109"/>
      <c r="I44" s="201"/>
      <c r="J44" s="202"/>
      <c r="K44" s="203"/>
      <c r="L44" s="112"/>
      <c r="M44" s="112"/>
      <c r="N44" s="225"/>
      <c r="O44" s="226"/>
      <c r="P44" s="226"/>
      <c r="Q44" s="226"/>
      <c r="R44" s="226"/>
      <c r="S44" s="227"/>
      <c r="T44" s="109"/>
      <c r="U44" s="109"/>
      <c r="V44" s="201"/>
      <c r="W44" s="202"/>
      <c r="X44" s="203"/>
      <c r="Y44" s="112"/>
      <c r="Z44" s="112"/>
    </row>
    <row r="45" spans="1:26" ht="7.5" customHeight="1">
      <c r="B45" s="71"/>
      <c r="C45" s="71"/>
      <c r="D45" s="71"/>
      <c r="E45" s="71"/>
      <c r="F45" s="71"/>
      <c r="G45" s="71"/>
      <c r="H45" s="71"/>
      <c r="I45" s="71"/>
      <c r="J45" s="71"/>
      <c r="K45" s="71"/>
      <c r="L45" s="71"/>
      <c r="M45" s="71"/>
      <c r="N45" s="71"/>
      <c r="O45" s="71"/>
      <c r="P45" s="71"/>
      <c r="Q45" s="71"/>
      <c r="R45" s="71"/>
      <c r="S45" s="71"/>
      <c r="T45" s="71"/>
      <c r="U45" s="71"/>
      <c r="V45" s="71"/>
      <c r="W45" s="71"/>
      <c r="X45" s="71"/>
      <c r="Y45" s="71"/>
    </row>
    <row r="46" spans="1:26" ht="18" customHeight="1">
      <c r="A46" s="204" t="s">
        <v>94</v>
      </c>
      <c r="B46" s="204"/>
      <c r="C46" s="204"/>
      <c r="D46" s="204"/>
      <c r="E46" s="204"/>
      <c r="F46" s="204"/>
      <c r="G46" s="204"/>
      <c r="H46" s="204"/>
      <c r="I46" s="204"/>
      <c r="J46" s="204"/>
      <c r="K46" s="204"/>
      <c r="L46" s="204"/>
      <c r="M46" s="204"/>
      <c r="N46" s="204"/>
      <c r="O46" s="204"/>
      <c r="P46" s="204"/>
      <c r="Q46" s="204"/>
      <c r="R46" s="204"/>
      <c r="S46" s="204"/>
      <c r="T46" s="204"/>
      <c r="U46" s="204"/>
      <c r="V46" s="204"/>
      <c r="W46" s="204"/>
      <c r="X46" s="204"/>
      <c r="Y46" s="204"/>
      <c r="Z46" s="204"/>
    </row>
    <row r="47" spans="1:26" ht="18" customHeight="1">
      <c r="A47" s="204"/>
      <c r="B47" s="204"/>
      <c r="C47" s="204"/>
      <c r="D47" s="204"/>
      <c r="E47" s="204"/>
      <c r="F47" s="204"/>
      <c r="G47" s="204"/>
      <c r="H47" s="204"/>
      <c r="I47" s="204"/>
      <c r="J47" s="204"/>
      <c r="K47" s="204"/>
      <c r="L47" s="204"/>
      <c r="M47" s="204"/>
      <c r="N47" s="204"/>
      <c r="O47" s="204"/>
      <c r="P47" s="204"/>
      <c r="Q47" s="204"/>
      <c r="R47" s="204"/>
      <c r="S47" s="204"/>
      <c r="T47" s="204"/>
      <c r="U47" s="204"/>
      <c r="V47" s="204"/>
      <c r="W47" s="204"/>
      <c r="X47" s="204"/>
      <c r="Y47" s="204"/>
      <c r="Z47" s="204"/>
    </row>
    <row r="48" spans="1:26" ht="18" customHeight="1">
      <c r="A48" s="14"/>
      <c r="B48" s="149" t="s">
        <v>75</v>
      </c>
      <c r="C48" s="150"/>
      <c r="D48" s="150"/>
      <c r="E48" s="150"/>
      <c r="F48" s="151"/>
      <c r="G48" s="30" t="s">
        <v>76</v>
      </c>
      <c r="H48" s="106" t="s">
        <v>77</v>
      </c>
      <c r="I48" s="149" t="s">
        <v>78</v>
      </c>
      <c r="J48" s="150"/>
      <c r="K48" s="151"/>
      <c r="L48" s="69" t="s">
        <v>95</v>
      </c>
      <c r="M48" s="69" t="s">
        <v>96</v>
      </c>
      <c r="N48" s="149" t="s">
        <v>75</v>
      </c>
      <c r="O48" s="150"/>
      <c r="P48" s="150"/>
      <c r="Q48" s="150"/>
      <c r="R48" s="150"/>
      <c r="S48" s="151"/>
      <c r="T48" s="30" t="s">
        <v>76</v>
      </c>
      <c r="U48" s="106" t="s">
        <v>77</v>
      </c>
      <c r="V48" s="149" t="s">
        <v>78</v>
      </c>
      <c r="W48" s="150"/>
      <c r="X48" s="151"/>
      <c r="Y48" s="69" t="s">
        <v>95</v>
      </c>
      <c r="Z48" s="69" t="s">
        <v>96</v>
      </c>
    </row>
    <row r="49" spans="1:26" ht="18" customHeight="1">
      <c r="A49" s="29"/>
      <c r="B49" s="195" t="s">
        <v>81</v>
      </c>
      <c r="C49" s="196"/>
      <c r="D49" s="196"/>
      <c r="E49" s="196"/>
      <c r="F49" s="197"/>
      <c r="G49" s="107">
        <v>2</v>
      </c>
      <c r="H49" s="107" t="s">
        <v>97</v>
      </c>
      <c r="I49" s="189" t="s">
        <v>83</v>
      </c>
      <c r="J49" s="190"/>
      <c r="K49" s="191"/>
      <c r="L49" s="107" t="s">
        <v>82</v>
      </c>
      <c r="M49" s="107" t="s">
        <v>82</v>
      </c>
      <c r="N49" s="156"/>
      <c r="O49" s="157"/>
      <c r="P49" s="157"/>
      <c r="Q49" s="157"/>
      <c r="R49" s="157"/>
      <c r="S49" s="158"/>
      <c r="T49" s="107"/>
      <c r="U49" s="107"/>
      <c r="V49" s="189"/>
      <c r="W49" s="190"/>
      <c r="X49" s="191"/>
      <c r="Y49" s="107"/>
      <c r="Z49" s="107"/>
    </row>
    <row r="50" spans="1:26" ht="18" customHeight="1">
      <c r="A50" s="29"/>
      <c r="B50" s="198"/>
      <c r="C50" s="199"/>
      <c r="D50" s="199"/>
      <c r="E50" s="199"/>
      <c r="F50" s="200"/>
      <c r="G50" s="108"/>
      <c r="H50" s="108"/>
      <c r="I50" s="192"/>
      <c r="J50" s="193"/>
      <c r="K50" s="194"/>
      <c r="L50" s="108"/>
      <c r="M50" s="108"/>
      <c r="N50" s="165"/>
      <c r="O50" s="166"/>
      <c r="P50" s="166"/>
      <c r="Q50" s="166"/>
      <c r="R50" s="166"/>
      <c r="S50" s="167"/>
      <c r="T50" s="108"/>
      <c r="U50" s="108"/>
      <c r="V50" s="192"/>
      <c r="W50" s="193"/>
      <c r="X50" s="194"/>
      <c r="Y50" s="108"/>
      <c r="Z50" s="108"/>
    </row>
    <row r="51" spans="1:26" ht="18" customHeight="1">
      <c r="A51" s="29"/>
      <c r="B51" s="198" t="s">
        <v>90</v>
      </c>
      <c r="C51" s="199"/>
      <c r="D51" s="199"/>
      <c r="E51" s="199"/>
      <c r="F51" s="200"/>
      <c r="G51" s="108"/>
      <c r="H51" s="108"/>
      <c r="I51" s="192"/>
      <c r="J51" s="193"/>
      <c r="K51" s="194"/>
      <c r="L51" s="108"/>
      <c r="M51" s="108"/>
      <c r="N51" s="165"/>
      <c r="O51" s="166"/>
      <c r="P51" s="166"/>
      <c r="Q51" s="166"/>
      <c r="R51" s="166"/>
      <c r="S51" s="167"/>
      <c r="T51" s="108"/>
      <c r="U51" s="108"/>
      <c r="V51" s="192"/>
      <c r="W51" s="193"/>
      <c r="X51" s="194"/>
      <c r="Y51" s="108"/>
      <c r="Z51" s="108"/>
    </row>
    <row r="52" spans="1:26" ht="18" customHeight="1">
      <c r="A52" s="29"/>
      <c r="B52" s="198" t="s">
        <v>85</v>
      </c>
      <c r="C52" s="199"/>
      <c r="D52" s="199"/>
      <c r="E52" s="199"/>
      <c r="F52" s="200"/>
      <c r="G52" s="108">
        <v>2</v>
      </c>
      <c r="H52" s="108"/>
      <c r="I52" s="192" t="s">
        <v>86</v>
      </c>
      <c r="J52" s="193"/>
      <c r="K52" s="194"/>
      <c r="L52" s="108" t="s">
        <v>82</v>
      </c>
      <c r="M52" s="108" t="s">
        <v>82</v>
      </c>
      <c r="N52" s="165"/>
      <c r="O52" s="166"/>
      <c r="P52" s="166"/>
      <c r="Q52" s="166"/>
      <c r="R52" s="166"/>
      <c r="S52" s="167"/>
      <c r="T52" s="108"/>
      <c r="U52" s="108"/>
      <c r="V52" s="192"/>
      <c r="W52" s="193"/>
      <c r="X52" s="194"/>
      <c r="Y52" s="108"/>
      <c r="Z52" s="108"/>
    </row>
    <row r="53" spans="1:26" ht="18" customHeight="1">
      <c r="A53" s="29"/>
      <c r="B53" s="198"/>
      <c r="C53" s="199"/>
      <c r="D53" s="199"/>
      <c r="E53" s="199"/>
      <c r="F53" s="200"/>
      <c r="G53" s="108"/>
      <c r="H53" s="108"/>
      <c r="I53" s="192"/>
      <c r="J53" s="193"/>
      <c r="K53" s="194"/>
      <c r="L53" s="108"/>
      <c r="M53" s="108"/>
      <c r="N53" s="165"/>
      <c r="O53" s="166"/>
      <c r="P53" s="166"/>
      <c r="Q53" s="166"/>
      <c r="R53" s="166"/>
      <c r="S53" s="167"/>
      <c r="T53" s="108"/>
      <c r="U53" s="108"/>
      <c r="V53" s="192"/>
      <c r="W53" s="193"/>
      <c r="X53" s="194"/>
      <c r="Y53" s="108"/>
      <c r="Z53" s="108"/>
    </row>
    <row r="54" spans="1:26" ht="18" customHeight="1">
      <c r="A54" s="29"/>
      <c r="B54" s="198"/>
      <c r="C54" s="199"/>
      <c r="D54" s="199"/>
      <c r="E54" s="199"/>
      <c r="F54" s="200"/>
      <c r="G54" s="108"/>
      <c r="H54" s="108"/>
      <c r="I54" s="192"/>
      <c r="J54" s="193"/>
      <c r="K54" s="194"/>
      <c r="L54" s="108"/>
      <c r="M54" s="108"/>
      <c r="N54" s="165"/>
      <c r="O54" s="166"/>
      <c r="P54" s="166"/>
      <c r="Q54" s="166"/>
      <c r="R54" s="166"/>
      <c r="S54" s="167"/>
      <c r="T54" s="108"/>
      <c r="U54" s="108"/>
      <c r="V54" s="192"/>
      <c r="W54" s="193"/>
      <c r="X54" s="194"/>
      <c r="Y54" s="108"/>
      <c r="Z54" s="108"/>
    </row>
    <row r="55" spans="1:26" ht="18" customHeight="1">
      <c r="A55" s="29"/>
      <c r="B55" s="205"/>
      <c r="C55" s="206"/>
      <c r="D55" s="206"/>
      <c r="E55" s="206"/>
      <c r="F55" s="207"/>
      <c r="G55" s="109"/>
      <c r="H55" s="109"/>
      <c r="I55" s="201"/>
      <c r="J55" s="202"/>
      <c r="K55" s="203"/>
      <c r="L55" s="112"/>
      <c r="M55" s="112"/>
      <c r="N55" s="225"/>
      <c r="O55" s="226"/>
      <c r="P55" s="226"/>
      <c r="Q55" s="226"/>
      <c r="R55" s="226"/>
      <c r="S55" s="227"/>
      <c r="T55" s="109"/>
      <c r="U55" s="109"/>
      <c r="V55" s="201"/>
      <c r="W55" s="202"/>
      <c r="X55" s="203"/>
      <c r="Y55" s="112"/>
      <c r="Z55" s="112"/>
    </row>
    <row r="56" spans="1:26" ht="7.5" customHeight="1">
      <c r="B56" s="71"/>
      <c r="C56" s="71"/>
      <c r="D56" s="71"/>
      <c r="E56" s="71"/>
      <c r="F56" s="71"/>
      <c r="G56" s="71"/>
      <c r="H56" s="71"/>
      <c r="I56" s="71"/>
      <c r="J56" s="71"/>
      <c r="K56" s="71"/>
      <c r="L56" s="71"/>
      <c r="M56" s="71"/>
      <c r="N56" s="71"/>
      <c r="O56" s="71"/>
      <c r="P56" s="71"/>
      <c r="Q56" s="71"/>
      <c r="R56" s="71"/>
      <c r="S56" s="71"/>
      <c r="T56" s="71"/>
      <c r="U56" s="71"/>
      <c r="V56" s="71"/>
      <c r="W56" s="71"/>
      <c r="X56" s="71"/>
      <c r="Y56" s="71"/>
    </row>
    <row r="57" spans="1:26" ht="18" customHeight="1">
      <c r="A57" s="204" t="s">
        <v>98</v>
      </c>
      <c r="B57" s="204"/>
      <c r="C57" s="204"/>
      <c r="D57" s="204"/>
      <c r="E57" s="204"/>
      <c r="F57" s="204"/>
      <c r="G57" s="204"/>
      <c r="H57" s="204"/>
      <c r="I57" s="204"/>
      <c r="J57" s="204"/>
      <c r="K57" s="204"/>
      <c r="L57" s="204"/>
      <c r="M57" s="204"/>
      <c r="N57" s="204"/>
      <c r="O57" s="204"/>
      <c r="P57" s="204"/>
      <c r="Q57" s="204"/>
      <c r="R57" s="204"/>
      <c r="S57" s="204"/>
      <c r="T57" s="204"/>
      <c r="U57" s="204"/>
      <c r="V57" s="204"/>
      <c r="W57" s="204"/>
      <c r="X57" s="204"/>
      <c r="Y57" s="204"/>
      <c r="Z57" s="204"/>
    </row>
    <row r="58" spans="1:26" ht="18" customHeight="1">
      <c r="A58" s="204"/>
      <c r="B58" s="204"/>
      <c r="C58" s="204"/>
      <c r="D58" s="204"/>
      <c r="E58" s="204"/>
      <c r="F58" s="204"/>
      <c r="G58" s="204"/>
      <c r="H58" s="204"/>
      <c r="I58" s="204"/>
      <c r="J58" s="204"/>
      <c r="K58" s="204"/>
      <c r="L58" s="204"/>
      <c r="M58" s="204"/>
      <c r="N58" s="204"/>
      <c r="O58" s="204"/>
      <c r="P58" s="204"/>
      <c r="Q58" s="204"/>
      <c r="R58" s="204"/>
      <c r="S58" s="204"/>
      <c r="T58" s="204"/>
      <c r="U58" s="204"/>
      <c r="V58" s="204"/>
      <c r="W58" s="204"/>
      <c r="X58" s="204"/>
      <c r="Y58" s="204"/>
      <c r="Z58" s="204"/>
    </row>
    <row r="59" spans="1:26" ht="18" customHeight="1">
      <c r="A59" s="14"/>
      <c r="B59" s="149" t="s">
        <v>75</v>
      </c>
      <c r="C59" s="150"/>
      <c r="D59" s="150"/>
      <c r="E59" s="151"/>
      <c r="F59" s="30" t="s">
        <v>76</v>
      </c>
      <c r="G59" s="106" t="s">
        <v>77</v>
      </c>
      <c r="H59" s="101" t="s">
        <v>78</v>
      </c>
      <c r="I59" s="102"/>
      <c r="J59" s="103"/>
      <c r="K59" s="69" t="s">
        <v>99</v>
      </c>
      <c r="L59" s="69" t="s">
        <v>100</v>
      </c>
      <c r="M59" s="69" t="s">
        <v>101</v>
      </c>
      <c r="N59" s="149" t="s">
        <v>75</v>
      </c>
      <c r="O59" s="150"/>
      <c r="P59" s="150"/>
      <c r="Q59" s="150"/>
      <c r="R59" s="151"/>
      <c r="S59" s="30" t="s">
        <v>76</v>
      </c>
      <c r="T59" s="106" t="s">
        <v>77</v>
      </c>
      <c r="U59" s="101" t="s">
        <v>78</v>
      </c>
      <c r="V59" s="102"/>
      <c r="W59" s="103"/>
      <c r="X59" s="69" t="s">
        <v>99</v>
      </c>
      <c r="Y59" s="69" t="s">
        <v>100</v>
      </c>
      <c r="Z59" s="69" t="s">
        <v>101</v>
      </c>
    </row>
    <row r="60" spans="1:26" ht="18" customHeight="1">
      <c r="A60" s="29"/>
      <c r="B60" s="156" t="s">
        <v>102</v>
      </c>
      <c r="C60" s="157"/>
      <c r="D60" s="157"/>
      <c r="E60" s="158"/>
      <c r="F60" s="107">
        <v>2</v>
      </c>
      <c r="G60" s="107" t="s">
        <v>82</v>
      </c>
      <c r="H60" s="189" t="s">
        <v>86</v>
      </c>
      <c r="I60" s="190"/>
      <c r="J60" s="191"/>
      <c r="K60" s="107" t="s">
        <v>82</v>
      </c>
      <c r="L60" s="107" t="s">
        <v>82</v>
      </c>
      <c r="M60" s="107" t="s">
        <v>82</v>
      </c>
      <c r="N60" s="156"/>
      <c r="O60" s="157"/>
      <c r="P60" s="157"/>
      <c r="Q60" s="157"/>
      <c r="R60" s="158"/>
      <c r="S60" s="107"/>
      <c r="T60" s="107"/>
      <c r="U60" s="189"/>
      <c r="V60" s="190"/>
      <c r="W60" s="191"/>
      <c r="X60" s="122"/>
      <c r="Y60" s="107"/>
      <c r="Z60" s="107"/>
    </row>
    <row r="61" spans="1:26" ht="18" customHeight="1">
      <c r="A61" s="29"/>
      <c r="B61" s="165"/>
      <c r="C61" s="166"/>
      <c r="D61" s="166"/>
      <c r="E61" s="167"/>
      <c r="F61" s="108"/>
      <c r="G61" s="108"/>
      <c r="H61" s="192"/>
      <c r="I61" s="193"/>
      <c r="J61" s="194"/>
      <c r="K61" s="108"/>
      <c r="L61" s="108"/>
      <c r="M61" s="108"/>
      <c r="N61" s="165"/>
      <c r="O61" s="166"/>
      <c r="P61" s="166"/>
      <c r="Q61" s="166"/>
      <c r="R61" s="167"/>
      <c r="S61" s="108"/>
      <c r="T61" s="108"/>
      <c r="U61" s="192"/>
      <c r="V61" s="193"/>
      <c r="W61" s="194"/>
      <c r="X61" s="120"/>
      <c r="Y61" s="108"/>
      <c r="Z61" s="108"/>
    </row>
    <row r="62" spans="1:26" ht="18" customHeight="1">
      <c r="A62" s="29"/>
      <c r="B62" s="165" t="s">
        <v>84</v>
      </c>
      <c r="C62" s="166"/>
      <c r="D62" s="166"/>
      <c r="E62" s="167"/>
      <c r="F62" s="108"/>
      <c r="G62" s="108"/>
      <c r="H62" s="192"/>
      <c r="I62" s="193"/>
      <c r="J62" s="194"/>
      <c r="K62" s="120"/>
      <c r="L62" s="108"/>
      <c r="M62" s="108"/>
      <c r="N62" s="165"/>
      <c r="O62" s="166"/>
      <c r="P62" s="166"/>
      <c r="Q62" s="166"/>
      <c r="R62" s="167"/>
      <c r="S62" s="108"/>
      <c r="T62" s="108"/>
      <c r="U62" s="192"/>
      <c r="V62" s="193"/>
      <c r="W62" s="194"/>
      <c r="X62" s="120"/>
      <c r="Y62" s="108"/>
      <c r="Z62" s="108"/>
    </row>
    <row r="63" spans="1:26" ht="18" customHeight="1">
      <c r="A63" s="29"/>
      <c r="B63" s="165" t="s">
        <v>85</v>
      </c>
      <c r="C63" s="166"/>
      <c r="D63" s="166"/>
      <c r="E63" s="167"/>
      <c r="F63" s="108">
        <v>2</v>
      </c>
      <c r="G63" s="108"/>
      <c r="H63" s="192" t="s">
        <v>86</v>
      </c>
      <c r="I63" s="193"/>
      <c r="J63" s="194"/>
      <c r="K63" s="108" t="s">
        <v>82</v>
      </c>
      <c r="L63" s="108" t="s">
        <v>82</v>
      </c>
      <c r="M63" s="108" t="s">
        <v>82</v>
      </c>
      <c r="N63" s="165"/>
      <c r="O63" s="166"/>
      <c r="P63" s="166"/>
      <c r="Q63" s="166"/>
      <c r="R63" s="167"/>
      <c r="S63" s="108"/>
      <c r="T63" s="108"/>
      <c r="U63" s="192"/>
      <c r="V63" s="193"/>
      <c r="W63" s="194"/>
      <c r="X63" s="120"/>
      <c r="Y63" s="108"/>
      <c r="Z63" s="108"/>
    </row>
    <row r="64" spans="1:26" ht="18" customHeight="1">
      <c r="A64" s="29"/>
      <c r="B64" s="165"/>
      <c r="C64" s="166"/>
      <c r="D64" s="166"/>
      <c r="E64" s="167"/>
      <c r="F64" s="108"/>
      <c r="G64" s="108"/>
      <c r="H64" s="192"/>
      <c r="I64" s="193"/>
      <c r="J64" s="194"/>
      <c r="K64" s="120"/>
      <c r="L64" s="108"/>
      <c r="M64" s="108"/>
      <c r="N64" s="165"/>
      <c r="O64" s="166"/>
      <c r="P64" s="166"/>
      <c r="Q64" s="166"/>
      <c r="R64" s="167"/>
      <c r="S64" s="108"/>
      <c r="T64" s="108"/>
      <c r="U64" s="192"/>
      <c r="V64" s="193"/>
      <c r="W64" s="194"/>
      <c r="X64" s="120"/>
      <c r="Y64" s="108"/>
      <c r="Z64" s="108"/>
    </row>
    <row r="65" spans="1:26" ht="18" customHeight="1">
      <c r="A65" s="29"/>
      <c r="B65" s="165"/>
      <c r="C65" s="166"/>
      <c r="D65" s="166"/>
      <c r="E65" s="167"/>
      <c r="F65" s="108"/>
      <c r="G65" s="108"/>
      <c r="H65" s="192"/>
      <c r="I65" s="193"/>
      <c r="J65" s="194"/>
      <c r="K65" s="120"/>
      <c r="L65" s="108"/>
      <c r="M65" s="108"/>
      <c r="N65" s="165"/>
      <c r="O65" s="166"/>
      <c r="P65" s="166"/>
      <c r="Q65" s="166"/>
      <c r="R65" s="167"/>
      <c r="S65" s="108"/>
      <c r="T65" s="108"/>
      <c r="U65" s="192"/>
      <c r="V65" s="193"/>
      <c r="W65" s="194"/>
      <c r="X65" s="120"/>
      <c r="Y65" s="108"/>
      <c r="Z65" s="108"/>
    </row>
    <row r="66" spans="1:26" ht="18" customHeight="1">
      <c r="A66" s="29"/>
      <c r="B66" s="225"/>
      <c r="C66" s="226"/>
      <c r="D66" s="226"/>
      <c r="E66" s="227"/>
      <c r="F66" s="109"/>
      <c r="G66" s="109"/>
      <c r="H66" s="201"/>
      <c r="I66" s="202"/>
      <c r="J66" s="203"/>
      <c r="K66" s="121"/>
      <c r="L66" s="112"/>
      <c r="M66" s="112"/>
      <c r="N66" s="225"/>
      <c r="O66" s="226"/>
      <c r="P66" s="226"/>
      <c r="Q66" s="226"/>
      <c r="R66" s="227"/>
      <c r="S66" s="109"/>
      <c r="T66" s="109"/>
      <c r="U66" s="201"/>
      <c r="V66" s="202"/>
      <c r="W66" s="203"/>
      <c r="X66" s="121"/>
      <c r="Y66" s="112"/>
      <c r="Z66" s="112"/>
    </row>
    <row r="67" spans="1:26" ht="7.5" customHeight="1">
      <c r="B67" s="71"/>
      <c r="C67" s="71"/>
      <c r="D67" s="71"/>
      <c r="E67" s="71"/>
      <c r="F67" s="71"/>
      <c r="G67" s="71"/>
      <c r="H67" s="71"/>
      <c r="I67" s="71"/>
      <c r="J67" s="71"/>
      <c r="K67" s="71"/>
      <c r="L67" s="71"/>
      <c r="M67" s="71"/>
      <c r="N67" s="71"/>
      <c r="O67" s="71"/>
      <c r="P67" s="71"/>
      <c r="Q67" s="71"/>
      <c r="R67" s="71"/>
      <c r="S67" s="71"/>
      <c r="T67" s="71"/>
      <c r="U67" s="71"/>
      <c r="V67" s="71"/>
      <c r="W67" s="71"/>
      <c r="X67" s="71"/>
      <c r="Y67" s="71"/>
    </row>
    <row r="68" spans="1:26" ht="18" customHeight="1">
      <c r="A68" s="14" t="s">
        <v>103</v>
      </c>
      <c r="B68" s="14"/>
      <c r="C68" s="14"/>
      <c r="D68" s="14"/>
      <c r="E68" s="14"/>
      <c r="F68" s="14"/>
      <c r="G68" s="14"/>
      <c r="H68" s="14"/>
      <c r="I68" s="14"/>
      <c r="J68" s="14"/>
      <c r="K68" s="14"/>
      <c r="L68" s="29"/>
      <c r="M68" s="29"/>
      <c r="N68" s="29"/>
      <c r="O68" s="29"/>
      <c r="P68" s="29"/>
      <c r="Q68" s="29"/>
      <c r="R68" s="29"/>
      <c r="S68" s="29"/>
      <c r="T68" s="29"/>
      <c r="U68" s="29"/>
      <c r="V68" s="29"/>
      <c r="W68" s="29"/>
      <c r="X68" s="29"/>
      <c r="Y68" s="29"/>
      <c r="Z68" s="29"/>
    </row>
    <row r="69" spans="1:26" ht="18" customHeight="1">
      <c r="A69" s="14"/>
      <c r="B69" s="149" t="s">
        <v>75</v>
      </c>
      <c r="C69" s="150"/>
      <c r="D69" s="150"/>
      <c r="E69" s="150"/>
      <c r="F69" s="151"/>
      <c r="G69" s="149" t="s">
        <v>104</v>
      </c>
      <c r="H69" s="150"/>
      <c r="I69" s="150"/>
      <c r="J69" s="150"/>
      <c r="K69" s="150"/>
      <c r="L69" s="150"/>
      <c r="M69" s="151"/>
      <c r="N69" s="231" t="s">
        <v>75</v>
      </c>
      <c r="O69" s="232"/>
      <c r="P69" s="232"/>
      <c r="Q69" s="232"/>
      <c r="R69" s="232"/>
      <c r="S69" s="233"/>
      <c r="T69" s="149" t="s">
        <v>104</v>
      </c>
      <c r="U69" s="150"/>
      <c r="V69" s="150"/>
      <c r="W69" s="150"/>
      <c r="X69" s="150"/>
      <c r="Y69" s="150"/>
      <c r="Z69" s="151"/>
    </row>
    <row r="70" spans="1:26" ht="18" customHeight="1">
      <c r="A70" s="29"/>
      <c r="B70" s="156" t="s">
        <v>105</v>
      </c>
      <c r="C70" s="157"/>
      <c r="D70" s="157"/>
      <c r="E70" s="157"/>
      <c r="F70" s="158"/>
      <c r="G70" s="159" t="s">
        <v>106</v>
      </c>
      <c r="H70" s="160"/>
      <c r="I70" s="160"/>
      <c r="J70" s="160"/>
      <c r="K70" s="160"/>
      <c r="L70" s="160"/>
      <c r="M70" s="161"/>
      <c r="N70" s="156"/>
      <c r="O70" s="157"/>
      <c r="P70" s="157"/>
      <c r="Q70" s="157"/>
      <c r="R70" s="157"/>
      <c r="S70" s="158"/>
      <c r="T70" s="159"/>
      <c r="U70" s="160"/>
      <c r="V70" s="160"/>
      <c r="W70" s="160"/>
      <c r="X70" s="160"/>
      <c r="Y70" s="160"/>
      <c r="Z70" s="161"/>
    </row>
    <row r="71" spans="1:26" ht="18" customHeight="1">
      <c r="A71" s="29"/>
      <c r="B71" s="165" t="s">
        <v>81</v>
      </c>
      <c r="C71" s="166"/>
      <c r="D71" s="166"/>
      <c r="E71" s="166"/>
      <c r="F71" s="167"/>
      <c r="G71" s="168" t="s">
        <v>107</v>
      </c>
      <c r="H71" s="169"/>
      <c r="I71" s="169"/>
      <c r="J71" s="169"/>
      <c r="K71" s="169"/>
      <c r="L71" s="169"/>
      <c r="M71" s="170"/>
      <c r="N71" s="165"/>
      <c r="O71" s="166"/>
      <c r="P71" s="166"/>
      <c r="Q71" s="166"/>
      <c r="R71" s="166"/>
      <c r="S71" s="167"/>
      <c r="T71" s="168"/>
      <c r="U71" s="169"/>
      <c r="V71" s="169"/>
      <c r="W71" s="169"/>
      <c r="X71" s="169"/>
      <c r="Y71" s="169"/>
      <c r="Z71" s="170"/>
    </row>
    <row r="72" spans="1:26" ht="18" customHeight="1">
      <c r="A72" s="29"/>
      <c r="B72" s="165" t="s">
        <v>81</v>
      </c>
      <c r="C72" s="166"/>
      <c r="D72" s="166"/>
      <c r="E72" s="166"/>
      <c r="F72" s="167"/>
      <c r="G72" s="168" t="s">
        <v>108</v>
      </c>
      <c r="H72" s="169"/>
      <c r="I72" s="169"/>
      <c r="J72" s="169"/>
      <c r="K72" s="169"/>
      <c r="L72" s="169"/>
      <c r="M72" s="170"/>
      <c r="N72" s="165"/>
      <c r="O72" s="166"/>
      <c r="P72" s="166"/>
      <c r="Q72" s="166"/>
      <c r="R72" s="166"/>
      <c r="S72" s="167"/>
      <c r="T72" s="168"/>
      <c r="U72" s="169"/>
      <c r="V72" s="169"/>
      <c r="W72" s="169"/>
      <c r="X72" s="169"/>
      <c r="Y72" s="169"/>
      <c r="Z72" s="170"/>
    </row>
    <row r="73" spans="1:26" ht="18" customHeight="1">
      <c r="A73" s="29"/>
      <c r="B73" s="165"/>
      <c r="C73" s="166"/>
      <c r="D73" s="166"/>
      <c r="E73" s="166"/>
      <c r="F73" s="167"/>
      <c r="G73" s="168"/>
      <c r="H73" s="169"/>
      <c r="I73" s="169"/>
      <c r="J73" s="169"/>
      <c r="K73" s="169"/>
      <c r="L73" s="169"/>
      <c r="M73" s="170"/>
      <c r="N73" s="165"/>
      <c r="O73" s="166"/>
      <c r="P73" s="166"/>
      <c r="Q73" s="166"/>
      <c r="R73" s="166"/>
      <c r="S73" s="167"/>
      <c r="T73" s="168"/>
      <c r="U73" s="169"/>
      <c r="V73" s="169"/>
      <c r="W73" s="169"/>
      <c r="X73" s="169"/>
      <c r="Y73" s="169"/>
      <c r="Z73" s="170"/>
    </row>
    <row r="74" spans="1:26" ht="18" customHeight="1">
      <c r="A74" s="29"/>
      <c r="B74" s="165" t="s">
        <v>84</v>
      </c>
      <c r="C74" s="166"/>
      <c r="D74" s="166"/>
      <c r="E74" s="166"/>
      <c r="F74" s="167"/>
      <c r="G74" s="168"/>
      <c r="H74" s="169"/>
      <c r="I74" s="169"/>
      <c r="J74" s="169"/>
      <c r="K74" s="169"/>
      <c r="L74" s="169"/>
      <c r="M74" s="170"/>
      <c r="N74" s="165"/>
      <c r="O74" s="166"/>
      <c r="P74" s="166"/>
      <c r="Q74" s="166"/>
      <c r="R74" s="166"/>
      <c r="S74" s="167"/>
      <c r="T74" s="168"/>
      <c r="U74" s="169"/>
      <c r="V74" s="169"/>
      <c r="W74" s="169"/>
      <c r="X74" s="169"/>
      <c r="Y74" s="169"/>
      <c r="Z74" s="170"/>
    </row>
    <row r="75" spans="1:26" ht="18" customHeight="1">
      <c r="A75" s="29"/>
      <c r="B75" s="165" t="s">
        <v>85</v>
      </c>
      <c r="C75" s="166"/>
      <c r="D75" s="166"/>
      <c r="E75" s="166"/>
      <c r="F75" s="167"/>
      <c r="G75" s="168" t="s">
        <v>109</v>
      </c>
      <c r="H75" s="169"/>
      <c r="I75" s="169"/>
      <c r="J75" s="169"/>
      <c r="K75" s="169"/>
      <c r="L75" s="169"/>
      <c r="M75" s="170"/>
      <c r="N75" s="165"/>
      <c r="O75" s="166"/>
      <c r="P75" s="166"/>
      <c r="Q75" s="166"/>
      <c r="R75" s="166"/>
      <c r="S75" s="167"/>
      <c r="T75" s="168"/>
      <c r="U75" s="169"/>
      <c r="V75" s="169"/>
      <c r="W75" s="169"/>
      <c r="X75" s="169"/>
      <c r="Y75" s="169"/>
      <c r="Z75" s="170"/>
    </row>
    <row r="76" spans="1:26" ht="18" customHeight="1">
      <c r="A76" s="29"/>
      <c r="B76" s="225"/>
      <c r="C76" s="226"/>
      <c r="D76" s="226"/>
      <c r="E76" s="226"/>
      <c r="F76" s="227"/>
      <c r="G76" s="228"/>
      <c r="H76" s="229"/>
      <c r="I76" s="229"/>
      <c r="J76" s="229"/>
      <c r="K76" s="229"/>
      <c r="L76" s="229"/>
      <c r="M76" s="230"/>
      <c r="N76" s="225"/>
      <c r="O76" s="226"/>
      <c r="P76" s="226"/>
      <c r="Q76" s="226"/>
      <c r="R76" s="226"/>
      <c r="S76" s="227"/>
      <c r="T76" s="228"/>
      <c r="U76" s="229"/>
      <c r="V76" s="229"/>
      <c r="W76" s="229"/>
      <c r="X76" s="229"/>
      <c r="Y76" s="229"/>
      <c r="Z76" s="230"/>
    </row>
    <row r="77" spans="1:26" ht="18" customHeight="1">
      <c r="A77" s="29"/>
      <c r="B77" s="119"/>
      <c r="C77" s="119"/>
      <c r="D77" s="119"/>
      <c r="E77" s="119"/>
      <c r="F77" s="119"/>
      <c r="G77" s="12"/>
      <c r="H77" s="12"/>
      <c r="I77" s="12"/>
      <c r="J77" s="12"/>
      <c r="K77" s="12"/>
      <c r="L77" s="12"/>
      <c r="M77" s="12"/>
      <c r="N77" s="119"/>
      <c r="O77" s="119"/>
      <c r="P77" s="119"/>
      <c r="Q77" s="119"/>
      <c r="R77" s="119"/>
      <c r="S77" s="119"/>
      <c r="T77" s="12"/>
      <c r="U77" s="12"/>
      <c r="V77" s="12"/>
      <c r="W77" s="12"/>
      <c r="X77" s="12"/>
      <c r="Y77" s="12"/>
      <c r="Z77" s="12"/>
    </row>
    <row r="78" spans="1:26" ht="18.75" customHeight="1">
      <c r="A78" s="13" t="s">
        <v>110</v>
      </c>
    </row>
    <row r="79" spans="1:26" ht="18.75" customHeight="1">
      <c r="B79" s="72" t="s">
        <v>111</v>
      </c>
      <c r="C79" s="73"/>
      <c r="D79" s="184" t="s">
        <v>112</v>
      </c>
      <c r="E79" s="184"/>
      <c r="F79" s="184"/>
      <c r="G79" s="184"/>
      <c r="H79" s="184"/>
      <c r="I79" s="184"/>
      <c r="J79" s="184"/>
      <c r="K79" s="184"/>
      <c r="L79" s="184"/>
      <c r="M79" s="184"/>
      <c r="N79" s="184"/>
      <c r="O79" s="184"/>
      <c r="P79" s="184"/>
      <c r="Q79" s="184"/>
      <c r="R79" s="184"/>
      <c r="S79" s="184"/>
      <c r="T79" s="184"/>
      <c r="U79" s="184"/>
      <c r="V79" s="184"/>
      <c r="W79" s="184"/>
      <c r="X79" s="184"/>
      <c r="Y79" s="184"/>
      <c r="Z79" s="185"/>
    </row>
    <row r="80" spans="1:26" ht="78" customHeight="1">
      <c r="B80" s="173" t="s">
        <v>113</v>
      </c>
      <c r="C80" s="79" t="s">
        <v>79</v>
      </c>
      <c r="D80" s="186" t="s">
        <v>114</v>
      </c>
      <c r="E80" s="187"/>
      <c r="F80" s="187"/>
      <c r="G80" s="187"/>
      <c r="H80" s="187"/>
      <c r="I80" s="187"/>
      <c r="J80" s="187"/>
      <c r="K80" s="187"/>
      <c r="L80" s="187"/>
      <c r="M80" s="187"/>
      <c r="N80" s="187"/>
      <c r="O80" s="187"/>
      <c r="P80" s="187"/>
      <c r="Q80" s="187"/>
      <c r="R80" s="187"/>
      <c r="S80" s="187"/>
      <c r="T80" s="187"/>
      <c r="U80" s="187"/>
      <c r="V80" s="187"/>
      <c r="W80" s="187"/>
      <c r="X80" s="187"/>
      <c r="Y80" s="187"/>
      <c r="Z80" s="188"/>
    </row>
    <row r="81" spans="1:26" ht="78" customHeight="1">
      <c r="B81" s="174"/>
      <c r="C81" s="104" t="s">
        <v>115</v>
      </c>
      <c r="D81" s="219" t="s">
        <v>116</v>
      </c>
      <c r="E81" s="219"/>
      <c r="F81" s="219"/>
      <c r="G81" s="219"/>
      <c r="H81" s="219"/>
      <c r="I81" s="219"/>
      <c r="J81" s="219"/>
      <c r="K81" s="219"/>
      <c r="L81" s="219"/>
      <c r="M81" s="219"/>
      <c r="N81" s="219"/>
      <c r="O81" s="219"/>
      <c r="P81" s="219"/>
      <c r="Q81" s="219"/>
      <c r="R81" s="219"/>
      <c r="S81" s="219"/>
      <c r="T81" s="219"/>
      <c r="U81" s="219"/>
      <c r="V81" s="219"/>
      <c r="W81" s="219"/>
      <c r="X81" s="219"/>
      <c r="Y81" s="219"/>
      <c r="Z81" s="220"/>
    </row>
    <row r="82" spans="1:26" ht="78" customHeight="1">
      <c r="B82" s="171" t="s">
        <v>117</v>
      </c>
      <c r="C82" s="74" t="s">
        <v>88</v>
      </c>
      <c r="D82" s="187" t="s">
        <v>118</v>
      </c>
      <c r="E82" s="187"/>
      <c r="F82" s="187"/>
      <c r="G82" s="187"/>
      <c r="H82" s="187"/>
      <c r="I82" s="187"/>
      <c r="J82" s="187"/>
      <c r="K82" s="187"/>
      <c r="L82" s="187"/>
      <c r="M82" s="187"/>
      <c r="N82" s="187"/>
      <c r="O82" s="187"/>
      <c r="P82" s="187"/>
      <c r="Q82" s="187"/>
      <c r="R82" s="187"/>
      <c r="S82" s="187"/>
      <c r="T82" s="187"/>
      <c r="U82" s="187"/>
      <c r="V82" s="187"/>
      <c r="W82" s="187"/>
      <c r="X82" s="187"/>
      <c r="Y82" s="187"/>
      <c r="Z82" s="188"/>
    </row>
    <row r="83" spans="1:26" ht="78" customHeight="1">
      <c r="B83" s="172"/>
      <c r="C83" s="105" t="s">
        <v>89</v>
      </c>
      <c r="D83" s="223" t="s">
        <v>119</v>
      </c>
      <c r="E83" s="223"/>
      <c r="F83" s="223"/>
      <c r="G83" s="223"/>
      <c r="H83" s="223"/>
      <c r="I83" s="223"/>
      <c r="J83" s="223"/>
      <c r="K83" s="223"/>
      <c r="L83" s="223"/>
      <c r="M83" s="223"/>
      <c r="N83" s="223"/>
      <c r="O83" s="223"/>
      <c r="P83" s="223"/>
      <c r="Q83" s="223"/>
      <c r="R83" s="223"/>
      <c r="S83" s="223"/>
      <c r="T83" s="223"/>
      <c r="U83" s="223"/>
      <c r="V83" s="223"/>
      <c r="W83" s="223"/>
      <c r="X83" s="223"/>
      <c r="Y83" s="223"/>
      <c r="Z83" s="224"/>
    </row>
    <row r="84" spans="1:26" ht="66" customHeight="1">
      <c r="B84" s="171" t="s">
        <v>120</v>
      </c>
      <c r="C84" s="74" t="s">
        <v>92</v>
      </c>
      <c r="D84" s="187" t="s">
        <v>121</v>
      </c>
      <c r="E84" s="187"/>
      <c r="F84" s="187"/>
      <c r="G84" s="187"/>
      <c r="H84" s="187"/>
      <c r="I84" s="187"/>
      <c r="J84" s="187"/>
      <c r="K84" s="187"/>
      <c r="L84" s="187"/>
      <c r="M84" s="187"/>
      <c r="N84" s="187"/>
      <c r="O84" s="187"/>
      <c r="P84" s="187"/>
      <c r="Q84" s="187"/>
      <c r="R84" s="187"/>
      <c r="S84" s="187"/>
      <c r="T84" s="187"/>
      <c r="U84" s="187"/>
      <c r="V84" s="187"/>
      <c r="W84" s="187"/>
      <c r="X84" s="187"/>
      <c r="Y84" s="187"/>
      <c r="Z84" s="188"/>
    </row>
    <row r="85" spans="1:26" ht="66" customHeight="1">
      <c r="B85" s="172"/>
      <c r="C85" s="76" t="s">
        <v>93</v>
      </c>
      <c r="D85" s="221" t="s">
        <v>122</v>
      </c>
      <c r="E85" s="221"/>
      <c r="F85" s="221"/>
      <c r="G85" s="221"/>
      <c r="H85" s="221"/>
      <c r="I85" s="221"/>
      <c r="J85" s="221"/>
      <c r="K85" s="221"/>
      <c r="L85" s="221"/>
      <c r="M85" s="221"/>
      <c r="N85" s="221"/>
      <c r="O85" s="221"/>
      <c r="P85" s="221"/>
      <c r="Q85" s="221"/>
      <c r="R85" s="221"/>
      <c r="S85" s="221"/>
      <c r="T85" s="221"/>
      <c r="U85" s="221"/>
      <c r="V85" s="221"/>
      <c r="W85" s="221"/>
      <c r="X85" s="221"/>
      <c r="Y85" s="221"/>
      <c r="Z85" s="222"/>
    </row>
    <row r="86" spans="1:26" ht="66" customHeight="1">
      <c r="B86" s="173" t="s">
        <v>123</v>
      </c>
      <c r="C86" s="79" t="s">
        <v>95</v>
      </c>
      <c r="D86" s="180" t="s">
        <v>124</v>
      </c>
      <c r="E86" s="180"/>
      <c r="F86" s="180"/>
      <c r="G86" s="180"/>
      <c r="H86" s="180"/>
      <c r="I86" s="180"/>
      <c r="J86" s="180"/>
      <c r="K86" s="180"/>
      <c r="L86" s="180"/>
      <c r="M86" s="180"/>
      <c r="N86" s="180"/>
      <c r="O86" s="180"/>
      <c r="P86" s="180"/>
      <c r="Q86" s="180"/>
      <c r="R86" s="180"/>
      <c r="S86" s="180"/>
      <c r="T86" s="180"/>
      <c r="U86" s="180"/>
      <c r="V86" s="180"/>
      <c r="W86" s="180"/>
      <c r="X86" s="180"/>
      <c r="Y86" s="180"/>
      <c r="Z86" s="181"/>
    </row>
    <row r="87" spans="1:26" ht="66" customHeight="1">
      <c r="B87" s="179"/>
      <c r="C87" s="75" t="s">
        <v>96</v>
      </c>
      <c r="D87" s="182" t="s">
        <v>125</v>
      </c>
      <c r="E87" s="182"/>
      <c r="F87" s="182"/>
      <c r="G87" s="182"/>
      <c r="H87" s="182"/>
      <c r="I87" s="182"/>
      <c r="J87" s="182"/>
      <c r="K87" s="182"/>
      <c r="L87" s="182"/>
      <c r="M87" s="182"/>
      <c r="N87" s="182"/>
      <c r="O87" s="182"/>
      <c r="P87" s="182"/>
      <c r="Q87" s="182"/>
      <c r="R87" s="182"/>
      <c r="S87" s="182"/>
      <c r="T87" s="182"/>
      <c r="U87" s="182"/>
      <c r="V87" s="182"/>
      <c r="W87" s="182"/>
      <c r="X87" s="182"/>
      <c r="Y87" s="182"/>
      <c r="Z87" s="183"/>
    </row>
    <row r="88" spans="1:26" ht="73.900000000000006" customHeight="1">
      <c r="B88" s="173" t="s">
        <v>126</v>
      </c>
      <c r="C88" s="74" t="s">
        <v>99</v>
      </c>
      <c r="D88" s="175" t="s">
        <v>127</v>
      </c>
      <c r="E88" s="175"/>
      <c r="F88" s="175"/>
      <c r="G88" s="175"/>
      <c r="H88" s="175"/>
      <c r="I88" s="175"/>
      <c r="J88" s="175"/>
      <c r="K88" s="175"/>
      <c r="L88" s="175"/>
      <c r="M88" s="175"/>
      <c r="N88" s="175"/>
      <c r="O88" s="175"/>
      <c r="P88" s="175"/>
      <c r="Q88" s="175"/>
      <c r="R88" s="175"/>
      <c r="S88" s="175"/>
      <c r="T88" s="175"/>
      <c r="U88" s="175"/>
      <c r="V88" s="175"/>
      <c r="W88" s="175"/>
      <c r="X88" s="175"/>
      <c r="Y88" s="175"/>
      <c r="Z88" s="176"/>
    </row>
    <row r="89" spans="1:26" ht="66" customHeight="1">
      <c r="B89" s="174"/>
      <c r="C89" s="75" t="s">
        <v>100</v>
      </c>
      <c r="D89" s="162" t="s">
        <v>128</v>
      </c>
      <c r="E89" s="163"/>
      <c r="F89" s="163"/>
      <c r="G89" s="163"/>
      <c r="H89" s="163"/>
      <c r="I89" s="163"/>
      <c r="J89" s="163"/>
      <c r="K89" s="163"/>
      <c r="L89" s="163"/>
      <c r="M89" s="163"/>
      <c r="N89" s="163"/>
      <c r="O89" s="163"/>
      <c r="P89" s="163"/>
      <c r="Q89" s="163"/>
      <c r="R89" s="163"/>
      <c r="S89" s="163"/>
      <c r="T89" s="163"/>
      <c r="U89" s="163"/>
      <c r="V89" s="163"/>
      <c r="W89" s="163"/>
      <c r="X89" s="163"/>
      <c r="Y89" s="163"/>
      <c r="Z89" s="164"/>
    </row>
    <row r="90" spans="1:26" ht="66" customHeight="1">
      <c r="B90" s="172"/>
      <c r="C90" s="76" t="s">
        <v>101</v>
      </c>
      <c r="D90" s="177" t="s">
        <v>129</v>
      </c>
      <c r="E90" s="177"/>
      <c r="F90" s="177"/>
      <c r="G90" s="177"/>
      <c r="H90" s="177"/>
      <c r="I90" s="177"/>
      <c r="J90" s="177"/>
      <c r="K90" s="177"/>
      <c r="L90" s="177"/>
      <c r="M90" s="177"/>
      <c r="N90" s="177"/>
      <c r="O90" s="177"/>
      <c r="P90" s="177"/>
      <c r="Q90" s="177"/>
      <c r="R90" s="177"/>
      <c r="S90" s="177"/>
      <c r="T90" s="177"/>
      <c r="U90" s="177"/>
      <c r="V90" s="177"/>
      <c r="W90" s="177"/>
      <c r="X90" s="177"/>
      <c r="Y90" s="177"/>
      <c r="Z90" s="178"/>
    </row>
    <row r="91" spans="1:26" ht="6" customHeight="1"/>
    <row r="92" spans="1:26" ht="18.75" customHeight="1">
      <c r="A92" s="13" t="s">
        <v>130</v>
      </c>
    </row>
    <row r="93" spans="1:26" ht="18.75" customHeight="1">
      <c r="B93" s="234" t="s">
        <v>131</v>
      </c>
      <c r="C93" s="235"/>
      <c r="D93" s="235"/>
      <c r="E93" s="235"/>
      <c r="F93" s="235"/>
      <c r="G93" s="235"/>
      <c r="H93" s="235"/>
      <c r="I93" s="235"/>
      <c r="J93" s="235"/>
      <c r="K93" s="235"/>
      <c r="L93" s="235"/>
      <c r="M93" s="235"/>
      <c r="N93" s="235"/>
      <c r="O93" s="235"/>
      <c r="P93" s="235"/>
      <c r="Q93" s="235"/>
      <c r="R93" s="235"/>
      <c r="S93" s="235"/>
      <c r="T93" s="235"/>
      <c r="U93" s="235"/>
      <c r="V93" s="235"/>
      <c r="W93" s="235"/>
      <c r="X93" s="235"/>
      <c r="Y93" s="235"/>
      <c r="Z93" s="236"/>
    </row>
    <row r="94" spans="1:26" ht="18.75" customHeight="1">
      <c r="B94" s="237"/>
      <c r="C94" s="238"/>
      <c r="D94" s="238"/>
      <c r="E94" s="238"/>
      <c r="F94" s="238"/>
      <c r="G94" s="238"/>
      <c r="H94" s="238"/>
      <c r="I94" s="238"/>
      <c r="J94" s="238"/>
      <c r="K94" s="238"/>
      <c r="L94" s="238"/>
      <c r="M94" s="238"/>
      <c r="N94" s="238"/>
      <c r="O94" s="238"/>
      <c r="P94" s="238"/>
      <c r="Q94" s="238"/>
      <c r="R94" s="238"/>
      <c r="S94" s="238"/>
      <c r="T94" s="238"/>
      <c r="U94" s="238"/>
      <c r="V94" s="238"/>
      <c r="W94" s="238"/>
      <c r="X94" s="238"/>
      <c r="Y94" s="238"/>
      <c r="Z94" s="239"/>
    </row>
    <row r="95" spans="1:26" ht="18.75" customHeight="1">
      <c r="B95" s="240"/>
      <c r="C95" s="177"/>
      <c r="D95" s="177"/>
      <c r="E95" s="177"/>
      <c r="F95" s="177"/>
      <c r="G95" s="177"/>
      <c r="H95" s="177"/>
      <c r="I95" s="177"/>
      <c r="J95" s="177"/>
      <c r="K95" s="177"/>
      <c r="L95" s="177"/>
      <c r="M95" s="177"/>
      <c r="N95" s="177"/>
      <c r="O95" s="177"/>
      <c r="P95" s="177"/>
      <c r="Q95" s="177"/>
      <c r="R95" s="177"/>
      <c r="S95" s="177"/>
      <c r="T95" s="177"/>
      <c r="U95" s="177"/>
      <c r="V95" s="177"/>
      <c r="W95" s="177"/>
      <c r="X95" s="177"/>
      <c r="Y95" s="177"/>
      <c r="Z95" s="178"/>
    </row>
    <row r="96" spans="1:26" ht="6" customHeight="1"/>
    <row r="97" spans="1:26" ht="15" customHeight="1">
      <c r="A97" s="13" t="s">
        <v>132</v>
      </c>
    </row>
    <row r="98" spans="1:26" ht="15" customHeight="1">
      <c r="B98" s="241" t="s">
        <v>133</v>
      </c>
      <c r="C98" s="242"/>
      <c r="D98" s="242"/>
      <c r="E98" s="242"/>
      <c r="F98" s="242"/>
      <c r="G98" s="242"/>
      <c r="H98" s="242"/>
      <c r="I98" s="242"/>
      <c r="J98" s="242"/>
      <c r="K98" s="242"/>
      <c r="L98" s="242"/>
      <c r="M98" s="242"/>
      <c r="N98" s="242"/>
      <c r="O98" s="242"/>
      <c r="P98" s="242"/>
      <c r="Q98" s="242"/>
      <c r="R98" s="242"/>
      <c r="S98" s="242"/>
      <c r="T98" s="242"/>
      <c r="U98" s="242"/>
      <c r="V98" s="242"/>
      <c r="W98" s="242"/>
      <c r="X98" s="242"/>
      <c r="Y98" s="242"/>
      <c r="Z98" s="243"/>
    </row>
  </sheetData>
  <mergeCells count="218">
    <mergeCell ref="N60:R60"/>
    <mergeCell ref="N61:R61"/>
    <mergeCell ref="N62:R62"/>
    <mergeCell ref="N63:R63"/>
    <mergeCell ref="N64:R64"/>
    <mergeCell ref="N65:R65"/>
    <mergeCell ref="N66:R66"/>
    <mergeCell ref="H64:J64"/>
    <mergeCell ref="H65:J65"/>
    <mergeCell ref="H66:J66"/>
    <mergeCell ref="N48:S48"/>
    <mergeCell ref="N49:S49"/>
    <mergeCell ref="N50:S50"/>
    <mergeCell ref="N51:S51"/>
    <mergeCell ref="N52:S52"/>
    <mergeCell ref="N53:S53"/>
    <mergeCell ref="N54:S54"/>
    <mergeCell ref="N55:S55"/>
    <mergeCell ref="B59:E59"/>
    <mergeCell ref="N59:R59"/>
    <mergeCell ref="B41:F41"/>
    <mergeCell ref="B42:F42"/>
    <mergeCell ref="B43:F43"/>
    <mergeCell ref="B44:F44"/>
    <mergeCell ref="N37:S37"/>
    <mergeCell ref="N38:S38"/>
    <mergeCell ref="N39:S39"/>
    <mergeCell ref="N40:S40"/>
    <mergeCell ref="N41:S41"/>
    <mergeCell ref="N42:S42"/>
    <mergeCell ref="N43:S43"/>
    <mergeCell ref="N44:S44"/>
    <mergeCell ref="I43:K43"/>
    <mergeCell ref="B29:F29"/>
    <mergeCell ref="B30:F30"/>
    <mergeCell ref="B31:F31"/>
    <mergeCell ref="B32:F32"/>
    <mergeCell ref="B33:F33"/>
    <mergeCell ref="N26:S26"/>
    <mergeCell ref="N27:S27"/>
    <mergeCell ref="N28:S28"/>
    <mergeCell ref="N29:S29"/>
    <mergeCell ref="N30:S30"/>
    <mergeCell ref="N31:S31"/>
    <mergeCell ref="N32:S32"/>
    <mergeCell ref="N33:S33"/>
    <mergeCell ref="W1:Z1"/>
    <mergeCell ref="B15:F15"/>
    <mergeCell ref="B16:F16"/>
    <mergeCell ref="B17:F17"/>
    <mergeCell ref="B18:F18"/>
    <mergeCell ref="B19:F19"/>
    <mergeCell ref="B20:F20"/>
    <mergeCell ref="B21:F21"/>
    <mergeCell ref="B22:F22"/>
    <mergeCell ref="N15:S15"/>
    <mergeCell ref="N16:S16"/>
    <mergeCell ref="N17:S17"/>
    <mergeCell ref="N18:S18"/>
    <mergeCell ref="N19:S19"/>
    <mergeCell ref="N20:S20"/>
    <mergeCell ref="N21:S21"/>
    <mergeCell ref="N22:S22"/>
    <mergeCell ref="I17:K17"/>
    <mergeCell ref="I20:K20"/>
    <mergeCell ref="I21:K21"/>
    <mergeCell ref="I22:K22"/>
    <mergeCell ref="B69:F69"/>
    <mergeCell ref="G69:M69"/>
    <mergeCell ref="N69:S69"/>
    <mergeCell ref="H60:J60"/>
    <mergeCell ref="H61:J61"/>
    <mergeCell ref="B93:Z95"/>
    <mergeCell ref="B98:Z98"/>
    <mergeCell ref="T76:Z76"/>
    <mergeCell ref="B71:F71"/>
    <mergeCell ref="G71:M71"/>
    <mergeCell ref="N71:S71"/>
    <mergeCell ref="T71:Z71"/>
    <mergeCell ref="B74:F74"/>
    <mergeCell ref="G74:M74"/>
    <mergeCell ref="N74:S74"/>
    <mergeCell ref="T74:Z74"/>
    <mergeCell ref="B72:F72"/>
    <mergeCell ref="B60:E60"/>
    <mergeCell ref="B61:E61"/>
    <mergeCell ref="B62:E62"/>
    <mergeCell ref="B63:E63"/>
    <mergeCell ref="B64:E64"/>
    <mergeCell ref="B65:E65"/>
    <mergeCell ref="B66:E66"/>
    <mergeCell ref="D81:Z81"/>
    <mergeCell ref="D82:Z82"/>
    <mergeCell ref="D85:Z85"/>
    <mergeCell ref="D83:Z83"/>
    <mergeCell ref="D84:Z84"/>
    <mergeCell ref="B75:F75"/>
    <mergeCell ref="G75:M75"/>
    <mergeCell ref="N75:S75"/>
    <mergeCell ref="T75:Z75"/>
    <mergeCell ref="B76:F76"/>
    <mergeCell ref="G76:M76"/>
    <mergeCell ref="N76:S76"/>
    <mergeCell ref="V43:X43"/>
    <mergeCell ref="I44:K44"/>
    <mergeCell ref="V44:X44"/>
    <mergeCell ref="I50:K50"/>
    <mergeCell ref="V50:X50"/>
    <mergeCell ref="B48:F48"/>
    <mergeCell ref="B49:F49"/>
    <mergeCell ref="B50:F50"/>
    <mergeCell ref="V32:X32"/>
    <mergeCell ref="V33:X33"/>
    <mergeCell ref="I42:K42"/>
    <mergeCell ref="V42:X42"/>
    <mergeCell ref="V37:X37"/>
    <mergeCell ref="I38:K38"/>
    <mergeCell ref="V38:X38"/>
    <mergeCell ref="I39:K39"/>
    <mergeCell ref="V39:X39"/>
    <mergeCell ref="I37:K37"/>
    <mergeCell ref="B37:F37"/>
    <mergeCell ref="B38:F38"/>
    <mergeCell ref="B39:F39"/>
    <mergeCell ref="B40:F40"/>
    <mergeCell ref="A46:Z47"/>
    <mergeCell ref="I48:K48"/>
    <mergeCell ref="A24:Z25"/>
    <mergeCell ref="A2:Z2"/>
    <mergeCell ref="B6:Z11"/>
    <mergeCell ref="A13:Z14"/>
    <mergeCell ref="I15:K15"/>
    <mergeCell ref="I16:K16"/>
    <mergeCell ref="V15:X15"/>
    <mergeCell ref="V16:X16"/>
    <mergeCell ref="O4:Z4"/>
    <mergeCell ref="V17:X17"/>
    <mergeCell ref="V20:X20"/>
    <mergeCell ref="V21:X21"/>
    <mergeCell ref="V22:X22"/>
    <mergeCell ref="I18:K18"/>
    <mergeCell ref="I19:K19"/>
    <mergeCell ref="V18:X18"/>
    <mergeCell ref="V19:X19"/>
    <mergeCell ref="V49:X49"/>
    <mergeCell ref="I51:K51"/>
    <mergeCell ref="V51:X51"/>
    <mergeCell ref="I52:K52"/>
    <mergeCell ref="V52:X52"/>
    <mergeCell ref="V55:X55"/>
    <mergeCell ref="A57:Z58"/>
    <mergeCell ref="I53:K53"/>
    <mergeCell ref="V53:X53"/>
    <mergeCell ref="I54:K54"/>
    <mergeCell ref="V54:X54"/>
    <mergeCell ref="I55:K55"/>
    <mergeCell ref="B51:F51"/>
    <mergeCell ref="B52:F52"/>
    <mergeCell ref="B53:F53"/>
    <mergeCell ref="B54:F54"/>
    <mergeCell ref="B55:F55"/>
    <mergeCell ref="U60:W60"/>
    <mergeCell ref="U61:W61"/>
    <mergeCell ref="U64:W64"/>
    <mergeCell ref="U65:W65"/>
    <mergeCell ref="U66:W66"/>
    <mergeCell ref="I29:K29"/>
    <mergeCell ref="I30:K30"/>
    <mergeCell ref="V29:X29"/>
    <mergeCell ref="V30:X30"/>
    <mergeCell ref="I40:K40"/>
    <mergeCell ref="I41:K41"/>
    <mergeCell ref="V40:X40"/>
    <mergeCell ref="A35:Z36"/>
    <mergeCell ref="V41:X41"/>
    <mergeCell ref="V31:X31"/>
    <mergeCell ref="I31:K31"/>
    <mergeCell ref="I32:K32"/>
    <mergeCell ref="I33:K33"/>
    <mergeCell ref="H62:J62"/>
    <mergeCell ref="H63:J63"/>
    <mergeCell ref="U62:W62"/>
    <mergeCell ref="U63:W63"/>
    <mergeCell ref="V48:X48"/>
    <mergeCell ref="I49:K49"/>
    <mergeCell ref="V26:X26"/>
    <mergeCell ref="V27:X27"/>
    <mergeCell ref="V28:X28"/>
    <mergeCell ref="I26:K26"/>
    <mergeCell ref="I27:K27"/>
    <mergeCell ref="I28:K28"/>
    <mergeCell ref="B26:F26"/>
    <mergeCell ref="B27:F27"/>
    <mergeCell ref="B28:F28"/>
    <mergeCell ref="N70:S70"/>
    <mergeCell ref="T70:Z70"/>
    <mergeCell ref="T69:Z69"/>
    <mergeCell ref="B70:F70"/>
    <mergeCell ref="G70:M70"/>
    <mergeCell ref="D89:Z89"/>
    <mergeCell ref="B73:F73"/>
    <mergeCell ref="G72:M72"/>
    <mergeCell ref="G73:M73"/>
    <mergeCell ref="N72:S72"/>
    <mergeCell ref="N73:S73"/>
    <mergeCell ref="T72:Z72"/>
    <mergeCell ref="T73:Z73"/>
    <mergeCell ref="B82:B83"/>
    <mergeCell ref="B84:B85"/>
    <mergeCell ref="B80:B81"/>
    <mergeCell ref="B88:B90"/>
    <mergeCell ref="D88:Z88"/>
    <mergeCell ref="D90:Z90"/>
    <mergeCell ref="B86:B87"/>
    <mergeCell ref="D86:Z86"/>
    <mergeCell ref="D87:Z87"/>
    <mergeCell ref="D79:Z79"/>
    <mergeCell ref="D80:Z80"/>
  </mergeCells>
  <phoneticPr fontId="1"/>
  <dataValidations count="4">
    <dataValidation type="list" allowBlank="1" showInputMessage="1" showErrorMessage="1" sqref="Y16:Z22 Y27:Z33 Y38:Z44 Y49:Z55 Y60:Z66 L60:M66 K60:K61 U16:U22 L16:M22 U27:U33 L27:M33 U38:U44 L38:M44 U49:U55 G60:G66 T60:T66 H16:H22 H27:H33 H38:H44 H49:H55 L49:M55 K63" xr:uid="{00000000-0002-0000-0100-000000000000}">
      <formula1>"○"</formula1>
    </dataValidation>
    <dataValidation type="list" allowBlank="1" showInputMessage="1" showErrorMessage="1" sqref="Z23 Z34 D34:K34 D23:K23 V16:V22 H60:H66 V27:V33 I16:I22 V38:V44 I27:I33 V49:V55 I38:I44 U60:U66 I49:I55" xr:uid="{00000000-0002-0000-0100-000001000000}">
      <formula1>"全学開講,一部開講"</formula1>
    </dataValidation>
    <dataValidation type="list" allowBlank="1" showInputMessage="1" showErrorMessage="1" sqref="O4" xr:uid="{00000000-0002-0000-0100-000002000000}">
      <formula1>"学部・学科によって、修了要件は相違する,学部・学科によって、修了要件は相違しない"</formula1>
    </dataValidation>
    <dataValidation type="list" allowBlank="1" showInputMessage="1" showErrorMessage="1" sqref="H74:M77 G70:G77 H70:M71 T70:T77 U70:Z71 U74:Z77" xr:uid="{00000000-0002-0000-0100-00000300000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98" r:id="rId1" xr:uid="{00000000-0004-0000-0100-000000000000}"/>
  </hyperlinks>
  <printOptions horizontalCentered="1"/>
  <pageMargins left="0.78740157480314965" right="0.78740157480314965" top="0.59055118110236227" bottom="0.19685039370078741" header="0.31496062992125984" footer="0.19685039370078741"/>
  <pageSetup paperSize="9" scale="98" orientation="landscape" r:id="rId2"/>
  <rowBreaks count="3" manualBreakCount="3">
    <brk id="34" max="25" man="1"/>
    <brk id="67" max="25" man="1"/>
    <brk id="83"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98"/>
  <sheetViews>
    <sheetView showZeros="0" view="pageBreakPreview" zoomScaleNormal="100" zoomScaleSheetLayoutView="100" workbookViewId="0">
      <selection activeCell="AC7" sqref="AC7"/>
    </sheetView>
  </sheetViews>
  <sheetFormatPr defaultColWidth="9" defaultRowHeight="18.75" customHeight="1"/>
  <cols>
    <col min="1" max="1" width="2.5" style="13" customWidth="1"/>
    <col min="2" max="2" width="27.75" style="13" customWidth="1"/>
    <col min="3" max="13" width="3.375" style="13" customWidth="1"/>
    <col min="14" max="14" width="8.875" style="13" customWidth="1"/>
    <col min="15" max="15" width="18.875" style="13" customWidth="1"/>
    <col min="16" max="19" width="3.375" style="13" customWidth="1"/>
    <col min="20" max="20" width="3.5" style="13" customWidth="1"/>
    <col min="21" max="26" width="3.375" style="13" customWidth="1"/>
    <col min="27" max="16384" width="9" style="13"/>
  </cols>
  <sheetData>
    <row r="1" spans="1:26" ht="15" customHeight="1">
      <c r="W1" s="244" t="s">
        <v>134</v>
      </c>
      <c r="X1" s="244"/>
      <c r="Y1" s="244"/>
      <c r="Z1" s="244"/>
    </row>
    <row r="2" spans="1:26" ht="18" customHeight="1">
      <c r="A2" s="208" t="s">
        <v>69</v>
      </c>
      <c r="B2" s="208"/>
      <c r="C2" s="208"/>
      <c r="D2" s="208"/>
      <c r="E2" s="208"/>
      <c r="F2" s="208"/>
      <c r="G2" s="208"/>
      <c r="H2" s="208"/>
      <c r="I2" s="208"/>
      <c r="J2" s="208"/>
      <c r="K2" s="208"/>
      <c r="L2" s="208"/>
      <c r="M2" s="208"/>
      <c r="N2" s="208"/>
      <c r="O2" s="208"/>
      <c r="P2" s="208"/>
      <c r="Q2" s="208"/>
      <c r="R2" s="208"/>
      <c r="S2" s="208"/>
      <c r="T2" s="208"/>
      <c r="U2" s="208"/>
      <c r="V2" s="208"/>
      <c r="W2" s="208"/>
      <c r="X2" s="208"/>
      <c r="Y2" s="208"/>
      <c r="Z2" s="208"/>
    </row>
    <row r="3" spans="1:26" ht="15" customHeight="1">
      <c r="B3" s="29"/>
      <c r="C3" s="29"/>
      <c r="D3" s="29"/>
      <c r="E3" s="29"/>
      <c r="F3" s="29"/>
      <c r="G3" s="29"/>
      <c r="H3" s="29"/>
      <c r="I3" s="29"/>
      <c r="J3" s="29"/>
      <c r="K3" s="29"/>
      <c r="L3" s="29"/>
      <c r="M3" s="29"/>
      <c r="N3" s="29"/>
      <c r="O3" s="29"/>
      <c r="P3" s="29"/>
      <c r="Q3" s="29"/>
      <c r="R3" s="29"/>
      <c r="S3" s="29"/>
      <c r="T3" s="29"/>
      <c r="U3" s="29"/>
      <c r="V3" s="29"/>
      <c r="W3" s="29"/>
      <c r="X3" s="29"/>
      <c r="Y3" s="29"/>
      <c r="Z3" s="29"/>
    </row>
    <row r="4" spans="1:26" ht="18" customHeight="1">
      <c r="A4" s="13" t="s">
        <v>70</v>
      </c>
      <c r="B4" s="29"/>
      <c r="C4" s="29"/>
      <c r="D4" s="29"/>
      <c r="E4" s="29"/>
      <c r="F4" s="29"/>
      <c r="G4" s="29"/>
      <c r="H4" s="15" t="s">
        <v>71</v>
      </c>
      <c r="I4" s="29"/>
      <c r="J4" s="29"/>
      <c r="K4" s="29"/>
      <c r="L4" s="29"/>
      <c r="M4" s="29"/>
      <c r="N4" s="29"/>
      <c r="O4" s="149" t="s">
        <v>72</v>
      </c>
      <c r="P4" s="150"/>
      <c r="Q4" s="150"/>
      <c r="R4" s="150"/>
      <c r="S4" s="150"/>
      <c r="T4" s="150"/>
      <c r="U4" s="150"/>
      <c r="V4" s="150"/>
      <c r="W4" s="150"/>
      <c r="X4" s="150"/>
      <c r="Y4" s="150"/>
      <c r="Z4" s="151"/>
    </row>
    <row r="5" spans="1:26" ht="6" customHeight="1">
      <c r="B5" s="29"/>
      <c r="C5" s="29"/>
      <c r="D5" s="29"/>
      <c r="E5" s="29"/>
      <c r="F5" s="29"/>
      <c r="G5" s="29"/>
      <c r="H5" s="29"/>
      <c r="I5" s="29"/>
      <c r="J5" s="29"/>
      <c r="K5" s="29"/>
      <c r="L5" s="29"/>
      <c r="M5" s="29"/>
      <c r="N5" s="29"/>
      <c r="O5" s="16"/>
      <c r="P5" s="29"/>
      <c r="Q5" s="29"/>
      <c r="R5" s="29"/>
      <c r="S5" s="29"/>
      <c r="T5" s="29"/>
      <c r="U5" s="29"/>
      <c r="V5" s="29"/>
      <c r="W5" s="29"/>
      <c r="X5" s="29"/>
      <c r="Y5" s="29"/>
      <c r="Z5" s="29"/>
    </row>
    <row r="6" spans="1:26" ht="18" customHeight="1">
      <c r="B6" s="209" t="s">
        <v>135</v>
      </c>
      <c r="C6" s="210"/>
      <c r="D6" s="210"/>
      <c r="E6" s="210"/>
      <c r="F6" s="210"/>
      <c r="G6" s="210"/>
      <c r="H6" s="210"/>
      <c r="I6" s="210"/>
      <c r="J6" s="210"/>
      <c r="K6" s="210"/>
      <c r="L6" s="210"/>
      <c r="M6" s="210"/>
      <c r="N6" s="210"/>
      <c r="O6" s="210"/>
      <c r="P6" s="210"/>
      <c r="Q6" s="210"/>
      <c r="R6" s="210"/>
      <c r="S6" s="210"/>
      <c r="T6" s="210"/>
      <c r="U6" s="210"/>
      <c r="V6" s="210"/>
      <c r="W6" s="210"/>
      <c r="X6" s="210"/>
      <c r="Y6" s="210"/>
      <c r="Z6" s="211"/>
    </row>
    <row r="7" spans="1:26" ht="18" customHeight="1">
      <c r="B7" s="212"/>
      <c r="C7" s="213"/>
      <c r="D7" s="213"/>
      <c r="E7" s="213"/>
      <c r="F7" s="213"/>
      <c r="G7" s="213"/>
      <c r="H7" s="213"/>
      <c r="I7" s="213"/>
      <c r="J7" s="213"/>
      <c r="K7" s="213"/>
      <c r="L7" s="213"/>
      <c r="M7" s="213"/>
      <c r="N7" s="213"/>
      <c r="O7" s="213"/>
      <c r="P7" s="213"/>
      <c r="Q7" s="213"/>
      <c r="R7" s="213"/>
      <c r="S7" s="213"/>
      <c r="T7" s="213"/>
      <c r="U7" s="213"/>
      <c r="V7" s="213"/>
      <c r="W7" s="213"/>
      <c r="X7" s="213"/>
      <c r="Y7" s="213"/>
      <c r="Z7" s="214"/>
    </row>
    <row r="8" spans="1:26" ht="18" customHeight="1">
      <c r="B8" s="212"/>
      <c r="C8" s="213"/>
      <c r="D8" s="213"/>
      <c r="E8" s="213"/>
      <c r="F8" s="213"/>
      <c r="G8" s="213"/>
      <c r="H8" s="213"/>
      <c r="I8" s="213"/>
      <c r="J8" s="213"/>
      <c r="K8" s="213"/>
      <c r="L8" s="213"/>
      <c r="M8" s="213"/>
      <c r="N8" s="213"/>
      <c r="O8" s="213"/>
      <c r="P8" s="213"/>
      <c r="Q8" s="213"/>
      <c r="R8" s="213"/>
      <c r="S8" s="213"/>
      <c r="T8" s="213"/>
      <c r="U8" s="213"/>
      <c r="V8" s="213"/>
      <c r="W8" s="213"/>
      <c r="X8" s="213"/>
      <c r="Y8" s="213"/>
      <c r="Z8" s="214"/>
    </row>
    <row r="9" spans="1:26" ht="18" customHeight="1">
      <c r="B9" s="212"/>
      <c r="C9" s="213"/>
      <c r="D9" s="213"/>
      <c r="E9" s="213"/>
      <c r="F9" s="213"/>
      <c r="G9" s="213"/>
      <c r="H9" s="213"/>
      <c r="I9" s="213"/>
      <c r="J9" s="213"/>
      <c r="K9" s="213"/>
      <c r="L9" s="213"/>
      <c r="M9" s="213"/>
      <c r="N9" s="213"/>
      <c r="O9" s="213"/>
      <c r="P9" s="213"/>
      <c r="Q9" s="213"/>
      <c r="R9" s="213"/>
      <c r="S9" s="213"/>
      <c r="T9" s="213"/>
      <c r="U9" s="213"/>
      <c r="V9" s="213"/>
      <c r="W9" s="213"/>
      <c r="X9" s="213"/>
      <c r="Y9" s="213"/>
      <c r="Z9" s="214"/>
    </row>
    <row r="10" spans="1:26" ht="18" customHeight="1">
      <c r="B10" s="212"/>
      <c r="C10" s="215"/>
      <c r="D10" s="215"/>
      <c r="E10" s="215"/>
      <c r="F10" s="215"/>
      <c r="G10" s="215"/>
      <c r="H10" s="215"/>
      <c r="I10" s="215"/>
      <c r="J10" s="215"/>
      <c r="K10" s="215"/>
      <c r="L10" s="215"/>
      <c r="M10" s="215"/>
      <c r="N10" s="215"/>
      <c r="O10" s="215"/>
      <c r="P10" s="215"/>
      <c r="Q10" s="215"/>
      <c r="R10" s="215"/>
      <c r="S10" s="215"/>
      <c r="T10" s="215"/>
      <c r="U10" s="215"/>
      <c r="V10" s="215"/>
      <c r="W10" s="215"/>
      <c r="X10" s="215"/>
      <c r="Y10" s="215"/>
      <c r="Z10" s="214"/>
    </row>
    <row r="11" spans="1:26" ht="18" customHeight="1">
      <c r="B11" s="216"/>
      <c r="C11" s="217"/>
      <c r="D11" s="217"/>
      <c r="E11" s="217"/>
      <c r="F11" s="217"/>
      <c r="G11" s="217"/>
      <c r="H11" s="217"/>
      <c r="I11" s="217"/>
      <c r="J11" s="217"/>
      <c r="K11" s="217"/>
      <c r="L11" s="217"/>
      <c r="M11" s="217"/>
      <c r="N11" s="217"/>
      <c r="O11" s="217"/>
      <c r="P11" s="217"/>
      <c r="Q11" s="217"/>
      <c r="R11" s="217"/>
      <c r="S11" s="217"/>
      <c r="T11" s="217"/>
      <c r="U11" s="217"/>
      <c r="V11" s="217"/>
      <c r="W11" s="217"/>
      <c r="X11" s="217"/>
      <c r="Y11" s="217"/>
      <c r="Z11" s="218"/>
    </row>
    <row r="12" spans="1:26" ht="7.5" customHeight="1">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spans="1:26" ht="18" customHeight="1">
      <c r="A13" s="204" t="s">
        <v>74</v>
      </c>
      <c r="B13" s="204"/>
      <c r="C13" s="204"/>
      <c r="D13" s="204"/>
      <c r="E13" s="204"/>
      <c r="F13" s="204"/>
      <c r="G13" s="204"/>
      <c r="H13" s="204"/>
      <c r="I13" s="204"/>
      <c r="J13" s="204"/>
      <c r="K13" s="204"/>
      <c r="L13" s="204"/>
      <c r="M13" s="204"/>
      <c r="N13" s="204"/>
      <c r="O13" s="204"/>
      <c r="P13" s="204"/>
      <c r="Q13" s="204"/>
      <c r="R13" s="204"/>
      <c r="S13" s="204"/>
      <c r="T13" s="204"/>
      <c r="U13" s="204"/>
      <c r="V13" s="204"/>
      <c r="W13" s="204"/>
      <c r="X13" s="204"/>
      <c r="Y13" s="204"/>
      <c r="Z13" s="204"/>
    </row>
    <row r="14" spans="1:26" ht="18" customHeight="1">
      <c r="A14" s="204"/>
      <c r="B14" s="204"/>
      <c r="C14" s="204"/>
      <c r="D14" s="204"/>
      <c r="E14" s="204"/>
      <c r="F14" s="204"/>
      <c r="G14" s="204"/>
      <c r="H14" s="204"/>
      <c r="I14" s="204"/>
      <c r="J14" s="204"/>
      <c r="K14" s="204"/>
      <c r="L14" s="204"/>
      <c r="M14" s="204"/>
      <c r="N14" s="204"/>
      <c r="O14" s="204"/>
      <c r="P14" s="204"/>
      <c r="Q14" s="204"/>
      <c r="R14" s="204"/>
      <c r="S14" s="204"/>
      <c r="T14" s="204"/>
      <c r="U14" s="204"/>
      <c r="V14" s="204"/>
      <c r="W14" s="204"/>
      <c r="X14" s="204"/>
      <c r="Y14" s="204"/>
      <c r="Z14" s="204"/>
    </row>
    <row r="15" spans="1:26" ht="18" customHeight="1">
      <c r="A15" s="14"/>
      <c r="B15" s="149" t="s">
        <v>75</v>
      </c>
      <c r="C15" s="150"/>
      <c r="D15" s="150"/>
      <c r="E15" s="150"/>
      <c r="F15" s="151"/>
      <c r="G15" s="30" t="s">
        <v>76</v>
      </c>
      <c r="H15" s="106" t="s">
        <v>77</v>
      </c>
      <c r="I15" s="150" t="s">
        <v>78</v>
      </c>
      <c r="J15" s="150"/>
      <c r="K15" s="150"/>
      <c r="L15" s="69" t="s">
        <v>79</v>
      </c>
      <c r="M15" s="69" t="s">
        <v>80</v>
      </c>
      <c r="N15" s="149" t="s">
        <v>75</v>
      </c>
      <c r="O15" s="150"/>
      <c r="P15" s="150"/>
      <c r="Q15" s="150"/>
      <c r="R15" s="150"/>
      <c r="S15" s="151"/>
      <c r="T15" s="30" t="s">
        <v>76</v>
      </c>
      <c r="U15" s="106" t="s">
        <v>77</v>
      </c>
      <c r="V15" s="150" t="s">
        <v>78</v>
      </c>
      <c r="W15" s="150"/>
      <c r="X15" s="150"/>
      <c r="Y15" s="69" t="s">
        <v>79</v>
      </c>
      <c r="Z15" s="69" t="s">
        <v>80</v>
      </c>
    </row>
    <row r="16" spans="1:26" ht="18" customHeight="1">
      <c r="A16" s="14"/>
      <c r="B16" s="195" t="s">
        <v>136</v>
      </c>
      <c r="C16" s="196"/>
      <c r="D16" s="196"/>
      <c r="E16" s="196"/>
      <c r="F16" s="197"/>
      <c r="G16" s="107">
        <v>2</v>
      </c>
      <c r="H16" s="107" t="s">
        <v>82</v>
      </c>
      <c r="I16" s="189" t="s">
        <v>83</v>
      </c>
      <c r="J16" s="190"/>
      <c r="K16" s="191"/>
      <c r="L16" s="107" t="s">
        <v>82</v>
      </c>
      <c r="M16" s="107" t="s">
        <v>82</v>
      </c>
      <c r="N16" s="156"/>
      <c r="O16" s="157"/>
      <c r="P16" s="157"/>
      <c r="Q16" s="157"/>
      <c r="R16" s="157"/>
      <c r="S16" s="158"/>
      <c r="T16" s="107"/>
      <c r="U16" s="107"/>
      <c r="V16" s="189"/>
      <c r="W16" s="190"/>
      <c r="X16" s="191"/>
      <c r="Y16" s="107"/>
      <c r="Z16" s="107"/>
    </row>
    <row r="17" spans="1:26" ht="18" customHeight="1">
      <c r="A17" s="14"/>
      <c r="B17" s="198"/>
      <c r="C17" s="199"/>
      <c r="D17" s="199"/>
      <c r="E17" s="199"/>
      <c r="F17" s="200"/>
      <c r="G17" s="108"/>
      <c r="H17" s="108"/>
      <c r="I17" s="192"/>
      <c r="J17" s="193"/>
      <c r="K17" s="194"/>
      <c r="L17" s="108"/>
      <c r="M17" s="108"/>
      <c r="N17" s="165"/>
      <c r="O17" s="166"/>
      <c r="P17" s="166"/>
      <c r="Q17" s="166"/>
      <c r="R17" s="166"/>
      <c r="S17" s="167"/>
      <c r="T17" s="108"/>
      <c r="U17" s="108"/>
      <c r="V17" s="192"/>
      <c r="W17" s="193"/>
      <c r="X17" s="194"/>
      <c r="Y17" s="108"/>
      <c r="Z17" s="108"/>
    </row>
    <row r="18" spans="1:26" ht="18" customHeight="1">
      <c r="A18" s="14"/>
      <c r="B18" s="198" t="s">
        <v>137</v>
      </c>
      <c r="C18" s="199"/>
      <c r="D18" s="199"/>
      <c r="E18" s="199"/>
      <c r="F18" s="200"/>
      <c r="G18" s="108"/>
      <c r="H18" s="108"/>
      <c r="I18" s="192"/>
      <c r="J18" s="193"/>
      <c r="K18" s="194"/>
      <c r="L18" s="108"/>
      <c r="M18" s="108"/>
      <c r="N18" s="165"/>
      <c r="O18" s="166"/>
      <c r="P18" s="166"/>
      <c r="Q18" s="166"/>
      <c r="R18" s="166"/>
      <c r="S18" s="167"/>
      <c r="T18" s="108"/>
      <c r="U18" s="108"/>
      <c r="V18" s="192"/>
      <c r="W18" s="193"/>
      <c r="X18" s="194"/>
      <c r="Y18" s="108"/>
      <c r="Z18" s="108"/>
    </row>
    <row r="19" spans="1:26" ht="18" customHeight="1">
      <c r="A19" s="14"/>
      <c r="B19" s="198" t="s">
        <v>85</v>
      </c>
      <c r="C19" s="199"/>
      <c r="D19" s="199"/>
      <c r="E19" s="199"/>
      <c r="F19" s="200"/>
      <c r="G19" s="108">
        <v>2</v>
      </c>
      <c r="H19" s="108"/>
      <c r="I19" s="192" t="s">
        <v>86</v>
      </c>
      <c r="J19" s="193"/>
      <c r="K19" s="194"/>
      <c r="L19" s="108" t="s">
        <v>82</v>
      </c>
      <c r="M19" s="108" t="s">
        <v>82</v>
      </c>
      <c r="N19" s="165"/>
      <c r="O19" s="166"/>
      <c r="P19" s="166"/>
      <c r="Q19" s="166"/>
      <c r="R19" s="166"/>
      <c r="S19" s="167"/>
      <c r="T19" s="108"/>
      <c r="U19" s="108"/>
      <c r="V19" s="192"/>
      <c r="W19" s="193"/>
      <c r="X19" s="194"/>
      <c r="Y19" s="108"/>
      <c r="Z19" s="108"/>
    </row>
    <row r="20" spans="1:26" ht="18" customHeight="1">
      <c r="A20" s="14"/>
      <c r="B20" s="198"/>
      <c r="C20" s="199"/>
      <c r="D20" s="199"/>
      <c r="E20" s="199"/>
      <c r="F20" s="200"/>
      <c r="G20" s="108"/>
      <c r="H20" s="108"/>
      <c r="I20" s="192"/>
      <c r="J20" s="193"/>
      <c r="K20" s="194"/>
      <c r="L20" s="108"/>
      <c r="M20" s="108"/>
      <c r="N20" s="165"/>
      <c r="O20" s="166"/>
      <c r="P20" s="166"/>
      <c r="Q20" s="166"/>
      <c r="R20" s="166"/>
      <c r="S20" s="167"/>
      <c r="T20" s="108"/>
      <c r="U20" s="108"/>
      <c r="V20" s="192"/>
      <c r="W20" s="193"/>
      <c r="X20" s="194"/>
      <c r="Y20" s="108"/>
      <c r="Z20" s="108"/>
    </row>
    <row r="21" spans="1:26" ht="18" customHeight="1">
      <c r="A21" s="29"/>
      <c r="B21" s="198"/>
      <c r="C21" s="199"/>
      <c r="D21" s="199"/>
      <c r="E21" s="199"/>
      <c r="F21" s="200"/>
      <c r="G21" s="108"/>
      <c r="H21" s="108"/>
      <c r="I21" s="192"/>
      <c r="J21" s="193"/>
      <c r="K21" s="194"/>
      <c r="L21" s="108"/>
      <c r="M21" s="108"/>
      <c r="N21" s="165"/>
      <c r="O21" s="166"/>
      <c r="P21" s="166"/>
      <c r="Q21" s="166"/>
      <c r="R21" s="166"/>
      <c r="S21" s="167"/>
      <c r="T21" s="108"/>
      <c r="U21" s="108"/>
      <c r="V21" s="192"/>
      <c r="W21" s="193"/>
      <c r="X21" s="194"/>
      <c r="Y21" s="108"/>
      <c r="Z21" s="108"/>
    </row>
    <row r="22" spans="1:26" ht="18" customHeight="1">
      <c r="A22" s="29"/>
      <c r="B22" s="205"/>
      <c r="C22" s="206"/>
      <c r="D22" s="206"/>
      <c r="E22" s="206"/>
      <c r="F22" s="207"/>
      <c r="G22" s="109"/>
      <c r="H22" s="109"/>
      <c r="I22" s="201"/>
      <c r="J22" s="202"/>
      <c r="K22" s="203"/>
      <c r="L22" s="112"/>
      <c r="M22" s="112"/>
      <c r="N22" s="225"/>
      <c r="O22" s="226"/>
      <c r="P22" s="226"/>
      <c r="Q22" s="226"/>
      <c r="R22" s="226"/>
      <c r="S22" s="227"/>
      <c r="T22" s="109"/>
      <c r="U22" s="109"/>
      <c r="V22" s="201"/>
      <c r="W22" s="202"/>
      <c r="X22" s="203"/>
      <c r="Y22" s="112"/>
      <c r="Z22" s="112"/>
    </row>
    <row r="23" spans="1:26" ht="7.5" customHeight="1">
      <c r="A23" s="29"/>
      <c r="B23" s="70"/>
      <c r="C23" s="70"/>
      <c r="D23" s="29"/>
      <c r="E23" s="29"/>
      <c r="F23" s="29"/>
      <c r="G23" s="29"/>
      <c r="H23" s="29"/>
      <c r="I23" s="29"/>
      <c r="J23" s="29"/>
      <c r="K23" s="29"/>
      <c r="L23" s="70"/>
      <c r="M23" s="70"/>
      <c r="N23" s="70"/>
      <c r="O23" s="70"/>
      <c r="P23" s="70"/>
      <c r="Q23" s="70"/>
      <c r="R23" s="70"/>
      <c r="S23" s="70"/>
      <c r="T23" s="70"/>
      <c r="U23" s="70"/>
      <c r="V23" s="70"/>
      <c r="W23" s="70"/>
      <c r="X23" s="70"/>
      <c r="Y23" s="70"/>
      <c r="Z23" s="29"/>
    </row>
    <row r="24" spans="1:26" ht="18" customHeight="1">
      <c r="A24" s="204" t="s">
        <v>87</v>
      </c>
      <c r="B24" s="204"/>
      <c r="C24" s="204"/>
      <c r="D24" s="204"/>
      <c r="E24" s="204"/>
      <c r="F24" s="204"/>
      <c r="G24" s="204"/>
      <c r="H24" s="204"/>
      <c r="I24" s="204"/>
      <c r="J24" s="204"/>
      <c r="K24" s="204"/>
      <c r="L24" s="204"/>
      <c r="M24" s="204"/>
      <c r="N24" s="204"/>
      <c r="O24" s="204"/>
      <c r="P24" s="204"/>
      <c r="Q24" s="204"/>
      <c r="R24" s="204"/>
      <c r="S24" s="204"/>
      <c r="T24" s="204"/>
      <c r="U24" s="204"/>
      <c r="V24" s="204"/>
      <c r="W24" s="204"/>
      <c r="X24" s="204"/>
      <c r="Y24" s="204"/>
      <c r="Z24" s="204"/>
    </row>
    <row r="25" spans="1:26" ht="18" customHeight="1">
      <c r="A25" s="204"/>
      <c r="B25" s="204"/>
      <c r="C25" s="204"/>
      <c r="D25" s="204"/>
      <c r="E25" s="204"/>
      <c r="F25" s="204"/>
      <c r="G25" s="204"/>
      <c r="H25" s="204"/>
      <c r="I25" s="204"/>
      <c r="J25" s="204"/>
      <c r="K25" s="204"/>
      <c r="L25" s="204"/>
      <c r="M25" s="204"/>
      <c r="N25" s="204"/>
      <c r="O25" s="204"/>
      <c r="P25" s="204"/>
      <c r="Q25" s="204"/>
      <c r="R25" s="204"/>
      <c r="S25" s="204"/>
      <c r="T25" s="204"/>
      <c r="U25" s="204"/>
      <c r="V25" s="204"/>
      <c r="W25" s="204"/>
      <c r="X25" s="204"/>
      <c r="Y25" s="204"/>
      <c r="Z25" s="204"/>
    </row>
    <row r="26" spans="1:26" ht="18" customHeight="1">
      <c r="A26" s="14"/>
      <c r="B26" s="149" t="s">
        <v>75</v>
      </c>
      <c r="C26" s="150"/>
      <c r="D26" s="150"/>
      <c r="E26" s="150"/>
      <c r="F26" s="151"/>
      <c r="G26" s="30" t="s">
        <v>76</v>
      </c>
      <c r="H26" s="106" t="s">
        <v>77</v>
      </c>
      <c r="I26" s="150" t="s">
        <v>78</v>
      </c>
      <c r="J26" s="150"/>
      <c r="K26" s="150"/>
      <c r="L26" s="69" t="s">
        <v>88</v>
      </c>
      <c r="M26" s="69" t="s">
        <v>89</v>
      </c>
      <c r="N26" s="149" t="s">
        <v>75</v>
      </c>
      <c r="O26" s="150"/>
      <c r="P26" s="150"/>
      <c r="Q26" s="150"/>
      <c r="R26" s="150"/>
      <c r="S26" s="151"/>
      <c r="T26" s="30" t="s">
        <v>76</v>
      </c>
      <c r="U26" s="106" t="s">
        <v>77</v>
      </c>
      <c r="V26" s="150" t="s">
        <v>78</v>
      </c>
      <c r="W26" s="150"/>
      <c r="X26" s="150"/>
      <c r="Y26" s="69" t="s">
        <v>88</v>
      </c>
      <c r="Z26" s="69" t="s">
        <v>89</v>
      </c>
    </row>
    <row r="27" spans="1:26" ht="18" customHeight="1">
      <c r="A27" s="14"/>
      <c r="B27" s="195" t="s">
        <v>136</v>
      </c>
      <c r="C27" s="196"/>
      <c r="D27" s="196"/>
      <c r="E27" s="196"/>
      <c r="F27" s="197"/>
      <c r="G27" s="107">
        <v>2</v>
      </c>
      <c r="H27" s="107" t="s">
        <v>82</v>
      </c>
      <c r="I27" s="189" t="s">
        <v>138</v>
      </c>
      <c r="J27" s="190"/>
      <c r="K27" s="191"/>
      <c r="L27" s="107" t="s">
        <v>82</v>
      </c>
      <c r="M27" s="107" t="s">
        <v>82</v>
      </c>
      <c r="N27" s="156"/>
      <c r="O27" s="157"/>
      <c r="P27" s="157"/>
      <c r="Q27" s="157"/>
      <c r="R27" s="157"/>
      <c r="S27" s="158"/>
      <c r="T27" s="107"/>
      <c r="U27" s="107"/>
      <c r="V27" s="189"/>
      <c r="W27" s="190"/>
      <c r="X27" s="191"/>
      <c r="Y27" s="107"/>
      <c r="Z27" s="107"/>
    </row>
    <row r="28" spans="1:26" ht="18" customHeight="1">
      <c r="A28" s="14"/>
      <c r="B28" s="198"/>
      <c r="C28" s="199"/>
      <c r="D28" s="199"/>
      <c r="E28" s="199"/>
      <c r="F28" s="200"/>
      <c r="G28" s="108"/>
      <c r="H28" s="108"/>
      <c r="I28" s="192"/>
      <c r="J28" s="193"/>
      <c r="K28" s="194"/>
      <c r="L28" s="108"/>
      <c r="M28" s="108"/>
      <c r="N28" s="165"/>
      <c r="O28" s="166"/>
      <c r="P28" s="166"/>
      <c r="Q28" s="166"/>
      <c r="R28" s="166"/>
      <c r="S28" s="167"/>
      <c r="T28" s="108"/>
      <c r="U28" s="108"/>
      <c r="V28" s="192"/>
      <c r="W28" s="193"/>
      <c r="X28" s="194"/>
      <c r="Y28" s="108"/>
      <c r="Z28" s="108"/>
    </row>
    <row r="29" spans="1:26" ht="18" customHeight="1">
      <c r="A29" s="14"/>
      <c r="B29" s="198" t="s">
        <v>139</v>
      </c>
      <c r="C29" s="199"/>
      <c r="D29" s="199"/>
      <c r="E29" s="199"/>
      <c r="F29" s="200"/>
      <c r="G29" s="108"/>
      <c r="H29" s="108"/>
      <c r="I29" s="192"/>
      <c r="J29" s="193"/>
      <c r="K29" s="194"/>
      <c r="L29" s="108"/>
      <c r="M29" s="108"/>
      <c r="N29" s="165"/>
      <c r="O29" s="166"/>
      <c r="P29" s="166"/>
      <c r="Q29" s="166"/>
      <c r="R29" s="166"/>
      <c r="S29" s="167"/>
      <c r="T29" s="108"/>
      <c r="U29" s="108"/>
      <c r="V29" s="192"/>
      <c r="W29" s="193"/>
      <c r="X29" s="194"/>
      <c r="Y29" s="108"/>
      <c r="Z29" s="108"/>
    </row>
    <row r="30" spans="1:26" ht="18" customHeight="1">
      <c r="A30" s="14"/>
      <c r="B30" s="198" t="s">
        <v>85</v>
      </c>
      <c r="C30" s="199"/>
      <c r="D30" s="199"/>
      <c r="E30" s="199"/>
      <c r="F30" s="200"/>
      <c r="G30" s="108">
        <v>2</v>
      </c>
      <c r="H30" s="108"/>
      <c r="I30" s="192" t="s">
        <v>86</v>
      </c>
      <c r="J30" s="193"/>
      <c r="K30" s="194"/>
      <c r="L30" s="108" t="s">
        <v>82</v>
      </c>
      <c r="M30" s="108" t="s">
        <v>82</v>
      </c>
      <c r="N30" s="165"/>
      <c r="O30" s="166"/>
      <c r="P30" s="166"/>
      <c r="Q30" s="166"/>
      <c r="R30" s="166"/>
      <c r="S30" s="167"/>
      <c r="T30" s="108"/>
      <c r="U30" s="108"/>
      <c r="V30" s="192"/>
      <c r="W30" s="193"/>
      <c r="X30" s="194"/>
      <c r="Y30" s="108"/>
      <c r="Z30" s="108"/>
    </row>
    <row r="31" spans="1:26" ht="18" customHeight="1">
      <c r="A31" s="14"/>
      <c r="B31" s="198"/>
      <c r="C31" s="199"/>
      <c r="D31" s="199"/>
      <c r="E31" s="199"/>
      <c r="F31" s="200"/>
      <c r="G31" s="108"/>
      <c r="H31" s="108"/>
      <c r="I31" s="192"/>
      <c r="J31" s="193"/>
      <c r="K31" s="194"/>
      <c r="L31" s="108"/>
      <c r="M31" s="108"/>
      <c r="N31" s="165"/>
      <c r="O31" s="166"/>
      <c r="P31" s="166"/>
      <c r="Q31" s="166"/>
      <c r="R31" s="166"/>
      <c r="S31" s="167"/>
      <c r="T31" s="108"/>
      <c r="U31" s="108"/>
      <c r="V31" s="192"/>
      <c r="W31" s="193"/>
      <c r="X31" s="194"/>
      <c r="Y31" s="108"/>
      <c r="Z31" s="108"/>
    </row>
    <row r="32" spans="1:26" ht="18" customHeight="1">
      <c r="A32" s="14"/>
      <c r="B32" s="198"/>
      <c r="C32" s="199"/>
      <c r="D32" s="199"/>
      <c r="E32" s="199"/>
      <c r="F32" s="200"/>
      <c r="G32" s="108"/>
      <c r="H32" s="108"/>
      <c r="I32" s="192"/>
      <c r="J32" s="193"/>
      <c r="K32" s="194"/>
      <c r="L32" s="108"/>
      <c r="M32" s="108"/>
      <c r="N32" s="165"/>
      <c r="O32" s="166"/>
      <c r="P32" s="166"/>
      <c r="Q32" s="166"/>
      <c r="R32" s="166"/>
      <c r="S32" s="167"/>
      <c r="T32" s="108"/>
      <c r="U32" s="108"/>
      <c r="V32" s="192"/>
      <c r="W32" s="193"/>
      <c r="X32" s="194"/>
      <c r="Y32" s="108"/>
      <c r="Z32" s="108"/>
    </row>
    <row r="33" spans="1:26" ht="18" customHeight="1">
      <c r="A33" s="14"/>
      <c r="B33" s="205"/>
      <c r="C33" s="206"/>
      <c r="D33" s="206"/>
      <c r="E33" s="206"/>
      <c r="F33" s="207"/>
      <c r="G33" s="109"/>
      <c r="H33" s="109"/>
      <c r="I33" s="201"/>
      <c r="J33" s="202"/>
      <c r="K33" s="203"/>
      <c r="L33" s="112"/>
      <c r="M33" s="112"/>
      <c r="N33" s="225"/>
      <c r="O33" s="226"/>
      <c r="P33" s="226"/>
      <c r="Q33" s="226"/>
      <c r="R33" s="226"/>
      <c r="S33" s="227"/>
      <c r="T33" s="109"/>
      <c r="U33" s="109"/>
      <c r="V33" s="201"/>
      <c r="W33" s="202"/>
      <c r="X33" s="203"/>
      <c r="Y33" s="112"/>
      <c r="Z33" s="112"/>
    </row>
    <row r="34" spans="1:26" ht="7.5" customHeight="1">
      <c r="A34" s="29"/>
      <c r="B34" s="70"/>
      <c r="C34" s="70"/>
      <c r="D34" s="29"/>
      <c r="E34" s="29"/>
      <c r="F34" s="29"/>
      <c r="G34" s="29"/>
      <c r="H34" s="29"/>
      <c r="I34" s="29"/>
      <c r="J34" s="29"/>
      <c r="K34" s="29"/>
      <c r="L34" s="70"/>
      <c r="M34" s="70"/>
      <c r="N34" s="70"/>
      <c r="O34" s="70"/>
      <c r="P34" s="70"/>
      <c r="Q34" s="70"/>
      <c r="R34" s="70"/>
      <c r="S34" s="70"/>
      <c r="T34" s="70"/>
      <c r="U34" s="70"/>
      <c r="V34" s="70"/>
      <c r="W34" s="70"/>
      <c r="X34" s="70"/>
      <c r="Y34" s="70"/>
      <c r="Z34" s="29"/>
    </row>
    <row r="35" spans="1:26" ht="18" customHeight="1">
      <c r="A35" s="204" t="s">
        <v>91</v>
      </c>
      <c r="B35" s="204"/>
      <c r="C35" s="204"/>
      <c r="D35" s="204"/>
      <c r="E35" s="204"/>
      <c r="F35" s="204"/>
      <c r="G35" s="204"/>
      <c r="H35" s="204"/>
      <c r="I35" s="204"/>
      <c r="J35" s="204"/>
      <c r="K35" s="204"/>
      <c r="L35" s="204"/>
      <c r="M35" s="204"/>
      <c r="N35" s="204"/>
      <c r="O35" s="204"/>
      <c r="P35" s="204"/>
      <c r="Q35" s="204"/>
      <c r="R35" s="204"/>
      <c r="S35" s="204"/>
      <c r="T35" s="204"/>
      <c r="U35" s="204"/>
      <c r="V35" s="204"/>
      <c r="W35" s="204"/>
      <c r="X35" s="204"/>
      <c r="Y35" s="204"/>
      <c r="Z35" s="204"/>
    </row>
    <row r="36" spans="1:26" ht="18" customHeight="1">
      <c r="A36" s="204"/>
      <c r="B36" s="204"/>
      <c r="C36" s="204"/>
      <c r="D36" s="204"/>
      <c r="E36" s="204"/>
      <c r="F36" s="204"/>
      <c r="G36" s="204"/>
      <c r="H36" s="204"/>
      <c r="I36" s="204"/>
      <c r="J36" s="204"/>
      <c r="K36" s="204"/>
      <c r="L36" s="204"/>
      <c r="M36" s="204"/>
      <c r="N36" s="204"/>
      <c r="O36" s="204"/>
      <c r="P36" s="204"/>
      <c r="Q36" s="204"/>
      <c r="R36" s="204"/>
      <c r="S36" s="204"/>
      <c r="T36" s="204"/>
      <c r="U36" s="204"/>
      <c r="V36" s="204"/>
      <c r="W36" s="204"/>
      <c r="X36" s="204"/>
      <c r="Y36" s="204"/>
      <c r="Z36" s="204"/>
    </row>
    <row r="37" spans="1:26" ht="18" customHeight="1">
      <c r="A37" s="14"/>
      <c r="B37" s="149" t="s">
        <v>75</v>
      </c>
      <c r="C37" s="150"/>
      <c r="D37" s="150"/>
      <c r="E37" s="150"/>
      <c r="F37" s="151"/>
      <c r="G37" s="30" t="s">
        <v>76</v>
      </c>
      <c r="H37" s="106" t="s">
        <v>77</v>
      </c>
      <c r="I37" s="149" t="s">
        <v>78</v>
      </c>
      <c r="J37" s="150"/>
      <c r="K37" s="151"/>
      <c r="L37" s="69" t="s">
        <v>92</v>
      </c>
      <c r="M37" s="69" t="s">
        <v>93</v>
      </c>
      <c r="N37" s="149" t="s">
        <v>75</v>
      </c>
      <c r="O37" s="150"/>
      <c r="P37" s="150"/>
      <c r="Q37" s="150"/>
      <c r="R37" s="150"/>
      <c r="S37" s="151"/>
      <c r="T37" s="30" t="s">
        <v>76</v>
      </c>
      <c r="U37" s="106" t="s">
        <v>77</v>
      </c>
      <c r="V37" s="149" t="s">
        <v>78</v>
      </c>
      <c r="W37" s="150"/>
      <c r="X37" s="151"/>
      <c r="Y37" s="69" t="s">
        <v>92</v>
      </c>
      <c r="Z37" s="69" t="s">
        <v>93</v>
      </c>
    </row>
    <row r="38" spans="1:26" ht="18" customHeight="1">
      <c r="A38" s="29"/>
      <c r="B38" s="195" t="s">
        <v>136</v>
      </c>
      <c r="C38" s="196"/>
      <c r="D38" s="196"/>
      <c r="E38" s="196"/>
      <c r="F38" s="197"/>
      <c r="G38" s="107">
        <v>2</v>
      </c>
      <c r="H38" s="107" t="s">
        <v>82</v>
      </c>
      <c r="I38" s="189" t="s">
        <v>83</v>
      </c>
      <c r="J38" s="190"/>
      <c r="K38" s="191"/>
      <c r="L38" s="107" t="s">
        <v>82</v>
      </c>
      <c r="M38" s="107" t="s">
        <v>82</v>
      </c>
      <c r="N38" s="156"/>
      <c r="O38" s="157"/>
      <c r="P38" s="157"/>
      <c r="Q38" s="157"/>
      <c r="R38" s="157"/>
      <c r="S38" s="158"/>
      <c r="T38" s="107"/>
      <c r="U38" s="107"/>
      <c r="V38" s="189"/>
      <c r="W38" s="190"/>
      <c r="X38" s="191"/>
      <c r="Y38" s="107"/>
      <c r="Z38" s="107"/>
    </row>
    <row r="39" spans="1:26" ht="18" customHeight="1">
      <c r="A39" s="29"/>
      <c r="B39" s="198"/>
      <c r="C39" s="199"/>
      <c r="D39" s="199"/>
      <c r="E39" s="199"/>
      <c r="F39" s="200"/>
      <c r="G39" s="108"/>
      <c r="H39" s="108"/>
      <c r="I39" s="192"/>
      <c r="J39" s="193"/>
      <c r="K39" s="194"/>
      <c r="L39" s="108"/>
      <c r="M39" s="108"/>
      <c r="N39" s="165"/>
      <c r="O39" s="166"/>
      <c r="P39" s="166"/>
      <c r="Q39" s="166"/>
      <c r="R39" s="166"/>
      <c r="S39" s="167"/>
      <c r="T39" s="108"/>
      <c r="U39" s="108"/>
      <c r="V39" s="192"/>
      <c r="W39" s="193"/>
      <c r="X39" s="194"/>
      <c r="Y39" s="108"/>
      <c r="Z39" s="108"/>
    </row>
    <row r="40" spans="1:26" ht="18" customHeight="1">
      <c r="A40" s="29"/>
      <c r="B40" s="198" t="s">
        <v>139</v>
      </c>
      <c r="C40" s="199"/>
      <c r="D40" s="199"/>
      <c r="E40" s="199"/>
      <c r="F40" s="200"/>
      <c r="G40" s="108"/>
      <c r="H40" s="108"/>
      <c r="I40" s="192"/>
      <c r="J40" s="193"/>
      <c r="K40" s="194"/>
      <c r="L40" s="108"/>
      <c r="M40" s="108"/>
      <c r="N40" s="165"/>
      <c r="O40" s="166"/>
      <c r="P40" s="166"/>
      <c r="Q40" s="166"/>
      <c r="R40" s="166"/>
      <c r="S40" s="167"/>
      <c r="T40" s="108"/>
      <c r="U40" s="108"/>
      <c r="V40" s="192"/>
      <c r="W40" s="193"/>
      <c r="X40" s="194"/>
      <c r="Y40" s="108"/>
      <c r="Z40" s="108"/>
    </row>
    <row r="41" spans="1:26" ht="18" customHeight="1">
      <c r="A41" s="29"/>
      <c r="B41" s="198" t="s">
        <v>85</v>
      </c>
      <c r="C41" s="199"/>
      <c r="D41" s="199"/>
      <c r="E41" s="199"/>
      <c r="F41" s="200"/>
      <c r="G41" s="108">
        <v>2</v>
      </c>
      <c r="H41" s="108"/>
      <c r="I41" s="192" t="s">
        <v>86</v>
      </c>
      <c r="J41" s="193"/>
      <c r="K41" s="194"/>
      <c r="L41" s="108" t="s">
        <v>82</v>
      </c>
      <c r="M41" s="108" t="s">
        <v>82</v>
      </c>
      <c r="N41" s="165"/>
      <c r="O41" s="166"/>
      <c r="P41" s="166"/>
      <c r="Q41" s="166"/>
      <c r="R41" s="166"/>
      <c r="S41" s="167"/>
      <c r="T41" s="108"/>
      <c r="U41" s="108"/>
      <c r="V41" s="192"/>
      <c r="W41" s="193"/>
      <c r="X41" s="194"/>
      <c r="Y41" s="108"/>
      <c r="Z41" s="108"/>
    </row>
    <row r="42" spans="1:26" ht="18" customHeight="1">
      <c r="A42" s="29"/>
      <c r="B42" s="198"/>
      <c r="C42" s="199"/>
      <c r="D42" s="199"/>
      <c r="E42" s="199"/>
      <c r="F42" s="200"/>
      <c r="G42" s="108"/>
      <c r="H42" s="108"/>
      <c r="I42" s="192"/>
      <c r="J42" s="193"/>
      <c r="K42" s="194"/>
      <c r="L42" s="108"/>
      <c r="M42" s="108"/>
      <c r="N42" s="165"/>
      <c r="O42" s="166"/>
      <c r="P42" s="166"/>
      <c r="Q42" s="166"/>
      <c r="R42" s="166"/>
      <c r="S42" s="167"/>
      <c r="T42" s="108"/>
      <c r="U42" s="108"/>
      <c r="V42" s="192"/>
      <c r="W42" s="193"/>
      <c r="X42" s="194"/>
      <c r="Y42" s="108"/>
      <c r="Z42" s="108"/>
    </row>
    <row r="43" spans="1:26" ht="18" customHeight="1">
      <c r="A43" s="29"/>
      <c r="B43" s="198"/>
      <c r="C43" s="199"/>
      <c r="D43" s="199"/>
      <c r="E43" s="199"/>
      <c r="F43" s="200"/>
      <c r="G43" s="108"/>
      <c r="H43" s="108"/>
      <c r="I43" s="192"/>
      <c r="J43" s="193"/>
      <c r="K43" s="194"/>
      <c r="L43" s="108"/>
      <c r="M43" s="108"/>
      <c r="N43" s="165"/>
      <c r="O43" s="166"/>
      <c r="P43" s="166"/>
      <c r="Q43" s="166"/>
      <c r="R43" s="166"/>
      <c r="S43" s="167"/>
      <c r="T43" s="108"/>
      <c r="U43" s="108"/>
      <c r="V43" s="192"/>
      <c r="W43" s="193"/>
      <c r="X43" s="194"/>
      <c r="Y43" s="108"/>
      <c r="Z43" s="108"/>
    </row>
    <row r="44" spans="1:26" ht="18" customHeight="1">
      <c r="A44" s="29"/>
      <c r="B44" s="205"/>
      <c r="C44" s="206"/>
      <c r="D44" s="206"/>
      <c r="E44" s="206"/>
      <c r="F44" s="207"/>
      <c r="G44" s="109"/>
      <c r="H44" s="109"/>
      <c r="I44" s="201"/>
      <c r="J44" s="202"/>
      <c r="K44" s="203"/>
      <c r="L44" s="112"/>
      <c r="M44" s="112"/>
      <c r="N44" s="225"/>
      <c r="O44" s="226"/>
      <c r="P44" s="226"/>
      <c r="Q44" s="226"/>
      <c r="R44" s="226"/>
      <c r="S44" s="227"/>
      <c r="T44" s="109"/>
      <c r="U44" s="109"/>
      <c r="V44" s="201"/>
      <c r="W44" s="202"/>
      <c r="X44" s="203"/>
      <c r="Y44" s="112"/>
      <c r="Z44" s="112"/>
    </row>
    <row r="45" spans="1:26" ht="7.5" customHeight="1">
      <c r="B45" s="71"/>
      <c r="C45" s="71"/>
      <c r="D45" s="71"/>
      <c r="E45" s="71"/>
      <c r="F45" s="71"/>
      <c r="G45" s="71"/>
      <c r="H45" s="71"/>
      <c r="I45" s="71"/>
      <c r="J45" s="71"/>
      <c r="K45" s="71"/>
      <c r="L45" s="71"/>
      <c r="M45" s="71"/>
      <c r="N45" s="71"/>
      <c r="O45" s="71"/>
      <c r="P45" s="71"/>
      <c r="Q45" s="71"/>
      <c r="R45" s="71"/>
      <c r="S45" s="71"/>
      <c r="T45" s="71"/>
      <c r="U45" s="71"/>
      <c r="V45" s="71"/>
      <c r="W45" s="71"/>
      <c r="X45" s="71"/>
      <c r="Y45" s="71"/>
    </row>
    <row r="46" spans="1:26" ht="18" customHeight="1">
      <c r="A46" s="204" t="s">
        <v>94</v>
      </c>
      <c r="B46" s="204"/>
      <c r="C46" s="204"/>
      <c r="D46" s="204"/>
      <c r="E46" s="204"/>
      <c r="F46" s="204"/>
      <c r="G46" s="204"/>
      <c r="H46" s="204"/>
      <c r="I46" s="204"/>
      <c r="J46" s="204"/>
      <c r="K46" s="204"/>
      <c r="L46" s="204"/>
      <c r="M46" s="204"/>
      <c r="N46" s="204"/>
      <c r="O46" s="204"/>
      <c r="P46" s="204"/>
      <c r="Q46" s="204"/>
      <c r="R46" s="204"/>
      <c r="S46" s="204"/>
      <c r="T46" s="204"/>
      <c r="U46" s="204"/>
      <c r="V46" s="204"/>
      <c r="W46" s="204"/>
      <c r="X46" s="204"/>
      <c r="Y46" s="204"/>
      <c r="Z46" s="204"/>
    </row>
    <row r="47" spans="1:26" ht="18" customHeight="1">
      <c r="A47" s="204"/>
      <c r="B47" s="204"/>
      <c r="C47" s="204"/>
      <c r="D47" s="204"/>
      <c r="E47" s="204"/>
      <c r="F47" s="204"/>
      <c r="G47" s="204"/>
      <c r="H47" s="204"/>
      <c r="I47" s="204"/>
      <c r="J47" s="204"/>
      <c r="K47" s="204"/>
      <c r="L47" s="204"/>
      <c r="M47" s="204"/>
      <c r="N47" s="204"/>
      <c r="O47" s="204"/>
      <c r="P47" s="204"/>
      <c r="Q47" s="204"/>
      <c r="R47" s="204"/>
      <c r="S47" s="204"/>
      <c r="T47" s="204"/>
      <c r="U47" s="204"/>
      <c r="V47" s="204"/>
      <c r="W47" s="204"/>
      <c r="X47" s="204"/>
      <c r="Y47" s="204"/>
      <c r="Z47" s="204"/>
    </row>
    <row r="48" spans="1:26" ht="18" customHeight="1">
      <c r="A48" s="14"/>
      <c r="B48" s="149" t="s">
        <v>75</v>
      </c>
      <c r="C48" s="150"/>
      <c r="D48" s="150"/>
      <c r="E48" s="150"/>
      <c r="F48" s="151"/>
      <c r="G48" s="30" t="s">
        <v>76</v>
      </c>
      <c r="H48" s="106" t="s">
        <v>77</v>
      </c>
      <c r="I48" s="149" t="s">
        <v>78</v>
      </c>
      <c r="J48" s="150"/>
      <c r="K48" s="151"/>
      <c r="L48" s="69" t="s">
        <v>95</v>
      </c>
      <c r="M48" s="69" t="s">
        <v>96</v>
      </c>
      <c r="N48" s="149" t="s">
        <v>75</v>
      </c>
      <c r="O48" s="150"/>
      <c r="P48" s="150"/>
      <c r="Q48" s="150"/>
      <c r="R48" s="150"/>
      <c r="S48" s="151"/>
      <c r="T48" s="30" t="s">
        <v>76</v>
      </c>
      <c r="U48" s="106" t="s">
        <v>77</v>
      </c>
      <c r="V48" s="149" t="s">
        <v>78</v>
      </c>
      <c r="W48" s="150"/>
      <c r="X48" s="151"/>
      <c r="Y48" s="69" t="s">
        <v>95</v>
      </c>
      <c r="Z48" s="69" t="s">
        <v>96</v>
      </c>
    </row>
    <row r="49" spans="1:26" ht="18" customHeight="1">
      <c r="A49" s="29"/>
      <c r="B49" s="195" t="s">
        <v>136</v>
      </c>
      <c r="C49" s="196"/>
      <c r="D49" s="196"/>
      <c r="E49" s="196"/>
      <c r="F49" s="197"/>
      <c r="G49" s="107">
        <v>2</v>
      </c>
      <c r="H49" s="107" t="s">
        <v>82</v>
      </c>
      <c r="I49" s="189" t="s">
        <v>83</v>
      </c>
      <c r="J49" s="190"/>
      <c r="K49" s="191"/>
      <c r="L49" s="107" t="s">
        <v>82</v>
      </c>
      <c r="M49" s="107" t="s">
        <v>82</v>
      </c>
      <c r="N49" s="156"/>
      <c r="O49" s="157"/>
      <c r="P49" s="157"/>
      <c r="Q49" s="157"/>
      <c r="R49" s="157"/>
      <c r="S49" s="158"/>
      <c r="T49" s="107"/>
      <c r="U49" s="107"/>
      <c r="V49" s="189"/>
      <c r="W49" s="190"/>
      <c r="X49" s="191"/>
      <c r="Y49" s="107"/>
      <c r="Z49" s="107"/>
    </row>
    <row r="50" spans="1:26" ht="18" customHeight="1">
      <c r="A50" s="29"/>
      <c r="B50" s="198"/>
      <c r="C50" s="199"/>
      <c r="D50" s="199"/>
      <c r="E50" s="199"/>
      <c r="F50" s="200"/>
      <c r="G50" s="108"/>
      <c r="H50" s="108"/>
      <c r="I50" s="192"/>
      <c r="J50" s="193"/>
      <c r="K50" s="194"/>
      <c r="L50" s="108"/>
      <c r="M50" s="108"/>
      <c r="N50" s="165"/>
      <c r="O50" s="166"/>
      <c r="P50" s="166"/>
      <c r="Q50" s="166"/>
      <c r="R50" s="166"/>
      <c r="S50" s="167"/>
      <c r="T50" s="108"/>
      <c r="U50" s="108"/>
      <c r="V50" s="192"/>
      <c r="W50" s="193"/>
      <c r="X50" s="194"/>
      <c r="Y50" s="108"/>
      <c r="Z50" s="108"/>
    </row>
    <row r="51" spans="1:26" ht="18" customHeight="1">
      <c r="A51" s="29"/>
      <c r="B51" s="198" t="s">
        <v>139</v>
      </c>
      <c r="C51" s="199"/>
      <c r="D51" s="199"/>
      <c r="E51" s="199"/>
      <c r="F51" s="200"/>
      <c r="G51" s="108"/>
      <c r="H51" s="108"/>
      <c r="I51" s="192"/>
      <c r="J51" s="193"/>
      <c r="K51" s="194"/>
      <c r="L51" s="108"/>
      <c r="M51" s="108"/>
      <c r="N51" s="165"/>
      <c r="O51" s="166"/>
      <c r="P51" s="166"/>
      <c r="Q51" s="166"/>
      <c r="R51" s="166"/>
      <c r="S51" s="167"/>
      <c r="T51" s="108"/>
      <c r="U51" s="108"/>
      <c r="V51" s="192"/>
      <c r="W51" s="193"/>
      <c r="X51" s="194"/>
      <c r="Y51" s="108"/>
      <c r="Z51" s="108"/>
    </row>
    <row r="52" spans="1:26" ht="18" customHeight="1">
      <c r="A52" s="29"/>
      <c r="B52" s="198" t="s">
        <v>85</v>
      </c>
      <c r="C52" s="199"/>
      <c r="D52" s="199"/>
      <c r="E52" s="199"/>
      <c r="F52" s="200"/>
      <c r="G52" s="108">
        <v>2</v>
      </c>
      <c r="H52" s="108"/>
      <c r="I52" s="192" t="s">
        <v>86</v>
      </c>
      <c r="J52" s="193"/>
      <c r="K52" s="194"/>
      <c r="L52" s="108" t="s">
        <v>82</v>
      </c>
      <c r="M52" s="108" t="s">
        <v>82</v>
      </c>
      <c r="N52" s="165"/>
      <c r="O52" s="166"/>
      <c r="P52" s="166"/>
      <c r="Q52" s="166"/>
      <c r="R52" s="166"/>
      <c r="S52" s="167"/>
      <c r="T52" s="108"/>
      <c r="U52" s="108"/>
      <c r="V52" s="192"/>
      <c r="W52" s="193"/>
      <c r="X52" s="194"/>
      <c r="Y52" s="108"/>
      <c r="Z52" s="108"/>
    </row>
    <row r="53" spans="1:26" ht="18" customHeight="1">
      <c r="A53" s="29"/>
      <c r="B53" s="198"/>
      <c r="C53" s="199"/>
      <c r="D53" s="199"/>
      <c r="E53" s="199"/>
      <c r="F53" s="200"/>
      <c r="G53" s="108"/>
      <c r="H53" s="108"/>
      <c r="I53" s="192"/>
      <c r="J53" s="193"/>
      <c r="K53" s="194"/>
      <c r="L53" s="108"/>
      <c r="M53" s="108"/>
      <c r="N53" s="165"/>
      <c r="O53" s="166"/>
      <c r="P53" s="166"/>
      <c r="Q53" s="166"/>
      <c r="R53" s="166"/>
      <c r="S53" s="167"/>
      <c r="T53" s="108"/>
      <c r="U53" s="108"/>
      <c r="V53" s="192"/>
      <c r="W53" s="193"/>
      <c r="X53" s="194"/>
      <c r="Y53" s="108"/>
      <c r="Z53" s="108"/>
    </row>
    <row r="54" spans="1:26" ht="18" customHeight="1">
      <c r="A54" s="29"/>
      <c r="B54" s="198"/>
      <c r="C54" s="199"/>
      <c r="D54" s="199"/>
      <c r="E54" s="199"/>
      <c r="F54" s="200"/>
      <c r="G54" s="108"/>
      <c r="H54" s="108"/>
      <c r="I54" s="192"/>
      <c r="J54" s="193"/>
      <c r="K54" s="194"/>
      <c r="L54" s="108"/>
      <c r="M54" s="108"/>
      <c r="N54" s="165"/>
      <c r="O54" s="166"/>
      <c r="P54" s="166"/>
      <c r="Q54" s="166"/>
      <c r="R54" s="166"/>
      <c r="S54" s="167"/>
      <c r="T54" s="108"/>
      <c r="U54" s="108"/>
      <c r="V54" s="192"/>
      <c r="W54" s="193"/>
      <c r="X54" s="194"/>
      <c r="Y54" s="108"/>
      <c r="Z54" s="108"/>
    </row>
    <row r="55" spans="1:26" ht="18" customHeight="1">
      <c r="A55" s="29"/>
      <c r="B55" s="205"/>
      <c r="C55" s="206"/>
      <c r="D55" s="206"/>
      <c r="E55" s="206"/>
      <c r="F55" s="207"/>
      <c r="G55" s="109"/>
      <c r="H55" s="109"/>
      <c r="I55" s="201"/>
      <c r="J55" s="202"/>
      <c r="K55" s="203"/>
      <c r="L55" s="112"/>
      <c r="M55" s="112"/>
      <c r="N55" s="225"/>
      <c r="O55" s="226"/>
      <c r="P55" s="226"/>
      <c r="Q55" s="226"/>
      <c r="R55" s="226"/>
      <c r="S55" s="227"/>
      <c r="T55" s="109"/>
      <c r="U55" s="109"/>
      <c r="V55" s="201"/>
      <c r="W55" s="202"/>
      <c r="X55" s="203"/>
      <c r="Y55" s="112"/>
      <c r="Z55" s="112"/>
    </row>
    <row r="56" spans="1:26" ht="7.5" customHeight="1">
      <c r="B56" s="71"/>
      <c r="C56" s="71"/>
      <c r="D56" s="71"/>
      <c r="E56" s="71"/>
      <c r="F56" s="71"/>
      <c r="G56" s="71"/>
      <c r="H56" s="71"/>
      <c r="I56" s="71"/>
      <c r="J56" s="71"/>
      <c r="K56" s="71"/>
      <c r="L56" s="71"/>
      <c r="M56" s="71"/>
      <c r="N56" s="71"/>
      <c r="O56" s="71"/>
      <c r="P56" s="71"/>
      <c r="Q56" s="71"/>
      <c r="R56" s="71"/>
      <c r="S56" s="71"/>
      <c r="T56" s="71"/>
      <c r="U56" s="71"/>
      <c r="V56" s="71"/>
      <c r="W56" s="71"/>
      <c r="X56" s="71"/>
      <c r="Y56" s="71"/>
    </row>
    <row r="57" spans="1:26" ht="18" customHeight="1">
      <c r="A57" s="204" t="s">
        <v>98</v>
      </c>
      <c r="B57" s="204"/>
      <c r="C57" s="204"/>
      <c r="D57" s="204"/>
      <c r="E57" s="204"/>
      <c r="F57" s="204"/>
      <c r="G57" s="204"/>
      <c r="H57" s="204"/>
      <c r="I57" s="204"/>
      <c r="J57" s="204"/>
      <c r="K57" s="204"/>
      <c r="L57" s="204"/>
      <c r="M57" s="204"/>
      <c r="N57" s="204"/>
      <c r="O57" s="204"/>
      <c r="P57" s="204"/>
      <c r="Q57" s="204"/>
      <c r="R57" s="204"/>
      <c r="S57" s="204"/>
      <c r="T57" s="204"/>
      <c r="U57" s="204"/>
      <c r="V57" s="204"/>
      <c r="W57" s="204"/>
      <c r="X57" s="204"/>
      <c r="Y57" s="204"/>
      <c r="Z57" s="204"/>
    </row>
    <row r="58" spans="1:26" ht="18" customHeight="1">
      <c r="A58" s="204"/>
      <c r="B58" s="204"/>
      <c r="C58" s="204"/>
      <c r="D58" s="204"/>
      <c r="E58" s="204"/>
      <c r="F58" s="204"/>
      <c r="G58" s="204"/>
      <c r="H58" s="204"/>
      <c r="I58" s="204"/>
      <c r="J58" s="204"/>
      <c r="K58" s="204"/>
      <c r="L58" s="204"/>
      <c r="M58" s="204"/>
      <c r="N58" s="204"/>
      <c r="O58" s="204"/>
      <c r="P58" s="204"/>
      <c r="Q58" s="204"/>
      <c r="R58" s="204"/>
      <c r="S58" s="204"/>
      <c r="T58" s="204"/>
      <c r="U58" s="204"/>
      <c r="V58" s="204"/>
      <c r="W58" s="204"/>
      <c r="X58" s="204"/>
      <c r="Y58" s="204"/>
      <c r="Z58" s="204"/>
    </row>
    <row r="59" spans="1:26" ht="18" customHeight="1">
      <c r="A59" s="14"/>
      <c r="B59" s="149" t="s">
        <v>75</v>
      </c>
      <c r="C59" s="150"/>
      <c r="D59" s="150"/>
      <c r="E59" s="151"/>
      <c r="F59" s="30" t="s">
        <v>76</v>
      </c>
      <c r="G59" s="106" t="s">
        <v>77</v>
      </c>
      <c r="H59" s="101" t="s">
        <v>78</v>
      </c>
      <c r="I59" s="102"/>
      <c r="J59" s="103"/>
      <c r="K59" s="69" t="s">
        <v>99</v>
      </c>
      <c r="L59" s="69" t="s">
        <v>100</v>
      </c>
      <c r="M59" s="69" t="s">
        <v>101</v>
      </c>
      <c r="N59" s="149" t="s">
        <v>75</v>
      </c>
      <c r="O59" s="150"/>
      <c r="P59" s="150"/>
      <c r="Q59" s="150"/>
      <c r="R59" s="151"/>
      <c r="S59" s="30" t="s">
        <v>76</v>
      </c>
      <c r="T59" s="106" t="s">
        <v>77</v>
      </c>
      <c r="U59" s="101" t="s">
        <v>78</v>
      </c>
      <c r="V59" s="102"/>
      <c r="W59" s="103"/>
      <c r="X59" s="69" t="s">
        <v>99</v>
      </c>
      <c r="Y59" s="69" t="s">
        <v>100</v>
      </c>
      <c r="Z59" s="69" t="s">
        <v>101</v>
      </c>
    </row>
    <row r="60" spans="1:26" ht="18" customHeight="1">
      <c r="A60" s="29"/>
      <c r="B60" s="156" t="s">
        <v>102</v>
      </c>
      <c r="C60" s="157"/>
      <c r="D60" s="157"/>
      <c r="E60" s="158"/>
      <c r="F60" s="107">
        <v>2</v>
      </c>
      <c r="G60" s="107" t="s">
        <v>82</v>
      </c>
      <c r="H60" s="189" t="s">
        <v>86</v>
      </c>
      <c r="I60" s="190"/>
      <c r="J60" s="191"/>
      <c r="K60" s="107" t="s">
        <v>82</v>
      </c>
      <c r="L60" s="107" t="s">
        <v>82</v>
      </c>
      <c r="M60" s="107" t="s">
        <v>82</v>
      </c>
      <c r="N60" s="156"/>
      <c r="O60" s="157"/>
      <c r="P60" s="157"/>
      <c r="Q60" s="157"/>
      <c r="R60" s="158"/>
      <c r="S60" s="107"/>
      <c r="T60" s="107"/>
      <c r="U60" s="189"/>
      <c r="V60" s="190"/>
      <c r="W60" s="191"/>
      <c r="X60" s="122"/>
      <c r="Y60" s="107"/>
      <c r="Z60" s="107"/>
    </row>
    <row r="61" spans="1:26" ht="18" customHeight="1">
      <c r="A61" s="29"/>
      <c r="B61" s="165"/>
      <c r="C61" s="166"/>
      <c r="D61" s="166"/>
      <c r="E61" s="167"/>
      <c r="F61" s="108"/>
      <c r="G61" s="108"/>
      <c r="H61" s="192"/>
      <c r="I61" s="193"/>
      <c r="J61" s="194"/>
      <c r="K61" s="108"/>
      <c r="L61" s="108"/>
      <c r="M61" s="108"/>
      <c r="N61" s="165"/>
      <c r="O61" s="166"/>
      <c r="P61" s="166"/>
      <c r="Q61" s="166"/>
      <c r="R61" s="167"/>
      <c r="S61" s="108"/>
      <c r="T61" s="108"/>
      <c r="U61" s="192"/>
      <c r="V61" s="193"/>
      <c r="W61" s="194"/>
      <c r="X61" s="120"/>
      <c r="Y61" s="108"/>
      <c r="Z61" s="108"/>
    </row>
    <row r="62" spans="1:26" ht="18" customHeight="1">
      <c r="A62" s="29"/>
      <c r="B62" s="165" t="s">
        <v>137</v>
      </c>
      <c r="C62" s="166"/>
      <c r="D62" s="166"/>
      <c r="E62" s="167"/>
      <c r="F62" s="108"/>
      <c r="G62" s="108"/>
      <c r="H62" s="192"/>
      <c r="I62" s="193"/>
      <c r="J62" s="194"/>
      <c r="K62" s="120"/>
      <c r="L62" s="108"/>
      <c r="M62" s="108"/>
      <c r="N62" s="165"/>
      <c r="O62" s="166"/>
      <c r="P62" s="166"/>
      <c r="Q62" s="166"/>
      <c r="R62" s="167"/>
      <c r="S62" s="108"/>
      <c r="T62" s="108"/>
      <c r="U62" s="192"/>
      <c r="V62" s="193"/>
      <c r="W62" s="194"/>
      <c r="X62" s="120"/>
      <c r="Y62" s="108"/>
      <c r="Z62" s="108"/>
    </row>
    <row r="63" spans="1:26" ht="18" customHeight="1">
      <c r="A63" s="29"/>
      <c r="B63" s="165" t="s">
        <v>85</v>
      </c>
      <c r="C63" s="166"/>
      <c r="D63" s="166"/>
      <c r="E63" s="167"/>
      <c r="F63" s="108">
        <v>2</v>
      </c>
      <c r="G63" s="108"/>
      <c r="H63" s="192" t="s">
        <v>86</v>
      </c>
      <c r="I63" s="193"/>
      <c r="J63" s="194"/>
      <c r="K63" s="108" t="s">
        <v>82</v>
      </c>
      <c r="L63" s="108" t="s">
        <v>82</v>
      </c>
      <c r="M63" s="108" t="s">
        <v>82</v>
      </c>
      <c r="N63" s="165"/>
      <c r="O63" s="166"/>
      <c r="P63" s="166"/>
      <c r="Q63" s="166"/>
      <c r="R63" s="167"/>
      <c r="S63" s="108"/>
      <c r="T63" s="108"/>
      <c r="U63" s="192"/>
      <c r="V63" s="193"/>
      <c r="W63" s="194"/>
      <c r="X63" s="120"/>
      <c r="Y63" s="108"/>
      <c r="Z63" s="108"/>
    </row>
    <row r="64" spans="1:26" ht="18" customHeight="1">
      <c r="A64" s="29"/>
      <c r="B64" s="165"/>
      <c r="C64" s="166"/>
      <c r="D64" s="166"/>
      <c r="E64" s="167"/>
      <c r="F64" s="108"/>
      <c r="G64" s="108"/>
      <c r="H64" s="192"/>
      <c r="I64" s="193"/>
      <c r="J64" s="194"/>
      <c r="K64" s="120"/>
      <c r="L64" s="108"/>
      <c r="M64" s="108"/>
      <c r="N64" s="165"/>
      <c r="O64" s="166"/>
      <c r="P64" s="166"/>
      <c r="Q64" s="166"/>
      <c r="R64" s="167"/>
      <c r="S64" s="108"/>
      <c r="T64" s="108"/>
      <c r="U64" s="192"/>
      <c r="V64" s="193"/>
      <c r="W64" s="194"/>
      <c r="X64" s="120"/>
      <c r="Y64" s="108"/>
      <c r="Z64" s="108"/>
    </row>
    <row r="65" spans="1:26" ht="18" customHeight="1">
      <c r="A65" s="29"/>
      <c r="B65" s="165"/>
      <c r="C65" s="166"/>
      <c r="D65" s="166"/>
      <c r="E65" s="167"/>
      <c r="F65" s="108"/>
      <c r="G65" s="108"/>
      <c r="H65" s="192"/>
      <c r="I65" s="193"/>
      <c r="J65" s="194"/>
      <c r="K65" s="120"/>
      <c r="L65" s="108"/>
      <c r="M65" s="108"/>
      <c r="N65" s="165"/>
      <c r="O65" s="166"/>
      <c r="P65" s="166"/>
      <c r="Q65" s="166"/>
      <c r="R65" s="167"/>
      <c r="S65" s="108"/>
      <c r="T65" s="108"/>
      <c r="U65" s="192"/>
      <c r="V65" s="193"/>
      <c r="W65" s="194"/>
      <c r="X65" s="120"/>
      <c r="Y65" s="108"/>
      <c r="Z65" s="108"/>
    </row>
    <row r="66" spans="1:26" ht="18" customHeight="1">
      <c r="A66" s="29"/>
      <c r="B66" s="225"/>
      <c r="C66" s="226"/>
      <c r="D66" s="226"/>
      <c r="E66" s="227"/>
      <c r="F66" s="109"/>
      <c r="G66" s="109"/>
      <c r="H66" s="201"/>
      <c r="I66" s="202"/>
      <c r="J66" s="203"/>
      <c r="K66" s="121"/>
      <c r="L66" s="112"/>
      <c r="M66" s="112"/>
      <c r="N66" s="225"/>
      <c r="O66" s="226"/>
      <c r="P66" s="226"/>
      <c r="Q66" s="226"/>
      <c r="R66" s="227"/>
      <c r="S66" s="109"/>
      <c r="T66" s="109"/>
      <c r="U66" s="201"/>
      <c r="V66" s="202"/>
      <c r="W66" s="203"/>
      <c r="X66" s="121"/>
      <c r="Y66" s="112"/>
      <c r="Z66" s="112"/>
    </row>
    <row r="67" spans="1:26" ht="7.5" customHeight="1">
      <c r="B67" s="71"/>
      <c r="C67" s="71"/>
      <c r="D67" s="71"/>
      <c r="E67" s="71"/>
      <c r="F67" s="71"/>
      <c r="G67" s="71"/>
      <c r="H67" s="71"/>
      <c r="I67" s="71"/>
      <c r="J67" s="71"/>
      <c r="K67" s="71"/>
      <c r="L67" s="71"/>
      <c r="M67" s="71"/>
      <c r="N67" s="71"/>
      <c r="O67" s="71"/>
      <c r="P67" s="71"/>
      <c r="Q67" s="71"/>
      <c r="R67" s="71"/>
      <c r="S67" s="71"/>
      <c r="T67" s="71"/>
      <c r="U67" s="71"/>
      <c r="V67" s="71"/>
      <c r="W67" s="71"/>
      <c r="X67" s="71"/>
      <c r="Y67" s="71"/>
    </row>
    <row r="68" spans="1:26" ht="18" customHeight="1">
      <c r="A68" s="14" t="s">
        <v>103</v>
      </c>
      <c r="B68" s="14"/>
      <c r="C68" s="14"/>
      <c r="D68" s="14"/>
      <c r="E68" s="14"/>
      <c r="F68" s="14"/>
      <c r="G68" s="14"/>
      <c r="H68" s="14"/>
      <c r="I68" s="14"/>
      <c r="J68" s="14"/>
      <c r="K68" s="14"/>
      <c r="L68" s="29"/>
      <c r="M68" s="29"/>
      <c r="N68" s="29"/>
      <c r="O68" s="29"/>
      <c r="P68" s="29"/>
      <c r="Q68" s="29"/>
      <c r="R68" s="29"/>
      <c r="S68" s="29"/>
      <c r="T68" s="29"/>
      <c r="U68" s="29"/>
      <c r="V68" s="29"/>
      <c r="W68" s="29"/>
      <c r="X68" s="29"/>
      <c r="Y68" s="29"/>
      <c r="Z68" s="29"/>
    </row>
    <row r="69" spans="1:26" ht="18" customHeight="1">
      <c r="A69" s="14"/>
      <c r="B69" s="149" t="s">
        <v>75</v>
      </c>
      <c r="C69" s="150"/>
      <c r="D69" s="150"/>
      <c r="E69" s="150"/>
      <c r="F69" s="151"/>
      <c r="G69" s="149" t="s">
        <v>104</v>
      </c>
      <c r="H69" s="150"/>
      <c r="I69" s="150"/>
      <c r="J69" s="150"/>
      <c r="K69" s="150"/>
      <c r="L69" s="150"/>
      <c r="M69" s="151"/>
      <c r="N69" s="231" t="s">
        <v>75</v>
      </c>
      <c r="O69" s="232"/>
      <c r="P69" s="232"/>
      <c r="Q69" s="232"/>
      <c r="R69" s="232"/>
      <c r="S69" s="233"/>
      <c r="T69" s="149" t="s">
        <v>104</v>
      </c>
      <c r="U69" s="150"/>
      <c r="V69" s="150"/>
      <c r="W69" s="150"/>
      <c r="X69" s="150"/>
      <c r="Y69" s="150"/>
      <c r="Z69" s="151"/>
    </row>
    <row r="70" spans="1:26" ht="18" customHeight="1">
      <c r="A70" s="29"/>
      <c r="B70" s="156" t="s">
        <v>105</v>
      </c>
      <c r="C70" s="157"/>
      <c r="D70" s="157"/>
      <c r="E70" s="157"/>
      <c r="F70" s="158"/>
      <c r="G70" s="159" t="s">
        <v>106</v>
      </c>
      <c r="H70" s="160"/>
      <c r="I70" s="160"/>
      <c r="J70" s="160"/>
      <c r="K70" s="160"/>
      <c r="L70" s="160"/>
      <c r="M70" s="161"/>
      <c r="N70" s="156"/>
      <c r="O70" s="157"/>
      <c r="P70" s="157"/>
      <c r="Q70" s="157"/>
      <c r="R70" s="157"/>
      <c r="S70" s="158"/>
      <c r="T70" s="159"/>
      <c r="U70" s="160"/>
      <c r="V70" s="160"/>
      <c r="W70" s="160"/>
      <c r="X70" s="160"/>
      <c r="Y70" s="160"/>
      <c r="Z70" s="161"/>
    </row>
    <row r="71" spans="1:26" ht="18" customHeight="1">
      <c r="A71" s="29"/>
      <c r="B71" s="165"/>
      <c r="C71" s="166"/>
      <c r="D71" s="166"/>
      <c r="E71" s="166"/>
      <c r="F71" s="167"/>
      <c r="G71" s="168"/>
      <c r="H71" s="169"/>
      <c r="I71" s="169"/>
      <c r="J71" s="169"/>
      <c r="K71" s="169"/>
      <c r="L71" s="169"/>
      <c r="M71" s="170"/>
      <c r="N71" s="165"/>
      <c r="O71" s="166"/>
      <c r="P71" s="166"/>
      <c r="Q71" s="166"/>
      <c r="R71" s="166"/>
      <c r="S71" s="167"/>
      <c r="T71" s="168"/>
      <c r="U71" s="169"/>
      <c r="V71" s="169"/>
      <c r="W71" s="169"/>
      <c r="X71" s="169"/>
      <c r="Y71" s="169"/>
      <c r="Z71" s="170"/>
    </row>
    <row r="72" spans="1:26" ht="18" customHeight="1">
      <c r="A72" s="29"/>
      <c r="B72" s="165" t="s">
        <v>137</v>
      </c>
      <c r="C72" s="166"/>
      <c r="D72" s="166"/>
      <c r="E72" s="166"/>
      <c r="F72" s="167"/>
      <c r="G72" s="168"/>
      <c r="H72" s="169"/>
      <c r="I72" s="169"/>
      <c r="J72" s="169"/>
      <c r="K72" s="169"/>
      <c r="L72" s="169"/>
      <c r="M72" s="170"/>
      <c r="N72" s="165"/>
      <c r="O72" s="166"/>
      <c r="P72" s="166"/>
      <c r="Q72" s="166"/>
      <c r="R72" s="166"/>
      <c r="S72" s="167"/>
      <c r="T72" s="168"/>
      <c r="U72" s="169"/>
      <c r="V72" s="169"/>
      <c r="W72" s="169"/>
      <c r="X72" s="169"/>
      <c r="Y72" s="169"/>
      <c r="Z72" s="170"/>
    </row>
    <row r="73" spans="1:26" ht="18" customHeight="1">
      <c r="A73" s="29"/>
      <c r="B73" s="165" t="s">
        <v>85</v>
      </c>
      <c r="C73" s="166"/>
      <c r="D73" s="166"/>
      <c r="E73" s="166"/>
      <c r="F73" s="167"/>
      <c r="G73" s="168" t="s">
        <v>109</v>
      </c>
      <c r="H73" s="169"/>
      <c r="I73" s="169"/>
      <c r="J73" s="169"/>
      <c r="K73" s="169"/>
      <c r="L73" s="169"/>
      <c r="M73" s="170"/>
      <c r="N73" s="165"/>
      <c r="O73" s="166"/>
      <c r="P73" s="166"/>
      <c r="Q73" s="166"/>
      <c r="R73" s="166"/>
      <c r="S73" s="167"/>
      <c r="T73" s="168"/>
      <c r="U73" s="169"/>
      <c r="V73" s="169"/>
      <c r="W73" s="169"/>
      <c r="X73" s="169"/>
      <c r="Y73" s="169"/>
      <c r="Z73" s="170"/>
    </row>
    <row r="74" spans="1:26" ht="18" customHeight="1">
      <c r="A74" s="29"/>
      <c r="B74" s="165"/>
      <c r="C74" s="166"/>
      <c r="D74" s="166"/>
      <c r="E74" s="166"/>
      <c r="F74" s="167"/>
      <c r="G74" s="168"/>
      <c r="H74" s="169"/>
      <c r="I74" s="169"/>
      <c r="J74" s="169"/>
      <c r="K74" s="169"/>
      <c r="L74" s="169"/>
      <c r="M74" s="170"/>
      <c r="N74" s="165"/>
      <c r="O74" s="166"/>
      <c r="P74" s="166"/>
      <c r="Q74" s="166"/>
      <c r="R74" s="166"/>
      <c r="S74" s="167"/>
      <c r="T74" s="168"/>
      <c r="U74" s="169"/>
      <c r="V74" s="169"/>
      <c r="W74" s="169"/>
      <c r="X74" s="169"/>
      <c r="Y74" s="169"/>
      <c r="Z74" s="170"/>
    </row>
    <row r="75" spans="1:26" ht="18" customHeight="1">
      <c r="A75" s="29"/>
      <c r="B75" s="165"/>
      <c r="C75" s="166"/>
      <c r="D75" s="166"/>
      <c r="E75" s="166"/>
      <c r="F75" s="167"/>
      <c r="G75" s="168"/>
      <c r="H75" s="169"/>
      <c r="I75" s="169"/>
      <c r="J75" s="169"/>
      <c r="K75" s="169"/>
      <c r="L75" s="169"/>
      <c r="M75" s="170"/>
      <c r="N75" s="165"/>
      <c r="O75" s="166"/>
      <c r="P75" s="166"/>
      <c r="Q75" s="166"/>
      <c r="R75" s="166"/>
      <c r="S75" s="167"/>
      <c r="T75" s="168"/>
      <c r="U75" s="169"/>
      <c r="V75" s="169"/>
      <c r="W75" s="169"/>
      <c r="X75" s="169"/>
      <c r="Y75" s="169"/>
      <c r="Z75" s="170"/>
    </row>
    <row r="76" spans="1:26" ht="18" customHeight="1">
      <c r="A76" s="29"/>
      <c r="B76" s="225"/>
      <c r="C76" s="226"/>
      <c r="D76" s="226"/>
      <c r="E76" s="226"/>
      <c r="F76" s="227"/>
      <c r="G76" s="228"/>
      <c r="H76" s="229"/>
      <c r="I76" s="229"/>
      <c r="J76" s="229"/>
      <c r="K76" s="229"/>
      <c r="L76" s="229"/>
      <c r="M76" s="230"/>
      <c r="N76" s="225"/>
      <c r="O76" s="226"/>
      <c r="P76" s="226"/>
      <c r="Q76" s="226"/>
      <c r="R76" s="226"/>
      <c r="S76" s="227"/>
      <c r="T76" s="228"/>
      <c r="U76" s="229"/>
      <c r="V76" s="229"/>
      <c r="W76" s="229"/>
      <c r="X76" s="229"/>
      <c r="Y76" s="229"/>
      <c r="Z76" s="230"/>
    </row>
    <row r="77" spans="1:26" ht="18" customHeight="1">
      <c r="A77" s="29"/>
      <c r="B77" s="119"/>
      <c r="C77" s="119"/>
      <c r="D77" s="119"/>
      <c r="E77" s="119"/>
      <c r="F77" s="119"/>
      <c r="G77" s="12"/>
      <c r="H77" s="12"/>
      <c r="I77" s="12"/>
      <c r="J77" s="12"/>
      <c r="K77" s="12"/>
      <c r="L77" s="12"/>
      <c r="M77" s="12"/>
      <c r="N77" s="119"/>
      <c r="O77" s="119"/>
      <c r="P77" s="119"/>
      <c r="Q77" s="119"/>
      <c r="R77" s="119"/>
      <c r="S77" s="119"/>
      <c r="T77" s="12"/>
      <c r="U77" s="12"/>
      <c r="V77" s="12"/>
      <c r="W77" s="12"/>
      <c r="X77" s="12"/>
      <c r="Y77" s="12"/>
      <c r="Z77" s="12"/>
    </row>
    <row r="78" spans="1:26" ht="18.75" customHeight="1">
      <c r="A78" s="13" t="s">
        <v>110</v>
      </c>
    </row>
    <row r="79" spans="1:26" ht="18.75" customHeight="1">
      <c r="B79" s="72" t="s">
        <v>111</v>
      </c>
      <c r="C79" s="73"/>
      <c r="D79" s="184" t="s">
        <v>112</v>
      </c>
      <c r="E79" s="184"/>
      <c r="F79" s="184"/>
      <c r="G79" s="184"/>
      <c r="H79" s="184"/>
      <c r="I79" s="184"/>
      <c r="J79" s="184"/>
      <c r="K79" s="184"/>
      <c r="L79" s="184"/>
      <c r="M79" s="184"/>
      <c r="N79" s="184"/>
      <c r="O79" s="184"/>
      <c r="P79" s="184"/>
      <c r="Q79" s="184"/>
      <c r="R79" s="184"/>
      <c r="S79" s="184"/>
      <c r="T79" s="184"/>
      <c r="U79" s="184"/>
      <c r="V79" s="184"/>
      <c r="W79" s="184"/>
      <c r="X79" s="184"/>
      <c r="Y79" s="184"/>
      <c r="Z79" s="185"/>
    </row>
    <row r="80" spans="1:26" ht="78" customHeight="1">
      <c r="B80" s="173" t="s">
        <v>113</v>
      </c>
      <c r="C80" s="79" t="s">
        <v>79</v>
      </c>
      <c r="D80" s="180" t="s">
        <v>140</v>
      </c>
      <c r="E80" s="180"/>
      <c r="F80" s="180"/>
      <c r="G80" s="180"/>
      <c r="H80" s="180"/>
      <c r="I80" s="180"/>
      <c r="J80" s="180"/>
      <c r="K80" s="180"/>
      <c r="L80" s="180"/>
      <c r="M80" s="180"/>
      <c r="N80" s="180"/>
      <c r="O80" s="180"/>
      <c r="P80" s="180"/>
      <c r="Q80" s="180"/>
      <c r="R80" s="180"/>
      <c r="S80" s="180"/>
      <c r="T80" s="180"/>
      <c r="U80" s="180"/>
      <c r="V80" s="180"/>
      <c r="W80" s="180"/>
      <c r="X80" s="180"/>
      <c r="Y80" s="180"/>
      <c r="Z80" s="181"/>
    </row>
    <row r="81" spans="1:29" ht="78" customHeight="1">
      <c r="B81" s="174"/>
      <c r="C81" s="104" t="s">
        <v>115</v>
      </c>
      <c r="D81" s="219" t="s">
        <v>141</v>
      </c>
      <c r="E81" s="219"/>
      <c r="F81" s="219"/>
      <c r="G81" s="219"/>
      <c r="H81" s="219"/>
      <c r="I81" s="219"/>
      <c r="J81" s="219"/>
      <c r="K81" s="219"/>
      <c r="L81" s="219"/>
      <c r="M81" s="219"/>
      <c r="N81" s="219"/>
      <c r="O81" s="219"/>
      <c r="P81" s="219"/>
      <c r="Q81" s="219"/>
      <c r="R81" s="219"/>
      <c r="S81" s="219"/>
      <c r="T81" s="219"/>
      <c r="U81" s="219"/>
      <c r="V81" s="219"/>
      <c r="W81" s="219"/>
      <c r="X81" s="219"/>
      <c r="Y81" s="219"/>
      <c r="Z81" s="220"/>
      <c r="AC81" s="115"/>
    </row>
    <row r="82" spans="1:29" ht="78" customHeight="1">
      <c r="B82" s="171" t="s">
        <v>117</v>
      </c>
      <c r="C82" s="74" t="s">
        <v>88</v>
      </c>
      <c r="D82" s="187" t="s">
        <v>142</v>
      </c>
      <c r="E82" s="187"/>
      <c r="F82" s="187"/>
      <c r="G82" s="187"/>
      <c r="H82" s="187"/>
      <c r="I82" s="187"/>
      <c r="J82" s="187"/>
      <c r="K82" s="187"/>
      <c r="L82" s="187"/>
      <c r="M82" s="187"/>
      <c r="N82" s="187"/>
      <c r="O82" s="187"/>
      <c r="P82" s="187"/>
      <c r="Q82" s="187"/>
      <c r="R82" s="187"/>
      <c r="S82" s="187"/>
      <c r="T82" s="187"/>
      <c r="U82" s="187"/>
      <c r="V82" s="187"/>
      <c r="W82" s="187"/>
      <c r="X82" s="187"/>
      <c r="Y82" s="187"/>
      <c r="Z82" s="188"/>
    </row>
    <row r="83" spans="1:29" ht="78" customHeight="1">
      <c r="B83" s="172"/>
      <c r="C83" s="105" t="s">
        <v>89</v>
      </c>
      <c r="D83" s="223" t="s">
        <v>143</v>
      </c>
      <c r="E83" s="223"/>
      <c r="F83" s="223"/>
      <c r="G83" s="223"/>
      <c r="H83" s="223"/>
      <c r="I83" s="223"/>
      <c r="J83" s="223"/>
      <c r="K83" s="223"/>
      <c r="L83" s="223"/>
      <c r="M83" s="223"/>
      <c r="N83" s="223"/>
      <c r="O83" s="223"/>
      <c r="P83" s="223"/>
      <c r="Q83" s="223"/>
      <c r="R83" s="223"/>
      <c r="S83" s="223"/>
      <c r="T83" s="223"/>
      <c r="U83" s="223"/>
      <c r="V83" s="223"/>
      <c r="W83" s="223"/>
      <c r="X83" s="223"/>
      <c r="Y83" s="223"/>
      <c r="Z83" s="224"/>
    </row>
    <row r="84" spans="1:29" ht="66" customHeight="1">
      <c r="B84" s="171" t="s">
        <v>120</v>
      </c>
      <c r="C84" s="74" t="s">
        <v>92</v>
      </c>
      <c r="D84" s="187" t="s">
        <v>144</v>
      </c>
      <c r="E84" s="187"/>
      <c r="F84" s="187"/>
      <c r="G84" s="187"/>
      <c r="H84" s="187"/>
      <c r="I84" s="187"/>
      <c r="J84" s="187"/>
      <c r="K84" s="187"/>
      <c r="L84" s="187"/>
      <c r="M84" s="187"/>
      <c r="N84" s="187"/>
      <c r="O84" s="187"/>
      <c r="P84" s="187"/>
      <c r="Q84" s="187"/>
      <c r="R84" s="187"/>
      <c r="S84" s="187"/>
      <c r="T84" s="187"/>
      <c r="U84" s="187"/>
      <c r="V84" s="187"/>
      <c r="W84" s="187"/>
      <c r="X84" s="187"/>
      <c r="Y84" s="187"/>
      <c r="Z84" s="188"/>
    </row>
    <row r="85" spans="1:29" ht="66" customHeight="1">
      <c r="B85" s="172"/>
      <c r="C85" s="76" t="s">
        <v>93</v>
      </c>
      <c r="D85" s="221" t="s">
        <v>145</v>
      </c>
      <c r="E85" s="221"/>
      <c r="F85" s="221"/>
      <c r="G85" s="221"/>
      <c r="H85" s="221"/>
      <c r="I85" s="221"/>
      <c r="J85" s="221"/>
      <c r="K85" s="221"/>
      <c r="L85" s="221"/>
      <c r="M85" s="221"/>
      <c r="N85" s="221"/>
      <c r="O85" s="221"/>
      <c r="P85" s="221"/>
      <c r="Q85" s="221"/>
      <c r="R85" s="221"/>
      <c r="S85" s="221"/>
      <c r="T85" s="221"/>
      <c r="U85" s="221"/>
      <c r="V85" s="221"/>
      <c r="W85" s="221"/>
      <c r="X85" s="221"/>
      <c r="Y85" s="221"/>
      <c r="Z85" s="222"/>
    </row>
    <row r="86" spans="1:29" ht="66" customHeight="1">
      <c r="B86" s="173" t="s">
        <v>123</v>
      </c>
      <c r="C86" s="79" t="s">
        <v>95</v>
      </c>
      <c r="D86" s="180" t="s">
        <v>146</v>
      </c>
      <c r="E86" s="180"/>
      <c r="F86" s="180"/>
      <c r="G86" s="180"/>
      <c r="H86" s="180"/>
      <c r="I86" s="180"/>
      <c r="J86" s="180"/>
      <c r="K86" s="180"/>
      <c r="L86" s="180"/>
      <c r="M86" s="180"/>
      <c r="N86" s="180"/>
      <c r="O86" s="180"/>
      <c r="P86" s="180"/>
      <c r="Q86" s="180"/>
      <c r="R86" s="180"/>
      <c r="S86" s="180"/>
      <c r="T86" s="180"/>
      <c r="U86" s="180"/>
      <c r="V86" s="180"/>
      <c r="W86" s="180"/>
      <c r="X86" s="180"/>
      <c r="Y86" s="180"/>
      <c r="Z86" s="181"/>
    </row>
    <row r="87" spans="1:29" ht="66" customHeight="1">
      <c r="B87" s="179"/>
      <c r="C87" s="75" t="s">
        <v>96</v>
      </c>
      <c r="D87" s="182" t="s">
        <v>147</v>
      </c>
      <c r="E87" s="182"/>
      <c r="F87" s="182"/>
      <c r="G87" s="182"/>
      <c r="H87" s="182"/>
      <c r="I87" s="182"/>
      <c r="J87" s="182"/>
      <c r="K87" s="182"/>
      <c r="L87" s="182"/>
      <c r="M87" s="182"/>
      <c r="N87" s="182"/>
      <c r="O87" s="182"/>
      <c r="P87" s="182"/>
      <c r="Q87" s="182"/>
      <c r="R87" s="182"/>
      <c r="S87" s="182"/>
      <c r="T87" s="182"/>
      <c r="U87" s="182"/>
      <c r="V87" s="182"/>
      <c r="W87" s="182"/>
      <c r="X87" s="182"/>
      <c r="Y87" s="182"/>
      <c r="Z87" s="183"/>
    </row>
    <row r="88" spans="1:29" ht="74.45" customHeight="1">
      <c r="B88" s="173" t="s">
        <v>126</v>
      </c>
      <c r="C88" s="74" t="s">
        <v>99</v>
      </c>
      <c r="D88" s="175" t="s">
        <v>148</v>
      </c>
      <c r="E88" s="175"/>
      <c r="F88" s="175"/>
      <c r="G88" s="175"/>
      <c r="H88" s="175"/>
      <c r="I88" s="175"/>
      <c r="J88" s="175"/>
      <c r="K88" s="175"/>
      <c r="L88" s="175"/>
      <c r="M88" s="175"/>
      <c r="N88" s="175"/>
      <c r="O88" s="175"/>
      <c r="P88" s="175"/>
      <c r="Q88" s="175"/>
      <c r="R88" s="175"/>
      <c r="S88" s="175"/>
      <c r="T88" s="175"/>
      <c r="U88" s="175"/>
      <c r="V88" s="175"/>
      <c r="W88" s="175"/>
      <c r="X88" s="175"/>
      <c r="Y88" s="175"/>
      <c r="Z88" s="176"/>
    </row>
    <row r="89" spans="1:29" ht="66" customHeight="1">
      <c r="B89" s="174"/>
      <c r="C89" s="75" t="s">
        <v>100</v>
      </c>
      <c r="D89" s="162" t="s">
        <v>149</v>
      </c>
      <c r="E89" s="163"/>
      <c r="F89" s="163"/>
      <c r="G89" s="163"/>
      <c r="H89" s="163"/>
      <c r="I89" s="163"/>
      <c r="J89" s="163"/>
      <c r="K89" s="163"/>
      <c r="L89" s="163"/>
      <c r="M89" s="163"/>
      <c r="N89" s="163"/>
      <c r="O89" s="163"/>
      <c r="P89" s="163"/>
      <c r="Q89" s="163"/>
      <c r="R89" s="163"/>
      <c r="S89" s="163"/>
      <c r="T89" s="163"/>
      <c r="U89" s="163"/>
      <c r="V89" s="163"/>
      <c r="W89" s="163"/>
      <c r="X89" s="163"/>
      <c r="Y89" s="163"/>
      <c r="Z89" s="164"/>
    </row>
    <row r="90" spans="1:29" ht="66" customHeight="1">
      <c r="B90" s="172"/>
      <c r="C90" s="76" t="s">
        <v>101</v>
      </c>
      <c r="D90" s="177" t="s">
        <v>150</v>
      </c>
      <c r="E90" s="177"/>
      <c r="F90" s="177"/>
      <c r="G90" s="177"/>
      <c r="H90" s="177"/>
      <c r="I90" s="177"/>
      <c r="J90" s="177"/>
      <c r="K90" s="177"/>
      <c r="L90" s="177"/>
      <c r="M90" s="177"/>
      <c r="N90" s="177"/>
      <c r="O90" s="177"/>
      <c r="P90" s="177"/>
      <c r="Q90" s="177"/>
      <c r="R90" s="177"/>
      <c r="S90" s="177"/>
      <c r="T90" s="177"/>
      <c r="U90" s="177"/>
      <c r="V90" s="177"/>
      <c r="W90" s="177"/>
      <c r="X90" s="177"/>
      <c r="Y90" s="177"/>
      <c r="Z90" s="178"/>
    </row>
    <row r="91" spans="1:29" ht="6" customHeight="1"/>
    <row r="92" spans="1:29" ht="18.75" customHeight="1">
      <c r="A92" s="13" t="s">
        <v>130</v>
      </c>
    </row>
    <row r="93" spans="1:29" ht="18.75" customHeight="1">
      <c r="B93" s="234" t="s">
        <v>131</v>
      </c>
      <c r="C93" s="235"/>
      <c r="D93" s="235"/>
      <c r="E93" s="235"/>
      <c r="F93" s="235"/>
      <c r="G93" s="235"/>
      <c r="H93" s="235"/>
      <c r="I93" s="235"/>
      <c r="J93" s="235"/>
      <c r="K93" s="235"/>
      <c r="L93" s="235"/>
      <c r="M93" s="235"/>
      <c r="N93" s="235"/>
      <c r="O93" s="235"/>
      <c r="P93" s="235"/>
      <c r="Q93" s="235"/>
      <c r="R93" s="235"/>
      <c r="S93" s="235"/>
      <c r="T93" s="235"/>
      <c r="U93" s="235"/>
      <c r="V93" s="235"/>
      <c r="W93" s="235"/>
      <c r="X93" s="235"/>
      <c r="Y93" s="235"/>
      <c r="Z93" s="236"/>
    </row>
    <row r="94" spans="1:29" ht="18.75" customHeight="1">
      <c r="B94" s="237"/>
      <c r="C94" s="238"/>
      <c r="D94" s="238"/>
      <c r="E94" s="238"/>
      <c r="F94" s="238"/>
      <c r="G94" s="238"/>
      <c r="H94" s="238"/>
      <c r="I94" s="238"/>
      <c r="J94" s="238"/>
      <c r="K94" s="238"/>
      <c r="L94" s="238"/>
      <c r="M94" s="238"/>
      <c r="N94" s="238"/>
      <c r="O94" s="238"/>
      <c r="P94" s="238"/>
      <c r="Q94" s="238"/>
      <c r="R94" s="238"/>
      <c r="S94" s="238"/>
      <c r="T94" s="238"/>
      <c r="U94" s="238"/>
      <c r="V94" s="238"/>
      <c r="W94" s="238"/>
      <c r="X94" s="238"/>
      <c r="Y94" s="238"/>
      <c r="Z94" s="239"/>
    </row>
    <row r="95" spans="1:29" ht="18.75" customHeight="1">
      <c r="B95" s="240"/>
      <c r="C95" s="177"/>
      <c r="D95" s="177"/>
      <c r="E95" s="177"/>
      <c r="F95" s="177"/>
      <c r="G95" s="177"/>
      <c r="H95" s="177"/>
      <c r="I95" s="177"/>
      <c r="J95" s="177"/>
      <c r="K95" s="177"/>
      <c r="L95" s="177"/>
      <c r="M95" s="177"/>
      <c r="N95" s="177"/>
      <c r="O95" s="177"/>
      <c r="P95" s="177"/>
      <c r="Q95" s="177"/>
      <c r="R95" s="177"/>
      <c r="S95" s="177"/>
      <c r="T95" s="177"/>
      <c r="U95" s="177"/>
      <c r="V95" s="177"/>
      <c r="W95" s="177"/>
      <c r="X95" s="177"/>
      <c r="Y95" s="177"/>
      <c r="Z95" s="178"/>
    </row>
    <row r="96" spans="1:29" ht="6" customHeight="1"/>
    <row r="97" spans="1:26" ht="15" customHeight="1">
      <c r="A97" s="13" t="s">
        <v>132</v>
      </c>
    </row>
    <row r="98" spans="1:26" ht="15" customHeight="1">
      <c r="B98" s="241" t="s">
        <v>133</v>
      </c>
      <c r="C98" s="242"/>
      <c r="D98" s="242"/>
      <c r="E98" s="242"/>
      <c r="F98" s="242"/>
      <c r="G98" s="242"/>
      <c r="H98" s="242"/>
      <c r="I98" s="242"/>
      <c r="J98" s="242"/>
      <c r="K98" s="242"/>
      <c r="L98" s="242"/>
      <c r="M98" s="242"/>
      <c r="N98" s="242"/>
      <c r="O98" s="242"/>
      <c r="P98" s="242"/>
      <c r="Q98" s="242"/>
      <c r="R98" s="242"/>
      <c r="S98" s="242"/>
      <c r="T98" s="242"/>
      <c r="U98" s="242"/>
      <c r="V98" s="242"/>
      <c r="W98" s="242"/>
      <c r="X98" s="242"/>
      <c r="Y98" s="242"/>
      <c r="Z98" s="243"/>
    </row>
  </sheetData>
  <mergeCells count="218">
    <mergeCell ref="B93:Z95"/>
    <mergeCell ref="B98:Z98"/>
    <mergeCell ref="B86:B87"/>
    <mergeCell ref="D86:Z86"/>
    <mergeCell ref="D87:Z87"/>
    <mergeCell ref="B88:B90"/>
    <mergeCell ref="D88:Z88"/>
    <mergeCell ref="D89:Z89"/>
    <mergeCell ref="D90:Z90"/>
    <mergeCell ref="B82:B83"/>
    <mergeCell ref="D82:Z82"/>
    <mergeCell ref="D83:Z83"/>
    <mergeCell ref="B84:B85"/>
    <mergeCell ref="D84:Z84"/>
    <mergeCell ref="D85:Z85"/>
    <mergeCell ref="B76:F76"/>
    <mergeCell ref="G76:M76"/>
    <mergeCell ref="N76:S76"/>
    <mergeCell ref="T76:Z76"/>
    <mergeCell ref="D79:Z79"/>
    <mergeCell ref="B80:B81"/>
    <mergeCell ref="D80:Z80"/>
    <mergeCell ref="D81:Z81"/>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s>
  <phoneticPr fontId="1"/>
  <dataValidations count="4">
    <dataValidation type="list" allowBlank="1" showInputMessage="1" showErrorMessage="1" sqref="H74:M77 G70:G77 H70:M71 T70:T77 U70:Z71 U74:Z77" xr:uid="{00000000-0002-0000-0200-00000000000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O4" xr:uid="{00000000-0002-0000-0200-000001000000}">
      <formula1>"学部・学科によって、修了要件は相違する,学部・学科によって、修了要件は相違しない"</formula1>
    </dataValidation>
    <dataValidation type="list" allowBlank="1" showInputMessage="1" showErrorMessage="1" sqref="Z23 Z34 D34:K34 D23:K23 V16:V22 I16:I22 V27:V33 I27:I33 V38:V44 I38:I44 V49:V55 I49:I55 U60:U66 H60:H66" xr:uid="{00000000-0002-0000-0200-000002000000}">
      <formula1>"全学開講,一部開講"</formula1>
    </dataValidation>
    <dataValidation type="list" allowBlank="1" showInputMessage="1" showErrorMessage="1" sqref="Y16:Z22 L16:M22 Y27:Z33 L27:M33 L38:M44 Y38:Z44 L49:M55 Y49:Z55 Y60:Z66 L60:M66 H16:H22 U16:U22 H27:H33 U27:U33 H38:H44 U38:U44 H49:H55 U49:U55 G60:G66 T60:T66 K60:K61 K63" xr:uid="{00000000-0002-0000-0200-000003000000}">
      <formula1>"○"</formula1>
    </dataValidation>
  </dataValidations>
  <hyperlinks>
    <hyperlink ref="B98" r:id="rId1" xr:uid="{00000000-0004-0000-0200-000000000000}"/>
  </hyperlinks>
  <printOptions horizontalCentered="1"/>
  <pageMargins left="0.78740157480314965" right="0.78740157480314965" top="0.59055118110236227" bottom="0.19685039370078741" header="0.31496062992125984" footer="0.19685039370078741"/>
  <pageSetup paperSize="9" scale="98" orientation="landscape" r:id="rId2"/>
  <rowBreaks count="3" manualBreakCount="3">
    <brk id="34" max="25" man="1"/>
    <brk id="67" max="25" man="1"/>
    <brk id="83" max="25"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30"/>
  <sheetViews>
    <sheetView view="pageBreakPreview" topLeftCell="B9" zoomScaleNormal="100" zoomScaleSheetLayoutView="100" workbookViewId="0">
      <selection activeCell="T13" sqref="T13"/>
    </sheetView>
  </sheetViews>
  <sheetFormatPr defaultColWidth="9" defaultRowHeight="18.75" customHeight="1"/>
  <cols>
    <col min="1" max="1" width="2.75" style="1" customWidth="1"/>
    <col min="2" max="2" width="27.375" style="1" customWidth="1"/>
    <col min="3" max="7" width="6.125" style="1" customWidth="1"/>
    <col min="8" max="8" width="6.875" style="1" customWidth="1"/>
    <col min="9" max="17" width="6.125" style="1" customWidth="1"/>
    <col min="18" max="18" width="6.625" style="1" customWidth="1"/>
    <col min="19" max="16384" width="9" style="1"/>
  </cols>
  <sheetData>
    <row r="1" spans="1:20" ht="18" customHeight="1">
      <c r="F1" s="245" t="s">
        <v>151</v>
      </c>
      <c r="G1" s="245"/>
      <c r="H1" s="245"/>
      <c r="I1" s="245"/>
      <c r="J1" s="245"/>
      <c r="K1" s="245"/>
      <c r="L1" s="245"/>
      <c r="M1" s="245"/>
      <c r="N1" s="245"/>
      <c r="O1" s="245"/>
      <c r="P1" s="245"/>
      <c r="Q1" s="245"/>
      <c r="R1" s="245"/>
    </row>
    <row r="2" spans="1:20" ht="18" customHeight="1">
      <c r="A2" s="246" t="s">
        <v>152</v>
      </c>
      <c r="B2" s="246"/>
      <c r="C2" s="246"/>
      <c r="D2" s="246"/>
      <c r="E2" s="246"/>
      <c r="F2" s="246"/>
      <c r="G2" s="246"/>
      <c r="H2" s="246"/>
      <c r="I2" s="246"/>
      <c r="J2" s="246"/>
      <c r="K2" s="246"/>
      <c r="L2" s="246"/>
      <c r="M2" s="246"/>
      <c r="N2" s="246"/>
      <c r="O2" s="246"/>
      <c r="P2" s="246"/>
      <c r="Q2" s="246"/>
      <c r="R2" s="246"/>
      <c r="S2" s="4"/>
    </row>
    <row r="3" spans="1:20" ht="7.5" customHeight="1">
      <c r="A3" s="113"/>
      <c r="B3" s="113"/>
      <c r="C3" s="113"/>
      <c r="D3" s="113"/>
      <c r="E3" s="113"/>
      <c r="F3" s="113"/>
      <c r="G3" s="113"/>
      <c r="H3" s="113"/>
      <c r="I3" s="113"/>
      <c r="J3" s="113"/>
      <c r="K3" s="113"/>
      <c r="L3" s="113"/>
      <c r="M3" s="113"/>
      <c r="N3" s="113"/>
      <c r="O3" s="113"/>
      <c r="P3" s="113"/>
      <c r="Q3" s="113"/>
      <c r="R3" s="113"/>
    </row>
    <row r="4" spans="1:20" ht="18" customHeight="1">
      <c r="A4" s="4" t="s">
        <v>153</v>
      </c>
      <c r="B4" s="4"/>
      <c r="C4" s="247" t="s">
        <v>19</v>
      </c>
      <c r="D4" s="248"/>
      <c r="E4" s="113" t="s">
        <v>20</v>
      </c>
      <c r="F4" s="113"/>
      <c r="G4" s="113"/>
      <c r="H4" s="113"/>
      <c r="I4" s="113"/>
      <c r="J4" s="80"/>
      <c r="K4" s="113"/>
      <c r="L4" s="113"/>
      <c r="M4" s="110"/>
      <c r="N4" s="110"/>
      <c r="O4" s="110"/>
      <c r="P4" s="110"/>
      <c r="Q4" s="110"/>
      <c r="R4" s="110"/>
    </row>
    <row r="5" spans="1:20" ht="6" customHeight="1">
      <c r="A5" s="113"/>
      <c r="B5" s="113"/>
      <c r="C5" s="113"/>
      <c r="D5" s="113"/>
      <c r="E5" s="113"/>
      <c r="F5" s="113"/>
      <c r="G5" s="113"/>
      <c r="H5" s="113"/>
      <c r="I5" s="113"/>
      <c r="J5" s="113"/>
      <c r="K5" s="113"/>
      <c r="L5" s="113"/>
      <c r="M5" s="113"/>
      <c r="N5" s="113"/>
      <c r="O5" s="113"/>
      <c r="P5" s="113"/>
      <c r="Q5" s="113"/>
      <c r="R5" s="113"/>
    </row>
    <row r="6" spans="1:20" ht="18" customHeight="1">
      <c r="A6" s="4" t="s">
        <v>154</v>
      </c>
      <c r="B6" s="113"/>
      <c r="C6" s="113"/>
      <c r="D6" s="113"/>
      <c r="E6" s="113"/>
      <c r="F6" s="113"/>
      <c r="G6" s="113"/>
      <c r="H6" s="113"/>
      <c r="I6" s="113"/>
      <c r="J6" s="113"/>
      <c r="K6" s="113"/>
      <c r="L6" s="113"/>
      <c r="M6" s="113"/>
      <c r="N6" s="113"/>
      <c r="O6" s="113"/>
      <c r="P6" s="113"/>
      <c r="Q6" s="113"/>
      <c r="R6" s="113"/>
    </row>
    <row r="7" spans="1:20" ht="6" customHeight="1">
      <c r="A7" s="4"/>
      <c r="B7" s="113"/>
      <c r="C7" s="113"/>
      <c r="D7" s="113"/>
      <c r="E7" s="113"/>
      <c r="F7" s="113"/>
      <c r="G7" s="113"/>
      <c r="H7" s="113"/>
      <c r="I7" s="113"/>
      <c r="J7" s="113"/>
      <c r="K7" s="113"/>
      <c r="L7" s="113"/>
      <c r="M7" s="113"/>
      <c r="N7" s="113"/>
      <c r="O7" s="113"/>
      <c r="P7" s="113"/>
      <c r="Q7" s="113"/>
      <c r="R7" s="113"/>
    </row>
    <row r="8" spans="1:20" ht="18" customHeight="1">
      <c r="B8" s="249" t="s">
        <v>155</v>
      </c>
      <c r="C8" s="251" t="s">
        <v>156</v>
      </c>
      <c r="D8" s="253" t="s">
        <v>157</v>
      </c>
      <c r="E8" s="255" t="s">
        <v>158</v>
      </c>
      <c r="F8" s="255"/>
      <c r="G8" s="255" t="s">
        <v>159</v>
      </c>
      <c r="H8" s="255"/>
      <c r="I8" s="255" t="s">
        <v>160</v>
      </c>
      <c r="J8" s="255"/>
      <c r="K8" s="256" t="s">
        <v>161</v>
      </c>
      <c r="L8" s="257"/>
      <c r="M8" s="256" t="s">
        <v>162</v>
      </c>
      <c r="N8" s="257"/>
      <c r="O8" s="256" t="s">
        <v>163</v>
      </c>
      <c r="P8" s="257"/>
      <c r="Q8" s="258" t="s">
        <v>164</v>
      </c>
      <c r="R8" s="260" t="s">
        <v>165</v>
      </c>
      <c r="T8" s="34"/>
    </row>
    <row r="9" spans="1:20" ht="18" customHeight="1">
      <c r="A9" s="4"/>
      <c r="B9" s="250"/>
      <c r="C9" s="252"/>
      <c r="D9" s="254"/>
      <c r="E9" s="38" t="s">
        <v>166</v>
      </c>
      <c r="F9" s="39" t="s">
        <v>167</v>
      </c>
      <c r="G9" s="40" t="s">
        <v>166</v>
      </c>
      <c r="H9" s="41" t="s">
        <v>167</v>
      </c>
      <c r="I9" s="38" t="s">
        <v>166</v>
      </c>
      <c r="J9" s="39" t="s">
        <v>167</v>
      </c>
      <c r="K9" s="40" t="s">
        <v>166</v>
      </c>
      <c r="L9" s="41" t="s">
        <v>167</v>
      </c>
      <c r="M9" s="38" t="s">
        <v>166</v>
      </c>
      <c r="N9" s="39" t="s">
        <v>167</v>
      </c>
      <c r="O9" s="40" t="s">
        <v>166</v>
      </c>
      <c r="P9" s="41" t="s">
        <v>167</v>
      </c>
      <c r="Q9" s="259"/>
      <c r="R9" s="261"/>
      <c r="T9" s="34"/>
    </row>
    <row r="10" spans="1:20" ht="18" customHeight="1">
      <c r="A10" s="42"/>
      <c r="B10" s="81" t="s">
        <v>168</v>
      </c>
      <c r="C10" s="42">
        <v>180</v>
      </c>
      <c r="D10" s="43">
        <v>720</v>
      </c>
      <c r="E10" s="44">
        <v>8</v>
      </c>
      <c r="F10" s="45">
        <v>8</v>
      </c>
      <c r="G10" s="46">
        <v>6</v>
      </c>
      <c r="H10" s="47">
        <v>6</v>
      </c>
      <c r="I10" s="44"/>
      <c r="J10" s="45"/>
      <c r="K10" s="46"/>
      <c r="L10" s="47"/>
      <c r="M10" s="44"/>
      <c r="N10" s="45"/>
      <c r="O10" s="46"/>
      <c r="P10" s="47"/>
      <c r="Q10" s="48">
        <f>E10+G10+I10+K10+M10+O10</f>
        <v>14</v>
      </c>
      <c r="R10" s="49">
        <f>Q10/D10</f>
        <v>1.9444444444444445E-2</v>
      </c>
    </row>
    <row r="11" spans="1:20" ht="18" customHeight="1">
      <c r="A11" s="42"/>
      <c r="B11" s="82" t="s">
        <v>169</v>
      </c>
      <c r="C11" s="58">
        <v>90</v>
      </c>
      <c r="D11" s="51">
        <v>360</v>
      </c>
      <c r="E11" s="52">
        <v>96</v>
      </c>
      <c r="F11" s="53">
        <v>94</v>
      </c>
      <c r="G11" s="54">
        <v>96</v>
      </c>
      <c r="H11" s="55">
        <v>0</v>
      </c>
      <c r="I11" s="52"/>
      <c r="J11" s="53"/>
      <c r="K11" s="54"/>
      <c r="L11" s="55"/>
      <c r="M11" s="52"/>
      <c r="N11" s="53"/>
      <c r="O11" s="54"/>
      <c r="P11" s="55"/>
      <c r="Q11" s="56">
        <f t="shared" ref="Q11:Q12" si="0">E11+G11+I11+K11+M11+O11</f>
        <v>192</v>
      </c>
      <c r="R11" s="57">
        <f t="shared" ref="R11:R12" si="1">Q11/D11</f>
        <v>0.53333333333333333</v>
      </c>
    </row>
    <row r="12" spans="1:20" ht="18" customHeight="1">
      <c r="A12" s="42"/>
      <c r="B12" s="82" t="s">
        <v>170</v>
      </c>
      <c r="C12" s="58">
        <v>90</v>
      </c>
      <c r="D12" s="51">
        <v>360</v>
      </c>
      <c r="E12" s="52">
        <v>0</v>
      </c>
      <c r="F12" s="53">
        <v>0</v>
      </c>
      <c r="G12" s="54">
        <v>0</v>
      </c>
      <c r="H12" s="55">
        <v>0</v>
      </c>
      <c r="I12" s="52"/>
      <c r="J12" s="53"/>
      <c r="K12" s="54"/>
      <c r="L12" s="55"/>
      <c r="M12" s="52"/>
      <c r="N12" s="53"/>
      <c r="O12" s="54"/>
      <c r="P12" s="55"/>
      <c r="Q12" s="56">
        <f t="shared" si="0"/>
        <v>0</v>
      </c>
      <c r="R12" s="57">
        <f t="shared" si="1"/>
        <v>0</v>
      </c>
    </row>
    <row r="13" spans="1:20" ht="18" customHeight="1">
      <c r="A13" s="42"/>
      <c r="B13" s="116" t="s">
        <v>171</v>
      </c>
      <c r="C13" s="58"/>
      <c r="D13" s="51"/>
      <c r="E13" s="52"/>
      <c r="F13" s="53"/>
      <c r="G13" s="54"/>
      <c r="H13" s="55"/>
      <c r="I13" s="52"/>
      <c r="J13" s="53"/>
      <c r="K13" s="54"/>
      <c r="L13" s="55"/>
      <c r="M13" s="52"/>
      <c r="N13" s="53"/>
      <c r="O13" s="54"/>
      <c r="P13" s="55"/>
      <c r="Q13" s="56"/>
      <c r="R13" s="57"/>
    </row>
    <row r="14" spans="1:20" ht="18" customHeight="1">
      <c r="A14" s="42"/>
      <c r="B14" s="117" t="s">
        <v>172</v>
      </c>
      <c r="C14" s="58"/>
      <c r="D14" s="51"/>
      <c r="E14" s="52"/>
      <c r="F14" s="53"/>
      <c r="G14" s="54"/>
      <c r="H14" s="55"/>
      <c r="I14" s="52"/>
      <c r="J14" s="53"/>
      <c r="K14" s="54"/>
      <c r="L14" s="55"/>
      <c r="M14" s="52"/>
      <c r="N14" s="53"/>
      <c r="O14" s="54"/>
      <c r="P14" s="55"/>
      <c r="Q14" s="56"/>
      <c r="R14" s="57"/>
    </row>
    <row r="15" spans="1:20" ht="18" customHeight="1">
      <c r="A15" s="42"/>
      <c r="B15" s="117" t="s">
        <v>173</v>
      </c>
      <c r="C15" s="58"/>
      <c r="D15" s="51"/>
      <c r="E15" s="52"/>
      <c r="F15" s="53"/>
      <c r="G15" s="54"/>
      <c r="H15" s="55"/>
      <c r="I15" s="52"/>
      <c r="J15" s="53"/>
      <c r="K15" s="54"/>
      <c r="L15" s="55"/>
      <c r="M15" s="52"/>
      <c r="N15" s="53"/>
      <c r="O15" s="54"/>
      <c r="P15" s="55"/>
      <c r="Q15" s="56"/>
      <c r="R15" s="57"/>
    </row>
    <row r="16" spans="1:20" ht="18" customHeight="1">
      <c r="A16" s="42"/>
      <c r="B16" s="82"/>
      <c r="C16" s="58"/>
      <c r="D16" s="51"/>
      <c r="E16" s="52"/>
      <c r="F16" s="53"/>
      <c r="G16" s="54"/>
      <c r="H16" s="55"/>
      <c r="I16" s="52"/>
      <c r="J16" s="53"/>
      <c r="K16" s="54"/>
      <c r="L16" s="55"/>
      <c r="M16" s="52"/>
      <c r="N16" s="53"/>
      <c r="O16" s="54"/>
      <c r="P16" s="55"/>
      <c r="Q16" s="56"/>
      <c r="R16" s="57"/>
    </row>
    <row r="17" spans="1:18" ht="18" customHeight="1">
      <c r="A17" s="42"/>
      <c r="B17" s="82"/>
      <c r="C17" s="58"/>
      <c r="D17" s="51"/>
      <c r="E17" s="52"/>
      <c r="F17" s="53"/>
      <c r="G17" s="54"/>
      <c r="H17" s="55"/>
      <c r="I17" s="52"/>
      <c r="J17" s="53"/>
      <c r="K17" s="54"/>
      <c r="L17" s="55"/>
      <c r="M17" s="52"/>
      <c r="N17" s="53"/>
      <c r="O17" s="54"/>
      <c r="P17" s="55"/>
      <c r="Q17" s="56"/>
      <c r="R17" s="57"/>
    </row>
    <row r="18" spans="1:18" ht="18" customHeight="1">
      <c r="A18" s="42"/>
      <c r="B18" s="82"/>
      <c r="C18" s="58"/>
      <c r="D18" s="51"/>
      <c r="E18" s="52"/>
      <c r="F18" s="53"/>
      <c r="G18" s="54"/>
      <c r="H18" s="55"/>
      <c r="I18" s="52"/>
      <c r="J18" s="53"/>
      <c r="K18" s="54"/>
      <c r="L18" s="55"/>
      <c r="M18" s="52"/>
      <c r="N18" s="53"/>
      <c r="O18" s="54"/>
      <c r="P18" s="55"/>
      <c r="Q18" s="56"/>
      <c r="R18" s="57"/>
    </row>
    <row r="19" spans="1:18" ht="18" customHeight="1">
      <c r="A19" s="42"/>
      <c r="B19" s="82"/>
      <c r="C19" s="58"/>
      <c r="D19" s="51"/>
      <c r="E19" s="52"/>
      <c r="F19" s="53"/>
      <c r="G19" s="54"/>
      <c r="H19" s="55"/>
      <c r="I19" s="52"/>
      <c r="J19" s="53"/>
      <c r="K19" s="54"/>
      <c r="L19" s="55"/>
      <c r="M19" s="52"/>
      <c r="N19" s="53"/>
      <c r="O19" s="54"/>
      <c r="P19" s="55"/>
      <c r="Q19" s="56"/>
      <c r="R19" s="57"/>
    </row>
    <row r="20" spans="1:18" ht="18" customHeight="1">
      <c r="A20" s="42"/>
      <c r="B20" s="82"/>
      <c r="C20" s="58"/>
      <c r="D20" s="51"/>
      <c r="E20" s="52"/>
      <c r="F20" s="53"/>
      <c r="G20" s="54"/>
      <c r="H20" s="55"/>
      <c r="I20" s="52"/>
      <c r="J20" s="53"/>
      <c r="K20" s="54"/>
      <c r="L20" s="55"/>
      <c r="M20" s="52"/>
      <c r="N20" s="53"/>
      <c r="O20" s="54"/>
      <c r="P20" s="55"/>
      <c r="Q20" s="56"/>
      <c r="R20" s="57"/>
    </row>
    <row r="21" spans="1:18" ht="18" customHeight="1">
      <c r="A21" s="42"/>
      <c r="B21" s="82"/>
      <c r="C21" s="58"/>
      <c r="D21" s="51"/>
      <c r="E21" s="52"/>
      <c r="F21" s="53"/>
      <c r="G21" s="54"/>
      <c r="H21" s="55"/>
      <c r="I21" s="52"/>
      <c r="J21" s="53"/>
      <c r="K21" s="54"/>
      <c r="L21" s="55"/>
      <c r="M21" s="52"/>
      <c r="N21" s="53"/>
      <c r="O21" s="54"/>
      <c r="P21" s="55"/>
      <c r="Q21" s="56"/>
      <c r="R21" s="57"/>
    </row>
    <row r="22" spans="1:18" ht="18" customHeight="1">
      <c r="A22" s="42"/>
      <c r="B22" s="82"/>
      <c r="C22" s="58"/>
      <c r="D22" s="51"/>
      <c r="E22" s="52"/>
      <c r="F22" s="53"/>
      <c r="G22" s="54"/>
      <c r="H22" s="55"/>
      <c r="I22" s="52"/>
      <c r="J22" s="53"/>
      <c r="K22" s="54"/>
      <c r="L22" s="55"/>
      <c r="M22" s="52"/>
      <c r="N22" s="53"/>
      <c r="O22" s="54"/>
      <c r="P22" s="55"/>
      <c r="Q22" s="56"/>
      <c r="R22" s="57"/>
    </row>
    <row r="23" spans="1:18" ht="18" customHeight="1">
      <c r="A23" s="42"/>
      <c r="B23" s="82"/>
      <c r="C23" s="58"/>
      <c r="D23" s="51"/>
      <c r="E23" s="52"/>
      <c r="F23" s="53"/>
      <c r="G23" s="54"/>
      <c r="H23" s="55"/>
      <c r="I23" s="52"/>
      <c r="J23" s="53"/>
      <c r="K23" s="54"/>
      <c r="L23" s="55"/>
      <c r="M23" s="52"/>
      <c r="N23" s="53"/>
      <c r="O23" s="54"/>
      <c r="P23" s="55"/>
      <c r="Q23" s="56"/>
      <c r="R23" s="57"/>
    </row>
    <row r="24" spans="1:18" ht="18" customHeight="1">
      <c r="A24" s="42"/>
      <c r="B24" s="82"/>
      <c r="C24" s="58"/>
      <c r="D24" s="51"/>
      <c r="E24" s="52"/>
      <c r="F24" s="53"/>
      <c r="G24" s="54"/>
      <c r="H24" s="55"/>
      <c r="I24" s="52"/>
      <c r="J24" s="53"/>
      <c r="K24" s="54"/>
      <c r="L24" s="55"/>
      <c r="M24" s="52"/>
      <c r="N24" s="53"/>
      <c r="O24" s="54"/>
      <c r="P24" s="55"/>
      <c r="Q24" s="56"/>
      <c r="R24" s="57"/>
    </row>
    <row r="25" spans="1:18" ht="18" customHeight="1">
      <c r="A25" s="42"/>
      <c r="B25" s="82"/>
      <c r="C25" s="58"/>
      <c r="D25" s="51"/>
      <c r="E25" s="52"/>
      <c r="F25" s="53"/>
      <c r="G25" s="54"/>
      <c r="H25" s="55"/>
      <c r="I25" s="52"/>
      <c r="J25" s="53"/>
      <c r="K25" s="54"/>
      <c r="L25" s="55"/>
      <c r="M25" s="52"/>
      <c r="N25" s="53"/>
      <c r="O25" s="54"/>
      <c r="P25" s="55"/>
      <c r="Q25" s="56"/>
      <c r="R25" s="57"/>
    </row>
    <row r="26" spans="1:18" ht="18" customHeight="1">
      <c r="A26" s="42"/>
      <c r="B26" s="82"/>
      <c r="C26" s="58"/>
      <c r="D26" s="51"/>
      <c r="E26" s="52"/>
      <c r="F26" s="53"/>
      <c r="G26" s="54"/>
      <c r="H26" s="55"/>
      <c r="I26" s="52"/>
      <c r="J26" s="53"/>
      <c r="K26" s="54"/>
      <c r="L26" s="55"/>
      <c r="M26" s="52"/>
      <c r="N26" s="53"/>
      <c r="O26" s="54"/>
      <c r="P26" s="55"/>
      <c r="Q26" s="56"/>
      <c r="R26" s="57"/>
    </row>
    <row r="27" spans="1:18" ht="18" customHeight="1">
      <c r="A27" s="42"/>
      <c r="B27" s="82"/>
      <c r="C27" s="50"/>
      <c r="D27" s="51"/>
      <c r="E27" s="52"/>
      <c r="F27" s="53"/>
      <c r="G27" s="54"/>
      <c r="H27" s="55"/>
      <c r="I27" s="52"/>
      <c r="J27" s="53"/>
      <c r="K27" s="54"/>
      <c r="L27" s="55"/>
      <c r="M27" s="52"/>
      <c r="N27" s="53"/>
      <c r="O27" s="54"/>
      <c r="P27" s="55"/>
      <c r="Q27" s="56"/>
      <c r="R27" s="57"/>
    </row>
    <row r="28" spans="1:18" ht="18" customHeight="1">
      <c r="A28" s="42"/>
      <c r="B28" s="82"/>
      <c r="C28" s="50"/>
      <c r="D28" s="51"/>
      <c r="E28" s="52"/>
      <c r="F28" s="53"/>
      <c r="G28" s="54"/>
      <c r="H28" s="55"/>
      <c r="I28" s="52"/>
      <c r="J28" s="53"/>
      <c r="K28" s="54"/>
      <c r="L28" s="55"/>
      <c r="M28" s="52"/>
      <c r="N28" s="53"/>
      <c r="O28" s="54"/>
      <c r="P28" s="55"/>
      <c r="Q28" s="56"/>
      <c r="R28" s="57"/>
    </row>
    <row r="29" spans="1:18" ht="18" customHeight="1" thickBot="1">
      <c r="A29" s="42"/>
      <c r="B29" s="83"/>
      <c r="C29" s="84"/>
      <c r="D29" s="43"/>
      <c r="E29" s="44"/>
      <c r="F29" s="45"/>
      <c r="G29" s="46"/>
      <c r="H29" s="47"/>
      <c r="I29" s="44"/>
      <c r="J29" s="45"/>
      <c r="K29" s="46"/>
      <c r="L29" s="47"/>
      <c r="M29" s="44"/>
      <c r="N29" s="45"/>
      <c r="O29" s="46"/>
      <c r="P29" s="47"/>
      <c r="Q29" s="59"/>
      <c r="R29" s="49"/>
    </row>
    <row r="30" spans="1:18" ht="18" customHeight="1" thickTop="1">
      <c r="B30" s="85" t="s">
        <v>174</v>
      </c>
      <c r="C30" s="86">
        <f t="shared" ref="C30:Q30" si="2">SUM(C10:C29)</f>
        <v>360</v>
      </c>
      <c r="D30" s="60">
        <f t="shared" si="2"/>
        <v>1440</v>
      </c>
      <c r="E30" s="61">
        <f t="shared" si="2"/>
        <v>104</v>
      </c>
      <c r="F30" s="62">
        <f t="shared" si="2"/>
        <v>102</v>
      </c>
      <c r="G30" s="63">
        <f t="shared" si="2"/>
        <v>102</v>
      </c>
      <c r="H30" s="64">
        <f t="shared" si="2"/>
        <v>6</v>
      </c>
      <c r="I30" s="61">
        <f t="shared" si="2"/>
        <v>0</v>
      </c>
      <c r="J30" s="62">
        <f t="shared" si="2"/>
        <v>0</v>
      </c>
      <c r="K30" s="63">
        <f t="shared" si="2"/>
        <v>0</v>
      </c>
      <c r="L30" s="64">
        <f t="shared" si="2"/>
        <v>0</v>
      </c>
      <c r="M30" s="61">
        <f t="shared" si="2"/>
        <v>0</v>
      </c>
      <c r="N30" s="62">
        <f t="shared" si="2"/>
        <v>0</v>
      </c>
      <c r="O30" s="63">
        <f t="shared" si="2"/>
        <v>0</v>
      </c>
      <c r="P30" s="64">
        <f t="shared" si="2"/>
        <v>0</v>
      </c>
      <c r="Q30" s="65">
        <f t="shared" si="2"/>
        <v>206</v>
      </c>
      <c r="R30" s="66">
        <f>Q30/D30</f>
        <v>0.14305555555555555</v>
      </c>
    </row>
  </sheetData>
  <mergeCells count="14">
    <mergeCell ref="F1:R1"/>
    <mergeCell ref="A2:R2"/>
    <mergeCell ref="C4:D4"/>
    <mergeCell ref="B8:B9"/>
    <mergeCell ref="C8:C9"/>
    <mergeCell ref="D8:D9"/>
    <mergeCell ref="E8:F8"/>
    <mergeCell ref="G8:H8"/>
    <mergeCell ref="I8:J8"/>
    <mergeCell ref="K8:L8"/>
    <mergeCell ref="M8:N8"/>
    <mergeCell ref="O8:P8"/>
    <mergeCell ref="Q8:Q9"/>
    <mergeCell ref="R8:R9"/>
  </mergeCells>
  <phoneticPr fontId="1"/>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43"/>
  <sheetViews>
    <sheetView showZeros="0" view="pageBreakPreview" topLeftCell="A31" zoomScaleNormal="100" zoomScaleSheetLayoutView="100" workbookViewId="0">
      <selection activeCell="L132" sqref="L132"/>
    </sheetView>
  </sheetViews>
  <sheetFormatPr defaultColWidth="11.375" defaultRowHeight="18.75" customHeight="1"/>
  <cols>
    <col min="1" max="1" width="2.75" style="2" customWidth="1"/>
    <col min="2" max="2" width="16.625" style="1" customWidth="1"/>
    <col min="3" max="3" width="8.875" style="1" customWidth="1"/>
    <col min="4" max="4" width="2.25" style="1" customWidth="1"/>
    <col min="5" max="5" width="16.625" style="1" customWidth="1"/>
    <col min="6" max="6" width="8.875" style="1" customWidth="1"/>
    <col min="7" max="7" width="2.25" style="1" customWidth="1"/>
    <col min="8" max="8" width="16.625" style="1" customWidth="1"/>
    <col min="9" max="9" width="8.875" style="1" customWidth="1"/>
    <col min="10" max="10" width="2.25" style="1" customWidth="1"/>
    <col min="11" max="11" width="11.375" style="31"/>
    <col min="12" max="16384" width="11.375" style="1"/>
  </cols>
  <sheetData>
    <row r="1" spans="1:11" ht="18.75" customHeight="1">
      <c r="A1" s="2" t="s">
        <v>175</v>
      </c>
      <c r="J1" s="123" t="s">
        <v>176</v>
      </c>
    </row>
    <row r="2" spans="1:11" ht="18.75" customHeight="1">
      <c r="A2" s="246" t="s">
        <v>177</v>
      </c>
      <c r="B2" s="246"/>
      <c r="C2" s="246"/>
      <c r="D2" s="246"/>
      <c r="E2" s="246"/>
      <c r="F2" s="246"/>
      <c r="G2" s="246"/>
      <c r="H2" s="246"/>
      <c r="I2" s="246"/>
      <c r="J2" s="246"/>
    </row>
    <row r="3" spans="1:11" ht="7.5" customHeight="1">
      <c r="B3" s="113"/>
      <c r="C3" s="113"/>
      <c r="D3" s="113"/>
      <c r="E3" s="113"/>
      <c r="F3" s="113"/>
      <c r="G3" s="113"/>
      <c r="H3" s="113"/>
      <c r="I3" s="113"/>
      <c r="J3" s="113"/>
    </row>
    <row r="4" spans="1:11" ht="18.75" customHeight="1">
      <c r="A4" s="1" t="s">
        <v>2</v>
      </c>
      <c r="B4" s="4" t="s">
        <v>178</v>
      </c>
      <c r="C4" s="4"/>
      <c r="D4" s="4"/>
      <c r="E4" s="4"/>
      <c r="F4" s="4"/>
      <c r="G4" s="4"/>
      <c r="H4" s="4"/>
      <c r="I4" s="113"/>
      <c r="J4" s="113"/>
    </row>
    <row r="5" spans="1:11" ht="18.75" customHeight="1">
      <c r="A5" s="1"/>
      <c r="B5" s="137" t="s">
        <v>179</v>
      </c>
      <c r="C5" s="138"/>
      <c r="D5" s="138"/>
      <c r="E5" s="138"/>
      <c r="F5" s="138"/>
      <c r="G5" s="138"/>
      <c r="H5" s="138"/>
      <c r="I5" s="138"/>
      <c r="J5" s="271"/>
      <c r="K5" s="31" t="str">
        <f>IF(B5="","入力してください","")</f>
        <v/>
      </c>
    </row>
    <row r="6" spans="1:11" ht="7.5" customHeight="1">
      <c r="B6" s="113"/>
      <c r="C6" s="113"/>
      <c r="D6" s="113"/>
      <c r="E6" s="113"/>
      <c r="F6" s="113"/>
      <c r="G6" s="113"/>
      <c r="H6" s="113"/>
      <c r="I6" s="113"/>
      <c r="J6" s="113"/>
    </row>
    <row r="7" spans="1:11" s="4" customFormat="1" ht="18.75" customHeight="1">
      <c r="A7" s="1" t="s">
        <v>5</v>
      </c>
      <c r="B7" s="1" t="s">
        <v>180</v>
      </c>
      <c r="C7" s="1"/>
      <c r="D7" s="1"/>
      <c r="E7" s="1"/>
      <c r="F7" s="1"/>
      <c r="G7" s="1"/>
      <c r="H7" s="1"/>
      <c r="I7" s="1"/>
      <c r="J7" s="1"/>
      <c r="K7" s="35"/>
    </row>
    <row r="8" spans="1:11" s="4" customFormat="1" ht="18.75" customHeight="1">
      <c r="A8" s="87"/>
      <c r="B8" s="272" t="s">
        <v>181</v>
      </c>
      <c r="C8" s="273"/>
      <c r="D8" s="273"/>
      <c r="E8" s="273"/>
      <c r="F8" s="273"/>
      <c r="G8" s="273"/>
      <c r="H8" s="273"/>
      <c r="I8" s="274"/>
      <c r="J8" s="275"/>
      <c r="K8" s="31" t="str">
        <f>IF(B8="","入力してください","")</f>
        <v/>
      </c>
    </row>
    <row r="9" spans="1:11" s="4" customFormat="1" ht="18.75" customHeight="1">
      <c r="A9" s="87"/>
      <c r="B9" s="276"/>
      <c r="C9" s="277"/>
      <c r="D9" s="277"/>
      <c r="E9" s="277"/>
      <c r="F9" s="277"/>
      <c r="G9" s="277"/>
      <c r="H9" s="277"/>
      <c r="I9" s="277"/>
      <c r="J9" s="278"/>
      <c r="K9" s="31"/>
    </row>
    <row r="10" spans="1:11" s="4" customFormat="1" ht="18.75" customHeight="1">
      <c r="A10" s="87"/>
      <c r="B10" s="276"/>
      <c r="C10" s="277"/>
      <c r="D10" s="277"/>
      <c r="E10" s="277"/>
      <c r="F10" s="277"/>
      <c r="G10" s="277"/>
      <c r="H10" s="277"/>
      <c r="I10" s="277"/>
      <c r="J10" s="278"/>
      <c r="K10" s="31"/>
    </row>
    <row r="11" spans="1:11" s="4" customFormat="1" ht="18.75" customHeight="1">
      <c r="A11" s="87"/>
      <c r="B11" s="276"/>
      <c r="C11" s="277"/>
      <c r="D11" s="277"/>
      <c r="E11" s="277"/>
      <c r="F11" s="277"/>
      <c r="G11" s="277"/>
      <c r="H11" s="277"/>
      <c r="I11" s="277"/>
      <c r="J11" s="278"/>
      <c r="K11" s="31"/>
    </row>
    <row r="12" spans="1:11" s="4" customFormat="1" ht="18.75" customHeight="1">
      <c r="A12" s="87"/>
      <c r="B12" s="279"/>
      <c r="C12" s="280"/>
      <c r="D12" s="280"/>
      <c r="E12" s="280"/>
      <c r="F12" s="280"/>
      <c r="G12" s="280"/>
      <c r="H12" s="280"/>
      <c r="I12" s="280"/>
      <c r="J12" s="281"/>
      <c r="K12" s="31"/>
    </row>
    <row r="13" spans="1:11" s="4" customFormat="1" ht="7.5" customHeight="1">
      <c r="A13" s="87"/>
      <c r="B13" s="87"/>
      <c r="C13" s="87"/>
      <c r="D13" s="87"/>
      <c r="E13" s="87"/>
      <c r="F13" s="87"/>
      <c r="G13" s="87"/>
      <c r="H13" s="87"/>
      <c r="I13" s="87"/>
      <c r="J13" s="87"/>
      <c r="K13" s="31"/>
    </row>
    <row r="14" spans="1:11" s="4" customFormat="1" ht="18.75" customHeight="1">
      <c r="A14" s="88" t="s">
        <v>182</v>
      </c>
      <c r="B14" s="88" t="s">
        <v>183</v>
      </c>
      <c r="C14" s="88"/>
      <c r="D14" s="88"/>
      <c r="E14" s="88"/>
      <c r="F14" s="88"/>
      <c r="G14" s="88"/>
      <c r="H14" s="88"/>
      <c r="I14" s="88"/>
      <c r="J14" s="88"/>
      <c r="K14" s="31"/>
    </row>
    <row r="15" spans="1:11" s="4" customFormat="1" ht="18.75" customHeight="1">
      <c r="A15" s="87"/>
      <c r="B15" s="272" t="s">
        <v>184</v>
      </c>
      <c r="C15" s="273"/>
      <c r="D15" s="273"/>
      <c r="E15" s="273"/>
      <c r="F15" s="273"/>
      <c r="G15" s="273"/>
      <c r="H15" s="273"/>
      <c r="I15" s="274"/>
      <c r="J15" s="275"/>
      <c r="K15" s="31" t="str">
        <f>IF(B15="","入力してください","")</f>
        <v/>
      </c>
    </row>
    <row r="16" spans="1:11" s="4" customFormat="1" ht="18.75" customHeight="1">
      <c r="A16" s="87"/>
      <c r="B16" s="276"/>
      <c r="C16" s="277"/>
      <c r="D16" s="277"/>
      <c r="E16" s="277"/>
      <c r="F16" s="277"/>
      <c r="G16" s="277"/>
      <c r="H16" s="277"/>
      <c r="I16" s="277"/>
      <c r="J16" s="278"/>
      <c r="K16" s="31"/>
    </row>
    <row r="17" spans="1:11" s="4" customFormat="1" ht="18.75" customHeight="1">
      <c r="A17" s="87"/>
      <c r="B17" s="276"/>
      <c r="C17" s="277"/>
      <c r="D17" s="277"/>
      <c r="E17" s="277"/>
      <c r="F17" s="277"/>
      <c r="G17" s="277"/>
      <c r="H17" s="277"/>
      <c r="I17" s="277"/>
      <c r="J17" s="278"/>
      <c r="K17" s="31"/>
    </row>
    <row r="18" spans="1:11" s="4" customFormat="1" ht="18.75" customHeight="1">
      <c r="A18" s="87"/>
      <c r="B18" s="276"/>
      <c r="C18" s="277"/>
      <c r="D18" s="277"/>
      <c r="E18" s="277"/>
      <c r="F18" s="277"/>
      <c r="G18" s="277"/>
      <c r="H18" s="277"/>
      <c r="I18" s="277"/>
      <c r="J18" s="278"/>
      <c r="K18" s="31"/>
    </row>
    <row r="19" spans="1:11" s="4" customFormat="1" ht="18.75" customHeight="1">
      <c r="A19" s="87"/>
      <c r="B19" s="276"/>
      <c r="C19" s="277"/>
      <c r="D19" s="277"/>
      <c r="E19" s="277"/>
      <c r="F19" s="277"/>
      <c r="G19" s="277"/>
      <c r="H19" s="277"/>
      <c r="I19" s="277"/>
      <c r="J19" s="278"/>
      <c r="K19" s="31"/>
    </row>
    <row r="20" spans="1:11" s="4" customFormat="1" ht="18.75" customHeight="1">
      <c r="A20" s="87"/>
      <c r="B20" s="276"/>
      <c r="C20" s="277"/>
      <c r="D20" s="277"/>
      <c r="E20" s="277"/>
      <c r="F20" s="277"/>
      <c r="G20" s="277"/>
      <c r="H20" s="277"/>
      <c r="I20" s="277"/>
      <c r="J20" s="278"/>
      <c r="K20" s="31"/>
    </row>
    <row r="21" spans="1:11" s="4" customFormat="1" ht="18.75" customHeight="1">
      <c r="A21" s="87"/>
      <c r="B21" s="276"/>
      <c r="C21" s="277"/>
      <c r="D21" s="277"/>
      <c r="E21" s="277"/>
      <c r="F21" s="277"/>
      <c r="G21" s="277"/>
      <c r="H21" s="277"/>
      <c r="I21" s="277"/>
      <c r="J21" s="278"/>
      <c r="K21" s="31"/>
    </row>
    <row r="22" spans="1:11" s="4" customFormat="1" ht="18.75" customHeight="1">
      <c r="A22" s="87"/>
      <c r="B22" s="276"/>
      <c r="C22" s="277"/>
      <c r="D22" s="277"/>
      <c r="E22" s="277"/>
      <c r="F22" s="277"/>
      <c r="G22" s="277"/>
      <c r="H22" s="277"/>
      <c r="I22" s="277"/>
      <c r="J22" s="278"/>
      <c r="K22" s="31"/>
    </row>
    <row r="23" spans="1:11" s="4" customFormat="1" ht="18.75" customHeight="1">
      <c r="A23" s="87"/>
      <c r="B23" s="276"/>
      <c r="C23" s="277"/>
      <c r="D23" s="277"/>
      <c r="E23" s="277"/>
      <c r="F23" s="277"/>
      <c r="G23" s="277"/>
      <c r="H23" s="277"/>
      <c r="I23" s="277"/>
      <c r="J23" s="278"/>
      <c r="K23" s="31"/>
    </row>
    <row r="24" spans="1:11" s="4" customFormat="1" ht="18.75" customHeight="1">
      <c r="A24" s="87"/>
      <c r="B24" s="276"/>
      <c r="C24" s="277"/>
      <c r="D24" s="277"/>
      <c r="E24" s="277"/>
      <c r="F24" s="277"/>
      <c r="G24" s="277"/>
      <c r="H24" s="277"/>
      <c r="I24" s="277"/>
      <c r="J24" s="278"/>
      <c r="K24" s="31"/>
    </row>
    <row r="25" spans="1:11" s="4" customFormat="1" ht="18.75" customHeight="1">
      <c r="A25" s="87"/>
      <c r="B25" s="279"/>
      <c r="C25" s="280"/>
      <c r="D25" s="280"/>
      <c r="E25" s="280"/>
      <c r="F25" s="280"/>
      <c r="G25" s="280"/>
      <c r="H25" s="280"/>
      <c r="I25" s="280"/>
      <c r="J25" s="281"/>
      <c r="K25" s="31"/>
    </row>
    <row r="26" spans="1:11" ht="7.5" customHeight="1">
      <c r="A26" s="36"/>
      <c r="B26" s="36"/>
      <c r="C26" s="36"/>
      <c r="D26" s="36"/>
      <c r="E26" s="36"/>
      <c r="F26" s="36"/>
      <c r="G26" s="36"/>
      <c r="H26" s="36"/>
      <c r="I26" s="36"/>
      <c r="J26" s="36"/>
    </row>
    <row r="27" spans="1:11" s="4" customFormat="1" ht="18.75" customHeight="1">
      <c r="A27" s="1" t="s">
        <v>11</v>
      </c>
      <c r="B27" s="1" t="s">
        <v>185</v>
      </c>
      <c r="C27" s="1"/>
      <c r="D27" s="1"/>
      <c r="E27" s="1"/>
      <c r="F27" s="1"/>
      <c r="G27" s="1"/>
      <c r="H27" s="1"/>
      <c r="I27" s="1"/>
      <c r="J27" s="1"/>
      <c r="K27" s="31"/>
    </row>
    <row r="28" spans="1:11" s="29" customFormat="1" ht="18.75" customHeight="1">
      <c r="B28" s="89" t="s">
        <v>186</v>
      </c>
      <c r="C28" s="90">
        <f>'様式３　履修者等数の実績'!R30</f>
        <v>0.14305555555555555</v>
      </c>
      <c r="D28" s="91"/>
      <c r="E28" s="91" t="s">
        <v>187</v>
      </c>
      <c r="F28" s="90">
        <v>0.2</v>
      </c>
      <c r="G28" s="91"/>
      <c r="H28" s="91" t="s">
        <v>188</v>
      </c>
      <c r="I28" s="92">
        <v>0.3</v>
      </c>
      <c r="J28" s="93"/>
      <c r="K28" s="31"/>
    </row>
    <row r="29" spans="1:11" s="29" customFormat="1" ht="18.75" customHeight="1">
      <c r="B29" s="77" t="s">
        <v>189</v>
      </c>
      <c r="C29" s="94">
        <v>0.35</v>
      </c>
      <c r="D29" s="78"/>
      <c r="E29" s="78" t="s">
        <v>190</v>
      </c>
      <c r="F29" s="94">
        <v>0.4</v>
      </c>
      <c r="G29" s="78"/>
      <c r="H29" s="78" t="s">
        <v>191</v>
      </c>
      <c r="I29" s="95">
        <f>'様式３　履修者等数の実績'!D30</f>
        <v>1440</v>
      </c>
      <c r="J29" s="96"/>
      <c r="K29" s="35"/>
    </row>
    <row r="30" spans="1:11" s="4" customFormat="1" ht="18.75" customHeight="1">
      <c r="A30" s="1"/>
      <c r="B30" s="168" t="s">
        <v>192</v>
      </c>
      <c r="C30" s="169"/>
      <c r="D30" s="169"/>
      <c r="E30" s="169"/>
      <c r="F30" s="169"/>
      <c r="G30" s="169"/>
      <c r="H30" s="169"/>
      <c r="I30" s="169"/>
      <c r="J30" s="170"/>
      <c r="K30" s="35"/>
    </row>
    <row r="31" spans="1:11" s="4" customFormat="1" ht="18.75" customHeight="1">
      <c r="A31" s="1"/>
      <c r="B31" s="262" t="s">
        <v>193</v>
      </c>
      <c r="C31" s="263"/>
      <c r="D31" s="263"/>
      <c r="E31" s="263"/>
      <c r="F31" s="263"/>
      <c r="G31" s="263"/>
      <c r="H31" s="263"/>
      <c r="I31" s="263"/>
      <c r="J31" s="264"/>
      <c r="K31" s="35" t="str">
        <f>IF(B31="","入力してください","")</f>
        <v/>
      </c>
    </row>
    <row r="32" spans="1:11" s="4" customFormat="1" ht="18.75" customHeight="1">
      <c r="A32" s="1"/>
      <c r="B32" s="265"/>
      <c r="C32" s="266"/>
      <c r="D32" s="266"/>
      <c r="E32" s="266"/>
      <c r="F32" s="266"/>
      <c r="G32" s="266"/>
      <c r="H32" s="266"/>
      <c r="I32" s="266"/>
      <c r="J32" s="267"/>
      <c r="K32" s="35"/>
    </row>
    <row r="33" spans="1:11" s="4" customFormat="1" ht="18.75" customHeight="1">
      <c r="A33" s="1"/>
      <c r="B33" s="265"/>
      <c r="C33" s="266"/>
      <c r="D33" s="266"/>
      <c r="E33" s="266"/>
      <c r="F33" s="266"/>
      <c r="G33" s="266"/>
      <c r="H33" s="266"/>
      <c r="I33" s="266"/>
      <c r="J33" s="267"/>
      <c r="K33" s="35"/>
    </row>
    <row r="34" spans="1:11" s="4" customFormat="1" ht="18.75" customHeight="1">
      <c r="A34" s="1"/>
      <c r="B34" s="265"/>
      <c r="C34" s="266"/>
      <c r="D34" s="266"/>
      <c r="E34" s="266"/>
      <c r="F34" s="266"/>
      <c r="G34" s="266"/>
      <c r="H34" s="266"/>
      <c r="I34" s="266"/>
      <c r="J34" s="267"/>
      <c r="K34" s="35"/>
    </row>
    <row r="35" spans="1:11" s="4" customFormat="1" ht="18.75" customHeight="1">
      <c r="A35" s="1"/>
      <c r="B35" s="265"/>
      <c r="C35" s="266"/>
      <c r="D35" s="266"/>
      <c r="E35" s="266"/>
      <c r="F35" s="266"/>
      <c r="G35" s="266"/>
      <c r="H35" s="266"/>
      <c r="I35" s="266"/>
      <c r="J35" s="267"/>
      <c r="K35" s="35"/>
    </row>
    <row r="36" spans="1:11" s="4" customFormat="1" ht="18.75" customHeight="1">
      <c r="A36" s="1"/>
      <c r="B36" s="265"/>
      <c r="C36" s="266"/>
      <c r="D36" s="266"/>
      <c r="E36" s="266"/>
      <c r="F36" s="266"/>
      <c r="G36" s="266"/>
      <c r="H36" s="266"/>
      <c r="I36" s="266"/>
      <c r="J36" s="267"/>
      <c r="K36" s="35"/>
    </row>
    <row r="37" spans="1:11" s="4" customFormat="1" ht="18.75" customHeight="1">
      <c r="A37" s="1"/>
      <c r="B37" s="265"/>
      <c r="C37" s="266"/>
      <c r="D37" s="266"/>
      <c r="E37" s="266"/>
      <c r="F37" s="266"/>
      <c r="G37" s="266"/>
      <c r="H37" s="266"/>
      <c r="I37" s="266"/>
      <c r="J37" s="267"/>
      <c r="K37" s="35"/>
    </row>
    <row r="38" spans="1:11" s="4" customFormat="1" ht="18.75" customHeight="1">
      <c r="A38" s="1"/>
      <c r="B38" s="265"/>
      <c r="C38" s="266"/>
      <c r="D38" s="266"/>
      <c r="E38" s="266"/>
      <c r="F38" s="266"/>
      <c r="G38" s="266"/>
      <c r="H38" s="266"/>
      <c r="I38" s="266"/>
      <c r="J38" s="267"/>
      <c r="K38" s="35"/>
    </row>
    <row r="39" spans="1:11" s="4" customFormat="1" ht="18.75" customHeight="1">
      <c r="A39" s="1"/>
      <c r="B39" s="265"/>
      <c r="C39" s="266"/>
      <c r="D39" s="266"/>
      <c r="E39" s="266"/>
      <c r="F39" s="266"/>
      <c r="G39" s="266"/>
      <c r="H39" s="266"/>
      <c r="I39" s="266"/>
      <c r="J39" s="267"/>
      <c r="K39" s="35"/>
    </row>
    <row r="40" spans="1:11" s="4" customFormat="1" ht="18.75" customHeight="1">
      <c r="A40" s="1"/>
      <c r="B40" s="265"/>
      <c r="C40" s="266"/>
      <c r="D40" s="266"/>
      <c r="E40" s="266"/>
      <c r="F40" s="266"/>
      <c r="G40" s="266"/>
      <c r="H40" s="266"/>
      <c r="I40" s="266"/>
      <c r="J40" s="267"/>
      <c r="K40" s="35"/>
    </row>
    <row r="41" spans="1:11" s="4" customFormat="1" ht="18.75" customHeight="1">
      <c r="A41" s="1"/>
      <c r="B41" s="265"/>
      <c r="C41" s="266"/>
      <c r="D41" s="266"/>
      <c r="E41" s="266"/>
      <c r="F41" s="266"/>
      <c r="G41" s="266"/>
      <c r="H41" s="266"/>
      <c r="I41" s="266"/>
      <c r="J41" s="267"/>
      <c r="K41" s="35"/>
    </row>
    <row r="42" spans="1:11" s="4" customFormat="1" ht="18.75" customHeight="1">
      <c r="A42" s="1"/>
      <c r="B42" s="265"/>
      <c r="C42" s="266"/>
      <c r="D42" s="266"/>
      <c r="E42" s="266"/>
      <c r="F42" s="266"/>
      <c r="G42" s="266"/>
      <c r="H42" s="266"/>
      <c r="I42" s="266"/>
      <c r="J42" s="267"/>
      <c r="K42" s="35"/>
    </row>
    <row r="43" spans="1:11" ht="18.75" customHeight="1">
      <c r="A43" s="36"/>
      <c r="B43" s="265"/>
      <c r="C43" s="266"/>
      <c r="D43" s="266"/>
      <c r="E43" s="266"/>
      <c r="F43" s="266"/>
      <c r="G43" s="266"/>
      <c r="H43" s="266"/>
      <c r="I43" s="266"/>
      <c r="J43" s="267"/>
      <c r="K43" s="35"/>
    </row>
    <row r="44" spans="1:11" ht="18.75" customHeight="1">
      <c r="A44" s="36"/>
      <c r="B44" s="268"/>
      <c r="C44" s="269"/>
      <c r="D44" s="269"/>
      <c r="E44" s="269"/>
      <c r="F44" s="269"/>
      <c r="G44" s="269"/>
      <c r="H44" s="269"/>
      <c r="I44" s="269"/>
      <c r="J44" s="270"/>
    </row>
    <row r="45" spans="1:11" s="4" customFormat="1" ht="18.75" customHeight="1">
      <c r="A45" s="97" t="s">
        <v>14</v>
      </c>
      <c r="B45" s="1" t="s">
        <v>194</v>
      </c>
      <c r="C45" s="1"/>
      <c r="D45" s="1"/>
      <c r="E45" s="1"/>
      <c r="F45" s="1"/>
      <c r="G45" s="1"/>
      <c r="H45" s="1"/>
      <c r="I45" s="97"/>
      <c r="J45" s="97"/>
      <c r="K45" s="31"/>
    </row>
    <row r="46" spans="1:11" ht="18.75" customHeight="1">
      <c r="A46" s="36"/>
      <c r="B46" s="272" t="s">
        <v>195</v>
      </c>
      <c r="C46" s="273"/>
      <c r="D46" s="273"/>
      <c r="E46" s="273"/>
      <c r="F46" s="273"/>
      <c r="G46" s="273"/>
      <c r="H46" s="273"/>
      <c r="I46" s="273"/>
      <c r="J46" s="282"/>
      <c r="K46" s="31" t="str">
        <f>IF(B46="","入力してください","")</f>
        <v/>
      </c>
    </row>
    <row r="47" spans="1:11" ht="18.75" customHeight="1">
      <c r="A47" s="36"/>
      <c r="B47" s="265"/>
      <c r="C47" s="266"/>
      <c r="D47" s="266"/>
      <c r="E47" s="266"/>
      <c r="F47" s="266"/>
      <c r="G47" s="266"/>
      <c r="H47" s="266"/>
      <c r="I47" s="266"/>
      <c r="J47" s="267"/>
    </row>
    <row r="48" spans="1:11" ht="18.75" customHeight="1">
      <c r="A48" s="36"/>
      <c r="B48" s="265"/>
      <c r="C48" s="266"/>
      <c r="D48" s="266"/>
      <c r="E48" s="266"/>
      <c r="F48" s="266"/>
      <c r="G48" s="266"/>
      <c r="H48" s="266"/>
      <c r="I48" s="266"/>
      <c r="J48" s="267"/>
    </row>
    <row r="49" spans="1:10" ht="18.75" customHeight="1">
      <c r="A49" s="36"/>
      <c r="B49" s="265"/>
      <c r="C49" s="266"/>
      <c r="D49" s="266"/>
      <c r="E49" s="266"/>
      <c r="F49" s="266"/>
      <c r="G49" s="266"/>
      <c r="H49" s="266"/>
      <c r="I49" s="266"/>
      <c r="J49" s="267"/>
    </row>
    <row r="50" spans="1:10" ht="18.75" customHeight="1">
      <c r="A50" s="36"/>
      <c r="B50" s="265"/>
      <c r="C50" s="266"/>
      <c r="D50" s="266"/>
      <c r="E50" s="266"/>
      <c r="F50" s="266"/>
      <c r="G50" s="266"/>
      <c r="H50" s="266"/>
      <c r="I50" s="266"/>
      <c r="J50" s="267"/>
    </row>
    <row r="51" spans="1:10" ht="18.75" customHeight="1">
      <c r="A51" s="36"/>
      <c r="B51" s="265"/>
      <c r="C51" s="266"/>
      <c r="D51" s="266"/>
      <c r="E51" s="266"/>
      <c r="F51" s="266"/>
      <c r="G51" s="266"/>
      <c r="H51" s="266"/>
      <c r="I51" s="266"/>
      <c r="J51" s="267"/>
    </row>
    <row r="52" spans="1:10" ht="18.75" customHeight="1">
      <c r="A52" s="36"/>
      <c r="B52" s="265"/>
      <c r="C52" s="266"/>
      <c r="D52" s="266"/>
      <c r="E52" s="266"/>
      <c r="F52" s="266"/>
      <c r="G52" s="266"/>
      <c r="H52" s="266"/>
      <c r="I52" s="266"/>
      <c r="J52" s="267"/>
    </row>
    <row r="53" spans="1:10" ht="18.75" customHeight="1">
      <c r="A53" s="36"/>
      <c r="B53" s="265"/>
      <c r="C53" s="266"/>
      <c r="D53" s="266"/>
      <c r="E53" s="266"/>
      <c r="F53" s="266"/>
      <c r="G53" s="266"/>
      <c r="H53" s="266"/>
      <c r="I53" s="266"/>
      <c r="J53" s="267"/>
    </row>
    <row r="54" spans="1:10" ht="18.75" customHeight="1">
      <c r="A54" s="36"/>
      <c r="B54" s="265"/>
      <c r="C54" s="266"/>
      <c r="D54" s="266"/>
      <c r="E54" s="266"/>
      <c r="F54" s="266"/>
      <c r="G54" s="266"/>
      <c r="H54" s="266"/>
      <c r="I54" s="266"/>
      <c r="J54" s="267"/>
    </row>
    <row r="55" spans="1:10" ht="18.75" customHeight="1">
      <c r="A55" s="36"/>
      <c r="B55" s="265"/>
      <c r="C55" s="266"/>
      <c r="D55" s="266"/>
      <c r="E55" s="266"/>
      <c r="F55" s="266"/>
      <c r="G55" s="266"/>
      <c r="H55" s="266"/>
      <c r="I55" s="266"/>
      <c r="J55" s="267"/>
    </row>
    <row r="56" spans="1:10" ht="18.75" customHeight="1">
      <c r="A56" s="36"/>
      <c r="B56" s="265"/>
      <c r="C56" s="266"/>
      <c r="D56" s="266"/>
      <c r="E56" s="266"/>
      <c r="F56" s="266"/>
      <c r="G56" s="266"/>
      <c r="H56" s="266"/>
      <c r="I56" s="266"/>
      <c r="J56" s="267"/>
    </row>
    <row r="57" spans="1:10" ht="18.75" customHeight="1">
      <c r="A57" s="36"/>
      <c r="B57" s="265"/>
      <c r="C57" s="266"/>
      <c r="D57" s="266"/>
      <c r="E57" s="266"/>
      <c r="F57" s="266"/>
      <c r="G57" s="266"/>
      <c r="H57" s="266"/>
      <c r="I57" s="266"/>
      <c r="J57" s="267"/>
    </row>
    <row r="58" spans="1:10" ht="18.75" customHeight="1">
      <c r="A58" s="36"/>
      <c r="B58" s="265"/>
      <c r="C58" s="266"/>
      <c r="D58" s="266"/>
      <c r="E58" s="266"/>
      <c r="F58" s="266"/>
      <c r="G58" s="266"/>
      <c r="H58" s="266"/>
      <c r="I58" s="266"/>
      <c r="J58" s="267"/>
    </row>
    <row r="59" spans="1:10" ht="18.75" customHeight="1">
      <c r="A59" s="36"/>
      <c r="B59" s="265"/>
      <c r="C59" s="266"/>
      <c r="D59" s="266"/>
      <c r="E59" s="266"/>
      <c r="F59" s="266"/>
      <c r="G59" s="266"/>
      <c r="H59" s="266"/>
      <c r="I59" s="266"/>
      <c r="J59" s="267"/>
    </row>
    <row r="60" spans="1:10" ht="18.75" customHeight="1">
      <c r="A60" s="36"/>
      <c r="B60" s="265"/>
      <c r="C60" s="266"/>
      <c r="D60" s="266"/>
      <c r="E60" s="266"/>
      <c r="F60" s="266"/>
      <c r="G60" s="266"/>
      <c r="H60" s="266"/>
      <c r="I60" s="266"/>
      <c r="J60" s="267"/>
    </row>
    <row r="61" spans="1:10" ht="18.75" customHeight="1">
      <c r="A61" s="36"/>
      <c r="B61" s="265"/>
      <c r="C61" s="266"/>
      <c r="D61" s="266"/>
      <c r="E61" s="266"/>
      <c r="F61" s="266"/>
      <c r="G61" s="266"/>
      <c r="H61" s="266"/>
      <c r="I61" s="266"/>
      <c r="J61" s="267"/>
    </row>
    <row r="62" spans="1:10" ht="18.75" customHeight="1">
      <c r="A62" s="36"/>
      <c r="B62" s="265"/>
      <c r="C62" s="266"/>
      <c r="D62" s="266"/>
      <c r="E62" s="266"/>
      <c r="F62" s="266"/>
      <c r="G62" s="266"/>
      <c r="H62" s="266"/>
      <c r="I62" s="266"/>
      <c r="J62" s="267"/>
    </row>
    <row r="63" spans="1:10" ht="18.75" customHeight="1">
      <c r="A63" s="36"/>
      <c r="B63" s="265"/>
      <c r="C63" s="266"/>
      <c r="D63" s="266"/>
      <c r="E63" s="266"/>
      <c r="F63" s="266"/>
      <c r="G63" s="266"/>
      <c r="H63" s="266"/>
      <c r="I63" s="266"/>
      <c r="J63" s="267"/>
    </row>
    <row r="64" spans="1:10" ht="18.75" customHeight="1">
      <c r="A64" s="36"/>
      <c r="B64" s="265"/>
      <c r="C64" s="266"/>
      <c r="D64" s="266"/>
      <c r="E64" s="266"/>
      <c r="F64" s="266"/>
      <c r="G64" s="266"/>
      <c r="H64" s="266"/>
      <c r="I64" s="266"/>
      <c r="J64" s="267"/>
    </row>
    <row r="65" spans="1:11" ht="18.75" customHeight="1">
      <c r="A65" s="36"/>
      <c r="B65" s="265"/>
      <c r="C65" s="266"/>
      <c r="D65" s="266"/>
      <c r="E65" s="266"/>
      <c r="F65" s="266"/>
      <c r="G65" s="266"/>
      <c r="H65" s="266"/>
      <c r="I65" s="266"/>
      <c r="J65" s="267"/>
    </row>
    <row r="66" spans="1:11" ht="18.75" customHeight="1">
      <c r="A66" s="36"/>
      <c r="B66" s="268"/>
      <c r="C66" s="269"/>
      <c r="D66" s="269"/>
      <c r="E66" s="269"/>
      <c r="F66" s="269"/>
      <c r="G66" s="269"/>
      <c r="H66" s="269"/>
      <c r="I66" s="269"/>
      <c r="J66" s="270"/>
    </row>
    <row r="67" spans="1:11" ht="7.5" customHeight="1">
      <c r="A67" s="36"/>
      <c r="B67" s="36"/>
      <c r="C67" s="36"/>
      <c r="D67" s="36"/>
      <c r="E67" s="36"/>
      <c r="F67" s="36"/>
      <c r="G67" s="36"/>
      <c r="H67" s="36"/>
      <c r="I67" s="36"/>
      <c r="J67" s="36"/>
    </row>
    <row r="68" spans="1:11" s="4" customFormat="1" ht="18.75" customHeight="1">
      <c r="A68" s="1" t="s">
        <v>17</v>
      </c>
      <c r="B68" s="1" t="s">
        <v>196</v>
      </c>
      <c r="C68" s="1"/>
      <c r="D68" s="1"/>
      <c r="E68" s="1"/>
      <c r="F68" s="1"/>
      <c r="G68" s="1"/>
      <c r="H68" s="1"/>
      <c r="I68" s="1"/>
      <c r="J68" s="1"/>
      <c r="K68" s="31"/>
    </row>
    <row r="69" spans="1:11" s="4" customFormat="1" ht="18.75" customHeight="1">
      <c r="A69" s="1"/>
      <c r="B69" s="283" t="s">
        <v>197</v>
      </c>
      <c r="C69" s="284"/>
      <c r="D69" s="284"/>
      <c r="E69" s="284"/>
      <c r="F69" s="284"/>
      <c r="G69" s="284"/>
      <c r="H69" s="284"/>
      <c r="I69" s="274"/>
      <c r="J69" s="275"/>
      <c r="K69" s="35" t="str">
        <f>IF(B69="","入力してください","")</f>
        <v/>
      </c>
    </row>
    <row r="70" spans="1:11" s="4" customFormat="1" ht="18.75" customHeight="1">
      <c r="A70" s="1"/>
      <c r="B70" s="276"/>
      <c r="C70" s="277"/>
      <c r="D70" s="277"/>
      <c r="E70" s="277"/>
      <c r="F70" s="277"/>
      <c r="G70" s="277"/>
      <c r="H70" s="277"/>
      <c r="I70" s="277"/>
      <c r="J70" s="278"/>
      <c r="K70" s="35"/>
    </row>
    <row r="71" spans="1:11" s="4" customFormat="1" ht="18.75" customHeight="1">
      <c r="A71" s="1"/>
      <c r="B71" s="276"/>
      <c r="C71" s="277"/>
      <c r="D71" s="277"/>
      <c r="E71" s="277"/>
      <c r="F71" s="277"/>
      <c r="G71" s="277"/>
      <c r="H71" s="277"/>
      <c r="I71" s="277"/>
      <c r="J71" s="278"/>
      <c r="K71" s="35"/>
    </row>
    <row r="72" spans="1:11" s="4" customFormat="1" ht="18.75" customHeight="1">
      <c r="A72" s="1"/>
      <c r="B72" s="276"/>
      <c r="C72" s="277"/>
      <c r="D72" s="277"/>
      <c r="E72" s="277"/>
      <c r="F72" s="277"/>
      <c r="G72" s="277"/>
      <c r="H72" s="277"/>
      <c r="I72" s="277"/>
      <c r="J72" s="278"/>
      <c r="K72" s="35"/>
    </row>
    <row r="73" spans="1:11" s="4" customFormat="1" ht="18.75" customHeight="1">
      <c r="A73" s="1"/>
      <c r="B73" s="276"/>
      <c r="C73" s="277"/>
      <c r="D73" s="277"/>
      <c r="E73" s="277"/>
      <c r="F73" s="277"/>
      <c r="G73" s="277"/>
      <c r="H73" s="277"/>
      <c r="I73" s="277"/>
      <c r="J73" s="278"/>
      <c r="K73" s="35"/>
    </row>
    <row r="74" spans="1:11" s="4" customFormat="1" ht="18.75" customHeight="1">
      <c r="A74" s="1"/>
      <c r="B74" s="276"/>
      <c r="C74" s="277"/>
      <c r="D74" s="277"/>
      <c r="E74" s="277"/>
      <c r="F74" s="277"/>
      <c r="G74" s="277"/>
      <c r="H74" s="277"/>
      <c r="I74" s="277"/>
      <c r="J74" s="278"/>
      <c r="K74" s="35"/>
    </row>
    <row r="75" spans="1:11" s="4" customFormat="1" ht="18.75" customHeight="1">
      <c r="A75" s="1"/>
      <c r="B75" s="276"/>
      <c r="C75" s="277"/>
      <c r="D75" s="277"/>
      <c r="E75" s="277"/>
      <c r="F75" s="277"/>
      <c r="G75" s="277"/>
      <c r="H75" s="277"/>
      <c r="I75" s="277"/>
      <c r="J75" s="278"/>
      <c r="K75" s="35"/>
    </row>
    <row r="76" spans="1:11" s="4" customFormat="1" ht="18.75" customHeight="1">
      <c r="A76" s="1"/>
      <c r="B76" s="276"/>
      <c r="C76" s="277"/>
      <c r="D76" s="277"/>
      <c r="E76" s="277"/>
      <c r="F76" s="277"/>
      <c r="G76" s="277"/>
      <c r="H76" s="277"/>
      <c r="I76" s="277"/>
      <c r="J76" s="278"/>
      <c r="K76" s="35"/>
    </row>
    <row r="77" spans="1:11" s="4" customFormat="1" ht="18.75" customHeight="1">
      <c r="A77" s="1"/>
      <c r="B77" s="276"/>
      <c r="C77" s="277"/>
      <c r="D77" s="277"/>
      <c r="E77" s="277"/>
      <c r="F77" s="277"/>
      <c r="G77" s="277"/>
      <c r="H77" s="277"/>
      <c r="I77" s="277"/>
      <c r="J77" s="278"/>
      <c r="K77" s="35"/>
    </row>
    <row r="78" spans="1:11" s="4" customFormat="1" ht="18.75" customHeight="1">
      <c r="A78" s="1"/>
      <c r="B78" s="276"/>
      <c r="C78" s="277"/>
      <c r="D78" s="277"/>
      <c r="E78" s="277"/>
      <c r="F78" s="277"/>
      <c r="G78" s="277"/>
      <c r="H78" s="277"/>
      <c r="I78" s="277"/>
      <c r="J78" s="278"/>
      <c r="K78" s="35"/>
    </row>
    <row r="79" spans="1:11" s="4" customFormat="1" ht="18.75" customHeight="1">
      <c r="A79" s="1"/>
      <c r="B79" s="276"/>
      <c r="C79" s="277"/>
      <c r="D79" s="277"/>
      <c r="E79" s="277"/>
      <c r="F79" s="277"/>
      <c r="G79" s="277"/>
      <c r="H79" s="277"/>
      <c r="I79" s="277"/>
      <c r="J79" s="278"/>
      <c r="K79" s="35"/>
    </row>
    <row r="80" spans="1:11" s="4" customFormat="1" ht="18.75" customHeight="1">
      <c r="A80" s="1"/>
      <c r="B80" s="276"/>
      <c r="C80" s="277"/>
      <c r="D80" s="277"/>
      <c r="E80" s="277"/>
      <c r="F80" s="277"/>
      <c r="G80" s="277"/>
      <c r="H80" s="277"/>
      <c r="I80" s="277"/>
      <c r="J80" s="278"/>
      <c r="K80" s="35"/>
    </row>
    <row r="81" spans="1:11" s="4" customFormat="1" ht="18.75" customHeight="1">
      <c r="A81" s="1"/>
      <c r="B81" s="276"/>
      <c r="C81" s="277"/>
      <c r="D81" s="277"/>
      <c r="E81" s="277"/>
      <c r="F81" s="277"/>
      <c r="G81" s="277"/>
      <c r="H81" s="277"/>
      <c r="I81" s="277"/>
      <c r="J81" s="278"/>
      <c r="K81" s="35"/>
    </row>
    <row r="82" spans="1:11" s="4" customFormat="1" ht="18.75" customHeight="1">
      <c r="A82" s="1"/>
      <c r="B82" s="276"/>
      <c r="C82" s="277"/>
      <c r="D82" s="277"/>
      <c r="E82" s="277"/>
      <c r="F82" s="277"/>
      <c r="G82" s="277"/>
      <c r="H82" s="277"/>
      <c r="I82" s="277"/>
      <c r="J82" s="278"/>
      <c r="K82" s="35"/>
    </row>
    <row r="83" spans="1:11" s="4" customFormat="1" ht="18.75" customHeight="1">
      <c r="A83" s="1"/>
      <c r="B83" s="276"/>
      <c r="C83" s="277"/>
      <c r="D83" s="277"/>
      <c r="E83" s="277"/>
      <c r="F83" s="277"/>
      <c r="G83" s="277"/>
      <c r="H83" s="277"/>
      <c r="I83" s="277"/>
      <c r="J83" s="278"/>
      <c r="K83" s="35"/>
    </row>
    <row r="84" spans="1:11" s="4" customFormat="1" ht="18.75" customHeight="1">
      <c r="A84" s="1"/>
      <c r="B84" s="276"/>
      <c r="C84" s="277"/>
      <c r="D84" s="277"/>
      <c r="E84" s="277"/>
      <c r="F84" s="277"/>
      <c r="G84" s="277"/>
      <c r="H84" s="277"/>
      <c r="I84" s="277"/>
      <c r="J84" s="278"/>
      <c r="K84" s="35"/>
    </row>
    <row r="85" spans="1:11" ht="18.75" customHeight="1">
      <c r="A85" s="36"/>
      <c r="B85" s="276"/>
      <c r="C85" s="277"/>
      <c r="D85" s="277"/>
      <c r="E85" s="277"/>
      <c r="F85" s="277"/>
      <c r="G85" s="277"/>
      <c r="H85" s="277"/>
      <c r="I85" s="277"/>
      <c r="J85" s="278"/>
      <c r="K85" s="35"/>
    </row>
    <row r="86" spans="1:11" ht="18.75" customHeight="1">
      <c r="A86" s="36"/>
      <c r="B86" s="279"/>
      <c r="C86" s="280"/>
      <c r="D86" s="280"/>
      <c r="E86" s="280"/>
      <c r="F86" s="280"/>
      <c r="G86" s="280"/>
      <c r="H86" s="280"/>
      <c r="I86" s="280"/>
      <c r="J86" s="281"/>
      <c r="K86" s="35"/>
    </row>
    <row r="87" spans="1:11" ht="7.5" customHeight="1">
      <c r="A87" s="36"/>
      <c r="B87" s="36"/>
      <c r="C87" s="36"/>
      <c r="D87" s="36"/>
      <c r="E87" s="36"/>
      <c r="F87" s="36"/>
      <c r="G87" s="36"/>
      <c r="H87" s="36"/>
      <c r="I87" s="36"/>
      <c r="J87" s="36"/>
    </row>
    <row r="88" spans="1:11" s="4" customFormat="1" ht="18.75" customHeight="1">
      <c r="A88" s="1" t="s">
        <v>198</v>
      </c>
      <c r="B88" s="1" t="s">
        <v>199</v>
      </c>
      <c r="C88" s="1"/>
      <c r="D88" s="1"/>
      <c r="E88" s="1"/>
      <c r="F88" s="1"/>
      <c r="G88" s="1"/>
      <c r="H88" s="1"/>
      <c r="I88" s="1"/>
      <c r="J88" s="1"/>
      <c r="K88" s="31"/>
    </row>
    <row r="89" spans="1:11" s="4" customFormat="1" ht="18.75" customHeight="1">
      <c r="A89" s="1"/>
      <c r="B89" s="272" t="s">
        <v>200</v>
      </c>
      <c r="C89" s="273"/>
      <c r="D89" s="273"/>
      <c r="E89" s="273"/>
      <c r="F89" s="273"/>
      <c r="G89" s="273"/>
      <c r="H89" s="273"/>
      <c r="I89" s="274"/>
      <c r="J89" s="275"/>
      <c r="K89" s="31"/>
    </row>
    <row r="90" spans="1:11" s="4" customFormat="1" ht="18.75" customHeight="1">
      <c r="A90" s="1"/>
      <c r="B90" s="276"/>
      <c r="C90" s="277"/>
      <c r="D90" s="277"/>
      <c r="E90" s="277"/>
      <c r="F90" s="277"/>
      <c r="G90" s="277"/>
      <c r="H90" s="277"/>
      <c r="I90" s="277"/>
      <c r="J90" s="278"/>
      <c r="K90" s="35"/>
    </row>
    <row r="91" spans="1:11" s="4" customFormat="1" ht="18.75" customHeight="1">
      <c r="A91" s="1"/>
      <c r="B91" s="276"/>
      <c r="C91" s="277"/>
      <c r="D91" s="277"/>
      <c r="E91" s="277"/>
      <c r="F91" s="277"/>
      <c r="G91" s="277"/>
      <c r="H91" s="277"/>
      <c r="I91" s="277"/>
      <c r="J91" s="278"/>
      <c r="K91" s="35" t="str">
        <f>IF(B89="","入力してください","")</f>
        <v/>
      </c>
    </row>
    <row r="92" spans="1:11" s="4" customFormat="1" ht="18.75" customHeight="1">
      <c r="A92" s="1"/>
      <c r="B92" s="276"/>
      <c r="C92" s="277"/>
      <c r="D92" s="277"/>
      <c r="E92" s="277"/>
      <c r="F92" s="277"/>
      <c r="G92" s="277"/>
      <c r="H92" s="277"/>
      <c r="I92" s="277"/>
      <c r="J92" s="278"/>
      <c r="K92" s="35"/>
    </row>
    <row r="93" spans="1:11" s="4" customFormat="1" ht="18.75" customHeight="1">
      <c r="A93" s="1"/>
      <c r="B93" s="276"/>
      <c r="C93" s="277"/>
      <c r="D93" s="277"/>
      <c r="E93" s="277"/>
      <c r="F93" s="277"/>
      <c r="G93" s="277"/>
      <c r="H93" s="277"/>
      <c r="I93" s="277"/>
      <c r="J93" s="278"/>
      <c r="K93" s="35"/>
    </row>
    <row r="94" spans="1:11" s="4" customFormat="1" ht="18.75" customHeight="1">
      <c r="A94" s="1"/>
      <c r="B94" s="276"/>
      <c r="C94" s="277"/>
      <c r="D94" s="277"/>
      <c r="E94" s="277"/>
      <c r="F94" s="277"/>
      <c r="G94" s="277"/>
      <c r="H94" s="277"/>
      <c r="I94" s="277"/>
      <c r="J94" s="278"/>
      <c r="K94" s="35"/>
    </row>
    <row r="95" spans="1:11" s="4" customFormat="1" ht="18.75" customHeight="1">
      <c r="A95" s="1"/>
      <c r="B95" s="276"/>
      <c r="C95" s="277"/>
      <c r="D95" s="277"/>
      <c r="E95" s="277"/>
      <c r="F95" s="277"/>
      <c r="G95" s="277"/>
      <c r="H95" s="277"/>
      <c r="I95" s="277"/>
      <c r="J95" s="278"/>
      <c r="K95" s="35"/>
    </row>
    <row r="96" spans="1:11" s="4" customFormat="1" ht="18.75" customHeight="1">
      <c r="A96" s="1"/>
      <c r="B96" s="276"/>
      <c r="C96" s="277"/>
      <c r="D96" s="277"/>
      <c r="E96" s="277"/>
      <c r="F96" s="277"/>
      <c r="G96" s="277"/>
      <c r="H96" s="277"/>
      <c r="I96" s="277"/>
      <c r="J96" s="278"/>
      <c r="K96" s="35"/>
    </row>
    <row r="97" spans="1:11" s="4" customFormat="1" ht="18.75" customHeight="1">
      <c r="A97" s="1"/>
      <c r="B97" s="276"/>
      <c r="C97" s="277"/>
      <c r="D97" s="277"/>
      <c r="E97" s="277"/>
      <c r="F97" s="277"/>
      <c r="G97" s="277"/>
      <c r="H97" s="277"/>
      <c r="I97" s="277"/>
      <c r="J97" s="278"/>
      <c r="K97" s="35"/>
    </row>
    <row r="98" spans="1:11" s="4" customFormat="1" ht="18.75" customHeight="1">
      <c r="A98" s="1"/>
      <c r="B98" s="276"/>
      <c r="C98" s="277"/>
      <c r="D98" s="277"/>
      <c r="E98" s="277"/>
      <c r="F98" s="277"/>
      <c r="G98" s="277"/>
      <c r="H98" s="277"/>
      <c r="I98" s="277"/>
      <c r="J98" s="278"/>
      <c r="K98" s="35"/>
    </row>
    <row r="99" spans="1:11" s="4" customFormat="1" ht="18.75" customHeight="1">
      <c r="A99" s="1"/>
      <c r="B99" s="276"/>
      <c r="C99" s="277"/>
      <c r="D99" s="277"/>
      <c r="E99" s="277"/>
      <c r="F99" s="277"/>
      <c r="G99" s="277"/>
      <c r="H99" s="277"/>
      <c r="I99" s="277"/>
      <c r="J99" s="278"/>
      <c r="K99" s="35"/>
    </row>
    <row r="100" spans="1:11" s="4" customFormat="1" ht="18.75" customHeight="1">
      <c r="A100" s="1"/>
      <c r="B100" s="276"/>
      <c r="C100" s="277"/>
      <c r="D100" s="277"/>
      <c r="E100" s="277"/>
      <c r="F100" s="277"/>
      <c r="G100" s="277"/>
      <c r="H100" s="277"/>
      <c r="I100" s="277"/>
      <c r="J100" s="278"/>
      <c r="K100" s="35"/>
    </row>
    <row r="101" spans="1:11" s="4" customFormat="1" ht="18.75" customHeight="1">
      <c r="A101" s="1"/>
      <c r="B101" s="276"/>
      <c r="C101" s="277"/>
      <c r="D101" s="277"/>
      <c r="E101" s="277"/>
      <c r="F101" s="277"/>
      <c r="G101" s="277"/>
      <c r="H101" s="277"/>
      <c r="I101" s="277"/>
      <c r="J101" s="278"/>
      <c r="K101" s="35"/>
    </row>
    <row r="102" spans="1:11" s="4" customFormat="1" ht="18.75" customHeight="1">
      <c r="A102" s="1"/>
      <c r="B102" s="276"/>
      <c r="C102" s="277"/>
      <c r="D102" s="277"/>
      <c r="E102" s="277"/>
      <c r="F102" s="277"/>
      <c r="G102" s="277"/>
      <c r="H102" s="277"/>
      <c r="I102" s="277"/>
      <c r="J102" s="278"/>
      <c r="K102" s="35"/>
    </row>
    <row r="103" spans="1:11" s="4" customFormat="1" ht="18.75" customHeight="1">
      <c r="A103" s="1"/>
      <c r="B103" s="276"/>
      <c r="C103" s="277"/>
      <c r="D103" s="277"/>
      <c r="E103" s="277"/>
      <c r="F103" s="277"/>
      <c r="G103" s="277"/>
      <c r="H103" s="277"/>
      <c r="I103" s="277"/>
      <c r="J103" s="278"/>
      <c r="K103" s="35"/>
    </row>
    <row r="104" spans="1:11" s="4" customFormat="1" ht="18.75" customHeight="1">
      <c r="A104" s="1"/>
      <c r="B104" s="276"/>
      <c r="C104" s="277"/>
      <c r="D104" s="277"/>
      <c r="E104" s="277"/>
      <c r="F104" s="277"/>
      <c r="G104" s="277"/>
      <c r="H104" s="277"/>
      <c r="I104" s="277"/>
      <c r="J104" s="278"/>
      <c r="K104" s="35"/>
    </row>
    <row r="105" spans="1:11" s="4" customFormat="1" ht="18.75" customHeight="1">
      <c r="A105" s="1"/>
      <c r="B105" s="276"/>
      <c r="C105" s="277"/>
      <c r="D105" s="277"/>
      <c r="E105" s="277"/>
      <c r="F105" s="277"/>
      <c r="G105" s="277"/>
      <c r="H105" s="277"/>
      <c r="I105" s="277"/>
      <c r="J105" s="278"/>
      <c r="K105" s="35"/>
    </row>
    <row r="106" spans="1:11" s="4" customFormat="1" ht="18.75" customHeight="1">
      <c r="A106" s="1"/>
      <c r="B106" s="276"/>
      <c r="C106" s="277"/>
      <c r="D106" s="277"/>
      <c r="E106" s="277"/>
      <c r="F106" s="277"/>
      <c r="G106" s="277"/>
      <c r="H106" s="277"/>
      <c r="I106" s="277"/>
      <c r="J106" s="278"/>
      <c r="K106" s="35"/>
    </row>
    <row r="107" spans="1:11" ht="18.75" customHeight="1">
      <c r="A107" s="36"/>
      <c r="B107" s="276"/>
      <c r="C107" s="277"/>
      <c r="D107" s="277"/>
      <c r="E107" s="277"/>
      <c r="F107" s="277"/>
      <c r="G107" s="277"/>
      <c r="H107" s="277"/>
      <c r="I107" s="277"/>
      <c r="J107" s="278"/>
      <c r="K107" s="35"/>
    </row>
    <row r="108" spans="1:11" ht="18.75" customHeight="1">
      <c r="A108" s="36"/>
      <c r="B108" s="279"/>
      <c r="C108" s="280"/>
      <c r="D108" s="280"/>
      <c r="E108" s="280"/>
      <c r="F108" s="280"/>
      <c r="G108" s="280"/>
      <c r="H108" s="280"/>
      <c r="I108" s="280"/>
      <c r="J108" s="281"/>
      <c r="K108" s="35"/>
    </row>
    <row r="109" spans="1:11" ht="7.5" customHeight="1">
      <c r="A109" s="36"/>
      <c r="B109" s="36"/>
      <c r="C109" s="36"/>
      <c r="D109" s="36"/>
      <c r="E109" s="36"/>
      <c r="F109" s="36"/>
      <c r="G109" s="36"/>
      <c r="H109" s="36"/>
      <c r="I109" s="36"/>
      <c r="J109" s="36"/>
    </row>
    <row r="110" spans="1:11" s="4" customFormat="1" ht="18.75" customHeight="1">
      <c r="A110" s="1" t="s">
        <v>23</v>
      </c>
      <c r="B110" s="285" t="s">
        <v>201</v>
      </c>
      <c r="C110" s="285"/>
      <c r="D110" s="285"/>
      <c r="E110" s="285"/>
      <c r="F110" s="285"/>
      <c r="G110" s="285"/>
      <c r="H110" s="285"/>
      <c r="I110" s="285"/>
      <c r="J110" s="285"/>
      <c r="K110" s="31"/>
    </row>
    <row r="111" spans="1:11" ht="18.75" customHeight="1">
      <c r="A111" s="36"/>
      <c r="B111" s="272" t="s">
        <v>202</v>
      </c>
      <c r="C111" s="273"/>
      <c r="D111" s="273"/>
      <c r="E111" s="273"/>
      <c r="F111" s="273"/>
      <c r="G111" s="273"/>
      <c r="H111" s="273"/>
      <c r="I111" s="274"/>
      <c r="J111" s="275"/>
    </row>
    <row r="112" spans="1:11" ht="18.75" customHeight="1">
      <c r="A112" s="36"/>
      <c r="B112" s="276"/>
      <c r="C112" s="277"/>
      <c r="D112" s="277"/>
      <c r="E112" s="277"/>
      <c r="F112" s="277"/>
      <c r="G112" s="277"/>
      <c r="H112" s="277"/>
      <c r="I112" s="277"/>
      <c r="J112" s="278"/>
      <c r="K112" s="35"/>
    </row>
    <row r="113" spans="1:11" ht="18.75" customHeight="1">
      <c r="A113" s="36"/>
      <c r="B113" s="276"/>
      <c r="C113" s="277"/>
      <c r="D113" s="277"/>
      <c r="E113" s="277"/>
      <c r="F113" s="277"/>
      <c r="G113" s="277"/>
      <c r="H113" s="277"/>
      <c r="I113" s="277"/>
      <c r="J113" s="278"/>
      <c r="K113" s="31" t="str">
        <f>IF(B111="","入力してください","")</f>
        <v/>
      </c>
    </row>
    <row r="114" spans="1:11" ht="18.75" customHeight="1">
      <c r="A114" s="36"/>
      <c r="B114" s="276"/>
      <c r="C114" s="277"/>
      <c r="D114" s="277"/>
      <c r="E114" s="277"/>
      <c r="F114" s="277"/>
      <c r="G114" s="277"/>
      <c r="H114" s="277"/>
      <c r="I114" s="277"/>
      <c r="J114" s="278"/>
    </row>
    <row r="115" spans="1:11" ht="18.75" customHeight="1">
      <c r="A115" s="36"/>
      <c r="B115" s="276"/>
      <c r="C115" s="277"/>
      <c r="D115" s="277"/>
      <c r="E115" s="277"/>
      <c r="F115" s="277"/>
      <c r="G115" s="277"/>
      <c r="H115" s="277"/>
      <c r="I115" s="277"/>
      <c r="J115" s="278"/>
    </row>
    <row r="116" spans="1:11" ht="18.75" customHeight="1">
      <c r="A116" s="36"/>
      <c r="B116" s="276"/>
      <c r="C116" s="277"/>
      <c r="D116" s="277"/>
      <c r="E116" s="277"/>
      <c r="F116" s="277"/>
      <c r="G116" s="277"/>
      <c r="H116" s="277"/>
      <c r="I116" s="277"/>
      <c r="J116" s="278"/>
    </row>
    <row r="117" spans="1:11" ht="18.75" customHeight="1">
      <c r="A117" s="36"/>
      <c r="B117" s="276"/>
      <c r="C117" s="277"/>
      <c r="D117" s="277"/>
      <c r="E117" s="277"/>
      <c r="F117" s="277"/>
      <c r="G117" s="277"/>
      <c r="H117" s="277"/>
      <c r="I117" s="277"/>
      <c r="J117" s="278"/>
    </row>
    <row r="118" spans="1:11" ht="18.75" customHeight="1">
      <c r="A118" s="36"/>
      <c r="B118" s="276"/>
      <c r="C118" s="277"/>
      <c r="D118" s="277"/>
      <c r="E118" s="277"/>
      <c r="F118" s="277"/>
      <c r="G118" s="277"/>
      <c r="H118" s="277"/>
      <c r="I118" s="277"/>
      <c r="J118" s="278"/>
    </row>
    <row r="119" spans="1:11" ht="18.75" customHeight="1">
      <c r="A119" s="36"/>
      <c r="B119" s="276"/>
      <c r="C119" s="277"/>
      <c r="D119" s="277"/>
      <c r="E119" s="277"/>
      <c r="F119" s="277"/>
      <c r="G119" s="277"/>
      <c r="H119" s="277"/>
      <c r="I119" s="277"/>
      <c r="J119" s="278"/>
    </row>
    <row r="120" spans="1:11" ht="18.75" customHeight="1">
      <c r="A120" s="36"/>
      <c r="B120" s="276"/>
      <c r="C120" s="277"/>
      <c r="D120" s="277"/>
      <c r="E120" s="277"/>
      <c r="F120" s="277"/>
      <c r="G120" s="277"/>
      <c r="H120" s="277"/>
      <c r="I120" s="277"/>
      <c r="J120" s="278"/>
    </row>
    <row r="121" spans="1:11" ht="18.75" customHeight="1">
      <c r="A121" s="36"/>
      <c r="B121" s="276"/>
      <c r="C121" s="277"/>
      <c r="D121" s="277"/>
      <c r="E121" s="277"/>
      <c r="F121" s="277"/>
      <c r="G121" s="277"/>
      <c r="H121" s="277"/>
      <c r="I121" s="277"/>
      <c r="J121" s="278"/>
    </row>
    <row r="122" spans="1:11" ht="18.75" customHeight="1">
      <c r="A122" s="36"/>
      <c r="B122" s="276"/>
      <c r="C122" s="277"/>
      <c r="D122" s="277"/>
      <c r="E122" s="277"/>
      <c r="F122" s="277"/>
      <c r="G122" s="277"/>
      <c r="H122" s="277"/>
      <c r="I122" s="277"/>
      <c r="J122" s="278"/>
    </row>
    <row r="123" spans="1:11" ht="18.75" customHeight="1">
      <c r="A123" s="36"/>
      <c r="B123" s="276"/>
      <c r="C123" s="277"/>
      <c r="D123" s="277"/>
      <c r="E123" s="277"/>
      <c r="F123" s="277"/>
      <c r="G123" s="277"/>
      <c r="H123" s="277"/>
      <c r="I123" s="277"/>
      <c r="J123" s="278"/>
    </row>
    <row r="124" spans="1:11" ht="18.75" customHeight="1">
      <c r="A124" s="36"/>
      <c r="B124" s="276"/>
      <c r="C124" s="277"/>
      <c r="D124" s="277"/>
      <c r="E124" s="277"/>
      <c r="F124" s="277"/>
      <c r="G124" s="277"/>
      <c r="H124" s="277"/>
      <c r="I124" s="277"/>
      <c r="J124" s="278"/>
    </row>
    <row r="125" spans="1:11" ht="18.75" customHeight="1">
      <c r="A125" s="36"/>
      <c r="B125" s="276"/>
      <c r="C125" s="277"/>
      <c r="D125" s="277"/>
      <c r="E125" s="277"/>
      <c r="F125" s="277"/>
      <c r="G125" s="277"/>
      <c r="H125" s="277"/>
      <c r="I125" s="277"/>
      <c r="J125" s="278"/>
    </row>
    <row r="126" spans="1:11" ht="18.75" customHeight="1">
      <c r="A126" s="36"/>
      <c r="B126" s="276"/>
      <c r="C126" s="277"/>
      <c r="D126" s="277"/>
      <c r="E126" s="277"/>
      <c r="F126" s="277"/>
      <c r="G126" s="277"/>
      <c r="H126" s="277"/>
      <c r="I126" s="277"/>
      <c r="J126" s="278"/>
    </row>
    <row r="127" spans="1:11" ht="18.75" customHeight="1">
      <c r="A127" s="36"/>
      <c r="B127" s="276"/>
      <c r="C127" s="277"/>
      <c r="D127" s="277"/>
      <c r="E127" s="277"/>
      <c r="F127" s="277"/>
      <c r="G127" s="277"/>
      <c r="H127" s="277"/>
      <c r="I127" s="277"/>
      <c r="J127" s="278"/>
    </row>
    <row r="128" spans="1:11" ht="18.600000000000001" customHeight="1">
      <c r="A128" s="36"/>
      <c r="B128" s="276"/>
      <c r="C128" s="277"/>
      <c r="D128" s="277"/>
      <c r="E128" s="277"/>
      <c r="F128" s="277"/>
      <c r="G128" s="277"/>
      <c r="H128" s="277"/>
      <c r="I128" s="277"/>
      <c r="J128" s="278"/>
    </row>
    <row r="129" spans="1:10" ht="12.6" customHeight="1">
      <c r="A129" s="36"/>
      <c r="B129" s="279"/>
      <c r="C129" s="280"/>
      <c r="D129" s="280"/>
      <c r="E129" s="280"/>
      <c r="F129" s="280"/>
      <c r="G129" s="280"/>
      <c r="H129" s="280"/>
      <c r="I129" s="280"/>
      <c r="J129" s="281"/>
    </row>
    <row r="130" spans="1:10" ht="7.5" customHeight="1">
      <c r="A130" s="36"/>
      <c r="B130" s="98"/>
      <c r="C130" s="98"/>
      <c r="D130" s="98"/>
      <c r="E130" s="98"/>
      <c r="F130" s="98"/>
      <c r="G130" s="98"/>
      <c r="H130" s="98"/>
      <c r="I130" s="98"/>
      <c r="J130" s="98"/>
    </row>
    <row r="131" spans="1:10" ht="18.75" customHeight="1">
      <c r="A131" s="36"/>
      <c r="B131" s="36"/>
      <c r="C131" s="36"/>
      <c r="D131" s="36"/>
      <c r="E131" s="36"/>
      <c r="F131" s="36"/>
      <c r="G131" s="36"/>
      <c r="H131" s="36"/>
      <c r="I131" s="36"/>
      <c r="J131" s="36"/>
    </row>
    <row r="132" spans="1:10" ht="18.75" customHeight="1">
      <c r="A132" s="36"/>
      <c r="B132" s="36"/>
      <c r="C132" s="36"/>
      <c r="D132" s="36"/>
      <c r="E132" s="36"/>
      <c r="F132" s="36"/>
      <c r="G132" s="36"/>
      <c r="H132" s="36"/>
      <c r="I132" s="36"/>
      <c r="J132" s="36"/>
    </row>
    <row r="133" spans="1:10" ht="18.75" customHeight="1">
      <c r="A133" s="36"/>
      <c r="B133" s="36"/>
      <c r="C133" s="36"/>
      <c r="D133" s="36"/>
      <c r="E133" s="36"/>
      <c r="F133" s="36"/>
      <c r="G133" s="36"/>
      <c r="H133" s="36"/>
      <c r="I133" s="36"/>
      <c r="J133" s="36"/>
    </row>
    <row r="134" spans="1:10" ht="18.75" customHeight="1">
      <c r="A134" s="36"/>
      <c r="B134" s="36"/>
      <c r="C134" s="36"/>
      <c r="D134" s="36"/>
      <c r="E134" s="36"/>
      <c r="F134" s="36"/>
      <c r="G134" s="36"/>
      <c r="H134" s="36"/>
      <c r="I134" s="36"/>
      <c r="J134" s="36"/>
    </row>
    <row r="135" spans="1:10" ht="18.75" customHeight="1">
      <c r="A135" s="36"/>
      <c r="B135" s="36"/>
      <c r="C135" s="36"/>
      <c r="D135" s="36"/>
      <c r="E135" s="36"/>
      <c r="F135" s="36"/>
      <c r="G135" s="36"/>
      <c r="H135" s="36"/>
      <c r="I135" s="36"/>
      <c r="J135" s="36"/>
    </row>
    <row r="136" spans="1:10" ht="18.75" customHeight="1">
      <c r="A136" s="36"/>
      <c r="B136" s="36"/>
      <c r="C136" s="36"/>
      <c r="D136" s="36"/>
      <c r="E136" s="36"/>
      <c r="F136" s="36"/>
      <c r="G136" s="36"/>
      <c r="H136" s="36"/>
      <c r="I136" s="36"/>
      <c r="J136" s="36"/>
    </row>
    <row r="137" spans="1:10" ht="18.75" customHeight="1">
      <c r="A137" s="36"/>
      <c r="B137" s="36"/>
      <c r="C137" s="36"/>
      <c r="D137" s="36"/>
      <c r="E137" s="36"/>
      <c r="F137" s="36"/>
      <c r="G137" s="36"/>
      <c r="H137" s="36"/>
      <c r="I137" s="36"/>
      <c r="J137" s="36"/>
    </row>
    <row r="138" spans="1:10" ht="18.75" customHeight="1">
      <c r="A138" s="36"/>
      <c r="B138" s="36"/>
      <c r="C138" s="36"/>
      <c r="D138" s="36"/>
      <c r="E138" s="36"/>
      <c r="F138" s="36"/>
      <c r="G138" s="36"/>
      <c r="H138" s="36"/>
      <c r="I138" s="36"/>
      <c r="J138" s="36"/>
    </row>
    <row r="139" spans="1:10" ht="18.75" customHeight="1">
      <c r="A139" s="36"/>
      <c r="B139" s="36"/>
      <c r="C139" s="36"/>
      <c r="D139" s="36"/>
      <c r="E139" s="36"/>
      <c r="F139" s="36"/>
      <c r="G139" s="36"/>
      <c r="H139" s="36"/>
      <c r="I139" s="36"/>
      <c r="J139" s="36"/>
    </row>
    <row r="140" spans="1:10" ht="18.75" customHeight="1">
      <c r="A140" s="36"/>
      <c r="B140" s="36"/>
      <c r="C140" s="36"/>
      <c r="D140" s="36"/>
      <c r="E140" s="36"/>
      <c r="F140" s="36"/>
      <c r="G140" s="36"/>
      <c r="H140" s="36"/>
      <c r="I140" s="36"/>
      <c r="J140" s="36"/>
    </row>
    <row r="141" spans="1:10" ht="18.75" customHeight="1">
      <c r="A141" s="36"/>
      <c r="B141" s="36"/>
      <c r="C141" s="36"/>
      <c r="D141" s="36"/>
      <c r="E141" s="36"/>
      <c r="F141" s="36"/>
      <c r="G141" s="36"/>
      <c r="H141" s="36"/>
      <c r="I141" s="36"/>
      <c r="J141" s="36"/>
    </row>
    <row r="142" spans="1:10" ht="14.25">
      <c r="A142" s="36"/>
      <c r="B142" s="36"/>
      <c r="C142" s="36"/>
      <c r="D142" s="36"/>
      <c r="E142" s="36"/>
      <c r="F142" s="36"/>
      <c r="G142" s="36"/>
      <c r="H142" s="36"/>
      <c r="I142" s="36"/>
      <c r="J142" s="36"/>
    </row>
    <row r="143" spans="1:10" ht="7.5" customHeight="1">
      <c r="A143" s="99"/>
      <c r="B143" s="99"/>
      <c r="C143" s="99"/>
      <c r="D143" s="99"/>
      <c r="E143" s="99"/>
      <c r="F143" s="99"/>
      <c r="G143" s="99"/>
      <c r="H143" s="99"/>
      <c r="I143" s="99"/>
      <c r="J143" s="99"/>
    </row>
  </sheetData>
  <mergeCells count="11">
    <mergeCell ref="B46:J66"/>
    <mergeCell ref="B69:J86"/>
    <mergeCell ref="B89:J108"/>
    <mergeCell ref="B110:J110"/>
    <mergeCell ref="B111:J129"/>
    <mergeCell ref="B31:J44"/>
    <mergeCell ref="A2:J2"/>
    <mergeCell ref="B5:J5"/>
    <mergeCell ref="B8:J12"/>
    <mergeCell ref="B15:J25"/>
    <mergeCell ref="B30:J30"/>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4" max="9" man="1"/>
    <brk id="87" max="9"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26"/>
  <sheetViews>
    <sheetView showZeros="0" view="pageBreakPreview" topLeftCell="A17" zoomScaleNormal="100" zoomScaleSheetLayoutView="100" workbookViewId="0">
      <selection activeCell="E7" sqref="E7:J7"/>
    </sheetView>
  </sheetViews>
  <sheetFormatPr defaultColWidth="11.375" defaultRowHeight="22.5" customHeight="1"/>
  <cols>
    <col min="1" max="3" width="2.75" style="1" customWidth="1"/>
    <col min="4" max="4" width="22.25" style="1" customWidth="1"/>
    <col min="5" max="5" width="21.625" style="1" customWidth="1"/>
    <col min="6" max="7" width="7.75" style="1" customWidth="1"/>
    <col min="8" max="8" width="33.375" style="1" customWidth="1"/>
    <col min="9" max="9" width="24.5" style="1" customWidth="1"/>
    <col min="10" max="10" width="5.5" style="1" customWidth="1"/>
    <col min="11" max="11" width="4.125" style="31" customWidth="1"/>
    <col min="12" max="16384" width="11.375" style="1"/>
  </cols>
  <sheetData>
    <row r="1" spans="1:11" ht="18.75" customHeight="1">
      <c r="A1" s="1" t="s">
        <v>203</v>
      </c>
      <c r="J1" s="123" t="s">
        <v>204</v>
      </c>
    </row>
    <row r="2" spans="1:11" ht="18.75" customHeight="1">
      <c r="A2" s="246" t="s">
        <v>205</v>
      </c>
      <c r="B2" s="246"/>
      <c r="C2" s="246"/>
      <c r="D2" s="246"/>
      <c r="E2" s="246"/>
      <c r="F2" s="246"/>
      <c r="G2" s="246"/>
      <c r="H2" s="246"/>
      <c r="I2" s="246"/>
      <c r="J2" s="246"/>
    </row>
    <row r="3" spans="1:11" ht="7.5" customHeight="1">
      <c r="A3" s="124"/>
      <c r="B3" s="124"/>
      <c r="C3" s="124"/>
      <c r="D3" s="124"/>
      <c r="E3" s="124"/>
      <c r="F3" s="124"/>
      <c r="G3" s="124"/>
      <c r="H3" s="124"/>
      <c r="I3" s="124"/>
      <c r="J3" s="124"/>
    </row>
    <row r="4" spans="1:11" ht="18.75" customHeight="1">
      <c r="A4" s="1" t="s">
        <v>2</v>
      </c>
      <c r="B4" s="4" t="s">
        <v>206</v>
      </c>
      <c r="C4" s="36"/>
      <c r="D4" s="36"/>
      <c r="E4" s="37"/>
      <c r="F4" s="37"/>
      <c r="G4" s="37"/>
      <c r="H4" s="37"/>
      <c r="I4" s="37"/>
      <c r="J4" s="37"/>
    </row>
    <row r="5" spans="1:11" ht="18.75" customHeight="1">
      <c r="B5" s="291" t="s">
        <v>207</v>
      </c>
      <c r="C5" s="292"/>
      <c r="D5" s="293"/>
      <c r="E5" s="294" t="s">
        <v>208</v>
      </c>
      <c r="F5" s="294"/>
      <c r="G5" s="294"/>
      <c r="H5" s="294"/>
      <c r="I5" s="294"/>
      <c r="J5" s="295"/>
    </row>
    <row r="6" spans="1:11" ht="18.75" customHeight="1">
      <c r="B6" s="3" t="s">
        <v>209</v>
      </c>
      <c r="C6" s="36"/>
      <c r="D6" s="7"/>
      <c r="I6" s="37"/>
      <c r="J6" s="5"/>
    </row>
    <row r="7" spans="1:11" ht="207" customHeight="1">
      <c r="B7" s="6"/>
      <c r="C7" s="296" t="s">
        <v>210</v>
      </c>
      <c r="D7" s="297"/>
      <c r="E7" s="288" t="s">
        <v>211</v>
      </c>
      <c r="F7" s="289"/>
      <c r="G7" s="289"/>
      <c r="H7" s="289"/>
      <c r="I7" s="289"/>
      <c r="J7" s="290"/>
      <c r="K7" s="31" t="str">
        <f>IF(E7="","入力してください","")</f>
        <v/>
      </c>
    </row>
    <row r="8" spans="1:11" ht="207" customHeight="1">
      <c r="B8" s="6"/>
      <c r="C8" s="286" t="s">
        <v>212</v>
      </c>
      <c r="D8" s="287"/>
      <c r="E8" s="288" t="s">
        <v>213</v>
      </c>
      <c r="F8" s="289"/>
      <c r="G8" s="289"/>
      <c r="H8" s="289"/>
      <c r="I8" s="289"/>
      <c r="J8" s="290"/>
      <c r="K8" s="31" t="str">
        <f>IF(E8="","入力してください","")</f>
        <v/>
      </c>
    </row>
    <row r="9" spans="1:11" ht="172.5" customHeight="1">
      <c r="B9" s="6"/>
      <c r="C9" s="296" t="s">
        <v>214</v>
      </c>
      <c r="D9" s="297"/>
      <c r="E9" s="288" t="s">
        <v>215</v>
      </c>
      <c r="F9" s="289"/>
      <c r="G9" s="289"/>
      <c r="H9" s="289"/>
      <c r="I9" s="289"/>
      <c r="J9" s="290"/>
      <c r="K9" s="31" t="str">
        <f>IF(E9="","入力してください","")</f>
        <v/>
      </c>
    </row>
    <row r="10" spans="1:11" ht="172.5" customHeight="1">
      <c r="B10" s="6"/>
      <c r="C10" s="296" t="s">
        <v>216</v>
      </c>
      <c r="D10" s="297"/>
      <c r="E10" s="288" t="s">
        <v>217</v>
      </c>
      <c r="F10" s="289"/>
      <c r="G10" s="289"/>
      <c r="H10" s="289"/>
      <c r="I10" s="289"/>
      <c r="J10" s="290"/>
      <c r="K10" s="31" t="str">
        <f>IF(E10="","入力してください","")</f>
        <v/>
      </c>
    </row>
    <row r="11" spans="1:11" ht="172.5" customHeight="1">
      <c r="B11" s="6"/>
      <c r="C11" s="296" t="s">
        <v>218</v>
      </c>
      <c r="D11" s="297"/>
      <c r="E11" s="288" t="s">
        <v>219</v>
      </c>
      <c r="F11" s="289"/>
      <c r="G11" s="289"/>
      <c r="H11" s="289"/>
      <c r="I11" s="289"/>
      <c r="J11" s="290"/>
      <c r="K11" s="31" t="str">
        <f>IF(E11="","入力してください","")</f>
        <v/>
      </c>
    </row>
    <row r="12" spans="1:11" ht="18.75" customHeight="1">
      <c r="B12" s="9" t="s">
        <v>220</v>
      </c>
      <c r="C12" s="28"/>
      <c r="D12" s="8"/>
      <c r="E12" s="32"/>
      <c r="F12" s="32"/>
      <c r="G12" s="32"/>
      <c r="H12" s="32"/>
      <c r="I12" s="32"/>
      <c r="J12" s="33"/>
    </row>
    <row r="13" spans="1:11" ht="244.15" customHeight="1">
      <c r="B13" s="6"/>
      <c r="C13" s="296" t="s">
        <v>221</v>
      </c>
      <c r="D13" s="297"/>
      <c r="E13" s="289" t="s">
        <v>222</v>
      </c>
      <c r="F13" s="289"/>
      <c r="G13" s="289"/>
      <c r="H13" s="289"/>
      <c r="I13" s="289"/>
      <c r="J13" s="290"/>
      <c r="K13" s="31" t="str">
        <f>IF(E13="","入力してください","")</f>
        <v/>
      </c>
    </row>
    <row r="14" spans="1:11" ht="255" customHeight="1">
      <c r="B14" s="6"/>
      <c r="C14" s="296" t="s">
        <v>223</v>
      </c>
      <c r="D14" s="297"/>
      <c r="E14" s="289" t="s">
        <v>224</v>
      </c>
      <c r="F14" s="289"/>
      <c r="G14" s="289"/>
      <c r="H14" s="289"/>
      <c r="I14" s="289"/>
      <c r="J14" s="290"/>
      <c r="K14" s="31" t="str">
        <f>IF(E14="","入力してください","")</f>
        <v/>
      </c>
    </row>
    <row r="15" spans="1:11" ht="243" customHeight="1">
      <c r="B15" s="304" t="s">
        <v>225</v>
      </c>
      <c r="C15" s="305"/>
      <c r="D15" s="297"/>
      <c r="E15" s="289" t="s">
        <v>226</v>
      </c>
      <c r="F15" s="289"/>
      <c r="G15" s="289"/>
      <c r="H15" s="289"/>
      <c r="I15" s="289"/>
      <c r="J15" s="290"/>
      <c r="K15" s="31" t="str">
        <f>IF(E15="","入力してください","")</f>
        <v/>
      </c>
    </row>
    <row r="16" spans="1:11" ht="243" customHeight="1">
      <c r="A16" s="31"/>
      <c r="B16" s="298" t="s">
        <v>227</v>
      </c>
      <c r="C16" s="299"/>
      <c r="D16" s="300"/>
      <c r="E16" s="269" t="s">
        <v>228</v>
      </c>
      <c r="F16" s="269"/>
      <c r="G16" s="269"/>
      <c r="H16" s="269"/>
      <c r="I16" s="269"/>
      <c r="J16" s="270"/>
      <c r="K16" s="31" t="str">
        <f>IF(E16="","入力してください","")</f>
        <v/>
      </c>
    </row>
    <row r="17" spans="1:11" ht="7.5" customHeight="1">
      <c r="B17" s="36"/>
      <c r="C17" s="36"/>
      <c r="D17" s="36"/>
      <c r="E17" s="37"/>
      <c r="F17" s="37"/>
      <c r="G17" s="37"/>
      <c r="H17" s="37"/>
      <c r="I17" s="37"/>
      <c r="J17" s="37"/>
    </row>
    <row r="18" spans="1:11" ht="18.75" customHeight="1">
      <c r="A18" s="1" t="s">
        <v>229</v>
      </c>
      <c r="B18" s="4"/>
      <c r="C18" s="36"/>
      <c r="D18" s="36"/>
      <c r="E18" s="37"/>
      <c r="F18" s="88"/>
      <c r="G18" s="301" t="s">
        <v>230</v>
      </c>
      <c r="H18" s="302"/>
      <c r="I18" s="302"/>
      <c r="J18" s="303"/>
      <c r="K18" s="31" t="str">
        <f>IF(G18="","入力してください","")</f>
        <v/>
      </c>
    </row>
    <row r="19" spans="1:11" ht="22.5" customHeight="1">
      <c r="B19" s="36"/>
      <c r="C19" s="36"/>
      <c r="D19" s="36"/>
      <c r="E19" s="37"/>
      <c r="F19" s="37"/>
      <c r="G19" s="37"/>
      <c r="H19" s="37"/>
      <c r="I19" s="37"/>
      <c r="J19" s="37"/>
    </row>
    <row r="20" spans="1:11" ht="22.5" customHeight="1">
      <c r="B20" s="36"/>
      <c r="C20" s="36"/>
      <c r="D20" s="36"/>
      <c r="E20" s="37"/>
      <c r="F20" s="37"/>
      <c r="G20" s="37"/>
      <c r="H20" s="37"/>
      <c r="I20" s="37"/>
      <c r="J20" s="37"/>
    </row>
    <row r="21" spans="1:11" ht="22.5" customHeight="1">
      <c r="B21" s="36"/>
      <c r="C21" s="36"/>
      <c r="D21" s="36"/>
      <c r="E21" s="37"/>
      <c r="F21" s="37"/>
      <c r="G21" s="37"/>
      <c r="H21" s="37"/>
      <c r="I21" s="37"/>
      <c r="J21" s="37"/>
    </row>
    <row r="22" spans="1:11" ht="22.5" customHeight="1">
      <c r="B22" s="36"/>
      <c r="C22" s="36"/>
      <c r="D22" s="36"/>
      <c r="E22" s="37"/>
      <c r="F22" s="37"/>
      <c r="G22" s="37"/>
      <c r="H22" s="37"/>
      <c r="I22" s="37"/>
      <c r="J22" s="37"/>
    </row>
    <row r="23" spans="1:11" ht="22.5" customHeight="1">
      <c r="B23" s="36"/>
      <c r="C23" s="36"/>
      <c r="D23" s="36"/>
      <c r="E23" s="37"/>
      <c r="F23" s="37"/>
      <c r="G23" s="37"/>
      <c r="H23" s="37"/>
      <c r="I23" s="37"/>
      <c r="J23" s="37"/>
    </row>
    <row r="24" spans="1:11" ht="22.5" customHeight="1">
      <c r="B24" s="100"/>
      <c r="C24" s="100"/>
      <c r="D24" s="100"/>
      <c r="E24" s="100"/>
      <c r="F24" s="100"/>
      <c r="G24" s="100"/>
      <c r="H24" s="100"/>
      <c r="I24" s="100"/>
      <c r="J24" s="100"/>
    </row>
    <row r="25" spans="1:11" ht="22.5" customHeight="1">
      <c r="B25" s="100"/>
      <c r="C25" s="100"/>
      <c r="D25" s="100"/>
      <c r="E25" s="100"/>
      <c r="F25" s="100"/>
      <c r="G25" s="100"/>
      <c r="H25" s="100"/>
      <c r="I25" s="100"/>
      <c r="J25" s="100"/>
    </row>
    <row r="26" spans="1:11" ht="22.5" customHeight="1">
      <c r="B26" s="100"/>
      <c r="C26" s="100"/>
      <c r="D26" s="100"/>
      <c r="E26" s="100"/>
      <c r="F26" s="100"/>
      <c r="G26" s="100"/>
      <c r="H26" s="100"/>
      <c r="I26" s="100"/>
      <c r="J26" s="100"/>
    </row>
  </sheetData>
  <mergeCells count="22">
    <mergeCell ref="B16:D16"/>
    <mergeCell ref="E16:J16"/>
    <mergeCell ref="G18:J18"/>
    <mergeCell ref="C13:D13"/>
    <mergeCell ref="E13:J13"/>
    <mergeCell ref="C14:D14"/>
    <mergeCell ref="E14:J14"/>
    <mergeCell ref="B15:D15"/>
    <mergeCell ref="E15:J15"/>
    <mergeCell ref="C9:D9"/>
    <mergeCell ref="E9:J9"/>
    <mergeCell ref="C10:D10"/>
    <mergeCell ref="E10:J10"/>
    <mergeCell ref="C11:D11"/>
    <mergeCell ref="E11:J11"/>
    <mergeCell ref="C8:D8"/>
    <mergeCell ref="E8:J8"/>
    <mergeCell ref="A2:J2"/>
    <mergeCell ref="B5:D5"/>
    <mergeCell ref="E5:J5"/>
    <mergeCell ref="C7:D7"/>
    <mergeCell ref="E7:J7"/>
  </mergeCells>
  <phoneticPr fontId="1"/>
  <hyperlinks>
    <hyperlink ref="G18" r:id="rId1" xr:uid="{00000000-0004-0000-0500-000000000000}"/>
  </hyperlinks>
  <printOptions horizontalCentered="1"/>
  <pageMargins left="0.78740157480314965" right="0.78740157480314965" top="0.78740157480314965" bottom="0.78740157480314965" header="0.31496062992125984" footer="0.31496062992125984"/>
  <pageSetup paperSize="9" orientation="landscape"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文部科学省</dc:creator>
  <cp:keywords/>
  <dc:description/>
  <cp:lastModifiedBy>木谷慎一</cp:lastModifiedBy>
  <cp:revision/>
  <dcterms:created xsi:type="dcterms:W3CDTF">2011-06-14T05:32:50Z</dcterms:created>
  <dcterms:modified xsi:type="dcterms:W3CDTF">2022-07-13T09:02:09Z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