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Y:\03_教務企画\数理・ＤＳ・ＡＩ\★申請後やり取り\【220527】確認依頼：（名古屋市立大学）申請数理・データサイエンス・AI 教育プログラム認定制度\回答\併せて差し替え提出\"/>
    </mc:Choice>
  </mc:AlternateContent>
  <xr:revisionPtr revIDLastSave="0" documentId="13_ncr:1_{ABF2C857-CE8B-44F0-9FAE-2ED86C8D5C37}" xr6:coauthVersionLast="47" xr6:coauthVersionMax="47" xr10:uidLastSave="{00000000-0000-0000-0000-000000000000}"/>
  <bookViews>
    <workbookView xWindow="-108" yWindow="-108" windowWidth="23256" windowHeight="12576" tabRatio="885" firstSheet="5" activeTab="5" xr2:uid="{00000000-000D-0000-FFFF-FFFF00000000}"/>
  </bookViews>
  <sheets>
    <sheet name="様式１　大学等概要" sheetId="8" r:id="rId1"/>
    <sheet name="様式２-1　プログラムを構成する授業科目" sheetId="39" r:id="rId2"/>
    <sheet name="様式２-2　プログラムを構成する授業科目 " sheetId="44" r:id="rId3"/>
    <sheet name="様式２-3　プログラムを構成する授業科目 " sheetId="46" r:id="rId4"/>
    <sheet name="様式２-４　プログラムを構成する授業科目 " sheetId="45" r:id="rId5"/>
    <sheet name="様式３　履修者等数の実績" sheetId="40" r:id="rId6"/>
    <sheet name="様式４　教育の質・履修者数を向上させるための体制・計画" sheetId="41" r:id="rId7"/>
    <sheet name="様式５　自己点検・評価" sheetId="42" r:id="rId8"/>
  </sheets>
  <definedNames>
    <definedName name="_xlnm._FilterDatabase" localSheetId="1" hidden="1">'様式２-1　プログラムを構成する授業科目'!#REF!</definedName>
    <definedName name="_xlnm._FilterDatabase" localSheetId="2" hidden="1">'様式２-2　プログラムを構成する授業科目 '!#REF!</definedName>
    <definedName name="_xlnm._FilterDatabase" localSheetId="3" hidden="1">'様式２-3　プログラムを構成する授業科目 '!#REF!</definedName>
    <definedName name="_xlnm._FilterDatabase" localSheetId="4" hidden="1">'様式２-４　プログラムを構成する授業科目 '!#REF!</definedName>
    <definedName name="_xlnm._FilterDatabase" localSheetId="5"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 '!$A$1:$Z$98</definedName>
    <definedName name="_xlnm.Print_Area" localSheetId="3">'様式２-3　プログラムを構成する授業科目 '!$A$1:$Z$98</definedName>
    <definedName name="_xlnm.Print_Area" localSheetId="4">'様式２-４　プログラムを構成する授業科目 '!$A$1:$Z$98</definedName>
    <definedName name="_xlnm.Print_Area" localSheetId="5">'様式３　履修者等数の実績'!$A$1:$R$30</definedName>
    <definedName name="_xlnm.Print_Area" localSheetId="6">'様式４　教育の質・履修者数を向上させるための体制・計画'!$A$1:$J$130</definedName>
    <definedName name="_xlnm.Print_Area" localSheetId="7">'様式５　自己点検・評価'!$A$1:$J$18</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R12" i="40"/>
  <c r="Q12" i="40"/>
  <c r="Q11" i="40"/>
  <c r="R11" i="40" s="1"/>
  <c r="Q10" i="40"/>
  <c r="R10" i="40" s="1"/>
  <c r="Q30" i="40" l="1"/>
  <c r="R30" i="40" s="1"/>
  <c r="C28"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15" authorId="0" shapeId="0" xr:uid="{A07FFC55-0BDB-4974-BC45-A38DE2EB075B}">
      <text>
        <r>
          <rPr>
            <b/>
            <sz val="9"/>
            <color indexed="81"/>
            <rFont val="MS P ゴシック"/>
            <family val="3"/>
            <charset val="128"/>
          </rPr>
          <t>administrator:</t>
        </r>
        <r>
          <rPr>
            <sz val="9"/>
            <color indexed="81"/>
            <rFont val="MS P ゴシック"/>
            <family val="3"/>
            <charset val="128"/>
          </rPr>
          <t xml:space="preserve">
R4規程改正未反映のため注意</t>
        </r>
      </text>
    </comment>
    <comment ref="C28" authorId="0" shapeId="0" xr:uid="{7AB7456C-FE0B-4974-BA8A-ABE13B3FFA7E}">
      <text>
        <r>
          <rPr>
            <b/>
            <sz val="9"/>
            <color indexed="81"/>
            <rFont val="MS P ゴシック"/>
            <family val="3"/>
            <charset val="128"/>
          </rPr>
          <t>administrator:</t>
        </r>
        <r>
          <rPr>
            <sz val="9"/>
            <color indexed="81"/>
            <rFont val="MS P ゴシック"/>
            <family val="3"/>
            <charset val="128"/>
          </rPr>
          <t xml:space="preserve">
拾える？</t>
        </r>
      </text>
    </comment>
  </commentList>
</comments>
</file>

<file path=xl/sharedStrings.xml><?xml version="1.0" encoding="utf-8"?>
<sst xmlns="http://schemas.openxmlformats.org/spreadsheetml/2006/main" count="837" uniqueCount="255">
  <si>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</si>
  <si>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</si>
  <si>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</si>
  <si>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</si>
  <si>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</si>
  <si>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</si>
  <si>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</si>
  <si>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</si>
  <si>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</si>
  <si>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</si>
  <si>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</si>
  <si>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</si>
  <si>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</si>
  <si>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</si>
  <si>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</si>
  <si>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</si>
  <si>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</si>
  <si>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</si>
  <si>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</si>
  <si>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</si>
  <si>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</si>
  <si>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</si>
  <si>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</si>
  <si>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</si>
  <si>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</si>
  <si>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</si>
  <si>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</si>
  <si>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</si>
  <si>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</si>
  <si>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</si>
  <si>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</si>
  <si>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</si>
  <si>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</si>
  <si>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</si>
  <si>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</si>
  <si>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</si>
  <si>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</si>
  <si>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</si>
  <si>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</si>
  <si>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</si>
  <si>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</si>
  <si>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</si>
  <si>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</si>
  <si>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</si>
  <si>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</si>
  <si>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</si>
  <si>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</si>
  <si>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</si>
  <si>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</si>
  <si>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</si>
  <si>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</si>
  <si>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</si>
  <si>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</si>
  <si>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</si>
  <si>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</si>
  <si>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</si>
  <si>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</si>
  <si>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</si>
  <si>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</si>
  <si>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</si>
  <si>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</si>
  <si>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</si>
  <si>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</si>
  <si>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</si>
  <si>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</si>
  <si>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</si>
  <si>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</si>
  <si>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</si>
  <si>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</si>
  <si>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</si>
  <si>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</si>
  <si>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</si>
  <si>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</si>
  <si>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</si>
  <si>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</si>
  <si>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</si>
  <si>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</si>
  <si>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</si>
  <si>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</si>
  <si>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</si>
  <si>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</si>
  <si>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</si>
  <si>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</si>
  <si>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</si>
  <si>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</si>
  <si>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</si>
  <si>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</si>
  <si>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</si>
  <si>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</si>
  <si>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</si>
  <si>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</si>
  <si>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</si>
  <si>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</si>
  <si>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</si>
  <si>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</si>
  <si>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</si>
  <si>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</si>
  <si>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</si>
  <si>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</si>
  <si>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</si>
  <si>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</si>
  <si>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</si>
  <si>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</si>
  <si>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</si>
  <si>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</si>
  <si>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</si>
  <si>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</si>
  <si>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</si>
  <si>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</si>
  <si>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</si>
  <si>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</si>
  <si>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</si>
  <si>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</si>
  <si>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</si>
  <si>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</si>
  <si>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</si>
  <si>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</si>
  <si>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</si>
  <si>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</si>
  <si>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</si>
  <si>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</si>
  <si>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</si>
  <si>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</si>
  <si>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</si>
  <si>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</si>
  <si>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</si>
  <si>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</si>
  <si>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</si>
  <si>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</si>
  <si>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</si>
  <si>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</si>
  <si>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</si>
  <si>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</si>
  <si>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</si>
  <si>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</si>
  <si>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</si>
  <si>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</si>
  <si>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</si>
  <si>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</si>
  <si>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</si>
  <si>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</si>
  <si>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</si>
  <si>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</si>
  <si>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</si>
  <si>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</si>
  <si>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</si>
  <si>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</si>
  <si>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</si>
  <si>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学部・学科によって、修了要件は相違する</t>
  </si>
  <si>
    <t>様式２－３</t>
    <phoneticPr fontId="1"/>
  </si>
  <si>
    <t>情報・統計処理</t>
  </si>
  <si>
    <t>情報・統計処理</t>
    <phoneticPr fontId="1"/>
  </si>
  <si>
    <t>○</t>
  </si>
  <si>
    <t>一部開講</t>
  </si>
  <si>
    <t>情報処理応用</t>
    <rPh sb="0" eb="2">
      <t>ジョウホウ</t>
    </rPh>
    <rPh sb="2" eb="4">
      <t>ショリ</t>
    </rPh>
    <rPh sb="4" eb="6">
      <t>オウヨウ</t>
    </rPh>
    <phoneticPr fontId="1"/>
  </si>
  <si>
    <t>社会における数理・データサイエンス・AIの必要性を理解するとともに、学生生活や社会人になってからもそれら情報技術を使いこなせる基礎知識、またそれを取り扱う際のセキュリティ等倫理に関する基礎的知識を身に付ける。</t>
    <phoneticPr fontId="1"/>
  </si>
  <si>
    <t>4-1統計および数理基礎</t>
  </si>
  <si>
    <t>様式２－１</t>
    <phoneticPr fontId="1"/>
  </si>
  <si>
    <t>情報処理基礎</t>
    <rPh sb="0" eb="6">
      <t>ジョウホウショリキソ</t>
    </rPh>
    <phoneticPr fontId="1"/>
  </si>
  <si>
    <t>情報検索基礎</t>
    <rPh sb="0" eb="6">
      <t>ジョウホウケンサクキソ</t>
    </rPh>
    <phoneticPr fontId="1"/>
  </si>
  <si>
    <t>情報処理</t>
    <rPh sb="0" eb="4">
      <t>ジョウホウショリ</t>
    </rPh>
    <phoneticPr fontId="1"/>
  </si>
  <si>
    <t>4‐2アルゴリズム基礎</t>
  </si>
  <si>
    <t>4‐3データ構造とプログラミング基礎</t>
  </si>
  <si>
    <t>4‐5テキスト解析</t>
  </si>
  <si>
    <t>情報処理基礎</t>
    <rPh sb="2" eb="4">
      <t>ショリ</t>
    </rPh>
    <rPh sb="4" eb="6">
      <t>キソ</t>
    </rPh>
    <phoneticPr fontId="1"/>
  </si>
  <si>
    <t>情報処理基礎</t>
    <rPh sb="0" eb="4">
      <t>ジョウホウショリ</t>
    </rPh>
    <rPh sb="4" eb="6">
      <t>キソ</t>
    </rPh>
    <phoneticPr fontId="1"/>
  </si>
  <si>
    <t>情報処理応用</t>
    <rPh sb="0" eb="4">
      <t>ジョウホウショリ</t>
    </rPh>
    <rPh sb="4" eb="6">
      <t>オウヨウ</t>
    </rPh>
    <phoneticPr fontId="1"/>
  </si>
  <si>
    <t>名古屋市立大学全学教育機構規程</t>
    <phoneticPr fontId="1"/>
  </si>
  <si>
    <t>全学的な観点から履修体制を整えるとともに、数理・データサイエンス・AI分野を含む教育の質を確保することを目的とする。全学の教養教育について、専門教育及び大学院教育と合わせて体系的に行うための機関である全学教育機構を通じて上記目的達成を目指す。</t>
    <phoneticPr fontId="1"/>
  </si>
  <si>
    <t>新入生ガイダンスで該当科目の履修案内をしている。また、学生用ポータルサイトを活用し、学生が情報を受け取りやすいような環境を整備するとともに、履修に当たって不明な点があれば、教養教育を担当する教務企画室や科目担当教員、各学生を担当する指導教員に質問するよう案内している。</t>
    <phoneticPr fontId="1"/>
  </si>
  <si>
    <t>教員一人当たりの学生数が少ない少人数教育を特長としており、学生一人一人に指導教員を配置し、履修のサポートをきめ細かく行っている。</t>
    <phoneticPr fontId="1"/>
  </si>
  <si>
    <t>教員がオフィスアワーを設定してシラバスに明記し、指導、質問を受けられるようにしている。</t>
    <phoneticPr fontId="1"/>
  </si>
  <si>
    <t>本プログラムの全受講者についての授業アンケート設問により、学生自身が「目標を明確に意識する」、「主体的に学修に取り組む」、「その成果を自ら適切に評価する」、「さらに必要な学びに踏み出す」という点に焦点をあて、受講生の自律的学修状況を教員にフィードバックすることで、学生の学修成果を把握し、今後の教育内容の改善に活用している。</t>
    <phoneticPr fontId="1"/>
  </si>
  <si>
    <t>上記「学修成果」の項目記載の通り、本プログラムの全受講者に対して授業アンケートを実施し、受講生の自律的学修状況を把握している。</t>
    <phoneticPr fontId="1"/>
  </si>
  <si>
    <t>本プログラムの全受講者に対して授業を受講することで自身の成長にどうつながったかという点について授業アンケートを実施している。学生個人は自身の結果について確認することができ、後輩等他の学生への履修の波及を期待する。</t>
    <phoneticPr fontId="1"/>
  </si>
  <si>
    <t>本プログラムの一部科目は必修又は選択必修科目であり、ほぼ全ての学生が履修する。R4年度から追加で開講する全学部共通のデータサイエンス科目（「データサイエンスへの誘い」）については、１年次の専門科目と時間割が重複しない時間帯で開講する予定であり、履修率向上に向けて取り組む。</t>
    <phoneticPr fontId="1"/>
  </si>
  <si>
    <t>本プログラムは数理・データサイエンス・AIに関する基礎を学ぶものであり、どのような進路を今後歩むにせよ必須となる内容と理解している。特に、今後ビックデータの活用を進める企業や自治体からは不可欠の内容との評価を受けると考えている。需要に応えるよう更なる発展に取り組んでまいりたい。</t>
    <phoneticPr fontId="1"/>
  </si>
  <si>
    <t>本学においてデータサイエンス学部（仮称）の設置を進めており、かかる専門学部においては、教育内容について産業界との交流が見込まれる。当該交流で得られた知見が今後本プログラムをさらに発展させていく際に活用されるものと期待している。</t>
    <phoneticPr fontId="1"/>
  </si>
  <si>
    <t>本プログラムの授業科目の導入において、時事的なトピックを交えて、数理・データサイエンス・AIを学ぶ意義等について理解を深めるよう取り組んでいる。</t>
    <phoneticPr fontId="1"/>
  </si>
  <si>
    <t>実施する授業アンケートを参考に、より分かりやすい授業内容となるよう改善を行うこととしている。</t>
    <phoneticPr fontId="1"/>
  </si>
  <si>
    <t>名古屋市立大学</t>
    <rPh sb="0" eb="7">
      <t>ナゴヤシリツダイガク</t>
    </rPh>
    <phoneticPr fontId="1"/>
  </si>
  <si>
    <t>公立大学</t>
  </si>
  <si>
    <t>愛知県名古屋市瑞穂区瑞穂町字川澄１</t>
    <rPh sb="0" eb="3">
      <t>アイチケン</t>
    </rPh>
    <rPh sb="3" eb="7">
      <t>ナゴヤシ</t>
    </rPh>
    <rPh sb="7" eb="10">
      <t>ミズホク</t>
    </rPh>
    <rPh sb="10" eb="13">
      <t>ミズホチョウ</t>
    </rPh>
    <rPh sb="13" eb="14">
      <t>アザ</t>
    </rPh>
    <rPh sb="14" eb="16">
      <t>カワスミ</t>
    </rPh>
    <phoneticPr fontId="1"/>
  </si>
  <si>
    <t>令和３</t>
    <rPh sb="0" eb="2">
      <t>レイワ</t>
    </rPh>
    <phoneticPr fontId="1"/>
  </si>
  <si>
    <t>無</t>
  </si>
  <si>
    <t>全学教育機構</t>
    <rPh sb="0" eb="2">
      <t>ゼンガク</t>
    </rPh>
    <rPh sb="2" eb="4">
      <t>キョウイク</t>
    </rPh>
    <rPh sb="4" eb="6">
      <t>キコウ</t>
    </rPh>
    <phoneticPr fontId="1"/>
  </si>
  <si>
    <t>教養教育運営委員会（内容によっては全学教育機構）</t>
    <rPh sb="0" eb="2">
      <t>キョウヨウ</t>
    </rPh>
    <rPh sb="2" eb="4">
      <t>キョウイク</t>
    </rPh>
    <rPh sb="4" eb="6">
      <t>ウンエイ</t>
    </rPh>
    <rPh sb="6" eb="9">
      <t>イインカイ</t>
    </rPh>
    <rPh sb="10" eb="12">
      <t>ナイヨウ</t>
    </rPh>
    <rPh sb="17" eb="19">
      <t>ゼンガク</t>
    </rPh>
    <rPh sb="19" eb="21">
      <t>キョウイク</t>
    </rPh>
    <rPh sb="21" eb="23">
      <t>キコウ</t>
    </rPh>
    <phoneticPr fontId="1"/>
  </si>
  <si>
    <t>認定教育プログラム</t>
  </si>
  <si>
    <t>伊藤恭彦</t>
    <rPh sb="0" eb="2">
      <t>イトウ</t>
    </rPh>
    <rPh sb="2" eb="4">
      <t>ヤスヒコ</t>
    </rPh>
    <phoneticPr fontId="1"/>
  </si>
  <si>
    <t>髙石鉄雄</t>
    <rPh sb="0" eb="2">
      <t>タカイシ</t>
    </rPh>
    <rPh sb="2" eb="3">
      <t>テツ</t>
    </rPh>
    <rPh sb="3" eb="4">
      <t>オス</t>
    </rPh>
    <phoneticPr fontId="1"/>
  </si>
  <si>
    <t>高等教育院長</t>
    <rPh sb="0" eb="2">
      <t>コウトウ</t>
    </rPh>
    <rPh sb="2" eb="4">
      <t>キョウイク</t>
    </rPh>
    <rPh sb="4" eb="6">
      <t>インチョウ</t>
    </rPh>
    <phoneticPr fontId="1"/>
  </si>
  <si>
    <t>jimu3@sec.nagoya-cu.ac.jp</t>
    <phoneticPr fontId="1"/>
  </si>
  <si>
    <t>教務企画室</t>
    <rPh sb="0" eb="2">
      <t>キョウム</t>
    </rPh>
    <rPh sb="2" eb="4">
      <t>キカク</t>
    </rPh>
    <rPh sb="4" eb="5">
      <t>シツ</t>
    </rPh>
    <phoneticPr fontId="1"/>
  </si>
  <si>
    <t>様式２－２</t>
    <phoneticPr fontId="1"/>
  </si>
  <si>
    <t>社会で起きている変化を知り、数理・データサイエンス・AIを学ぶことの意義を理解する
AIを活用した新しいビジネス/サービスを知る
ガイダンス、本学における情報環境「情報処理基礎」「情報処理応用」（1回目）</t>
    <rPh sb="71" eb="73">
      <t>ホンガク</t>
    </rPh>
    <rPh sb="77" eb="81">
      <t>ジョウホウカンキョウ</t>
    </rPh>
    <rPh sb="86" eb="88">
      <t>キソ</t>
    </rPh>
    <rPh sb="90" eb="94">
      <t>ジョウホウショリ</t>
    </rPh>
    <rPh sb="94" eb="96">
      <t>オウヨウ</t>
    </rPh>
    <rPh sb="99" eb="101">
      <t>カイメ</t>
    </rPh>
    <phoneticPr fontId="1"/>
  </si>
  <si>
    <t>データ・AI利活用における最新動向（ビジネスモデル、テクノロジー）を知る
ガイダンス、本学における情報環境「情報処理基礎」「情報処理応用」（1回目）
セキュリティから学ぶインターネット技術「情報処理応用」（3～5回目）</t>
    <rPh sb="83" eb="84">
      <t>マナ</t>
    </rPh>
    <rPh sb="92" eb="94">
      <t>ギジュツ</t>
    </rPh>
    <rPh sb="95" eb="99">
      <t>ジョウホウショリ</t>
    </rPh>
    <rPh sb="99" eb="101">
      <t>オウヨウ</t>
    </rPh>
    <rPh sb="106" eb="108">
      <t>カイメ</t>
    </rPh>
    <phoneticPr fontId="1"/>
  </si>
  <si>
    <t>どんなデータが集められ、どう活用されているかを知る
ガイダンス、本学における情報環境「情報処理基礎」「情報処理応用」（1回目）</t>
    <phoneticPr fontId="1"/>
  </si>
  <si>
    <t>さまざまな領域でデータ・AIが活用されていることを知る
ガイダンス、本学における情報環境「情報処理基礎」「情報処理応用」（1回目）</t>
    <phoneticPr fontId="1"/>
  </si>
  <si>
    <t>データ・AIを活用するために使われている技術の概要を知る
ガイダンス、本学における情報環境「情報処理基礎」「情報処理応用」（1回目）</t>
    <phoneticPr fontId="1"/>
  </si>
  <si>
    <t>データ・AIを活用することによって、どのような価値が生まれているかを知る
ガイダンス、本学における情報環境「情報処理基礎」「情報処理応用」（1回目）</t>
    <phoneticPr fontId="1"/>
  </si>
  <si>
    <t>様式２－４</t>
    <phoneticPr fontId="1"/>
  </si>
  <si>
    <t>社会で起きている変化を知り、数理・データサイエンス・AIを学ぶことの意義を理解する
AIを活用した新しいビジネス/サービスを知る
ガイダンス、本学における情報環境「情報・統計処理」「情報処理応用」（1回目）</t>
    <rPh sb="71" eb="73">
      <t>ホンガク</t>
    </rPh>
    <rPh sb="77" eb="81">
      <t>ジョウホウカンキョウ</t>
    </rPh>
    <rPh sb="91" eb="95">
      <t>ジョウホウショリ</t>
    </rPh>
    <rPh sb="95" eb="97">
      <t>オウヨウ</t>
    </rPh>
    <rPh sb="100" eb="102">
      <t>カイメ</t>
    </rPh>
    <phoneticPr fontId="1"/>
  </si>
  <si>
    <t>データ・AI利活用における最新動向（ビジネスモデル、テクノロジー）を知る
ガイダンス、本学における情報環境「情報・統計処理」「情報処理応用」（1回目）
セキュリティから学ぶインターネット技術「情報処理応用」（3～5回目）</t>
    <rPh sb="84" eb="85">
      <t>マナ</t>
    </rPh>
    <rPh sb="93" eb="95">
      <t>ギジュツ</t>
    </rPh>
    <rPh sb="96" eb="100">
      <t>ジョウホウショリ</t>
    </rPh>
    <rPh sb="100" eb="102">
      <t>オウヨウ</t>
    </rPh>
    <rPh sb="107" eb="109">
      <t>カイメ</t>
    </rPh>
    <phoneticPr fontId="1"/>
  </si>
  <si>
    <t>どんなデータが集められ、どう活用されているかを知る
ガイダンス、本学における情報環境「情報・統計処理」「情報処理応用」（1回目）
医学と統計学「情報・統計処理」（9回目）</t>
    <rPh sb="65" eb="67">
      <t>イガク</t>
    </rPh>
    <rPh sb="68" eb="71">
      <t>トウケイガク</t>
    </rPh>
    <rPh sb="82" eb="84">
      <t>カイメ</t>
    </rPh>
    <phoneticPr fontId="1"/>
  </si>
  <si>
    <t>さまざまな領域でデータ・AIが活用されていることを知る
ガイダンス、本学における情報環境「情報・統計処理」「情報処理応用」（1回目）
医学と統計学「情報・統計処理」（9回目）</t>
    <phoneticPr fontId="1"/>
  </si>
  <si>
    <t>データ・AIを活用するために使われている技術の概要を知る
ガイダンス、本学における情報環境「情報・統計処理」「情報処理応用」（1回目）
医学と統計学「情報・統計処理」（9回目）</t>
    <phoneticPr fontId="1"/>
  </si>
  <si>
    <t>データ・AIを活用することによって、どのような価値が生まれているかを知る
ガイダンス、本学における情報環境「情報・統計処理」「情報処理応用」（1回目）
医学と統計学「情報・統計処理」（9回目）</t>
    <phoneticPr fontId="1"/>
  </si>
  <si>
    <t>データ・AIを利活用する上で知っておくべきこと
ガイダンス、本学における情報環境「情報・統計処理」（1回目）
ネットワークリテラシー「情報・統計処理」（2回目)
ガイダンス、本学における情報環境、ネットワークリテラシー「情報処理応用」（1回目）
Webサイトのセキュリティと安全性「情報処理応用」(12回目)</t>
    <rPh sb="77" eb="79">
      <t>カイメ</t>
    </rPh>
    <rPh sb="114" eb="116">
      <t>オウヨウ</t>
    </rPh>
    <rPh sb="137" eb="140">
      <t>アンゼンセイ</t>
    </rPh>
    <rPh sb="141" eb="145">
      <t>ジョウホウショリ</t>
    </rPh>
    <rPh sb="145" eb="147">
      <t>オウヨウ</t>
    </rPh>
    <rPh sb="151" eb="153">
      <t>カイメ</t>
    </rPh>
    <phoneticPr fontId="1"/>
  </si>
  <si>
    <t>データを守る上で知っておくべきこと
ガイダンス、本学における情報環境「情報・統計処理」（1回目）
ネットワークリテラシー「情報・統計処理」（2回目)
ガイダンス、本学における情報環境、ネットワークリテラシー「情報処理応用」（1回目）
Webサイトのセキュリティと安全性「情報処理応用」(12回目)</t>
    <phoneticPr fontId="1"/>
  </si>
  <si>
    <t>データを読む
ワープロソフトによる文書作成「情報・統計処理」(3回目・4回目)
表計算ソフトによる計算と表の作成「情報・統計処理」(5回目・6回目)
プレゼンテーションスライドの作成「情報・統計処理」(7回目・8回目)
EZRの使い方、記述統計学、推測統計学「情報・統計処理」(10～15回目)
Webページ作成「情報処理応用」(6～11回目)</t>
    <rPh sb="17" eb="21">
      <t>ブンショサクセイ</t>
    </rPh>
    <rPh sb="22" eb="24">
      <t>ジョウホウ</t>
    </rPh>
    <rPh sb="25" eb="29">
      <t>トウケイショリ</t>
    </rPh>
    <rPh sb="32" eb="34">
      <t>カイメ</t>
    </rPh>
    <rPh sb="36" eb="38">
      <t>カイメ</t>
    </rPh>
    <rPh sb="40" eb="43">
      <t>ヒョウケイサン</t>
    </rPh>
    <rPh sb="49" eb="51">
      <t>ケイサン</t>
    </rPh>
    <rPh sb="52" eb="53">
      <t>ヒョウ</t>
    </rPh>
    <rPh sb="54" eb="56">
      <t>サクセイ</t>
    </rPh>
    <rPh sb="89" eb="91">
      <t>サクセイ</t>
    </rPh>
    <rPh sb="114" eb="115">
      <t>ツカ</t>
    </rPh>
    <rPh sb="116" eb="117">
      <t>カタ</t>
    </rPh>
    <rPh sb="118" eb="123">
      <t>キジュツトウケイガク</t>
    </rPh>
    <rPh sb="124" eb="126">
      <t>スイソク</t>
    </rPh>
    <rPh sb="126" eb="129">
      <t>トウケイガク</t>
    </rPh>
    <rPh sb="154" eb="156">
      <t>サクセイ</t>
    </rPh>
    <rPh sb="157" eb="161">
      <t>ジョウホウショリ</t>
    </rPh>
    <rPh sb="161" eb="163">
      <t>オウヨウ</t>
    </rPh>
    <rPh sb="169" eb="171">
      <t>カイメ</t>
    </rPh>
    <phoneticPr fontId="1"/>
  </si>
  <si>
    <t>. データを説明する
ワープロソフトによる文書作成「情報・統計処理」(3回目・4回目)
表計算ソフトによる計算と表の作成「情報・統計処理」(5回目・6回目)
プレゼンテーションスライドの作成「情報・統計処理」(7回目・8回目)
EZRの使い方、記述統計学、推測統計学「情報・統計処理」(10～15回目)
Webページ作成「情報処理応用」(6～11回目)</t>
    <phoneticPr fontId="1"/>
  </si>
  <si>
    <t>データを扱う 
ワープロソフトによる文書作成「情報・統計処理」(3回目・4回目)
表計算ソフトによる計算と表の作成「情報・統計処理」(5回目・6回目)
プレゼンテーションスライドの作成「情報・統計処理」(7回目・8回目)
EZRの使い方、記述統計学、推測統計学「情報・統計処理」(10～15回目)
Webページ作成「情報処理応用」(6～11回目)</t>
    <phoneticPr fontId="1"/>
  </si>
  <si>
    <t>医学部</t>
    <rPh sb="0" eb="3">
      <t>イガクブ</t>
    </rPh>
    <phoneticPr fontId="1"/>
  </si>
  <si>
    <t>薬学部</t>
    <rPh sb="0" eb="3">
      <t>ヤクガクブ</t>
    </rPh>
    <phoneticPr fontId="1"/>
  </si>
  <si>
    <t>経済学部</t>
    <rPh sb="0" eb="4">
      <t>ケイザイガクブ</t>
    </rPh>
    <phoneticPr fontId="1"/>
  </si>
  <si>
    <t>人文社会学部</t>
    <rPh sb="0" eb="6">
      <t>ジンブンシャカイガクブ</t>
    </rPh>
    <phoneticPr fontId="1"/>
  </si>
  <si>
    <t>芸術工学部</t>
    <rPh sb="0" eb="5">
      <t>ゲイジュツコウガクブ</t>
    </rPh>
    <phoneticPr fontId="1"/>
  </si>
  <si>
    <t>看護学部</t>
    <rPh sb="0" eb="4">
      <t>カンゴガクブ</t>
    </rPh>
    <phoneticPr fontId="1"/>
  </si>
  <si>
    <t>総合生命理学部</t>
    <rPh sb="0" eb="7">
      <t>ソウゴウセイメイリガクブ</t>
    </rPh>
    <phoneticPr fontId="1"/>
  </si>
  <si>
    <t>数理・データサイエンス・AI教育プログラム</t>
    <phoneticPr fontId="1"/>
  </si>
  <si>
    <t>医学部においては、「情報・統計処理」２単位を取得すること。また、「情報処理応用」２単位も自由科目として履修可能。
なお、「情報・統計処理」は、様式２－２～４の「情報処理基礎」と、「情報処理応用」は様式２－２の「情報検索基礎」及び「情報処理」と実質的に同一内容を扱うが、学部の専門性と関連するデータを題材として扱うため別クラスとなっている。</t>
    <rPh sb="19" eb="21">
      <t>タンイ</t>
    </rPh>
    <rPh sb="22" eb="24">
      <t>シュトク</t>
    </rPh>
    <rPh sb="41" eb="43">
      <t>タンイ</t>
    </rPh>
    <rPh sb="44" eb="46">
      <t>ジユウ</t>
    </rPh>
    <rPh sb="46" eb="48">
      <t>カモク</t>
    </rPh>
    <rPh sb="51" eb="53">
      <t>リシュウ</t>
    </rPh>
    <rPh sb="53" eb="55">
      <t>カノウ</t>
    </rPh>
    <phoneticPr fontId="1"/>
  </si>
  <si>
    <t>芸術工学部においては、「情報処理基礎」2単位、「情報検索基礎」2単位、「情報処理」2単位、計6単位取得すること。
なお、「情報検索基礎」及び「情報処理」は、様式２－１、３～４の「情報処理応用」と実質的に同一内容を扱うが、学部の専門性と関連するデータを題材として扱うため別クラスとなっている。</t>
    <rPh sb="68" eb="69">
      <t>オヨ</t>
    </rPh>
    <phoneticPr fontId="1"/>
  </si>
  <si>
    <t>総合生命理学部においては、「情報処理基礎」２単位、「情報処理応用」２単位、計４単位を取得すること。
なお、「情報処理基礎」は、様式２－１の「情報・統計処理」と、「情報処理応用」は様式２－２の「情報検索基礎」及び「情報処理」と実質的に同一内容であるが、専門性と関連するデータを題材として扱う医学部、芸術工学部とは別クラスとなっている。</t>
    <phoneticPr fontId="1"/>
  </si>
  <si>
    <t xml:space="preserve">医学部、芸術工学部及び総合生命理学部以外の学部においては、「情報処理基礎」、「情報処理応用」から2単位以上取得すること。
なお、「情報処理基礎」は、様式２－１の「情報・統計処理」と、「情報処理応用」は様式２－２の「情報検索基礎」及び「情報処理」と実質的に同一内容であるが、専門性と関連するデータを題材として扱う医学部、芸術工学部とは別クラスとなっている。
</t>
    <rPh sb="9" eb="10">
      <t>オヨ</t>
    </rPh>
    <rPh sb="11" eb="13">
      <t>ソウゴウ</t>
    </rPh>
    <rPh sb="13" eb="15">
      <t>セイメイ</t>
    </rPh>
    <rPh sb="15" eb="18">
      <t>リガクブ</t>
    </rPh>
    <phoneticPr fontId="1"/>
  </si>
  <si>
    <t>「情報・統計処理」は医学部の必修科目となっているほか、「情報処理基礎」は芸術工学部及び総合生命理学部の必修科目、また、医学部を除くその他学部の選択必修科目となっており、全学部の１年生全員が履修可能な時間割が割り当てられている。
追加で開講する教養教育科目（④欄における「データサイエンスへの誘い」）は、１年次の専門科目と時間割が重複しない時間帯で開講されているため、「情報処理基礎」又は「情報・統計処理」に加えて追加で履修を希望する学生が受講可能となっている。</t>
    <rPh sb="1" eb="3">
      <t>ジョウホウ</t>
    </rPh>
    <rPh sb="4" eb="6">
      <t>トウケイ</t>
    </rPh>
    <rPh sb="6" eb="8">
      <t>ショリ</t>
    </rPh>
    <rPh sb="10" eb="12">
      <t>イガク</t>
    </rPh>
    <rPh sb="12" eb="13">
      <t>ブ</t>
    </rPh>
    <rPh sb="14" eb="16">
      <t>ヒッシュウ</t>
    </rPh>
    <rPh sb="16" eb="18">
      <t>カモク</t>
    </rPh>
    <rPh sb="36" eb="38">
      <t>ゲイジュツ</t>
    </rPh>
    <rPh sb="38" eb="41">
      <t>コウガクブ</t>
    </rPh>
    <rPh sb="41" eb="42">
      <t>オヨ</t>
    </rPh>
    <rPh sb="43" eb="45">
      <t>ソウゴウ</t>
    </rPh>
    <rPh sb="45" eb="47">
      <t>セイメイ</t>
    </rPh>
    <rPh sb="47" eb="50">
      <t>リガクブ</t>
    </rPh>
    <rPh sb="51" eb="53">
      <t>ヒッシュウ</t>
    </rPh>
    <rPh sb="53" eb="55">
      <t>カモク</t>
    </rPh>
    <rPh sb="63" eb="64">
      <t>ノゾ</t>
    </rPh>
    <rPh sb="67" eb="68">
      <t>ホカ</t>
    </rPh>
    <rPh sb="68" eb="70">
      <t>ガクブ</t>
    </rPh>
    <rPh sb="71" eb="73">
      <t>センタク</t>
    </rPh>
    <rPh sb="73" eb="75">
      <t>ヒッシュウ</t>
    </rPh>
    <rPh sb="75" eb="77">
      <t>カモク</t>
    </rPh>
    <phoneticPr fontId="1"/>
  </si>
  <si>
    <t>本プラグラムの履修内容は、数理・データサイエンス・AI教育（リテラシーレベル）の要件を満たしていると評価している。追加で全学統一的なデータサイエンスの基礎を学ぶ講義を開講することで、大学としてより体系的なデータサイエンス履修プログラムとすることができるとの全学判断をふまえ、令和4年度から全学部共通での選択科目としてリテラシーレベルのデータサイエンス科目（「データサイエンスへの誘い」）を教養教育で開講することとし、1年生だけでなく2年生以上も聴講できるようにしている。</t>
  </si>
  <si>
    <t>理事・副学長（教育）</t>
    <rPh sb="0" eb="2">
      <t>リジ</t>
    </rPh>
    <rPh sb="3" eb="6">
      <t>フクガクチョウ</t>
    </rPh>
    <rPh sb="7" eb="9">
      <t>キョウイク</t>
    </rPh>
    <phoneticPr fontId="1"/>
  </si>
  <si>
    <t>森川</t>
    <rPh sb="0" eb="2">
      <t>モリカワ</t>
    </rPh>
    <phoneticPr fontId="1"/>
  </si>
  <si>
    <t>052-872-5801</t>
    <phoneticPr fontId="1"/>
  </si>
  <si>
    <t>https://www.nagoya-cu.ac.jp/education/guide/liberal-arts/</t>
    <phoneticPr fontId="1"/>
  </si>
  <si>
    <t>国の「AI戦略2019」において、全ての大学生にリテラシーレベルの数理・データサイエンス・AI教育をおこなうことが目標とされる中で、所要の科目を設置し、必修や選択必修による履修制度も活用して、履修率の向上・維持を図る。
令和5年度にデータサイエンス学部（仮称）を設置予定であり、それに伴い全学的な情報系教育の充実をさらに予定しているが、それに先行して全学判断を踏まえ、令和4年度から全学部共通のデータサイエンス科目（「データサイエンスへの誘い」）を教養教育において開講する。
・令和5年度には、教養教育カリキュラム改革の一環として、データサイエンス関連科目の新設準備を進めており、全学部共通科目となる予定である。</t>
    <rPh sb="175" eb="177">
      <t>ゼンガク</t>
    </rPh>
    <rPh sb="177" eb="179">
      <t>ハンダン</t>
    </rPh>
    <rPh sb="184" eb="186">
      <t>レイワ</t>
    </rPh>
    <rPh sb="239" eb="241">
      <t>レイワ</t>
    </rPh>
    <rPh sb="242" eb="244">
      <t>ネンド</t>
    </rPh>
    <rPh sb="247" eb="249">
      <t>キョウヨウ</t>
    </rPh>
    <rPh sb="249" eb="251">
      <t>キョウイク</t>
    </rPh>
    <rPh sb="257" eb="259">
      <t>カイカク</t>
    </rPh>
    <rPh sb="260" eb="262">
      <t>イッカン</t>
    </rPh>
    <rPh sb="274" eb="276">
      <t>カンレン</t>
    </rPh>
    <rPh sb="276" eb="278">
      <t>カモク</t>
    </rPh>
    <rPh sb="279" eb="281">
      <t>シンセツ</t>
    </rPh>
    <rPh sb="281" eb="283">
      <t>ジュンビ</t>
    </rPh>
    <rPh sb="284" eb="285">
      <t>スス</t>
    </rPh>
    <rPh sb="290" eb="293">
      <t>ゼンガクブ</t>
    </rPh>
    <rPh sb="293" eb="295">
      <t>キョウツウ</t>
    </rPh>
    <rPh sb="295" eb="297">
      <t>カモク</t>
    </rPh>
    <rPh sb="300" eb="302">
      <t>ヨテイ</t>
    </rPh>
    <phoneticPr fontId="1"/>
  </si>
  <si>
    <t>社会で起きている変化を知り、数理・データサイエンス・AIを学ぶことの意義を理解する
AIを活用した新しいビジネス/サービスを知る
・イントロダクション、コンピューターの基本構成「情報処理基礎」（第1回）
・ICT環境の理解と活用、ICT環境の利用方法「情報検索基礎」（第1回）
（取り扱う内容は同一だが、「情報処理基礎」「情報検索基礎」のクラスによって、テーマ名、授業回が異なる。詳細はシラバス参照）</t>
    <rPh sb="84" eb="88">
      <t>キホンコウセイ</t>
    </rPh>
    <rPh sb="89" eb="95">
      <t>ジョウホウショリキソ</t>
    </rPh>
    <rPh sb="97" eb="98">
      <t>ダイ</t>
    </rPh>
    <rPh sb="99" eb="100">
      <t>カイ</t>
    </rPh>
    <rPh sb="106" eb="108">
      <t>カンキョウ</t>
    </rPh>
    <rPh sb="109" eb="111">
      <t>リカイ</t>
    </rPh>
    <rPh sb="112" eb="114">
      <t>カツヨウ</t>
    </rPh>
    <rPh sb="126" eb="132">
      <t>ジョウホウケンサクキソ</t>
    </rPh>
    <rPh sb="134" eb="135">
      <t>ダイ</t>
    </rPh>
    <rPh sb="136" eb="137">
      <t>カイ</t>
    </rPh>
    <phoneticPr fontId="1"/>
  </si>
  <si>
    <t>データ・AI利活用における最新動向（ビジネスモデル、テクノロジー）を知る
・イントロダクション、コンピューターの基本構成「情報処理基礎」（第1回）
・ICT環境の理解と活用、ICT環境の利用方法「情報検索基礎」（第1回）
（取り扱う内容は同一だが、「情報処理基礎」「情報検索基礎」のクラスによって、テーマ名、授業回が異なる。詳細はシラバス参照）</t>
    <phoneticPr fontId="1"/>
  </si>
  <si>
    <t>どんなデータが集められ、どう活用されているかを知る
・イントロダクション、コンピューターの基本構成「情報処理基礎」（第1回）
・ICT環境の理解と活用、ICT環境の利用方法「情報検索基礎」（第1回）
（取り扱う内容は同一だが、「情報処理基礎」「情報検索基礎」のクラスによって、テーマ名、授業回が異なる。詳細はシラバス参照）</t>
    <phoneticPr fontId="1"/>
  </si>
  <si>
    <t>さまざまな領域でデータ・AIが活用されていることを知る
・イントロダクション、コンピューターの基本構成「情報処理基礎」（第1回）
・ICT環境の理解と活用、ICT環境の利用方法「情報検索基礎」（第1回）
（取り扱う内容は同一だが、「情報処理基礎」「情報検索基礎」のクラスによって、テーマ名、授業回が異なる。詳細はシラバス参照）</t>
    <phoneticPr fontId="1"/>
  </si>
  <si>
    <t>データ・AIを活用するために使われている技術の概要を知る
・イントロダクション、コンピューターの基本構成「情報処理基礎」（第1回）
・ICT環境の理解と活用、ICT環境の利用方法「情報検索基礎」（第1回）
（取り扱う内容は同一だが、「情報処理基礎」「情報検索基礎」のクラスによって、テーマ名、授業回が異なる。詳細はシラバス参照）</t>
    <phoneticPr fontId="1"/>
  </si>
  <si>
    <t>データ・AIを活用することによって、どのような価値が生まれているかを知る
・イントロダクション、コンピューターの基本構成「情報処理基礎」（第1回）
・ICT環境の理解と活用、ICT環境の利用方法「情報検索基礎」（第1回）
（取り扱う内容は同一だが、「情報処理基礎」「情報検索基礎」のクラスによって、テーマ名、授業回が異なる。詳細はシラバス参照）</t>
    <phoneticPr fontId="1"/>
  </si>
  <si>
    <t>データ・AIを利活用する上で知っておくべきこと
・情報リテラシーの実践「情報処理基礎」（第11回)
・情報リテラシーの理解「情報検索基礎」（第11回）
（取り扱う内容は同一だが、「情報処理基礎」「情報検索基礎」のクラスによって、テーマ名、授業回が異なる。詳細はシラバス参照）</t>
    <rPh sb="25" eb="27">
      <t>ジョウホウ</t>
    </rPh>
    <rPh sb="33" eb="35">
      <t>ジッセン</t>
    </rPh>
    <rPh sb="36" eb="42">
      <t>ジョウホウショリキソ</t>
    </rPh>
    <rPh sb="44" eb="45">
      <t>ダイ</t>
    </rPh>
    <rPh sb="47" eb="48">
      <t>カイ</t>
    </rPh>
    <rPh sb="51" eb="53">
      <t>ジョウホウ</t>
    </rPh>
    <rPh sb="59" eb="61">
      <t>リカイ</t>
    </rPh>
    <rPh sb="62" eb="66">
      <t>ジョウホウケンサク</t>
    </rPh>
    <rPh sb="66" eb="68">
      <t>キソ</t>
    </rPh>
    <rPh sb="70" eb="71">
      <t>ダイ</t>
    </rPh>
    <rPh sb="73" eb="74">
      <t>カイ</t>
    </rPh>
    <phoneticPr fontId="1"/>
  </si>
  <si>
    <t>データを守る上で知っておくべきこと
・情報リテラシーの実践「情報処理基礎」（第11回)
・情報リテラシーの理解「情報検索基礎」（第11回）
（取り扱う内容は同一だが、「情報処理基礎」「情報検索基礎」のクラスによって、テーマ名、授業回が異なる。詳細はシラバス参照）</t>
    <phoneticPr fontId="1"/>
  </si>
  <si>
    <t>データ・AIを利活用する上で知っておくべきこと
ガイダンス、本学における情報環境「情報処理基礎」（1回目）
情報倫理「情報処理基礎」(11回目)
ガイダンス、本学における情報環境、ネットワークリテラシー「情報処理応用」（1回目）
Webサイトのセキュリティと安全性「情報処理応用」(12回目)</t>
    <rPh sb="106" eb="108">
      <t>オウヨウ</t>
    </rPh>
    <rPh sb="129" eb="132">
      <t>アンゼンセイ</t>
    </rPh>
    <rPh sb="133" eb="137">
      <t>ジョウホウショリ</t>
    </rPh>
    <rPh sb="137" eb="139">
      <t>オウヨウ</t>
    </rPh>
    <rPh sb="143" eb="145">
      <t>カイメ</t>
    </rPh>
    <phoneticPr fontId="1"/>
  </si>
  <si>
    <t>データを守る上で知っておくべきこと
ガイダンス、本学における情報環境「情報処理基礎」（1回目）
情報倫理「情報処理基礎」(11回目)
ガイダンス、本学における情報環境、ネットワークリテラシー「情報処理応用」（1回目）
Webサイトのセキュリティと安全性「情報処理応用」(12回目)</t>
    <phoneticPr fontId="1"/>
  </si>
  <si>
    <t>データを読む
ワープロソフトによる文書作成「情報処理基礎」(2～4回目)
表計算ソフトによる計算と表の作成「情報処理基礎」(5～7回目)
プレゼンテーションスライドの作成・実施「情報処理基礎」(8,13～15回目)
Webページ作成「情報処理応用」(6～11回目)</t>
    <rPh sb="17" eb="21">
      <t>ブンショサクセイ</t>
    </rPh>
    <rPh sb="22" eb="28">
      <t>ジョウホウショリキソ</t>
    </rPh>
    <rPh sb="33" eb="35">
      <t>カイメ</t>
    </rPh>
    <rPh sb="38" eb="41">
      <t>ヒョウケイサン</t>
    </rPh>
    <rPh sb="47" eb="49">
      <t>ケイサン</t>
    </rPh>
    <rPh sb="50" eb="51">
      <t>ヒョウ</t>
    </rPh>
    <rPh sb="52" eb="54">
      <t>サクセイ</t>
    </rPh>
    <rPh sb="55" eb="61">
      <t>ジョウホウショリキソ</t>
    </rPh>
    <rPh sb="87" eb="89">
      <t>ジッシ</t>
    </rPh>
    <rPh sb="90" eb="96">
      <t>ジョウホウショリキソサクセイツカカタキジュツトウケイガクスイソクトウケイガクサクセイジョウホウショリオウヨウカイメ</t>
    </rPh>
    <phoneticPr fontId="1"/>
  </si>
  <si>
    <t>. データを説明する
ワープロソフトによる文書作成「情報処理基礎」(2～4回目)
表計算ソフトによる計算と表の作成「情報処理基礎」(5～7回目)
プレゼンテーションスライドの作成・実施「情報処理基礎」(8,13～15回目)
Webページ作成「情報処理応用」(6～11回目)</t>
    <phoneticPr fontId="1"/>
  </si>
  <si>
    <t>データを扱う 
ワープロソフトによる文書作成「情報処理基礎」(2～4回目)
表計算ソフトによる計算と表の作成「情報処理基礎」(5～7回目)
プレゼンテーションスライドの作成・実施「情報処理基礎」(8,13～15回目)
Webページ作成「情報処理応用」(6～11回目)</t>
    <phoneticPr fontId="1"/>
  </si>
  <si>
    <t>データ・AIを利活用する上で知っておくべきこと
ガイダンス、本学における情報環境「情報処理基礎」（1回目）
ネットワークリテラシー、情報倫理、情報セキュリティ「情報処理基礎」（2回目)
ネットワーク上の脅威「情報処理基礎」(13回目)
ガイダンス、本学における情報環境、ネットワークリテラシー「情報処理応用」（1回目）
Webサイトのセキュリティと安全性「情報処理応用」(12回目)
　（取り扱う内容は同一だが、「情報処理基礎」のクラスによって、テーマ名、授業回が異なる。
　　詳細はシラバス参照）</t>
    <rPh sb="66" eb="70">
      <t>ジョウホウリンリ</t>
    </rPh>
    <rPh sb="71" eb="73">
      <t>ジョウホウ</t>
    </rPh>
    <rPh sb="89" eb="91">
      <t>カイメ</t>
    </rPh>
    <rPh sb="151" eb="153">
      <t>オウヨウ</t>
    </rPh>
    <rPh sb="174" eb="177">
      <t>アンゼンセイ</t>
    </rPh>
    <rPh sb="178" eb="182">
      <t>ジョウホウショリ</t>
    </rPh>
    <rPh sb="182" eb="184">
      <t>オウヨウ</t>
    </rPh>
    <rPh sb="188" eb="190">
      <t>カイメ</t>
    </rPh>
    <rPh sb="194" eb="195">
      <t>ト</t>
    </rPh>
    <rPh sb="196" eb="197">
      <t>アツカ</t>
    </rPh>
    <rPh sb="198" eb="200">
      <t>ナイヨウ</t>
    </rPh>
    <rPh sb="201" eb="203">
      <t>ドウイツ</t>
    </rPh>
    <rPh sb="207" eb="213">
      <t>ジョウホウショリキソ</t>
    </rPh>
    <rPh sb="232" eb="233">
      <t>コト</t>
    </rPh>
    <rPh sb="239" eb="241">
      <t>ショウサイ</t>
    </rPh>
    <rPh sb="246" eb="248">
      <t>サンショウ</t>
    </rPh>
    <phoneticPr fontId="1"/>
  </si>
  <si>
    <t>データを守る上で知っておくべきこと
ガイダンス、本学における情報環境「情報処理基礎」（1回目）
ネットワークリテラシー、情報倫理、情報セキュリティ「情報処理基礎」（2回目)
ネットワーク上の脅威「情報処理基礎」(13回目)
ガイダンス、本学における情報環境、ネットワークリテラシー「情報処理応用」（1回目）
Webサイトのセキュリティと安全性「情報処理応用」(12回目)
　（取り扱う内容は同一だが、「情報処理基礎」のクラスによって、テーマ名、授業回が異なる。
　　詳細はシラバス参照）</t>
    <rPh sb="93" eb="94">
      <t>ジョウ</t>
    </rPh>
    <rPh sb="95" eb="97">
      <t>キョウイ</t>
    </rPh>
    <rPh sb="98" eb="104">
      <t>ジョウホウショリキソ</t>
    </rPh>
    <rPh sb="108" eb="110">
      <t>カイメ</t>
    </rPh>
    <phoneticPr fontId="1"/>
  </si>
  <si>
    <t>データを読む
ワープロソフトによる文書作成「情報処理基礎」(3～5回目)
表計算ソフトによる計算と表の作成「情報処理基礎」(6～8回目)
プレゼンテーションスライドの作成・実施「情報処理基礎」(9～15回目)
Webページ作成「情報処理応用」(6～11回目)
　（取り扱う内容は同一だが、「情報処理基礎」のクラスによって、テーマ名、授業回が異なる。
　　詳細はシラバス参照）</t>
    <phoneticPr fontId="1"/>
  </si>
  <si>
    <t>. データを説明する
ワープロソフトによる文書作成「情報処理基礎」(3～5回目)
表計算ソフトによる計算と表の作成「情報処理基礎」(6～8回目)
プレゼンテーションスライドの作成・実施「情報処理基礎」(9～15回目)
Webページ作成「情報処理応用」(6～11回目)
　（取り扱う内容は同一だが、「情報処理基礎」のクラスによって、テーマ名、授業回が異なる。
　　詳細はシラバス参照）</t>
    <phoneticPr fontId="1"/>
  </si>
  <si>
    <t>データを扱う 
ワープロソフトによる文書作成「情報処理基礎」(3～5回目)
表計算ソフトによる計算と表の作成「情報処理基礎」(6～8回目)
プレゼンテーションスライドの作成・実施「情報処理基礎」(9～15回目)
Webページ作成「情報処理応用」(6～11回目)
　（取り扱う内容は同一だが、「情報処理基礎」のクラスによって、テーマ名、授業回が異なる。
　　詳細はシラバス参照）</t>
    <phoneticPr fontId="1"/>
  </si>
  <si>
    <t>データを読む
・画像処理ソフトの理解「情報検索基礎」（第2～6回）
・表計算ソフトの理解「情報検索基礎」(第7～9回)
・文書作成の実践「情報処理基礎」（第12～15回）
・画像処理ソフトの活用「情報処理基礎」（第2～6回）
・表計算ソフトの操作「情報処理基礎」(第7～9回)
・統計学の基礎「情報処理」(第13回)
（取り扱う内容は同一だが、「情報処理基礎」「情報検索基礎」、「情報処理」のクラスによって、テーマ名、授業回が異なる。詳細はシラバス参照）</t>
    <rPh sb="16" eb="18">
      <t>リカイ</t>
    </rPh>
    <rPh sb="21" eb="23">
      <t>ケンサク</t>
    </rPh>
    <rPh sb="42" eb="44">
      <t>リカイ</t>
    </rPh>
    <rPh sb="47" eb="49">
      <t>ケンサク</t>
    </rPh>
    <rPh sb="87" eb="91">
      <t>ガゾウショリ</t>
    </rPh>
    <rPh sb="95" eb="97">
      <t>カツヨウ</t>
    </rPh>
    <rPh sb="98" eb="104">
      <t>ジョウホウショリキソ</t>
    </rPh>
    <rPh sb="106" eb="107">
      <t>ダイ</t>
    </rPh>
    <rPh sb="110" eb="111">
      <t>カイ</t>
    </rPh>
    <rPh sb="114" eb="117">
      <t>ヒョウケイサン</t>
    </rPh>
    <rPh sb="121" eb="123">
      <t>ソウサ</t>
    </rPh>
    <rPh sb="124" eb="130">
      <t>ジョウホウショリキソ</t>
    </rPh>
    <rPh sb="132" eb="133">
      <t>ダイ</t>
    </rPh>
    <rPh sb="136" eb="137">
      <t>カイ</t>
    </rPh>
    <rPh sb="140" eb="143">
      <t>トウケイガク</t>
    </rPh>
    <rPh sb="144" eb="146">
      <t>キソ</t>
    </rPh>
    <rPh sb="147" eb="151">
      <t>ジョウホウショリ</t>
    </rPh>
    <rPh sb="153" eb="154">
      <t>ダイ</t>
    </rPh>
    <rPh sb="156" eb="157">
      <t>カイ</t>
    </rPh>
    <rPh sb="181" eb="187">
      <t>ジョウホウケンサクキソ</t>
    </rPh>
    <rPh sb="190" eb="192">
      <t>ジョウホウ</t>
    </rPh>
    <rPh sb="192" eb="194">
      <t>ショリ</t>
    </rPh>
    <phoneticPr fontId="1"/>
  </si>
  <si>
    <t>データを説明する
・画像処理ソフトの理解「情報検索基礎」（第2～6回）
・表計算ソフトの理解「情報検索基礎」(第7～9回)
・文書作成の実践「情報処理基礎」（第12～15回）
・画像処理ソフトの活用「情報処理基礎」（第2～6回）
・表計算ソフトの操作「情報処理基礎」(第7～9回)
・統計学の基礎「情報処理」(第13回)
（取り扱う内容は同一だが、「情報処理基礎」「情報検索基礎」、「情報処理」のクラスによって、テーマ名、授業回が異なる。詳細はシラバス参照）</t>
    <phoneticPr fontId="1"/>
  </si>
  <si>
    <t>データを扱う
・画像処理ソフトの理解「情報検索基礎」（第2～6回）
・表計算ソフトの理解「情報検索基礎」(第7～9回)
・文書作成の実践「情報処理基礎」（第12～15回）
・画像処理ソフトの活用「情報処理基礎」（第2～6回）
・表計算ソフトの操作「情報処理基礎」(第7～9回)
・統計学の基礎「情報処理」(第13回)
（取り扱う内容は同一だが、「情報処理基礎」「情報検索基礎」、「情報処理」のクラスによって、テーマ名、授業回が異なる。詳細はシラバス参照）</t>
    <rPh sb="4" eb="5">
      <t>アツカ</t>
    </rPh>
    <rPh sb="190" eb="192">
      <t>ジョウホウ</t>
    </rPh>
    <rPh sb="192" eb="194">
      <t>ショリ</t>
    </rPh>
    <phoneticPr fontId="1"/>
  </si>
  <si>
    <t>https://www.nagoya-cu.ac.jp/education/guide/liberal-arts/</t>
    <phoneticPr fontId="1"/>
  </si>
  <si>
    <t>公立大学法人名古屋市立大学</t>
    <phoneticPr fontId="1"/>
  </si>
  <si>
    <t xml:space="preserve">伊藤恭彦　　 理事（教育）/人間文化研究科教授           　（所属：人間文化研究科）
髙石鉄雄　　 高等教育院長/理学研究科教授　              （所属：理学研究科）
青木康博　　 医学研究科教授　                                    （所属：医学研究科）
湯浅博昭　　 薬学研究科教授                                    　（所属：薬学研究科）
鵜飼宏成　　 経済学研究科教授　                                 （所属：経済学研究科）
久保田健市　人間文化研究科教授　                             （所属：人間文化研究科）
溝口正人　　 芸術工学研究科教授                             　（所属：芸術工学研究科）
香月富士日　看護学研究科教授                                　（所属：看護学研究科）
杉谷光司　   理学研究科教授                                    　（所属：理学研究科）
児玉英希　   教育研究部長　                                       （所属：教育研究部）
森川英俊　   教務企画室長　                                       （所属：教育研究部）
南部尚平　   医療人育成課長、看護学部事務室事務長　（所属：教育研究部）
水野幹夫     薬学部・芸術工学部事務室事務長           　（所属：教育研究部）
井上　誠      山の畑事務室事務長　                             （所属：教育研究部）
</t>
    <rPh sb="36" eb="38">
      <t>ショゾク</t>
    </rPh>
    <rPh sb="39" eb="41">
      <t>ニンゲン</t>
    </rPh>
    <rPh sb="41" eb="43">
      <t>ブンカ</t>
    </rPh>
    <rPh sb="43" eb="46">
      <t>ケンキュウカ</t>
    </rPh>
    <rPh sb="88" eb="90">
      <t>リガク</t>
    </rPh>
    <rPh sb="150" eb="152">
      <t>イガク</t>
    </rPh>
    <rPh sb="212" eb="213">
      <t>クスリ</t>
    </rPh>
    <rPh sb="272" eb="274">
      <t>ケイザイ</t>
    </rPh>
    <rPh sb="329" eb="331">
      <t>ニンゲン</t>
    </rPh>
    <rPh sb="331" eb="333">
      <t>ブンカ</t>
    </rPh>
    <rPh sb="388" eb="390">
      <t>ゲイジュツ</t>
    </rPh>
    <rPh sb="390" eb="392">
      <t>コウガク</t>
    </rPh>
    <rPh sb="448" eb="450">
      <t>カンゴ</t>
    </rPh>
    <rPh sb="577" eb="579">
      <t>キョウイク</t>
    </rPh>
    <rPh sb="579" eb="581">
      <t>ケンキュウ</t>
    </rPh>
    <rPh sb="581" eb="582">
      <t>ブ</t>
    </rPh>
    <rPh sb="642" eb="644">
      <t>キョウイク</t>
    </rPh>
    <rPh sb="644" eb="646">
      <t>ケンキュウ</t>
    </rPh>
    <rPh sb="646" eb="647">
      <t>ブ</t>
    </rPh>
    <rPh sb="680" eb="685">
      <t>キョウイクケンキュウブ</t>
    </rPh>
    <rPh sb="727" eb="732">
      <t>キョウイクケンキュウブ</t>
    </rPh>
    <rPh sb="787" eb="792">
      <t>キョウイクケンキュウブ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</si>
</sst>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sz val="9"/>
      <color indexed="81"/>
      <name val="MS P ゴシック"/>
      <family val="3"/>
      <charset val="128"/>
    </font>
    <font>
      <b/>
      <sz val="9"/>
      <color indexed="81"/>
      <name val="MS P ゴシック"/>
      <family val="3"/>
      <charset val="128"/>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12"/>
      <color rgb="FFFF000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289">
    <xf numFmtId="0" fontId="0" fillId="0" borderId="0" xfId="0">
      <alignment vertical="center"/>
    </xf>
    <xf numFmtId="176" fontId="4" fillId="0" borderId="0" xfId="0" applyNumberFormat="1" applyFont="1" applyBorder="1">
      <alignment vertical="center"/>
    </xf>
    <xf numFmtId="176" fontId="4" fillId="0" borderId="3" xfId="0" applyNumberFormat="1" applyFont="1" applyBorder="1" applyAlignment="1">
      <alignment vertical="center" shrinkToFit="1"/>
    </xf>
    <xf numFmtId="0" fontId="4" fillId="0" borderId="0" xfId="0" applyFont="1" applyBorder="1" applyAlignment="1">
      <alignment horizontal="center" vertical="center" shrinkToFit="1"/>
    </xf>
    <xf numFmtId="0" fontId="4" fillId="0" borderId="0" xfId="0" applyFont="1">
      <alignmen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Border="1" applyAlignment="1">
      <alignment vertical="center"/>
    </xf>
    <xf numFmtId="0" fontId="4" fillId="0" borderId="5" xfId="0" applyFont="1" applyBorder="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5" xfId="0" applyNumberFormat="1" applyFont="1" applyBorder="1" applyAlignment="1">
      <alignment vertical="center"/>
    </xf>
    <xf numFmtId="176" fontId="4" fillId="0" borderId="0" xfId="0" applyNumberFormat="1" applyFont="1" applyAlignment="1">
      <alignment vertical="center" wrapText="1"/>
    </xf>
    <xf numFmtId="176" fontId="4" fillId="0" borderId="0" xfId="0" applyNumberFormat="1" applyFont="1" applyAlignment="1">
      <alignment horizontal="left" vertical="center" wrapTex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1" xfId="0" applyFont="1" applyBorder="1" applyAlignment="1">
      <alignment vertical="center" shrinkToFit="1"/>
    </xf>
    <xf numFmtId="0" fontId="4" fillId="0" borderId="0" xfId="0" applyFont="1" applyFill="1">
      <alignment vertical="center"/>
    </xf>
    <xf numFmtId="0" fontId="4" fillId="0" borderId="10" xfId="0" applyFont="1" applyBorder="1" applyAlignment="1">
      <alignment vertical="center" shrinkToFit="1"/>
    </xf>
    <xf numFmtId="49" fontId="7" fillId="0" borderId="1" xfId="0" applyNumberFormat="1" applyFont="1" applyBorder="1" applyAlignment="1">
      <alignment horizontal="center" vertical="center"/>
    </xf>
    <xf numFmtId="0" fontId="4" fillId="0" borderId="0" xfId="0" applyFont="1" applyAlignment="1">
      <alignment vertical="center" shrinkToFit="1"/>
    </xf>
    <xf numFmtId="0" fontId="4" fillId="0" borderId="0" xfId="0" applyFont="1" applyAlignment="1">
      <alignment vertical="top" wrapText="1"/>
    </xf>
    <xf numFmtId="49" fontId="7" fillId="0" borderId="47" xfId="0" applyNumberFormat="1" applyFont="1" applyBorder="1" applyAlignment="1">
      <alignment horizontal="center" vertical="center"/>
    </xf>
    <xf numFmtId="49" fontId="7" fillId="0" borderId="33" xfId="0" applyNumberFormat="1" applyFont="1" applyBorder="1" applyAlignment="1">
      <alignment horizontal="center" vertical="center"/>
    </xf>
    <xf numFmtId="49" fontId="7" fillId="0" borderId="50" xfId="0" applyNumberFormat="1" applyFont="1" applyBorder="1" applyAlignment="1">
      <alignment horizontal="center" vertical="center"/>
    </xf>
    <xf numFmtId="0" fontId="4" fillId="0" borderId="44" xfId="0" applyFont="1" applyBorder="1" applyAlignment="1">
      <alignment horizontal="center" vertical="center" shrinkToFit="1"/>
    </xf>
    <xf numFmtId="0" fontId="4" fillId="0" borderId="45" xfId="0" applyFont="1" applyBorder="1" applyAlignment="1">
      <alignment horizontal="center" vertical="center" shrinkToFit="1"/>
    </xf>
    <xf numFmtId="49" fontId="7" fillId="0" borderId="51" xfId="0" applyNumberFormat="1" applyFont="1" applyBorder="1" applyAlignment="1">
      <alignment horizontal="center" vertical="center"/>
    </xf>
    <xf numFmtId="0" fontId="4" fillId="0" borderId="7" xfId="0" applyFont="1" applyBorder="1" applyAlignment="1">
      <alignment horizontal="center" vertical="center" wrapText="1" shrinkToFit="1"/>
    </xf>
    <xf numFmtId="9" fontId="4" fillId="0" borderId="8" xfId="0" applyNumberFormat="1" applyFont="1" applyBorder="1" applyAlignment="1">
      <alignment horizontal="center" vertical="center" wrapText="1" shrinkToFit="1"/>
    </xf>
    <xf numFmtId="0" fontId="4" fillId="0" borderId="8" xfId="0" applyFont="1" applyBorder="1" applyAlignment="1">
      <alignment horizontal="center" vertical="center" wrapText="1" shrinkToFit="1"/>
    </xf>
    <xf numFmtId="9" fontId="4" fillId="0" borderId="8" xfId="0" applyNumberFormat="1" applyFont="1" applyBorder="1" applyAlignment="1">
      <alignment horizontal="center" vertical="center" shrinkToFit="1"/>
    </xf>
    <xf numFmtId="0" fontId="4" fillId="0" borderId="9" xfId="0" applyFont="1" applyBorder="1" applyAlignment="1">
      <alignment horizontal="center" vertical="center" shrinkToFit="1"/>
    </xf>
    <xf numFmtId="9" fontId="4" fillId="0" borderId="45" xfId="0" applyNumberFormat="1" applyFont="1" applyBorder="1" applyAlignment="1">
      <alignment horizontal="center" vertical="center" shrinkToFit="1"/>
    </xf>
    <xf numFmtId="176" fontId="4" fillId="0" borderId="45" xfId="0" applyNumberFormat="1" applyFont="1" applyBorder="1" applyAlignment="1">
      <alignment horizontal="center" vertical="center" shrinkToFit="1"/>
    </xf>
    <xf numFmtId="0" fontId="4" fillId="0" borderId="46" xfId="0" applyFont="1" applyBorder="1" applyAlignment="1">
      <alignment horizontal="center" vertical="center" shrinkToFit="1"/>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49" fontId="7" fillId="0" borderId="52" xfId="0" applyNumberFormat="1" applyFont="1" applyBorder="1" applyAlignment="1">
      <alignment horizontal="center" vertical="center"/>
    </xf>
    <xf numFmtId="49" fontId="7" fillId="0" borderId="29" xfId="0" applyNumberFormat="1" applyFont="1" applyBorder="1" applyAlignment="1">
      <alignment horizontal="center" vertical="center"/>
    </xf>
    <xf numFmtId="0" fontId="9" fillId="0" borderId="4"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13"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43" xfId="0" applyFont="1" applyBorder="1" applyAlignment="1">
      <alignment horizontal="center" vertical="center" shrinkToFit="1"/>
    </xf>
    <xf numFmtId="0" fontId="4" fillId="0" borderId="15" xfId="0" applyFont="1" applyBorder="1" applyAlignment="1">
      <alignment horizontal="center" vertical="center" shrinkToFit="1"/>
    </xf>
    <xf numFmtId="0" fontId="7" fillId="0" borderId="0" xfId="0" applyFont="1" applyAlignment="1">
      <alignment vertical="top" wrapText="1"/>
    </xf>
    <xf numFmtId="0" fontId="7" fillId="0" borderId="10" xfId="0" applyFont="1" applyBorder="1" applyAlignment="1">
      <alignment vertical="top" wrapText="1"/>
    </xf>
    <xf numFmtId="0" fontId="7" fillId="0" borderId="5" xfId="0" applyFont="1" applyBorder="1" applyAlignment="1">
      <alignment vertical="top" wrapText="1"/>
    </xf>
    <xf numFmtId="0" fontId="4" fillId="0" borderId="16" xfId="0" applyFont="1" applyBorder="1">
      <alignment vertical="center"/>
    </xf>
    <xf numFmtId="0" fontId="7" fillId="0" borderId="20" xfId="0" applyFont="1" applyBorder="1" applyAlignment="1">
      <alignment vertical="top" wrapText="1"/>
    </xf>
    <xf numFmtId="0" fontId="7" fillId="0" borderId="18" xfId="0" applyFont="1" applyBorder="1" applyAlignment="1">
      <alignment vertical="top" wrapText="1"/>
    </xf>
    <xf numFmtId="0" fontId="7" fillId="0" borderId="20" xfId="0" applyFont="1" applyBorder="1" applyAlignment="1">
      <alignment vertical="top" shrinkToFit="1"/>
    </xf>
    <xf numFmtId="0" fontId="7" fillId="0" borderId="18" xfId="0" applyFont="1" applyBorder="1" applyAlignment="1">
      <alignment vertical="top" shrinkToFit="1"/>
    </xf>
    <xf numFmtId="0" fontId="7" fillId="0" borderId="0" xfId="0" applyFont="1">
      <alignment vertical="center"/>
    </xf>
    <xf numFmtId="0" fontId="7" fillId="0" borderId="0" xfId="0" applyFont="1" applyAlignment="1">
      <alignment vertical="top" shrinkToFit="1"/>
    </xf>
    <xf numFmtId="0" fontId="7" fillId="0" borderId="0" xfId="0" applyFont="1" applyAlignment="1">
      <alignment vertical="center" wrapText="1"/>
    </xf>
    <xf numFmtId="0" fontId="4" fillId="0" borderId="0" xfId="0" applyFont="1" applyBorder="1" applyAlignment="1">
      <alignment horizontal="center" vertical="center"/>
    </xf>
    <xf numFmtId="0" fontId="4" fillId="0" borderId="0" xfId="0" applyFont="1" applyBorder="1" applyAlignment="1">
      <alignment vertical="center" shrinkToFit="1"/>
    </xf>
    <xf numFmtId="0" fontId="4" fillId="0" borderId="0" xfId="0" applyFont="1" applyAlignment="1">
      <alignment horizontal="right" vertical="center"/>
    </xf>
    <xf numFmtId="0" fontId="4" fillId="0" borderId="19"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18" xfId="0" applyFont="1" applyBorder="1" applyAlignment="1">
      <alignment horizontal="center" vertical="center"/>
    </xf>
    <xf numFmtId="0" fontId="4" fillId="0" borderId="42" xfId="0" applyFont="1" applyBorder="1" applyAlignment="1">
      <alignment horizontal="center" vertical="center"/>
    </xf>
    <xf numFmtId="0" fontId="4" fillId="0" borderId="38" xfId="0" applyFont="1" applyBorder="1" applyAlignment="1">
      <alignment horizontal="center" vertical="center"/>
    </xf>
    <xf numFmtId="0" fontId="4" fillId="0" borderId="0" xfId="0" applyFont="1" applyAlignment="1">
      <alignment vertical="center" wrapText="1"/>
    </xf>
    <xf numFmtId="0" fontId="6" fillId="0" borderId="0" xfId="0" applyFont="1" applyAlignment="1">
      <alignment horizontal="center" vertical="center"/>
    </xf>
    <xf numFmtId="0" fontId="4" fillId="0" borderId="6" xfId="0" applyFont="1" applyBorder="1" applyAlignment="1">
      <alignment vertical="center" shrinkToFit="1"/>
    </xf>
    <xf numFmtId="0" fontId="4" fillId="0" borderId="0" xfId="0" applyFont="1" applyAlignment="1">
      <alignment horizontal="center" vertical="center"/>
    </xf>
    <xf numFmtId="0" fontId="8" fillId="0" borderId="0" xfId="0" applyFont="1">
      <alignment vertical="center"/>
    </xf>
    <xf numFmtId="0" fontId="14" fillId="0" borderId="11" xfId="0" applyFont="1" applyBorder="1" applyAlignment="1">
      <alignment horizontal="center" vertical="center"/>
    </xf>
    <xf numFmtId="0" fontId="14" fillId="0" borderId="29" xfId="0" applyFont="1" applyBorder="1" applyAlignment="1">
      <alignment horizontal="center" vertical="center" wrapText="1"/>
    </xf>
    <xf numFmtId="0" fontId="14" fillId="0" borderId="30" xfId="0" applyFont="1" applyBorder="1" applyAlignment="1">
      <alignment horizontal="center" vertical="center"/>
    </xf>
    <xf numFmtId="0" fontId="14" fillId="0" borderId="12" xfId="0" applyFont="1" applyBorder="1" applyAlignment="1">
      <alignment horizontal="center" vertical="center" wrapText="1"/>
    </xf>
    <xf numFmtId="0" fontId="4" fillId="0" borderId="14" xfId="0" applyFont="1" applyBorder="1" applyAlignment="1">
      <alignment horizontal="lef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23" xfId="0" applyFont="1" applyBorder="1" applyAlignment="1">
      <alignment horizontal="lef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4" xfId="0" applyFont="1" applyBorder="1" applyAlignment="1">
      <alignment horizontal="left" vertical="center" shrinkToFit="1"/>
    </xf>
    <xf numFmtId="176" fontId="4" fillId="0" borderId="24" xfId="0" applyNumberFormat="1"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49" fontId="12" fillId="0" borderId="2" xfId="2" applyNumberFormat="1" applyFont="1" applyBorder="1" applyAlignment="1">
      <alignment vertical="center" shrinkToFit="1"/>
    </xf>
    <xf numFmtId="49" fontId="4" fillId="0" borderId="3" xfId="0" applyNumberFormat="1" applyFont="1" applyBorder="1" applyAlignment="1">
      <alignment vertical="center" shrinkToFit="1"/>
    </xf>
    <xf numFmtId="49" fontId="4" fillId="0" borderId="4" xfId="0" applyNumberFormat="1" applyFont="1" applyBorder="1" applyAlignment="1">
      <alignment vertical="center" shrinkToFit="1"/>
    </xf>
    <xf numFmtId="49" fontId="4" fillId="0" borderId="2" xfId="1" applyNumberFormat="1" applyFont="1" applyBorder="1" applyAlignment="1">
      <alignment horizontal="center" vertical="center" shrinkToFit="1"/>
    </xf>
    <xf numFmtId="49" fontId="4" fillId="0" borderId="3" xfId="1" applyNumberFormat="1" applyFont="1" applyBorder="1" applyAlignment="1">
      <alignment horizontal="center" vertical="center" shrinkToFit="1"/>
    </xf>
    <xf numFmtId="49" fontId="4" fillId="0" borderId="4" xfId="1" applyNumberFormat="1" applyFont="1" applyBorder="1" applyAlignment="1">
      <alignment horizontal="center" vertical="center" shrinkToFit="1"/>
    </xf>
    <xf numFmtId="0" fontId="4" fillId="0" borderId="0" xfId="0" applyFont="1" applyBorder="1" applyAlignment="1">
      <alignment horizontal="center"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0" xfId="0" applyFont="1" applyBorder="1" applyAlignment="1">
      <alignment horizontal="right"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0" fontId="4" fillId="0" borderId="0" xfId="0" applyFont="1" applyAlignment="1">
      <alignment horizontal="right"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176" fontId="4" fillId="0" borderId="3" xfId="0" applyNumberFormat="1" applyFont="1" applyBorder="1" applyAlignment="1">
      <alignment horizontal="center" vertical="center" shrinkToFit="1"/>
    </xf>
    <xf numFmtId="0" fontId="5" fillId="0" borderId="0" xfId="0" applyFont="1" applyAlignment="1">
      <alignment horizontal="center" vertical="center"/>
    </xf>
    <xf numFmtId="0" fontId="4" fillId="0" borderId="2" xfId="0" applyNumberFormat="1" applyFont="1" applyBorder="1" applyAlignment="1">
      <alignment horizontal="center" vertical="center"/>
    </xf>
    <xf numFmtId="0" fontId="4" fillId="0" borderId="4" xfId="0" applyNumberFormat="1"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176" fontId="4" fillId="0" borderId="2" xfId="0" applyNumberFormat="1" applyFont="1" applyBorder="1" applyAlignment="1">
      <alignment horizontal="center" vertical="center"/>
    </xf>
    <xf numFmtId="176" fontId="4" fillId="0" borderId="3" xfId="0" applyNumberFormat="1" applyFont="1" applyBorder="1" applyAlignment="1">
      <alignment horizontal="center" vertical="center"/>
    </xf>
    <xf numFmtId="176" fontId="4" fillId="0" borderId="4" xfId="0" applyNumberFormat="1" applyFont="1" applyBorder="1" applyAlignment="1">
      <alignment horizontal="center" vertical="center"/>
    </xf>
    <xf numFmtId="0" fontId="4" fillId="0" borderId="0" xfId="0" applyFont="1" applyBorder="1" applyAlignment="1">
      <alignment vertical="center" shrinkToFit="1"/>
    </xf>
    <xf numFmtId="0" fontId="4" fillId="0" borderId="37" xfId="0" applyFont="1" applyBorder="1" applyAlignment="1">
      <alignment vertical="center" shrinkToFit="1"/>
    </xf>
    <xf numFmtId="0" fontId="4" fillId="0" borderId="39" xfId="0" applyFont="1" applyBorder="1" applyAlignment="1">
      <alignment vertical="center" shrinkToFit="1"/>
    </xf>
    <xf numFmtId="0" fontId="4" fillId="0" borderId="38" xfId="0" applyFont="1" applyBorder="1" applyAlignment="1">
      <alignment vertical="center" shrinkToFit="1"/>
    </xf>
    <xf numFmtId="0" fontId="4" fillId="0" borderId="37" xfId="0" applyFont="1" applyBorder="1" applyAlignment="1">
      <alignment horizontal="center" vertical="center" shrinkToFit="1"/>
    </xf>
    <xf numFmtId="0" fontId="4" fillId="0" borderId="39" xfId="0" applyFont="1" applyBorder="1" applyAlignment="1">
      <alignment horizontal="center" vertical="center" shrinkToFit="1"/>
    </xf>
    <xf numFmtId="0" fontId="4" fillId="0" borderId="38" xfId="0" applyFont="1" applyBorder="1" applyAlignment="1">
      <alignment horizontal="center" vertical="center" shrinkToFit="1"/>
    </xf>
    <xf numFmtId="0" fontId="4" fillId="0" borderId="19" xfId="0" applyFont="1" applyBorder="1" applyAlignment="1">
      <alignment vertical="center" wrapText="1"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0" fontId="4" fillId="0" borderId="19"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18" xfId="0" applyFont="1" applyBorder="1" applyAlignment="1">
      <alignment horizontal="center" vertical="center" shrinkToFit="1"/>
    </xf>
    <xf numFmtId="0" fontId="8" fillId="0" borderId="48" xfId="0" applyFont="1" applyBorder="1" applyAlignment="1">
      <alignment vertical="center" wrapText="1"/>
    </xf>
    <xf numFmtId="0" fontId="8" fillId="0" borderId="49" xfId="0" applyFont="1" applyBorder="1" applyAlignment="1">
      <alignment vertical="center" wrapText="1"/>
    </xf>
    <xf numFmtId="0" fontId="8" fillId="0" borderId="32" xfId="0" applyFont="1" applyBorder="1" applyAlignment="1">
      <alignment vertical="center" wrapText="1"/>
    </xf>
    <xf numFmtId="0" fontId="4" fillId="0" borderId="39" xfId="0" applyFont="1" applyBorder="1" applyAlignment="1">
      <alignment vertical="center" wrapText="1" shrinkToFit="1"/>
    </xf>
    <xf numFmtId="0" fontId="4" fillId="0" borderId="6" xfId="0" applyFont="1" applyBorder="1" applyAlignment="1">
      <alignment vertical="center" wrapText="1" shrinkToFit="1"/>
    </xf>
    <xf numFmtId="0" fontId="4" fillId="0" borderId="6" xfId="0" applyFont="1" applyBorder="1" applyAlignment="1">
      <alignment vertical="center" shrinkToFit="1"/>
    </xf>
    <xf numFmtId="0" fontId="4" fillId="0" borderId="12" xfId="0" applyFont="1" applyBorder="1" applyAlignment="1">
      <alignment vertical="center" shrinkToFit="1"/>
    </xf>
    <xf numFmtId="0" fontId="4" fillId="0" borderId="8" xfId="0" applyFont="1" applyBorder="1" applyAlignment="1">
      <alignment horizontal="left" vertical="center" wrapText="1" shrinkToFit="1"/>
    </xf>
    <xf numFmtId="0" fontId="4" fillId="0" borderId="8" xfId="0" applyFont="1" applyBorder="1" applyAlignment="1">
      <alignment horizontal="left" vertical="center" shrinkToFit="1"/>
    </xf>
    <xf numFmtId="0" fontId="4" fillId="0" borderId="9" xfId="0" applyFont="1" applyBorder="1" applyAlignment="1">
      <alignment horizontal="left" vertical="center" shrinkToFit="1"/>
    </xf>
    <xf numFmtId="0" fontId="4" fillId="0" borderId="20" xfId="0" applyFont="1" applyBorder="1" applyAlignment="1">
      <alignment horizontal="left" vertical="center" wrapText="1" shrinkToFit="1"/>
    </xf>
    <xf numFmtId="0" fontId="4" fillId="0" borderId="20"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9" xfId="0" applyFont="1" applyBorder="1" applyAlignment="1">
      <alignment horizontal="left" vertical="center" wrapText="1" shrinkToFit="1"/>
    </xf>
    <xf numFmtId="0" fontId="4" fillId="0" borderId="37" xfId="0" applyFont="1" applyBorder="1" applyAlignment="1">
      <alignment horizontal="center" vertical="center"/>
    </xf>
    <xf numFmtId="0" fontId="4" fillId="0" borderId="39" xfId="0" applyFont="1" applyBorder="1" applyAlignment="1">
      <alignment horizontal="center" vertical="center"/>
    </xf>
    <xf numFmtId="0" fontId="4" fillId="0" borderId="3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18" xfId="0" applyFont="1" applyBorder="1" applyAlignment="1">
      <alignment horizontal="center" vertical="center"/>
    </xf>
    <xf numFmtId="0" fontId="4" fillId="0" borderId="37" xfId="0" applyFont="1" applyBorder="1" applyAlignment="1">
      <alignment horizontal="left" vertical="center" shrinkToFit="1"/>
    </xf>
    <xf numFmtId="0" fontId="4" fillId="0" borderId="39" xfId="0" applyFont="1" applyBorder="1" applyAlignment="1">
      <alignment horizontal="left" vertical="center" shrinkToFit="1"/>
    </xf>
    <xf numFmtId="0" fontId="4" fillId="0" borderId="38" xfId="0" applyFont="1" applyBorder="1" applyAlignment="1">
      <alignment horizontal="left" vertical="center" shrinkToFit="1"/>
    </xf>
    <xf numFmtId="0" fontId="4" fillId="0" borderId="19" xfId="0" applyFont="1" applyBorder="1" applyAlignment="1">
      <alignment horizontal="left" vertical="center" shrinkToFit="1"/>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4" fillId="0" borderId="0" xfId="0" applyFont="1" applyAlignment="1">
      <alignment vertical="center" wrapText="1"/>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6" fillId="0" borderId="0" xfId="0" applyFont="1" applyAlignment="1">
      <alignment horizontal="center" vertical="center"/>
    </xf>
    <xf numFmtId="0" fontId="4" fillId="0" borderId="7" xfId="0" applyFont="1" applyBorder="1" applyAlignment="1">
      <alignment horizontal="left" vertical="top" wrapText="1" shrinkToFit="1"/>
    </xf>
    <xf numFmtId="0" fontId="4" fillId="0" borderId="8" xfId="0" applyFont="1" applyBorder="1" applyAlignment="1">
      <alignment horizontal="left" vertical="top" shrinkToFit="1"/>
    </xf>
    <xf numFmtId="0" fontId="4" fillId="0" borderId="9" xfId="0" applyFont="1" applyBorder="1" applyAlignment="1">
      <alignment horizontal="left" vertical="top" shrinkToFit="1"/>
    </xf>
    <xf numFmtId="0" fontId="4" fillId="0" borderId="5" xfId="0" applyFont="1" applyBorder="1" applyAlignment="1">
      <alignment horizontal="left" vertical="top" shrinkToFit="1"/>
    </xf>
    <xf numFmtId="0" fontId="4" fillId="0" borderId="0" xfId="0" applyFont="1" applyBorder="1" applyAlignment="1">
      <alignment horizontal="left" vertical="top" shrinkToFit="1"/>
    </xf>
    <xf numFmtId="0" fontId="4" fillId="0" borderId="10" xfId="0" applyFont="1" applyBorder="1" applyAlignment="1">
      <alignment horizontal="left" vertical="top" shrinkToFit="1"/>
    </xf>
    <xf numFmtId="0" fontId="4" fillId="0" borderId="0" xfId="0" applyFont="1" applyAlignment="1">
      <alignment horizontal="left" vertical="top" shrinkToFit="1"/>
    </xf>
    <xf numFmtId="0" fontId="4" fillId="0" borderId="11" xfId="0" applyFont="1" applyBorder="1" applyAlignment="1">
      <alignment horizontal="left" vertical="top" shrinkToFit="1"/>
    </xf>
    <xf numFmtId="0" fontId="4" fillId="0" borderId="6" xfId="0" applyFont="1" applyBorder="1" applyAlignment="1">
      <alignment horizontal="left" vertical="top" shrinkToFit="1"/>
    </xf>
    <xf numFmtId="0" fontId="4" fillId="0" borderId="12" xfId="0" applyFont="1" applyBorder="1" applyAlignment="1">
      <alignment horizontal="left" vertical="top" shrinkToFit="1"/>
    </xf>
    <xf numFmtId="0" fontId="4" fillId="0" borderId="22" xfId="0" applyFont="1" applyBorder="1" applyAlignment="1">
      <alignment horizontal="left" vertical="center" wrapText="1" shrinkToFit="1"/>
    </xf>
    <xf numFmtId="0" fontId="4" fillId="0" borderId="22"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39" xfId="0" applyFont="1" applyBorder="1" applyAlignment="1">
      <alignment horizontal="left" vertical="center" wrapText="1" shrinkToFit="1"/>
    </xf>
    <xf numFmtId="0" fontId="4" fillId="0" borderId="6" xfId="0" applyFont="1" applyBorder="1" applyAlignment="1">
      <alignment horizontal="left" vertical="center" wrapText="1" shrinkToFit="1"/>
    </xf>
    <xf numFmtId="0" fontId="4" fillId="0" borderId="6"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41" xfId="0" applyFont="1" applyBorder="1" applyAlignment="1">
      <alignment horizontal="left" vertical="center" wrapText="1"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4" fillId="0" borderId="42" xfId="0" applyFont="1" applyBorder="1" applyAlignment="1">
      <alignment vertical="center" shrinkToFit="1"/>
    </xf>
    <xf numFmtId="0" fontId="4" fillId="0" borderId="40" xfId="0" applyFont="1" applyBorder="1" applyAlignment="1">
      <alignment horizontal="center" vertical="center" shrinkToFit="1"/>
    </xf>
    <xf numFmtId="0" fontId="4" fillId="0" borderId="41" xfId="0" applyFont="1" applyBorder="1" applyAlignment="1">
      <alignment horizontal="center" vertical="center" shrinkToFit="1"/>
    </xf>
    <xf numFmtId="0" fontId="4" fillId="0" borderId="42"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7" xfId="0" applyFont="1" applyBorder="1" applyAlignment="1">
      <alignment vertical="center" wrapText="1" shrinkToFit="1"/>
    </xf>
    <xf numFmtId="0" fontId="4" fillId="0" borderId="8" xfId="0" applyFont="1" applyBorder="1" applyAlignment="1">
      <alignment vertical="center" wrapText="1" shrinkToFit="1"/>
    </xf>
    <xf numFmtId="0" fontId="4" fillId="0" borderId="9" xfId="0" applyFont="1" applyBorder="1" applyAlignment="1">
      <alignment vertical="center" wrapText="1" shrinkToFit="1"/>
    </xf>
    <xf numFmtId="0" fontId="4" fillId="0" borderId="5" xfId="0" applyFont="1" applyBorder="1" applyAlignment="1">
      <alignment vertical="center" wrapText="1" shrinkToFit="1"/>
    </xf>
    <xf numFmtId="0" fontId="4" fillId="0" borderId="0" xfId="0" applyFont="1" applyBorder="1" applyAlignment="1">
      <alignment vertical="center" wrapText="1" shrinkToFit="1"/>
    </xf>
    <xf numFmtId="0" fontId="4" fillId="0" borderId="10" xfId="0" applyFont="1" applyBorder="1" applyAlignment="1">
      <alignment vertical="center" wrapText="1" shrinkToFit="1"/>
    </xf>
    <xf numFmtId="0" fontId="4" fillId="0" borderId="11" xfId="0" applyFont="1" applyBorder="1" applyAlignment="1">
      <alignment vertical="center" wrapText="1" shrinkToFit="1"/>
    </xf>
    <xf numFmtId="0" fontId="4" fillId="0" borderId="12" xfId="0" applyFont="1" applyBorder="1" applyAlignment="1">
      <alignment vertical="center" wrapText="1" shrinkToFit="1"/>
    </xf>
    <xf numFmtId="0" fontId="12" fillId="0" borderId="2" xfId="2" applyFont="1" applyBorder="1" applyAlignment="1">
      <alignment vertical="center" shrinkToFit="1"/>
    </xf>
    <xf numFmtId="0" fontId="4" fillId="0" borderId="4" xfId="0" applyFont="1" applyBorder="1" applyAlignment="1">
      <alignment vertical="center" shrinkToFit="1"/>
    </xf>
    <xf numFmtId="0" fontId="4" fillId="0" borderId="0" xfId="0" applyFont="1" applyAlignment="1">
      <alignment horizontal="center" vertical="center"/>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5" xfId="0" applyFont="1" applyBorder="1" applyAlignment="1">
      <alignment vertical="center" wrapText="1"/>
    </xf>
    <xf numFmtId="0" fontId="4" fillId="0" borderId="0"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3" fillId="0" borderId="2" xfId="2" applyBorder="1" applyAlignment="1">
      <alignment vertical="center" shrinkToFit="1"/>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3" fillId="0" borderId="8" xfId="0"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wrapText="1"/>
    </xf>
    <xf numFmtId="0" fontId="13" fillId="0" borderId="11" xfId="0" applyFont="1" applyBorder="1" applyAlignment="1">
      <alignment horizontal="center" vertical="center"/>
    </xf>
    <xf numFmtId="0" fontId="4" fillId="0" borderId="14" xfId="0" applyFont="1" applyBorder="1" applyAlignment="1">
      <alignment horizontal="center" vertical="center"/>
    </xf>
    <xf numFmtId="0" fontId="14" fillId="0" borderId="15" xfId="0" applyFont="1" applyBorder="1" applyAlignment="1">
      <alignment horizontal="center" vertical="center" wrapText="1"/>
    </xf>
    <xf numFmtId="0" fontId="14" fillId="0" borderId="13" xfId="0" applyFont="1" applyBorder="1" applyAlignment="1">
      <alignment horizontal="center" vertical="center"/>
    </xf>
    <xf numFmtId="0" fontId="13" fillId="0" borderId="9" xfId="0" applyFont="1" applyBorder="1" applyAlignment="1">
      <alignment horizontal="center" vertical="center"/>
    </xf>
    <xf numFmtId="0" fontId="13" fillId="0" borderId="12" xfId="0" applyFont="1" applyBorder="1" applyAlignment="1">
      <alignment horizontal="center" vertical="center"/>
    </xf>
    <xf numFmtId="0" fontId="4" fillId="0" borderId="16" xfId="0" applyFont="1" applyBorder="1" applyAlignment="1">
      <alignment vertical="top" wrapText="1" shrinkToFit="1"/>
    </xf>
    <xf numFmtId="0" fontId="4" fillId="0" borderId="22" xfId="0" applyFont="1" applyBorder="1" applyAlignment="1">
      <alignment vertical="top" shrinkToFit="1"/>
    </xf>
    <xf numFmtId="0" fontId="4" fillId="0" borderId="21"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7" xfId="0" applyFont="1" applyBorder="1" applyAlignment="1">
      <alignment vertical="top" wrapText="1" shrinkToFit="1"/>
    </xf>
    <xf numFmtId="0" fontId="4" fillId="0" borderId="8"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6" xfId="0" applyFont="1" applyBorder="1">
      <alignment vertical="center"/>
    </xf>
    <xf numFmtId="0" fontId="4" fillId="0" borderId="17" xfId="0" applyFont="1" applyBorder="1">
      <alignment vertical="center"/>
    </xf>
    <xf numFmtId="0" fontId="8" fillId="0" borderId="18" xfId="0" applyFont="1" applyBorder="1">
      <alignment vertical="center"/>
    </xf>
    <xf numFmtId="0" fontId="4" fillId="0" borderId="19" xfId="0" applyFont="1" applyBorder="1" applyAlignment="1">
      <alignment vertical="top" wrapText="1" shrinkToFit="1"/>
    </xf>
    <xf numFmtId="0" fontId="4" fillId="0" borderId="20" xfId="0" applyFont="1" applyBorder="1" applyAlignment="1">
      <alignment vertical="top" wrapText="1" shrinkToFit="1"/>
    </xf>
    <xf numFmtId="0" fontId="4" fillId="0" borderId="18" xfId="0" applyFont="1" applyBorder="1" applyAlignment="1">
      <alignment vertical="top" wrapText="1" shrinkToFit="1"/>
    </xf>
    <xf numFmtId="0" fontId="4" fillId="0" borderId="17" xfId="0" applyFont="1" applyBorder="1" applyAlignment="1">
      <alignment vertical="center" wrapText="1"/>
    </xf>
    <xf numFmtId="0" fontId="4" fillId="0" borderId="18" xfId="0" applyFont="1" applyBorder="1" applyAlignment="1">
      <alignment vertical="center" wrapText="1"/>
    </xf>
    <xf numFmtId="0" fontId="12" fillId="0" borderId="2" xfId="2" applyFont="1"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4" fillId="0" borderId="19" xfId="0" applyFont="1" applyBorder="1" applyAlignment="1">
      <alignment vertical="center" wrapText="1"/>
    </xf>
    <xf numFmtId="0" fontId="4" fillId="0" borderId="20" xfId="0" applyFont="1" applyBorder="1" applyAlignment="1">
      <alignment vertical="center" wrapText="1"/>
    </xf>
    <xf numFmtId="176" fontId="15" fillId="0" borderId="19" xfId="0" applyNumberFormat="1" applyFont="1" applyBorder="1" applyAlignment="1">
      <alignment vertical="center" shrinkToFit="1"/>
    </xf>
    <xf numFmtId="176" fontId="15" fillId="0" borderId="33" xfId="0" applyNumberFormat="1" applyFont="1" applyBorder="1" applyAlignment="1">
      <alignment vertical="center" shrinkToFit="1"/>
    </xf>
    <xf numFmtId="0" fontId="15" fillId="0" borderId="2" xfId="0" applyFont="1" applyBorder="1" applyAlignment="1">
      <alignment horizontal="center" vertical="center" shrinkToFit="1"/>
    </xf>
    <xf numFmtId="0" fontId="15" fillId="0" borderId="3" xfId="0" applyFont="1" applyBorder="1" applyAlignment="1">
      <alignment horizontal="center" vertical="center" shrinkToFit="1"/>
    </xf>
    <xf numFmtId="0" fontId="15" fillId="0" borderId="4" xfId="0" applyFont="1" applyBorder="1" applyAlignment="1">
      <alignment horizontal="center" vertical="center" shrinkToFit="1"/>
    </xf>
    <xf numFmtId="0" fontId="15" fillId="0" borderId="7" xfId="0" applyFont="1" applyBorder="1" applyAlignment="1">
      <alignment vertical="top" wrapText="1" shrinkToFit="1"/>
    </xf>
    <xf numFmtId="0" fontId="15" fillId="0" borderId="8" xfId="0" applyFont="1" applyBorder="1" applyAlignment="1">
      <alignment vertical="top" wrapText="1" shrinkToFit="1"/>
    </xf>
    <xf numFmtId="0" fontId="15" fillId="0" borderId="8" xfId="0" applyFont="1" applyBorder="1" applyAlignment="1">
      <alignment vertical="top" shrinkToFit="1"/>
    </xf>
    <xf numFmtId="0" fontId="15" fillId="0" borderId="9" xfId="0" applyFont="1" applyBorder="1" applyAlignment="1">
      <alignment vertical="top" shrinkToFit="1"/>
    </xf>
    <xf numFmtId="0" fontId="15" fillId="0" borderId="5" xfId="0" applyFont="1" applyBorder="1" applyAlignment="1">
      <alignment vertical="top" shrinkToFit="1"/>
    </xf>
    <xf numFmtId="0" fontId="15" fillId="0" borderId="0" xfId="0" applyFont="1" applyAlignment="1">
      <alignment vertical="top" shrinkToFit="1"/>
    </xf>
    <xf numFmtId="0" fontId="15" fillId="0" borderId="10" xfId="0" applyFont="1" applyBorder="1" applyAlignment="1">
      <alignment vertical="top" shrinkToFit="1"/>
    </xf>
    <xf numFmtId="0" fontId="15" fillId="0" borderId="11" xfId="0" applyFont="1" applyBorder="1" applyAlignment="1">
      <alignment vertical="top" shrinkToFit="1"/>
    </xf>
    <xf numFmtId="0" fontId="15" fillId="0" borderId="6" xfId="0" applyFont="1" applyBorder="1" applyAlignment="1">
      <alignment vertical="top" shrinkToFit="1"/>
    </xf>
    <xf numFmtId="0" fontId="15"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imu3@sec.nagoya-c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agoya-cu.ac.jp/education/guide/liberal-art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nagoya-cu.ac.jp/education/guide/liberal-arts/"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nagoya-cu.ac.jp/education/guide/liberal-arts/"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nagoya-cu.ac.jp/education/guide/liberal-art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nagoya-cu.ac.jp/education/guide/liberal-a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D6" sqref="D6:H6"/>
    </sheetView>
  </sheetViews>
  <sheetFormatPr defaultColWidth="9" defaultRowHeight="18.75" customHeight="1"/>
  <cols>
    <col min="1" max="1" width="3.33203125" style="4" customWidth="1"/>
    <col min="2" max="2" width="11.109375" style="4" customWidth="1"/>
    <col min="3" max="8" width="6.6640625" style="4" customWidth="1"/>
    <col min="9" max="9" width="3.33203125" style="4" customWidth="1"/>
    <col min="10" max="10" width="10" style="4" customWidth="1"/>
    <col min="11" max="11" width="3.33203125" style="4" customWidth="1"/>
    <col min="12" max="12" width="7.77734375" style="4" customWidth="1"/>
    <col min="13" max="13" width="3.33203125" style="4" customWidth="1"/>
    <col min="14" max="14" width="4.44140625" style="4" customWidth="1"/>
    <col min="15" max="16384" width="9" style="4"/>
  </cols>
  <sheetData>
    <row r="1" spans="1:15" ht="24" customHeight="1">
      <c r="M1" s="121" t="s">
        <v>25</v>
      </c>
      <c r="N1" s="121"/>
    </row>
    <row r="2" spans="1:15" ht="24" customHeight="1">
      <c r="A2" s="125" t="s">
        <v>83</v>
      </c>
      <c r="B2" s="125"/>
      <c r="C2" s="125"/>
      <c r="D2" s="125"/>
      <c r="E2" s="125"/>
      <c r="F2" s="125"/>
      <c r="G2" s="125"/>
      <c r="H2" s="125"/>
      <c r="I2" s="125"/>
      <c r="J2" s="125"/>
      <c r="K2" s="125"/>
      <c r="L2" s="125"/>
      <c r="M2" s="125"/>
      <c r="N2" s="125"/>
    </row>
    <row r="3" spans="1:15" ht="24" customHeight="1"/>
    <row r="4" spans="1:15" ht="24" customHeight="1">
      <c r="A4" s="4" t="s">
        <v>6</v>
      </c>
      <c r="B4" s="5" t="s">
        <v>16</v>
      </c>
      <c r="C4" s="111" t="s">
        <v>180</v>
      </c>
      <c r="D4" s="112"/>
      <c r="E4" s="112"/>
      <c r="F4" s="112"/>
      <c r="G4" s="112"/>
      <c r="H4" s="112"/>
      <c r="I4" s="112"/>
      <c r="J4" s="112"/>
      <c r="K4" s="112"/>
      <c r="L4" s="112"/>
      <c r="M4" s="112"/>
      <c r="N4" s="113"/>
      <c r="O4" s="4" t="str">
        <f>IF(C4="","入力してください","")</f>
        <v/>
      </c>
    </row>
    <row r="5" spans="1:15" ht="7.5" customHeight="1">
      <c r="B5" s="5"/>
      <c r="C5" s="5"/>
      <c r="D5" s="5"/>
      <c r="E5" s="6"/>
      <c r="F5" s="61"/>
      <c r="G5" s="61"/>
      <c r="H5" s="61"/>
      <c r="I5" s="61"/>
      <c r="J5" s="61"/>
      <c r="K5" s="61"/>
      <c r="L5" s="61"/>
      <c r="M5" s="61"/>
      <c r="N5" s="61"/>
    </row>
    <row r="6" spans="1:15" ht="24" customHeight="1">
      <c r="A6" s="4" t="s">
        <v>48</v>
      </c>
      <c r="B6" s="5" t="s">
        <v>49</v>
      </c>
      <c r="C6" s="5"/>
      <c r="D6" s="276" t="s">
        <v>253</v>
      </c>
      <c r="E6" s="277"/>
      <c r="F6" s="277"/>
      <c r="G6" s="277"/>
      <c r="H6" s="278"/>
      <c r="I6" s="7" t="s">
        <v>86</v>
      </c>
      <c r="J6" s="61" t="s">
        <v>87</v>
      </c>
      <c r="K6" s="111" t="s">
        <v>181</v>
      </c>
      <c r="L6" s="112"/>
      <c r="M6" s="112"/>
      <c r="N6" s="113"/>
      <c r="O6" s="4" t="str">
        <f>IF(D6="","入力してください","")</f>
        <v/>
      </c>
    </row>
    <row r="7" spans="1:15" ht="7.5" customHeight="1">
      <c r="B7" s="5"/>
      <c r="C7" s="5"/>
      <c r="D7" s="5"/>
      <c r="E7" s="6"/>
      <c r="F7" s="61"/>
      <c r="G7" s="61"/>
      <c r="H7" s="61"/>
      <c r="I7" s="61"/>
      <c r="J7" s="61"/>
      <c r="K7" s="61"/>
      <c r="L7" s="61"/>
      <c r="M7" s="61"/>
      <c r="N7" s="61"/>
    </row>
    <row r="8" spans="1:15" ht="24" customHeight="1">
      <c r="A8" s="4" t="s">
        <v>13</v>
      </c>
      <c r="B8" s="5" t="s">
        <v>45</v>
      </c>
      <c r="C8" s="111" t="s">
        <v>182</v>
      </c>
      <c r="D8" s="112"/>
      <c r="E8" s="112"/>
      <c r="F8" s="112"/>
      <c r="G8" s="112"/>
      <c r="H8" s="112"/>
      <c r="I8" s="112"/>
      <c r="J8" s="112"/>
      <c r="K8" s="112"/>
      <c r="L8" s="112"/>
      <c r="M8" s="112"/>
      <c r="N8" s="113"/>
      <c r="O8" s="4" t="str">
        <f>IF(C8="","入力してください","")</f>
        <v/>
      </c>
    </row>
    <row r="9" spans="1:15" ht="7.5" customHeight="1">
      <c r="B9" s="5"/>
      <c r="C9" s="5"/>
      <c r="D9" s="5"/>
      <c r="E9" s="6"/>
      <c r="F9" s="61"/>
      <c r="G9" s="61"/>
      <c r="H9" s="61"/>
      <c r="I9" s="61"/>
      <c r="J9" s="61"/>
      <c r="K9" s="61"/>
      <c r="L9" s="61"/>
      <c r="M9" s="61"/>
      <c r="N9" s="61"/>
    </row>
    <row r="10" spans="1:15" ht="24" customHeight="1">
      <c r="A10" s="4" t="s">
        <v>11</v>
      </c>
      <c r="B10" s="5" t="s">
        <v>85</v>
      </c>
      <c r="C10" s="5"/>
      <c r="D10" s="5"/>
      <c r="E10" s="111" t="s">
        <v>219</v>
      </c>
      <c r="F10" s="112"/>
      <c r="G10" s="112"/>
      <c r="H10" s="112"/>
      <c r="I10" s="112"/>
      <c r="J10" s="112"/>
      <c r="K10" s="112"/>
      <c r="L10" s="112"/>
      <c r="M10" s="112"/>
      <c r="N10" s="113"/>
      <c r="O10" s="4" t="str">
        <f>IF(E10="","入力してください","")</f>
        <v/>
      </c>
    </row>
    <row r="11" spans="1:15" ht="7.5" customHeight="1">
      <c r="B11" s="6"/>
      <c r="C11" s="6"/>
      <c r="D11" s="6"/>
      <c r="E11" s="6"/>
      <c r="F11" s="61"/>
      <c r="G11" s="61"/>
      <c r="H11" s="61"/>
      <c r="I11" s="61"/>
      <c r="J11" s="61"/>
      <c r="K11" s="61"/>
      <c r="L11" s="61"/>
      <c r="M11" s="61"/>
      <c r="N11" s="61"/>
    </row>
    <row r="12" spans="1:15" ht="24" customHeight="1">
      <c r="A12" s="4" t="s">
        <v>58</v>
      </c>
      <c r="B12" s="6" t="s">
        <v>59</v>
      </c>
      <c r="C12" s="6"/>
      <c r="D12" s="6"/>
      <c r="E12" s="126" t="s">
        <v>183</v>
      </c>
      <c r="F12" s="127"/>
      <c r="G12" s="7" t="s">
        <v>96</v>
      </c>
      <c r="H12" s="4" t="s">
        <v>97</v>
      </c>
      <c r="N12" s="46" t="s">
        <v>184</v>
      </c>
      <c r="O12" s="4" t="str">
        <f>IF(E12="","入力してください","")</f>
        <v/>
      </c>
    </row>
    <row r="13" spans="1:15" ht="7.5" customHeight="1">
      <c r="B13" s="6"/>
      <c r="C13" s="6"/>
      <c r="D13" s="6"/>
      <c r="E13" s="6"/>
      <c r="F13" s="61"/>
      <c r="G13" s="61"/>
      <c r="H13" s="61"/>
      <c r="I13" s="61"/>
      <c r="J13" s="61"/>
      <c r="K13" s="61"/>
      <c r="L13" s="61"/>
      <c r="M13" s="61"/>
      <c r="N13" s="61"/>
    </row>
    <row r="14" spans="1:15" ht="24" customHeight="1">
      <c r="A14" s="4" t="s">
        <v>53</v>
      </c>
      <c r="B14" s="4" t="s">
        <v>0</v>
      </c>
      <c r="C14" s="122" t="s">
        <v>5</v>
      </c>
      <c r="D14" s="123"/>
      <c r="E14" s="114">
        <v>660</v>
      </c>
      <c r="F14" s="115"/>
      <c r="G14" s="8" t="s">
        <v>7</v>
      </c>
      <c r="I14" s="122" t="s">
        <v>8</v>
      </c>
      <c r="J14" s="123"/>
      <c r="K14" s="114">
        <v>644</v>
      </c>
      <c r="L14" s="124"/>
      <c r="M14" s="115"/>
      <c r="N14" s="9" t="s">
        <v>7</v>
      </c>
      <c r="O14" s="4" t="str">
        <f>IF(OR(E14="",K14=""),"入力してください","")</f>
        <v/>
      </c>
    </row>
    <row r="15" spans="1:15" ht="7.5" customHeight="1">
      <c r="F15" s="10"/>
      <c r="G15" s="10"/>
      <c r="H15" s="10"/>
      <c r="I15" s="10"/>
      <c r="J15" s="10"/>
      <c r="K15" s="10"/>
      <c r="L15" s="10"/>
      <c r="M15" s="9"/>
      <c r="N15" s="9"/>
    </row>
    <row r="16" spans="1:15" ht="24" customHeight="1">
      <c r="A16" s="4" t="s">
        <v>60</v>
      </c>
      <c r="B16" s="4" t="s">
        <v>70</v>
      </c>
      <c r="F16" s="10"/>
      <c r="G16" s="10"/>
      <c r="H16" s="10"/>
      <c r="I16" s="10"/>
      <c r="J16" s="10"/>
      <c r="K16" s="128">
        <v>10</v>
      </c>
      <c r="L16" s="129"/>
      <c r="M16" s="130"/>
      <c r="N16" s="9" t="s">
        <v>51</v>
      </c>
      <c r="O16" s="4" t="str">
        <f>IF(K16="","入力してください","")</f>
        <v/>
      </c>
    </row>
    <row r="17" spans="1:15" ht="7.5" customHeight="1">
      <c r="F17" s="10"/>
      <c r="G17" s="10"/>
      <c r="H17" s="10"/>
      <c r="I17" s="10"/>
      <c r="J17" s="10"/>
      <c r="K17" s="10"/>
      <c r="L17" s="10"/>
      <c r="M17" s="9"/>
      <c r="N17" s="9"/>
    </row>
    <row r="18" spans="1:15" ht="24" customHeight="1">
      <c r="A18" s="4" t="s">
        <v>24</v>
      </c>
      <c r="B18" s="4" t="s">
        <v>77</v>
      </c>
      <c r="E18" s="114">
        <v>859</v>
      </c>
      <c r="F18" s="115"/>
      <c r="G18" s="11" t="s">
        <v>21</v>
      </c>
      <c r="H18" s="10"/>
      <c r="K18" s="134"/>
      <c r="L18" s="134"/>
      <c r="M18" s="134"/>
      <c r="N18" s="134"/>
      <c r="O18" s="4" t="str">
        <f>IF(E18="","入力してください","")</f>
        <v/>
      </c>
    </row>
    <row r="19" spans="1:15" ht="7.5" customHeight="1">
      <c r="E19" s="1"/>
      <c r="F19" s="10"/>
      <c r="G19" s="10"/>
      <c r="L19" s="60"/>
      <c r="M19" s="60"/>
      <c r="N19" s="12"/>
    </row>
    <row r="20" spans="1:15" ht="24" customHeight="1">
      <c r="A20" s="4" t="s">
        <v>76</v>
      </c>
      <c r="B20" s="4" t="s">
        <v>78</v>
      </c>
      <c r="E20" s="1"/>
      <c r="F20" s="10"/>
      <c r="G20" s="10"/>
      <c r="H20" s="4" t="s">
        <v>52</v>
      </c>
      <c r="J20" s="131">
        <v>3883</v>
      </c>
      <c r="K20" s="132"/>
      <c r="L20" s="133"/>
      <c r="M20" s="60" t="s">
        <v>51</v>
      </c>
      <c r="N20" s="12"/>
      <c r="O20" s="4" t="str">
        <f>IF(J20="","入力してください","")</f>
        <v/>
      </c>
    </row>
    <row r="21" spans="1:15" ht="7.5" customHeight="1">
      <c r="E21" s="1"/>
      <c r="F21" s="10"/>
      <c r="G21" s="10"/>
      <c r="L21" s="60"/>
      <c r="M21" s="60"/>
      <c r="N21" s="12"/>
    </row>
    <row r="22" spans="1:15" ht="24" customHeight="1">
      <c r="B22" s="72" t="s">
        <v>17</v>
      </c>
      <c r="C22" s="114">
        <v>882</v>
      </c>
      <c r="D22" s="115"/>
      <c r="E22" s="1" t="s">
        <v>22</v>
      </c>
      <c r="F22" s="10"/>
      <c r="G22" s="110" t="s">
        <v>18</v>
      </c>
      <c r="H22" s="110"/>
      <c r="I22" s="114">
        <v>882</v>
      </c>
      <c r="J22" s="115"/>
      <c r="K22" s="7" t="s">
        <v>22</v>
      </c>
      <c r="M22" s="60"/>
      <c r="N22" s="12"/>
    </row>
    <row r="23" spans="1:15" ht="7.5" customHeight="1">
      <c r="B23" s="72"/>
      <c r="C23" s="2"/>
      <c r="D23" s="2"/>
      <c r="E23" s="1"/>
      <c r="F23" s="10"/>
      <c r="G23" s="60"/>
      <c r="H23" s="60"/>
      <c r="I23" s="2"/>
      <c r="J23" s="2"/>
      <c r="K23" s="7"/>
      <c r="M23" s="60"/>
      <c r="N23" s="12"/>
    </row>
    <row r="24" spans="1:15" ht="24" customHeight="1">
      <c r="B24" s="72" t="s">
        <v>19</v>
      </c>
      <c r="C24" s="114">
        <v>883</v>
      </c>
      <c r="D24" s="115"/>
      <c r="E24" s="1" t="s">
        <v>22</v>
      </c>
      <c r="F24" s="10"/>
      <c r="G24" s="110" t="s">
        <v>20</v>
      </c>
      <c r="H24" s="110"/>
      <c r="I24" s="114">
        <v>931</v>
      </c>
      <c r="J24" s="115"/>
      <c r="K24" s="7" t="s">
        <v>22</v>
      </c>
      <c r="M24" s="60"/>
      <c r="N24" s="12"/>
    </row>
    <row r="25" spans="1:15" ht="7.5" customHeight="1">
      <c r="B25" s="72"/>
      <c r="C25" s="2"/>
      <c r="D25" s="2"/>
      <c r="E25" s="1"/>
      <c r="F25" s="10"/>
      <c r="G25" s="60"/>
      <c r="H25" s="60"/>
      <c r="I25" s="2"/>
      <c r="J25" s="2"/>
      <c r="K25" s="7"/>
      <c r="M25" s="60"/>
      <c r="N25" s="12"/>
    </row>
    <row r="26" spans="1:15" ht="24" customHeight="1">
      <c r="B26" s="72" t="s">
        <v>46</v>
      </c>
      <c r="C26" s="114">
        <v>138</v>
      </c>
      <c r="D26" s="115"/>
      <c r="E26" s="1" t="s">
        <v>7</v>
      </c>
      <c r="F26" s="10"/>
      <c r="G26" s="110" t="s">
        <v>47</v>
      </c>
      <c r="H26" s="110"/>
      <c r="I26" s="114">
        <v>167</v>
      </c>
      <c r="J26" s="115"/>
      <c r="K26" s="7" t="s">
        <v>7</v>
      </c>
      <c r="M26" s="60"/>
      <c r="N26" s="12"/>
    </row>
    <row r="27" spans="1:15" ht="7.5" customHeight="1">
      <c r="F27" s="10"/>
      <c r="G27" s="10"/>
      <c r="M27" s="13"/>
      <c r="N27" s="13"/>
    </row>
    <row r="28" spans="1:15" ht="24" customHeight="1">
      <c r="A28" s="4" t="s">
        <v>50</v>
      </c>
      <c r="B28" s="5" t="s">
        <v>75</v>
      </c>
      <c r="C28" s="5"/>
      <c r="D28" s="5"/>
      <c r="E28" s="5"/>
      <c r="F28" s="7"/>
      <c r="G28" s="61"/>
      <c r="H28" s="61"/>
      <c r="I28" s="61"/>
      <c r="J28" s="71"/>
      <c r="K28" s="71"/>
      <c r="L28" s="71"/>
      <c r="M28" s="71"/>
      <c r="N28" s="71"/>
    </row>
    <row r="29" spans="1:15" ht="24" customHeight="1">
      <c r="B29" s="118" t="s">
        <v>74</v>
      </c>
      <c r="C29" s="118"/>
      <c r="D29" s="111" t="s">
        <v>189</v>
      </c>
      <c r="E29" s="112"/>
      <c r="F29" s="112"/>
      <c r="G29" s="119" t="s">
        <v>23</v>
      </c>
      <c r="H29" s="118"/>
      <c r="I29" s="120"/>
      <c r="J29" s="111" t="s">
        <v>190</v>
      </c>
      <c r="K29" s="112"/>
      <c r="L29" s="112"/>
      <c r="M29" s="112"/>
      <c r="N29" s="113"/>
      <c r="O29" s="4" t="str">
        <f>IF(OR(D29="",J29=""),"入力してください","")</f>
        <v/>
      </c>
    </row>
    <row r="30" spans="1:15" ht="7.5" customHeight="1">
      <c r="F30" s="10"/>
      <c r="G30" s="10"/>
      <c r="M30" s="13"/>
      <c r="N30" s="13"/>
    </row>
    <row r="31" spans="1:15" ht="24" customHeight="1">
      <c r="A31" s="4" t="s">
        <v>54</v>
      </c>
      <c r="B31" s="5" t="s">
        <v>80</v>
      </c>
      <c r="C31" s="5"/>
      <c r="D31" s="5"/>
      <c r="E31" s="5"/>
      <c r="F31" s="7"/>
      <c r="G31" s="71"/>
      <c r="H31" s="71"/>
      <c r="I31" s="71"/>
      <c r="J31" s="71"/>
      <c r="K31" s="71"/>
      <c r="L31" s="71"/>
      <c r="M31" s="71"/>
      <c r="N31" s="71"/>
    </row>
    <row r="32" spans="1:15" ht="24" customHeight="1">
      <c r="B32" s="111" t="s">
        <v>185</v>
      </c>
      <c r="C32" s="112"/>
      <c r="D32" s="112"/>
      <c r="E32" s="112"/>
      <c r="F32" s="112"/>
      <c r="G32" s="112"/>
      <c r="H32" s="112"/>
      <c r="I32" s="112"/>
      <c r="J32" s="112"/>
      <c r="K32" s="112"/>
      <c r="L32" s="112"/>
      <c r="M32" s="112"/>
      <c r="N32" s="113"/>
      <c r="O32" s="4" t="str">
        <f>IF(B32="","入力してください","")</f>
        <v/>
      </c>
    </row>
    <row r="33" spans="1:15" ht="7.5" customHeight="1">
      <c r="B33" s="3"/>
      <c r="C33" s="3"/>
      <c r="D33" s="3"/>
      <c r="E33" s="3"/>
      <c r="F33" s="3"/>
      <c r="G33" s="3"/>
      <c r="H33" s="3"/>
      <c r="I33" s="3"/>
      <c r="J33" s="3"/>
      <c r="K33" s="3"/>
      <c r="L33" s="3"/>
      <c r="M33" s="3"/>
      <c r="N33" s="3"/>
    </row>
    <row r="34" spans="1:15" ht="24" customHeight="1">
      <c r="B34" s="118" t="s">
        <v>74</v>
      </c>
      <c r="C34" s="118"/>
      <c r="D34" s="111" t="s">
        <v>188</v>
      </c>
      <c r="E34" s="112"/>
      <c r="F34" s="112"/>
      <c r="G34" s="119" t="s">
        <v>55</v>
      </c>
      <c r="H34" s="118"/>
      <c r="I34" s="120"/>
      <c r="J34" s="111" t="s">
        <v>226</v>
      </c>
      <c r="K34" s="112"/>
      <c r="L34" s="112"/>
      <c r="M34" s="112"/>
      <c r="N34" s="113"/>
      <c r="O34" s="4" t="str">
        <f>IF(OR(D34="",J34=""),"入力してください","")</f>
        <v/>
      </c>
    </row>
    <row r="35" spans="1:15" ht="7.5" customHeight="1">
      <c r="F35" s="61"/>
      <c r="G35" s="61"/>
      <c r="H35" s="61"/>
      <c r="I35" s="61"/>
      <c r="J35" s="61"/>
      <c r="K35" s="61"/>
      <c r="L35" s="61"/>
      <c r="M35" s="61"/>
      <c r="N35" s="61"/>
    </row>
    <row r="36" spans="1:15" ht="24" customHeight="1">
      <c r="A36" s="4" t="s">
        <v>61</v>
      </c>
      <c r="B36" s="4" t="s">
        <v>81</v>
      </c>
      <c r="M36" s="13"/>
      <c r="N36" s="13"/>
    </row>
    <row r="37" spans="1:15" ht="24" customHeight="1">
      <c r="B37" s="111" t="s">
        <v>186</v>
      </c>
      <c r="C37" s="112"/>
      <c r="D37" s="112"/>
      <c r="E37" s="112"/>
      <c r="F37" s="112"/>
      <c r="G37" s="112"/>
      <c r="H37" s="112"/>
      <c r="I37" s="112"/>
      <c r="J37" s="112"/>
      <c r="K37" s="112"/>
      <c r="L37" s="112"/>
      <c r="M37" s="112"/>
      <c r="N37" s="113"/>
      <c r="O37" s="4" t="str">
        <f>IF(B37="","入力してください","")</f>
        <v/>
      </c>
    </row>
    <row r="38" spans="1:15" ht="7.5" customHeight="1">
      <c r="F38" s="61"/>
      <c r="G38" s="61"/>
      <c r="H38" s="61"/>
      <c r="I38" s="61"/>
      <c r="J38" s="61"/>
      <c r="K38" s="61"/>
      <c r="L38" s="61"/>
      <c r="M38" s="61"/>
      <c r="N38" s="61"/>
    </row>
    <row r="39" spans="1:15" ht="24" customHeight="1">
      <c r="B39" s="118" t="s">
        <v>74</v>
      </c>
      <c r="C39" s="118"/>
      <c r="D39" s="111" t="s">
        <v>189</v>
      </c>
      <c r="E39" s="112"/>
      <c r="F39" s="112"/>
      <c r="G39" s="119" t="s">
        <v>55</v>
      </c>
      <c r="H39" s="118"/>
      <c r="I39" s="120"/>
      <c r="J39" s="111" t="s">
        <v>190</v>
      </c>
      <c r="K39" s="112"/>
      <c r="L39" s="112"/>
      <c r="M39" s="112"/>
      <c r="N39" s="113"/>
      <c r="O39" s="4" t="str">
        <f>IF(OR(D39="",J39=""),"入力してください","")</f>
        <v/>
      </c>
    </row>
    <row r="40" spans="1:15" ht="7.5" customHeight="1">
      <c r="F40" s="61"/>
      <c r="G40" s="61"/>
      <c r="H40" s="61"/>
      <c r="I40" s="61"/>
      <c r="J40" s="61"/>
      <c r="K40" s="61"/>
      <c r="L40" s="61"/>
      <c r="M40" s="61"/>
      <c r="N40" s="61"/>
    </row>
    <row r="41" spans="1:15" ht="24" customHeight="1">
      <c r="A41" s="4" t="s">
        <v>88</v>
      </c>
      <c r="B41" s="18" t="s">
        <v>69</v>
      </c>
      <c r="E41" s="19"/>
      <c r="F41" s="111" t="s">
        <v>187</v>
      </c>
      <c r="G41" s="112"/>
      <c r="H41" s="112"/>
      <c r="I41" s="112"/>
      <c r="J41" s="112"/>
      <c r="K41" s="112"/>
      <c r="L41" s="112"/>
      <c r="M41" s="112"/>
      <c r="N41" s="113"/>
      <c r="O41" s="4" t="str">
        <f>IF(F41="","入力してください","")</f>
        <v/>
      </c>
    </row>
    <row r="42" spans="1:15" ht="7.5" customHeight="1">
      <c r="F42" s="61"/>
      <c r="G42" s="61"/>
      <c r="H42" s="61"/>
      <c r="I42" s="61"/>
      <c r="J42" s="61"/>
      <c r="K42" s="61"/>
      <c r="L42" s="61"/>
      <c r="M42" s="61"/>
      <c r="N42" s="61"/>
    </row>
    <row r="43" spans="1:15" ht="24" customHeight="1">
      <c r="A43" s="4" t="s">
        <v>98</v>
      </c>
    </row>
    <row r="44" spans="1:15" ht="24" customHeight="1">
      <c r="B44" s="17" t="s">
        <v>1</v>
      </c>
      <c r="C44" s="116" t="s">
        <v>192</v>
      </c>
      <c r="D44" s="117"/>
      <c r="E44" s="117"/>
      <c r="F44" s="117"/>
      <c r="G44" s="117"/>
      <c r="H44" s="117"/>
      <c r="I44" s="15" t="s">
        <v>2</v>
      </c>
      <c r="J44" s="16"/>
      <c r="K44" s="111" t="s">
        <v>227</v>
      </c>
      <c r="L44" s="112"/>
      <c r="M44" s="112"/>
      <c r="N44" s="113"/>
      <c r="O44" s="4" t="str">
        <f>IF(OR(C44="",K44=""),"入力してください","")</f>
        <v/>
      </c>
    </row>
    <row r="45" spans="1:15" ht="24" customHeight="1">
      <c r="B45" s="14" t="s">
        <v>4</v>
      </c>
      <c r="C45" s="104" t="s">
        <v>191</v>
      </c>
      <c r="D45" s="105"/>
      <c r="E45" s="105"/>
      <c r="F45" s="105"/>
      <c r="G45" s="105"/>
      <c r="H45" s="106"/>
      <c r="I45" s="15" t="s">
        <v>3</v>
      </c>
      <c r="J45" s="16"/>
      <c r="K45" s="107" t="s">
        <v>228</v>
      </c>
      <c r="L45" s="108"/>
      <c r="M45" s="108"/>
      <c r="N45" s="109"/>
      <c r="O45" s="4"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47965441-2D59-4C64-B893-CE8A56B4F418}"/>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16" zoomScaleNormal="100" zoomScaleSheetLayoutView="100" workbookViewId="0">
      <selection activeCell="B98" sqref="B98:Z98"/>
    </sheetView>
  </sheetViews>
  <sheetFormatPr defaultColWidth="9" defaultRowHeight="18.75" customHeight="1"/>
  <cols>
    <col min="1" max="1" width="2.44140625" style="4" customWidth="1"/>
    <col min="2" max="2" width="27.77734375" style="4" customWidth="1"/>
    <col min="3" max="13" width="3.33203125" style="4" customWidth="1"/>
    <col min="14" max="14" width="8.88671875" style="4" customWidth="1"/>
    <col min="15" max="15" width="18.88671875" style="4" customWidth="1"/>
    <col min="16" max="19" width="3.33203125" style="4" customWidth="1"/>
    <col min="20" max="20" width="3.44140625" style="4" customWidth="1"/>
    <col min="21" max="26" width="3.33203125" style="4" customWidth="1"/>
    <col min="27" max="16384" width="9" style="4"/>
  </cols>
  <sheetData>
    <row r="1" spans="1:26" ht="15" customHeight="1">
      <c r="W1" s="217" t="s">
        <v>157</v>
      </c>
      <c r="X1" s="217"/>
      <c r="Y1" s="217"/>
      <c r="Z1" s="217"/>
    </row>
    <row r="2" spans="1:26" ht="18" customHeight="1">
      <c r="A2" s="179" t="s">
        <v>67</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5" customHeight="1">
      <c r="B3" s="72"/>
      <c r="C3" s="72"/>
      <c r="D3" s="72"/>
      <c r="E3" s="72"/>
      <c r="F3" s="72"/>
      <c r="G3" s="72"/>
      <c r="H3" s="72"/>
      <c r="I3" s="72"/>
      <c r="J3" s="72"/>
      <c r="K3" s="72"/>
      <c r="L3" s="72"/>
      <c r="M3" s="72"/>
      <c r="N3" s="72"/>
      <c r="O3" s="72"/>
      <c r="P3" s="72"/>
      <c r="Q3" s="72"/>
      <c r="R3" s="72"/>
      <c r="S3" s="72"/>
      <c r="T3" s="72"/>
      <c r="U3" s="72"/>
      <c r="V3" s="72"/>
      <c r="W3" s="72"/>
      <c r="X3" s="72"/>
      <c r="Y3" s="72"/>
      <c r="Z3" s="72"/>
    </row>
    <row r="4" spans="1:26" ht="18" customHeight="1">
      <c r="A4" s="4" t="s">
        <v>99</v>
      </c>
      <c r="B4" s="72"/>
      <c r="C4" s="72"/>
      <c r="D4" s="72"/>
      <c r="E4" s="72"/>
      <c r="F4" s="72"/>
      <c r="G4" s="72"/>
      <c r="H4" s="5" t="s">
        <v>112</v>
      </c>
      <c r="I4" s="72"/>
      <c r="J4" s="72"/>
      <c r="K4" s="72"/>
      <c r="L4" s="72"/>
      <c r="M4" s="72"/>
      <c r="N4" s="72"/>
      <c r="O4" s="128" t="s">
        <v>148</v>
      </c>
      <c r="P4" s="129"/>
      <c r="Q4" s="129"/>
      <c r="R4" s="129"/>
      <c r="S4" s="129"/>
      <c r="T4" s="129"/>
      <c r="U4" s="129"/>
      <c r="V4" s="129"/>
      <c r="W4" s="129"/>
      <c r="X4" s="129"/>
      <c r="Y4" s="129"/>
      <c r="Z4" s="130"/>
    </row>
    <row r="5" spans="1:26" ht="6" customHeight="1">
      <c r="B5" s="72"/>
      <c r="C5" s="72"/>
      <c r="D5" s="72"/>
      <c r="E5" s="72"/>
      <c r="F5" s="72"/>
      <c r="G5" s="72"/>
      <c r="H5" s="72"/>
      <c r="I5" s="72"/>
      <c r="J5" s="72"/>
      <c r="K5" s="72"/>
      <c r="L5" s="72"/>
      <c r="M5" s="72"/>
      <c r="N5" s="72"/>
      <c r="O5" s="6"/>
      <c r="P5" s="72"/>
      <c r="Q5" s="72"/>
      <c r="R5" s="72"/>
      <c r="S5" s="72"/>
      <c r="T5" s="72"/>
      <c r="U5" s="72"/>
      <c r="V5" s="72"/>
      <c r="W5" s="72"/>
      <c r="X5" s="72"/>
      <c r="Y5" s="72"/>
      <c r="Z5" s="72"/>
    </row>
    <row r="6" spans="1:26" ht="18" customHeight="1">
      <c r="B6" s="180" t="s">
        <v>220</v>
      </c>
      <c r="C6" s="181"/>
      <c r="D6" s="181"/>
      <c r="E6" s="181"/>
      <c r="F6" s="181"/>
      <c r="G6" s="181"/>
      <c r="H6" s="181"/>
      <c r="I6" s="181"/>
      <c r="J6" s="181"/>
      <c r="K6" s="181"/>
      <c r="L6" s="181"/>
      <c r="M6" s="181"/>
      <c r="N6" s="181"/>
      <c r="O6" s="181"/>
      <c r="P6" s="181"/>
      <c r="Q6" s="181"/>
      <c r="R6" s="181"/>
      <c r="S6" s="181"/>
      <c r="T6" s="181"/>
      <c r="U6" s="181"/>
      <c r="V6" s="181"/>
      <c r="W6" s="181"/>
      <c r="X6" s="181"/>
      <c r="Y6" s="181"/>
      <c r="Z6" s="182"/>
    </row>
    <row r="7" spans="1:26" ht="18" customHeight="1">
      <c r="B7" s="183"/>
      <c r="C7" s="184"/>
      <c r="D7" s="184"/>
      <c r="E7" s="184"/>
      <c r="F7" s="184"/>
      <c r="G7" s="184"/>
      <c r="H7" s="184"/>
      <c r="I7" s="184"/>
      <c r="J7" s="184"/>
      <c r="K7" s="184"/>
      <c r="L7" s="184"/>
      <c r="M7" s="184"/>
      <c r="N7" s="184"/>
      <c r="O7" s="184"/>
      <c r="P7" s="184"/>
      <c r="Q7" s="184"/>
      <c r="R7" s="184"/>
      <c r="S7" s="184"/>
      <c r="T7" s="184"/>
      <c r="U7" s="184"/>
      <c r="V7" s="184"/>
      <c r="W7" s="184"/>
      <c r="X7" s="184"/>
      <c r="Y7" s="184"/>
      <c r="Z7" s="185"/>
    </row>
    <row r="8" spans="1:26" ht="18" customHeight="1">
      <c r="B8" s="183"/>
      <c r="C8" s="184"/>
      <c r="D8" s="184"/>
      <c r="E8" s="184"/>
      <c r="F8" s="184"/>
      <c r="G8" s="184"/>
      <c r="H8" s="184"/>
      <c r="I8" s="184"/>
      <c r="J8" s="184"/>
      <c r="K8" s="184"/>
      <c r="L8" s="184"/>
      <c r="M8" s="184"/>
      <c r="N8" s="184"/>
      <c r="O8" s="184"/>
      <c r="P8" s="184"/>
      <c r="Q8" s="184"/>
      <c r="R8" s="184"/>
      <c r="S8" s="184"/>
      <c r="T8" s="184"/>
      <c r="U8" s="184"/>
      <c r="V8" s="184"/>
      <c r="W8" s="184"/>
      <c r="X8" s="184"/>
      <c r="Y8" s="184"/>
      <c r="Z8" s="185"/>
    </row>
    <row r="9" spans="1:26" ht="18" customHeight="1">
      <c r="B9" s="183"/>
      <c r="C9" s="184"/>
      <c r="D9" s="184"/>
      <c r="E9" s="184"/>
      <c r="F9" s="184"/>
      <c r="G9" s="184"/>
      <c r="H9" s="184"/>
      <c r="I9" s="184"/>
      <c r="J9" s="184"/>
      <c r="K9" s="184"/>
      <c r="L9" s="184"/>
      <c r="M9" s="184"/>
      <c r="N9" s="184"/>
      <c r="O9" s="184"/>
      <c r="P9" s="184"/>
      <c r="Q9" s="184"/>
      <c r="R9" s="184"/>
      <c r="S9" s="184"/>
      <c r="T9" s="184"/>
      <c r="U9" s="184"/>
      <c r="V9" s="184"/>
      <c r="W9" s="184"/>
      <c r="X9" s="184"/>
      <c r="Y9" s="184"/>
      <c r="Z9" s="185"/>
    </row>
    <row r="10" spans="1:26" ht="18" customHeight="1">
      <c r="B10" s="183"/>
      <c r="C10" s="186"/>
      <c r="D10" s="186"/>
      <c r="E10" s="186"/>
      <c r="F10" s="186"/>
      <c r="G10" s="186"/>
      <c r="H10" s="186"/>
      <c r="I10" s="186"/>
      <c r="J10" s="186"/>
      <c r="K10" s="186"/>
      <c r="L10" s="186"/>
      <c r="M10" s="186"/>
      <c r="N10" s="186"/>
      <c r="O10" s="186"/>
      <c r="P10" s="186"/>
      <c r="Q10" s="186"/>
      <c r="R10" s="186"/>
      <c r="S10" s="186"/>
      <c r="T10" s="186"/>
      <c r="U10" s="186"/>
      <c r="V10" s="186"/>
      <c r="W10" s="186"/>
      <c r="X10" s="186"/>
      <c r="Y10" s="186"/>
      <c r="Z10" s="185"/>
    </row>
    <row r="11" spans="1:26" ht="18" customHeight="1">
      <c r="B11" s="187"/>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9"/>
    </row>
    <row r="12" spans="1:26" ht="7.5" customHeight="1">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8" customHeight="1">
      <c r="A13" s="175" t="s">
        <v>125</v>
      </c>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row>
    <row r="14" spans="1:26" ht="18" customHeight="1">
      <c r="A14" s="175"/>
      <c r="B14" s="175"/>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row>
    <row r="15" spans="1:26" ht="18" customHeight="1">
      <c r="B15" s="128" t="s">
        <v>100</v>
      </c>
      <c r="C15" s="129"/>
      <c r="D15" s="129"/>
      <c r="E15" s="129"/>
      <c r="F15" s="130"/>
      <c r="G15" s="17" t="s">
        <v>141</v>
      </c>
      <c r="H15" s="42" t="s">
        <v>140</v>
      </c>
      <c r="I15" s="129" t="s">
        <v>101</v>
      </c>
      <c r="J15" s="129"/>
      <c r="K15" s="129"/>
      <c r="L15" s="20" t="s">
        <v>104</v>
      </c>
      <c r="M15" s="20" t="s">
        <v>107</v>
      </c>
      <c r="N15" s="128" t="s">
        <v>100</v>
      </c>
      <c r="O15" s="129"/>
      <c r="P15" s="129"/>
      <c r="Q15" s="129"/>
      <c r="R15" s="129"/>
      <c r="S15" s="130"/>
      <c r="T15" s="17" t="s">
        <v>141</v>
      </c>
      <c r="U15" s="42" t="s">
        <v>140</v>
      </c>
      <c r="V15" s="129" t="s">
        <v>101</v>
      </c>
      <c r="W15" s="129"/>
      <c r="X15" s="129"/>
      <c r="Y15" s="20" t="s">
        <v>104</v>
      </c>
      <c r="Z15" s="20" t="s">
        <v>107</v>
      </c>
    </row>
    <row r="16" spans="1:26" ht="18" customHeight="1">
      <c r="B16" s="168" t="s">
        <v>151</v>
      </c>
      <c r="C16" s="169"/>
      <c r="D16" s="169"/>
      <c r="E16" s="169"/>
      <c r="F16" s="170"/>
      <c r="G16" s="43">
        <v>2</v>
      </c>
      <c r="H16" s="43" t="s">
        <v>152</v>
      </c>
      <c r="I16" s="162" t="s">
        <v>153</v>
      </c>
      <c r="J16" s="163"/>
      <c r="K16" s="164"/>
      <c r="L16" s="48" t="s">
        <v>152</v>
      </c>
      <c r="M16" s="48" t="s">
        <v>152</v>
      </c>
      <c r="N16" s="135"/>
      <c r="O16" s="136"/>
      <c r="P16" s="136"/>
      <c r="Q16" s="136"/>
      <c r="R16" s="136"/>
      <c r="S16" s="137"/>
      <c r="T16" s="43"/>
      <c r="U16" s="43"/>
      <c r="V16" s="162"/>
      <c r="W16" s="163"/>
      <c r="X16" s="164"/>
      <c r="Y16" s="43"/>
      <c r="Z16" s="43"/>
    </row>
    <row r="17" spans="1:26" ht="18" customHeight="1">
      <c r="B17" s="171" t="s">
        <v>154</v>
      </c>
      <c r="C17" s="159"/>
      <c r="D17" s="159"/>
      <c r="E17" s="159"/>
      <c r="F17" s="160"/>
      <c r="G17" s="44">
        <v>2</v>
      </c>
      <c r="H17" s="44"/>
      <c r="I17" s="165" t="s">
        <v>153</v>
      </c>
      <c r="J17" s="166"/>
      <c r="K17" s="167"/>
      <c r="L17" s="44" t="s">
        <v>152</v>
      </c>
      <c r="M17" s="44" t="s">
        <v>152</v>
      </c>
      <c r="N17" s="144"/>
      <c r="O17" s="142"/>
      <c r="P17" s="142"/>
      <c r="Q17" s="142"/>
      <c r="R17" s="142"/>
      <c r="S17" s="143"/>
      <c r="T17" s="44"/>
      <c r="U17" s="44"/>
      <c r="V17" s="165"/>
      <c r="W17" s="166"/>
      <c r="X17" s="167"/>
      <c r="Y17" s="44"/>
      <c r="Z17" s="44"/>
    </row>
    <row r="18" spans="1:26" ht="18" customHeight="1">
      <c r="B18" s="171"/>
      <c r="C18" s="159"/>
      <c r="D18" s="159"/>
      <c r="E18" s="159"/>
      <c r="F18" s="160"/>
      <c r="G18" s="44"/>
      <c r="H18" s="44"/>
      <c r="I18" s="165"/>
      <c r="J18" s="166"/>
      <c r="K18" s="167"/>
      <c r="L18" s="44"/>
      <c r="M18" s="44"/>
      <c r="N18" s="144"/>
      <c r="O18" s="142"/>
      <c r="P18" s="142"/>
      <c r="Q18" s="142"/>
      <c r="R18" s="142"/>
      <c r="S18" s="143"/>
      <c r="T18" s="44"/>
      <c r="U18" s="44"/>
      <c r="V18" s="165"/>
      <c r="W18" s="166"/>
      <c r="X18" s="167"/>
      <c r="Y18" s="44"/>
      <c r="Z18" s="44"/>
    </row>
    <row r="19" spans="1:26" ht="18" customHeight="1">
      <c r="B19" s="171"/>
      <c r="C19" s="159"/>
      <c r="D19" s="159"/>
      <c r="E19" s="159"/>
      <c r="F19" s="160"/>
      <c r="G19" s="44"/>
      <c r="H19" s="44"/>
      <c r="I19" s="165"/>
      <c r="J19" s="166"/>
      <c r="K19" s="167"/>
      <c r="L19" s="44"/>
      <c r="M19" s="44"/>
      <c r="N19" s="144"/>
      <c r="O19" s="142"/>
      <c r="P19" s="142"/>
      <c r="Q19" s="142"/>
      <c r="R19" s="142"/>
      <c r="S19" s="143"/>
      <c r="T19" s="44"/>
      <c r="U19" s="44"/>
      <c r="V19" s="165"/>
      <c r="W19" s="166"/>
      <c r="X19" s="167"/>
      <c r="Y19" s="44"/>
      <c r="Z19" s="44"/>
    </row>
    <row r="20" spans="1:26" ht="18" customHeight="1">
      <c r="B20" s="171"/>
      <c r="C20" s="159"/>
      <c r="D20" s="159"/>
      <c r="E20" s="159"/>
      <c r="F20" s="160"/>
      <c r="G20" s="44"/>
      <c r="H20" s="44"/>
      <c r="I20" s="165"/>
      <c r="J20" s="166"/>
      <c r="K20" s="167"/>
      <c r="L20" s="44"/>
      <c r="M20" s="44"/>
      <c r="N20" s="144"/>
      <c r="O20" s="142"/>
      <c r="P20" s="142"/>
      <c r="Q20" s="142"/>
      <c r="R20" s="142"/>
      <c r="S20" s="143"/>
      <c r="T20" s="44"/>
      <c r="U20" s="44"/>
      <c r="V20" s="165"/>
      <c r="W20" s="166"/>
      <c r="X20" s="167"/>
      <c r="Y20" s="44"/>
      <c r="Z20" s="44"/>
    </row>
    <row r="21" spans="1:26" ht="18" customHeight="1">
      <c r="A21" s="72"/>
      <c r="B21" s="171"/>
      <c r="C21" s="159"/>
      <c r="D21" s="159"/>
      <c r="E21" s="159"/>
      <c r="F21" s="160"/>
      <c r="G21" s="44"/>
      <c r="H21" s="44"/>
      <c r="I21" s="165"/>
      <c r="J21" s="166"/>
      <c r="K21" s="167"/>
      <c r="L21" s="44"/>
      <c r="M21" s="44"/>
      <c r="N21" s="144"/>
      <c r="O21" s="142"/>
      <c r="P21" s="142"/>
      <c r="Q21" s="142"/>
      <c r="R21" s="142"/>
      <c r="S21" s="143"/>
      <c r="T21" s="44"/>
      <c r="U21" s="44"/>
      <c r="V21" s="165"/>
      <c r="W21" s="166"/>
      <c r="X21" s="167"/>
      <c r="Y21" s="44"/>
      <c r="Z21" s="44"/>
    </row>
    <row r="22" spans="1:26" ht="18" customHeight="1">
      <c r="A22" s="72"/>
      <c r="B22" s="176"/>
      <c r="C22" s="177"/>
      <c r="D22" s="177"/>
      <c r="E22" s="177"/>
      <c r="F22" s="178"/>
      <c r="G22" s="45"/>
      <c r="H22" s="45"/>
      <c r="I22" s="172"/>
      <c r="J22" s="173"/>
      <c r="K22" s="174"/>
      <c r="L22" s="47"/>
      <c r="M22" s="47"/>
      <c r="N22" s="198"/>
      <c r="O22" s="199"/>
      <c r="P22" s="199"/>
      <c r="Q22" s="199"/>
      <c r="R22" s="199"/>
      <c r="S22" s="200"/>
      <c r="T22" s="45"/>
      <c r="U22" s="45"/>
      <c r="V22" s="172"/>
      <c r="W22" s="173"/>
      <c r="X22" s="174"/>
      <c r="Y22" s="47"/>
      <c r="Z22" s="47"/>
    </row>
    <row r="23" spans="1:26" ht="7.5" customHeight="1">
      <c r="A23" s="72"/>
      <c r="B23" s="21"/>
      <c r="C23" s="21"/>
      <c r="D23" s="72"/>
      <c r="E23" s="72"/>
      <c r="F23" s="72"/>
      <c r="G23" s="72"/>
      <c r="H23" s="72"/>
      <c r="I23" s="72"/>
      <c r="J23" s="72"/>
      <c r="K23" s="72"/>
      <c r="L23" s="21"/>
      <c r="M23" s="21"/>
      <c r="N23" s="21"/>
      <c r="O23" s="21"/>
      <c r="P23" s="21"/>
      <c r="Q23" s="21"/>
      <c r="R23" s="21"/>
      <c r="S23" s="21"/>
      <c r="T23" s="21"/>
      <c r="U23" s="21"/>
      <c r="V23" s="21"/>
      <c r="W23" s="21"/>
      <c r="X23" s="21"/>
      <c r="Y23" s="21"/>
      <c r="Z23" s="72"/>
    </row>
    <row r="24" spans="1:26" ht="18" customHeight="1">
      <c r="A24" s="175" t="s">
        <v>126</v>
      </c>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spans="1:26" ht="18"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spans="1:26" ht="18" customHeight="1">
      <c r="B26" s="128" t="s">
        <v>100</v>
      </c>
      <c r="C26" s="129"/>
      <c r="D26" s="129"/>
      <c r="E26" s="129"/>
      <c r="F26" s="130"/>
      <c r="G26" s="17" t="s">
        <v>141</v>
      </c>
      <c r="H26" s="42" t="s">
        <v>140</v>
      </c>
      <c r="I26" s="129" t="s">
        <v>101</v>
      </c>
      <c r="J26" s="129"/>
      <c r="K26" s="129"/>
      <c r="L26" s="20" t="s">
        <v>127</v>
      </c>
      <c r="M26" s="20" t="s">
        <v>128</v>
      </c>
      <c r="N26" s="128" t="s">
        <v>100</v>
      </c>
      <c r="O26" s="129"/>
      <c r="P26" s="129"/>
      <c r="Q26" s="129"/>
      <c r="R26" s="129"/>
      <c r="S26" s="130"/>
      <c r="T26" s="17" t="s">
        <v>141</v>
      </c>
      <c r="U26" s="42" t="s">
        <v>140</v>
      </c>
      <c r="V26" s="129" t="s">
        <v>101</v>
      </c>
      <c r="W26" s="129"/>
      <c r="X26" s="129"/>
      <c r="Y26" s="20" t="s">
        <v>127</v>
      </c>
      <c r="Z26" s="20" t="s">
        <v>128</v>
      </c>
    </row>
    <row r="27" spans="1:26" ht="18" customHeight="1">
      <c r="B27" s="168" t="s">
        <v>151</v>
      </c>
      <c r="C27" s="169"/>
      <c r="D27" s="169"/>
      <c r="E27" s="169"/>
      <c r="F27" s="170"/>
      <c r="G27" s="43">
        <v>2</v>
      </c>
      <c r="H27" s="43" t="s">
        <v>152</v>
      </c>
      <c r="I27" s="162" t="s">
        <v>153</v>
      </c>
      <c r="J27" s="163"/>
      <c r="K27" s="164"/>
      <c r="L27" s="48" t="s">
        <v>152</v>
      </c>
      <c r="M27" s="48" t="s">
        <v>152</v>
      </c>
      <c r="N27" s="135"/>
      <c r="O27" s="136"/>
      <c r="P27" s="136"/>
      <c r="Q27" s="136"/>
      <c r="R27" s="136"/>
      <c r="S27" s="137"/>
      <c r="T27" s="43"/>
      <c r="U27" s="43"/>
      <c r="V27" s="162"/>
      <c r="W27" s="163"/>
      <c r="X27" s="164"/>
      <c r="Y27" s="43"/>
      <c r="Z27" s="43"/>
    </row>
    <row r="28" spans="1:26" ht="18" customHeight="1">
      <c r="B28" s="171" t="s">
        <v>154</v>
      </c>
      <c r="C28" s="159"/>
      <c r="D28" s="159"/>
      <c r="E28" s="159"/>
      <c r="F28" s="160"/>
      <c r="G28" s="44">
        <v>2</v>
      </c>
      <c r="H28" s="44"/>
      <c r="I28" s="165" t="s">
        <v>153</v>
      </c>
      <c r="J28" s="166"/>
      <c r="K28" s="167"/>
      <c r="L28" s="44" t="s">
        <v>152</v>
      </c>
      <c r="M28" s="44" t="s">
        <v>152</v>
      </c>
      <c r="N28" s="144"/>
      <c r="O28" s="142"/>
      <c r="P28" s="142"/>
      <c r="Q28" s="142"/>
      <c r="R28" s="142"/>
      <c r="S28" s="143"/>
      <c r="T28" s="44"/>
      <c r="U28" s="44"/>
      <c r="V28" s="165"/>
      <c r="W28" s="166"/>
      <c r="X28" s="167"/>
      <c r="Y28" s="44"/>
      <c r="Z28" s="44"/>
    </row>
    <row r="29" spans="1:26" ht="18" customHeight="1">
      <c r="B29" s="171"/>
      <c r="C29" s="159"/>
      <c r="D29" s="159"/>
      <c r="E29" s="159"/>
      <c r="F29" s="160"/>
      <c r="G29" s="44"/>
      <c r="H29" s="44"/>
      <c r="I29" s="165"/>
      <c r="J29" s="166"/>
      <c r="K29" s="167"/>
      <c r="L29" s="44"/>
      <c r="M29" s="44"/>
      <c r="N29" s="144"/>
      <c r="O29" s="142"/>
      <c r="P29" s="142"/>
      <c r="Q29" s="142"/>
      <c r="R29" s="142"/>
      <c r="S29" s="143"/>
      <c r="T29" s="44"/>
      <c r="U29" s="44"/>
      <c r="V29" s="165"/>
      <c r="W29" s="166"/>
      <c r="X29" s="167"/>
      <c r="Y29" s="44"/>
      <c r="Z29" s="44"/>
    </row>
    <row r="30" spans="1:26" ht="18" customHeight="1">
      <c r="B30" s="171"/>
      <c r="C30" s="159"/>
      <c r="D30" s="159"/>
      <c r="E30" s="159"/>
      <c r="F30" s="160"/>
      <c r="G30" s="44"/>
      <c r="H30" s="44"/>
      <c r="I30" s="165"/>
      <c r="J30" s="166"/>
      <c r="K30" s="167"/>
      <c r="L30" s="44"/>
      <c r="M30" s="44"/>
      <c r="N30" s="144"/>
      <c r="O30" s="142"/>
      <c r="P30" s="142"/>
      <c r="Q30" s="142"/>
      <c r="R30" s="142"/>
      <c r="S30" s="143"/>
      <c r="T30" s="44"/>
      <c r="U30" s="44"/>
      <c r="V30" s="165"/>
      <c r="W30" s="166"/>
      <c r="X30" s="167"/>
      <c r="Y30" s="44"/>
      <c r="Z30" s="44"/>
    </row>
    <row r="31" spans="1:26" ht="18" customHeight="1">
      <c r="B31" s="171"/>
      <c r="C31" s="159"/>
      <c r="D31" s="159"/>
      <c r="E31" s="159"/>
      <c r="F31" s="160"/>
      <c r="G31" s="44"/>
      <c r="H31" s="44"/>
      <c r="I31" s="165"/>
      <c r="J31" s="166"/>
      <c r="K31" s="167"/>
      <c r="L31" s="44"/>
      <c r="M31" s="44"/>
      <c r="N31" s="144"/>
      <c r="O31" s="142"/>
      <c r="P31" s="142"/>
      <c r="Q31" s="142"/>
      <c r="R31" s="142"/>
      <c r="S31" s="143"/>
      <c r="T31" s="44"/>
      <c r="U31" s="44"/>
      <c r="V31" s="165"/>
      <c r="W31" s="166"/>
      <c r="X31" s="167"/>
      <c r="Y31" s="44"/>
      <c r="Z31" s="44"/>
    </row>
    <row r="32" spans="1:26" ht="18" customHeight="1">
      <c r="B32" s="171"/>
      <c r="C32" s="159"/>
      <c r="D32" s="159"/>
      <c r="E32" s="159"/>
      <c r="F32" s="160"/>
      <c r="G32" s="44"/>
      <c r="H32" s="44"/>
      <c r="I32" s="165"/>
      <c r="J32" s="166"/>
      <c r="K32" s="167"/>
      <c r="L32" s="44"/>
      <c r="M32" s="44"/>
      <c r="N32" s="144"/>
      <c r="O32" s="142"/>
      <c r="P32" s="142"/>
      <c r="Q32" s="142"/>
      <c r="R32" s="142"/>
      <c r="S32" s="143"/>
      <c r="T32" s="44"/>
      <c r="U32" s="44"/>
      <c r="V32" s="165"/>
      <c r="W32" s="166"/>
      <c r="X32" s="167"/>
      <c r="Y32" s="44"/>
      <c r="Z32" s="44"/>
    </row>
    <row r="33" spans="1:26" ht="18" customHeight="1">
      <c r="B33" s="176"/>
      <c r="C33" s="177"/>
      <c r="D33" s="177"/>
      <c r="E33" s="177"/>
      <c r="F33" s="178"/>
      <c r="G33" s="45"/>
      <c r="H33" s="45"/>
      <c r="I33" s="172"/>
      <c r="J33" s="173"/>
      <c r="K33" s="174"/>
      <c r="L33" s="47"/>
      <c r="M33" s="47"/>
      <c r="N33" s="198"/>
      <c r="O33" s="199"/>
      <c r="P33" s="199"/>
      <c r="Q33" s="199"/>
      <c r="R33" s="199"/>
      <c r="S33" s="200"/>
      <c r="T33" s="45"/>
      <c r="U33" s="45"/>
      <c r="V33" s="172"/>
      <c r="W33" s="173"/>
      <c r="X33" s="174"/>
      <c r="Y33" s="47"/>
      <c r="Z33" s="47"/>
    </row>
    <row r="34" spans="1:26" ht="7.5" customHeight="1">
      <c r="A34" s="72"/>
      <c r="B34" s="21"/>
      <c r="C34" s="21"/>
      <c r="D34" s="72"/>
      <c r="E34" s="72"/>
      <c r="F34" s="72"/>
      <c r="G34" s="72"/>
      <c r="H34" s="72"/>
      <c r="I34" s="72"/>
      <c r="J34" s="72"/>
      <c r="K34" s="72"/>
      <c r="L34" s="21"/>
      <c r="M34" s="21"/>
      <c r="N34" s="21"/>
      <c r="O34" s="21"/>
      <c r="P34" s="21"/>
      <c r="Q34" s="21"/>
      <c r="R34" s="21"/>
      <c r="S34" s="21"/>
      <c r="T34" s="21"/>
      <c r="U34" s="21"/>
      <c r="V34" s="21"/>
      <c r="W34" s="21"/>
      <c r="X34" s="21"/>
      <c r="Y34" s="21"/>
      <c r="Z34" s="72"/>
    </row>
    <row r="35" spans="1:26" ht="18" customHeight="1">
      <c r="A35" s="175" t="s">
        <v>129</v>
      </c>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spans="1:26" ht="18" customHeight="1">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spans="1:26" ht="18" customHeight="1">
      <c r="B37" s="128" t="s">
        <v>100</v>
      </c>
      <c r="C37" s="129"/>
      <c r="D37" s="129"/>
      <c r="E37" s="129"/>
      <c r="F37" s="130"/>
      <c r="G37" s="17" t="s">
        <v>141</v>
      </c>
      <c r="H37" s="42" t="s">
        <v>140</v>
      </c>
      <c r="I37" s="128" t="s">
        <v>101</v>
      </c>
      <c r="J37" s="129"/>
      <c r="K37" s="130"/>
      <c r="L37" s="20" t="s">
        <v>130</v>
      </c>
      <c r="M37" s="20" t="s">
        <v>131</v>
      </c>
      <c r="N37" s="128" t="s">
        <v>100</v>
      </c>
      <c r="O37" s="129"/>
      <c r="P37" s="129"/>
      <c r="Q37" s="129"/>
      <c r="R37" s="129"/>
      <c r="S37" s="130"/>
      <c r="T37" s="17" t="s">
        <v>141</v>
      </c>
      <c r="U37" s="42" t="s">
        <v>140</v>
      </c>
      <c r="V37" s="128" t="s">
        <v>101</v>
      </c>
      <c r="W37" s="129"/>
      <c r="X37" s="130"/>
      <c r="Y37" s="20" t="s">
        <v>130</v>
      </c>
      <c r="Z37" s="20" t="s">
        <v>131</v>
      </c>
    </row>
    <row r="38" spans="1:26" ht="18" customHeight="1">
      <c r="A38" s="72"/>
      <c r="B38" s="168" t="s">
        <v>151</v>
      </c>
      <c r="C38" s="169"/>
      <c r="D38" s="169"/>
      <c r="E38" s="169"/>
      <c r="F38" s="170"/>
      <c r="G38" s="43">
        <v>2</v>
      </c>
      <c r="H38" s="43" t="s">
        <v>152</v>
      </c>
      <c r="I38" s="162" t="s">
        <v>153</v>
      </c>
      <c r="J38" s="163"/>
      <c r="K38" s="164"/>
      <c r="L38" s="48" t="s">
        <v>152</v>
      </c>
      <c r="M38" s="48" t="s">
        <v>152</v>
      </c>
      <c r="N38" s="135"/>
      <c r="O38" s="136"/>
      <c r="P38" s="136"/>
      <c r="Q38" s="136"/>
      <c r="R38" s="136"/>
      <c r="S38" s="137"/>
      <c r="T38" s="43"/>
      <c r="U38" s="43"/>
      <c r="V38" s="162"/>
      <c r="W38" s="163"/>
      <c r="X38" s="164"/>
      <c r="Y38" s="43"/>
      <c r="Z38" s="43"/>
    </row>
    <row r="39" spans="1:26" ht="18" customHeight="1">
      <c r="A39" s="72"/>
      <c r="B39" s="171" t="s">
        <v>154</v>
      </c>
      <c r="C39" s="159"/>
      <c r="D39" s="159"/>
      <c r="E39" s="159"/>
      <c r="F39" s="160"/>
      <c r="G39" s="44">
        <v>2</v>
      </c>
      <c r="H39" s="44"/>
      <c r="I39" s="165" t="s">
        <v>153</v>
      </c>
      <c r="J39" s="166"/>
      <c r="K39" s="167"/>
      <c r="L39" s="44" t="s">
        <v>152</v>
      </c>
      <c r="M39" s="44" t="s">
        <v>152</v>
      </c>
      <c r="N39" s="144"/>
      <c r="O39" s="142"/>
      <c r="P39" s="142"/>
      <c r="Q39" s="142"/>
      <c r="R39" s="142"/>
      <c r="S39" s="143"/>
      <c r="T39" s="44"/>
      <c r="U39" s="44"/>
      <c r="V39" s="165"/>
      <c r="W39" s="166"/>
      <c r="X39" s="167"/>
      <c r="Y39" s="44"/>
      <c r="Z39" s="44"/>
    </row>
    <row r="40" spans="1:26" ht="18" customHeight="1">
      <c r="A40" s="72"/>
      <c r="B40" s="171"/>
      <c r="C40" s="159"/>
      <c r="D40" s="159"/>
      <c r="E40" s="159"/>
      <c r="F40" s="160"/>
      <c r="G40" s="44"/>
      <c r="H40" s="44"/>
      <c r="I40" s="165"/>
      <c r="J40" s="166"/>
      <c r="K40" s="167"/>
      <c r="L40" s="44"/>
      <c r="M40" s="44"/>
      <c r="N40" s="144"/>
      <c r="O40" s="142"/>
      <c r="P40" s="142"/>
      <c r="Q40" s="142"/>
      <c r="R40" s="142"/>
      <c r="S40" s="143"/>
      <c r="T40" s="44"/>
      <c r="U40" s="44"/>
      <c r="V40" s="165"/>
      <c r="W40" s="166"/>
      <c r="X40" s="167"/>
      <c r="Y40" s="44"/>
      <c r="Z40" s="44"/>
    </row>
    <row r="41" spans="1:26" ht="18" customHeight="1">
      <c r="A41" s="72"/>
      <c r="B41" s="171"/>
      <c r="C41" s="159"/>
      <c r="D41" s="159"/>
      <c r="E41" s="159"/>
      <c r="F41" s="160"/>
      <c r="G41" s="44"/>
      <c r="H41" s="44"/>
      <c r="I41" s="165"/>
      <c r="J41" s="166"/>
      <c r="K41" s="167"/>
      <c r="L41" s="44"/>
      <c r="M41" s="44"/>
      <c r="N41" s="144"/>
      <c r="O41" s="142"/>
      <c r="P41" s="142"/>
      <c r="Q41" s="142"/>
      <c r="R41" s="142"/>
      <c r="S41" s="143"/>
      <c r="T41" s="44"/>
      <c r="U41" s="44"/>
      <c r="V41" s="165"/>
      <c r="W41" s="166"/>
      <c r="X41" s="167"/>
      <c r="Y41" s="44"/>
      <c r="Z41" s="44"/>
    </row>
    <row r="42" spans="1:26" ht="18" customHeight="1">
      <c r="A42" s="72"/>
      <c r="B42" s="171"/>
      <c r="C42" s="159"/>
      <c r="D42" s="159"/>
      <c r="E42" s="159"/>
      <c r="F42" s="160"/>
      <c r="G42" s="44"/>
      <c r="H42" s="44"/>
      <c r="I42" s="165"/>
      <c r="J42" s="166"/>
      <c r="K42" s="167"/>
      <c r="L42" s="44"/>
      <c r="M42" s="44"/>
      <c r="N42" s="144"/>
      <c r="O42" s="142"/>
      <c r="P42" s="142"/>
      <c r="Q42" s="142"/>
      <c r="R42" s="142"/>
      <c r="S42" s="143"/>
      <c r="T42" s="44"/>
      <c r="U42" s="44"/>
      <c r="V42" s="165"/>
      <c r="W42" s="166"/>
      <c r="X42" s="167"/>
      <c r="Y42" s="44"/>
      <c r="Z42" s="44"/>
    </row>
    <row r="43" spans="1:26" ht="18" customHeight="1">
      <c r="A43" s="72"/>
      <c r="B43" s="171"/>
      <c r="C43" s="159"/>
      <c r="D43" s="159"/>
      <c r="E43" s="159"/>
      <c r="F43" s="160"/>
      <c r="G43" s="44"/>
      <c r="H43" s="44"/>
      <c r="I43" s="165"/>
      <c r="J43" s="166"/>
      <c r="K43" s="167"/>
      <c r="L43" s="44"/>
      <c r="M43" s="44"/>
      <c r="N43" s="144"/>
      <c r="O43" s="142"/>
      <c r="P43" s="142"/>
      <c r="Q43" s="142"/>
      <c r="R43" s="142"/>
      <c r="S43" s="143"/>
      <c r="T43" s="44"/>
      <c r="U43" s="44"/>
      <c r="V43" s="165"/>
      <c r="W43" s="166"/>
      <c r="X43" s="167"/>
      <c r="Y43" s="44"/>
      <c r="Z43" s="44"/>
    </row>
    <row r="44" spans="1:26" ht="18" customHeight="1">
      <c r="A44" s="72"/>
      <c r="B44" s="176"/>
      <c r="C44" s="177"/>
      <c r="D44" s="177"/>
      <c r="E44" s="177"/>
      <c r="F44" s="178"/>
      <c r="G44" s="45"/>
      <c r="H44" s="45"/>
      <c r="I44" s="172"/>
      <c r="J44" s="173"/>
      <c r="K44" s="174"/>
      <c r="L44" s="47"/>
      <c r="M44" s="47"/>
      <c r="N44" s="198"/>
      <c r="O44" s="199"/>
      <c r="P44" s="199"/>
      <c r="Q44" s="199"/>
      <c r="R44" s="199"/>
      <c r="S44" s="200"/>
      <c r="T44" s="45"/>
      <c r="U44" s="45"/>
      <c r="V44" s="172"/>
      <c r="W44" s="173"/>
      <c r="X44" s="174"/>
      <c r="Y44" s="47"/>
      <c r="Z44" s="47"/>
    </row>
    <row r="45" spans="1:26" ht="7.5" customHeight="1">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6" ht="18" customHeight="1">
      <c r="A46" s="175" t="s">
        <v>132</v>
      </c>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spans="1:26" ht="18"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1:26" ht="18" customHeight="1">
      <c r="B48" s="128" t="s">
        <v>100</v>
      </c>
      <c r="C48" s="129"/>
      <c r="D48" s="129"/>
      <c r="E48" s="129"/>
      <c r="F48" s="130"/>
      <c r="G48" s="17" t="s">
        <v>141</v>
      </c>
      <c r="H48" s="42" t="s">
        <v>140</v>
      </c>
      <c r="I48" s="128" t="s">
        <v>101</v>
      </c>
      <c r="J48" s="129"/>
      <c r="K48" s="130"/>
      <c r="L48" s="20" t="s">
        <v>106</v>
      </c>
      <c r="M48" s="20" t="s">
        <v>108</v>
      </c>
      <c r="N48" s="128" t="s">
        <v>100</v>
      </c>
      <c r="O48" s="129"/>
      <c r="P48" s="129"/>
      <c r="Q48" s="129"/>
      <c r="R48" s="129"/>
      <c r="S48" s="130"/>
      <c r="T48" s="17" t="s">
        <v>141</v>
      </c>
      <c r="U48" s="42" t="s">
        <v>140</v>
      </c>
      <c r="V48" s="128" t="s">
        <v>101</v>
      </c>
      <c r="W48" s="129"/>
      <c r="X48" s="130"/>
      <c r="Y48" s="20" t="s">
        <v>106</v>
      </c>
      <c r="Z48" s="20" t="s">
        <v>108</v>
      </c>
    </row>
    <row r="49" spans="1:26" ht="18" customHeight="1">
      <c r="A49" s="72"/>
      <c r="B49" s="168" t="s">
        <v>151</v>
      </c>
      <c r="C49" s="169"/>
      <c r="D49" s="169"/>
      <c r="E49" s="169"/>
      <c r="F49" s="170"/>
      <c r="G49" s="43">
        <v>2</v>
      </c>
      <c r="H49" s="43" t="s">
        <v>152</v>
      </c>
      <c r="I49" s="162" t="s">
        <v>153</v>
      </c>
      <c r="J49" s="163"/>
      <c r="K49" s="164"/>
      <c r="L49" s="48" t="s">
        <v>152</v>
      </c>
      <c r="M49" s="48" t="s">
        <v>152</v>
      </c>
      <c r="N49" s="135"/>
      <c r="O49" s="136"/>
      <c r="P49" s="136"/>
      <c r="Q49" s="136"/>
      <c r="R49" s="136"/>
      <c r="S49" s="137"/>
      <c r="T49" s="43"/>
      <c r="U49" s="43"/>
      <c r="V49" s="162"/>
      <c r="W49" s="163"/>
      <c r="X49" s="164"/>
      <c r="Y49" s="43"/>
      <c r="Z49" s="43"/>
    </row>
    <row r="50" spans="1:26" ht="18" customHeight="1">
      <c r="A50" s="72"/>
      <c r="B50" s="171" t="s">
        <v>154</v>
      </c>
      <c r="C50" s="159"/>
      <c r="D50" s="159"/>
      <c r="E50" s="159"/>
      <c r="F50" s="160"/>
      <c r="G50" s="44">
        <v>2</v>
      </c>
      <c r="H50" s="44"/>
      <c r="I50" s="165" t="s">
        <v>153</v>
      </c>
      <c r="J50" s="166"/>
      <c r="K50" s="167"/>
      <c r="L50" s="44" t="s">
        <v>152</v>
      </c>
      <c r="M50" s="44" t="s">
        <v>152</v>
      </c>
      <c r="N50" s="144"/>
      <c r="O50" s="142"/>
      <c r="P50" s="142"/>
      <c r="Q50" s="142"/>
      <c r="R50" s="142"/>
      <c r="S50" s="143"/>
      <c r="T50" s="44"/>
      <c r="U50" s="44"/>
      <c r="V50" s="165"/>
      <c r="W50" s="166"/>
      <c r="X50" s="167"/>
      <c r="Y50" s="44"/>
      <c r="Z50" s="44"/>
    </row>
    <row r="51" spans="1:26" ht="18" customHeight="1">
      <c r="A51" s="72"/>
      <c r="B51" s="171"/>
      <c r="C51" s="159"/>
      <c r="D51" s="159"/>
      <c r="E51" s="159"/>
      <c r="F51" s="160"/>
      <c r="G51" s="44"/>
      <c r="H51" s="44"/>
      <c r="I51" s="165"/>
      <c r="J51" s="166"/>
      <c r="K51" s="167"/>
      <c r="L51" s="44"/>
      <c r="M51" s="44"/>
      <c r="N51" s="144"/>
      <c r="O51" s="142"/>
      <c r="P51" s="142"/>
      <c r="Q51" s="142"/>
      <c r="R51" s="142"/>
      <c r="S51" s="143"/>
      <c r="T51" s="44"/>
      <c r="U51" s="44"/>
      <c r="V51" s="165"/>
      <c r="W51" s="166"/>
      <c r="X51" s="167"/>
      <c r="Y51" s="44"/>
      <c r="Z51" s="44"/>
    </row>
    <row r="52" spans="1:26" ht="18" customHeight="1">
      <c r="A52" s="72"/>
      <c r="B52" s="171"/>
      <c r="C52" s="159"/>
      <c r="D52" s="159"/>
      <c r="E52" s="159"/>
      <c r="F52" s="160"/>
      <c r="G52" s="44"/>
      <c r="H52" s="44"/>
      <c r="I52" s="165"/>
      <c r="J52" s="166"/>
      <c r="K52" s="167"/>
      <c r="L52" s="44"/>
      <c r="M52" s="44"/>
      <c r="N52" s="144"/>
      <c r="O52" s="142"/>
      <c r="P52" s="142"/>
      <c r="Q52" s="142"/>
      <c r="R52" s="142"/>
      <c r="S52" s="143"/>
      <c r="T52" s="44"/>
      <c r="U52" s="44"/>
      <c r="V52" s="165"/>
      <c r="W52" s="166"/>
      <c r="X52" s="167"/>
      <c r="Y52" s="44"/>
      <c r="Z52" s="44"/>
    </row>
    <row r="53" spans="1:26" ht="18" customHeight="1">
      <c r="A53" s="72"/>
      <c r="B53" s="171"/>
      <c r="C53" s="159"/>
      <c r="D53" s="159"/>
      <c r="E53" s="159"/>
      <c r="F53" s="160"/>
      <c r="G53" s="44"/>
      <c r="H53" s="44"/>
      <c r="I53" s="165"/>
      <c r="J53" s="166"/>
      <c r="K53" s="167"/>
      <c r="L53" s="44"/>
      <c r="M53" s="44"/>
      <c r="N53" s="144"/>
      <c r="O53" s="142"/>
      <c r="P53" s="142"/>
      <c r="Q53" s="142"/>
      <c r="R53" s="142"/>
      <c r="S53" s="143"/>
      <c r="T53" s="44"/>
      <c r="U53" s="44"/>
      <c r="V53" s="165"/>
      <c r="W53" s="166"/>
      <c r="X53" s="167"/>
      <c r="Y53" s="44"/>
      <c r="Z53" s="44"/>
    </row>
    <row r="54" spans="1:26" ht="18" customHeight="1">
      <c r="A54" s="72"/>
      <c r="B54" s="171"/>
      <c r="C54" s="159"/>
      <c r="D54" s="159"/>
      <c r="E54" s="159"/>
      <c r="F54" s="160"/>
      <c r="G54" s="44"/>
      <c r="H54" s="44"/>
      <c r="I54" s="165"/>
      <c r="J54" s="166"/>
      <c r="K54" s="167"/>
      <c r="L54" s="44"/>
      <c r="M54" s="44"/>
      <c r="N54" s="144"/>
      <c r="O54" s="142"/>
      <c r="P54" s="142"/>
      <c r="Q54" s="142"/>
      <c r="R54" s="142"/>
      <c r="S54" s="143"/>
      <c r="T54" s="44"/>
      <c r="U54" s="44"/>
      <c r="V54" s="165"/>
      <c r="W54" s="166"/>
      <c r="X54" s="167"/>
      <c r="Y54" s="44"/>
      <c r="Z54" s="44"/>
    </row>
    <row r="55" spans="1:26" ht="18" customHeight="1">
      <c r="A55" s="72"/>
      <c r="B55" s="176"/>
      <c r="C55" s="177"/>
      <c r="D55" s="177"/>
      <c r="E55" s="177"/>
      <c r="F55" s="178"/>
      <c r="G55" s="45"/>
      <c r="H55" s="45"/>
      <c r="I55" s="172"/>
      <c r="J55" s="173"/>
      <c r="K55" s="174"/>
      <c r="L55" s="47"/>
      <c r="M55" s="47"/>
      <c r="N55" s="198"/>
      <c r="O55" s="199"/>
      <c r="P55" s="199"/>
      <c r="Q55" s="199"/>
      <c r="R55" s="199"/>
      <c r="S55" s="200"/>
      <c r="T55" s="45"/>
      <c r="U55" s="45"/>
      <c r="V55" s="172"/>
      <c r="W55" s="173"/>
      <c r="X55" s="174"/>
      <c r="Y55" s="47"/>
      <c r="Z55" s="47"/>
    </row>
    <row r="56" spans="1:26" ht="7.5" customHeight="1">
      <c r="B56" s="22"/>
      <c r="C56" s="22"/>
      <c r="D56" s="22"/>
      <c r="E56" s="22"/>
      <c r="F56" s="22"/>
      <c r="G56" s="22"/>
      <c r="H56" s="22"/>
      <c r="I56" s="22"/>
      <c r="J56" s="22"/>
      <c r="K56" s="22"/>
      <c r="L56" s="22"/>
      <c r="M56" s="22"/>
      <c r="N56" s="22"/>
      <c r="O56" s="22"/>
      <c r="P56" s="22"/>
      <c r="Q56" s="22"/>
      <c r="R56" s="22"/>
      <c r="S56" s="22"/>
      <c r="T56" s="22"/>
      <c r="U56" s="22"/>
      <c r="V56" s="22"/>
      <c r="W56" s="22"/>
      <c r="X56" s="22"/>
      <c r="Y56" s="22"/>
    </row>
    <row r="57" spans="1:26" ht="18" customHeight="1">
      <c r="A57" s="175" t="s">
        <v>133</v>
      </c>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spans="1:26" ht="18"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spans="1:26" ht="18" customHeight="1">
      <c r="B59" s="128" t="s">
        <v>100</v>
      </c>
      <c r="C59" s="129"/>
      <c r="D59" s="129"/>
      <c r="E59" s="130"/>
      <c r="F59" s="17" t="s">
        <v>141</v>
      </c>
      <c r="G59" s="42" t="s">
        <v>140</v>
      </c>
      <c r="H59" s="37" t="s">
        <v>101</v>
      </c>
      <c r="I59" s="38"/>
      <c r="J59" s="39"/>
      <c r="K59" s="20" t="s">
        <v>105</v>
      </c>
      <c r="L59" s="20" t="s">
        <v>134</v>
      </c>
      <c r="M59" s="20" t="s">
        <v>135</v>
      </c>
      <c r="N59" s="128" t="s">
        <v>100</v>
      </c>
      <c r="O59" s="129"/>
      <c r="P59" s="129"/>
      <c r="Q59" s="129"/>
      <c r="R59" s="130"/>
      <c r="S59" s="17" t="s">
        <v>141</v>
      </c>
      <c r="T59" s="42" t="s">
        <v>140</v>
      </c>
      <c r="U59" s="37" t="s">
        <v>101</v>
      </c>
      <c r="V59" s="38"/>
      <c r="W59" s="39"/>
      <c r="X59" s="20" t="s">
        <v>105</v>
      </c>
      <c r="Y59" s="20" t="s">
        <v>134</v>
      </c>
      <c r="Z59" s="20" t="s">
        <v>135</v>
      </c>
    </row>
    <row r="60" spans="1:26" ht="18" customHeight="1">
      <c r="A60" s="72"/>
      <c r="B60" s="135" t="s">
        <v>150</v>
      </c>
      <c r="C60" s="136"/>
      <c r="D60" s="136"/>
      <c r="E60" s="137"/>
      <c r="F60" s="43">
        <v>2</v>
      </c>
      <c r="G60" s="43" t="s">
        <v>152</v>
      </c>
      <c r="H60" s="162" t="s">
        <v>153</v>
      </c>
      <c r="I60" s="163"/>
      <c r="J60" s="164"/>
      <c r="K60" s="48" t="s">
        <v>152</v>
      </c>
      <c r="L60" s="48" t="s">
        <v>152</v>
      </c>
      <c r="M60" s="48" t="s">
        <v>152</v>
      </c>
      <c r="N60" s="135"/>
      <c r="O60" s="136"/>
      <c r="P60" s="136"/>
      <c r="Q60" s="136"/>
      <c r="R60" s="137"/>
      <c r="S60" s="43"/>
      <c r="T60" s="43"/>
      <c r="U60" s="162"/>
      <c r="V60" s="163"/>
      <c r="W60" s="164"/>
      <c r="X60" s="68"/>
      <c r="Y60" s="43"/>
      <c r="Z60" s="43"/>
    </row>
    <row r="61" spans="1:26" ht="18" customHeight="1">
      <c r="A61" s="72"/>
      <c r="B61" s="144" t="s">
        <v>154</v>
      </c>
      <c r="C61" s="142"/>
      <c r="D61" s="142"/>
      <c r="E61" s="143"/>
      <c r="F61" s="44">
        <v>2</v>
      </c>
      <c r="G61" s="44"/>
      <c r="H61" s="165" t="s">
        <v>153</v>
      </c>
      <c r="I61" s="166"/>
      <c r="J61" s="167"/>
      <c r="K61" s="44" t="s">
        <v>152</v>
      </c>
      <c r="L61" s="44" t="s">
        <v>152</v>
      </c>
      <c r="M61" s="44" t="s">
        <v>152</v>
      </c>
      <c r="N61" s="144"/>
      <c r="O61" s="142"/>
      <c r="P61" s="142"/>
      <c r="Q61" s="142"/>
      <c r="R61" s="143"/>
      <c r="S61" s="44"/>
      <c r="T61" s="44"/>
      <c r="U61" s="165"/>
      <c r="V61" s="166"/>
      <c r="W61" s="167"/>
      <c r="X61" s="66"/>
      <c r="Y61" s="44"/>
      <c r="Z61" s="44"/>
    </row>
    <row r="62" spans="1:26" ht="18" customHeight="1">
      <c r="A62" s="72"/>
      <c r="B62" s="144"/>
      <c r="C62" s="142"/>
      <c r="D62" s="142"/>
      <c r="E62" s="143"/>
      <c r="F62" s="44"/>
      <c r="G62" s="44"/>
      <c r="H62" s="165"/>
      <c r="I62" s="166"/>
      <c r="J62" s="167"/>
      <c r="K62" s="66"/>
      <c r="L62" s="44"/>
      <c r="M62" s="44"/>
      <c r="N62" s="144"/>
      <c r="O62" s="142"/>
      <c r="P62" s="142"/>
      <c r="Q62" s="142"/>
      <c r="R62" s="143"/>
      <c r="S62" s="44"/>
      <c r="T62" s="44"/>
      <c r="U62" s="165"/>
      <c r="V62" s="166"/>
      <c r="W62" s="167"/>
      <c r="X62" s="66"/>
      <c r="Y62" s="44"/>
      <c r="Z62" s="44"/>
    </row>
    <row r="63" spans="1:26" ht="18" customHeight="1">
      <c r="A63" s="72"/>
      <c r="B63" s="144"/>
      <c r="C63" s="142"/>
      <c r="D63" s="142"/>
      <c r="E63" s="143"/>
      <c r="F63" s="44"/>
      <c r="G63" s="44"/>
      <c r="H63" s="165"/>
      <c r="I63" s="166"/>
      <c r="J63" s="167"/>
      <c r="K63" s="66"/>
      <c r="L63" s="44"/>
      <c r="M63" s="44"/>
      <c r="N63" s="144"/>
      <c r="O63" s="142"/>
      <c r="P63" s="142"/>
      <c r="Q63" s="142"/>
      <c r="R63" s="143"/>
      <c r="S63" s="44"/>
      <c r="T63" s="44"/>
      <c r="U63" s="165"/>
      <c r="V63" s="166"/>
      <c r="W63" s="167"/>
      <c r="X63" s="66"/>
      <c r="Y63" s="44"/>
      <c r="Z63" s="44"/>
    </row>
    <row r="64" spans="1:26" ht="18" customHeight="1">
      <c r="A64" s="72"/>
      <c r="B64" s="144"/>
      <c r="C64" s="142"/>
      <c r="D64" s="142"/>
      <c r="E64" s="143"/>
      <c r="F64" s="44"/>
      <c r="G64" s="44"/>
      <c r="H64" s="165"/>
      <c r="I64" s="166"/>
      <c r="J64" s="167"/>
      <c r="K64" s="66"/>
      <c r="L64" s="44"/>
      <c r="M64" s="44"/>
      <c r="N64" s="144"/>
      <c r="O64" s="142"/>
      <c r="P64" s="142"/>
      <c r="Q64" s="142"/>
      <c r="R64" s="143"/>
      <c r="S64" s="44"/>
      <c r="T64" s="44"/>
      <c r="U64" s="165"/>
      <c r="V64" s="166"/>
      <c r="W64" s="167"/>
      <c r="X64" s="66"/>
      <c r="Y64" s="44"/>
      <c r="Z64" s="44"/>
    </row>
    <row r="65" spans="1:26" ht="18" customHeight="1">
      <c r="A65" s="72"/>
      <c r="B65" s="144"/>
      <c r="C65" s="142"/>
      <c r="D65" s="142"/>
      <c r="E65" s="143"/>
      <c r="F65" s="44"/>
      <c r="G65" s="44"/>
      <c r="H65" s="165"/>
      <c r="I65" s="166"/>
      <c r="J65" s="167"/>
      <c r="K65" s="66"/>
      <c r="L65" s="44"/>
      <c r="M65" s="44"/>
      <c r="N65" s="144"/>
      <c r="O65" s="142"/>
      <c r="P65" s="142"/>
      <c r="Q65" s="142"/>
      <c r="R65" s="143"/>
      <c r="S65" s="44"/>
      <c r="T65" s="44"/>
      <c r="U65" s="165"/>
      <c r="V65" s="166"/>
      <c r="W65" s="167"/>
      <c r="X65" s="66"/>
      <c r="Y65" s="44"/>
      <c r="Z65" s="44"/>
    </row>
    <row r="66" spans="1:26" ht="18" customHeight="1">
      <c r="A66" s="72"/>
      <c r="B66" s="198"/>
      <c r="C66" s="199"/>
      <c r="D66" s="199"/>
      <c r="E66" s="200"/>
      <c r="F66" s="45"/>
      <c r="G66" s="45"/>
      <c r="H66" s="172"/>
      <c r="I66" s="173"/>
      <c r="J66" s="174"/>
      <c r="K66" s="67"/>
      <c r="L66" s="47"/>
      <c r="M66" s="47"/>
      <c r="N66" s="198"/>
      <c r="O66" s="199"/>
      <c r="P66" s="199"/>
      <c r="Q66" s="199"/>
      <c r="R66" s="200"/>
      <c r="S66" s="45"/>
      <c r="T66" s="45"/>
      <c r="U66" s="172"/>
      <c r="V66" s="173"/>
      <c r="W66" s="174"/>
      <c r="X66" s="67"/>
      <c r="Y66" s="47"/>
      <c r="Z66" s="47"/>
    </row>
    <row r="67" spans="1:26" ht="7.5" customHeight="1">
      <c r="B67" s="22"/>
      <c r="C67" s="22"/>
      <c r="D67" s="22"/>
      <c r="E67" s="22"/>
      <c r="F67" s="22"/>
      <c r="G67" s="22"/>
      <c r="H67" s="22"/>
      <c r="I67" s="22"/>
      <c r="J67" s="22"/>
      <c r="K67" s="22"/>
      <c r="L67" s="22"/>
      <c r="M67" s="22"/>
      <c r="N67" s="22"/>
      <c r="O67" s="22"/>
      <c r="P67" s="22"/>
      <c r="Q67" s="22"/>
      <c r="R67" s="22"/>
      <c r="S67" s="22"/>
      <c r="T67" s="22"/>
      <c r="U67" s="22"/>
      <c r="V67" s="22"/>
      <c r="W67" s="22"/>
      <c r="X67" s="22"/>
      <c r="Y67" s="22"/>
    </row>
    <row r="68" spans="1:26" ht="18" customHeight="1">
      <c r="A68" s="4" t="s">
        <v>136</v>
      </c>
      <c r="L68" s="72"/>
      <c r="M68" s="72"/>
      <c r="N68" s="72"/>
      <c r="O68" s="72"/>
      <c r="P68" s="72"/>
      <c r="Q68" s="72"/>
      <c r="R68" s="72"/>
      <c r="S68" s="72"/>
      <c r="T68" s="72"/>
      <c r="U68" s="72"/>
      <c r="V68" s="72"/>
      <c r="W68" s="72"/>
      <c r="X68" s="72"/>
      <c r="Y68" s="72"/>
      <c r="Z68" s="72"/>
    </row>
    <row r="69" spans="1:26" ht="18" customHeight="1">
      <c r="B69" s="128" t="s">
        <v>100</v>
      </c>
      <c r="C69" s="129"/>
      <c r="D69" s="129"/>
      <c r="E69" s="129"/>
      <c r="F69" s="130"/>
      <c r="G69" s="128" t="s">
        <v>146</v>
      </c>
      <c r="H69" s="129"/>
      <c r="I69" s="129"/>
      <c r="J69" s="129"/>
      <c r="K69" s="129"/>
      <c r="L69" s="129"/>
      <c r="M69" s="130"/>
      <c r="N69" s="204" t="s">
        <v>100</v>
      </c>
      <c r="O69" s="205"/>
      <c r="P69" s="205"/>
      <c r="Q69" s="205"/>
      <c r="R69" s="205"/>
      <c r="S69" s="206"/>
      <c r="T69" s="128" t="s">
        <v>146</v>
      </c>
      <c r="U69" s="129"/>
      <c r="V69" s="129"/>
      <c r="W69" s="129"/>
      <c r="X69" s="129"/>
      <c r="Y69" s="129"/>
      <c r="Z69" s="130"/>
    </row>
    <row r="70" spans="1:26" ht="18" customHeight="1">
      <c r="A70" s="72"/>
      <c r="B70" s="135" t="s">
        <v>150</v>
      </c>
      <c r="C70" s="136"/>
      <c r="D70" s="136"/>
      <c r="E70" s="136"/>
      <c r="F70" s="137"/>
      <c r="G70" s="138" t="s">
        <v>156</v>
      </c>
      <c r="H70" s="139"/>
      <c r="I70" s="139"/>
      <c r="J70" s="139"/>
      <c r="K70" s="139"/>
      <c r="L70" s="139"/>
      <c r="M70" s="140"/>
      <c r="N70" s="135"/>
      <c r="O70" s="136"/>
      <c r="P70" s="136"/>
      <c r="Q70" s="136"/>
      <c r="R70" s="136"/>
      <c r="S70" s="137"/>
      <c r="T70" s="138"/>
      <c r="U70" s="139"/>
      <c r="V70" s="139"/>
      <c r="W70" s="139"/>
      <c r="X70" s="139"/>
      <c r="Y70" s="139"/>
      <c r="Z70" s="140"/>
    </row>
    <row r="71" spans="1:26" ht="18" customHeight="1">
      <c r="A71" s="72"/>
      <c r="B71" s="144"/>
      <c r="C71" s="142"/>
      <c r="D71" s="142"/>
      <c r="E71" s="142"/>
      <c r="F71" s="143"/>
      <c r="G71" s="145"/>
      <c r="H71" s="146"/>
      <c r="I71" s="146"/>
      <c r="J71" s="146"/>
      <c r="K71" s="146"/>
      <c r="L71" s="146"/>
      <c r="M71" s="147"/>
      <c r="N71" s="144"/>
      <c r="O71" s="142"/>
      <c r="P71" s="142"/>
      <c r="Q71" s="142"/>
      <c r="R71" s="142"/>
      <c r="S71" s="143"/>
      <c r="T71" s="145"/>
      <c r="U71" s="146"/>
      <c r="V71" s="146"/>
      <c r="W71" s="146"/>
      <c r="X71" s="146"/>
      <c r="Y71" s="146"/>
      <c r="Z71" s="147"/>
    </row>
    <row r="72" spans="1:26" ht="18" customHeight="1">
      <c r="A72" s="72"/>
      <c r="B72" s="144"/>
      <c r="C72" s="142"/>
      <c r="D72" s="142"/>
      <c r="E72" s="142"/>
      <c r="F72" s="143"/>
      <c r="G72" s="145"/>
      <c r="H72" s="146"/>
      <c r="I72" s="146"/>
      <c r="J72" s="146"/>
      <c r="K72" s="146"/>
      <c r="L72" s="146"/>
      <c r="M72" s="147"/>
      <c r="N72" s="144"/>
      <c r="O72" s="142"/>
      <c r="P72" s="142"/>
      <c r="Q72" s="142"/>
      <c r="R72" s="142"/>
      <c r="S72" s="143"/>
      <c r="T72" s="145"/>
      <c r="U72" s="146"/>
      <c r="V72" s="146"/>
      <c r="W72" s="146"/>
      <c r="X72" s="146"/>
      <c r="Y72" s="146"/>
      <c r="Z72" s="147"/>
    </row>
    <row r="73" spans="1:26" ht="18" customHeight="1">
      <c r="A73" s="72"/>
      <c r="B73" s="144"/>
      <c r="C73" s="142"/>
      <c r="D73" s="142"/>
      <c r="E73" s="142"/>
      <c r="F73" s="143"/>
      <c r="G73" s="145"/>
      <c r="H73" s="146"/>
      <c r="I73" s="146"/>
      <c r="J73" s="146"/>
      <c r="K73" s="146"/>
      <c r="L73" s="146"/>
      <c r="M73" s="147"/>
      <c r="N73" s="144"/>
      <c r="O73" s="142"/>
      <c r="P73" s="142"/>
      <c r="Q73" s="142"/>
      <c r="R73" s="142"/>
      <c r="S73" s="143"/>
      <c r="T73" s="145"/>
      <c r="U73" s="146"/>
      <c r="V73" s="146"/>
      <c r="W73" s="146"/>
      <c r="X73" s="146"/>
      <c r="Y73" s="146"/>
      <c r="Z73" s="147"/>
    </row>
    <row r="74" spans="1:26" ht="18" customHeight="1">
      <c r="A74" s="72"/>
      <c r="B74" s="144"/>
      <c r="C74" s="142"/>
      <c r="D74" s="142"/>
      <c r="E74" s="142"/>
      <c r="F74" s="143"/>
      <c r="G74" s="145"/>
      <c r="H74" s="146"/>
      <c r="I74" s="146"/>
      <c r="J74" s="146"/>
      <c r="K74" s="146"/>
      <c r="L74" s="146"/>
      <c r="M74" s="147"/>
      <c r="N74" s="144"/>
      <c r="O74" s="142"/>
      <c r="P74" s="142"/>
      <c r="Q74" s="142"/>
      <c r="R74" s="142"/>
      <c r="S74" s="143"/>
      <c r="T74" s="145"/>
      <c r="U74" s="146"/>
      <c r="V74" s="146"/>
      <c r="W74" s="146"/>
      <c r="X74" s="146"/>
      <c r="Y74" s="146"/>
      <c r="Z74" s="147"/>
    </row>
    <row r="75" spans="1:26" ht="18" customHeight="1">
      <c r="A75" s="72"/>
      <c r="B75" s="144"/>
      <c r="C75" s="142"/>
      <c r="D75" s="142"/>
      <c r="E75" s="142"/>
      <c r="F75" s="143"/>
      <c r="G75" s="145"/>
      <c r="H75" s="146"/>
      <c r="I75" s="146"/>
      <c r="J75" s="146"/>
      <c r="K75" s="146"/>
      <c r="L75" s="146"/>
      <c r="M75" s="147"/>
      <c r="N75" s="144"/>
      <c r="O75" s="142"/>
      <c r="P75" s="142"/>
      <c r="Q75" s="142"/>
      <c r="R75" s="142"/>
      <c r="S75" s="143"/>
      <c r="T75" s="145"/>
      <c r="U75" s="146"/>
      <c r="V75" s="146"/>
      <c r="W75" s="146"/>
      <c r="X75" s="146"/>
      <c r="Y75" s="146"/>
      <c r="Z75" s="147"/>
    </row>
    <row r="76" spans="1:26" ht="18" customHeight="1">
      <c r="A76" s="72"/>
      <c r="B76" s="198"/>
      <c r="C76" s="199"/>
      <c r="D76" s="199"/>
      <c r="E76" s="199"/>
      <c r="F76" s="200"/>
      <c r="G76" s="201"/>
      <c r="H76" s="202"/>
      <c r="I76" s="202"/>
      <c r="J76" s="202"/>
      <c r="K76" s="202"/>
      <c r="L76" s="202"/>
      <c r="M76" s="203"/>
      <c r="N76" s="198"/>
      <c r="O76" s="199"/>
      <c r="P76" s="199"/>
      <c r="Q76" s="199"/>
      <c r="R76" s="199"/>
      <c r="S76" s="200"/>
      <c r="T76" s="201"/>
      <c r="U76" s="202"/>
      <c r="V76" s="202"/>
      <c r="W76" s="202"/>
      <c r="X76" s="202"/>
      <c r="Y76" s="202"/>
      <c r="Z76" s="203"/>
    </row>
    <row r="77" spans="1:26" ht="18" customHeight="1">
      <c r="A77" s="72"/>
      <c r="B77" s="61"/>
      <c r="C77" s="61"/>
      <c r="D77" s="61"/>
      <c r="E77" s="61"/>
      <c r="F77" s="61"/>
      <c r="G77" s="3"/>
      <c r="H77" s="3"/>
      <c r="I77" s="3"/>
      <c r="J77" s="3"/>
      <c r="K77" s="3"/>
      <c r="L77" s="3"/>
      <c r="M77" s="3"/>
      <c r="N77" s="61"/>
      <c r="O77" s="61"/>
      <c r="P77" s="61"/>
      <c r="Q77" s="61"/>
      <c r="R77" s="61"/>
      <c r="S77" s="61"/>
      <c r="T77" s="3"/>
      <c r="U77" s="3"/>
      <c r="V77" s="3"/>
      <c r="W77" s="3"/>
      <c r="X77" s="3"/>
      <c r="Y77" s="3"/>
      <c r="Z77" s="3"/>
    </row>
    <row r="78" spans="1:26" ht="18.75" customHeight="1">
      <c r="A78" s="4" t="s">
        <v>142</v>
      </c>
    </row>
    <row r="79" spans="1:26" ht="18.75" customHeight="1">
      <c r="B79" s="15" t="s">
        <v>102</v>
      </c>
      <c r="C79" s="16"/>
      <c r="D79" s="129" t="s">
        <v>103</v>
      </c>
      <c r="E79" s="129"/>
      <c r="F79" s="129"/>
      <c r="G79" s="129"/>
      <c r="H79" s="129"/>
      <c r="I79" s="129"/>
      <c r="J79" s="129"/>
      <c r="K79" s="129"/>
      <c r="L79" s="129"/>
      <c r="M79" s="129"/>
      <c r="N79" s="129"/>
      <c r="O79" s="129"/>
      <c r="P79" s="129"/>
      <c r="Q79" s="129"/>
      <c r="R79" s="129"/>
      <c r="S79" s="129"/>
      <c r="T79" s="129"/>
      <c r="U79" s="129"/>
      <c r="V79" s="129"/>
      <c r="W79" s="129"/>
      <c r="X79" s="129"/>
      <c r="Y79" s="129"/>
      <c r="Z79" s="130"/>
    </row>
    <row r="80" spans="1:26" ht="78" customHeight="1">
      <c r="B80" s="148" t="s">
        <v>109</v>
      </c>
      <c r="C80" s="28" t="s">
        <v>104</v>
      </c>
      <c r="D80" s="155" t="s">
        <v>201</v>
      </c>
      <c r="E80" s="155"/>
      <c r="F80" s="155"/>
      <c r="G80" s="155"/>
      <c r="H80" s="155"/>
      <c r="I80" s="155"/>
      <c r="J80" s="155"/>
      <c r="K80" s="155"/>
      <c r="L80" s="155"/>
      <c r="M80" s="155"/>
      <c r="N80" s="155"/>
      <c r="O80" s="155"/>
      <c r="P80" s="155"/>
      <c r="Q80" s="155"/>
      <c r="R80" s="155"/>
      <c r="S80" s="155"/>
      <c r="T80" s="155"/>
      <c r="U80" s="155"/>
      <c r="V80" s="155"/>
      <c r="W80" s="155"/>
      <c r="X80" s="155"/>
      <c r="Y80" s="155"/>
      <c r="Z80" s="161"/>
    </row>
    <row r="81" spans="1:26" ht="78" customHeight="1">
      <c r="B81" s="150"/>
      <c r="C81" s="40" t="s">
        <v>137</v>
      </c>
      <c r="D81" s="190" t="s">
        <v>202</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c r="B82" s="148" t="s">
        <v>110</v>
      </c>
      <c r="C82" s="23" t="s">
        <v>127</v>
      </c>
      <c r="D82" s="193" t="s">
        <v>203</v>
      </c>
      <c r="E82" s="169"/>
      <c r="F82" s="169"/>
      <c r="G82" s="169"/>
      <c r="H82" s="169"/>
      <c r="I82" s="169"/>
      <c r="J82" s="169"/>
      <c r="K82" s="169"/>
      <c r="L82" s="169"/>
      <c r="M82" s="169"/>
      <c r="N82" s="169"/>
      <c r="O82" s="169"/>
      <c r="P82" s="169"/>
      <c r="Q82" s="169"/>
      <c r="R82" s="169"/>
      <c r="S82" s="169"/>
      <c r="T82" s="169"/>
      <c r="U82" s="169"/>
      <c r="V82" s="169"/>
      <c r="W82" s="169"/>
      <c r="X82" s="169"/>
      <c r="Y82" s="169"/>
      <c r="Z82" s="170"/>
    </row>
    <row r="83" spans="1:26" ht="78" customHeight="1">
      <c r="B83" s="149"/>
      <c r="C83" s="41" t="s">
        <v>128</v>
      </c>
      <c r="D83" s="197" t="s">
        <v>204</v>
      </c>
      <c r="E83" s="177"/>
      <c r="F83" s="177"/>
      <c r="G83" s="177"/>
      <c r="H83" s="177"/>
      <c r="I83" s="177"/>
      <c r="J83" s="177"/>
      <c r="K83" s="177"/>
      <c r="L83" s="177"/>
      <c r="M83" s="177"/>
      <c r="N83" s="177"/>
      <c r="O83" s="177"/>
      <c r="P83" s="177"/>
      <c r="Q83" s="177"/>
      <c r="R83" s="177"/>
      <c r="S83" s="177"/>
      <c r="T83" s="177"/>
      <c r="U83" s="177"/>
      <c r="V83" s="177"/>
      <c r="W83" s="177"/>
      <c r="X83" s="177"/>
      <c r="Y83" s="177"/>
      <c r="Z83" s="178"/>
    </row>
    <row r="84" spans="1:26" ht="66" customHeight="1">
      <c r="B84" s="148" t="s">
        <v>111</v>
      </c>
      <c r="C84" s="23" t="s">
        <v>130</v>
      </c>
      <c r="D84" s="193" t="s">
        <v>205</v>
      </c>
      <c r="E84" s="169"/>
      <c r="F84" s="169"/>
      <c r="G84" s="169"/>
      <c r="H84" s="169"/>
      <c r="I84" s="169"/>
      <c r="J84" s="169"/>
      <c r="K84" s="169"/>
      <c r="L84" s="169"/>
      <c r="M84" s="169"/>
      <c r="N84" s="169"/>
      <c r="O84" s="169"/>
      <c r="P84" s="169"/>
      <c r="Q84" s="169"/>
      <c r="R84" s="169"/>
      <c r="S84" s="169"/>
      <c r="T84" s="169"/>
      <c r="U84" s="169"/>
      <c r="V84" s="169"/>
      <c r="W84" s="169"/>
      <c r="X84" s="169"/>
      <c r="Y84" s="169"/>
      <c r="Z84" s="170"/>
    </row>
    <row r="85" spans="1:26" ht="66" customHeight="1">
      <c r="B85" s="149"/>
      <c r="C85" s="25" t="s">
        <v>131</v>
      </c>
      <c r="D85" s="194" t="s">
        <v>206</v>
      </c>
      <c r="E85" s="195"/>
      <c r="F85" s="195"/>
      <c r="G85" s="195"/>
      <c r="H85" s="195"/>
      <c r="I85" s="195"/>
      <c r="J85" s="195"/>
      <c r="K85" s="195"/>
      <c r="L85" s="195"/>
      <c r="M85" s="195"/>
      <c r="N85" s="195"/>
      <c r="O85" s="195"/>
      <c r="P85" s="195"/>
      <c r="Q85" s="195"/>
      <c r="R85" s="195"/>
      <c r="S85" s="195"/>
      <c r="T85" s="195"/>
      <c r="U85" s="195"/>
      <c r="V85" s="195"/>
      <c r="W85" s="195"/>
      <c r="X85" s="195"/>
      <c r="Y85" s="195"/>
      <c r="Z85" s="196"/>
    </row>
    <row r="86" spans="1:26" ht="81" customHeight="1">
      <c r="B86" s="148" t="s">
        <v>138</v>
      </c>
      <c r="C86" s="28" t="s">
        <v>106</v>
      </c>
      <c r="D86" s="155" t="s">
        <v>207</v>
      </c>
      <c r="E86" s="156"/>
      <c r="F86" s="156"/>
      <c r="G86" s="156"/>
      <c r="H86" s="156"/>
      <c r="I86" s="156"/>
      <c r="J86" s="156"/>
      <c r="K86" s="156"/>
      <c r="L86" s="156"/>
      <c r="M86" s="156"/>
      <c r="N86" s="156"/>
      <c r="O86" s="156"/>
      <c r="P86" s="156"/>
      <c r="Q86" s="156"/>
      <c r="R86" s="156"/>
      <c r="S86" s="156"/>
      <c r="T86" s="156"/>
      <c r="U86" s="156"/>
      <c r="V86" s="156"/>
      <c r="W86" s="156"/>
      <c r="X86" s="156"/>
      <c r="Y86" s="156"/>
      <c r="Z86" s="157"/>
    </row>
    <row r="87" spans="1:26" ht="84.6" customHeight="1">
      <c r="B87" s="150"/>
      <c r="C87" s="24" t="s">
        <v>108</v>
      </c>
      <c r="D87" s="158" t="s">
        <v>208</v>
      </c>
      <c r="E87" s="159"/>
      <c r="F87" s="159"/>
      <c r="G87" s="159"/>
      <c r="H87" s="159"/>
      <c r="I87" s="159"/>
      <c r="J87" s="159"/>
      <c r="K87" s="159"/>
      <c r="L87" s="159"/>
      <c r="M87" s="159"/>
      <c r="N87" s="159"/>
      <c r="O87" s="159"/>
      <c r="P87" s="159"/>
      <c r="Q87" s="159"/>
      <c r="R87" s="159"/>
      <c r="S87" s="159"/>
      <c r="T87" s="159"/>
      <c r="U87" s="159"/>
      <c r="V87" s="159"/>
      <c r="W87" s="159"/>
      <c r="X87" s="159"/>
      <c r="Y87" s="159"/>
      <c r="Z87" s="160"/>
    </row>
    <row r="88" spans="1:26" ht="103.2" customHeight="1">
      <c r="B88" s="148" t="s">
        <v>139</v>
      </c>
      <c r="C88" s="23" t="s">
        <v>105</v>
      </c>
      <c r="D88" s="151" t="s">
        <v>209</v>
      </c>
      <c r="E88" s="136"/>
      <c r="F88" s="136"/>
      <c r="G88" s="136"/>
      <c r="H88" s="136"/>
      <c r="I88" s="136"/>
      <c r="J88" s="136"/>
      <c r="K88" s="136"/>
      <c r="L88" s="136"/>
      <c r="M88" s="136"/>
      <c r="N88" s="136"/>
      <c r="O88" s="136"/>
      <c r="P88" s="136"/>
      <c r="Q88" s="136"/>
      <c r="R88" s="136"/>
      <c r="S88" s="136"/>
      <c r="T88" s="136"/>
      <c r="U88" s="136"/>
      <c r="V88" s="136"/>
      <c r="W88" s="136"/>
      <c r="X88" s="136"/>
      <c r="Y88" s="136"/>
      <c r="Z88" s="137"/>
    </row>
    <row r="89" spans="1:26" ht="89.4" customHeight="1">
      <c r="B89" s="150"/>
      <c r="C89" s="24" t="s">
        <v>134</v>
      </c>
      <c r="D89" s="141" t="s">
        <v>210</v>
      </c>
      <c r="E89" s="142"/>
      <c r="F89" s="142"/>
      <c r="G89" s="142"/>
      <c r="H89" s="142"/>
      <c r="I89" s="142"/>
      <c r="J89" s="142"/>
      <c r="K89" s="142"/>
      <c r="L89" s="142"/>
      <c r="M89" s="142"/>
      <c r="N89" s="142"/>
      <c r="O89" s="142"/>
      <c r="P89" s="142"/>
      <c r="Q89" s="142"/>
      <c r="R89" s="142"/>
      <c r="S89" s="142"/>
      <c r="T89" s="142"/>
      <c r="U89" s="142"/>
      <c r="V89" s="142"/>
      <c r="W89" s="142"/>
      <c r="X89" s="142"/>
      <c r="Y89" s="142"/>
      <c r="Z89" s="143"/>
    </row>
    <row r="90" spans="1:26" ht="94.2" customHeight="1">
      <c r="B90" s="149"/>
      <c r="C90" s="25" t="s">
        <v>135</v>
      </c>
      <c r="D90" s="152" t="s">
        <v>211</v>
      </c>
      <c r="E90" s="153"/>
      <c r="F90" s="153"/>
      <c r="G90" s="153"/>
      <c r="H90" s="153"/>
      <c r="I90" s="153"/>
      <c r="J90" s="153"/>
      <c r="K90" s="153"/>
      <c r="L90" s="153"/>
      <c r="M90" s="153"/>
      <c r="N90" s="153"/>
      <c r="O90" s="153"/>
      <c r="P90" s="153"/>
      <c r="Q90" s="153"/>
      <c r="R90" s="153"/>
      <c r="S90" s="153"/>
      <c r="T90" s="153"/>
      <c r="U90" s="153"/>
      <c r="V90" s="153"/>
      <c r="W90" s="153"/>
      <c r="X90" s="153"/>
      <c r="Y90" s="153"/>
      <c r="Z90" s="154"/>
    </row>
    <row r="91" spans="1:26" ht="6" customHeight="1"/>
    <row r="92" spans="1:26" ht="18.75" customHeight="1">
      <c r="A92" s="4" t="s">
        <v>143</v>
      </c>
    </row>
    <row r="93" spans="1:26" ht="18.75" customHeight="1">
      <c r="B93" s="207" t="s">
        <v>155</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9"/>
    </row>
    <row r="94" spans="1:26" ht="18.75" customHeight="1">
      <c r="B94" s="210"/>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2"/>
    </row>
    <row r="95" spans="1:26" ht="18.75" customHeight="1">
      <c r="B95" s="213"/>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214"/>
    </row>
    <row r="96" spans="1:26" ht="6" customHeight="1"/>
    <row r="97" spans="1:26" ht="15" customHeight="1">
      <c r="A97" s="4" t="s">
        <v>144</v>
      </c>
    </row>
    <row r="98" spans="1:26" ht="15" customHeight="1">
      <c r="B98" s="215" t="s">
        <v>229</v>
      </c>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216"/>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Y27:Z33 Y38:Z44 Y49:Z55 Y60:Z66 G60:G66 H27:H33 U16:U22 T60:T66 U27:U33 H38:H44 U38:U44 H49:H55 U49:U55 L62:M66 K60:M61 L49:M55 L38:M44 L27:M33 H16:H22 L16:M22" xr:uid="{4C0986EB-3601-4249-85F7-B678A400A117}">
      <formula1>"○"</formula1>
    </dataValidation>
    <dataValidation type="list" allowBlank="1" showInputMessage="1" showErrorMessage="1" sqref="Z23 Z34 D34:K34 D23:K23 V16:V22 I27:I33 V27:V33 H60:H66 V38:V44 I38:I44 V49:V55 I49:I55 U60:U66 I16:I22"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F82E5DE6-B4B9-4A4B-8450-A5574DB78F78}"/>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4100-F3CB-4FC8-9ADA-39EE873584C5}">
  <dimension ref="A1:Z98"/>
  <sheetViews>
    <sheetView showZeros="0" view="pageBreakPreview" topLeftCell="A88" zoomScaleNormal="100" zoomScaleSheetLayoutView="100" workbookViewId="0"/>
  </sheetViews>
  <sheetFormatPr defaultColWidth="9" defaultRowHeight="18.75" customHeight="1"/>
  <cols>
    <col min="1" max="1" width="2.44140625" style="4" customWidth="1"/>
    <col min="2" max="2" width="27.77734375" style="4" customWidth="1"/>
    <col min="3" max="13" width="3.33203125" style="4" customWidth="1"/>
    <col min="14" max="14" width="8.88671875" style="4" customWidth="1"/>
    <col min="15" max="15" width="18.88671875" style="4" customWidth="1"/>
    <col min="16" max="19" width="3.33203125" style="4" customWidth="1"/>
    <col min="20" max="20" width="3.44140625" style="4" customWidth="1"/>
    <col min="21" max="26" width="3.33203125" style="4" customWidth="1"/>
    <col min="27" max="16384" width="9" style="4"/>
  </cols>
  <sheetData>
    <row r="1" spans="1:26" ht="15" customHeight="1">
      <c r="W1" s="217" t="s">
        <v>193</v>
      </c>
      <c r="X1" s="217"/>
      <c r="Y1" s="217"/>
      <c r="Z1" s="217"/>
    </row>
    <row r="2" spans="1:26" ht="18" customHeight="1">
      <c r="A2" s="179" t="s">
        <v>67</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5" customHeight="1">
      <c r="B3" s="72"/>
      <c r="C3" s="72"/>
      <c r="D3" s="72"/>
      <c r="E3" s="72"/>
      <c r="F3" s="72"/>
      <c r="G3" s="72"/>
      <c r="H3" s="72"/>
      <c r="I3" s="72"/>
      <c r="J3" s="72"/>
      <c r="K3" s="72"/>
      <c r="L3" s="72"/>
      <c r="M3" s="72"/>
      <c r="N3" s="72"/>
      <c r="O3" s="72"/>
      <c r="P3" s="72"/>
      <c r="Q3" s="72"/>
      <c r="R3" s="72"/>
      <c r="S3" s="72"/>
      <c r="T3" s="72"/>
      <c r="U3" s="72"/>
      <c r="V3" s="72"/>
      <c r="W3" s="72"/>
      <c r="X3" s="72"/>
      <c r="Y3" s="72"/>
      <c r="Z3" s="72"/>
    </row>
    <row r="4" spans="1:26" ht="18" customHeight="1">
      <c r="A4" s="4" t="s">
        <v>99</v>
      </c>
      <c r="B4" s="72"/>
      <c r="C4" s="72"/>
      <c r="D4" s="72"/>
      <c r="E4" s="72"/>
      <c r="F4" s="72"/>
      <c r="G4" s="72"/>
      <c r="H4" s="5" t="s">
        <v>112</v>
      </c>
      <c r="I4" s="72"/>
      <c r="J4" s="72"/>
      <c r="K4" s="72"/>
      <c r="L4" s="72"/>
      <c r="M4" s="72"/>
      <c r="N4" s="72"/>
      <c r="O4" s="128" t="s">
        <v>148</v>
      </c>
      <c r="P4" s="129"/>
      <c r="Q4" s="129"/>
      <c r="R4" s="129"/>
      <c r="S4" s="129"/>
      <c r="T4" s="129"/>
      <c r="U4" s="129"/>
      <c r="V4" s="129"/>
      <c r="W4" s="129"/>
      <c r="X4" s="129"/>
      <c r="Y4" s="129"/>
      <c r="Z4" s="130"/>
    </row>
    <row r="5" spans="1:26" ht="6" customHeight="1">
      <c r="B5" s="72"/>
      <c r="C5" s="72"/>
      <c r="D5" s="72"/>
      <c r="E5" s="72"/>
      <c r="F5" s="72"/>
      <c r="G5" s="72"/>
      <c r="H5" s="72"/>
      <c r="I5" s="72"/>
      <c r="J5" s="72"/>
      <c r="K5" s="72"/>
      <c r="L5" s="72"/>
      <c r="M5" s="72"/>
      <c r="N5" s="72"/>
      <c r="O5" s="6"/>
      <c r="P5" s="72"/>
      <c r="Q5" s="72"/>
      <c r="R5" s="72"/>
      <c r="S5" s="72"/>
      <c r="T5" s="72"/>
      <c r="U5" s="72"/>
      <c r="V5" s="72"/>
      <c r="W5" s="72"/>
      <c r="X5" s="72"/>
      <c r="Y5" s="72"/>
      <c r="Z5" s="72"/>
    </row>
    <row r="6" spans="1:26" ht="18" customHeight="1">
      <c r="B6" s="180" t="s">
        <v>221</v>
      </c>
      <c r="C6" s="181"/>
      <c r="D6" s="181"/>
      <c r="E6" s="181"/>
      <c r="F6" s="181"/>
      <c r="G6" s="181"/>
      <c r="H6" s="181"/>
      <c r="I6" s="181"/>
      <c r="J6" s="181"/>
      <c r="K6" s="181"/>
      <c r="L6" s="181"/>
      <c r="M6" s="181"/>
      <c r="N6" s="181"/>
      <c r="O6" s="181"/>
      <c r="P6" s="181"/>
      <c r="Q6" s="181"/>
      <c r="R6" s="181"/>
      <c r="S6" s="181"/>
      <c r="T6" s="181"/>
      <c r="U6" s="181"/>
      <c r="V6" s="181"/>
      <c r="W6" s="181"/>
      <c r="X6" s="181"/>
      <c r="Y6" s="181"/>
      <c r="Z6" s="182"/>
    </row>
    <row r="7" spans="1:26" ht="18" customHeight="1">
      <c r="B7" s="183"/>
      <c r="C7" s="184"/>
      <c r="D7" s="184"/>
      <c r="E7" s="184"/>
      <c r="F7" s="184"/>
      <c r="G7" s="184"/>
      <c r="H7" s="184"/>
      <c r="I7" s="184"/>
      <c r="J7" s="184"/>
      <c r="K7" s="184"/>
      <c r="L7" s="184"/>
      <c r="M7" s="184"/>
      <c r="N7" s="184"/>
      <c r="O7" s="184"/>
      <c r="P7" s="184"/>
      <c r="Q7" s="184"/>
      <c r="R7" s="184"/>
      <c r="S7" s="184"/>
      <c r="T7" s="184"/>
      <c r="U7" s="184"/>
      <c r="V7" s="184"/>
      <c r="W7" s="184"/>
      <c r="X7" s="184"/>
      <c r="Y7" s="184"/>
      <c r="Z7" s="185"/>
    </row>
    <row r="8" spans="1:26" ht="18" customHeight="1">
      <c r="B8" s="183"/>
      <c r="C8" s="184"/>
      <c r="D8" s="184"/>
      <c r="E8" s="184"/>
      <c r="F8" s="184"/>
      <c r="G8" s="184"/>
      <c r="H8" s="184"/>
      <c r="I8" s="184"/>
      <c r="J8" s="184"/>
      <c r="K8" s="184"/>
      <c r="L8" s="184"/>
      <c r="M8" s="184"/>
      <c r="N8" s="184"/>
      <c r="O8" s="184"/>
      <c r="P8" s="184"/>
      <c r="Q8" s="184"/>
      <c r="R8" s="184"/>
      <c r="S8" s="184"/>
      <c r="T8" s="184"/>
      <c r="U8" s="184"/>
      <c r="V8" s="184"/>
      <c r="W8" s="184"/>
      <c r="X8" s="184"/>
      <c r="Y8" s="184"/>
      <c r="Z8" s="185"/>
    </row>
    <row r="9" spans="1:26" ht="18" customHeight="1">
      <c r="B9" s="183"/>
      <c r="C9" s="184"/>
      <c r="D9" s="184"/>
      <c r="E9" s="184"/>
      <c r="F9" s="184"/>
      <c r="G9" s="184"/>
      <c r="H9" s="184"/>
      <c r="I9" s="184"/>
      <c r="J9" s="184"/>
      <c r="K9" s="184"/>
      <c r="L9" s="184"/>
      <c r="M9" s="184"/>
      <c r="N9" s="184"/>
      <c r="O9" s="184"/>
      <c r="P9" s="184"/>
      <c r="Q9" s="184"/>
      <c r="R9" s="184"/>
      <c r="S9" s="184"/>
      <c r="T9" s="184"/>
      <c r="U9" s="184"/>
      <c r="V9" s="184"/>
      <c r="W9" s="184"/>
      <c r="X9" s="184"/>
      <c r="Y9" s="184"/>
      <c r="Z9" s="185"/>
    </row>
    <row r="10" spans="1:26" ht="18" customHeight="1">
      <c r="B10" s="183"/>
      <c r="C10" s="186"/>
      <c r="D10" s="186"/>
      <c r="E10" s="186"/>
      <c r="F10" s="186"/>
      <c r="G10" s="186"/>
      <c r="H10" s="186"/>
      <c r="I10" s="186"/>
      <c r="J10" s="186"/>
      <c r="K10" s="186"/>
      <c r="L10" s="186"/>
      <c r="M10" s="186"/>
      <c r="N10" s="186"/>
      <c r="O10" s="186"/>
      <c r="P10" s="186"/>
      <c r="Q10" s="186"/>
      <c r="R10" s="186"/>
      <c r="S10" s="186"/>
      <c r="T10" s="186"/>
      <c r="U10" s="186"/>
      <c r="V10" s="186"/>
      <c r="W10" s="186"/>
      <c r="X10" s="186"/>
      <c r="Y10" s="186"/>
      <c r="Z10" s="185"/>
    </row>
    <row r="11" spans="1:26" ht="18" customHeight="1">
      <c r="B11" s="187"/>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9"/>
    </row>
    <row r="12" spans="1:26" ht="7.5" customHeight="1">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8" customHeight="1">
      <c r="A13" s="175" t="s">
        <v>125</v>
      </c>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row>
    <row r="14" spans="1:26" ht="18" customHeight="1">
      <c r="A14" s="175"/>
      <c r="B14" s="175"/>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row>
    <row r="15" spans="1:26" ht="18" customHeight="1">
      <c r="B15" s="128" t="s">
        <v>100</v>
      </c>
      <c r="C15" s="129"/>
      <c r="D15" s="129"/>
      <c r="E15" s="129"/>
      <c r="F15" s="130"/>
      <c r="G15" s="17" t="s">
        <v>141</v>
      </c>
      <c r="H15" s="42" t="s">
        <v>140</v>
      </c>
      <c r="I15" s="129" t="s">
        <v>101</v>
      </c>
      <c r="J15" s="129"/>
      <c r="K15" s="129"/>
      <c r="L15" s="20" t="s">
        <v>104</v>
      </c>
      <c r="M15" s="20" t="s">
        <v>107</v>
      </c>
      <c r="N15" s="128" t="s">
        <v>100</v>
      </c>
      <c r="O15" s="129"/>
      <c r="P15" s="129"/>
      <c r="Q15" s="129"/>
      <c r="R15" s="129"/>
      <c r="S15" s="130"/>
      <c r="T15" s="17" t="s">
        <v>141</v>
      </c>
      <c r="U15" s="42" t="s">
        <v>140</v>
      </c>
      <c r="V15" s="129" t="s">
        <v>101</v>
      </c>
      <c r="W15" s="129"/>
      <c r="X15" s="129"/>
      <c r="Y15" s="20" t="s">
        <v>104</v>
      </c>
      <c r="Z15" s="20" t="s">
        <v>107</v>
      </c>
    </row>
    <row r="16" spans="1:26" ht="18" customHeight="1">
      <c r="B16" s="168" t="s">
        <v>158</v>
      </c>
      <c r="C16" s="169"/>
      <c r="D16" s="169"/>
      <c r="E16" s="169"/>
      <c r="F16" s="170"/>
      <c r="G16" s="43">
        <v>2</v>
      </c>
      <c r="H16" s="43" t="s">
        <v>152</v>
      </c>
      <c r="I16" s="162" t="s">
        <v>153</v>
      </c>
      <c r="J16" s="163"/>
      <c r="K16" s="164"/>
      <c r="L16" s="43" t="s">
        <v>152</v>
      </c>
      <c r="M16" s="43" t="s">
        <v>152</v>
      </c>
      <c r="N16" s="135"/>
      <c r="O16" s="136"/>
      <c r="P16" s="136"/>
      <c r="Q16" s="136"/>
      <c r="R16" s="136"/>
      <c r="S16" s="137"/>
      <c r="T16" s="43"/>
      <c r="U16" s="43"/>
      <c r="V16" s="162"/>
      <c r="W16" s="163"/>
      <c r="X16" s="164"/>
      <c r="Y16" s="43"/>
      <c r="Z16" s="43"/>
    </row>
    <row r="17" spans="1:26" ht="18" customHeight="1">
      <c r="B17" s="171" t="s">
        <v>159</v>
      </c>
      <c r="C17" s="159"/>
      <c r="D17" s="159"/>
      <c r="E17" s="159"/>
      <c r="F17" s="160"/>
      <c r="G17" s="44">
        <v>2</v>
      </c>
      <c r="H17" s="44" t="s">
        <v>152</v>
      </c>
      <c r="I17" s="165" t="s">
        <v>153</v>
      </c>
      <c r="J17" s="166"/>
      <c r="K17" s="167"/>
      <c r="L17" s="44" t="s">
        <v>152</v>
      </c>
      <c r="M17" s="44" t="s">
        <v>152</v>
      </c>
      <c r="N17" s="144"/>
      <c r="O17" s="142"/>
      <c r="P17" s="142"/>
      <c r="Q17" s="142"/>
      <c r="R17" s="142"/>
      <c r="S17" s="143"/>
      <c r="T17" s="44"/>
      <c r="U17" s="44"/>
      <c r="V17" s="165"/>
      <c r="W17" s="166"/>
      <c r="X17" s="167"/>
      <c r="Y17" s="44"/>
      <c r="Z17" s="44"/>
    </row>
    <row r="18" spans="1:26" ht="18" customHeight="1">
      <c r="B18" s="171"/>
      <c r="C18" s="159"/>
      <c r="D18" s="159"/>
      <c r="E18" s="159"/>
      <c r="F18" s="160"/>
      <c r="G18" s="44"/>
      <c r="H18" s="44"/>
      <c r="I18" s="165"/>
      <c r="J18" s="166"/>
      <c r="K18" s="167"/>
      <c r="L18" s="44"/>
      <c r="M18" s="44"/>
      <c r="N18" s="144"/>
      <c r="O18" s="142"/>
      <c r="P18" s="142"/>
      <c r="Q18" s="142"/>
      <c r="R18" s="142"/>
      <c r="S18" s="143"/>
      <c r="T18" s="44"/>
      <c r="U18" s="44"/>
      <c r="V18" s="165"/>
      <c r="W18" s="166"/>
      <c r="X18" s="167"/>
      <c r="Y18" s="44"/>
      <c r="Z18" s="44"/>
    </row>
    <row r="19" spans="1:26" ht="18" customHeight="1">
      <c r="B19" s="171"/>
      <c r="C19" s="159"/>
      <c r="D19" s="159"/>
      <c r="E19" s="159"/>
      <c r="F19" s="160"/>
      <c r="G19" s="44"/>
      <c r="H19" s="44"/>
      <c r="I19" s="165"/>
      <c r="J19" s="166"/>
      <c r="K19" s="167"/>
      <c r="L19" s="44"/>
      <c r="M19" s="44"/>
      <c r="N19" s="144"/>
      <c r="O19" s="142"/>
      <c r="P19" s="142"/>
      <c r="Q19" s="142"/>
      <c r="R19" s="142"/>
      <c r="S19" s="143"/>
      <c r="T19" s="44"/>
      <c r="U19" s="44"/>
      <c r="V19" s="165"/>
      <c r="W19" s="166"/>
      <c r="X19" s="167"/>
      <c r="Y19" s="44"/>
      <c r="Z19" s="44"/>
    </row>
    <row r="20" spans="1:26" ht="18" customHeight="1">
      <c r="B20" s="171"/>
      <c r="C20" s="159"/>
      <c r="D20" s="159"/>
      <c r="E20" s="159"/>
      <c r="F20" s="160"/>
      <c r="G20" s="44"/>
      <c r="H20" s="44"/>
      <c r="I20" s="165"/>
      <c r="J20" s="166"/>
      <c r="K20" s="167"/>
      <c r="L20" s="44"/>
      <c r="M20" s="44"/>
      <c r="N20" s="144"/>
      <c r="O20" s="142"/>
      <c r="P20" s="142"/>
      <c r="Q20" s="142"/>
      <c r="R20" s="142"/>
      <c r="S20" s="143"/>
      <c r="T20" s="44"/>
      <c r="U20" s="44"/>
      <c r="V20" s="165"/>
      <c r="W20" s="166"/>
      <c r="X20" s="167"/>
      <c r="Y20" s="44"/>
      <c r="Z20" s="44"/>
    </row>
    <row r="21" spans="1:26" ht="18" customHeight="1">
      <c r="A21" s="72"/>
      <c r="B21" s="171"/>
      <c r="C21" s="159"/>
      <c r="D21" s="159"/>
      <c r="E21" s="159"/>
      <c r="F21" s="160"/>
      <c r="G21" s="44"/>
      <c r="H21" s="44"/>
      <c r="I21" s="165"/>
      <c r="J21" s="166"/>
      <c r="K21" s="167"/>
      <c r="L21" s="44"/>
      <c r="M21" s="44"/>
      <c r="N21" s="144"/>
      <c r="O21" s="142"/>
      <c r="P21" s="142"/>
      <c r="Q21" s="142"/>
      <c r="R21" s="142"/>
      <c r="S21" s="143"/>
      <c r="T21" s="44"/>
      <c r="U21" s="44"/>
      <c r="V21" s="165"/>
      <c r="W21" s="166"/>
      <c r="X21" s="167"/>
      <c r="Y21" s="44"/>
      <c r="Z21" s="44"/>
    </row>
    <row r="22" spans="1:26" ht="18" customHeight="1">
      <c r="A22" s="72"/>
      <c r="B22" s="176"/>
      <c r="C22" s="177"/>
      <c r="D22" s="177"/>
      <c r="E22" s="177"/>
      <c r="F22" s="178"/>
      <c r="G22" s="45"/>
      <c r="H22" s="45"/>
      <c r="I22" s="172"/>
      <c r="J22" s="173"/>
      <c r="K22" s="174"/>
      <c r="L22" s="47"/>
      <c r="M22" s="47"/>
      <c r="N22" s="198"/>
      <c r="O22" s="199"/>
      <c r="P22" s="199"/>
      <c r="Q22" s="199"/>
      <c r="R22" s="199"/>
      <c r="S22" s="200"/>
      <c r="T22" s="45"/>
      <c r="U22" s="45"/>
      <c r="V22" s="172"/>
      <c r="W22" s="173"/>
      <c r="X22" s="174"/>
      <c r="Y22" s="47"/>
      <c r="Z22" s="47"/>
    </row>
    <row r="23" spans="1:26" ht="7.5" customHeight="1">
      <c r="A23" s="72"/>
      <c r="B23" s="21"/>
      <c r="C23" s="21"/>
      <c r="D23" s="72"/>
      <c r="E23" s="72"/>
      <c r="F23" s="72"/>
      <c r="G23" s="72"/>
      <c r="H23" s="72"/>
      <c r="I23" s="72"/>
      <c r="J23" s="72"/>
      <c r="K23" s="72"/>
      <c r="L23" s="21"/>
      <c r="M23" s="21"/>
      <c r="N23" s="21"/>
      <c r="O23" s="21"/>
      <c r="P23" s="21"/>
      <c r="Q23" s="21"/>
      <c r="R23" s="21"/>
      <c r="S23" s="21"/>
      <c r="T23" s="21"/>
      <c r="U23" s="21"/>
      <c r="V23" s="21"/>
      <c r="W23" s="21"/>
      <c r="X23" s="21"/>
      <c r="Y23" s="21"/>
      <c r="Z23" s="72"/>
    </row>
    <row r="24" spans="1:26" ht="18" customHeight="1">
      <c r="A24" s="175" t="s">
        <v>126</v>
      </c>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spans="1:26" ht="18"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spans="1:26" ht="18" customHeight="1">
      <c r="B26" s="128" t="s">
        <v>100</v>
      </c>
      <c r="C26" s="129"/>
      <c r="D26" s="129"/>
      <c r="E26" s="129"/>
      <c r="F26" s="130"/>
      <c r="G26" s="17" t="s">
        <v>141</v>
      </c>
      <c r="H26" s="42" t="s">
        <v>140</v>
      </c>
      <c r="I26" s="129" t="s">
        <v>101</v>
      </c>
      <c r="J26" s="129"/>
      <c r="K26" s="129"/>
      <c r="L26" s="20" t="s">
        <v>127</v>
      </c>
      <c r="M26" s="20" t="s">
        <v>128</v>
      </c>
      <c r="N26" s="128" t="s">
        <v>100</v>
      </c>
      <c r="O26" s="129"/>
      <c r="P26" s="129"/>
      <c r="Q26" s="129"/>
      <c r="R26" s="129"/>
      <c r="S26" s="130"/>
      <c r="T26" s="17" t="s">
        <v>141</v>
      </c>
      <c r="U26" s="42" t="s">
        <v>140</v>
      </c>
      <c r="V26" s="129" t="s">
        <v>101</v>
      </c>
      <c r="W26" s="129"/>
      <c r="X26" s="129"/>
      <c r="Y26" s="20" t="s">
        <v>127</v>
      </c>
      <c r="Z26" s="20" t="s">
        <v>128</v>
      </c>
    </row>
    <row r="27" spans="1:26" ht="18" customHeight="1">
      <c r="B27" s="168" t="s">
        <v>158</v>
      </c>
      <c r="C27" s="169"/>
      <c r="D27" s="169"/>
      <c r="E27" s="169"/>
      <c r="F27" s="170"/>
      <c r="G27" s="43">
        <v>2</v>
      </c>
      <c r="H27" s="43" t="s">
        <v>152</v>
      </c>
      <c r="I27" s="162" t="s">
        <v>153</v>
      </c>
      <c r="J27" s="163"/>
      <c r="K27" s="164"/>
      <c r="L27" s="43" t="s">
        <v>152</v>
      </c>
      <c r="M27" s="43" t="s">
        <v>152</v>
      </c>
      <c r="N27" s="135"/>
      <c r="O27" s="136"/>
      <c r="P27" s="136"/>
      <c r="Q27" s="136"/>
      <c r="R27" s="136"/>
      <c r="S27" s="137"/>
      <c r="T27" s="43"/>
      <c r="U27" s="43"/>
      <c r="V27" s="162"/>
      <c r="W27" s="163"/>
      <c r="X27" s="164"/>
      <c r="Y27" s="43"/>
      <c r="Z27" s="43"/>
    </row>
    <row r="28" spans="1:26" ht="18" customHeight="1">
      <c r="B28" s="171" t="s">
        <v>159</v>
      </c>
      <c r="C28" s="159"/>
      <c r="D28" s="159"/>
      <c r="E28" s="159"/>
      <c r="F28" s="160"/>
      <c r="G28" s="44">
        <v>2</v>
      </c>
      <c r="H28" s="44" t="s">
        <v>152</v>
      </c>
      <c r="I28" s="165" t="s">
        <v>153</v>
      </c>
      <c r="J28" s="166"/>
      <c r="K28" s="167"/>
      <c r="L28" s="44" t="s">
        <v>152</v>
      </c>
      <c r="M28" s="44" t="s">
        <v>152</v>
      </c>
      <c r="N28" s="144"/>
      <c r="O28" s="142"/>
      <c r="P28" s="142"/>
      <c r="Q28" s="142"/>
      <c r="R28" s="142"/>
      <c r="S28" s="143"/>
      <c r="T28" s="44"/>
      <c r="U28" s="44"/>
      <c r="V28" s="165"/>
      <c r="W28" s="166"/>
      <c r="X28" s="167"/>
      <c r="Y28" s="44"/>
      <c r="Z28" s="44"/>
    </row>
    <row r="29" spans="1:26" ht="18" customHeight="1">
      <c r="B29" s="171"/>
      <c r="C29" s="159"/>
      <c r="D29" s="159"/>
      <c r="E29" s="159"/>
      <c r="F29" s="160"/>
      <c r="G29" s="44"/>
      <c r="H29" s="44"/>
      <c r="I29" s="165"/>
      <c r="J29" s="166"/>
      <c r="K29" s="167"/>
      <c r="L29" s="44"/>
      <c r="M29" s="44"/>
      <c r="N29" s="144"/>
      <c r="O29" s="142"/>
      <c r="P29" s="142"/>
      <c r="Q29" s="142"/>
      <c r="R29" s="142"/>
      <c r="S29" s="143"/>
      <c r="T29" s="44"/>
      <c r="U29" s="44"/>
      <c r="V29" s="165"/>
      <c r="W29" s="166"/>
      <c r="X29" s="167"/>
      <c r="Y29" s="44"/>
      <c r="Z29" s="44"/>
    </row>
    <row r="30" spans="1:26" ht="18" customHeight="1">
      <c r="B30" s="171"/>
      <c r="C30" s="159"/>
      <c r="D30" s="159"/>
      <c r="E30" s="159"/>
      <c r="F30" s="160"/>
      <c r="G30" s="44"/>
      <c r="H30" s="44"/>
      <c r="I30" s="165"/>
      <c r="J30" s="166"/>
      <c r="K30" s="167"/>
      <c r="L30" s="44"/>
      <c r="M30" s="44"/>
      <c r="N30" s="144"/>
      <c r="O30" s="142"/>
      <c r="P30" s="142"/>
      <c r="Q30" s="142"/>
      <c r="R30" s="142"/>
      <c r="S30" s="143"/>
      <c r="T30" s="44"/>
      <c r="U30" s="44"/>
      <c r="V30" s="165"/>
      <c r="W30" s="166"/>
      <c r="X30" s="167"/>
      <c r="Y30" s="44"/>
      <c r="Z30" s="44"/>
    </row>
    <row r="31" spans="1:26" ht="18" customHeight="1">
      <c r="B31" s="171"/>
      <c r="C31" s="159"/>
      <c r="D31" s="159"/>
      <c r="E31" s="159"/>
      <c r="F31" s="160"/>
      <c r="G31" s="44"/>
      <c r="H31" s="44"/>
      <c r="I31" s="165"/>
      <c r="J31" s="166"/>
      <c r="K31" s="167"/>
      <c r="L31" s="44"/>
      <c r="M31" s="44"/>
      <c r="N31" s="144"/>
      <c r="O31" s="142"/>
      <c r="P31" s="142"/>
      <c r="Q31" s="142"/>
      <c r="R31" s="142"/>
      <c r="S31" s="143"/>
      <c r="T31" s="44"/>
      <c r="U31" s="44"/>
      <c r="V31" s="165"/>
      <c r="W31" s="166"/>
      <c r="X31" s="167"/>
      <c r="Y31" s="44"/>
      <c r="Z31" s="44"/>
    </row>
    <row r="32" spans="1:26" ht="18" customHeight="1">
      <c r="B32" s="171"/>
      <c r="C32" s="159"/>
      <c r="D32" s="159"/>
      <c r="E32" s="159"/>
      <c r="F32" s="160"/>
      <c r="G32" s="44"/>
      <c r="H32" s="44"/>
      <c r="I32" s="165"/>
      <c r="J32" s="166"/>
      <c r="K32" s="167"/>
      <c r="L32" s="44"/>
      <c r="M32" s="44"/>
      <c r="N32" s="144"/>
      <c r="O32" s="142"/>
      <c r="P32" s="142"/>
      <c r="Q32" s="142"/>
      <c r="R32" s="142"/>
      <c r="S32" s="143"/>
      <c r="T32" s="44"/>
      <c r="U32" s="44"/>
      <c r="V32" s="165"/>
      <c r="W32" s="166"/>
      <c r="X32" s="167"/>
      <c r="Y32" s="44"/>
      <c r="Z32" s="44"/>
    </row>
    <row r="33" spans="1:26" ht="18" customHeight="1">
      <c r="B33" s="176"/>
      <c r="C33" s="177"/>
      <c r="D33" s="177"/>
      <c r="E33" s="177"/>
      <c r="F33" s="178"/>
      <c r="G33" s="45"/>
      <c r="H33" s="45"/>
      <c r="I33" s="172"/>
      <c r="J33" s="173"/>
      <c r="K33" s="174"/>
      <c r="L33" s="47"/>
      <c r="M33" s="47"/>
      <c r="N33" s="198"/>
      <c r="O33" s="199"/>
      <c r="P33" s="199"/>
      <c r="Q33" s="199"/>
      <c r="R33" s="199"/>
      <c r="S33" s="200"/>
      <c r="T33" s="45"/>
      <c r="U33" s="45"/>
      <c r="V33" s="172"/>
      <c r="W33" s="173"/>
      <c r="X33" s="174"/>
      <c r="Y33" s="47"/>
      <c r="Z33" s="47"/>
    </row>
    <row r="34" spans="1:26" ht="7.5" customHeight="1">
      <c r="A34" s="72"/>
      <c r="B34" s="21"/>
      <c r="C34" s="21"/>
      <c r="D34" s="72"/>
      <c r="E34" s="72"/>
      <c r="F34" s="72"/>
      <c r="G34" s="72"/>
      <c r="H34" s="72"/>
      <c r="I34" s="72"/>
      <c r="J34" s="72"/>
      <c r="K34" s="72"/>
      <c r="L34" s="21"/>
      <c r="M34" s="21"/>
      <c r="N34" s="21"/>
      <c r="O34" s="21"/>
      <c r="P34" s="21"/>
      <c r="Q34" s="21"/>
      <c r="R34" s="21"/>
      <c r="S34" s="21"/>
      <c r="T34" s="21"/>
      <c r="U34" s="21"/>
      <c r="V34" s="21"/>
      <c r="W34" s="21"/>
      <c r="X34" s="21"/>
      <c r="Y34" s="21"/>
      <c r="Z34" s="72"/>
    </row>
    <row r="35" spans="1:26" ht="18" customHeight="1">
      <c r="A35" s="175" t="s">
        <v>129</v>
      </c>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spans="1:26" ht="18" customHeight="1">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spans="1:26" ht="18" customHeight="1">
      <c r="B37" s="128" t="s">
        <v>100</v>
      </c>
      <c r="C37" s="129"/>
      <c r="D37" s="129"/>
      <c r="E37" s="129"/>
      <c r="F37" s="130"/>
      <c r="G37" s="17" t="s">
        <v>141</v>
      </c>
      <c r="H37" s="42" t="s">
        <v>140</v>
      </c>
      <c r="I37" s="128" t="s">
        <v>101</v>
      </c>
      <c r="J37" s="129"/>
      <c r="K37" s="130"/>
      <c r="L37" s="20" t="s">
        <v>130</v>
      </c>
      <c r="M37" s="20" t="s">
        <v>131</v>
      </c>
      <c r="N37" s="128" t="s">
        <v>100</v>
      </c>
      <c r="O37" s="129"/>
      <c r="P37" s="129"/>
      <c r="Q37" s="129"/>
      <c r="R37" s="129"/>
      <c r="S37" s="130"/>
      <c r="T37" s="17" t="s">
        <v>141</v>
      </c>
      <c r="U37" s="42" t="s">
        <v>140</v>
      </c>
      <c r="V37" s="128" t="s">
        <v>101</v>
      </c>
      <c r="W37" s="129"/>
      <c r="X37" s="130"/>
      <c r="Y37" s="20" t="s">
        <v>130</v>
      </c>
      <c r="Z37" s="20" t="s">
        <v>131</v>
      </c>
    </row>
    <row r="38" spans="1:26" ht="18" customHeight="1">
      <c r="A38" s="72"/>
      <c r="B38" s="168" t="s">
        <v>158</v>
      </c>
      <c r="C38" s="169"/>
      <c r="D38" s="169"/>
      <c r="E38" s="169"/>
      <c r="F38" s="170"/>
      <c r="G38" s="43">
        <v>2</v>
      </c>
      <c r="H38" s="43" t="s">
        <v>152</v>
      </c>
      <c r="I38" s="162" t="s">
        <v>153</v>
      </c>
      <c r="J38" s="163"/>
      <c r="K38" s="164"/>
      <c r="L38" s="43" t="s">
        <v>152</v>
      </c>
      <c r="M38" s="43" t="s">
        <v>152</v>
      </c>
      <c r="N38" s="135"/>
      <c r="O38" s="136"/>
      <c r="P38" s="136"/>
      <c r="Q38" s="136"/>
      <c r="R38" s="136"/>
      <c r="S38" s="137"/>
      <c r="T38" s="43"/>
      <c r="U38" s="43"/>
      <c r="V38" s="162"/>
      <c r="W38" s="163"/>
      <c r="X38" s="164"/>
      <c r="Y38" s="43"/>
      <c r="Z38" s="43"/>
    </row>
    <row r="39" spans="1:26" ht="18" customHeight="1">
      <c r="A39" s="72"/>
      <c r="B39" s="171" t="s">
        <v>159</v>
      </c>
      <c r="C39" s="159"/>
      <c r="D39" s="159"/>
      <c r="E39" s="159"/>
      <c r="F39" s="160"/>
      <c r="G39" s="44">
        <v>2</v>
      </c>
      <c r="H39" s="44" t="s">
        <v>152</v>
      </c>
      <c r="I39" s="165" t="s">
        <v>153</v>
      </c>
      <c r="J39" s="166"/>
      <c r="K39" s="167"/>
      <c r="L39" s="44" t="s">
        <v>152</v>
      </c>
      <c r="M39" s="44" t="s">
        <v>152</v>
      </c>
      <c r="N39" s="144"/>
      <c r="O39" s="142"/>
      <c r="P39" s="142"/>
      <c r="Q39" s="142"/>
      <c r="R39" s="142"/>
      <c r="S39" s="143"/>
      <c r="T39" s="44"/>
      <c r="U39" s="44"/>
      <c r="V39" s="165"/>
      <c r="W39" s="166"/>
      <c r="X39" s="167"/>
      <c r="Y39" s="44"/>
      <c r="Z39" s="44"/>
    </row>
    <row r="40" spans="1:26" ht="18" customHeight="1">
      <c r="A40" s="72"/>
      <c r="B40" s="171"/>
      <c r="C40" s="159"/>
      <c r="D40" s="159"/>
      <c r="E40" s="159"/>
      <c r="F40" s="160"/>
      <c r="G40" s="44"/>
      <c r="H40" s="44"/>
      <c r="I40" s="165"/>
      <c r="J40" s="166"/>
      <c r="K40" s="167"/>
      <c r="L40" s="44"/>
      <c r="M40" s="44"/>
      <c r="N40" s="144"/>
      <c r="O40" s="142"/>
      <c r="P40" s="142"/>
      <c r="Q40" s="142"/>
      <c r="R40" s="142"/>
      <c r="S40" s="143"/>
      <c r="T40" s="44"/>
      <c r="U40" s="44"/>
      <c r="V40" s="165"/>
      <c r="W40" s="166"/>
      <c r="X40" s="167"/>
      <c r="Y40" s="44"/>
      <c r="Z40" s="44"/>
    </row>
    <row r="41" spans="1:26" ht="18" customHeight="1">
      <c r="A41" s="72"/>
      <c r="B41" s="171"/>
      <c r="C41" s="159"/>
      <c r="D41" s="159"/>
      <c r="E41" s="159"/>
      <c r="F41" s="160"/>
      <c r="G41" s="44"/>
      <c r="H41" s="44"/>
      <c r="I41" s="165"/>
      <c r="J41" s="166"/>
      <c r="K41" s="167"/>
      <c r="L41" s="44"/>
      <c r="M41" s="44"/>
      <c r="N41" s="144"/>
      <c r="O41" s="142"/>
      <c r="P41" s="142"/>
      <c r="Q41" s="142"/>
      <c r="R41" s="142"/>
      <c r="S41" s="143"/>
      <c r="T41" s="44"/>
      <c r="U41" s="44"/>
      <c r="V41" s="165"/>
      <c r="W41" s="166"/>
      <c r="X41" s="167"/>
      <c r="Y41" s="44"/>
      <c r="Z41" s="44"/>
    </row>
    <row r="42" spans="1:26" ht="18" customHeight="1">
      <c r="A42" s="72"/>
      <c r="B42" s="171"/>
      <c r="C42" s="159"/>
      <c r="D42" s="159"/>
      <c r="E42" s="159"/>
      <c r="F42" s="160"/>
      <c r="G42" s="44"/>
      <c r="H42" s="44"/>
      <c r="I42" s="165"/>
      <c r="J42" s="166"/>
      <c r="K42" s="167"/>
      <c r="L42" s="44"/>
      <c r="M42" s="44"/>
      <c r="N42" s="144"/>
      <c r="O42" s="142"/>
      <c r="P42" s="142"/>
      <c r="Q42" s="142"/>
      <c r="R42" s="142"/>
      <c r="S42" s="143"/>
      <c r="T42" s="44"/>
      <c r="U42" s="44"/>
      <c r="V42" s="165"/>
      <c r="W42" s="166"/>
      <c r="X42" s="167"/>
      <c r="Y42" s="44"/>
      <c r="Z42" s="44"/>
    </row>
    <row r="43" spans="1:26" ht="18" customHeight="1">
      <c r="A43" s="72"/>
      <c r="B43" s="171"/>
      <c r="C43" s="159"/>
      <c r="D43" s="159"/>
      <c r="E43" s="159"/>
      <c r="F43" s="160"/>
      <c r="G43" s="44"/>
      <c r="H43" s="44"/>
      <c r="I43" s="165"/>
      <c r="J43" s="166"/>
      <c r="K43" s="167"/>
      <c r="L43" s="44"/>
      <c r="M43" s="44"/>
      <c r="N43" s="144"/>
      <c r="O43" s="142"/>
      <c r="P43" s="142"/>
      <c r="Q43" s="142"/>
      <c r="R43" s="142"/>
      <c r="S43" s="143"/>
      <c r="T43" s="44"/>
      <c r="U43" s="44"/>
      <c r="V43" s="165"/>
      <c r="W43" s="166"/>
      <c r="X43" s="167"/>
      <c r="Y43" s="44"/>
      <c r="Z43" s="44"/>
    </row>
    <row r="44" spans="1:26" ht="18" customHeight="1">
      <c r="A44" s="72"/>
      <c r="B44" s="176"/>
      <c r="C44" s="177"/>
      <c r="D44" s="177"/>
      <c r="E44" s="177"/>
      <c r="F44" s="178"/>
      <c r="G44" s="45"/>
      <c r="H44" s="45"/>
      <c r="I44" s="172"/>
      <c r="J44" s="173"/>
      <c r="K44" s="174"/>
      <c r="L44" s="47"/>
      <c r="M44" s="47"/>
      <c r="N44" s="198"/>
      <c r="O44" s="199"/>
      <c r="P44" s="199"/>
      <c r="Q44" s="199"/>
      <c r="R44" s="199"/>
      <c r="S44" s="200"/>
      <c r="T44" s="45"/>
      <c r="U44" s="45"/>
      <c r="V44" s="172"/>
      <c r="W44" s="173"/>
      <c r="X44" s="174"/>
      <c r="Y44" s="47"/>
      <c r="Z44" s="47"/>
    </row>
    <row r="45" spans="1:26" ht="7.5" customHeight="1">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6" ht="18" customHeight="1">
      <c r="A46" s="175" t="s">
        <v>132</v>
      </c>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spans="1:26" ht="18"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1:26" ht="18" customHeight="1">
      <c r="B48" s="128" t="s">
        <v>100</v>
      </c>
      <c r="C48" s="129"/>
      <c r="D48" s="129"/>
      <c r="E48" s="129"/>
      <c r="F48" s="130"/>
      <c r="G48" s="17" t="s">
        <v>141</v>
      </c>
      <c r="H48" s="42" t="s">
        <v>140</v>
      </c>
      <c r="I48" s="128" t="s">
        <v>101</v>
      </c>
      <c r="J48" s="129"/>
      <c r="K48" s="130"/>
      <c r="L48" s="20" t="s">
        <v>106</v>
      </c>
      <c r="M48" s="20" t="s">
        <v>108</v>
      </c>
      <c r="N48" s="128" t="s">
        <v>100</v>
      </c>
      <c r="O48" s="129"/>
      <c r="P48" s="129"/>
      <c r="Q48" s="129"/>
      <c r="R48" s="129"/>
      <c r="S48" s="130"/>
      <c r="T48" s="17" t="s">
        <v>141</v>
      </c>
      <c r="U48" s="42" t="s">
        <v>140</v>
      </c>
      <c r="V48" s="128" t="s">
        <v>101</v>
      </c>
      <c r="W48" s="129"/>
      <c r="X48" s="130"/>
      <c r="Y48" s="20" t="s">
        <v>106</v>
      </c>
      <c r="Z48" s="20" t="s">
        <v>108</v>
      </c>
    </row>
    <row r="49" spans="1:26" ht="18" customHeight="1">
      <c r="A49" s="72"/>
      <c r="B49" s="168" t="s">
        <v>158</v>
      </c>
      <c r="C49" s="169"/>
      <c r="D49" s="169"/>
      <c r="E49" s="169"/>
      <c r="F49" s="170"/>
      <c r="G49" s="43">
        <v>2</v>
      </c>
      <c r="H49" s="43" t="s">
        <v>152</v>
      </c>
      <c r="I49" s="162" t="s">
        <v>153</v>
      </c>
      <c r="J49" s="163"/>
      <c r="K49" s="164"/>
      <c r="L49" s="43" t="s">
        <v>152</v>
      </c>
      <c r="M49" s="43" t="s">
        <v>152</v>
      </c>
      <c r="N49" s="135"/>
      <c r="O49" s="136"/>
      <c r="P49" s="136"/>
      <c r="Q49" s="136"/>
      <c r="R49" s="136"/>
      <c r="S49" s="137"/>
      <c r="T49" s="43"/>
      <c r="U49" s="43"/>
      <c r="V49" s="162"/>
      <c r="W49" s="163"/>
      <c r="X49" s="164"/>
      <c r="Y49" s="43"/>
      <c r="Z49" s="43"/>
    </row>
    <row r="50" spans="1:26" ht="18" customHeight="1">
      <c r="A50" s="72"/>
      <c r="B50" s="171" t="s">
        <v>159</v>
      </c>
      <c r="C50" s="159"/>
      <c r="D50" s="159"/>
      <c r="E50" s="159"/>
      <c r="F50" s="160"/>
      <c r="G50" s="44">
        <v>2</v>
      </c>
      <c r="H50" s="44" t="s">
        <v>152</v>
      </c>
      <c r="I50" s="165" t="s">
        <v>153</v>
      </c>
      <c r="J50" s="166"/>
      <c r="K50" s="167"/>
      <c r="L50" s="44" t="s">
        <v>152</v>
      </c>
      <c r="M50" s="44" t="s">
        <v>152</v>
      </c>
      <c r="N50" s="144"/>
      <c r="O50" s="142"/>
      <c r="P50" s="142"/>
      <c r="Q50" s="142"/>
      <c r="R50" s="142"/>
      <c r="S50" s="143"/>
      <c r="T50" s="44"/>
      <c r="U50" s="44"/>
      <c r="V50" s="165"/>
      <c r="W50" s="166"/>
      <c r="X50" s="167"/>
      <c r="Y50" s="44"/>
      <c r="Z50" s="44"/>
    </row>
    <row r="51" spans="1:26" ht="18" customHeight="1">
      <c r="A51" s="72"/>
      <c r="B51" s="171"/>
      <c r="C51" s="159"/>
      <c r="D51" s="159"/>
      <c r="E51" s="159"/>
      <c r="F51" s="160"/>
      <c r="G51" s="44"/>
      <c r="H51" s="44"/>
      <c r="I51" s="165"/>
      <c r="J51" s="166"/>
      <c r="K51" s="167"/>
      <c r="L51" s="44"/>
      <c r="M51" s="44"/>
      <c r="N51" s="144"/>
      <c r="O51" s="142"/>
      <c r="P51" s="142"/>
      <c r="Q51" s="142"/>
      <c r="R51" s="142"/>
      <c r="S51" s="143"/>
      <c r="T51" s="44"/>
      <c r="U51" s="44"/>
      <c r="V51" s="165"/>
      <c r="W51" s="166"/>
      <c r="X51" s="167"/>
      <c r="Y51" s="44"/>
      <c r="Z51" s="44"/>
    </row>
    <row r="52" spans="1:26" ht="18" customHeight="1">
      <c r="A52" s="72"/>
      <c r="B52" s="171"/>
      <c r="C52" s="159"/>
      <c r="D52" s="159"/>
      <c r="E52" s="159"/>
      <c r="F52" s="160"/>
      <c r="G52" s="44"/>
      <c r="H52" s="44"/>
      <c r="I52" s="165"/>
      <c r="J52" s="166"/>
      <c r="K52" s="167"/>
      <c r="L52" s="44"/>
      <c r="M52" s="44"/>
      <c r="N52" s="144"/>
      <c r="O52" s="142"/>
      <c r="P52" s="142"/>
      <c r="Q52" s="142"/>
      <c r="R52" s="142"/>
      <c r="S52" s="143"/>
      <c r="T52" s="44"/>
      <c r="U52" s="44"/>
      <c r="V52" s="165"/>
      <c r="W52" s="166"/>
      <c r="X52" s="167"/>
      <c r="Y52" s="44"/>
      <c r="Z52" s="44"/>
    </row>
    <row r="53" spans="1:26" ht="18" customHeight="1">
      <c r="A53" s="72"/>
      <c r="B53" s="171"/>
      <c r="C53" s="159"/>
      <c r="D53" s="159"/>
      <c r="E53" s="159"/>
      <c r="F53" s="160"/>
      <c r="G53" s="44"/>
      <c r="H53" s="44"/>
      <c r="I53" s="165"/>
      <c r="J53" s="166"/>
      <c r="K53" s="167"/>
      <c r="L53" s="44"/>
      <c r="M53" s="44"/>
      <c r="N53" s="144"/>
      <c r="O53" s="142"/>
      <c r="P53" s="142"/>
      <c r="Q53" s="142"/>
      <c r="R53" s="142"/>
      <c r="S53" s="143"/>
      <c r="T53" s="44"/>
      <c r="U53" s="44"/>
      <c r="V53" s="165"/>
      <c r="W53" s="166"/>
      <c r="X53" s="167"/>
      <c r="Y53" s="44"/>
      <c r="Z53" s="44"/>
    </row>
    <row r="54" spans="1:26" ht="18" customHeight="1">
      <c r="A54" s="72"/>
      <c r="B54" s="171"/>
      <c r="C54" s="159"/>
      <c r="D54" s="159"/>
      <c r="E54" s="159"/>
      <c r="F54" s="160"/>
      <c r="G54" s="44"/>
      <c r="H54" s="44"/>
      <c r="I54" s="165"/>
      <c r="J54" s="166"/>
      <c r="K54" s="167"/>
      <c r="L54" s="44"/>
      <c r="M54" s="44"/>
      <c r="N54" s="144"/>
      <c r="O54" s="142"/>
      <c r="P54" s="142"/>
      <c r="Q54" s="142"/>
      <c r="R54" s="142"/>
      <c r="S54" s="143"/>
      <c r="T54" s="44"/>
      <c r="U54" s="44"/>
      <c r="V54" s="165"/>
      <c r="W54" s="166"/>
      <c r="X54" s="167"/>
      <c r="Y54" s="44"/>
      <c r="Z54" s="44"/>
    </row>
    <row r="55" spans="1:26" ht="18" customHeight="1">
      <c r="A55" s="72"/>
      <c r="B55" s="176"/>
      <c r="C55" s="177"/>
      <c r="D55" s="177"/>
      <c r="E55" s="177"/>
      <c r="F55" s="178"/>
      <c r="G55" s="45"/>
      <c r="H55" s="45"/>
      <c r="I55" s="172"/>
      <c r="J55" s="173"/>
      <c r="K55" s="174"/>
      <c r="L55" s="47"/>
      <c r="M55" s="47"/>
      <c r="N55" s="198"/>
      <c r="O55" s="199"/>
      <c r="P55" s="199"/>
      <c r="Q55" s="199"/>
      <c r="R55" s="199"/>
      <c r="S55" s="200"/>
      <c r="T55" s="45"/>
      <c r="U55" s="45"/>
      <c r="V55" s="172"/>
      <c r="W55" s="173"/>
      <c r="X55" s="174"/>
      <c r="Y55" s="47"/>
      <c r="Z55" s="47"/>
    </row>
    <row r="56" spans="1:26" ht="7.5" customHeight="1">
      <c r="B56" s="22"/>
      <c r="C56" s="22"/>
      <c r="D56" s="22"/>
      <c r="E56" s="22"/>
      <c r="F56" s="22"/>
      <c r="G56" s="22"/>
      <c r="H56" s="22"/>
      <c r="I56" s="22"/>
      <c r="J56" s="22"/>
      <c r="K56" s="22"/>
      <c r="L56" s="22"/>
      <c r="M56" s="22"/>
      <c r="N56" s="22"/>
      <c r="O56" s="22"/>
      <c r="P56" s="22"/>
      <c r="Q56" s="22"/>
      <c r="R56" s="22"/>
      <c r="S56" s="22"/>
      <c r="T56" s="22"/>
      <c r="U56" s="22"/>
      <c r="V56" s="22"/>
      <c r="W56" s="22"/>
      <c r="X56" s="22"/>
      <c r="Y56" s="22"/>
    </row>
    <row r="57" spans="1:26" ht="18" customHeight="1">
      <c r="A57" s="175" t="s">
        <v>133</v>
      </c>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spans="1:26" ht="18"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spans="1:26" ht="18" customHeight="1">
      <c r="B59" s="128" t="s">
        <v>100</v>
      </c>
      <c r="C59" s="129"/>
      <c r="D59" s="129"/>
      <c r="E59" s="130"/>
      <c r="F59" s="17" t="s">
        <v>141</v>
      </c>
      <c r="G59" s="42" t="s">
        <v>140</v>
      </c>
      <c r="H59" s="37" t="s">
        <v>101</v>
      </c>
      <c r="I59" s="38"/>
      <c r="J59" s="39"/>
      <c r="K59" s="20" t="s">
        <v>105</v>
      </c>
      <c r="L59" s="20" t="s">
        <v>134</v>
      </c>
      <c r="M59" s="20" t="s">
        <v>135</v>
      </c>
      <c r="N59" s="128" t="s">
        <v>100</v>
      </c>
      <c r="O59" s="129"/>
      <c r="P59" s="129"/>
      <c r="Q59" s="129"/>
      <c r="R59" s="130"/>
      <c r="S59" s="17" t="s">
        <v>141</v>
      </c>
      <c r="T59" s="42" t="s">
        <v>140</v>
      </c>
      <c r="U59" s="37" t="s">
        <v>101</v>
      </c>
      <c r="V59" s="38"/>
      <c r="W59" s="39"/>
      <c r="X59" s="20" t="s">
        <v>105</v>
      </c>
      <c r="Y59" s="20" t="s">
        <v>134</v>
      </c>
      <c r="Z59" s="20" t="s">
        <v>135</v>
      </c>
    </row>
    <row r="60" spans="1:26" ht="18" customHeight="1">
      <c r="A60" s="72"/>
      <c r="B60" s="135" t="s">
        <v>158</v>
      </c>
      <c r="C60" s="136"/>
      <c r="D60" s="136"/>
      <c r="E60" s="137"/>
      <c r="F60" s="43">
        <v>2</v>
      </c>
      <c r="G60" s="43" t="s">
        <v>152</v>
      </c>
      <c r="H60" s="162" t="s">
        <v>153</v>
      </c>
      <c r="I60" s="163"/>
      <c r="J60" s="164"/>
      <c r="K60" s="43" t="s">
        <v>152</v>
      </c>
      <c r="L60" s="44" t="s">
        <v>152</v>
      </c>
      <c r="M60" s="44" t="s">
        <v>152</v>
      </c>
      <c r="N60" s="135"/>
      <c r="O60" s="136"/>
      <c r="P60" s="136"/>
      <c r="Q60" s="136"/>
      <c r="R60" s="137"/>
      <c r="S60" s="43"/>
      <c r="T60" s="43"/>
      <c r="U60" s="162"/>
      <c r="V60" s="163"/>
      <c r="W60" s="164"/>
      <c r="X60" s="68"/>
      <c r="Y60" s="43"/>
      <c r="Z60" s="43"/>
    </row>
    <row r="61" spans="1:26" ht="18" customHeight="1">
      <c r="A61" s="72"/>
      <c r="B61" s="144" t="s">
        <v>159</v>
      </c>
      <c r="C61" s="142"/>
      <c r="D61" s="142"/>
      <c r="E61" s="143"/>
      <c r="F61" s="44">
        <v>2</v>
      </c>
      <c r="G61" s="44" t="s">
        <v>152</v>
      </c>
      <c r="H61" s="165" t="s">
        <v>153</v>
      </c>
      <c r="I61" s="166"/>
      <c r="J61" s="167"/>
      <c r="K61" s="44" t="s">
        <v>152</v>
      </c>
      <c r="L61" s="44" t="s">
        <v>152</v>
      </c>
      <c r="M61" s="44" t="s">
        <v>152</v>
      </c>
      <c r="N61" s="144"/>
      <c r="O61" s="142"/>
      <c r="P61" s="142"/>
      <c r="Q61" s="142"/>
      <c r="R61" s="143"/>
      <c r="S61" s="44"/>
      <c r="T61" s="44"/>
      <c r="U61" s="165"/>
      <c r="V61" s="166"/>
      <c r="W61" s="167"/>
      <c r="X61" s="66"/>
      <c r="Y61" s="44"/>
      <c r="Z61" s="44"/>
    </row>
    <row r="62" spans="1:26" ht="18" customHeight="1">
      <c r="A62" s="72"/>
      <c r="B62" s="144" t="s">
        <v>160</v>
      </c>
      <c r="C62" s="142"/>
      <c r="D62" s="142"/>
      <c r="E62" s="143"/>
      <c r="F62" s="44">
        <v>2</v>
      </c>
      <c r="G62" s="44" t="s">
        <v>152</v>
      </c>
      <c r="H62" s="165" t="s">
        <v>153</v>
      </c>
      <c r="I62" s="166"/>
      <c r="J62" s="167"/>
      <c r="K62" s="44" t="s">
        <v>152</v>
      </c>
      <c r="L62" s="44" t="s">
        <v>152</v>
      </c>
      <c r="M62" s="44" t="s">
        <v>152</v>
      </c>
      <c r="N62" s="144"/>
      <c r="O62" s="142"/>
      <c r="P62" s="142"/>
      <c r="Q62" s="142"/>
      <c r="R62" s="143"/>
      <c r="S62" s="44"/>
      <c r="T62" s="44"/>
      <c r="U62" s="165"/>
      <c r="V62" s="166"/>
      <c r="W62" s="167"/>
      <c r="X62" s="66"/>
      <c r="Y62" s="44"/>
      <c r="Z62" s="44"/>
    </row>
    <row r="63" spans="1:26" ht="18" customHeight="1">
      <c r="A63" s="72"/>
      <c r="B63" s="144"/>
      <c r="C63" s="142"/>
      <c r="D63" s="142"/>
      <c r="E63" s="143"/>
      <c r="F63" s="44"/>
      <c r="G63" s="44"/>
      <c r="H63" s="165"/>
      <c r="I63" s="166"/>
      <c r="J63" s="167"/>
      <c r="K63" s="66"/>
      <c r="L63" s="44"/>
      <c r="M63" s="44"/>
      <c r="N63" s="144"/>
      <c r="O63" s="142"/>
      <c r="P63" s="142"/>
      <c r="Q63" s="142"/>
      <c r="R63" s="143"/>
      <c r="S63" s="44"/>
      <c r="T63" s="44"/>
      <c r="U63" s="165"/>
      <c r="V63" s="166"/>
      <c r="W63" s="167"/>
      <c r="X63" s="66"/>
      <c r="Y63" s="44"/>
      <c r="Z63" s="44"/>
    </row>
    <row r="64" spans="1:26" ht="18" customHeight="1">
      <c r="A64" s="72"/>
      <c r="B64" s="144"/>
      <c r="C64" s="142"/>
      <c r="D64" s="142"/>
      <c r="E64" s="143"/>
      <c r="F64" s="44"/>
      <c r="G64" s="44"/>
      <c r="H64" s="165"/>
      <c r="I64" s="166"/>
      <c r="J64" s="167"/>
      <c r="K64" s="66"/>
      <c r="L64" s="44"/>
      <c r="M64" s="44"/>
      <c r="N64" s="144"/>
      <c r="O64" s="142"/>
      <c r="P64" s="142"/>
      <c r="Q64" s="142"/>
      <c r="R64" s="143"/>
      <c r="S64" s="44"/>
      <c r="T64" s="44"/>
      <c r="U64" s="165"/>
      <c r="V64" s="166"/>
      <c r="W64" s="167"/>
      <c r="X64" s="66"/>
      <c r="Y64" s="44"/>
      <c r="Z64" s="44"/>
    </row>
    <row r="65" spans="1:26" ht="18" customHeight="1">
      <c r="A65" s="72"/>
      <c r="B65" s="144"/>
      <c r="C65" s="142"/>
      <c r="D65" s="142"/>
      <c r="E65" s="143"/>
      <c r="F65" s="44"/>
      <c r="G65" s="44"/>
      <c r="H65" s="165"/>
      <c r="I65" s="166"/>
      <c r="J65" s="167"/>
      <c r="K65" s="66"/>
      <c r="L65" s="44"/>
      <c r="M65" s="44"/>
      <c r="N65" s="144"/>
      <c r="O65" s="142"/>
      <c r="P65" s="142"/>
      <c r="Q65" s="142"/>
      <c r="R65" s="143"/>
      <c r="S65" s="44"/>
      <c r="T65" s="44"/>
      <c r="U65" s="165"/>
      <c r="V65" s="166"/>
      <c r="W65" s="167"/>
      <c r="X65" s="66"/>
      <c r="Y65" s="44"/>
      <c r="Z65" s="44"/>
    </row>
    <row r="66" spans="1:26" ht="18" customHeight="1">
      <c r="A66" s="72"/>
      <c r="B66" s="198"/>
      <c r="C66" s="199"/>
      <c r="D66" s="199"/>
      <c r="E66" s="200"/>
      <c r="F66" s="45"/>
      <c r="G66" s="45"/>
      <c r="H66" s="172"/>
      <c r="I66" s="173"/>
      <c r="J66" s="174"/>
      <c r="K66" s="67"/>
      <c r="L66" s="47"/>
      <c r="M66" s="47"/>
      <c r="N66" s="198"/>
      <c r="O66" s="199"/>
      <c r="P66" s="199"/>
      <c r="Q66" s="199"/>
      <c r="R66" s="200"/>
      <c r="S66" s="45"/>
      <c r="T66" s="45"/>
      <c r="U66" s="172"/>
      <c r="V66" s="173"/>
      <c r="W66" s="174"/>
      <c r="X66" s="67"/>
      <c r="Y66" s="47"/>
      <c r="Z66" s="47"/>
    </row>
    <row r="67" spans="1:26" ht="7.5" customHeight="1">
      <c r="B67" s="22"/>
      <c r="C67" s="22"/>
      <c r="D67" s="22"/>
      <c r="E67" s="22"/>
      <c r="F67" s="22"/>
      <c r="G67" s="22"/>
      <c r="H67" s="22"/>
      <c r="I67" s="22"/>
      <c r="J67" s="22"/>
      <c r="K67" s="22"/>
      <c r="L67" s="22"/>
      <c r="M67" s="22"/>
      <c r="N67" s="22"/>
      <c r="O67" s="22"/>
      <c r="P67" s="22"/>
      <c r="Q67" s="22"/>
      <c r="R67" s="22"/>
      <c r="S67" s="22"/>
      <c r="T67" s="22"/>
      <c r="U67" s="22"/>
      <c r="V67" s="22"/>
      <c r="W67" s="22"/>
      <c r="X67" s="22"/>
      <c r="Y67" s="22"/>
    </row>
    <row r="68" spans="1:26" ht="18" customHeight="1">
      <c r="A68" s="4" t="s">
        <v>136</v>
      </c>
      <c r="L68" s="72"/>
      <c r="M68" s="72"/>
      <c r="N68" s="72"/>
      <c r="O68" s="72"/>
      <c r="P68" s="72"/>
      <c r="Q68" s="72"/>
      <c r="R68" s="72"/>
      <c r="S68" s="72"/>
      <c r="T68" s="72"/>
      <c r="U68" s="72"/>
      <c r="V68" s="72"/>
      <c r="W68" s="72"/>
      <c r="X68" s="72"/>
      <c r="Y68" s="72"/>
      <c r="Z68" s="72"/>
    </row>
    <row r="69" spans="1:26" ht="18" customHeight="1">
      <c r="B69" s="128" t="s">
        <v>100</v>
      </c>
      <c r="C69" s="129"/>
      <c r="D69" s="129"/>
      <c r="E69" s="129"/>
      <c r="F69" s="130"/>
      <c r="G69" s="128" t="s">
        <v>146</v>
      </c>
      <c r="H69" s="129"/>
      <c r="I69" s="129"/>
      <c r="J69" s="129"/>
      <c r="K69" s="129"/>
      <c r="L69" s="129"/>
      <c r="M69" s="130"/>
      <c r="N69" s="204" t="s">
        <v>100</v>
      </c>
      <c r="O69" s="205"/>
      <c r="P69" s="205"/>
      <c r="Q69" s="205"/>
      <c r="R69" s="205"/>
      <c r="S69" s="206"/>
      <c r="T69" s="128" t="s">
        <v>146</v>
      </c>
      <c r="U69" s="129"/>
      <c r="V69" s="129"/>
      <c r="W69" s="129"/>
      <c r="X69" s="129"/>
      <c r="Y69" s="129"/>
      <c r="Z69" s="130"/>
    </row>
    <row r="70" spans="1:26" ht="18" customHeight="1">
      <c r="A70" s="72"/>
      <c r="B70" s="135" t="s">
        <v>160</v>
      </c>
      <c r="C70" s="136"/>
      <c r="D70" s="136"/>
      <c r="E70" s="136"/>
      <c r="F70" s="137"/>
      <c r="G70" s="138" t="s">
        <v>161</v>
      </c>
      <c r="H70" s="139"/>
      <c r="I70" s="139"/>
      <c r="J70" s="139"/>
      <c r="K70" s="139"/>
      <c r="L70" s="139"/>
      <c r="M70" s="140"/>
      <c r="N70" s="135"/>
      <c r="O70" s="136"/>
      <c r="P70" s="136"/>
      <c r="Q70" s="136"/>
      <c r="R70" s="136"/>
      <c r="S70" s="137"/>
      <c r="T70" s="138"/>
      <c r="U70" s="139"/>
      <c r="V70" s="139"/>
      <c r="W70" s="139"/>
      <c r="X70" s="139"/>
      <c r="Y70" s="139"/>
      <c r="Z70" s="140"/>
    </row>
    <row r="71" spans="1:26" ht="18" customHeight="1">
      <c r="A71" s="72"/>
      <c r="B71" s="144" t="s">
        <v>160</v>
      </c>
      <c r="C71" s="142"/>
      <c r="D71" s="142"/>
      <c r="E71" s="142"/>
      <c r="F71" s="143"/>
      <c r="G71" s="145" t="s">
        <v>162</v>
      </c>
      <c r="H71" s="146"/>
      <c r="I71" s="146"/>
      <c r="J71" s="146"/>
      <c r="K71" s="146"/>
      <c r="L71" s="146"/>
      <c r="M71" s="147"/>
      <c r="N71" s="144"/>
      <c r="O71" s="142"/>
      <c r="P71" s="142"/>
      <c r="Q71" s="142"/>
      <c r="R71" s="142"/>
      <c r="S71" s="143"/>
      <c r="T71" s="145"/>
      <c r="U71" s="146"/>
      <c r="V71" s="146"/>
      <c r="W71" s="146"/>
      <c r="X71" s="146"/>
      <c r="Y71" s="146"/>
      <c r="Z71" s="147"/>
    </row>
    <row r="72" spans="1:26" ht="18" customHeight="1">
      <c r="A72" s="72"/>
      <c r="B72" s="144" t="s">
        <v>159</v>
      </c>
      <c r="C72" s="142"/>
      <c r="D72" s="142"/>
      <c r="E72" s="142"/>
      <c r="F72" s="143"/>
      <c r="G72" s="145" t="s">
        <v>163</v>
      </c>
      <c r="H72" s="146"/>
      <c r="I72" s="146"/>
      <c r="J72" s="146"/>
      <c r="K72" s="146"/>
      <c r="L72" s="146"/>
      <c r="M72" s="147"/>
      <c r="N72" s="144"/>
      <c r="O72" s="142"/>
      <c r="P72" s="142"/>
      <c r="Q72" s="142"/>
      <c r="R72" s="142"/>
      <c r="S72" s="143"/>
      <c r="T72" s="145"/>
      <c r="U72" s="146"/>
      <c r="V72" s="146"/>
      <c r="W72" s="146"/>
      <c r="X72" s="146"/>
      <c r="Y72" s="146"/>
      <c r="Z72" s="147"/>
    </row>
    <row r="73" spans="1:26" ht="18" customHeight="1">
      <c r="A73" s="72"/>
      <c r="B73" s="144"/>
      <c r="C73" s="142"/>
      <c r="D73" s="142"/>
      <c r="E73" s="142"/>
      <c r="F73" s="143"/>
      <c r="G73" s="145"/>
      <c r="H73" s="146"/>
      <c r="I73" s="146"/>
      <c r="J73" s="146"/>
      <c r="K73" s="146"/>
      <c r="L73" s="146"/>
      <c r="M73" s="147"/>
      <c r="N73" s="144"/>
      <c r="O73" s="142"/>
      <c r="P73" s="142"/>
      <c r="Q73" s="142"/>
      <c r="R73" s="142"/>
      <c r="S73" s="143"/>
      <c r="T73" s="145"/>
      <c r="U73" s="146"/>
      <c r="V73" s="146"/>
      <c r="W73" s="146"/>
      <c r="X73" s="146"/>
      <c r="Y73" s="146"/>
      <c r="Z73" s="147"/>
    </row>
    <row r="74" spans="1:26" ht="18" customHeight="1">
      <c r="A74" s="72"/>
      <c r="B74" s="144"/>
      <c r="C74" s="142"/>
      <c r="D74" s="142"/>
      <c r="E74" s="142"/>
      <c r="F74" s="143"/>
      <c r="G74" s="145"/>
      <c r="H74" s="146"/>
      <c r="I74" s="146"/>
      <c r="J74" s="146"/>
      <c r="K74" s="146"/>
      <c r="L74" s="146"/>
      <c r="M74" s="147"/>
      <c r="N74" s="144"/>
      <c r="O74" s="142"/>
      <c r="P74" s="142"/>
      <c r="Q74" s="142"/>
      <c r="R74" s="142"/>
      <c r="S74" s="143"/>
      <c r="T74" s="145"/>
      <c r="U74" s="146"/>
      <c r="V74" s="146"/>
      <c r="W74" s="146"/>
      <c r="X74" s="146"/>
      <c r="Y74" s="146"/>
      <c r="Z74" s="147"/>
    </row>
    <row r="75" spans="1:26" ht="18" customHeight="1">
      <c r="A75" s="72"/>
      <c r="B75" s="144"/>
      <c r="C75" s="142"/>
      <c r="D75" s="142"/>
      <c r="E75" s="142"/>
      <c r="F75" s="143"/>
      <c r="G75" s="145"/>
      <c r="H75" s="146"/>
      <c r="I75" s="146"/>
      <c r="J75" s="146"/>
      <c r="K75" s="146"/>
      <c r="L75" s="146"/>
      <c r="M75" s="147"/>
      <c r="N75" s="144"/>
      <c r="O75" s="142"/>
      <c r="P75" s="142"/>
      <c r="Q75" s="142"/>
      <c r="R75" s="142"/>
      <c r="S75" s="143"/>
      <c r="T75" s="145"/>
      <c r="U75" s="146"/>
      <c r="V75" s="146"/>
      <c r="W75" s="146"/>
      <c r="X75" s="146"/>
      <c r="Y75" s="146"/>
      <c r="Z75" s="147"/>
    </row>
    <row r="76" spans="1:26" ht="18" customHeight="1">
      <c r="A76" s="72"/>
      <c r="B76" s="198"/>
      <c r="C76" s="199"/>
      <c r="D76" s="199"/>
      <c r="E76" s="199"/>
      <c r="F76" s="200"/>
      <c r="G76" s="201"/>
      <c r="H76" s="202"/>
      <c r="I76" s="202"/>
      <c r="J76" s="202"/>
      <c r="K76" s="202"/>
      <c r="L76" s="202"/>
      <c r="M76" s="203"/>
      <c r="N76" s="198"/>
      <c r="O76" s="199"/>
      <c r="P76" s="199"/>
      <c r="Q76" s="199"/>
      <c r="R76" s="199"/>
      <c r="S76" s="200"/>
      <c r="T76" s="201"/>
      <c r="U76" s="202"/>
      <c r="V76" s="202"/>
      <c r="W76" s="202"/>
      <c r="X76" s="202"/>
      <c r="Y76" s="202"/>
      <c r="Z76" s="203"/>
    </row>
    <row r="77" spans="1:26" ht="18" customHeight="1">
      <c r="A77" s="72"/>
      <c r="B77" s="61"/>
      <c r="C77" s="61"/>
      <c r="D77" s="61"/>
      <c r="E77" s="61"/>
      <c r="F77" s="61"/>
      <c r="G77" s="3"/>
      <c r="H77" s="3"/>
      <c r="I77" s="3"/>
      <c r="J77" s="3"/>
      <c r="K77" s="3"/>
      <c r="L77" s="3"/>
      <c r="M77" s="3"/>
      <c r="N77" s="61"/>
      <c r="O77" s="61"/>
      <c r="P77" s="61"/>
      <c r="Q77" s="61"/>
      <c r="R77" s="61"/>
      <c r="S77" s="61"/>
      <c r="T77" s="3"/>
      <c r="U77" s="3"/>
      <c r="V77" s="3"/>
      <c r="W77" s="3"/>
      <c r="X77" s="3"/>
      <c r="Y77" s="3"/>
      <c r="Z77" s="3"/>
    </row>
    <row r="78" spans="1:26" ht="18.75" customHeight="1">
      <c r="A78" s="4" t="s">
        <v>142</v>
      </c>
    </row>
    <row r="79" spans="1:26" ht="18.75" customHeight="1">
      <c r="B79" s="15" t="s">
        <v>102</v>
      </c>
      <c r="C79" s="16"/>
      <c r="D79" s="129" t="s">
        <v>103</v>
      </c>
      <c r="E79" s="129"/>
      <c r="F79" s="129"/>
      <c r="G79" s="129"/>
      <c r="H79" s="129"/>
      <c r="I79" s="129"/>
      <c r="J79" s="129"/>
      <c r="K79" s="129"/>
      <c r="L79" s="129"/>
      <c r="M79" s="129"/>
      <c r="N79" s="129"/>
      <c r="O79" s="129"/>
      <c r="P79" s="129"/>
      <c r="Q79" s="129"/>
      <c r="R79" s="129"/>
      <c r="S79" s="129"/>
      <c r="T79" s="129"/>
      <c r="U79" s="129"/>
      <c r="V79" s="129"/>
      <c r="W79" s="129"/>
      <c r="X79" s="129"/>
      <c r="Y79" s="129"/>
      <c r="Z79" s="130"/>
    </row>
    <row r="80" spans="1:26" ht="97.2" customHeight="1">
      <c r="B80" s="148" t="s">
        <v>109</v>
      </c>
      <c r="C80" s="28" t="s">
        <v>104</v>
      </c>
      <c r="D80" s="155" t="s">
        <v>231</v>
      </c>
      <c r="E80" s="156"/>
      <c r="F80" s="156"/>
      <c r="G80" s="156"/>
      <c r="H80" s="156"/>
      <c r="I80" s="156"/>
      <c r="J80" s="156"/>
      <c r="K80" s="156"/>
      <c r="L80" s="156"/>
      <c r="M80" s="156"/>
      <c r="N80" s="156"/>
      <c r="O80" s="156"/>
      <c r="P80" s="156"/>
      <c r="Q80" s="156"/>
      <c r="R80" s="156"/>
      <c r="S80" s="156"/>
      <c r="T80" s="156"/>
      <c r="U80" s="156"/>
      <c r="V80" s="156"/>
      <c r="W80" s="156"/>
      <c r="X80" s="156"/>
      <c r="Y80" s="156"/>
      <c r="Z80" s="157"/>
    </row>
    <row r="81" spans="1:26" ht="85.8" customHeight="1">
      <c r="B81" s="150"/>
      <c r="C81" s="40" t="s">
        <v>137</v>
      </c>
      <c r="D81" s="190" t="s">
        <v>232</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94.8" customHeight="1">
      <c r="B82" s="148" t="s">
        <v>110</v>
      </c>
      <c r="C82" s="23" t="s">
        <v>127</v>
      </c>
      <c r="D82" s="193" t="s">
        <v>233</v>
      </c>
      <c r="E82" s="169"/>
      <c r="F82" s="169"/>
      <c r="G82" s="169"/>
      <c r="H82" s="169"/>
      <c r="I82" s="169"/>
      <c r="J82" s="169"/>
      <c r="K82" s="169"/>
      <c r="L82" s="169"/>
      <c r="M82" s="169"/>
      <c r="N82" s="169"/>
      <c r="O82" s="169"/>
      <c r="P82" s="169"/>
      <c r="Q82" s="169"/>
      <c r="R82" s="169"/>
      <c r="S82" s="169"/>
      <c r="T82" s="169"/>
      <c r="U82" s="169"/>
      <c r="V82" s="169"/>
      <c r="W82" s="169"/>
      <c r="X82" s="169"/>
      <c r="Y82" s="169"/>
      <c r="Z82" s="170"/>
    </row>
    <row r="83" spans="1:26" ht="89.4" customHeight="1">
      <c r="B83" s="149"/>
      <c r="C83" s="41" t="s">
        <v>128</v>
      </c>
      <c r="D83" s="197" t="s">
        <v>234</v>
      </c>
      <c r="E83" s="177"/>
      <c r="F83" s="177"/>
      <c r="G83" s="177"/>
      <c r="H83" s="177"/>
      <c r="I83" s="177"/>
      <c r="J83" s="177"/>
      <c r="K83" s="177"/>
      <c r="L83" s="177"/>
      <c r="M83" s="177"/>
      <c r="N83" s="177"/>
      <c r="O83" s="177"/>
      <c r="P83" s="177"/>
      <c r="Q83" s="177"/>
      <c r="R83" s="177"/>
      <c r="S83" s="177"/>
      <c r="T83" s="177"/>
      <c r="U83" s="177"/>
      <c r="V83" s="177"/>
      <c r="W83" s="177"/>
      <c r="X83" s="177"/>
      <c r="Y83" s="177"/>
      <c r="Z83" s="178"/>
    </row>
    <row r="84" spans="1:26" ht="84.6" customHeight="1">
      <c r="B84" s="148" t="s">
        <v>111</v>
      </c>
      <c r="C84" s="23" t="s">
        <v>130</v>
      </c>
      <c r="D84" s="193" t="s">
        <v>235</v>
      </c>
      <c r="E84" s="169"/>
      <c r="F84" s="169"/>
      <c r="G84" s="169"/>
      <c r="H84" s="169"/>
      <c r="I84" s="169"/>
      <c r="J84" s="169"/>
      <c r="K84" s="169"/>
      <c r="L84" s="169"/>
      <c r="M84" s="169"/>
      <c r="N84" s="169"/>
      <c r="O84" s="169"/>
      <c r="P84" s="169"/>
      <c r="Q84" s="169"/>
      <c r="R84" s="169"/>
      <c r="S84" s="169"/>
      <c r="T84" s="169"/>
      <c r="U84" s="169"/>
      <c r="V84" s="169"/>
      <c r="W84" s="169"/>
      <c r="X84" s="169"/>
      <c r="Y84" s="169"/>
      <c r="Z84" s="170"/>
    </row>
    <row r="85" spans="1:26" ht="83.4" customHeight="1">
      <c r="B85" s="149"/>
      <c r="C85" s="25" t="s">
        <v>131</v>
      </c>
      <c r="D85" s="194" t="s">
        <v>236</v>
      </c>
      <c r="E85" s="195"/>
      <c r="F85" s="195"/>
      <c r="G85" s="195"/>
      <c r="H85" s="195"/>
      <c r="I85" s="195"/>
      <c r="J85" s="195"/>
      <c r="K85" s="195"/>
      <c r="L85" s="195"/>
      <c r="M85" s="195"/>
      <c r="N85" s="195"/>
      <c r="O85" s="195"/>
      <c r="P85" s="195"/>
      <c r="Q85" s="195"/>
      <c r="R85" s="195"/>
      <c r="S85" s="195"/>
      <c r="T85" s="195"/>
      <c r="U85" s="195"/>
      <c r="V85" s="195"/>
      <c r="W85" s="195"/>
      <c r="X85" s="195"/>
      <c r="Y85" s="195"/>
      <c r="Z85" s="196"/>
    </row>
    <row r="86" spans="1:26" ht="92.4" customHeight="1">
      <c r="B86" s="148" t="s">
        <v>138</v>
      </c>
      <c r="C86" s="28" t="s">
        <v>106</v>
      </c>
      <c r="D86" s="155" t="s">
        <v>237</v>
      </c>
      <c r="E86" s="156"/>
      <c r="F86" s="156"/>
      <c r="G86" s="156"/>
      <c r="H86" s="156"/>
      <c r="I86" s="156"/>
      <c r="J86" s="156"/>
      <c r="K86" s="156"/>
      <c r="L86" s="156"/>
      <c r="M86" s="156"/>
      <c r="N86" s="156"/>
      <c r="O86" s="156"/>
      <c r="P86" s="156"/>
      <c r="Q86" s="156"/>
      <c r="R86" s="156"/>
      <c r="S86" s="156"/>
      <c r="T86" s="156"/>
      <c r="U86" s="156"/>
      <c r="V86" s="156"/>
      <c r="W86" s="156"/>
      <c r="X86" s="156"/>
      <c r="Y86" s="156"/>
      <c r="Z86" s="157"/>
    </row>
    <row r="87" spans="1:26" ht="88.8" customHeight="1">
      <c r="B87" s="150"/>
      <c r="C87" s="24" t="s">
        <v>108</v>
      </c>
      <c r="D87" s="158" t="s">
        <v>238</v>
      </c>
      <c r="E87" s="159"/>
      <c r="F87" s="159"/>
      <c r="G87" s="159"/>
      <c r="H87" s="159"/>
      <c r="I87" s="159"/>
      <c r="J87" s="159"/>
      <c r="K87" s="159"/>
      <c r="L87" s="159"/>
      <c r="M87" s="159"/>
      <c r="N87" s="159"/>
      <c r="O87" s="159"/>
      <c r="P87" s="159"/>
      <c r="Q87" s="159"/>
      <c r="R87" s="159"/>
      <c r="S87" s="159"/>
      <c r="T87" s="159"/>
      <c r="U87" s="159"/>
      <c r="V87" s="159"/>
      <c r="W87" s="159"/>
      <c r="X87" s="159"/>
      <c r="Y87" s="159"/>
      <c r="Z87" s="160"/>
    </row>
    <row r="88" spans="1:26" ht="156" customHeight="1">
      <c r="B88" s="148" t="s">
        <v>139</v>
      </c>
      <c r="C88" s="23" t="s">
        <v>105</v>
      </c>
      <c r="D88" s="151" t="s">
        <v>249</v>
      </c>
      <c r="E88" s="136"/>
      <c r="F88" s="136"/>
      <c r="G88" s="136"/>
      <c r="H88" s="136"/>
      <c r="I88" s="136"/>
      <c r="J88" s="136"/>
      <c r="K88" s="136"/>
      <c r="L88" s="136"/>
      <c r="M88" s="136"/>
      <c r="N88" s="136"/>
      <c r="O88" s="136"/>
      <c r="P88" s="136"/>
      <c r="Q88" s="136"/>
      <c r="R88" s="136"/>
      <c r="S88" s="136"/>
      <c r="T88" s="136"/>
      <c r="U88" s="136"/>
      <c r="V88" s="136"/>
      <c r="W88" s="136"/>
      <c r="X88" s="136"/>
      <c r="Y88" s="136"/>
      <c r="Z88" s="137"/>
    </row>
    <row r="89" spans="1:26" ht="165.6" customHeight="1">
      <c r="B89" s="150"/>
      <c r="C89" s="24" t="s">
        <v>134</v>
      </c>
      <c r="D89" s="141" t="s">
        <v>250</v>
      </c>
      <c r="E89" s="142"/>
      <c r="F89" s="142"/>
      <c r="G89" s="142"/>
      <c r="H89" s="142"/>
      <c r="I89" s="142"/>
      <c r="J89" s="142"/>
      <c r="K89" s="142"/>
      <c r="L89" s="142"/>
      <c r="M89" s="142"/>
      <c r="N89" s="142"/>
      <c r="O89" s="142"/>
      <c r="P89" s="142"/>
      <c r="Q89" s="142"/>
      <c r="R89" s="142"/>
      <c r="S89" s="142"/>
      <c r="T89" s="142"/>
      <c r="U89" s="142"/>
      <c r="V89" s="142"/>
      <c r="W89" s="142"/>
      <c r="X89" s="142"/>
      <c r="Y89" s="142"/>
      <c r="Z89" s="143"/>
    </row>
    <row r="90" spans="1:26" ht="151.80000000000001" customHeight="1">
      <c r="B90" s="149"/>
      <c r="C90" s="25" t="s">
        <v>135</v>
      </c>
      <c r="D90" s="152" t="s">
        <v>251</v>
      </c>
      <c r="E90" s="153"/>
      <c r="F90" s="153"/>
      <c r="G90" s="153"/>
      <c r="H90" s="153"/>
      <c r="I90" s="153"/>
      <c r="J90" s="153"/>
      <c r="K90" s="153"/>
      <c r="L90" s="153"/>
      <c r="M90" s="153"/>
      <c r="N90" s="153"/>
      <c r="O90" s="153"/>
      <c r="P90" s="153"/>
      <c r="Q90" s="153"/>
      <c r="R90" s="153"/>
      <c r="S90" s="153"/>
      <c r="T90" s="153"/>
      <c r="U90" s="153"/>
      <c r="V90" s="153"/>
      <c r="W90" s="153"/>
      <c r="X90" s="153"/>
      <c r="Y90" s="153"/>
      <c r="Z90" s="154"/>
    </row>
    <row r="91" spans="1:26" ht="6" customHeight="1"/>
    <row r="92" spans="1:26" ht="18.75" customHeight="1">
      <c r="A92" s="4" t="s">
        <v>143</v>
      </c>
    </row>
    <row r="93" spans="1:26" ht="18.75" customHeight="1">
      <c r="B93" s="218" t="s">
        <v>155</v>
      </c>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20"/>
    </row>
    <row r="94" spans="1:26" ht="18.75" customHeight="1">
      <c r="B94" s="221"/>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3"/>
    </row>
    <row r="95" spans="1:26" ht="18.75" customHeight="1">
      <c r="B95" s="224"/>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6"/>
    </row>
    <row r="96" spans="1:26" ht="6" customHeight="1"/>
    <row r="97" spans="1:26" ht="15" customHeight="1">
      <c r="A97" s="4" t="s">
        <v>144</v>
      </c>
    </row>
    <row r="98" spans="1:26" ht="15" customHeight="1">
      <c r="B98" s="215" t="s">
        <v>229</v>
      </c>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216"/>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7995EDE6-845D-4B66-818B-BEB12A17A46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4735FA99-50D6-4FAD-92D5-51B570DCF07D}">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xr:uid="{F7693D97-122A-471D-8EE3-763645B82C88}">
      <formula1>"全学開講,一部開講"</formula1>
    </dataValidation>
    <dataValidation type="list" allowBlank="1" showInputMessage="1" showErrorMessage="1" sqref="Y16:Z22 L16:M22 Y27:Z33 H27:H33 H38:H44 Y38:Z44 H49:H55 Y49:Z55 Y60:Z66 K60:K62 H16:H22 U16:U22 T60:T66 U27:U33 L27:M33 U38:U44 L38:M44 U49:U55 G60:G66 L49:M55 L60:M66" xr:uid="{F9C3EB45-2734-4F4E-9790-8F1B40ABE434}">
      <formula1>"○"</formula1>
    </dataValidation>
  </dataValidations>
  <hyperlinks>
    <hyperlink ref="B98" r:id="rId1" xr:uid="{BB70CB4D-E094-4C4A-82EE-3E4847C7699B}"/>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7F8E7-12C7-451D-B0D3-370AEC0A424D}">
  <dimension ref="A1:Z98"/>
  <sheetViews>
    <sheetView showZeros="0" view="pageBreakPreview" topLeftCell="A94" zoomScaleNormal="100" zoomScaleSheetLayoutView="100" workbookViewId="0"/>
  </sheetViews>
  <sheetFormatPr defaultColWidth="9" defaultRowHeight="18.75" customHeight="1"/>
  <cols>
    <col min="1" max="1" width="2.44140625" style="4" customWidth="1"/>
    <col min="2" max="2" width="27.77734375" style="4" customWidth="1"/>
    <col min="3" max="13" width="3.33203125" style="4" customWidth="1"/>
    <col min="14" max="14" width="8.88671875" style="4" customWidth="1"/>
    <col min="15" max="15" width="18.88671875" style="4" customWidth="1"/>
    <col min="16" max="19" width="3.33203125" style="4" customWidth="1"/>
    <col min="20" max="20" width="3.44140625" style="4" customWidth="1"/>
    <col min="21" max="26" width="3.33203125" style="4" customWidth="1"/>
    <col min="27" max="16384" width="9" style="4"/>
  </cols>
  <sheetData>
    <row r="1" spans="1:26" ht="15" customHeight="1">
      <c r="W1" s="217" t="s">
        <v>149</v>
      </c>
      <c r="X1" s="217"/>
      <c r="Y1" s="217"/>
      <c r="Z1" s="217"/>
    </row>
    <row r="2" spans="1:26" ht="18" customHeight="1">
      <c r="A2" s="179" t="s">
        <v>67</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5" customHeight="1">
      <c r="B3" s="72"/>
      <c r="C3" s="72"/>
      <c r="D3" s="72"/>
      <c r="E3" s="72"/>
      <c r="F3" s="72"/>
      <c r="G3" s="72"/>
      <c r="H3" s="72"/>
      <c r="I3" s="72"/>
      <c r="J3" s="72"/>
      <c r="K3" s="72"/>
      <c r="L3" s="72"/>
      <c r="M3" s="72"/>
      <c r="N3" s="72"/>
      <c r="O3" s="72"/>
      <c r="P3" s="72"/>
      <c r="Q3" s="72"/>
      <c r="R3" s="72"/>
      <c r="S3" s="72"/>
      <c r="T3" s="72"/>
      <c r="U3" s="72"/>
      <c r="V3" s="72"/>
      <c r="W3" s="72"/>
      <c r="X3" s="72"/>
      <c r="Y3" s="72"/>
      <c r="Z3" s="72"/>
    </row>
    <row r="4" spans="1:26" ht="18" customHeight="1">
      <c r="A4" s="4" t="s">
        <v>99</v>
      </c>
      <c r="B4" s="72"/>
      <c r="C4" s="72"/>
      <c r="D4" s="72"/>
      <c r="E4" s="72"/>
      <c r="F4" s="72"/>
      <c r="G4" s="72"/>
      <c r="H4" s="5" t="s">
        <v>112</v>
      </c>
      <c r="I4" s="72"/>
      <c r="J4" s="72"/>
      <c r="K4" s="72"/>
      <c r="L4" s="72"/>
      <c r="M4" s="72"/>
      <c r="N4" s="72"/>
      <c r="O4" s="128" t="s">
        <v>148</v>
      </c>
      <c r="P4" s="129"/>
      <c r="Q4" s="129"/>
      <c r="R4" s="129"/>
      <c r="S4" s="129"/>
      <c r="T4" s="129"/>
      <c r="U4" s="129"/>
      <c r="V4" s="129"/>
      <c r="W4" s="129"/>
      <c r="X4" s="129"/>
      <c r="Y4" s="129"/>
      <c r="Z4" s="130"/>
    </row>
    <row r="5" spans="1:26" ht="6" customHeight="1">
      <c r="B5" s="72"/>
      <c r="C5" s="72"/>
      <c r="D5" s="72"/>
      <c r="E5" s="72"/>
      <c r="F5" s="72"/>
      <c r="G5" s="72"/>
      <c r="H5" s="72"/>
      <c r="I5" s="72"/>
      <c r="J5" s="72"/>
      <c r="K5" s="72"/>
      <c r="L5" s="72"/>
      <c r="M5" s="72"/>
      <c r="N5" s="72"/>
      <c r="O5" s="6"/>
      <c r="P5" s="72"/>
      <c r="Q5" s="72"/>
      <c r="R5" s="72"/>
      <c r="S5" s="72"/>
      <c r="T5" s="72"/>
      <c r="U5" s="72"/>
      <c r="V5" s="72"/>
      <c r="W5" s="72"/>
      <c r="X5" s="72"/>
      <c r="Y5" s="72"/>
      <c r="Z5" s="72"/>
    </row>
    <row r="6" spans="1:26" ht="18" customHeight="1">
      <c r="B6" s="180" t="s">
        <v>222</v>
      </c>
      <c r="C6" s="181"/>
      <c r="D6" s="181"/>
      <c r="E6" s="181"/>
      <c r="F6" s="181"/>
      <c r="G6" s="181"/>
      <c r="H6" s="181"/>
      <c r="I6" s="181"/>
      <c r="J6" s="181"/>
      <c r="K6" s="181"/>
      <c r="L6" s="181"/>
      <c r="M6" s="181"/>
      <c r="N6" s="181"/>
      <c r="O6" s="181"/>
      <c r="P6" s="181"/>
      <c r="Q6" s="181"/>
      <c r="R6" s="181"/>
      <c r="S6" s="181"/>
      <c r="T6" s="181"/>
      <c r="U6" s="181"/>
      <c r="V6" s="181"/>
      <c r="W6" s="181"/>
      <c r="X6" s="181"/>
      <c r="Y6" s="181"/>
      <c r="Z6" s="182"/>
    </row>
    <row r="7" spans="1:26" ht="18" customHeight="1">
      <c r="B7" s="183"/>
      <c r="C7" s="184"/>
      <c r="D7" s="184"/>
      <c r="E7" s="184"/>
      <c r="F7" s="184"/>
      <c r="G7" s="184"/>
      <c r="H7" s="184"/>
      <c r="I7" s="184"/>
      <c r="J7" s="184"/>
      <c r="K7" s="184"/>
      <c r="L7" s="184"/>
      <c r="M7" s="184"/>
      <c r="N7" s="184"/>
      <c r="O7" s="184"/>
      <c r="P7" s="184"/>
      <c r="Q7" s="184"/>
      <c r="R7" s="184"/>
      <c r="S7" s="184"/>
      <c r="T7" s="184"/>
      <c r="U7" s="184"/>
      <c r="V7" s="184"/>
      <c r="W7" s="184"/>
      <c r="X7" s="184"/>
      <c r="Y7" s="184"/>
      <c r="Z7" s="185"/>
    </row>
    <row r="8" spans="1:26" ht="18" customHeight="1">
      <c r="B8" s="183"/>
      <c r="C8" s="184"/>
      <c r="D8" s="184"/>
      <c r="E8" s="184"/>
      <c r="F8" s="184"/>
      <c r="G8" s="184"/>
      <c r="H8" s="184"/>
      <c r="I8" s="184"/>
      <c r="J8" s="184"/>
      <c r="K8" s="184"/>
      <c r="L8" s="184"/>
      <c r="M8" s="184"/>
      <c r="N8" s="184"/>
      <c r="O8" s="184"/>
      <c r="P8" s="184"/>
      <c r="Q8" s="184"/>
      <c r="R8" s="184"/>
      <c r="S8" s="184"/>
      <c r="T8" s="184"/>
      <c r="U8" s="184"/>
      <c r="V8" s="184"/>
      <c r="W8" s="184"/>
      <c r="X8" s="184"/>
      <c r="Y8" s="184"/>
      <c r="Z8" s="185"/>
    </row>
    <row r="9" spans="1:26" ht="18" customHeight="1">
      <c r="B9" s="183"/>
      <c r="C9" s="184"/>
      <c r="D9" s="184"/>
      <c r="E9" s="184"/>
      <c r="F9" s="184"/>
      <c r="G9" s="184"/>
      <c r="H9" s="184"/>
      <c r="I9" s="184"/>
      <c r="J9" s="184"/>
      <c r="K9" s="184"/>
      <c r="L9" s="184"/>
      <c r="M9" s="184"/>
      <c r="N9" s="184"/>
      <c r="O9" s="184"/>
      <c r="P9" s="184"/>
      <c r="Q9" s="184"/>
      <c r="R9" s="184"/>
      <c r="S9" s="184"/>
      <c r="T9" s="184"/>
      <c r="U9" s="184"/>
      <c r="V9" s="184"/>
      <c r="W9" s="184"/>
      <c r="X9" s="184"/>
      <c r="Y9" s="184"/>
      <c r="Z9" s="185"/>
    </row>
    <row r="10" spans="1:26" ht="18" customHeight="1">
      <c r="B10" s="183"/>
      <c r="C10" s="186"/>
      <c r="D10" s="186"/>
      <c r="E10" s="186"/>
      <c r="F10" s="186"/>
      <c r="G10" s="186"/>
      <c r="H10" s="186"/>
      <c r="I10" s="186"/>
      <c r="J10" s="186"/>
      <c r="K10" s="186"/>
      <c r="L10" s="186"/>
      <c r="M10" s="186"/>
      <c r="N10" s="186"/>
      <c r="O10" s="186"/>
      <c r="P10" s="186"/>
      <c r="Q10" s="186"/>
      <c r="R10" s="186"/>
      <c r="S10" s="186"/>
      <c r="T10" s="186"/>
      <c r="U10" s="186"/>
      <c r="V10" s="186"/>
      <c r="W10" s="186"/>
      <c r="X10" s="186"/>
      <c r="Y10" s="186"/>
      <c r="Z10" s="185"/>
    </row>
    <row r="11" spans="1:26" ht="18" customHeight="1">
      <c r="B11" s="187"/>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9"/>
    </row>
    <row r="12" spans="1:26" ht="7.5" customHeight="1">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8" customHeight="1">
      <c r="A13" s="175" t="s">
        <v>125</v>
      </c>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row>
    <row r="14" spans="1:26" ht="18" customHeight="1">
      <c r="A14" s="175"/>
      <c r="B14" s="175"/>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row>
    <row r="15" spans="1:26" ht="18" customHeight="1">
      <c r="B15" s="128" t="s">
        <v>100</v>
      </c>
      <c r="C15" s="129"/>
      <c r="D15" s="129"/>
      <c r="E15" s="129"/>
      <c r="F15" s="130"/>
      <c r="G15" s="17" t="s">
        <v>141</v>
      </c>
      <c r="H15" s="42" t="s">
        <v>140</v>
      </c>
      <c r="I15" s="129" t="s">
        <v>101</v>
      </c>
      <c r="J15" s="129"/>
      <c r="K15" s="129"/>
      <c r="L15" s="20" t="s">
        <v>104</v>
      </c>
      <c r="M15" s="20" t="s">
        <v>107</v>
      </c>
      <c r="N15" s="128" t="s">
        <v>100</v>
      </c>
      <c r="O15" s="129"/>
      <c r="P15" s="129"/>
      <c r="Q15" s="129"/>
      <c r="R15" s="129"/>
      <c r="S15" s="130"/>
      <c r="T15" s="17" t="s">
        <v>141</v>
      </c>
      <c r="U15" s="42" t="s">
        <v>140</v>
      </c>
      <c r="V15" s="129" t="s">
        <v>101</v>
      </c>
      <c r="W15" s="129"/>
      <c r="X15" s="129"/>
      <c r="Y15" s="20" t="s">
        <v>104</v>
      </c>
      <c r="Z15" s="20" t="s">
        <v>107</v>
      </c>
    </row>
    <row r="16" spans="1:26" ht="18" customHeight="1">
      <c r="B16" s="168" t="s">
        <v>164</v>
      </c>
      <c r="C16" s="169"/>
      <c r="D16" s="169"/>
      <c r="E16" s="169"/>
      <c r="F16" s="170"/>
      <c r="G16" s="43">
        <v>2</v>
      </c>
      <c r="H16" s="43" t="s">
        <v>152</v>
      </c>
      <c r="I16" s="162" t="s">
        <v>153</v>
      </c>
      <c r="J16" s="163"/>
      <c r="K16" s="164"/>
      <c r="L16" s="48" t="s">
        <v>152</v>
      </c>
      <c r="M16" s="48" t="s">
        <v>152</v>
      </c>
      <c r="N16" s="135"/>
      <c r="O16" s="136"/>
      <c r="P16" s="136"/>
      <c r="Q16" s="136"/>
      <c r="R16" s="136"/>
      <c r="S16" s="137"/>
      <c r="T16" s="43"/>
      <c r="U16" s="43"/>
      <c r="V16" s="162"/>
      <c r="W16" s="163"/>
      <c r="X16" s="164"/>
      <c r="Y16" s="43"/>
      <c r="Z16" s="43"/>
    </row>
    <row r="17" spans="1:26" ht="18" customHeight="1">
      <c r="B17" s="171" t="s">
        <v>154</v>
      </c>
      <c r="C17" s="159"/>
      <c r="D17" s="159"/>
      <c r="E17" s="159"/>
      <c r="F17" s="160"/>
      <c r="G17" s="44">
        <v>2</v>
      </c>
      <c r="H17" s="44" t="s">
        <v>152</v>
      </c>
      <c r="I17" s="165" t="s">
        <v>153</v>
      </c>
      <c r="J17" s="166"/>
      <c r="K17" s="167"/>
      <c r="L17" s="44" t="s">
        <v>152</v>
      </c>
      <c r="M17" s="44" t="s">
        <v>152</v>
      </c>
      <c r="N17" s="144"/>
      <c r="O17" s="142"/>
      <c r="P17" s="142"/>
      <c r="Q17" s="142"/>
      <c r="R17" s="142"/>
      <c r="S17" s="143"/>
      <c r="T17" s="44"/>
      <c r="U17" s="44"/>
      <c r="V17" s="165"/>
      <c r="W17" s="166"/>
      <c r="X17" s="167"/>
      <c r="Y17" s="44"/>
      <c r="Z17" s="44"/>
    </row>
    <row r="18" spans="1:26" ht="18" customHeight="1">
      <c r="B18" s="171"/>
      <c r="C18" s="159"/>
      <c r="D18" s="159"/>
      <c r="E18" s="159"/>
      <c r="F18" s="160"/>
      <c r="G18" s="44"/>
      <c r="H18" s="44"/>
      <c r="I18" s="165"/>
      <c r="J18" s="166"/>
      <c r="K18" s="167"/>
      <c r="L18" s="44"/>
      <c r="M18" s="44"/>
      <c r="N18" s="144"/>
      <c r="O18" s="142"/>
      <c r="P18" s="142"/>
      <c r="Q18" s="142"/>
      <c r="R18" s="142"/>
      <c r="S18" s="143"/>
      <c r="T18" s="44"/>
      <c r="U18" s="44"/>
      <c r="V18" s="165"/>
      <c r="W18" s="166"/>
      <c r="X18" s="167"/>
      <c r="Y18" s="44"/>
      <c r="Z18" s="44"/>
    </row>
    <row r="19" spans="1:26" ht="18" customHeight="1">
      <c r="B19" s="171"/>
      <c r="C19" s="159"/>
      <c r="D19" s="159"/>
      <c r="E19" s="159"/>
      <c r="F19" s="160"/>
      <c r="G19" s="44"/>
      <c r="H19" s="44"/>
      <c r="I19" s="165"/>
      <c r="J19" s="166"/>
      <c r="K19" s="167"/>
      <c r="L19" s="44"/>
      <c r="M19" s="44"/>
      <c r="N19" s="144"/>
      <c r="O19" s="142"/>
      <c r="P19" s="142"/>
      <c r="Q19" s="142"/>
      <c r="R19" s="142"/>
      <c r="S19" s="143"/>
      <c r="T19" s="44"/>
      <c r="U19" s="44"/>
      <c r="V19" s="165"/>
      <c r="W19" s="166"/>
      <c r="X19" s="167"/>
      <c r="Y19" s="44"/>
      <c r="Z19" s="44"/>
    </row>
    <row r="20" spans="1:26" ht="18" customHeight="1">
      <c r="B20" s="171"/>
      <c r="C20" s="159"/>
      <c r="D20" s="159"/>
      <c r="E20" s="159"/>
      <c r="F20" s="160"/>
      <c r="G20" s="44"/>
      <c r="H20" s="44"/>
      <c r="I20" s="165"/>
      <c r="J20" s="166"/>
      <c r="K20" s="167"/>
      <c r="L20" s="44"/>
      <c r="M20" s="44"/>
      <c r="N20" s="144"/>
      <c r="O20" s="142"/>
      <c r="P20" s="142"/>
      <c r="Q20" s="142"/>
      <c r="R20" s="142"/>
      <c r="S20" s="143"/>
      <c r="T20" s="44"/>
      <c r="U20" s="44"/>
      <c r="V20" s="165"/>
      <c r="W20" s="166"/>
      <c r="X20" s="167"/>
      <c r="Y20" s="44"/>
      <c r="Z20" s="44"/>
    </row>
    <row r="21" spans="1:26" ht="18" customHeight="1">
      <c r="A21" s="72"/>
      <c r="B21" s="171"/>
      <c r="C21" s="159"/>
      <c r="D21" s="159"/>
      <c r="E21" s="159"/>
      <c r="F21" s="160"/>
      <c r="G21" s="44"/>
      <c r="H21" s="44"/>
      <c r="I21" s="165"/>
      <c r="J21" s="166"/>
      <c r="K21" s="167"/>
      <c r="L21" s="44"/>
      <c r="M21" s="44"/>
      <c r="N21" s="144"/>
      <c r="O21" s="142"/>
      <c r="P21" s="142"/>
      <c r="Q21" s="142"/>
      <c r="R21" s="142"/>
      <c r="S21" s="143"/>
      <c r="T21" s="44"/>
      <c r="U21" s="44"/>
      <c r="V21" s="165"/>
      <c r="W21" s="166"/>
      <c r="X21" s="167"/>
      <c r="Y21" s="44"/>
      <c r="Z21" s="44"/>
    </row>
    <row r="22" spans="1:26" ht="18" customHeight="1">
      <c r="A22" s="72"/>
      <c r="B22" s="176"/>
      <c r="C22" s="177"/>
      <c r="D22" s="177"/>
      <c r="E22" s="177"/>
      <c r="F22" s="178"/>
      <c r="G22" s="45"/>
      <c r="H22" s="45"/>
      <c r="I22" s="172"/>
      <c r="J22" s="173"/>
      <c r="K22" s="174"/>
      <c r="L22" s="47"/>
      <c r="M22" s="47"/>
      <c r="N22" s="198"/>
      <c r="O22" s="199"/>
      <c r="P22" s="199"/>
      <c r="Q22" s="199"/>
      <c r="R22" s="199"/>
      <c r="S22" s="200"/>
      <c r="T22" s="45"/>
      <c r="U22" s="45"/>
      <c r="V22" s="172"/>
      <c r="W22" s="173"/>
      <c r="X22" s="174"/>
      <c r="Y22" s="47"/>
      <c r="Z22" s="47"/>
    </row>
    <row r="23" spans="1:26" ht="7.5" customHeight="1">
      <c r="A23" s="72"/>
      <c r="B23" s="21"/>
      <c r="C23" s="21"/>
      <c r="D23" s="72"/>
      <c r="E23" s="72"/>
      <c r="F23" s="72"/>
      <c r="G23" s="72"/>
      <c r="H23" s="72"/>
      <c r="I23" s="72"/>
      <c r="J23" s="72"/>
      <c r="K23" s="72"/>
      <c r="L23" s="21"/>
      <c r="M23" s="21"/>
      <c r="N23" s="21"/>
      <c r="O23" s="21"/>
      <c r="P23" s="21"/>
      <c r="Q23" s="21"/>
      <c r="R23" s="21"/>
      <c r="S23" s="21"/>
      <c r="T23" s="21"/>
      <c r="U23" s="21"/>
      <c r="V23" s="21"/>
      <c r="W23" s="21"/>
      <c r="X23" s="21"/>
      <c r="Y23" s="21"/>
      <c r="Z23" s="72"/>
    </row>
    <row r="24" spans="1:26" ht="18" customHeight="1">
      <c r="A24" s="175" t="s">
        <v>126</v>
      </c>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spans="1:26" ht="18"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spans="1:26" ht="18" customHeight="1">
      <c r="B26" s="128" t="s">
        <v>100</v>
      </c>
      <c r="C26" s="129"/>
      <c r="D26" s="129"/>
      <c r="E26" s="129"/>
      <c r="F26" s="130"/>
      <c r="G26" s="17" t="s">
        <v>141</v>
      </c>
      <c r="H26" s="42" t="s">
        <v>140</v>
      </c>
      <c r="I26" s="129" t="s">
        <v>101</v>
      </c>
      <c r="J26" s="129"/>
      <c r="K26" s="129"/>
      <c r="L26" s="20" t="s">
        <v>127</v>
      </c>
      <c r="M26" s="20" t="s">
        <v>128</v>
      </c>
      <c r="N26" s="128" t="s">
        <v>100</v>
      </c>
      <c r="O26" s="129"/>
      <c r="P26" s="129"/>
      <c r="Q26" s="129"/>
      <c r="R26" s="129"/>
      <c r="S26" s="130"/>
      <c r="T26" s="17" t="s">
        <v>141</v>
      </c>
      <c r="U26" s="42" t="s">
        <v>140</v>
      </c>
      <c r="V26" s="129" t="s">
        <v>101</v>
      </c>
      <c r="W26" s="129"/>
      <c r="X26" s="129"/>
      <c r="Y26" s="20" t="s">
        <v>127</v>
      </c>
      <c r="Z26" s="20" t="s">
        <v>128</v>
      </c>
    </row>
    <row r="27" spans="1:26" ht="18" customHeight="1">
      <c r="B27" s="168" t="s">
        <v>164</v>
      </c>
      <c r="C27" s="169"/>
      <c r="D27" s="169"/>
      <c r="E27" s="169"/>
      <c r="F27" s="170"/>
      <c r="G27" s="43">
        <v>2</v>
      </c>
      <c r="H27" s="43" t="s">
        <v>152</v>
      </c>
      <c r="I27" s="162" t="s">
        <v>153</v>
      </c>
      <c r="J27" s="163"/>
      <c r="K27" s="164"/>
      <c r="L27" s="48" t="s">
        <v>152</v>
      </c>
      <c r="M27" s="48" t="s">
        <v>152</v>
      </c>
      <c r="N27" s="135"/>
      <c r="O27" s="136"/>
      <c r="P27" s="136"/>
      <c r="Q27" s="136"/>
      <c r="R27" s="136"/>
      <c r="S27" s="137"/>
      <c r="T27" s="43"/>
      <c r="U27" s="43"/>
      <c r="V27" s="162"/>
      <c r="W27" s="163"/>
      <c r="X27" s="164"/>
      <c r="Y27" s="43"/>
      <c r="Z27" s="43"/>
    </row>
    <row r="28" spans="1:26" ht="18" customHeight="1">
      <c r="B28" s="171" t="s">
        <v>154</v>
      </c>
      <c r="C28" s="159"/>
      <c r="D28" s="159"/>
      <c r="E28" s="159"/>
      <c r="F28" s="160"/>
      <c r="G28" s="44">
        <v>2</v>
      </c>
      <c r="H28" s="44" t="s">
        <v>152</v>
      </c>
      <c r="I28" s="165" t="s">
        <v>153</v>
      </c>
      <c r="J28" s="166"/>
      <c r="K28" s="167"/>
      <c r="L28" s="44" t="s">
        <v>152</v>
      </c>
      <c r="M28" s="44" t="s">
        <v>152</v>
      </c>
      <c r="N28" s="144"/>
      <c r="O28" s="142"/>
      <c r="P28" s="142"/>
      <c r="Q28" s="142"/>
      <c r="R28" s="142"/>
      <c r="S28" s="143"/>
      <c r="T28" s="44"/>
      <c r="U28" s="44"/>
      <c r="V28" s="165"/>
      <c r="W28" s="166"/>
      <c r="X28" s="167"/>
      <c r="Y28" s="44"/>
      <c r="Z28" s="44"/>
    </row>
    <row r="29" spans="1:26" ht="18" customHeight="1">
      <c r="B29" s="171"/>
      <c r="C29" s="159"/>
      <c r="D29" s="159"/>
      <c r="E29" s="159"/>
      <c r="F29" s="160"/>
      <c r="G29" s="44"/>
      <c r="H29" s="44"/>
      <c r="I29" s="165"/>
      <c r="J29" s="166"/>
      <c r="K29" s="167"/>
      <c r="L29" s="44"/>
      <c r="M29" s="44"/>
      <c r="N29" s="144"/>
      <c r="O29" s="142"/>
      <c r="P29" s="142"/>
      <c r="Q29" s="142"/>
      <c r="R29" s="142"/>
      <c r="S29" s="143"/>
      <c r="T29" s="44"/>
      <c r="U29" s="44"/>
      <c r="V29" s="165"/>
      <c r="W29" s="166"/>
      <c r="X29" s="167"/>
      <c r="Y29" s="44"/>
      <c r="Z29" s="44"/>
    </row>
    <row r="30" spans="1:26" ht="18" customHeight="1">
      <c r="B30" s="171"/>
      <c r="C30" s="159"/>
      <c r="D30" s="159"/>
      <c r="E30" s="159"/>
      <c r="F30" s="160"/>
      <c r="G30" s="44"/>
      <c r="H30" s="44"/>
      <c r="I30" s="165"/>
      <c r="J30" s="166"/>
      <c r="K30" s="167"/>
      <c r="L30" s="44"/>
      <c r="M30" s="44"/>
      <c r="N30" s="144"/>
      <c r="O30" s="142"/>
      <c r="P30" s="142"/>
      <c r="Q30" s="142"/>
      <c r="R30" s="142"/>
      <c r="S30" s="143"/>
      <c r="T30" s="44"/>
      <c r="U30" s="44"/>
      <c r="V30" s="165"/>
      <c r="W30" s="166"/>
      <c r="X30" s="167"/>
      <c r="Y30" s="44"/>
      <c r="Z30" s="44"/>
    </row>
    <row r="31" spans="1:26" ht="18" customHeight="1">
      <c r="B31" s="171"/>
      <c r="C31" s="159"/>
      <c r="D31" s="159"/>
      <c r="E31" s="159"/>
      <c r="F31" s="160"/>
      <c r="G31" s="44"/>
      <c r="H31" s="44"/>
      <c r="I31" s="165"/>
      <c r="J31" s="166"/>
      <c r="K31" s="167"/>
      <c r="L31" s="44"/>
      <c r="M31" s="44"/>
      <c r="N31" s="144"/>
      <c r="O31" s="142"/>
      <c r="P31" s="142"/>
      <c r="Q31" s="142"/>
      <c r="R31" s="142"/>
      <c r="S31" s="143"/>
      <c r="T31" s="44"/>
      <c r="U31" s="44"/>
      <c r="V31" s="165"/>
      <c r="W31" s="166"/>
      <c r="X31" s="167"/>
      <c r="Y31" s="44"/>
      <c r="Z31" s="44"/>
    </row>
    <row r="32" spans="1:26" ht="18" customHeight="1">
      <c r="B32" s="171"/>
      <c r="C32" s="159"/>
      <c r="D32" s="159"/>
      <c r="E32" s="159"/>
      <c r="F32" s="160"/>
      <c r="G32" s="44"/>
      <c r="H32" s="44"/>
      <c r="I32" s="165"/>
      <c r="J32" s="166"/>
      <c r="K32" s="167"/>
      <c r="L32" s="44"/>
      <c r="M32" s="44"/>
      <c r="N32" s="144"/>
      <c r="O32" s="142"/>
      <c r="P32" s="142"/>
      <c r="Q32" s="142"/>
      <c r="R32" s="142"/>
      <c r="S32" s="143"/>
      <c r="T32" s="44"/>
      <c r="U32" s="44"/>
      <c r="V32" s="165"/>
      <c r="W32" s="166"/>
      <c r="X32" s="167"/>
      <c r="Y32" s="44"/>
      <c r="Z32" s="44"/>
    </row>
    <row r="33" spans="1:26" ht="18" customHeight="1">
      <c r="B33" s="176"/>
      <c r="C33" s="177"/>
      <c r="D33" s="177"/>
      <c r="E33" s="177"/>
      <c r="F33" s="178"/>
      <c r="G33" s="45"/>
      <c r="H33" s="45"/>
      <c r="I33" s="172"/>
      <c r="J33" s="173"/>
      <c r="K33" s="174"/>
      <c r="L33" s="47"/>
      <c r="M33" s="47"/>
      <c r="N33" s="198"/>
      <c r="O33" s="199"/>
      <c r="P33" s="199"/>
      <c r="Q33" s="199"/>
      <c r="R33" s="199"/>
      <c r="S33" s="200"/>
      <c r="T33" s="45"/>
      <c r="U33" s="45"/>
      <c r="V33" s="172"/>
      <c r="W33" s="173"/>
      <c r="X33" s="174"/>
      <c r="Y33" s="47"/>
      <c r="Z33" s="47"/>
    </row>
    <row r="34" spans="1:26" ht="7.5" customHeight="1">
      <c r="A34" s="72"/>
      <c r="B34" s="21"/>
      <c r="C34" s="21"/>
      <c r="D34" s="72"/>
      <c r="E34" s="72"/>
      <c r="F34" s="72"/>
      <c r="G34" s="72"/>
      <c r="H34" s="72"/>
      <c r="I34" s="72"/>
      <c r="J34" s="72"/>
      <c r="K34" s="72"/>
      <c r="L34" s="21"/>
      <c r="M34" s="21"/>
      <c r="N34" s="21"/>
      <c r="O34" s="21"/>
      <c r="P34" s="21"/>
      <c r="Q34" s="21"/>
      <c r="R34" s="21"/>
      <c r="S34" s="21"/>
      <c r="T34" s="21"/>
      <c r="U34" s="21"/>
      <c r="V34" s="21"/>
      <c r="W34" s="21"/>
      <c r="X34" s="21"/>
      <c r="Y34" s="21"/>
      <c r="Z34" s="72"/>
    </row>
    <row r="35" spans="1:26" ht="18" customHeight="1">
      <c r="A35" s="175" t="s">
        <v>129</v>
      </c>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spans="1:26" ht="18" customHeight="1">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spans="1:26" ht="18" customHeight="1">
      <c r="B37" s="128" t="s">
        <v>100</v>
      </c>
      <c r="C37" s="129"/>
      <c r="D37" s="129"/>
      <c r="E37" s="129"/>
      <c r="F37" s="130"/>
      <c r="G37" s="17" t="s">
        <v>141</v>
      </c>
      <c r="H37" s="42" t="s">
        <v>140</v>
      </c>
      <c r="I37" s="128" t="s">
        <v>101</v>
      </c>
      <c r="J37" s="129"/>
      <c r="K37" s="130"/>
      <c r="L37" s="20" t="s">
        <v>130</v>
      </c>
      <c r="M37" s="20" t="s">
        <v>131</v>
      </c>
      <c r="N37" s="128" t="s">
        <v>100</v>
      </c>
      <c r="O37" s="129"/>
      <c r="P37" s="129"/>
      <c r="Q37" s="129"/>
      <c r="R37" s="129"/>
      <c r="S37" s="130"/>
      <c r="T37" s="17" t="s">
        <v>141</v>
      </c>
      <c r="U37" s="42" t="s">
        <v>140</v>
      </c>
      <c r="V37" s="128" t="s">
        <v>101</v>
      </c>
      <c r="W37" s="129"/>
      <c r="X37" s="130"/>
      <c r="Y37" s="20" t="s">
        <v>130</v>
      </c>
      <c r="Z37" s="20" t="s">
        <v>131</v>
      </c>
    </row>
    <row r="38" spans="1:26" ht="18" customHeight="1">
      <c r="A38" s="72"/>
      <c r="B38" s="168" t="s">
        <v>164</v>
      </c>
      <c r="C38" s="169"/>
      <c r="D38" s="169"/>
      <c r="E38" s="169"/>
      <c r="F38" s="170"/>
      <c r="G38" s="43">
        <v>2</v>
      </c>
      <c r="H38" s="43" t="s">
        <v>152</v>
      </c>
      <c r="I38" s="162" t="s">
        <v>153</v>
      </c>
      <c r="J38" s="163"/>
      <c r="K38" s="164"/>
      <c r="L38" s="48" t="s">
        <v>152</v>
      </c>
      <c r="M38" s="48" t="s">
        <v>152</v>
      </c>
      <c r="N38" s="135"/>
      <c r="O38" s="136"/>
      <c r="P38" s="136"/>
      <c r="Q38" s="136"/>
      <c r="R38" s="136"/>
      <c r="S38" s="137"/>
      <c r="T38" s="43"/>
      <c r="U38" s="43"/>
      <c r="V38" s="162"/>
      <c r="W38" s="163"/>
      <c r="X38" s="164"/>
      <c r="Y38" s="43"/>
      <c r="Z38" s="43"/>
    </row>
    <row r="39" spans="1:26" ht="18" customHeight="1">
      <c r="A39" s="72"/>
      <c r="B39" s="171" t="s">
        <v>154</v>
      </c>
      <c r="C39" s="159"/>
      <c r="D39" s="159"/>
      <c r="E39" s="159"/>
      <c r="F39" s="160"/>
      <c r="G39" s="44">
        <v>2</v>
      </c>
      <c r="H39" s="44" t="s">
        <v>152</v>
      </c>
      <c r="I39" s="165" t="s">
        <v>153</v>
      </c>
      <c r="J39" s="166"/>
      <c r="K39" s="167"/>
      <c r="L39" s="44" t="s">
        <v>152</v>
      </c>
      <c r="M39" s="44" t="s">
        <v>152</v>
      </c>
      <c r="N39" s="144"/>
      <c r="O39" s="142"/>
      <c r="P39" s="142"/>
      <c r="Q39" s="142"/>
      <c r="R39" s="142"/>
      <c r="S39" s="143"/>
      <c r="T39" s="44"/>
      <c r="U39" s="44"/>
      <c r="V39" s="165"/>
      <c r="W39" s="166"/>
      <c r="X39" s="167"/>
      <c r="Y39" s="44"/>
      <c r="Z39" s="44"/>
    </row>
    <row r="40" spans="1:26" ht="18" customHeight="1">
      <c r="A40" s="72"/>
      <c r="B40" s="171"/>
      <c r="C40" s="159"/>
      <c r="D40" s="159"/>
      <c r="E40" s="159"/>
      <c r="F40" s="160"/>
      <c r="G40" s="44"/>
      <c r="H40" s="44"/>
      <c r="I40" s="165"/>
      <c r="J40" s="166"/>
      <c r="K40" s="167"/>
      <c r="L40" s="44"/>
      <c r="M40" s="44"/>
      <c r="N40" s="144"/>
      <c r="O40" s="142"/>
      <c r="P40" s="142"/>
      <c r="Q40" s="142"/>
      <c r="R40" s="142"/>
      <c r="S40" s="143"/>
      <c r="T40" s="44"/>
      <c r="U40" s="44"/>
      <c r="V40" s="165"/>
      <c r="W40" s="166"/>
      <c r="X40" s="167"/>
      <c r="Y40" s="44"/>
      <c r="Z40" s="44"/>
    </row>
    <row r="41" spans="1:26" ht="18" customHeight="1">
      <c r="A41" s="72"/>
      <c r="B41" s="171"/>
      <c r="C41" s="159"/>
      <c r="D41" s="159"/>
      <c r="E41" s="159"/>
      <c r="F41" s="160"/>
      <c r="G41" s="44"/>
      <c r="H41" s="44"/>
      <c r="I41" s="165"/>
      <c r="J41" s="166"/>
      <c r="K41" s="167"/>
      <c r="L41" s="44"/>
      <c r="M41" s="44"/>
      <c r="N41" s="144"/>
      <c r="O41" s="142"/>
      <c r="P41" s="142"/>
      <c r="Q41" s="142"/>
      <c r="R41" s="142"/>
      <c r="S41" s="143"/>
      <c r="T41" s="44"/>
      <c r="U41" s="44"/>
      <c r="V41" s="165"/>
      <c r="W41" s="166"/>
      <c r="X41" s="167"/>
      <c r="Y41" s="44"/>
      <c r="Z41" s="44"/>
    </row>
    <row r="42" spans="1:26" ht="18" customHeight="1">
      <c r="A42" s="72"/>
      <c r="B42" s="171"/>
      <c r="C42" s="159"/>
      <c r="D42" s="159"/>
      <c r="E42" s="159"/>
      <c r="F42" s="160"/>
      <c r="G42" s="44"/>
      <c r="H42" s="44"/>
      <c r="I42" s="165"/>
      <c r="J42" s="166"/>
      <c r="K42" s="167"/>
      <c r="L42" s="44"/>
      <c r="M42" s="44"/>
      <c r="N42" s="144"/>
      <c r="O42" s="142"/>
      <c r="P42" s="142"/>
      <c r="Q42" s="142"/>
      <c r="R42" s="142"/>
      <c r="S42" s="143"/>
      <c r="T42" s="44"/>
      <c r="U42" s="44"/>
      <c r="V42" s="165"/>
      <c r="W42" s="166"/>
      <c r="X42" s="167"/>
      <c r="Y42" s="44"/>
      <c r="Z42" s="44"/>
    </row>
    <row r="43" spans="1:26" ht="18" customHeight="1">
      <c r="A43" s="72"/>
      <c r="B43" s="171"/>
      <c r="C43" s="159"/>
      <c r="D43" s="159"/>
      <c r="E43" s="159"/>
      <c r="F43" s="160"/>
      <c r="G43" s="44"/>
      <c r="H43" s="44"/>
      <c r="I43" s="165"/>
      <c r="J43" s="166"/>
      <c r="K43" s="167"/>
      <c r="L43" s="44"/>
      <c r="M43" s="44"/>
      <c r="N43" s="144"/>
      <c r="O43" s="142"/>
      <c r="P43" s="142"/>
      <c r="Q43" s="142"/>
      <c r="R43" s="142"/>
      <c r="S43" s="143"/>
      <c r="T43" s="44"/>
      <c r="U43" s="44"/>
      <c r="V43" s="165"/>
      <c r="W43" s="166"/>
      <c r="X43" s="167"/>
      <c r="Y43" s="44"/>
      <c r="Z43" s="44"/>
    </row>
    <row r="44" spans="1:26" ht="18" customHeight="1">
      <c r="A44" s="72"/>
      <c r="B44" s="176"/>
      <c r="C44" s="177"/>
      <c r="D44" s="177"/>
      <c r="E44" s="177"/>
      <c r="F44" s="178"/>
      <c r="G44" s="45"/>
      <c r="H44" s="45"/>
      <c r="I44" s="172"/>
      <c r="J44" s="173"/>
      <c r="K44" s="174"/>
      <c r="L44" s="47"/>
      <c r="M44" s="47"/>
      <c r="N44" s="198"/>
      <c r="O44" s="199"/>
      <c r="P44" s="199"/>
      <c r="Q44" s="199"/>
      <c r="R44" s="199"/>
      <c r="S44" s="200"/>
      <c r="T44" s="45"/>
      <c r="U44" s="45"/>
      <c r="V44" s="172"/>
      <c r="W44" s="173"/>
      <c r="X44" s="174"/>
      <c r="Y44" s="47"/>
      <c r="Z44" s="47"/>
    </row>
    <row r="45" spans="1:26" ht="7.5" customHeight="1">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6" ht="18" customHeight="1">
      <c r="A46" s="175" t="s">
        <v>132</v>
      </c>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spans="1:26" ht="18"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1:26" ht="18" customHeight="1">
      <c r="B48" s="128" t="s">
        <v>100</v>
      </c>
      <c r="C48" s="129"/>
      <c r="D48" s="129"/>
      <c r="E48" s="129"/>
      <c r="F48" s="130"/>
      <c r="G48" s="17" t="s">
        <v>141</v>
      </c>
      <c r="H48" s="42" t="s">
        <v>140</v>
      </c>
      <c r="I48" s="128" t="s">
        <v>101</v>
      </c>
      <c r="J48" s="129"/>
      <c r="K48" s="130"/>
      <c r="L48" s="20" t="s">
        <v>106</v>
      </c>
      <c r="M48" s="20" t="s">
        <v>108</v>
      </c>
      <c r="N48" s="128" t="s">
        <v>100</v>
      </c>
      <c r="O48" s="129"/>
      <c r="P48" s="129"/>
      <c r="Q48" s="129"/>
      <c r="R48" s="129"/>
      <c r="S48" s="130"/>
      <c r="T48" s="17" t="s">
        <v>141</v>
      </c>
      <c r="U48" s="42" t="s">
        <v>140</v>
      </c>
      <c r="V48" s="128" t="s">
        <v>101</v>
      </c>
      <c r="W48" s="129"/>
      <c r="X48" s="130"/>
      <c r="Y48" s="20" t="s">
        <v>106</v>
      </c>
      <c r="Z48" s="20" t="s">
        <v>108</v>
      </c>
    </row>
    <row r="49" spans="1:26" ht="18" customHeight="1">
      <c r="A49" s="72"/>
      <c r="B49" s="168" t="s">
        <v>164</v>
      </c>
      <c r="C49" s="169"/>
      <c r="D49" s="169"/>
      <c r="E49" s="169"/>
      <c r="F49" s="170"/>
      <c r="G49" s="43">
        <v>2</v>
      </c>
      <c r="H49" s="43" t="s">
        <v>152</v>
      </c>
      <c r="I49" s="162" t="s">
        <v>153</v>
      </c>
      <c r="J49" s="163"/>
      <c r="K49" s="164"/>
      <c r="L49" s="48" t="s">
        <v>152</v>
      </c>
      <c r="M49" s="48" t="s">
        <v>152</v>
      </c>
      <c r="N49" s="135"/>
      <c r="O49" s="136"/>
      <c r="P49" s="136"/>
      <c r="Q49" s="136"/>
      <c r="R49" s="136"/>
      <c r="S49" s="137"/>
      <c r="T49" s="43"/>
      <c r="U49" s="43"/>
      <c r="V49" s="162"/>
      <c r="W49" s="163"/>
      <c r="X49" s="164"/>
      <c r="Y49" s="43"/>
      <c r="Z49" s="43"/>
    </row>
    <row r="50" spans="1:26" ht="18" customHeight="1">
      <c r="A50" s="72"/>
      <c r="B50" s="171" t="s">
        <v>154</v>
      </c>
      <c r="C50" s="159"/>
      <c r="D50" s="159"/>
      <c r="E50" s="159"/>
      <c r="F50" s="160"/>
      <c r="G50" s="44">
        <v>2</v>
      </c>
      <c r="H50" s="44" t="s">
        <v>152</v>
      </c>
      <c r="I50" s="165" t="s">
        <v>153</v>
      </c>
      <c r="J50" s="166"/>
      <c r="K50" s="167"/>
      <c r="L50" s="44" t="s">
        <v>152</v>
      </c>
      <c r="M50" s="44" t="s">
        <v>152</v>
      </c>
      <c r="N50" s="144"/>
      <c r="O50" s="142"/>
      <c r="P50" s="142"/>
      <c r="Q50" s="142"/>
      <c r="R50" s="142"/>
      <c r="S50" s="143"/>
      <c r="T50" s="44"/>
      <c r="U50" s="44"/>
      <c r="V50" s="165"/>
      <c r="W50" s="166"/>
      <c r="X50" s="167"/>
      <c r="Y50" s="44"/>
      <c r="Z50" s="44"/>
    </row>
    <row r="51" spans="1:26" ht="18" customHeight="1">
      <c r="A51" s="72"/>
      <c r="B51" s="171"/>
      <c r="C51" s="159"/>
      <c r="D51" s="159"/>
      <c r="E51" s="159"/>
      <c r="F51" s="160"/>
      <c r="G51" s="44"/>
      <c r="H51" s="44"/>
      <c r="I51" s="165"/>
      <c r="J51" s="166"/>
      <c r="K51" s="167"/>
      <c r="L51" s="44"/>
      <c r="M51" s="44"/>
      <c r="N51" s="144"/>
      <c r="O51" s="142"/>
      <c r="P51" s="142"/>
      <c r="Q51" s="142"/>
      <c r="R51" s="142"/>
      <c r="S51" s="143"/>
      <c r="T51" s="44"/>
      <c r="U51" s="44"/>
      <c r="V51" s="165"/>
      <c r="W51" s="166"/>
      <c r="X51" s="167"/>
      <c r="Y51" s="44"/>
      <c r="Z51" s="44"/>
    </row>
    <row r="52" spans="1:26" ht="18" customHeight="1">
      <c r="A52" s="72"/>
      <c r="B52" s="171"/>
      <c r="C52" s="159"/>
      <c r="D52" s="159"/>
      <c r="E52" s="159"/>
      <c r="F52" s="160"/>
      <c r="G52" s="44"/>
      <c r="H52" s="44"/>
      <c r="I52" s="165"/>
      <c r="J52" s="166"/>
      <c r="K52" s="167"/>
      <c r="L52" s="44"/>
      <c r="M52" s="44"/>
      <c r="N52" s="144"/>
      <c r="O52" s="142"/>
      <c r="P52" s="142"/>
      <c r="Q52" s="142"/>
      <c r="R52" s="142"/>
      <c r="S52" s="143"/>
      <c r="T52" s="44"/>
      <c r="U52" s="44"/>
      <c r="V52" s="165"/>
      <c r="W52" s="166"/>
      <c r="X52" s="167"/>
      <c r="Y52" s="44"/>
      <c r="Z52" s="44"/>
    </row>
    <row r="53" spans="1:26" ht="18" customHeight="1">
      <c r="A53" s="72"/>
      <c r="B53" s="171"/>
      <c r="C53" s="159"/>
      <c r="D53" s="159"/>
      <c r="E53" s="159"/>
      <c r="F53" s="160"/>
      <c r="G53" s="44"/>
      <c r="H53" s="44"/>
      <c r="I53" s="165"/>
      <c r="J53" s="166"/>
      <c r="K53" s="167"/>
      <c r="L53" s="44"/>
      <c r="M53" s="44"/>
      <c r="N53" s="144"/>
      <c r="O53" s="142"/>
      <c r="P53" s="142"/>
      <c r="Q53" s="142"/>
      <c r="R53" s="142"/>
      <c r="S53" s="143"/>
      <c r="T53" s="44"/>
      <c r="U53" s="44"/>
      <c r="V53" s="165"/>
      <c r="W53" s="166"/>
      <c r="X53" s="167"/>
      <c r="Y53" s="44"/>
      <c r="Z53" s="44"/>
    </row>
    <row r="54" spans="1:26" ht="18" customHeight="1">
      <c r="A54" s="72"/>
      <c r="B54" s="171"/>
      <c r="C54" s="159"/>
      <c r="D54" s="159"/>
      <c r="E54" s="159"/>
      <c r="F54" s="160"/>
      <c r="G54" s="44"/>
      <c r="H54" s="44"/>
      <c r="I54" s="165"/>
      <c r="J54" s="166"/>
      <c r="K54" s="167"/>
      <c r="L54" s="44"/>
      <c r="M54" s="44"/>
      <c r="N54" s="144"/>
      <c r="O54" s="142"/>
      <c r="P54" s="142"/>
      <c r="Q54" s="142"/>
      <c r="R54" s="142"/>
      <c r="S54" s="143"/>
      <c r="T54" s="44"/>
      <c r="U54" s="44"/>
      <c r="V54" s="165"/>
      <c r="W54" s="166"/>
      <c r="X54" s="167"/>
      <c r="Y54" s="44"/>
      <c r="Z54" s="44"/>
    </row>
    <row r="55" spans="1:26" ht="18" customHeight="1">
      <c r="A55" s="72"/>
      <c r="B55" s="176"/>
      <c r="C55" s="177"/>
      <c r="D55" s="177"/>
      <c r="E55" s="177"/>
      <c r="F55" s="178"/>
      <c r="G55" s="45"/>
      <c r="H55" s="45"/>
      <c r="I55" s="172"/>
      <c r="J55" s="173"/>
      <c r="K55" s="174"/>
      <c r="L55" s="47"/>
      <c r="M55" s="47"/>
      <c r="N55" s="198"/>
      <c r="O55" s="199"/>
      <c r="P55" s="199"/>
      <c r="Q55" s="199"/>
      <c r="R55" s="199"/>
      <c r="S55" s="200"/>
      <c r="T55" s="45"/>
      <c r="U55" s="45"/>
      <c r="V55" s="172"/>
      <c r="W55" s="173"/>
      <c r="X55" s="174"/>
      <c r="Y55" s="47"/>
      <c r="Z55" s="47"/>
    </row>
    <row r="56" spans="1:26" ht="7.5" customHeight="1">
      <c r="B56" s="22"/>
      <c r="C56" s="22"/>
      <c r="D56" s="22"/>
      <c r="E56" s="22"/>
      <c r="F56" s="22"/>
      <c r="G56" s="22"/>
      <c r="H56" s="22"/>
      <c r="I56" s="22"/>
      <c r="J56" s="22"/>
      <c r="K56" s="22"/>
      <c r="L56" s="22"/>
      <c r="M56" s="22"/>
      <c r="N56" s="22"/>
      <c r="O56" s="22"/>
      <c r="P56" s="22"/>
      <c r="Q56" s="22"/>
      <c r="R56" s="22"/>
      <c r="S56" s="22"/>
      <c r="T56" s="22"/>
      <c r="U56" s="22"/>
      <c r="V56" s="22"/>
      <c r="W56" s="22"/>
      <c r="X56" s="22"/>
      <c r="Y56" s="22"/>
    </row>
    <row r="57" spans="1:26" ht="18" customHeight="1">
      <c r="A57" s="175" t="s">
        <v>133</v>
      </c>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spans="1:26" ht="18"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spans="1:26" ht="18" customHeight="1">
      <c r="B59" s="128" t="s">
        <v>100</v>
      </c>
      <c r="C59" s="129"/>
      <c r="D59" s="129"/>
      <c r="E59" s="130"/>
      <c r="F59" s="17" t="s">
        <v>141</v>
      </c>
      <c r="G59" s="42" t="s">
        <v>140</v>
      </c>
      <c r="H59" s="37" t="s">
        <v>101</v>
      </c>
      <c r="I59" s="38"/>
      <c r="J59" s="39"/>
      <c r="K59" s="20" t="s">
        <v>105</v>
      </c>
      <c r="L59" s="20" t="s">
        <v>134</v>
      </c>
      <c r="M59" s="20" t="s">
        <v>135</v>
      </c>
      <c r="N59" s="128" t="s">
        <v>100</v>
      </c>
      <c r="O59" s="129"/>
      <c r="P59" s="129"/>
      <c r="Q59" s="129"/>
      <c r="R59" s="130"/>
      <c r="S59" s="17" t="s">
        <v>141</v>
      </c>
      <c r="T59" s="42" t="s">
        <v>140</v>
      </c>
      <c r="U59" s="37" t="s">
        <v>101</v>
      </c>
      <c r="V59" s="38"/>
      <c r="W59" s="39"/>
      <c r="X59" s="20" t="s">
        <v>105</v>
      </c>
      <c r="Y59" s="20" t="s">
        <v>134</v>
      </c>
      <c r="Z59" s="20" t="s">
        <v>135</v>
      </c>
    </row>
    <row r="60" spans="1:26" ht="18" customHeight="1">
      <c r="A60" s="72"/>
      <c r="B60" s="135" t="s">
        <v>165</v>
      </c>
      <c r="C60" s="136"/>
      <c r="D60" s="136"/>
      <c r="E60" s="137"/>
      <c r="F60" s="43">
        <v>2</v>
      </c>
      <c r="G60" s="43" t="s">
        <v>152</v>
      </c>
      <c r="H60" s="162" t="s">
        <v>153</v>
      </c>
      <c r="I60" s="163"/>
      <c r="J60" s="164"/>
      <c r="K60" s="48" t="s">
        <v>152</v>
      </c>
      <c r="L60" s="48" t="s">
        <v>152</v>
      </c>
      <c r="M60" s="48" t="s">
        <v>152</v>
      </c>
      <c r="N60" s="135"/>
      <c r="O60" s="136"/>
      <c r="P60" s="136"/>
      <c r="Q60" s="136"/>
      <c r="R60" s="137"/>
      <c r="S60" s="43"/>
      <c r="T60" s="43"/>
      <c r="U60" s="162"/>
      <c r="V60" s="163"/>
      <c r="W60" s="164"/>
      <c r="X60" s="68"/>
      <c r="Y60" s="43"/>
      <c r="Z60" s="43"/>
    </row>
    <row r="61" spans="1:26" ht="18" customHeight="1">
      <c r="A61" s="72"/>
      <c r="B61" s="144" t="s">
        <v>166</v>
      </c>
      <c r="C61" s="142"/>
      <c r="D61" s="142"/>
      <c r="E61" s="143"/>
      <c r="F61" s="44">
        <v>2</v>
      </c>
      <c r="G61" s="44" t="s">
        <v>152</v>
      </c>
      <c r="H61" s="165" t="s">
        <v>153</v>
      </c>
      <c r="I61" s="166"/>
      <c r="J61" s="167"/>
      <c r="K61" s="44" t="s">
        <v>152</v>
      </c>
      <c r="L61" s="44" t="s">
        <v>152</v>
      </c>
      <c r="M61" s="44" t="s">
        <v>152</v>
      </c>
      <c r="N61" s="144"/>
      <c r="O61" s="142"/>
      <c r="P61" s="142"/>
      <c r="Q61" s="142"/>
      <c r="R61" s="143"/>
      <c r="S61" s="44"/>
      <c r="T61" s="44"/>
      <c r="U61" s="165"/>
      <c r="V61" s="166"/>
      <c r="W61" s="167"/>
      <c r="X61" s="66"/>
      <c r="Y61" s="44"/>
      <c r="Z61" s="44"/>
    </row>
    <row r="62" spans="1:26" ht="18" customHeight="1">
      <c r="A62" s="72"/>
      <c r="B62" s="144"/>
      <c r="C62" s="142"/>
      <c r="D62" s="142"/>
      <c r="E62" s="143"/>
      <c r="F62" s="44"/>
      <c r="G62" s="44"/>
      <c r="H62" s="165"/>
      <c r="I62" s="166"/>
      <c r="J62" s="167"/>
      <c r="K62" s="66"/>
      <c r="L62" s="44"/>
      <c r="M62" s="44"/>
      <c r="N62" s="144"/>
      <c r="O62" s="142"/>
      <c r="P62" s="142"/>
      <c r="Q62" s="142"/>
      <c r="R62" s="143"/>
      <c r="S62" s="44"/>
      <c r="T62" s="44"/>
      <c r="U62" s="165"/>
      <c r="V62" s="166"/>
      <c r="W62" s="167"/>
      <c r="X62" s="66"/>
      <c r="Y62" s="44"/>
      <c r="Z62" s="44"/>
    </row>
    <row r="63" spans="1:26" ht="18" customHeight="1">
      <c r="A63" s="72"/>
      <c r="B63" s="144"/>
      <c r="C63" s="142"/>
      <c r="D63" s="142"/>
      <c r="E63" s="143"/>
      <c r="F63" s="44"/>
      <c r="G63" s="44"/>
      <c r="H63" s="165"/>
      <c r="I63" s="166"/>
      <c r="J63" s="167"/>
      <c r="K63" s="66"/>
      <c r="L63" s="44"/>
      <c r="M63" s="44"/>
      <c r="N63" s="144"/>
      <c r="O63" s="142"/>
      <c r="P63" s="142"/>
      <c r="Q63" s="142"/>
      <c r="R63" s="143"/>
      <c r="S63" s="44"/>
      <c r="T63" s="44"/>
      <c r="U63" s="165"/>
      <c r="V63" s="166"/>
      <c r="W63" s="167"/>
      <c r="X63" s="66"/>
      <c r="Y63" s="44"/>
      <c r="Z63" s="44"/>
    </row>
    <row r="64" spans="1:26" ht="18" customHeight="1">
      <c r="A64" s="72"/>
      <c r="B64" s="144"/>
      <c r="C64" s="142"/>
      <c r="D64" s="142"/>
      <c r="E64" s="143"/>
      <c r="F64" s="44"/>
      <c r="G64" s="44"/>
      <c r="H64" s="165"/>
      <c r="I64" s="166"/>
      <c r="J64" s="167"/>
      <c r="K64" s="66"/>
      <c r="L64" s="44"/>
      <c r="M64" s="44"/>
      <c r="N64" s="144"/>
      <c r="O64" s="142"/>
      <c r="P64" s="142"/>
      <c r="Q64" s="142"/>
      <c r="R64" s="143"/>
      <c r="S64" s="44"/>
      <c r="T64" s="44"/>
      <c r="U64" s="165"/>
      <c r="V64" s="166"/>
      <c r="W64" s="167"/>
      <c r="X64" s="66"/>
      <c r="Y64" s="44"/>
      <c r="Z64" s="44"/>
    </row>
    <row r="65" spans="1:26" ht="18" customHeight="1">
      <c r="A65" s="72"/>
      <c r="B65" s="144"/>
      <c r="C65" s="142"/>
      <c r="D65" s="142"/>
      <c r="E65" s="143"/>
      <c r="F65" s="44"/>
      <c r="G65" s="44"/>
      <c r="H65" s="165"/>
      <c r="I65" s="166"/>
      <c r="J65" s="167"/>
      <c r="K65" s="66"/>
      <c r="L65" s="44"/>
      <c r="M65" s="44"/>
      <c r="N65" s="144"/>
      <c r="O65" s="142"/>
      <c r="P65" s="142"/>
      <c r="Q65" s="142"/>
      <c r="R65" s="143"/>
      <c r="S65" s="44"/>
      <c r="T65" s="44"/>
      <c r="U65" s="165"/>
      <c r="V65" s="166"/>
      <c r="W65" s="167"/>
      <c r="X65" s="66"/>
      <c r="Y65" s="44"/>
      <c r="Z65" s="44"/>
    </row>
    <row r="66" spans="1:26" ht="18" customHeight="1">
      <c r="A66" s="72"/>
      <c r="B66" s="198"/>
      <c r="C66" s="199"/>
      <c r="D66" s="199"/>
      <c r="E66" s="200"/>
      <c r="F66" s="45"/>
      <c r="G66" s="45"/>
      <c r="H66" s="172"/>
      <c r="I66" s="173"/>
      <c r="J66" s="174"/>
      <c r="K66" s="67"/>
      <c r="L66" s="47"/>
      <c r="M66" s="47"/>
      <c r="N66" s="198"/>
      <c r="O66" s="199"/>
      <c r="P66" s="199"/>
      <c r="Q66" s="199"/>
      <c r="R66" s="200"/>
      <c r="S66" s="45"/>
      <c r="T66" s="45"/>
      <c r="U66" s="172"/>
      <c r="V66" s="173"/>
      <c r="W66" s="174"/>
      <c r="X66" s="67"/>
      <c r="Y66" s="47"/>
      <c r="Z66" s="47"/>
    </row>
    <row r="67" spans="1:26" ht="7.5" customHeight="1">
      <c r="B67" s="22"/>
      <c r="C67" s="22"/>
      <c r="D67" s="22"/>
      <c r="E67" s="22"/>
      <c r="F67" s="22"/>
      <c r="G67" s="22"/>
      <c r="H67" s="22"/>
      <c r="I67" s="22"/>
      <c r="J67" s="22"/>
      <c r="K67" s="22"/>
      <c r="L67" s="22"/>
      <c r="M67" s="22"/>
      <c r="N67" s="22"/>
      <c r="O67" s="22"/>
      <c r="P67" s="22"/>
      <c r="Q67" s="22"/>
      <c r="R67" s="22"/>
      <c r="S67" s="22"/>
      <c r="T67" s="22"/>
      <c r="U67" s="22"/>
      <c r="V67" s="22"/>
      <c r="W67" s="22"/>
      <c r="X67" s="22"/>
      <c r="Y67" s="22"/>
    </row>
    <row r="68" spans="1:26" ht="18" customHeight="1">
      <c r="A68" s="4" t="s">
        <v>136</v>
      </c>
      <c r="L68" s="72"/>
      <c r="M68" s="72"/>
      <c r="N68" s="72"/>
      <c r="O68" s="72"/>
      <c r="P68" s="72"/>
      <c r="Q68" s="72"/>
      <c r="R68" s="72"/>
      <c r="S68" s="72"/>
      <c r="T68" s="72"/>
      <c r="U68" s="72"/>
      <c r="V68" s="72"/>
      <c r="W68" s="72"/>
      <c r="X68" s="72"/>
      <c r="Y68" s="72"/>
      <c r="Z68" s="72"/>
    </row>
    <row r="69" spans="1:26" ht="18" customHeight="1">
      <c r="B69" s="128" t="s">
        <v>100</v>
      </c>
      <c r="C69" s="129"/>
      <c r="D69" s="129"/>
      <c r="E69" s="129"/>
      <c r="F69" s="130"/>
      <c r="G69" s="128" t="s">
        <v>146</v>
      </c>
      <c r="H69" s="129"/>
      <c r="I69" s="129"/>
      <c r="J69" s="129"/>
      <c r="K69" s="129"/>
      <c r="L69" s="129"/>
      <c r="M69" s="130"/>
      <c r="N69" s="204" t="s">
        <v>100</v>
      </c>
      <c r="O69" s="205"/>
      <c r="P69" s="205"/>
      <c r="Q69" s="205"/>
      <c r="R69" s="205"/>
      <c r="S69" s="206"/>
      <c r="T69" s="128" t="s">
        <v>146</v>
      </c>
      <c r="U69" s="129"/>
      <c r="V69" s="129"/>
      <c r="W69" s="129"/>
      <c r="X69" s="129"/>
      <c r="Y69" s="129"/>
      <c r="Z69" s="130"/>
    </row>
    <row r="70" spans="1:26" ht="18" customHeight="1">
      <c r="A70" s="72"/>
      <c r="B70" s="135"/>
      <c r="C70" s="136"/>
      <c r="D70" s="136"/>
      <c r="E70" s="136"/>
      <c r="F70" s="137"/>
      <c r="G70" s="138"/>
      <c r="H70" s="139"/>
      <c r="I70" s="139"/>
      <c r="J70" s="139"/>
      <c r="K70" s="139"/>
      <c r="L70" s="139"/>
      <c r="M70" s="140"/>
      <c r="N70" s="135"/>
      <c r="O70" s="136"/>
      <c r="P70" s="136"/>
      <c r="Q70" s="136"/>
      <c r="R70" s="136"/>
      <c r="S70" s="137"/>
      <c r="T70" s="138"/>
      <c r="U70" s="139"/>
      <c r="V70" s="139"/>
      <c r="W70" s="139"/>
      <c r="X70" s="139"/>
      <c r="Y70" s="139"/>
      <c r="Z70" s="140"/>
    </row>
    <row r="71" spans="1:26" ht="18" customHeight="1">
      <c r="A71" s="72"/>
      <c r="B71" s="144"/>
      <c r="C71" s="142"/>
      <c r="D71" s="142"/>
      <c r="E71" s="142"/>
      <c r="F71" s="143"/>
      <c r="G71" s="145"/>
      <c r="H71" s="146"/>
      <c r="I71" s="146"/>
      <c r="J71" s="146"/>
      <c r="K71" s="146"/>
      <c r="L71" s="146"/>
      <c r="M71" s="147"/>
      <c r="N71" s="144"/>
      <c r="O71" s="142"/>
      <c r="P71" s="142"/>
      <c r="Q71" s="142"/>
      <c r="R71" s="142"/>
      <c r="S71" s="143"/>
      <c r="T71" s="145"/>
      <c r="U71" s="146"/>
      <c r="V71" s="146"/>
      <c r="W71" s="146"/>
      <c r="X71" s="146"/>
      <c r="Y71" s="146"/>
      <c r="Z71" s="147"/>
    </row>
    <row r="72" spans="1:26" ht="18" customHeight="1">
      <c r="A72" s="72"/>
      <c r="B72" s="144"/>
      <c r="C72" s="142"/>
      <c r="D72" s="142"/>
      <c r="E72" s="142"/>
      <c r="F72" s="143"/>
      <c r="G72" s="145"/>
      <c r="H72" s="146"/>
      <c r="I72" s="146"/>
      <c r="J72" s="146"/>
      <c r="K72" s="146"/>
      <c r="L72" s="146"/>
      <c r="M72" s="147"/>
      <c r="N72" s="144"/>
      <c r="O72" s="142"/>
      <c r="P72" s="142"/>
      <c r="Q72" s="142"/>
      <c r="R72" s="142"/>
      <c r="S72" s="143"/>
      <c r="T72" s="145"/>
      <c r="U72" s="146"/>
      <c r="V72" s="146"/>
      <c r="W72" s="146"/>
      <c r="X72" s="146"/>
      <c r="Y72" s="146"/>
      <c r="Z72" s="147"/>
    </row>
    <row r="73" spans="1:26" ht="18" customHeight="1">
      <c r="A73" s="72"/>
      <c r="B73" s="144"/>
      <c r="C73" s="142"/>
      <c r="D73" s="142"/>
      <c r="E73" s="142"/>
      <c r="F73" s="143"/>
      <c r="G73" s="145"/>
      <c r="H73" s="146"/>
      <c r="I73" s="146"/>
      <c r="J73" s="146"/>
      <c r="K73" s="146"/>
      <c r="L73" s="146"/>
      <c r="M73" s="147"/>
      <c r="N73" s="144"/>
      <c r="O73" s="142"/>
      <c r="P73" s="142"/>
      <c r="Q73" s="142"/>
      <c r="R73" s="142"/>
      <c r="S73" s="143"/>
      <c r="T73" s="145"/>
      <c r="U73" s="146"/>
      <c r="V73" s="146"/>
      <c r="W73" s="146"/>
      <c r="X73" s="146"/>
      <c r="Y73" s="146"/>
      <c r="Z73" s="147"/>
    </row>
    <row r="74" spans="1:26" ht="18" customHeight="1">
      <c r="A74" s="72"/>
      <c r="B74" s="144"/>
      <c r="C74" s="142"/>
      <c r="D74" s="142"/>
      <c r="E74" s="142"/>
      <c r="F74" s="143"/>
      <c r="G74" s="145"/>
      <c r="H74" s="146"/>
      <c r="I74" s="146"/>
      <c r="J74" s="146"/>
      <c r="K74" s="146"/>
      <c r="L74" s="146"/>
      <c r="M74" s="147"/>
      <c r="N74" s="144"/>
      <c r="O74" s="142"/>
      <c r="P74" s="142"/>
      <c r="Q74" s="142"/>
      <c r="R74" s="142"/>
      <c r="S74" s="143"/>
      <c r="T74" s="145"/>
      <c r="U74" s="146"/>
      <c r="V74" s="146"/>
      <c r="W74" s="146"/>
      <c r="X74" s="146"/>
      <c r="Y74" s="146"/>
      <c r="Z74" s="147"/>
    </row>
    <row r="75" spans="1:26" ht="18" customHeight="1">
      <c r="A75" s="72"/>
      <c r="B75" s="144"/>
      <c r="C75" s="142"/>
      <c r="D75" s="142"/>
      <c r="E75" s="142"/>
      <c r="F75" s="143"/>
      <c r="G75" s="145"/>
      <c r="H75" s="146"/>
      <c r="I75" s="146"/>
      <c r="J75" s="146"/>
      <c r="K75" s="146"/>
      <c r="L75" s="146"/>
      <c r="M75" s="147"/>
      <c r="N75" s="144"/>
      <c r="O75" s="142"/>
      <c r="P75" s="142"/>
      <c r="Q75" s="142"/>
      <c r="R75" s="142"/>
      <c r="S75" s="143"/>
      <c r="T75" s="145"/>
      <c r="U75" s="146"/>
      <c r="V75" s="146"/>
      <c r="W75" s="146"/>
      <c r="X75" s="146"/>
      <c r="Y75" s="146"/>
      <c r="Z75" s="147"/>
    </row>
    <row r="76" spans="1:26" ht="18" customHeight="1">
      <c r="A76" s="72"/>
      <c r="B76" s="198"/>
      <c r="C76" s="199"/>
      <c r="D76" s="199"/>
      <c r="E76" s="199"/>
      <c r="F76" s="200"/>
      <c r="G76" s="201"/>
      <c r="H76" s="202"/>
      <c r="I76" s="202"/>
      <c r="J76" s="202"/>
      <c r="K76" s="202"/>
      <c r="L76" s="202"/>
      <c r="M76" s="203"/>
      <c r="N76" s="198"/>
      <c r="O76" s="199"/>
      <c r="P76" s="199"/>
      <c r="Q76" s="199"/>
      <c r="R76" s="199"/>
      <c r="S76" s="200"/>
      <c r="T76" s="201"/>
      <c r="U76" s="202"/>
      <c r="V76" s="202"/>
      <c r="W76" s="202"/>
      <c r="X76" s="202"/>
      <c r="Y76" s="202"/>
      <c r="Z76" s="203"/>
    </row>
    <row r="77" spans="1:26" ht="18" customHeight="1">
      <c r="A77" s="72"/>
      <c r="B77" s="61"/>
      <c r="C77" s="61"/>
      <c r="D77" s="61"/>
      <c r="E77" s="61"/>
      <c r="F77" s="61"/>
      <c r="G77" s="3"/>
      <c r="H77" s="3"/>
      <c r="I77" s="3"/>
      <c r="J77" s="3"/>
      <c r="K77" s="3"/>
      <c r="L77" s="3"/>
      <c r="M77" s="3"/>
      <c r="N77" s="61"/>
      <c r="O77" s="61"/>
      <c r="P77" s="61"/>
      <c r="Q77" s="61"/>
      <c r="R77" s="61"/>
      <c r="S77" s="61"/>
      <c r="T77" s="3"/>
      <c r="U77" s="3"/>
      <c r="V77" s="3"/>
      <c r="W77" s="3"/>
      <c r="X77" s="3"/>
      <c r="Y77" s="3"/>
      <c r="Z77" s="3"/>
    </row>
    <row r="78" spans="1:26" ht="18.75" customHeight="1">
      <c r="A78" s="4" t="s">
        <v>142</v>
      </c>
    </row>
    <row r="79" spans="1:26" ht="18.75" customHeight="1">
      <c r="B79" s="15" t="s">
        <v>102</v>
      </c>
      <c r="C79" s="16"/>
      <c r="D79" s="129" t="s">
        <v>103</v>
      </c>
      <c r="E79" s="129"/>
      <c r="F79" s="129"/>
      <c r="G79" s="129"/>
      <c r="H79" s="129"/>
      <c r="I79" s="129"/>
      <c r="J79" s="129"/>
      <c r="K79" s="129"/>
      <c r="L79" s="129"/>
      <c r="M79" s="129"/>
      <c r="N79" s="129"/>
      <c r="O79" s="129"/>
      <c r="P79" s="129"/>
      <c r="Q79" s="129"/>
      <c r="R79" s="129"/>
      <c r="S79" s="129"/>
      <c r="T79" s="129"/>
      <c r="U79" s="129"/>
      <c r="V79" s="129"/>
      <c r="W79" s="129"/>
      <c r="X79" s="129"/>
      <c r="Y79" s="129"/>
      <c r="Z79" s="130"/>
    </row>
    <row r="80" spans="1:26" ht="78" customHeight="1">
      <c r="B80" s="148" t="s">
        <v>109</v>
      </c>
      <c r="C80" s="28" t="s">
        <v>104</v>
      </c>
      <c r="D80" s="155" t="s">
        <v>194</v>
      </c>
      <c r="E80" s="155"/>
      <c r="F80" s="155"/>
      <c r="G80" s="155"/>
      <c r="H80" s="155"/>
      <c r="I80" s="155"/>
      <c r="J80" s="155"/>
      <c r="K80" s="155"/>
      <c r="L80" s="155"/>
      <c r="M80" s="155"/>
      <c r="N80" s="155"/>
      <c r="O80" s="155"/>
      <c r="P80" s="155"/>
      <c r="Q80" s="155"/>
      <c r="R80" s="155"/>
      <c r="S80" s="155"/>
      <c r="T80" s="155"/>
      <c r="U80" s="155"/>
      <c r="V80" s="155"/>
      <c r="W80" s="155"/>
      <c r="X80" s="155"/>
      <c r="Y80" s="155"/>
      <c r="Z80" s="161"/>
    </row>
    <row r="81" spans="1:26" ht="78" customHeight="1">
      <c r="B81" s="150"/>
      <c r="C81" s="40" t="s">
        <v>137</v>
      </c>
      <c r="D81" s="190" t="s">
        <v>195</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c r="B82" s="148" t="s">
        <v>110</v>
      </c>
      <c r="C82" s="23" t="s">
        <v>127</v>
      </c>
      <c r="D82" s="193" t="s">
        <v>196</v>
      </c>
      <c r="E82" s="169"/>
      <c r="F82" s="169"/>
      <c r="G82" s="169"/>
      <c r="H82" s="169"/>
      <c r="I82" s="169"/>
      <c r="J82" s="169"/>
      <c r="K82" s="169"/>
      <c r="L82" s="169"/>
      <c r="M82" s="169"/>
      <c r="N82" s="169"/>
      <c r="O82" s="169"/>
      <c r="P82" s="169"/>
      <c r="Q82" s="169"/>
      <c r="R82" s="169"/>
      <c r="S82" s="169"/>
      <c r="T82" s="169"/>
      <c r="U82" s="169"/>
      <c r="V82" s="169"/>
      <c r="W82" s="169"/>
      <c r="X82" s="169"/>
      <c r="Y82" s="169"/>
      <c r="Z82" s="170"/>
    </row>
    <row r="83" spans="1:26" ht="78" customHeight="1">
      <c r="B83" s="149"/>
      <c r="C83" s="41" t="s">
        <v>128</v>
      </c>
      <c r="D83" s="197" t="s">
        <v>197</v>
      </c>
      <c r="E83" s="177"/>
      <c r="F83" s="177"/>
      <c r="G83" s="177"/>
      <c r="H83" s="177"/>
      <c r="I83" s="177"/>
      <c r="J83" s="177"/>
      <c r="K83" s="177"/>
      <c r="L83" s="177"/>
      <c r="M83" s="177"/>
      <c r="N83" s="177"/>
      <c r="O83" s="177"/>
      <c r="P83" s="177"/>
      <c r="Q83" s="177"/>
      <c r="R83" s="177"/>
      <c r="S83" s="177"/>
      <c r="T83" s="177"/>
      <c r="U83" s="177"/>
      <c r="V83" s="177"/>
      <c r="W83" s="177"/>
      <c r="X83" s="177"/>
      <c r="Y83" s="177"/>
      <c r="Z83" s="178"/>
    </row>
    <row r="84" spans="1:26" ht="66" customHeight="1">
      <c r="B84" s="148" t="s">
        <v>111</v>
      </c>
      <c r="C84" s="23" t="s">
        <v>130</v>
      </c>
      <c r="D84" s="193" t="s">
        <v>198</v>
      </c>
      <c r="E84" s="169"/>
      <c r="F84" s="169"/>
      <c r="G84" s="169"/>
      <c r="H84" s="169"/>
      <c r="I84" s="169"/>
      <c r="J84" s="169"/>
      <c r="K84" s="169"/>
      <c r="L84" s="169"/>
      <c r="M84" s="169"/>
      <c r="N84" s="169"/>
      <c r="O84" s="169"/>
      <c r="P84" s="169"/>
      <c r="Q84" s="169"/>
      <c r="R84" s="169"/>
      <c r="S84" s="169"/>
      <c r="T84" s="169"/>
      <c r="U84" s="169"/>
      <c r="V84" s="169"/>
      <c r="W84" s="169"/>
      <c r="X84" s="169"/>
      <c r="Y84" s="169"/>
      <c r="Z84" s="170"/>
    </row>
    <row r="85" spans="1:26" ht="66" customHeight="1">
      <c r="B85" s="149"/>
      <c r="C85" s="25" t="s">
        <v>131</v>
      </c>
      <c r="D85" s="194" t="s">
        <v>199</v>
      </c>
      <c r="E85" s="195"/>
      <c r="F85" s="195"/>
      <c r="G85" s="195"/>
      <c r="H85" s="195"/>
      <c r="I85" s="195"/>
      <c r="J85" s="195"/>
      <c r="K85" s="195"/>
      <c r="L85" s="195"/>
      <c r="M85" s="195"/>
      <c r="N85" s="195"/>
      <c r="O85" s="195"/>
      <c r="P85" s="195"/>
      <c r="Q85" s="195"/>
      <c r="R85" s="195"/>
      <c r="S85" s="195"/>
      <c r="T85" s="195"/>
      <c r="U85" s="195"/>
      <c r="V85" s="195"/>
      <c r="W85" s="195"/>
      <c r="X85" s="195"/>
      <c r="Y85" s="195"/>
      <c r="Z85" s="196"/>
    </row>
    <row r="86" spans="1:26" ht="103.2" customHeight="1">
      <c r="B86" s="148" t="s">
        <v>138</v>
      </c>
      <c r="C86" s="28" t="s">
        <v>106</v>
      </c>
      <c r="D86" s="155" t="s">
        <v>239</v>
      </c>
      <c r="E86" s="156"/>
      <c r="F86" s="156"/>
      <c r="G86" s="156"/>
      <c r="H86" s="156"/>
      <c r="I86" s="156"/>
      <c r="J86" s="156"/>
      <c r="K86" s="156"/>
      <c r="L86" s="156"/>
      <c r="M86" s="156"/>
      <c r="N86" s="156"/>
      <c r="O86" s="156"/>
      <c r="P86" s="156"/>
      <c r="Q86" s="156"/>
      <c r="R86" s="156"/>
      <c r="S86" s="156"/>
      <c r="T86" s="156"/>
      <c r="U86" s="156"/>
      <c r="V86" s="156"/>
      <c r="W86" s="156"/>
      <c r="X86" s="156"/>
      <c r="Y86" s="156"/>
      <c r="Z86" s="157"/>
    </row>
    <row r="87" spans="1:26" ht="97.8" customHeight="1">
      <c r="B87" s="150"/>
      <c r="C87" s="24" t="s">
        <v>108</v>
      </c>
      <c r="D87" s="158" t="s">
        <v>240</v>
      </c>
      <c r="E87" s="159"/>
      <c r="F87" s="159"/>
      <c r="G87" s="159"/>
      <c r="H87" s="159"/>
      <c r="I87" s="159"/>
      <c r="J87" s="159"/>
      <c r="K87" s="159"/>
      <c r="L87" s="159"/>
      <c r="M87" s="159"/>
      <c r="N87" s="159"/>
      <c r="O87" s="159"/>
      <c r="P87" s="159"/>
      <c r="Q87" s="159"/>
      <c r="R87" s="159"/>
      <c r="S87" s="159"/>
      <c r="T87" s="159"/>
      <c r="U87" s="159"/>
      <c r="V87" s="159"/>
      <c r="W87" s="159"/>
      <c r="X87" s="159"/>
      <c r="Y87" s="159"/>
      <c r="Z87" s="160"/>
    </row>
    <row r="88" spans="1:26" ht="96" customHeight="1">
      <c r="B88" s="148" t="s">
        <v>139</v>
      </c>
      <c r="C88" s="23" t="s">
        <v>105</v>
      </c>
      <c r="D88" s="151" t="s">
        <v>241</v>
      </c>
      <c r="E88" s="136"/>
      <c r="F88" s="136"/>
      <c r="G88" s="136"/>
      <c r="H88" s="136"/>
      <c r="I88" s="136"/>
      <c r="J88" s="136"/>
      <c r="K88" s="136"/>
      <c r="L88" s="136"/>
      <c r="M88" s="136"/>
      <c r="N88" s="136"/>
      <c r="O88" s="136"/>
      <c r="P88" s="136"/>
      <c r="Q88" s="136"/>
      <c r="R88" s="136"/>
      <c r="S88" s="136"/>
      <c r="T88" s="136"/>
      <c r="U88" s="136"/>
      <c r="V88" s="136"/>
      <c r="W88" s="136"/>
      <c r="X88" s="136"/>
      <c r="Y88" s="136"/>
      <c r="Z88" s="137"/>
    </row>
    <row r="89" spans="1:26" ht="96" customHeight="1">
      <c r="B89" s="150"/>
      <c r="C89" s="24" t="s">
        <v>134</v>
      </c>
      <c r="D89" s="141" t="s">
        <v>242</v>
      </c>
      <c r="E89" s="142"/>
      <c r="F89" s="142"/>
      <c r="G89" s="142"/>
      <c r="H89" s="142"/>
      <c r="I89" s="142"/>
      <c r="J89" s="142"/>
      <c r="K89" s="142"/>
      <c r="L89" s="142"/>
      <c r="M89" s="142"/>
      <c r="N89" s="142"/>
      <c r="O89" s="142"/>
      <c r="P89" s="142"/>
      <c r="Q89" s="142"/>
      <c r="R89" s="142"/>
      <c r="S89" s="142"/>
      <c r="T89" s="142"/>
      <c r="U89" s="142"/>
      <c r="V89" s="142"/>
      <c r="W89" s="142"/>
      <c r="X89" s="142"/>
      <c r="Y89" s="142"/>
      <c r="Z89" s="143"/>
    </row>
    <row r="90" spans="1:26" ht="96" customHeight="1">
      <c r="B90" s="149"/>
      <c r="C90" s="25" t="s">
        <v>135</v>
      </c>
      <c r="D90" s="152" t="s">
        <v>243</v>
      </c>
      <c r="E90" s="153"/>
      <c r="F90" s="153"/>
      <c r="G90" s="153"/>
      <c r="H90" s="153"/>
      <c r="I90" s="153"/>
      <c r="J90" s="153"/>
      <c r="K90" s="153"/>
      <c r="L90" s="153"/>
      <c r="M90" s="153"/>
      <c r="N90" s="153"/>
      <c r="O90" s="153"/>
      <c r="P90" s="153"/>
      <c r="Q90" s="153"/>
      <c r="R90" s="153"/>
      <c r="S90" s="153"/>
      <c r="T90" s="153"/>
      <c r="U90" s="153"/>
      <c r="V90" s="153"/>
      <c r="W90" s="153"/>
      <c r="X90" s="153"/>
      <c r="Y90" s="153"/>
      <c r="Z90" s="154"/>
    </row>
    <row r="91" spans="1:26" ht="6" customHeight="1"/>
    <row r="92" spans="1:26" ht="18.75" customHeight="1">
      <c r="A92" s="4" t="s">
        <v>143</v>
      </c>
    </row>
    <row r="93" spans="1:26" ht="18.75" customHeight="1">
      <c r="B93" s="218" t="s">
        <v>155</v>
      </c>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20"/>
    </row>
    <row r="94" spans="1:26" ht="18.75" customHeight="1">
      <c r="B94" s="221"/>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3"/>
    </row>
    <row r="95" spans="1:26" ht="18.75" customHeight="1">
      <c r="B95" s="224"/>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6"/>
    </row>
    <row r="96" spans="1:26" ht="6" customHeight="1"/>
    <row r="97" spans="1:26" ht="15" customHeight="1">
      <c r="A97" s="4" t="s">
        <v>144</v>
      </c>
    </row>
    <row r="98" spans="1:26" ht="15" customHeight="1">
      <c r="B98" s="215" t="s">
        <v>229</v>
      </c>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216"/>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8DE83848-4DC3-4B4C-BA4A-B89A7FDA26C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DA33E584-0F8D-4F28-84BB-F4870B1DE62D}">
      <formula1>"学部・学科によって、修了要件は相違する,学部・学科によって、修了要件は相違しない"</formula1>
    </dataValidation>
    <dataValidation type="list" allowBlank="1" showInputMessage="1" showErrorMessage="1" sqref="Z23 Z34 D34:K34 D23:K23 V16:V22 I49:I55 V27:V33 I16:I22 V38:V44 I27:I33 V49:V55 I38:I44 U60:U66 H60:H66" xr:uid="{E06EF2D8-A55A-4AA2-BACC-E05D461B44B8}">
      <formula1>"全学開講,一部開講"</formula1>
    </dataValidation>
    <dataValidation type="list" allowBlank="1" showInputMessage="1" showErrorMessage="1" sqref="Y16:Z22 H16:H22 Y27:Z33 H27:H33 H38:H44 Y38:Z44 H49:H55 Y49:Z55 Y60:Z66 G60:G66 T60:T66 U16:U22 L16:M22 U27:U33 L27:M33 U38:U44 L38:M44 U49:U55 L49:M55 K60:M61 L62:M66" xr:uid="{CFD038EA-8DD4-480C-B245-B69E4F9BF210}">
      <formula1>"○"</formula1>
    </dataValidation>
  </dataValidations>
  <hyperlinks>
    <hyperlink ref="B98" r:id="rId1" xr:uid="{C3470DD0-9199-4D78-839A-69790933104E}"/>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065CF-D0A7-4603-8491-A15A07087F79}">
  <dimension ref="A1:Z98"/>
  <sheetViews>
    <sheetView showZeros="0" view="pageBreakPreview" topLeftCell="A91" zoomScaleNormal="100" zoomScaleSheetLayoutView="100" workbookViewId="0">
      <selection activeCell="B98" sqref="B98:Z98"/>
    </sheetView>
  </sheetViews>
  <sheetFormatPr defaultColWidth="9" defaultRowHeight="18.75" customHeight="1"/>
  <cols>
    <col min="1" max="1" width="2.44140625" style="4" customWidth="1"/>
    <col min="2" max="2" width="27.77734375" style="4" customWidth="1"/>
    <col min="3" max="13" width="3.33203125" style="4" customWidth="1"/>
    <col min="14" max="14" width="8.88671875" style="4" customWidth="1"/>
    <col min="15" max="15" width="18.88671875" style="4" customWidth="1"/>
    <col min="16" max="19" width="3.33203125" style="4" customWidth="1"/>
    <col min="20" max="20" width="3.44140625" style="4" customWidth="1"/>
    <col min="21" max="26" width="3.33203125" style="4" customWidth="1"/>
    <col min="27" max="16384" width="9" style="4"/>
  </cols>
  <sheetData>
    <row r="1" spans="1:26" ht="15" customHeight="1">
      <c r="W1" s="217" t="s">
        <v>200</v>
      </c>
      <c r="X1" s="217"/>
      <c r="Y1" s="217"/>
      <c r="Z1" s="217"/>
    </row>
    <row r="2" spans="1:26" ht="18" customHeight="1">
      <c r="A2" s="179" t="s">
        <v>67</v>
      </c>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spans="1:26" ht="15" customHeight="1">
      <c r="B3" s="72"/>
      <c r="C3" s="72"/>
      <c r="D3" s="72"/>
      <c r="E3" s="72"/>
      <c r="F3" s="72"/>
      <c r="G3" s="72"/>
      <c r="H3" s="72"/>
      <c r="I3" s="72"/>
      <c r="J3" s="72"/>
      <c r="K3" s="72"/>
      <c r="L3" s="72"/>
      <c r="M3" s="72"/>
      <c r="N3" s="72"/>
      <c r="O3" s="72"/>
      <c r="P3" s="72"/>
      <c r="Q3" s="72"/>
      <c r="R3" s="72"/>
      <c r="S3" s="72"/>
      <c r="T3" s="72"/>
      <c r="U3" s="72"/>
      <c r="V3" s="72"/>
      <c r="W3" s="72"/>
      <c r="X3" s="72"/>
      <c r="Y3" s="72"/>
      <c r="Z3" s="72"/>
    </row>
    <row r="4" spans="1:26" ht="18" customHeight="1">
      <c r="A4" s="4" t="s">
        <v>99</v>
      </c>
      <c r="B4" s="72"/>
      <c r="C4" s="72"/>
      <c r="D4" s="72"/>
      <c r="E4" s="72"/>
      <c r="F4" s="72"/>
      <c r="G4" s="72"/>
      <c r="H4" s="5" t="s">
        <v>112</v>
      </c>
      <c r="I4" s="72"/>
      <c r="J4" s="72"/>
      <c r="K4" s="72"/>
      <c r="L4" s="72"/>
      <c r="M4" s="72"/>
      <c r="N4" s="72"/>
      <c r="O4" s="128" t="s">
        <v>148</v>
      </c>
      <c r="P4" s="129"/>
      <c r="Q4" s="129"/>
      <c r="R4" s="129"/>
      <c r="S4" s="129"/>
      <c r="T4" s="129"/>
      <c r="U4" s="129"/>
      <c r="V4" s="129"/>
      <c r="W4" s="129"/>
      <c r="X4" s="129"/>
      <c r="Y4" s="129"/>
      <c r="Z4" s="130"/>
    </row>
    <row r="5" spans="1:26" ht="6" customHeight="1">
      <c r="B5" s="72"/>
      <c r="C5" s="72"/>
      <c r="D5" s="72"/>
      <c r="E5" s="72"/>
      <c r="F5" s="72"/>
      <c r="G5" s="72"/>
      <c r="H5" s="72"/>
      <c r="I5" s="72"/>
      <c r="J5" s="72"/>
      <c r="K5" s="72"/>
      <c r="L5" s="72"/>
      <c r="M5" s="72"/>
      <c r="N5" s="72"/>
      <c r="O5" s="6"/>
      <c r="P5" s="72"/>
      <c r="Q5" s="72"/>
      <c r="R5" s="72"/>
      <c r="S5" s="72"/>
      <c r="T5" s="72"/>
      <c r="U5" s="72"/>
      <c r="V5" s="72"/>
      <c r="W5" s="72"/>
      <c r="X5" s="72"/>
      <c r="Y5" s="72"/>
      <c r="Z5" s="72"/>
    </row>
    <row r="6" spans="1:26" ht="18" customHeight="1">
      <c r="B6" s="180" t="s">
        <v>223</v>
      </c>
      <c r="C6" s="181"/>
      <c r="D6" s="181"/>
      <c r="E6" s="181"/>
      <c r="F6" s="181"/>
      <c r="G6" s="181"/>
      <c r="H6" s="181"/>
      <c r="I6" s="181"/>
      <c r="J6" s="181"/>
      <c r="K6" s="181"/>
      <c r="L6" s="181"/>
      <c r="M6" s="181"/>
      <c r="N6" s="181"/>
      <c r="O6" s="181"/>
      <c r="P6" s="181"/>
      <c r="Q6" s="181"/>
      <c r="R6" s="181"/>
      <c r="S6" s="181"/>
      <c r="T6" s="181"/>
      <c r="U6" s="181"/>
      <c r="V6" s="181"/>
      <c r="W6" s="181"/>
      <c r="X6" s="181"/>
      <c r="Y6" s="181"/>
      <c r="Z6" s="182"/>
    </row>
    <row r="7" spans="1:26" ht="18" customHeight="1">
      <c r="B7" s="183"/>
      <c r="C7" s="184"/>
      <c r="D7" s="184"/>
      <c r="E7" s="184"/>
      <c r="F7" s="184"/>
      <c r="G7" s="184"/>
      <c r="H7" s="184"/>
      <c r="I7" s="184"/>
      <c r="J7" s="184"/>
      <c r="K7" s="184"/>
      <c r="L7" s="184"/>
      <c r="M7" s="184"/>
      <c r="N7" s="184"/>
      <c r="O7" s="184"/>
      <c r="P7" s="184"/>
      <c r="Q7" s="184"/>
      <c r="R7" s="184"/>
      <c r="S7" s="184"/>
      <c r="T7" s="184"/>
      <c r="U7" s="184"/>
      <c r="V7" s="184"/>
      <c r="W7" s="184"/>
      <c r="X7" s="184"/>
      <c r="Y7" s="184"/>
      <c r="Z7" s="185"/>
    </row>
    <row r="8" spans="1:26" ht="18" customHeight="1">
      <c r="B8" s="183"/>
      <c r="C8" s="184"/>
      <c r="D8" s="184"/>
      <c r="E8" s="184"/>
      <c r="F8" s="184"/>
      <c r="G8" s="184"/>
      <c r="H8" s="184"/>
      <c r="I8" s="184"/>
      <c r="J8" s="184"/>
      <c r="K8" s="184"/>
      <c r="L8" s="184"/>
      <c r="M8" s="184"/>
      <c r="N8" s="184"/>
      <c r="O8" s="184"/>
      <c r="P8" s="184"/>
      <c r="Q8" s="184"/>
      <c r="R8" s="184"/>
      <c r="S8" s="184"/>
      <c r="T8" s="184"/>
      <c r="U8" s="184"/>
      <c r="V8" s="184"/>
      <c r="W8" s="184"/>
      <c r="X8" s="184"/>
      <c r="Y8" s="184"/>
      <c r="Z8" s="185"/>
    </row>
    <row r="9" spans="1:26" ht="18" customHeight="1">
      <c r="B9" s="183"/>
      <c r="C9" s="184"/>
      <c r="D9" s="184"/>
      <c r="E9" s="184"/>
      <c r="F9" s="184"/>
      <c r="G9" s="184"/>
      <c r="H9" s="184"/>
      <c r="I9" s="184"/>
      <c r="J9" s="184"/>
      <c r="K9" s="184"/>
      <c r="L9" s="184"/>
      <c r="M9" s="184"/>
      <c r="N9" s="184"/>
      <c r="O9" s="184"/>
      <c r="P9" s="184"/>
      <c r="Q9" s="184"/>
      <c r="R9" s="184"/>
      <c r="S9" s="184"/>
      <c r="T9" s="184"/>
      <c r="U9" s="184"/>
      <c r="V9" s="184"/>
      <c r="W9" s="184"/>
      <c r="X9" s="184"/>
      <c r="Y9" s="184"/>
      <c r="Z9" s="185"/>
    </row>
    <row r="10" spans="1:26" ht="18" customHeight="1">
      <c r="B10" s="183"/>
      <c r="C10" s="186"/>
      <c r="D10" s="186"/>
      <c r="E10" s="186"/>
      <c r="F10" s="186"/>
      <c r="G10" s="186"/>
      <c r="H10" s="186"/>
      <c r="I10" s="186"/>
      <c r="J10" s="186"/>
      <c r="K10" s="186"/>
      <c r="L10" s="186"/>
      <c r="M10" s="186"/>
      <c r="N10" s="186"/>
      <c r="O10" s="186"/>
      <c r="P10" s="186"/>
      <c r="Q10" s="186"/>
      <c r="R10" s="186"/>
      <c r="S10" s="186"/>
      <c r="T10" s="186"/>
      <c r="U10" s="186"/>
      <c r="V10" s="186"/>
      <c r="W10" s="186"/>
      <c r="X10" s="186"/>
      <c r="Y10" s="186"/>
      <c r="Z10" s="185"/>
    </row>
    <row r="11" spans="1:26" ht="18" customHeight="1">
      <c r="B11" s="187"/>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9"/>
    </row>
    <row r="12" spans="1:26" ht="7.5" customHeight="1">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8" customHeight="1">
      <c r="A13" s="175" t="s">
        <v>125</v>
      </c>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row>
    <row r="14" spans="1:26" ht="18" customHeight="1">
      <c r="A14" s="175"/>
      <c r="B14" s="175"/>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row>
    <row r="15" spans="1:26" ht="18" customHeight="1">
      <c r="B15" s="128" t="s">
        <v>100</v>
      </c>
      <c r="C15" s="129"/>
      <c r="D15" s="129"/>
      <c r="E15" s="129"/>
      <c r="F15" s="130"/>
      <c r="G15" s="17" t="s">
        <v>141</v>
      </c>
      <c r="H15" s="42" t="s">
        <v>140</v>
      </c>
      <c r="I15" s="129" t="s">
        <v>101</v>
      </c>
      <c r="J15" s="129"/>
      <c r="K15" s="129"/>
      <c r="L15" s="20" t="s">
        <v>104</v>
      </c>
      <c r="M15" s="20" t="s">
        <v>107</v>
      </c>
      <c r="N15" s="128" t="s">
        <v>100</v>
      </c>
      <c r="O15" s="129"/>
      <c r="P15" s="129"/>
      <c r="Q15" s="129"/>
      <c r="R15" s="129"/>
      <c r="S15" s="130"/>
      <c r="T15" s="17" t="s">
        <v>141</v>
      </c>
      <c r="U15" s="42" t="s">
        <v>140</v>
      </c>
      <c r="V15" s="129" t="s">
        <v>101</v>
      </c>
      <c r="W15" s="129"/>
      <c r="X15" s="129"/>
      <c r="Y15" s="20" t="s">
        <v>104</v>
      </c>
      <c r="Z15" s="20" t="s">
        <v>107</v>
      </c>
    </row>
    <row r="16" spans="1:26" ht="18" customHeight="1">
      <c r="B16" s="168" t="s">
        <v>164</v>
      </c>
      <c r="C16" s="169"/>
      <c r="D16" s="169"/>
      <c r="E16" s="169"/>
      <c r="F16" s="170"/>
      <c r="G16" s="43">
        <v>2</v>
      </c>
      <c r="H16" s="43"/>
      <c r="I16" s="162" t="s">
        <v>153</v>
      </c>
      <c r="J16" s="163"/>
      <c r="K16" s="164"/>
      <c r="L16" s="48" t="s">
        <v>152</v>
      </c>
      <c r="M16" s="48" t="s">
        <v>152</v>
      </c>
      <c r="N16" s="135"/>
      <c r="O16" s="136"/>
      <c r="P16" s="136"/>
      <c r="Q16" s="136"/>
      <c r="R16" s="136"/>
      <c r="S16" s="137"/>
      <c r="T16" s="43"/>
      <c r="U16" s="43"/>
      <c r="V16" s="162"/>
      <c r="W16" s="163"/>
      <c r="X16" s="164"/>
      <c r="Y16" s="43"/>
      <c r="Z16" s="43"/>
    </row>
    <row r="17" spans="1:26" ht="18" customHeight="1">
      <c r="B17" s="171" t="s">
        <v>154</v>
      </c>
      <c r="C17" s="159"/>
      <c r="D17" s="159"/>
      <c r="E17" s="159"/>
      <c r="F17" s="160"/>
      <c r="G17" s="44">
        <v>2</v>
      </c>
      <c r="H17" s="44"/>
      <c r="I17" s="165" t="s">
        <v>153</v>
      </c>
      <c r="J17" s="166"/>
      <c r="K17" s="167"/>
      <c r="L17" s="44" t="s">
        <v>152</v>
      </c>
      <c r="M17" s="44" t="s">
        <v>152</v>
      </c>
      <c r="N17" s="144"/>
      <c r="O17" s="142"/>
      <c r="P17" s="142"/>
      <c r="Q17" s="142"/>
      <c r="R17" s="142"/>
      <c r="S17" s="143"/>
      <c r="T17" s="44"/>
      <c r="U17" s="44"/>
      <c r="V17" s="165"/>
      <c r="W17" s="166"/>
      <c r="X17" s="167"/>
      <c r="Y17" s="44"/>
      <c r="Z17" s="44"/>
    </row>
    <row r="18" spans="1:26" ht="18" customHeight="1">
      <c r="B18" s="171"/>
      <c r="C18" s="159"/>
      <c r="D18" s="159"/>
      <c r="E18" s="159"/>
      <c r="F18" s="160"/>
      <c r="G18" s="44"/>
      <c r="H18" s="44"/>
      <c r="I18" s="165"/>
      <c r="J18" s="166"/>
      <c r="K18" s="167"/>
      <c r="L18" s="44"/>
      <c r="M18" s="44"/>
      <c r="N18" s="144"/>
      <c r="O18" s="142"/>
      <c r="P18" s="142"/>
      <c r="Q18" s="142"/>
      <c r="R18" s="142"/>
      <c r="S18" s="143"/>
      <c r="T18" s="44"/>
      <c r="U18" s="44"/>
      <c r="V18" s="165"/>
      <c r="W18" s="166"/>
      <c r="X18" s="167"/>
      <c r="Y18" s="44"/>
      <c r="Z18" s="44"/>
    </row>
    <row r="19" spans="1:26" ht="18" customHeight="1">
      <c r="B19" s="171"/>
      <c r="C19" s="159"/>
      <c r="D19" s="159"/>
      <c r="E19" s="159"/>
      <c r="F19" s="160"/>
      <c r="G19" s="44"/>
      <c r="H19" s="44"/>
      <c r="I19" s="165"/>
      <c r="J19" s="166"/>
      <c r="K19" s="167"/>
      <c r="L19" s="44"/>
      <c r="M19" s="44"/>
      <c r="N19" s="144"/>
      <c r="O19" s="142"/>
      <c r="P19" s="142"/>
      <c r="Q19" s="142"/>
      <c r="R19" s="142"/>
      <c r="S19" s="143"/>
      <c r="T19" s="44"/>
      <c r="U19" s="44"/>
      <c r="V19" s="165"/>
      <c r="W19" s="166"/>
      <c r="X19" s="167"/>
      <c r="Y19" s="44"/>
      <c r="Z19" s="44"/>
    </row>
    <row r="20" spans="1:26" ht="18" customHeight="1">
      <c r="B20" s="171"/>
      <c r="C20" s="159"/>
      <c r="D20" s="159"/>
      <c r="E20" s="159"/>
      <c r="F20" s="160"/>
      <c r="G20" s="44"/>
      <c r="H20" s="44"/>
      <c r="I20" s="165"/>
      <c r="J20" s="166"/>
      <c r="K20" s="167"/>
      <c r="L20" s="44"/>
      <c r="M20" s="44"/>
      <c r="N20" s="144"/>
      <c r="O20" s="142"/>
      <c r="P20" s="142"/>
      <c r="Q20" s="142"/>
      <c r="R20" s="142"/>
      <c r="S20" s="143"/>
      <c r="T20" s="44"/>
      <c r="U20" s="44"/>
      <c r="V20" s="165"/>
      <c r="W20" s="166"/>
      <c r="X20" s="167"/>
      <c r="Y20" s="44"/>
      <c r="Z20" s="44"/>
    </row>
    <row r="21" spans="1:26" ht="18" customHeight="1">
      <c r="A21" s="72"/>
      <c r="B21" s="171"/>
      <c r="C21" s="159"/>
      <c r="D21" s="159"/>
      <c r="E21" s="159"/>
      <c r="F21" s="160"/>
      <c r="G21" s="44"/>
      <c r="H21" s="44"/>
      <c r="I21" s="165"/>
      <c r="J21" s="166"/>
      <c r="K21" s="167"/>
      <c r="L21" s="44"/>
      <c r="M21" s="44"/>
      <c r="N21" s="144"/>
      <c r="O21" s="142"/>
      <c r="P21" s="142"/>
      <c r="Q21" s="142"/>
      <c r="R21" s="142"/>
      <c r="S21" s="143"/>
      <c r="T21" s="44"/>
      <c r="U21" s="44"/>
      <c r="V21" s="165"/>
      <c r="W21" s="166"/>
      <c r="X21" s="167"/>
      <c r="Y21" s="44"/>
      <c r="Z21" s="44"/>
    </row>
    <row r="22" spans="1:26" ht="18" customHeight="1">
      <c r="A22" s="72"/>
      <c r="B22" s="176"/>
      <c r="C22" s="177"/>
      <c r="D22" s="177"/>
      <c r="E22" s="177"/>
      <c r="F22" s="178"/>
      <c r="G22" s="45"/>
      <c r="H22" s="45"/>
      <c r="I22" s="172"/>
      <c r="J22" s="173"/>
      <c r="K22" s="174"/>
      <c r="L22" s="47"/>
      <c r="M22" s="47"/>
      <c r="N22" s="198"/>
      <c r="O22" s="199"/>
      <c r="P22" s="199"/>
      <c r="Q22" s="199"/>
      <c r="R22" s="199"/>
      <c r="S22" s="200"/>
      <c r="T22" s="45"/>
      <c r="U22" s="45"/>
      <c r="V22" s="172"/>
      <c r="W22" s="173"/>
      <c r="X22" s="174"/>
      <c r="Y22" s="47"/>
      <c r="Z22" s="47"/>
    </row>
    <row r="23" spans="1:26" ht="7.5" customHeight="1">
      <c r="A23" s="72"/>
      <c r="B23" s="21"/>
      <c r="C23" s="21"/>
      <c r="D23" s="72"/>
      <c r="E23" s="72"/>
      <c r="F23" s="72"/>
      <c r="G23" s="72"/>
      <c r="H23" s="72"/>
      <c r="I23" s="72"/>
      <c r="J23" s="72"/>
      <c r="K23" s="72"/>
      <c r="L23" s="21"/>
      <c r="M23" s="21"/>
      <c r="N23" s="21"/>
      <c r="O23" s="21"/>
      <c r="P23" s="21"/>
      <c r="Q23" s="21"/>
      <c r="R23" s="21"/>
      <c r="S23" s="21"/>
      <c r="T23" s="21"/>
      <c r="U23" s="21"/>
      <c r="V23" s="21"/>
      <c r="W23" s="21"/>
      <c r="X23" s="21"/>
      <c r="Y23" s="21"/>
      <c r="Z23" s="72"/>
    </row>
    <row r="24" spans="1:26" ht="18" customHeight="1">
      <c r="A24" s="175" t="s">
        <v>126</v>
      </c>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row>
    <row r="25" spans="1:26" ht="18" customHeight="1">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row>
    <row r="26" spans="1:26" ht="18" customHeight="1">
      <c r="B26" s="128" t="s">
        <v>100</v>
      </c>
      <c r="C26" s="129"/>
      <c r="D26" s="129"/>
      <c r="E26" s="129"/>
      <c r="F26" s="130"/>
      <c r="G26" s="17" t="s">
        <v>141</v>
      </c>
      <c r="H26" s="42" t="s">
        <v>140</v>
      </c>
      <c r="I26" s="129" t="s">
        <v>101</v>
      </c>
      <c r="J26" s="129"/>
      <c r="K26" s="129"/>
      <c r="L26" s="20" t="s">
        <v>127</v>
      </c>
      <c r="M26" s="20" t="s">
        <v>128</v>
      </c>
      <c r="N26" s="128" t="s">
        <v>100</v>
      </c>
      <c r="O26" s="129"/>
      <c r="P26" s="129"/>
      <c r="Q26" s="129"/>
      <c r="R26" s="129"/>
      <c r="S26" s="130"/>
      <c r="T26" s="17" t="s">
        <v>141</v>
      </c>
      <c r="U26" s="42" t="s">
        <v>140</v>
      </c>
      <c r="V26" s="129" t="s">
        <v>101</v>
      </c>
      <c r="W26" s="129"/>
      <c r="X26" s="129"/>
      <c r="Y26" s="20" t="s">
        <v>127</v>
      </c>
      <c r="Z26" s="20" t="s">
        <v>128</v>
      </c>
    </row>
    <row r="27" spans="1:26" ht="18" customHeight="1">
      <c r="B27" s="168" t="s">
        <v>164</v>
      </c>
      <c r="C27" s="169"/>
      <c r="D27" s="169"/>
      <c r="E27" s="169"/>
      <c r="F27" s="170"/>
      <c r="G27" s="43">
        <v>2</v>
      </c>
      <c r="H27" s="43"/>
      <c r="I27" s="162" t="s">
        <v>153</v>
      </c>
      <c r="J27" s="163"/>
      <c r="K27" s="164"/>
      <c r="L27" s="48" t="s">
        <v>152</v>
      </c>
      <c r="M27" s="48" t="s">
        <v>152</v>
      </c>
      <c r="N27" s="135"/>
      <c r="O27" s="136"/>
      <c r="P27" s="136"/>
      <c r="Q27" s="136"/>
      <c r="R27" s="136"/>
      <c r="S27" s="137"/>
      <c r="T27" s="43"/>
      <c r="U27" s="43"/>
      <c r="V27" s="162"/>
      <c r="W27" s="163"/>
      <c r="X27" s="164"/>
      <c r="Y27" s="43"/>
      <c r="Z27" s="43"/>
    </row>
    <row r="28" spans="1:26" ht="18" customHeight="1">
      <c r="B28" s="171" t="s">
        <v>154</v>
      </c>
      <c r="C28" s="159"/>
      <c r="D28" s="159"/>
      <c r="E28" s="159"/>
      <c r="F28" s="160"/>
      <c r="G28" s="44">
        <v>2</v>
      </c>
      <c r="H28" s="44"/>
      <c r="I28" s="165" t="s">
        <v>153</v>
      </c>
      <c r="J28" s="166"/>
      <c r="K28" s="167"/>
      <c r="L28" s="44" t="s">
        <v>152</v>
      </c>
      <c r="M28" s="44" t="s">
        <v>152</v>
      </c>
      <c r="N28" s="144"/>
      <c r="O28" s="142"/>
      <c r="P28" s="142"/>
      <c r="Q28" s="142"/>
      <c r="R28" s="142"/>
      <c r="S28" s="143"/>
      <c r="T28" s="44"/>
      <c r="U28" s="44"/>
      <c r="V28" s="165"/>
      <c r="W28" s="166"/>
      <c r="X28" s="167"/>
      <c r="Y28" s="44"/>
      <c r="Z28" s="44"/>
    </row>
    <row r="29" spans="1:26" ht="18" customHeight="1">
      <c r="B29" s="171"/>
      <c r="C29" s="159"/>
      <c r="D29" s="159"/>
      <c r="E29" s="159"/>
      <c r="F29" s="160"/>
      <c r="G29" s="44"/>
      <c r="H29" s="44"/>
      <c r="I29" s="165"/>
      <c r="J29" s="166"/>
      <c r="K29" s="167"/>
      <c r="L29" s="44"/>
      <c r="M29" s="44"/>
      <c r="N29" s="144"/>
      <c r="O29" s="142"/>
      <c r="P29" s="142"/>
      <c r="Q29" s="142"/>
      <c r="R29" s="142"/>
      <c r="S29" s="143"/>
      <c r="T29" s="44"/>
      <c r="U29" s="44"/>
      <c r="V29" s="165"/>
      <c r="W29" s="166"/>
      <c r="X29" s="167"/>
      <c r="Y29" s="44"/>
      <c r="Z29" s="44"/>
    </row>
    <row r="30" spans="1:26" ht="18" customHeight="1">
      <c r="B30" s="171"/>
      <c r="C30" s="159"/>
      <c r="D30" s="159"/>
      <c r="E30" s="159"/>
      <c r="F30" s="160"/>
      <c r="G30" s="44"/>
      <c r="H30" s="44"/>
      <c r="I30" s="165"/>
      <c r="J30" s="166"/>
      <c r="K30" s="167"/>
      <c r="L30" s="44"/>
      <c r="M30" s="44"/>
      <c r="N30" s="144"/>
      <c r="O30" s="142"/>
      <c r="P30" s="142"/>
      <c r="Q30" s="142"/>
      <c r="R30" s="142"/>
      <c r="S30" s="143"/>
      <c r="T30" s="44"/>
      <c r="U30" s="44"/>
      <c r="V30" s="165"/>
      <c r="W30" s="166"/>
      <c r="X30" s="167"/>
      <c r="Y30" s="44"/>
      <c r="Z30" s="44"/>
    </row>
    <row r="31" spans="1:26" ht="18" customHeight="1">
      <c r="B31" s="171"/>
      <c r="C31" s="159"/>
      <c r="D31" s="159"/>
      <c r="E31" s="159"/>
      <c r="F31" s="160"/>
      <c r="G31" s="44"/>
      <c r="H31" s="44"/>
      <c r="I31" s="165"/>
      <c r="J31" s="166"/>
      <c r="K31" s="167"/>
      <c r="L31" s="44"/>
      <c r="M31" s="44"/>
      <c r="N31" s="144"/>
      <c r="O31" s="142"/>
      <c r="P31" s="142"/>
      <c r="Q31" s="142"/>
      <c r="R31" s="142"/>
      <c r="S31" s="143"/>
      <c r="T31" s="44"/>
      <c r="U31" s="44"/>
      <c r="V31" s="165"/>
      <c r="W31" s="166"/>
      <c r="X31" s="167"/>
      <c r="Y31" s="44"/>
      <c r="Z31" s="44"/>
    </row>
    <row r="32" spans="1:26" ht="18" customHeight="1">
      <c r="B32" s="171"/>
      <c r="C32" s="159"/>
      <c r="D32" s="159"/>
      <c r="E32" s="159"/>
      <c r="F32" s="160"/>
      <c r="G32" s="44"/>
      <c r="H32" s="44"/>
      <c r="I32" s="165"/>
      <c r="J32" s="166"/>
      <c r="K32" s="167"/>
      <c r="L32" s="44"/>
      <c r="M32" s="44"/>
      <c r="N32" s="144"/>
      <c r="O32" s="142"/>
      <c r="P32" s="142"/>
      <c r="Q32" s="142"/>
      <c r="R32" s="142"/>
      <c r="S32" s="143"/>
      <c r="T32" s="44"/>
      <c r="U32" s="44"/>
      <c r="V32" s="165"/>
      <c r="W32" s="166"/>
      <c r="X32" s="167"/>
      <c r="Y32" s="44"/>
      <c r="Z32" s="44"/>
    </row>
    <row r="33" spans="1:26" ht="18" customHeight="1">
      <c r="B33" s="176"/>
      <c r="C33" s="177"/>
      <c r="D33" s="177"/>
      <c r="E33" s="177"/>
      <c r="F33" s="178"/>
      <c r="G33" s="45"/>
      <c r="H33" s="45"/>
      <c r="I33" s="172"/>
      <c r="J33" s="173"/>
      <c r="K33" s="174"/>
      <c r="L33" s="47"/>
      <c r="M33" s="47"/>
      <c r="N33" s="198"/>
      <c r="O33" s="199"/>
      <c r="P33" s="199"/>
      <c r="Q33" s="199"/>
      <c r="R33" s="199"/>
      <c r="S33" s="200"/>
      <c r="T33" s="45"/>
      <c r="U33" s="45"/>
      <c r="V33" s="172"/>
      <c r="W33" s="173"/>
      <c r="X33" s="174"/>
      <c r="Y33" s="47"/>
      <c r="Z33" s="47"/>
    </row>
    <row r="34" spans="1:26" ht="7.5" customHeight="1">
      <c r="A34" s="72"/>
      <c r="B34" s="21"/>
      <c r="C34" s="21"/>
      <c r="D34" s="72"/>
      <c r="E34" s="72"/>
      <c r="F34" s="72"/>
      <c r="G34" s="72"/>
      <c r="H34" s="72"/>
      <c r="I34" s="72"/>
      <c r="J34" s="72"/>
      <c r="K34" s="72"/>
      <c r="L34" s="21"/>
      <c r="M34" s="21"/>
      <c r="N34" s="21"/>
      <c r="O34" s="21"/>
      <c r="P34" s="21"/>
      <c r="Q34" s="21"/>
      <c r="R34" s="21"/>
      <c r="S34" s="21"/>
      <c r="T34" s="21"/>
      <c r="U34" s="21"/>
      <c r="V34" s="21"/>
      <c r="W34" s="21"/>
      <c r="X34" s="21"/>
      <c r="Y34" s="21"/>
      <c r="Z34" s="72"/>
    </row>
    <row r="35" spans="1:26" ht="18" customHeight="1">
      <c r="A35" s="175" t="s">
        <v>129</v>
      </c>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row>
    <row r="36" spans="1:26" ht="18" customHeight="1">
      <c r="A36" s="175"/>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row>
    <row r="37" spans="1:26" ht="18" customHeight="1">
      <c r="B37" s="128" t="s">
        <v>100</v>
      </c>
      <c r="C37" s="129"/>
      <c r="D37" s="129"/>
      <c r="E37" s="129"/>
      <c r="F37" s="130"/>
      <c r="G37" s="17" t="s">
        <v>141</v>
      </c>
      <c r="H37" s="42" t="s">
        <v>140</v>
      </c>
      <c r="I37" s="128" t="s">
        <v>101</v>
      </c>
      <c r="J37" s="129"/>
      <c r="K37" s="130"/>
      <c r="L37" s="20" t="s">
        <v>130</v>
      </c>
      <c r="M37" s="20" t="s">
        <v>131</v>
      </c>
      <c r="N37" s="128" t="s">
        <v>100</v>
      </c>
      <c r="O37" s="129"/>
      <c r="P37" s="129"/>
      <c r="Q37" s="129"/>
      <c r="R37" s="129"/>
      <c r="S37" s="130"/>
      <c r="T37" s="17" t="s">
        <v>141</v>
      </c>
      <c r="U37" s="42" t="s">
        <v>140</v>
      </c>
      <c r="V37" s="128" t="s">
        <v>101</v>
      </c>
      <c r="W37" s="129"/>
      <c r="X37" s="130"/>
      <c r="Y37" s="20" t="s">
        <v>130</v>
      </c>
      <c r="Z37" s="20" t="s">
        <v>131</v>
      </c>
    </row>
    <row r="38" spans="1:26" ht="18" customHeight="1">
      <c r="A38" s="72"/>
      <c r="B38" s="168" t="s">
        <v>164</v>
      </c>
      <c r="C38" s="169"/>
      <c r="D38" s="169"/>
      <c r="E38" s="169"/>
      <c r="F38" s="170"/>
      <c r="G38" s="43">
        <v>2</v>
      </c>
      <c r="H38" s="43"/>
      <c r="I38" s="162" t="s">
        <v>153</v>
      </c>
      <c r="J38" s="163"/>
      <c r="K38" s="164"/>
      <c r="L38" s="48" t="s">
        <v>152</v>
      </c>
      <c r="M38" s="48" t="s">
        <v>152</v>
      </c>
      <c r="N38" s="135"/>
      <c r="O38" s="136"/>
      <c r="P38" s="136"/>
      <c r="Q38" s="136"/>
      <c r="R38" s="136"/>
      <c r="S38" s="137"/>
      <c r="T38" s="43"/>
      <c r="U38" s="43"/>
      <c r="V38" s="162"/>
      <c r="W38" s="163"/>
      <c r="X38" s="164"/>
      <c r="Y38" s="43"/>
      <c r="Z38" s="43"/>
    </row>
    <row r="39" spans="1:26" ht="18" customHeight="1">
      <c r="A39" s="72"/>
      <c r="B39" s="171" t="s">
        <v>154</v>
      </c>
      <c r="C39" s="159"/>
      <c r="D39" s="159"/>
      <c r="E39" s="159"/>
      <c r="F39" s="160"/>
      <c r="G39" s="44">
        <v>2</v>
      </c>
      <c r="H39" s="44"/>
      <c r="I39" s="165" t="s">
        <v>153</v>
      </c>
      <c r="J39" s="166"/>
      <c r="K39" s="167"/>
      <c r="L39" s="44" t="s">
        <v>152</v>
      </c>
      <c r="M39" s="44" t="s">
        <v>152</v>
      </c>
      <c r="N39" s="144"/>
      <c r="O39" s="142"/>
      <c r="P39" s="142"/>
      <c r="Q39" s="142"/>
      <c r="R39" s="142"/>
      <c r="S39" s="143"/>
      <c r="T39" s="44"/>
      <c r="U39" s="44"/>
      <c r="V39" s="165"/>
      <c r="W39" s="166"/>
      <c r="X39" s="167"/>
      <c r="Y39" s="44"/>
      <c r="Z39" s="44"/>
    </row>
    <row r="40" spans="1:26" ht="18" customHeight="1">
      <c r="A40" s="72"/>
      <c r="B40" s="171"/>
      <c r="C40" s="159"/>
      <c r="D40" s="159"/>
      <c r="E40" s="159"/>
      <c r="F40" s="160"/>
      <c r="G40" s="44"/>
      <c r="H40" s="44"/>
      <c r="I40" s="165"/>
      <c r="J40" s="166"/>
      <c r="K40" s="167"/>
      <c r="L40" s="44"/>
      <c r="M40" s="44"/>
      <c r="N40" s="144"/>
      <c r="O40" s="142"/>
      <c r="P40" s="142"/>
      <c r="Q40" s="142"/>
      <c r="R40" s="142"/>
      <c r="S40" s="143"/>
      <c r="T40" s="44"/>
      <c r="U40" s="44"/>
      <c r="V40" s="165"/>
      <c r="W40" s="166"/>
      <c r="X40" s="167"/>
      <c r="Y40" s="44"/>
      <c r="Z40" s="44"/>
    </row>
    <row r="41" spans="1:26" ht="18" customHeight="1">
      <c r="A41" s="72"/>
      <c r="B41" s="171"/>
      <c r="C41" s="159"/>
      <c r="D41" s="159"/>
      <c r="E41" s="159"/>
      <c r="F41" s="160"/>
      <c r="G41" s="44"/>
      <c r="H41" s="44"/>
      <c r="I41" s="165"/>
      <c r="J41" s="166"/>
      <c r="K41" s="167"/>
      <c r="L41" s="44"/>
      <c r="M41" s="44"/>
      <c r="N41" s="144"/>
      <c r="O41" s="142"/>
      <c r="P41" s="142"/>
      <c r="Q41" s="142"/>
      <c r="R41" s="142"/>
      <c r="S41" s="143"/>
      <c r="T41" s="44"/>
      <c r="U41" s="44"/>
      <c r="V41" s="165"/>
      <c r="W41" s="166"/>
      <c r="X41" s="167"/>
      <c r="Y41" s="44"/>
      <c r="Z41" s="44"/>
    </row>
    <row r="42" spans="1:26" ht="18" customHeight="1">
      <c r="A42" s="72"/>
      <c r="B42" s="171"/>
      <c r="C42" s="159"/>
      <c r="D42" s="159"/>
      <c r="E42" s="159"/>
      <c r="F42" s="160"/>
      <c r="G42" s="44"/>
      <c r="H42" s="44"/>
      <c r="I42" s="165"/>
      <c r="J42" s="166"/>
      <c r="K42" s="167"/>
      <c r="L42" s="44"/>
      <c r="M42" s="44"/>
      <c r="N42" s="144"/>
      <c r="O42" s="142"/>
      <c r="P42" s="142"/>
      <c r="Q42" s="142"/>
      <c r="R42" s="142"/>
      <c r="S42" s="143"/>
      <c r="T42" s="44"/>
      <c r="U42" s="44"/>
      <c r="V42" s="165"/>
      <c r="W42" s="166"/>
      <c r="X42" s="167"/>
      <c r="Y42" s="44"/>
      <c r="Z42" s="44"/>
    </row>
    <row r="43" spans="1:26" ht="18" customHeight="1">
      <c r="A43" s="72"/>
      <c r="B43" s="171"/>
      <c r="C43" s="159"/>
      <c r="D43" s="159"/>
      <c r="E43" s="159"/>
      <c r="F43" s="160"/>
      <c r="G43" s="44"/>
      <c r="H43" s="44"/>
      <c r="I43" s="165"/>
      <c r="J43" s="166"/>
      <c r="K43" s="167"/>
      <c r="L43" s="44"/>
      <c r="M43" s="44"/>
      <c r="N43" s="144"/>
      <c r="O43" s="142"/>
      <c r="P43" s="142"/>
      <c r="Q43" s="142"/>
      <c r="R43" s="142"/>
      <c r="S43" s="143"/>
      <c r="T43" s="44"/>
      <c r="U43" s="44"/>
      <c r="V43" s="165"/>
      <c r="W43" s="166"/>
      <c r="X43" s="167"/>
      <c r="Y43" s="44"/>
      <c r="Z43" s="44"/>
    </row>
    <row r="44" spans="1:26" ht="18" customHeight="1">
      <c r="A44" s="72"/>
      <c r="B44" s="176"/>
      <c r="C44" s="177"/>
      <c r="D44" s="177"/>
      <c r="E44" s="177"/>
      <c r="F44" s="178"/>
      <c r="G44" s="45"/>
      <c r="H44" s="45"/>
      <c r="I44" s="172"/>
      <c r="J44" s="173"/>
      <c r="K44" s="174"/>
      <c r="L44" s="47"/>
      <c r="M44" s="47"/>
      <c r="N44" s="198"/>
      <c r="O44" s="199"/>
      <c r="P44" s="199"/>
      <c r="Q44" s="199"/>
      <c r="R44" s="199"/>
      <c r="S44" s="200"/>
      <c r="T44" s="45"/>
      <c r="U44" s="45"/>
      <c r="V44" s="172"/>
      <c r="W44" s="173"/>
      <c r="X44" s="174"/>
      <c r="Y44" s="47"/>
      <c r="Z44" s="47"/>
    </row>
    <row r="45" spans="1:26" ht="7.5" customHeight="1">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6" ht="18" customHeight="1">
      <c r="A46" s="175" t="s">
        <v>132</v>
      </c>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spans="1:26" ht="18"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1:26" ht="18" customHeight="1">
      <c r="B48" s="128" t="s">
        <v>100</v>
      </c>
      <c r="C48" s="129"/>
      <c r="D48" s="129"/>
      <c r="E48" s="129"/>
      <c r="F48" s="130"/>
      <c r="G48" s="17" t="s">
        <v>141</v>
      </c>
      <c r="H48" s="42" t="s">
        <v>140</v>
      </c>
      <c r="I48" s="128" t="s">
        <v>101</v>
      </c>
      <c r="J48" s="129"/>
      <c r="K48" s="130"/>
      <c r="L48" s="20" t="s">
        <v>106</v>
      </c>
      <c r="M48" s="20" t="s">
        <v>108</v>
      </c>
      <c r="N48" s="128" t="s">
        <v>100</v>
      </c>
      <c r="O48" s="129"/>
      <c r="P48" s="129"/>
      <c r="Q48" s="129"/>
      <c r="R48" s="129"/>
      <c r="S48" s="130"/>
      <c r="T48" s="17" t="s">
        <v>141</v>
      </c>
      <c r="U48" s="42" t="s">
        <v>140</v>
      </c>
      <c r="V48" s="128" t="s">
        <v>101</v>
      </c>
      <c r="W48" s="129"/>
      <c r="X48" s="130"/>
      <c r="Y48" s="20" t="s">
        <v>106</v>
      </c>
      <c r="Z48" s="20" t="s">
        <v>108</v>
      </c>
    </row>
    <row r="49" spans="1:26" ht="18" customHeight="1">
      <c r="A49" s="72"/>
      <c r="B49" s="168" t="s">
        <v>164</v>
      </c>
      <c r="C49" s="169"/>
      <c r="D49" s="169"/>
      <c r="E49" s="169"/>
      <c r="F49" s="170"/>
      <c r="G49" s="43">
        <v>2</v>
      </c>
      <c r="H49" s="43"/>
      <c r="I49" s="162" t="s">
        <v>153</v>
      </c>
      <c r="J49" s="163"/>
      <c r="K49" s="164"/>
      <c r="L49" s="48" t="s">
        <v>152</v>
      </c>
      <c r="M49" s="48" t="s">
        <v>152</v>
      </c>
      <c r="N49" s="135"/>
      <c r="O49" s="136"/>
      <c r="P49" s="136"/>
      <c r="Q49" s="136"/>
      <c r="R49" s="136"/>
      <c r="S49" s="137"/>
      <c r="T49" s="43"/>
      <c r="U49" s="43"/>
      <c r="V49" s="162"/>
      <c r="W49" s="163"/>
      <c r="X49" s="164"/>
      <c r="Y49" s="43"/>
      <c r="Z49" s="43"/>
    </row>
    <row r="50" spans="1:26" ht="18" customHeight="1">
      <c r="A50" s="72"/>
      <c r="B50" s="171" t="s">
        <v>154</v>
      </c>
      <c r="C50" s="159"/>
      <c r="D50" s="159"/>
      <c r="E50" s="159"/>
      <c r="F50" s="160"/>
      <c r="G50" s="44">
        <v>2</v>
      </c>
      <c r="H50" s="44"/>
      <c r="I50" s="165" t="s">
        <v>153</v>
      </c>
      <c r="J50" s="166"/>
      <c r="K50" s="167"/>
      <c r="L50" s="44" t="s">
        <v>152</v>
      </c>
      <c r="M50" s="44" t="s">
        <v>152</v>
      </c>
      <c r="N50" s="144"/>
      <c r="O50" s="142"/>
      <c r="P50" s="142"/>
      <c r="Q50" s="142"/>
      <c r="R50" s="142"/>
      <c r="S50" s="143"/>
      <c r="T50" s="44"/>
      <c r="U50" s="44"/>
      <c r="V50" s="165"/>
      <c r="W50" s="166"/>
      <c r="X50" s="167"/>
      <c r="Y50" s="44"/>
      <c r="Z50" s="44"/>
    </row>
    <row r="51" spans="1:26" ht="18" customHeight="1">
      <c r="A51" s="72"/>
      <c r="B51" s="171"/>
      <c r="C51" s="159"/>
      <c r="D51" s="159"/>
      <c r="E51" s="159"/>
      <c r="F51" s="160"/>
      <c r="G51" s="44"/>
      <c r="H51" s="44"/>
      <c r="I51" s="165"/>
      <c r="J51" s="166"/>
      <c r="K51" s="167"/>
      <c r="L51" s="44"/>
      <c r="M51" s="44"/>
      <c r="N51" s="144"/>
      <c r="O51" s="142"/>
      <c r="P51" s="142"/>
      <c r="Q51" s="142"/>
      <c r="R51" s="142"/>
      <c r="S51" s="143"/>
      <c r="T51" s="44"/>
      <c r="U51" s="44"/>
      <c r="V51" s="165"/>
      <c r="W51" s="166"/>
      <c r="X51" s="167"/>
      <c r="Y51" s="44"/>
      <c r="Z51" s="44"/>
    </row>
    <row r="52" spans="1:26" ht="18" customHeight="1">
      <c r="A52" s="72"/>
      <c r="B52" s="171"/>
      <c r="C52" s="159"/>
      <c r="D52" s="159"/>
      <c r="E52" s="159"/>
      <c r="F52" s="160"/>
      <c r="G52" s="44"/>
      <c r="H52" s="44"/>
      <c r="I52" s="165"/>
      <c r="J52" s="166"/>
      <c r="K52" s="167"/>
      <c r="L52" s="44"/>
      <c r="M52" s="44"/>
      <c r="N52" s="144"/>
      <c r="O52" s="142"/>
      <c r="P52" s="142"/>
      <c r="Q52" s="142"/>
      <c r="R52" s="142"/>
      <c r="S52" s="143"/>
      <c r="T52" s="44"/>
      <c r="U52" s="44"/>
      <c r="V52" s="165"/>
      <c r="W52" s="166"/>
      <c r="X52" s="167"/>
      <c r="Y52" s="44"/>
      <c r="Z52" s="44"/>
    </row>
    <row r="53" spans="1:26" ht="18" customHeight="1">
      <c r="A53" s="72"/>
      <c r="B53" s="171"/>
      <c r="C53" s="159"/>
      <c r="D53" s="159"/>
      <c r="E53" s="159"/>
      <c r="F53" s="160"/>
      <c r="G53" s="44"/>
      <c r="H53" s="44"/>
      <c r="I53" s="165"/>
      <c r="J53" s="166"/>
      <c r="K53" s="167"/>
      <c r="L53" s="44"/>
      <c r="M53" s="44"/>
      <c r="N53" s="144"/>
      <c r="O53" s="142"/>
      <c r="P53" s="142"/>
      <c r="Q53" s="142"/>
      <c r="R53" s="142"/>
      <c r="S53" s="143"/>
      <c r="T53" s="44"/>
      <c r="U53" s="44"/>
      <c r="V53" s="165"/>
      <c r="W53" s="166"/>
      <c r="X53" s="167"/>
      <c r="Y53" s="44"/>
      <c r="Z53" s="44"/>
    </row>
    <row r="54" spans="1:26" ht="18" customHeight="1">
      <c r="A54" s="72"/>
      <c r="B54" s="171"/>
      <c r="C54" s="159"/>
      <c r="D54" s="159"/>
      <c r="E54" s="159"/>
      <c r="F54" s="160"/>
      <c r="G54" s="44"/>
      <c r="H54" s="44"/>
      <c r="I54" s="165"/>
      <c r="J54" s="166"/>
      <c r="K54" s="167"/>
      <c r="L54" s="44"/>
      <c r="M54" s="44"/>
      <c r="N54" s="144"/>
      <c r="O54" s="142"/>
      <c r="P54" s="142"/>
      <c r="Q54" s="142"/>
      <c r="R54" s="142"/>
      <c r="S54" s="143"/>
      <c r="T54" s="44"/>
      <c r="U54" s="44"/>
      <c r="V54" s="165"/>
      <c r="W54" s="166"/>
      <c r="X54" s="167"/>
      <c r="Y54" s="44"/>
      <c r="Z54" s="44"/>
    </row>
    <row r="55" spans="1:26" ht="18" customHeight="1">
      <c r="A55" s="72"/>
      <c r="B55" s="176"/>
      <c r="C55" s="177"/>
      <c r="D55" s="177"/>
      <c r="E55" s="177"/>
      <c r="F55" s="178"/>
      <c r="G55" s="45"/>
      <c r="H55" s="45"/>
      <c r="I55" s="172"/>
      <c r="J55" s="173"/>
      <c r="K55" s="174"/>
      <c r="L55" s="47"/>
      <c r="M55" s="47"/>
      <c r="N55" s="198"/>
      <c r="O55" s="199"/>
      <c r="P55" s="199"/>
      <c r="Q55" s="199"/>
      <c r="R55" s="199"/>
      <c r="S55" s="200"/>
      <c r="T55" s="45"/>
      <c r="U55" s="45"/>
      <c r="V55" s="172"/>
      <c r="W55" s="173"/>
      <c r="X55" s="174"/>
      <c r="Y55" s="47"/>
      <c r="Z55" s="47"/>
    </row>
    <row r="56" spans="1:26" ht="7.5" customHeight="1">
      <c r="B56" s="22"/>
      <c r="C56" s="22"/>
      <c r="D56" s="22"/>
      <c r="E56" s="22"/>
      <c r="F56" s="22"/>
      <c r="G56" s="22"/>
      <c r="H56" s="22"/>
      <c r="I56" s="22"/>
      <c r="J56" s="22"/>
      <c r="K56" s="22"/>
      <c r="L56" s="22"/>
      <c r="M56" s="22"/>
      <c r="N56" s="22"/>
      <c r="O56" s="22"/>
      <c r="P56" s="22"/>
      <c r="Q56" s="22"/>
      <c r="R56" s="22"/>
      <c r="S56" s="22"/>
      <c r="T56" s="22"/>
      <c r="U56" s="22"/>
      <c r="V56" s="22"/>
      <c r="W56" s="22"/>
      <c r="X56" s="22"/>
      <c r="Y56" s="22"/>
    </row>
    <row r="57" spans="1:26" ht="18" customHeight="1">
      <c r="A57" s="175" t="s">
        <v>133</v>
      </c>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spans="1:26" ht="18"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spans="1:26" ht="18" customHeight="1">
      <c r="B59" s="128" t="s">
        <v>100</v>
      </c>
      <c r="C59" s="129"/>
      <c r="D59" s="129"/>
      <c r="E59" s="130"/>
      <c r="F59" s="17" t="s">
        <v>141</v>
      </c>
      <c r="G59" s="42" t="s">
        <v>140</v>
      </c>
      <c r="H59" s="37" t="s">
        <v>101</v>
      </c>
      <c r="I59" s="38"/>
      <c r="J59" s="39"/>
      <c r="K59" s="20" t="s">
        <v>105</v>
      </c>
      <c r="L59" s="20" t="s">
        <v>134</v>
      </c>
      <c r="M59" s="20" t="s">
        <v>135</v>
      </c>
      <c r="N59" s="128" t="s">
        <v>100</v>
      </c>
      <c r="O59" s="129"/>
      <c r="P59" s="129"/>
      <c r="Q59" s="129"/>
      <c r="R59" s="130"/>
      <c r="S59" s="17" t="s">
        <v>141</v>
      </c>
      <c r="T59" s="42" t="s">
        <v>140</v>
      </c>
      <c r="U59" s="37" t="s">
        <v>101</v>
      </c>
      <c r="V59" s="38"/>
      <c r="W59" s="39"/>
      <c r="X59" s="20" t="s">
        <v>105</v>
      </c>
      <c r="Y59" s="20" t="s">
        <v>134</v>
      </c>
      <c r="Z59" s="20" t="s">
        <v>135</v>
      </c>
    </row>
    <row r="60" spans="1:26" ht="18" customHeight="1">
      <c r="A60" s="72"/>
      <c r="B60" s="135" t="s">
        <v>165</v>
      </c>
      <c r="C60" s="136"/>
      <c r="D60" s="136"/>
      <c r="E60" s="137"/>
      <c r="F60" s="43">
        <v>2</v>
      </c>
      <c r="G60" s="43"/>
      <c r="H60" s="162" t="s">
        <v>153</v>
      </c>
      <c r="I60" s="163"/>
      <c r="J60" s="164"/>
      <c r="K60" s="48" t="s">
        <v>152</v>
      </c>
      <c r="L60" s="48" t="s">
        <v>152</v>
      </c>
      <c r="M60" s="48" t="s">
        <v>152</v>
      </c>
      <c r="N60" s="135"/>
      <c r="O60" s="136"/>
      <c r="P60" s="136"/>
      <c r="Q60" s="136"/>
      <c r="R60" s="137"/>
      <c r="S60" s="43"/>
      <c r="T60" s="43"/>
      <c r="U60" s="162"/>
      <c r="V60" s="163"/>
      <c r="W60" s="164"/>
      <c r="X60" s="68"/>
      <c r="Y60" s="43"/>
      <c r="Z60" s="43"/>
    </row>
    <row r="61" spans="1:26" ht="18" customHeight="1">
      <c r="A61" s="72"/>
      <c r="B61" s="144" t="s">
        <v>166</v>
      </c>
      <c r="C61" s="142"/>
      <c r="D61" s="142"/>
      <c r="E61" s="143"/>
      <c r="F61" s="44">
        <v>2</v>
      </c>
      <c r="G61" s="44"/>
      <c r="H61" s="165" t="s">
        <v>153</v>
      </c>
      <c r="I61" s="166"/>
      <c r="J61" s="167"/>
      <c r="K61" s="44" t="s">
        <v>152</v>
      </c>
      <c r="L61" s="44" t="s">
        <v>152</v>
      </c>
      <c r="M61" s="44" t="s">
        <v>152</v>
      </c>
      <c r="N61" s="144"/>
      <c r="O61" s="142"/>
      <c r="P61" s="142"/>
      <c r="Q61" s="142"/>
      <c r="R61" s="143"/>
      <c r="S61" s="44"/>
      <c r="T61" s="44"/>
      <c r="U61" s="165"/>
      <c r="V61" s="166"/>
      <c r="W61" s="167"/>
      <c r="X61" s="66"/>
      <c r="Y61" s="44"/>
      <c r="Z61" s="44"/>
    </row>
    <row r="62" spans="1:26" ht="18" customHeight="1">
      <c r="A62" s="72"/>
      <c r="B62" s="144"/>
      <c r="C62" s="142"/>
      <c r="D62" s="142"/>
      <c r="E62" s="143"/>
      <c r="F62" s="44"/>
      <c r="G62" s="44"/>
      <c r="H62" s="165"/>
      <c r="I62" s="166"/>
      <c r="J62" s="167"/>
      <c r="K62" s="66"/>
      <c r="L62" s="44"/>
      <c r="M62" s="44"/>
      <c r="N62" s="144"/>
      <c r="O62" s="142"/>
      <c r="P62" s="142"/>
      <c r="Q62" s="142"/>
      <c r="R62" s="143"/>
      <c r="S62" s="44"/>
      <c r="T62" s="44"/>
      <c r="U62" s="165"/>
      <c r="V62" s="166"/>
      <c r="W62" s="167"/>
      <c r="X62" s="66"/>
      <c r="Y62" s="44"/>
      <c r="Z62" s="44"/>
    </row>
    <row r="63" spans="1:26" ht="18" customHeight="1">
      <c r="A63" s="72"/>
      <c r="B63" s="144"/>
      <c r="C63" s="142"/>
      <c r="D63" s="142"/>
      <c r="E63" s="143"/>
      <c r="F63" s="44"/>
      <c r="G63" s="44"/>
      <c r="H63" s="165"/>
      <c r="I63" s="166"/>
      <c r="J63" s="167"/>
      <c r="K63" s="66"/>
      <c r="L63" s="44"/>
      <c r="M63" s="44"/>
      <c r="N63" s="144"/>
      <c r="O63" s="142"/>
      <c r="P63" s="142"/>
      <c r="Q63" s="142"/>
      <c r="R63" s="143"/>
      <c r="S63" s="44"/>
      <c r="T63" s="44"/>
      <c r="U63" s="165"/>
      <c r="V63" s="166"/>
      <c r="W63" s="167"/>
      <c r="X63" s="66"/>
      <c r="Y63" s="44"/>
      <c r="Z63" s="44"/>
    </row>
    <row r="64" spans="1:26" ht="18" customHeight="1">
      <c r="A64" s="72"/>
      <c r="B64" s="144"/>
      <c r="C64" s="142"/>
      <c r="D64" s="142"/>
      <c r="E64" s="143"/>
      <c r="F64" s="44"/>
      <c r="G64" s="44"/>
      <c r="H64" s="165"/>
      <c r="I64" s="166"/>
      <c r="J64" s="167"/>
      <c r="K64" s="66"/>
      <c r="L64" s="44"/>
      <c r="M64" s="44"/>
      <c r="N64" s="144"/>
      <c r="O64" s="142"/>
      <c r="P64" s="142"/>
      <c r="Q64" s="142"/>
      <c r="R64" s="143"/>
      <c r="S64" s="44"/>
      <c r="T64" s="44"/>
      <c r="U64" s="165"/>
      <c r="V64" s="166"/>
      <c r="W64" s="167"/>
      <c r="X64" s="66"/>
      <c r="Y64" s="44"/>
      <c r="Z64" s="44"/>
    </row>
    <row r="65" spans="1:26" ht="18" customHeight="1">
      <c r="A65" s="72"/>
      <c r="B65" s="144"/>
      <c r="C65" s="142"/>
      <c r="D65" s="142"/>
      <c r="E65" s="143"/>
      <c r="F65" s="44"/>
      <c r="G65" s="44"/>
      <c r="H65" s="165"/>
      <c r="I65" s="166"/>
      <c r="J65" s="167"/>
      <c r="K65" s="66"/>
      <c r="L65" s="44"/>
      <c r="M65" s="44"/>
      <c r="N65" s="144"/>
      <c r="O65" s="142"/>
      <c r="P65" s="142"/>
      <c r="Q65" s="142"/>
      <c r="R65" s="143"/>
      <c r="S65" s="44"/>
      <c r="T65" s="44"/>
      <c r="U65" s="165"/>
      <c r="V65" s="166"/>
      <c r="W65" s="167"/>
      <c r="X65" s="66"/>
      <c r="Y65" s="44"/>
      <c r="Z65" s="44"/>
    </row>
    <row r="66" spans="1:26" ht="18" customHeight="1">
      <c r="A66" s="72"/>
      <c r="B66" s="198"/>
      <c r="C66" s="199"/>
      <c r="D66" s="199"/>
      <c r="E66" s="200"/>
      <c r="F66" s="45"/>
      <c r="G66" s="45"/>
      <c r="H66" s="172"/>
      <c r="I66" s="173"/>
      <c r="J66" s="174"/>
      <c r="K66" s="67"/>
      <c r="L66" s="47"/>
      <c r="M66" s="47"/>
      <c r="N66" s="198"/>
      <c r="O66" s="199"/>
      <c r="P66" s="199"/>
      <c r="Q66" s="199"/>
      <c r="R66" s="200"/>
      <c r="S66" s="45"/>
      <c r="T66" s="45"/>
      <c r="U66" s="172"/>
      <c r="V66" s="173"/>
      <c r="W66" s="174"/>
      <c r="X66" s="67"/>
      <c r="Y66" s="47"/>
      <c r="Z66" s="47"/>
    </row>
    <row r="67" spans="1:26" ht="7.5" customHeight="1">
      <c r="B67" s="22"/>
      <c r="C67" s="22"/>
      <c r="D67" s="22"/>
      <c r="E67" s="22"/>
      <c r="F67" s="22"/>
      <c r="G67" s="22"/>
      <c r="H67" s="22"/>
      <c r="I67" s="22"/>
      <c r="J67" s="22"/>
      <c r="K67" s="22"/>
      <c r="L67" s="22"/>
      <c r="M67" s="22"/>
      <c r="N67" s="22"/>
      <c r="O67" s="22"/>
      <c r="P67" s="22"/>
      <c r="Q67" s="22"/>
      <c r="R67" s="22"/>
      <c r="S67" s="22"/>
      <c r="T67" s="22"/>
      <c r="U67" s="22"/>
      <c r="V67" s="22"/>
      <c r="W67" s="22"/>
      <c r="X67" s="22"/>
      <c r="Y67" s="22"/>
    </row>
    <row r="68" spans="1:26" ht="18" customHeight="1">
      <c r="A68" s="4" t="s">
        <v>136</v>
      </c>
      <c r="L68" s="72"/>
      <c r="M68" s="72"/>
      <c r="N68" s="72"/>
      <c r="O68" s="72"/>
      <c r="P68" s="72"/>
      <c r="Q68" s="72"/>
      <c r="R68" s="72"/>
      <c r="S68" s="72"/>
      <c r="T68" s="72"/>
      <c r="U68" s="72"/>
      <c r="V68" s="72"/>
      <c r="W68" s="72"/>
      <c r="X68" s="72"/>
      <c r="Y68" s="72"/>
      <c r="Z68" s="72"/>
    </row>
    <row r="69" spans="1:26" ht="18" customHeight="1">
      <c r="B69" s="128" t="s">
        <v>100</v>
      </c>
      <c r="C69" s="129"/>
      <c r="D69" s="129"/>
      <c r="E69" s="129"/>
      <c r="F69" s="130"/>
      <c r="G69" s="128" t="s">
        <v>146</v>
      </c>
      <c r="H69" s="129"/>
      <c r="I69" s="129"/>
      <c r="J69" s="129"/>
      <c r="K69" s="129"/>
      <c r="L69" s="129"/>
      <c r="M69" s="130"/>
      <c r="N69" s="204" t="s">
        <v>100</v>
      </c>
      <c r="O69" s="205"/>
      <c r="P69" s="205"/>
      <c r="Q69" s="205"/>
      <c r="R69" s="205"/>
      <c r="S69" s="206"/>
      <c r="T69" s="128" t="s">
        <v>146</v>
      </c>
      <c r="U69" s="129"/>
      <c r="V69" s="129"/>
      <c r="W69" s="129"/>
      <c r="X69" s="129"/>
      <c r="Y69" s="129"/>
      <c r="Z69" s="130"/>
    </row>
    <row r="70" spans="1:26" ht="18" customHeight="1">
      <c r="A70" s="72"/>
      <c r="B70" s="135"/>
      <c r="C70" s="136"/>
      <c r="D70" s="136"/>
      <c r="E70" s="136"/>
      <c r="F70" s="137"/>
      <c r="G70" s="138"/>
      <c r="H70" s="139"/>
      <c r="I70" s="139"/>
      <c r="J70" s="139"/>
      <c r="K70" s="139"/>
      <c r="L70" s="139"/>
      <c r="M70" s="140"/>
      <c r="N70" s="135"/>
      <c r="O70" s="136"/>
      <c r="P70" s="136"/>
      <c r="Q70" s="136"/>
      <c r="R70" s="136"/>
      <c r="S70" s="137"/>
      <c r="T70" s="138"/>
      <c r="U70" s="139"/>
      <c r="V70" s="139"/>
      <c r="W70" s="139"/>
      <c r="X70" s="139"/>
      <c r="Y70" s="139"/>
      <c r="Z70" s="140"/>
    </row>
    <row r="71" spans="1:26" ht="18" customHeight="1">
      <c r="A71" s="72"/>
      <c r="B71" s="144"/>
      <c r="C71" s="142"/>
      <c r="D71" s="142"/>
      <c r="E71" s="142"/>
      <c r="F71" s="143"/>
      <c r="G71" s="145"/>
      <c r="H71" s="146"/>
      <c r="I71" s="146"/>
      <c r="J71" s="146"/>
      <c r="K71" s="146"/>
      <c r="L71" s="146"/>
      <c r="M71" s="147"/>
      <c r="N71" s="144"/>
      <c r="O71" s="142"/>
      <c r="P71" s="142"/>
      <c r="Q71" s="142"/>
      <c r="R71" s="142"/>
      <c r="S71" s="143"/>
      <c r="T71" s="145"/>
      <c r="U71" s="146"/>
      <c r="V71" s="146"/>
      <c r="W71" s="146"/>
      <c r="X71" s="146"/>
      <c r="Y71" s="146"/>
      <c r="Z71" s="147"/>
    </row>
    <row r="72" spans="1:26" ht="18" customHeight="1">
      <c r="A72" s="72"/>
      <c r="B72" s="144"/>
      <c r="C72" s="142"/>
      <c r="D72" s="142"/>
      <c r="E72" s="142"/>
      <c r="F72" s="143"/>
      <c r="G72" s="145"/>
      <c r="H72" s="146"/>
      <c r="I72" s="146"/>
      <c r="J72" s="146"/>
      <c r="K72" s="146"/>
      <c r="L72" s="146"/>
      <c r="M72" s="147"/>
      <c r="N72" s="144"/>
      <c r="O72" s="142"/>
      <c r="P72" s="142"/>
      <c r="Q72" s="142"/>
      <c r="R72" s="142"/>
      <c r="S72" s="143"/>
      <c r="T72" s="145"/>
      <c r="U72" s="146"/>
      <c r="V72" s="146"/>
      <c r="W72" s="146"/>
      <c r="X72" s="146"/>
      <c r="Y72" s="146"/>
      <c r="Z72" s="147"/>
    </row>
    <row r="73" spans="1:26" ht="18" customHeight="1">
      <c r="A73" s="72"/>
      <c r="B73" s="144"/>
      <c r="C73" s="142"/>
      <c r="D73" s="142"/>
      <c r="E73" s="142"/>
      <c r="F73" s="143"/>
      <c r="G73" s="145"/>
      <c r="H73" s="146"/>
      <c r="I73" s="146"/>
      <c r="J73" s="146"/>
      <c r="K73" s="146"/>
      <c r="L73" s="146"/>
      <c r="M73" s="147"/>
      <c r="N73" s="144"/>
      <c r="O73" s="142"/>
      <c r="P73" s="142"/>
      <c r="Q73" s="142"/>
      <c r="R73" s="142"/>
      <c r="S73" s="143"/>
      <c r="T73" s="145"/>
      <c r="U73" s="146"/>
      <c r="V73" s="146"/>
      <c r="W73" s="146"/>
      <c r="X73" s="146"/>
      <c r="Y73" s="146"/>
      <c r="Z73" s="147"/>
    </row>
    <row r="74" spans="1:26" ht="18" customHeight="1">
      <c r="A74" s="72"/>
      <c r="B74" s="144"/>
      <c r="C74" s="142"/>
      <c r="D74" s="142"/>
      <c r="E74" s="142"/>
      <c r="F74" s="143"/>
      <c r="G74" s="145"/>
      <c r="H74" s="146"/>
      <c r="I74" s="146"/>
      <c r="J74" s="146"/>
      <c r="K74" s="146"/>
      <c r="L74" s="146"/>
      <c r="M74" s="147"/>
      <c r="N74" s="144"/>
      <c r="O74" s="142"/>
      <c r="P74" s="142"/>
      <c r="Q74" s="142"/>
      <c r="R74" s="142"/>
      <c r="S74" s="143"/>
      <c r="T74" s="145"/>
      <c r="U74" s="146"/>
      <c r="V74" s="146"/>
      <c r="W74" s="146"/>
      <c r="X74" s="146"/>
      <c r="Y74" s="146"/>
      <c r="Z74" s="147"/>
    </row>
    <row r="75" spans="1:26" ht="18" customHeight="1">
      <c r="A75" s="72"/>
      <c r="B75" s="144"/>
      <c r="C75" s="142"/>
      <c r="D75" s="142"/>
      <c r="E75" s="142"/>
      <c r="F75" s="143"/>
      <c r="G75" s="145"/>
      <c r="H75" s="146"/>
      <c r="I75" s="146"/>
      <c r="J75" s="146"/>
      <c r="K75" s="146"/>
      <c r="L75" s="146"/>
      <c r="M75" s="147"/>
      <c r="N75" s="144"/>
      <c r="O75" s="142"/>
      <c r="P75" s="142"/>
      <c r="Q75" s="142"/>
      <c r="R75" s="142"/>
      <c r="S75" s="143"/>
      <c r="T75" s="145"/>
      <c r="U75" s="146"/>
      <c r="V75" s="146"/>
      <c r="W75" s="146"/>
      <c r="X75" s="146"/>
      <c r="Y75" s="146"/>
      <c r="Z75" s="147"/>
    </row>
    <row r="76" spans="1:26" ht="18" customHeight="1">
      <c r="A76" s="72"/>
      <c r="B76" s="198"/>
      <c r="C76" s="199"/>
      <c r="D76" s="199"/>
      <c r="E76" s="199"/>
      <c r="F76" s="200"/>
      <c r="G76" s="201"/>
      <c r="H76" s="202"/>
      <c r="I76" s="202"/>
      <c r="J76" s="202"/>
      <c r="K76" s="202"/>
      <c r="L76" s="202"/>
      <c r="M76" s="203"/>
      <c r="N76" s="198"/>
      <c r="O76" s="199"/>
      <c r="P76" s="199"/>
      <c r="Q76" s="199"/>
      <c r="R76" s="199"/>
      <c r="S76" s="200"/>
      <c r="T76" s="201"/>
      <c r="U76" s="202"/>
      <c r="V76" s="202"/>
      <c r="W76" s="202"/>
      <c r="X76" s="202"/>
      <c r="Y76" s="202"/>
      <c r="Z76" s="203"/>
    </row>
    <row r="77" spans="1:26" ht="18" customHeight="1">
      <c r="A77" s="72"/>
      <c r="B77" s="61"/>
      <c r="C77" s="61"/>
      <c r="D77" s="61"/>
      <c r="E77" s="61"/>
      <c r="F77" s="61"/>
      <c r="G77" s="3"/>
      <c r="H77" s="3"/>
      <c r="I77" s="3"/>
      <c r="J77" s="3"/>
      <c r="K77" s="3"/>
      <c r="L77" s="3"/>
      <c r="M77" s="3"/>
      <c r="N77" s="61"/>
      <c r="O77" s="61"/>
      <c r="P77" s="61"/>
      <c r="Q77" s="61"/>
      <c r="R77" s="61"/>
      <c r="S77" s="61"/>
      <c r="T77" s="3"/>
      <c r="U77" s="3"/>
      <c r="V77" s="3"/>
      <c r="W77" s="3"/>
      <c r="X77" s="3"/>
      <c r="Y77" s="3"/>
      <c r="Z77" s="3"/>
    </row>
    <row r="78" spans="1:26" ht="18.75" customHeight="1">
      <c r="A78" s="4" t="s">
        <v>142</v>
      </c>
    </row>
    <row r="79" spans="1:26" ht="18.75" customHeight="1">
      <c r="B79" s="15" t="s">
        <v>102</v>
      </c>
      <c r="C79" s="16"/>
      <c r="D79" s="129" t="s">
        <v>103</v>
      </c>
      <c r="E79" s="129"/>
      <c r="F79" s="129"/>
      <c r="G79" s="129"/>
      <c r="H79" s="129"/>
      <c r="I79" s="129"/>
      <c r="J79" s="129"/>
      <c r="K79" s="129"/>
      <c r="L79" s="129"/>
      <c r="M79" s="129"/>
      <c r="N79" s="129"/>
      <c r="O79" s="129"/>
      <c r="P79" s="129"/>
      <c r="Q79" s="129"/>
      <c r="R79" s="129"/>
      <c r="S79" s="129"/>
      <c r="T79" s="129"/>
      <c r="U79" s="129"/>
      <c r="V79" s="129"/>
      <c r="W79" s="129"/>
      <c r="X79" s="129"/>
      <c r="Y79" s="129"/>
      <c r="Z79" s="130"/>
    </row>
    <row r="80" spans="1:26" ht="78" customHeight="1">
      <c r="B80" s="148" t="s">
        <v>109</v>
      </c>
      <c r="C80" s="28" t="s">
        <v>104</v>
      </c>
      <c r="D80" s="155" t="s">
        <v>194</v>
      </c>
      <c r="E80" s="155"/>
      <c r="F80" s="155"/>
      <c r="G80" s="155"/>
      <c r="H80" s="155"/>
      <c r="I80" s="155"/>
      <c r="J80" s="155"/>
      <c r="K80" s="155"/>
      <c r="L80" s="155"/>
      <c r="M80" s="155"/>
      <c r="N80" s="155"/>
      <c r="O80" s="155"/>
      <c r="P80" s="155"/>
      <c r="Q80" s="155"/>
      <c r="R80" s="155"/>
      <c r="S80" s="155"/>
      <c r="T80" s="155"/>
      <c r="U80" s="155"/>
      <c r="V80" s="155"/>
      <c r="W80" s="155"/>
      <c r="X80" s="155"/>
      <c r="Y80" s="155"/>
      <c r="Z80" s="161"/>
    </row>
    <row r="81" spans="1:26" ht="78" customHeight="1">
      <c r="B81" s="150"/>
      <c r="C81" s="40" t="s">
        <v>137</v>
      </c>
      <c r="D81" s="190" t="s">
        <v>195</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78" customHeight="1">
      <c r="B82" s="148" t="s">
        <v>110</v>
      </c>
      <c r="C82" s="23" t="s">
        <v>127</v>
      </c>
      <c r="D82" s="193" t="s">
        <v>196</v>
      </c>
      <c r="E82" s="169"/>
      <c r="F82" s="169"/>
      <c r="G82" s="169"/>
      <c r="H82" s="169"/>
      <c r="I82" s="169"/>
      <c r="J82" s="169"/>
      <c r="K82" s="169"/>
      <c r="L82" s="169"/>
      <c r="M82" s="169"/>
      <c r="N82" s="169"/>
      <c r="O82" s="169"/>
      <c r="P82" s="169"/>
      <c r="Q82" s="169"/>
      <c r="R82" s="169"/>
      <c r="S82" s="169"/>
      <c r="T82" s="169"/>
      <c r="U82" s="169"/>
      <c r="V82" s="169"/>
      <c r="W82" s="169"/>
      <c r="X82" s="169"/>
      <c r="Y82" s="169"/>
      <c r="Z82" s="170"/>
    </row>
    <row r="83" spans="1:26" ht="78" customHeight="1">
      <c r="B83" s="149"/>
      <c r="C83" s="41" t="s">
        <v>128</v>
      </c>
      <c r="D83" s="197" t="s">
        <v>197</v>
      </c>
      <c r="E83" s="177"/>
      <c r="F83" s="177"/>
      <c r="G83" s="177"/>
      <c r="H83" s="177"/>
      <c r="I83" s="177"/>
      <c r="J83" s="177"/>
      <c r="K83" s="177"/>
      <c r="L83" s="177"/>
      <c r="M83" s="177"/>
      <c r="N83" s="177"/>
      <c r="O83" s="177"/>
      <c r="P83" s="177"/>
      <c r="Q83" s="177"/>
      <c r="R83" s="177"/>
      <c r="S83" s="177"/>
      <c r="T83" s="177"/>
      <c r="U83" s="177"/>
      <c r="V83" s="177"/>
      <c r="W83" s="177"/>
      <c r="X83" s="177"/>
      <c r="Y83" s="177"/>
      <c r="Z83" s="178"/>
    </row>
    <row r="84" spans="1:26" ht="66" customHeight="1">
      <c r="B84" s="148" t="s">
        <v>111</v>
      </c>
      <c r="C84" s="23" t="s">
        <v>130</v>
      </c>
      <c r="D84" s="193" t="s">
        <v>198</v>
      </c>
      <c r="E84" s="169"/>
      <c r="F84" s="169"/>
      <c r="G84" s="169"/>
      <c r="H84" s="169"/>
      <c r="I84" s="169"/>
      <c r="J84" s="169"/>
      <c r="K84" s="169"/>
      <c r="L84" s="169"/>
      <c r="M84" s="169"/>
      <c r="N84" s="169"/>
      <c r="O84" s="169"/>
      <c r="P84" s="169"/>
      <c r="Q84" s="169"/>
      <c r="R84" s="169"/>
      <c r="S84" s="169"/>
      <c r="T84" s="169"/>
      <c r="U84" s="169"/>
      <c r="V84" s="169"/>
      <c r="W84" s="169"/>
      <c r="X84" s="169"/>
      <c r="Y84" s="169"/>
      <c r="Z84" s="170"/>
    </row>
    <row r="85" spans="1:26" ht="66" customHeight="1">
      <c r="B85" s="149"/>
      <c r="C85" s="25" t="s">
        <v>131</v>
      </c>
      <c r="D85" s="194" t="s">
        <v>199</v>
      </c>
      <c r="E85" s="195"/>
      <c r="F85" s="195"/>
      <c r="G85" s="195"/>
      <c r="H85" s="195"/>
      <c r="I85" s="195"/>
      <c r="J85" s="195"/>
      <c r="K85" s="195"/>
      <c r="L85" s="195"/>
      <c r="M85" s="195"/>
      <c r="N85" s="195"/>
      <c r="O85" s="195"/>
      <c r="P85" s="195"/>
      <c r="Q85" s="195"/>
      <c r="R85" s="195"/>
      <c r="S85" s="195"/>
      <c r="T85" s="195"/>
      <c r="U85" s="195"/>
      <c r="V85" s="195"/>
      <c r="W85" s="195"/>
      <c r="X85" s="195"/>
      <c r="Y85" s="195"/>
      <c r="Z85" s="196"/>
    </row>
    <row r="86" spans="1:26" ht="117" customHeight="1">
      <c r="B86" s="148" t="s">
        <v>138</v>
      </c>
      <c r="C86" s="28" t="s">
        <v>106</v>
      </c>
      <c r="D86" s="155" t="s">
        <v>244</v>
      </c>
      <c r="E86" s="156"/>
      <c r="F86" s="156"/>
      <c r="G86" s="156"/>
      <c r="H86" s="156"/>
      <c r="I86" s="156"/>
      <c r="J86" s="156"/>
      <c r="K86" s="156"/>
      <c r="L86" s="156"/>
      <c r="M86" s="156"/>
      <c r="N86" s="156"/>
      <c r="O86" s="156"/>
      <c r="P86" s="156"/>
      <c r="Q86" s="156"/>
      <c r="R86" s="156"/>
      <c r="S86" s="156"/>
      <c r="T86" s="156"/>
      <c r="U86" s="156"/>
      <c r="V86" s="156"/>
      <c r="W86" s="156"/>
      <c r="X86" s="156"/>
      <c r="Y86" s="156"/>
      <c r="Z86" s="157"/>
    </row>
    <row r="87" spans="1:26" ht="129.6" customHeight="1">
      <c r="B87" s="150"/>
      <c r="C87" s="24" t="s">
        <v>108</v>
      </c>
      <c r="D87" s="158" t="s">
        <v>245</v>
      </c>
      <c r="E87" s="159"/>
      <c r="F87" s="159"/>
      <c r="G87" s="159"/>
      <c r="H87" s="159"/>
      <c r="I87" s="159"/>
      <c r="J87" s="159"/>
      <c r="K87" s="159"/>
      <c r="L87" s="159"/>
      <c r="M87" s="159"/>
      <c r="N87" s="159"/>
      <c r="O87" s="159"/>
      <c r="P87" s="159"/>
      <c r="Q87" s="159"/>
      <c r="R87" s="159"/>
      <c r="S87" s="159"/>
      <c r="T87" s="159"/>
      <c r="U87" s="159"/>
      <c r="V87" s="159"/>
      <c r="W87" s="159"/>
      <c r="X87" s="159"/>
      <c r="Y87" s="159"/>
      <c r="Z87" s="160"/>
    </row>
    <row r="88" spans="1:26" ht="104.4" customHeight="1">
      <c r="B88" s="148" t="s">
        <v>139</v>
      </c>
      <c r="C88" s="23" t="s">
        <v>105</v>
      </c>
      <c r="D88" s="151" t="s">
        <v>246</v>
      </c>
      <c r="E88" s="136"/>
      <c r="F88" s="136"/>
      <c r="G88" s="136"/>
      <c r="H88" s="136"/>
      <c r="I88" s="136"/>
      <c r="J88" s="136"/>
      <c r="K88" s="136"/>
      <c r="L88" s="136"/>
      <c r="M88" s="136"/>
      <c r="N88" s="136"/>
      <c r="O88" s="136"/>
      <c r="P88" s="136"/>
      <c r="Q88" s="136"/>
      <c r="R88" s="136"/>
      <c r="S88" s="136"/>
      <c r="T88" s="136"/>
      <c r="U88" s="136"/>
      <c r="V88" s="136"/>
      <c r="W88" s="136"/>
      <c r="X88" s="136"/>
      <c r="Y88" s="136"/>
      <c r="Z88" s="137"/>
    </row>
    <row r="89" spans="1:26" ht="111" customHeight="1">
      <c r="B89" s="150"/>
      <c r="C89" s="24" t="s">
        <v>134</v>
      </c>
      <c r="D89" s="141" t="s">
        <v>247</v>
      </c>
      <c r="E89" s="142"/>
      <c r="F89" s="142"/>
      <c r="G89" s="142"/>
      <c r="H89" s="142"/>
      <c r="I89" s="142"/>
      <c r="J89" s="142"/>
      <c r="K89" s="142"/>
      <c r="L89" s="142"/>
      <c r="M89" s="142"/>
      <c r="N89" s="142"/>
      <c r="O89" s="142"/>
      <c r="P89" s="142"/>
      <c r="Q89" s="142"/>
      <c r="R89" s="142"/>
      <c r="S89" s="142"/>
      <c r="T89" s="142"/>
      <c r="U89" s="142"/>
      <c r="V89" s="142"/>
      <c r="W89" s="142"/>
      <c r="X89" s="142"/>
      <c r="Y89" s="142"/>
      <c r="Z89" s="143"/>
    </row>
    <row r="90" spans="1:26" ht="108" customHeight="1">
      <c r="B90" s="149"/>
      <c r="C90" s="25" t="s">
        <v>135</v>
      </c>
      <c r="D90" s="152" t="s">
        <v>248</v>
      </c>
      <c r="E90" s="153"/>
      <c r="F90" s="153"/>
      <c r="G90" s="153"/>
      <c r="H90" s="153"/>
      <c r="I90" s="153"/>
      <c r="J90" s="153"/>
      <c r="K90" s="153"/>
      <c r="L90" s="153"/>
      <c r="M90" s="153"/>
      <c r="N90" s="153"/>
      <c r="O90" s="153"/>
      <c r="P90" s="153"/>
      <c r="Q90" s="153"/>
      <c r="R90" s="153"/>
      <c r="S90" s="153"/>
      <c r="T90" s="153"/>
      <c r="U90" s="153"/>
      <c r="V90" s="153"/>
      <c r="W90" s="153"/>
      <c r="X90" s="153"/>
      <c r="Y90" s="153"/>
      <c r="Z90" s="154"/>
    </row>
    <row r="91" spans="1:26" ht="6" customHeight="1"/>
    <row r="92" spans="1:26" ht="18.75" customHeight="1">
      <c r="A92" s="4" t="s">
        <v>143</v>
      </c>
    </row>
    <row r="93" spans="1:26" ht="18.75" customHeight="1">
      <c r="B93" s="218" t="s">
        <v>155</v>
      </c>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20"/>
    </row>
    <row r="94" spans="1:26" ht="18.75" customHeight="1">
      <c r="B94" s="221"/>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3"/>
    </row>
    <row r="95" spans="1:26" ht="18.75" customHeight="1">
      <c r="B95" s="224"/>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6"/>
    </row>
    <row r="96" spans="1:26" ht="6" customHeight="1"/>
    <row r="97" spans="1:26" ht="15" customHeight="1">
      <c r="A97" s="4" t="s">
        <v>144</v>
      </c>
    </row>
    <row r="98" spans="1:26" ht="15" customHeight="1">
      <c r="B98" s="227" t="s">
        <v>229</v>
      </c>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216"/>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H16:H22 Y27:Z33 H27:H33 H38:H44 Y38:Z44 H49:H55 Y49:Z55 Y60:Z66 G60:G66 T60:T66 U16:U22 L16:M22 U27:U33 L27:M33 U38:U44 L38:M44 U49:U55 L49:M55 K60:M61 L62:M66" xr:uid="{ABDADD86-5E52-4F90-947E-9624F1D65C67}">
      <formula1>"○"</formula1>
    </dataValidation>
    <dataValidation type="list" allowBlank="1" showInputMessage="1" showErrorMessage="1" sqref="Z23 Z34 D34:K34 D23:K23 V16:V22 I49:I55 V27:V33 I16:I22 V38:V44 I27:I33 V49:V55 I38:I44 U60:U66 H60:H66" xr:uid="{3B613954-CA64-4109-AC2C-21350A45A388}">
      <formula1>"全学開講,一部開講"</formula1>
    </dataValidation>
    <dataValidation type="list" allowBlank="1" showInputMessage="1" showErrorMessage="1" sqref="O4" xr:uid="{974462AB-F01C-40D0-AC91-E84EA6292061}">
      <formula1>"学部・学科によって、修了要件は相違する,学部・学科によって、修了要件は相違しない"</formula1>
    </dataValidation>
    <dataValidation type="list" allowBlank="1" showInputMessage="1" showErrorMessage="1" sqref="H74:M77 G70:G77 H70:M71 T70:T77 U70:Z71 U74:Z77" xr:uid="{76A8EC4E-5631-4E83-A0F6-D76EAE882FFC}">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12112F34-4B32-4AD5-A692-5FF0F3425009}"/>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tabSelected="1" view="pageBreakPreview" zoomScaleNormal="100" zoomScaleSheetLayoutView="100" workbookViewId="0">
      <selection activeCell="E23" sqref="E23"/>
    </sheetView>
  </sheetViews>
  <sheetFormatPr defaultColWidth="9" defaultRowHeight="18.75" customHeight="1"/>
  <cols>
    <col min="1" max="1" width="2.77734375" style="4" customWidth="1"/>
    <col min="2" max="2" width="30" style="4" customWidth="1"/>
    <col min="3" max="17" width="6.109375" style="4" customWidth="1"/>
    <col min="18" max="18" width="6.6640625" style="4" customWidth="1"/>
    <col min="19" max="16384" width="9" style="4"/>
  </cols>
  <sheetData>
    <row r="1" spans="1:20" ht="18" customHeight="1">
      <c r="F1" s="121" t="s">
        <v>63</v>
      </c>
      <c r="G1" s="121"/>
      <c r="H1" s="121"/>
      <c r="I1" s="121"/>
      <c r="J1" s="121"/>
      <c r="K1" s="121"/>
      <c r="L1" s="121"/>
      <c r="M1" s="121"/>
      <c r="N1" s="121"/>
      <c r="O1" s="121"/>
      <c r="P1" s="121"/>
      <c r="Q1" s="121"/>
      <c r="R1" s="121"/>
    </row>
    <row r="2" spans="1:20" ht="18" customHeight="1">
      <c r="A2" s="179" t="s">
        <v>89</v>
      </c>
      <c r="B2" s="179"/>
      <c r="C2" s="179"/>
      <c r="D2" s="179"/>
      <c r="E2" s="179"/>
      <c r="F2" s="179"/>
      <c r="G2" s="179"/>
      <c r="H2" s="179"/>
      <c r="I2" s="179"/>
      <c r="J2" s="179"/>
      <c r="K2" s="179"/>
      <c r="L2" s="179"/>
      <c r="M2" s="179"/>
      <c r="N2" s="179"/>
      <c r="O2" s="179"/>
      <c r="P2" s="179"/>
      <c r="Q2" s="179"/>
      <c r="R2" s="179"/>
    </row>
    <row r="3" spans="1:20" ht="7.5" customHeight="1">
      <c r="A3" s="72"/>
      <c r="B3" s="72"/>
      <c r="C3" s="72"/>
      <c r="D3" s="72"/>
      <c r="E3" s="72"/>
      <c r="F3" s="72"/>
      <c r="G3" s="72"/>
      <c r="H3" s="72"/>
      <c r="I3" s="72"/>
      <c r="J3" s="72"/>
      <c r="K3" s="72"/>
      <c r="L3" s="72"/>
      <c r="M3" s="72"/>
      <c r="N3" s="72"/>
      <c r="O3" s="72"/>
      <c r="P3" s="72"/>
      <c r="Q3" s="72"/>
      <c r="R3" s="72"/>
    </row>
    <row r="4" spans="1:20" ht="18" customHeight="1">
      <c r="A4" s="4" t="s">
        <v>147</v>
      </c>
      <c r="C4" s="228" t="str">
        <f>'様式１　大学等概要'!E12</f>
        <v>令和３</v>
      </c>
      <c r="D4" s="229"/>
      <c r="E4" s="72" t="s">
        <v>113</v>
      </c>
      <c r="F4" s="72"/>
      <c r="G4" s="72"/>
      <c r="H4" s="72"/>
      <c r="I4" s="72"/>
      <c r="J4" s="6"/>
      <c r="K4" s="72"/>
      <c r="L4" s="72"/>
      <c r="M4" s="61"/>
      <c r="N4" s="61"/>
      <c r="O4" s="61"/>
      <c r="P4" s="61"/>
      <c r="Q4" s="61"/>
      <c r="R4" s="61"/>
    </row>
    <row r="5" spans="1:20" ht="6" customHeight="1">
      <c r="A5" s="72"/>
      <c r="B5" s="72"/>
      <c r="C5" s="72"/>
      <c r="D5" s="72"/>
      <c r="E5" s="72"/>
      <c r="F5" s="72"/>
      <c r="G5" s="72"/>
      <c r="H5" s="72"/>
      <c r="I5" s="72"/>
      <c r="J5" s="72"/>
      <c r="K5" s="72"/>
      <c r="L5" s="72"/>
      <c r="M5" s="72"/>
      <c r="N5" s="72"/>
      <c r="O5" s="72"/>
      <c r="P5" s="72"/>
      <c r="Q5" s="72"/>
      <c r="R5" s="72"/>
    </row>
    <row r="6" spans="1:20" ht="18" customHeight="1">
      <c r="A6" s="4" t="s">
        <v>145</v>
      </c>
      <c r="B6" s="72"/>
      <c r="C6" s="72"/>
      <c r="D6" s="72"/>
      <c r="E6" s="72"/>
      <c r="F6" s="72"/>
      <c r="G6" s="72"/>
      <c r="H6" s="72"/>
      <c r="I6" s="72"/>
      <c r="J6" s="72"/>
      <c r="K6" s="72"/>
      <c r="L6" s="72"/>
      <c r="M6" s="72"/>
      <c r="N6" s="72"/>
      <c r="O6" s="72"/>
      <c r="P6" s="72"/>
      <c r="Q6" s="72"/>
      <c r="R6" s="72"/>
    </row>
    <row r="7" spans="1:20" ht="6" customHeight="1">
      <c r="B7" s="72"/>
      <c r="C7" s="72"/>
      <c r="D7" s="72"/>
      <c r="E7" s="72"/>
      <c r="F7" s="72"/>
      <c r="G7" s="72"/>
      <c r="H7" s="72"/>
      <c r="I7" s="72"/>
      <c r="J7" s="72"/>
      <c r="K7" s="72"/>
      <c r="L7" s="72"/>
      <c r="M7" s="72"/>
      <c r="N7" s="72"/>
      <c r="O7" s="72"/>
      <c r="P7" s="72"/>
      <c r="Q7" s="72"/>
      <c r="R7" s="72"/>
    </row>
    <row r="8" spans="1:20" ht="18" customHeight="1">
      <c r="B8" s="230" t="s">
        <v>79</v>
      </c>
      <c r="C8" s="232" t="s">
        <v>84</v>
      </c>
      <c r="D8" s="234" t="s">
        <v>68</v>
      </c>
      <c r="E8" s="236" t="s">
        <v>90</v>
      </c>
      <c r="F8" s="236"/>
      <c r="G8" s="236" t="s">
        <v>91</v>
      </c>
      <c r="H8" s="236"/>
      <c r="I8" s="236" t="s">
        <v>92</v>
      </c>
      <c r="J8" s="236"/>
      <c r="K8" s="162" t="s">
        <v>93</v>
      </c>
      <c r="L8" s="164"/>
      <c r="M8" s="162" t="s">
        <v>94</v>
      </c>
      <c r="N8" s="164"/>
      <c r="O8" s="162" t="s">
        <v>95</v>
      </c>
      <c r="P8" s="164"/>
      <c r="Q8" s="237" t="s">
        <v>62</v>
      </c>
      <c r="R8" s="239" t="s">
        <v>56</v>
      </c>
      <c r="T8" s="73"/>
    </row>
    <row r="9" spans="1:20" ht="18" customHeight="1">
      <c r="B9" s="231"/>
      <c r="C9" s="233"/>
      <c r="D9" s="235"/>
      <c r="E9" s="74" t="s">
        <v>44</v>
      </c>
      <c r="F9" s="75" t="s">
        <v>43</v>
      </c>
      <c r="G9" s="76" t="s">
        <v>44</v>
      </c>
      <c r="H9" s="77" t="s">
        <v>43</v>
      </c>
      <c r="I9" s="74" t="s">
        <v>44</v>
      </c>
      <c r="J9" s="75" t="s">
        <v>43</v>
      </c>
      <c r="K9" s="76" t="s">
        <v>44</v>
      </c>
      <c r="L9" s="77" t="s">
        <v>43</v>
      </c>
      <c r="M9" s="74" t="s">
        <v>44</v>
      </c>
      <c r="N9" s="75" t="s">
        <v>43</v>
      </c>
      <c r="O9" s="76" t="s">
        <v>44</v>
      </c>
      <c r="P9" s="77" t="s">
        <v>43</v>
      </c>
      <c r="Q9" s="238"/>
      <c r="R9" s="240"/>
      <c r="T9" s="73"/>
    </row>
    <row r="10" spans="1:20" ht="18" customHeight="1">
      <c r="A10" s="21"/>
      <c r="B10" s="78" t="s">
        <v>212</v>
      </c>
      <c r="C10" s="21">
        <v>97</v>
      </c>
      <c r="D10" s="79">
        <v>582</v>
      </c>
      <c r="E10" s="80">
        <v>97</v>
      </c>
      <c r="F10" s="81">
        <v>97</v>
      </c>
      <c r="G10" s="82"/>
      <c r="H10" s="83"/>
      <c r="I10" s="80"/>
      <c r="J10" s="81"/>
      <c r="K10" s="82"/>
      <c r="L10" s="83"/>
      <c r="M10" s="80"/>
      <c r="N10" s="81"/>
      <c r="O10" s="82"/>
      <c r="P10" s="83"/>
      <c r="Q10" s="84">
        <f>E10+G10+I10+K10+M10+O10</f>
        <v>97</v>
      </c>
      <c r="R10" s="85">
        <f>Q10/D10</f>
        <v>0.16666666666666666</v>
      </c>
    </row>
    <row r="11" spans="1:20" ht="18" customHeight="1">
      <c r="A11" s="21"/>
      <c r="B11" s="86" t="s">
        <v>213</v>
      </c>
      <c r="C11" s="64">
        <v>115</v>
      </c>
      <c r="D11" s="63">
        <v>535</v>
      </c>
      <c r="E11" s="87">
        <v>120</v>
      </c>
      <c r="F11" s="88">
        <v>116</v>
      </c>
      <c r="G11" s="89"/>
      <c r="H11" s="90"/>
      <c r="I11" s="87"/>
      <c r="J11" s="88"/>
      <c r="K11" s="89"/>
      <c r="L11" s="90"/>
      <c r="M11" s="87"/>
      <c r="N11" s="88"/>
      <c r="O11" s="89"/>
      <c r="P11" s="90"/>
      <c r="Q11" s="91">
        <f t="shared" ref="Q11:Q29" si="0">E11+G11+I11+K11+M11+O11</f>
        <v>120</v>
      </c>
      <c r="R11" s="92">
        <f t="shared" ref="R11:R29" si="1">Q11/D11</f>
        <v>0.22429906542056074</v>
      </c>
    </row>
    <row r="12" spans="1:20" ht="18" customHeight="1">
      <c r="A12" s="21"/>
      <c r="B12" s="86" t="s">
        <v>214</v>
      </c>
      <c r="C12" s="64">
        <v>230</v>
      </c>
      <c r="D12" s="63">
        <v>920</v>
      </c>
      <c r="E12" s="87">
        <v>236</v>
      </c>
      <c r="F12" s="88">
        <v>230</v>
      </c>
      <c r="G12" s="89"/>
      <c r="H12" s="90"/>
      <c r="I12" s="87"/>
      <c r="J12" s="88"/>
      <c r="K12" s="89"/>
      <c r="L12" s="90"/>
      <c r="M12" s="87"/>
      <c r="N12" s="88"/>
      <c r="O12" s="89"/>
      <c r="P12" s="90"/>
      <c r="Q12" s="91">
        <f t="shared" si="0"/>
        <v>236</v>
      </c>
      <c r="R12" s="92">
        <f t="shared" si="1"/>
        <v>0.2565217391304348</v>
      </c>
    </row>
    <row r="13" spans="1:20" ht="18" customHeight="1">
      <c r="A13" s="21"/>
      <c r="B13" s="86" t="s">
        <v>215</v>
      </c>
      <c r="C13" s="64">
        <v>194</v>
      </c>
      <c r="D13" s="63">
        <v>800</v>
      </c>
      <c r="E13" s="274">
        <v>205</v>
      </c>
      <c r="F13" s="275">
        <v>203</v>
      </c>
      <c r="G13" s="89"/>
      <c r="H13" s="90"/>
      <c r="I13" s="87"/>
      <c r="J13" s="88"/>
      <c r="K13" s="89"/>
      <c r="L13" s="90"/>
      <c r="M13" s="87"/>
      <c r="N13" s="88"/>
      <c r="O13" s="89"/>
      <c r="P13" s="90"/>
      <c r="Q13" s="91">
        <f t="shared" si="0"/>
        <v>205</v>
      </c>
      <c r="R13" s="92">
        <f t="shared" si="1"/>
        <v>0.25624999999999998</v>
      </c>
    </row>
    <row r="14" spans="1:20" ht="18" customHeight="1">
      <c r="A14" s="21"/>
      <c r="B14" s="86" t="s">
        <v>216</v>
      </c>
      <c r="C14" s="64">
        <v>100</v>
      </c>
      <c r="D14" s="63">
        <v>400</v>
      </c>
      <c r="E14" s="274">
        <v>102</v>
      </c>
      <c r="F14" s="88">
        <v>84</v>
      </c>
      <c r="G14" s="89"/>
      <c r="H14" s="90"/>
      <c r="I14" s="87"/>
      <c r="J14" s="88"/>
      <c r="K14" s="89"/>
      <c r="L14" s="90"/>
      <c r="M14" s="87"/>
      <c r="N14" s="88"/>
      <c r="O14" s="89"/>
      <c r="P14" s="90"/>
      <c r="Q14" s="91">
        <f t="shared" si="0"/>
        <v>102</v>
      </c>
      <c r="R14" s="92">
        <f t="shared" si="1"/>
        <v>0.255</v>
      </c>
    </row>
    <row r="15" spans="1:20" ht="18" customHeight="1">
      <c r="A15" s="21"/>
      <c r="B15" s="86" t="s">
        <v>217</v>
      </c>
      <c r="C15" s="64">
        <v>80</v>
      </c>
      <c r="D15" s="63">
        <v>320</v>
      </c>
      <c r="E15" s="87">
        <v>81</v>
      </c>
      <c r="F15" s="88">
        <v>80</v>
      </c>
      <c r="G15" s="89"/>
      <c r="H15" s="90"/>
      <c r="I15" s="87"/>
      <c r="J15" s="88"/>
      <c r="K15" s="89"/>
      <c r="L15" s="90"/>
      <c r="M15" s="87"/>
      <c r="N15" s="88"/>
      <c r="O15" s="89"/>
      <c r="P15" s="90"/>
      <c r="Q15" s="91">
        <f t="shared" si="0"/>
        <v>81</v>
      </c>
      <c r="R15" s="92">
        <f t="shared" si="1"/>
        <v>0.25312499999999999</v>
      </c>
    </row>
    <row r="16" spans="1:20" ht="18" customHeight="1">
      <c r="A16" s="21"/>
      <c r="B16" s="86" t="s">
        <v>218</v>
      </c>
      <c r="C16" s="64">
        <v>43</v>
      </c>
      <c r="D16" s="63">
        <v>167</v>
      </c>
      <c r="E16" s="87">
        <v>45</v>
      </c>
      <c r="F16" s="88">
        <v>44</v>
      </c>
      <c r="G16" s="89"/>
      <c r="H16" s="90"/>
      <c r="I16" s="87"/>
      <c r="J16" s="88"/>
      <c r="K16" s="89"/>
      <c r="L16" s="90"/>
      <c r="M16" s="87"/>
      <c r="N16" s="88"/>
      <c r="O16" s="89"/>
      <c r="P16" s="90"/>
      <c r="Q16" s="91">
        <f t="shared" si="0"/>
        <v>45</v>
      </c>
      <c r="R16" s="92">
        <f>Q16/D16</f>
        <v>0.26946107784431139</v>
      </c>
    </row>
    <row r="17" spans="1:18" ht="18" customHeight="1">
      <c r="A17" s="21"/>
      <c r="B17" s="86"/>
      <c r="C17" s="64"/>
      <c r="D17" s="63"/>
      <c r="E17" s="87"/>
      <c r="F17" s="88"/>
      <c r="G17" s="89"/>
      <c r="H17" s="90"/>
      <c r="I17" s="87"/>
      <c r="J17" s="88"/>
      <c r="K17" s="89"/>
      <c r="L17" s="90"/>
      <c r="M17" s="87"/>
      <c r="N17" s="88"/>
      <c r="O17" s="89"/>
      <c r="P17" s="90"/>
      <c r="Q17" s="91">
        <f t="shared" si="0"/>
        <v>0</v>
      </c>
      <c r="R17" s="92" t="e">
        <f t="shared" si="1"/>
        <v>#DIV/0!</v>
      </c>
    </row>
    <row r="18" spans="1:18" ht="18" customHeight="1">
      <c r="A18" s="21"/>
      <c r="B18" s="86"/>
      <c r="C18" s="64"/>
      <c r="D18" s="63"/>
      <c r="E18" s="87"/>
      <c r="F18" s="88"/>
      <c r="G18" s="89"/>
      <c r="H18" s="90"/>
      <c r="I18" s="87"/>
      <c r="J18" s="88"/>
      <c r="K18" s="89"/>
      <c r="L18" s="90"/>
      <c r="M18" s="87"/>
      <c r="N18" s="88"/>
      <c r="O18" s="89"/>
      <c r="P18" s="90"/>
      <c r="Q18" s="91">
        <f>E18+G18+I18+K18+M18+O18</f>
        <v>0</v>
      </c>
      <c r="R18" s="92" t="e">
        <f t="shared" si="1"/>
        <v>#DIV/0!</v>
      </c>
    </row>
    <row r="19" spans="1:18" ht="18" customHeight="1">
      <c r="A19" s="21"/>
      <c r="B19" s="86"/>
      <c r="C19" s="64"/>
      <c r="D19" s="63"/>
      <c r="E19" s="87"/>
      <c r="F19" s="88"/>
      <c r="G19" s="89"/>
      <c r="H19" s="90"/>
      <c r="I19" s="87"/>
      <c r="J19" s="88"/>
      <c r="K19" s="89"/>
      <c r="L19" s="90"/>
      <c r="M19" s="87"/>
      <c r="N19" s="88"/>
      <c r="O19" s="89"/>
      <c r="P19" s="90"/>
      <c r="Q19" s="91">
        <f t="shared" si="0"/>
        <v>0</v>
      </c>
      <c r="R19" s="92" t="e">
        <f t="shared" si="1"/>
        <v>#DIV/0!</v>
      </c>
    </row>
    <row r="20" spans="1:18" ht="18" customHeight="1">
      <c r="A20" s="21"/>
      <c r="B20" s="86"/>
      <c r="C20" s="64"/>
      <c r="D20" s="63"/>
      <c r="E20" s="87"/>
      <c r="F20" s="88"/>
      <c r="G20" s="89"/>
      <c r="H20" s="90"/>
      <c r="I20" s="87"/>
      <c r="J20" s="88"/>
      <c r="K20" s="89"/>
      <c r="L20" s="90"/>
      <c r="M20" s="87"/>
      <c r="N20" s="88"/>
      <c r="O20" s="89"/>
      <c r="P20" s="90"/>
      <c r="Q20" s="91">
        <f t="shared" si="0"/>
        <v>0</v>
      </c>
      <c r="R20" s="92" t="e">
        <f t="shared" si="1"/>
        <v>#DIV/0!</v>
      </c>
    </row>
    <row r="21" spans="1:18" ht="18" customHeight="1">
      <c r="A21" s="21"/>
      <c r="B21" s="86"/>
      <c r="C21" s="64"/>
      <c r="D21" s="63"/>
      <c r="E21" s="87"/>
      <c r="F21" s="88"/>
      <c r="G21" s="89"/>
      <c r="H21" s="90"/>
      <c r="I21" s="87"/>
      <c r="J21" s="88"/>
      <c r="K21" s="89"/>
      <c r="L21" s="90"/>
      <c r="M21" s="87"/>
      <c r="N21" s="88"/>
      <c r="O21" s="89"/>
      <c r="P21" s="90"/>
      <c r="Q21" s="91">
        <f t="shared" si="0"/>
        <v>0</v>
      </c>
      <c r="R21" s="92" t="e">
        <f t="shared" si="1"/>
        <v>#DIV/0!</v>
      </c>
    </row>
    <row r="22" spans="1:18" ht="18" customHeight="1">
      <c r="A22" s="21"/>
      <c r="B22" s="86"/>
      <c r="C22" s="64"/>
      <c r="D22" s="63"/>
      <c r="E22" s="87"/>
      <c r="F22" s="88"/>
      <c r="G22" s="89"/>
      <c r="H22" s="90"/>
      <c r="I22" s="87"/>
      <c r="J22" s="88"/>
      <c r="K22" s="89"/>
      <c r="L22" s="90"/>
      <c r="M22" s="87"/>
      <c r="N22" s="88"/>
      <c r="O22" s="89"/>
      <c r="P22" s="90"/>
      <c r="Q22" s="91">
        <f t="shared" si="0"/>
        <v>0</v>
      </c>
      <c r="R22" s="92" t="e">
        <f t="shared" si="1"/>
        <v>#DIV/0!</v>
      </c>
    </row>
    <row r="23" spans="1:18" ht="18" customHeight="1">
      <c r="A23" s="21"/>
      <c r="B23" s="86"/>
      <c r="C23" s="64"/>
      <c r="D23" s="63"/>
      <c r="E23" s="87"/>
      <c r="F23" s="88"/>
      <c r="G23" s="89"/>
      <c r="H23" s="90"/>
      <c r="I23" s="87"/>
      <c r="J23" s="88"/>
      <c r="K23" s="89"/>
      <c r="L23" s="90"/>
      <c r="M23" s="87"/>
      <c r="N23" s="88"/>
      <c r="O23" s="89"/>
      <c r="P23" s="90"/>
      <c r="Q23" s="91">
        <f t="shared" si="0"/>
        <v>0</v>
      </c>
      <c r="R23" s="92" t="e">
        <f t="shared" si="1"/>
        <v>#DIV/0!</v>
      </c>
    </row>
    <row r="24" spans="1:18" ht="18" customHeight="1">
      <c r="A24" s="21"/>
      <c r="B24" s="86"/>
      <c r="C24" s="64"/>
      <c r="D24" s="63"/>
      <c r="E24" s="87"/>
      <c r="F24" s="88"/>
      <c r="G24" s="89"/>
      <c r="H24" s="90"/>
      <c r="I24" s="87"/>
      <c r="J24" s="88"/>
      <c r="K24" s="89"/>
      <c r="L24" s="90"/>
      <c r="M24" s="87"/>
      <c r="N24" s="88"/>
      <c r="O24" s="89"/>
      <c r="P24" s="90"/>
      <c r="Q24" s="91">
        <f t="shared" si="0"/>
        <v>0</v>
      </c>
      <c r="R24" s="92" t="e">
        <f t="shared" si="1"/>
        <v>#DIV/0!</v>
      </c>
    </row>
    <row r="25" spans="1:18" ht="18" customHeight="1">
      <c r="A25" s="21"/>
      <c r="B25" s="86"/>
      <c r="C25" s="64"/>
      <c r="D25" s="63"/>
      <c r="E25" s="87"/>
      <c r="F25" s="88"/>
      <c r="G25" s="89"/>
      <c r="H25" s="90"/>
      <c r="I25" s="87"/>
      <c r="J25" s="88"/>
      <c r="K25" s="89"/>
      <c r="L25" s="90"/>
      <c r="M25" s="87"/>
      <c r="N25" s="88"/>
      <c r="O25" s="89"/>
      <c r="P25" s="90"/>
      <c r="Q25" s="91">
        <f t="shared" si="0"/>
        <v>0</v>
      </c>
      <c r="R25" s="92" t="e">
        <f t="shared" si="1"/>
        <v>#DIV/0!</v>
      </c>
    </row>
    <row r="26" spans="1:18" ht="18" customHeight="1">
      <c r="A26" s="21"/>
      <c r="B26" s="86"/>
      <c r="C26" s="64"/>
      <c r="D26" s="63"/>
      <c r="E26" s="87"/>
      <c r="F26" s="88"/>
      <c r="G26" s="89"/>
      <c r="H26" s="90"/>
      <c r="I26" s="87"/>
      <c r="J26" s="88"/>
      <c r="K26" s="89"/>
      <c r="L26" s="90"/>
      <c r="M26" s="87"/>
      <c r="N26" s="88"/>
      <c r="O26" s="89"/>
      <c r="P26" s="90"/>
      <c r="Q26" s="91">
        <f t="shared" si="0"/>
        <v>0</v>
      </c>
      <c r="R26" s="92" t="e">
        <f t="shared" si="1"/>
        <v>#DIV/0!</v>
      </c>
    </row>
    <row r="27" spans="1:18" ht="18" customHeight="1">
      <c r="A27" s="21"/>
      <c r="B27" s="86"/>
      <c r="C27" s="65"/>
      <c r="D27" s="63"/>
      <c r="E27" s="87"/>
      <c r="F27" s="88"/>
      <c r="G27" s="89"/>
      <c r="H27" s="90"/>
      <c r="I27" s="87"/>
      <c r="J27" s="88"/>
      <c r="K27" s="89"/>
      <c r="L27" s="90"/>
      <c r="M27" s="87"/>
      <c r="N27" s="88"/>
      <c r="O27" s="89"/>
      <c r="P27" s="90"/>
      <c r="Q27" s="91">
        <f t="shared" si="0"/>
        <v>0</v>
      </c>
      <c r="R27" s="92" t="e">
        <f t="shared" si="1"/>
        <v>#DIV/0!</v>
      </c>
    </row>
    <row r="28" spans="1:18" ht="18" customHeight="1">
      <c r="A28" s="21"/>
      <c r="B28" s="86"/>
      <c r="C28" s="65"/>
      <c r="D28" s="63"/>
      <c r="E28" s="87"/>
      <c r="F28" s="88"/>
      <c r="G28" s="89"/>
      <c r="H28" s="90"/>
      <c r="I28" s="87"/>
      <c r="J28" s="88"/>
      <c r="K28" s="89"/>
      <c r="L28" s="90"/>
      <c r="M28" s="87"/>
      <c r="N28" s="88"/>
      <c r="O28" s="89"/>
      <c r="P28" s="90"/>
      <c r="Q28" s="91">
        <f t="shared" si="0"/>
        <v>0</v>
      </c>
      <c r="R28" s="92" t="e">
        <f t="shared" si="1"/>
        <v>#DIV/0!</v>
      </c>
    </row>
    <row r="29" spans="1:18" ht="18" customHeight="1" thickBot="1">
      <c r="A29" s="21"/>
      <c r="B29" s="93"/>
      <c r="C29" s="19"/>
      <c r="D29" s="79"/>
      <c r="E29" s="80"/>
      <c r="F29" s="81"/>
      <c r="G29" s="82"/>
      <c r="H29" s="83"/>
      <c r="I29" s="80"/>
      <c r="J29" s="81"/>
      <c r="K29" s="82"/>
      <c r="L29" s="83"/>
      <c r="M29" s="80"/>
      <c r="N29" s="81"/>
      <c r="O29" s="82"/>
      <c r="P29" s="83"/>
      <c r="Q29" s="94">
        <f t="shared" si="0"/>
        <v>0</v>
      </c>
      <c r="R29" s="85" t="e">
        <f t="shared" si="1"/>
        <v>#DIV/0!</v>
      </c>
    </row>
    <row r="30" spans="1:18" ht="18" customHeight="1" thickTop="1">
      <c r="B30" s="95" t="s">
        <v>57</v>
      </c>
      <c r="C30" s="96">
        <f t="shared" ref="C30:Q30" si="2">SUM(C10:C29)</f>
        <v>859</v>
      </c>
      <c r="D30" s="97">
        <f t="shared" si="2"/>
        <v>3724</v>
      </c>
      <c r="E30" s="98">
        <f t="shared" si="2"/>
        <v>886</v>
      </c>
      <c r="F30" s="99">
        <f t="shared" si="2"/>
        <v>854</v>
      </c>
      <c r="G30" s="100">
        <f t="shared" si="2"/>
        <v>0</v>
      </c>
      <c r="H30" s="101">
        <f t="shared" si="2"/>
        <v>0</v>
      </c>
      <c r="I30" s="98">
        <f t="shared" si="2"/>
        <v>0</v>
      </c>
      <c r="J30" s="99">
        <f t="shared" si="2"/>
        <v>0</v>
      </c>
      <c r="K30" s="100">
        <f t="shared" si="2"/>
        <v>0</v>
      </c>
      <c r="L30" s="101">
        <f t="shared" si="2"/>
        <v>0</v>
      </c>
      <c r="M30" s="98">
        <f t="shared" si="2"/>
        <v>0</v>
      </c>
      <c r="N30" s="99">
        <f t="shared" si="2"/>
        <v>0</v>
      </c>
      <c r="O30" s="100">
        <f t="shared" si="2"/>
        <v>0</v>
      </c>
      <c r="P30" s="101">
        <f t="shared" si="2"/>
        <v>0</v>
      </c>
      <c r="Q30" s="102">
        <f t="shared" si="2"/>
        <v>886</v>
      </c>
      <c r="R30" s="103">
        <f>Q30/D30</f>
        <v>0.23791621911922664</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7" zoomScaleNormal="100" zoomScaleSheetLayoutView="100" workbookViewId="0">
      <selection activeCell="B15" sqref="B15:J25"/>
    </sheetView>
  </sheetViews>
  <sheetFormatPr defaultColWidth="11.33203125" defaultRowHeight="18.75" customHeight="1"/>
  <cols>
    <col min="1" max="1" width="2.77734375" style="57" customWidth="1"/>
    <col min="2" max="2" width="16.6640625" style="4" customWidth="1"/>
    <col min="3" max="3" width="8.88671875" style="4" customWidth="1"/>
    <col min="4" max="4" width="2.21875" style="4" customWidth="1"/>
    <col min="5" max="5" width="16.6640625" style="4" customWidth="1"/>
    <col min="6" max="6" width="8.88671875" style="4" customWidth="1"/>
    <col min="7" max="7" width="2.21875" style="4" customWidth="1"/>
    <col min="8" max="8" width="16.6640625" style="4" customWidth="1"/>
    <col min="9" max="9" width="8.88671875" style="4" customWidth="1"/>
    <col min="10" max="10" width="2.21875" style="4" customWidth="1"/>
    <col min="11" max="16384" width="11.33203125" style="4"/>
  </cols>
  <sheetData>
    <row r="1" spans="1:11" ht="18.75" customHeight="1">
      <c r="A1" s="57" t="s">
        <v>114</v>
      </c>
      <c r="J1" s="62" t="s">
        <v>115</v>
      </c>
    </row>
    <row r="2" spans="1:11" ht="18.75" customHeight="1">
      <c r="A2" s="179" t="s">
        <v>64</v>
      </c>
      <c r="B2" s="179"/>
      <c r="C2" s="179"/>
      <c r="D2" s="179"/>
      <c r="E2" s="179"/>
      <c r="F2" s="179"/>
      <c r="G2" s="179"/>
      <c r="H2" s="179"/>
      <c r="I2" s="179"/>
      <c r="J2" s="179"/>
    </row>
    <row r="3" spans="1:11" ht="7.5" customHeight="1">
      <c r="B3" s="72"/>
      <c r="C3" s="72"/>
      <c r="D3" s="72"/>
      <c r="E3" s="72"/>
      <c r="F3" s="72"/>
      <c r="G3" s="72"/>
      <c r="H3" s="72"/>
      <c r="I3" s="72"/>
      <c r="J3" s="72"/>
    </row>
    <row r="4" spans="1:11" ht="18.75" customHeight="1">
      <c r="A4" s="4" t="s">
        <v>6</v>
      </c>
      <c r="B4" s="4" t="s">
        <v>72</v>
      </c>
      <c r="I4" s="72"/>
      <c r="J4" s="72"/>
    </row>
    <row r="5" spans="1:11" ht="18.75" customHeight="1">
      <c r="A5" s="4"/>
      <c r="B5" s="116" t="s">
        <v>167</v>
      </c>
      <c r="C5" s="117"/>
      <c r="D5" s="117"/>
      <c r="E5" s="117"/>
      <c r="F5" s="117"/>
      <c r="G5" s="117"/>
      <c r="H5" s="117"/>
      <c r="I5" s="117"/>
      <c r="J5" s="216"/>
      <c r="K5" s="4" t="str">
        <f>IF(B5="","入力してください","")</f>
        <v/>
      </c>
    </row>
    <row r="6" spans="1:11" ht="7.5" customHeight="1">
      <c r="B6" s="72"/>
      <c r="C6" s="72"/>
      <c r="D6" s="72"/>
      <c r="E6" s="72"/>
      <c r="F6" s="72"/>
      <c r="G6" s="72"/>
      <c r="H6" s="72"/>
      <c r="I6" s="72"/>
      <c r="J6" s="72"/>
    </row>
    <row r="7" spans="1:11" ht="18.75" customHeight="1">
      <c r="A7" s="4" t="s">
        <v>9</v>
      </c>
      <c r="B7" s="4" t="s">
        <v>39</v>
      </c>
      <c r="K7" s="5"/>
    </row>
    <row r="8" spans="1:11" ht="18.75" customHeight="1">
      <c r="A8" s="22"/>
      <c r="B8" s="250" t="s">
        <v>168</v>
      </c>
      <c r="C8" s="251"/>
      <c r="D8" s="251"/>
      <c r="E8" s="251"/>
      <c r="F8" s="251"/>
      <c r="G8" s="251"/>
      <c r="H8" s="251"/>
      <c r="I8" s="252"/>
      <c r="J8" s="253"/>
      <c r="K8" s="4" t="str">
        <f>IF(B8="","入力してください","")</f>
        <v/>
      </c>
    </row>
    <row r="9" spans="1:11" ht="18.75" customHeight="1">
      <c r="A9" s="22"/>
      <c r="B9" s="244"/>
      <c r="C9" s="245"/>
      <c r="D9" s="245"/>
      <c r="E9" s="245"/>
      <c r="F9" s="245"/>
      <c r="G9" s="245"/>
      <c r="H9" s="245"/>
      <c r="I9" s="245"/>
      <c r="J9" s="246"/>
    </row>
    <row r="10" spans="1:11" ht="18.75" customHeight="1">
      <c r="A10" s="22"/>
      <c r="B10" s="244"/>
      <c r="C10" s="245"/>
      <c r="D10" s="245"/>
      <c r="E10" s="245"/>
      <c r="F10" s="245"/>
      <c r="G10" s="245"/>
      <c r="H10" s="245"/>
      <c r="I10" s="245"/>
      <c r="J10" s="246"/>
    </row>
    <row r="11" spans="1:11" ht="18.75" customHeight="1">
      <c r="A11" s="22"/>
      <c r="B11" s="244"/>
      <c r="C11" s="245"/>
      <c r="D11" s="245"/>
      <c r="E11" s="245"/>
      <c r="F11" s="245"/>
      <c r="G11" s="245"/>
      <c r="H11" s="245"/>
      <c r="I11" s="245"/>
      <c r="J11" s="246"/>
    </row>
    <row r="12" spans="1:11" ht="18.75" customHeight="1">
      <c r="A12" s="22"/>
      <c r="B12" s="247"/>
      <c r="C12" s="248"/>
      <c r="D12" s="248"/>
      <c r="E12" s="248"/>
      <c r="F12" s="248"/>
      <c r="G12" s="248"/>
      <c r="H12" s="248"/>
      <c r="I12" s="248"/>
      <c r="J12" s="249"/>
    </row>
    <row r="13" spans="1:11" ht="7.5" customHeight="1">
      <c r="A13" s="22"/>
      <c r="B13" s="22"/>
      <c r="C13" s="22"/>
      <c r="D13" s="22"/>
      <c r="E13" s="22"/>
      <c r="F13" s="22"/>
      <c r="G13" s="22"/>
      <c r="H13" s="22"/>
      <c r="I13" s="22"/>
      <c r="J13" s="22"/>
    </row>
    <row r="14" spans="1:11" ht="18.75" customHeight="1">
      <c r="A14" s="69" t="s">
        <v>10</v>
      </c>
      <c r="B14" s="69" t="s">
        <v>15</v>
      </c>
      <c r="C14" s="69"/>
      <c r="D14" s="69"/>
      <c r="E14" s="69"/>
      <c r="F14" s="69"/>
      <c r="G14" s="69"/>
      <c r="H14" s="69"/>
      <c r="I14" s="69"/>
      <c r="J14" s="69"/>
    </row>
    <row r="15" spans="1:11" ht="18.75" customHeight="1">
      <c r="A15" s="22"/>
      <c r="B15" s="279" t="s">
        <v>254</v>
      </c>
      <c r="C15" s="280"/>
      <c r="D15" s="280"/>
      <c r="E15" s="280"/>
      <c r="F15" s="280"/>
      <c r="G15" s="280"/>
      <c r="H15" s="280"/>
      <c r="I15" s="281"/>
      <c r="J15" s="282"/>
      <c r="K15" s="4" t="str">
        <f>IF(B15="","入力してください","")</f>
        <v/>
      </c>
    </row>
    <row r="16" spans="1:11" ht="18.75" customHeight="1">
      <c r="A16" s="22"/>
      <c r="B16" s="283"/>
      <c r="C16" s="284"/>
      <c r="D16" s="284"/>
      <c r="E16" s="284"/>
      <c r="F16" s="284"/>
      <c r="G16" s="284"/>
      <c r="H16" s="284"/>
      <c r="I16" s="284"/>
      <c r="J16" s="285"/>
    </row>
    <row r="17" spans="1:11" ht="18.75" customHeight="1">
      <c r="A17" s="22"/>
      <c r="B17" s="283"/>
      <c r="C17" s="284"/>
      <c r="D17" s="284"/>
      <c r="E17" s="284"/>
      <c r="F17" s="284"/>
      <c r="G17" s="284"/>
      <c r="H17" s="284"/>
      <c r="I17" s="284"/>
      <c r="J17" s="285"/>
    </row>
    <row r="18" spans="1:11" ht="18.75" customHeight="1">
      <c r="A18" s="22"/>
      <c r="B18" s="283"/>
      <c r="C18" s="284"/>
      <c r="D18" s="284"/>
      <c r="E18" s="284"/>
      <c r="F18" s="284"/>
      <c r="G18" s="284"/>
      <c r="H18" s="284"/>
      <c r="I18" s="284"/>
      <c r="J18" s="285"/>
    </row>
    <row r="19" spans="1:11" ht="18.75" customHeight="1">
      <c r="A19" s="22"/>
      <c r="B19" s="283"/>
      <c r="C19" s="284"/>
      <c r="D19" s="284"/>
      <c r="E19" s="284"/>
      <c r="F19" s="284"/>
      <c r="G19" s="284"/>
      <c r="H19" s="284"/>
      <c r="I19" s="284"/>
      <c r="J19" s="285"/>
    </row>
    <row r="20" spans="1:11" ht="18.75" customHeight="1">
      <c r="A20" s="22"/>
      <c r="B20" s="283"/>
      <c r="C20" s="284"/>
      <c r="D20" s="284"/>
      <c r="E20" s="284"/>
      <c r="F20" s="284"/>
      <c r="G20" s="284"/>
      <c r="H20" s="284"/>
      <c r="I20" s="284"/>
      <c r="J20" s="285"/>
    </row>
    <row r="21" spans="1:11" ht="18.75" customHeight="1">
      <c r="A21" s="22"/>
      <c r="B21" s="283"/>
      <c r="C21" s="284"/>
      <c r="D21" s="284"/>
      <c r="E21" s="284"/>
      <c r="F21" s="284"/>
      <c r="G21" s="284"/>
      <c r="H21" s="284"/>
      <c r="I21" s="284"/>
      <c r="J21" s="285"/>
    </row>
    <row r="22" spans="1:11" ht="18.75" customHeight="1">
      <c r="A22" s="22"/>
      <c r="B22" s="283"/>
      <c r="C22" s="284"/>
      <c r="D22" s="284"/>
      <c r="E22" s="284"/>
      <c r="F22" s="284"/>
      <c r="G22" s="284"/>
      <c r="H22" s="284"/>
      <c r="I22" s="284"/>
      <c r="J22" s="285"/>
    </row>
    <row r="23" spans="1:11" ht="18.75" customHeight="1">
      <c r="A23" s="22"/>
      <c r="B23" s="283"/>
      <c r="C23" s="284"/>
      <c r="D23" s="284"/>
      <c r="E23" s="284"/>
      <c r="F23" s="284"/>
      <c r="G23" s="284"/>
      <c r="H23" s="284"/>
      <c r="I23" s="284"/>
      <c r="J23" s="285"/>
    </row>
    <row r="24" spans="1:11" ht="18.75" customHeight="1">
      <c r="A24" s="22"/>
      <c r="B24" s="283"/>
      <c r="C24" s="284"/>
      <c r="D24" s="284"/>
      <c r="E24" s="284"/>
      <c r="F24" s="284"/>
      <c r="G24" s="284"/>
      <c r="H24" s="284"/>
      <c r="I24" s="284"/>
      <c r="J24" s="285"/>
    </row>
    <row r="25" spans="1:11" ht="18.75" customHeight="1">
      <c r="A25" s="22"/>
      <c r="B25" s="286"/>
      <c r="C25" s="287"/>
      <c r="D25" s="287"/>
      <c r="E25" s="287"/>
      <c r="F25" s="287"/>
      <c r="G25" s="287"/>
      <c r="H25" s="287"/>
      <c r="I25" s="287"/>
      <c r="J25" s="288"/>
    </row>
    <row r="26" spans="1:11" ht="7.5" customHeight="1">
      <c r="A26" s="49"/>
      <c r="B26" s="49"/>
      <c r="C26" s="49"/>
      <c r="D26" s="49"/>
      <c r="E26" s="49"/>
      <c r="F26" s="49"/>
      <c r="G26" s="49"/>
      <c r="H26" s="49"/>
      <c r="I26" s="49"/>
      <c r="J26" s="49"/>
    </row>
    <row r="27" spans="1:11" ht="18.75" customHeight="1">
      <c r="A27" s="4" t="s">
        <v>13</v>
      </c>
      <c r="B27" s="4" t="s">
        <v>26</v>
      </c>
    </row>
    <row r="28" spans="1:11" s="72" customFormat="1" ht="18.75" customHeight="1">
      <c r="B28" s="29" t="s">
        <v>116</v>
      </c>
      <c r="C28" s="30">
        <f>'様式３　履修者等数の実績'!R30</f>
        <v>0.23791621911922664</v>
      </c>
      <c r="D28" s="31"/>
      <c r="E28" s="31" t="s">
        <v>117</v>
      </c>
      <c r="F28" s="30">
        <v>0.47</v>
      </c>
      <c r="G28" s="31"/>
      <c r="H28" s="31" t="s">
        <v>118</v>
      </c>
      <c r="I28" s="32">
        <v>0.71</v>
      </c>
      <c r="J28" s="33"/>
      <c r="K28" s="4"/>
    </row>
    <row r="29" spans="1:11" s="72" customFormat="1" ht="18.75" customHeight="1">
      <c r="B29" s="26" t="s">
        <v>119</v>
      </c>
      <c r="C29" s="34">
        <v>0.94</v>
      </c>
      <c r="D29" s="27"/>
      <c r="E29" s="27" t="s">
        <v>120</v>
      </c>
      <c r="F29" s="34">
        <v>1</v>
      </c>
      <c r="G29" s="27"/>
      <c r="H29" s="27" t="s">
        <v>121</v>
      </c>
      <c r="I29" s="35">
        <f>'様式３　履修者等数の実績'!D30</f>
        <v>3724</v>
      </c>
      <c r="J29" s="36"/>
      <c r="K29" s="5"/>
    </row>
    <row r="30" spans="1:11" ht="18.75" customHeight="1">
      <c r="A30" s="4"/>
      <c r="B30" s="145" t="s">
        <v>122</v>
      </c>
      <c r="C30" s="146"/>
      <c r="D30" s="146"/>
      <c r="E30" s="146"/>
      <c r="F30" s="146"/>
      <c r="G30" s="146"/>
      <c r="H30" s="146"/>
      <c r="I30" s="146"/>
      <c r="J30" s="147"/>
      <c r="K30" s="5"/>
    </row>
    <row r="31" spans="1:11" ht="18.75" customHeight="1">
      <c r="A31" s="4"/>
      <c r="B31" s="241" t="s">
        <v>230</v>
      </c>
      <c r="C31" s="242"/>
      <c r="D31" s="242"/>
      <c r="E31" s="242"/>
      <c r="F31" s="242"/>
      <c r="G31" s="242"/>
      <c r="H31" s="242"/>
      <c r="I31" s="242"/>
      <c r="J31" s="243"/>
      <c r="K31" s="5" t="str">
        <f>IF(B31="","入力してください","")</f>
        <v/>
      </c>
    </row>
    <row r="32" spans="1:11" ht="18.75" customHeight="1">
      <c r="A32" s="4"/>
      <c r="B32" s="244"/>
      <c r="C32" s="245"/>
      <c r="D32" s="245"/>
      <c r="E32" s="245"/>
      <c r="F32" s="245"/>
      <c r="G32" s="245"/>
      <c r="H32" s="245"/>
      <c r="I32" s="245"/>
      <c r="J32" s="246"/>
      <c r="K32" s="5"/>
    </row>
    <row r="33" spans="1:11" ht="18.75" customHeight="1">
      <c r="A33" s="4"/>
      <c r="B33" s="244"/>
      <c r="C33" s="245"/>
      <c r="D33" s="245"/>
      <c r="E33" s="245"/>
      <c r="F33" s="245"/>
      <c r="G33" s="245"/>
      <c r="H33" s="245"/>
      <c r="I33" s="245"/>
      <c r="J33" s="246"/>
      <c r="K33" s="5"/>
    </row>
    <row r="34" spans="1:11" ht="18.75" customHeight="1">
      <c r="A34" s="4"/>
      <c r="B34" s="244"/>
      <c r="C34" s="245"/>
      <c r="D34" s="245"/>
      <c r="E34" s="245"/>
      <c r="F34" s="245"/>
      <c r="G34" s="245"/>
      <c r="H34" s="245"/>
      <c r="I34" s="245"/>
      <c r="J34" s="246"/>
      <c r="K34" s="5"/>
    </row>
    <row r="35" spans="1:11" ht="18.75" customHeight="1">
      <c r="A35" s="4"/>
      <c r="B35" s="244"/>
      <c r="C35" s="245"/>
      <c r="D35" s="245"/>
      <c r="E35" s="245"/>
      <c r="F35" s="245"/>
      <c r="G35" s="245"/>
      <c r="H35" s="245"/>
      <c r="I35" s="245"/>
      <c r="J35" s="246"/>
      <c r="K35" s="5"/>
    </row>
    <row r="36" spans="1:11" ht="18.75" customHeight="1">
      <c r="A36" s="4"/>
      <c r="B36" s="244"/>
      <c r="C36" s="245"/>
      <c r="D36" s="245"/>
      <c r="E36" s="245"/>
      <c r="F36" s="245"/>
      <c r="G36" s="245"/>
      <c r="H36" s="245"/>
      <c r="I36" s="245"/>
      <c r="J36" s="246"/>
      <c r="K36" s="5"/>
    </row>
    <row r="37" spans="1:11" ht="18.75" customHeight="1">
      <c r="A37" s="4"/>
      <c r="B37" s="244"/>
      <c r="C37" s="245"/>
      <c r="D37" s="245"/>
      <c r="E37" s="245"/>
      <c r="F37" s="245"/>
      <c r="G37" s="245"/>
      <c r="H37" s="245"/>
      <c r="I37" s="245"/>
      <c r="J37" s="246"/>
      <c r="K37" s="5"/>
    </row>
    <row r="38" spans="1:11" ht="18.75" customHeight="1">
      <c r="A38" s="4"/>
      <c r="B38" s="244"/>
      <c r="C38" s="245"/>
      <c r="D38" s="245"/>
      <c r="E38" s="245"/>
      <c r="F38" s="245"/>
      <c r="G38" s="245"/>
      <c r="H38" s="245"/>
      <c r="I38" s="245"/>
      <c r="J38" s="246"/>
      <c r="K38" s="5"/>
    </row>
    <row r="39" spans="1:11" ht="18.75" customHeight="1">
      <c r="A39" s="4"/>
      <c r="B39" s="244"/>
      <c r="C39" s="245"/>
      <c r="D39" s="245"/>
      <c r="E39" s="245"/>
      <c r="F39" s="245"/>
      <c r="G39" s="245"/>
      <c r="H39" s="245"/>
      <c r="I39" s="245"/>
      <c r="J39" s="246"/>
      <c r="K39" s="5"/>
    </row>
    <row r="40" spans="1:11" ht="18.75" customHeight="1">
      <c r="A40" s="4"/>
      <c r="B40" s="244"/>
      <c r="C40" s="245"/>
      <c r="D40" s="245"/>
      <c r="E40" s="245"/>
      <c r="F40" s="245"/>
      <c r="G40" s="245"/>
      <c r="H40" s="245"/>
      <c r="I40" s="245"/>
      <c r="J40" s="246"/>
      <c r="K40" s="5"/>
    </row>
    <row r="41" spans="1:11" ht="18.75" customHeight="1">
      <c r="A41" s="4"/>
      <c r="B41" s="244"/>
      <c r="C41" s="245"/>
      <c r="D41" s="245"/>
      <c r="E41" s="245"/>
      <c r="F41" s="245"/>
      <c r="G41" s="245"/>
      <c r="H41" s="245"/>
      <c r="I41" s="245"/>
      <c r="J41" s="246"/>
      <c r="K41" s="5"/>
    </row>
    <row r="42" spans="1:11" ht="18.75" customHeight="1">
      <c r="A42" s="4"/>
      <c r="B42" s="244"/>
      <c r="C42" s="245"/>
      <c r="D42" s="245"/>
      <c r="E42" s="245"/>
      <c r="F42" s="245"/>
      <c r="G42" s="245"/>
      <c r="H42" s="245"/>
      <c r="I42" s="245"/>
      <c r="J42" s="246"/>
      <c r="K42" s="5"/>
    </row>
    <row r="43" spans="1:11" ht="18.75" customHeight="1">
      <c r="A43" s="49"/>
      <c r="B43" s="244"/>
      <c r="C43" s="245"/>
      <c r="D43" s="245"/>
      <c r="E43" s="245"/>
      <c r="F43" s="245"/>
      <c r="G43" s="245"/>
      <c r="H43" s="245"/>
      <c r="I43" s="245"/>
      <c r="J43" s="246"/>
      <c r="K43" s="5"/>
    </row>
    <row r="44" spans="1:11" ht="18.75" customHeight="1">
      <c r="A44" s="49"/>
      <c r="B44" s="247"/>
      <c r="C44" s="248"/>
      <c r="D44" s="248"/>
      <c r="E44" s="248"/>
      <c r="F44" s="248"/>
      <c r="G44" s="248"/>
      <c r="H44" s="248"/>
      <c r="I44" s="248"/>
      <c r="J44" s="249"/>
    </row>
    <row r="45" spans="1:11" ht="18.75" customHeight="1">
      <c r="A45" s="69" t="s">
        <v>11</v>
      </c>
      <c r="B45" s="4" t="s">
        <v>65</v>
      </c>
      <c r="I45" s="69"/>
      <c r="J45" s="69"/>
    </row>
    <row r="46" spans="1:11" ht="18.75" customHeight="1">
      <c r="A46" s="49"/>
      <c r="B46" s="250" t="s">
        <v>224</v>
      </c>
      <c r="C46" s="251"/>
      <c r="D46" s="251"/>
      <c r="E46" s="251"/>
      <c r="F46" s="251"/>
      <c r="G46" s="251"/>
      <c r="H46" s="251"/>
      <c r="I46" s="251"/>
      <c r="J46" s="254"/>
      <c r="K46" s="4" t="str">
        <f>IF(B46="","入力してください","")</f>
        <v/>
      </c>
    </row>
    <row r="47" spans="1:11" ht="18.75" customHeight="1">
      <c r="A47" s="49"/>
      <c r="B47" s="255"/>
      <c r="C47" s="256"/>
      <c r="D47" s="256"/>
      <c r="E47" s="256"/>
      <c r="F47" s="256"/>
      <c r="G47" s="256"/>
      <c r="H47" s="256"/>
      <c r="I47" s="256"/>
      <c r="J47" s="257"/>
    </row>
    <row r="48" spans="1:11" ht="18.75" customHeight="1">
      <c r="A48" s="49"/>
      <c r="B48" s="255"/>
      <c r="C48" s="256"/>
      <c r="D48" s="256"/>
      <c r="E48" s="256"/>
      <c r="F48" s="256"/>
      <c r="G48" s="256"/>
      <c r="H48" s="256"/>
      <c r="I48" s="256"/>
      <c r="J48" s="257"/>
    </row>
    <row r="49" spans="1:10" ht="18.75" customHeight="1">
      <c r="A49" s="49"/>
      <c r="B49" s="255"/>
      <c r="C49" s="256"/>
      <c r="D49" s="256"/>
      <c r="E49" s="256"/>
      <c r="F49" s="256"/>
      <c r="G49" s="256"/>
      <c r="H49" s="256"/>
      <c r="I49" s="256"/>
      <c r="J49" s="257"/>
    </row>
    <row r="50" spans="1:10" ht="18.75" customHeight="1">
      <c r="A50" s="49"/>
      <c r="B50" s="255"/>
      <c r="C50" s="256"/>
      <c r="D50" s="256"/>
      <c r="E50" s="256"/>
      <c r="F50" s="256"/>
      <c r="G50" s="256"/>
      <c r="H50" s="256"/>
      <c r="I50" s="256"/>
      <c r="J50" s="257"/>
    </row>
    <row r="51" spans="1:10" ht="18.75" customHeight="1">
      <c r="A51" s="49"/>
      <c r="B51" s="255"/>
      <c r="C51" s="256"/>
      <c r="D51" s="256"/>
      <c r="E51" s="256"/>
      <c r="F51" s="256"/>
      <c r="G51" s="256"/>
      <c r="H51" s="256"/>
      <c r="I51" s="256"/>
      <c r="J51" s="257"/>
    </row>
    <row r="52" spans="1:10" ht="18.75" customHeight="1">
      <c r="A52" s="49"/>
      <c r="B52" s="255"/>
      <c r="C52" s="256"/>
      <c r="D52" s="256"/>
      <c r="E52" s="256"/>
      <c r="F52" s="256"/>
      <c r="G52" s="256"/>
      <c r="H52" s="256"/>
      <c r="I52" s="256"/>
      <c r="J52" s="257"/>
    </row>
    <row r="53" spans="1:10" ht="18.75" customHeight="1">
      <c r="A53" s="49"/>
      <c r="B53" s="255"/>
      <c r="C53" s="256"/>
      <c r="D53" s="256"/>
      <c r="E53" s="256"/>
      <c r="F53" s="256"/>
      <c r="G53" s="256"/>
      <c r="H53" s="256"/>
      <c r="I53" s="256"/>
      <c r="J53" s="257"/>
    </row>
    <row r="54" spans="1:10" ht="18.75" customHeight="1">
      <c r="A54" s="49"/>
      <c r="B54" s="255"/>
      <c r="C54" s="256"/>
      <c r="D54" s="256"/>
      <c r="E54" s="256"/>
      <c r="F54" s="256"/>
      <c r="G54" s="256"/>
      <c r="H54" s="256"/>
      <c r="I54" s="256"/>
      <c r="J54" s="257"/>
    </row>
    <row r="55" spans="1:10" ht="18.75" customHeight="1">
      <c r="A55" s="49"/>
      <c r="B55" s="255"/>
      <c r="C55" s="256"/>
      <c r="D55" s="256"/>
      <c r="E55" s="256"/>
      <c r="F55" s="256"/>
      <c r="G55" s="256"/>
      <c r="H55" s="256"/>
      <c r="I55" s="256"/>
      <c r="J55" s="257"/>
    </row>
    <row r="56" spans="1:10" ht="18.75" customHeight="1">
      <c r="A56" s="49"/>
      <c r="B56" s="255"/>
      <c r="C56" s="256"/>
      <c r="D56" s="256"/>
      <c r="E56" s="256"/>
      <c r="F56" s="256"/>
      <c r="G56" s="256"/>
      <c r="H56" s="256"/>
      <c r="I56" s="256"/>
      <c r="J56" s="257"/>
    </row>
    <row r="57" spans="1:10" ht="18.75" customHeight="1">
      <c r="A57" s="49"/>
      <c r="B57" s="255"/>
      <c r="C57" s="256"/>
      <c r="D57" s="256"/>
      <c r="E57" s="256"/>
      <c r="F57" s="256"/>
      <c r="G57" s="256"/>
      <c r="H57" s="256"/>
      <c r="I57" s="256"/>
      <c r="J57" s="257"/>
    </row>
    <row r="58" spans="1:10" ht="18.75" customHeight="1">
      <c r="A58" s="49"/>
      <c r="B58" s="255"/>
      <c r="C58" s="256"/>
      <c r="D58" s="256"/>
      <c r="E58" s="256"/>
      <c r="F58" s="256"/>
      <c r="G58" s="256"/>
      <c r="H58" s="256"/>
      <c r="I58" s="256"/>
      <c r="J58" s="257"/>
    </row>
    <row r="59" spans="1:10" ht="18.75" customHeight="1">
      <c r="A59" s="49"/>
      <c r="B59" s="255"/>
      <c r="C59" s="256"/>
      <c r="D59" s="256"/>
      <c r="E59" s="256"/>
      <c r="F59" s="256"/>
      <c r="G59" s="256"/>
      <c r="H59" s="256"/>
      <c r="I59" s="256"/>
      <c r="J59" s="257"/>
    </row>
    <row r="60" spans="1:10" ht="18.75" customHeight="1">
      <c r="A60" s="49"/>
      <c r="B60" s="255"/>
      <c r="C60" s="256"/>
      <c r="D60" s="256"/>
      <c r="E60" s="256"/>
      <c r="F60" s="256"/>
      <c r="G60" s="256"/>
      <c r="H60" s="256"/>
      <c r="I60" s="256"/>
      <c r="J60" s="257"/>
    </row>
    <row r="61" spans="1:10" ht="18.75" customHeight="1">
      <c r="A61" s="49"/>
      <c r="B61" s="255"/>
      <c r="C61" s="256"/>
      <c r="D61" s="256"/>
      <c r="E61" s="256"/>
      <c r="F61" s="256"/>
      <c r="G61" s="256"/>
      <c r="H61" s="256"/>
      <c r="I61" s="256"/>
      <c r="J61" s="257"/>
    </row>
    <row r="62" spans="1:10" ht="18.75" customHeight="1">
      <c r="A62" s="49"/>
      <c r="B62" s="255"/>
      <c r="C62" s="256"/>
      <c r="D62" s="256"/>
      <c r="E62" s="256"/>
      <c r="F62" s="256"/>
      <c r="G62" s="256"/>
      <c r="H62" s="256"/>
      <c r="I62" s="256"/>
      <c r="J62" s="257"/>
    </row>
    <row r="63" spans="1:10" ht="18.75" customHeight="1">
      <c r="A63" s="49"/>
      <c r="B63" s="255"/>
      <c r="C63" s="256"/>
      <c r="D63" s="256"/>
      <c r="E63" s="256"/>
      <c r="F63" s="256"/>
      <c r="G63" s="256"/>
      <c r="H63" s="256"/>
      <c r="I63" s="256"/>
      <c r="J63" s="257"/>
    </row>
    <row r="64" spans="1:10" ht="18.75" customHeight="1">
      <c r="A64" s="49"/>
      <c r="B64" s="255"/>
      <c r="C64" s="256"/>
      <c r="D64" s="256"/>
      <c r="E64" s="256"/>
      <c r="F64" s="256"/>
      <c r="G64" s="256"/>
      <c r="H64" s="256"/>
      <c r="I64" s="256"/>
      <c r="J64" s="257"/>
    </row>
    <row r="65" spans="1:11" ht="18.75" customHeight="1">
      <c r="A65" s="49"/>
      <c r="B65" s="255"/>
      <c r="C65" s="256"/>
      <c r="D65" s="256"/>
      <c r="E65" s="256"/>
      <c r="F65" s="256"/>
      <c r="G65" s="256"/>
      <c r="H65" s="256"/>
      <c r="I65" s="256"/>
      <c r="J65" s="257"/>
    </row>
    <row r="66" spans="1:11" ht="18.75" customHeight="1">
      <c r="A66" s="49"/>
      <c r="B66" s="258"/>
      <c r="C66" s="259"/>
      <c r="D66" s="259"/>
      <c r="E66" s="259"/>
      <c r="F66" s="259"/>
      <c r="G66" s="259"/>
      <c r="H66" s="259"/>
      <c r="I66" s="259"/>
      <c r="J66" s="260"/>
    </row>
    <row r="67" spans="1:11" ht="7.5" customHeight="1">
      <c r="A67" s="49"/>
      <c r="B67" s="49"/>
      <c r="C67" s="49"/>
      <c r="D67" s="49"/>
      <c r="E67" s="49"/>
      <c r="F67" s="49"/>
      <c r="G67" s="49"/>
      <c r="H67" s="49"/>
      <c r="I67" s="49"/>
      <c r="J67" s="49"/>
    </row>
    <row r="68" spans="1:11" ht="18.75" customHeight="1">
      <c r="A68" s="4" t="s">
        <v>14</v>
      </c>
      <c r="B68" s="4" t="s">
        <v>71</v>
      </c>
    </row>
    <row r="69" spans="1:11" ht="18.75" customHeight="1">
      <c r="A69" s="4"/>
      <c r="B69" s="250" t="s">
        <v>169</v>
      </c>
      <c r="C69" s="251"/>
      <c r="D69" s="251"/>
      <c r="E69" s="251"/>
      <c r="F69" s="251"/>
      <c r="G69" s="251"/>
      <c r="H69" s="251"/>
      <c r="I69" s="252"/>
      <c r="J69" s="253"/>
      <c r="K69" s="5" t="str">
        <f>IF(B69="","入力してください","")</f>
        <v/>
      </c>
    </row>
    <row r="70" spans="1:11" ht="18.75" customHeight="1">
      <c r="A70" s="4"/>
      <c r="B70" s="244"/>
      <c r="C70" s="245"/>
      <c r="D70" s="245"/>
      <c r="E70" s="245"/>
      <c r="F70" s="245"/>
      <c r="G70" s="245"/>
      <c r="H70" s="245"/>
      <c r="I70" s="245"/>
      <c r="J70" s="246"/>
      <c r="K70" s="5"/>
    </row>
    <row r="71" spans="1:11" ht="18.75" customHeight="1">
      <c r="A71" s="4"/>
      <c r="B71" s="244"/>
      <c r="C71" s="245"/>
      <c r="D71" s="245"/>
      <c r="E71" s="245"/>
      <c r="F71" s="245"/>
      <c r="G71" s="245"/>
      <c r="H71" s="245"/>
      <c r="I71" s="245"/>
      <c r="J71" s="246"/>
      <c r="K71" s="5"/>
    </row>
    <row r="72" spans="1:11" ht="18.75" customHeight="1">
      <c r="A72" s="4"/>
      <c r="B72" s="244"/>
      <c r="C72" s="245"/>
      <c r="D72" s="245"/>
      <c r="E72" s="245"/>
      <c r="F72" s="245"/>
      <c r="G72" s="245"/>
      <c r="H72" s="245"/>
      <c r="I72" s="245"/>
      <c r="J72" s="246"/>
      <c r="K72" s="5"/>
    </row>
    <row r="73" spans="1:11" ht="18.75" customHeight="1">
      <c r="A73" s="4"/>
      <c r="B73" s="244"/>
      <c r="C73" s="245"/>
      <c r="D73" s="245"/>
      <c r="E73" s="245"/>
      <c r="F73" s="245"/>
      <c r="G73" s="245"/>
      <c r="H73" s="245"/>
      <c r="I73" s="245"/>
      <c r="J73" s="246"/>
      <c r="K73" s="5"/>
    </row>
    <row r="74" spans="1:11" ht="18.75" customHeight="1">
      <c r="A74" s="4"/>
      <c r="B74" s="244"/>
      <c r="C74" s="245"/>
      <c r="D74" s="245"/>
      <c r="E74" s="245"/>
      <c r="F74" s="245"/>
      <c r="G74" s="245"/>
      <c r="H74" s="245"/>
      <c r="I74" s="245"/>
      <c r="J74" s="246"/>
      <c r="K74" s="5"/>
    </row>
    <row r="75" spans="1:11" ht="18.75" customHeight="1">
      <c r="A75" s="4"/>
      <c r="B75" s="244"/>
      <c r="C75" s="245"/>
      <c r="D75" s="245"/>
      <c r="E75" s="245"/>
      <c r="F75" s="245"/>
      <c r="G75" s="245"/>
      <c r="H75" s="245"/>
      <c r="I75" s="245"/>
      <c r="J75" s="246"/>
      <c r="K75" s="5"/>
    </row>
    <row r="76" spans="1:11" ht="18.75" customHeight="1">
      <c r="A76" s="4"/>
      <c r="B76" s="244"/>
      <c r="C76" s="245"/>
      <c r="D76" s="245"/>
      <c r="E76" s="245"/>
      <c r="F76" s="245"/>
      <c r="G76" s="245"/>
      <c r="H76" s="245"/>
      <c r="I76" s="245"/>
      <c r="J76" s="246"/>
      <c r="K76" s="5"/>
    </row>
    <row r="77" spans="1:11" ht="18.75" customHeight="1">
      <c r="A77" s="4"/>
      <c r="B77" s="244"/>
      <c r="C77" s="245"/>
      <c r="D77" s="245"/>
      <c r="E77" s="245"/>
      <c r="F77" s="245"/>
      <c r="G77" s="245"/>
      <c r="H77" s="245"/>
      <c r="I77" s="245"/>
      <c r="J77" s="246"/>
      <c r="K77" s="5"/>
    </row>
    <row r="78" spans="1:11" ht="18.75" customHeight="1">
      <c r="A78" s="4"/>
      <c r="B78" s="244"/>
      <c r="C78" s="245"/>
      <c r="D78" s="245"/>
      <c r="E78" s="245"/>
      <c r="F78" s="245"/>
      <c r="G78" s="245"/>
      <c r="H78" s="245"/>
      <c r="I78" s="245"/>
      <c r="J78" s="246"/>
      <c r="K78" s="5"/>
    </row>
    <row r="79" spans="1:11" ht="18.75" customHeight="1">
      <c r="A79" s="4"/>
      <c r="B79" s="244"/>
      <c r="C79" s="245"/>
      <c r="D79" s="245"/>
      <c r="E79" s="245"/>
      <c r="F79" s="245"/>
      <c r="G79" s="245"/>
      <c r="H79" s="245"/>
      <c r="I79" s="245"/>
      <c r="J79" s="246"/>
      <c r="K79" s="5"/>
    </row>
    <row r="80" spans="1:11" ht="18.75" customHeight="1">
      <c r="A80" s="4"/>
      <c r="B80" s="244"/>
      <c r="C80" s="245"/>
      <c r="D80" s="245"/>
      <c r="E80" s="245"/>
      <c r="F80" s="245"/>
      <c r="G80" s="245"/>
      <c r="H80" s="245"/>
      <c r="I80" s="245"/>
      <c r="J80" s="246"/>
      <c r="K80" s="5"/>
    </row>
    <row r="81" spans="1:11" ht="18.75" customHeight="1">
      <c r="A81" s="4"/>
      <c r="B81" s="244"/>
      <c r="C81" s="245"/>
      <c r="D81" s="245"/>
      <c r="E81" s="245"/>
      <c r="F81" s="245"/>
      <c r="G81" s="245"/>
      <c r="H81" s="245"/>
      <c r="I81" s="245"/>
      <c r="J81" s="246"/>
      <c r="K81" s="5"/>
    </row>
    <row r="82" spans="1:11" ht="18.75" customHeight="1">
      <c r="A82" s="4"/>
      <c r="B82" s="244"/>
      <c r="C82" s="245"/>
      <c r="D82" s="245"/>
      <c r="E82" s="245"/>
      <c r="F82" s="245"/>
      <c r="G82" s="245"/>
      <c r="H82" s="245"/>
      <c r="I82" s="245"/>
      <c r="J82" s="246"/>
      <c r="K82" s="5"/>
    </row>
    <row r="83" spans="1:11" ht="18.75" customHeight="1">
      <c r="A83" s="4"/>
      <c r="B83" s="244"/>
      <c r="C83" s="245"/>
      <c r="D83" s="245"/>
      <c r="E83" s="245"/>
      <c r="F83" s="245"/>
      <c r="G83" s="245"/>
      <c r="H83" s="245"/>
      <c r="I83" s="245"/>
      <c r="J83" s="246"/>
      <c r="K83" s="5"/>
    </row>
    <row r="84" spans="1:11" ht="18.75" customHeight="1">
      <c r="A84" s="4"/>
      <c r="B84" s="244"/>
      <c r="C84" s="245"/>
      <c r="D84" s="245"/>
      <c r="E84" s="245"/>
      <c r="F84" s="245"/>
      <c r="G84" s="245"/>
      <c r="H84" s="245"/>
      <c r="I84" s="245"/>
      <c r="J84" s="246"/>
      <c r="K84" s="5"/>
    </row>
    <row r="85" spans="1:11" ht="18.75" customHeight="1">
      <c r="A85" s="49"/>
      <c r="B85" s="244"/>
      <c r="C85" s="245"/>
      <c r="D85" s="245"/>
      <c r="E85" s="245"/>
      <c r="F85" s="245"/>
      <c r="G85" s="245"/>
      <c r="H85" s="245"/>
      <c r="I85" s="245"/>
      <c r="J85" s="246"/>
      <c r="K85" s="5"/>
    </row>
    <row r="86" spans="1:11" ht="18.75" customHeight="1">
      <c r="A86" s="49"/>
      <c r="B86" s="247"/>
      <c r="C86" s="248"/>
      <c r="D86" s="248"/>
      <c r="E86" s="248"/>
      <c r="F86" s="248"/>
      <c r="G86" s="248"/>
      <c r="H86" s="248"/>
      <c r="I86" s="248"/>
      <c r="J86" s="249"/>
      <c r="K86" s="5"/>
    </row>
    <row r="87" spans="1:11" ht="7.5" customHeight="1">
      <c r="A87" s="49"/>
      <c r="B87" s="49"/>
      <c r="C87" s="49"/>
      <c r="D87" s="49"/>
      <c r="E87" s="49"/>
      <c r="F87" s="49"/>
      <c r="G87" s="49"/>
      <c r="H87" s="49"/>
      <c r="I87" s="49"/>
      <c r="J87" s="49"/>
    </row>
    <row r="88" spans="1:11" ht="18.75" customHeight="1">
      <c r="A88" s="4" t="s">
        <v>12</v>
      </c>
      <c r="B88" s="4" t="s">
        <v>27</v>
      </c>
    </row>
    <row r="89" spans="1:11" ht="18.75" customHeight="1">
      <c r="A89" s="4"/>
      <c r="B89" s="250" t="s">
        <v>170</v>
      </c>
      <c r="C89" s="251"/>
      <c r="D89" s="251"/>
      <c r="E89" s="251"/>
      <c r="F89" s="251"/>
      <c r="G89" s="251"/>
      <c r="H89" s="251"/>
      <c r="I89" s="252"/>
      <c r="J89" s="253"/>
    </row>
    <row r="90" spans="1:11" ht="18.75" customHeight="1">
      <c r="A90" s="4"/>
      <c r="B90" s="244"/>
      <c r="C90" s="245"/>
      <c r="D90" s="245"/>
      <c r="E90" s="245"/>
      <c r="F90" s="245"/>
      <c r="G90" s="245"/>
      <c r="H90" s="245"/>
      <c r="I90" s="245"/>
      <c r="J90" s="246"/>
      <c r="K90" s="5"/>
    </row>
    <row r="91" spans="1:11" ht="18.75" customHeight="1">
      <c r="A91" s="4"/>
      <c r="B91" s="244"/>
      <c r="C91" s="245"/>
      <c r="D91" s="245"/>
      <c r="E91" s="245"/>
      <c r="F91" s="245"/>
      <c r="G91" s="245"/>
      <c r="H91" s="245"/>
      <c r="I91" s="245"/>
      <c r="J91" s="246"/>
      <c r="K91" s="5" t="str">
        <f>IF(B89="","入力してください","")</f>
        <v/>
      </c>
    </row>
    <row r="92" spans="1:11" ht="18.75" customHeight="1">
      <c r="A92" s="4"/>
      <c r="B92" s="244"/>
      <c r="C92" s="245"/>
      <c r="D92" s="245"/>
      <c r="E92" s="245"/>
      <c r="F92" s="245"/>
      <c r="G92" s="245"/>
      <c r="H92" s="245"/>
      <c r="I92" s="245"/>
      <c r="J92" s="246"/>
      <c r="K92" s="5"/>
    </row>
    <row r="93" spans="1:11" ht="18.75" customHeight="1">
      <c r="A93" s="4"/>
      <c r="B93" s="244"/>
      <c r="C93" s="245"/>
      <c r="D93" s="245"/>
      <c r="E93" s="245"/>
      <c r="F93" s="245"/>
      <c r="G93" s="245"/>
      <c r="H93" s="245"/>
      <c r="I93" s="245"/>
      <c r="J93" s="246"/>
      <c r="K93" s="5"/>
    </row>
    <row r="94" spans="1:11" ht="18.75" customHeight="1">
      <c r="A94" s="4"/>
      <c r="B94" s="244"/>
      <c r="C94" s="245"/>
      <c r="D94" s="245"/>
      <c r="E94" s="245"/>
      <c r="F94" s="245"/>
      <c r="G94" s="245"/>
      <c r="H94" s="245"/>
      <c r="I94" s="245"/>
      <c r="J94" s="246"/>
      <c r="K94" s="5"/>
    </row>
    <row r="95" spans="1:11" ht="18.75" customHeight="1">
      <c r="A95" s="4"/>
      <c r="B95" s="244"/>
      <c r="C95" s="245"/>
      <c r="D95" s="245"/>
      <c r="E95" s="245"/>
      <c r="F95" s="245"/>
      <c r="G95" s="245"/>
      <c r="H95" s="245"/>
      <c r="I95" s="245"/>
      <c r="J95" s="246"/>
      <c r="K95" s="5"/>
    </row>
    <row r="96" spans="1:11" ht="18.75" customHeight="1">
      <c r="A96" s="4"/>
      <c r="B96" s="244"/>
      <c r="C96" s="245"/>
      <c r="D96" s="245"/>
      <c r="E96" s="245"/>
      <c r="F96" s="245"/>
      <c r="G96" s="245"/>
      <c r="H96" s="245"/>
      <c r="I96" s="245"/>
      <c r="J96" s="246"/>
      <c r="K96" s="5"/>
    </row>
    <row r="97" spans="1:11" ht="18.75" customHeight="1">
      <c r="A97" s="4"/>
      <c r="B97" s="244"/>
      <c r="C97" s="245"/>
      <c r="D97" s="245"/>
      <c r="E97" s="245"/>
      <c r="F97" s="245"/>
      <c r="G97" s="245"/>
      <c r="H97" s="245"/>
      <c r="I97" s="245"/>
      <c r="J97" s="246"/>
      <c r="K97" s="5"/>
    </row>
    <row r="98" spans="1:11" ht="18.75" customHeight="1">
      <c r="A98" s="4"/>
      <c r="B98" s="244"/>
      <c r="C98" s="245"/>
      <c r="D98" s="245"/>
      <c r="E98" s="245"/>
      <c r="F98" s="245"/>
      <c r="G98" s="245"/>
      <c r="H98" s="245"/>
      <c r="I98" s="245"/>
      <c r="J98" s="246"/>
      <c r="K98" s="5"/>
    </row>
    <row r="99" spans="1:11" ht="18.75" customHeight="1">
      <c r="A99" s="4"/>
      <c r="B99" s="244"/>
      <c r="C99" s="245"/>
      <c r="D99" s="245"/>
      <c r="E99" s="245"/>
      <c r="F99" s="245"/>
      <c r="G99" s="245"/>
      <c r="H99" s="245"/>
      <c r="I99" s="245"/>
      <c r="J99" s="246"/>
      <c r="K99" s="5"/>
    </row>
    <row r="100" spans="1:11" ht="18.75" customHeight="1">
      <c r="A100" s="4"/>
      <c r="B100" s="244"/>
      <c r="C100" s="245"/>
      <c r="D100" s="245"/>
      <c r="E100" s="245"/>
      <c r="F100" s="245"/>
      <c r="G100" s="245"/>
      <c r="H100" s="245"/>
      <c r="I100" s="245"/>
      <c r="J100" s="246"/>
      <c r="K100" s="5"/>
    </row>
    <row r="101" spans="1:11" ht="18.75" customHeight="1">
      <c r="A101" s="4"/>
      <c r="B101" s="244"/>
      <c r="C101" s="245"/>
      <c r="D101" s="245"/>
      <c r="E101" s="245"/>
      <c r="F101" s="245"/>
      <c r="G101" s="245"/>
      <c r="H101" s="245"/>
      <c r="I101" s="245"/>
      <c r="J101" s="246"/>
      <c r="K101" s="5"/>
    </row>
    <row r="102" spans="1:11" ht="18.75" customHeight="1">
      <c r="A102" s="4"/>
      <c r="B102" s="244"/>
      <c r="C102" s="245"/>
      <c r="D102" s="245"/>
      <c r="E102" s="245"/>
      <c r="F102" s="245"/>
      <c r="G102" s="245"/>
      <c r="H102" s="245"/>
      <c r="I102" s="245"/>
      <c r="J102" s="246"/>
      <c r="K102" s="5"/>
    </row>
    <row r="103" spans="1:11" ht="18.75" customHeight="1">
      <c r="A103" s="4"/>
      <c r="B103" s="244"/>
      <c r="C103" s="245"/>
      <c r="D103" s="245"/>
      <c r="E103" s="245"/>
      <c r="F103" s="245"/>
      <c r="G103" s="245"/>
      <c r="H103" s="245"/>
      <c r="I103" s="245"/>
      <c r="J103" s="246"/>
      <c r="K103" s="5"/>
    </row>
    <row r="104" spans="1:11" ht="18.75" customHeight="1">
      <c r="A104" s="4"/>
      <c r="B104" s="244"/>
      <c r="C104" s="245"/>
      <c r="D104" s="245"/>
      <c r="E104" s="245"/>
      <c r="F104" s="245"/>
      <c r="G104" s="245"/>
      <c r="H104" s="245"/>
      <c r="I104" s="245"/>
      <c r="J104" s="246"/>
      <c r="K104" s="5"/>
    </row>
    <row r="105" spans="1:11" ht="18.75" customHeight="1">
      <c r="A105" s="4"/>
      <c r="B105" s="244"/>
      <c r="C105" s="245"/>
      <c r="D105" s="245"/>
      <c r="E105" s="245"/>
      <c r="F105" s="245"/>
      <c r="G105" s="245"/>
      <c r="H105" s="245"/>
      <c r="I105" s="245"/>
      <c r="J105" s="246"/>
      <c r="K105" s="5"/>
    </row>
    <row r="106" spans="1:11" ht="18.75" customHeight="1">
      <c r="A106" s="4"/>
      <c r="B106" s="244"/>
      <c r="C106" s="245"/>
      <c r="D106" s="245"/>
      <c r="E106" s="245"/>
      <c r="F106" s="245"/>
      <c r="G106" s="245"/>
      <c r="H106" s="245"/>
      <c r="I106" s="245"/>
      <c r="J106" s="246"/>
      <c r="K106" s="5"/>
    </row>
    <row r="107" spans="1:11" ht="18.75" customHeight="1">
      <c r="A107" s="49"/>
      <c r="B107" s="244"/>
      <c r="C107" s="245"/>
      <c r="D107" s="245"/>
      <c r="E107" s="245"/>
      <c r="F107" s="245"/>
      <c r="G107" s="245"/>
      <c r="H107" s="245"/>
      <c r="I107" s="245"/>
      <c r="J107" s="246"/>
      <c r="K107" s="5"/>
    </row>
    <row r="108" spans="1:11" ht="18.75" customHeight="1">
      <c r="A108" s="49"/>
      <c r="B108" s="247"/>
      <c r="C108" s="248"/>
      <c r="D108" s="248"/>
      <c r="E108" s="248"/>
      <c r="F108" s="248"/>
      <c r="G108" s="248"/>
      <c r="H108" s="248"/>
      <c r="I108" s="248"/>
      <c r="J108" s="249"/>
      <c r="K108" s="5"/>
    </row>
    <row r="109" spans="1:11" ht="7.5" customHeight="1">
      <c r="A109" s="49"/>
      <c r="B109" s="49"/>
      <c r="C109" s="49"/>
      <c r="D109" s="49"/>
      <c r="E109" s="49"/>
      <c r="F109" s="49"/>
      <c r="G109" s="49"/>
      <c r="H109" s="49"/>
      <c r="I109" s="49"/>
      <c r="J109" s="49"/>
    </row>
    <row r="110" spans="1:11" ht="18.75" customHeight="1">
      <c r="A110" s="4" t="s">
        <v>53</v>
      </c>
      <c r="B110" s="261" t="s">
        <v>82</v>
      </c>
      <c r="C110" s="261"/>
      <c r="D110" s="261"/>
      <c r="E110" s="261"/>
      <c r="F110" s="261"/>
      <c r="G110" s="261"/>
      <c r="H110" s="261"/>
      <c r="I110" s="261"/>
      <c r="J110" s="261"/>
    </row>
    <row r="111" spans="1:11" ht="18.75" customHeight="1">
      <c r="A111" s="49"/>
      <c r="B111" s="250" t="s">
        <v>171</v>
      </c>
      <c r="C111" s="251"/>
      <c r="D111" s="251"/>
      <c r="E111" s="251"/>
      <c r="F111" s="251"/>
      <c r="G111" s="251"/>
      <c r="H111" s="251"/>
      <c r="I111" s="252"/>
      <c r="J111" s="253"/>
    </row>
    <row r="112" spans="1:11" ht="18.75" customHeight="1">
      <c r="A112" s="49"/>
      <c r="B112" s="244"/>
      <c r="C112" s="245"/>
      <c r="D112" s="245"/>
      <c r="E112" s="245"/>
      <c r="F112" s="245"/>
      <c r="G112" s="245"/>
      <c r="H112" s="245"/>
      <c r="I112" s="245"/>
      <c r="J112" s="246"/>
      <c r="K112" s="5"/>
    </row>
    <row r="113" spans="1:11" ht="18.75" customHeight="1">
      <c r="A113" s="49"/>
      <c r="B113" s="244"/>
      <c r="C113" s="245"/>
      <c r="D113" s="245"/>
      <c r="E113" s="245"/>
      <c r="F113" s="245"/>
      <c r="G113" s="245"/>
      <c r="H113" s="245"/>
      <c r="I113" s="245"/>
      <c r="J113" s="246"/>
      <c r="K113" s="4" t="str">
        <f>IF(B111="","入力してください","")</f>
        <v/>
      </c>
    </row>
    <row r="114" spans="1:11" ht="18.75" customHeight="1">
      <c r="A114" s="49"/>
      <c r="B114" s="244"/>
      <c r="C114" s="245"/>
      <c r="D114" s="245"/>
      <c r="E114" s="245"/>
      <c r="F114" s="245"/>
      <c r="G114" s="245"/>
      <c r="H114" s="245"/>
      <c r="I114" s="245"/>
      <c r="J114" s="246"/>
    </row>
    <row r="115" spans="1:11" ht="18.75" customHeight="1">
      <c r="A115" s="49"/>
      <c r="B115" s="244"/>
      <c r="C115" s="245"/>
      <c r="D115" s="245"/>
      <c r="E115" s="245"/>
      <c r="F115" s="245"/>
      <c r="G115" s="245"/>
      <c r="H115" s="245"/>
      <c r="I115" s="245"/>
      <c r="J115" s="246"/>
    </row>
    <row r="116" spans="1:11" ht="18.75" customHeight="1">
      <c r="A116" s="49"/>
      <c r="B116" s="244"/>
      <c r="C116" s="245"/>
      <c r="D116" s="245"/>
      <c r="E116" s="245"/>
      <c r="F116" s="245"/>
      <c r="G116" s="245"/>
      <c r="H116" s="245"/>
      <c r="I116" s="245"/>
      <c r="J116" s="246"/>
    </row>
    <row r="117" spans="1:11" ht="18.75" customHeight="1">
      <c r="A117" s="49"/>
      <c r="B117" s="244"/>
      <c r="C117" s="245"/>
      <c r="D117" s="245"/>
      <c r="E117" s="245"/>
      <c r="F117" s="245"/>
      <c r="G117" s="245"/>
      <c r="H117" s="245"/>
      <c r="I117" s="245"/>
      <c r="J117" s="246"/>
    </row>
    <row r="118" spans="1:11" ht="18.75" customHeight="1">
      <c r="A118" s="49"/>
      <c r="B118" s="244"/>
      <c r="C118" s="245"/>
      <c r="D118" s="245"/>
      <c r="E118" s="245"/>
      <c r="F118" s="245"/>
      <c r="G118" s="245"/>
      <c r="H118" s="245"/>
      <c r="I118" s="245"/>
      <c r="J118" s="246"/>
    </row>
    <row r="119" spans="1:11" ht="18.75" customHeight="1">
      <c r="A119" s="49"/>
      <c r="B119" s="244"/>
      <c r="C119" s="245"/>
      <c r="D119" s="245"/>
      <c r="E119" s="245"/>
      <c r="F119" s="245"/>
      <c r="G119" s="245"/>
      <c r="H119" s="245"/>
      <c r="I119" s="245"/>
      <c r="J119" s="246"/>
    </row>
    <row r="120" spans="1:11" ht="18.75" customHeight="1">
      <c r="A120" s="49"/>
      <c r="B120" s="244"/>
      <c r="C120" s="245"/>
      <c r="D120" s="245"/>
      <c r="E120" s="245"/>
      <c r="F120" s="245"/>
      <c r="G120" s="245"/>
      <c r="H120" s="245"/>
      <c r="I120" s="245"/>
      <c r="J120" s="246"/>
    </row>
    <row r="121" spans="1:11" ht="18.75" customHeight="1">
      <c r="A121" s="49"/>
      <c r="B121" s="244"/>
      <c r="C121" s="245"/>
      <c r="D121" s="245"/>
      <c r="E121" s="245"/>
      <c r="F121" s="245"/>
      <c r="G121" s="245"/>
      <c r="H121" s="245"/>
      <c r="I121" s="245"/>
      <c r="J121" s="246"/>
    </row>
    <row r="122" spans="1:11" ht="18.75" customHeight="1">
      <c r="A122" s="49"/>
      <c r="B122" s="244"/>
      <c r="C122" s="245"/>
      <c r="D122" s="245"/>
      <c r="E122" s="245"/>
      <c r="F122" s="245"/>
      <c r="G122" s="245"/>
      <c r="H122" s="245"/>
      <c r="I122" s="245"/>
      <c r="J122" s="246"/>
    </row>
    <row r="123" spans="1:11" ht="18.75" customHeight="1">
      <c r="A123" s="49"/>
      <c r="B123" s="244"/>
      <c r="C123" s="245"/>
      <c r="D123" s="245"/>
      <c r="E123" s="245"/>
      <c r="F123" s="245"/>
      <c r="G123" s="245"/>
      <c r="H123" s="245"/>
      <c r="I123" s="245"/>
      <c r="J123" s="246"/>
    </row>
    <row r="124" spans="1:11" ht="18.75" customHeight="1">
      <c r="A124" s="49"/>
      <c r="B124" s="244"/>
      <c r="C124" s="245"/>
      <c r="D124" s="245"/>
      <c r="E124" s="245"/>
      <c r="F124" s="245"/>
      <c r="G124" s="245"/>
      <c r="H124" s="245"/>
      <c r="I124" s="245"/>
      <c r="J124" s="246"/>
    </row>
    <row r="125" spans="1:11" ht="18.75" customHeight="1">
      <c r="A125" s="49"/>
      <c r="B125" s="244"/>
      <c r="C125" s="245"/>
      <c r="D125" s="245"/>
      <c r="E125" s="245"/>
      <c r="F125" s="245"/>
      <c r="G125" s="245"/>
      <c r="H125" s="245"/>
      <c r="I125" s="245"/>
      <c r="J125" s="246"/>
    </row>
    <row r="126" spans="1:11" ht="18.75" customHeight="1">
      <c r="A126" s="49"/>
      <c r="B126" s="244"/>
      <c r="C126" s="245"/>
      <c r="D126" s="245"/>
      <c r="E126" s="245"/>
      <c r="F126" s="245"/>
      <c r="G126" s="245"/>
      <c r="H126" s="245"/>
      <c r="I126" s="245"/>
      <c r="J126" s="246"/>
    </row>
    <row r="127" spans="1:11" ht="18.75" customHeight="1">
      <c r="A127" s="49"/>
      <c r="B127" s="244"/>
      <c r="C127" s="245"/>
      <c r="D127" s="245"/>
      <c r="E127" s="245"/>
      <c r="F127" s="245"/>
      <c r="G127" s="245"/>
      <c r="H127" s="245"/>
      <c r="I127" s="245"/>
      <c r="J127" s="246"/>
    </row>
    <row r="128" spans="1:11" ht="18.75" customHeight="1">
      <c r="A128" s="49"/>
      <c r="B128" s="244"/>
      <c r="C128" s="245"/>
      <c r="D128" s="245"/>
      <c r="E128" s="245"/>
      <c r="F128" s="245"/>
      <c r="G128" s="245"/>
      <c r="H128" s="245"/>
      <c r="I128" s="245"/>
      <c r="J128" s="246"/>
    </row>
    <row r="129" spans="1:10" ht="18.75" customHeight="1">
      <c r="A129" s="49"/>
      <c r="B129" s="247"/>
      <c r="C129" s="248"/>
      <c r="D129" s="248"/>
      <c r="E129" s="248"/>
      <c r="F129" s="248"/>
      <c r="G129" s="248"/>
      <c r="H129" s="248"/>
      <c r="I129" s="248"/>
      <c r="J129" s="249"/>
    </row>
    <row r="130" spans="1:10" ht="7.5" customHeight="1">
      <c r="A130" s="49"/>
      <c r="B130" s="58"/>
      <c r="C130" s="58"/>
      <c r="D130" s="58"/>
      <c r="E130" s="58"/>
      <c r="F130" s="58"/>
      <c r="G130" s="58"/>
      <c r="H130" s="58"/>
      <c r="I130" s="58"/>
      <c r="J130" s="58"/>
    </row>
    <row r="131" spans="1:10" ht="18.75" customHeight="1">
      <c r="A131" s="49"/>
      <c r="B131" s="49"/>
      <c r="C131" s="49"/>
      <c r="D131" s="49"/>
      <c r="E131" s="49"/>
      <c r="F131" s="49"/>
      <c r="G131" s="49"/>
      <c r="H131" s="49"/>
      <c r="I131" s="49"/>
      <c r="J131" s="49"/>
    </row>
    <row r="132" spans="1:10" ht="18.75" customHeight="1">
      <c r="A132" s="49"/>
      <c r="B132" s="49"/>
      <c r="C132" s="49"/>
      <c r="D132" s="49"/>
      <c r="E132" s="49"/>
      <c r="F132" s="49"/>
      <c r="G132" s="49"/>
      <c r="H132" s="49"/>
      <c r="I132" s="49"/>
      <c r="J132" s="49"/>
    </row>
    <row r="133" spans="1:10" ht="18.75" customHeight="1">
      <c r="A133" s="49"/>
      <c r="B133" s="49"/>
      <c r="C133" s="49"/>
      <c r="D133" s="49"/>
      <c r="E133" s="49"/>
      <c r="F133" s="49"/>
      <c r="G133" s="49"/>
      <c r="H133" s="49"/>
      <c r="I133" s="49"/>
      <c r="J133" s="49"/>
    </row>
    <row r="134" spans="1:10" ht="18.75" customHeight="1">
      <c r="A134" s="49"/>
      <c r="B134" s="49"/>
      <c r="C134" s="49"/>
      <c r="D134" s="49"/>
      <c r="E134" s="49"/>
      <c r="F134" s="49"/>
      <c r="G134" s="49"/>
      <c r="H134" s="49"/>
      <c r="I134" s="49"/>
      <c r="J134" s="49"/>
    </row>
    <row r="135" spans="1:10" ht="18.75" customHeight="1">
      <c r="A135" s="49"/>
      <c r="B135" s="49"/>
      <c r="C135" s="49"/>
      <c r="D135" s="49"/>
      <c r="E135" s="49"/>
      <c r="F135" s="49"/>
      <c r="G135" s="49"/>
      <c r="H135" s="49"/>
      <c r="I135" s="49"/>
      <c r="J135" s="49"/>
    </row>
    <row r="136" spans="1:10" ht="18.75" customHeight="1">
      <c r="A136" s="49"/>
      <c r="B136" s="49"/>
      <c r="C136" s="49"/>
      <c r="D136" s="49"/>
      <c r="E136" s="49"/>
      <c r="F136" s="49"/>
      <c r="G136" s="49"/>
      <c r="H136" s="49"/>
      <c r="I136" s="49"/>
      <c r="J136" s="49"/>
    </row>
    <row r="137" spans="1:10" ht="18.75" customHeight="1">
      <c r="A137" s="49"/>
      <c r="B137" s="49"/>
      <c r="C137" s="49"/>
      <c r="D137" s="49"/>
      <c r="E137" s="49"/>
      <c r="F137" s="49"/>
      <c r="G137" s="49"/>
      <c r="H137" s="49"/>
      <c r="I137" s="49"/>
      <c r="J137" s="49"/>
    </row>
    <row r="138" spans="1:10" ht="18.75" customHeight="1">
      <c r="A138" s="49"/>
      <c r="B138" s="49"/>
      <c r="C138" s="49"/>
      <c r="D138" s="49"/>
      <c r="E138" s="49"/>
      <c r="F138" s="49"/>
      <c r="G138" s="49"/>
      <c r="H138" s="49"/>
      <c r="I138" s="49"/>
      <c r="J138" s="49"/>
    </row>
    <row r="139" spans="1:10" ht="18.75" customHeight="1">
      <c r="A139" s="49"/>
      <c r="B139" s="49"/>
      <c r="C139" s="49"/>
      <c r="D139" s="49"/>
      <c r="E139" s="49"/>
      <c r="F139" s="49"/>
      <c r="G139" s="49"/>
      <c r="H139" s="49"/>
      <c r="I139" s="49"/>
      <c r="J139" s="49"/>
    </row>
    <row r="140" spans="1:10" ht="18.75" customHeight="1">
      <c r="A140" s="49"/>
      <c r="B140" s="49"/>
      <c r="C140" s="49"/>
      <c r="D140" s="49"/>
      <c r="E140" s="49"/>
      <c r="F140" s="49"/>
      <c r="G140" s="49"/>
      <c r="H140" s="49"/>
      <c r="I140" s="49"/>
      <c r="J140" s="49"/>
    </row>
    <row r="141" spans="1:10" ht="18.75" customHeight="1">
      <c r="A141" s="49"/>
      <c r="B141" s="49"/>
      <c r="C141" s="49"/>
      <c r="D141" s="49"/>
      <c r="E141" s="49"/>
      <c r="F141" s="49"/>
      <c r="G141" s="49"/>
      <c r="H141" s="49"/>
      <c r="I141" s="49"/>
      <c r="J141" s="49"/>
    </row>
    <row r="142" spans="1:10" ht="18.75" customHeight="1">
      <c r="A142" s="49"/>
      <c r="B142" s="49"/>
      <c r="C142" s="49"/>
      <c r="D142" s="49"/>
      <c r="E142" s="49"/>
      <c r="F142" s="49"/>
      <c r="G142" s="49"/>
      <c r="H142" s="49"/>
      <c r="I142" s="49"/>
      <c r="J142" s="49"/>
    </row>
    <row r="143" spans="1:10" ht="14.4">
      <c r="A143" s="49"/>
      <c r="B143" s="49"/>
      <c r="C143" s="49"/>
      <c r="D143" s="49"/>
      <c r="E143" s="49"/>
      <c r="F143" s="49"/>
      <c r="G143" s="49"/>
      <c r="H143" s="49"/>
      <c r="I143" s="49"/>
      <c r="J143" s="49"/>
    </row>
    <row r="144" spans="1:10" ht="7.5" customHeight="1">
      <c r="A144" s="59"/>
      <c r="B144" s="59"/>
      <c r="C144" s="59"/>
      <c r="D144" s="59"/>
      <c r="E144" s="59"/>
      <c r="F144" s="59"/>
      <c r="G144" s="59"/>
      <c r="H144" s="59"/>
      <c r="I144" s="59"/>
      <c r="J144" s="59"/>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2" manualBreakCount="2">
    <brk id="44" max="9" man="1"/>
    <brk id="87" max="9"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16" zoomScaleNormal="100" zoomScaleSheetLayoutView="100" workbookViewId="0">
      <selection activeCell="F23" sqref="F23"/>
    </sheetView>
  </sheetViews>
  <sheetFormatPr defaultColWidth="11.33203125" defaultRowHeight="22.5" customHeight="1"/>
  <cols>
    <col min="1" max="3" width="2.77734375" style="4" customWidth="1"/>
    <col min="4" max="4" width="22.21875" style="4" customWidth="1"/>
    <col min="5" max="5" width="21.6640625" style="4" customWidth="1"/>
    <col min="6" max="7" width="7.77734375" style="4" customWidth="1"/>
    <col min="8" max="8" width="33.33203125" style="4" customWidth="1"/>
    <col min="9" max="9" width="24.44140625" style="4" customWidth="1"/>
    <col min="10" max="10" width="5.44140625" style="4" customWidth="1"/>
    <col min="11" max="11" width="4.109375" style="4" customWidth="1"/>
    <col min="12" max="16384" width="11.33203125" style="4"/>
  </cols>
  <sheetData>
    <row r="1" spans="1:11" ht="18.75" customHeight="1">
      <c r="A1" s="4" t="s">
        <v>123</v>
      </c>
      <c r="J1" s="62" t="s">
        <v>73</v>
      </c>
    </row>
    <row r="2" spans="1:11" ht="18.75" customHeight="1">
      <c r="A2" s="179" t="s">
        <v>42</v>
      </c>
      <c r="B2" s="179"/>
      <c r="C2" s="179"/>
      <c r="D2" s="179"/>
      <c r="E2" s="179"/>
      <c r="F2" s="179"/>
      <c r="G2" s="179"/>
      <c r="H2" s="179"/>
      <c r="I2" s="179"/>
      <c r="J2" s="179"/>
    </row>
    <row r="3" spans="1:11" ht="7.5" customHeight="1">
      <c r="A3" s="70"/>
      <c r="B3" s="70"/>
      <c r="C3" s="70"/>
      <c r="D3" s="70"/>
      <c r="E3" s="70"/>
      <c r="F3" s="70"/>
      <c r="G3" s="70"/>
      <c r="H3" s="70"/>
      <c r="I3" s="70"/>
      <c r="J3" s="70"/>
    </row>
    <row r="4" spans="1:11" ht="18.75" customHeight="1">
      <c r="A4" s="4" t="s">
        <v>6</v>
      </c>
      <c r="B4" s="4" t="s">
        <v>41</v>
      </c>
      <c r="C4" s="49"/>
      <c r="D4" s="49"/>
      <c r="E4" s="49"/>
      <c r="F4" s="49"/>
      <c r="G4" s="49"/>
      <c r="H4" s="49"/>
      <c r="I4" s="49"/>
      <c r="J4" s="49"/>
    </row>
    <row r="5" spans="1:11" ht="18.75" customHeight="1">
      <c r="B5" s="128" t="s">
        <v>38</v>
      </c>
      <c r="C5" s="129"/>
      <c r="D5" s="130"/>
      <c r="E5" s="129" t="s">
        <v>40</v>
      </c>
      <c r="F5" s="129"/>
      <c r="G5" s="129"/>
      <c r="H5" s="129"/>
      <c r="I5" s="129"/>
      <c r="J5" s="130"/>
    </row>
    <row r="6" spans="1:11" ht="18.75" customHeight="1">
      <c r="B6" s="8" t="s">
        <v>28</v>
      </c>
      <c r="C6" s="49"/>
      <c r="D6" s="50"/>
      <c r="I6" s="49"/>
      <c r="J6" s="50"/>
    </row>
    <row r="7" spans="1:11" ht="207" customHeight="1">
      <c r="B7" s="51"/>
      <c r="C7" s="267" t="s">
        <v>29</v>
      </c>
      <c r="D7" s="268"/>
      <c r="E7" s="264" t="s">
        <v>225</v>
      </c>
      <c r="F7" s="265"/>
      <c r="G7" s="265"/>
      <c r="H7" s="265"/>
      <c r="I7" s="265"/>
      <c r="J7" s="266"/>
      <c r="K7" s="4" t="str">
        <f>IF(E7="","入力してください","")</f>
        <v/>
      </c>
    </row>
    <row r="8" spans="1:11" ht="207" customHeight="1">
      <c r="B8" s="51"/>
      <c r="C8" s="262" t="s">
        <v>30</v>
      </c>
      <c r="D8" s="263"/>
      <c r="E8" s="264" t="s">
        <v>172</v>
      </c>
      <c r="F8" s="265"/>
      <c r="G8" s="265"/>
      <c r="H8" s="265"/>
      <c r="I8" s="265"/>
      <c r="J8" s="266"/>
      <c r="K8" s="4" t="str">
        <f>IF(E8="","入力してください","")</f>
        <v/>
      </c>
    </row>
    <row r="9" spans="1:11" ht="172.5" customHeight="1">
      <c r="B9" s="51"/>
      <c r="C9" s="267" t="s">
        <v>31</v>
      </c>
      <c r="D9" s="268"/>
      <c r="E9" s="264" t="s">
        <v>173</v>
      </c>
      <c r="F9" s="265"/>
      <c r="G9" s="265"/>
      <c r="H9" s="265"/>
      <c r="I9" s="265"/>
      <c r="J9" s="266"/>
      <c r="K9" s="4" t="str">
        <f>IF(E9="","入力してください","")</f>
        <v/>
      </c>
    </row>
    <row r="10" spans="1:11" ht="172.5" customHeight="1">
      <c r="B10" s="51"/>
      <c r="C10" s="267" t="s">
        <v>32</v>
      </c>
      <c r="D10" s="268"/>
      <c r="E10" s="264" t="s">
        <v>174</v>
      </c>
      <c r="F10" s="265"/>
      <c r="G10" s="265"/>
      <c r="H10" s="265"/>
      <c r="I10" s="265"/>
      <c r="J10" s="266"/>
      <c r="K10" s="4" t="str">
        <f t="shared" ref="K10:K14" si="0">IF(E10="","入力してください","")</f>
        <v/>
      </c>
    </row>
    <row r="11" spans="1:11" ht="172.5" customHeight="1">
      <c r="B11" s="51"/>
      <c r="C11" s="267" t="s">
        <v>33</v>
      </c>
      <c r="D11" s="268"/>
      <c r="E11" s="264" t="s">
        <v>175</v>
      </c>
      <c r="F11" s="265"/>
      <c r="G11" s="265"/>
      <c r="H11" s="265"/>
      <c r="I11" s="265"/>
      <c r="J11" s="266"/>
      <c r="K11" s="4" t="str">
        <f t="shared" si="0"/>
        <v/>
      </c>
    </row>
    <row r="12" spans="1:11" ht="18.75" customHeight="1">
      <c r="B12" s="52" t="s">
        <v>34</v>
      </c>
      <c r="C12" s="53"/>
      <c r="D12" s="54"/>
      <c r="E12" s="55"/>
      <c r="F12" s="55"/>
      <c r="G12" s="55"/>
      <c r="H12" s="55"/>
      <c r="I12" s="55"/>
      <c r="J12" s="56"/>
    </row>
    <row r="13" spans="1:11" ht="244.2" customHeight="1">
      <c r="B13" s="51"/>
      <c r="C13" s="267" t="s">
        <v>35</v>
      </c>
      <c r="D13" s="268"/>
      <c r="E13" s="265" t="s">
        <v>176</v>
      </c>
      <c r="F13" s="265"/>
      <c r="G13" s="265"/>
      <c r="H13" s="265"/>
      <c r="I13" s="265"/>
      <c r="J13" s="266"/>
      <c r="K13" s="4" t="str">
        <f t="shared" si="0"/>
        <v/>
      </c>
    </row>
    <row r="14" spans="1:11" ht="255" customHeight="1">
      <c r="B14" s="51"/>
      <c r="C14" s="267" t="s">
        <v>36</v>
      </c>
      <c r="D14" s="268"/>
      <c r="E14" s="265" t="s">
        <v>177</v>
      </c>
      <c r="F14" s="265"/>
      <c r="G14" s="265"/>
      <c r="H14" s="265"/>
      <c r="I14" s="265"/>
      <c r="J14" s="266"/>
      <c r="K14" s="4" t="str">
        <f t="shared" si="0"/>
        <v/>
      </c>
    </row>
    <row r="15" spans="1:11" ht="243" customHeight="1">
      <c r="B15" s="272" t="s">
        <v>37</v>
      </c>
      <c r="C15" s="273"/>
      <c r="D15" s="268"/>
      <c r="E15" s="265" t="s">
        <v>178</v>
      </c>
      <c r="F15" s="265"/>
      <c r="G15" s="265"/>
      <c r="H15" s="265"/>
      <c r="I15" s="265"/>
      <c r="J15" s="266"/>
      <c r="K15" s="4" t="str">
        <f>IF(E15="","入力してください","")</f>
        <v/>
      </c>
    </row>
    <row r="16" spans="1:11" ht="243" customHeight="1">
      <c r="B16" s="224" t="s">
        <v>66</v>
      </c>
      <c r="C16" s="225"/>
      <c r="D16" s="226"/>
      <c r="E16" s="259" t="s">
        <v>179</v>
      </c>
      <c r="F16" s="259"/>
      <c r="G16" s="259"/>
      <c r="H16" s="259"/>
      <c r="I16" s="259"/>
      <c r="J16" s="260"/>
      <c r="K16" s="4" t="str">
        <f>IF(E16="","入力してください","")</f>
        <v/>
      </c>
    </row>
    <row r="17" spans="1:11" ht="7.5" customHeight="1">
      <c r="B17" s="49"/>
      <c r="C17" s="49"/>
      <c r="D17" s="49"/>
      <c r="E17" s="49"/>
      <c r="F17" s="49"/>
      <c r="G17" s="49"/>
      <c r="H17" s="49"/>
      <c r="I17" s="49"/>
      <c r="J17" s="49"/>
    </row>
    <row r="18" spans="1:11" ht="18.75" customHeight="1">
      <c r="A18" s="4" t="s">
        <v>124</v>
      </c>
      <c r="C18" s="49"/>
      <c r="D18" s="49"/>
      <c r="E18" s="49"/>
      <c r="F18" s="69"/>
      <c r="G18" s="269" t="s">
        <v>252</v>
      </c>
      <c r="H18" s="270"/>
      <c r="I18" s="270"/>
      <c r="J18" s="271"/>
      <c r="K18" s="4" t="str">
        <f>IF(G18="","入力してください","")</f>
        <v/>
      </c>
    </row>
    <row r="19" spans="1:11" ht="22.5" customHeight="1">
      <c r="B19" s="49"/>
      <c r="C19" s="49"/>
      <c r="D19" s="49"/>
      <c r="E19" s="49"/>
      <c r="F19" s="49"/>
      <c r="G19" s="49"/>
      <c r="H19" s="49"/>
      <c r="I19" s="49"/>
      <c r="J19" s="49"/>
    </row>
    <row r="20" spans="1:11" ht="22.5" customHeight="1">
      <c r="B20" s="49"/>
      <c r="C20" s="49"/>
      <c r="D20" s="49"/>
      <c r="E20" s="49"/>
      <c r="F20" s="49"/>
      <c r="G20" s="49"/>
      <c r="H20" s="49"/>
      <c r="I20" s="49"/>
      <c r="J20" s="49"/>
    </row>
    <row r="21" spans="1:11" ht="22.5" customHeight="1">
      <c r="B21" s="49"/>
      <c r="C21" s="49"/>
      <c r="D21" s="49"/>
      <c r="E21" s="49"/>
      <c r="F21" s="49"/>
      <c r="G21" s="49"/>
      <c r="H21" s="49"/>
      <c r="I21" s="49"/>
      <c r="J21" s="49"/>
    </row>
    <row r="22" spans="1:11" ht="22.5" customHeight="1">
      <c r="B22" s="49"/>
      <c r="C22" s="49"/>
      <c r="D22" s="49"/>
      <c r="E22" s="49"/>
      <c r="F22" s="49"/>
      <c r="G22" s="49"/>
      <c r="H22" s="49"/>
      <c r="I22" s="49"/>
      <c r="J22" s="49"/>
    </row>
    <row r="23" spans="1:11" ht="22.5" customHeight="1">
      <c r="B23" s="49"/>
      <c r="C23" s="49"/>
      <c r="D23" s="49"/>
      <c r="E23" s="49"/>
      <c r="F23" s="49"/>
      <c r="G23" s="49"/>
      <c r="H23" s="49"/>
      <c r="I23" s="49"/>
      <c r="J23" s="49"/>
    </row>
    <row r="24" spans="1:11" ht="22.5" customHeight="1">
      <c r="B24" s="22"/>
      <c r="C24" s="22"/>
      <c r="D24" s="22"/>
      <c r="E24" s="22"/>
      <c r="F24" s="22"/>
      <c r="G24" s="22"/>
      <c r="H24" s="22"/>
      <c r="I24" s="22"/>
      <c r="J24" s="22"/>
    </row>
    <row r="25" spans="1:11" ht="22.5" customHeight="1">
      <c r="B25" s="22"/>
      <c r="C25" s="22"/>
      <c r="D25" s="22"/>
      <c r="E25" s="22"/>
      <c r="F25" s="22"/>
      <c r="G25" s="22"/>
      <c r="H25" s="22"/>
      <c r="I25" s="22"/>
      <c r="J25" s="22"/>
    </row>
    <row r="26" spans="1:11" ht="22.5" customHeight="1">
      <c r="B26" s="22"/>
      <c r="C26" s="22"/>
      <c r="D26" s="22"/>
      <c r="E26" s="22"/>
      <c r="F26" s="22"/>
      <c r="G26" s="22"/>
      <c r="H26" s="22"/>
      <c r="I26" s="22"/>
      <c r="J26" s="22"/>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2EC126EC-3553-4B6C-BCC2-1E3E61E4EE8D}"/>
  </hyperlinks>
  <printOptions horizontalCentered="1"/>
  <pageMargins left="0.78740157480314965" right="0.78740157480314965" top="0.78740157480314965" bottom="0.78740157480314965" header="0.31496062992125984" footer="0.31496062992125984"/>
  <pageSetup paperSize="9" scale="99" orientation="landscape" r:id="rId2"/>
  <rowBreaks count="1" manualBreakCount="1">
    <brk id="14"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　大学等概要</vt:lpstr>
      <vt:lpstr>様式２-1　プログラムを構成する授業科目</vt:lpstr>
      <vt:lpstr>様式２-2　プログラムを構成する授業科目 </vt:lpstr>
      <vt:lpstr>様式２-3　プログラムを構成する授業科目 </vt:lpstr>
      <vt:lpstr>様式２-４　プログラムを構成する授業科目 </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 '!Print_Area</vt:lpstr>
      <vt:lpstr>'様式２-3　プログラムを構成する授業科目 '!Print_Area</vt:lpstr>
      <vt:lpstr>'様式２-４　プログラムを構成する授業科目 '!Print_Area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2022-05-19T22:58:40Z</cp:lastPrinted>
  <dcterms:created xsi:type="dcterms:W3CDTF">2011-06-14T05:32:50Z</dcterms:created>
  <dcterms:modified xsi:type="dcterms:W3CDTF">2022-06-02T03:21:05Z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