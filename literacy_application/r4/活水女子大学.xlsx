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7"/>
  <workbookPr defaultThemeVersion="124226"/>
  <mc:AlternateContent xmlns:mc="http://schemas.openxmlformats.org/markup-compatibility/2006">
    <mc:Choice Requires="x15">
      <x15ac:absPath xmlns:x15ac="http://schemas.microsoft.com/office/spreadsheetml/2010/11/ac" url="J:\【作業中】数理・AI・DS申請\"/>
    </mc:Choice>
  </mc:AlternateContent>
  <xr:revisionPtr revIDLastSave="0" documentId="8_{760F9E93-0113-47EE-BC53-70D7D65F8441}" xr6:coauthVersionLast="36" xr6:coauthVersionMax="36" xr10:uidLastSave="{00000000-0000-0000-0000-000000000000}"/>
  <bookViews>
    <workbookView xWindow="0" yWindow="0" windowWidth="28800" windowHeight="12135" tabRatio="885" activeTab="5" xr2:uid="{00000000-000D-0000-FFFF-FFFF00000000}"/>
  </bookViews>
  <sheets>
    <sheet name="様式１　大学等概要" sheetId="8" r:id="rId1"/>
    <sheet name="様式２－1　プログラムを構成する授業科目" sheetId="43" r:id="rId2"/>
    <sheet name="様式２－2　プログラムを構成する授業科目" sheetId="39" r:id="rId3"/>
    <sheet name="様式３　履修者等数の実績" sheetId="40" r:id="rId4"/>
    <sheet name="様式４　教育の質・履修者数を向上させるための体制・計画" sheetId="41" r:id="rId5"/>
    <sheet name="様式５　自己点検・評価" sheetId="42" r:id="rId6"/>
  </sheets>
  <definedNames>
    <definedName name="_xlnm._FilterDatabase" localSheetId="1" hidden="1">'様式２－1　プログラムを構成する授業科目'!#REF!</definedName>
    <definedName name="_xlnm._FilterDatabase" localSheetId="2" hidden="1">'様式２－2　プログラムを構成する授業科目'!#REF!</definedName>
    <definedName name="_xlnm._FilterDatabase" localSheetId="3" hidden="1">'様式３　履修者等数の実績'!#REF!</definedName>
    <definedName name="_xlnm.Print_Area" localSheetId="0">'様式１　大学等概要'!$A$1:$N$45</definedName>
    <definedName name="_xlnm.Print_Area" localSheetId="1">'様式２－1　プログラムを構成する授業科目'!$A$1:$Z$98</definedName>
    <definedName name="_xlnm.Print_Area" localSheetId="2">'様式２－2　プログラムを構成する授業科目'!$A$1:$Z$98</definedName>
    <definedName name="_xlnm.Print_Area" localSheetId="3">'様式３　履修者等数の実績'!$A$1:$R$30</definedName>
    <definedName name="_xlnm.Print_Area" localSheetId="4">'様式４　教育の質・履修者数を向上させるための体制・計画'!$A$1:$J$130</definedName>
    <definedName name="_xlnm.Print_Area" localSheetId="5">'様式５　自己点検・評価'!$A$1:$J$18</definedName>
  </definedNames>
  <calcPr calcId="191029"/>
</workbook>
</file>

<file path=xl/calcChain.xml><?xml version="1.0" encoding="utf-8"?>
<calcChain xmlns="http://schemas.openxmlformats.org/spreadsheetml/2006/main">
  <c r="R30" i="40" l="1"/>
  <c r="F30" i="40"/>
  <c r="I29" i="41"/>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E30" i="40"/>
  <c r="D30" i="40"/>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l="1"/>
  <c r="C28" i="41" s="1"/>
  <c r="R10" i="40"/>
</calcChain>
</file>

<file path=xl/sharedStrings.xml><?xml version="1.0" encoding="utf-8"?>
<sst xmlns="http://schemas.openxmlformats.org/spreadsheetml/2006/main" count="565" uniqueCount="233">
  <si>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</si>
  <si>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</si>
  <si>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</si>
  <si>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</si>
  <si>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</si>
  <si>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</si>
  <si>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</si>
  <si>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</si>
  <si>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</si>
  <si>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</si>
  <si>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</si>
  <si>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</si>
  <si>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</si>
  <si>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</si>
  <si>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</si>
  <si>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</si>
  <si>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</si>
  <si>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</si>
  <si>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</si>
  <si>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</si>
  <si>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</si>
  <si>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</si>
  <si>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</si>
  <si>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</si>
  <si>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</si>
  <si>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</si>
  <si>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</si>
  <si>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</si>
  <si>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</si>
  <si>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</si>
  <si>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</si>
  <si>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</si>
  <si>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</si>
  <si>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</si>
  <si>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</si>
  <si>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</si>
  <si>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</si>
  <si>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</si>
  <si>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</si>
  <si>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</si>
  <si>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</si>
  <si>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</si>
  <si>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</si>
  <si>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</si>
  <si>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</si>
  <si>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</si>
  <si>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</si>
  <si>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</si>
  <si>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</si>
  <si>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</si>
  <si>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</si>
  <si>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</si>
  <si>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</si>
  <si>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</si>
  <si>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</si>
  <si>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</si>
  <si>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</si>
  <si>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</si>
  <si>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</si>
  <si>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</si>
  <si>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</si>
  <si>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</si>
  <si>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</si>
  <si>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</si>
  <si>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</si>
  <si>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</si>
  <si>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</si>
  <si>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</si>
  <si>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</si>
  <si>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</si>
  <si>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</si>
  <si>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</si>
  <si>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</si>
  <si>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</si>
  <si>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</si>
  <si>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</si>
  <si>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</si>
  <si>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</si>
  <si>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</si>
  <si>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</si>
  <si>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</si>
  <si>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</si>
  <si>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</si>
  <si>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</si>
  <si>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</si>
  <si>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</si>
  <si>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</si>
  <si>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</si>
  <si>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</si>
  <si>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</si>
  <si>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</si>
  <si>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</si>
  <si>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</si>
  <si>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</si>
  <si>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</si>
  <si>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</si>
  <si>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</si>
  <si>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</si>
  <si>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</si>
  <si>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</si>
  <si>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</si>
  <si>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</si>
  <si>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</si>
  <si>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</si>
  <si>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</si>
  <si>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</si>
  <si>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</si>
  <si>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</si>
  <si>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</si>
  <si>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</si>
  <si>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</si>
  <si>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</si>
  <si>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</si>
  <si>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</si>
  <si>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</si>
  <si>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</si>
  <si>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</si>
  <si>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</si>
  <si>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</si>
  <si>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</si>
  <si>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</si>
  <si>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</si>
  <si>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</si>
  <si>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</si>
  <si>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</si>
  <si>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</si>
  <si>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</si>
  <si>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</si>
  <si>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</si>
  <si>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</si>
  <si>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</si>
  <si>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</si>
  <si>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</si>
  <si>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</si>
  <si>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</si>
  <si>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</si>
  <si>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</si>
  <si>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</si>
  <si>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</si>
  <si>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</si>
  <si>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</si>
  <si>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</si>
  <si>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</si>
  <si>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</si>
  <si>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</si>
  <si>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</si>
  <si>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</si>
  <si>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</si>
  <si>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活水女子大学</t>
    <rPh sb="0" eb="6">
      <t>カッスイジョシダイガク</t>
    </rPh>
    <phoneticPr fontId="1"/>
  </si>
  <si>
    <t>学校法人活水学院</t>
    <rPh sb="0" eb="4">
      <t>ガッコウホウジン</t>
    </rPh>
    <rPh sb="4" eb="8">
      <t>カッスイガクイン</t>
    </rPh>
    <phoneticPr fontId="1"/>
  </si>
  <si>
    <t>私立大学</t>
  </si>
  <si>
    <t>長崎市東山手町1番50号</t>
    <rPh sb="0" eb="7">
      <t>ナガサキシヒガシヤマテマチ</t>
    </rPh>
    <rPh sb="8" eb="9">
      <t>バン</t>
    </rPh>
    <rPh sb="11" eb="12">
      <t>ゴウ</t>
    </rPh>
    <phoneticPr fontId="1"/>
  </si>
  <si>
    <t>Kwassui M-DASH Literacy</t>
    <phoneticPr fontId="1"/>
  </si>
  <si>
    <t>無</t>
  </si>
  <si>
    <t>前田　瞬</t>
    <rPh sb="0" eb="2">
      <t>マエダ</t>
    </rPh>
    <rPh sb="3" eb="4">
      <t>シュン</t>
    </rPh>
    <phoneticPr fontId="1"/>
  </si>
  <si>
    <t>国際文化学部准教授・情報センター長</t>
    <rPh sb="0" eb="6">
      <t>コクサイブンカガクブ</t>
    </rPh>
    <rPh sb="6" eb="9">
      <t>ジュンキョウジュ</t>
    </rPh>
    <rPh sb="10" eb="12">
      <t>ジョウホウ</t>
    </rPh>
    <rPh sb="16" eb="17">
      <t>チョウ</t>
    </rPh>
    <phoneticPr fontId="1"/>
  </si>
  <si>
    <t>村元　宏行</t>
    <rPh sb="0" eb="2">
      <t>ムラモト</t>
    </rPh>
    <rPh sb="3" eb="5">
      <t>ヒロユキ</t>
    </rPh>
    <phoneticPr fontId="1"/>
  </si>
  <si>
    <t>国際文化学部教授・教養教育センター長</t>
    <rPh sb="0" eb="6">
      <t>コクサイブンカガクブ</t>
    </rPh>
    <rPh sb="6" eb="8">
      <t>キョウジュ</t>
    </rPh>
    <rPh sb="9" eb="13">
      <t>キョウヨウキョウイク</t>
    </rPh>
    <rPh sb="17" eb="18">
      <t>チョウ</t>
    </rPh>
    <phoneticPr fontId="1"/>
  </si>
  <si>
    <t>認定教育プログラム</t>
  </si>
  <si>
    <t>教務課</t>
    <rPh sb="0" eb="2">
      <t>キョウム</t>
    </rPh>
    <rPh sb="2" eb="3">
      <t>カ</t>
    </rPh>
    <phoneticPr fontId="1"/>
  </si>
  <si>
    <t>edusec@kwassui.ac.jp</t>
    <phoneticPr fontId="1"/>
  </si>
  <si>
    <t>095-822-4107</t>
    <phoneticPr fontId="1"/>
  </si>
  <si>
    <t>学部・学科によって、修了要件は相違する</t>
  </si>
  <si>
    <t>教養セミナー</t>
    <rPh sb="0" eb="2">
      <t>キョウヨウ</t>
    </rPh>
    <phoneticPr fontId="1"/>
  </si>
  <si>
    <t>ITの発展と生活</t>
    <rPh sb="3" eb="5">
      <t>ハッテン</t>
    </rPh>
    <rPh sb="6" eb="8">
      <t>セイカツ</t>
    </rPh>
    <phoneticPr fontId="1"/>
  </si>
  <si>
    <t>メディアリテラシー論</t>
    <rPh sb="9" eb="10">
      <t>ロン</t>
    </rPh>
    <phoneticPr fontId="1"/>
  </si>
  <si>
    <t>看護医療情報学</t>
    <rPh sb="0" eb="7">
      <t>カンゴイリョウジョウホウガク</t>
    </rPh>
    <phoneticPr fontId="1"/>
  </si>
  <si>
    <t>○</t>
  </si>
  <si>
    <t>全学開講</t>
  </si>
  <si>
    <t>一部開講</t>
  </si>
  <si>
    <t>キャリアデザインセミナー</t>
    <phoneticPr fontId="1"/>
  </si>
  <si>
    <t>情報科学</t>
    <rPh sb="0" eb="4">
      <t>ジョウホウカガク</t>
    </rPh>
    <phoneticPr fontId="1"/>
  </si>
  <si>
    <t>疫学・保健統計Ⅰ</t>
    <rPh sb="0" eb="2">
      <t>エキガク</t>
    </rPh>
    <rPh sb="3" eb="7">
      <t>ホケントウケイ</t>
    </rPh>
    <phoneticPr fontId="1"/>
  </si>
  <si>
    <t>情報処理基礎</t>
    <rPh sb="0" eb="6">
      <t>ジョウホウショリキソ</t>
    </rPh>
    <phoneticPr fontId="1"/>
  </si>
  <si>
    <t>アプリケーション演習</t>
    <rPh sb="8" eb="10">
      <t>エンシュウ</t>
    </rPh>
    <phoneticPr fontId="1"/>
  </si>
  <si>
    <t>4‐2アルゴリズム基礎</t>
  </si>
  <si>
    <t>4‐3データ構造とプログラミング基礎</t>
  </si>
  <si>
    <t>〇</t>
    <phoneticPr fontId="1"/>
  </si>
  <si>
    <t>(1)人文社会科学を学ぶ学生が「数理的」・「論理的」思考に基づいて、意思決定できる能力が身につく。
(2)自然科学を学ぶ学生が「技術と社会」の関わりやデータサイエンスの自然科学への応用法に基づいて、意思決定できる能力が身につく。
(3)AI社会をより良く生活するために必要となる素養（技術動向と社会の関わり・情報倫理・情報セキュリティ）が身につく。</t>
    <rPh sb="3" eb="9">
      <t>ジンブンシャカイカガク</t>
    </rPh>
    <rPh sb="10" eb="11">
      <t>マナ</t>
    </rPh>
    <rPh sb="12" eb="14">
      <t>ガクセイ</t>
    </rPh>
    <rPh sb="16" eb="19">
      <t>スウリテキ</t>
    </rPh>
    <rPh sb="22" eb="25">
      <t>ロンリテキ</t>
    </rPh>
    <rPh sb="26" eb="28">
      <t>シコウ</t>
    </rPh>
    <rPh sb="29" eb="30">
      <t>モト</t>
    </rPh>
    <rPh sb="34" eb="38">
      <t>イシケッテイ</t>
    </rPh>
    <rPh sb="41" eb="43">
      <t>ノウリョク</t>
    </rPh>
    <rPh sb="44" eb="45">
      <t>ミ</t>
    </rPh>
    <rPh sb="53" eb="57">
      <t>シゼンカガク</t>
    </rPh>
    <rPh sb="58" eb="59">
      <t>マナ</t>
    </rPh>
    <rPh sb="60" eb="62">
      <t>ガクセイ</t>
    </rPh>
    <rPh sb="64" eb="66">
      <t>ギジュツ</t>
    </rPh>
    <rPh sb="67" eb="69">
      <t>シャカイ</t>
    </rPh>
    <rPh sb="71" eb="72">
      <t>カカ</t>
    </rPh>
    <rPh sb="84" eb="88">
      <t>シゼンカガク</t>
    </rPh>
    <rPh sb="90" eb="93">
      <t>オウヨウホウ</t>
    </rPh>
    <rPh sb="94" eb="95">
      <t>モト</t>
    </rPh>
    <rPh sb="99" eb="103">
      <t>イシケッテイ</t>
    </rPh>
    <rPh sb="106" eb="108">
      <t>ノウリョク</t>
    </rPh>
    <rPh sb="109" eb="110">
      <t>ミ</t>
    </rPh>
    <rPh sb="120" eb="122">
      <t>シャカイ</t>
    </rPh>
    <rPh sb="125" eb="126">
      <t>ヨ</t>
    </rPh>
    <rPh sb="127" eb="129">
      <t>セイカツ</t>
    </rPh>
    <rPh sb="134" eb="136">
      <t>ヒツヨウ</t>
    </rPh>
    <rPh sb="139" eb="141">
      <t>ソヨウ</t>
    </rPh>
    <rPh sb="142" eb="146">
      <t>ギジュツドウコウ</t>
    </rPh>
    <rPh sb="147" eb="149">
      <t>シャカイ</t>
    </rPh>
    <rPh sb="150" eb="151">
      <t>カカ</t>
    </rPh>
    <rPh sb="154" eb="158">
      <t>ジョウホウリンリ</t>
    </rPh>
    <rPh sb="159" eb="161">
      <t>ジョウホウ</t>
    </rPh>
    <rPh sb="169" eb="170">
      <t>ミ</t>
    </rPh>
    <phoneticPr fontId="1"/>
  </si>
  <si>
    <t>教養教育センター長・国際文化学部教授　村元　宏行
教務部長・国際文化学部准教授　香川　実成
食生活健康学科主任・准教授　阿南　祐也
情報センター長・国際文化学部准教授　前田　瞬</t>
    <rPh sb="0" eb="4">
      <t>キョウヨウキョウイク</t>
    </rPh>
    <rPh sb="8" eb="9">
      <t>チョウ</t>
    </rPh>
    <rPh sb="10" eb="16">
      <t>コクサイブンカガクブ</t>
    </rPh>
    <rPh sb="16" eb="18">
      <t>キョウジュ</t>
    </rPh>
    <rPh sb="19" eb="21">
      <t>ムラモト</t>
    </rPh>
    <rPh sb="22" eb="24">
      <t>ヒロユキ</t>
    </rPh>
    <rPh sb="25" eb="29">
      <t>キョウムブチョウ</t>
    </rPh>
    <rPh sb="30" eb="36">
      <t>コクサイブンカガクブ</t>
    </rPh>
    <rPh sb="36" eb="39">
      <t>ジュンキョウジュ</t>
    </rPh>
    <rPh sb="40" eb="42">
      <t>カガワ</t>
    </rPh>
    <rPh sb="43" eb="44">
      <t>ジツ</t>
    </rPh>
    <rPh sb="44" eb="45">
      <t>ナリ</t>
    </rPh>
    <rPh sb="46" eb="53">
      <t>ショクセイカツケンコウガッカ</t>
    </rPh>
    <rPh sb="53" eb="55">
      <t>シュニン</t>
    </rPh>
    <rPh sb="56" eb="59">
      <t>ジュンキョウジュ</t>
    </rPh>
    <rPh sb="60" eb="62">
      <t>アナン</t>
    </rPh>
    <rPh sb="63" eb="65">
      <t>ユウヤ</t>
    </rPh>
    <rPh sb="66" eb="68">
      <t>ジョウホウ</t>
    </rPh>
    <rPh sb="72" eb="73">
      <t>チョウ</t>
    </rPh>
    <rPh sb="74" eb="80">
      <t>コクサイブンカガクブ</t>
    </rPh>
    <rPh sb="80" eb="83">
      <t>ジュンキョウジュ</t>
    </rPh>
    <rPh sb="84" eb="86">
      <t>マエダ</t>
    </rPh>
    <rPh sb="87" eb="88">
      <t>シュン</t>
    </rPh>
    <phoneticPr fontId="1"/>
  </si>
  <si>
    <t>教養教育センター</t>
    <rPh sb="0" eb="4">
      <t>キョウヨウキョウイク</t>
    </rPh>
    <phoneticPr fontId="1"/>
  </si>
  <si>
    <t>活水女子大学教養教育センター規程</t>
    <rPh sb="0" eb="6">
      <t>カッスイジョシダイガク</t>
    </rPh>
    <rPh sb="6" eb="8">
      <t>キョウヨウ</t>
    </rPh>
    <rPh sb="8" eb="10">
      <t>キョウイク</t>
    </rPh>
    <rPh sb="14" eb="16">
      <t>キテイ</t>
    </rPh>
    <phoneticPr fontId="1"/>
  </si>
  <si>
    <t>https://www.kwassui.ac.jp/university/gakubugakka/kyouyoukyouiku.html</t>
    <phoneticPr fontId="1"/>
  </si>
  <si>
    <t>　学生に対する教養教育を充実させることを目的に、教養教育科目の点検・評価・改善をすることを目的に設置されている。「Kwassui M-DASH Literacy」も、教養としての数理・データサイエンス・ＡＩに関する知識の醸成を目的としていることから、教養教育センターにて教育の質を向上させる検討を行っている。</t>
    <rPh sb="1" eb="3">
      <t>ガクセイ</t>
    </rPh>
    <rPh sb="4" eb="5">
      <t>タイ</t>
    </rPh>
    <rPh sb="7" eb="11">
      <t>キョウヨウキョウイク</t>
    </rPh>
    <rPh sb="12" eb="14">
      <t>ジュウジツ</t>
    </rPh>
    <rPh sb="20" eb="22">
      <t>モクテキ</t>
    </rPh>
    <rPh sb="24" eb="30">
      <t>キョウヨウキョウイクカモク</t>
    </rPh>
    <rPh sb="31" eb="33">
      <t>テンケン</t>
    </rPh>
    <rPh sb="34" eb="36">
      <t>ヒョウカ</t>
    </rPh>
    <rPh sb="37" eb="39">
      <t>カイゼン</t>
    </rPh>
    <rPh sb="45" eb="47">
      <t>モクテキ</t>
    </rPh>
    <rPh sb="48" eb="50">
      <t>セッチ</t>
    </rPh>
    <rPh sb="83" eb="85">
      <t>キョウヨウ</t>
    </rPh>
    <rPh sb="89" eb="91">
      <t>スウリ</t>
    </rPh>
    <rPh sb="104" eb="105">
      <t>カン</t>
    </rPh>
    <rPh sb="107" eb="109">
      <t>チシキ</t>
    </rPh>
    <rPh sb="110" eb="112">
      <t>ジョウセイ</t>
    </rPh>
    <rPh sb="113" eb="115">
      <t>モクテキ</t>
    </rPh>
    <rPh sb="125" eb="129">
      <t>キョウヨウキョウイク</t>
    </rPh>
    <rPh sb="135" eb="137">
      <t>キョウイク</t>
    </rPh>
    <rPh sb="138" eb="139">
      <t>シツ</t>
    </rPh>
    <rPh sb="140" eb="142">
      <t>コウジョウ</t>
    </rPh>
    <rPh sb="145" eb="147">
      <t>ケントウ</t>
    </rPh>
    <rPh sb="148" eb="149">
      <t>オコナ</t>
    </rPh>
    <phoneticPr fontId="1"/>
  </si>
  <si>
    <t>　本教育プログラムの学生向けに説明した学習目標やプログラム修了要件、構成する科目群は、本学「教養教育」のWebページに公開しており、学生が閲覧できるようにしている。
公開先URL：https://www.kwassui.ac.jp/university/gakubugakka/kyouyoukyouiku.html</t>
    <rPh sb="1" eb="4">
      <t>ホンキョウイク</t>
    </rPh>
    <rPh sb="10" eb="13">
      <t>ガクセイム</t>
    </rPh>
    <rPh sb="15" eb="17">
      <t>セツメイ</t>
    </rPh>
    <rPh sb="19" eb="23">
      <t>ガクシュウモクヒョウ</t>
    </rPh>
    <rPh sb="29" eb="33">
      <t>シュウリョウヨウケン</t>
    </rPh>
    <rPh sb="34" eb="36">
      <t>コウセイ</t>
    </rPh>
    <rPh sb="38" eb="40">
      <t>カモク</t>
    </rPh>
    <rPh sb="40" eb="41">
      <t>グン</t>
    </rPh>
    <rPh sb="43" eb="45">
      <t>ホンガク</t>
    </rPh>
    <rPh sb="46" eb="50">
      <t>キョウヨウキョウイク</t>
    </rPh>
    <rPh sb="59" eb="61">
      <t>コウカイ</t>
    </rPh>
    <rPh sb="66" eb="68">
      <t>ガクセイ</t>
    </rPh>
    <rPh sb="69" eb="71">
      <t>エツラン</t>
    </rPh>
    <rPh sb="83" eb="86">
      <t>コウカイサキ</t>
    </rPh>
    <phoneticPr fontId="1"/>
  </si>
  <si>
    <t>　本教育プログラムの根幹をなす「教養セミナー」、「キャリアデザインセミナー」、「情報処理基礎」（看護学部は、「疫学・保健統計Ⅰ」）については、卒業要件となる必修科目としても位置づけられており、本学学生全員が学習できるようにしている。
　その他の本教育プログラムを構成する科目群についても、数理・データサイエンス・AIに関わる内容に興味を持つ学生が履修できるように、可能な限り時間割編成の工夫をしている。</t>
    <rPh sb="1" eb="2">
      <t>ホン</t>
    </rPh>
    <rPh sb="2" eb="4">
      <t>キョウイク</t>
    </rPh>
    <rPh sb="10" eb="12">
      <t>コンカン</t>
    </rPh>
    <rPh sb="16" eb="18">
      <t>キョウヨウ</t>
    </rPh>
    <rPh sb="40" eb="46">
      <t>ジョウホウショリキソ</t>
    </rPh>
    <rPh sb="48" eb="52">
      <t>カンゴガクブ</t>
    </rPh>
    <rPh sb="55" eb="57">
      <t>エキガク</t>
    </rPh>
    <rPh sb="58" eb="63">
      <t>ホケントウケイ1</t>
    </rPh>
    <rPh sb="71" eb="75">
      <t>ソツギョウヨウケン</t>
    </rPh>
    <rPh sb="78" eb="82">
      <t>ヒッシュウカモク</t>
    </rPh>
    <rPh sb="86" eb="88">
      <t>イチ</t>
    </rPh>
    <rPh sb="96" eb="100">
      <t>ホンガクガクセイ</t>
    </rPh>
    <rPh sb="100" eb="102">
      <t>ゼンイン</t>
    </rPh>
    <rPh sb="103" eb="105">
      <t>ガクシュウ</t>
    </rPh>
    <rPh sb="120" eb="121">
      <t>ホカ</t>
    </rPh>
    <rPh sb="122" eb="125">
      <t>ホンキョウイク</t>
    </rPh>
    <rPh sb="131" eb="133">
      <t>コウセイ</t>
    </rPh>
    <rPh sb="173" eb="175">
      <t>リシュウ</t>
    </rPh>
    <rPh sb="182" eb="184">
      <t>カノウ</t>
    </rPh>
    <rPh sb="185" eb="186">
      <t>カギ</t>
    </rPh>
    <rPh sb="187" eb="192">
      <t>ジカンワリヘンセイ</t>
    </rPh>
    <rPh sb="193" eb="195">
      <t>クフウ</t>
    </rPh>
    <phoneticPr fontId="1"/>
  </si>
  <si>
    <t>　専任教員担当の科目についてはオフィスアワーを設定し、学習内容に関する質問を受け付ける機会を設けている。また、非常勤講師担当の科目については、授業終了後に質疑応答に対応する時間を設け、学習内容に関する質問に対応している。</t>
    <rPh sb="1" eb="5">
      <t>センニンキョウイン</t>
    </rPh>
    <rPh sb="5" eb="7">
      <t>タントウ</t>
    </rPh>
    <rPh sb="8" eb="10">
      <t>カモク</t>
    </rPh>
    <rPh sb="23" eb="25">
      <t>セッテイ</t>
    </rPh>
    <rPh sb="27" eb="31">
      <t>ガクシュウナイヨウ</t>
    </rPh>
    <rPh sb="32" eb="33">
      <t>カン</t>
    </rPh>
    <rPh sb="35" eb="37">
      <t>シツモン</t>
    </rPh>
    <rPh sb="38" eb="39">
      <t>ウ</t>
    </rPh>
    <rPh sb="40" eb="41">
      <t>ツ</t>
    </rPh>
    <rPh sb="43" eb="45">
      <t>キカイ</t>
    </rPh>
    <rPh sb="46" eb="47">
      <t>モウ</t>
    </rPh>
    <rPh sb="55" eb="62">
      <t>ヒジョウキンコウシタントウ</t>
    </rPh>
    <rPh sb="63" eb="65">
      <t>カモク</t>
    </rPh>
    <rPh sb="71" eb="76">
      <t>ジュギョウシュウリョウゴ</t>
    </rPh>
    <rPh sb="77" eb="81">
      <t>シツギオウトウ</t>
    </rPh>
    <rPh sb="82" eb="84">
      <t>タイオウ</t>
    </rPh>
    <rPh sb="86" eb="88">
      <t>ジカン</t>
    </rPh>
    <rPh sb="89" eb="90">
      <t>モウ</t>
    </rPh>
    <rPh sb="103" eb="105">
      <t>タイオウ</t>
    </rPh>
    <phoneticPr fontId="1"/>
  </si>
  <si>
    <t>　教務課において、プログラムの履修・単位修得状況を把握している。また、学務システムの学習ポートフォリオ機能を活用して、受講者毎の演習の進捗状況や課題提出状況を把握できるようにしている。</t>
    <rPh sb="1" eb="4">
      <t>キョウムカ</t>
    </rPh>
    <rPh sb="18" eb="20">
      <t>タンイ</t>
    </rPh>
    <rPh sb="20" eb="22">
      <t>シュウトク</t>
    </rPh>
    <rPh sb="25" eb="27">
      <t>ハアク</t>
    </rPh>
    <rPh sb="35" eb="37">
      <t>ガクム</t>
    </rPh>
    <rPh sb="42" eb="44">
      <t>ガクシュウ</t>
    </rPh>
    <rPh sb="51" eb="53">
      <t>キノウ</t>
    </rPh>
    <rPh sb="54" eb="56">
      <t>カツヨウ</t>
    </rPh>
    <rPh sb="64" eb="66">
      <t>エンシュウ</t>
    </rPh>
    <rPh sb="67" eb="71">
      <t>シンチョクジョウキョウ</t>
    </rPh>
    <rPh sb="72" eb="78">
      <t>カダイテイシュツジョウキョウ</t>
    </rPh>
    <rPh sb="79" eb="81">
      <t>ハアク</t>
    </rPh>
    <phoneticPr fontId="1"/>
  </si>
  <si>
    <t>　本教育プログラム受講者全員に対して、当該科目の授業評価アンケートを実施しており、教養教育センター、IR委員会の2組織が連携し、学生の理解度を分析している。</t>
    <rPh sb="19" eb="23">
      <t>トウガイカモク</t>
    </rPh>
    <rPh sb="26" eb="28">
      <t>ヒョウカ</t>
    </rPh>
    <rPh sb="41" eb="43">
      <t>キョウヨウ</t>
    </rPh>
    <rPh sb="43" eb="45">
      <t>キョウイク</t>
    </rPh>
    <rPh sb="52" eb="55">
      <t>イインカイ</t>
    </rPh>
    <rPh sb="57" eb="59">
      <t>ソシキ</t>
    </rPh>
    <rPh sb="60" eb="62">
      <t>レンケイ</t>
    </rPh>
    <phoneticPr fontId="1"/>
  </si>
  <si>
    <t>　本教育プログラムの受講者を対象に実施した授業評価アンケートの結果を、大学Webサイト上で公開することによって、他の学生は本教育プログラムの履修について既受講者の意見を閲覧できる環境を整備している。</t>
    <rPh sb="1" eb="4">
      <t>ホンキョウイク</t>
    </rPh>
    <rPh sb="10" eb="13">
      <t>ジュコウシャ</t>
    </rPh>
    <rPh sb="14" eb="16">
      <t>タイショウ</t>
    </rPh>
    <rPh sb="17" eb="19">
      <t>ジッシ</t>
    </rPh>
    <rPh sb="21" eb="25">
      <t>ジュギョウヒョウカ</t>
    </rPh>
    <rPh sb="31" eb="33">
      <t>ケッカ</t>
    </rPh>
    <rPh sb="35" eb="37">
      <t>ダイガク</t>
    </rPh>
    <rPh sb="43" eb="44">
      <t>ジョウ</t>
    </rPh>
    <rPh sb="45" eb="47">
      <t>コウカイ</t>
    </rPh>
    <rPh sb="56" eb="57">
      <t>タ</t>
    </rPh>
    <rPh sb="58" eb="60">
      <t>ガクセイ</t>
    </rPh>
    <rPh sb="61" eb="62">
      <t>ホン</t>
    </rPh>
    <rPh sb="62" eb="64">
      <t>キョウイク</t>
    </rPh>
    <rPh sb="70" eb="72">
      <t>リシュウ</t>
    </rPh>
    <rPh sb="76" eb="77">
      <t>スデ</t>
    </rPh>
    <rPh sb="77" eb="80">
      <t>ジュコウシャ</t>
    </rPh>
    <rPh sb="81" eb="83">
      <t>イケン</t>
    </rPh>
    <rPh sb="84" eb="86">
      <t>エツラン</t>
    </rPh>
    <rPh sb="89" eb="91">
      <t>カンキョウ</t>
    </rPh>
    <rPh sb="92" eb="94">
      <t>セイビ</t>
    </rPh>
    <phoneticPr fontId="1"/>
  </si>
  <si>
    <t>　本教育プログラムの根幹をなす「教養セミナー」、「キャリアデザインセミナー」、「情報処理基礎」（看護学部は、「疫学・保健統計Ⅰ」）については、卒業要件となる必修科目としても位置づけられており、履修率は100%である。
　その他の科目についても時間割等を可能な限り工夫することによって、本教育プログラムを構成している科目群を学生が履修できるように、教務課と教養教育センターで検討をはじめている。</t>
    <rPh sb="1" eb="4">
      <t>ホンキョウイク</t>
    </rPh>
    <rPh sb="48" eb="52">
      <t>カンゴガクブ</t>
    </rPh>
    <rPh sb="55" eb="57">
      <t>エキガク</t>
    </rPh>
    <rPh sb="58" eb="63">
      <t>ホケントウケイ1</t>
    </rPh>
    <rPh sb="96" eb="99">
      <t>リシュウリツ</t>
    </rPh>
    <rPh sb="112" eb="113">
      <t>ホカ</t>
    </rPh>
    <rPh sb="114" eb="116">
      <t>カモク</t>
    </rPh>
    <rPh sb="121" eb="125">
      <t>ジカンワリトウ</t>
    </rPh>
    <rPh sb="126" eb="128">
      <t>カノウ</t>
    </rPh>
    <rPh sb="129" eb="130">
      <t>カギ</t>
    </rPh>
    <rPh sb="131" eb="133">
      <t>クフウ</t>
    </rPh>
    <rPh sb="142" eb="145">
      <t>ホンキョウイク</t>
    </rPh>
    <rPh sb="151" eb="153">
      <t>コウセイ</t>
    </rPh>
    <rPh sb="157" eb="160">
      <t>カモクグン</t>
    </rPh>
    <rPh sb="161" eb="163">
      <t>ガクセイ</t>
    </rPh>
    <rPh sb="164" eb="166">
      <t>リシュウ</t>
    </rPh>
    <rPh sb="173" eb="176">
      <t>キョウムカ</t>
    </rPh>
    <rPh sb="177" eb="181">
      <t>キョウヨウキョウイク</t>
    </rPh>
    <rPh sb="186" eb="188">
      <t>ケントウ</t>
    </rPh>
    <phoneticPr fontId="1"/>
  </si>
  <si>
    <t>　就職課とIR委員会が中心となって、卒業生調査を卒後1年以内、その卒業生の就職先に対する調査も1年以内に実施し、本学の「学び」が社会でどのように活かされているのかという意見を聴く機会を得ている。本教育プログラムは、2021年度入学生から実施しているため、その学生が卒業した後に、本教育プログラム修了者の活躍状況や企業からの評価を得られるようになっている。
　また、「キャリアデザインセミナー」のPBLで連携している民間企業、公務員団体等に対して、本教育プログラムに関する社会的意義を聴取することが可能である。</t>
    <rPh sb="1" eb="4">
      <t>シュウショクカ</t>
    </rPh>
    <rPh sb="7" eb="10">
      <t>イインカイ</t>
    </rPh>
    <rPh sb="11" eb="13">
      <t>チュウシン</t>
    </rPh>
    <rPh sb="28" eb="30">
      <t>イナイ</t>
    </rPh>
    <rPh sb="33" eb="36">
      <t>ソツギョウセイ</t>
    </rPh>
    <rPh sb="37" eb="40">
      <t>シュウショクサキ</t>
    </rPh>
    <rPh sb="41" eb="42">
      <t>タイ</t>
    </rPh>
    <rPh sb="44" eb="46">
      <t>チョウサ</t>
    </rPh>
    <rPh sb="48" eb="51">
      <t>ネンイナイ</t>
    </rPh>
    <rPh sb="56" eb="58">
      <t>ホンガク</t>
    </rPh>
    <rPh sb="60" eb="61">
      <t>マナ</t>
    </rPh>
    <rPh sb="64" eb="66">
      <t>シャカイ</t>
    </rPh>
    <rPh sb="72" eb="73">
      <t>イ</t>
    </rPh>
    <rPh sb="84" eb="86">
      <t>イケン</t>
    </rPh>
    <rPh sb="87" eb="88">
      <t>キ</t>
    </rPh>
    <rPh sb="89" eb="91">
      <t>キカイ</t>
    </rPh>
    <rPh sb="92" eb="93">
      <t>エ</t>
    </rPh>
    <rPh sb="97" eb="100">
      <t>ホンキョウイク</t>
    </rPh>
    <rPh sb="111" eb="113">
      <t>ネンド</t>
    </rPh>
    <rPh sb="113" eb="116">
      <t>ニュウガクセイ</t>
    </rPh>
    <rPh sb="118" eb="120">
      <t>ジッシ</t>
    </rPh>
    <rPh sb="129" eb="131">
      <t>ガクセイ</t>
    </rPh>
    <rPh sb="132" eb="134">
      <t>ソツギョウ</t>
    </rPh>
    <rPh sb="136" eb="137">
      <t>アト</t>
    </rPh>
    <rPh sb="139" eb="142">
      <t>ホンキョウイク</t>
    </rPh>
    <rPh sb="147" eb="150">
      <t>シュウリョウシャ</t>
    </rPh>
    <rPh sb="151" eb="155">
      <t>カツヤクジョウキョウ</t>
    </rPh>
    <rPh sb="156" eb="158">
      <t>キギョウ</t>
    </rPh>
    <rPh sb="161" eb="163">
      <t>ヒョウカ</t>
    </rPh>
    <rPh sb="164" eb="165">
      <t>エ</t>
    </rPh>
    <rPh sb="201" eb="203">
      <t>レンケイ</t>
    </rPh>
    <rPh sb="217" eb="218">
      <t>トウ</t>
    </rPh>
    <rPh sb="232" eb="233">
      <t>カン</t>
    </rPh>
    <rPh sb="235" eb="240">
      <t>シャカイテキイギ</t>
    </rPh>
    <rPh sb="241" eb="243">
      <t>チョウシュ</t>
    </rPh>
    <rPh sb="248" eb="250">
      <t>カノウ</t>
    </rPh>
    <phoneticPr fontId="1"/>
  </si>
  <si>
    <t>　数理・データサイエンス・AI教育強化拠点コンソーシアム九州・沖縄ブロックに連携校として加盟しており、コンソーシアムで開催されているイベントや研修会での民間企業・団体の声を参考に、本教育プログラムを構築し、点検・評価できるようにしている。
　また、上記に示したように「キャリアデザインセミナー」のPBLで連携している民間企業、公務員団体等に対して本教育プログラムに対する意見や教育方法に関するアドバイスをいただけるよう準備を進めている。</t>
    <rPh sb="31" eb="33">
      <t>オキナワ</t>
    </rPh>
    <rPh sb="38" eb="41">
      <t>レンケイコウ</t>
    </rPh>
    <rPh sb="44" eb="46">
      <t>カメイ</t>
    </rPh>
    <rPh sb="59" eb="61">
      <t>カイサイ</t>
    </rPh>
    <rPh sb="71" eb="74">
      <t>ケンシュウカイ</t>
    </rPh>
    <rPh sb="76" eb="80">
      <t>ミンカンキギョウ</t>
    </rPh>
    <rPh sb="81" eb="83">
      <t>ダンタイ</t>
    </rPh>
    <rPh sb="84" eb="85">
      <t>コエ</t>
    </rPh>
    <rPh sb="86" eb="88">
      <t>サンコウ</t>
    </rPh>
    <rPh sb="90" eb="93">
      <t>ホンキョウイク</t>
    </rPh>
    <rPh sb="99" eb="101">
      <t>コウチク</t>
    </rPh>
    <rPh sb="103" eb="105">
      <t>テンケン</t>
    </rPh>
    <rPh sb="106" eb="108">
      <t>ヒョウカ</t>
    </rPh>
    <rPh sb="124" eb="126">
      <t>ジョウキ</t>
    </rPh>
    <rPh sb="127" eb="128">
      <t>シメ</t>
    </rPh>
    <rPh sb="173" eb="176">
      <t>ホンキョウイク</t>
    </rPh>
    <rPh sb="182" eb="183">
      <t>タイ</t>
    </rPh>
    <rPh sb="185" eb="187">
      <t>イケン</t>
    </rPh>
    <rPh sb="188" eb="192">
      <t>キョウイクホウホウ</t>
    </rPh>
    <rPh sb="193" eb="194">
      <t>カン</t>
    </rPh>
    <rPh sb="209" eb="211">
      <t>ジュンビ</t>
    </rPh>
    <rPh sb="212" eb="213">
      <t>スス</t>
    </rPh>
    <phoneticPr fontId="1"/>
  </si>
  <si>
    <t>　「教養セミナー」や「キャリアデザインセミナー」において、大学生活ということをテーマとしたり、身近な地域課題解決ということをテーマとすることで、データを正しく扱うことの大切さやデータを活用することの面白さをPBLを通じて学ぶ機会を提供してる。
　また、「情報処理基礎」においても日常生活における情報倫理・情報セキュリティ、文系学生にとって身近なアプリケーションソフトウェアであるWord・Excel・PowerPointを活用したデータの収集・分析・整理を身近な題材を使って演習させる機会を提供してる。
　「ITの発展と生活」や「メディアリテラシー論」では、数理・データサイエンス・AIリテラシーを身につける重要性について、学生にとって身近なテーマを取り上げることに努め、授業を進めている。
　「看護医療情報学」や「疫学・保健統計Ⅰ」では、看護専門職としてのデータサイエンス・AIリテラシーを身につけることについて、講義と演習を組み合わせて、授業を進めている。</t>
    <rPh sb="2" eb="4">
      <t>キョウヨウ</t>
    </rPh>
    <rPh sb="29" eb="33">
      <t>ダイガクセイカツ</t>
    </rPh>
    <rPh sb="47" eb="49">
      <t>ミジカ</t>
    </rPh>
    <rPh sb="50" eb="56">
      <t>チイキカダイカイケツ</t>
    </rPh>
    <rPh sb="76" eb="77">
      <t>タダ</t>
    </rPh>
    <rPh sb="79" eb="80">
      <t>アツカ</t>
    </rPh>
    <rPh sb="84" eb="86">
      <t>タイセツ</t>
    </rPh>
    <rPh sb="92" eb="94">
      <t>カツヨウ</t>
    </rPh>
    <rPh sb="99" eb="101">
      <t>オモシロ</t>
    </rPh>
    <rPh sb="107" eb="108">
      <t>ツウ</t>
    </rPh>
    <rPh sb="110" eb="111">
      <t>マナ</t>
    </rPh>
    <rPh sb="112" eb="114">
      <t>キカイ</t>
    </rPh>
    <rPh sb="115" eb="117">
      <t>テイキョウ</t>
    </rPh>
    <rPh sb="127" eb="133">
      <t>ジョウホウショリキソ</t>
    </rPh>
    <rPh sb="139" eb="143">
      <t>ニチジョウセイカツ</t>
    </rPh>
    <rPh sb="147" eb="151">
      <t>ジョウホウリンリ</t>
    </rPh>
    <rPh sb="152" eb="154">
      <t>ジョウホウ</t>
    </rPh>
    <rPh sb="161" eb="165">
      <t>ブンケイガクセイ</t>
    </rPh>
    <rPh sb="169" eb="171">
      <t>ミヂカ</t>
    </rPh>
    <rPh sb="211" eb="213">
      <t>カツヨウ</t>
    </rPh>
    <rPh sb="219" eb="221">
      <t>シュウシュウ</t>
    </rPh>
    <rPh sb="222" eb="224">
      <t>ブンセキ</t>
    </rPh>
    <rPh sb="225" eb="227">
      <t>セイリ</t>
    </rPh>
    <rPh sb="228" eb="230">
      <t>ミジカ</t>
    </rPh>
    <rPh sb="231" eb="233">
      <t>ダイザイ</t>
    </rPh>
    <rPh sb="234" eb="235">
      <t>ツカ</t>
    </rPh>
    <rPh sb="237" eb="239">
      <t>エンシュウ</t>
    </rPh>
    <rPh sb="242" eb="244">
      <t>キカイ</t>
    </rPh>
    <rPh sb="245" eb="247">
      <t>テイキョウ</t>
    </rPh>
    <rPh sb="257" eb="259">
      <t>ハッテン</t>
    </rPh>
    <rPh sb="260" eb="262">
      <t>セイカツ</t>
    </rPh>
    <rPh sb="274" eb="275">
      <t>ロン</t>
    </rPh>
    <rPh sb="279" eb="281">
      <t>スウリ</t>
    </rPh>
    <rPh sb="299" eb="300">
      <t>ミ</t>
    </rPh>
    <rPh sb="304" eb="307">
      <t>ジュウヨウセイ</t>
    </rPh>
    <rPh sb="312" eb="314">
      <t>ガクセイ</t>
    </rPh>
    <rPh sb="318" eb="320">
      <t>ミジカ</t>
    </rPh>
    <rPh sb="325" eb="326">
      <t>ト</t>
    </rPh>
    <rPh sb="327" eb="328">
      <t>ア</t>
    </rPh>
    <rPh sb="333" eb="334">
      <t>ツト</t>
    </rPh>
    <rPh sb="336" eb="338">
      <t>ジュギョウ</t>
    </rPh>
    <rPh sb="339" eb="340">
      <t>スス</t>
    </rPh>
    <rPh sb="348" eb="355">
      <t>カンゴイリョウジョウホウガク</t>
    </rPh>
    <rPh sb="358" eb="360">
      <t>エキガク</t>
    </rPh>
    <rPh sb="361" eb="365">
      <t>ホケントウケイ</t>
    </rPh>
    <rPh sb="370" eb="375">
      <t>カンゴセンモンショク</t>
    </rPh>
    <rPh sb="396" eb="397">
      <t>ミ</t>
    </rPh>
    <rPh sb="408" eb="410">
      <t>コウギ</t>
    </rPh>
    <rPh sb="411" eb="413">
      <t>エンシュウ</t>
    </rPh>
    <rPh sb="414" eb="415">
      <t>ク</t>
    </rPh>
    <rPh sb="416" eb="417">
      <t>ア</t>
    </rPh>
    <rPh sb="421" eb="423">
      <t>ジュギョウ</t>
    </rPh>
    <rPh sb="424" eb="425">
      <t>スス</t>
    </rPh>
    <phoneticPr fontId="1"/>
  </si>
  <si>
    <t>　教養教育センターが中心となって、IR委員会と連携のもと、授業評価アンケートの結果を参考に、学生にとって身近な数理的問題やデータサイエンス・AIに関する内容は何かについて明らかにし、教材の選定を実施している。また、定期試験やレポート課題の結果、学修到達度セルフチェックの結果に基づいて、学生の数理・データサイエンス・AIに関する理解度を把握し、理解度を向上させるように担当教員レベルで授業改善を図る取り組みをしている。
　その他、コンソーシアムで開催されているイベントや研修会での民間企業・団体の声を参考に、社会で求められている数理・データサイエンス・AIリテラシーとは何かを参考に、本教育プログラムの点検・評価を実施している。</t>
    <rPh sb="1" eb="3">
      <t>キョウヨウ</t>
    </rPh>
    <rPh sb="3" eb="5">
      <t>キョウイク</t>
    </rPh>
    <rPh sb="10" eb="12">
      <t>チュウシン</t>
    </rPh>
    <rPh sb="19" eb="22">
      <t>イインカイ</t>
    </rPh>
    <rPh sb="23" eb="25">
      <t>レンケイ</t>
    </rPh>
    <rPh sb="29" eb="33">
      <t>ジュギョウヒョウカ</t>
    </rPh>
    <rPh sb="39" eb="41">
      <t>ケッカ</t>
    </rPh>
    <rPh sb="42" eb="44">
      <t>サンコウ</t>
    </rPh>
    <rPh sb="46" eb="48">
      <t>ガクセイ</t>
    </rPh>
    <rPh sb="52" eb="54">
      <t>ミヂカ</t>
    </rPh>
    <rPh sb="55" eb="57">
      <t>スウリ</t>
    </rPh>
    <rPh sb="57" eb="58">
      <t>テキ</t>
    </rPh>
    <rPh sb="58" eb="60">
      <t>モンダイ</t>
    </rPh>
    <rPh sb="73" eb="74">
      <t>カン</t>
    </rPh>
    <rPh sb="76" eb="78">
      <t>ナイヨウ</t>
    </rPh>
    <rPh sb="79" eb="80">
      <t>ナニ</t>
    </rPh>
    <rPh sb="85" eb="86">
      <t>アキ</t>
    </rPh>
    <rPh sb="91" eb="93">
      <t>キョウザイ</t>
    </rPh>
    <rPh sb="94" eb="96">
      <t>センテイ</t>
    </rPh>
    <rPh sb="97" eb="99">
      <t>ジッシ</t>
    </rPh>
    <rPh sb="107" eb="111">
      <t>テイキシケン</t>
    </rPh>
    <rPh sb="116" eb="118">
      <t>カダイ</t>
    </rPh>
    <rPh sb="119" eb="121">
      <t>ケッカ</t>
    </rPh>
    <rPh sb="122" eb="127">
      <t>ガクシュウトウタツド</t>
    </rPh>
    <rPh sb="135" eb="137">
      <t>ケッカ</t>
    </rPh>
    <rPh sb="138" eb="139">
      <t>モト</t>
    </rPh>
    <rPh sb="143" eb="145">
      <t>ガクセイ</t>
    </rPh>
    <rPh sb="146" eb="148">
      <t>スウリ</t>
    </rPh>
    <rPh sb="161" eb="162">
      <t>カン</t>
    </rPh>
    <rPh sb="164" eb="167">
      <t>リカイド</t>
    </rPh>
    <rPh sb="168" eb="170">
      <t>ハアク</t>
    </rPh>
    <rPh sb="172" eb="175">
      <t>リカイド</t>
    </rPh>
    <rPh sb="176" eb="178">
      <t>コウジョウ</t>
    </rPh>
    <rPh sb="184" eb="188">
      <t>タントウキョウイン</t>
    </rPh>
    <rPh sb="192" eb="196">
      <t>ジュギョウカイゼン</t>
    </rPh>
    <rPh sb="197" eb="198">
      <t>ハカ</t>
    </rPh>
    <rPh sb="199" eb="200">
      <t>ト</t>
    </rPh>
    <rPh sb="201" eb="202">
      <t>ク</t>
    </rPh>
    <rPh sb="213" eb="214">
      <t>ホカ</t>
    </rPh>
    <rPh sb="254" eb="256">
      <t>シャカイ</t>
    </rPh>
    <rPh sb="257" eb="258">
      <t>モト</t>
    </rPh>
    <rPh sb="264" eb="266">
      <t>スウリ</t>
    </rPh>
    <rPh sb="285" eb="286">
      <t>ナニ</t>
    </rPh>
    <rPh sb="288" eb="290">
      <t>サンコウ</t>
    </rPh>
    <rPh sb="292" eb="295">
      <t>ホンキョウイク</t>
    </rPh>
    <rPh sb="301" eb="303">
      <t>テンケン</t>
    </rPh>
    <rPh sb="304" eb="306">
      <t>ヒョウカ</t>
    </rPh>
    <rPh sb="307" eb="309">
      <t>ジッシ</t>
    </rPh>
    <phoneticPr fontId="1"/>
  </si>
  <si>
    <t>　教務課において「教養セミナー」・「キャリアデザインセミナー」・「情報処理基礎」の3科目について学修到達度セルフチェックを実施している。その中で、各科目のシラバスで示している「知識・技能の習得」や「授業における学修の到達目標及びテーマ」の項目を分析している。そのことで、当該科目の授業内容について学生の理解度を把握することができ、その結果を教養教育センター・IR委員会と連携し、本教育プログラムの点検・評価・改善に活用している。</t>
    <rPh sb="1" eb="4">
      <t>キョウムカ</t>
    </rPh>
    <rPh sb="9" eb="11">
      <t>キョウヨウ</t>
    </rPh>
    <rPh sb="33" eb="39">
      <t>ジョウホウショリキソ</t>
    </rPh>
    <rPh sb="42" eb="44">
      <t>カモク</t>
    </rPh>
    <rPh sb="48" eb="53">
      <t>ガクシュウトウタツド</t>
    </rPh>
    <rPh sb="61" eb="63">
      <t>ジッシ</t>
    </rPh>
    <rPh sb="70" eb="71">
      <t>ナカ</t>
    </rPh>
    <rPh sb="73" eb="76">
      <t>カクカモク</t>
    </rPh>
    <rPh sb="82" eb="83">
      <t>シメ</t>
    </rPh>
    <rPh sb="88" eb="90">
      <t>チシキ</t>
    </rPh>
    <rPh sb="91" eb="93">
      <t>ギノウ</t>
    </rPh>
    <rPh sb="94" eb="96">
      <t>シュウトク</t>
    </rPh>
    <rPh sb="99" eb="101">
      <t>ジュギョウ</t>
    </rPh>
    <rPh sb="105" eb="107">
      <t>ガクシュウ</t>
    </rPh>
    <rPh sb="108" eb="112">
      <t>トウタツモクヒョウ</t>
    </rPh>
    <rPh sb="112" eb="113">
      <t>オヨ</t>
    </rPh>
    <rPh sb="135" eb="139">
      <t>トウガイカモク</t>
    </rPh>
    <rPh sb="170" eb="174">
      <t>キョウヨウキョウイク</t>
    </rPh>
    <rPh sb="181" eb="184">
      <t>イインカイ</t>
    </rPh>
    <rPh sb="198" eb="200">
      <t>テンケン</t>
    </rPh>
    <phoneticPr fontId="1"/>
  </si>
  <si>
    <t>国際文化学部　英語学科</t>
    <rPh sb="0" eb="6">
      <t>コクサイブンカガクブ</t>
    </rPh>
    <rPh sb="7" eb="11">
      <t>エイゴガッカ</t>
    </rPh>
    <phoneticPr fontId="1"/>
  </si>
  <si>
    <t>国際文化学部　日本文化学科</t>
    <rPh sb="0" eb="6">
      <t>コクサイブンカガクブ</t>
    </rPh>
    <rPh sb="7" eb="13">
      <t>ニホンブンカガッカ</t>
    </rPh>
    <phoneticPr fontId="1"/>
  </si>
  <si>
    <t>音楽学部　音楽学科</t>
    <rPh sb="0" eb="4">
      <t>オンガクガクブ</t>
    </rPh>
    <rPh sb="5" eb="9">
      <t>オンガクガッカ</t>
    </rPh>
    <phoneticPr fontId="1"/>
  </si>
  <si>
    <t>健康生活学部　食生活健康学科</t>
    <rPh sb="0" eb="6">
      <t>ケンコウセイカツガクブ</t>
    </rPh>
    <rPh sb="7" eb="14">
      <t>ショクセイカツケンコウガッカ</t>
    </rPh>
    <phoneticPr fontId="1"/>
  </si>
  <si>
    <t>健康生活学部　生活デザイン学科</t>
    <rPh sb="0" eb="6">
      <t>ケンコウセイカツガクブ</t>
    </rPh>
    <rPh sb="7" eb="9">
      <t>セイカツ</t>
    </rPh>
    <rPh sb="13" eb="15">
      <t>ガッカ</t>
    </rPh>
    <phoneticPr fontId="1"/>
  </si>
  <si>
    <t>健康生活学部　子ども学科</t>
    <rPh sb="0" eb="6">
      <t>ケンコウセイカツガクブ</t>
    </rPh>
    <rPh sb="7" eb="8">
      <t>コ</t>
    </rPh>
    <rPh sb="10" eb="12">
      <t>ガッカ</t>
    </rPh>
    <phoneticPr fontId="1"/>
  </si>
  <si>
    <t>看護学部　看護学科</t>
    <rPh sb="0" eb="4">
      <t>カンゴガクブ</t>
    </rPh>
    <rPh sb="5" eb="9">
      <t>カンゴガッカ</t>
    </rPh>
    <phoneticPr fontId="1"/>
  </si>
  <si>
    <t>三浦 秀成
美馬 美郁</t>
    <rPh sb="0" eb="2">
      <t>ミウラ</t>
    </rPh>
    <rPh sb="3" eb="5">
      <t>ヒデナリ</t>
    </rPh>
    <rPh sb="6" eb="8">
      <t>ミマ</t>
    </rPh>
    <rPh sb="9" eb="10">
      <t>ミ</t>
    </rPh>
    <rPh sb="10" eb="11">
      <t>イク</t>
    </rPh>
    <phoneticPr fontId="1"/>
  </si>
  <si>
    <t>　令和3年度より、活水女子大学の「教養教育」のWebページに「Kwassui M-DASH Literacy」の学習到達目標や修了要件、構成する科目群・科目概要を掲載している。
　また、2021年度入学生より、「教養セミナー」「キャリアデザインセミナー」「情報処理基礎」の3科目（看護学部は、3科目の他に、2年次前期開講科目の「疫学・保健統計Ⅰ」を含む）を本教育プログラムの必修科目として位置付けている。従前よりこの3科目は卒業要件に必要な必修科目として位置づけているため、履修者数・履修率は2021年度入学生は履修率100%である。なお、看護学部の「疫学・保健統計Ⅰ」についても、看護学部専門科目の必修科目として位置付けている。そのため、年次進行で全学生が本教育プログラムを修了する予定である。
　併せて、令和4年度からは日本文化学科専門科目の「経済学」「地域経済学」「マーケティング論」を他学部他学科開放科目（後述）に指定し、ビジネスパーソンとして身につけておくべき数理・データサイエンス・AIリテラシーに関する内容を、全学学生が履修できる計画をしている。</t>
    <rPh sb="9" eb="15">
      <t>カッスイジョシダイガク</t>
    </rPh>
    <rPh sb="17" eb="21">
      <t>キョウヨウキョウイク</t>
    </rPh>
    <rPh sb="58" eb="60">
      <t>トウタツ</t>
    </rPh>
    <rPh sb="63" eb="67">
      <t>シュウリョウヨウケン</t>
    </rPh>
    <rPh sb="81" eb="83">
      <t>ケイサイ</t>
    </rPh>
    <rPh sb="97" eb="99">
      <t>ネンド</t>
    </rPh>
    <rPh sb="99" eb="102">
      <t>ニュウガクセイ</t>
    </rPh>
    <rPh sb="106" eb="108">
      <t>キョウヨウ</t>
    </rPh>
    <rPh sb="128" eb="134">
      <t>ジョウホウショリキソ</t>
    </rPh>
    <rPh sb="137" eb="139">
      <t>カモク</t>
    </rPh>
    <rPh sb="140" eb="144">
      <t>カンゴガクブ</t>
    </rPh>
    <rPh sb="147" eb="149">
      <t>カモク</t>
    </rPh>
    <rPh sb="150" eb="151">
      <t>ホカ</t>
    </rPh>
    <rPh sb="154" eb="158">
      <t>ネンジゼンキ</t>
    </rPh>
    <rPh sb="158" eb="162">
      <t>カイコウカモク</t>
    </rPh>
    <rPh sb="164" eb="166">
      <t>エキガク</t>
    </rPh>
    <rPh sb="167" eb="171">
      <t>ホケントウケイ</t>
    </rPh>
    <rPh sb="174" eb="175">
      <t>フク</t>
    </rPh>
    <rPh sb="178" eb="179">
      <t>ホン</t>
    </rPh>
    <rPh sb="179" eb="181">
      <t>キョウイク</t>
    </rPh>
    <rPh sb="187" eb="189">
      <t>ヒッシュウ</t>
    </rPh>
    <rPh sb="189" eb="191">
      <t>カモク</t>
    </rPh>
    <rPh sb="194" eb="197">
      <t>イチヅ</t>
    </rPh>
    <rPh sb="202" eb="204">
      <t>ジュウゼン</t>
    </rPh>
    <rPh sb="209" eb="211">
      <t>カモク</t>
    </rPh>
    <rPh sb="212" eb="216">
      <t>ソツギョウヨウケン</t>
    </rPh>
    <rPh sb="217" eb="219">
      <t>ヒツヨウ</t>
    </rPh>
    <rPh sb="227" eb="229">
      <t>イチ</t>
    </rPh>
    <rPh sb="237" eb="241">
      <t>リシュウシャスウ</t>
    </rPh>
    <rPh sb="242" eb="245">
      <t>リシュウリツ</t>
    </rPh>
    <rPh sb="250" eb="252">
      <t>ネンド</t>
    </rPh>
    <rPh sb="252" eb="255">
      <t>ニュウガクセイ</t>
    </rPh>
    <rPh sb="256" eb="259">
      <t>リシュウリツ</t>
    </rPh>
    <rPh sb="270" eb="274">
      <t>カンゴガクブ</t>
    </rPh>
    <rPh sb="276" eb="278">
      <t>エキガク</t>
    </rPh>
    <rPh sb="279" eb="283">
      <t>ホケントウケイ</t>
    </rPh>
    <rPh sb="291" eb="295">
      <t>カンゴガクブ</t>
    </rPh>
    <rPh sb="295" eb="299">
      <t>センモンカモク</t>
    </rPh>
    <rPh sb="300" eb="304">
      <t>ヒッシュウカモク</t>
    </rPh>
    <rPh sb="307" eb="310">
      <t>イチヅ</t>
    </rPh>
    <rPh sb="350" eb="351">
      <t>アワ</t>
    </rPh>
    <rPh sb="354" eb="356">
      <t>レイワ</t>
    </rPh>
    <rPh sb="357" eb="359">
      <t>ネンド</t>
    </rPh>
    <rPh sb="362" eb="368">
      <t>ニホンブンカガッカ</t>
    </rPh>
    <rPh sb="368" eb="372">
      <t>センモンカモク</t>
    </rPh>
    <rPh sb="374" eb="377">
      <t>ケイザイガク</t>
    </rPh>
    <rPh sb="379" eb="384">
      <t>チイキケイザイガク</t>
    </rPh>
    <rPh sb="393" eb="394">
      <t>ロン</t>
    </rPh>
    <rPh sb="396" eb="399">
      <t>タガクブ</t>
    </rPh>
    <rPh sb="399" eb="402">
      <t>タガッカ</t>
    </rPh>
    <rPh sb="402" eb="406">
      <t>カイホウカモク</t>
    </rPh>
    <rPh sb="407" eb="409">
      <t>コウジュツ</t>
    </rPh>
    <rPh sb="411" eb="413">
      <t>シテイ</t>
    </rPh>
    <rPh sb="426" eb="427">
      <t>ミ</t>
    </rPh>
    <rPh sb="435" eb="437">
      <t>スウリ</t>
    </rPh>
    <rPh sb="455" eb="456">
      <t>カン</t>
    </rPh>
    <rPh sb="458" eb="460">
      <t>ナイヨウ</t>
    </rPh>
    <rPh sb="462" eb="464">
      <t>ゼンガク</t>
    </rPh>
    <rPh sb="464" eb="466">
      <t>ガクセイ</t>
    </rPh>
    <rPh sb="467" eb="469">
      <t>リシュウ</t>
    </rPh>
    <rPh sb="472" eb="474">
      <t>ケイカク</t>
    </rPh>
    <phoneticPr fontId="1"/>
  </si>
  <si>
    <t>　本学の数理・データサイエンス・AIリテラシー醸成を目的とする教育プログラムは、基幹科目とした「教養セミナー」「キャリアデザインセミナー」「情報処理基礎」（看護学部は、「疫学・保健統計Ⅰ」）については、卒業要件の必修科目としても位置付けているため、履修率は100%としている。
　また、その他の数理・データサイエンス・AIリテラシー醸成を目的とする多くの科目は教養教育科目であるため、全学学生が履修できるようになっている。併せて、本学は、他学部他学科履修制度が整備されており、特定の学科で開講されている専門教育科目を他学科の学生が履修できるよう規程を整備している（活水女子大学履修規程第3条第1項）。
　本教育プログラムに関連した科目としては、日本文化学科の「メディアリテラシー論」を他学部他学科開放科目に指定しており、本学の全学部生が履修できるようにしている。</t>
    <rPh sb="1" eb="3">
      <t>ホンガク</t>
    </rPh>
    <rPh sb="4" eb="6">
      <t>スウリ</t>
    </rPh>
    <rPh sb="23" eb="25">
      <t>ジョウセイ</t>
    </rPh>
    <rPh sb="26" eb="28">
      <t>モクテキ</t>
    </rPh>
    <rPh sb="31" eb="33">
      <t>キョウイク</t>
    </rPh>
    <rPh sb="40" eb="42">
      <t>キカン</t>
    </rPh>
    <rPh sb="42" eb="44">
      <t>カモク</t>
    </rPh>
    <rPh sb="48" eb="50">
      <t>キョウヨウ</t>
    </rPh>
    <rPh sb="70" eb="76">
      <t>ジョウホウショリキソ</t>
    </rPh>
    <rPh sb="78" eb="82">
      <t>カンゴガクブ</t>
    </rPh>
    <rPh sb="85" eb="87">
      <t>エキガク</t>
    </rPh>
    <rPh sb="88" eb="92">
      <t>ホケントウケイ</t>
    </rPh>
    <rPh sb="101" eb="105">
      <t>ソツギョウヨウケン</t>
    </rPh>
    <rPh sb="106" eb="110">
      <t>ヒッシュウカモク</t>
    </rPh>
    <rPh sb="114" eb="117">
      <t>イチヅ</t>
    </rPh>
    <rPh sb="124" eb="127">
      <t>リシュウリツ</t>
    </rPh>
    <rPh sb="145" eb="146">
      <t>ホカ</t>
    </rPh>
    <rPh sb="174" eb="175">
      <t>オオ</t>
    </rPh>
    <rPh sb="177" eb="179">
      <t>カモク</t>
    </rPh>
    <rPh sb="180" eb="186">
      <t>キョウヨウキョウイクカモク</t>
    </rPh>
    <rPh sb="192" eb="196">
      <t>ゼンガクガクセイ</t>
    </rPh>
    <rPh sb="197" eb="199">
      <t>リシュウ</t>
    </rPh>
    <rPh sb="211" eb="212">
      <t>アワ</t>
    </rPh>
    <rPh sb="215" eb="217">
      <t>ホンガク</t>
    </rPh>
    <rPh sb="219" eb="222">
      <t>タガクブ</t>
    </rPh>
    <rPh sb="222" eb="223">
      <t>ホカ</t>
    </rPh>
    <rPh sb="223" eb="225">
      <t>ガッカ</t>
    </rPh>
    <rPh sb="225" eb="229">
      <t>リシュウセイド</t>
    </rPh>
    <rPh sb="230" eb="232">
      <t>セイビ</t>
    </rPh>
    <rPh sb="238" eb="240">
      <t>トクテイ</t>
    </rPh>
    <rPh sb="241" eb="243">
      <t>ガッカ</t>
    </rPh>
    <rPh sb="244" eb="246">
      <t>カイコウ</t>
    </rPh>
    <rPh sb="251" eb="257">
      <t>センモンキョウイクカモク</t>
    </rPh>
    <rPh sb="258" eb="261">
      <t>タガッカ</t>
    </rPh>
    <rPh sb="262" eb="264">
      <t>ガクセイ</t>
    </rPh>
    <rPh sb="265" eb="267">
      <t>リシュウ</t>
    </rPh>
    <rPh sb="272" eb="274">
      <t>キテイ</t>
    </rPh>
    <rPh sb="275" eb="277">
      <t>セイビ</t>
    </rPh>
    <rPh sb="282" eb="288">
      <t>カッスイジョシダイガク</t>
    </rPh>
    <rPh sb="288" eb="290">
      <t>リシュウ</t>
    </rPh>
    <rPh sb="290" eb="292">
      <t>キテイ</t>
    </rPh>
    <rPh sb="292" eb="293">
      <t>ダイ</t>
    </rPh>
    <rPh sb="294" eb="295">
      <t>ジョウ</t>
    </rPh>
    <rPh sb="295" eb="296">
      <t>ダイ</t>
    </rPh>
    <rPh sb="297" eb="298">
      <t>コウ</t>
    </rPh>
    <rPh sb="302" eb="303">
      <t>ホン</t>
    </rPh>
    <rPh sb="303" eb="305">
      <t>キョウイク</t>
    </rPh>
    <rPh sb="311" eb="313">
      <t>カンレン</t>
    </rPh>
    <rPh sb="315" eb="317">
      <t>カモク</t>
    </rPh>
    <rPh sb="322" eb="328">
      <t>ニホンブンカガッカ</t>
    </rPh>
    <rPh sb="339" eb="340">
      <t>ロン</t>
    </rPh>
    <rPh sb="342" eb="345">
      <t>タガクブ</t>
    </rPh>
    <rPh sb="345" eb="348">
      <t>タガッカ</t>
    </rPh>
    <rPh sb="348" eb="350">
      <t>カイホウ</t>
    </rPh>
    <rPh sb="350" eb="352">
      <t>カモク</t>
    </rPh>
    <rPh sb="353" eb="355">
      <t>シテイ</t>
    </rPh>
    <rPh sb="360" eb="362">
      <t>ホンガク</t>
    </rPh>
    <rPh sb="363" eb="366">
      <t>ゼンガクブ</t>
    </rPh>
    <rPh sb="366" eb="367">
      <t>ナマ</t>
    </rPh>
    <rPh sb="368" eb="370">
      <t>リシュウ</t>
    </rPh>
    <phoneticPr fontId="1"/>
  </si>
  <si>
    <t>様式２－１</t>
    <phoneticPr fontId="1"/>
  </si>
  <si>
    <t>国際文化学部・音楽学部・健康生活学部：プログラムを構成する科目群から4単位以上取得すること。
1)教養セミナー（1単位）、キャリアデザインセミナー（1単位）、情報処理基礎（2単位）を必修とする。
2)上記以外の科目で、ITの発展と生活（2単位）、メディアリテラシー論（2単位）、アプリケーション演習（2単位）、情報科学（2単位）は選択とする。</t>
    <rPh sb="0" eb="6">
      <t>コクサイブンカガクブ</t>
    </rPh>
    <rPh sb="7" eb="11">
      <t>オンガクガクブ</t>
    </rPh>
    <rPh sb="12" eb="18">
      <t>ケンコウセイカツガクブ</t>
    </rPh>
    <rPh sb="49" eb="51">
      <t>キョウヨウ</t>
    </rPh>
    <rPh sb="57" eb="59">
      <t>タンイ</t>
    </rPh>
    <rPh sb="75" eb="77">
      <t>タンイ</t>
    </rPh>
    <rPh sb="79" eb="85">
      <t>ジョウホウショリキソ</t>
    </rPh>
    <rPh sb="87" eb="89">
      <t>タンイ</t>
    </rPh>
    <rPh sb="91" eb="93">
      <t>ヒッシュウ</t>
    </rPh>
    <rPh sb="100" eb="104">
      <t>ジョウキイガイ</t>
    </rPh>
    <rPh sb="105" eb="107">
      <t>カモク</t>
    </rPh>
    <rPh sb="112" eb="114">
      <t>ハッテン</t>
    </rPh>
    <rPh sb="115" eb="117">
      <t>セイカツ</t>
    </rPh>
    <rPh sb="119" eb="121">
      <t>タンイ</t>
    </rPh>
    <rPh sb="132" eb="133">
      <t>ロン</t>
    </rPh>
    <rPh sb="135" eb="137">
      <t>タンイ</t>
    </rPh>
    <rPh sb="147" eb="149">
      <t>エンシュウ</t>
    </rPh>
    <rPh sb="151" eb="153">
      <t>タンイ</t>
    </rPh>
    <rPh sb="155" eb="159">
      <t>ジョウホウカガク</t>
    </rPh>
    <rPh sb="161" eb="163">
      <t>タンイ</t>
    </rPh>
    <rPh sb="165" eb="167">
      <t>センタク</t>
    </rPh>
    <phoneticPr fontId="1"/>
  </si>
  <si>
    <t>・インターネット活用法・インターネットを学びに活用する「教養セミナー」（6回目）
・社会が抱える課題と自分のキャリアデザイン①・ＰＢＬ：社会が今後抱える課題は何か「キャリアデザインセミナー」（8回目）
・ガイダンス：データ駆動型社会・AI社会とは？「ITの発展と生活」（1回目）
・データ駆動型社会・AI社会のいま①：第4次産業革命「ITの発展と生活」（2回目）
・情報とAI　その①：エレクトロニクス革命「メディアリテラシー論」（12回目）</t>
    <rPh sb="28" eb="30">
      <t>キョウヨウ</t>
    </rPh>
    <rPh sb="37" eb="39">
      <t>カイメ</t>
    </rPh>
    <rPh sb="97" eb="99">
      <t>カイメ</t>
    </rPh>
    <rPh sb="128" eb="130">
      <t>ハッテン</t>
    </rPh>
    <rPh sb="131" eb="133">
      <t>セイカツ</t>
    </rPh>
    <rPh sb="136" eb="138">
      <t>カイメ</t>
    </rPh>
    <rPh sb="213" eb="214">
      <t>ロン</t>
    </rPh>
    <rPh sb="218" eb="220">
      <t>カイメ</t>
    </rPh>
    <phoneticPr fontId="1"/>
  </si>
  <si>
    <r>
      <t>・</t>
    </r>
    <r>
      <rPr>
        <sz val="12"/>
        <rFont val="ＭＳ Ｐゴシック"/>
        <family val="3"/>
        <charset val="128"/>
        <scheme val="minor"/>
      </rPr>
      <t>PBL</t>
    </r>
    <r>
      <rPr>
        <sz val="12"/>
        <rFont val="ＭＳ Ｐゴシック"/>
        <family val="2"/>
        <charset val="128"/>
        <scheme val="minor"/>
      </rPr>
      <t>活動②・グループでの取組み「教養セミナー」（</t>
    </r>
    <r>
      <rPr>
        <sz val="12"/>
        <rFont val="ＭＳ Ｐゴシック"/>
        <family val="3"/>
        <charset val="128"/>
        <scheme val="minor"/>
      </rPr>
      <t>13</t>
    </r>
    <r>
      <rPr>
        <sz val="12"/>
        <rFont val="ＭＳ Ｐゴシック"/>
        <family val="2"/>
        <charset val="128"/>
        <scheme val="minor"/>
      </rPr>
      <t>回目）
・</t>
    </r>
    <r>
      <rPr>
        <sz val="12"/>
        <rFont val="ＭＳ Ｐゴシック"/>
        <family val="3"/>
        <charset val="128"/>
        <scheme val="minor"/>
      </rPr>
      <t>PBL</t>
    </r>
    <r>
      <rPr>
        <sz val="12"/>
        <rFont val="ＭＳ Ｐゴシック"/>
        <family val="2"/>
        <charset val="128"/>
        <scheme val="minor"/>
      </rPr>
      <t>活動③・プレゼンテーション「教養セミナー」（</t>
    </r>
    <r>
      <rPr>
        <sz val="12"/>
        <rFont val="ＭＳ Ｐゴシック"/>
        <family val="3"/>
        <charset val="128"/>
        <scheme val="minor"/>
      </rPr>
      <t>14</t>
    </r>
    <r>
      <rPr>
        <sz val="12"/>
        <rFont val="ＭＳ Ｐゴシック"/>
        <family val="2"/>
        <charset val="128"/>
        <scheme val="minor"/>
      </rPr>
      <t>回目）
・データ駆動型社会・AI社会のいま④：ビッグデータの活用、AIの活用を支える技術「ITの発展と生活」</t>
    </r>
    <r>
      <rPr>
        <sz val="9"/>
        <rFont val="ＭＳ Ｐゴシック"/>
        <family val="3"/>
        <charset val="128"/>
        <scheme val="minor"/>
      </rPr>
      <t>（5回目）</t>
    </r>
    <r>
      <rPr>
        <sz val="12"/>
        <rFont val="ＭＳ Ｐゴシック"/>
        <family val="2"/>
        <charset val="128"/>
        <scheme val="minor"/>
      </rPr>
      <t xml:space="preserve">
・情報とAI　その②：人工知能ブームまでのエレクトロニクス革命の変遷と確率論「メディアリテラシー論」（13回目）</t>
    </r>
    <rPh sb="108" eb="110">
      <t>ハッテン</t>
    </rPh>
    <rPh sb="111" eb="113">
      <t>セイカツ</t>
    </rPh>
    <rPh sb="116" eb="118">
      <t>カイメ</t>
    </rPh>
    <rPh sb="168" eb="169">
      <t>ロン</t>
    </rPh>
    <rPh sb="173" eb="175">
      <t>カイメ</t>
    </rPh>
    <phoneticPr fontId="1"/>
  </si>
  <si>
    <t>・身近な地域課題から考えてみよう①・地域社会の現状分析「キャリアデザインセミナー」（10回目）
・データ駆動型社会・AI社会のいま②：社会におけるビッグデータ・AIの活用場面「ITの発展と生活」（3回目）
・情報の伝達の歴史：道と技術、メディアとテクノロジー「メディアリテラシー論」（5回目）</t>
    <rPh sb="44" eb="46">
      <t>カイメ</t>
    </rPh>
    <rPh sb="91" eb="93">
      <t>ハッテン</t>
    </rPh>
    <rPh sb="94" eb="96">
      <t>セイカツ</t>
    </rPh>
    <rPh sb="99" eb="101">
      <t>カイメ</t>
    </rPh>
    <rPh sb="139" eb="140">
      <t>ロン</t>
    </rPh>
    <rPh sb="143" eb="145">
      <t>カイメ</t>
    </rPh>
    <phoneticPr fontId="1"/>
  </si>
  <si>
    <r>
      <t>・社会が抱える課題と自分のキャリアデザイン②・社会が抱える課題に自分はどう関わるか「キャリアデザインセミナー」（9回目）
・データ駆動型社会・AI社会のいま③：意思決定におけるビッグデータ・AIの活用場面「ITの発展と生活」</t>
    </r>
    <r>
      <rPr>
        <sz val="11"/>
        <rFont val="ＭＳ Ｐゴシック"/>
        <family val="3"/>
        <charset val="128"/>
        <scheme val="minor"/>
      </rPr>
      <t>（4回目）</t>
    </r>
    <r>
      <rPr>
        <sz val="12"/>
        <rFont val="ＭＳ Ｐゴシック"/>
        <family val="2"/>
        <charset val="128"/>
        <scheme val="minor"/>
      </rPr>
      <t xml:space="preserve">
・情報とAI　その①：エレクトロニクス革命「メディアリテラシー論」（12回目）</t>
    </r>
    <rPh sb="57" eb="59">
      <t>カイメ</t>
    </rPh>
    <rPh sb="106" eb="108">
      <t>ハッテン</t>
    </rPh>
    <rPh sb="109" eb="111">
      <t>セイカツ</t>
    </rPh>
    <rPh sb="114" eb="116">
      <t>カイメ</t>
    </rPh>
    <phoneticPr fontId="1"/>
  </si>
  <si>
    <r>
      <t>・身近な地域課題から考えてみよう②・具体的な提言を考える「キャリアデザインセミナー」（11回目）
・データ駆動型社会・AI社会のいま④：ビッグデータの活用、AIの活用を支える技術「ITの発展と生活」</t>
    </r>
    <r>
      <rPr>
        <sz val="9"/>
        <rFont val="ＭＳ Ｐゴシック"/>
        <family val="3"/>
        <charset val="128"/>
        <scheme val="minor"/>
      </rPr>
      <t>（5回目）</t>
    </r>
    <r>
      <rPr>
        <sz val="12"/>
        <rFont val="ＭＳ Ｐゴシック"/>
        <family val="2"/>
        <charset val="128"/>
        <scheme val="minor"/>
      </rPr>
      <t xml:space="preserve">
・機械学習とディープラーニングについて「メディアリテラシー論」（14回目）</t>
    </r>
    <rPh sb="134" eb="135">
      <t>ロン</t>
    </rPh>
    <rPh sb="139" eb="141">
      <t>カイメ</t>
    </rPh>
    <phoneticPr fontId="1"/>
  </si>
  <si>
    <t>・身近な地域課題から考えてみよう②・具体的な提言を考える「キャリアデザインセミナー」（11回目）
・身近な地域課題から考えてみよう③・提言を実行していくには「キャリアデザインセミナー」（12回目）
・データ駆動型社会・AI社会のいま②：社会におけるビッグデータ・AIの活用場面「ITの発展と生活」（3回目）
・データ駆動型社会・AI社会のいま③：意思決定におけるビッグデータ・AIの活用場面「ITの発展と生活」（4回目）</t>
    <rPh sb="45" eb="47">
      <t>カイメ</t>
    </rPh>
    <rPh sb="95" eb="97">
      <t>カイメ</t>
    </rPh>
    <phoneticPr fontId="1"/>
  </si>
  <si>
    <t xml:space="preserve">・情報セキュリティとモラル「情報処理基礎（音・デ）」（2回目）
・セキュリティと情報モラル「情報処理基礎（英）（日）」（2回目）
・個人情報について「情報処理基礎（食）」（5回目）
・情報ネットワークの利用と、情報倫理（知的財産、ネチケット）「情報処理基礎（子）」（3回目）
・情報倫理観を持つ大切さ④：個人情報、プライバシー「ITの発展と生活」（13回目）
・情報倫理観を持つ大切さ⑤：情報発信者としての責任「ITの発展と生活」（13回目）
・人工知能の種類と言論・表現の自由をめぐる議論「メディアリテラシー論」（14回目）
</t>
    <rPh sb="14" eb="20">
      <t>ジョウホウショリキソ</t>
    </rPh>
    <rPh sb="21" eb="22">
      <t>オト</t>
    </rPh>
    <rPh sb="28" eb="30">
      <t>カイメ</t>
    </rPh>
    <rPh sb="46" eb="52">
      <t>ジョウホウショリキソ</t>
    </rPh>
    <rPh sb="53" eb="54">
      <t>エイ</t>
    </rPh>
    <rPh sb="56" eb="57">
      <t>ニチ</t>
    </rPh>
    <rPh sb="61" eb="63">
      <t>カイメ</t>
    </rPh>
    <rPh sb="75" eb="81">
      <t>ジョウホウショリキソ</t>
    </rPh>
    <rPh sb="82" eb="83">
      <t>ショク</t>
    </rPh>
    <rPh sb="87" eb="89">
      <t>カイメ</t>
    </rPh>
    <rPh sb="122" eb="128">
      <t>ジョウホウショリキソ</t>
    </rPh>
    <rPh sb="129" eb="130">
      <t>コ</t>
    </rPh>
    <rPh sb="134" eb="136">
      <t>カイメ</t>
    </rPh>
    <rPh sb="167" eb="169">
      <t>ハッテン</t>
    </rPh>
    <rPh sb="170" eb="172">
      <t>セイカツ</t>
    </rPh>
    <rPh sb="176" eb="178">
      <t>カイメ</t>
    </rPh>
    <rPh sb="255" eb="256">
      <t>ロン</t>
    </rPh>
    <rPh sb="260" eb="262">
      <t>カイメ</t>
    </rPh>
    <phoneticPr fontId="1"/>
  </si>
  <si>
    <t>・情報セキュリティとモラル「情報処理基礎（音・デ）」（2回目）
・セキュリティと情報モラル「情報処理基礎（英）（日）」（2回目）
・情報セキュリティについて「情報処理基礎（食）」（4回目）
・情報ネットワークの利用と、情報倫理（知的財産、ネチケット）「情報処理基礎（子）」（3回目）
・情報セキュリティ対策「ITの発展と生活」（9回目）</t>
    <rPh sb="66" eb="68">
      <t>ジョウホウ</t>
    </rPh>
    <rPh sb="79" eb="85">
      <t>ジョウホウショリキソ</t>
    </rPh>
    <rPh sb="86" eb="87">
      <t>ショク</t>
    </rPh>
    <rPh sb="91" eb="93">
      <t>カイメ</t>
    </rPh>
    <rPh sb="157" eb="159">
      <t>ハッテン</t>
    </rPh>
    <rPh sb="160" eb="162">
      <t>セイカツ</t>
    </rPh>
    <rPh sb="165" eb="167">
      <t>カイメ</t>
    </rPh>
    <phoneticPr fontId="1"/>
  </si>
  <si>
    <t>・社会が抱える課題と自分のキャリアデザイン①・ＰＢＬ：社会が今後抱える課題は何か「キャリアデザインセミナー」（8回目）
・社会が抱える課題と自分のキャリアデザイン②・社会が抱える課題に自分はどう関わるか「キャリアデザインセミナー」（9回目）
・Excelの基本操作①：データの入力「情報処理基礎（音・デ）」（6回目）
・Excel-1（・数式、関数とは・AVERAGE関数、数式のコピー・IF関数、絶対参照・合計）「情報処理基礎（英）（日）」6回目
・Excelを使っての練習問題①（基本操作）「情報処理基礎（食）（5回目）
・「表計算ソフトの基本操作（１）ソフトの起動、終了、データ入力、修正、消去」「情報処理基礎（子）」（8回目）
・Excel演習3（数式と関数の適用1：数式を分析する、数式オプションを操作する）「アプリケーション演習」（10回目）</t>
    <rPh sb="56" eb="58">
      <t>カイメ</t>
    </rPh>
    <rPh sb="141" eb="147">
      <t>ジョウホウショリキソ</t>
    </rPh>
    <rPh sb="148" eb="149">
      <t>オト</t>
    </rPh>
    <rPh sb="155" eb="157">
      <t>カイメ</t>
    </rPh>
    <rPh sb="208" eb="214">
      <t>ジョウホウショリキソ</t>
    </rPh>
    <rPh sb="215" eb="216">
      <t>エイ</t>
    </rPh>
    <rPh sb="218" eb="219">
      <t>ニチ</t>
    </rPh>
    <rPh sb="222" eb="224">
      <t>カイメ</t>
    </rPh>
    <rPh sb="248" eb="254">
      <t>ジョウホウショリキソ</t>
    </rPh>
    <rPh sb="255" eb="256">
      <t>ショク</t>
    </rPh>
    <rPh sb="259" eb="261">
      <t>カイメ</t>
    </rPh>
    <rPh sb="302" eb="308">
      <t>ジョウホウショリキソ</t>
    </rPh>
    <rPh sb="309" eb="310">
      <t>コ</t>
    </rPh>
    <rPh sb="314" eb="316">
      <t>カイメ</t>
    </rPh>
    <phoneticPr fontId="1"/>
  </si>
  <si>
    <t xml:space="preserve">
・身近な地域課題から考えてみよう②・具体的な提言を考える「キャリアデザインセミナー」（11回目）
・身近な地域課題から考えてみよう③・提言を実行していくには「キャリアデザインセミナー」（12回目）
・Excelの基本操作④：グラフの特徴と作成「情報処理基礎（音・デ）」（9回目）
・Excel-3（・グラフの種類・シートのコピー、削除、変更・並べ替え・グラフの作成・グラフを含む印刷）「情報処理基礎（英）（日）」8回目
・Excelを使っての練習問題③（表・グラフ作成）「情報処理基礎（食）」（7回目）
・表計算ソフトの基本操作（３）簡単な計算、グラフ作成「情報処理基礎（子）」（10回目）
・表計算（Excel）4：グラフ作成（１）「情報処理基礎（看）」（10回目）
・表計算（Excel）5：グラフ作成（２）「情報処理基礎（看）」（11回目）
・疫学で用いられる統計的処理とその解釈（9回目）
・Excel演習5（視覚的なデータの表示1：高度なグラフの機能を適用する、データを分析する）「アプリケーション演習」（12回目）</t>
    <rPh sb="123" eb="129">
      <t>ジョウホウショリキソ</t>
    </rPh>
    <rPh sb="130" eb="131">
      <t>オト</t>
    </rPh>
    <rPh sb="137" eb="139">
      <t>カイメ</t>
    </rPh>
    <rPh sb="237" eb="243">
      <t>ジョウホウショリキソ</t>
    </rPh>
    <rPh sb="244" eb="245">
      <t>ショク</t>
    </rPh>
    <rPh sb="249" eb="251">
      <t>カイメ</t>
    </rPh>
    <rPh sb="280" eb="286">
      <t>ジョウホウショリキソ</t>
    </rPh>
    <rPh sb="287" eb="288">
      <t>コ</t>
    </rPh>
    <rPh sb="293" eb="295">
      <t>カイメ</t>
    </rPh>
    <rPh sb="319" eb="325">
      <t>ジョウホウショリキソ</t>
    </rPh>
    <rPh sb="358" eb="364">
      <t>ジョウホウショリキソ</t>
    </rPh>
    <rPh sb="396" eb="398">
      <t>カイメ</t>
    </rPh>
    <rPh sb="455" eb="457">
      <t>エンシュウ</t>
    </rPh>
    <rPh sb="461" eb="463">
      <t>カイメ</t>
    </rPh>
    <phoneticPr fontId="1"/>
  </si>
  <si>
    <t>・身近な地域課題から考えてみよう①・地域社会の現状分析「キャリアデザインセミナー」（10回目）
・クラス内プレゼンテーション「キャリアデザインセミナー」（13回目）
・Excelを用いたデータ分析①：データの種類と単純集計法、表の編集「情報処理基礎（音・デ）」（10回目）
・Excelを用いたデータ分析②：ピボットテーブルの活用「情報処理基礎（音・デ）」（11回目）
・Excelを用いたデータ分析③：散布図の作成と回帰分析「情報処理基礎（音・デ）」（12回目）
・Excelアンケート集計-1（・リスト形式・認知度ごとに集計・メディア・認知度ごとに集計）「情報処理基礎（英）（日）」11回目
・Excelアンケート集計-1（・カタカナ語で並べかえ・認知度ごとに検証）「情報処理基礎（英）（日）」11回目
・インターネット上のファイルやソフトの利用について、共通（Word,Excel）応用問題①「情報処理基礎（食）9回目
・課題レポート作成演習（表計算ソフト）「情報処理基礎（子）」（11回目）
・Excel演習4（数式と関数の適用2：データの集計作業を実行する、数式に関数を適用する）「アプリケーション演習」（11回目）
・Excel演習6（視覚的なデータの表示2：ピボットテーブルを適用する、操作する、ピボットグラフを適用する、操作する、スライサーの使い方を示す）「アプリケーション演習」（13回目）</t>
    <rPh sb="118" eb="124">
      <t>ジョウホウショリキソ</t>
    </rPh>
    <rPh sb="125" eb="126">
      <t>オト</t>
    </rPh>
    <rPh sb="133" eb="135">
      <t>カイメ</t>
    </rPh>
    <rPh sb="280" eb="286">
      <t>ジョウホウショリキソ</t>
    </rPh>
    <rPh sb="287" eb="288">
      <t>エイ</t>
    </rPh>
    <rPh sb="290" eb="291">
      <t>ニチ</t>
    </rPh>
    <rPh sb="295" eb="297">
      <t>カイメ</t>
    </rPh>
    <rPh sb="400" eb="406">
      <t>ジョウホウショリキソ</t>
    </rPh>
    <rPh sb="407" eb="408">
      <t>ショク</t>
    </rPh>
    <rPh sb="410" eb="412">
      <t>カイメ</t>
    </rPh>
    <rPh sb="433" eb="439">
      <t>ジョウホウショリキソ</t>
    </rPh>
    <rPh sb="440" eb="441">
      <t>コ</t>
    </rPh>
    <rPh sb="446" eb="448">
      <t>カイメ</t>
    </rPh>
    <rPh sb="504" eb="506">
      <t>エンシュウ</t>
    </rPh>
    <rPh sb="510" eb="512">
      <t>カイメ</t>
    </rPh>
    <rPh sb="595" eb="597">
      <t>エンシュウ</t>
    </rPh>
    <rPh sb="601" eb="603">
      <t>カイメ</t>
    </rPh>
    <phoneticPr fontId="1"/>
  </si>
  <si>
    <t>様式２－２</t>
    <phoneticPr fontId="1"/>
  </si>
  <si>
    <t>看護学部：プログラムを構成する科目群から6単位以上取得すること。
1)教養セミナー（1単位）、キャリアデザインセミナー（1単位）、情報処理基礎（2単位）、疫学・保健統計Ⅰ（2単位）を必修とする。
2)上記以外の科目で、メディアリテラシー論（2単位）、アプリケーション演習（2単位）、看護医療情報学（1単位）は選択とする。</t>
    <rPh sb="0" eb="4">
      <t>カンゴガクブ</t>
    </rPh>
    <rPh sb="77" eb="79">
      <t>エキガク</t>
    </rPh>
    <rPh sb="80" eb="84">
      <t>ホケントウケイ</t>
    </rPh>
    <rPh sb="87" eb="89">
      <t>タンイ</t>
    </rPh>
    <rPh sb="100" eb="104">
      <t>ジョウキイガイ</t>
    </rPh>
    <rPh sb="105" eb="107">
      <t>カモク</t>
    </rPh>
    <rPh sb="141" eb="148">
      <t>カンゴイリョウジョウホウガク</t>
    </rPh>
    <rPh sb="150" eb="152">
      <t>タンイ</t>
    </rPh>
    <rPh sb="154" eb="156">
      <t>センタク</t>
    </rPh>
    <phoneticPr fontId="1"/>
  </si>
  <si>
    <t>・インターネット活用法・インターネットを学びに活用する「教養セミナー」（6回目）
・社会が抱える課題と自分のキャリアデザイン①・ＰＢＬ：社会が今後抱える課題は何か「キャリアデザインセミナー」（8回目）
・情報とAI　その①：エレクトロニクス革命「メディアリテラシー論」（12回目）
・病院看護における情報システムの活用「看護医療情報学」（3回目）</t>
    <rPh sb="28" eb="30">
      <t>キョウヨウ</t>
    </rPh>
    <rPh sb="37" eb="39">
      <t>カイメ</t>
    </rPh>
    <rPh sb="97" eb="99">
      <t>カイメ</t>
    </rPh>
    <rPh sb="132" eb="133">
      <t>ロン</t>
    </rPh>
    <rPh sb="137" eb="139">
      <t>カイメ</t>
    </rPh>
    <rPh sb="170" eb="172">
      <t>カイメ</t>
    </rPh>
    <phoneticPr fontId="1"/>
  </si>
  <si>
    <t>・PBL活動②・グループでの取組み「教養セミナー」（13回目）
・PBL活動③・プレゼンテーション「教養セミナー」（14回目）
・情報とAI　その②：人工知能ブームまでのエレクトロニクス革命の変遷と確率論「メディアリテラシー論」（13回目）
・医療現場で活用が期待されるAI（人工知能）の紹介「看護医療情報学」（6回目）</t>
    <rPh sb="18" eb="20">
      <t>キョウヨウ</t>
    </rPh>
    <rPh sb="28" eb="30">
      <t>カイメ</t>
    </rPh>
    <rPh sb="112" eb="113">
      <t>ロン</t>
    </rPh>
    <rPh sb="117" eb="119">
      <t>カイメ</t>
    </rPh>
    <rPh sb="147" eb="154">
      <t>カンゴイリョウジョウホウガク</t>
    </rPh>
    <rPh sb="157" eb="159">
      <t>カイメ</t>
    </rPh>
    <phoneticPr fontId="1"/>
  </si>
  <si>
    <t>・身近な地域課題から考えてみよう①・地域社会の現状分析「キャリアデザインセミナー」（10回目）
・情報の伝達の歴史：道と技術、メディアとテクノロジー「メディアリテラシー論」（5回目）
・保健統計について、人口静態統計、母子に関する保健統計「疫学・保健統計Ⅰ」（1回目）</t>
    <rPh sb="44" eb="46">
      <t>カイメ</t>
    </rPh>
    <rPh sb="84" eb="85">
      <t>ロン</t>
    </rPh>
    <rPh sb="88" eb="90">
      <t>カイメ</t>
    </rPh>
    <rPh sb="120" eb="122">
      <t>エキガク</t>
    </rPh>
    <rPh sb="123" eb="127">
      <t>ホケントウケイ</t>
    </rPh>
    <rPh sb="131" eb="133">
      <t>カイメ</t>
    </rPh>
    <phoneticPr fontId="1"/>
  </si>
  <si>
    <r>
      <t xml:space="preserve">・社会が抱える課題と自分のキャリアデザイン②・社会が抱える課題に自分はどう関わるか「キャリアデザインセミナー」（9回目）
</t>
    </r>
    <r>
      <rPr>
        <sz val="12"/>
        <rFont val="ＭＳ Ｐゴシック"/>
        <family val="2"/>
        <charset val="128"/>
        <scheme val="minor"/>
      </rPr>
      <t>・情報とAI　その①：エレクトロニクス革命「メディアリテラシー論」（12回目）
・疫学で用いられる指標「疫学・保健統計Ⅰ」（2回目）</t>
    </r>
    <rPh sb="57" eb="59">
      <t>カイメ</t>
    </rPh>
    <rPh sb="113" eb="115">
      <t>エキガク</t>
    </rPh>
    <rPh sb="116" eb="120">
      <t>ホケントウケイ</t>
    </rPh>
    <rPh sb="124" eb="126">
      <t>カイメ</t>
    </rPh>
    <phoneticPr fontId="1"/>
  </si>
  <si>
    <t>・身近な地域課題から考えてみよう②・具体的な提言を考える「キャリアデザインセミナー」（11回目）
・機械学習とディープラーニングについて「メディアリテラシー論」（14回目）</t>
    <rPh sb="78" eb="79">
      <t>ロン</t>
    </rPh>
    <rPh sb="83" eb="85">
      <t>カイメ</t>
    </rPh>
    <phoneticPr fontId="1"/>
  </si>
  <si>
    <t>・身近な地域課題から考えてみよう②・具体的な提言を考える「キャリアデザインセミナー」（11回目）
・身近な地域課題から考えてみよう③・提言を実行していくには「キャリアデザインセミナー」（12回目）
・医療現場で活用が期待されるAI（人工知能）の紹介「看護医療情報学」（6回目）</t>
    <rPh sb="45" eb="47">
      <t>カイメ</t>
    </rPh>
    <rPh sb="95" eb="97">
      <t>カイメ</t>
    </rPh>
    <phoneticPr fontId="1"/>
  </si>
  <si>
    <t xml:space="preserve">・ガイダンスと情報セキュリティ基礎「情報処理基礎（看）」（1回目）
・人工知能の種類と言論・表現の自由をめぐる議論「メディアリテラシー論」（14回目）
・情報倫理とは何か（定義、目的、取り扱い）、電子カルテに関する情報倫理的課題「看護医療情報学」（3回目）
</t>
    <rPh sb="18" eb="24">
      <t>ジョウホウショリキソ</t>
    </rPh>
    <rPh sb="25" eb="26">
      <t>ミ</t>
    </rPh>
    <rPh sb="30" eb="32">
      <t>カイメ</t>
    </rPh>
    <rPh sb="67" eb="68">
      <t>ロン</t>
    </rPh>
    <rPh sb="72" eb="74">
      <t>カイメ</t>
    </rPh>
    <rPh sb="115" eb="122">
      <t>カンゴイリョウジョウホウガク</t>
    </rPh>
    <rPh sb="125" eb="127">
      <t>カイメ</t>
    </rPh>
    <phoneticPr fontId="1"/>
  </si>
  <si>
    <t>・ガイダンスと情報セキュリティ基礎「情報処理基礎（看）」（1回目）
・情報リテラシーとは何か（定義、目的、取り扱い）、情報セキュリティの維持向上のための技術とは何か「看護医療情報学」（2回目）</t>
    <rPh sb="83" eb="90">
      <t>カンゴイリョウジョウホウガク</t>
    </rPh>
    <rPh sb="93" eb="95">
      <t>カイメ</t>
    </rPh>
    <phoneticPr fontId="1"/>
  </si>
  <si>
    <t>・社会が抱える課題と自分のキャリアデザイン①・ＰＢＬ：社会が今後抱える課題は何か「キャリアデザインセミナー」（8回目）
・社会が抱える課題と自分のキャリアデザイン②・社会が抱える課題に自分はどう関わるか「キャリアデザインセミナー」（9回目）
・表計算（Excel）1：基本操作「情報処理基礎（看）」（7回目）
・データの種類「疫学・保健統計Ⅰ」（7回目）
・【統計解析演習１】ヒストグラムの作成と分布の特性値「アプリケーション演習（看）」（6回目）
・【統計解析演習２】二変量データと確率分布「アプリケーション演習（看）」（7回目）</t>
    <rPh sb="56" eb="58">
      <t>カイメ</t>
    </rPh>
    <rPh sb="139" eb="145">
      <t>ジョウホウショリキソ</t>
    </rPh>
    <rPh sb="163" eb="165">
      <t>エキガク</t>
    </rPh>
    <rPh sb="166" eb="170">
      <t>ホケントウケイ</t>
    </rPh>
    <rPh sb="174" eb="176">
      <t>カイメ</t>
    </rPh>
    <rPh sb="213" eb="215">
      <t>エンシュウ</t>
    </rPh>
    <phoneticPr fontId="1"/>
  </si>
  <si>
    <t xml:space="preserve">
・身近な地域課題から考えてみよう②・具体的な提言を考える「キャリアデザインセミナー」（11回目）
・身近な地域課題から考えてみよう③・提言を実行していくには「キャリアデザインセミナー」（12回目）
・表計算（Excel）4：グラフ作成（１）「情報処理基礎（看）」（10回目）
・表計算（Excel）5：グラフ作成（２）「情報処理基礎（看）」（11回目）
・疫学で用いられる統計的処理とその解釈「疫学・保健統計Ⅰ」（9回目）
・【統計解析演習３】統計的推測（推定）「アプリケーション演習（看）」（8回目）
・【統計解析演習４】統計的推測（仮説検定）「アプリケーション演習（看）」（9回目）</t>
    <rPh sb="122" eb="128">
      <t>ジョウホウショリキソ</t>
    </rPh>
    <rPh sb="161" eb="167">
      <t>ジョウホウショリキソ</t>
    </rPh>
    <rPh sb="198" eb="200">
      <t>エキガク</t>
    </rPh>
    <rPh sb="201" eb="205">
      <t>ホケントウケイ</t>
    </rPh>
    <rPh sb="209" eb="211">
      <t>カイメ</t>
    </rPh>
    <rPh sb="241" eb="243">
      <t>エンシュウ</t>
    </rPh>
    <phoneticPr fontId="1"/>
  </si>
  <si>
    <t>・身近な地域課題から考えてみよう①・地域社会の現状分析「キャリアデザインセミナー」（10回目）
・クラス内プレゼンテーション「キャリアデザインセミナー」（13回目）
・表計算（Excel）5：グラフ作成（２）「情報処理基礎（看）」（11回目）
・表計算（Excel）6：データベース「情報処理基礎（看）」（12回目）
・データの種類「疫学・保健統計Ⅰ」（7回目）
・検定の考え方（帰無仮説、ｔ検定「平均値の差の検定」とχ2乗検定と相関係数「回帰直線」、多変量解析）「疫学・保健統計Ⅰ」（10回目）
・データを使ってのSPSSの実際の使い方「疫学・保健統計Ⅰ」（12回目）
・【統計解析演習５】アンケート調査の解析（クロス集計表と独立性検定）「アプリケーション演習（看）」（9回目）
・【統計解析演習６】健康指標の計算（死亡率と年齢調整死亡率，SMR, 罹患率）「アプリケーション演習（看）」（10回目）
・【GIS演習（ArcGIS）１】GISの基礎知識「アプリケーション演習（看）」（11回目）
・【GIS演習（ArcGIS）２】検索と解析「アプリケーション演習（看）」（12回目）
・【GIS演習（ArcGIS）３】ジオプロセッシング「アプリケーション演習（看）」（13回目）
・【GIS演習（ArcGIS）４】クラウドサービスを利用したジオコーディングと分類地図の作成「アプリケーション演習（看）」（14回目）</t>
    <rPh sb="142" eb="148">
      <t>ジョウホウショリキソ</t>
    </rPh>
    <rPh sb="167" eb="169">
      <t>エキガク</t>
    </rPh>
    <rPh sb="170" eb="174">
      <t>ホケントウケイ</t>
    </rPh>
    <rPh sb="178" eb="180">
      <t>カイメ</t>
    </rPh>
    <rPh sb="233" eb="235">
      <t>エキガク</t>
    </rPh>
    <rPh sb="236" eb="240">
      <t>ホケントウケイ</t>
    </rPh>
    <rPh sb="245" eb="247">
      <t>カイメ</t>
    </rPh>
    <rPh sb="270" eb="272">
      <t>エキガク</t>
    </rPh>
    <rPh sb="273" eb="277">
      <t>ホケントウケイ</t>
    </rPh>
    <rPh sb="282" eb="284">
      <t>カイメ</t>
    </rPh>
    <phoneticPr fontId="1"/>
  </si>
  <si>
    <t>(1)自然科学を学ぶ学生が「技術と社会」の関わりやデータサイエンスの自然科学への応用法に基づいて、意思決定できる能力が身につく。
(2)AI社会をより良く生活するために必要となる素養（技術動向と社会の関わり・情報倫理・情報セキュリティ）が身につく。</t>
    <rPh sb="3" eb="7">
      <t>シゼンカガク</t>
    </rPh>
    <rPh sb="8" eb="9">
      <t>マナ</t>
    </rPh>
    <rPh sb="10" eb="12">
      <t>ガクセイ</t>
    </rPh>
    <rPh sb="14" eb="16">
      <t>ギジュツ</t>
    </rPh>
    <rPh sb="17" eb="19">
      <t>シャカイ</t>
    </rPh>
    <rPh sb="21" eb="22">
      <t>カカ</t>
    </rPh>
    <rPh sb="34" eb="38">
      <t>シゼンカガク</t>
    </rPh>
    <rPh sb="40" eb="43">
      <t>オウヨウホウ</t>
    </rPh>
    <rPh sb="44" eb="45">
      <t>モト</t>
    </rPh>
    <rPh sb="49" eb="53">
      <t>イシケッテイ</t>
    </rPh>
    <rPh sb="56" eb="58">
      <t>ノウリョク</t>
    </rPh>
    <rPh sb="59" eb="60">
      <t>ミ</t>
    </rPh>
    <rPh sb="70" eb="72">
      <t>シャカイ</t>
    </rPh>
    <rPh sb="75" eb="76">
      <t>ヨ</t>
    </rPh>
    <rPh sb="77" eb="79">
      <t>セイカツ</t>
    </rPh>
    <rPh sb="84" eb="86">
      <t>ヒツヨウ</t>
    </rPh>
    <rPh sb="89" eb="91">
      <t>ソヨウ</t>
    </rPh>
    <rPh sb="92" eb="96">
      <t>ギジュツドウコウ</t>
    </rPh>
    <rPh sb="97" eb="99">
      <t>シャカイ</t>
    </rPh>
    <rPh sb="100" eb="101">
      <t>カカ</t>
    </rPh>
    <rPh sb="104" eb="108">
      <t>ジョウホウリンリ</t>
    </rPh>
    <rPh sb="109" eb="111">
      <t>ジョウホウ</t>
    </rPh>
    <rPh sb="119" eb="120">
      <t>ミ</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</si>
</sst>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4">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xf numFmtId="9" fontId="6" fillId="0" borderId="0" applyFont="0" applyFill="0" applyBorder="0" applyAlignment="0" applyProtection="0">
      <alignment vertical="center"/>
    </xf>
  </cellStyleXfs>
  <cellXfs count="320">
    <xf numFmtId="0" fontId="0" fillId="0" borderId="0" xfId="0">
      <alignment vertical="center"/>
    </xf>
    <xf numFmtId="0" fontId="2"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0" fontId="8" fillId="0" borderId="9" xfId="0"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46" xfId="0" applyFont="1" applyBorder="1" applyAlignment="1">
      <alignment horizontal="center" vertical="center"/>
    </xf>
    <xf numFmtId="0" fontId="8" fillId="0" borderId="23" xfId="0" applyFont="1" applyBorder="1" applyAlignment="1">
      <alignment horizontal="center" vertical="center"/>
    </xf>
    <xf numFmtId="0" fontId="18" fillId="0" borderId="20" xfId="0" applyFont="1" applyBorder="1" applyAlignment="1">
      <alignment vertical="top" shrinkToFit="1"/>
    </xf>
    <xf numFmtId="0" fontId="18" fillId="0" borderId="18" xfId="0" applyFont="1" applyBorder="1" applyAlignment="1">
      <alignment vertical="top" shrinkToFit="1"/>
    </xf>
    <xf numFmtId="9" fontId="2" fillId="0" borderId="0" xfId="3" applyFont="1">
      <alignment vertical="center"/>
    </xf>
    <xf numFmtId="9" fontId="2" fillId="0" borderId="0" xfId="0" applyNumberFormat="1" applyFont="1">
      <alignment vertical="center"/>
    </xf>
    <xf numFmtId="0" fontId="8" fillId="0" borderId="0" xfId="0" applyFont="1" applyAlignment="1">
      <alignment horizontal="right" vertical="center"/>
    </xf>
    <xf numFmtId="0" fontId="8" fillId="0" borderId="0" xfId="0" applyFont="1" applyAlignment="1">
      <alignment vertical="center" wrapText="1"/>
    </xf>
    <xf numFmtId="176" fontId="8" fillId="0" borderId="33" xfId="0" applyNumberFormat="1" applyFont="1" applyBorder="1" applyAlignment="1">
      <alignment vertical="center" shrinkToFit="1"/>
    </xf>
    <xf numFmtId="0" fontId="18" fillId="0" borderId="0" xfId="0" applyFont="1">
      <alignment vertical="center"/>
    </xf>
    <xf numFmtId="0" fontId="18" fillId="0" borderId="0" xfId="0" applyFont="1" applyAlignment="1">
      <alignment vertical="top" wrapText="1"/>
    </xf>
    <xf numFmtId="9" fontId="8" fillId="0" borderId="8" xfId="0" applyNumberFormat="1" applyFont="1" applyBorder="1" applyAlignment="1">
      <alignment horizontal="center" vertical="center" shrinkToFit="1"/>
    </xf>
    <xf numFmtId="9" fontId="8" fillId="0" borderId="45" xfId="0" applyNumberFormat="1" applyFont="1" applyBorder="1" applyAlignment="1">
      <alignment horizontal="center" vertical="center" shrinkToFit="1"/>
    </xf>
    <xf numFmtId="0" fontId="18" fillId="0" borderId="0" xfId="0" applyFont="1" applyAlignment="1">
      <alignment vertical="top" shrinkToFit="1"/>
    </xf>
    <xf numFmtId="0" fontId="18" fillId="0" borderId="0" xfId="0" applyFont="1" applyAlignment="1">
      <alignment vertical="center" wrapText="1"/>
    </xf>
    <xf numFmtId="0" fontId="8" fillId="0" borderId="0" xfId="0" applyFont="1" applyBorder="1" applyAlignment="1">
      <alignment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9" xfId="0"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18" fillId="0" borderId="2" xfId="0" applyFont="1" applyBorder="1" applyAlignment="1">
      <alignment horizontal="center" vertical="center" wrapText="1" shrinkToFit="1"/>
    </xf>
    <xf numFmtId="0" fontId="18" fillId="0" borderId="3" xfId="0" applyFont="1" applyBorder="1" applyAlignment="1">
      <alignment horizontal="center" vertical="center" shrinkToFit="1"/>
    </xf>
    <xf numFmtId="0" fontId="1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19" fillId="0" borderId="32"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wrapText="1"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0"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17"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9" xfId="0" applyFont="1" applyBorder="1" applyAlignment="1">
      <alignment vertical="top" wrapText="1" shrinkToFit="1"/>
    </xf>
    <xf numFmtId="0" fontId="8"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1" fillId="0" borderId="3" xfId="2" applyFont="1" applyBorder="1" applyAlignment="1">
      <alignment horizontal="center" vertical="center" shrinkToFit="1"/>
    </xf>
    <xf numFmtId="0" fontId="11"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4">
    <cellStyle name="パーセント" xfId="3" builtinId="5"/>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edusec@kwassui.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kwassui.ac.jp/university/gakubugakka/kyouyoukyouiku.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kwassui.ac.jp/university/gakubugakka/kyouyoukyouiku.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kwassui.ac.jp/university/gakubugakka/kyouyoukyouiku.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Normal="100" zoomScaleSheetLayoutView="100" workbookViewId="0">
      <selection sqref="A1:XFD1048576"/>
    </sheetView>
  </sheetViews>
  <sheetFormatPr defaultColWidth="9" defaultRowHeight="18.75" customHeight="1" x14ac:dyDescent="0.15"/>
  <cols>
    <col min="1" max="1" width="3.375" style="13" customWidth="1"/>
    <col min="2" max="2" width="11.125" style="13" customWidth="1"/>
    <col min="3" max="8" width="6.625" style="13" customWidth="1"/>
    <col min="9" max="9" width="3.375" style="13" customWidth="1"/>
    <col min="10" max="10" width="10" style="13" customWidth="1"/>
    <col min="11" max="11" width="3.375" style="13" customWidth="1"/>
    <col min="12" max="12" width="7.75" style="13" customWidth="1"/>
    <col min="13" max="13" width="3.375" style="13" customWidth="1"/>
    <col min="14" max="14" width="4.5" style="13" customWidth="1"/>
    <col min="15" max="15" width="9" style="30"/>
    <col min="16" max="16384" width="9" style="12"/>
  </cols>
  <sheetData>
    <row r="1" spans="1:15" ht="24" customHeight="1" x14ac:dyDescent="0.15">
      <c r="M1" s="151" t="s">
        <v>25</v>
      </c>
      <c r="N1" s="151"/>
    </row>
    <row r="2" spans="1:15" ht="24" customHeight="1" x14ac:dyDescent="0.15">
      <c r="A2" s="155" t="s">
        <v>83</v>
      </c>
      <c r="B2" s="155"/>
      <c r="C2" s="155"/>
      <c r="D2" s="155"/>
      <c r="E2" s="155"/>
      <c r="F2" s="155"/>
      <c r="G2" s="155"/>
      <c r="H2" s="155"/>
      <c r="I2" s="155"/>
      <c r="J2" s="155"/>
      <c r="K2" s="155"/>
      <c r="L2" s="155"/>
      <c r="M2" s="155"/>
      <c r="N2" s="155"/>
    </row>
    <row r="3" spans="1:15" ht="24" customHeight="1" x14ac:dyDescent="0.15"/>
    <row r="4" spans="1:15" ht="24" customHeight="1" x14ac:dyDescent="0.15">
      <c r="A4" s="13" t="s">
        <v>6</v>
      </c>
      <c r="B4" s="14" t="s">
        <v>16</v>
      </c>
      <c r="C4" s="146" t="s">
        <v>148</v>
      </c>
      <c r="D4" s="147"/>
      <c r="E4" s="147"/>
      <c r="F4" s="147"/>
      <c r="G4" s="147"/>
      <c r="H4" s="147"/>
      <c r="I4" s="147"/>
      <c r="J4" s="147"/>
      <c r="K4" s="147"/>
      <c r="L4" s="147"/>
      <c r="M4" s="147"/>
      <c r="N4" s="148"/>
      <c r="O4" s="30" t="str">
        <f>IF(C4="","入力してください","")</f>
        <v/>
      </c>
    </row>
    <row r="5" spans="1:15" ht="7.5" customHeight="1" x14ac:dyDescent="0.15">
      <c r="B5" s="14"/>
      <c r="C5" s="14"/>
      <c r="D5" s="14"/>
      <c r="E5" s="15"/>
      <c r="F5" s="33"/>
      <c r="G5" s="33"/>
      <c r="H5" s="33"/>
      <c r="I5" s="33"/>
      <c r="J5" s="33"/>
      <c r="K5" s="33"/>
      <c r="L5" s="33"/>
      <c r="M5" s="33"/>
      <c r="N5" s="33"/>
    </row>
    <row r="6" spans="1:15" ht="24" customHeight="1" x14ac:dyDescent="0.15">
      <c r="A6" s="13" t="s">
        <v>48</v>
      </c>
      <c r="B6" s="14" t="s">
        <v>49</v>
      </c>
      <c r="C6" s="14"/>
      <c r="D6" s="146" t="s">
        <v>149</v>
      </c>
      <c r="E6" s="147"/>
      <c r="F6" s="147"/>
      <c r="G6" s="147"/>
      <c r="H6" s="148"/>
      <c r="I6" s="16" t="s">
        <v>86</v>
      </c>
      <c r="J6" s="33" t="s">
        <v>87</v>
      </c>
      <c r="K6" s="146" t="s">
        <v>150</v>
      </c>
      <c r="L6" s="147"/>
      <c r="M6" s="147"/>
      <c r="N6" s="148"/>
      <c r="O6" s="30" t="str">
        <f>IF(D6="","入力してください","")</f>
        <v/>
      </c>
    </row>
    <row r="7" spans="1:15" ht="7.5" customHeight="1" x14ac:dyDescent="0.15">
      <c r="B7" s="14"/>
      <c r="C7" s="14"/>
      <c r="D7" s="14"/>
      <c r="E7" s="15"/>
      <c r="F7" s="33"/>
      <c r="G7" s="33"/>
      <c r="H7" s="33"/>
      <c r="I7" s="33"/>
      <c r="J7" s="33"/>
      <c r="K7" s="33"/>
      <c r="L7" s="33"/>
      <c r="M7" s="33"/>
      <c r="N7" s="33"/>
    </row>
    <row r="8" spans="1:15" ht="24" customHeight="1" x14ac:dyDescent="0.15">
      <c r="A8" s="13" t="s">
        <v>13</v>
      </c>
      <c r="B8" s="14" t="s">
        <v>45</v>
      </c>
      <c r="C8" s="146" t="s">
        <v>151</v>
      </c>
      <c r="D8" s="147"/>
      <c r="E8" s="147"/>
      <c r="F8" s="147"/>
      <c r="G8" s="147"/>
      <c r="H8" s="147"/>
      <c r="I8" s="147"/>
      <c r="J8" s="147"/>
      <c r="K8" s="147"/>
      <c r="L8" s="147"/>
      <c r="M8" s="147"/>
      <c r="N8" s="148"/>
      <c r="O8" s="30" t="str">
        <f>IF(C8="","入力してください","")</f>
        <v/>
      </c>
    </row>
    <row r="9" spans="1:15" ht="7.5" customHeight="1" x14ac:dyDescent="0.15">
      <c r="B9" s="14"/>
      <c r="C9" s="14"/>
      <c r="D9" s="14"/>
      <c r="E9" s="15"/>
      <c r="F9" s="33"/>
      <c r="G9" s="33"/>
      <c r="H9" s="33"/>
      <c r="I9" s="33"/>
      <c r="J9" s="33"/>
      <c r="K9" s="33"/>
      <c r="L9" s="33"/>
      <c r="M9" s="33"/>
      <c r="N9" s="33"/>
    </row>
    <row r="10" spans="1:15" ht="24" customHeight="1" x14ac:dyDescent="0.15">
      <c r="A10" s="13" t="s">
        <v>11</v>
      </c>
      <c r="B10" s="14" t="s">
        <v>85</v>
      </c>
      <c r="C10" s="14"/>
      <c r="D10" s="14"/>
      <c r="E10" s="146" t="s">
        <v>152</v>
      </c>
      <c r="F10" s="147"/>
      <c r="G10" s="147"/>
      <c r="H10" s="147"/>
      <c r="I10" s="147"/>
      <c r="J10" s="147"/>
      <c r="K10" s="147"/>
      <c r="L10" s="147"/>
      <c r="M10" s="147"/>
      <c r="N10" s="148"/>
      <c r="O10" s="30" t="str">
        <f>IF(E10="","入力してください","")</f>
        <v/>
      </c>
    </row>
    <row r="11" spans="1:15" ht="7.5" customHeight="1" x14ac:dyDescent="0.15">
      <c r="B11" s="15"/>
      <c r="C11" s="15"/>
      <c r="D11" s="15"/>
      <c r="E11" s="15"/>
      <c r="F11" s="33"/>
      <c r="G11" s="33"/>
      <c r="H11" s="33"/>
      <c r="I11" s="33"/>
      <c r="J11" s="33"/>
      <c r="K11" s="33"/>
      <c r="L11" s="33"/>
      <c r="M11" s="33"/>
      <c r="N11" s="33"/>
    </row>
    <row r="12" spans="1:15" ht="24" customHeight="1" x14ac:dyDescent="0.15">
      <c r="A12" s="13" t="s">
        <v>58</v>
      </c>
      <c r="B12" s="15" t="s">
        <v>59</v>
      </c>
      <c r="C12" s="15"/>
      <c r="D12" s="15"/>
      <c r="E12" s="156">
        <v>2021</v>
      </c>
      <c r="F12" s="157"/>
      <c r="G12" s="16" t="s">
        <v>96</v>
      </c>
      <c r="H12" s="13" t="s">
        <v>97</v>
      </c>
      <c r="N12" s="106" t="s">
        <v>153</v>
      </c>
      <c r="O12" s="30" t="str">
        <f>IF(E12="","入力してください","")</f>
        <v/>
      </c>
    </row>
    <row r="13" spans="1:15" ht="7.5" customHeight="1" x14ac:dyDescent="0.15">
      <c r="B13" s="15"/>
      <c r="C13" s="15"/>
      <c r="D13" s="15"/>
      <c r="E13" s="15"/>
      <c r="F13" s="33"/>
      <c r="G13" s="33"/>
      <c r="H13" s="33"/>
      <c r="I13" s="33"/>
      <c r="J13" s="33"/>
      <c r="K13" s="33"/>
      <c r="L13" s="33"/>
      <c r="M13" s="33"/>
      <c r="N13" s="33"/>
    </row>
    <row r="14" spans="1:15" ht="24" customHeight="1" x14ac:dyDescent="0.15">
      <c r="A14" s="13" t="s">
        <v>53</v>
      </c>
      <c r="B14" s="13" t="s">
        <v>0</v>
      </c>
      <c r="C14" s="152" t="s">
        <v>5</v>
      </c>
      <c r="D14" s="153"/>
      <c r="E14" s="141">
        <v>88</v>
      </c>
      <c r="F14" s="142"/>
      <c r="G14" s="17" t="s">
        <v>7</v>
      </c>
      <c r="I14" s="152" t="s">
        <v>8</v>
      </c>
      <c r="J14" s="153"/>
      <c r="K14" s="141">
        <v>119</v>
      </c>
      <c r="L14" s="154"/>
      <c r="M14" s="142"/>
      <c r="N14" s="18" t="s">
        <v>7</v>
      </c>
      <c r="O14" s="30" t="str">
        <f>IF(OR(E14="",K14=""),"入力してください","")</f>
        <v/>
      </c>
    </row>
    <row r="15" spans="1:15" ht="7.5" customHeight="1" x14ac:dyDescent="0.15">
      <c r="F15" s="19"/>
      <c r="G15" s="19"/>
      <c r="H15" s="19"/>
      <c r="I15" s="19"/>
      <c r="J15" s="19"/>
      <c r="K15" s="19"/>
      <c r="L15" s="19"/>
      <c r="M15" s="18"/>
      <c r="N15" s="18"/>
    </row>
    <row r="16" spans="1:15" ht="24" customHeight="1" x14ac:dyDescent="0.15">
      <c r="A16" s="13" t="s">
        <v>60</v>
      </c>
      <c r="B16" s="13" t="s">
        <v>70</v>
      </c>
      <c r="F16" s="19"/>
      <c r="G16" s="19"/>
      <c r="H16" s="19"/>
      <c r="I16" s="19"/>
      <c r="J16" s="19"/>
      <c r="K16" s="158">
        <v>22</v>
      </c>
      <c r="L16" s="159"/>
      <c r="M16" s="160"/>
      <c r="N16" s="18" t="s">
        <v>51</v>
      </c>
      <c r="O16" s="30" t="str">
        <f>IF(K16="","入力してください","")</f>
        <v/>
      </c>
    </row>
    <row r="17" spans="1:15" ht="7.5" customHeight="1" x14ac:dyDescent="0.15">
      <c r="F17" s="19"/>
      <c r="G17" s="19"/>
      <c r="H17" s="19"/>
      <c r="I17" s="19"/>
      <c r="J17" s="19"/>
      <c r="K17" s="19"/>
      <c r="L17" s="19"/>
      <c r="M17" s="18"/>
      <c r="N17" s="18"/>
    </row>
    <row r="18" spans="1:15" ht="24" customHeight="1" x14ac:dyDescent="0.15">
      <c r="A18" s="13" t="s">
        <v>24</v>
      </c>
      <c r="B18" s="13" t="s">
        <v>77</v>
      </c>
      <c r="E18" s="141">
        <v>330</v>
      </c>
      <c r="F18" s="142"/>
      <c r="G18" s="20" t="s">
        <v>21</v>
      </c>
      <c r="H18" s="19"/>
      <c r="K18" s="164"/>
      <c r="L18" s="164"/>
      <c r="M18" s="164"/>
      <c r="N18" s="164"/>
      <c r="O18" s="30" t="str">
        <f>IF(E18="","入力してください","")</f>
        <v/>
      </c>
    </row>
    <row r="19" spans="1:15" ht="7.5" customHeight="1" x14ac:dyDescent="0.15">
      <c r="E19" s="9"/>
      <c r="F19" s="19"/>
      <c r="G19" s="19"/>
      <c r="L19" s="32"/>
      <c r="M19" s="32"/>
      <c r="N19" s="21"/>
    </row>
    <row r="20" spans="1:15" ht="24" customHeight="1" x14ac:dyDescent="0.15">
      <c r="A20" s="13" t="s">
        <v>76</v>
      </c>
      <c r="B20" s="13" t="s">
        <v>78</v>
      </c>
      <c r="E20" s="9"/>
      <c r="F20" s="19"/>
      <c r="G20" s="19"/>
      <c r="H20" s="13" t="s">
        <v>52</v>
      </c>
      <c r="J20" s="161">
        <v>1112</v>
      </c>
      <c r="K20" s="162"/>
      <c r="L20" s="163"/>
      <c r="M20" s="32" t="s">
        <v>51</v>
      </c>
      <c r="N20" s="21"/>
      <c r="O20" s="30" t="str">
        <f>IF(J20="","入力してください","")</f>
        <v/>
      </c>
    </row>
    <row r="21" spans="1:15" ht="7.5" customHeight="1" x14ac:dyDescent="0.15">
      <c r="E21" s="9"/>
      <c r="F21" s="19"/>
      <c r="G21" s="19"/>
      <c r="L21" s="32"/>
      <c r="M21" s="32"/>
      <c r="N21" s="21"/>
    </row>
    <row r="22" spans="1:15" ht="24" customHeight="1" x14ac:dyDescent="0.15">
      <c r="B22" s="28" t="s">
        <v>17</v>
      </c>
      <c r="C22" s="141">
        <v>248</v>
      </c>
      <c r="D22" s="142"/>
      <c r="E22" s="9" t="s">
        <v>22</v>
      </c>
      <c r="F22" s="19"/>
      <c r="G22" s="137" t="s">
        <v>18</v>
      </c>
      <c r="H22" s="137"/>
      <c r="I22" s="141">
        <v>292</v>
      </c>
      <c r="J22" s="142"/>
      <c r="K22" s="16" t="s">
        <v>22</v>
      </c>
      <c r="M22" s="32"/>
      <c r="N22" s="21"/>
    </row>
    <row r="23" spans="1:15" ht="7.5" customHeight="1" x14ac:dyDescent="0.15">
      <c r="B23" s="28"/>
      <c r="C23" s="10"/>
      <c r="D23" s="10"/>
      <c r="E23" s="9"/>
      <c r="F23" s="19"/>
      <c r="G23" s="32"/>
      <c r="H23" s="32"/>
      <c r="I23" s="10"/>
      <c r="J23" s="10"/>
      <c r="K23" s="16"/>
      <c r="M23" s="32"/>
      <c r="N23" s="21"/>
    </row>
    <row r="24" spans="1:15" ht="24" customHeight="1" x14ac:dyDescent="0.15">
      <c r="B24" s="28" t="s">
        <v>19</v>
      </c>
      <c r="C24" s="141">
        <v>304</v>
      </c>
      <c r="D24" s="142"/>
      <c r="E24" s="9" t="s">
        <v>22</v>
      </c>
      <c r="F24" s="19"/>
      <c r="G24" s="137" t="s">
        <v>20</v>
      </c>
      <c r="H24" s="137"/>
      <c r="I24" s="141">
        <v>268</v>
      </c>
      <c r="J24" s="142"/>
      <c r="K24" s="16" t="s">
        <v>22</v>
      </c>
      <c r="M24" s="32"/>
      <c r="N24" s="21"/>
    </row>
    <row r="25" spans="1:15" ht="7.5" customHeight="1" x14ac:dyDescent="0.15">
      <c r="B25" s="28"/>
      <c r="C25" s="10"/>
      <c r="D25" s="10"/>
      <c r="E25" s="9"/>
      <c r="F25" s="19"/>
      <c r="G25" s="32"/>
      <c r="H25" s="32"/>
      <c r="I25" s="10"/>
      <c r="J25" s="10"/>
      <c r="K25" s="16"/>
      <c r="M25" s="32"/>
      <c r="N25" s="21"/>
    </row>
    <row r="26" spans="1:15" ht="24" customHeight="1" x14ac:dyDescent="0.15">
      <c r="B26" s="28" t="s">
        <v>46</v>
      </c>
      <c r="C26" s="141"/>
      <c r="D26" s="142"/>
      <c r="E26" s="9" t="s">
        <v>7</v>
      </c>
      <c r="F26" s="19"/>
      <c r="G26" s="137" t="s">
        <v>47</v>
      </c>
      <c r="H26" s="137"/>
      <c r="I26" s="141"/>
      <c r="J26" s="142"/>
      <c r="K26" s="16" t="s">
        <v>7</v>
      </c>
      <c r="M26" s="32"/>
      <c r="N26" s="21"/>
    </row>
    <row r="27" spans="1:15" ht="7.5" customHeight="1" x14ac:dyDescent="0.15">
      <c r="F27" s="19"/>
      <c r="G27" s="19"/>
      <c r="M27" s="22"/>
      <c r="N27" s="22"/>
    </row>
    <row r="28" spans="1:15" ht="24" customHeight="1" x14ac:dyDescent="0.15">
      <c r="A28" s="13" t="s">
        <v>50</v>
      </c>
      <c r="B28" s="14" t="s">
        <v>75</v>
      </c>
      <c r="C28" s="14"/>
      <c r="D28" s="14"/>
      <c r="E28" s="14"/>
      <c r="F28" s="16"/>
      <c r="G28" s="33"/>
      <c r="H28" s="33"/>
      <c r="I28" s="33"/>
      <c r="J28" s="23"/>
      <c r="K28" s="23"/>
      <c r="L28" s="23"/>
      <c r="M28" s="23"/>
      <c r="N28" s="23"/>
    </row>
    <row r="29" spans="1:15" s="13" customFormat="1" ht="24" customHeight="1" x14ac:dyDescent="0.15">
      <c r="B29" s="145" t="s">
        <v>74</v>
      </c>
      <c r="C29" s="145"/>
      <c r="D29" s="146" t="s">
        <v>154</v>
      </c>
      <c r="E29" s="147"/>
      <c r="F29" s="147"/>
      <c r="G29" s="149" t="s">
        <v>23</v>
      </c>
      <c r="H29" s="145"/>
      <c r="I29" s="150"/>
      <c r="J29" s="146" t="s">
        <v>155</v>
      </c>
      <c r="K29" s="147"/>
      <c r="L29" s="147"/>
      <c r="M29" s="147"/>
      <c r="N29" s="148"/>
      <c r="O29" s="30" t="str">
        <f>IF(OR(D29="",J29=""),"入力してください","")</f>
        <v/>
      </c>
    </row>
    <row r="30" spans="1:15" ht="7.5" customHeight="1" x14ac:dyDescent="0.15">
      <c r="F30" s="19"/>
      <c r="G30" s="19"/>
      <c r="M30" s="22"/>
      <c r="N30" s="22"/>
    </row>
    <row r="31" spans="1:15" ht="24" customHeight="1" x14ac:dyDescent="0.15">
      <c r="A31" s="13" t="s">
        <v>54</v>
      </c>
      <c r="B31" s="14" t="s">
        <v>80</v>
      </c>
      <c r="C31" s="14"/>
      <c r="D31" s="14"/>
      <c r="E31" s="14"/>
      <c r="F31" s="16"/>
      <c r="G31" s="23"/>
      <c r="H31" s="23"/>
      <c r="I31" s="23"/>
      <c r="J31" s="23"/>
      <c r="K31" s="23"/>
      <c r="L31" s="23"/>
      <c r="M31" s="23"/>
      <c r="N31" s="23"/>
    </row>
    <row r="32" spans="1:15" ht="24" customHeight="1" x14ac:dyDescent="0.15">
      <c r="B32" s="146" t="s">
        <v>180</v>
      </c>
      <c r="C32" s="147"/>
      <c r="D32" s="147"/>
      <c r="E32" s="147"/>
      <c r="F32" s="147"/>
      <c r="G32" s="147"/>
      <c r="H32" s="147"/>
      <c r="I32" s="147"/>
      <c r="J32" s="147"/>
      <c r="K32" s="147"/>
      <c r="L32" s="147"/>
      <c r="M32" s="147"/>
      <c r="N32" s="148"/>
      <c r="O32" s="30" t="str">
        <f>IF(B32="","入力してください","")</f>
        <v/>
      </c>
    </row>
    <row r="33" spans="1:15" ht="7.5" customHeight="1" x14ac:dyDescent="0.15">
      <c r="B33" s="11"/>
      <c r="C33" s="11"/>
      <c r="D33" s="11"/>
      <c r="E33" s="11"/>
      <c r="F33" s="11"/>
      <c r="G33" s="11"/>
      <c r="H33" s="11"/>
      <c r="I33" s="11"/>
      <c r="J33" s="11"/>
      <c r="K33" s="11"/>
      <c r="L33" s="11"/>
      <c r="M33" s="11"/>
      <c r="N33" s="11"/>
    </row>
    <row r="34" spans="1:15" s="13" customFormat="1" ht="24" customHeight="1" x14ac:dyDescent="0.15">
      <c r="B34" s="145" t="s">
        <v>74</v>
      </c>
      <c r="C34" s="145"/>
      <c r="D34" s="146" t="s">
        <v>154</v>
      </c>
      <c r="E34" s="147"/>
      <c r="F34" s="147"/>
      <c r="G34" s="149" t="s">
        <v>55</v>
      </c>
      <c r="H34" s="145"/>
      <c r="I34" s="150"/>
      <c r="J34" s="146" t="s">
        <v>155</v>
      </c>
      <c r="K34" s="147"/>
      <c r="L34" s="147"/>
      <c r="M34" s="147"/>
      <c r="N34" s="148"/>
      <c r="O34" s="30" t="str">
        <f>IF(OR(D34="",J34=""),"入力してください","")</f>
        <v/>
      </c>
    </row>
    <row r="35" spans="1:15" ht="7.5" customHeight="1" x14ac:dyDescent="0.15">
      <c r="F35" s="33"/>
      <c r="G35" s="33"/>
      <c r="H35" s="33"/>
      <c r="I35" s="33"/>
      <c r="J35" s="33"/>
      <c r="K35" s="33"/>
      <c r="L35" s="33"/>
      <c r="M35" s="33"/>
      <c r="N35" s="33"/>
    </row>
    <row r="36" spans="1:15" ht="24" customHeight="1" x14ac:dyDescent="0.15">
      <c r="A36" s="13" t="s">
        <v>61</v>
      </c>
      <c r="B36" s="13" t="s">
        <v>81</v>
      </c>
      <c r="M36" s="22"/>
      <c r="N36" s="22"/>
    </row>
    <row r="37" spans="1:15" ht="24" customHeight="1" x14ac:dyDescent="0.15">
      <c r="B37" s="146" t="s">
        <v>180</v>
      </c>
      <c r="C37" s="147"/>
      <c r="D37" s="147"/>
      <c r="E37" s="147"/>
      <c r="F37" s="147"/>
      <c r="G37" s="147"/>
      <c r="H37" s="147"/>
      <c r="I37" s="147"/>
      <c r="J37" s="147"/>
      <c r="K37" s="147"/>
      <c r="L37" s="147"/>
      <c r="M37" s="147"/>
      <c r="N37" s="148"/>
      <c r="O37" s="30" t="str">
        <f>IF(B37="","入力してください","")</f>
        <v/>
      </c>
    </row>
    <row r="38" spans="1:15" ht="7.5" customHeight="1" x14ac:dyDescent="0.15">
      <c r="F38" s="33"/>
      <c r="G38" s="33"/>
      <c r="H38" s="33"/>
      <c r="I38" s="33"/>
      <c r="J38" s="33"/>
      <c r="K38" s="33"/>
      <c r="L38" s="33"/>
      <c r="M38" s="33"/>
      <c r="N38" s="33"/>
    </row>
    <row r="39" spans="1:15" s="13" customFormat="1" ht="24" customHeight="1" x14ac:dyDescent="0.15">
      <c r="B39" s="145" t="s">
        <v>74</v>
      </c>
      <c r="C39" s="145"/>
      <c r="D39" s="146" t="s">
        <v>156</v>
      </c>
      <c r="E39" s="147"/>
      <c r="F39" s="147"/>
      <c r="G39" s="149" t="s">
        <v>55</v>
      </c>
      <c r="H39" s="145"/>
      <c r="I39" s="150"/>
      <c r="J39" s="146" t="s">
        <v>157</v>
      </c>
      <c r="K39" s="147"/>
      <c r="L39" s="147"/>
      <c r="M39" s="147"/>
      <c r="N39" s="148"/>
      <c r="O39" s="30" t="str">
        <f>IF(OR(D39="",J39=""),"入力してください","")</f>
        <v/>
      </c>
    </row>
    <row r="40" spans="1:15" ht="7.5" customHeight="1" x14ac:dyDescent="0.15">
      <c r="F40" s="33"/>
      <c r="G40" s="33"/>
      <c r="H40" s="33"/>
      <c r="I40" s="33"/>
      <c r="J40" s="33"/>
      <c r="K40" s="33"/>
      <c r="L40" s="33"/>
      <c r="M40" s="33"/>
      <c r="N40" s="33"/>
    </row>
    <row r="41" spans="1:15" ht="24" customHeight="1" x14ac:dyDescent="0.15">
      <c r="A41" s="13" t="s">
        <v>88</v>
      </c>
      <c r="B41" s="68" t="s">
        <v>69</v>
      </c>
      <c r="E41" s="69"/>
      <c r="F41" s="146" t="s">
        <v>158</v>
      </c>
      <c r="G41" s="147"/>
      <c r="H41" s="147"/>
      <c r="I41" s="147"/>
      <c r="J41" s="147"/>
      <c r="K41" s="147"/>
      <c r="L41" s="147"/>
      <c r="M41" s="147"/>
      <c r="N41" s="148"/>
      <c r="O41" s="30" t="str">
        <f>IF(F41="","入力してください","")</f>
        <v/>
      </c>
    </row>
    <row r="42" spans="1:15" ht="7.5" customHeight="1" x14ac:dyDescent="0.15">
      <c r="F42" s="33"/>
      <c r="G42" s="33"/>
      <c r="H42" s="33"/>
      <c r="I42" s="33"/>
      <c r="J42" s="33"/>
      <c r="K42" s="33"/>
      <c r="L42" s="33"/>
      <c r="M42" s="33"/>
      <c r="N42" s="33"/>
    </row>
    <row r="43" spans="1:15" ht="24" customHeight="1" x14ac:dyDescent="0.15">
      <c r="A43" s="13" t="s">
        <v>98</v>
      </c>
    </row>
    <row r="44" spans="1:15" ht="24" customHeight="1" x14ac:dyDescent="0.15">
      <c r="B44" s="29" t="s">
        <v>1</v>
      </c>
      <c r="C44" s="143" t="s">
        <v>159</v>
      </c>
      <c r="D44" s="144"/>
      <c r="E44" s="144"/>
      <c r="F44" s="144"/>
      <c r="G44" s="144"/>
      <c r="H44" s="144"/>
      <c r="I44" s="25" t="s">
        <v>2</v>
      </c>
      <c r="J44" s="26"/>
      <c r="K44" s="138" t="s">
        <v>203</v>
      </c>
      <c r="L44" s="139"/>
      <c r="M44" s="139"/>
      <c r="N44" s="140"/>
      <c r="O44" s="30" t="str">
        <f>IF(OR(C44="",K44=""),"入力してください","")</f>
        <v/>
      </c>
    </row>
    <row r="45" spans="1:15" ht="24" customHeight="1" x14ac:dyDescent="0.15">
      <c r="B45" s="24" t="s">
        <v>4</v>
      </c>
      <c r="C45" s="131" t="s">
        <v>160</v>
      </c>
      <c r="D45" s="132"/>
      <c r="E45" s="132"/>
      <c r="F45" s="132"/>
      <c r="G45" s="132"/>
      <c r="H45" s="133"/>
      <c r="I45" s="25" t="s">
        <v>3</v>
      </c>
      <c r="J45" s="26"/>
      <c r="K45" s="134" t="s">
        <v>161</v>
      </c>
      <c r="L45" s="135"/>
      <c r="M45" s="135"/>
      <c r="N45" s="136"/>
      <c r="O45" s="30"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hyperlinks>
    <hyperlink ref="C45"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B011B-E530-4DEB-8759-E6CD90EB8134}">
  <dimension ref="A1:Z98"/>
  <sheetViews>
    <sheetView showZeros="0" view="pageBreakPreview" topLeftCell="A37" zoomScaleNormal="100" zoomScaleSheetLayoutView="100" workbookViewId="0">
      <selection activeCell="G62" sqref="G62"/>
    </sheetView>
  </sheetViews>
  <sheetFormatPr defaultColWidth="9" defaultRowHeight="18.75" customHeight="1" x14ac:dyDescent="0.15"/>
  <cols>
    <col min="1" max="1" width="2.5" style="12" customWidth="1"/>
    <col min="2" max="2" width="27.75" style="12" customWidth="1"/>
    <col min="3" max="13" width="3.375" style="12" customWidth="1"/>
    <col min="14" max="14" width="8.875" style="12" customWidth="1"/>
    <col min="15" max="15" width="18.875" style="12" customWidth="1"/>
    <col min="16" max="19" width="3.375" style="12" customWidth="1"/>
    <col min="20" max="20" width="3.5" style="12" customWidth="1"/>
    <col min="21" max="26" width="3.375" style="12" customWidth="1"/>
    <col min="27" max="16384" width="9" style="12"/>
  </cols>
  <sheetData>
    <row r="1" spans="1:26" ht="15" customHeight="1" x14ac:dyDescent="0.15">
      <c r="W1" s="260" t="s">
        <v>206</v>
      </c>
      <c r="X1" s="260"/>
      <c r="Y1" s="260"/>
      <c r="Z1" s="260"/>
    </row>
    <row r="2" spans="1:26" ht="18" customHeight="1" x14ac:dyDescent="0.15">
      <c r="A2" s="218" t="s">
        <v>67</v>
      </c>
      <c r="B2" s="218"/>
      <c r="C2" s="218"/>
      <c r="D2" s="218"/>
      <c r="E2" s="218"/>
      <c r="F2" s="218"/>
      <c r="G2" s="218"/>
      <c r="H2" s="218"/>
      <c r="I2" s="218"/>
      <c r="J2" s="218"/>
      <c r="K2" s="218"/>
      <c r="L2" s="218"/>
      <c r="M2" s="218"/>
      <c r="N2" s="218"/>
      <c r="O2" s="218"/>
      <c r="P2" s="218"/>
      <c r="Q2" s="218"/>
      <c r="R2" s="218"/>
      <c r="S2" s="218"/>
      <c r="T2" s="218"/>
      <c r="U2" s="218"/>
      <c r="V2" s="218"/>
      <c r="W2" s="218"/>
      <c r="X2" s="218"/>
      <c r="Y2" s="218"/>
      <c r="Z2" s="218"/>
    </row>
    <row r="3" spans="1:26" ht="15" customHeight="1" x14ac:dyDescent="0.15">
      <c r="B3" s="28"/>
      <c r="C3" s="28"/>
      <c r="D3" s="28"/>
      <c r="E3" s="28"/>
      <c r="F3" s="28"/>
      <c r="G3" s="28"/>
      <c r="H3" s="28"/>
      <c r="I3" s="28"/>
      <c r="J3" s="28"/>
      <c r="K3" s="28"/>
      <c r="L3" s="28"/>
      <c r="M3" s="28"/>
      <c r="N3" s="28"/>
      <c r="O3" s="28"/>
      <c r="P3" s="28"/>
      <c r="Q3" s="28"/>
      <c r="R3" s="28"/>
      <c r="S3" s="28"/>
      <c r="T3" s="28"/>
      <c r="U3" s="28"/>
      <c r="V3" s="28"/>
      <c r="W3" s="28"/>
      <c r="X3" s="28"/>
      <c r="Y3" s="28"/>
      <c r="Z3" s="28"/>
    </row>
    <row r="4" spans="1:26" ht="18" customHeight="1" x14ac:dyDescent="0.15">
      <c r="A4" s="12" t="s">
        <v>99</v>
      </c>
      <c r="B4" s="28"/>
      <c r="C4" s="28"/>
      <c r="D4" s="28"/>
      <c r="E4" s="28"/>
      <c r="F4" s="28"/>
      <c r="G4" s="28"/>
      <c r="H4" s="14" t="s">
        <v>112</v>
      </c>
      <c r="I4" s="28"/>
      <c r="J4" s="28"/>
      <c r="K4" s="28"/>
      <c r="L4" s="28"/>
      <c r="M4" s="28"/>
      <c r="N4" s="28"/>
      <c r="O4" s="158" t="s">
        <v>162</v>
      </c>
      <c r="P4" s="159"/>
      <c r="Q4" s="159"/>
      <c r="R4" s="159"/>
      <c r="S4" s="159"/>
      <c r="T4" s="159"/>
      <c r="U4" s="159"/>
      <c r="V4" s="159"/>
      <c r="W4" s="159"/>
      <c r="X4" s="159"/>
      <c r="Y4" s="159"/>
      <c r="Z4" s="160"/>
    </row>
    <row r="5" spans="1:26" ht="6" customHeight="1" x14ac:dyDescent="0.15">
      <c r="B5" s="28"/>
      <c r="C5" s="28"/>
      <c r="D5" s="28"/>
      <c r="E5" s="28"/>
      <c r="F5" s="28"/>
      <c r="G5" s="28"/>
      <c r="H5" s="28"/>
      <c r="I5" s="28"/>
      <c r="J5" s="28"/>
      <c r="K5" s="28"/>
      <c r="L5" s="28"/>
      <c r="M5" s="28"/>
      <c r="N5" s="28"/>
      <c r="O5" s="15"/>
      <c r="P5" s="28"/>
      <c r="Q5" s="28"/>
      <c r="R5" s="28"/>
      <c r="S5" s="28"/>
      <c r="T5" s="28"/>
      <c r="U5" s="28"/>
      <c r="V5" s="28"/>
      <c r="W5" s="28"/>
      <c r="X5" s="28"/>
      <c r="Y5" s="28"/>
      <c r="Z5" s="28"/>
    </row>
    <row r="6" spans="1:26" ht="18" customHeight="1" x14ac:dyDescent="0.15">
      <c r="B6" s="219" t="s">
        <v>207</v>
      </c>
      <c r="C6" s="220"/>
      <c r="D6" s="220"/>
      <c r="E6" s="220"/>
      <c r="F6" s="220"/>
      <c r="G6" s="220"/>
      <c r="H6" s="220"/>
      <c r="I6" s="220"/>
      <c r="J6" s="220"/>
      <c r="K6" s="220"/>
      <c r="L6" s="220"/>
      <c r="M6" s="220"/>
      <c r="N6" s="220"/>
      <c r="O6" s="220"/>
      <c r="P6" s="220"/>
      <c r="Q6" s="220"/>
      <c r="R6" s="220"/>
      <c r="S6" s="220"/>
      <c r="T6" s="220"/>
      <c r="U6" s="220"/>
      <c r="V6" s="220"/>
      <c r="W6" s="220"/>
      <c r="X6" s="220"/>
      <c r="Y6" s="220"/>
      <c r="Z6" s="221"/>
    </row>
    <row r="7" spans="1:26" ht="18" customHeight="1" x14ac:dyDescent="0.15">
      <c r="B7" s="222"/>
      <c r="C7" s="223"/>
      <c r="D7" s="223"/>
      <c r="E7" s="223"/>
      <c r="F7" s="223"/>
      <c r="G7" s="223"/>
      <c r="H7" s="223"/>
      <c r="I7" s="223"/>
      <c r="J7" s="223"/>
      <c r="K7" s="223"/>
      <c r="L7" s="223"/>
      <c r="M7" s="223"/>
      <c r="N7" s="223"/>
      <c r="O7" s="223"/>
      <c r="P7" s="223"/>
      <c r="Q7" s="223"/>
      <c r="R7" s="223"/>
      <c r="S7" s="223"/>
      <c r="T7" s="223"/>
      <c r="U7" s="223"/>
      <c r="V7" s="223"/>
      <c r="W7" s="223"/>
      <c r="X7" s="223"/>
      <c r="Y7" s="223"/>
      <c r="Z7" s="224"/>
    </row>
    <row r="8" spans="1:26" ht="18" customHeight="1" x14ac:dyDescent="0.15">
      <c r="B8" s="222"/>
      <c r="C8" s="223"/>
      <c r="D8" s="223"/>
      <c r="E8" s="223"/>
      <c r="F8" s="223"/>
      <c r="G8" s="223"/>
      <c r="H8" s="223"/>
      <c r="I8" s="223"/>
      <c r="J8" s="223"/>
      <c r="K8" s="223"/>
      <c r="L8" s="223"/>
      <c r="M8" s="223"/>
      <c r="N8" s="223"/>
      <c r="O8" s="223"/>
      <c r="P8" s="223"/>
      <c r="Q8" s="223"/>
      <c r="R8" s="223"/>
      <c r="S8" s="223"/>
      <c r="T8" s="223"/>
      <c r="U8" s="223"/>
      <c r="V8" s="223"/>
      <c r="W8" s="223"/>
      <c r="X8" s="223"/>
      <c r="Y8" s="223"/>
      <c r="Z8" s="224"/>
    </row>
    <row r="9" spans="1:26" ht="18" customHeight="1" x14ac:dyDescent="0.15">
      <c r="B9" s="222"/>
      <c r="C9" s="223"/>
      <c r="D9" s="223"/>
      <c r="E9" s="223"/>
      <c r="F9" s="223"/>
      <c r="G9" s="223"/>
      <c r="H9" s="223"/>
      <c r="I9" s="223"/>
      <c r="J9" s="223"/>
      <c r="K9" s="223"/>
      <c r="L9" s="223"/>
      <c r="M9" s="223"/>
      <c r="N9" s="223"/>
      <c r="O9" s="223"/>
      <c r="P9" s="223"/>
      <c r="Q9" s="223"/>
      <c r="R9" s="223"/>
      <c r="S9" s="223"/>
      <c r="T9" s="223"/>
      <c r="U9" s="223"/>
      <c r="V9" s="223"/>
      <c r="W9" s="223"/>
      <c r="X9" s="223"/>
      <c r="Y9" s="223"/>
      <c r="Z9" s="224"/>
    </row>
    <row r="10" spans="1:26" ht="18" customHeight="1" x14ac:dyDescent="0.15">
      <c r="B10" s="222"/>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4"/>
    </row>
    <row r="11" spans="1:26" ht="18" customHeight="1" x14ac:dyDescent="0.15">
      <c r="B11" s="226"/>
      <c r="C11" s="227"/>
      <c r="D11" s="227"/>
      <c r="E11" s="227"/>
      <c r="F11" s="227"/>
      <c r="G11" s="227"/>
      <c r="H11" s="227"/>
      <c r="I11" s="227"/>
      <c r="J11" s="227"/>
      <c r="K11" s="227"/>
      <c r="L11" s="227"/>
      <c r="M11" s="227"/>
      <c r="N11" s="227"/>
      <c r="O11" s="227"/>
      <c r="P11" s="227"/>
      <c r="Q11" s="227"/>
      <c r="R11" s="227"/>
      <c r="S11" s="227"/>
      <c r="T11" s="227"/>
      <c r="U11" s="227"/>
      <c r="V11" s="227"/>
      <c r="W11" s="227"/>
      <c r="X11" s="227"/>
      <c r="Y11" s="227"/>
      <c r="Z11" s="228"/>
    </row>
    <row r="12" spans="1:26" ht="7.5" customHeight="1" x14ac:dyDescent="0.15">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spans="1:26" ht="18" customHeight="1" x14ac:dyDescent="0.15">
      <c r="A13" s="217" t="s">
        <v>125</v>
      </c>
      <c r="B13" s="217"/>
      <c r="C13" s="217"/>
      <c r="D13" s="217"/>
      <c r="E13" s="217"/>
      <c r="F13" s="217"/>
      <c r="G13" s="217"/>
      <c r="H13" s="217"/>
      <c r="I13" s="217"/>
      <c r="J13" s="217"/>
      <c r="K13" s="217"/>
      <c r="L13" s="217"/>
      <c r="M13" s="217"/>
      <c r="N13" s="217"/>
      <c r="O13" s="217"/>
      <c r="P13" s="217"/>
      <c r="Q13" s="217"/>
      <c r="R13" s="217"/>
      <c r="S13" s="217"/>
      <c r="T13" s="217"/>
      <c r="U13" s="217"/>
      <c r="V13" s="217"/>
      <c r="W13" s="217"/>
      <c r="X13" s="217"/>
      <c r="Y13" s="217"/>
      <c r="Z13" s="217"/>
    </row>
    <row r="14" spans="1:26" ht="18" customHeight="1" x14ac:dyDescent="0.15">
      <c r="A14" s="217"/>
      <c r="B14" s="217"/>
      <c r="C14" s="217"/>
      <c r="D14" s="217"/>
      <c r="E14" s="217"/>
      <c r="F14" s="217"/>
      <c r="G14" s="217"/>
      <c r="H14" s="217"/>
      <c r="I14" s="217"/>
      <c r="J14" s="217"/>
      <c r="K14" s="217"/>
      <c r="L14" s="217"/>
      <c r="M14" s="217"/>
      <c r="N14" s="217"/>
      <c r="O14" s="217"/>
      <c r="P14" s="217"/>
      <c r="Q14" s="217"/>
      <c r="R14" s="217"/>
      <c r="S14" s="217"/>
      <c r="T14" s="217"/>
      <c r="U14" s="217"/>
      <c r="V14" s="217"/>
      <c r="W14" s="217"/>
      <c r="X14" s="217"/>
      <c r="Y14" s="217"/>
      <c r="Z14" s="217"/>
    </row>
    <row r="15" spans="1:26" ht="18" customHeight="1" x14ac:dyDescent="0.15">
      <c r="A15" s="13"/>
      <c r="B15" s="158" t="s">
        <v>100</v>
      </c>
      <c r="C15" s="159"/>
      <c r="D15" s="159"/>
      <c r="E15" s="159"/>
      <c r="F15" s="160"/>
      <c r="G15" s="29" t="s">
        <v>141</v>
      </c>
      <c r="H15" s="101" t="s">
        <v>140</v>
      </c>
      <c r="I15" s="159" t="s">
        <v>101</v>
      </c>
      <c r="J15" s="159"/>
      <c r="K15" s="159"/>
      <c r="L15" s="70" t="s">
        <v>104</v>
      </c>
      <c r="M15" s="70" t="s">
        <v>107</v>
      </c>
      <c r="N15" s="158" t="s">
        <v>100</v>
      </c>
      <c r="O15" s="159"/>
      <c r="P15" s="159"/>
      <c r="Q15" s="159"/>
      <c r="R15" s="159"/>
      <c r="S15" s="160"/>
      <c r="T15" s="29" t="s">
        <v>141</v>
      </c>
      <c r="U15" s="101" t="s">
        <v>140</v>
      </c>
      <c r="V15" s="159" t="s">
        <v>101</v>
      </c>
      <c r="W15" s="159"/>
      <c r="X15" s="159"/>
      <c r="Y15" s="70" t="s">
        <v>104</v>
      </c>
      <c r="Z15" s="70" t="s">
        <v>107</v>
      </c>
    </row>
    <row r="16" spans="1:26" ht="18" customHeight="1" x14ac:dyDescent="0.15">
      <c r="A16" s="13"/>
      <c r="B16" s="232" t="s">
        <v>163</v>
      </c>
      <c r="C16" s="233"/>
      <c r="D16" s="233"/>
      <c r="E16" s="233"/>
      <c r="F16" s="234"/>
      <c r="G16" s="102">
        <v>1</v>
      </c>
      <c r="H16" s="102" t="s">
        <v>167</v>
      </c>
      <c r="I16" s="202" t="s">
        <v>168</v>
      </c>
      <c r="J16" s="203"/>
      <c r="K16" s="204"/>
      <c r="L16" s="102" t="s">
        <v>167</v>
      </c>
      <c r="M16" s="102" t="s">
        <v>167</v>
      </c>
      <c r="N16" s="208"/>
      <c r="O16" s="209"/>
      <c r="P16" s="209"/>
      <c r="Q16" s="209"/>
      <c r="R16" s="209"/>
      <c r="S16" s="210"/>
      <c r="T16" s="102"/>
      <c r="U16" s="102"/>
      <c r="V16" s="202"/>
      <c r="W16" s="203"/>
      <c r="X16" s="204"/>
      <c r="Y16" s="102"/>
      <c r="Z16" s="102"/>
    </row>
    <row r="17" spans="1:26" ht="18" customHeight="1" x14ac:dyDescent="0.15">
      <c r="A17" s="13"/>
      <c r="B17" s="235" t="s">
        <v>170</v>
      </c>
      <c r="C17" s="236"/>
      <c r="D17" s="236"/>
      <c r="E17" s="236"/>
      <c r="F17" s="237"/>
      <c r="G17" s="103">
        <v>1</v>
      </c>
      <c r="H17" s="103" t="s">
        <v>167</v>
      </c>
      <c r="I17" s="205" t="s">
        <v>168</v>
      </c>
      <c r="J17" s="206"/>
      <c r="K17" s="207"/>
      <c r="L17" s="103" t="s">
        <v>167</v>
      </c>
      <c r="M17" s="103"/>
      <c r="N17" s="165"/>
      <c r="O17" s="166"/>
      <c r="P17" s="166"/>
      <c r="Q17" s="166"/>
      <c r="R17" s="166"/>
      <c r="S17" s="167"/>
      <c r="T17" s="103"/>
      <c r="U17" s="103"/>
      <c r="V17" s="205"/>
      <c r="W17" s="206"/>
      <c r="X17" s="207"/>
      <c r="Y17" s="103"/>
      <c r="Z17" s="103"/>
    </row>
    <row r="18" spans="1:26" ht="18" customHeight="1" x14ac:dyDescent="0.15">
      <c r="A18" s="13"/>
      <c r="B18" s="235" t="s">
        <v>164</v>
      </c>
      <c r="C18" s="236"/>
      <c r="D18" s="236"/>
      <c r="E18" s="236"/>
      <c r="F18" s="237"/>
      <c r="G18" s="103">
        <v>2</v>
      </c>
      <c r="H18" s="103"/>
      <c r="I18" s="205" t="s">
        <v>169</v>
      </c>
      <c r="J18" s="206"/>
      <c r="K18" s="207"/>
      <c r="L18" s="103" t="s">
        <v>167</v>
      </c>
      <c r="M18" s="103" t="s">
        <v>167</v>
      </c>
      <c r="N18" s="165"/>
      <c r="O18" s="166"/>
      <c r="P18" s="166"/>
      <c r="Q18" s="166"/>
      <c r="R18" s="166"/>
      <c r="S18" s="167"/>
      <c r="T18" s="103"/>
      <c r="U18" s="103"/>
      <c r="V18" s="205"/>
      <c r="W18" s="206"/>
      <c r="X18" s="207"/>
      <c r="Y18" s="103"/>
      <c r="Z18" s="103"/>
    </row>
    <row r="19" spans="1:26" ht="18" customHeight="1" x14ac:dyDescent="0.15">
      <c r="A19" s="13"/>
      <c r="B19" s="127" t="s">
        <v>165</v>
      </c>
      <c r="C19" s="128"/>
      <c r="D19" s="128"/>
      <c r="E19" s="128"/>
      <c r="F19" s="129"/>
      <c r="G19" s="103">
        <v>2</v>
      </c>
      <c r="H19" s="103"/>
      <c r="I19" s="205" t="s">
        <v>168</v>
      </c>
      <c r="J19" s="206"/>
      <c r="K19" s="207"/>
      <c r="L19" s="103" t="s">
        <v>167</v>
      </c>
      <c r="M19" s="103" t="s">
        <v>167</v>
      </c>
      <c r="N19" s="165"/>
      <c r="O19" s="166"/>
      <c r="P19" s="166"/>
      <c r="Q19" s="166"/>
      <c r="R19" s="166"/>
      <c r="S19" s="167"/>
      <c r="T19" s="103"/>
      <c r="U19" s="103"/>
      <c r="V19" s="205"/>
      <c r="W19" s="206"/>
      <c r="X19" s="207"/>
      <c r="Y19" s="103"/>
      <c r="Z19" s="103"/>
    </row>
    <row r="20" spans="1:26" ht="18" customHeight="1" x14ac:dyDescent="0.15">
      <c r="A20" s="13"/>
      <c r="B20" s="127"/>
      <c r="C20" s="128"/>
      <c r="D20" s="128"/>
      <c r="E20" s="128"/>
      <c r="F20" s="129"/>
      <c r="G20" s="103"/>
      <c r="H20" s="103"/>
      <c r="I20" s="205"/>
      <c r="J20" s="206"/>
      <c r="K20" s="207"/>
      <c r="L20" s="103"/>
      <c r="M20" s="103"/>
      <c r="N20" s="165"/>
      <c r="O20" s="166"/>
      <c r="P20" s="166"/>
      <c r="Q20" s="166"/>
      <c r="R20" s="166"/>
      <c r="S20" s="167"/>
      <c r="T20" s="103"/>
      <c r="U20" s="103"/>
      <c r="V20" s="205"/>
      <c r="W20" s="206"/>
      <c r="X20" s="207"/>
      <c r="Y20" s="103"/>
      <c r="Z20" s="103"/>
    </row>
    <row r="21" spans="1:26" ht="18" customHeight="1" x14ac:dyDescent="0.15">
      <c r="A21" s="28"/>
      <c r="B21" s="235"/>
      <c r="C21" s="236"/>
      <c r="D21" s="236"/>
      <c r="E21" s="236"/>
      <c r="F21" s="237"/>
      <c r="G21" s="103"/>
      <c r="H21" s="103"/>
      <c r="I21" s="205"/>
      <c r="J21" s="206"/>
      <c r="K21" s="207"/>
      <c r="L21" s="103"/>
      <c r="M21" s="103"/>
      <c r="N21" s="165"/>
      <c r="O21" s="166"/>
      <c r="P21" s="166"/>
      <c r="Q21" s="166"/>
      <c r="R21" s="166"/>
      <c r="S21" s="167"/>
      <c r="T21" s="103"/>
      <c r="U21" s="103"/>
      <c r="V21" s="205"/>
      <c r="W21" s="206"/>
      <c r="X21" s="207"/>
      <c r="Y21" s="103"/>
      <c r="Z21" s="103"/>
    </row>
    <row r="22" spans="1:26" ht="18" customHeight="1" x14ac:dyDescent="0.15">
      <c r="A22" s="28"/>
      <c r="B22" s="238"/>
      <c r="C22" s="239"/>
      <c r="D22" s="239"/>
      <c r="E22" s="239"/>
      <c r="F22" s="240"/>
      <c r="G22" s="104"/>
      <c r="H22" s="104"/>
      <c r="I22" s="214"/>
      <c r="J22" s="215"/>
      <c r="K22" s="216"/>
      <c r="L22" s="107"/>
      <c r="M22" s="107"/>
      <c r="N22" s="241"/>
      <c r="O22" s="242"/>
      <c r="P22" s="242"/>
      <c r="Q22" s="242"/>
      <c r="R22" s="242"/>
      <c r="S22" s="243"/>
      <c r="T22" s="104"/>
      <c r="U22" s="104"/>
      <c r="V22" s="214"/>
      <c r="W22" s="215"/>
      <c r="X22" s="216"/>
      <c r="Y22" s="107"/>
      <c r="Z22" s="107"/>
    </row>
    <row r="23" spans="1:26" ht="7.5" customHeight="1" x14ac:dyDescent="0.15">
      <c r="A23" s="28"/>
      <c r="B23" s="71"/>
      <c r="C23" s="71"/>
      <c r="D23" s="28"/>
      <c r="E23" s="28"/>
      <c r="F23" s="28"/>
      <c r="G23" s="28"/>
      <c r="H23" s="28"/>
      <c r="I23" s="28"/>
      <c r="J23" s="28"/>
      <c r="K23" s="28"/>
      <c r="L23" s="71"/>
      <c r="M23" s="71"/>
      <c r="N23" s="71"/>
      <c r="O23" s="71"/>
      <c r="P23" s="71"/>
      <c r="Q23" s="71"/>
      <c r="R23" s="71"/>
      <c r="S23" s="71"/>
      <c r="T23" s="71"/>
      <c r="U23" s="71"/>
      <c r="V23" s="71"/>
      <c r="W23" s="71"/>
      <c r="X23" s="71"/>
      <c r="Y23" s="71"/>
      <c r="Z23" s="28"/>
    </row>
    <row r="24" spans="1:26" ht="18" customHeight="1" x14ac:dyDescent="0.15">
      <c r="A24" s="217" t="s">
        <v>126</v>
      </c>
      <c r="B24" s="217"/>
      <c r="C24" s="217"/>
      <c r="D24" s="217"/>
      <c r="E24" s="217"/>
      <c r="F24" s="217"/>
      <c r="G24" s="217"/>
      <c r="H24" s="217"/>
      <c r="I24" s="217"/>
      <c r="J24" s="217"/>
      <c r="K24" s="217"/>
      <c r="L24" s="217"/>
      <c r="M24" s="217"/>
      <c r="N24" s="217"/>
      <c r="O24" s="217"/>
      <c r="P24" s="217"/>
      <c r="Q24" s="217"/>
      <c r="R24" s="217"/>
      <c r="S24" s="217"/>
      <c r="T24" s="217"/>
      <c r="U24" s="217"/>
      <c r="V24" s="217"/>
      <c r="W24" s="217"/>
      <c r="X24" s="217"/>
      <c r="Y24" s="217"/>
      <c r="Z24" s="217"/>
    </row>
    <row r="25" spans="1:26" ht="18" customHeight="1" x14ac:dyDescent="0.15">
      <c r="A25" s="217"/>
      <c r="B25" s="217"/>
      <c r="C25" s="217"/>
      <c r="D25" s="217"/>
      <c r="E25" s="217"/>
      <c r="F25" s="217"/>
      <c r="G25" s="217"/>
      <c r="H25" s="217"/>
      <c r="I25" s="217"/>
      <c r="J25" s="217"/>
      <c r="K25" s="217"/>
      <c r="L25" s="217"/>
      <c r="M25" s="217"/>
      <c r="N25" s="217"/>
      <c r="O25" s="217"/>
      <c r="P25" s="217"/>
      <c r="Q25" s="217"/>
      <c r="R25" s="217"/>
      <c r="S25" s="217"/>
      <c r="T25" s="217"/>
      <c r="U25" s="217"/>
      <c r="V25" s="217"/>
      <c r="W25" s="217"/>
      <c r="X25" s="217"/>
      <c r="Y25" s="217"/>
      <c r="Z25" s="217"/>
    </row>
    <row r="26" spans="1:26" ht="18" customHeight="1" x14ac:dyDescent="0.15">
      <c r="A26" s="13"/>
      <c r="B26" s="158" t="s">
        <v>100</v>
      </c>
      <c r="C26" s="159"/>
      <c r="D26" s="159"/>
      <c r="E26" s="159"/>
      <c r="F26" s="160"/>
      <c r="G26" s="29" t="s">
        <v>141</v>
      </c>
      <c r="H26" s="101" t="s">
        <v>140</v>
      </c>
      <c r="I26" s="159" t="s">
        <v>101</v>
      </c>
      <c r="J26" s="159"/>
      <c r="K26" s="159"/>
      <c r="L26" s="70" t="s">
        <v>127</v>
      </c>
      <c r="M26" s="70" t="s">
        <v>128</v>
      </c>
      <c r="N26" s="158" t="s">
        <v>100</v>
      </c>
      <c r="O26" s="159"/>
      <c r="P26" s="159"/>
      <c r="Q26" s="159"/>
      <c r="R26" s="159"/>
      <c r="S26" s="160"/>
      <c r="T26" s="29" t="s">
        <v>141</v>
      </c>
      <c r="U26" s="101" t="s">
        <v>140</v>
      </c>
      <c r="V26" s="159" t="s">
        <v>101</v>
      </c>
      <c r="W26" s="159"/>
      <c r="X26" s="159"/>
      <c r="Y26" s="70" t="s">
        <v>127</v>
      </c>
      <c r="Z26" s="70" t="s">
        <v>128</v>
      </c>
    </row>
    <row r="27" spans="1:26" ht="18" customHeight="1" x14ac:dyDescent="0.15">
      <c r="A27" s="13"/>
      <c r="B27" s="127" t="s">
        <v>170</v>
      </c>
      <c r="C27" s="128"/>
      <c r="D27" s="128"/>
      <c r="E27" s="128"/>
      <c r="F27" s="129"/>
      <c r="G27" s="103">
        <v>1</v>
      </c>
      <c r="H27" s="103" t="s">
        <v>167</v>
      </c>
      <c r="I27" s="202" t="s">
        <v>168</v>
      </c>
      <c r="J27" s="203"/>
      <c r="K27" s="204"/>
      <c r="L27" s="103" t="s">
        <v>167</v>
      </c>
      <c r="M27" s="103" t="s">
        <v>167</v>
      </c>
      <c r="N27" s="208"/>
      <c r="O27" s="209"/>
      <c r="P27" s="209"/>
      <c r="Q27" s="209"/>
      <c r="R27" s="209"/>
      <c r="S27" s="210"/>
      <c r="T27" s="102"/>
      <c r="U27" s="102"/>
      <c r="V27" s="202"/>
      <c r="W27" s="203"/>
      <c r="X27" s="204"/>
      <c r="Y27" s="102"/>
      <c r="Z27" s="102"/>
    </row>
    <row r="28" spans="1:26" ht="18" customHeight="1" x14ac:dyDescent="0.15">
      <c r="A28" s="13"/>
      <c r="B28" s="127" t="s">
        <v>164</v>
      </c>
      <c r="C28" s="128"/>
      <c r="D28" s="128"/>
      <c r="E28" s="128"/>
      <c r="F28" s="129"/>
      <c r="G28" s="103">
        <v>2</v>
      </c>
      <c r="H28" s="103"/>
      <c r="I28" s="205" t="s">
        <v>169</v>
      </c>
      <c r="J28" s="206"/>
      <c r="K28" s="207"/>
      <c r="L28" s="103" t="s">
        <v>167</v>
      </c>
      <c r="M28" s="103" t="s">
        <v>167</v>
      </c>
      <c r="N28" s="165"/>
      <c r="O28" s="166"/>
      <c r="P28" s="166"/>
      <c r="Q28" s="166"/>
      <c r="R28" s="166"/>
      <c r="S28" s="167"/>
      <c r="T28" s="103"/>
      <c r="U28" s="103"/>
      <c r="V28" s="205"/>
      <c r="W28" s="206"/>
      <c r="X28" s="207"/>
      <c r="Y28" s="103"/>
      <c r="Z28" s="103"/>
    </row>
    <row r="29" spans="1:26" ht="18" customHeight="1" x14ac:dyDescent="0.15">
      <c r="A29" s="13"/>
      <c r="B29" s="127" t="s">
        <v>165</v>
      </c>
      <c r="C29" s="128"/>
      <c r="D29" s="128"/>
      <c r="E29" s="128"/>
      <c r="F29" s="129"/>
      <c r="G29" s="103">
        <v>2</v>
      </c>
      <c r="H29" s="103"/>
      <c r="I29" s="205" t="s">
        <v>168</v>
      </c>
      <c r="J29" s="206"/>
      <c r="K29" s="207"/>
      <c r="L29" s="103" t="s">
        <v>167</v>
      </c>
      <c r="M29" s="103" t="s">
        <v>167</v>
      </c>
      <c r="N29" s="165"/>
      <c r="O29" s="166"/>
      <c r="P29" s="166"/>
      <c r="Q29" s="166"/>
      <c r="R29" s="166"/>
      <c r="S29" s="167"/>
      <c r="T29" s="103"/>
      <c r="U29" s="103"/>
      <c r="V29" s="205"/>
      <c r="W29" s="206"/>
      <c r="X29" s="207"/>
      <c r="Y29" s="103"/>
      <c r="Z29" s="103"/>
    </row>
    <row r="30" spans="1:26" ht="18" customHeight="1" x14ac:dyDescent="0.15">
      <c r="A30" s="13"/>
      <c r="B30" s="235"/>
      <c r="C30" s="236"/>
      <c r="D30" s="236"/>
      <c r="E30" s="236"/>
      <c r="F30" s="237"/>
      <c r="G30" s="103"/>
      <c r="H30" s="103"/>
      <c r="I30" s="205"/>
      <c r="J30" s="206"/>
      <c r="K30" s="207"/>
      <c r="L30" s="103"/>
      <c r="M30" s="103"/>
      <c r="N30" s="165"/>
      <c r="O30" s="166"/>
      <c r="P30" s="166"/>
      <c r="Q30" s="166"/>
      <c r="R30" s="166"/>
      <c r="S30" s="167"/>
      <c r="T30" s="103"/>
      <c r="U30" s="103"/>
      <c r="V30" s="205"/>
      <c r="W30" s="206"/>
      <c r="X30" s="207"/>
      <c r="Y30" s="103"/>
      <c r="Z30" s="103"/>
    </row>
    <row r="31" spans="1:26" ht="18" customHeight="1" x14ac:dyDescent="0.15">
      <c r="A31" s="13"/>
      <c r="B31" s="235"/>
      <c r="C31" s="236"/>
      <c r="D31" s="236"/>
      <c r="E31" s="236"/>
      <c r="F31" s="237"/>
      <c r="G31" s="103"/>
      <c r="H31" s="103"/>
      <c r="I31" s="205"/>
      <c r="J31" s="206"/>
      <c r="K31" s="207"/>
      <c r="L31" s="103"/>
      <c r="M31" s="103"/>
      <c r="N31" s="165"/>
      <c r="O31" s="166"/>
      <c r="P31" s="166"/>
      <c r="Q31" s="166"/>
      <c r="R31" s="166"/>
      <c r="S31" s="167"/>
      <c r="T31" s="103"/>
      <c r="U31" s="103"/>
      <c r="V31" s="205"/>
      <c r="W31" s="206"/>
      <c r="X31" s="207"/>
      <c r="Y31" s="103"/>
      <c r="Z31" s="103"/>
    </row>
    <row r="32" spans="1:26" ht="18" customHeight="1" x14ac:dyDescent="0.15">
      <c r="A32" s="13"/>
      <c r="B32" s="235"/>
      <c r="C32" s="236"/>
      <c r="D32" s="236"/>
      <c r="E32" s="236"/>
      <c r="F32" s="237"/>
      <c r="G32" s="103"/>
      <c r="H32" s="103"/>
      <c r="I32" s="205"/>
      <c r="J32" s="206"/>
      <c r="K32" s="207"/>
      <c r="L32" s="103"/>
      <c r="M32" s="103"/>
      <c r="N32" s="165"/>
      <c r="O32" s="166"/>
      <c r="P32" s="166"/>
      <c r="Q32" s="166"/>
      <c r="R32" s="166"/>
      <c r="S32" s="167"/>
      <c r="T32" s="103"/>
      <c r="U32" s="103"/>
      <c r="V32" s="205"/>
      <c r="W32" s="206"/>
      <c r="X32" s="207"/>
      <c r="Y32" s="103"/>
      <c r="Z32" s="103"/>
    </row>
    <row r="33" spans="1:26" ht="18" customHeight="1" x14ac:dyDescent="0.15">
      <c r="A33" s="13"/>
      <c r="B33" s="238"/>
      <c r="C33" s="239"/>
      <c r="D33" s="239"/>
      <c r="E33" s="239"/>
      <c r="F33" s="240"/>
      <c r="G33" s="104"/>
      <c r="H33" s="104"/>
      <c r="I33" s="214"/>
      <c r="J33" s="215"/>
      <c r="K33" s="216"/>
      <c r="L33" s="107"/>
      <c r="M33" s="107"/>
      <c r="N33" s="241"/>
      <c r="O33" s="242"/>
      <c r="P33" s="242"/>
      <c r="Q33" s="242"/>
      <c r="R33" s="242"/>
      <c r="S33" s="243"/>
      <c r="T33" s="104"/>
      <c r="U33" s="104"/>
      <c r="V33" s="214"/>
      <c r="W33" s="215"/>
      <c r="X33" s="216"/>
      <c r="Y33" s="107"/>
      <c r="Z33" s="107"/>
    </row>
    <row r="34" spans="1:26" ht="7.5" customHeight="1" x14ac:dyDescent="0.15">
      <c r="A34" s="28"/>
      <c r="B34" s="71"/>
      <c r="C34" s="71"/>
      <c r="D34" s="28"/>
      <c r="E34" s="28"/>
      <c r="F34" s="28"/>
      <c r="G34" s="28"/>
      <c r="H34" s="28"/>
      <c r="I34" s="28"/>
      <c r="J34" s="28"/>
      <c r="K34" s="28"/>
      <c r="L34" s="71"/>
      <c r="M34" s="71"/>
      <c r="N34" s="71"/>
      <c r="O34" s="71"/>
      <c r="P34" s="71"/>
      <c r="Q34" s="71"/>
      <c r="R34" s="71"/>
      <c r="S34" s="71"/>
      <c r="T34" s="71"/>
      <c r="U34" s="71"/>
      <c r="V34" s="71"/>
      <c r="W34" s="71"/>
      <c r="X34" s="71"/>
      <c r="Y34" s="71"/>
      <c r="Z34" s="28"/>
    </row>
    <row r="35" spans="1:26" ht="18" customHeight="1" x14ac:dyDescent="0.15">
      <c r="A35" s="217" t="s">
        <v>129</v>
      </c>
      <c r="B35" s="217"/>
      <c r="C35" s="217"/>
      <c r="D35" s="217"/>
      <c r="E35" s="217"/>
      <c r="F35" s="217"/>
      <c r="G35" s="217"/>
      <c r="H35" s="217"/>
      <c r="I35" s="217"/>
      <c r="J35" s="217"/>
      <c r="K35" s="217"/>
      <c r="L35" s="217"/>
      <c r="M35" s="217"/>
      <c r="N35" s="217"/>
      <c r="O35" s="217"/>
      <c r="P35" s="217"/>
      <c r="Q35" s="217"/>
      <c r="R35" s="217"/>
      <c r="S35" s="217"/>
      <c r="T35" s="217"/>
      <c r="U35" s="217"/>
      <c r="V35" s="217"/>
      <c r="W35" s="217"/>
      <c r="X35" s="217"/>
      <c r="Y35" s="217"/>
      <c r="Z35" s="217"/>
    </row>
    <row r="36" spans="1:26" ht="18" customHeight="1" x14ac:dyDescent="0.15">
      <c r="A36" s="217"/>
      <c r="B36" s="217"/>
      <c r="C36" s="217"/>
      <c r="D36" s="217"/>
      <c r="E36" s="217"/>
      <c r="F36" s="217"/>
      <c r="G36" s="217"/>
      <c r="H36" s="217"/>
      <c r="I36" s="217"/>
      <c r="J36" s="217"/>
      <c r="K36" s="217"/>
      <c r="L36" s="217"/>
      <c r="M36" s="217"/>
      <c r="N36" s="217"/>
      <c r="O36" s="217"/>
      <c r="P36" s="217"/>
      <c r="Q36" s="217"/>
      <c r="R36" s="217"/>
      <c r="S36" s="217"/>
      <c r="T36" s="217"/>
      <c r="U36" s="217"/>
      <c r="V36" s="217"/>
      <c r="W36" s="217"/>
      <c r="X36" s="217"/>
      <c r="Y36" s="217"/>
      <c r="Z36" s="217"/>
    </row>
    <row r="37" spans="1:26" ht="18" customHeight="1" x14ac:dyDescent="0.15">
      <c r="A37" s="13"/>
      <c r="B37" s="158" t="s">
        <v>100</v>
      </c>
      <c r="C37" s="159"/>
      <c r="D37" s="159"/>
      <c r="E37" s="159"/>
      <c r="F37" s="160"/>
      <c r="G37" s="29" t="s">
        <v>141</v>
      </c>
      <c r="H37" s="101" t="s">
        <v>140</v>
      </c>
      <c r="I37" s="158" t="s">
        <v>101</v>
      </c>
      <c r="J37" s="159"/>
      <c r="K37" s="160"/>
      <c r="L37" s="70" t="s">
        <v>130</v>
      </c>
      <c r="M37" s="70" t="s">
        <v>131</v>
      </c>
      <c r="N37" s="158" t="s">
        <v>100</v>
      </c>
      <c r="O37" s="159"/>
      <c r="P37" s="159"/>
      <c r="Q37" s="159"/>
      <c r="R37" s="159"/>
      <c r="S37" s="160"/>
      <c r="T37" s="29" t="s">
        <v>141</v>
      </c>
      <c r="U37" s="101" t="s">
        <v>140</v>
      </c>
      <c r="V37" s="158" t="s">
        <v>101</v>
      </c>
      <c r="W37" s="159"/>
      <c r="X37" s="160"/>
      <c r="Y37" s="70" t="s">
        <v>130</v>
      </c>
      <c r="Z37" s="70" t="s">
        <v>131</v>
      </c>
    </row>
    <row r="38" spans="1:26" ht="18" customHeight="1" x14ac:dyDescent="0.15">
      <c r="A38" s="28"/>
      <c r="B38" s="232" t="s">
        <v>163</v>
      </c>
      <c r="C38" s="233"/>
      <c r="D38" s="233"/>
      <c r="E38" s="233"/>
      <c r="F38" s="234"/>
      <c r="G38" s="102">
        <v>1</v>
      </c>
      <c r="H38" s="102" t="s">
        <v>167</v>
      </c>
      <c r="I38" s="202" t="s">
        <v>168</v>
      </c>
      <c r="J38" s="203"/>
      <c r="K38" s="204"/>
      <c r="L38" s="102"/>
      <c r="M38" s="102" t="s">
        <v>167</v>
      </c>
      <c r="N38" s="208"/>
      <c r="O38" s="209"/>
      <c r="P38" s="209"/>
      <c r="Q38" s="209"/>
      <c r="R38" s="209"/>
      <c r="S38" s="210"/>
      <c r="T38" s="102"/>
      <c r="U38" s="102"/>
      <c r="V38" s="202"/>
      <c r="W38" s="203"/>
      <c r="X38" s="204"/>
      <c r="Y38" s="102"/>
      <c r="Z38" s="102"/>
    </row>
    <row r="39" spans="1:26" ht="18" customHeight="1" x14ac:dyDescent="0.15">
      <c r="A39" s="28"/>
      <c r="B39" s="235" t="s">
        <v>170</v>
      </c>
      <c r="C39" s="236"/>
      <c r="D39" s="236"/>
      <c r="E39" s="236"/>
      <c r="F39" s="237"/>
      <c r="G39" s="103">
        <v>1</v>
      </c>
      <c r="H39" s="103" t="s">
        <v>167</v>
      </c>
      <c r="I39" s="205" t="s">
        <v>168</v>
      </c>
      <c r="J39" s="206"/>
      <c r="K39" s="207"/>
      <c r="L39" s="103" t="s">
        <v>167</v>
      </c>
      <c r="M39" s="103" t="s">
        <v>167</v>
      </c>
      <c r="N39" s="165"/>
      <c r="O39" s="166"/>
      <c r="P39" s="166"/>
      <c r="Q39" s="166"/>
      <c r="R39" s="166"/>
      <c r="S39" s="167"/>
      <c r="T39" s="103"/>
      <c r="U39" s="103"/>
      <c r="V39" s="205"/>
      <c r="W39" s="206"/>
      <c r="X39" s="207"/>
      <c r="Y39" s="103"/>
      <c r="Z39" s="103"/>
    </row>
    <row r="40" spans="1:26" ht="18" customHeight="1" x14ac:dyDescent="0.15">
      <c r="A40" s="28"/>
      <c r="B40" s="235" t="s">
        <v>164</v>
      </c>
      <c r="C40" s="236"/>
      <c r="D40" s="236"/>
      <c r="E40" s="236"/>
      <c r="F40" s="237"/>
      <c r="G40" s="103">
        <v>2</v>
      </c>
      <c r="H40" s="103"/>
      <c r="I40" s="205" t="s">
        <v>169</v>
      </c>
      <c r="J40" s="206"/>
      <c r="K40" s="207"/>
      <c r="L40" s="103" t="s">
        <v>167</v>
      </c>
      <c r="M40" s="103" t="s">
        <v>167</v>
      </c>
      <c r="N40" s="165"/>
      <c r="O40" s="166"/>
      <c r="P40" s="166"/>
      <c r="Q40" s="166"/>
      <c r="R40" s="166"/>
      <c r="S40" s="167"/>
      <c r="T40" s="103"/>
      <c r="U40" s="103"/>
      <c r="V40" s="205"/>
      <c r="W40" s="206"/>
      <c r="X40" s="207"/>
      <c r="Y40" s="103"/>
      <c r="Z40" s="103"/>
    </row>
    <row r="41" spans="1:26" ht="18" customHeight="1" x14ac:dyDescent="0.15">
      <c r="A41" s="28"/>
      <c r="B41" s="235" t="s">
        <v>165</v>
      </c>
      <c r="C41" s="236"/>
      <c r="D41" s="236"/>
      <c r="E41" s="236"/>
      <c r="F41" s="237"/>
      <c r="G41" s="103">
        <v>2</v>
      </c>
      <c r="H41" s="103"/>
      <c r="I41" s="205" t="s">
        <v>168</v>
      </c>
      <c r="J41" s="206"/>
      <c r="K41" s="207"/>
      <c r="L41" s="103" t="s">
        <v>167</v>
      </c>
      <c r="M41" s="103"/>
      <c r="N41" s="165"/>
      <c r="O41" s="166"/>
      <c r="P41" s="166"/>
      <c r="Q41" s="166"/>
      <c r="R41" s="166"/>
      <c r="S41" s="167"/>
      <c r="T41" s="103"/>
      <c r="U41" s="103"/>
      <c r="V41" s="205"/>
      <c r="W41" s="206"/>
      <c r="X41" s="207"/>
      <c r="Y41" s="103"/>
      <c r="Z41" s="103"/>
    </row>
    <row r="42" spans="1:26" ht="18" customHeight="1" x14ac:dyDescent="0.15">
      <c r="A42" s="28"/>
      <c r="B42" s="235"/>
      <c r="C42" s="236"/>
      <c r="D42" s="236"/>
      <c r="E42" s="236"/>
      <c r="F42" s="237"/>
      <c r="G42" s="103"/>
      <c r="H42" s="103"/>
      <c r="I42" s="205"/>
      <c r="J42" s="206"/>
      <c r="K42" s="207"/>
      <c r="L42" s="103"/>
      <c r="M42" s="103"/>
      <c r="N42" s="165"/>
      <c r="O42" s="166"/>
      <c r="P42" s="166"/>
      <c r="Q42" s="166"/>
      <c r="R42" s="166"/>
      <c r="S42" s="167"/>
      <c r="T42" s="103"/>
      <c r="U42" s="103"/>
      <c r="V42" s="205"/>
      <c r="W42" s="206"/>
      <c r="X42" s="207"/>
      <c r="Y42" s="103"/>
      <c r="Z42" s="103"/>
    </row>
    <row r="43" spans="1:26" ht="18" customHeight="1" x14ac:dyDescent="0.15">
      <c r="A43" s="28"/>
      <c r="B43" s="235"/>
      <c r="C43" s="236"/>
      <c r="D43" s="236"/>
      <c r="E43" s="236"/>
      <c r="F43" s="237"/>
      <c r="G43" s="103"/>
      <c r="H43" s="103"/>
      <c r="I43" s="205"/>
      <c r="J43" s="206"/>
      <c r="K43" s="207"/>
      <c r="L43" s="103"/>
      <c r="M43" s="103"/>
      <c r="N43" s="165"/>
      <c r="O43" s="166"/>
      <c r="P43" s="166"/>
      <c r="Q43" s="166"/>
      <c r="R43" s="166"/>
      <c r="S43" s="167"/>
      <c r="T43" s="103"/>
      <c r="U43" s="103"/>
      <c r="V43" s="205"/>
      <c r="W43" s="206"/>
      <c r="X43" s="207"/>
      <c r="Y43" s="103"/>
      <c r="Z43" s="103"/>
    </row>
    <row r="44" spans="1:26" ht="18" customHeight="1" x14ac:dyDescent="0.15">
      <c r="A44" s="28"/>
      <c r="B44" s="238"/>
      <c r="C44" s="239"/>
      <c r="D44" s="239"/>
      <c r="E44" s="239"/>
      <c r="F44" s="240"/>
      <c r="G44" s="104"/>
      <c r="H44" s="104"/>
      <c r="I44" s="214"/>
      <c r="J44" s="215"/>
      <c r="K44" s="216"/>
      <c r="L44" s="107"/>
      <c r="M44" s="107"/>
      <c r="N44" s="241"/>
      <c r="O44" s="242"/>
      <c r="P44" s="242"/>
      <c r="Q44" s="242"/>
      <c r="R44" s="242"/>
      <c r="S44" s="243"/>
      <c r="T44" s="104"/>
      <c r="U44" s="104"/>
      <c r="V44" s="214"/>
      <c r="W44" s="215"/>
      <c r="X44" s="216"/>
      <c r="Y44" s="107"/>
      <c r="Z44" s="107"/>
    </row>
    <row r="45" spans="1:26" ht="7.5" customHeight="1" x14ac:dyDescent="0.15">
      <c r="B45" s="72"/>
      <c r="C45" s="72"/>
      <c r="D45" s="72"/>
      <c r="E45" s="72"/>
      <c r="F45" s="72"/>
      <c r="G45" s="72"/>
      <c r="H45" s="72"/>
      <c r="I45" s="72"/>
      <c r="J45" s="72"/>
      <c r="K45" s="72"/>
      <c r="L45" s="72"/>
      <c r="M45" s="72"/>
      <c r="N45" s="72"/>
      <c r="O45" s="72"/>
      <c r="P45" s="72"/>
      <c r="Q45" s="72"/>
      <c r="R45" s="72"/>
      <c r="S45" s="72"/>
      <c r="T45" s="72"/>
      <c r="U45" s="72"/>
      <c r="V45" s="72"/>
      <c r="W45" s="72"/>
      <c r="X45" s="72"/>
      <c r="Y45" s="72"/>
    </row>
    <row r="46" spans="1:26" ht="18" customHeight="1" x14ac:dyDescent="0.15">
      <c r="A46" s="217" t="s">
        <v>132</v>
      </c>
      <c r="B46" s="217"/>
      <c r="C46" s="217"/>
      <c r="D46" s="217"/>
      <c r="E46" s="217"/>
      <c r="F46" s="217"/>
      <c r="G46" s="217"/>
      <c r="H46" s="217"/>
      <c r="I46" s="217"/>
      <c r="J46" s="217"/>
      <c r="K46" s="217"/>
      <c r="L46" s="217"/>
      <c r="M46" s="217"/>
      <c r="N46" s="217"/>
      <c r="O46" s="217"/>
      <c r="P46" s="217"/>
      <c r="Q46" s="217"/>
      <c r="R46" s="217"/>
      <c r="S46" s="217"/>
      <c r="T46" s="217"/>
      <c r="U46" s="217"/>
      <c r="V46" s="217"/>
      <c r="W46" s="217"/>
      <c r="X46" s="217"/>
      <c r="Y46" s="217"/>
      <c r="Z46" s="217"/>
    </row>
    <row r="47" spans="1:26" ht="18" customHeight="1" x14ac:dyDescent="0.15">
      <c r="A47" s="217"/>
      <c r="B47" s="217"/>
      <c r="C47" s="217"/>
      <c r="D47" s="217"/>
      <c r="E47" s="217"/>
      <c r="F47" s="217"/>
      <c r="G47" s="217"/>
      <c r="H47" s="217"/>
      <c r="I47" s="217"/>
      <c r="J47" s="217"/>
      <c r="K47" s="217"/>
      <c r="L47" s="217"/>
      <c r="M47" s="217"/>
      <c r="N47" s="217"/>
      <c r="O47" s="217"/>
      <c r="P47" s="217"/>
      <c r="Q47" s="217"/>
      <c r="R47" s="217"/>
      <c r="S47" s="217"/>
      <c r="T47" s="217"/>
      <c r="U47" s="217"/>
      <c r="V47" s="217"/>
      <c r="W47" s="217"/>
      <c r="X47" s="217"/>
      <c r="Y47" s="217"/>
      <c r="Z47" s="217"/>
    </row>
    <row r="48" spans="1:26" ht="18" customHeight="1" x14ac:dyDescent="0.15">
      <c r="A48" s="13"/>
      <c r="B48" s="158" t="s">
        <v>100</v>
      </c>
      <c r="C48" s="159"/>
      <c r="D48" s="159"/>
      <c r="E48" s="159"/>
      <c r="F48" s="160"/>
      <c r="G48" s="29" t="s">
        <v>141</v>
      </c>
      <c r="H48" s="101" t="s">
        <v>140</v>
      </c>
      <c r="I48" s="158" t="s">
        <v>101</v>
      </c>
      <c r="J48" s="159"/>
      <c r="K48" s="160"/>
      <c r="L48" s="70" t="s">
        <v>106</v>
      </c>
      <c r="M48" s="70" t="s">
        <v>108</v>
      </c>
      <c r="N48" s="158" t="s">
        <v>100</v>
      </c>
      <c r="O48" s="159"/>
      <c r="P48" s="159"/>
      <c r="Q48" s="159"/>
      <c r="R48" s="159"/>
      <c r="S48" s="160"/>
      <c r="T48" s="29" t="s">
        <v>141</v>
      </c>
      <c r="U48" s="101" t="s">
        <v>140</v>
      </c>
      <c r="V48" s="158" t="s">
        <v>101</v>
      </c>
      <c r="W48" s="159"/>
      <c r="X48" s="160"/>
      <c r="Y48" s="70" t="s">
        <v>106</v>
      </c>
      <c r="Z48" s="70" t="s">
        <v>108</v>
      </c>
    </row>
    <row r="49" spans="1:26" ht="18" customHeight="1" x14ac:dyDescent="0.15">
      <c r="A49" s="28"/>
      <c r="B49" s="232" t="s">
        <v>173</v>
      </c>
      <c r="C49" s="233"/>
      <c r="D49" s="233"/>
      <c r="E49" s="233"/>
      <c r="F49" s="234"/>
      <c r="G49" s="102">
        <v>2</v>
      </c>
      <c r="H49" s="102" t="s">
        <v>167</v>
      </c>
      <c r="I49" s="202" t="s">
        <v>168</v>
      </c>
      <c r="J49" s="203"/>
      <c r="K49" s="204"/>
      <c r="L49" s="102" t="s">
        <v>167</v>
      </c>
      <c r="M49" s="102" t="s">
        <v>167</v>
      </c>
      <c r="N49" s="208"/>
      <c r="O49" s="209"/>
      <c r="P49" s="209"/>
      <c r="Q49" s="209"/>
      <c r="R49" s="209"/>
      <c r="S49" s="210"/>
      <c r="T49" s="102"/>
      <c r="U49" s="102"/>
      <c r="V49" s="202"/>
      <c r="W49" s="203"/>
      <c r="X49" s="204"/>
      <c r="Y49" s="102"/>
      <c r="Z49" s="102"/>
    </row>
    <row r="50" spans="1:26" ht="18" customHeight="1" x14ac:dyDescent="0.15">
      <c r="A50" s="28"/>
      <c r="B50" s="235" t="s">
        <v>164</v>
      </c>
      <c r="C50" s="236"/>
      <c r="D50" s="236"/>
      <c r="E50" s="236"/>
      <c r="F50" s="237"/>
      <c r="G50" s="103">
        <v>2</v>
      </c>
      <c r="H50" s="103"/>
      <c r="I50" s="205" t="s">
        <v>169</v>
      </c>
      <c r="J50" s="206"/>
      <c r="K50" s="207"/>
      <c r="L50" s="103" t="s">
        <v>167</v>
      </c>
      <c r="M50" s="103" t="s">
        <v>167</v>
      </c>
      <c r="N50" s="165"/>
      <c r="O50" s="166"/>
      <c r="P50" s="166"/>
      <c r="Q50" s="166"/>
      <c r="R50" s="166"/>
      <c r="S50" s="167"/>
      <c r="T50" s="103"/>
      <c r="U50" s="103"/>
      <c r="V50" s="205"/>
      <c r="W50" s="206"/>
      <c r="X50" s="207"/>
      <c r="Y50" s="103"/>
      <c r="Z50" s="103"/>
    </row>
    <row r="51" spans="1:26" ht="18" customHeight="1" x14ac:dyDescent="0.15">
      <c r="A51" s="28"/>
      <c r="B51" s="235" t="s">
        <v>165</v>
      </c>
      <c r="C51" s="236"/>
      <c r="D51" s="236"/>
      <c r="E51" s="236"/>
      <c r="F51" s="237"/>
      <c r="G51" s="103">
        <v>2</v>
      </c>
      <c r="H51" s="103"/>
      <c r="I51" s="205" t="s">
        <v>168</v>
      </c>
      <c r="J51" s="206"/>
      <c r="K51" s="207"/>
      <c r="L51" s="103" t="s">
        <v>167</v>
      </c>
      <c r="M51" s="103"/>
      <c r="N51" s="165"/>
      <c r="O51" s="166"/>
      <c r="P51" s="166"/>
      <c r="Q51" s="166"/>
      <c r="R51" s="166"/>
      <c r="S51" s="167"/>
      <c r="T51" s="103"/>
      <c r="U51" s="103"/>
      <c r="V51" s="205"/>
      <c r="W51" s="206"/>
      <c r="X51" s="207"/>
      <c r="Y51" s="103"/>
      <c r="Z51" s="103"/>
    </row>
    <row r="52" spans="1:26" ht="18" customHeight="1" x14ac:dyDescent="0.15">
      <c r="A52" s="28"/>
      <c r="B52" s="235"/>
      <c r="C52" s="236"/>
      <c r="D52" s="236"/>
      <c r="E52" s="236"/>
      <c r="F52" s="237"/>
      <c r="G52" s="103"/>
      <c r="H52" s="103"/>
      <c r="I52" s="205"/>
      <c r="J52" s="206"/>
      <c r="K52" s="207"/>
      <c r="L52" s="103"/>
      <c r="M52" s="103"/>
      <c r="N52" s="165"/>
      <c r="O52" s="166"/>
      <c r="P52" s="166"/>
      <c r="Q52" s="166"/>
      <c r="R52" s="166"/>
      <c r="S52" s="167"/>
      <c r="T52" s="103"/>
      <c r="U52" s="103"/>
      <c r="V52" s="205"/>
      <c r="W52" s="206"/>
      <c r="X52" s="207"/>
      <c r="Y52" s="103"/>
      <c r="Z52" s="103"/>
    </row>
    <row r="53" spans="1:26" ht="18" customHeight="1" x14ac:dyDescent="0.15">
      <c r="A53" s="28"/>
      <c r="B53" s="235"/>
      <c r="C53" s="236"/>
      <c r="D53" s="236"/>
      <c r="E53" s="236"/>
      <c r="F53" s="237"/>
      <c r="G53" s="103"/>
      <c r="H53" s="103"/>
      <c r="I53" s="205"/>
      <c r="J53" s="206"/>
      <c r="K53" s="207"/>
      <c r="L53" s="103"/>
      <c r="M53" s="103"/>
      <c r="N53" s="165"/>
      <c r="O53" s="166"/>
      <c r="P53" s="166"/>
      <c r="Q53" s="166"/>
      <c r="R53" s="166"/>
      <c r="S53" s="167"/>
      <c r="T53" s="103"/>
      <c r="U53" s="103"/>
      <c r="V53" s="205"/>
      <c r="W53" s="206"/>
      <c r="X53" s="207"/>
      <c r="Y53" s="103"/>
      <c r="Z53" s="103"/>
    </row>
    <row r="54" spans="1:26" ht="18" customHeight="1" x14ac:dyDescent="0.15">
      <c r="A54" s="28"/>
      <c r="B54" s="235"/>
      <c r="C54" s="236"/>
      <c r="D54" s="236"/>
      <c r="E54" s="236"/>
      <c r="F54" s="237"/>
      <c r="G54" s="103"/>
      <c r="H54" s="103"/>
      <c r="I54" s="205"/>
      <c r="J54" s="206"/>
      <c r="K54" s="207"/>
      <c r="L54" s="103"/>
      <c r="M54" s="103"/>
      <c r="N54" s="165"/>
      <c r="O54" s="166"/>
      <c r="P54" s="166"/>
      <c r="Q54" s="166"/>
      <c r="R54" s="166"/>
      <c r="S54" s="167"/>
      <c r="T54" s="103"/>
      <c r="U54" s="103"/>
      <c r="V54" s="205"/>
      <c r="W54" s="206"/>
      <c r="X54" s="207"/>
      <c r="Y54" s="103"/>
      <c r="Z54" s="103"/>
    </row>
    <row r="55" spans="1:26" ht="18" customHeight="1" x14ac:dyDescent="0.15">
      <c r="A55" s="28"/>
      <c r="B55" s="238"/>
      <c r="C55" s="239"/>
      <c r="D55" s="239"/>
      <c r="E55" s="239"/>
      <c r="F55" s="240"/>
      <c r="G55" s="104"/>
      <c r="H55" s="104"/>
      <c r="I55" s="214"/>
      <c r="J55" s="215"/>
      <c r="K55" s="216"/>
      <c r="L55" s="107"/>
      <c r="M55" s="107"/>
      <c r="N55" s="241"/>
      <c r="O55" s="242"/>
      <c r="P55" s="242"/>
      <c r="Q55" s="242"/>
      <c r="R55" s="242"/>
      <c r="S55" s="243"/>
      <c r="T55" s="104"/>
      <c r="U55" s="104"/>
      <c r="V55" s="214"/>
      <c r="W55" s="215"/>
      <c r="X55" s="216"/>
      <c r="Y55" s="107"/>
      <c r="Z55" s="107"/>
    </row>
    <row r="56" spans="1:26" ht="7.5" customHeight="1" x14ac:dyDescent="0.15">
      <c r="B56" s="72"/>
      <c r="C56" s="72"/>
      <c r="D56" s="72"/>
      <c r="E56" s="72"/>
      <c r="F56" s="72"/>
      <c r="G56" s="72"/>
      <c r="H56" s="72"/>
      <c r="I56" s="72"/>
      <c r="J56" s="72"/>
      <c r="K56" s="72"/>
      <c r="L56" s="72"/>
      <c r="M56" s="72"/>
      <c r="N56" s="72"/>
      <c r="O56" s="72"/>
      <c r="P56" s="72"/>
      <c r="Q56" s="72"/>
      <c r="R56" s="72"/>
      <c r="S56" s="72"/>
      <c r="T56" s="72"/>
      <c r="U56" s="72"/>
      <c r="V56" s="72"/>
      <c r="W56" s="72"/>
      <c r="X56" s="72"/>
      <c r="Y56" s="72"/>
    </row>
    <row r="57" spans="1:26" ht="18" customHeight="1" x14ac:dyDescent="0.15">
      <c r="A57" s="217" t="s">
        <v>133</v>
      </c>
      <c r="B57" s="217"/>
      <c r="C57" s="217"/>
      <c r="D57" s="217"/>
      <c r="E57" s="217"/>
      <c r="F57" s="217"/>
      <c r="G57" s="217"/>
      <c r="H57" s="217"/>
      <c r="I57" s="217"/>
      <c r="J57" s="217"/>
      <c r="K57" s="217"/>
      <c r="L57" s="217"/>
      <c r="M57" s="217"/>
      <c r="N57" s="217"/>
      <c r="O57" s="217"/>
      <c r="P57" s="217"/>
      <c r="Q57" s="217"/>
      <c r="R57" s="217"/>
      <c r="S57" s="217"/>
      <c r="T57" s="217"/>
      <c r="U57" s="217"/>
      <c r="V57" s="217"/>
      <c r="W57" s="217"/>
      <c r="X57" s="217"/>
      <c r="Y57" s="217"/>
      <c r="Z57" s="217"/>
    </row>
    <row r="58" spans="1:26" ht="18" customHeight="1" x14ac:dyDescent="0.15">
      <c r="A58" s="217"/>
      <c r="B58" s="217"/>
      <c r="C58" s="217"/>
      <c r="D58" s="217"/>
      <c r="E58" s="217"/>
      <c r="F58" s="217"/>
      <c r="G58" s="217"/>
      <c r="H58" s="217"/>
      <c r="I58" s="217"/>
      <c r="J58" s="217"/>
      <c r="K58" s="217"/>
      <c r="L58" s="217"/>
      <c r="M58" s="217"/>
      <c r="N58" s="217"/>
      <c r="O58" s="217"/>
      <c r="P58" s="217"/>
      <c r="Q58" s="217"/>
      <c r="R58" s="217"/>
      <c r="S58" s="217"/>
      <c r="T58" s="217"/>
      <c r="U58" s="217"/>
      <c r="V58" s="217"/>
      <c r="W58" s="217"/>
      <c r="X58" s="217"/>
      <c r="Y58" s="217"/>
      <c r="Z58" s="217"/>
    </row>
    <row r="59" spans="1:26" ht="18" customHeight="1" x14ac:dyDescent="0.15">
      <c r="A59" s="13"/>
      <c r="B59" s="158" t="s">
        <v>100</v>
      </c>
      <c r="C59" s="159"/>
      <c r="D59" s="159"/>
      <c r="E59" s="160"/>
      <c r="F59" s="29" t="s">
        <v>141</v>
      </c>
      <c r="G59" s="101" t="s">
        <v>140</v>
      </c>
      <c r="H59" s="96" t="s">
        <v>101</v>
      </c>
      <c r="I59" s="97"/>
      <c r="J59" s="98"/>
      <c r="K59" s="70" t="s">
        <v>105</v>
      </c>
      <c r="L59" s="70" t="s">
        <v>134</v>
      </c>
      <c r="M59" s="70" t="s">
        <v>135</v>
      </c>
      <c r="N59" s="158" t="s">
        <v>100</v>
      </c>
      <c r="O59" s="159"/>
      <c r="P59" s="159"/>
      <c r="Q59" s="159"/>
      <c r="R59" s="160"/>
      <c r="S59" s="29" t="s">
        <v>141</v>
      </c>
      <c r="T59" s="101" t="s">
        <v>140</v>
      </c>
      <c r="U59" s="96" t="s">
        <v>101</v>
      </c>
      <c r="V59" s="97"/>
      <c r="W59" s="98"/>
      <c r="X59" s="70" t="s">
        <v>105</v>
      </c>
      <c r="Y59" s="70" t="s">
        <v>134</v>
      </c>
      <c r="Z59" s="70" t="s">
        <v>135</v>
      </c>
    </row>
    <row r="60" spans="1:26" ht="18" customHeight="1" x14ac:dyDescent="0.15">
      <c r="A60" s="28"/>
      <c r="B60" s="208" t="s">
        <v>173</v>
      </c>
      <c r="C60" s="209"/>
      <c r="D60" s="209"/>
      <c r="E60" s="210"/>
      <c r="F60" s="102">
        <v>2</v>
      </c>
      <c r="G60" s="102" t="s">
        <v>167</v>
      </c>
      <c r="H60" s="202" t="s">
        <v>168</v>
      </c>
      <c r="I60" s="203"/>
      <c r="J60" s="204"/>
      <c r="K60" s="126" t="s">
        <v>177</v>
      </c>
      <c r="L60" s="130" t="s">
        <v>177</v>
      </c>
      <c r="M60" s="130" t="s">
        <v>177</v>
      </c>
      <c r="N60" s="208"/>
      <c r="O60" s="209"/>
      <c r="P60" s="209"/>
      <c r="Q60" s="209"/>
      <c r="R60" s="210"/>
      <c r="S60" s="102"/>
      <c r="T60" s="102"/>
      <c r="U60" s="202"/>
      <c r="V60" s="203"/>
      <c r="W60" s="204"/>
      <c r="X60" s="126"/>
      <c r="Y60" s="102"/>
      <c r="Z60" s="102"/>
    </row>
    <row r="61" spans="1:26" ht="18" customHeight="1" x14ac:dyDescent="0.15">
      <c r="A61" s="28"/>
      <c r="B61" s="165" t="s">
        <v>170</v>
      </c>
      <c r="C61" s="166"/>
      <c r="D61" s="166"/>
      <c r="E61" s="167"/>
      <c r="F61" s="103">
        <v>1</v>
      </c>
      <c r="G61" s="103" t="s">
        <v>167</v>
      </c>
      <c r="H61" s="205" t="s">
        <v>168</v>
      </c>
      <c r="I61" s="206"/>
      <c r="J61" s="207"/>
      <c r="K61" s="109" t="s">
        <v>177</v>
      </c>
      <c r="L61" s="109" t="s">
        <v>177</v>
      </c>
      <c r="M61" s="109" t="s">
        <v>177</v>
      </c>
      <c r="N61" s="165"/>
      <c r="O61" s="166"/>
      <c r="P61" s="166"/>
      <c r="Q61" s="166"/>
      <c r="R61" s="167"/>
      <c r="S61" s="103"/>
      <c r="T61" s="103"/>
      <c r="U61" s="205"/>
      <c r="V61" s="206"/>
      <c r="W61" s="207"/>
      <c r="X61" s="124"/>
      <c r="Y61" s="103"/>
      <c r="Z61" s="103"/>
    </row>
    <row r="62" spans="1:26" ht="18" customHeight="1" x14ac:dyDescent="0.15">
      <c r="A62" s="28"/>
      <c r="B62" s="165" t="s">
        <v>174</v>
      </c>
      <c r="C62" s="166"/>
      <c r="D62" s="166"/>
      <c r="E62" s="167"/>
      <c r="F62" s="103">
        <v>2</v>
      </c>
      <c r="G62" s="103"/>
      <c r="H62" s="205" t="s">
        <v>168</v>
      </c>
      <c r="I62" s="206"/>
      <c r="J62" s="207"/>
      <c r="K62" s="109" t="s">
        <v>177</v>
      </c>
      <c r="L62" s="124" t="s">
        <v>177</v>
      </c>
      <c r="M62" s="124" t="s">
        <v>177</v>
      </c>
      <c r="N62" s="165"/>
      <c r="O62" s="166"/>
      <c r="P62" s="166"/>
      <c r="Q62" s="166"/>
      <c r="R62" s="167"/>
      <c r="S62" s="103"/>
      <c r="T62" s="103"/>
      <c r="U62" s="205"/>
      <c r="V62" s="206"/>
      <c r="W62" s="207"/>
      <c r="X62" s="124"/>
      <c r="Y62" s="103"/>
      <c r="Z62" s="103"/>
    </row>
    <row r="63" spans="1:26" ht="18" customHeight="1" x14ac:dyDescent="0.15">
      <c r="A63" s="28"/>
      <c r="B63" s="165"/>
      <c r="C63" s="166"/>
      <c r="D63" s="166"/>
      <c r="E63" s="167"/>
      <c r="F63" s="103"/>
      <c r="G63" s="103"/>
      <c r="H63" s="205"/>
      <c r="I63" s="206"/>
      <c r="J63" s="207"/>
      <c r="K63" s="108"/>
      <c r="L63" s="108"/>
      <c r="M63" s="108"/>
      <c r="N63" s="165"/>
      <c r="O63" s="166"/>
      <c r="P63" s="166"/>
      <c r="Q63" s="166"/>
      <c r="R63" s="167"/>
      <c r="S63" s="103"/>
      <c r="T63" s="103"/>
      <c r="U63" s="205"/>
      <c r="V63" s="206"/>
      <c r="W63" s="207"/>
      <c r="X63" s="124"/>
      <c r="Y63" s="103"/>
      <c r="Z63" s="103"/>
    </row>
    <row r="64" spans="1:26" ht="18" customHeight="1" x14ac:dyDescent="0.15">
      <c r="A64" s="28"/>
      <c r="B64" s="165"/>
      <c r="C64" s="166"/>
      <c r="D64" s="166"/>
      <c r="E64" s="167"/>
      <c r="F64" s="103"/>
      <c r="G64" s="103"/>
      <c r="H64" s="205"/>
      <c r="I64" s="206"/>
      <c r="J64" s="207"/>
      <c r="K64" s="124"/>
      <c r="L64" s="103"/>
      <c r="M64" s="103"/>
      <c r="N64" s="165"/>
      <c r="O64" s="166"/>
      <c r="P64" s="166"/>
      <c r="Q64" s="166"/>
      <c r="R64" s="167"/>
      <c r="S64" s="103"/>
      <c r="T64" s="103"/>
      <c r="U64" s="205"/>
      <c r="V64" s="206"/>
      <c r="W64" s="207"/>
      <c r="X64" s="124"/>
      <c r="Y64" s="103"/>
      <c r="Z64" s="103"/>
    </row>
    <row r="65" spans="1:26" ht="18" customHeight="1" x14ac:dyDescent="0.15">
      <c r="A65" s="28"/>
      <c r="B65" s="165"/>
      <c r="C65" s="166"/>
      <c r="D65" s="166"/>
      <c r="E65" s="167"/>
      <c r="F65" s="103"/>
      <c r="G65" s="103"/>
      <c r="H65" s="205"/>
      <c r="I65" s="206"/>
      <c r="J65" s="207"/>
      <c r="K65" s="124"/>
      <c r="L65" s="103"/>
      <c r="M65" s="103"/>
      <c r="N65" s="165"/>
      <c r="O65" s="166"/>
      <c r="P65" s="166"/>
      <c r="Q65" s="166"/>
      <c r="R65" s="167"/>
      <c r="S65" s="103"/>
      <c r="T65" s="103"/>
      <c r="U65" s="205"/>
      <c r="V65" s="206"/>
      <c r="W65" s="207"/>
      <c r="X65" s="124"/>
      <c r="Y65" s="103"/>
      <c r="Z65" s="103"/>
    </row>
    <row r="66" spans="1:26" ht="18" customHeight="1" x14ac:dyDescent="0.15">
      <c r="A66" s="28"/>
      <c r="B66" s="241"/>
      <c r="C66" s="242"/>
      <c r="D66" s="242"/>
      <c r="E66" s="243"/>
      <c r="F66" s="104"/>
      <c r="G66" s="104"/>
      <c r="H66" s="214"/>
      <c r="I66" s="215"/>
      <c r="J66" s="216"/>
      <c r="K66" s="125"/>
      <c r="L66" s="107"/>
      <c r="M66" s="107"/>
      <c r="N66" s="241"/>
      <c r="O66" s="242"/>
      <c r="P66" s="242"/>
      <c r="Q66" s="242"/>
      <c r="R66" s="243"/>
      <c r="S66" s="104"/>
      <c r="T66" s="104"/>
      <c r="U66" s="214"/>
      <c r="V66" s="215"/>
      <c r="W66" s="216"/>
      <c r="X66" s="125"/>
      <c r="Y66" s="107"/>
      <c r="Z66" s="107"/>
    </row>
    <row r="67" spans="1:26" ht="7.5" customHeight="1" x14ac:dyDescent="0.15">
      <c r="B67" s="72"/>
      <c r="C67" s="72"/>
      <c r="D67" s="72"/>
      <c r="E67" s="72"/>
      <c r="F67" s="72"/>
      <c r="G67" s="72"/>
      <c r="H67" s="72"/>
      <c r="I67" s="72"/>
      <c r="J67" s="72"/>
      <c r="K67" s="72"/>
      <c r="L67" s="72"/>
      <c r="M67" s="72"/>
      <c r="N67" s="72"/>
      <c r="O67" s="72"/>
      <c r="P67" s="72"/>
      <c r="Q67" s="72"/>
      <c r="R67" s="72"/>
      <c r="S67" s="72"/>
      <c r="T67" s="72"/>
      <c r="U67" s="72"/>
      <c r="V67" s="72"/>
      <c r="W67" s="72"/>
      <c r="X67" s="72"/>
      <c r="Y67" s="72"/>
    </row>
    <row r="68" spans="1:26" ht="18" customHeight="1" x14ac:dyDescent="0.15">
      <c r="A68" s="13" t="s">
        <v>136</v>
      </c>
      <c r="B68" s="13"/>
      <c r="C68" s="13"/>
      <c r="D68" s="13"/>
      <c r="E68" s="13"/>
      <c r="F68" s="13"/>
      <c r="G68" s="13"/>
      <c r="H68" s="13"/>
      <c r="I68" s="13"/>
      <c r="J68" s="13"/>
      <c r="K68" s="13"/>
      <c r="L68" s="28"/>
      <c r="M68" s="28"/>
      <c r="N68" s="28"/>
      <c r="O68" s="28"/>
      <c r="P68" s="28"/>
      <c r="Q68" s="28"/>
      <c r="R68" s="28"/>
      <c r="S68" s="28"/>
      <c r="T68" s="28"/>
      <c r="U68" s="28"/>
      <c r="V68" s="28"/>
      <c r="W68" s="28"/>
      <c r="X68" s="28"/>
      <c r="Y68" s="28"/>
      <c r="Z68" s="28"/>
    </row>
    <row r="69" spans="1:26" ht="18" customHeight="1" x14ac:dyDescent="0.15">
      <c r="A69" s="13"/>
      <c r="B69" s="158" t="s">
        <v>100</v>
      </c>
      <c r="C69" s="159"/>
      <c r="D69" s="159"/>
      <c r="E69" s="159"/>
      <c r="F69" s="160"/>
      <c r="G69" s="158" t="s">
        <v>146</v>
      </c>
      <c r="H69" s="159"/>
      <c r="I69" s="159"/>
      <c r="J69" s="159"/>
      <c r="K69" s="159"/>
      <c r="L69" s="159"/>
      <c r="M69" s="160"/>
      <c r="N69" s="229" t="s">
        <v>100</v>
      </c>
      <c r="O69" s="230"/>
      <c r="P69" s="230"/>
      <c r="Q69" s="230"/>
      <c r="R69" s="230"/>
      <c r="S69" s="231"/>
      <c r="T69" s="158" t="s">
        <v>146</v>
      </c>
      <c r="U69" s="159"/>
      <c r="V69" s="159"/>
      <c r="W69" s="159"/>
      <c r="X69" s="159"/>
      <c r="Y69" s="159"/>
      <c r="Z69" s="160"/>
    </row>
    <row r="70" spans="1:26" ht="18" customHeight="1" x14ac:dyDescent="0.15">
      <c r="A70" s="28"/>
      <c r="B70" s="208" t="s">
        <v>171</v>
      </c>
      <c r="C70" s="209"/>
      <c r="D70" s="209"/>
      <c r="E70" s="209"/>
      <c r="F70" s="210"/>
      <c r="G70" s="211" t="s">
        <v>175</v>
      </c>
      <c r="H70" s="212"/>
      <c r="I70" s="212"/>
      <c r="J70" s="212"/>
      <c r="K70" s="212"/>
      <c r="L70" s="212"/>
      <c r="M70" s="213"/>
      <c r="N70" s="208"/>
      <c r="O70" s="209"/>
      <c r="P70" s="209"/>
      <c r="Q70" s="209"/>
      <c r="R70" s="209"/>
      <c r="S70" s="210"/>
      <c r="T70" s="211"/>
      <c r="U70" s="212"/>
      <c r="V70" s="212"/>
      <c r="W70" s="212"/>
      <c r="X70" s="212"/>
      <c r="Y70" s="212"/>
      <c r="Z70" s="213"/>
    </row>
    <row r="71" spans="1:26" ht="18" customHeight="1" x14ac:dyDescent="0.15">
      <c r="A71" s="28"/>
      <c r="B71" s="165" t="s">
        <v>171</v>
      </c>
      <c r="C71" s="166"/>
      <c r="D71" s="166"/>
      <c r="E71" s="166"/>
      <c r="F71" s="167"/>
      <c r="G71" s="168" t="s">
        <v>176</v>
      </c>
      <c r="H71" s="169"/>
      <c r="I71" s="169"/>
      <c r="J71" s="169"/>
      <c r="K71" s="169"/>
      <c r="L71" s="169"/>
      <c r="M71" s="170"/>
      <c r="N71" s="165"/>
      <c r="O71" s="166"/>
      <c r="P71" s="166"/>
      <c r="Q71" s="166"/>
      <c r="R71" s="166"/>
      <c r="S71" s="167"/>
      <c r="T71" s="168"/>
      <c r="U71" s="169"/>
      <c r="V71" s="169"/>
      <c r="W71" s="169"/>
      <c r="X71" s="169"/>
      <c r="Y71" s="169"/>
      <c r="Z71" s="170"/>
    </row>
    <row r="72" spans="1:26" ht="18" customHeight="1" x14ac:dyDescent="0.15">
      <c r="A72" s="28"/>
      <c r="B72" s="165"/>
      <c r="C72" s="166"/>
      <c r="D72" s="166"/>
      <c r="E72" s="166"/>
      <c r="F72" s="167"/>
      <c r="G72" s="168"/>
      <c r="H72" s="169"/>
      <c r="I72" s="169"/>
      <c r="J72" s="169"/>
      <c r="K72" s="169"/>
      <c r="L72" s="169"/>
      <c r="M72" s="170"/>
      <c r="N72" s="165"/>
      <c r="O72" s="166"/>
      <c r="P72" s="166"/>
      <c r="Q72" s="166"/>
      <c r="R72" s="166"/>
      <c r="S72" s="167"/>
      <c r="T72" s="168"/>
      <c r="U72" s="169"/>
      <c r="V72" s="169"/>
      <c r="W72" s="169"/>
      <c r="X72" s="169"/>
      <c r="Y72" s="169"/>
      <c r="Z72" s="170"/>
    </row>
    <row r="73" spans="1:26" ht="18" customHeight="1" x14ac:dyDescent="0.15">
      <c r="A73" s="28"/>
      <c r="B73" s="165"/>
      <c r="C73" s="166"/>
      <c r="D73" s="166"/>
      <c r="E73" s="166"/>
      <c r="F73" s="167"/>
      <c r="G73" s="168"/>
      <c r="H73" s="169"/>
      <c r="I73" s="169"/>
      <c r="J73" s="169"/>
      <c r="K73" s="169"/>
      <c r="L73" s="169"/>
      <c r="M73" s="170"/>
      <c r="N73" s="165"/>
      <c r="O73" s="166"/>
      <c r="P73" s="166"/>
      <c r="Q73" s="166"/>
      <c r="R73" s="166"/>
      <c r="S73" s="167"/>
      <c r="T73" s="168"/>
      <c r="U73" s="169"/>
      <c r="V73" s="169"/>
      <c r="W73" s="169"/>
      <c r="X73" s="169"/>
      <c r="Y73" s="169"/>
      <c r="Z73" s="170"/>
    </row>
    <row r="74" spans="1:26" ht="18" customHeight="1" x14ac:dyDescent="0.15">
      <c r="A74" s="28"/>
      <c r="B74" s="165"/>
      <c r="C74" s="166"/>
      <c r="D74" s="166"/>
      <c r="E74" s="166"/>
      <c r="F74" s="167"/>
      <c r="G74" s="168"/>
      <c r="H74" s="169"/>
      <c r="I74" s="169"/>
      <c r="J74" s="169"/>
      <c r="K74" s="169"/>
      <c r="L74" s="169"/>
      <c r="M74" s="170"/>
      <c r="N74" s="165"/>
      <c r="O74" s="166"/>
      <c r="P74" s="166"/>
      <c r="Q74" s="166"/>
      <c r="R74" s="166"/>
      <c r="S74" s="167"/>
      <c r="T74" s="168"/>
      <c r="U74" s="169"/>
      <c r="V74" s="169"/>
      <c r="W74" s="169"/>
      <c r="X74" s="169"/>
      <c r="Y74" s="169"/>
      <c r="Z74" s="170"/>
    </row>
    <row r="75" spans="1:26" ht="18" customHeight="1" x14ac:dyDescent="0.15">
      <c r="A75" s="28"/>
      <c r="B75" s="165"/>
      <c r="C75" s="166"/>
      <c r="D75" s="166"/>
      <c r="E75" s="166"/>
      <c r="F75" s="167"/>
      <c r="G75" s="168"/>
      <c r="H75" s="169"/>
      <c r="I75" s="169"/>
      <c r="J75" s="169"/>
      <c r="K75" s="169"/>
      <c r="L75" s="169"/>
      <c r="M75" s="170"/>
      <c r="N75" s="165"/>
      <c r="O75" s="166"/>
      <c r="P75" s="166"/>
      <c r="Q75" s="166"/>
      <c r="R75" s="166"/>
      <c r="S75" s="167"/>
      <c r="T75" s="168"/>
      <c r="U75" s="169"/>
      <c r="V75" s="169"/>
      <c r="W75" s="169"/>
      <c r="X75" s="169"/>
      <c r="Y75" s="169"/>
      <c r="Z75" s="170"/>
    </row>
    <row r="76" spans="1:26" ht="18" customHeight="1" x14ac:dyDescent="0.15">
      <c r="A76" s="28"/>
      <c r="B76" s="241"/>
      <c r="C76" s="242"/>
      <c r="D76" s="242"/>
      <c r="E76" s="242"/>
      <c r="F76" s="243"/>
      <c r="G76" s="254"/>
      <c r="H76" s="255"/>
      <c r="I76" s="255"/>
      <c r="J76" s="255"/>
      <c r="K76" s="255"/>
      <c r="L76" s="255"/>
      <c r="M76" s="256"/>
      <c r="N76" s="241"/>
      <c r="O76" s="242"/>
      <c r="P76" s="242"/>
      <c r="Q76" s="242"/>
      <c r="R76" s="242"/>
      <c r="S76" s="243"/>
      <c r="T76" s="254"/>
      <c r="U76" s="255"/>
      <c r="V76" s="255"/>
      <c r="W76" s="255"/>
      <c r="X76" s="255"/>
      <c r="Y76" s="255"/>
      <c r="Z76" s="256"/>
    </row>
    <row r="77" spans="1:26" ht="18" customHeight="1" x14ac:dyDescent="0.15">
      <c r="A77" s="28"/>
      <c r="B77" s="123"/>
      <c r="C77" s="123"/>
      <c r="D77" s="123"/>
      <c r="E77" s="123"/>
      <c r="F77" s="123"/>
      <c r="G77" s="11"/>
      <c r="H77" s="11"/>
      <c r="I77" s="11"/>
      <c r="J77" s="11"/>
      <c r="K77" s="11"/>
      <c r="L77" s="11"/>
      <c r="M77" s="11"/>
      <c r="N77" s="123"/>
      <c r="O77" s="123"/>
      <c r="P77" s="123"/>
      <c r="Q77" s="123"/>
      <c r="R77" s="123"/>
      <c r="S77" s="123"/>
      <c r="T77" s="11"/>
      <c r="U77" s="11"/>
      <c r="V77" s="11"/>
      <c r="W77" s="11"/>
      <c r="X77" s="11"/>
      <c r="Y77" s="11"/>
      <c r="Z77" s="11"/>
    </row>
    <row r="78" spans="1:26" ht="18.75" customHeight="1" x14ac:dyDescent="0.15">
      <c r="A78" s="12" t="s">
        <v>142</v>
      </c>
    </row>
    <row r="79" spans="1:26" ht="18.75" customHeight="1" x14ac:dyDescent="0.15">
      <c r="B79" s="73" t="s">
        <v>102</v>
      </c>
      <c r="C79" s="74"/>
      <c r="D79" s="188" t="s">
        <v>103</v>
      </c>
      <c r="E79" s="188"/>
      <c r="F79" s="188"/>
      <c r="G79" s="188"/>
      <c r="H79" s="188"/>
      <c r="I79" s="188"/>
      <c r="J79" s="188"/>
      <c r="K79" s="188"/>
      <c r="L79" s="188"/>
      <c r="M79" s="188"/>
      <c r="N79" s="188"/>
      <c r="O79" s="188"/>
      <c r="P79" s="188"/>
      <c r="Q79" s="188"/>
      <c r="R79" s="188"/>
      <c r="S79" s="188"/>
      <c r="T79" s="188"/>
      <c r="U79" s="188"/>
      <c r="V79" s="188"/>
      <c r="W79" s="188"/>
      <c r="X79" s="188"/>
      <c r="Y79" s="188"/>
      <c r="Z79" s="189"/>
    </row>
    <row r="80" spans="1:26" ht="111" customHeight="1" x14ac:dyDescent="0.15">
      <c r="B80" s="173" t="s">
        <v>109</v>
      </c>
      <c r="C80" s="80" t="s">
        <v>104</v>
      </c>
      <c r="D80" s="182" t="s">
        <v>208</v>
      </c>
      <c r="E80" s="183"/>
      <c r="F80" s="183"/>
      <c r="G80" s="183"/>
      <c r="H80" s="183"/>
      <c r="I80" s="183"/>
      <c r="J80" s="183"/>
      <c r="K80" s="183"/>
      <c r="L80" s="183"/>
      <c r="M80" s="183"/>
      <c r="N80" s="183"/>
      <c r="O80" s="183"/>
      <c r="P80" s="183"/>
      <c r="Q80" s="183"/>
      <c r="R80" s="183"/>
      <c r="S80" s="183"/>
      <c r="T80" s="183"/>
      <c r="U80" s="183"/>
      <c r="V80" s="183"/>
      <c r="W80" s="183"/>
      <c r="X80" s="183"/>
      <c r="Y80" s="183"/>
      <c r="Z80" s="184"/>
    </row>
    <row r="81" spans="1:26" ht="99" customHeight="1" x14ac:dyDescent="0.15">
      <c r="B81" s="174"/>
      <c r="C81" s="99" t="s">
        <v>137</v>
      </c>
      <c r="D81" s="190" t="s">
        <v>209</v>
      </c>
      <c r="E81" s="191"/>
      <c r="F81" s="191"/>
      <c r="G81" s="191"/>
      <c r="H81" s="191"/>
      <c r="I81" s="191"/>
      <c r="J81" s="191"/>
      <c r="K81" s="191"/>
      <c r="L81" s="191"/>
      <c r="M81" s="191"/>
      <c r="N81" s="191"/>
      <c r="O81" s="191"/>
      <c r="P81" s="191"/>
      <c r="Q81" s="191"/>
      <c r="R81" s="191"/>
      <c r="S81" s="191"/>
      <c r="T81" s="191"/>
      <c r="U81" s="191"/>
      <c r="V81" s="191"/>
      <c r="W81" s="191"/>
      <c r="X81" s="191"/>
      <c r="Y81" s="191"/>
      <c r="Z81" s="192"/>
    </row>
    <row r="82" spans="1:26" ht="75" customHeight="1" x14ac:dyDescent="0.15">
      <c r="B82" s="171" t="s">
        <v>110</v>
      </c>
      <c r="C82" s="75" t="s">
        <v>127</v>
      </c>
      <c r="D82" s="193" t="s">
        <v>210</v>
      </c>
      <c r="E82" s="194"/>
      <c r="F82" s="194"/>
      <c r="G82" s="194"/>
      <c r="H82" s="194"/>
      <c r="I82" s="194"/>
      <c r="J82" s="194"/>
      <c r="K82" s="194"/>
      <c r="L82" s="194"/>
      <c r="M82" s="194"/>
      <c r="N82" s="194"/>
      <c r="O82" s="194"/>
      <c r="P82" s="194"/>
      <c r="Q82" s="194"/>
      <c r="R82" s="194"/>
      <c r="S82" s="194"/>
      <c r="T82" s="194"/>
      <c r="U82" s="194"/>
      <c r="V82" s="194"/>
      <c r="W82" s="194"/>
      <c r="X82" s="194"/>
      <c r="Y82" s="194"/>
      <c r="Z82" s="195"/>
    </row>
    <row r="83" spans="1:26" ht="86.25" customHeight="1" x14ac:dyDescent="0.15">
      <c r="B83" s="172"/>
      <c r="C83" s="100" t="s">
        <v>128</v>
      </c>
      <c r="D83" s="199" t="s">
        <v>211</v>
      </c>
      <c r="E83" s="200"/>
      <c r="F83" s="200"/>
      <c r="G83" s="200"/>
      <c r="H83" s="200"/>
      <c r="I83" s="200"/>
      <c r="J83" s="200"/>
      <c r="K83" s="200"/>
      <c r="L83" s="200"/>
      <c r="M83" s="200"/>
      <c r="N83" s="200"/>
      <c r="O83" s="200"/>
      <c r="P83" s="200"/>
      <c r="Q83" s="200"/>
      <c r="R83" s="200"/>
      <c r="S83" s="200"/>
      <c r="T83" s="200"/>
      <c r="U83" s="200"/>
      <c r="V83" s="200"/>
      <c r="W83" s="200"/>
      <c r="X83" s="200"/>
      <c r="Y83" s="200"/>
      <c r="Z83" s="201"/>
    </row>
    <row r="84" spans="1:26" ht="59.45" customHeight="1" x14ac:dyDescent="0.15">
      <c r="B84" s="171" t="s">
        <v>111</v>
      </c>
      <c r="C84" s="75" t="s">
        <v>130</v>
      </c>
      <c r="D84" s="193" t="s">
        <v>212</v>
      </c>
      <c r="E84" s="194"/>
      <c r="F84" s="194"/>
      <c r="G84" s="194"/>
      <c r="H84" s="194"/>
      <c r="I84" s="194"/>
      <c r="J84" s="194"/>
      <c r="K84" s="194"/>
      <c r="L84" s="194"/>
      <c r="M84" s="194"/>
      <c r="N84" s="194"/>
      <c r="O84" s="194"/>
      <c r="P84" s="194"/>
      <c r="Q84" s="194"/>
      <c r="R84" s="194"/>
      <c r="S84" s="194"/>
      <c r="T84" s="194"/>
      <c r="U84" s="194"/>
      <c r="V84" s="194"/>
      <c r="W84" s="194"/>
      <c r="X84" s="194"/>
      <c r="Y84" s="194"/>
      <c r="Z84" s="195"/>
    </row>
    <row r="85" spans="1:26" ht="94.5" customHeight="1" x14ac:dyDescent="0.15">
      <c r="B85" s="172"/>
      <c r="C85" s="77" t="s">
        <v>131</v>
      </c>
      <c r="D85" s="196" t="s">
        <v>213</v>
      </c>
      <c r="E85" s="197"/>
      <c r="F85" s="197"/>
      <c r="G85" s="197"/>
      <c r="H85" s="197"/>
      <c r="I85" s="197"/>
      <c r="J85" s="197"/>
      <c r="K85" s="197"/>
      <c r="L85" s="197"/>
      <c r="M85" s="197"/>
      <c r="N85" s="197"/>
      <c r="O85" s="197"/>
      <c r="P85" s="197"/>
      <c r="Q85" s="197"/>
      <c r="R85" s="197"/>
      <c r="S85" s="197"/>
      <c r="T85" s="197"/>
      <c r="U85" s="197"/>
      <c r="V85" s="197"/>
      <c r="W85" s="197"/>
      <c r="X85" s="197"/>
      <c r="Y85" s="197"/>
      <c r="Z85" s="198"/>
    </row>
    <row r="86" spans="1:26" ht="156.75" customHeight="1" x14ac:dyDescent="0.15">
      <c r="B86" s="173" t="s">
        <v>138</v>
      </c>
      <c r="C86" s="80" t="s">
        <v>106</v>
      </c>
      <c r="D86" s="182" t="s">
        <v>214</v>
      </c>
      <c r="E86" s="183"/>
      <c r="F86" s="183"/>
      <c r="G86" s="183"/>
      <c r="H86" s="183"/>
      <c r="I86" s="183"/>
      <c r="J86" s="183"/>
      <c r="K86" s="183"/>
      <c r="L86" s="183"/>
      <c r="M86" s="183"/>
      <c r="N86" s="183"/>
      <c r="O86" s="183"/>
      <c r="P86" s="183"/>
      <c r="Q86" s="183"/>
      <c r="R86" s="183"/>
      <c r="S86" s="183"/>
      <c r="T86" s="183"/>
      <c r="U86" s="183"/>
      <c r="V86" s="183"/>
      <c r="W86" s="183"/>
      <c r="X86" s="183"/>
      <c r="Y86" s="183"/>
      <c r="Z86" s="184"/>
    </row>
    <row r="87" spans="1:26" ht="129.75" customHeight="1" x14ac:dyDescent="0.15">
      <c r="B87" s="181"/>
      <c r="C87" s="76" t="s">
        <v>108</v>
      </c>
      <c r="D87" s="185" t="s">
        <v>215</v>
      </c>
      <c r="E87" s="186"/>
      <c r="F87" s="186"/>
      <c r="G87" s="186"/>
      <c r="H87" s="186"/>
      <c r="I87" s="186"/>
      <c r="J87" s="186"/>
      <c r="K87" s="186"/>
      <c r="L87" s="186"/>
      <c r="M87" s="186"/>
      <c r="N87" s="186"/>
      <c r="O87" s="186"/>
      <c r="P87" s="186"/>
      <c r="Q87" s="186"/>
      <c r="R87" s="186"/>
      <c r="S87" s="186"/>
      <c r="T87" s="186"/>
      <c r="U87" s="186"/>
      <c r="V87" s="186"/>
      <c r="W87" s="186"/>
      <c r="X87" s="186"/>
      <c r="Y87" s="186"/>
      <c r="Z87" s="187"/>
    </row>
    <row r="88" spans="1:26" ht="219.75" customHeight="1" x14ac:dyDescent="0.15">
      <c r="B88" s="173" t="s">
        <v>139</v>
      </c>
      <c r="C88" s="75" t="s">
        <v>105</v>
      </c>
      <c r="D88" s="175" t="s">
        <v>216</v>
      </c>
      <c r="E88" s="176"/>
      <c r="F88" s="176"/>
      <c r="G88" s="176"/>
      <c r="H88" s="176"/>
      <c r="I88" s="176"/>
      <c r="J88" s="176"/>
      <c r="K88" s="176"/>
      <c r="L88" s="176"/>
      <c r="M88" s="176"/>
      <c r="N88" s="176"/>
      <c r="O88" s="176"/>
      <c r="P88" s="176"/>
      <c r="Q88" s="176"/>
      <c r="R88" s="176"/>
      <c r="S88" s="176"/>
      <c r="T88" s="176"/>
      <c r="U88" s="176"/>
      <c r="V88" s="176"/>
      <c r="W88" s="176"/>
      <c r="X88" s="176"/>
      <c r="Y88" s="176"/>
      <c r="Z88" s="177"/>
    </row>
    <row r="89" spans="1:26" ht="232.5" customHeight="1" x14ac:dyDescent="0.15">
      <c r="B89" s="174"/>
      <c r="C89" s="76" t="s">
        <v>134</v>
      </c>
      <c r="D89" s="257" t="s">
        <v>217</v>
      </c>
      <c r="E89" s="258"/>
      <c r="F89" s="258"/>
      <c r="G89" s="258"/>
      <c r="H89" s="258"/>
      <c r="I89" s="258"/>
      <c r="J89" s="258"/>
      <c r="K89" s="258"/>
      <c r="L89" s="258"/>
      <c r="M89" s="258"/>
      <c r="N89" s="258"/>
      <c r="O89" s="258"/>
      <c r="P89" s="258"/>
      <c r="Q89" s="258"/>
      <c r="R89" s="258"/>
      <c r="S89" s="258"/>
      <c r="T89" s="258"/>
      <c r="U89" s="258"/>
      <c r="V89" s="258"/>
      <c r="W89" s="258"/>
      <c r="X89" s="258"/>
      <c r="Y89" s="258"/>
      <c r="Z89" s="259"/>
    </row>
    <row r="90" spans="1:26" ht="256.5" customHeight="1" x14ac:dyDescent="0.15">
      <c r="B90" s="172"/>
      <c r="C90" s="77" t="s">
        <v>135</v>
      </c>
      <c r="D90" s="178" t="s">
        <v>218</v>
      </c>
      <c r="E90" s="179"/>
      <c r="F90" s="179"/>
      <c r="G90" s="179"/>
      <c r="H90" s="179"/>
      <c r="I90" s="179"/>
      <c r="J90" s="179"/>
      <c r="K90" s="179"/>
      <c r="L90" s="179"/>
      <c r="M90" s="179"/>
      <c r="N90" s="179"/>
      <c r="O90" s="179"/>
      <c r="P90" s="179"/>
      <c r="Q90" s="179"/>
      <c r="R90" s="179"/>
      <c r="S90" s="179"/>
      <c r="T90" s="179"/>
      <c r="U90" s="179"/>
      <c r="V90" s="179"/>
      <c r="W90" s="179"/>
      <c r="X90" s="179"/>
      <c r="Y90" s="179"/>
      <c r="Z90" s="180"/>
    </row>
    <row r="91" spans="1:26" ht="6" customHeight="1" x14ac:dyDescent="0.15"/>
    <row r="92" spans="1:26" ht="18.75" customHeight="1" x14ac:dyDescent="0.15">
      <c r="A92" s="12" t="s">
        <v>143</v>
      </c>
    </row>
    <row r="93" spans="1:26" ht="18.75" customHeight="1" x14ac:dyDescent="0.15">
      <c r="B93" s="244" t="s">
        <v>178</v>
      </c>
      <c r="C93" s="245"/>
      <c r="D93" s="245"/>
      <c r="E93" s="245"/>
      <c r="F93" s="245"/>
      <c r="G93" s="245"/>
      <c r="H93" s="245"/>
      <c r="I93" s="245"/>
      <c r="J93" s="245"/>
      <c r="K93" s="245"/>
      <c r="L93" s="245"/>
      <c r="M93" s="245"/>
      <c r="N93" s="245"/>
      <c r="O93" s="245"/>
      <c r="P93" s="245"/>
      <c r="Q93" s="245"/>
      <c r="R93" s="245"/>
      <c r="S93" s="245"/>
      <c r="T93" s="245"/>
      <c r="U93" s="245"/>
      <c r="V93" s="245"/>
      <c r="W93" s="245"/>
      <c r="X93" s="245"/>
      <c r="Y93" s="245"/>
      <c r="Z93" s="246"/>
    </row>
    <row r="94" spans="1:26" ht="18.75" customHeight="1" x14ac:dyDescent="0.15">
      <c r="B94" s="247"/>
      <c r="C94" s="248"/>
      <c r="D94" s="248"/>
      <c r="E94" s="248"/>
      <c r="F94" s="248"/>
      <c r="G94" s="248"/>
      <c r="H94" s="248"/>
      <c r="I94" s="248"/>
      <c r="J94" s="248"/>
      <c r="K94" s="248"/>
      <c r="L94" s="248"/>
      <c r="M94" s="248"/>
      <c r="N94" s="248"/>
      <c r="O94" s="248"/>
      <c r="P94" s="248"/>
      <c r="Q94" s="248"/>
      <c r="R94" s="248"/>
      <c r="S94" s="248"/>
      <c r="T94" s="248"/>
      <c r="U94" s="248"/>
      <c r="V94" s="248"/>
      <c r="W94" s="248"/>
      <c r="X94" s="248"/>
      <c r="Y94" s="248"/>
      <c r="Z94" s="249"/>
    </row>
    <row r="95" spans="1:26" ht="18.75" customHeight="1" x14ac:dyDescent="0.15">
      <c r="B95" s="250"/>
      <c r="C95" s="179"/>
      <c r="D95" s="179"/>
      <c r="E95" s="179"/>
      <c r="F95" s="179"/>
      <c r="G95" s="179"/>
      <c r="H95" s="179"/>
      <c r="I95" s="179"/>
      <c r="J95" s="179"/>
      <c r="K95" s="179"/>
      <c r="L95" s="179"/>
      <c r="M95" s="179"/>
      <c r="N95" s="179"/>
      <c r="O95" s="179"/>
      <c r="P95" s="179"/>
      <c r="Q95" s="179"/>
      <c r="R95" s="179"/>
      <c r="S95" s="179"/>
      <c r="T95" s="179"/>
      <c r="U95" s="179"/>
      <c r="V95" s="179"/>
      <c r="W95" s="179"/>
      <c r="X95" s="179"/>
      <c r="Y95" s="179"/>
      <c r="Z95" s="180"/>
    </row>
    <row r="96" spans="1:26" ht="6" customHeight="1" x14ac:dyDescent="0.15"/>
    <row r="97" spans="1:26" ht="15" customHeight="1" x14ac:dyDescent="0.15">
      <c r="A97" s="12" t="s">
        <v>144</v>
      </c>
    </row>
    <row r="98" spans="1:26" ht="15" customHeight="1" x14ac:dyDescent="0.15">
      <c r="B98" s="251" t="s">
        <v>182</v>
      </c>
      <c r="C98" s="252"/>
      <c r="D98" s="252"/>
      <c r="E98" s="252"/>
      <c r="F98" s="252"/>
      <c r="G98" s="252"/>
      <c r="H98" s="252"/>
      <c r="I98" s="252"/>
      <c r="J98" s="252"/>
      <c r="K98" s="252"/>
      <c r="L98" s="252"/>
      <c r="M98" s="252"/>
      <c r="N98" s="252"/>
      <c r="O98" s="252"/>
      <c r="P98" s="252"/>
      <c r="Q98" s="252"/>
      <c r="R98" s="252"/>
      <c r="S98" s="252"/>
      <c r="T98" s="252"/>
      <c r="U98" s="252"/>
      <c r="V98" s="252"/>
      <c r="W98" s="252"/>
      <c r="X98" s="252"/>
      <c r="Y98" s="252"/>
      <c r="Z98" s="253"/>
    </row>
  </sheetData>
  <mergeCells count="213">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I29:K29"/>
    <mergeCell ref="N29:S29"/>
    <mergeCell ref="V29:X29"/>
    <mergeCell ref="B30:F30"/>
    <mergeCell ref="I30:K30"/>
    <mergeCell ref="N30:S30"/>
    <mergeCell ref="V30:X30"/>
    <mergeCell ref="I27:K27"/>
    <mergeCell ref="N27:S27"/>
    <mergeCell ref="V27:X27"/>
    <mergeCell ref="I28:K28"/>
    <mergeCell ref="N28:S28"/>
    <mergeCell ref="V28:X28"/>
    <mergeCell ref="B22:F22"/>
    <mergeCell ref="I22:K22"/>
    <mergeCell ref="N22:S22"/>
    <mergeCell ref="V22:X22"/>
    <mergeCell ref="A24:Z25"/>
    <mergeCell ref="B26:F26"/>
    <mergeCell ref="I26:K26"/>
    <mergeCell ref="N26:S26"/>
    <mergeCell ref="V26:X26"/>
    <mergeCell ref="I20:K20"/>
    <mergeCell ref="N20:S20"/>
    <mergeCell ref="V20:X20"/>
    <mergeCell ref="B21:F21"/>
    <mergeCell ref="I21:K21"/>
    <mergeCell ref="N21:S21"/>
    <mergeCell ref="V21:X21"/>
    <mergeCell ref="B18:F18"/>
    <mergeCell ref="I18:K18"/>
    <mergeCell ref="N18:S18"/>
    <mergeCell ref="V18:X18"/>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4DF526F5-88BA-44A4-9E62-E2529D2D971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F540D026-A265-4B54-922C-C076B1C5440E}">
      <formula1>"学部・学科によって、修了要件は相違する,学部・学科によって、修了要件は相違しない"</formula1>
    </dataValidation>
    <dataValidation type="list" allowBlank="1" showInputMessage="1" showErrorMessage="1" sqref="Z23 Z34 D34:K34 D23:K23 V16:V22 I16:I22 V27:V33 H60:H66 V38:V44 I38:I44 V49:V55 I49:I55 U60:U66 I27:I33" xr:uid="{9C7308F9-EFA4-4273-9AEC-16449AD5DD9A}">
      <formula1>"全学開講,一部開講"</formula1>
    </dataValidation>
    <dataValidation type="list" allowBlank="1" showInputMessage="1" showErrorMessage="1" sqref="Y16:Z22 Y27:Z33 L38:M44 Y38:Z44 L49:M55 Y49:Z55 Y60:Z66 T60:T66 L16:M22 U16:U22 L64:M66 U27:U33 H38:H44 U38:U44 H49:H55 U49:U55 G60:G66 H16:H22 L27:M33 H27:H33" xr:uid="{C7626727-5F56-4B3B-AE88-5BC97BF6A37F}">
      <formula1>"○"</formula1>
    </dataValidation>
  </dataValidations>
  <hyperlinks>
    <hyperlink ref="B98" r:id="rId1" xr:uid="{DCEA0A0F-4FE1-4179-8D54-92290379857C}"/>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Zeros="0" view="pageBreakPreview" zoomScaleNormal="100" zoomScaleSheetLayoutView="100" workbookViewId="0">
      <selection activeCell="F62" sqref="F62"/>
    </sheetView>
  </sheetViews>
  <sheetFormatPr defaultColWidth="9" defaultRowHeight="18.75" customHeight="1" x14ac:dyDescent="0.15"/>
  <cols>
    <col min="1" max="1" width="2.5" style="12" customWidth="1"/>
    <col min="2" max="2" width="27.75" style="12" customWidth="1"/>
    <col min="3" max="13" width="3.375" style="12" customWidth="1"/>
    <col min="14" max="14" width="8.875" style="12" customWidth="1"/>
    <col min="15" max="15" width="18.875" style="12" customWidth="1"/>
    <col min="16" max="19" width="3.375" style="12" customWidth="1"/>
    <col min="20" max="20" width="3.5" style="12" customWidth="1"/>
    <col min="21" max="26" width="3.375" style="12" customWidth="1"/>
    <col min="27" max="16384" width="9" style="12"/>
  </cols>
  <sheetData>
    <row r="1" spans="1:26" ht="15" customHeight="1" x14ac:dyDescent="0.15">
      <c r="W1" s="260" t="s">
        <v>219</v>
      </c>
      <c r="X1" s="260"/>
      <c r="Y1" s="260"/>
      <c r="Z1" s="260"/>
    </row>
    <row r="2" spans="1:26" ht="18" customHeight="1" x14ac:dyDescent="0.15">
      <c r="A2" s="218" t="s">
        <v>67</v>
      </c>
      <c r="B2" s="218"/>
      <c r="C2" s="218"/>
      <c r="D2" s="218"/>
      <c r="E2" s="218"/>
      <c r="F2" s="218"/>
      <c r="G2" s="218"/>
      <c r="H2" s="218"/>
      <c r="I2" s="218"/>
      <c r="J2" s="218"/>
      <c r="K2" s="218"/>
      <c r="L2" s="218"/>
      <c r="M2" s="218"/>
      <c r="N2" s="218"/>
      <c r="O2" s="218"/>
      <c r="P2" s="218"/>
      <c r="Q2" s="218"/>
      <c r="R2" s="218"/>
      <c r="S2" s="218"/>
      <c r="T2" s="218"/>
      <c r="U2" s="218"/>
      <c r="V2" s="218"/>
      <c r="W2" s="218"/>
      <c r="X2" s="218"/>
      <c r="Y2" s="218"/>
      <c r="Z2" s="218"/>
    </row>
    <row r="3" spans="1:26" ht="15" customHeight="1" x14ac:dyDescent="0.15">
      <c r="B3" s="28"/>
      <c r="C3" s="28"/>
      <c r="D3" s="28"/>
      <c r="E3" s="28"/>
      <c r="F3" s="28"/>
      <c r="G3" s="28"/>
      <c r="H3" s="28"/>
      <c r="I3" s="28"/>
      <c r="J3" s="28"/>
      <c r="K3" s="28"/>
      <c r="L3" s="28"/>
      <c r="M3" s="28"/>
      <c r="N3" s="28"/>
      <c r="O3" s="28"/>
      <c r="P3" s="28"/>
      <c r="Q3" s="28"/>
      <c r="R3" s="28"/>
      <c r="S3" s="28"/>
      <c r="T3" s="28"/>
      <c r="U3" s="28"/>
      <c r="V3" s="28"/>
      <c r="W3" s="28"/>
      <c r="X3" s="28"/>
      <c r="Y3" s="28"/>
      <c r="Z3" s="28"/>
    </row>
    <row r="4" spans="1:26" ht="18" customHeight="1" x14ac:dyDescent="0.15">
      <c r="A4" s="12" t="s">
        <v>99</v>
      </c>
      <c r="B4" s="28"/>
      <c r="C4" s="28"/>
      <c r="D4" s="28"/>
      <c r="E4" s="28"/>
      <c r="F4" s="28"/>
      <c r="G4" s="28"/>
      <c r="H4" s="14" t="s">
        <v>112</v>
      </c>
      <c r="I4" s="28"/>
      <c r="J4" s="28"/>
      <c r="K4" s="28"/>
      <c r="L4" s="28"/>
      <c r="M4" s="28"/>
      <c r="N4" s="28"/>
      <c r="O4" s="158" t="s">
        <v>162</v>
      </c>
      <c r="P4" s="159"/>
      <c r="Q4" s="159"/>
      <c r="R4" s="159"/>
      <c r="S4" s="159"/>
      <c r="T4" s="159"/>
      <c r="U4" s="159"/>
      <c r="V4" s="159"/>
      <c r="W4" s="159"/>
      <c r="X4" s="159"/>
      <c r="Y4" s="159"/>
      <c r="Z4" s="160"/>
    </row>
    <row r="5" spans="1:26" ht="6" customHeight="1" x14ac:dyDescent="0.15">
      <c r="B5" s="28"/>
      <c r="C5" s="28"/>
      <c r="D5" s="28"/>
      <c r="E5" s="28"/>
      <c r="F5" s="28"/>
      <c r="G5" s="28"/>
      <c r="H5" s="28"/>
      <c r="I5" s="28"/>
      <c r="J5" s="28"/>
      <c r="K5" s="28"/>
      <c r="L5" s="28"/>
      <c r="M5" s="28"/>
      <c r="N5" s="28"/>
      <c r="O5" s="15"/>
      <c r="P5" s="28"/>
      <c r="Q5" s="28"/>
      <c r="R5" s="28"/>
      <c r="S5" s="28"/>
      <c r="T5" s="28"/>
      <c r="U5" s="28"/>
      <c r="V5" s="28"/>
      <c r="W5" s="28"/>
      <c r="X5" s="28"/>
      <c r="Y5" s="28"/>
      <c r="Z5" s="28"/>
    </row>
    <row r="6" spans="1:26" ht="18" customHeight="1" x14ac:dyDescent="0.15">
      <c r="B6" s="219" t="s">
        <v>220</v>
      </c>
      <c r="C6" s="220"/>
      <c r="D6" s="220"/>
      <c r="E6" s="220"/>
      <c r="F6" s="220"/>
      <c r="G6" s="220"/>
      <c r="H6" s="220"/>
      <c r="I6" s="220"/>
      <c r="J6" s="220"/>
      <c r="K6" s="220"/>
      <c r="L6" s="220"/>
      <c r="M6" s="220"/>
      <c r="N6" s="220"/>
      <c r="O6" s="220"/>
      <c r="P6" s="220"/>
      <c r="Q6" s="220"/>
      <c r="R6" s="220"/>
      <c r="S6" s="220"/>
      <c r="T6" s="220"/>
      <c r="U6" s="220"/>
      <c r="V6" s="220"/>
      <c r="W6" s="220"/>
      <c r="X6" s="220"/>
      <c r="Y6" s="220"/>
      <c r="Z6" s="221"/>
    </row>
    <row r="7" spans="1:26" ht="18" customHeight="1" x14ac:dyDescent="0.15">
      <c r="B7" s="222"/>
      <c r="C7" s="223"/>
      <c r="D7" s="223"/>
      <c r="E7" s="223"/>
      <c r="F7" s="223"/>
      <c r="G7" s="223"/>
      <c r="H7" s="223"/>
      <c r="I7" s="223"/>
      <c r="J7" s="223"/>
      <c r="K7" s="223"/>
      <c r="L7" s="223"/>
      <c r="M7" s="223"/>
      <c r="N7" s="223"/>
      <c r="O7" s="223"/>
      <c r="P7" s="223"/>
      <c r="Q7" s="223"/>
      <c r="R7" s="223"/>
      <c r="S7" s="223"/>
      <c r="T7" s="223"/>
      <c r="U7" s="223"/>
      <c r="V7" s="223"/>
      <c r="W7" s="223"/>
      <c r="X7" s="223"/>
      <c r="Y7" s="223"/>
      <c r="Z7" s="224"/>
    </row>
    <row r="8" spans="1:26" ht="18" customHeight="1" x14ac:dyDescent="0.15">
      <c r="B8" s="222"/>
      <c r="C8" s="223"/>
      <c r="D8" s="223"/>
      <c r="E8" s="223"/>
      <c r="F8" s="223"/>
      <c r="G8" s="223"/>
      <c r="H8" s="223"/>
      <c r="I8" s="223"/>
      <c r="J8" s="223"/>
      <c r="K8" s="223"/>
      <c r="L8" s="223"/>
      <c r="M8" s="223"/>
      <c r="N8" s="223"/>
      <c r="O8" s="223"/>
      <c r="P8" s="223"/>
      <c r="Q8" s="223"/>
      <c r="R8" s="223"/>
      <c r="S8" s="223"/>
      <c r="T8" s="223"/>
      <c r="U8" s="223"/>
      <c r="V8" s="223"/>
      <c r="W8" s="223"/>
      <c r="X8" s="223"/>
      <c r="Y8" s="223"/>
      <c r="Z8" s="224"/>
    </row>
    <row r="9" spans="1:26" ht="18" customHeight="1" x14ac:dyDescent="0.15">
      <c r="B9" s="222"/>
      <c r="C9" s="223"/>
      <c r="D9" s="223"/>
      <c r="E9" s="223"/>
      <c r="F9" s="223"/>
      <c r="G9" s="223"/>
      <c r="H9" s="223"/>
      <c r="I9" s="223"/>
      <c r="J9" s="223"/>
      <c r="K9" s="223"/>
      <c r="L9" s="223"/>
      <c r="M9" s="223"/>
      <c r="N9" s="223"/>
      <c r="O9" s="223"/>
      <c r="P9" s="223"/>
      <c r="Q9" s="223"/>
      <c r="R9" s="223"/>
      <c r="S9" s="223"/>
      <c r="T9" s="223"/>
      <c r="U9" s="223"/>
      <c r="V9" s="223"/>
      <c r="W9" s="223"/>
      <c r="X9" s="223"/>
      <c r="Y9" s="223"/>
      <c r="Z9" s="224"/>
    </row>
    <row r="10" spans="1:26" ht="18" customHeight="1" x14ac:dyDescent="0.15">
      <c r="B10" s="222"/>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4"/>
    </row>
    <row r="11" spans="1:26" ht="18" customHeight="1" x14ac:dyDescent="0.15">
      <c r="B11" s="226"/>
      <c r="C11" s="227"/>
      <c r="D11" s="227"/>
      <c r="E11" s="227"/>
      <c r="F11" s="227"/>
      <c r="G11" s="227"/>
      <c r="H11" s="227"/>
      <c r="I11" s="227"/>
      <c r="J11" s="227"/>
      <c r="K11" s="227"/>
      <c r="L11" s="227"/>
      <c r="M11" s="227"/>
      <c r="N11" s="227"/>
      <c r="O11" s="227"/>
      <c r="P11" s="227"/>
      <c r="Q11" s="227"/>
      <c r="R11" s="227"/>
      <c r="S11" s="227"/>
      <c r="T11" s="227"/>
      <c r="U11" s="227"/>
      <c r="V11" s="227"/>
      <c r="W11" s="227"/>
      <c r="X11" s="227"/>
      <c r="Y11" s="227"/>
      <c r="Z11" s="228"/>
    </row>
    <row r="12" spans="1:26" ht="7.5" customHeight="1" x14ac:dyDescent="0.15">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spans="1:26" ht="18" customHeight="1" x14ac:dyDescent="0.15">
      <c r="A13" s="217" t="s">
        <v>125</v>
      </c>
      <c r="B13" s="217"/>
      <c r="C13" s="217"/>
      <c r="D13" s="217"/>
      <c r="E13" s="217"/>
      <c r="F13" s="217"/>
      <c r="G13" s="217"/>
      <c r="H13" s="217"/>
      <c r="I13" s="217"/>
      <c r="J13" s="217"/>
      <c r="K13" s="217"/>
      <c r="L13" s="217"/>
      <c r="M13" s="217"/>
      <c r="N13" s="217"/>
      <c r="O13" s="217"/>
      <c r="P13" s="217"/>
      <c r="Q13" s="217"/>
      <c r="R13" s="217"/>
      <c r="S13" s="217"/>
      <c r="T13" s="217"/>
      <c r="U13" s="217"/>
      <c r="V13" s="217"/>
      <c r="W13" s="217"/>
      <c r="X13" s="217"/>
      <c r="Y13" s="217"/>
      <c r="Z13" s="217"/>
    </row>
    <row r="14" spans="1:26" ht="18" customHeight="1" x14ac:dyDescent="0.15">
      <c r="A14" s="217"/>
      <c r="B14" s="217"/>
      <c r="C14" s="217"/>
      <c r="D14" s="217"/>
      <c r="E14" s="217"/>
      <c r="F14" s="217"/>
      <c r="G14" s="217"/>
      <c r="H14" s="217"/>
      <c r="I14" s="217"/>
      <c r="J14" s="217"/>
      <c r="K14" s="217"/>
      <c r="L14" s="217"/>
      <c r="M14" s="217"/>
      <c r="N14" s="217"/>
      <c r="O14" s="217"/>
      <c r="P14" s="217"/>
      <c r="Q14" s="217"/>
      <c r="R14" s="217"/>
      <c r="S14" s="217"/>
      <c r="T14" s="217"/>
      <c r="U14" s="217"/>
      <c r="V14" s="217"/>
      <c r="W14" s="217"/>
      <c r="X14" s="217"/>
      <c r="Y14" s="217"/>
      <c r="Z14" s="217"/>
    </row>
    <row r="15" spans="1:26" ht="18" customHeight="1" x14ac:dyDescent="0.15">
      <c r="A15" s="13"/>
      <c r="B15" s="158" t="s">
        <v>100</v>
      </c>
      <c r="C15" s="159"/>
      <c r="D15" s="159"/>
      <c r="E15" s="159"/>
      <c r="F15" s="160"/>
      <c r="G15" s="29" t="s">
        <v>141</v>
      </c>
      <c r="H15" s="101" t="s">
        <v>140</v>
      </c>
      <c r="I15" s="159" t="s">
        <v>101</v>
      </c>
      <c r="J15" s="159"/>
      <c r="K15" s="159"/>
      <c r="L15" s="70" t="s">
        <v>104</v>
      </c>
      <c r="M15" s="70" t="s">
        <v>107</v>
      </c>
      <c r="N15" s="158" t="s">
        <v>100</v>
      </c>
      <c r="O15" s="159"/>
      <c r="P15" s="159"/>
      <c r="Q15" s="159"/>
      <c r="R15" s="159"/>
      <c r="S15" s="160"/>
      <c r="T15" s="29" t="s">
        <v>141</v>
      </c>
      <c r="U15" s="101" t="s">
        <v>140</v>
      </c>
      <c r="V15" s="159" t="s">
        <v>101</v>
      </c>
      <c r="W15" s="159"/>
      <c r="X15" s="159"/>
      <c r="Y15" s="70" t="s">
        <v>104</v>
      </c>
      <c r="Z15" s="70" t="s">
        <v>107</v>
      </c>
    </row>
    <row r="16" spans="1:26" ht="18" customHeight="1" x14ac:dyDescent="0.15">
      <c r="A16" s="13"/>
      <c r="B16" s="232" t="s">
        <v>163</v>
      </c>
      <c r="C16" s="233"/>
      <c r="D16" s="233"/>
      <c r="E16" s="233"/>
      <c r="F16" s="234"/>
      <c r="G16" s="102">
        <v>1</v>
      </c>
      <c r="H16" s="102" t="s">
        <v>167</v>
      </c>
      <c r="I16" s="202" t="s">
        <v>168</v>
      </c>
      <c r="J16" s="203"/>
      <c r="K16" s="204"/>
      <c r="L16" s="102" t="s">
        <v>167</v>
      </c>
      <c r="M16" s="102" t="s">
        <v>167</v>
      </c>
      <c r="N16" s="208"/>
      <c r="O16" s="209"/>
      <c r="P16" s="209"/>
      <c r="Q16" s="209"/>
      <c r="R16" s="209"/>
      <c r="S16" s="210"/>
      <c r="T16" s="102"/>
      <c r="U16" s="102"/>
      <c r="V16" s="202"/>
      <c r="W16" s="203"/>
      <c r="X16" s="204"/>
      <c r="Y16" s="102"/>
      <c r="Z16" s="102"/>
    </row>
    <row r="17" spans="1:26" ht="18" customHeight="1" x14ac:dyDescent="0.15">
      <c r="A17" s="13"/>
      <c r="B17" s="235" t="s">
        <v>170</v>
      </c>
      <c r="C17" s="236"/>
      <c r="D17" s="236"/>
      <c r="E17" s="236"/>
      <c r="F17" s="237"/>
      <c r="G17" s="103">
        <v>1</v>
      </c>
      <c r="H17" s="103" t="s">
        <v>167</v>
      </c>
      <c r="I17" s="205" t="s">
        <v>168</v>
      </c>
      <c r="J17" s="206"/>
      <c r="K17" s="207"/>
      <c r="L17" s="103" t="s">
        <v>167</v>
      </c>
      <c r="M17" s="103"/>
      <c r="N17" s="165"/>
      <c r="O17" s="166"/>
      <c r="P17" s="166"/>
      <c r="Q17" s="166"/>
      <c r="R17" s="166"/>
      <c r="S17" s="167"/>
      <c r="T17" s="103"/>
      <c r="U17" s="103"/>
      <c r="V17" s="205"/>
      <c r="W17" s="206"/>
      <c r="X17" s="207"/>
      <c r="Y17" s="103"/>
      <c r="Z17" s="103"/>
    </row>
    <row r="18" spans="1:26" ht="18" customHeight="1" x14ac:dyDescent="0.15">
      <c r="A18" s="13"/>
      <c r="B18" s="127" t="s">
        <v>165</v>
      </c>
      <c r="C18" s="128"/>
      <c r="D18" s="128"/>
      <c r="E18" s="128"/>
      <c r="F18" s="129"/>
      <c r="G18" s="103">
        <v>2</v>
      </c>
      <c r="H18" s="103"/>
      <c r="I18" s="205" t="s">
        <v>168</v>
      </c>
      <c r="J18" s="206"/>
      <c r="K18" s="207"/>
      <c r="L18" s="103" t="s">
        <v>167</v>
      </c>
      <c r="M18" s="103" t="s">
        <v>167</v>
      </c>
      <c r="N18" s="165"/>
      <c r="O18" s="166"/>
      <c r="P18" s="166"/>
      <c r="Q18" s="166"/>
      <c r="R18" s="166"/>
      <c r="S18" s="167"/>
      <c r="T18" s="103"/>
      <c r="U18" s="103"/>
      <c r="V18" s="205"/>
      <c r="W18" s="206"/>
      <c r="X18" s="207"/>
      <c r="Y18" s="103"/>
      <c r="Z18" s="103"/>
    </row>
    <row r="19" spans="1:26" ht="18" customHeight="1" x14ac:dyDescent="0.15">
      <c r="A19" s="13"/>
      <c r="B19" s="127" t="s">
        <v>166</v>
      </c>
      <c r="C19" s="128"/>
      <c r="D19" s="128"/>
      <c r="E19" s="128"/>
      <c r="F19" s="129"/>
      <c r="G19" s="103">
        <v>1</v>
      </c>
      <c r="H19" s="103"/>
      <c r="I19" s="205" t="s">
        <v>169</v>
      </c>
      <c r="J19" s="206"/>
      <c r="K19" s="207"/>
      <c r="L19" s="103" t="s">
        <v>167</v>
      </c>
      <c r="M19" s="103" t="s">
        <v>167</v>
      </c>
      <c r="N19" s="165"/>
      <c r="O19" s="166"/>
      <c r="P19" s="166"/>
      <c r="Q19" s="166"/>
      <c r="R19" s="166"/>
      <c r="S19" s="167"/>
      <c r="T19" s="103"/>
      <c r="U19" s="103"/>
      <c r="V19" s="205"/>
      <c r="W19" s="206"/>
      <c r="X19" s="207"/>
      <c r="Y19" s="103"/>
      <c r="Z19" s="103"/>
    </row>
    <row r="20" spans="1:26" ht="18" customHeight="1" x14ac:dyDescent="0.15">
      <c r="A20" s="13"/>
      <c r="B20" s="127"/>
      <c r="C20" s="128"/>
      <c r="D20" s="128"/>
      <c r="E20" s="128"/>
      <c r="F20" s="129"/>
      <c r="G20" s="103"/>
      <c r="H20" s="103"/>
      <c r="I20" s="205"/>
      <c r="J20" s="206"/>
      <c r="K20" s="207"/>
      <c r="L20" s="103"/>
      <c r="M20" s="103"/>
      <c r="N20" s="165"/>
      <c r="O20" s="166"/>
      <c r="P20" s="166"/>
      <c r="Q20" s="166"/>
      <c r="R20" s="166"/>
      <c r="S20" s="167"/>
      <c r="T20" s="103"/>
      <c r="U20" s="103"/>
      <c r="V20" s="205"/>
      <c r="W20" s="206"/>
      <c r="X20" s="207"/>
      <c r="Y20" s="103"/>
      <c r="Z20" s="103"/>
    </row>
    <row r="21" spans="1:26" ht="18" customHeight="1" x14ac:dyDescent="0.15">
      <c r="A21" s="28"/>
      <c r="B21" s="235"/>
      <c r="C21" s="236"/>
      <c r="D21" s="236"/>
      <c r="E21" s="236"/>
      <c r="F21" s="237"/>
      <c r="G21" s="103"/>
      <c r="H21" s="103"/>
      <c r="I21" s="205"/>
      <c r="J21" s="206"/>
      <c r="K21" s="207"/>
      <c r="L21" s="103"/>
      <c r="M21" s="103"/>
      <c r="N21" s="165"/>
      <c r="O21" s="166"/>
      <c r="P21" s="166"/>
      <c r="Q21" s="166"/>
      <c r="R21" s="166"/>
      <c r="S21" s="167"/>
      <c r="T21" s="103"/>
      <c r="U21" s="103"/>
      <c r="V21" s="205"/>
      <c r="W21" s="206"/>
      <c r="X21" s="207"/>
      <c r="Y21" s="103"/>
      <c r="Z21" s="103"/>
    </row>
    <row r="22" spans="1:26" ht="18" customHeight="1" x14ac:dyDescent="0.15">
      <c r="A22" s="28"/>
      <c r="B22" s="238"/>
      <c r="C22" s="239"/>
      <c r="D22" s="239"/>
      <c r="E22" s="239"/>
      <c r="F22" s="240"/>
      <c r="G22" s="104"/>
      <c r="H22" s="104"/>
      <c r="I22" s="214"/>
      <c r="J22" s="215"/>
      <c r="K22" s="216"/>
      <c r="L22" s="107"/>
      <c r="M22" s="107"/>
      <c r="N22" s="241"/>
      <c r="O22" s="242"/>
      <c r="P22" s="242"/>
      <c r="Q22" s="242"/>
      <c r="R22" s="242"/>
      <c r="S22" s="243"/>
      <c r="T22" s="104"/>
      <c r="U22" s="104"/>
      <c r="V22" s="214"/>
      <c r="W22" s="215"/>
      <c r="X22" s="216"/>
      <c r="Y22" s="107"/>
      <c r="Z22" s="107"/>
    </row>
    <row r="23" spans="1:26" ht="7.5" customHeight="1" x14ac:dyDescent="0.15">
      <c r="A23" s="28"/>
      <c r="B23" s="71"/>
      <c r="C23" s="71"/>
      <c r="D23" s="28"/>
      <c r="E23" s="28"/>
      <c r="F23" s="28"/>
      <c r="G23" s="28"/>
      <c r="H23" s="28"/>
      <c r="I23" s="28"/>
      <c r="J23" s="28"/>
      <c r="K23" s="28"/>
      <c r="L23" s="71"/>
      <c r="M23" s="71"/>
      <c r="N23" s="71"/>
      <c r="O23" s="71"/>
      <c r="P23" s="71"/>
      <c r="Q23" s="71"/>
      <c r="R23" s="71"/>
      <c r="S23" s="71"/>
      <c r="T23" s="71"/>
      <c r="U23" s="71"/>
      <c r="V23" s="71"/>
      <c r="W23" s="71"/>
      <c r="X23" s="71"/>
      <c r="Y23" s="71"/>
      <c r="Z23" s="28"/>
    </row>
    <row r="24" spans="1:26" ht="18" customHeight="1" x14ac:dyDescent="0.15">
      <c r="A24" s="217" t="s">
        <v>126</v>
      </c>
      <c r="B24" s="217"/>
      <c r="C24" s="217"/>
      <c r="D24" s="217"/>
      <c r="E24" s="217"/>
      <c r="F24" s="217"/>
      <c r="G24" s="217"/>
      <c r="H24" s="217"/>
      <c r="I24" s="217"/>
      <c r="J24" s="217"/>
      <c r="K24" s="217"/>
      <c r="L24" s="217"/>
      <c r="M24" s="217"/>
      <c r="N24" s="217"/>
      <c r="O24" s="217"/>
      <c r="P24" s="217"/>
      <c r="Q24" s="217"/>
      <c r="R24" s="217"/>
      <c r="S24" s="217"/>
      <c r="T24" s="217"/>
      <c r="U24" s="217"/>
      <c r="V24" s="217"/>
      <c r="W24" s="217"/>
      <c r="X24" s="217"/>
      <c r="Y24" s="217"/>
      <c r="Z24" s="217"/>
    </row>
    <row r="25" spans="1:26" ht="18" customHeight="1" x14ac:dyDescent="0.15">
      <c r="A25" s="217"/>
      <c r="B25" s="217"/>
      <c r="C25" s="217"/>
      <c r="D25" s="217"/>
      <c r="E25" s="217"/>
      <c r="F25" s="217"/>
      <c r="G25" s="217"/>
      <c r="H25" s="217"/>
      <c r="I25" s="217"/>
      <c r="J25" s="217"/>
      <c r="K25" s="217"/>
      <c r="L25" s="217"/>
      <c r="M25" s="217"/>
      <c r="N25" s="217"/>
      <c r="O25" s="217"/>
      <c r="P25" s="217"/>
      <c r="Q25" s="217"/>
      <c r="R25" s="217"/>
      <c r="S25" s="217"/>
      <c r="T25" s="217"/>
      <c r="U25" s="217"/>
      <c r="V25" s="217"/>
      <c r="W25" s="217"/>
      <c r="X25" s="217"/>
      <c r="Y25" s="217"/>
      <c r="Z25" s="217"/>
    </row>
    <row r="26" spans="1:26" ht="18" customHeight="1" x14ac:dyDescent="0.15">
      <c r="A26" s="13"/>
      <c r="B26" s="158" t="s">
        <v>100</v>
      </c>
      <c r="C26" s="159"/>
      <c r="D26" s="159"/>
      <c r="E26" s="159"/>
      <c r="F26" s="160"/>
      <c r="G26" s="29" t="s">
        <v>141</v>
      </c>
      <c r="H26" s="101" t="s">
        <v>140</v>
      </c>
      <c r="I26" s="159" t="s">
        <v>101</v>
      </c>
      <c r="J26" s="159"/>
      <c r="K26" s="159"/>
      <c r="L26" s="70" t="s">
        <v>127</v>
      </c>
      <c r="M26" s="70" t="s">
        <v>128</v>
      </c>
      <c r="N26" s="158" t="s">
        <v>100</v>
      </c>
      <c r="O26" s="159"/>
      <c r="P26" s="159"/>
      <c r="Q26" s="159"/>
      <c r="R26" s="159"/>
      <c r="S26" s="160"/>
      <c r="T26" s="29" t="s">
        <v>141</v>
      </c>
      <c r="U26" s="101" t="s">
        <v>140</v>
      </c>
      <c r="V26" s="159" t="s">
        <v>101</v>
      </c>
      <c r="W26" s="159"/>
      <c r="X26" s="159"/>
      <c r="Y26" s="70" t="s">
        <v>127</v>
      </c>
      <c r="Z26" s="70" t="s">
        <v>128</v>
      </c>
    </row>
    <row r="27" spans="1:26" ht="18" customHeight="1" x14ac:dyDescent="0.15">
      <c r="A27" s="13"/>
      <c r="B27" s="127" t="s">
        <v>170</v>
      </c>
      <c r="C27" s="128"/>
      <c r="D27" s="128"/>
      <c r="E27" s="128"/>
      <c r="F27" s="129"/>
      <c r="G27" s="103">
        <v>1</v>
      </c>
      <c r="H27" s="103" t="s">
        <v>167</v>
      </c>
      <c r="I27" s="202" t="s">
        <v>168</v>
      </c>
      <c r="J27" s="203"/>
      <c r="K27" s="204"/>
      <c r="L27" s="103" t="s">
        <v>167</v>
      </c>
      <c r="M27" s="103" t="s">
        <v>167</v>
      </c>
      <c r="N27" s="208"/>
      <c r="O27" s="209"/>
      <c r="P27" s="209"/>
      <c r="Q27" s="209"/>
      <c r="R27" s="209"/>
      <c r="S27" s="210"/>
      <c r="T27" s="102"/>
      <c r="U27" s="102"/>
      <c r="V27" s="202"/>
      <c r="W27" s="203"/>
      <c r="X27" s="204"/>
      <c r="Y27" s="102"/>
      <c r="Z27" s="102"/>
    </row>
    <row r="28" spans="1:26" ht="18" customHeight="1" x14ac:dyDescent="0.15">
      <c r="A28" s="13"/>
      <c r="B28" s="127" t="s">
        <v>165</v>
      </c>
      <c r="C28" s="128"/>
      <c r="D28" s="128"/>
      <c r="E28" s="128"/>
      <c r="F28" s="129"/>
      <c r="G28" s="103">
        <v>2</v>
      </c>
      <c r="H28" s="103"/>
      <c r="I28" s="205" t="s">
        <v>168</v>
      </c>
      <c r="J28" s="206"/>
      <c r="K28" s="207"/>
      <c r="L28" s="103" t="s">
        <v>167</v>
      </c>
      <c r="M28" s="103" t="s">
        <v>167</v>
      </c>
      <c r="N28" s="165"/>
      <c r="O28" s="166"/>
      <c r="P28" s="166"/>
      <c r="Q28" s="166"/>
      <c r="R28" s="166"/>
      <c r="S28" s="167"/>
      <c r="T28" s="103"/>
      <c r="U28" s="103"/>
      <c r="V28" s="205"/>
      <c r="W28" s="206"/>
      <c r="X28" s="207"/>
      <c r="Y28" s="103"/>
      <c r="Z28" s="103"/>
    </row>
    <row r="29" spans="1:26" ht="18" customHeight="1" x14ac:dyDescent="0.15">
      <c r="A29" s="13"/>
      <c r="B29" s="235" t="s">
        <v>172</v>
      </c>
      <c r="C29" s="236"/>
      <c r="D29" s="236"/>
      <c r="E29" s="236"/>
      <c r="F29" s="237"/>
      <c r="G29" s="103">
        <v>2</v>
      </c>
      <c r="H29" s="103" t="s">
        <v>167</v>
      </c>
      <c r="I29" s="205" t="s">
        <v>169</v>
      </c>
      <c r="J29" s="206"/>
      <c r="K29" s="207"/>
      <c r="L29" s="103" t="s">
        <v>167</v>
      </c>
      <c r="M29" s="103" t="s">
        <v>167</v>
      </c>
      <c r="N29" s="165"/>
      <c r="O29" s="166"/>
      <c r="P29" s="166"/>
      <c r="Q29" s="166"/>
      <c r="R29" s="166"/>
      <c r="S29" s="167"/>
      <c r="T29" s="103"/>
      <c r="U29" s="103"/>
      <c r="V29" s="205"/>
      <c r="W29" s="206"/>
      <c r="X29" s="207"/>
      <c r="Y29" s="103"/>
      <c r="Z29" s="103"/>
    </row>
    <row r="30" spans="1:26" ht="18" customHeight="1" x14ac:dyDescent="0.15">
      <c r="A30" s="13"/>
      <c r="B30" s="235"/>
      <c r="C30" s="236"/>
      <c r="D30" s="236"/>
      <c r="E30" s="236"/>
      <c r="F30" s="237"/>
      <c r="G30" s="103"/>
      <c r="H30" s="103"/>
      <c r="I30" s="205"/>
      <c r="J30" s="206"/>
      <c r="K30" s="207"/>
      <c r="L30" s="103"/>
      <c r="M30" s="103"/>
      <c r="N30" s="165"/>
      <c r="O30" s="166"/>
      <c r="P30" s="166"/>
      <c r="Q30" s="166"/>
      <c r="R30" s="166"/>
      <c r="S30" s="167"/>
      <c r="T30" s="103"/>
      <c r="U30" s="103"/>
      <c r="V30" s="205"/>
      <c r="W30" s="206"/>
      <c r="X30" s="207"/>
      <c r="Y30" s="103"/>
      <c r="Z30" s="103"/>
    </row>
    <row r="31" spans="1:26" ht="18" customHeight="1" x14ac:dyDescent="0.15">
      <c r="A31" s="13"/>
      <c r="B31" s="235"/>
      <c r="C31" s="236"/>
      <c r="D31" s="236"/>
      <c r="E31" s="236"/>
      <c r="F31" s="237"/>
      <c r="G31" s="103"/>
      <c r="H31" s="103"/>
      <c r="I31" s="205"/>
      <c r="J31" s="206"/>
      <c r="K31" s="207"/>
      <c r="L31" s="103"/>
      <c r="M31" s="103"/>
      <c r="N31" s="165"/>
      <c r="O31" s="166"/>
      <c r="P31" s="166"/>
      <c r="Q31" s="166"/>
      <c r="R31" s="166"/>
      <c r="S31" s="167"/>
      <c r="T31" s="103"/>
      <c r="U31" s="103"/>
      <c r="V31" s="205"/>
      <c r="W31" s="206"/>
      <c r="X31" s="207"/>
      <c r="Y31" s="103"/>
      <c r="Z31" s="103"/>
    </row>
    <row r="32" spans="1:26" ht="18" customHeight="1" x14ac:dyDescent="0.15">
      <c r="A32" s="13"/>
      <c r="B32" s="235"/>
      <c r="C32" s="236"/>
      <c r="D32" s="236"/>
      <c r="E32" s="236"/>
      <c r="F32" s="237"/>
      <c r="G32" s="103"/>
      <c r="H32" s="103"/>
      <c r="I32" s="205"/>
      <c r="J32" s="206"/>
      <c r="K32" s="207"/>
      <c r="L32" s="103"/>
      <c r="M32" s="103"/>
      <c r="N32" s="165"/>
      <c r="O32" s="166"/>
      <c r="P32" s="166"/>
      <c r="Q32" s="166"/>
      <c r="R32" s="166"/>
      <c r="S32" s="167"/>
      <c r="T32" s="103"/>
      <c r="U32" s="103"/>
      <c r="V32" s="205"/>
      <c r="W32" s="206"/>
      <c r="X32" s="207"/>
      <c r="Y32" s="103"/>
      <c r="Z32" s="103"/>
    </row>
    <row r="33" spans="1:26" ht="18" customHeight="1" x14ac:dyDescent="0.15">
      <c r="A33" s="13"/>
      <c r="B33" s="238"/>
      <c r="C33" s="239"/>
      <c r="D33" s="239"/>
      <c r="E33" s="239"/>
      <c r="F33" s="240"/>
      <c r="G33" s="104"/>
      <c r="H33" s="104"/>
      <c r="I33" s="214"/>
      <c r="J33" s="215"/>
      <c r="K33" s="216"/>
      <c r="L33" s="107"/>
      <c r="M33" s="107"/>
      <c r="N33" s="241"/>
      <c r="O33" s="242"/>
      <c r="P33" s="242"/>
      <c r="Q33" s="242"/>
      <c r="R33" s="242"/>
      <c r="S33" s="243"/>
      <c r="T33" s="104"/>
      <c r="U33" s="104"/>
      <c r="V33" s="214"/>
      <c r="W33" s="215"/>
      <c r="X33" s="216"/>
      <c r="Y33" s="107"/>
      <c r="Z33" s="107"/>
    </row>
    <row r="34" spans="1:26" ht="7.5" customHeight="1" x14ac:dyDescent="0.15">
      <c r="A34" s="28"/>
      <c r="B34" s="71"/>
      <c r="C34" s="71"/>
      <c r="D34" s="28"/>
      <c r="E34" s="28"/>
      <c r="F34" s="28"/>
      <c r="G34" s="28"/>
      <c r="H34" s="28"/>
      <c r="I34" s="28"/>
      <c r="J34" s="28"/>
      <c r="K34" s="28"/>
      <c r="L34" s="71"/>
      <c r="M34" s="71"/>
      <c r="N34" s="71"/>
      <c r="O34" s="71"/>
      <c r="P34" s="71"/>
      <c r="Q34" s="71"/>
      <c r="R34" s="71"/>
      <c r="S34" s="71"/>
      <c r="T34" s="71"/>
      <c r="U34" s="71"/>
      <c r="V34" s="71"/>
      <c r="W34" s="71"/>
      <c r="X34" s="71"/>
      <c r="Y34" s="71"/>
      <c r="Z34" s="28"/>
    </row>
    <row r="35" spans="1:26" ht="18" customHeight="1" x14ac:dyDescent="0.15">
      <c r="A35" s="217" t="s">
        <v>129</v>
      </c>
      <c r="B35" s="217"/>
      <c r="C35" s="217"/>
      <c r="D35" s="217"/>
      <c r="E35" s="217"/>
      <c r="F35" s="217"/>
      <c r="G35" s="217"/>
      <c r="H35" s="217"/>
      <c r="I35" s="217"/>
      <c r="J35" s="217"/>
      <c r="K35" s="217"/>
      <c r="L35" s="217"/>
      <c r="M35" s="217"/>
      <c r="N35" s="217"/>
      <c r="O35" s="217"/>
      <c r="P35" s="217"/>
      <c r="Q35" s="217"/>
      <c r="R35" s="217"/>
      <c r="S35" s="217"/>
      <c r="T35" s="217"/>
      <c r="U35" s="217"/>
      <c r="V35" s="217"/>
      <c r="W35" s="217"/>
      <c r="X35" s="217"/>
      <c r="Y35" s="217"/>
      <c r="Z35" s="217"/>
    </row>
    <row r="36" spans="1:26" ht="18" customHeight="1" x14ac:dyDescent="0.15">
      <c r="A36" s="217"/>
      <c r="B36" s="217"/>
      <c r="C36" s="217"/>
      <c r="D36" s="217"/>
      <c r="E36" s="217"/>
      <c r="F36" s="217"/>
      <c r="G36" s="217"/>
      <c r="H36" s="217"/>
      <c r="I36" s="217"/>
      <c r="J36" s="217"/>
      <c r="K36" s="217"/>
      <c r="L36" s="217"/>
      <c r="M36" s="217"/>
      <c r="N36" s="217"/>
      <c r="O36" s="217"/>
      <c r="P36" s="217"/>
      <c r="Q36" s="217"/>
      <c r="R36" s="217"/>
      <c r="S36" s="217"/>
      <c r="T36" s="217"/>
      <c r="U36" s="217"/>
      <c r="V36" s="217"/>
      <c r="W36" s="217"/>
      <c r="X36" s="217"/>
      <c r="Y36" s="217"/>
      <c r="Z36" s="217"/>
    </row>
    <row r="37" spans="1:26" ht="18" customHeight="1" x14ac:dyDescent="0.15">
      <c r="A37" s="13"/>
      <c r="B37" s="158" t="s">
        <v>100</v>
      </c>
      <c r="C37" s="159"/>
      <c r="D37" s="159"/>
      <c r="E37" s="159"/>
      <c r="F37" s="160"/>
      <c r="G37" s="29" t="s">
        <v>141</v>
      </c>
      <c r="H37" s="101" t="s">
        <v>140</v>
      </c>
      <c r="I37" s="158" t="s">
        <v>101</v>
      </c>
      <c r="J37" s="159"/>
      <c r="K37" s="160"/>
      <c r="L37" s="70" t="s">
        <v>130</v>
      </c>
      <c r="M37" s="70" t="s">
        <v>131</v>
      </c>
      <c r="N37" s="158" t="s">
        <v>100</v>
      </c>
      <c r="O37" s="159"/>
      <c r="P37" s="159"/>
      <c r="Q37" s="159"/>
      <c r="R37" s="159"/>
      <c r="S37" s="160"/>
      <c r="T37" s="29" t="s">
        <v>141</v>
      </c>
      <c r="U37" s="101" t="s">
        <v>140</v>
      </c>
      <c r="V37" s="158" t="s">
        <v>101</v>
      </c>
      <c r="W37" s="159"/>
      <c r="X37" s="160"/>
      <c r="Y37" s="70" t="s">
        <v>130</v>
      </c>
      <c r="Z37" s="70" t="s">
        <v>131</v>
      </c>
    </row>
    <row r="38" spans="1:26" ht="18" customHeight="1" x14ac:dyDescent="0.15">
      <c r="A38" s="28"/>
      <c r="B38" s="232" t="s">
        <v>163</v>
      </c>
      <c r="C38" s="233"/>
      <c r="D38" s="233"/>
      <c r="E38" s="233"/>
      <c r="F38" s="234"/>
      <c r="G38" s="102">
        <v>1</v>
      </c>
      <c r="H38" s="102" t="s">
        <v>167</v>
      </c>
      <c r="I38" s="202" t="s">
        <v>168</v>
      </c>
      <c r="J38" s="203"/>
      <c r="K38" s="204"/>
      <c r="L38" s="102"/>
      <c r="M38" s="102" t="s">
        <v>167</v>
      </c>
      <c r="N38" s="208"/>
      <c r="O38" s="209"/>
      <c r="P38" s="209"/>
      <c r="Q38" s="209"/>
      <c r="R38" s="209"/>
      <c r="S38" s="210"/>
      <c r="T38" s="102"/>
      <c r="U38" s="102"/>
      <c r="V38" s="202"/>
      <c r="W38" s="203"/>
      <c r="X38" s="204"/>
      <c r="Y38" s="102"/>
      <c r="Z38" s="102"/>
    </row>
    <row r="39" spans="1:26" ht="18" customHeight="1" x14ac:dyDescent="0.15">
      <c r="A39" s="28"/>
      <c r="B39" s="235" t="s">
        <v>170</v>
      </c>
      <c r="C39" s="236"/>
      <c r="D39" s="236"/>
      <c r="E39" s="236"/>
      <c r="F39" s="237"/>
      <c r="G39" s="103">
        <v>1</v>
      </c>
      <c r="H39" s="103" t="s">
        <v>167</v>
      </c>
      <c r="I39" s="205" t="s">
        <v>168</v>
      </c>
      <c r="J39" s="206"/>
      <c r="K39" s="207"/>
      <c r="L39" s="103" t="s">
        <v>167</v>
      </c>
      <c r="M39" s="103" t="s">
        <v>167</v>
      </c>
      <c r="N39" s="165"/>
      <c r="O39" s="166"/>
      <c r="P39" s="166"/>
      <c r="Q39" s="166"/>
      <c r="R39" s="166"/>
      <c r="S39" s="167"/>
      <c r="T39" s="103"/>
      <c r="U39" s="103"/>
      <c r="V39" s="205"/>
      <c r="W39" s="206"/>
      <c r="X39" s="207"/>
      <c r="Y39" s="103"/>
      <c r="Z39" s="103"/>
    </row>
    <row r="40" spans="1:26" ht="18" customHeight="1" x14ac:dyDescent="0.15">
      <c r="A40" s="28"/>
      <c r="B40" s="127" t="s">
        <v>165</v>
      </c>
      <c r="C40" s="128"/>
      <c r="D40" s="128"/>
      <c r="E40" s="128"/>
      <c r="F40" s="129"/>
      <c r="G40" s="103">
        <v>2</v>
      </c>
      <c r="H40" s="103"/>
      <c r="I40" s="205" t="s">
        <v>168</v>
      </c>
      <c r="J40" s="206"/>
      <c r="K40" s="207"/>
      <c r="L40" s="103" t="s">
        <v>167</v>
      </c>
      <c r="M40" s="103"/>
      <c r="N40" s="165"/>
      <c r="O40" s="166"/>
      <c r="P40" s="166"/>
      <c r="Q40" s="166"/>
      <c r="R40" s="166"/>
      <c r="S40" s="167"/>
      <c r="T40" s="103"/>
      <c r="U40" s="103"/>
      <c r="V40" s="205"/>
      <c r="W40" s="206"/>
      <c r="X40" s="207"/>
      <c r="Y40" s="103"/>
      <c r="Z40" s="103"/>
    </row>
    <row r="41" spans="1:26" ht="18" customHeight="1" x14ac:dyDescent="0.15">
      <c r="A41" s="28"/>
      <c r="B41" s="235" t="s">
        <v>166</v>
      </c>
      <c r="C41" s="236"/>
      <c r="D41" s="236"/>
      <c r="E41" s="236"/>
      <c r="F41" s="237"/>
      <c r="G41" s="103">
        <v>1</v>
      </c>
      <c r="H41" s="103"/>
      <c r="I41" s="205" t="s">
        <v>169</v>
      </c>
      <c r="J41" s="206"/>
      <c r="K41" s="207"/>
      <c r="L41" s="103"/>
      <c r="M41" s="103" t="s">
        <v>167</v>
      </c>
      <c r="N41" s="165"/>
      <c r="O41" s="166"/>
      <c r="P41" s="166"/>
      <c r="Q41" s="166"/>
      <c r="R41" s="166"/>
      <c r="S41" s="167"/>
      <c r="T41" s="103"/>
      <c r="U41" s="103"/>
      <c r="V41" s="205"/>
      <c r="W41" s="206"/>
      <c r="X41" s="207"/>
      <c r="Y41" s="103"/>
      <c r="Z41" s="103"/>
    </row>
    <row r="42" spans="1:26" ht="18" customHeight="1" x14ac:dyDescent="0.15">
      <c r="A42" s="28"/>
      <c r="B42" s="235"/>
      <c r="C42" s="236"/>
      <c r="D42" s="236"/>
      <c r="E42" s="236"/>
      <c r="F42" s="237"/>
      <c r="G42" s="103"/>
      <c r="H42" s="103"/>
      <c r="I42" s="205"/>
      <c r="J42" s="206"/>
      <c r="K42" s="207"/>
      <c r="L42" s="103"/>
      <c r="M42" s="103"/>
      <c r="N42" s="165"/>
      <c r="O42" s="166"/>
      <c r="P42" s="166"/>
      <c r="Q42" s="166"/>
      <c r="R42" s="166"/>
      <c r="S42" s="167"/>
      <c r="T42" s="103"/>
      <c r="U42" s="103"/>
      <c r="V42" s="205"/>
      <c r="W42" s="206"/>
      <c r="X42" s="207"/>
      <c r="Y42" s="103"/>
      <c r="Z42" s="103"/>
    </row>
    <row r="43" spans="1:26" ht="18" customHeight="1" x14ac:dyDescent="0.15">
      <c r="A43" s="28"/>
      <c r="B43" s="235"/>
      <c r="C43" s="236"/>
      <c r="D43" s="236"/>
      <c r="E43" s="236"/>
      <c r="F43" s="237"/>
      <c r="G43" s="103"/>
      <c r="H43" s="103"/>
      <c r="I43" s="205"/>
      <c r="J43" s="206"/>
      <c r="K43" s="207"/>
      <c r="L43" s="103"/>
      <c r="M43" s="103"/>
      <c r="N43" s="165"/>
      <c r="O43" s="166"/>
      <c r="P43" s="166"/>
      <c r="Q43" s="166"/>
      <c r="R43" s="166"/>
      <c r="S43" s="167"/>
      <c r="T43" s="103"/>
      <c r="U43" s="103"/>
      <c r="V43" s="205"/>
      <c r="W43" s="206"/>
      <c r="X43" s="207"/>
      <c r="Y43" s="103"/>
      <c r="Z43" s="103"/>
    </row>
    <row r="44" spans="1:26" ht="18" customHeight="1" x14ac:dyDescent="0.15">
      <c r="A44" s="28"/>
      <c r="B44" s="238"/>
      <c r="C44" s="239"/>
      <c r="D44" s="239"/>
      <c r="E44" s="239"/>
      <c r="F44" s="240"/>
      <c r="G44" s="104"/>
      <c r="H44" s="104"/>
      <c r="I44" s="214"/>
      <c r="J44" s="215"/>
      <c r="K44" s="216"/>
      <c r="L44" s="107"/>
      <c r="M44" s="107"/>
      <c r="N44" s="241"/>
      <c r="O44" s="242"/>
      <c r="P44" s="242"/>
      <c r="Q44" s="242"/>
      <c r="R44" s="242"/>
      <c r="S44" s="243"/>
      <c r="T44" s="104"/>
      <c r="U44" s="104"/>
      <c r="V44" s="214"/>
      <c r="W44" s="215"/>
      <c r="X44" s="216"/>
      <c r="Y44" s="107"/>
      <c r="Z44" s="107"/>
    </row>
    <row r="45" spans="1:26" ht="7.5" customHeight="1" x14ac:dyDescent="0.15">
      <c r="B45" s="72"/>
      <c r="C45" s="72"/>
      <c r="D45" s="72"/>
      <c r="E45" s="72"/>
      <c r="F45" s="72"/>
      <c r="G45" s="72"/>
      <c r="H45" s="72"/>
      <c r="I45" s="72"/>
      <c r="J45" s="72"/>
      <c r="K45" s="72"/>
      <c r="L45" s="72"/>
      <c r="M45" s="72"/>
      <c r="N45" s="72"/>
      <c r="O45" s="72"/>
      <c r="P45" s="72"/>
      <c r="Q45" s="72"/>
      <c r="R45" s="72"/>
      <c r="S45" s="72"/>
      <c r="T45" s="72"/>
      <c r="U45" s="72"/>
      <c r="V45" s="72"/>
      <c r="W45" s="72"/>
      <c r="X45" s="72"/>
      <c r="Y45" s="72"/>
    </row>
    <row r="46" spans="1:26" ht="18" customHeight="1" x14ac:dyDescent="0.15">
      <c r="A46" s="217" t="s">
        <v>132</v>
      </c>
      <c r="B46" s="217"/>
      <c r="C46" s="217"/>
      <c r="D46" s="217"/>
      <c r="E46" s="217"/>
      <c r="F46" s="217"/>
      <c r="G46" s="217"/>
      <c r="H46" s="217"/>
      <c r="I46" s="217"/>
      <c r="J46" s="217"/>
      <c r="K46" s="217"/>
      <c r="L46" s="217"/>
      <c r="M46" s="217"/>
      <c r="N46" s="217"/>
      <c r="O46" s="217"/>
      <c r="P46" s="217"/>
      <c r="Q46" s="217"/>
      <c r="R46" s="217"/>
      <c r="S46" s="217"/>
      <c r="T46" s="217"/>
      <c r="U46" s="217"/>
      <c r="V46" s="217"/>
      <c r="W46" s="217"/>
      <c r="X46" s="217"/>
      <c r="Y46" s="217"/>
      <c r="Z46" s="217"/>
    </row>
    <row r="47" spans="1:26" ht="18" customHeight="1" x14ac:dyDescent="0.15">
      <c r="A47" s="217"/>
      <c r="B47" s="217"/>
      <c r="C47" s="217"/>
      <c r="D47" s="217"/>
      <c r="E47" s="217"/>
      <c r="F47" s="217"/>
      <c r="G47" s="217"/>
      <c r="H47" s="217"/>
      <c r="I47" s="217"/>
      <c r="J47" s="217"/>
      <c r="K47" s="217"/>
      <c r="L47" s="217"/>
      <c r="M47" s="217"/>
      <c r="N47" s="217"/>
      <c r="O47" s="217"/>
      <c r="P47" s="217"/>
      <c r="Q47" s="217"/>
      <c r="R47" s="217"/>
      <c r="S47" s="217"/>
      <c r="T47" s="217"/>
      <c r="U47" s="217"/>
      <c r="V47" s="217"/>
      <c r="W47" s="217"/>
      <c r="X47" s="217"/>
      <c r="Y47" s="217"/>
      <c r="Z47" s="217"/>
    </row>
    <row r="48" spans="1:26" ht="18" customHeight="1" x14ac:dyDescent="0.15">
      <c r="A48" s="13"/>
      <c r="B48" s="158" t="s">
        <v>100</v>
      </c>
      <c r="C48" s="159"/>
      <c r="D48" s="159"/>
      <c r="E48" s="159"/>
      <c r="F48" s="160"/>
      <c r="G48" s="29" t="s">
        <v>141</v>
      </c>
      <c r="H48" s="101" t="s">
        <v>140</v>
      </c>
      <c r="I48" s="158" t="s">
        <v>101</v>
      </c>
      <c r="J48" s="159"/>
      <c r="K48" s="160"/>
      <c r="L48" s="70" t="s">
        <v>106</v>
      </c>
      <c r="M48" s="70" t="s">
        <v>108</v>
      </c>
      <c r="N48" s="158" t="s">
        <v>100</v>
      </c>
      <c r="O48" s="159"/>
      <c r="P48" s="159"/>
      <c r="Q48" s="159"/>
      <c r="R48" s="159"/>
      <c r="S48" s="160"/>
      <c r="T48" s="29" t="s">
        <v>141</v>
      </c>
      <c r="U48" s="101" t="s">
        <v>140</v>
      </c>
      <c r="V48" s="158" t="s">
        <v>101</v>
      </c>
      <c r="W48" s="159"/>
      <c r="X48" s="160"/>
      <c r="Y48" s="70" t="s">
        <v>106</v>
      </c>
      <c r="Z48" s="70" t="s">
        <v>108</v>
      </c>
    </row>
    <row r="49" spans="1:26" ht="18" customHeight="1" x14ac:dyDescent="0.15">
      <c r="A49" s="28"/>
      <c r="B49" s="232" t="s">
        <v>173</v>
      </c>
      <c r="C49" s="233"/>
      <c r="D49" s="233"/>
      <c r="E49" s="233"/>
      <c r="F49" s="234"/>
      <c r="G49" s="102">
        <v>2</v>
      </c>
      <c r="H49" s="102" t="s">
        <v>167</v>
      </c>
      <c r="I49" s="202" t="s">
        <v>168</v>
      </c>
      <c r="J49" s="203"/>
      <c r="K49" s="204"/>
      <c r="L49" s="102" t="s">
        <v>167</v>
      </c>
      <c r="M49" s="102" t="s">
        <v>167</v>
      </c>
      <c r="N49" s="208"/>
      <c r="O49" s="209"/>
      <c r="P49" s="209"/>
      <c r="Q49" s="209"/>
      <c r="R49" s="209"/>
      <c r="S49" s="210"/>
      <c r="T49" s="102"/>
      <c r="U49" s="102"/>
      <c r="V49" s="202"/>
      <c r="W49" s="203"/>
      <c r="X49" s="204"/>
      <c r="Y49" s="102"/>
      <c r="Z49" s="102"/>
    </row>
    <row r="50" spans="1:26" ht="18" customHeight="1" x14ac:dyDescent="0.15">
      <c r="A50" s="28"/>
      <c r="B50" s="127" t="s">
        <v>165</v>
      </c>
      <c r="C50" s="128"/>
      <c r="D50" s="128"/>
      <c r="E50" s="128"/>
      <c r="F50" s="129"/>
      <c r="G50" s="103">
        <v>2</v>
      </c>
      <c r="H50" s="103"/>
      <c r="I50" s="205" t="s">
        <v>168</v>
      </c>
      <c r="J50" s="206"/>
      <c r="K50" s="207"/>
      <c r="L50" s="103" t="s">
        <v>167</v>
      </c>
      <c r="M50" s="103"/>
      <c r="N50" s="165"/>
      <c r="O50" s="166"/>
      <c r="P50" s="166"/>
      <c r="Q50" s="166"/>
      <c r="R50" s="166"/>
      <c r="S50" s="167"/>
      <c r="T50" s="103"/>
      <c r="U50" s="103"/>
      <c r="V50" s="205"/>
      <c r="W50" s="206"/>
      <c r="X50" s="207"/>
      <c r="Y50" s="103"/>
      <c r="Z50" s="103"/>
    </row>
    <row r="51" spans="1:26" ht="18" customHeight="1" x14ac:dyDescent="0.15">
      <c r="A51" s="28"/>
      <c r="B51" s="235" t="s">
        <v>166</v>
      </c>
      <c r="C51" s="236"/>
      <c r="D51" s="236"/>
      <c r="E51" s="236"/>
      <c r="F51" s="237"/>
      <c r="G51" s="103">
        <v>1</v>
      </c>
      <c r="H51" s="103"/>
      <c r="I51" s="205" t="s">
        <v>169</v>
      </c>
      <c r="J51" s="206"/>
      <c r="K51" s="207"/>
      <c r="L51" s="103" t="s">
        <v>167</v>
      </c>
      <c r="M51" s="103" t="s">
        <v>167</v>
      </c>
      <c r="N51" s="165"/>
      <c r="O51" s="166"/>
      <c r="P51" s="166"/>
      <c r="Q51" s="166"/>
      <c r="R51" s="166"/>
      <c r="S51" s="167"/>
      <c r="T51" s="103"/>
      <c r="U51" s="103"/>
      <c r="V51" s="205"/>
      <c r="W51" s="206"/>
      <c r="X51" s="207"/>
      <c r="Y51" s="103"/>
      <c r="Z51" s="103"/>
    </row>
    <row r="52" spans="1:26" ht="18" customHeight="1" x14ac:dyDescent="0.15">
      <c r="A52" s="28"/>
      <c r="B52" s="235"/>
      <c r="C52" s="236"/>
      <c r="D52" s="236"/>
      <c r="E52" s="236"/>
      <c r="F52" s="237"/>
      <c r="G52" s="103"/>
      <c r="H52" s="103"/>
      <c r="I52" s="205"/>
      <c r="J52" s="206"/>
      <c r="K52" s="207"/>
      <c r="L52" s="103"/>
      <c r="M52" s="103"/>
      <c r="N52" s="165"/>
      <c r="O52" s="166"/>
      <c r="P52" s="166"/>
      <c r="Q52" s="166"/>
      <c r="R52" s="166"/>
      <c r="S52" s="167"/>
      <c r="T52" s="103"/>
      <c r="U52" s="103"/>
      <c r="V52" s="205"/>
      <c r="W52" s="206"/>
      <c r="X52" s="207"/>
      <c r="Y52" s="103"/>
      <c r="Z52" s="103"/>
    </row>
    <row r="53" spans="1:26" ht="18" customHeight="1" x14ac:dyDescent="0.15">
      <c r="A53" s="28"/>
      <c r="B53" s="235"/>
      <c r="C53" s="236"/>
      <c r="D53" s="236"/>
      <c r="E53" s="236"/>
      <c r="F53" s="237"/>
      <c r="G53" s="103"/>
      <c r="H53" s="103"/>
      <c r="I53" s="205"/>
      <c r="J53" s="206"/>
      <c r="K53" s="207"/>
      <c r="L53" s="103"/>
      <c r="M53" s="103"/>
      <c r="N53" s="165"/>
      <c r="O53" s="166"/>
      <c r="P53" s="166"/>
      <c r="Q53" s="166"/>
      <c r="R53" s="166"/>
      <c r="S53" s="167"/>
      <c r="T53" s="103"/>
      <c r="U53" s="103"/>
      <c r="V53" s="205"/>
      <c r="W53" s="206"/>
      <c r="X53" s="207"/>
      <c r="Y53" s="103"/>
      <c r="Z53" s="103"/>
    </row>
    <row r="54" spans="1:26" ht="18" customHeight="1" x14ac:dyDescent="0.15">
      <c r="A54" s="28"/>
      <c r="B54" s="235"/>
      <c r="C54" s="236"/>
      <c r="D54" s="236"/>
      <c r="E54" s="236"/>
      <c r="F54" s="237"/>
      <c r="G54" s="103"/>
      <c r="H54" s="103"/>
      <c r="I54" s="205"/>
      <c r="J54" s="206"/>
      <c r="K54" s="207"/>
      <c r="L54" s="103"/>
      <c r="M54" s="103"/>
      <c r="N54" s="165"/>
      <c r="O54" s="166"/>
      <c r="P54" s="166"/>
      <c r="Q54" s="166"/>
      <c r="R54" s="166"/>
      <c r="S54" s="167"/>
      <c r="T54" s="103"/>
      <c r="U54" s="103"/>
      <c r="V54" s="205"/>
      <c r="W54" s="206"/>
      <c r="X54" s="207"/>
      <c r="Y54" s="103"/>
      <c r="Z54" s="103"/>
    </row>
    <row r="55" spans="1:26" ht="18" customHeight="1" x14ac:dyDescent="0.15">
      <c r="A55" s="28"/>
      <c r="B55" s="238"/>
      <c r="C55" s="239"/>
      <c r="D55" s="239"/>
      <c r="E55" s="239"/>
      <c r="F55" s="240"/>
      <c r="G55" s="104"/>
      <c r="H55" s="104"/>
      <c r="I55" s="214"/>
      <c r="J55" s="215"/>
      <c r="K55" s="216"/>
      <c r="L55" s="107"/>
      <c r="M55" s="107"/>
      <c r="N55" s="241"/>
      <c r="O55" s="242"/>
      <c r="P55" s="242"/>
      <c r="Q55" s="242"/>
      <c r="R55" s="242"/>
      <c r="S55" s="243"/>
      <c r="T55" s="104"/>
      <c r="U55" s="104"/>
      <c r="V55" s="214"/>
      <c r="W55" s="215"/>
      <c r="X55" s="216"/>
      <c r="Y55" s="107"/>
      <c r="Z55" s="107"/>
    </row>
    <row r="56" spans="1:26" ht="7.5" customHeight="1" x14ac:dyDescent="0.15">
      <c r="B56" s="72"/>
      <c r="C56" s="72"/>
      <c r="D56" s="72"/>
      <c r="E56" s="72"/>
      <c r="F56" s="72"/>
      <c r="G56" s="72"/>
      <c r="H56" s="72"/>
      <c r="I56" s="72"/>
      <c r="J56" s="72"/>
      <c r="K56" s="72"/>
      <c r="L56" s="72"/>
      <c r="M56" s="72"/>
      <c r="N56" s="72"/>
      <c r="O56" s="72"/>
      <c r="P56" s="72"/>
      <c r="Q56" s="72"/>
      <c r="R56" s="72"/>
      <c r="S56" s="72"/>
      <c r="T56" s="72"/>
      <c r="U56" s="72"/>
      <c r="V56" s="72"/>
      <c r="W56" s="72"/>
      <c r="X56" s="72"/>
      <c r="Y56" s="72"/>
    </row>
    <row r="57" spans="1:26" ht="18" customHeight="1" x14ac:dyDescent="0.15">
      <c r="A57" s="217" t="s">
        <v>133</v>
      </c>
      <c r="B57" s="217"/>
      <c r="C57" s="217"/>
      <c r="D57" s="217"/>
      <c r="E57" s="217"/>
      <c r="F57" s="217"/>
      <c r="G57" s="217"/>
      <c r="H57" s="217"/>
      <c r="I57" s="217"/>
      <c r="J57" s="217"/>
      <c r="K57" s="217"/>
      <c r="L57" s="217"/>
      <c r="M57" s="217"/>
      <c r="N57" s="217"/>
      <c r="O57" s="217"/>
      <c r="P57" s="217"/>
      <c r="Q57" s="217"/>
      <c r="R57" s="217"/>
      <c r="S57" s="217"/>
      <c r="T57" s="217"/>
      <c r="U57" s="217"/>
      <c r="V57" s="217"/>
      <c r="W57" s="217"/>
      <c r="X57" s="217"/>
      <c r="Y57" s="217"/>
      <c r="Z57" s="217"/>
    </row>
    <row r="58" spans="1:26" ht="18" customHeight="1" x14ac:dyDescent="0.15">
      <c r="A58" s="217"/>
      <c r="B58" s="217"/>
      <c r="C58" s="217"/>
      <c r="D58" s="217"/>
      <c r="E58" s="217"/>
      <c r="F58" s="217"/>
      <c r="G58" s="217"/>
      <c r="H58" s="217"/>
      <c r="I58" s="217"/>
      <c r="J58" s="217"/>
      <c r="K58" s="217"/>
      <c r="L58" s="217"/>
      <c r="M58" s="217"/>
      <c r="N58" s="217"/>
      <c r="O58" s="217"/>
      <c r="P58" s="217"/>
      <c r="Q58" s="217"/>
      <c r="R58" s="217"/>
      <c r="S58" s="217"/>
      <c r="T58" s="217"/>
      <c r="U58" s="217"/>
      <c r="V58" s="217"/>
      <c r="W58" s="217"/>
      <c r="X58" s="217"/>
      <c r="Y58" s="217"/>
      <c r="Z58" s="217"/>
    </row>
    <row r="59" spans="1:26" ht="18" customHeight="1" x14ac:dyDescent="0.15">
      <c r="A59" s="13"/>
      <c r="B59" s="158" t="s">
        <v>100</v>
      </c>
      <c r="C59" s="159"/>
      <c r="D59" s="159"/>
      <c r="E59" s="160"/>
      <c r="F59" s="29" t="s">
        <v>141</v>
      </c>
      <c r="G59" s="101" t="s">
        <v>140</v>
      </c>
      <c r="H59" s="96" t="s">
        <v>101</v>
      </c>
      <c r="I59" s="97"/>
      <c r="J59" s="98"/>
      <c r="K59" s="70" t="s">
        <v>105</v>
      </c>
      <c r="L59" s="70" t="s">
        <v>134</v>
      </c>
      <c r="M59" s="70" t="s">
        <v>135</v>
      </c>
      <c r="N59" s="158" t="s">
        <v>100</v>
      </c>
      <c r="O59" s="159"/>
      <c r="P59" s="159"/>
      <c r="Q59" s="159"/>
      <c r="R59" s="160"/>
      <c r="S59" s="29" t="s">
        <v>141</v>
      </c>
      <c r="T59" s="101" t="s">
        <v>140</v>
      </c>
      <c r="U59" s="96" t="s">
        <v>101</v>
      </c>
      <c r="V59" s="97"/>
      <c r="W59" s="98"/>
      <c r="X59" s="70" t="s">
        <v>105</v>
      </c>
      <c r="Y59" s="70" t="s">
        <v>134</v>
      </c>
      <c r="Z59" s="70" t="s">
        <v>135</v>
      </c>
    </row>
    <row r="60" spans="1:26" ht="18" customHeight="1" x14ac:dyDescent="0.15">
      <c r="A60" s="28"/>
      <c r="B60" s="208" t="s">
        <v>173</v>
      </c>
      <c r="C60" s="209"/>
      <c r="D60" s="209"/>
      <c r="E60" s="210"/>
      <c r="F60" s="102">
        <v>2</v>
      </c>
      <c r="G60" s="102" t="s">
        <v>167</v>
      </c>
      <c r="H60" s="202" t="s">
        <v>168</v>
      </c>
      <c r="I60" s="203"/>
      <c r="J60" s="204"/>
      <c r="K60" s="126" t="s">
        <v>177</v>
      </c>
      <c r="L60" s="130" t="s">
        <v>177</v>
      </c>
      <c r="M60" s="130" t="s">
        <v>177</v>
      </c>
      <c r="N60" s="208"/>
      <c r="O60" s="209"/>
      <c r="P60" s="209"/>
      <c r="Q60" s="209"/>
      <c r="R60" s="210"/>
      <c r="S60" s="102"/>
      <c r="T60" s="102"/>
      <c r="U60" s="202"/>
      <c r="V60" s="203"/>
      <c r="W60" s="204"/>
      <c r="X60" s="126"/>
      <c r="Y60" s="102"/>
      <c r="Z60" s="102"/>
    </row>
    <row r="61" spans="1:26" ht="18" customHeight="1" x14ac:dyDescent="0.15">
      <c r="A61" s="28"/>
      <c r="B61" s="165" t="s">
        <v>170</v>
      </c>
      <c r="C61" s="166"/>
      <c r="D61" s="166"/>
      <c r="E61" s="167"/>
      <c r="F61" s="103">
        <v>1</v>
      </c>
      <c r="G61" s="103" t="s">
        <v>167</v>
      </c>
      <c r="H61" s="205" t="s">
        <v>168</v>
      </c>
      <c r="I61" s="206"/>
      <c r="J61" s="207"/>
      <c r="K61" s="109" t="s">
        <v>177</v>
      </c>
      <c r="L61" s="109" t="s">
        <v>177</v>
      </c>
      <c r="M61" s="109" t="s">
        <v>177</v>
      </c>
      <c r="N61" s="165"/>
      <c r="O61" s="166"/>
      <c r="P61" s="166"/>
      <c r="Q61" s="166"/>
      <c r="R61" s="167"/>
      <c r="S61" s="103"/>
      <c r="T61" s="103"/>
      <c r="U61" s="205"/>
      <c r="V61" s="206"/>
      <c r="W61" s="207"/>
      <c r="X61" s="124"/>
      <c r="Y61" s="103"/>
      <c r="Z61" s="103"/>
    </row>
    <row r="62" spans="1:26" ht="18" customHeight="1" x14ac:dyDescent="0.15">
      <c r="A62" s="28"/>
      <c r="B62" s="165" t="s">
        <v>174</v>
      </c>
      <c r="C62" s="166"/>
      <c r="D62" s="166"/>
      <c r="E62" s="167"/>
      <c r="F62" s="103">
        <v>2</v>
      </c>
      <c r="G62" s="103"/>
      <c r="H62" s="205" t="s">
        <v>168</v>
      </c>
      <c r="I62" s="206"/>
      <c r="J62" s="207"/>
      <c r="K62" s="109" t="s">
        <v>177</v>
      </c>
      <c r="L62" s="124" t="s">
        <v>177</v>
      </c>
      <c r="M62" s="124" t="s">
        <v>177</v>
      </c>
      <c r="N62" s="165"/>
      <c r="O62" s="166"/>
      <c r="P62" s="166"/>
      <c r="Q62" s="166"/>
      <c r="R62" s="167"/>
      <c r="S62" s="103"/>
      <c r="T62" s="103"/>
      <c r="U62" s="205"/>
      <c r="V62" s="206"/>
      <c r="W62" s="207"/>
      <c r="X62" s="124"/>
      <c r="Y62" s="103"/>
      <c r="Z62" s="103"/>
    </row>
    <row r="63" spans="1:26" ht="18" customHeight="1" x14ac:dyDescent="0.15">
      <c r="A63" s="28"/>
      <c r="B63" s="165" t="s">
        <v>172</v>
      </c>
      <c r="C63" s="166"/>
      <c r="D63" s="166"/>
      <c r="E63" s="167"/>
      <c r="F63" s="103">
        <v>2</v>
      </c>
      <c r="G63" s="103" t="s">
        <v>167</v>
      </c>
      <c r="H63" s="205" t="s">
        <v>169</v>
      </c>
      <c r="I63" s="206"/>
      <c r="J63" s="207"/>
      <c r="K63" s="108" t="s">
        <v>177</v>
      </c>
      <c r="L63" s="108" t="s">
        <v>177</v>
      </c>
      <c r="M63" s="108" t="s">
        <v>177</v>
      </c>
      <c r="N63" s="165"/>
      <c r="O63" s="166"/>
      <c r="P63" s="166"/>
      <c r="Q63" s="166"/>
      <c r="R63" s="167"/>
      <c r="S63" s="103"/>
      <c r="T63" s="103"/>
      <c r="U63" s="205"/>
      <c r="V63" s="206"/>
      <c r="W63" s="207"/>
      <c r="X63" s="124"/>
      <c r="Y63" s="103"/>
      <c r="Z63" s="103"/>
    </row>
    <row r="64" spans="1:26" ht="18" customHeight="1" x14ac:dyDescent="0.15">
      <c r="A64" s="28"/>
      <c r="B64" s="165"/>
      <c r="C64" s="166"/>
      <c r="D64" s="166"/>
      <c r="E64" s="167"/>
      <c r="F64" s="103"/>
      <c r="G64" s="103"/>
      <c r="H64" s="205"/>
      <c r="I64" s="206"/>
      <c r="J64" s="207"/>
      <c r="K64" s="124"/>
      <c r="L64" s="103"/>
      <c r="M64" s="103"/>
      <c r="N64" s="165"/>
      <c r="O64" s="166"/>
      <c r="P64" s="166"/>
      <c r="Q64" s="166"/>
      <c r="R64" s="167"/>
      <c r="S64" s="103"/>
      <c r="T64" s="103"/>
      <c r="U64" s="205"/>
      <c r="V64" s="206"/>
      <c r="W64" s="207"/>
      <c r="X64" s="124"/>
      <c r="Y64" s="103"/>
      <c r="Z64" s="103"/>
    </row>
    <row r="65" spans="1:26" ht="18" customHeight="1" x14ac:dyDescent="0.15">
      <c r="A65" s="28"/>
      <c r="B65" s="165"/>
      <c r="C65" s="166"/>
      <c r="D65" s="166"/>
      <c r="E65" s="167"/>
      <c r="F65" s="103"/>
      <c r="G65" s="103"/>
      <c r="H65" s="205"/>
      <c r="I65" s="206"/>
      <c r="J65" s="207"/>
      <c r="K65" s="124"/>
      <c r="L65" s="103"/>
      <c r="M65" s="103"/>
      <c r="N65" s="165"/>
      <c r="O65" s="166"/>
      <c r="P65" s="166"/>
      <c r="Q65" s="166"/>
      <c r="R65" s="167"/>
      <c r="S65" s="103"/>
      <c r="T65" s="103"/>
      <c r="U65" s="205"/>
      <c r="V65" s="206"/>
      <c r="W65" s="207"/>
      <c r="X65" s="124"/>
      <c r="Y65" s="103"/>
      <c r="Z65" s="103"/>
    </row>
    <row r="66" spans="1:26" ht="18" customHeight="1" x14ac:dyDescent="0.15">
      <c r="A66" s="28"/>
      <c r="B66" s="241"/>
      <c r="C66" s="242"/>
      <c r="D66" s="242"/>
      <c r="E66" s="243"/>
      <c r="F66" s="104"/>
      <c r="G66" s="104"/>
      <c r="H66" s="214"/>
      <c r="I66" s="215"/>
      <c r="J66" s="216"/>
      <c r="K66" s="125"/>
      <c r="L66" s="107"/>
      <c r="M66" s="107"/>
      <c r="N66" s="241"/>
      <c r="O66" s="242"/>
      <c r="P66" s="242"/>
      <c r="Q66" s="242"/>
      <c r="R66" s="243"/>
      <c r="S66" s="104"/>
      <c r="T66" s="104"/>
      <c r="U66" s="214"/>
      <c r="V66" s="215"/>
      <c r="W66" s="216"/>
      <c r="X66" s="125"/>
      <c r="Y66" s="107"/>
      <c r="Z66" s="107"/>
    </row>
    <row r="67" spans="1:26" ht="7.5" customHeight="1" x14ac:dyDescent="0.15">
      <c r="B67" s="72"/>
      <c r="C67" s="72"/>
      <c r="D67" s="72"/>
      <c r="E67" s="72"/>
      <c r="F67" s="72"/>
      <c r="G67" s="72"/>
      <c r="H67" s="72"/>
      <c r="I67" s="72"/>
      <c r="J67" s="72"/>
      <c r="K67" s="72"/>
      <c r="L67" s="72"/>
      <c r="M67" s="72"/>
      <c r="N67" s="72"/>
      <c r="O67" s="72"/>
      <c r="P67" s="72"/>
      <c r="Q67" s="72"/>
      <c r="R67" s="72"/>
      <c r="S67" s="72"/>
      <c r="T67" s="72"/>
      <c r="U67" s="72"/>
      <c r="V67" s="72"/>
      <c r="W67" s="72"/>
      <c r="X67" s="72"/>
      <c r="Y67" s="72"/>
    </row>
    <row r="68" spans="1:26" ht="18" customHeight="1" x14ac:dyDescent="0.15">
      <c r="A68" s="13" t="s">
        <v>136</v>
      </c>
      <c r="B68" s="13"/>
      <c r="C68" s="13"/>
      <c r="D68" s="13"/>
      <c r="E68" s="13"/>
      <c r="F68" s="13"/>
      <c r="G68" s="13"/>
      <c r="H68" s="13"/>
      <c r="I68" s="13"/>
      <c r="J68" s="13"/>
      <c r="K68" s="13"/>
      <c r="L68" s="28"/>
      <c r="M68" s="28"/>
      <c r="N68" s="28"/>
      <c r="O68" s="28"/>
      <c r="P68" s="28"/>
      <c r="Q68" s="28"/>
      <c r="R68" s="28"/>
      <c r="S68" s="28"/>
      <c r="T68" s="28"/>
      <c r="U68" s="28"/>
      <c r="V68" s="28"/>
      <c r="W68" s="28"/>
      <c r="X68" s="28"/>
      <c r="Y68" s="28"/>
      <c r="Z68" s="28"/>
    </row>
    <row r="69" spans="1:26" ht="18" customHeight="1" x14ac:dyDescent="0.15">
      <c r="A69" s="13"/>
      <c r="B69" s="158" t="s">
        <v>100</v>
      </c>
      <c r="C69" s="159"/>
      <c r="D69" s="159"/>
      <c r="E69" s="159"/>
      <c r="F69" s="160"/>
      <c r="G69" s="158" t="s">
        <v>146</v>
      </c>
      <c r="H69" s="159"/>
      <c r="I69" s="159"/>
      <c r="J69" s="159"/>
      <c r="K69" s="159"/>
      <c r="L69" s="159"/>
      <c r="M69" s="160"/>
      <c r="N69" s="229" t="s">
        <v>100</v>
      </c>
      <c r="O69" s="230"/>
      <c r="P69" s="230"/>
      <c r="Q69" s="230"/>
      <c r="R69" s="230"/>
      <c r="S69" s="231"/>
      <c r="T69" s="158" t="s">
        <v>146</v>
      </c>
      <c r="U69" s="159"/>
      <c r="V69" s="159"/>
      <c r="W69" s="159"/>
      <c r="X69" s="159"/>
      <c r="Y69" s="159"/>
      <c r="Z69" s="160"/>
    </row>
    <row r="70" spans="1:26" ht="18" customHeight="1" x14ac:dyDescent="0.15">
      <c r="A70" s="28"/>
      <c r="B70" s="208"/>
      <c r="C70" s="209"/>
      <c r="D70" s="209"/>
      <c r="E70" s="209"/>
      <c r="F70" s="210"/>
      <c r="G70" s="211"/>
      <c r="H70" s="212"/>
      <c r="I70" s="212"/>
      <c r="J70" s="212"/>
      <c r="K70" s="212"/>
      <c r="L70" s="212"/>
      <c r="M70" s="213"/>
      <c r="N70" s="208"/>
      <c r="O70" s="209"/>
      <c r="P70" s="209"/>
      <c r="Q70" s="209"/>
      <c r="R70" s="209"/>
      <c r="S70" s="210"/>
      <c r="T70" s="211"/>
      <c r="U70" s="212"/>
      <c r="V70" s="212"/>
      <c r="W70" s="212"/>
      <c r="X70" s="212"/>
      <c r="Y70" s="212"/>
      <c r="Z70" s="213"/>
    </row>
    <row r="71" spans="1:26" ht="18" customHeight="1" x14ac:dyDescent="0.15">
      <c r="A71" s="28"/>
      <c r="B71" s="165"/>
      <c r="C71" s="166"/>
      <c r="D71" s="166"/>
      <c r="E71" s="166"/>
      <c r="F71" s="167"/>
      <c r="G71" s="168"/>
      <c r="H71" s="169"/>
      <c r="I71" s="169"/>
      <c r="J71" s="169"/>
      <c r="K71" s="169"/>
      <c r="L71" s="169"/>
      <c r="M71" s="170"/>
      <c r="N71" s="165"/>
      <c r="O71" s="166"/>
      <c r="P71" s="166"/>
      <c r="Q71" s="166"/>
      <c r="R71" s="166"/>
      <c r="S71" s="167"/>
      <c r="T71" s="168"/>
      <c r="U71" s="169"/>
      <c r="V71" s="169"/>
      <c r="W71" s="169"/>
      <c r="X71" s="169"/>
      <c r="Y71" s="169"/>
      <c r="Z71" s="170"/>
    </row>
    <row r="72" spans="1:26" ht="18" customHeight="1" x14ac:dyDescent="0.15">
      <c r="A72" s="28"/>
      <c r="B72" s="165"/>
      <c r="C72" s="166"/>
      <c r="D72" s="166"/>
      <c r="E72" s="166"/>
      <c r="F72" s="167"/>
      <c r="G72" s="168"/>
      <c r="H72" s="169"/>
      <c r="I72" s="169"/>
      <c r="J72" s="169"/>
      <c r="K72" s="169"/>
      <c r="L72" s="169"/>
      <c r="M72" s="170"/>
      <c r="N72" s="165"/>
      <c r="O72" s="166"/>
      <c r="P72" s="166"/>
      <c r="Q72" s="166"/>
      <c r="R72" s="166"/>
      <c r="S72" s="167"/>
      <c r="T72" s="168"/>
      <c r="U72" s="169"/>
      <c r="V72" s="169"/>
      <c r="W72" s="169"/>
      <c r="X72" s="169"/>
      <c r="Y72" s="169"/>
      <c r="Z72" s="170"/>
    </row>
    <row r="73" spans="1:26" ht="18" customHeight="1" x14ac:dyDescent="0.15">
      <c r="A73" s="28"/>
      <c r="B73" s="165"/>
      <c r="C73" s="166"/>
      <c r="D73" s="166"/>
      <c r="E73" s="166"/>
      <c r="F73" s="167"/>
      <c r="G73" s="168"/>
      <c r="H73" s="169"/>
      <c r="I73" s="169"/>
      <c r="J73" s="169"/>
      <c r="K73" s="169"/>
      <c r="L73" s="169"/>
      <c r="M73" s="170"/>
      <c r="N73" s="165"/>
      <c r="O73" s="166"/>
      <c r="P73" s="166"/>
      <c r="Q73" s="166"/>
      <c r="R73" s="166"/>
      <c r="S73" s="167"/>
      <c r="T73" s="168"/>
      <c r="U73" s="169"/>
      <c r="V73" s="169"/>
      <c r="W73" s="169"/>
      <c r="X73" s="169"/>
      <c r="Y73" s="169"/>
      <c r="Z73" s="170"/>
    </row>
    <row r="74" spans="1:26" ht="18" customHeight="1" x14ac:dyDescent="0.15">
      <c r="A74" s="28"/>
      <c r="B74" s="165"/>
      <c r="C74" s="166"/>
      <c r="D74" s="166"/>
      <c r="E74" s="166"/>
      <c r="F74" s="167"/>
      <c r="G74" s="168"/>
      <c r="H74" s="169"/>
      <c r="I74" s="169"/>
      <c r="J74" s="169"/>
      <c r="K74" s="169"/>
      <c r="L74" s="169"/>
      <c r="M74" s="170"/>
      <c r="N74" s="165"/>
      <c r="O74" s="166"/>
      <c r="P74" s="166"/>
      <c r="Q74" s="166"/>
      <c r="R74" s="166"/>
      <c r="S74" s="167"/>
      <c r="T74" s="168"/>
      <c r="U74" s="169"/>
      <c r="V74" s="169"/>
      <c r="W74" s="169"/>
      <c r="X74" s="169"/>
      <c r="Y74" s="169"/>
      <c r="Z74" s="170"/>
    </row>
    <row r="75" spans="1:26" ht="18" customHeight="1" x14ac:dyDescent="0.15">
      <c r="A75" s="28"/>
      <c r="B75" s="165"/>
      <c r="C75" s="166"/>
      <c r="D75" s="166"/>
      <c r="E75" s="166"/>
      <c r="F75" s="167"/>
      <c r="G75" s="168"/>
      <c r="H75" s="169"/>
      <c r="I75" s="169"/>
      <c r="J75" s="169"/>
      <c r="K75" s="169"/>
      <c r="L75" s="169"/>
      <c r="M75" s="170"/>
      <c r="N75" s="165"/>
      <c r="O75" s="166"/>
      <c r="P75" s="166"/>
      <c r="Q75" s="166"/>
      <c r="R75" s="166"/>
      <c r="S75" s="167"/>
      <c r="T75" s="168"/>
      <c r="U75" s="169"/>
      <c r="V75" s="169"/>
      <c r="W75" s="169"/>
      <c r="X75" s="169"/>
      <c r="Y75" s="169"/>
      <c r="Z75" s="170"/>
    </row>
    <row r="76" spans="1:26" ht="18" customHeight="1" x14ac:dyDescent="0.15">
      <c r="A76" s="28"/>
      <c r="B76" s="241"/>
      <c r="C76" s="242"/>
      <c r="D76" s="242"/>
      <c r="E76" s="242"/>
      <c r="F76" s="243"/>
      <c r="G76" s="254"/>
      <c r="H76" s="255"/>
      <c r="I76" s="255"/>
      <c r="J76" s="255"/>
      <c r="K76" s="255"/>
      <c r="L76" s="255"/>
      <c r="M76" s="256"/>
      <c r="N76" s="241"/>
      <c r="O76" s="242"/>
      <c r="P76" s="242"/>
      <c r="Q76" s="242"/>
      <c r="R76" s="242"/>
      <c r="S76" s="243"/>
      <c r="T76" s="254"/>
      <c r="U76" s="255"/>
      <c r="V76" s="255"/>
      <c r="W76" s="255"/>
      <c r="X76" s="255"/>
      <c r="Y76" s="255"/>
      <c r="Z76" s="256"/>
    </row>
    <row r="77" spans="1:26" ht="18" customHeight="1" x14ac:dyDescent="0.15">
      <c r="A77" s="28"/>
      <c r="B77" s="123"/>
      <c r="C77" s="123"/>
      <c r="D77" s="123"/>
      <c r="E77" s="123"/>
      <c r="F77" s="123"/>
      <c r="G77" s="11"/>
      <c r="H77" s="11"/>
      <c r="I77" s="11"/>
      <c r="J77" s="11"/>
      <c r="K77" s="11"/>
      <c r="L77" s="11"/>
      <c r="M77" s="11"/>
      <c r="N77" s="123"/>
      <c r="O77" s="123"/>
      <c r="P77" s="123"/>
      <c r="Q77" s="123"/>
      <c r="R77" s="123"/>
      <c r="S77" s="123"/>
      <c r="T77" s="11"/>
      <c r="U77" s="11"/>
      <c r="V77" s="11"/>
      <c r="W77" s="11"/>
      <c r="X77" s="11"/>
      <c r="Y77" s="11"/>
      <c r="Z77" s="11"/>
    </row>
    <row r="78" spans="1:26" ht="18.75" customHeight="1" x14ac:dyDescent="0.15">
      <c r="A78" s="12" t="s">
        <v>142</v>
      </c>
    </row>
    <row r="79" spans="1:26" ht="18.75" customHeight="1" x14ac:dyDescent="0.15">
      <c r="B79" s="73" t="s">
        <v>102</v>
      </c>
      <c r="C79" s="74"/>
      <c r="D79" s="188" t="s">
        <v>103</v>
      </c>
      <c r="E79" s="188"/>
      <c r="F79" s="188"/>
      <c r="G79" s="188"/>
      <c r="H79" s="188"/>
      <c r="I79" s="188"/>
      <c r="J79" s="188"/>
      <c r="K79" s="188"/>
      <c r="L79" s="188"/>
      <c r="M79" s="188"/>
      <c r="N79" s="188"/>
      <c r="O79" s="188"/>
      <c r="P79" s="188"/>
      <c r="Q79" s="188"/>
      <c r="R79" s="188"/>
      <c r="S79" s="188"/>
      <c r="T79" s="188"/>
      <c r="U79" s="188"/>
      <c r="V79" s="188"/>
      <c r="W79" s="188"/>
      <c r="X79" s="188"/>
      <c r="Y79" s="188"/>
      <c r="Z79" s="189"/>
    </row>
    <row r="80" spans="1:26" ht="111" customHeight="1" x14ac:dyDescent="0.15">
      <c r="B80" s="173" t="s">
        <v>109</v>
      </c>
      <c r="C80" s="80" t="s">
        <v>104</v>
      </c>
      <c r="D80" s="182" t="s">
        <v>221</v>
      </c>
      <c r="E80" s="183"/>
      <c r="F80" s="183"/>
      <c r="G80" s="183"/>
      <c r="H80" s="183"/>
      <c r="I80" s="183"/>
      <c r="J80" s="183"/>
      <c r="K80" s="183"/>
      <c r="L80" s="183"/>
      <c r="M80" s="183"/>
      <c r="N80" s="183"/>
      <c r="O80" s="183"/>
      <c r="P80" s="183"/>
      <c r="Q80" s="183"/>
      <c r="R80" s="183"/>
      <c r="S80" s="183"/>
      <c r="T80" s="183"/>
      <c r="U80" s="183"/>
      <c r="V80" s="183"/>
      <c r="W80" s="183"/>
      <c r="X80" s="183"/>
      <c r="Y80" s="183"/>
      <c r="Z80" s="184"/>
    </row>
    <row r="81" spans="1:26" ht="99" customHeight="1" x14ac:dyDescent="0.15">
      <c r="B81" s="174"/>
      <c r="C81" s="99" t="s">
        <v>137</v>
      </c>
      <c r="D81" s="190" t="s">
        <v>222</v>
      </c>
      <c r="E81" s="191"/>
      <c r="F81" s="191"/>
      <c r="G81" s="191"/>
      <c r="H81" s="191"/>
      <c r="I81" s="191"/>
      <c r="J81" s="191"/>
      <c r="K81" s="191"/>
      <c r="L81" s="191"/>
      <c r="M81" s="191"/>
      <c r="N81" s="191"/>
      <c r="O81" s="191"/>
      <c r="P81" s="191"/>
      <c r="Q81" s="191"/>
      <c r="R81" s="191"/>
      <c r="S81" s="191"/>
      <c r="T81" s="191"/>
      <c r="U81" s="191"/>
      <c r="V81" s="191"/>
      <c r="W81" s="191"/>
      <c r="X81" s="191"/>
      <c r="Y81" s="191"/>
      <c r="Z81" s="192"/>
    </row>
    <row r="82" spans="1:26" ht="75" customHeight="1" x14ac:dyDescent="0.15">
      <c r="B82" s="171" t="s">
        <v>110</v>
      </c>
      <c r="C82" s="75" t="s">
        <v>127</v>
      </c>
      <c r="D82" s="193" t="s">
        <v>223</v>
      </c>
      <c r="E82" s="194"/>
      <c r="F82" s="194"/>
      <c r="G82" s="194"/>
      <c r="H82" s="194"/>
      <c r="I82" s="194"/>
      <c r="J82" s="194"/>
      <c r="K82" s="194"/>
      <c r="L82" s="194"/>
      <c r="M82" s="194"/>
      <c r="N82" s="194"/>
      <c r="O82" s="194"/>
      <c r="P82" s="194"/>
      <c r="Q82" s="194"/>
      <c r="R82" s="194"/>
      <c r="S82" s="194"/>
      <c r="T82" s="194"/>
      <c r="U82" s="194"/>
      <c r="V82" s="194"/>
      <c r="W82" s="194"/>
      <c r="X82" s="194"/>
      <c r="Y82" s="194"/>
      <c r="Z82" s="195"/>
    </row>
    <row r="83" spans="1:26" ht="86.25" customHeight="1" x14ac:dyDescent="0.15">
      <c r="B83" s="172"/>
      <c r="C83" s="100" t="s">
        <v>128</v>
      </c>
      <c r="D83" s="199" t="s">
        <v>224</v>
      </c>
      <c r="E83" s="200"/>
      <c r="F83" s="200"/>
      <c r="G83" s="200"/>
      <c r="H83" s="200"/>
      <c r="I83" s="200"/>
      <c r="J83" s="200"/>
      <c r="K83" s="200"/>
      <c r="L83" s="200"/>
      <c r="M83" s="200"/>
      <c r="N83" s="200"/>
      <c r="O83" s="200"/>
      <c r="P83" s="200"/>
      <c r="Q83" s="200"/>
      <c r="R83" s="200"/>
      <c r="S83" s="200"/>
      <c r="T83" s="200"/>
      <c r="U83" s="200"/>
      <c r="V83" s="200"/>
      <c r="W83" s="200"/>
      <c r="X83" s="200"/>
      <c r="Y83" s="200"/>
      <c r="Z83" s="201"/>
    </row>
    <row r="84" spans="1:26" ht="46.5" customHeight="1" x14ac:dyDescent="0.15">
      <c r="B84" s="171" t="s">
        <v>111</v>
      </c>
      <c r="C84" s="75" t="s">
        <v>130</v>
      </c>
      <c r="D84" s="193" t="s">
        <v>225</v>
      </c>
      <c r="E84" s="194"/>
      <c r="F84" s="194"/>
      <c r="G84" s="194"/>
      <c r="H84" s="194"/>
      <c r="I84" s="194"/>
      <c r="J84" s="194"/>
      <c r="K84" s="194"/>
      <c r="L84" s="194"/>
      <c r="M84" s="194"/>
      <c r="N84" s="194"/>
      <c r="O84" s="194"/>
      <c r="P84" s="194"/>
      <c r="Q84" s="194"/>
      <c r="R84" s="194"/>
      <c r="S84" s="194"/>
      <c r="T84" s="194"/>
      <c r="U84" s="194"/>
      <c r="V84" s="194"/>
      <c r="W84" s="194"/>
      <c r="X84" s="194"/>
      <c r="Y84" s="194"/>
      <c r="Z84" s="195"/>
    </row>
    <row r="85" spans="1:26" ht="94.5" customHeight="1" x14ac:dyDescent="0.15">
      <c r="B85" s="172"/>
      <c r="C85" s="77" t="s">
        <v>131</v>
      </c>
      <c r="D85" s="196" t="s">
        <v>226</v>
      </c>
      <c r="E85" s="197"/>
      <c r="F85" s="197"/>
      <c r="G85" s="197"/>
      <c r="H85" s="197"/>
      <c r="I85" s="197"/>
      <c r="J85" s="197"/>
      <c r="K85" s="197"/>
      <c r="L85" s="197"/>
      <c r="M85" s="197"/>
      <c r="N85" s="197"/>
      <c r="O85" s="197"/>
      <c r="P85" s="197"/>
      <c r="Q85" s="197"/>
      <c r="R85" s="197"/>
      <c r="S85" s="197"/>
      <c r="T85" s="197"/>
      <c r="U85" s="197"/>
      <c r="V85" s="197"/>
      <c r="W85" s="197"/>
      <c r="X85" s="197"/>
      <c r="Y85" s="197"/>
      <c r="Z85" s="198"/>
    </row>
    <row r="86" spans="1:26" ht="156.75" customHeight="1" x14ac:dyDescent="0.15">
      <c r="B86" s="173" t="s">
        <v>138</v>
      </c>
      <c r="C86" s="80" t="s">
        <v>106</v>
      </c>
      <c r="D86" s="182" t="s">
        <v>227</v>
      </c>
      <c r="E86" s="183"/>
      <c r="F86" s="183"/>
      <c r="G86" s="183"/>
      <c r="H86" s="183"/>
      <c r="I86" s="183"/>
      <c r="J86" s="183"/>
      <c r="K86" s="183"/>
      <c r="L86" s="183"/>
      <c r="M86" s="183"/>
      <c r="N86" s="183"/>
      <c r="O86" s="183"/>
      <c r="P86" s="183"/>
      <c r="Q86" s="183"/>
      <c r="R86" s="183"/>
      <c r="S86" s="183"/>
      <c r="T86" s="183"/>
      <c r="U86" s="183"/>
      <c r="V86" s="183"/>
      <c r="W86" s="183"/>
      <c r="X86" s="183"/>
      <c r="Y86" s="183"/>
      <c r="Z86" s="184"/>
    </row>
    <row r="87" spans="1:26" ht="129.75" customHeight="1" x14ac:dyDescent="0.15">
      <c r="B87" s="181"/>
      <c r="C87" s="76" t="s">
        <v>108</v>
      </c>
      <c r="D87" s="185" t="s">
        <v>228</v>
      </c>
      <c r="E87" s="186"/>
      <c r="F87" s="186"/>
      <c r="G87" s="186"/>
      <c r="H87" s="186"/>
      <c r="I87" s="186"/>
      <c r="J87" s="186"/>
      <c r="K87" s="186"/>
      <c r="L87" s="186"/>
      <c r="M87" s="186"/>
      <c r="N87" s="186"/>
      <c r="O87" s="186"/>
      <c r="P87" s="186"/>
      <c r="Q87" s="186"/>
      <c r="R87" s="186"/>
      <c r="S87" s="186"/>
      <c r="T87" s="186"/>
      <c r="U87" s="186"/>
      <c r="V87" s="186"/>
      <c r="W87" s="186"/>
      <c r="X87" s="186"/>
      <c r="Y87" s="186"/>
      <c r="Z87" s="187"/>
    </row>
    <row r="88" spans="1:26" ht="219.75" customHeight="1" x14ac:dyDescent="0.15">
      <c r="B88" s="173" t="s">
        <v>139</v>
      </c>
      <c r="C88" s="75" t="s">
        <v>105</v>
      </c>
      <c r="D88" s="175" t="s">
        <v>229</v>
      </c>
      <c r="E88" s="176"/>
      <c r="F88" s="176"/>
      <c r="G88" s="176"/>
      <c r="H88" s="176"/>
      <c r="I88" s="176"/>
      <c r="J88" s="176"/>
      <c r="K88" s="176"/>
      <c r="L88" s="176"/>
      <c r="M88" s="176"/>
      <c r="N88" s="176"/>
      <c r="O88" s="176"/>
      <c r="P88" s="176"/>
      <c r="Q88" s="176"/>
      <c r="R88" s="176"/>
      <c r="S88" s="176"/>
      <c r="T88" s="176"/>
      <c r="U88" s="176"/>
      <c r="V88" s="176"/>
      <c r="W88" s="176"/>
      <c r="X88" s="176"/>
      <c r="Y88" s="176"/>
      <c r="Z88" s="177"/>
    </row>
    <row r="89" spans="1:26" ht="232.5" customHeight="1" x14ac:dyDescent="0.15">
      <c r="B89" s="174"/>
      <c r="C89" s="76" t="s">
        <v>134</v>
      </c>
      <c r="D89" s="257" t="s">
        <v>230</v>
      </c>
      <c r="E89" s="258"/>
      <c r="F89" s="258"/>
      <c r="G89" s="258"/>
      <c r="H89" s="258"/>
      <c r="I89" s="258"/>
      <c r="J89" s="258"/>
      <c r="K89" s="258"/>
      <c r="L89" s="258"/>
      <c r="M89" s="258"/>
      <c r="N89" s="258"/>
      <c r="O89" s="258"/>
      <c r="P89" s="258"/>
      <c r="Q89" s="258"/>
      <c r="R89" s="258"/>
      <c r="S89" s="258"/>
      <c r="T89" s="258"/>
      <c r="U89" s="258"/>
      <c r="V89" s="258"/>
      <c r="W89" s="258"/>
      <c r="X89" s="258"/>
      <c r="Y89" s="258"/>
      <c r="Z89" s="259"/>
    </row>
    <row r="90" spans="1:26" ht="409.5" customHeight="1" x14ac:dyDescent="0.15">
      <c r="B90" s="172"/>
      <c r="C90" s="77" t="s">
        <v>135</v>
      </c>
      <c r="D90" s="178" t="s">
        <v>231</v>
      </c>
      <c r="E90" s="179"/>
      <c r="F90" s="179"/>
      <c r="G90" s="179"/>
      <c r="H90" s="179"/>
      <c r="I90" s="179"/>
      <c r="J90" s="179"/>
      <c r="K90" s="179"/>
      <c r="L90" s="179"/>
      <c r="M90" s="179"/>
      <c r="N90" s="179"/>
      <c r="O90" s="179"/>
      <c r="P90" s="179"/>
      <c r="Q90" s="179"/>
      <c r="R90" s="179"/>
      <c r="S90" s="179"/>
      <c r="T90" s="179"/>
      <c r="U90" s="179"/>
      <c r="V90" s="179"/>
      <c r="W90" s="179"/>
      <c r="X90" s="179"/>
      <c r="Y90" s="179"/>
      <c r="Z90" s="180"/>
    </row>
    <row r="91" spans="1:26" ht="6" customHeight="1" x14ac:dyDescent="0.15"/>
    <row r="92" spans="1:26" ht="18.75" customHeight="1" x14ac:dyDescent="0.15">
      <c r="A92" s="12" t="s">
        <v>143</v>
      </c>
    </row>
    <row r="93" spans="1:26" ht="18.75" customHeight="1" x14ac:dyDescent="0.15">
      <c r="B93" s="244" t="s">
        <v>232</v>
      </c>
      <c r="C93" s="245"/>
      <c r="D93" s="245"/>
      <c r="E93" s="245"/>
      <c r="F93" s="245"/>
      <c r="G93" s="245"/>
      <c r="H93" s="245"/>
      <c r="I93" s="245"/>
      <c r="J93" s="245"/>
      <c r="K93" s="245"/>
      <c r="L93" s="245"/>
      <c r="M93" s="245"/>
      <c r="N93" s="245"/>
      <c r="O93" s="245"/>
      <c r="P93" s="245"/>
      <c r="Q93" s="245"/>
      <c r="R93" s="245"/>
      <c r="S93" s="245"/>
      <c r="T93" s="245"/>
      <c r="U93" s="245"/>
      <c r="V93" s="245"/>
      <c r="W93" s="245"/>
      <c r="X93" s="245"/>
      <c r="Y93" s="245"/>
      <c r="Z93" s="246"/>
    </row>
    <row r="94" spans="1:26" ht="18.75" customHeight="1" x14ac:dyDescent="0.15">
      <c r="B94" s="247"/>
      <c r="C94" s="248"/>
      <c r="D94" s="248"/>
      <c r="E94" s="248"/>
      <c r="F94" s="248"/>
      <c r="G94" s="248"/>
      <c r="H94" s="248"/>
      <c r="I94" s="248"/>
      <c r="J94" s="248"/>
      <c r="K94" s="248"/>
      <c r="L94" s="248"/>
      <c r="M94" s="248"/>
      <c r="N94" s="248"/>
      <c r="O94" s="248"/>
      <c r="P94" s="248"/>
      <c r="Q94" s="248"/>
      <c r="R94" s="248"/>
      <c r="S94" s="248"/>
      <c r="T94" s="248"/>
      <c r="U94" s="248"/>
      <c r="V94" s="248"/>
      <c r="W94" s="248"/>
      <c r="X94" s="248"/>
      <c r="Y94" s="248"/>
      <c r="Z94" s="249"/>
    </row>
    <row r="95" spans="1:26" ht="18.75" customHeight="1" x14ac:dyDescent="0.15">
      <c r="B95" s="250"/>
      <c r="C95" s="179"/>
      <c r="D95" s="179"/>
      <c r="E95" s="179"/>
      <c r="F95" s="179"/>
      <c r="G95" s="179"/>
      <c r="H95" s="179"/>
      <c r="I95" s="179"/>
      <c r="J95" s="179"/>
      <c r="K95" s="179"/>
      <c r="L95" s="179"/>
      <c r="M95" s="179"/>
      <c r="N95" s="179"/>
      <c r="O95" s="179"/>
      <c r="P95" s="179"/>
      <c r="Q95" s="179"/>
      <c r="R95" s="179"/>
      <c r="S95" s="179"/>
      <c r="T95" s="179"/>
      <c r="U95" s="179"/>
      <c r="V95" s="179"/>
      <c r="W95" s="179"/>
      <c r="X95" s="179"/>
      <c r="Y95" s="179"/>
      <c r="Z95" s="180"/>
    </row>
    <row r="96" spans="1:26" ht="6" customHeight="1" x14ac:dyDescent="0.15"/>
    <row r="97" spans="1:26" ht="15" customHeight="1" x14ac:dyDescent="0.15">
      <c r="A97" s="12" t="s">
        <v>144</v>
      </c>
    </row>
    <row r="98" spans="1:26" ht="15" customHeight="1" x14ac:dyDescent="0.15">
      <c r="B98" s="251" t="s">
        <v>182</v>
      </c>
      <c r="C98" s="252"/>
      <c r="D98" s="252"/>
      <c r="E98" s="252"/>
      <c r="F98" s="252"/>
      <c r="G98" s="252"/>
      <c r="H98" s="252"/>
      <c r="I98" s="252"/>
      <c r="J98" s="252"/>
      <c r="K98" s="252"/>
      <c r="L98" s="252"/>
      <c r="M98" s="252"/>
      <c r="N98" s="252"/>
      <c r="O98" s="252"/>
      <c r="P98" s="252"/>
      <c r="Q98" s="252"/>
      <c r="R98" s="252"/>
      <c r="S98" s="252"/>
      <c r="T98" s="252"/>
      <c r="U98" s="252"/>
      <c r="V98" s="252"/>
      <c r="W98" s="252"/>
      <c r="X98" s="252"/>
      <c r="Y98" s="252"/>
      <c r="Z98" s="253"/>
    </row>
  </sheetData>
  <mergeCells count="211">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H60:J60"/>
    <mergeCell ref="H61:J61"/>
    <mergeCell ref="B59:E59"/>
    <mergeCell ref="N59:R59"/>
    <mergeCell ref="B43:F43"/>
    <mergeCell ref="B44:F44"/>
    <mergeCell ref="N37:S37"/>
    <mergeCell ref="N38:S38"/>
    <mergeCell ref="N39:S39"/>
    <mergeCell ref="N40:S40"/>
    <mergeCell ref="N41:S41"/>
    <mergeCell ref="N42:S42"/>
    <mergeCell ref="N43:S43"/>
    <mergeCell ref="N44:S44"/>
    <mergeCell ref="I43:K43"/>
    <mergeCell ref="B37:F37"/>
    <mergeCell ref="B38:F38"/>
    <mergeCell ref="B39:F39"/>
    <mergeCell ref="B41:F41"/>
    <mergeCell ref="B42:F42"/>
    <mergeCell ref="B31:F31"/>
    <mergeCell ref="B32:F32"/>
    <mergeCell ref="B33:F33"/>
    <mergeCell ref="N26:S26"/>
    <mergeCell ref="N27:S27"/>
    <mergeCell ref="N28:S28"/>
    <mergeCell ref="N29:S29"/>
    <mergeCell ref="N30:S30"/>
    <mergeCell ref="N31:S31"/>
    <mergeCell ref="N32:S32"/>
    <mergeCell ref="N33:S33"/>
    <mergeCell ref="B30:F30"/>
    <mergeCell ref="B29:F29"/>
    <mergeCell ref="W1:Z1"/>
    <mergeCell ref="B15:F15"/>
    <mergeCell ref="B16:F16"/>
    <mergeCell ref="B17:F17"/>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6:E66"/>
    <mergeCell ref="N60:R60"/>
    <mergeCell ref="N61:R61"/>
    <mergeCell ref="N62:R62"/>
    <mergeCell ref="B93:Z95"/>
    <mergeCell ref="B98:Z98"/>
    <mergeCell ref="T76:Z76"/>
    <mergeCell ref="B71:F71"/>
    <mergeCell ref="G71:M71"/>
    <mergeCell ref="N71:S71"/>
    <mergeCell ref="T71:Z71"/>
    <mergeCell ref="B74:F74"/>
    <mergeCell ref="G74:M74"/>
    <mergeCell ref="N74:S74"/>
    <mergeCell ref="T74:Z74"/>
    <mergeCell ref="B72:F72"/>
    <mergeCell ref="B75:F75"/>
    <mergeCell ref="G75:M75"/>
    <mergeCell ref="N75:S75"/>
    <mergeCell ref="T75:Z75"/>
    <mergeCell ref="B76:F76"/>
    <mergeCell ref="G76:M76"/>
    <mergeCell ref="N76:S76"/>
    <mergeCell ref="D89:Z89"/>
    <mergeCell ref="B69:F69"/>
    <mergeCell ref="G69:M69"/>
    <mergeCell ref="N69:S69"/>
    <mergeCell ref="V44:X44"/>
    <mergeCell ref="I50:K50"/>
    <mergeCell ref="V50:X50"/>
    <mergeCell ref="B48:F48"/>
    <mergeCell ref="B49:F49"/>
    <mergeCell ref="A46:Z47"/>
    <mergeCell ref="I48:K48"/>
    <mergeCell ref="B51:F51"/>
    <mergeCell ref="B52:F52"/>
    <mergeCell ref="B53:F53"/>
    <mergeCell ref="B54:F54"/>
    <mergeCell ref="B55:F55"/>
    <mergeCell ref="H63:J63"/>
    <mergeCell ref="U63:W63"/>
    <mergeCell ref="B60:E60"/>
    <mergeCell ref="B61:E61"/>
    <mergeCell ref="B62:E62"/>
    <mergeCell ref="B63:E63"/>
    <mergeCell ref="B64:E64"/>
    <mergeCell ref="B65:E65"/>
    <mergeCell ref="V32:X32"/>
    <mergeCell ref="V33:X33"/>
    <mergeCell ref="I42:K42"/>
    <mergeCell ref="V42:X42"/>
    <mergeCell ref="V37:X37"/>
    <mergeCell ref="I38:K38"/>
    <mergeCell ref="V38:X38"/>
    <mergeCell ref="I39:K39"/>
    <mergeCell ref="V39:X39"/>
    <mergeCell ref="I37:K37"/>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A35:Z36"/>
    <mergeCell ref="V41:X41"/>
    <mergeCell ref="V31:X31"/>
    <mergeCell ref="I31:K31"/>
    <mergeCell ref="I32:K32"/>
    <mergeCell ref="I33:K33"/>
    <mergeCell ref="H62:J62"/>
    <mergeCell ref="U62:W62"/>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V26:X26"/>
    <mergeCell ref="V27:X27"/>
    <mergeCell ref="V28:X28"/>
    <mergeCell ref="I26:K26"/>
    <mergeCell ref="I27:K27"/>
    <mergeCell ref="I28:K28"/>
    <mergeCell ref="B26:F26"/>
    <mergeCell ref="N70:S70"/>
    <mergeCell ref="T70:Z70"/>
    <mergeCell ref="T69:Z69"/>
    <mergeCell ref="B70:F70"/>
    <mergeCell ref="G70:M70"/>
    <mergeCell ref="U60:W60"/>
    <mergeCell ref="U61:W61"/>
    <mergeCell ref="U64:W64"/>
    <mergeCell ref="U65:W65"/>
    <mergeCell ref="U66:W66"/>
    <mergeCell ref="I29:K29"/>
    <mergeCell ref="I30:K30"/>
    <mergeCell ref="V29:X29"/>
    <mergeCell ref="V30:X30"/>
    <mergeCell ref="I40:K40"/>
    <mergeCell ref="I41:K41"/>
    <mergeCell ref="V40:X40"/>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D81:Z81"/>
    <mergeCell ref="D82:Z82"/>
    <mergeCell ref="D85:Z85"/>
    <mergeCell ref="D83:Z83"/>
    <mergeCell ref="D84:Z84"/>
    <mergeCell ref="B73:F73"/>
    <mergeCell ref="G72:M72"/>
    <mergeCell ref="G73:M73"/>
    <mergeCell ref="N72:S72"/>
  </mergeCells>
  <phoneticPr fontId="1"/>
  <dataValidations count="4">
    <dataValidation type="list" allowBlank="1" showInputMessage="1" showErrorMessage="1" sqref="Y16:Z22 Y27:Z33 Y38:Z44 Y49:Z55 Y60:Z66 T60:T66 U16:U22 L64:M66 U27:U33 H27:H33 U38:U44 L38:M44 U49:U55 G60:G66 L16:M22 H16:H22 L27:M33 H38:H44 H49:H55 L49:M55" xr:uid="{670293EA-AF9C-42F9-A2FD-68758826EBE0}">
      <formula1>"○"</formula1>
    </dataValidation>
    <dataValidation type="list" allowBlank="1" showInputMessage="1" showErrorMessage="1" sqref="Z23 Z34 D34:K34 D23:K23 V16:V22 I16:I22 V27:V33 H60:H66 V38:V44 I27:I33 V49:V55 I38:I44 U60:U66 I49:I55" xr:uid="{4FAC338F-C622-4321-98D2-7D95AF26A054}">
      <formula1>"全学開講,一部開講"</formula1>
    </dataValidation>
    <dataValidation type="list" allowBlank="1" showInputMessage="1" showErrorMessage="1" sqref="O4" xr:uid="{CC0B288D-C3E6-400C-A9DD-D3D4531F5703}">
      <formula1>"学部・学科によって、修了要件は相違する,学部・学科によって、修了要件は相違しない"</formula1>
    </dataValidation>
    <dataValidation type="list" allowBlank="1" showInputMessage="1" showErrorMessage="1" sqref="H74:M77 G70:G77 H70:M71 T70:T77 U70:Z71 U74:Z77" xr:uid="{FEFAF8AE-E8D1-4A0D-8308-A8E37809609B}">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351C31DF-6B9F-4F5E-922C-C6F284DEA75C}"/>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34"/>
  <sheetViews>
    <sheetView view="pageBreakPreview" zoomScaleNormal="100" zoomScaleSheetLayoutView="100" workbookViewId="0">
      <selection activeCell="T30" sqref="T30:X35"/>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61" t="s">
        <v>63</v>
      </c>
      <c r="G1" s="261"/>
      <c r="H1" s="261"/>
      <c r="I1" s="261"/>
      <c r="J1" s="261"/>
      <c r="K1" s="261"/>
      <c r="L1" s="261"/>
      <c r="M1" s="261"/>
      <c r="N1" s="261"/>
      <c r="O1" s="261"/>
      <c r="P1" s="261"/>
      <c r="Q1" s="261"/>
      <c r="R1" s="261"/>
    </row>
    <row r="2" spans="1:20" ht="18" customHeight="1" x14ac:dyDescent="0.15">
      <c r="A2" s="262" t="s">
        <v>89</v>
      </c>
      <c r="B2" s="262"/>
      <c r="C2" s="262"/>
      <c r="D2" s="262"/>
      <c r="E2" s="262"/>
      <c r="F2" s="262"/>
      <c r="G2" s="262"/>
      <c r="H2" s="262"/>
      <c r="I2" s="262"/>
      <c r="J2" s="262"/>
      <c r="K2" s="262"/>
      <c r="L2" s="262"/>
      <c r="M2" s="262"/>
      <c r="N2" s="262"/>
      <c r="O2" s="262"/>
      <c r="P2" s="262"/>
      <c r="Q2" s="262"/>
      <c r="R2" s="262"/>
      <c r="S2" s="3"/>
    </row>
    <row r="3" spans="1:20" ht="7.5" customHeight="1" x14ac:dyDescent="0.15">
      <c r="A3" s="34"/>
      <c r="B3" s="34"/>
      <c r="C3" s="34"/>
      <c r="D3" s="34"/>
      <c r="E3" s="34"/>
      <c r="F3" s="34"/>
      <c r="G3" s="34"/>
      <c r="H3" s="34"/>
      <c r="I3" s="34"/>
      <c r="J3" s="34"/>
      <c r="K3" s="34"/>
      <c r="L3" s="34"/>
      <c r="M3" s="34"/>
      <c r="N3" s="34"/>
      <c r="O3" s="34"/>
      <c r="P3" s="34"/>
      <c r="Q3" s="34"/>
      <c r="R3" s="34"/>
    </row>
    <row r="4" spans="1:20" ht="18" customHeight="1" x14ac:dyDescent="0.15">
      <c r="A4" s="3" t="s">
        <v>147</v>
      </c>
      <c r="B4" s="3"/>
      <c r="C4" s="263">
        <f>'様式１　大学等概要'!E12</f>
        <v>2021</v>
      </c>
      <c r="D4" s="264"/>
      <c r="E4" s="34" t="s">
        <v>113</v>
      </c>
      <c r="F4" s="34"/>
      <c r="G4" s="34"/>
      <c r="H4" s="34"/>
      <c r="I4" s="34"/>
      <c r="J4" s="81"/>
      <c r="K4" s="34"/>
      <c r="L4" s="34"/>
      <c r="M4" s="105"/>
      <c r="N4" s="105"/>
      <c r="O4" s="105"/>
      <c r="P4" s="105"/>
      <c r="Q4" s="105"/>
      <c r="R4" s="105"/>
    </row>
    <row r="5" spans="1:20" ht="6" customHeight="1" x14ac:dyDescent="0.15">
      <c r="A5" s="34"/>
      <c r="B5" s="34"/>
      <c r="C5" s="34"/>
      <c r="D5" s="34"/>
      <c r="E5" s="34"/>
      <c r="F5" s="34"/>
      <c r="G5" s="34"/>
      <c r="H5" s="34"/>
      <c r="I5" s="34"/>
      <c r="J5" s="34"/>
      <c r="K5" s="34"/>
      <c r="L5" s="34"/>
      <c r="M5" s="34"/>
      <c r="N5" s="34"/>
      <c r="O5" s="34"/>
      <c r="P5" s="34"/>
      <c r="Q5" s="34"/>
      <c r="R5" s="34"/>
    </row>
    <row r="6" spans="1:20" ht="18" customHeight="1" x14ac:dyDescent="0.15">
      <c r="A6" s="3" t="s">
        <v>145</v>
      </c>
      <c r="B6" s="34"/>
      <c r="C6" s="34"/>
      <c r="D6" s="34"/>
      <c r="E6" s="34"/>
      <c r="F6" s="34"/>
      <c r="G6" s="34"/>
      <c r="H6" s="34"/>
      <c r="I6" s="34"/>
      <c r="J6" s="34"/>
      <c r="K6" s="34"/>
      <c r="L6" s="34"/>
      <c r="M6" s="34"/>
      <c r="N6" s="34"/>
      <c r="O6" s="34"/>
      <c r="P6" s="34"/>
      <c r="Q6" s="34"/>
      <c r="R6" s="34"/>
    </row>
    <row r="7" spans="1:20" ht="6" customHeight="1" x14ac:dyDescent="0.15">
      <c r="A7" s="3"/>
      <c r="B7" s="34"/>
      <c r="C7" s="34"/>
      <c r="D7" s="34"/>
      <c r="E7" s="34"/>
      <c r="F7" s="34"/>
      <c r="G7" s="34"/>
      <c r="H7" s="34"/>
      <c r="I7" s="34"/>
      <c r="J7" s="34"/>
      <c r="K7" s="34"/>
      <c r="L7" s="34"/>
      <c r="M7" s="34"/>
      <c r="N7" s="34"/>
      <c r="O7" s="34"/>
      <c r="P7" s="34"/>
      <c r="Q7" s="34"/>
      <c r="R7" s="34"/>
    </row>
    <row r="8" spans="1:20" ht="18" customHeight="1" x14ac:dyDescent="0.15">
      <c r="B8" s="265" t="s">
        <v>79</v>
      </c>
      <c r="C8" s="267" t="s">
        <v>84</v>
      </c>
      <c r="D8" s="269" t="s">
        <v>68</v>
      </c>
      <c r="E8" s="271" t="s">
        <v>90</v>
      </c>
      <c r="F8" s="271"/>
      <c r="G8" s="271" t="s">
        <v>91</v>
      </c>
      <c r="H8" s="271"/>
      <c r="I8" s="271" t="s">
        <v>92</v>
      </c>
      <c r="J8" s="271"/>
      <c r="K8" s="272" t="s">
        <v>93</v>
      </c>
      <c r="L8" s="273"/>
      <c r="M8" s="272" t="s">
        <v>94</v>
      </c>
      <c r="N8" s="273"/>
      <c r="O8" s="272" t="s">
        <v>95</v>
      </c>
      <c r="P8" s="273"/>
      <c r="Q8" s="274" t="s">
        <v>62</v>
      </c>
      <c r="R8" s="276" t="s">
        <v>56</v>
      </c>
      <c r="T8" s="31"/>
    </row>
    <row r="9" spans="1:20" ht="18" customHeight="1" x14ac:dyDescent="0.15">
      <c r="A9" s="3"/>
      <c r="B9" s="266"/>
      <c r="C9" s="268"/>
      <c r="D9" s="270"/>
      <c r="E9" s="39" t="s">
        <v>44</v>
      </c>
      <c r="F9" s="40" t="s">
        <v>43</v>
      </c>
      <c r="G9" s="41" t="s">
        <v>44</v>
      </c>
      <c r="H9" s="42" t="s">
        <v>43</v>
      </c>
      <c r="I9" s="39" t="s">
        <v>44</v>
      </c>
      <c r="J9" s="40" t="s">
        <v>43</v>
      </c>
      <c r="K9" s="41" t="s">
        <v>44</v>
      </c>
      <c r="L9" s="42" t="s">
        <v>43</v>
      </c>
      <c r="M9" s="39" t="s">
        <v>44</v>
      </c>
      <c r="N9" s="40" t="s">
        <v>43</v>
      </c>
      <c r="O9" s="41" t="s">
        <v>44</v>
      </c>
      <c r="P9" s="42" t="s">
        <v>43</v>
      </c>
      <c r="Q9" s="275"/>
      <c r="R9" s="277"/>
      <c r="T9" s="31"/>
    </row>
    <row r="10" spans="1:20" ht="18" customHeight="1" x14ac:dyDescent="0.15">
      <c r="A10" s="43"/>
      <c r="B10" s="82" t="s">
        <v>196</v>
      </c>
      <c r="C10" s="43">
        <v>40</v>
      </c>
      <c r="D10" s="44">
        <v>160</v>
      </c>
      <c r="E10" s="45">
        <v>23</v>
      </c>
      <c r="F10" s="46">
        <v>23</v>
      </c>
      <c r="G10" s="47"/>
      <c r="H10" s="48"/>
      <c r="I10" s="45"/>
      <c r="J10" s="46"/>
      <c r="K10" s="47"/>
      <c r="L10" s="48"/>
      <c r="M10" s="45"/>
      <c r="N10" s="46"/>
      <c r="O10" s="47"/>
      <c r="P10" s="48"/>
      <c r="Q10" s="49">
        <f>E10+G10+I10+K10+M10+O10</f>
        <v>23</v>
      </c>
      <c r="R10" s="50">
        <f>Q10/D10</f>
        <v>0.14374999999999999</v>
      </c>
    </row>
    <row r="11" spans="1:20" ht="18" customHeight="1" x14ac:dyDescent="0.15">
      <c r="A11" s="43"/>
      <c r="B11" s="83" t="s">
        <v>197</v>
      </c>
      <c r="C11" s="59">
        <v>40</v>
      </c>
      <c r="D11" s="52">
        <v>160</v>
      </c>
      <c r="E11" s="53">
        <v>29</v>
      </c>
      <c r="F11" s="54">
        <v>27</v>
      </c>
      <c r="G11" s="55"/>
      <c r="H11" s="56"/>
      <c r="I11" s="53"/>
      <c r="J11" s="54"/>
      <c r="K11" s="55"/>
      <c r="L11" s="56"/>
      <c r="M11" s="53"/>
      <c r="N11" s="54"/>
      <c r="O11" s="55"/>
      <c r="P11" s="56"/>
      <c r="Q11" s="57">
        <f t="shared" ref="Q11:Q29" si="0">E11+G11+I11+K11+M11+O11</f>
        <v>29</v>
      </c>
      <c r="R11" s="58">
        <f t="shared" ref="R11:R29" si="1">Q11/D11</f>
        <v>0.18124999999999999</v>
      </c>
    </row>
    <row r="12" spans="1:20" ht="18" customHeight="1" x14ac:dyDescent="0.15">
      <c r="A12" s="43"/>
      <c r="B12" s="83" t="s">
        <v>198</v>
      </c>
      <c r="C12" s="59">
        <v>35</v>
      </c>
      <c r="D12" s="52">
        <v>140</v>
      </c>
      <c r="E12" s="53">
        <v>14</v>
      </c>
      <c r="F12" s="54">
        <v>14</v>
      </c>
      <c r="G12" s="55"/>
      <c r="H12" s="56"/>
      <c r="I12" s="53"/>
      <c r="J12" s="54"/>
      <c r="K12" s="55"/>
      <c r="L12" s="56"/>
      <c r="M12" s="53"/>
      <c r="N12" s="54"/>
      <c r="O12" s="55"/>
      <c r="P12" s="56"/>
      <c r="Q12" s="57">
        <f t="shared" si="0"/>
        <v>14</v>
      </c>
      <c r="R12" s="58">
        <f t="shared" si="1"/>
        <v>0.1</v>
      </c>
    </row>
    <row r="13" spans="1:20" ht="18" customHeight="1" x14ac:dyDescent="0.15">
      <c r="A13" s="43"/>
      <c r="B13" s="83" t="s">
        <v>199</v>
      </c>
      <c r="C13" s="59">
        <v>60</v>
      </c>
      <c r="D13" s="52">
        <v>250</v>
      </c>
      <c r="E13" s="53">
        <v>36</v>
      </c>
      <c r="F13" s="54">
        <v>36</v>
      </c>
      <c r="G13" s="55"/>
      <c r="H13" s="56"/>
      <c r="I13" s="53"/>
      <c r="J13" s="54"/>
      <c r="K13" s="55"/>
      <c r="L13" s="56"/>
      <c r="M13" s="53"/>
      <c r="N13" s="54"/>
      <c r="O13" s="55"/>
      <c r="P13" s="56"/>
      <c r="Q13" s="57">
        <f t="shared" si="0"/>
        <v>36</v>
      </c>
      <c r="R13" s="58">
        <f t="shared" si="1"/>
        <v>0.14399999999999999</v>
      </c>
    </row>
    <row r="14" spans="1:20" ht="18" customHeight="1" x14ac:dyDescent="0.15">
      <c r="A14" s="43"/>
      <c r="B14" s="83" t="s">
        <v>200</v>
      </c>
      <c r="C14" s="59">
        <v>35</v>
      </c>
      <c r="D14" s="52">
        <v>140</v>
      </c>
      <c r="E14" s="53">
        <v>36</v>
      </c>
      <c r="F14" s="54">
        <v>35</v>
      </c>
      <c r="G14" s="55"/>
      <c r="H14" s="56"/>
      <c r="I14" s="53"/>
      <c r="J14" s="54"/>
      <c r="K14" s="55"/>
      <c r="L14" s="56"/>
      <c r="M14" s="53"/>
      <c r="N14" s="54"/>
      <c r="O14" s="55"/>
      <c r="P14" s="56"/>
      <c r="Q14" s="57">
        <f t="shared" si="0"/>
        <v>36</v>
      </c>
      <c r="R14" s="58">
        <f t="shared" si="1"/>
        <v>0.25714285714285712</v>
      </c>
    </row>
    <row r="15" spans="1:20" ht="18" customHeight="1" x14ac:dyDescent="0.15">
      <c r="A15" s="43"/>
      <c r="B15" s="83" t="s">
        <v>201</v>
      </c>
      <c r="C15" s="59">
        <v>45</v>
      </c>
      <c r="D15" s="52">
        <v>185</v>
      </c>
      <c r="E15" s="53">
        <v>30</v>
      </c>
      <c r="F15" s="54">
        <v>30</v>
      </c>
      <c r="G15" s="55"/>
      <c r="H15" s="56"/>
      <c r="I15" s="53"/>
      <c r="J15" s="54"/>
      <c r="K15" s="55"/>
      <c r="L15" s="56"/>
      <c r="M15" s="53"/>
      <c r="N15" s="54"/>
      <c r="O15" s="55"/>
      <c r="P15" s="56"/>
      <c r="Q15" s="57">
        <f t="shared" si="0"/>
        <v>30</v>
      </c>
      <c r="R15" s="58">
        <f t="shared" si="1"/>
        <v>0.16216216216216217</v>
      </c>
    </row>
    <row r="16" spans="1:20" ht="18" customHeight="1" x14ac:dyDescent="0.15">
      <c r="A16" s="43"/>
      <c r="B16" s="83" t="s">
        <v>202</v>
      </c>
      <c r="C16" s="59">
        <v>75</v>
      </c>
      <c r="D16" s="52">
        <v>300</v>
      </c>
      <c r="E16" s="53">
        <v>69</v>
      </c>
      <c r="F16" s="116">
        <v>0</v>
      </c>
      <c r="G16" s="55"/>
      <c r="H16" s="56"/>
      <c r="I16" s="53"/>
      <c r="J16" s="54"/>
      <c r="K16" s="55"/>
      <c r="L16" s="56"/>
      <c r="M16" s="53"/>
      <c r="N16" s="54"/>
      <c r="O16" s="55"/>
      <c r="P16" s="56"/>
      <c r="Q16" s="57">
        <f t="shared" si="0"/>
        <v>69</v>
      </c>
      <c r="R16" s="58">
        <f t="shared" si="1"/>
        <v>0.23</v>
      </c>
    </row>
    <row r="17" spans="1:23" ht="18" customHeight="1" x14ac:dyDescent="0.15">
      <c r="A17" s="43"/>
      <c r="B17" s="83"/>
      <c r="C17" s="59"/>
      <c r="D17" s="52"/>
      <c r="E17" s="53"/>
      <c r="F17" s="54"/>
      <c r="G17" s="55"/>
      <c r="H17" s="56"/>
      <c r="I17" s="53"/>
      <c r="J17" s="54"/>
      <c r="K17" s="55"/>
      <c r="L17" s="56"/>
      <c r="M17" s="53"/>
      <c r="N17" s="54"/>
      <c r="O17" s="55"/>
      <c r="P17" s="56"/>
      <c r="Q17" s="57">
        <f t="shared" si="0"/>
        <v>0</v>
      </c>
      <c r="R17" s="58" t="e">
        <f t="shared" si="1"/>
        <v>#DIV/0!</v>
      </c>
    </row>
    <row r="18" spans="1:23" ht="18" customHeight="1" x14ac:dyDescent="0.15">
      <c r="A18" s="43"/>
      <c r="B18" s="83"/>
      <c r="C18" s="59"/>
      <c r="D18" s="52"/>
      <c r="E18" s="53"/>
      <c r="F18" s="54"/>
      <c r="G18" s="55"/>
      <c r="H18" s="56"/>
      <c r="I18" s="53"/>
      <c r="J18" s="54"/>
      <c r="K18" s="55"/>
      <c r="L18" s="56"/>
      <c r="M18" s="53"/>
      <c r="N18" s="54"/>
      <c r="O18" s="55"/>
      <c r="P18" s="56"/>
      <c r="Q18" s="57">
        <f>E18+G18+I18+K18+M18+O18</f>
        <v>0</v>
      </c>
      <c r="R18" s="58" t="e">
        <f t="shared" si="1"/>
        <v>#DIV/0!</v>
      </c>
    </row>
    <row r="19" spans="1:23" ht="18" customHeight="1" x14ac:dyDescent="0.15">
      <c r="A19" s="43"/>
      <c r="B19" s="83"/>
      <c r="C19" s="59"/>
      <c r="D19" s="52"/>
      <c r="E19" s="53"/>
      <c r="F19" s="54"/>
      <c r="G19" s="55"/>
      <c r="H19" s="56"/>
      <c r="I19" s="53"/>
      <c r="J19" s="54"/>
      <c r="K19" s="55"/>
      <c r="L19" s="56"/>
      <c r="M19" s="53"/>
      <c r="N19" s="54"/>
      <c r="O19" s="55"/>
      <c r="P19" s="56"/>
      <c r="Q19" s="57">
        <f t="shared" si="0"/>
        <v>0</v>
      </c>
      <c r="R19" s="58" t="e">
        <f t="shared" si="1"/>
        <v>#DIV/0!</v>
      </c>
    </row>
    <row r="20" spans="1:23" ht="18" customHeight="1" x14ac:dyDescent="0.15">
      <c r="A20" s="43"/>
      <c r="B20" s="83"/>
      <c r="C20" s="59"/>
      <c r="D20" s="52"/>
      <c r="E20" s="53"/>
      <c r="F20" s="54"/>
      <c r="G20" s="55"/>
      <c r="H20" s="56"/>
      <c r="I20" s="53"/>
      <c r="J20" s="54"/>
      <c r="K20" s="55"/>
      <c r="L20" s="56"/>
      <c r="M20" s="53"/>
      <c r="N20" s="54"/>
      <c r="O20" s="55"/>
      <c r="P20" s="56"/>
      <c r="Q20" s="57">
        <f t="shared" si="0"/>
        <v>0</v>
      </c>
      <c r="R20" s="58" t="e">
        <f t="shared" si="1"/>
        <v>#DIV/0!</v>
      </c>
    </row>
    <row r="21" spans="1:23" ht="18" customHeight="1" x14ac:dyDescent="0.15">
      <c r="A21" s="43"/>
      <c r="B21" s="83"/>
      <c r="C21" s="59"/>
      <c r="D21" s="52"/>
      <c r="E21" s="53"/>
      <c r="F21" s="54"/>
      <c r="G21" s="55"/>
      <c r="H21" s="56"/>
      <c r="I21" s="53"/>
      <c r="J21" s="54"/>
      <c r="K21" s="55"/>
      <c r="L21" s="56"/>
      <c r="M21" s="53"/>
      <c r="N21" s="54"/>
      <c r="O21" s="55"/>
      <c r="P21" s="56"/>
      <c r="Q21" s="57">
        <f t="shared" si="0"/>
        <v>0</v>
      </c>
      <c r="R21" s="58" t="e">
        <f t="shared" si="1"/>
        <v>#DIV/0!</v>
      </c>
    </row>
    <row r="22" spans="1:23" ht="18" customHeight="1" x14ac:dyDescent="0.15">
      <c r="A22" s="43"/>
      <c r="B22" s="83"/>
      <c r="C22" s="59"/>
      <c r="D22" s="52"/>
      <c r="E22" s="53"/>
      <c r="F22" s="54"/>
      <c r="G22" s="55"/>
      <c r="H22" s="56"/>
      <c r="I22" s="53"/>
      <c r="J22" s="54"/>
      <c r="K22" s="55"/>
      <c r="L22" s="56"/>
      <c r="M22" s="53"/>
      <c r="N22" s="54"/>
      <c r="O22" s="55"/>
      <c r="P22" s="56"/>
      <c r="Q22" s="57">
        <f t="shared" si="0"/>
        <v>0</v>
      </c>
      <c r="R22" s="58" t="e">
        <f t="shared" si="1"/>
        <v>#DIV/0!</v>
      </c>
      <c r="V22" s="112"/>
    </row>
    <row r="23" spans="1:23" ht="18" customHeight="1" x14ac:dyDescent="0.15">
      <c r="A23" s="43"/>
      <c r="B23" s="83"/>
      <c r="C23" s="59"/>
      <c r="D23" s="52"/>
      <c r="E23" s="53"/>
      <c r="F23" s="54"/>
      <c r="G23" s="55"/>
      <c r="H23" s="56"/>
      <c r="I23" s="53"/>
      <c r="J23" s="54"/>
      <c r="K23" s="55"/>
      <c r="L23" s="56"/>
      <c r="M23" s="53"/>
      <c r="N23" s="54"/>
      <c r="O23" s="55"/>
      <c r="P23" s="56"/>
      <c r="Q23" s="57">
        <f t="shared" si="0"/>
        <v>0</v>
      </c>
      <c r="R23" s="58" t="e">
        <f t="shared" si="1"/>
        <v>#DIV/0!</v>
      </c>
      <c r="V23" s="112"/>
      <c r="W23" s="113"/>
    </row>
    <row r="24" spans="1:23" ht="18" customHeight="1" x14ac:dyDescent="0.15">
      <c r="A24" s="43"/>
      <c r="B24" s="83"/>
      <c r="C24" s="59"/>
      <c r="D24" s="52"/>
      <c r="E24" s="53"/>
      <c r="F24" s="54"/>
      <c r="G24" s="55"/>
      <c r="H24" s="56"/>
      <c r="I24" s="53"/>
      <c r="J24" s="54"/>
      <c r="K24" s="55"/>
      <c r="L24" s="56"/>
      <c r="M24" s="53"/>
      <c r="N24" s="54"/>
      <c r="O24" s="55"/>
      <c r="P24" s="56"/>
      <c r="Q24" s="57">
        <f t="shared" si="0"/>
        <v>0</v>
      </c>
      <c r="R24" s="58" t="e">
        <f t="shared" si="1"/>
        <v>#DIV/0!</v>
      </c>
      <c r="V24" s="112"/>
      <c r="W24" s="113"/>
    </row>
    <row r="25" spans="1:23" ht="18" customHeight="1" x14ac:dyDescent="0.15">
      <c r="A25" s="43"/>
      <c r="B25" s="83"/>
      <c r="C25" s="59"/>
      <c r="D25" s="52"/>
      <c r="E25" s="53"/>
      <c r="F25" s="54"/>
      <c r="G25" s="55"/>
      <c r="H25" s="56"/>
      <c r="I25" s="53"/>
      <c r="J25" s="54"/>
      <c r="K25" s="55"/>
      <c r="L25" s="56"/>
      <c r="M25" s="53"/>
      <c r="N25" s="54"/>
      <c r="O25" s="55"/>
      <c r="P25" s="56"/>
      <c r="Q25" s="57">
        <f t="shared" si="0"/>
        <v>0</v>
      </c>
      <c r="R25" s="58" t="e">
        <f t="shared" si="1"/>
        <v>#DIV/0!</v>
      </c>
      <c r="V25" s="112"/>
      <c r="W25" s="113"/>
    </row>
    <row r="26" spans="1:23" ht="18" customHeight="1" x14ac:dyDescent="0.15">
      <c r="A26" s="43"/>
      <c r="B26" s="83"/>
      <c r="C26" s="59"/>
      <c r="D26" s="52"/>
      <c r="E26" s="53"/>
      <c r="F26" s="54"/>
      <c r="G26" s="55"/>
      <c r="H26" s="56"/>
      <c r="I26" s="53"/>
      <c r="J26" s="54"/>
      <c r="K26" s="55"/>
      <c r="L26" s="56"/>
      <c r="M26" s="53"/>
      <c r="N26" s="54"/>
      <c r="O26" s="55"/>
      <c r="P26" s="56"/>
      <c r="Q26" s="57">
        <f t="shared" si="0"/>
        <v>0</v>
      </c>
      <c r="R26" s="58" t="e">
        <f t="shared" si="1"/>
        <v>#DIV/0!</v>
      </c>
      <c r="V26" s="113"/>
      <c r="W26" s="113"/>
    </row>
    <row r="27" spans="1:23" ht="18" customHeight="1" x14ac:dyDescent="0.15">
      <c r="A27" s="43"/>
      <c r="B27" s="83"/>
      <c r="C27" s="51"/>
      <c r="D27" s="52"/>
      <c r="E27" s="53"/>
      <c r="F27" s="54"/>
      <c r="G27" s="55"/>
      <c r="H27" s="56"/>
      <c r="I27" s="53"/>
      <c r="J27" s="54"/>
      <c r="K27" s="55"/>
      <c r="L27" s="56"/>
      <c r="M27" s="53"/>
      <c r="N27" s="54"/>
      <c r="O27" s="55"/>
      <c r="P27" s="56"/>
      <c r="Q27" s="57">
        <f t="shared" si="0"/>
        <v>0</v>
      </c>
      <c r="R27" s="58" t="e">
        <f t="shared" si="1"/>
        <v>#DIV/0!</v>
      </c>
    </row>
    <row r="28" spans="1:23" ht="18" customHeight="1" x14ac:dyDescent="0.15">
      <c r="A28" s="43"/>
      <c r="B28" s="83"/>
      <c r="C28" s="51"/>
      <c r="D28" s="52"/>
      <c r="E28" s="53"/>
      <c r="F28" s="54"/>
      <c r="G28" s="55"/>
      <c r="H28" s="56"/>
      <c r="I28" s="53"/>
      <c r="J28" s="54"/>
      <c r="K28" s="55"/>
      <c r="L28" s="56"/>
      <c r="M28" s="53"/>
      <c r="N28" s="54"/>
      <c r="O28" s="55"/>
      <c r="P28" s="56"/>
      <c r="Q28" s="57">
        <f t="shared" si="0"/>
        <v>0</v>
      </c>
      <c r="R28" s="58" t="e">
        <f t="shared" si="1"/>
        <v>#DIV/0!</v>
      </c>
    </row>
    <row r="29" spans="1:23" ht="18" customHeight="1" thickBot="1" x14ac:dyDescent="0.2">
      <c r="A29" s="43"/>
      <c r="B29" s="84"/>
      <c r="C29" s="85"/>
      <c r="D29" s="44"/>
      <c r="E29" s="45"/>
      <c r="F29" s="46"/>
      <c r="G29" s="47"/>
      <c r="H29" s="48"/>
      <c r="I29" s="45"/>
      <c r="J29" s="46"/>
      <c r="K29" s="47"/>
      <c r="L29" s="48"/>
      <c r="M29" s="45"/>
      <c r="N29" s="46"/>
      <c r="O29" s="47"/>
      <c r="P29" s="48"/>
      <c r="Q29" s="60">
        <f t="shared" si="0"/>
        <v>0</v>
      </c>
      <c r="R29" s="50" t="e">
        <f t="shared" si="1"/>
        <v>#DIV/0!</v>
      </c>
    </row>
    <row r="30" spans="1:23" ht="18" customHeight="1" thickTop="1" x14ac:dyDescent="0.15">
      <c r="B30" s="86" t="s">
        <v>57</v>
      </c>
      <c r="C30" s="87">
        <f t="shared" ref="C30:Q30" si="2">SUM(C10:C29)</f>
        <v>330</v>
      </c>
      <c r="D30" s="61">
        <f t="shared" si="2"/>
        <v>1335</v>
      </c>
      <c r="E30" s="62">
        <f t="shared" si="2"/>
        <v>237</v>
      </c>
      <c r="F30" s="63">
        <f>SUM(F10:F29)</f>
        <v>165</v>
      </c>
      <c r="G30" s="64">
        <f t="shared" si="2"/>
        <v>0</v>
      </c>
      <c r="H30" s="65">
        <f t="shared" si="2"/>
        <v>0</v>
      </c>
      <c r="I30" s="62">
        <f t="shared" si="2"/>
        <v>0</v>
      </c>
      <c r="J30" s="63">
        <f t="shared" si="2"/>
        <v>0</v>
      </c>
      <c r="K30" s="64">
        <f t="shared" si="2"/>
        <v>0</v>
      </c>
      <c r="L30" s="65">
        <f t="shared" si="2"/>
        <v>0</v>
      </c>
      <c r="M30" s="62">
        <f t="shared" si="2"/>
        <v>0</v>
      </c>
      <c r="N30" s="63">
        <f t="shared" si="2"/>
        <v>0</v>
      </c>
      <c r="O30" s="64">
        <f t="shared" si="2"/>
        <v>0</v>
      </c>
      <c r="P30" s="65">
        <f t="shared" si="2"/>
        <v>0</v>
      </c>
      <c r="Q30" s="66">
        <f t="shared" si="2"/>
        <v>237</v>
      </c>
      <c r="R30" s="67">
        <f>Q30/D30</f>
        <v>0.17752808988764046</v>
      </c>
      <c r="V30" s="112"/>
    </row>
    <row r="31" spans="1:23" ht="18.75" customHeight="1" x14ac:dyDescent="0.15">
      <c r="V31" s="112"/>
      <c r="W31" s="113"/>
    </row>
    <row r="32" spans="1:23" ht="18.75" customHeight="1" x14ac:dyDescent="0.15">
      <c r="V32" s="112"/>
      <c r="W32" s="113"/>
    </row>
    <row r="33" spans="22:23" ht="18.75" customHeight="1" x14ac:dyDescent="0.15">
      <c r="V33" s="112"/>
      <c r="W33" s="113"/>
    </row>
    <row r="34" spans="22:23" ht="18.75" customHeight="1" x14ac:dyDescent="0.15">
      <c r="V34" s="113"/>
      <c r="W34" s="113"/>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4"/>
  <sheetViews>
    <sheetView showZeros="0" view="pageBreakPreview" zoomScaleNormal="100" zoomScaleSheetLayoutView="100" workbookViewId="0">
      <selection activeCell="B8" sqref="B8:J12"/>
    </sheetView>
  </sheetViews>
  <sheetFormatPr defaultColWidth="11.375" defaultRowHeight="18.75" customHeight="1" x14ac:dyDescent="0.15"/>
  <cols>
    <col min="1" max="1" width="2.75" style="117" customWidth="1"/>
    <col min="2" max="2" width="16.625" style="13" customWidth="1"/>
    <col min="3" max="3" width="8.875" style="13" customWidth="1"/>
    <col min="4" max="4" width="2.25" style="13" customWidth="1"/>
    <col min="5" max="5" width="16.625" style="13" customWidth="1"/>
    <col min="6" max="6" width="8.875" style="13" customWidth="1"/>
    <col min="7" max="7" width="2.25" style="13" customWidth="1"/>
    <col min="8" max="8" width="16.625" style="13" customWidth="1"/>
    <col min="9" max="9" width="8.875" style="13" customWidth="1"/>
    <col min="10" max="10" width="2.25" style="13" customWidth="1"/>
    <col min="11" max="16384" width="11.375" style="13"/>
  </cols>
  <sheetData>
    <row r="1" spans="1:11" ht="18.75" customHeight="1" x14ac:dyDescent="0.15">
      <c r="A1" s="117" t="s">
        <v>114</v>
      </c>
      <c r="J1" s="114" t="s">
        <v>115</v>
      </c>
    </row>
    <row r="2" spans="1:11" ht="18.75" customHeight="1" x14ac:dyDescent="0.15">
      <c r="A2" s="218" t="s">
        <v>64</v>
      </c>
      <c r="B2" s="218"/>
      <c r="C2" s="218"/>
      <c r="D2" s="218"/>
      <c r="E2" s="218"/>
      <c r="F2" s="218"/>
      <c r="G2" s="218"/>
      <c r="H2" s="218"/>
      <c r="I2" s="218"/>
      <c r="J2" s="218"/>
    </row>
    <row r="3" spans="1:11" ht="7.5" customHeight="1" x14ac:dyDescent="0.15">
      <c r="B3" s="28"/>
      <c r="C3" s="28"/>
      <c r="D3" s="28"/>
      <c r="E3" s="28"/>
      <c r="F3" s="28"/>
      <c r="G3" s="28"/>
      <c r="H3" s="28"/>
      <c r="I3" s="28"/>
      <c r="J3" s="28"/>
    </row>
    <row r="4" spans="1:11" ht="18.75" customHeight="1" x14ac:dyDescent="0.15">
      <c r="A4" s="13" t="s">
        <v>6</v>
      </c>
      <c r="B4" s="13" t="s">
        <v>72</v>
      </c>
      <c r="I4" s="28"/>
      <c r="J4" s="28"/>
    </row>
    <row r="5" spans="1:11" ht="18.75" customHeight="1" x14ac:dyDescent="0.15">
      <c r="A5" s="13"/>
      <c r="B5" s="143" t="s">
        <v>181</v>
      </c>
      <c r="C5" s="144"/>
      <c r="D5" s="144"/>
      <c r="E5" s="144"/>
      <c r="F5" s="144"/>
      <c r="G5" s="144"/>
      <c r="H5" s="144"/>
      <c r="I5" s="144"/>
      <c r="J5" s="287"/>
      <c r="K5" s="13" t="str">
        <f>IF(B5="","入力してください","")</f>
        <v/>
      </c>
    </row>
    <row r="6" spans="1:11" ht="7.5" customHeight="1" x14ac:dyDescent="0.15">
      <c r="B6" s="28"/>
      <c r="C6" s="28"/>
      <c r="D6" s="28"/>
      <c r="E6" s="28"/>
      <c r="F6" s="28"/>
      <c r="G6" s="28"/>
      <c r="H6" s="28"/>
      <c r="I6" s="28"/>
      <c r="J6" s="28"/>
    </row>
    <row r="7" spans="1:11" ht="18.75" customHeight="1" x14ac:dyDescent="0.15">
      <c r="A7" s="13" t="s">
        <v>9</v>
      </c>
      <c r="B7" s="13" t="s">
        <v>39</v>
      </c>
      <c r="K7" s="14"/>
    </row>
    <row r="8" spans="1:11" ht="18.75" customHeight="1" x14ac:dyDescent="0.15">
      <c r="A8" s="72"/>
      <c r="B8" s="288" t="s">
        <v>183</v>
      </c>
      <c r="C8" s="289"/>
      <c r="D8" s="289"/>
      <c r="E8" s="289"/>
      <c r="F8" s="289"/>
      <c r="G8" s="289"/>
      <c r="H8" s="289"/>
      <c r="I8" s="290"/>
      <c r="J8" s="291"/>
      <c r="K8" s="13" t="str">
        <f>IF(B8="","入力してください","")</f>
        <v/>
      </c>
    </row>
    <row r="9" spans="1:11" ht="18.75" customHeight="1" x14ac:dyDescent="0.15">
      <c r="A9" s="72"/>
      <c r="B9" s="292"/>
      <c r="C9" s="293"/>
      <c r="D9" s="293"/>
      <c r="E9" s="293"/>
      <c r="F9" s="293"/>
      <c r="G9" s="293"/>
      <c r="H9" s="293"/>
      <c r="I9" s="293"/>
      <c r="J9" s="294"/>
    </row>
    <row r="10" spans="1:11" ht="18.75" customHeight="1" x14ac:dyDescent="0.15">
      <c r="A10" s="72"/>
      <c r="B10" s="292"/>
      <c r="C10" s="293"/>
      <c r="D10" s="293"/>
      <c r="E10" s="293"/>
      <c r="F10" s="293"/>
      <c r="G10" s="293"/>
      <c r="H10" s="293"/>
      <c r="I10" s="293"/>
      <c r="J10" s="294"/>
    </row>
    <row r="11" spans="1:11" ht="18.75" customHeight="1" x14ac:dyDescent="0.15">
      <c r="A11" s="72"/>
      <c r="B11" s="292"/>
      <c r="C11" s="293"/>
      <c r="D11" s="293"/>
      <c r="E11" s="293"/>
      <c r="F11" s="293"/>
      <c r="G11" s="293"/>
      <c r="H11" s="293"/>
      <c r="I11" s="293"/>
      <c r="J11" s="294"/>
    </row>
    <row r="12" spans="1:11" ht="18.75" customHeight="1" x14ac:dyDescent="0.15">
      <c r="A12" s="72"/>
      <c r="B12" s="295"/>
      <c r="C12" s="296"/>
      <c r="D12" s="296"/>
      <c r="E12" s="296"/>
      <c r="F12" s="296"/>
      <c r="G12" s="296"/>
      <c r="H12" s="296"/>
      <c r="I12" s="296"/>
      <c r="J12" s="297"/>
    </row>
    <row r="13" spans="1:11" ht="7.5" customHeight="1" x14ac:dyDescent="0.15">
      <c r="A13" s="72"/>
      <c r="B13" s="72"/>
      <c r="C13" s="72"/>
      <c r="D13" s="72"/>
      <c r="E13" s="72"/>
      <c r="F13" s="72"/>
      <c r="G13" s="72"/>
      <c r="H13" s="72"/>
      <c r="I13" s="72"/>
      <c r="J13" s="72"/>
    </row>
    <row r="14" spans="1:11" ht="18.75" customHeight="1" x14ac:dyDescent="0.15">
      <c r="A14" s="115" t="s">
        <v>10</v>
      </c>
      <c r="B14" s="115" t="s">
        <v>15</v>
      </c>
      <c r="C14" s="115"/>
      <c r="D14" s="115"/>
      <c r="E14" s="115"/>
      <c r="F14" s="115"/>
      <c r="G14" s="115"/>
      <c r="H14" s="115"/>
      <c r="I14" s="115"/>
      <c r="J14" s="115"/>
    </row>
    <row r="15" spans="1:11" ht="18.75" customHeight="1" x14ac:dyDescent="0.15">
      <c r="A15" s="72"/>
      <c r="B15" s="288" t="s">
        <v>179</v>
      </c>
      <c r="C15" s="289"/>
      <c r="D15" s="289"/>
      <c r="E15" s="289"/>
      <c r="F15" s="289"/>
      <c r="G15" s="289"/>
      <c r="H15" s="289"/>
      <c r="I15" s="290"/>
      <c r="J15" s="291"/>
      <c r="K15" s="13" t="str">
        <f>IF(B15="","入力してください","")</f>
        <v/>
      </c>
    </row>
    <row r="16" spans="1:11" ht="18.75" customHeight="1" x14ac:dyDescent="0.15">
      <c r="A16" s="72"/>
      <c r="B16" s="292"/>
      <c r="C16" s="293"/>
      <c r="D16" s="293"/>
      <c r="E16" s="293"/>
      <c r="F16" s="293"/>
      <c r="G16" s="293"/>
      <c r="H16" s="293"/>
      <c r="I16" s="293"/>
      <c r="J16" s="294"/>
    </row>
    <row r="17" spans="1:11" ht="18.75" customHeight="1" x14ac:dyDescent="0.15">
      <c r="A17" s="72"/>
      <c r="B17" s="292"/>
      <c r="C17" s="293"/>
      <c r="D17" s="293"/>
      <c r="E17" s="293"/>
      <c r="F17" s="293"/>
      <c r="G17" s="293"/>
      <c r="H17" s="293"/>
      <c r="I17" s="293"/>
      <c r="J17" s="294"/>
    </row>
    <row r="18" spans="1:11" ht="18.75" customHeight="1" x14ac:dyDescent="0.15">
      <c r="A18" s="72"/>
      <c r="B18" s="292"/>
      <c r="C18" s="293"/>
      <c r="D18" s="293"/>
      <c r="E18" s="293"/>
      <c r="F18" s="293"/>
      <c r="G18" s="293"/>
      <c r="H18" s="293"/>
      <c r="I18" s="293"/>
      <c r="J18" s="294"/>
    </row>
    <row r="19" spans="1:11" ht="18.75" customHeight="1" x14ac:dyDescent="0.15">
      <c r="A19" s="72"/>
      <c r="B19" s="292"/>
      <c r="C19" s="293"/>
      <c r="D19" s="293"/>
      <c r="E19" s="293"/>
      <c r="F19" s="293"/>
      <c r="G19" s="293"/>
      <c r="H19" s="293"/>
      <c r="I19" s="293"/>
      <c r="J19" s="294"/>
    </row>
    <row r="20" spans="1:11" ht="18.75" customHeight="1" x14ac:dyDescent="0.15">
      <c r="A20" s="72"/>
      <c r="B20" s="292"/>
      <c r="C20" s="293"/>
      <c r="D20" s="293"/>
      <c r="E20" s="293"/>
      <c r="F20" s="293"/>
      <c r="G20" s="293"/>
      <c r="H20" s="293"/>
      <c r="I20" s="293"/>
      <c r="J20" s="294"/>
    </row>
    <row r="21" spans="1:11" ht="18.75" customHeight="1" x14ac:dyDescent="0.15">
      <c r="A21" s="72"/>
      <c r="B21" s="292"/>
      <c r="C21" s="293"/>
      <c r="D21" s="293"/>
      <c r="E21" s="293"/>
      <c r="F21" s="293"/>
      <c r="G21" s="293"/>
      <c r="H21" s="293"/>
      <c r="I21" s="293"/>
      <c r="J21" s="294"/>
    </row>
    <row r="22" spans="1:11" ht="18.75" customHeight="1" x14ac:dyDescent="0.15">
      <c r="A22" s="72"/>
      <c r="B22" s="292"/>
      <c r="C22" s="293"/>
      <c r="D22" s="293"/>
      <c r="E22" s="293"/>
      <c r="F22" s="293"/>
      <c r="G22" s="293"/>
      <c r="H22" s="293"/>
      <c r="I22" s="293"/>
      <c r="J22" s="294"/>
    </row>
    <row r="23" spans="1:11" ht="18.75" customHeight="1" x14ac:dyDescent="0.15">
      <c r="A23" s="72"/>
      <c r="B23" s="292"/>
      <c r="C23" s="293"/>
      <c r="D23" s="293"/>
      <c r="E23" s="293"/>
      <c r="F23" s="293"/>
      <c r="G23" s="293"/>
      <c r="H23" s="293"/>
      <c r="I23" s="293"/>
      <c r="J23" s="294"/>
    </row>
    <row r="24" spans="1:11" ht="18.75" customHeight="1" x14ac:dyDescent="0.15">
      <c r="A24" s="72"/>
      <c r="B24" s="292"/>
      <c r="C24" s="293"/>
      <c r="D24" s="293"/>
      <c r="E24" s="293"/>
      <c r="F24" s="293"/>
      <c r="G24" s="293"/>
      <c r="H24" s="293"/>
      <c r="I24" s="293"/>
      <c r="J24" s="294"/>
    </row>
    <row r="25" spans="1:11" ht="18.75" customHeight="1" x14ac:dyDescent="0.15">
      <c r="A25" s="72"/>
      <c r="B25" s="295"/>
      <c r="C25" s="296"/>
      <c r="D25" s="296"/>
      <c r="E25" s="296"/>
      <c r="F25" s="296"/>
      <c r="G25" s="296"/>
      <c r="H25" s="296"/>
      <c r="I25" s="296"/>
      <c r="J25" s="297"/>
    </row>
    <row r="26" spans="1:11" ht="7.5" customHeight="1" x14ac:dyDescent="0.15">
      <c r="A26" s="118"/>
      <c r="B26" s="118"/>
      <c r="C26" s="118"/>
      <c r="D26" s="118"/>
      <c r="E26" s="118"/>
      <c r="F26" s="118"/>
      <c r="G26" s="118"/>
      <c r="H26" s="118"/>
      <c r="I26" s="118"/>
      <c r="J26" s="118"/>
    </row>
    <row r="27" spans="1:11" ht="18.75" customHeight="1" x14ac:dyDescent="0.15">
      <c r="A27" s="13" t="s">
        <v>13</v>
      </c>
      <c r="B27" s="13" t="s">
        <v>26</v>
      </c>
    </row>
    <row r="28" spans="1:11" s="28" customFormat="1" ht="18.75" customHeight="1" x14ac:dyDescent="0.15">
      <c r="B28" s="89" t="s">
        <v>116</v>
      </c>
      <c r="C28" s="90">
        <f>'様式３　履修者等数の実績'!R30</f>
        <v>0.17752808988764046</v>
      </c>
      <c r="D28" s="91"/>
      <c r="E28" s="91" t="s">
        <v>117</v>
      </c>
      <c r="F28" s="90">
        <v>0.33</v>
      </c>
      <c r="G28" s="91"/>
      <c r="H28" s="91" t="s">
        <v>118</v>
      </c>
      <c r="I28" s="119">
        <v>0.57999999999999996</v>
      </c>
      <c r="J28" s="92"/>
      <c r="K28" s="13"/>
    </row>
    <row r="29" spans="1:11" s="28" customFormat="1" ht="18.75" customHeight="1" x14ac:dyDescent="0.15">
      <c r="B29" s="78" t="s">
        <v>119</v>
      </c>
      <c r="C29" s="120">
        <v>0.83</v>
      </c>
      <c r="D29" s="79"/>
      <c r="E29" s="79" t="s">
        <v>120</v>
      </c>
      <c r="F29" s="120">
        <v>1.08</v>
      </c>
      <c r="G29" s="79"/>
      <c r="H29" s="79" t="s">
        <v>121</v>
      </c>
      <c r="I29" s="93">
        <f>'様式３　履修者等数の実績'!D30</f>
        <v>1335</v>
      </c>
      <c r="J29" s="94"/>
      <c r="K29" s="14"/>
    </row>
    <row r="30" spans="1:11" ht="18.75" customHeight="1" x14ac:dyDescent="0.15">
      <c r="A30" s="13"/>
      <c r="B30" s="168" t="s">
        <v>122</v>
      </c>
      <c r="C30" s="169"/>
      <c r="D30" s="169"/>
      <c r="E30" s="169"/>
      <c r="F30" s="169"/>
      <c r="G30" s="169"/>
      <c r="H30" s="169"/>
      <c r="I30" s="169"/>
      <c r="J30" s="170"/>
      <c r="K30" s="14"/>
    </row>
    <row r="31" spans="1:11" ht="18.75" customHeight="1" x14ac:dyDescent="0.15">
      <c r="A31" s="13"/>
      <c r="B31" s="278" t="s">
        <v>204</v>
      </c>
      <c r="C31" s="279"/>
      <c r="D31" s="279"/>
      <c r="E31" s="279"/>
      <c r="F31" s="279"/>
      <c r="G31" s="279"/>
      <c r="H31" s="279"/>
      <c r="I31" s="279"/>
      <c r="J31" s="280"/>
      <c r="K31" s="14" t="str">
        <f>IF(B31="","入力してください","")</f>
        <v/>
      </c>
    </row>
    <row r="32" spans="1:11" ht="18.75" customHeight="1" x14ac:dyDescent="0.15">
      <c r="A32" s="13"/>
      <c r="B32" s="281"/>
      <c r="C32" s="282"/>
      <c r="D32" s="282"/>
      <c r="E32" s="282"/>
      <c r="F32" s="282"/>
      <c r="G32" s="282"/>
      <c r="H32" s="282"/>
      <c r="I32" s="282"/>
      <c r="J32" s="283"/>
      <c r="K32" s="14"/>
    </row>
    <row r="33" spans="1:11" ht="18.75" customHeight="1" x14ac:dyDescent="0.15">
      <c r="A33" s="13"/>
      <c r="B33" s="281"/>
      <c r="C33" s="282"/>
      <c r="D33" s="282"/>
      <c r="E33" s="282"/>
      <c r="F33" s="282"/>
      <c r="G33" s="282"/>
      <c r="H33" s="282"/>
      <c r="I33" s="282"/>
      <c r="J33" s="283"/>
      <c r="K33" s="14"/>
    </row>
    <row r="34" spans="1:11" ht="18.75" customHeight="1" x14ac:dyDescent="0.15">
      <c r="A34" s="13"/>
      <c r="B34" s="281"/>
      <c r="C34" s="282"/>
      <c r="D34" s="282"/>
      <c r="E34" s="282"/>
      <c r="F34" s="282"/>
      <c r="G34" s="282"/>
      <c r="H34" s="282"/>
      <c r="I34" s="282"/>
      <c r="J34" s="283"/>
      <c r="K34" s="14"/>
    </row>
    <row r="35" spans="1:11" ht="18.75" customHeight="1" x14ac:dyDescent="0.15">
      <c r="A35" s="13"/>
      <c r="B35" s="281"/>
      <c r="C35" s="282"/>
      <c r="D35" s="282"/>
      <c r="E35" s="282"/>
      <c r="F35" s="282"/>
      <c r="G35" s="282"/>
      <c r="H35" s="282"/>
      <c r="I35" s="282"/>
      <c r="J35" s="283"/>
      <c r="K35" s="14"/>
    </row>
    <row r="36" spans="1:11" ht="18.75" customHeight="1" x14ac:dyDescent="0.15">
      <c r="A36" s="13"/>
      <c r="B36" s="281"/>
      <c r="C36" s="282"/>
      <c r="D36" s="282"/>
      <c r="E36" s="282"/>
      <c r="F36" s="282"/>
      <c r="G36" s="282"/>
      <c r="H36" s="282"/>
      <c r="I36" s="282"/>
      <c r="J36" s="283"/>
      <c r="K36" s="14"/>
    </row>
    <row r="37" spans="1:11" ht="18.75" customHeight="1" x14ac:dyDescent="0.15">
      <c r="A37" s="13"/>
      <c r="B37" s="281"/>
      <c r="C37" s="282"/>
      <c r="D37" s="282"/>
      <c r="E37" s="282"/>
      <c r="F37" s="282"/>
      <c r="G37" s="282"/>
      <c r="H37" s="282"/>
      <c r="I37" s="282"/>
      <c r="J37" s="283"/>
      <c r="K37" s="14"/>
    </row>
    <row r="38" spans="1:11" ht="18.75" customHeight="1" x14ac:dyDescent="0.15">
      <c r="A38" s="13"/>
      <c r="B38" s="281"/>
      <c r="C38" s="282"/>
      <c r="D38" s="282"/>
      <c r="E38" s="282"/>
      <c r="F38" s="282"/>
      <c r="G38" s="282"/>
      <c r="H38" s="282"/>
      <c r="I38" s="282"/>
      <c r="J38" s="283"/>
      <c r="K38" s="14"/>
    </row>
    <row r="39" spans="1:11" ht="18.75" customHeight="1" x14ac:dyDescent="0.15">
      <c r="A39" s="13"/>
      <c r="B39" s="281"/>
      <c r="C39" s="282"/>
      <c r="D39" s="282"/>
      <c r="E39" s="282"/>
      <c r="F39" s="282"/>
      <c r="G39" s="282"/>
      <c r="H39" s="282"/>
      <c r="I39" s="282"/>
      <c r="J39" s="283"/>
      <c r="K39" s="14"/>
    </row>
    <row r="40" spans="1:11" ht="18.75" customHeight="1" x14ac:dyDescent="0.15">
      <c r="A40" s="13"/>
      <c r="B40" s="281"/>
      <c r="C40" s="282"/>
      <c r="D40" s="282"/>
      <c r="E40" s="282"/>
      <c r="F40" s="282"/>
      <c r="G40" s="282"/>
      <c r="H40" s="282"/>
      <c r="I40" s="282"/>
      <c r="J40" s="283"/>
      <c r="K40" s="14"/>
    </row>
    <row r="41" spans="1:11" ht="18.75" customHeight="1" x14ac:dyDescent="0.15">
      <c r="A41" s="13"/>
      <c r="B41" s="281"/>
      <c r="C41" s="282"/>
      <c r="D41" s="282"/>
      <c r="E41" s="282"/>
      <c r="F41" s="282"/>
      <c r="G41" s="282"/>
      <c r="H41" s="282"/>
      <c r="I41" s="282"/>
      <c r="J41" s="283"/>
      <c r="K41" s="14"/>
    </row>
    <row r="42" spans="1:11" ht="18.75" customHeight="1" x14ac:dyDescent="0.15">
      <c r="A42" s="13"/>
      <c r="B42" s="281"/>
      <c r="C42" s="282"/>
      <c r="D42" s="282"/>
      <c r="E42" s="282"/>
      <c r="F42" s="282"/>
      <c r="G42" s="282"/>
      <c r="H42" s="282"/>
      <c r="I42" s="282"/>
      <c r="J42" s="283"/>
      <c r="K42" s="14"/>
    </row>
    <row r="43" spans="1:11" ht="18.75" customHeight="1" x14ac:dyDescent="0.15">
      <c r="A43" s="118"/>
      <c r="B43" s="281"/>
      <c r="C43" s="282"/>
      <c r="D43" s="282"/>
      <c r="E43" s="282"/>
      <c r="F43" s="282"/>
      <c r="G43" s="282"/>
      <c r="H43" s="282"/>
      <c r="I43" s="282"/>
      <c r="J43" s="283"/>
      <c r="K43" s="14"/>
    </row>
    <row r="44" spans="1:11" ht="18.75" customHeight="1" x14ac:dyDescent="0.15">
      <c r="A44" s="118"/>
      <c r="B44" s="284"/>
      <c r="C44" s="285"/>
      <c r="D44" s="285"/>
      <c r="E44" s="285"/>
      <c r="F44" s="285"/>
      <c r="G44" s="285"/>
      <c r="H44" s="285"/>
      <c r="I44" s="285"/>
      <c r="J44" s="286"/>
    </row>
    <row r="45" spans="1:11" ht="18.75" customHeight="1" x14ac:dyDescent="0.15">
      <c r="A45" s="115" t="s">
        <v>11</v>
      </c>
      <c r="B45" s="13" t="s">
        <v>65</v>
      </c>
      <c r="I45" s="115"/>
      <c r="J45" s="115"/>
    </row>
    <row r="46" spans="1:11" ht="18.75" customHeight="1" x14ac:dyDescent="0.15">
      <c r="A46" s="118"/>
      <c r="B46" s="288" t="s">
        <v>205</v>
      </c>
      <c r="C46" s="289"/>
      <c r="D46" s="289"/>
      <c r="E46" s="289"/>
      <c r="F46" s="289"/>
      <c r="G46" s="289"/>
      <c r="H46" s="289"/>
      <c r="I46" s="289"/>
      <c r="J46" s="298"/>
      <c r="K46" s="13" t="str">
        <f>IF(B46="","入力してください","")</f>
        <v/>
      </c>
    </row>
    <row r="47" spans="1:11" ht="18.75" customHeight="1" x14ac:dyDescent="0.15">
      <c r="A47" s="118"/>
      <c r="B47" s="281"/>
      <c r="C47" s="282"/>
      <c r="D47" s="282"/>
      <c r="E47" s="282"/>
      <c r="F47" s="282"/>
      <c r="G47" s="282"/>
      <c r="H47" s="282"/>
      <c r="I47" s="282"/>
      <c r="J47" s="283"/>
    </row>
    <row r="48" spans="1:11" ht="18.75" customHeight="1" x14ac:dyDescent="0.15">
      <c r="A48" s="118"/>
      <c r="B48" s="281"/>
      <c r="C48" s="282"/>
      <c r="D48" s="282"/>
      <c r="E48" s="282"/>
      <c r="F48" s="282"/>
      <c r="G48" s="282"/>
      <c r="H48" s="282"/>
      <c r="I48" s="282"/>
      <c r="J48" s="283"/>
    </row>
    <row r="49" spans="1:10" ht="18.75" customHeight="1" x14ac:dyDescent="0.15">
      <c r="A49" s="118"/>
      <c r="B49" s="281"/>
      <c r="C49" s="282"/>
      <c r="D49" s="282"/>
      <c r="E49" s="282"/>
      <c r="F49" s="282"/>
      <c r="G49" s="282"/>
      <c r="H49" s="282"/>
      <c r="I49" s="282"/>
      <c r="J49" s="283"/>
    </row>
    <row r="50" spans="1:10" ht="18.75" customHeight="1" x14ac:dyDescent="0.15">
      <c r="A50" s="118"/>
      <c r="B50" s="281"/>
      <c r="C50" s="282"/>
      <c r="D50" s="282"/>
      <c r="E50" s="282"/>
      <c r="F50" s="282"/>
      <c r="G50" s="282"/>
      <c r="H50" s="282"/>
      <c r="I50" s="282"/>
      <c r="J50" s="283"/>
    </row>
    <row r="51" spans="1:10" ht="18.75" customHeight="1" x14ac:dyDescent="0.15">
      <c r="A51" s="118"/>
      <c r="B51" s="281"/>
      <c r="C51" s="282"/>
      <c r="D51" s="282"/>
      <c r="E51" s="282"/>
      <c r="F51" s="282"/>
      <c r="G51" s="282"/>
      <c r="H51" s="282"/>
      <c r="I51" s="282"/>
      <c r="J51" s="283"/>
    </row>
    <row r="52" spans="1:10" ht="18.75" customHeight="1" x14ac:dyDescent="0.15">
      <c r="A52" s="118"/>
      <c r="B52" s="281"/>
      <c r="C52" s="282"/>
      <c r="D52" s="282"/>
      <c r="E52" s="282"/>
      <c r="F52" s="282"/>
      <c r="G52" s="282"/>
      <c r="H52" s="282"/>
      <c r="I52" s="282"/>
      <c r="J52" s="283"/>
    </row>
    <row r="53" spans="1:10" ht="18.75" customHeight="1" x14ac:dyDescent="0.15">
      <c r="A53" s="118"/>
      <c r="B53" s="281"/>
      <c r="C53" s="282"/>
      <c r="D53" s="282"/>
      <c r="E53" s="282"/>
      <c r="F53" s="282"/>
      <c r="G53" s="282"/>
      <c r="H53" s="282"/>
      <c r="I53" s="282"/>
      <c r="J53" s="283"/>
    </row>
    <row r="54" spans="1:10" ht="18.75" customHeight="1" x14ac:dyDescent="0.15">
      <c r="A54" s="118"/>
      <c r="B54" s="281"/>
      <c r="C54" s="282"/>
      <c r="D54" s="282"/>
      <c r="E54" s="282"/>
      <c r="F54" s="282"/>
      <c r="G54" s="282"/>
      <c r="H54" s="282"/>
      <c r="I54" s="282"/>
      <c r="J54" s="283"/>
    </row>
    <row r="55" spans="1:10" ht="18.75" customHeight="1" x14ac:dyDescent="0.15">
      <c r="A55" s="118"/>
      <c r="B55" s="281"/>
      <c r="C55" s="282"/>
      <c r="D55" s="282"/>
      <c r="E55" s="282"/>
      <c r="F55" s="282"/>
      <c r="G55" s="282"/>
      <c r="H55" s="282"/>
      <c r="I55" s="282"/>
      <c r="J55" s="283"/>
    </row>
    <row r="56" spans="1:10" ht="18.75" customHeight="1" x14ac:dyDescent="0.15">
      <c r="A56" s="118"/>
      <c r="B56" s="281"/>
      <c r="C56" s="282"/>
      <c r="D56" s="282"/>
      <c r="E56" s="282"/>
      <c r="F56" s="282"/>
      <c r="G56" s="282"/>
      <c r="H56" s="282"/>
      <c r="I56" s="282"/>
      <c r="J56" s="283"/>
    </row>
    <row r="57" spans="1:10" ht="18.75" customHeight="1" x14ac:dyDescent="0.15">
      <c r="A57" s="118"/>
      <c r="B57" s="281"/>
      <c r="C57" s="282"/>
      <c r="D57" s="282"/>
      <c r="E57" s="282"/>
      <c r="F57" s="282"/>
      <c r="G57" s="282"/>
      <c r="H57" s="282"/>
      <c r="I57" s="282"/>
      <c r="J57" s="283"/>
    </row>
    <row r="58" spans="1:10" ht="18.75" customHeight="1" x14ac:dyDescent="0.15">
      <c r="A58" s="118"/>
      <c r="B58" s="281"/>
      <c r="C58" s="282"/>
      <c r="D58" s="282"/>
      <c r="E58" s="282"/>
      <c r="F58" s="282"/>
      <c r="G58" s="282"/>
      <c r="H58" s="282"/>
      <c r="I58" s="282"/>
      <c r="J58" s="283"/>
    </row>
    <row r="59" spans="1:10" ht="18.75" customHeight="1" x14ac:dyDescent="0.15">
      <c r="A59" s="118"/>
      <c r="B59" s="281"/>
      <c r="C59" s="282"/>
      <c r="D59" s="282"/>
      <c r="E59" s="282"/>
      <c r="F59" s="282"/>
      <c r="G59" s="282"/>
      <c r="H59" s="282"/>
      <c r="I59" s="282"/>
      <c r="J59" s="283"/>
    </row>
    <row r="60" spans="1:10" ht="18.75" customHeight="1" x14ac:dyDescent="0.15">
      <c r="A60" s="118"/>
      <c r="B60" s="281"/>
      <c r="C60" s="282"/>
      <c r="D60" s="282"/>
      <c r="E60" s="282"/>
      <c r="F60" s="282"/>
      <c r="G60" s="282"/>
      <c r="H60" s="282"/>
      <c r="I60" s="282"/>
      <c r="J60" s="283"/>
    </row>
    <row r="61" spans="1:10" ht="18.75" customHeight="1" x14ac:dyDescent="0.15">
      <c r="A61" s="118"/>
      <c r="B61" s="281"/>
      <c r="C61" s="282"/>
      <c r="D61" s="282"/>
      <c r="E61" s="282"/>
      <c r="F61" s="282"/>
      <c r="G61" s="282"/>
      <c r="H61" s="282"/>
      <c r="I61" s="282"/>
      <c r="J61" s="283"/>
    </row>
    <row r="62" spans="1:10" ht="18.75" customHeight="1" x14ac:dyDescent="0.15">
      <c r="A62" s="118"/>
      <c r="B62" s="281"/>
      <c r="C62" s="282"/>
      <c r="D62" s="282"/>
      <c r="E62" s="282"/>
      <c r="F62" s="282"/>
      <c r="G62" s="282"/>
      <c r="H62" s="282"/>
      <c r="I62" s="282"/>
      <c r="J62" s="283"/>
    </row>
    <row r="63" spans="1:10" ht="18.75" customHeight="1" x14ac:dyDescent="0.15">
      <c r="A63" s="118"/>
      <c r="B63" s="281"/>
      <c r="C63" s="282"/>
      <c r="D63" s="282"/>
      <c r="E63" s="282"/>
      <c r="F63" s="282"/>
      <c r="G63" s="282"/>
      <c r="H63" s="282"/>
      <c r="I63" s="282"/>
      <c r="J63" s="283"/>
    </row>
    <row r="64" spans="1:10" ht="18.75" customHeight="1" x14ac:dyDescent="0.15">
      <c r="A64" s="118"/>
      <c r="B64" s="281"/>
      <c r="C64" s="282"/>
      <c r="D64" s="282"/>
      <c r="E64" s="282"/>
      <c r="F64" s="282"/>
      <c r="G64" s="282"/>
      <c r="H64" s="282"/>
      <c r="I64" s="282"/>
      <c r="J64" s="283"/>
    </row>
    <row r="65" spans="1:11" ht="18.75" customHeight="1" x14ac:dyDescent="0.15">
      <c r="A65" s="118"/>
      <c r="B65" s="281"/>
      <c r="C65" s="282"/>
      <c r="D65" s="282"/>
      <c r="E65" s="282"/>
      <c r="F65" s="282"/>
      <c r="G65" s="282"/>
      <c r="H65" s="282"/>
      <c r="I65" s="282"/>
      <c r="J65" s="283"/>
    </row>
    <row r="66" spans="1:11" ht="18.75" customHeight="1" x14ac:dyDescent="0.15">
      <c r="A66" s="118"/>
      <c r="B66" s="284"/>
      <c r="C66" s="285"/>
      <c r="D66" s="285"/>
      <c r="E66" s="285"/>
      <c r="F66" s="285"/>
      <c r="G66" s="285"/>
      <c r="H66" s="285"/>
      <c r="I66" s="285"/>
      <c r="J66" s="286"/>
    </row>
    <row r="67" spans="1:11" ht="7.5" customHeight="1" x14ac:dyDescent="0.15">
      <c r="A67" s="118"/>
      <c r="B67" s="118"/>
      <c r="C67" s="118"/>
      <c r="D67" s="118"/>
      <c r="E67" s="118"/>
      <c r="F67" s="118"/>
      <c r="G67" s="118"/>
      <c r="H67" s="118"/>
      <c r="I67" s="118"/>
      <c r="J67" s="118"/>
    </row>
    <row r="68" spans="1:11" ht="18.75" customHeight="1" x14ac:dyDescent="0.15">
      <c r="A68" s="13" t="s">
        <v>14</v>
      </c>
      <c r="B68" s="13" t="s">
        <v>71</v>
      </c>
    </row>
    <row r="69" spans="1:11" ht="18.75" customHeight="1" x14ac:dyDescent="0.15">
      <c r="A69" s="13"/>
      <c r="B69" s="288" t="s">
        <v>184</v>
      </c>
      <c r="C69" s="289"/>
      <c r="D69" s="289"/>
      <c r="E69" s="289"/>
      <c r="F69" s="289"/>
      <c r="G69" s="289"/>
      <c r="H69" s="289"/>
      <c r="I69" s="290"/>
      <c r="J69" s="291"/>
      <c r="K69" s="14" t="str">
        <f>IF(B69="","入力してください","")</f>
        <v/>
      </c>
    </row>
    <row r="70" spans="1:11" ht="18.75" customHeight="1" x14ac:dyDescent="0.15">
      <c r="A70" s="13"/>
      <c r="B70" s="292"/>
      <c r="C70" s="293"/>
      <c r="D70" s="293"/>
      <c r="E70" s="293"/>
      <c r="F70" s="293"/>
      <c r="G70" s="293"/>
      <c r="H70" s="293"/>
      <c r="I70" s="293"/>
      <c r="J70" s="294"/>
      <c r="K70" s="14"/>
    </row>
    <row r="71" spans="1:11" ht="18.75" customHeight="1" x14ac:dyDescent="0.15">
      <c r="A71" s="13"/>
      <c r="B71" s="292"/>
      <c r="C71" s="293"/>
      <c r="D71" s="293"/>
      <c r="E71" s="293"/>
      <c r="F71" s="293"/>
      <c r="G71" s="293"/>
      <c r="H71" s="293"/>
      <c r="I71" s="293"/>
      <c r="J71" s="294"/>
      <c r="K71" s="14"/>
    </row>
    <row r="72" spans="1:11" ht="18.75" customHeight="1" x14ac:dyDescent="0.15">
      <c r="A72" s="13"/>
      <c r="B72" s="292"/>
      <c r="C72" s="293"/>
      <c r="D72" s="293"/>
      <c r="E72" s="293"/>
      <c r="F72" s="293"/>
      <c r="G72" s="293"/>
      <c r="H72" s="293"/>
      <c r="I72" s="293"/>
      <c r="J72" s="294"/>
      <c r="K72" s="14"/>
    </row>
    <row r="73" spans="1:11" ht="18.75" customHeight="1" x14ac:dyDescent="0.15">
      <c r="A73" s="13"/>
      <c r="B73" s="292"/>
      <c r="C73" s="293"/>
      <c r="D73" s="293"/>
      <c r="E73" s="293"/>
      <c r="F73" s="293"/>
      <c r="G73" s="293"/>
      <c r="H73" s="293"/>
      <c r="I73" s="293"/>
      <c r="J73" s="294"/>
      <c r="K73" s="14"/>
    </row>
    <row r="74" spans="1:11" ht="18.75" customHeight="1" x14ac:dyDescent="0.15">
      <c r="A74" s="13"/>
      <c r="B74" s="292"/>
      <c r="C74" s="293"/>
      <c r="D74" s="293"/>
      <c r="E74" s="293"/>
      <c r="F74" s="293"/>
      <c r="G74" s="293"/>
      <c r="H74" s="293"/>
      <c r="I74" s="293"/>
      <c r="J74" s="294"/>
      <c r="K74" s="14"/>
    </row>
    <row r="75" spans="1:11" ht="18.75" customHeight="1" x14ac:dyDescent="0.15">
      <c r="A75" s="13"/>
      <c r="B75" s="292"/>
      <c r="C75" s="293"/>
      <c r="D75" s="293"/>
      <c r="E75" s="293"/>
      <c r="F75" s="293"/>
      <c r="G75" s="293"/>
      <c r="H75" s="293"/>
      <c r="I75" s="293"/>
      <c r="J75" s="294"/>
      <c r="K75" s="14"/>
    </row>
    <row r="76" spans="1:11" ht="18.75" customHeight="1" x14ac:dyDescent="0.15">
      <c r="A76" s="13"/>
      <c r="B76" s="292"/>
      <c r="C76" s="293"/>
      <c r="D76" s="293"/>
      <c r="E76" s="293"/>
      <c r="F76" s="293"/>
      <c r="G76" s="293"/>
      <c r="H76" s="293"/>
      <c r="I76" s="293"/>
      <c r="J76" s="294"/>
      <c r="K76" s="14"/>
    </row>
    <row r="77" spans="1:11" ht="18.75" customHeight="1" x14ac:dyDescent="0.15">
      <c r="A77" s="13"/>
      <c r="B77" s="292"/>
      <c r="C77" s="293"/>
      <c r="D77" s="293"/>
      <c r="E77" s="293"/>
      <c r="F77" s="293"/>
      <c r="G77" s="293"/>
      <c r="H77" s="293"/>
      <c r="I77" s="293"/>
      <c r="J77" s="294"/>
      <c r="K77" s="14"/>
    </row>
    <row r="78" spans="1:11" ht="18.75" customHeight="1" x14ac:dyDescent="0.15">
      <c r="A78" s="13"/>
      <c r="B78" s="292"/>
      <c r="C78" s="293"/>
      <c r="D78" s="293"/>
      <c r="E78" s="293"/>
      <c r="F78" s="293"/>
      <c r="G78" s="293"/>
      <c r="H78" s="293"/>
      <c r="I78" s="293"/>
      <c r="J78" s="294"/>
      <c r="K78" s="14"/>
    </row>
    <row r="79" spans="1:11" ht="18.75" customHeight="1" x14ac:dyDescent="0.15">
      <c r="A79" s="13"/>
      <c r="B79" s="292"/>
      <c r="C79" s="293"/>
      <c r="D79" s="293"/>
      <c r="E79" s="293"/>
      <c r="F79" s="293"/>
      <c r="G79" s="293"/>
      <c r="H79" s="293"/>
      <c r="I79" s="293"/>
      <c r="J79" s="294"/>
      <c r="K79" s="14"/>
    </row>
    <row r="80" spans="1:11" ht="18.75" customHeight="1" x14ac:dyDescent="0.15">
      <c r="A80" s="13"/>
      <c r="B80" s="292"/>
      <c r="C80" s="293"/>
      <c r="D80" s="293"/>
      <c r="E80" s="293"/>
      <c r="F80" s="293"/>
      <c r="G80" s="293"/>
      <c r="H80" s="293"/>
      <c r="I80" s="293"/>
      <c r="J80" s="294"/>
      <c r="K80" s="14"/>
    </row>
    <row r="81" spans="1:11" ht="18.75" customHeight="1" x14ac:dyDescent="0.15">
      <c r="A81" s="13"/>
      <c r="B81" s="292"/>
      <c r="C81" s="293"/>
      <c r="D81" s="293"/>
      <c r="E81" s="293"/>
      <c r="F81" s="293"/>
      <c r="G81" s="293"/>
      <c r="H81" s="293"/>
      <c r="I81" s="293"/>
      <c r="J81" s="294"/>
      <c r="K81" s="14"/>
    </row>
    <row r="82" spans="1:11" ht="18.75" customHeight="1" x14ac:dyDescent="0.15">
      <c r="A82" s="13"/>
      <c r="B82" s="292"/>
      <c r="C82" s="293"/>
      <c r="D82" s="293"/>
      <c r="E82" s="293"/>
      <c r="F82" s="293"/>
      <c r="G82" s="293"/>
      <c r="H82" s="293"/>
      <c r="I82" s="293"/>
      <c r="J82" s="294"/>
      <c r="K82" s="14"/>
    </row>
    <row r="83" spans="1:11" ht="18.75" customHeight="1" x14ac:dyDescent="0.15">
      <c r="A83" s="13"/>
      <c r="B83" s="292"/>
      <c r="C83" s="293"/>
      <c r="D83" s="293"/>
      <c r="E83" s="293"/>
      <c r="F83" s="293"/>
      <c r="G83" s="293"/>
      <c r="H83" s="293"/>
      <c r="I83" s="293"/>
      <c r="J83" s="294"/>
      <c r="K83" s="14"/>
    </row>
    <row r="84" spans="1:11" ht="18.75" customHeight="1" x14ac:dyDescent="0.15">
      <c r="A84" s="13"/>
      <c r="B84" s="292"/>
      <c r="C84" s="293"/>
      <c r="D84" s="293"/>
      <c r="E84" s="293"/>
      <c r="F84" s="293"/>
      <c r="G84" s="293"/>
      <c r="H84" s="293"/>
      <c r="I84" s="293"/>
      <c r="J84" s="294"/>
      <c r="K84" s="14"/>
    </row>
    <row r="85" spans="1:11" ht="18.75" customHeight="1" x14ac:dyDescent="0.15">
      <c r="A85" s="118"/>
      <c r="B85" s="292"/>
      <c r="C85" s="293"/>
      <c r="D85" s="293"/>
      <c r="E85" s="293"/>
      <c r="F85" s="293"/>
      <c r="G85" s="293"/>
      <c r="H85" s="293"/>
      <c r="I85" s="293"/>
      <c r="J85" s="294"/>
      <c r="K85" s="14"/>
    </row>
    <row r="86" spans="1:11" ht="18.75" customHeight="1" x14ac:dyDescent="0.15">
      <c r="A86" s="118"/>
      <c r="B86" s="295"/>
      <c r="C86" s="296"/>
      <c r="D86" s="296"/>
      <c r="E86" s="296"/>
      <c r="F86" s="296"/>
      <c r="G86" s="296"/>
      <c r="H86" s="296"/>
      <c r="I86" s="296"/>
      <c r="J86" s="297"/>
      <c r="K86" s="14"/>
    </row>
    <row r="87" spans="1:11" ht="7.5" customHeight="1" x14ac:dyDescent="0.15">
      <c r="A87" s="118"/>
      <c r="B87" s="118"/>
      <c r="C87" s="118"/>
      <c r="D87" s="118"/>
      <c r="E87" s="118"/>
      <c r="F87" s="118"/>
      <c r="G87" s="118"/>
      <c r="H87" s="118"/>
      <c r="I87" s="118"/>
      <c r="J87" s="118"/>
    </row>
    <row r="88" spans="1:11" ht="18.75" customHeight="1" x14ac:dyDescent="0.15">
      <c r="A88" s="13" t="s">
        <v>12</v>
      </c>
      <c r="B88" s="13" t="s">
        <v>27</v>
      </c>
    </row>
    <row r="89" spans="1:11" ht="18.75" customHeight="1" x14ac:dyDescent="0.15">
      <c r="A89" s="13"/>
      <c r="B89" s="288" t="s">
        <v>185</v>
      </c>
      <c r="C89" s="289"/>
      <c r="D89" s="289"/>
      <c r="E89" s="289"/>
      <c r="F89" s="289"/>
      <c r="G89" s="289"/>
      <c r="H89" s="289"/>
      <c r="I89" s="290"/>
      <c r="J89" s="291"/>
    </row>
    <row r="90" spans="1:11" ht="18.75" customHeight="1" x14ac:dyDescent="0.15">
      <c r="A90" s="13"/>
      <c r="B90" s="292"/>
      <c r="C90" s="293"/>
      <c r="D90" s="293"/>
      <c r="E90" s="293"/>
      <c r="F90" s="293"/>
      <c r="G90" s="293"/>
      <c r="H90" s="293"/>
      <c r="I90" s="293"/>
      <c r="J90" s="294"/>
      <c r="K90" s="14"/>
    </row>
    <row r="91" spans="1:11" ht="18.75" customHeight="1" x14ac:dyDescent="0.15">
      <c r="A91" s="13"/>
      <c r="B91" s="292"/>
      <c r="C91" s="293"/>
      <c r="D91" s="293"/>
      <c r="E91" s="293"/>
      <c r="F91" s="293"/>
      <c r="G91" s="293"/>
      <c r="H91" s="293"/>
      <c r="I91" s="293"/>
      <c r="J91" s="294"/>
      <c r="K91" s="14" t="str">
        <f>IF(B89="","入力してください","")</f>
        <v/>
      </c>
    </row>
    <row r="92" spans="1:11" ht="18.75" customHeight="1" x14ac:dyDescent="0.15">
      <c r="A92" s="13"/>
      <c r="B92" s="292"/>
      <c r="C92" s="293"/>
      <c r="D92" s="293"/>
      <c r="E92" s="293"/>
      <c r="F92" s="293"/>
      <c r="G92" s="293"/>
      <c r="H92" s="293"/>
      <c r="I92" s="293"/>
      <c r="J92" s="294"/>
      <c r="K92" s="14"/>
    </row>
    <row r="93" spans="1:11" ht="18.75" customHeight="1" x14ac:dyDescent="0.15">
      <c r="A93" s="13"/>
      <c r="B93" s="292"/>
      <c r="C93" s="293"/>
      <c r="D93" s="293"/>
      <c r="E93" s="293"/>
      <c r="F93" s="293"/>
      <c r="G93" s="293"/>
      <c r="H93" s="293"/>
      <c r="I93" s="293"/>
      <c r="J93" s="294"/>
      <c r="K93" s="14"/>
    </row>
    <row r="94" spans="1:11" ht="18.75" customHeight="1" x14ac:dyDescent="0.15">
      <c r="A94" s="13"/>
      <c r="B94" s="292"/>
      <c r="C94" s="293"/>
      <c r="D94" s="293"/>
      <c r="E94" s="293"/>
      <c r="F94" s="293"/>
      <c r="G94" s="293"/>
      <c r="H94" s="293"/>
      <c r="I94" s="293"/>
      <c r="J94" s="294"/>
      <c r="K94" s="14"/>
    </row>
    <row r="95" spans="1:11" ht="18.75" customHeight="1" x14ac:dyDescent="0.15">
      <c r="A95" s="13"/>
      <c r="B95" s="292"/>
      <c r="C95" s="293"/>
      <c r="D95" s="293"/>
      <c r="E95" s="293"/>
      <c r="F95" s="293"/>
      <c r="G95" s="293"/>
      <c r="H95" s="293"/>
      <c r="I95" s="293"/>
      <c r="J95" s="294"/>
      <c r="K95" s="14"/>
    </row>
    <row r="96" spans="1:11" ht="18.75" customHeight="1" x14ac:dyDescent="0.15">
      <c r="A96" s="13"/>
      <c r="B96" s="292"/>
      <c r="C96" s="293"/>
      <c r="D96" s="293"/>
      <c r="E96" s="293"/>
      <c r="F96" s="293"/>
      <c r="G96" s="293"/>
      <c r="H96" s="293"/>
      <c r="I96" s="293"/>
      <c r="J96" s="294"/>
      <c r="K96" s="14"/>
    </row>
    <row r="97" spans="1:11" ht="18.75" customHeight="1" x14ac:dyDescent="0.15">
      <c r="A97" s="13"/>
      <c r="B97" s="292"/>
      <c r="C97" s="293"/>
      <c r="D97" s="293"/>
      <c r="E97" s="293"/>
      <c r="F97" s="293"/>
      <c r="G97" s="293"/>
      <c r="H97" s="293"/>
      <c r="I97" s="293"/>
      <c r="J97" s="294"/>
      <c r="K97" s="14"/>
    </row>
    <row r="98" spans="1:11" ht="18.75" customHeight="1" x14ac:dyDescent="0.15">
      <c r="A98" s="13"/>
      <c r="B98" s="292"/>
      <c r="C98" s="293"/>
      <c r="D98" s="293"/>
      <c r="E98" s="293"/>
      <c r="F98" s="293"/>
      <c r="G98" s="293"/>
      <c r="H98" s="293"/>
      <c r="I98" s="293"/>
      <c r="J98" s="294"/>
      <c r="K98" s="14"/>
    </row>
    <row r="99" spans="1:11" ht="18.75" customHeight="1" x14ac:dyDescent="0.15">
      <c r="A99" s="13"/>
      <c r="B99" s="292"/>
      <c r="C99" s="293"/>
      <c r="D99" s="293"/>
      <c r="E99" s="293"/>
      <c r="F99" s="293"/>
      <c r="G99" s="293"/>
      <c r="H99" s="293"/>
      <c r="I99" s="293"/>
      <c r="J99" s="294"/>
      <c r="K99" s="14"/>
    </row>
    <row r="100" spans="1:11" ht="18.75" customHeight="1" x14ac:dyDescent="0.15">
      <c r="A100" s="13"/>
      <c r="B100" s="292"/>
      <c r="C100" s="293"/>
      <c r="D100" s="293"/>
      <c r="E100" s="293"/>
      <c r="F100" s="293"/>
      <c r="G100" s="293"/>
      <c r="H100" s="293"/>
      <c r="I100" s="293"/>
      <c r="J100" s="294"/>
      <c r="K100" s="14"/>
    </row>
    <row r="101" spans="1:11" ht="18.75" customHeight="1" x14ac:dyDescent="0.15">
      <c r="A101" s="13"/>
      <c r="B101" s="292"/>
      <c r="C101" s="293"/>
      <c r="D101" s="293"/>
      <c r="E101" s="293"/>
      <c r="F101" s="293"/>
      <c r="G101" s="293"/>
      <c r="H101" s="293"/>
      <c r="I101" s="293"/>
      <c r="J101" s="294"/>
      <c r="K101" s="14"/>
    </row>
    <row r="102" spans="1:11" ht="18.75" customHeight="1" x14ac:dyDescent="0.15">
      <c r="A102" s="13"/>
      <c r="B102" s="292"/>
      <c r="C102" s="293"/>
      <c r="D102" s="293"/>
      <c r="E102" s="293"/>
      <c r="F102" s="293"/>
      <c r="G102" s="293"/>
      <c r="H102" s="293"/>
      <c r="I102" s="293"/>
      <c r="J102" s="294"/>
      <c r="K102" s="14"/>
    </row>
    <row r="103" spans="1:11" ht="18.75" customHeight="1" x14ac:dyDescent="0.15">
      <c r="A103" s="13"/>
      <c r="B103" s="292"/>
      <c r="C103" s="293"/>
      <c r="D103" s="293"/>
      <c r="E103" s="293"/>
      <c r="F103" s="293"/>
      <c r="G103" s="293"/>
      <c r="H103" s="293"/>
      <c r="I103" s="293"/>
      <c r="J103" s="294"/>
      <c r="K103" s="14"/>
    </row>
    <row r="104" spans="1:11" ht="18.75" customHeight="1" x14ac:dyDescent="0.15">
      <c r="A104" s="13"/>
      <c r="B104" s="292"/>
      <c r="C104" s="293"/>
      <c r="D104" s="293"/>
      <c r="E104" s="293"/>
      <c r="F104" s="293"/>
      <c r="G104" s="293"/>
      <c r="H104" s="293"/>
      <c r="I104" s="293"/>
      <c r="J104" s="294"/>
      <c r="K104" s="14"/>
    </row>
    <row r="105" spans="1:11" ht="18.75" customHeight="1" x14ac:dyDescent="0.15">
      <c r="A105" s="13"/>
      <c r="B105" s="292"/>
      <c r="C105" s="293"/>
      <c r="D105" s="293"/>
      <c r="E105" s="293"/>
      <c r="F105" s="293"/>
      <c r="G105" s="293"/>
      <c r="H105" s="293"/>
      <c r="I105" s="293"/>
      <c r="J105" s="294"/>
      <c r="K105" s="14"/>
    </row>
    <row r="106" spans="1:11" ht="18.75" customHeight="1" x14ac:dyDescent="0.15">
      <c r="A106" s="13"/>
      <c r="B106" s="292"/>
      <c r="C106" s="293"/>
      <c r="D106" s="293"/>
      <c r="E106" s="293"/>
      <c r="F106" s="293"/>
      <c r="G106" s="293"/>
      <c r="H106" s="293"/>
      <c r="I106" s="293"/>
      <c r="J106" s="294"/>
      <c r="K106" s="14"/>
    </row>
    <row r="107" spans="1:11" ht="18.75" customHeight="1" x14ac:dyDescent="0.15">
      <c r="A107" s="118"/>
      <c r="B107" s="292"/>
      <c r="C107" s="293"/>
      <c r="D107" s="293"/>
      <c r="E107" s="293"/>
      <c r="F107" s="293"/>
      <c r="G107" s="293"/>
      <c r="H107" s="293"/>
      <c r="I107" s="293"/>
      <c r="J107" s="294"/>
      <c r="K107" s="14"/>
    </row>
    <row r="108" spans="1:11" ht="18.75" customHeight="1" x14ac:dyDescent="0.15">
      <c r="A108" s="118"/>
      <c r="B108" s="295"/>
      <c r="C108" s="296"/>
      <c r="D108" s="296"/>
      <c r="E108" s="296"/>
      <c r="F108" s="296"/>
      <c r="G108" s="296"/>
      <c r="H108" s="296"/>
      <c r="I108" s="296"/>
      <c r="J108" s="297"/>
      <c r="K108" s="14"/>
    </row>
    <row r="109" spans="1:11" ht="7.5" customHeight="1" x14ac:dyDescent="0.15">
      <c r="A109" s="118"/>
      <c r="B109" s="118"/>
      <c r="C109" s="118"/>
      <c r="D109" s="118"/>
      <c r="E109" s="118"/>
      <c r="F109" s="118"/>
      <c r="G109" s="118"/>
      <c r="H109" s="118"/>
      <c r="I109" s="118"/>
      <c r="J109" s="118"/>
    </row>
    <row r="110" spans="1:11" ht="18.75" customHeight="1" x14ac:dyDescent="0.15">
      <c r="A110" s="13" t="s">
        <v>53</v>
      </c>
      <c r="B110" s="299" t="s">
        <v>82</v>
      </c>
      <c r="C110" s="299"/>
      <c r="D110" s="299"/>
      <c r="E110" s="299"/>
      <c r="F110" s="299"/>
      <c r="G110" s="299"/>
      <c r="H110" s="299"/>
      <c r="I110" s="299"/>
      <c r="J110" s="299"/>
    </row>
    <row r="111" spans="1:11" ht="18.75" customHeight="1" x14ac:dyDescent="0.15">
      <c r="A111" s="118"/>
      <c r="B111" s="288" t="s">
        <v>186</v>
      </c>
      <c r="C111" s="289"/>
      <c r="D111" s="289"/>
      <c r="E111" s="289"/>
      <c r="F111" s="289"/>
      <c r="G111" s="289"/>
      <c r="H111" s="289"/>
      <c r="I111" s="290"/>
      <c r="J111" s="291"/>
    </row>
    <row r="112" spans="1:11" ht="18.75" customHeight="1" x14ac:dyDescent="0.15">
      <c r="A112" s="118"/>
      <c r="B112" s="292"/>
      <c r="C112" s="293"/>
      <c r="D112" s="293"/>
      <c r="E112" s="293"/>
      <c r="F112" s="293"/>
      <c r="G112" s="293"/>
      <c r="H112" s="293"/>
      <c r="I112" s="293"/>
      <c r="J112" s="294"/>
      <c r="K112" s="14"/>
    </row>
    <row r="113" spans="1:11" ht="18.75" customHeight="1" x14ac:dyDescent="0.15">
      <c r="A113" s="118"/>
      <c r="B113" s="292"/>
      <c r="C113" s="293"/>
      <c r="D113" s="293"/>
      <c r="E113" s="293"/>
      <c r="F113" s="293"/>
      <c r="G113" s="293"/>
      <c r="H113" s="293"/>
      <c r="I113" s="293"/>
      <c r="J113" s="294"/>
      <c r="K113" s="13" t="str">
        <f>IF(B111="","入力してください","")</f>
        <v/>
      </c>
    </row>
    <row r="114" spans="1:11" ht="18.75" customHeight="1" x14ac:dyDescent="0.15">
      <c r="A114" s="118"/>
      <c r="B114" s="292"/>
      <c r="C114" s="293"/>
      <c r="D114" s="293"/>
      <c r="E114" s="293"/>
      <c r="F114" s="293"/>
      <c r="G114" s="293"/>
      <c r="H114" s="293"/>
      <c r="I114" s="293"/>
      <c r="J114" s="294"/>
    </row>
    <row r="115" spans="1:11" ht="18.75" customHeight="1" x14ac:dyDescent="0.15">
      <c r="A115" s="118"/>
      <c r="B115" s="292"/>
      <c r="C115" s="293"/>
      <c r="D115" s="293"/>
      <c r="E115" s="293"/>
      <c r="F115" s="293"/>
      <c r="G115" s="293"/>
      <c r="H115" s="293"/>
      <c r="I115" s="293"/>
      <c r="J115" s="294"/>
    </row>
    <row r="116" spans="1:11" ht="18.75" customHeight="1" x14ac:dyDescent="0.15">
      <c r="A116" s="118"/>
      <c r="B116" s="292"/>
      <c r="C116" s="293"/>
      <c r="D116" s="293"/>
      <c r="E116" s="293"/>
      <c r="F116" s="293"/>
      <c r="G116" s="293"/>
      <c r="H116" s="293"/>
      <c r="I116" s="293"/>
      <c r="J116" s="294"/>
    </row>
    <row r="117" spans="1:11" ht="18.75" customHeight="1" x14ac:dyDescent="0.15">
      <c r="A117" s="118"/>
      <c r="B117" s="292"/>
      <c r="C117" s="293"/>
      <c r="D117" s="293"/>
      <c r="E117" s="293"/>
      <c r="F117" s="293"/>
      <c r="G117" s="293"/>
      <c r="H117" s="293"/>
      <c r="I117" s="293"/>
      <c r="J117" s="294"/>
    </row>
    <row r="118" spans="1:11" ht="18.75" customHeight="1" x14ac:dyDescent="0.15">
      <c r="A118" s="118"/>
      <c r="B118" s="292"/>
      <c r="C118" s="293"/>
      <c r="D118" s="293"/>
      <c r="E118" s="293"/>
      <c r="F118" s="293"/>
      <c r="G118" s="293"/>
      <c r="H118" s="293"/>
      <c r="I118" s="293"/>
      <c r="J118" s="294"/>
    </row>
    <row r="119" spans="1:11" ht="18.75" customHeight="1" x14ac:dyDescent="0.15">
      <c r="A119" s="118"/>
      <c r="B119" s="292"/>
      <c r="C119" s="293"/>
      <c r="D119" s="293"/>
      <c r="E119" s="293"/>
      <c r="F119" s="293"/>
      <c r="G119" s="293"/>
      <c r="H119" s="293"/>
      <c r="I119" s="293"/>
      <c r="J119" s="294"/>
    </row>
    <row r="120" spans="1:11" ht="18.75" customHeight="1" x14ac:dyDescent="0.15">
      <c r="A120" s="118"/>
      <c r="B120" s="292"/>
      <c r="C120" s="293"/>
      <c r="D120" s="293"/>
      <c r="E120" s="293"/>
      <c r="F120" s="293"/>
      <c r="G120" s="293"/>
      <c r="H120" s="293"/>
      <c r="I120" s="293"/>
      <c r="J120" s="294"/>
    </row>
    <row r="121" spans="1:11" ht="18.75" customHeight="1" x14ac:dyDescent="0.15">
      <c r="A121" s="118"/>
      <c r="B121" s="292"/>
      <c r="C121" s="293"/>
      <c r="D121" s="293"/>
      <c r="E121" s="293"/>
      <c r="F121" s="293"/>
      <c r="G121" s="293"/>
      <c r="H121" s="293"/>
      <c r="I121" s="293"/>
      <c r="J121" s="294"/>
    </row>
    <row r="122" spans="1:11" ht="18.75" customHeight="1" x14ac:dyDescent="0.15">
      <c r="A122" s="118"/>
      <c r="B122" s="292"/>
      <c r="C122" s="293"/>
      <c r="D122" s="293"/>
      <c r="E122" s="293"/>
      <c r="F122" s="293"/>
      <c r="G122" s="293"/>
      <c r="H122" s="293"/>
      <c r="I122" s="293"/>
      <c r="J122" s="294"/>
    </row>
    <row r="123" spans="1:11" ht="18.75" customHeight="1" x14ac:dyDescent="0.15">
      <c r="A123" s="118"/>
      <c r="B123" s="292"/>
      <c r="C123" s="293"/>
      <c r="D123" s="293"/>
      <c r="E123" s="293"/>
      <c r="F123" s="293"/>
      <c r="G123" s="293"/>
      <c r="H123" s="293"/>
      <c r="I123" s="293"/>
      <c r="J123" s="294"/>
    </row>
    <row r="124" spans="1:11" ht="18.75" customHeight="1" x14ac:dyDescent="0.15">
      <c r="A124" s="118"/>
      <c r="B124" s="292"/>
      <c r="C124" s="293"/>
      <c r="D124" s="293"/>
      <c r="E124" s="293"/>
      <c r="F124" s="293"/>
      <c r="G124" s="293"/>
      <c r="H124" s="293"/>
      <c r="I124" s="293"/>
      <c r="J124" s="294"/>
    </row>
    <row r="125" spans="1:11" ht="18.75" customHeight="1" x14ac:dyDescent="0.15">
      <c r="A125" s="118"/>
      <c r="B125" s="292"/>
      <c r="C125" s="293"/>
      <c r="D125" s="293"/>
      <c r="E125" s="293"/>
      <c r="F125" s="293"/>
      <c r="G125" s="293"/>
      <c r="H125" s="293"/>
      <c r="I125" s="293"/>
      <c r="J125" s="294"/>
    </row>
    <row r="126" spans="1:11" ht="18.75" customHeight="1" x14ac:dyDescent="0.15">
      <c r="A126" s="118"/>
      <c r="B126" s="292"/>
      <c r="C126" s="293"/>
      <c r="D126" s="293"/>
      <c r="E126" s="293"/>
      <c r="F126" s="293"/>
      <c r="G126" s="293"/>
      <c r="H126" s="293"/>
      <c r="I126" s="293"/>
      <c r="J126" s="294"/>
    </row>
    <row r="127" spans="1:11" ht="18.75" customHeight="1" x14ac:dyDescent="0.15">
      <c r="A127" s="118"/>
      <c r="B127" s="292"/>
      <c r="C127" s="293"/>
      <c r="D127" s="293"/>
      <c r="E127" s="293"/>
      <c r="F127" s="293"/>
      <c r="G127" s="293"/>
      <c r="H127" s="293"/>
      <c r="I127" s="293"/>
      <c r="J127" s="294"/>
    </row>
    <row r="128" spans="1:11" ht="18.75" customHeight="1" x14ac:dyDescent="0.15">
      <c r="A128" s="118"/>
      <c r="B128" s="292"/>
      <c r="C128" s="293"/>
      <c r="D128" s="293"/>
      <c r="E128" s="293"/>
      <c r="F128" s="293"/>
      <c r="G128" s="293"/>
      <c r="H128" s="293"/>
      <c r="I128" s="293"/>
      <c r="J128" s="294"/>
    </row>
    <row r="129" spans="1:10" ht="18.75" customHeight="1" x14ac:dyDescent="0.15">
      <c r="A129" s="118"/>
      <c r="B129" s="295"/>
      <c r="C129" s="296"/>
      <c r="D129" s="296"/>
      <c r="E129" s="296"/>
      <c r="F129" s="296"/>
      <c r="G129" s="296"/>
      <c r="H129" s="296"/>
      <c r="I129" s="296"/>
      <c r="J129" s="297"/>
    </row>
    <row r="130" spans="1:10" ht="7.5" customHeight="1" x14ac:dyDescent="0.15">
      <c r="A130" s="118"/>
      <c r="B130" s="121"/>
      <c r="C130" s="121"/>
      <c r="D130" s="121"/>
      <c r="E130" s="121"/>
      <c r="F130" s="121"/>
      <c r="G130" s="121"/>
      <c r="H130" s="121"/>
      <c r="I130" s="121"/>
      <c r="J130" s="121"/>
    </row>
    <row r="131" spans="1:10" ht="18.75" customHeight="1" x14ac:dyDescent="0.15">
      <c r="A131" s="118"/>
      <c r="B131" s="118"/>
      <c r="C131" s="118"/>
      <c r="D131" s="118"/>
      <c r="E131" s="118"/>
      <c r="F131" s="118"/>
      <c r="G131" s="118"/>
      <c r="H131" s="118"/>
      <c r="I131" s="118"/>
      <c r="J131" s="118"/>
    </row>
    <row r="132" spans="1:10" ht="18.75" customHeight="1" x14ac:dyDescent="0.15">
      <c r="A132" s="118"/>
      <c r="B132" s="118"/>
      <c r="C132" s="118"/>
      <c r="D132" s="118"/>
      <c r="E132" s="118"/>
      <c r="F132" s="118"/>
      <c r="G132" s="118"/>
      <c r="H132" s="118"/>
      <c r="I132" s="118"/>
      <c r="J132" s="118"/>
    </row>
    <row r="133" spans="1:10" ht="18.75" customHeight="1" x14ac:dyDescent="0.15">
      <c r="A133" s="118"/>
      <c r="B133" s="118"/>
      <c r="C133" s="118"/>
      <c r="D133" s="118"/>
      <c r="E133" s="118"/>
      <c r="F133" s="118"/>
      <c r="G133" s="118"/>
      <c r="H133" s="118"/>
      <c r="I133" s="118"/>
      <c r="J133" s="118"/>
    </row>
    <row r="134" spans="1:10" ht="18.75" customHeight="1" x14ac:dyDescent="0.15">
      <c r="A134" s="118"/>
      <c r="B134" s="118"/>
      <c r="C134" s="118"/>
      <c r="D134" s="118"/>
      <c r="E134" s="118"/>
      <c r="F134" s="118"/>
      <c r="G134" s="118"/>
      <c r="H134" s="118"/>
      <c r="I134" s="118"/>
      <c r="J134" s="118"/>
    </row>
    <row r="135" spans="1:10" ht="18.75" customHeight="1" x14ac:dyDescent="0.15">
      <c r="A135" s="118"/>
      <c r="B135" s="118"/>
      <c r="C135" s="118"/>
      <c r="D135" s="118"/>
      <c r="E135" s="118"/>
      <c r="F135" s="118"/>
      <c r="G135" s="118"/>
      <c r="H135" s="118"/>
      <c r="I135" s="118"/>
      <c r="J135" s="118"/>
    </row>
    <row r="136" spans="1:10" ht="18.75" customHeight="1" x14ac:dyDescent="0.15">
      <c r="A136" s="118"/>
      <c r="B136" s="118"/>
      <c r="C136" s="118"/>
      <c r="D136" s="118"/>
      <c r="E136" s="118"/>
      <c r="F136" s="118"/>
      <c r="G136" s="118"/>
      <c r="H136" s="118"/>
      <c r="I136" s="118"/>
      <c r="J136" s="118"/>
    </row>
    <row r="137" spans="1:10" ht="18.75" customHeight="1" x14ac:dyDescent="0.15">
      <c r="A137" s="118"/>
      <c r="B137" s="118"/>
      <c r="C137" s="118"/>
      <c r="D137" s="118"/>
      <c r="E137" s="118"/>
      <c r="F137" s="118"/>
      <c r="G137" s="118"/>
      <c r="H137" s="118"/>
      <c r="I137" s="118"/>
      <c r="J137" s="118"/>
    </row>
    <row r="138" spans="1:10" ht="18.75" customHeight="1" x14ac:dyDescent="0.15">
      <c r="A138" s="118"/>
      <c r="B138" s="118"/>
      <c r="C138" s="118"/>
      <c r="D138" s="118"/>
      <c r="E138" s="118"/>
      <c r="F138" s="118"/>
      <c r="G138" s="118"/>
      <c r="H138" s="118"/>
      <c r="I138" s="118"/>
      <c r="J138" s="118"/>
    </row>
    <row r="139" spans="1:10" ht="18.75" customHeight="1" x14ac:dyDescent="0.15">
      <c r="A139" s="118"/>
      <c r="B139" s="118"/>
      <c r="C139" s="118"/>
      <c r="D139" s="118"/>
      <c r="E139" s="118"/>
      <c r="F139" s="118"/>
      <c r="G139" s="118"/>
      <c r="H139" s="118"/>
      <c r="I139" s="118"/>
      <c r="J139" s="118"/>
    </row>
    <row r="140" spans="1:10" ht="18.75" customHeight="1" x14ac:dyDescent="0.15">
      <c r="A140" s="118"/>
      <c r="B140" s="118"/>
      <c r="C140" s="118"/>
      <c r="D140" s="118"/>
      <c r="E140" s="118"/>
      <c r="F140" s="118"/>
      <c r="G140" s="118"/>
      <c r="H140" s="118"/>
      <c r="I140" s="118"/>
      <c r="J140" s="118"/>
    </row>
    <row r="141" spans="1:10" ht="18.75" customHeight="1" x14ac:dyDescent="0.15">
      <c r="A141" s="118"/>
      <c r="B141" s="118"/>
      <c r="C141" s="118"/>
      <c r="D141" s="118"/>
      <c r="E141" s="118"/>
      <c r="F141" s="118"/>
      <c r="G141" s="118"/>
      <c r="H141" s="118"/>
      <c r="I141" s="118"/>
      <c r="J141" s="118"/>
    </row>
    <row r="142" spans="1:10" ht="18.75" customHeight="1" x14ac:dyDescent="0.15">
      <c r="A142" s="118"/>
      <c r="B142" s="118"/>
      <c r="C142" s="118"/>
      <c r="D142" s="118"/>
      <c r="E142" s="118"/>
      <c r="F142" s="118"/>
      <c r="G142" s="118"/>
      <c r="H142" s="118"/>
      <c r="I142" s="118"/>
      <c r="J142" s="118"/>
    </row>
    <row r="143" spans="1:10" ht="14.25" x14ac:dyDescent="0.15">
      <c r="A143" s="118"/>
      <c r="B143" s="118"/>
      <c r="C143" s="118"/>
      <c r="D143" s="118"/>
      <c r="E143" s="118"/>
      <c r="F143" s="118"/>
      <c r="G143" s="118"/>
      <c r="H143" s="118"/>
      <c r="I143" s="118"/>
      <c r="J143" s="118"/>
    </row>
    <row r="144" spans="1:10" ht="7.5" customHeight="1" x14ac:dyDescent="0.15">
      <c r="A144" s="122"/>
      <c r="B144" s="122"/>
      <c r="C144" s="122"/>
      <c r="D144" s="122"/>
      <c r="E144" s="122"/>
      <c r="F144" s="122"/>
      <c r="G144" s="122"/>
      <c r="H144" s="122"/>
      <c r="I144" s="122"/>
      <c r="J144" s="122"/>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
  <sheetViews>
    <sheetView showZeros="0" tabSelected="1" view="pageBreakPreview" zoomScaleNormal="100" zoomScaleSheetLayoutView="100" workbookViewId="0">
      <selection activeCell="L8" sqref="L8"/>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0" customWidth="1"/>
    <col min="12" max="16384" width="11.375" style="1"/>
  </cols>
  <sheetData>
    <row r="1" spans="1:11" ht="18.75" customHeight="1" x14ac:dyDescent="0.15">
      <c r="A1" s="1" t="s">
        <v>123</v>
      </c>
      <c r="J1" s="37" t="s">
        <v>73</v>
      </c>
    </row>
    <row r="2" spans="1:11" ht="18.75" customHeight="1" x14ac:dyDescent="0.15">
      <c r="A2" s="262" t="s">
        <v>42</v>
      </c>
      <c r="B2" s="262"/>
      <c r="C2" s="262"/>
      <c r="D2" s="262"/>
      <c r="E2" s="262"/>
      <c r="F2" s="262"/>
      <c r="G2" s="262"/>
      <c r="H2" s="262"/>
      <c r="I2" s="262"/>
      <c r="J2" s="262"/>
    </row>
    <row r="3" spans="1:11" ht="7.5" customHeight="1" x14ac:dyDescent="0.15">
      <c r="A3" s="38"/>
      <c r="B3" s="38"/>
      <c r="C3" s="38"/>
      <c r="D3" s="38"/>
      <c r="E3" s="38"/>
      <c r="F3" s="38"/>
      <c r="G3" s="38"/>
      <c r="H3" s="38"/>
      <c r="I3" s="38"/>
      <c r="J3" s="38"/>
    </row>
    <row r="4" spans="1:11" ht="18.75" customHeight="1" x14ac:dyDescent="0.15">
      <c r="A4" s="1" t="s">
        <v>6</v>
      </c>
      <c r="B4" s="3" t="s">
        <v>41</v>
      </c>
      <c r="C4" s="35"/>
      <c r="D4" s="35"/>
      <c r="E4" s="36"/>
      <c r="F4" s="36"/>
      <c r="G4" s="36"/>
      <c r="H4" s="36"/>
      <c r="I4" s="36"/>
      <c r="J4" s="36"/>
    </row>
    <row r="5" spans="1:11" ht="18.75" customHeight="1" x14ac:dyDescent="0.15">
      <c r="B5" s="305" t="s">
        <v>38</v>
      </c>
      <c r="C5" s="306"/>
      <c r="D5" s="307"/>
      <c r="E5" s="308" t="s">
        <v>40</v>
      </c>
      <c r="F5" s="308"/>
      <c r="G5" s="308"/>
      <c r="H5" s="308"/>
      <c r="I5" s="308"/>
      <c r="J5" s="309"/>
    </row>
    <row r="6" spans="1:11" ht="18.75" customHeight="1" x14ac:dyDescent="0.15">
      <c r="B6" s="2" t="s">
        <v>28</v>
      </c>
      <c r="C6" s="35"/>
      <c r="D6" s="6"/>
      <c r="I6" s="36"/>
      <c r="J6" s="4"/>
    </row>
    <row r="7" spans="1:11" ht="207" customHeight="1" x14ac:dyDescent="0.15">
      <c r="B7" s="5"/>
      <c r="C7" s="310" t="s">
        <v>29</v>
      </c>
      <c r="D7" s="311"/>
      <c r="E7" s="302" t="s">
        <v>187</v>
      </c>
      <c r="F7" s="303"/>
      <c r="G7" s="303"/>
      <c r="H7" s="303"/>
      <c r="I7" s="303"/>
      <c r="J7" s="304"/>
      <c r="K7" s="30" t="str">
        <f>IF(E7="","入力してください","")</f>
        <v/>
      </c>
    </row>
    <row r="8" spans="1:11" ht="207" customHeight="1" x14ac:dyDescent="0.15">
      <c r="B8" s="5"/>
      <c r="C8" s="300" t="s">
        <v>30</v>
      </c>
      <c r="D8" s="301"/>
      <c r="E8" s="302" t="s">
        <v>195</v>
      </c>
      <c r="F8" s="303"/>
      <c r="G8" s="303"/>
      <c r="H8" s="303"/>
      <c r="I8" s="303"/>
      <c r="J8" s="304"/>
      <c r="K8" s="30" t="str">
        <f>IF(E8="","入力してください","")</f>
        <v/>
      </c>
    </row>
    <row r="9" spans="1:11" ht="172.5" customHeight="1" x14ac:dyDescent="0.15">
      <c r="B9" s="5"/>
      <c r="C9" s="310" t="s">
        <v>31</v>
      </c>
      <c r="D9" s="311"/>
      <c r="E9" s="302" t="s">
        <v>188</v>
      </c>
      <c r="F9" s="303"/>
      <c r="G9" s="303"/>
      <c r="H9" s="303"/>
      <c r="I9" s="303"/>
      <c r="J9" s="304"/>
      <c r="K9" s="30" t="str">
        <f>IF(E9="","入力してください","")</f>
        <v/>
      </c>
    </row>
    <row r="10" spans="1:11" ht="172.5" customHeight="1" x14ac:dyDescent="0.15">
      <c r="B10" s="5"/>
      <c r="C10" s="310" t="s">
        <v>32</v>
      </c>
      <c r="D10" s="311"/>
      <c r="E10" s="302" t="s">
        <v>189</v>
      </c>
      <c r="F10" s="303"/>
      <c r="G10" s="303"/>
      <c r="H10" s="303"/>
      <c r="I10" s="303"/>
      <c r="J10" s="304"/>
      <c r="K10" s="30" t="str">
        <f>IF(E10="","入力してください","")</f>
        <v/>
      </c>
    </row>
    <row r="11" spans="1:11" ht="172.5" customHeight="1" x14ac:dyDescent="0.15">
      <c r="B11" s="5"/>
      <c r="C11" s="310" t="s">
        <v>33</v>
      </c>
      <c r="D11" s="311"/>
      <c r="E11" s="302" t="s">
        <v>190</v>
      </c>
      <c r="F11" s="303"/>
      <c r="G11" s="303"/>
      <c r="H11" s="303"/>
      <c r="I11" s="303"/>
      <c r="J11" s="304"/>
      <c r="K11" s="30" t="str">
        <f>IF(E11="","入力してください","")</f>
        <v/>
      </c>
    </row>
    <row r="12" spans="1:11" ht="18.75" customHeight="1" x14ac:dyDescent="0.15">
      <c r="B12" s="8" t="s">
        <v>34</v>
      </c>
      <c r="C12" s="27"/>
      <c r="D12" s="7"/>
      <c r="E12" s="110"/>
      <c r="F12" s="110"/>
      <c r="G12" s="110"/>
      <c r="H12" s="110"/>
      <c r="I12" s="110"/>
      <c r="J12" s="111"/>
    </row>
    <row r="13" spans="1:11" ht="244.15" customHeight="1" x14ac:dyDescent="0.15">
      <c r="B13" s="5"/>
      <c r="C13" s="310" t="s">
        <v>35</v>
      </c>
      <c r="D13" s="311"/>
      <c r="E13" s="303" t="s">
        <v>191</v>
      </c>
      <c r="F13" s="303"/>
      <c r="G13" s="303"/>
      <c r="H13" s="303"/>
      <c r="I13" s="303"/>
      <c r="J13" s="304"/>
      <c r="K13" s="30" t="str">
        <f>IF(E13="","入力してください","")</f>
        <v/>
      </c>
    </row>
    <row r="14" spans="1:11" ht="255" customHeight="1" x14ac:dyDescent="0.15">
      <c r="B14" s="5"/>
      <c r="C14" s="310" t="s">
        <v>36</v>
      </c>
      <c r="D14" s="311"/>
      <c r="E14" s="303" t="s">
        <v>192</v>
      </c>
      <c r="F14" s="303"/>
      <c r="G14" s="303"/>
      <c r="H14" s="303"/>
      <c r="I14" s="303"/>
      <c r="J14" s="304"/>
      <c r="K14" s="30" t="str">
        <f>IF(E14="","入力してください","")</f>
        <v/>
      </c>
    </row>
    <row r="15" spans="1:11" ht="243" customHeight="1" x14ac:dyDescent="0.15">
      <c r="B15" s="318" t="s">
        <v>37</v>
      </c>
      <c r="C15" s="319"/>
      <c r="D15" s="311"/>
      <c r="E15" s="303" t="s">
        <v>193</v>
      </c>
      <c r="F15" s="303"/>
      <c r="G15" s="303"/>
      <c r="H15" s="303"/>
      <c r="I15" s="303"/>
      <c r="J15" s="304"/>
      <c r="K15" s="30" t="str">
        <f>IF(E15="","入力してください","")</f>
        <v/>
      </c>
    </row>
    <row r="16" spans="1:11" ht="243" customHeight="1" x14ac:dyDescent="0.15">
      <c r="A16" s="30"/>
      <c r="B16" s="312" t="s">
        <v>66</v>
      </c>
      <c r="C16" s="313"/>
      <c r="D16" s="314"/>
      <c r="E16" s="285" t="s">
        <v>194</v>
      </c>
      <c r="F16" s="285"/>
      <c r="G16" s="285"/>
      <c r="H16" s="285"/>
      <c r="I16" s="285"/>
      <c r="J16" s="286"/>
      <c r="K16" s="30" t="str">
        <f>IF(E16="","入力してください","")</f>
        <v/>
      </c>
    </row>
    <row r="17" spans="1:11" ht="7.5" customHeight="1" x14ac:dyDescent="0.15">
      <c r="B17" s="35"/>
      <c r="C17" s="35"/>
      <c r="D17" s="35"/>
      <c r="E17" s="36"/>
      <c r="F17" s="36"/>
      <c r="G17" s="36"/>
      <c r="H17" s="36"/>
      <c r="I17" s="36"/>
      <c r="J17" s="36"/>
    </row>
    <row r="18" spans="1:11" ht="18.75" customHeight="1" x14ac:dyDescent="0.15">
      <c r="A18" s="1" t="s">
        <v>124</v>
      </c>
      <c r="B18" s="3"/>
      <c r="C18" s="35"/>
      <c r="D18" s="35"/>
      <c r="E18" s="36"/>
      <c r="F18" s="88"/>
      <c r="G18" s="315" t="s">
        <v>182</v>
      </c>
      <c r="H18" s="316"/>
      <c r="I18" s="316"/>
      <c r="J18" s="317"/>
      <c r="K18" s="30" t="str">
        <f>IF(G18="","入力してください","")</f>
        <v/>
      </c>
    </row>
    <row r="19" spans="1:11" ht="22.5" customHeight="1" x14ac:dyDescent="0.15">
      <c r="B19" s="35"/>
      <c r="C19" s="35"/>
      <c r="D19" s="35"/>
      <c r="E19" s="36"/>
      <c r="F19" s="36"/>
      <c r="G19" s="36"/>
      <c r="H19" s="36"/>
      <c r="I19" s="36"/>
      <c r="J19" s="36"/>
    </row>
    <row r="20" spans="1:11" ht="22.5" customHeight="1" x14ac:dyDescent="0.15">
      <c r="B20" s="35"/>
      <c r="C20" s="35"/>
      <c r="D20" s="35"/>
      <c r="E20" s="36"/>
      <c r="F20" s="36"/>
      <c r="G20" s="36"/>
      <c r="H20" s="36"/>
      <c r="I20" s="36"/>
      <c r="J20" s="36"/>
    </row>
    <row r="21" spans="1:11" ht="22.5" customHeight="1" x14ac:dyDescent="0.15">
      <c r="B21" s="35"/>
      <c r="C21" s="35"/>
      <c r="D21" s="35"/>
      <c r="E21" s="36"/>
      <c r="F21" s="36"/>
      <c r="G21" s="36"/>
      <c r="H21" s="36"/>
      <c r="I21" s="36"/>
      <c r="J21" s="36"/>
    </row>
    <row r="22" spans="1:11" ht="22.5" customHeight="1" x14ac:dyDescent="0.15">
      <c r="B22" s="35"/>
      <c r="C22" s="35"/>
      <c r="D22" s="35"/>
      <c r="E22" s="36"/>
      <c r="F22" s="36"/>
      <c r="G22" s="36"/>
      <c r="H22" s="36"/>
      <c r="I22" s="36"/>
      <c r="J22" s="36"/>
    </row>
    <row r="23" spans="1:11" ht="22.5" customHeight="1" x14ac:dyDescent="0.15">
      <c r="B23" s="35"/>
      <c r="C23" s="35"/>
      <c r="D23" s="35"/>
      <c r="E23" s="36"/>
      <c r="F23" s="36"/>
      <c r="G23" s="36"/>
      <c r="H23" s="36"/>
      <c r="I23" s="36"/>
      <c r="J23" s="36"/>
    </row>
    <row r="24" spans="1:11" ht="22.5" customHeight="1" x14ac:dyDescent="0.15">
      <c r="B24" s="95"/>
      <c r="C24" s="95"/>
      <c r="D24" s="95"/>
      <c r="E24" s="95"/>
      <c r="F24" s="95"/>
      <c r="G24" s="95"/>
      <c r="H24" s="95"/>
      <c r="I24" s="95"/>
      <c r="J24" s="95"/>
    </row>
    <row r="25" spans="1:11" ht="22.5" customHeight="1" x14ac:dyDescent="0.15">
      <c r="B25" s="95"/>
      <c r="C25" s="95"/>
      <c r="D25" s="95"/>
      <c r="E25" s="95"/>
      <c r="F25" s="95"/>
      <c r="G25" s="95"/>
      <c r="H25" s="95"/>
      <c r="I25" s="95"/>
      <c r="J25" s="95"/>
    </row>
    <row r="26" spans="1:11" ht="22.5" customHeight="1" x14ac:dyDescent="0.15">
      <c r="B26" s="95"/>
      <c r="C26" s="95"/>
      <c r="D26" s="95"/>
      <c r="E26" s="95"/>
      <c r="F26" s="95"/>
      <c r="G26" s="95"/>
      <c r="H26" s="95"/>
      <c r="I26" s="95"/>
      <c r="J26" s="95"/>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00000000-0004-0000-0400-000000000000}"/>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様式２－1　プログラムを構成する授業科目</vt:lpstr>
      <vt:lpstr>様式２－2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'様式２－1　プログラムを構成する授業科目'!Print_Area</vt:lpstr>
      <vt:lpstr>'様式２－2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前田　瞬</cp:lastModifiedBy>
  <cp:lastPrinted>2022-05-19T00:34:17Z</cp:lastPrinted>
  <dcterms:created xsi:type="dcterms:W3CDTF">2011-06-14T05:32:50Z</dcterms:created>
  <dcterms:modified xsi:type="dcterms:W3CDTF">2022-06-22T02:55:16Z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