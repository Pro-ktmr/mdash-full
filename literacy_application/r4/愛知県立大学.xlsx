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2"/>
  <workbookPr defaultThemeVersion="124226"/>
  <mc:AlternateContent xmlns:mc="http://schemas.openxmlformats.org/markup-compatibility/2006">
    <mc:Choice Requires="x15">
      <x15ac:absPath xmlns:x15ac="http://schemas.microsoft.com/office/spreadsheetml/2010/11/ac" url="\\172.18.64.15\morikoro\20一般教育\03_教養教育教務\29_データサイエンスへの招待\◆数理・データサイエンス・ＡＩ教育プログラム関係\申請書一式\"/>
    </mc:Choice>
  </mc:AlternateContent>
  <xr:revisionPtr revIDLastSave="0" documentId="13_ncr:1_{B1B955FB-D022-400B-AECC-31C4A547BBC3}" xr6:coauthVersionLast="36" xr6:coauthVersionMax="47" xr10:uidLastSave="{00000000-0000-0000-0000-000000000000}"/>
  <bookViews>
    <workbookView xWindow="0" yWindow="0" windowWidth="28800" windowHeight="12135" tabRatio="885" firstSheet="2" activeTab="3"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 name="様式６　特色ある取組" sheetId="43" r:id="rId6"/>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 name="_xlnm.Print_Area" localSheetId="5">'様式６　特色ある取組'!$A$1:$F$124</definedName>
  </definedNames>
  <calcPr calcId="191029"/>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Q24" i="40"/>
  <c r="R24" i="40" s="1"/>
  <c r="Q23" i="40"/>
  <c r="R23" i="40" s="1"/>
  <c r="R22" i="40"/>
  <c r="Q22" i="40"/>
  <c r="Q21" i="40"/>
  <c r="R21" i="40" s="1"/>
  <c r="Q20" i="40"/>
  <c r="R20" i="40" s="1"/>
  <c r="Q19" i="40"/>
  <c r="R19" i="40" s="1"/>
  <c r="Q18" i="40"/>
  <c r="R18" i="40" s="1"/>
  <c r="Q17" i="40"/>
  <c r="R17" i="40" s="1"/>
  <c r="Q16" i="40"/>
  <c r="R16" i="40" s="1"/>
  <c r="Q15" i="40"/>
  <c r="R15" i="40" s="1"/>
  <c r="Q14" i="40"/>
  <c r="R14" i="40" s="1"/>
  <c r="Q13" i="40"/>
  <c r="R13" i="40" s="1"/>
  <c r="Q12" i="40"/>
  <c r="R12" i="40" s="1"/>
  <c r="Q11" i="40"/>
  <c r="R11" i="40" s="1"/>
  <c r="Q10" i="40"/>
  <c r="Q30" i="40" l="1"/>
  <c r="R30" i="40" s="1"/>
  <c r="C28" i="41" s="1"/>
  <c r="R10" i="40"/>
</calcChain>
</file>

<file path=xl/sharedStrings.xml><?xml version="1.0" encoding="utf-8"?>
<sst xmlns="http://schemas.openxmlformats.org/spreadsheetml/2006/main" count="335" uniqueCount="219">
  <si>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</si>
  <si>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</si>
  <si>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</si>
  <si>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</si>
  <si>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</si>
  <si>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</si>
  <si>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</si>
  <si>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</si>
  <si>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</si>
  <si>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</si>
  <si>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</si>
  <si>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</si>
  <si>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</si>
  <si>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</si>
  <si>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</si>
  <si>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</si>
  <si>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</si>
  <si>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</si>
  <si>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</si>
  <si>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</si>
  <si>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</si>
  <si>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</si>
  <si>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</si>
  <si>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</si>
  <si>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</si>
  <si>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</si>
  <si>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</si>
  <si>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</si>
  <si>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</si>
  <si>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</si>
  <si>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</si>
  <si>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</si>
  <si>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</si>
  <si>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</si>
  <si>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</si>
  <si>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</si>
  <si>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</si>
  <si>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</si>
  <si>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</si>
  <si>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</si>
  <si>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</si>
  <si>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</si>
  <si>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</si>
  <si>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</si>
  <si>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</si>
  <si>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</si>
  <si>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</si>
  <si>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</si>
  <si>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</si>
  <si>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</si>
  <si>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</si>
  <si>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</si>
  <si>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</si>
  <si>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</si>
  <si>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</si>
  <si>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</si>
  <si>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</si>
  <si>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</si>
  <si>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</si>
  <si>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</si>
  <si>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</si>
  <si>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</si>
  <si>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</si>
  <si>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</si>
  <si>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</si>
  <si>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</si>
  <si>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</si>
  <si>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</si>
  <si>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</si>
  <si>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</si>
  <si>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</si>
  <si>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</si>
  <si>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</si>
  <si>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</si>
  <si>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</si>
  <si>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</si>
  <si>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</si>
  <si>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</si>
  <si>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</si>
  <si>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</si>
  <si>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</si>
  <si>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</si>
  <si>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</si>
  <si>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</si>
  <si>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</si>
  <si>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</si>
  <si>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</si>
  <si>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</si>
  <si>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</si>
  <si>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</si>
  <si>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</si>
  <si>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</si>
  <si>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</si>
  <si>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</si>
  <si>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</si>
  <si>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</si>
  <si>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</si>
  <si>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</si>
  <si>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</si>
  <si>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</si>
  <si>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</si>
  <si>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</si>
  <si>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</si>
  <si>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</si>
  <si>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</si>
  <si>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</si>
  <si>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</si>
  <si>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</si>
  <si>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</si>
  <si>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</si>
  <si>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</si>
  <si>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</si>
  <si>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</si>
  <si>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</si>
  <si>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</si>
  <si>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</si>
  <si>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</si>
  <si>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様式２－○</t>
  </si>
  <si>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</si>
  <si>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</si>
  <si>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</si>
  <si>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</si>
  <si>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</si>
  <si>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</si>
  <si>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</si>
  <si>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</si>
  <si>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</si>
  <si>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</si>
  <si>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</si>
  <si>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</si>
  <si>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</si>
  <si>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</si>
  <si>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</si>
  <si>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</si>
  <si>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</si>
  <si>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</si>
  <si>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</si>
  <si>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</si>
  <si>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</si>
  <si>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</si>
  <si>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</si>
  <si>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</si>
  <si>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</si>
  <si>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</si>
  <si>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</si>
  <si>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</si>
  <si>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</si>
  <si>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</si>
  <si>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</si>
  <si>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</si>
  <si>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</si>
  <si>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</si>
  <si>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</si>
  <si>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</si>
  <si>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愛知県立大学</t>
    <rPh sb="0" eb="2">
      <t>アイチ</t>
    </rPh>
    <rPh sb="2" eb="4">
      <t>ケンリツ</t>
    </rPh>
    <rPh sb="4" eb="6">
      <t>ダイガク</t>
    </rPh>
    <phoneticPr fontId="1"/>
  </si>
  <si>
    <t>愛知県公立大学法人</t>
    <rPh sb="0" eb="3">
      <t>アイチケン</t>
    </rPh>
    <rPh sb="3" eb="5">
      <t>コウリツ</t>
    </rPh>
    <rPh sb="5" eb="7">
      <t>ダイガク</t>
    </rPh>
    <rPh sb="7" eb="9">
      <t>ホウジン</t>
    </rPh>
    <phoneticPr fontId="1"/>
  </si>
  <si>
    <t>公立大学</t>
  </si>
  <si>
    <t>愛知県長久手市茨ケ廻間1522-3</t>
    <rPh sb="0" eb="3">
      <t>アイチケン</t>
    </rPh>
    <rPh sb="3" eb="7">
      <t>ナガクテシ</t>
    </rPh>
    <rPh sb="7" eb="8">
      <t>イバラ</t>
    </rPh>
    <rPh sb="9" eb="10">
      <t>マワ</t>
    </rPh>
    <rPh sb="10" eb="11">
      <t>アイダ</t>
    </rPh>
    <phoneticPr fontId="1"/>
  </si>
  <si>
    <t>データサイエンスへの招待</t>
    <rPh sb="10" eb="12">
      <t>ショウタイ</t>
    </rPh>
    <phoneticPr fontId="1"/>
  </si>
  <si>
    <t>無</t>
  </si>
  <si>
    <t>梶原　克教</t>
    <rPh sb="0" eb="2">
      <t>カジハラ</t>
    </rPh>
    <rPh sb="3" eb="4">
      <t>カツ</t>
    </rPh>
    <rPh sb="4" eb="5">
      <t>オシ</t>
    </rPh>
    <phoneticPr fontId="1"/>
  </si>
  <si>
    <t>教養教育センター長</t>
    <rPh sb="0" eb="2">
      <t>キョウヨウ</t>
    </rPh>
    <rPh sb="2" eb="4">
      <t>キョウイク</t>
    </rPh>
    <rPh sb="8" eb="9">
      <t>チョウ</t>
    </rPh>
    <phoneticPr fontId="1"/>
  </si>
  <si>
    <t>教養教育科目委員会</t>
    <rPh sb="0" eb="2">
      <t>キョウヨウ</t>
    </rPh>
    <rPh sb="2" eb="4">
      <t>キョウイク</t>
    </rPh>
    <rPh sb="4" eb="6">
      <t>カモク</t>
    </rPh>
    <rPh sb="6" eb="9">
      <t>イインカイ</t>
    </rPh>
    <phoneticPr fontId="1"/>
  </si>
  <si>
    <t>学務部学務課</t>
    <rPh sb="0" eb="2">
      <t>ガクム</t>
    </rPh>
    <rPh sb="2" eb="3">
      <t>ブ</t>
    </rPh>
    <rPh sb="3" eb="6">
      <t>ガクムカ</t>
    </rPh>
    <phoneticPr fontId="1"/>
  </si>
  <si>
    <t>中島　圭</t>
    <rPh sb="0" eb="2">
      <t>ナカシマ</t>
    </rPh>
    <rPh sb="3" eb="4">
      <t>ケイ</t>
    </rPh>
    <phoneticPr fontId="1"/>
  </si>
  <si>
    <t>kyoyo-kyoiku@puc.aichi-pu.ac.jp</t>
    <phoneticPr fontId="1"/>
  </si>
  <si>
    <t>0561-76-8832</t>
    <phoneticPr fontId="1"/>
  </si>
  <si>
    <t>学部・学科によって、修了要件は相違しない</t>
  </si>
  <si>
    <t>○</t>
  </si>
  <si>
    <t>全学開講</t>
  </si>
  <si>
    <t>〇</t>
    <phoneticPr fontId="1"/>
  </si>
  <si>
    <t>外国語学部　英米学科</t>
    <rPh sb="0" eb="3">
      <t>ガイコクゴ</t>
    </rPh>
    <rPh sb="3" eb="5">
      <t>ガクブ</t>
    </rPh>
    <rPh sb="6" eb="8">
      <t>エイベイ</t>
    </rPh>
    <rPh sb="8" eb="10">
      <t>ガッカ</t>
    </rPh>
    <phoneticPr fontId="1"/>
  </si>
  <si>
    <t>日本文化学部　国語国文学科</t>
    <rPh sb="0" eb="2">
      <t>ニホン</t>
    </rPh>
    <rPh sb="2" eb="4">
      <t>ブンカ</t>
    </rPh>
    <rPh sb="4" eb="6">
      <t>ガクブ</t>
    </rPh>
    <rPh sb="7" eb="9">
      <t>コクゴ</t>
    </rPh>
    <rPh sb="9" eb="11">
      <t>コクブン</t>
    </rPh>
    <rPh sb="11" eb="13">
      <t>ガッカ</t>
    </rPh>
    <phoneticPr fontId="1"/>
  </si>
  <si>
    <t>日本文化学部　歴史文化学科</t>
    <rPh sb="0" eb="2">
      <t>ニホン</t>
    </rPh>
    <rPh sb="2" eb="4">
      <t>ブンカ</t>
    </rPh>
    <rPh sb="4" eb="6">
      <t>ガクブ</t>
    </rPh>
    <rPh sb="7" eb="9">
      <t>レキシ</t>
    </rPh>
    <rPh sb="9" eb="11">
      <t>ブンカ</t>
    </rPh>
    <rPh sb="11" eb="13">
      <t>ガッカ</t>
    </rPh>
    <phoneticPr fontId="1"/>
  </si>
  <si>
    <t>教育福祉学部　教育発達学科</t>
    <rPh sb="0" eb="2">
      <t>キョウイク</t>
    </rPh>
    <rPh sb="2" eb="4">
      <t>フクシ</t>
    </rPh>
    <rPh sb="4" eb="6">
      <t>ガクブ</t>
    </rPh>
    <rPh sb="7" eb="9">
      <t>キョウイク</t>
    </rPh>
    <rPh sb="9" eb="11">
      <t>ハッタツ</t>
    </rPh>
    <rPh sb="11" eb="13">
      <t>ガッカ</t>
    </rPh>
    <phoneticPr fontId="1"/>
  </si>
  <si>
    <t>外国語学部　ヨーロッパ学科　フランス語圏専攻</t>
    <rPh sb="0" eb="3">
      <t>ガイコクゴ</t>
    </rPh>
    <rPh sb="3" eb="5">
      <t>ガクブ</t>
    </rPh>
    <rPh sb="11" eb="13">
      <t>ガッカ</t>
    </rPh>
    <rPh sb="18" eb="19">
      <t>ゴ</t>
    </rPh>
    <rPh sb="19" eb="20">
      <t>ケン</t>
    </rPh>
    <rPh sb="20" eb="22">
      <t>センコウ</t>
    </rPh>
    <phoneticPr fontId="1"/>
  </si>
  <si>
    <t>外国語学部　ヨーロッパ学科　スペイン語圏専攻</t>
    <rPh sb="0" eb="3">
      <t>ガイコクゴ</t>
    </rPh>
    <rPh sb="3" eb="5">
      <t>ガクブ</t>
    </rPh>
    <rPh sb="11" eb="13">
      <t>ガッカ</t>
    </rPh>
    <rPh sb="18" eb="19">
      <t>ゴ</t>
    </rPh>
    <rPh sb="19" eb="20">
      <t>ケン</t>
    </rPh>
    <rPh sb="20" eb="22">
      <t>センコウ</t>
    </rPh>
    <phoneticPr fontId="1"/>
  </si>
  <si>
    <t>外国語学部　ヨーロッパ学科　ドイツ語圏専攻</t>
    <rPh sb="0" eb="3">
      <t>ガイコクゴ</t>
    </rPh>
    <rPh sb="3" eb="5">
      <t>ガクブ</t>
    </rPh>
    <rPh sb="11" eb="13">
      <t>ガッカ</t>
    </rPh>
    <rPh sb="17" eb="18">
      <t>ゴ</t>
    </rPh>
    <rPh sb="18" eb="19">
      <t>ケン</t>
    </rPh>
    <rPh sb="19" eb="21">
      <t>センコウ</t>
    </rPh>
    <phoneticPr fontId="1"/>
  </si>
  <si>
    <t>外国語学部　中国語学科</t>
    <rPh sb="0" eb="3">
      <t>ガイコクゴ</t>
    </rPh>
    <rPh sb="3" eb="5">
      <t>ガクブ</t>
    </rPh>
    <rPh sb="6" eb="9">
      <t>チュウゴクゴ</t>
    </rPh>
    <rPh sb="9" eb="11">
      <t>ガッカ</t>
    </rPh>
    <phoneticPr fontId="1"/>
  </si>
  <si>
    <t>外国語学部　国際関係学科</t>
    <rPh sb="0" eb="3">
      <t>ガイコクゴ</t>
    </rPh>
    <rPh sb="3" eb="5">
      <t>ガクブ</t>
    </rPh>
    <rPh sb="6" eb="8">
      <t>コクサイ</t>
    </rPh>
    <rPh sb="8" eb="10">
      <t>カンケイ</t>
    </rPh>
    <rPh sb="10" eb="12">
      <t>ガッカ</t>
    </rPh>
    <phoneticPr fontId="1"/>
  </si>
  <si>
    <t>教育福祉学部　社会福祉学科</t>
    <rPh sb="0" eb="2">
      <t>キョウイク</t>
    </rPh>
    <rPh sb="2" eb="4">
      <t>フクシ</t>
    </rPh>
    <rPh sb="4" eb="6">
      <t>ガクブ</t>
    </rPh>
    <rPh sb="7" eb="9">
      <t>シャカイ</t>
    </rPh>
    <rPh sb="9" eb="11">
      <t>フクシ</t>
    </rPh>
    <rPh sb="11" eb="13">
      <t>ガッカ</t>
    </rPh>
    <phoneticPr fontId="1"/>
  </si>
  <si>
    <t>情報科学部　情報科学科</t>
    <rPh sb="0" eb="2">
      <t>ジョウホウ</t>
    </rPh>
    <rPh sb="2" eb="4">
      <t>カガク</t>
    </rPh>
    <rPh sb="4" eb="5">
      <t>ブ</t>
    </rPh>
    <rPh sb="6" eb="8">
      <t>ジョウホウ</t>
    </rPh>
    <rPh sb="8" eb="10">
      <t>カガク</t>
    </rPh>
    <rPh sb="10" eb="11">
      <t>カ</t>
    </rPh>
    <phoneticPr fontId="1"/>
  </si>
  <si>
    <t>看護学部　看護学科</t>
    <rPh sb="0" eb="2">
      <t>カンゴ</t>
    </rPh>
    <rPh sb="2" eb="4">
      <t>ガクブ</t>
    </rPh>
    <rPh sb="5" eb="7">
      <t>カンゴ</t>
    </rPh>
    <rPh sb="7" eb="9">
      <t>ガッカ</t>
    </rPh>
    <phoneticPr fontId="1"/>
  </si>
  <si>
    <t>全学対象の教養教育科目に位置づけており、１年次必修科目としている。</t>
    <rPh sb="0" eb="2">
      <t>ゼンガク</t>
    </rPh>
    <rPh sb="2" eb="4">
      <t>タイショウ</t>
    </rPh>
    <rPh sb="5" eb="7">
      <t>キョウヨウ</t>
    </rPh>
    <rPh sb="7" eb="9">
      <t>キョウイク</t>
    </rPh>
    <rPh sb="9" eb="11">
      <t>カモク</t>
    </rPh>
    <rPh sb="12" eb="14">
      <t>イチ</t>
    </rPh>
    <rPh sb="21" eb="23">
      <t>ネンジ</t>
    </rPh>
    <rPh sb="23" eb="25">
      <t>ヒッシュウ</t>
    </rPh>
    <rPh sb="25" eb="27">
      <t>カモク</t>
    </rPh>
    <phoneticPr fontId="1"/>
  </si>
  <si>
    <t>認定教育プログラムと認定教育プログラム+（プラス）</t>
  </si>
  <si>
    <t>全5学部（外国語学部、日本文化学部、教育福祉学部、看護学部、情報科学部）の全学生が、教養教育科目「データサイエンスへの招待」の必修2単位を取得すること。</t>
    <rPh sb="0" eb="1">
      <t>ゼン</t>
    </rPh>
    <rPh sb="2" eb="4">
      <t>ガクブ</t>
    </rPh>
    <rPh sb="5" eb="8">
      <t>ガイコクゴ</t>
    </rPh>
    <rPh sb="8" eb="10">
      <t>ガクブ</t>
    </rPh>
    <rPh sb="11" eb="15">
      <t>ニホンブンカ</t>
    </rPh>
    <rPh sb="15" eb="17">
      <t>ガクブ</t>
    </rPh>
    <rPh sb="18" eb="20">
      <t>キョウイク</t>
    </rPh>
    <rPh sb="20" eb="22">
      <t>フクシ</t>
    </rPh>
    <rPh sb="22" eb="24">
      <t>ガクブ</t>
    </rPh>
    <rPh sb="25" eb="27">
      <t>カンゴ</t>
    </rPh>
    <rPh sb="27" eb="29">
      <t>ガクブ</t>
    </rPh>
    <rPh sb="30" eb="32">
      <t>ジョウホウ</t>
    </rPh>
    <rPh sb="32" eb="35">
      <t>カガクブ</t>
    </rPh>
    <rPh sb="37" eb="40">
      <t>ゼンガクセイ</t>
    </rPh>
    <rPh sb="42" eb="44">
      <t>キョウヨウ</t>
    </rPh>
    <rPh sb="44" eb="46">
      <t>キョウイク</t>
    </rPh>
    <rPh sb="46" eb="48">
      <t>カモク</t>
    </rPh>
    <rPh sb="59" eb="61">
      <t>ショウタイ</t>
    </rPh>
    <rPh sb="63" eb="65">
      <t>ヒッシュウ</t>
    </rPh>
    <rPh sb="66" eb="68">
      <t>タンイ</t>
    </rPh>
    <rPh sb="69" eb="71">
      <t>シュトク</t>
    </rPh>
    <phoneticPr fontId="1"/>
  </si>
  <si>
    <t>第1回 「ガイダンス（データサイエンスの必要性） 」において、IoTや5G通信などによりデータ取得・蓄積・転送のコストが劇的に低減したことを紹介している。 第15回 まとめ（データサイエンスの最新動向）において、人が得意とする演繹的推論、AIが得意とする帰納的推論の関係、Society 5.0について紹介している。</t>
    <phoneticPr fontId="1"/>
  </si>
  <si>
    <t>第3回 「データの解析（分類、最適化、学習、可視化、等）」において、深層学習、機械翻訳の近年の高性能化、アルファ碁、GANによる画像生成などの事例を紹介している。</t>
    <phoneticPr fontId="1"/>
  </si>
  <si>
    <t>第2回 「データの収集（データの種類や構造）」において、調査データ、実験データ、1次データ、2次データ、構造化データ、非構造化データについて説明している。
第7回 「質的データと量的データ」において、データの分類、データの演算について説明し、データ収集システムの実例を紹介している。</t>
    <phoneticPr fontId="1"/>
  </si>
  <si>
    <t>第4、5、14回 「データサイエンスの事例紹介1（看護学部、日本文化学部）」、「同2（教育福祉学部、外国語学部）」、「同3（情報科学部） 」において、本学の様々な学部の教育、研究活動におけるデータの利活用の実際を紹介している。</t>
    <rPh sb="40" eb="41">
      <t>ドウ</t>
    </rPh>
    <phoneticPr fontId="1"/>
  </si>
  <si>
    <t>第3回 「データの解析 」において、グルーピング、クラスタリング、最適化、可視化について説明している。</t>
    <phoneticPr fontId="1"/>
  </si>
  <si>
    <t>第１回 「データサイエンスの必要性」 において、POSシステムのデータを活用したマーケティング、観光業界に
おけるデータ分析、の事例を紹介している。</t>
    <phoneticPr fontId="1"/>
  </si>
  <si>
    <t xml:space="preserve"> 第11回 「情報倫理（個人情報、捏造、改竄、盗用、モラル、等）」において、ELSI, 個人情報保護、データ倫理、AI社会原則、について講義している。第12回 「負の事例紹介」において、データサイエンス・AIで起こりうる問題点、データを守る際の問題点について講義している。第13回 「グループディスカッション2（負の事例」）において、負の事例に関するTV番組の内容に基づいて議論させている。</t>
    <rPh sb="12" eb="14">
      <t>コジン</t>
    </rPh>
    <rPh sb="23" eb="25">
      <t>トウヨウ</t>
    </rPh>
    <phoneticPr fontId="1"/>
  </si>
  <si>
    <t>第11回 「情報倫理（個人情報、捏造、改竄、盗用、モラル、等）」において、情報セキュリティ、匿名加工情報について講義している。</t>
    <rPh sb="11" eb="13">
      <t>コジン</t>
    </rPh>
    <rPh sb="22" eb="24">
      <t>トウヨウ</t>
    </rPh>
    <phoneticPr fontId="1"/>
  </si>
  <si>
    <t>4月の新入生ガイダンス時に全体ガイダンスおよび学部別ガイダンスで、必修科目であることの説明を行い、履修登録を必ず行うよう指導している。</t>
    <rPh sb="13" eb="15">
      <t>ゼンタイ</t>
    </rPh>
    <rPh sb="23" eb="26">
      <t>ガクブベツ</t>
    </rPh>
    <phoneticPr fontId="1"/>
  </si>
  <si>
    <t>全学対象の教養教育科目に位置づけており、１年次必修科目であり、全学生が履修する。
全クラスにTAを配置することできめ細かなサポートをおこない、定期的な科目担当チーム会議を通じて、質問を受け付ける仕組みや教育上の工夫、学生指導・支援等の学修サポートを検討している。</t>
    <rPh sb="31" eb="34">
      <t>ゼンガクセイ</t>
    </rPh>
    <rPh sb="35" eb="37">
      <t>リシュウ</t>
    </rPh>
    <rPh sb="41" eb="42">
      <t>ゼン</t>
    </rPh>
    <rPh sb="49" eb="51">
      <t>ハイチ</t>
    </rPh>
    <rPh sb="58" eb="59">
      <t>コマ</t>
    </rPh>
    <rPh sb="71" eb="74">
      <t>テイキテキ</t>
    </rPh>
    <rPh sb="75" eb="77">
      <t>カモク</t>
    </rPh>
    <rPh sb="77" eb="79">
      <t>タントウ</t>
    </rPh>
    <rPh sb="82" eb="84">
      <t>カイギ</t>
    </rPh>
    <rPh sb="85" eb="86">
      <t>ツウ</t>
    </rPh>
    <rPh sb="124" eb="126">
      <t>ケントウ</t>
    </rPh>
    <phoneticPr fontId="1"/>
  </si>
  <si>
    <t>全学対象の教養教育科目に位置づけており、１年次必修科目であり、全学生が履修する。
全クラスにTAを配置することできめ細かなサポートをおこない、定期的な科目担当チーム会議を通じて、質問を受け付ける仕組みや教育上の工夫、学生指導・支援等の学修サポートを検討している。</t>
    <phoneticPr fontId="1"/>
  </si>
  <si>
    <t>各学期末に全学でおこなっている授業アンケートにおける「授業の内容を十分に理解できましたか」の項目および自由記述欄、さらに、科目担当者で独自におこなっているアンケートの「演習課題」「事例紹介」「講義全体」に関する項目への記述式回答を分析することで、本教育プログラムの評価・改善に活用している。</t>
    <rPh sb="0" eb="1">
      <t>カク</t>
    </rPh>
    <rPh sb="1" eb="4">
      <t>ガッキマツ</t>
    </rPh>
    <rPh sb="5" eb="7">
      <t>ゼンガク</t>
    </rPh>
    <rPh sb="15" eb="17">
      <t>ジュギョウ</t>
    </rPh>
    <rPh sb="27" eb="29">
      <t>ジュギョウ</t>
    </rPh>
    <rPh sb="30" eb="32">
      <t>ナイヨウ</t>
    </rPh>
    <rPh sb="33" eb="35">
      <t>ジュウブン</t>
    </rPh>
    <rPh sb="36" eb="38">
      <t>リカイ</t>
    </rPh>
    <rPh sb="46" eb="48">
      <t>コウモク</t>
    </rPh>
    <rPh sb="51" eb="53">
      <t>ジユウ</t>
    </rPh>
    <rPh sb="53" eb="55">
      <t>キジュツ</t>
    </rPh>
    <rPh sb="55" eb="56">
      <t>ラン</t>
    </rPh>
    <rPh sb="61" eb="63">
      <t>カモク</t>
    </rPh>
    <rPh sb="63" eb="66">
      <t>タントウシャ</t>
    </rPh>
    <rPh sb="67" eb="69">
      <t>ドクジ</t>
    </rPh>
    <rPh sb="84" eb="86">
      <t>エンシュウ</t>
    </rPh>
    <rPh sb="86" eb="88">
      <t>カダイ</t>
    </rPh>
    <rPh sb="90" eb="92">
      <t>ジレイ</t>
    </rPh>
    <rPh sb="92" eb="94">
      <t>ショウカイ</t>
    </rPh>
    <rPh sb="96" eb="98">
      <t>コウギ</t>
    </rPh>
    <rPh sb="98" eb="100">
      <t>ゼンタイ</t>
    </rPh>
    <rPh sb="102" eb="103">
      <t>カン</t>
    </rPh>
    <rPh sb="105" eb="107">
      <t>コウモク</t>
    </rPh>
    <rPh sb="109" eb="111">
      <t>キジュツ</t>
    </rPh>
    <rPh sb="111" eb="112">
      <t>シキ</t>
    </rPh>
    <rPh sb="112" eb="114">
      <t>カイトウ</t>
    </rPh>
    <rPh sb="115" eb="117">
      <t>ブンセキ</t>
    </rPh>
    <phoneticPr fontId="1"/>
  </si>
  <si>
    <t>本プログラムは必修科目であるため、必ずしも後輩学生への推奨は必要ない。しかし、本学ホームページの教養教育センターのページにて、「学生の声」として科目受講生の意見を掲示し、講義受講の推奨に活用している。</t>
    <rPh sb="0" eb="1">
      <t>ホン</t>
    </rPh>
    <rPh sb="7" eb="11">
      <t>ヒッシュウカモク</t>
    </rPh>
    <rPh sb="17" eb="18">
      <t>カナラ</t>
    </rPh>
    <rPh sb="21" eb="23">
      <t>コウハイ</t>
    </rPh>
    <rPh sb="23" eb="25">
      <t>ガクセイ</t>
    </rPh>
    <rPh sb="27" eb="29">
      <t>スイショウ</t>
    </rPh>
    <rPh sb="30" eb="32">
      <t>ヒツヨウ</t>
    </rPh>
    <rPh sb="39" eb="41">
      <t>ホンガク</t>
    </rPh>
    <rPh sb="48" eb="50">
      <t>キョウヨウ</t>
    </rPh>
    <rPh sb="50" eb="52">
      <t>キョウイク</t>
    </rPh>
    <rPh sb="64" eb="66">
      <t>ガクセイ</t>
    </rPh>
    <rPh sb="67" eb="68">
      <t>コエ</t>
    </rPh>
    <rPh sb="72" eb="74">
      <t>カモク</t>
    </rPh>
    <rPh sb="74" eb="77">
      <t>ジュコウセイ</t>
    </rPh>
    <rPh sb="78" eb="80">
      <t>イケン</t>
    </rPh>
    <phoneticPr fontId="1"/>
  </si>
  <si>
    <t>本教育プログラムを構成する科目「データサイエンスへの招待」については、全学必修として設置されており、履修者数、履修率の向上にむけて推進している。また、科目担当者会議を定期的に実施し、各学部における数理・データサイエンス・AI教育の内容について各専門分野からの観点も取り入れ見直し等を検討し、より学生の履修を推進している。</t>
    <rPh sb="26" eb="28">
      <t>ショウタイ</t>
    </rPh>
    <rPh sb="42" eb="44">
      <t>セッチ</t>
    </rPh>
    <rPh sb="75" eb="77">
      <t>カモク</t>
    </rPh>
    <rPh sb="77" eb="80">
      <t>タントウシャ</t>
    </rPh>
    <phoneticPr fontId="1"/>
  </si>
  <si>
    <t>科目担当者会議や全学FDをおこない、定期的に授業内容と学生の反応・理解について検討を重ねている。また、教養センターにて学生アンケート及び提携企業からの意見を参考に、学生の「分かりやすさ」の観点から講義の内容・実施方法の見直しを検討している。</t>
    <rPh sb="0" eb="2">
      <t>カモク</t>
    </rPh>
    <rPh sb="2" eb="5">
      <t>タントウシャ</t>
    </rPh>
    <rPh sb="5" eb="7">
      <t>カイギ</t>
    </rPh>
    <rPh sb="8" eb="10">
      <t>ゼンガク</t>
    </rPh>
    <rPh sb="18" eb="21">
      <t>テイキテキ</t>
    </rPh>
    <rPh sb="22" eb="24">
      <t>ジュギョウ</t>
    </rPh>
    <rPh sb="24" eb="26">
      <t>ナイヨウ</t>
    </rPh>
    <rPh sb="27" eb="29">
      <t>ガクセイ</t>
    </rPh>
    <rPh sb="30" eb="32">
      <t>ハンノウ</t>
    </rPh>
    <rPh sb="33" eb="35">
      <t>リカイ</t>
    </rPh>
    <rPh sb="39" eb="41">
      <t>ケントウ</t>
    </rPh>
    <rPh sb="42" eb="43">
      <t>カサ</t>
    </rPh>
    <rPh sb="51" eb="53">
      <t>キョウヨウ</t>
    </rPh>
    <rPh sb="68" eb="70">
      <t>テイケイ</t>
    </rPh>
    <phoneticPr fontId="1"/>
  </si>
  <si>
    <t>モデルカリキュラムリテラシーレベルの導入部分に準じた内容を展開し、地方公立（愛知県立）大学ならではの、地域に関係するデータ（自治体による学歴調査データ、国勢調査データから見る愛知県の在留外国人人口、都道府県事故統計データにおける愛知県の現状）を利用した演習をおこなったり、各学部代表による異分野の事例紹介をおこなうなどして、専門に応じた好奇心を促す講義内容としている。取り上げる実例については、学生アンケート等を活用し、その内容について評価を実施している。</t>
    <rPh sb="33" eb="35">
      <t>チホウ</t>
    </rPh>
    <rPh sb="35" eb="37">
      <t>コウリツ</t>
    </rPh>
    <rPh sb="38" eb="42">
      <t>アイチケンリツ</t>
    </rPh>
    <rPh sb="43" eb="45">
      <t>ダイガク</t>
    </rPh>
    <rPh sb="51" eb="53">
      <t>チイキ</t>
    </rPh>
    <rPh sb="54" eb="56">
      <t>カンケイ</t>
    </rPh>
    <rPh sb="62" eb="65">
      <t>ジチタイ</t>
    </rPh>
    <rPh sb="68" eb="70">
      <t>ガクレキ</t>
    </rPh>
    <rPh sb="70" eb="72">
      <t>チョウサ</t>
    </rPh>
    <rPh sb="85" eb="86">
      <t>ミ</t>
    </rPh>
    <rPh sb="87" eb="90">
      <t>アイチケン</t>
    </rPh>
    <rPh sb="91" eb="93">
      <t>ザイリュウ</t>
    </rPh>
    <rPh sb="93" eb="96">
      <t>ガイコクジン</t>
    </rPh>
    <rPh sb="96" eb="98">
      <t>ジンコウ</t>
    </rPh>
    <rPh sb="99" eb="103">
      <t>トドウフケン</t>
    </rPh>
    <rPh sb="103" eb="105">
      <t>ジコ</t>
    </rPh>
    <rPh sb="105" eb="107">
      <t>トウケイ</t>
    </rPh>
    <rPh sb="118" eb="120">
      <t>ゲンジョウ</t>
    </rPh>
    <rPh sb="136" eb="139">
      <t>カクガクブ</t>
    </rPh>
    <rPh sb="139" eb="141">
      <t>ダイヒョウ</t>
    </rPh>
    <rPh sb="144" eb="147">
      <t>イブンヤ</t>
    </rPh>
    <rPh sb="148" eb="150">
      <t>ジレイ</t>
    </rPh>
    <rPh sb="150" eb="152">
      <t>ショウカイ</t>
    </rPh>
    <rPh sb="162" eb="164">
      <t>センモン</t>
    </rPh>
    <rPh sb="165" eb="166">
      <t>オウ</t>
    </rPh>
    <phoneticPr fontId="1"/>
  </si>
  <si>
    <t xml:space="preserve">・データの基礎知識とデータを適切に解釈することができる。
・実社会でのデータ利用実態とその重要性について理解する。
・データ利用に関する倫理を理解する。
・データの基本的な分析方法を習得し、コンピュータを用いて実践することができる。
・学生自身の専門分野においてデータサイエンスの活用の意義を見いだし、他の専門分野における辞令を知り、自分の専門分野に応用できる。
</t>
    <rPh sb="14" eb="16">
      <t>テキセツ</t>
    </rPh>
    <rPh sb="17" eb="19">
      <t>カイシャク</t>
    </rPh>
    <rPh sb="30" eb="33">
      <t>ジッシャカイ</t>
    </rPh>
    <rPh sb="38" eb="40">
      <t>リヨウ</t>
    </rPh>
    <rPh sb="40" eb="42">
      <t>ジッタイ</t>
    </rPh>
    <rPh sb="45" eb="48">
      <t>ジュウヨウセイ</t>
    </rPh>
    <rPh sb="52" eb="54">
      <t>リカイ</t>
    </rPh>
    <rPh sb="62" eb="64">
      <t>リヨウ</t>
    </rPh>
    <rPh sb="65" eb="66">
      <t>カン</t>
    </rPh>
    <rPh sb="68" eb="70">
      <t>リンリ</t>
    </rPh>
    <rPh sb="71" eb="73">
      <t>リカイ</t>
    </rPh>
    <rPh sb="91" eb="93">
      <t>シュウトク</t>
    </rPh>
    <rPh sb="118" eb="120">
      <t>ガクセイ</t>
    </rPh>
    <rPh sb="120" eb="122">
      <t>ジシン</t>
    </rPh>
    <rPh sb="123" eb="125">
      <t>センモン</t>
    </rPh>
    <rPh sb="125" eb="127">
      <t>ブンヤ</t>
    </rPh>
    <rPh sb="140" eb="142">
      <t>カツヨウ</t>
    </rPh>
    <rPh sb="143" eb="145">
      <t>イギ</t>
    </rPh>
    <rPh sb="146" eb="147">
      <t>ミ</t>
    </rPh>
    <phoneticPr fontId="1"/>
  </si>
  <si>
    <t xml:space="preserve">・本申請プログラムは、度三菱みらい育成財団による「21世紀型 教養教育プログラム」（2021-23年度）に採択された、助成対象科目である。
・本学の講義でゲストスピーカーを務めていただいている方の勤務先企業に対してアンケートを実施し、教育プログラムの講義内容及び実データを活用した演習等の手法について意見を収集するとともに、教養教育センターにおいてプログラムの改善に活用する。本年度のアンケート・意見聴取実施については、NTTビジネスソリューションズ（株）および（株）デンソーに内諾済み。
・数理・データサイエンス・AI教育強化拠点コンソーシアム協力校として、活動内容の報告をおこない、ブロック内大学とデータサイエンス・AI教育の展開に尽力している。
・有限責任監査法人トーマツによる「東海地域におけるデータサイエンス人材育成の調査業務報告書」作成協力をおこなった。
</t>
    <rPh sb="1" eb="2">
      <t>ホン</t>
    </rPh>
    <rPh sb="2" eb="4">
      <t>シンセイ</t>
    </rPh>
    <rPh sb="11" eb="12">
      <t>ド</t>
    </rPh>
    <rPh sb="12" eb="14">
      <t>ミツビシ</t>
    </rPh>
    <rPh sb="17" eb="19">
      <t>イクセイ</t>
    </rPh>
    <rPh sb="19" eb="21">
      <t>ザイダン</t>
    </rPh>
    <rPh sb="49" eb="51">
      <t>ネンド</t>
    </rPh>
    <rPh sb="53" eb="55">
      <t>サイタク</t>
    </rPh>
    <rPh sb="59" eb="61">
      <t>ジョセイ</t>
    </rPh>
    <rPh sb="61" eb="63">
      <t>タイショウ</t>
    </rPh>
    <rPh sb="63" eb="65">
      <t>カモク</t>
    </rPh>
    <rPh sb="275" eb="278">
      <t>キョウリョクコウ</t>
    </rPh>
    <rPh sb="282" eb="284">
      <t>カツドウ</t>
    </rPh>
    <rPh sb="284" eb="286">
      <t>ナイヨウ</t>
    </rPh>
    <rPh sb="287" eb="289">
      <t>ホウコク</t>
    </rPh>
    <rPh sb="375" eb="377">
      <t>サクセイ</t>
    </rPh>
    <rPh sb="377" eb="379">
      <t>キョウリョク</t>
    </rPh>
    <phoneticPr fontId="1"/>
  </si>
  <si>
    <r>
      <t>第2回 「データの収集」において、データの種類、データのクレンジング、などについて説明し、質的データと量的データの変換について、Microsoft</t>
    </r>
    <r>
      <rPr>
        <sz val="12"/>
        <color rgb="FFFF0000"/>
        <rFont val="ＭＳ Ｐゴシック"/>
        <family val="3"/>
        <charset val="128"/>
        <scheme val="minor"/>
      </rPr>
      <t xml:space="preserve"> </t>
    </r>
    <r>
      <rPr>
        <sz val="12"/>
        <rFont val="ＭＳ Ｐゴシック"/>
        <family val="3"/>
        <charset val="128"/>
        <scheme val="minor"/>
      </rPr>
      <t>Excelを用いた演習を行っている。第8回 「分布と代表値 」において、代表値、分布、相関などについて説明し、交通事故発生件数の実データを利用して、度数分布や代表値について実習を行っている。第9回 「母集団と標本抽出 」において、推定、検定まで扱い、引き続き交通事故発生件数の実データを利用して、標本抽出、区間推定、検定について演習をおこなっている。</t>
    </r>
    <rPh sb="174" eb="175">
      <t>ハハ</t>
    </rPh>
    <rPh sb="238" eb="240">
      <t>エンシュウ</t>
    </rPh>
    <phoneticPr fontId="1"/>
  </si>
  <si>
    <r>
      <t xml:space="preserve">都道府県事故統計データ、自治体が公開している学歴に関するデータ、国勢調査を題材にして、
</t>
    </r>
    <r>
      <rPr>
        <sz val="12"/>
        <rFont val="ＭＳ Ｐゴシック"/>
        <family val="3"/>
        <charset val="128"/>
        <scheme val="minor"/>
      </rPr>
      <t>Microsoft</t>
    </r>
    <r>
      <rPr>
        <sz val="12"/>
        <color rgb="FFFF0000"/>
        <rFont val="ＭＳ Ｐゴシック"/>
        <family val="3"/>
        <charset val="128"/>
        <scheme val="minor"/>
      </rPr>
      <t xml:space="preserve"> </t>
    </r>
    <r>
      <rPr>
        <sz val="12"/>
        <rFont val="ＭＳ Ｐゴシック"/>
        <family val="2"/>
        <charset val="128"/>
        <scheme val="minor"/>
      </rPr>
      <t xml:space="preserve">Excelを用いて平均を求めるなどの演習を行っている。 </t>
    </r>
    <rPh sb="0" eb="4">
      <t>トドウフケン</t>
    </rPh>
    <rPh sb="4" eb="6">
      <t>ジコ</t>
    </rPh>
    <rPh sb="6" eb="8">
      <t>トウケイ</t>
    </rPh>
    <rPh sb="32" eb="34">
      <t>コクセイ</t>
    </rPh>
    <rPh sb="34" eb="36">
      <t>チョウサ</t>
    </rPh>
    <phoneticPr fontId="1"/>
  </si>
  <si>
    <r>
      <t>講義資料はすべて、Microsoft Teamsのクラスの資料にアップロードし、講義の録画もアップロードして授業時間外に復習することができるようにしている。授業時間内には質問の時間を設け、直接質問することもできるし、Microsoft</t>
    </r>
    <r>
      <rPr>
        <sz val="12"/>
        <color rgb="FFFF0000"/>
        <rFont val="ＭＳ Ｐゴシック"/>
        <family val="3"/>
        <charset val="128"/>
        <scheme val="minor"/>
      </rPr>
      <t xml:space="preserve"> </t>
    </r>
    <r>
      <rPr>
        <sz val="12"/>
        <rFont val="ＭＳ Ｐゴシック"/>
        <family val="3"/>
        <charset val="128"/>
        <scheme val="minor"/>
      </rPr>
      <t>Teamsの投稿欄を通じて授業時間外にも質問をすることができる。また、事例紹介の回では、事前に動画を視聴し、Microsoft Formsに質問・意見を記入しておいてもらい、講義時間中に質問に対して回答してもらう反転授業も取り入れている。</t>
    </r>
    <rPh sb="0" eb="2">
      <t>コウギ</t>
    </rPh>
    <rPh sb="2" eb="4">
      <t>シリョウ</t>
    </rPh>
    <rPh sb="29" eb="31">
      <t>シリョウ</t>
    </rPh>
    <rPh sb="40" eb="42">
      <t>コウギ</t>
    </rPh>
    <rPh sb="43" eb="45">
      <t>ロクガ</t>
    </rPh>
    <rPh sb="54" eb="56">
      <t>ジュギョウ</t>
    </rPh>
    <rPh sb="56" eb="59">
      <t>ジカンガイ</t>
    </rPh>
    <rPh sb="60" eb="62">
      <t>フクシュウ</t>
    </rPh>
    <rPh sb="78" eb="80">
      <t>ジュギョウ</t>
    </rPh>
    <rPh sb="80" eb="83">
      <t>ジカンナイ</t>
    </rPh>
    <rPh sb="85" eb="87">
      <t>シツモン</t>
    </rPh>
    <rPh sb="88" eb="90">
      <t>ジカン</t>
    </rPh>
    <rPh sb="91" eb="92">
      <t>モウ</t>
    </rPh>
    <rPh sb="94" eb="96">
      <t>チョクセツ</t>
    </rPh>
    <rPh sb="96" eb="98">
      <t>シツモン</t>
    </rPh>
    <rPh sb="124" eb="127">
      <t>トウコウラン</t>
    </rPh>
    <rPh sb="128" eb="129">
      <t>ツウ</t>
    </rPh>
    <rPh sb="131" eb="133">
      <t>ジュギョウ</t>
    </rPh>
    <rPh sb="133" eb="136">
      <t>ジカンガイ</t>
    </rPh>
    <rPh sb="138" eb="140">
      <t>シツモン</t>
    </rPh>
    <rPh sb="153" eb="155">
      <t>ジレイ</t>
    </rPh>
    <rPh sb="155" eb="157">
      <t>ショウカイ</t>
    </rPh>
    <rPh sb="158" eb="159">
      <t>カイ</t>
    </rPh>
    <rPh sb="224" eb="226">
      <t>ハンテン</t>
    </rPh>
    <rPh sb="226" eb="228">
      <t>ジュギョウ</t>
    </rPh>
    <rPh sb="229" eb="230">
      <t>ト</t>
    </rPh>
    <rPh sb="231" eb="232">
      <t>イ</t>
    </rPh>
    <phoneticPr fontId="1"/>
  </si>
  <si>
    <t>全学部全学生のプログラムの履修・取得状況については，本学が利用している学習支援ポータルシステム(UNIVERSAL PASSPORT, UNIPA)でデータ化されている。履修状況を分析することで，学部ごとの履修状況の把握が簡単に実施できる。各受講者の成績も同システムにおいて一覧可能である。</t>
    <rPh sb="29" eb="31">
      <t>リヨウ</t>
    </rPh>
    <rPh sb="35" eb="37">
      <t>ガクシュウ</t>
    </rPh>
    <rPh sb="37" eb="39">
      <t>シエン</t>
    </rPh>
    <phoneticPr fontId="1"/>
  </si>
  <si>
    <t>本教育プログラム受講者全員に対して、全学共通の授業アンケートと科目特化型アンケートの2種類を実施しており、教養教育センターおよび科目担当チームにおいて学生の理解度を分析している。</t>
    <rPh sb="18" eb="20">
      <t>ゼンガク</t>
    </rPh>
    <rPh sb="20" eb="22">
      <t>キョウツウ</t>
    </rPh>
    <rPh sb="23" eb="25">
      <t>ジュギョウ</t>
    </rPh>
    <rPh sb="31" eb="33">
      <t>カモク</t>
    </rPh>
    <rPh sb="33" eb="36">
      <t>トッカガタ</t>
    </rPh>
    <rPh sb="43" eb="45">
      <t>シュルイ</t>
    </rPh>
    <rPh sb="53" eb="55">
      <t>キョウヨウ</t>
    </rPh>
    <rPh sb="55" eb="57">
      <t>キョウイク</t>
    </rPh>
    <rPh sb="64" eb="66">
      <t>カモク</t>
    </rPh>
    <rPh sb="66" eb="68">
      <t>タントウ</t>
    </rPh>
    <phoneticPr fontId="1"/>
  </si>
  <si>
    <r>
      <t xml:space="preserve">
・授業時間内には質問の時間を設け、直接質問することもできるし、</t>
    </r>
    <r>
      <rPr>
        <sz val="12"/>
        <rFont val="ＭＳ Ｐゴシック"/>
        <family val="3"/>
        <charset val="128"/>
        <scheme val="minor"/>
      </rPr>
      <t>Microsoft</t>
    </r>
    <r>
      <rPr>
        <sz val="12"/>
        <color rgb="FFFF0000"/>
        <rFont val="ＭＳ Ｐゴシック"/>
        <family val="3"/>
        <charset val="128"/>
        <scheme val="minor"/>
      </rPr>
      <t xml:space="preserve"> </t>
    </r>
    <r>
      <rPr>
        <sz val="12"/>
        <color theme="1"/>
        <rFont val="ＭＳ Ｐゴシック"/>
        <family val="3"/>
        <charset val="128"/>
        <scheme val="minor"/>
      </rPr>
      <t>Teamsの投稿欄を通じて授業時間外にも質問をすることができる。また、事例紹介の回では、事前に動画を視聴し</t>
    </r>
    <r>
      <rPr>
        <sz val="12"/>
        <rFont val="ＭＳ Ｐゴシック"/>
        <family val="3"/>
        <charset val="128"/>
        <scheme val="minor"/>
      </rPr>
      <t>Microsoft</t>
    </r>
    <r>
      <rPr>
        <sz val="12"/>
        <color rgb="FFFF0000"/>
        <rFont val="ＭＳ Ｐゴシック"/>
        <family val="3"/>
        <charset val="128"/>
        <scheme val="minor"/>
      </rPr>
      <t xml:space="preserve"> </t>
    </r>
    <r>
      <rPr>
        <sz val="12"/>
        <color theme="1"/>
        <rFont val="ＭＳ Ｐゴシック"/>
        <family val="3"/>
        <charset val="128"/>
        <scheme val="minor"/>
      </rPr>
      <t>Formsに質問・意見を記入しておいてもらい、講義時間中に質問に対して教員が回答する反転授業も取り入れている。
・受講生の履修管理、課題提出、授業アンケートなどを学習支援ポータルシステム(</t>
    </r>
    <r>
      <rPr>
        <sz val="12"/>
        <rFont val="ＭＳ Ｐゴシック"/>
        <family val="3"/>
        <charset val="128"/>
        <scheme val="minor"/>
      </rPr>
      <t xml:space="preserve">UNIVERSAL PASSPORT, </t>
    </r>
    <r>
      <rPr>
        <sz val="12"/>
        <color theme="1"/>
        <rFont val="ＭＳ Ｐゴシック"/>
        <family val="3"/>
        <charset val="128"/>
        <scheme val="minor"/>
      </rPr>
      <t xml:space="preserve">UNIPA)で一括して管理し、教員が受講生の理解度・習熟度を的確に把握することによりそれぞれの受講生に応じた適切な指導が可能となっている。
・講義資料はすべてMicrosoft Teamsのクラスの資料にアップロードし、講義の録画もアップロードして授業時間外に復習することができるようにしているし、データ演習の回では解答例もアップロードするなどして、受講生が習熟度に応じて反復学修することが可能となっている。
・受講生50名あたり1名以上のTAを配置することにより受講生が質問・問題解決しやすい環境を強化している。TA教育としてマニュアルを作成し研修をおこない、学期末にはTAアンケートをおこなうなどして、TAの質の保証にも力を入れ支援の充実を図っている。
</t>
    </r>
    <rPh sb="140" eb="142">
      <t>キョウイン</t>
    </rPh>
    <rPh sb="187" eb="189">
      <t>ガクシュウ</t>
    </rPh>
    <rPh sb="189" eb="191">
      <t>シエン</t>
    </rPh>
    <rPh sb="503" eb="506">
      <t>ガッキマツ</t>
    </rPh>
    <phoneticPr fontId="1"/>
  </si>
  <si>
    <t>・本プログラムが開始されたのが2021年度であり，まだ卒業生は社会には出ていない状況であるため，本項目
について評価はできないが，今後可能な範囲で進路等の調査を実施する予定である。
・三菱みらい育成財団による「21世紀型 教養教育プログラム」に採択され、助成金を受けることになったが（年間約700万円、2021－23年度）、2021年度の助成対象は、新たな教養教育新カリキュラム「県大世界あいち学」の基幹として設置された必修科目APU教養コア科目（「多文化社会への招待」および本申請プログラムである「データサイエンスへの招待」）であった。</t>
    <rPh sb="93" eb="95">
      <t>ミツビシ</t>
    </rPh>
    <rPh sb="98" eb="100">
      <t>イクセイ</t>
    </rPh>
    <rPh sb="100" eb="102">
      <t>ザイダン</t>
    </rPh>
    <rPh sb="123" eb="125">
      <t>サイタク</t>
    </rPh>
    <rPh sb="128" eb="131">
      <t>ジョセイキン</t>
    </rPh>
    <rPh sb="132" eb="133">
      <t>ウ</t>
    </rPh>
    <rPh sb="143" eb="145">
      <t>ネンカン</t>
    </rPh>
    <rPh sb="145" eb="146">
      <t>ヤク</t>
    </rPh>
    <rPh sb="149" eb="151">
      <t>マンエン</t>
    </rPh>
    <rPh sb="159" eb="161">
      <t>ネンド</t>
    </rPh>
    <rPh sb="167" eb="169">
      <t>ネンド</t>
    </rPh>
    <rPh sb="170" eb="172">
      <t>ジョセイ</t>
    </rPh>
    <rPh sb="172" eb="174">
      <t>タイショウ</t>
    </rPh>
    <rPh sb="176" eb="177">
      <t>アラ</t>
    </rPh>
    <rPh sb="179" eb="181">
      <t>キョウヨウ</t>
    </rPh>
    <rPh sb="181" eb="183">
      <t>キョウイク</t>
    </rPh>
    <rPh sb="183" eb="184">
      <t>シン</t>
    </rPh>
    <rPh sb="191" eb="193">
      <t>ケンダイ</t>
    </rPh>
    <rPh sb="193" eb="195">
      <t>セカイ</t>
    </rPh>
    <rPh sb="198" eb="199">
      <t>ガク</t>
    </rPh>
    <rPh sb="201" eb="203">
      <t>キカン</t>
    </rPh>
    <rPh sb="206" eb="208">
      <t>セッチ</t>
    </rPh>
    <rPh sb="211" eb="215">
      <t>ヒッシュウカモク</t>
    </rPh>
    <rPh sb="218" eb="220">
      <t>キョウヨウ</t>
    </rPh>
    <rPh sb="222" eb="224">
      <t>カモク</t>
    </rPh>
    <rPh sb="226" eb="229">
      <t>タブンカ</t>
    </rPh>
    <rPh sb="229" eb="231">
      <t>シャカイ</t>
    </rPh>
    <rPh sb="233" eb="235">
      <t>ショウタイ</t>
    </rPh>
    <rPh sb="239" eb="240">
      <t>ホン</t>
    </rPh>
    <rPh sb="240" eb="242">
      <t>シンセイ</t>
    </rPh>
    <rPh sb="261" eb="263">
      <t>ショウタイ</t>
    </rPh>
    <phoneticPr fontId="1"/>
  </si>
  <si>
    <t xml:space="preserve">本プログラムは、教養教育カリキュラムとして全5学部学生全員が履修しなければならない必修科目として設置され、全14クラスで同一資料を用い、同一内容を受講する体制となっている。また、「応用基礎レベル」に対応する教養教育上級履修科目「データサイエンスへの招待―実践編」でより高度な実践を学べ、さらに情報科学部の専門科目「データサイエンス」への橋渡しができる仕組みを構築している。
・全学的体制と文理融合について
全5学部から選出された教員（23名）が連携して担当し、各専門分野における事例紹介をおこなうことで、学生は自分の専門分野と異なる複数の事例を学習できる。また、学生が受講するクラスもすべて、専門の異なる複数学部学生(14クラス編成)による学部横断的な混合クラスであり、グループワーク等を通じて分野の異なる多様な考え方と解釈を知り知見を広げることができる。なお、2021年度後期に新規開講された当申請プログラム「データサイエンスへの招待」修了者のなかで、2022年度に新規開講された発展科目「データサイエンスへの招待（実践編）」（情報科学部学生向け）の履修者が、23％にのぼり、文系学部学生の興味を喚起しているといえる。
・分かりやすさについて
授業は対面形式でおこなっているが、講義資料はすべてMicrosoft Teamsのクラスの資料にアップロードし、講義の録画もアップロードして授業時間外に復習することができるようにしている。データ演習の回では解答例もアップロードしている。
・学習意欲が高まる内容について
地方公立（愛知県立）大学ならではの、地域に関係するデータ（自治体による学歴調査データ、国勢調査データから見る愛知県の在留外国人人口、都道府県事故統計データにおける愛知県の現状）を利用した演習をおこなったり、各学部代表による異分野の事例紹介をおこなうなどして、専門に応じた好奇心を促す講義を展開し、学習意欲を高めている。
・学生の習熟度や専門性を踏まえた学習内容について
全クラスにTAを配置し、先輩受講者への質問を可能としている。受講生の興味関心を引き出すため、複数の専門性に沿った事例を学ぶことができる。
</t>
    <rPh sb="8" eb="10">
      <t>キョウヨウ</t>
    </rPh>
    <rPh sb="10" eb="12">
      <t>キョウイク</t>
    </rPh>
    <rPh sb="25" eb="27">
      <t>ガクセイ</t>
    </rPh>
    <rPh sb="27" eb="29">
      <t>ゼンイン</t>
    </rPh>
    <rPh sb="30" eb="32">
      <t>リシュウ</t>
    </rPh>
    <rPh sb="41" eb="45">
      <t>ヒッシュウカモク</t>
    </rPh>
    <rPh sb="48" eb="50">
      <t>セッチ</t>
    </rPh>
    <rPh sb="53" eb="54">
      <t>ゼン</t>
    </rPh>
    <rPh sb="60" eb="62">
      <t>ドウイツ</t>
    </rPh>
    <rPh sb="62" eb="64">
      <t>シリョウ</t>
    </rPh>
    <rPh sb="65" eb="66">
      <t>モチ</t>
    </rPh>
    <rPh sb="68" eb="70">
      <t>ドウイツ</t>
    </rPh>
    <rPh sb="70" eb="72">
      <t>ナイヨウ</t>
    </rPh>
    <rPh sb="73" eb="75">
      <t>ジュコウ</t>
    </rPh>
    <rPh sb="77" eb="79">
      <t>タイセイ</t>
    </rPh>
    <rPh sb="90" eb="92">
      <t>オウヨウ</t>
    </rPh>
    <rPh sb="92" eb="94">
      <t>キソ</t>
    </rPh>
    <rPh sb="99" eb="101">
      <t>タイオウ</t>
    </rPh>
    <rPh sb="103" eb="105">
      <t>キョウヨウ</t>
    </rPh>
    <rPh sb="105" eb="107">
      <t>キョウイク</t>
    </rPh>
    <rPh sb="107" eb="109">
      <t>ジョウキュウ</t>
    </rPh>
    <rPh sb="109" eb="113">
      <t>リシュウカモク</t>
    </rPh>
    <rPh sb="124" eb="126">
      <t>ショウタイ</t>
    </rPh>
    <rPh sb="127" eb="130">
      <t>ジッセンヘン</t>
    </rPh>
    <rPh sb="134" eb="136">
      <t>コウド</t>
    </rPh>
    <rPh sb="137" eb="139">
      <t>ジッセン</t>
    </rPh>
    <rPh sb="140" eb="141">
      <t>マナ</t>
    </rPh>
    <rPh sb="146" eb="148">
      <t>ジョウホウ</t>
    </rPh>
    <rPh sb="148" eb="151">
      <t>カガクブ</t>
    </rPh>
    <rPh sb="152" eb="154">
      <t>センモン</t>
    </rPh>
    <rPh sb="154" eb="156">
      <t>カモク</t>
    </rPh>
    <rPh sb="168" eb="170">
      <t>ハシワタ</t>
    </rPh>
    <rPh sb="175" eb="177">
      <t>シク</t>
    </rPh>
    <rPh sb="179" eb="181">
      <t>コウチク</t>
    </rPh>
    <rPh sb="189" eb="192">
      <t>ゼンガクテキ</t>
    </rPh>
    <rPh sb="192" eb="194">
      <t>タイセイ</t>
    </rPh>
    <rPh sb="195" eb="197">
      <t>ブンリ</t>
    </rPh>
    <rPh sb="197" eb="199">
      <t>ユウゴウ</t>
    </rPh>
    <rPh sb="204" eb="205">
      <t>ゼン</t>
    </rPh>
    <rPh sb="210" eb="212">
      <t>センシュツ</t>
    </rPh>
    <rPh sb="215" eb="217">
      <t>キョウイン</t>
    </rPh>
    <rPh sb="220" eb="221">
      <t>メイ</t>
    </rPh>
    <rPh sb="223" eb="225">
      <t>レンケイ</t>
    </rPh>
    <rPh sb="227" eb="229">
      <t>タントウ</t>
    </rPh>
    <rPh sb="231" eb="234">
      <t>カクセンモン</t>
    </rPh>
    <rPh sb="234" eb="236">
      <t>ブンヤ</t>
    </rPh>
    <rPh sb="240" eb="242">
      <t>ジレイ</t>
    </rPh>
    <rPh sb="242" eb="244">
      <t>ショウカイ</t>
    </rPh>
    <rPh sb="253" eb="255">
      <t>ガクセイ</t>
    </rPh>
    <rPh sb="256" eb="258">
      <t>ジブン</t>
    </rPh>
    <rPh sb="259" eb="261">
      <t>センモン</t>
    </rPh>
    <rPh sb="261" eb="263">
      <t>ブンヤ</t>
    </rPh>
    <rPh sb="264" eb="265">
      <t>コト</t>
    </rPh>
    <rPh sb="267" eb="269">
      <t>フクスウ</t>
    </rPh>
    <rPh sb="270" eb="272">
      <t>ジレイ</t>
    </rPh>
    <rPh sb="273" eb="275">
      <t>ガクシュウ</t>
    </rPh>
    <rPh sb="321" eb="323">
      <t>ガクブ</t>
    </rPh>
    <rPh sb="323" eb="326">
      <t>オウダンテキ</t>
    </rPh>
    <rPh sb="327" eb="329">
      <t>コンゴウ</t>
    </rPh>
    <rPh sb="343" eb="344">
      <t>ナド</t>
    </rPh>
    <rPh sb="345" eb="346">
      <t>ツウ</t>
    </rPh>
    <rPh sb="348" eb="350">
      <t>ブンヤ</t>
    </rPh>
    <rPh sb="351" eb="352">
      <t>コト</t>
    </rPh>
    <rPh sb="525" eb="527">
      <t>ジュギョウ</t>
    </rPh>
    <rPh sb="528" eb="530">
      <t>タイメン</t>
    </rPh>
    <rPh sb="530" eb="532">
      <t>ケイシキ</t>
    </rPh>
    <rPh sb="622" eb="624">
      <t>エンシュウ</t>
    </rPh>
    <rPh sb="625" eb="626">
      <t>カイ</t>
    </rPh>
    <rPh sb="628" eb="631">
      <t>カイトウレイ</t>
    </rPh>
    <rPh sb="805" eb="807">
      <t>テンカイ</t>
    </rPh>
    <rPh sb="847" eb="848">
      <t>ゼン</t>
    </rPh>
    <rPh sb="855" eb="857">
      <t>ハイチ</t>
    </rPh>
    <rPh sb="903" eb="905">
      <t>ジレイ</t>
    </rPh>
    <rPh sb="906" eb="907">
      <t>マナ</t>
    </rPh>
    <phoneticPr fontId="1"/>
  </si>
  <si>
    <t xml:space="preserve">・本学の講義でゲストスピーカーを務めていただいている方の勤務先企業に対してアンケートを実施し、教育プログラムの講義内容及び実データを活用した演習等の手法について意見を収集するとともに、教養教育センターにおいてプログラムの改善に活用する。本年度のアンケート・意見聴取実施については、NTTビジネスソリューションズ（株）および（株）デンソーに内諾済み。
・共同研究をおこなっている企業とデータ利用について常時意見交換をおこなっており、その視点と実例を教育プログラムの参考とすると同時に、「事例紹介」の回で共同研究時のデータに関する意見交換の例を紹介している。
</t>
    <rPh sb="1" eb="3">
      <t>ホンガク</t>
    </rPh>
    <rPh sb="4" eb="6">
      <t>コウギ</t>
    </rPh>
    <rPh sb="16" eb="17">
      <t>ツト</t>
    </rPh>
    <rPh sb="26" eb="27">
      <t>カタ</t>
    </rPh>
    <rPh sb="28" eb="31">
      <t>キンムサキ</t>
    </rPh>
    <rPh sb="31" eb="33">
      <t>キギョウ</t>
    </rPh>
    <rPh sb="34" eb="35">
      <t>タイ</t>
    </rPh>
    <rPh sb="92" eb="94">
      <t>キョウヨウ</t>
    </rPh>
    <rPh sb="94" eb="96">
      <t>キョウイク</t>
    </rPh>
    <rPh sb="118" eb="121">
      <t>ホンネンド</t>
    </rPh>
    <rPh sb="128" eb="130">
      <t>イケン</t>
    </rPh>
    <rPh sb="130" eb="132">
      <t>チョウシュ</t>
    </rPh>
    <rPh sb="132" eb="134">
      <t>ジッシ</t>
    </rPh>
    <rPh sb="169" eb="171">
      <t>ナイダク</t>
    </rPh>
    <rPh sb="171" eb="172">
      <t>ズ</t>
    </rPh>
    <rPh sb="177" eb="179">
      <t>キョウドウ</t>
    </rPh>
    <rPh sb="179" eb="181">
      <t>ケンキュウ</t>
    </rPh>
    <rPh sb="189" eb="191">
      <t>キギョウ</t>
    </rPh>
    <rPh sb="195" eb="197">
      <t>リヨウ</t>
    </rPh>
    <rPh sb="201" eb="203">
      <t>ジョウジ</t>
    </rPh>
    <rPh sb="203" eb="205">
      <t>イケン</t>
    </rPh>
    <rPh sb="205" eb="207">
      <t>コウカン</t>
    </rPh>
    <rPh sb="218" eb="220">
      <t>シテン</t>
    </rPh>
    <rPh sb="221" eb="223">
      <t>ジツレイ</t>
    </rPh>
    <rPh sb="224" eb="226">
      <t>キョウイク</t>
    </rPh>
    <rPh sb="232" eb="234">
      <t>サンコウ</t>
    </rPh>
    <rPh sb="238" eb="240">
      <t>ドウジ</t>
    </rPh>
    <rPh sb="243" eb="245">
      <t>ジレイ</t>
    </rPh>
    <rPh sb="245" eb="247">
      <t>ショウカイ</t>
    </rPh>
    <rPh sb="249" eb="250">
      <t>カイ</t>
    </rPh>
    <rPh sb="251" eb="253">
      <t>キョウドウ</t>
    </rPh>
    <rPh sb="253" eb="256">
      <t>ケンキュウジ</t>
    </rPh>
    <rPh sb="261" eb="262">
      <t>カン</t>
    </rPh>
    <rPh sb="264" eb="266">
      <t>イケン</t>
    </rPh>
    <rPh sb="266" eb="268">
      <t>コウカン</t>
    </rPh>
    <rPh sb="269" eb="270">
      <t>レイ</t>
    </rPh>
    <rPh sb="271" eb="273">
      <t>ショウカイ</t>
    </rPh>
    <phoneticPr fontId="1"/>
  </si>
  <si>
    <t>http://www.bur.aichi-pu.ac.jp/kyoyokyoiku/2021/curriculum/</t>
    <phoneticPr fontId="1"/>
  </si>
  <si>
    <t>教養教育センター</t>
    <rPh sb="0" eb="2">
      <t>キョウヨウ</t>
    </rPh>
    <rPh sb="2" eb="4">
      <t>キョウイク</t>
    </rPh>
    <phoneticPr fontId="1"/>
  </si>
  <si>
    <t xml:space="preserve">第6回 「グループディスカッション1（利活用事例）」において、本学学生を対象に継続的に実施している学生生活に関するアンケート結果を二次利用し、データから読みとれる知見について議論させている。
第10回 「データの表現（集計やグラフ）」において、クロス集計、グラフの種類、相関・回帰分析、不適切なグラフについて講義している。国勢調査データ原本を利用して、グラフ化と相関係数による分析演習をおこなっている。 </t>
    <rPh sb="20" eb="22">
      <t>カツヨウ</t>
    </rPh>
    <rPh sb="36" eb="38">
      <t>タイショウ</t>
    </rPh>
    <rPh sb="39" eb="42">
      <t>ケイゾクテキ</t>
    </rPh>
    <rPh sb="65" eb="69">
      <t>ニジリヨウ</t>
    </rPh>
    <rPh sb="190" eb="192">
      <t>エンシュウ</t>
    </rPh>
    <phoneticPr fontId="1"/>
  </si>
  <si>
    <t>教養教育科目委員会規程</t>
    <phoneticPr fontId="1"/>
  </si>
  <si>
    <t>2013年に愛知県立大学は、教養教育の企画・運営・改善および専門教育との調整を目的として教養教育センターを設置し、その下部組織として、教養教育科目の具体的な企画・運 営 ・改善に関することを審議・運営する教養教育科目委員会を置いた。</t>
    <rPh sb="59" eb="61">
      <t>カブ</t>
    </rPh>
    <rPh sb="61" eb="63">
      <t>ソシキ</t>
    </rPh>
    <rPh sb="74" eb="77">
      <t>グタイテキ</t>
    </rPh>
    <phoneticPr fontId="1"/>
  </si>
  <si>
    <r>
      <rPr>
        <sz val="9"/>
        <rFont val="ＭＳ Ｐゴシック"/>
        <family val="3"/>
        <charset val="128"/>
        <scheme val="minor"/>
      </rPr>
      <t xml:space="preserve">教養教育センター長　梶原克教
教養教育副センター長　野田博也
教養教育センター長補佐　片岡由美子
キャリア支援室長　森田久司
外国語学部　教授　黄東蘭
外国語学部　准教授　奥田泰広
外国語学部　准教授　伊藤滋夫
外国語学部　准教授　杉原周治
外国語学部　准教授　髙阪香津美
外国語学部　講師　田邊まどか
日本文化学部　准教授　洲脇武志
日本文化学部　准教授　中西啓太
教育福祉学部　教授　稲嶋修一郎
教育福祉学部　教授　久保田貢
教育福祉学部　准教授　森川夏乃
看護学部　准教授　田上恭子
情報科学部　講師　大久保弘崇
</t>
    </r>
    <r>
      <rPr>
        <sz val="9"/>
        <color rgb="FFFF0000"/>
        <rFont val="ＭＳ Ｐゴシック"/>
        <family val="3"/>
        <charset val="128"/>
        <scheme val="minor"/>
      </rPr>
      <t xml:space="preserve">
</t>
    </r>
    <rPh sb="0" eb="2">
      <t>キョウヨウ</t>
    </rPh>
    <rPh sb="2" eb="4">
      <t>キョウイク</t>
    </rPh>
    <rPh sb="8" eb="9">
      <t>チョウ</t>
    </rPh>
    <rPh sb="10" eb="14">
      <t>カジハラカツノリ</t>
    </rPh>
    <rPh sb="15" eb="17">
      <t>キョウヨウ</t>
    </rPh>
    <rPh sb="17" eb="19">
      <t>キョウイク</t>
    </rPh>
    <rPh sb="19" eb="20">
      <t>フク</t>
    </rPh>
    <rPh sb="24" eb="25">
      <t>チョウ</t>
    </rPh>
    <rPh sb="26" eb="28">
      <t>ノダ</t>
    </rPh>
    <rPh sb="28" eb="30">
      <t>ヒロヤ</t>
    </rPh>
    <rPh sb="31" eb="33">
      <t>キョウヨウ</t>
    </rPh>
    <rPh sb="33" eb="35">
      <t>キョウイク</t>
    </rPh>
    <rPh sb="39" eb="40">
      <t>チョウ</t>
    </rPh>
    <rPh sb="40" eb="42">
      <t>ホサ</t>
    </rPh>
    <rPh sb="43" eb="45">
      <t>カタオカ</t>
    </rPh>
    <rPh sb="45" eb="48">
      <t>ユミコ</t>
    </rPh>
    <rPh sb="53" eb="55">
      <t>シエン</t>
    </rPh>
    <rPh sb="55" eb="57">
      <t>シツチョウ</t>
    </rPh>
    <rPh sb="58" eb="60">
      <t>モリタ</t>
    </rPh>
    <rPh sb="60" eb="62">
      <t>ヒサシ</t>
    </rPh>
    <rPh sb="63" eb="66">
      <t>ガイコクゴ</t>
    </rPh>
    <rPh sb="66" eb="68">
      <t>ガクブ</t>
    </rPh>
    <rPh sb="69" eb="71">
      <t>キョウジュ</t>
    </rPh>
    <rPh sb="76" eb="79">
      <t>ガイコクゴ</t>
    </rPh>
    <rPh sb="79" eb="81">
      <t>ガクブ</t>
    </rPh>
    <rPh sb="82" eb="85">
      <t>ジュンキョウジュ</t>
    </rPh>
    <rPh sb="86" eb="88">
      <t>オクダ</t>
    </rPh>
    <rPh sb="91" eb="94">
      <t>ガイコクゴ</t>
    </rPh>
    <rPh sb="94" eb="96">
      <t>ガクブ</t>
    </rPh>
    <rPh sb="97" eb="100">
      <t>ジュンキョウジュ</t>
    </rPh>
    <rPh sb="106" eb="109">
      <t>ガイコクゴ</t>
    </rPh>
    <rPh sb="109" eb="111">
      <t>ガクブ</t>
    </rPh>
    <rPh sb="112" eb="115">
      <t>ジュンキョウジュ</t>
    </rPh>
    <rPh sb="121" eb="124">
      <t>ガイコクゴ</t>
    </rPh>
    <rPh sb="124" eb="126">
      <t>ガクブ</t>
    </rPh>
    <rPh sb="127" eb="130">
      <t>ジュンキョウジュ</t>
    </rPh>
    <rPh sb="131" eb="133">
      <t>コウサカ</t>
    </rPh>
    <rPh sb="137" eb="140">
      <t>ガイコクゴ</t>
    </rPh>
    <rPh sb="140" eb="142">
      <t>ガクブ</t>
    </rPh>
    <rPh sb="143" eb="145">
      <t>コウシ</t>
    </rPh>
    <rPh sb="146" eb="148">
      <t>タナベ</t>
    </rPh>
    <rPh sb="152" eb="156">
      <t>ニホンブンカ</t>
    </rPh>
    <rPh sb="156" eb="158">
      <t>ガクブ</t>
    </rPh>
    <rPh sb="159" eb="162">
      <t>ジュンキョウジュ</t>
    </rPh>
    <rPh sb="168" eb="172">
      <t>ニホンブンカ</t>
    </rPh>
    <rPh sb="172" eb="174">
      <t>ガクブ</t>
    </rPh>
    <rPh sb="175" eb="178">
      <t>ジュンキョウジュ</t>
    </rPh>
    <rPh sb="179" eb="181">
      <t>ナカニシ</t>
    </rPh>
    <rPh sb="181" eb="183">
      <t>ケイタ</t>
    </rPh>
    <rPh sb="184" eb="186">
      <t>キョウイク</t>
    </rPh>
    <rPh sb="186" eb="188">
      <t>フクシ</t>
    </rPh>
    <rPh sb="188" eb="190">
      <t>ガクブ</t>
    </rPh>
    <rPh sb="191" eb="193">
      <t>キョウジュ</t>
    </rPh>
    <rPh sb="200" eb="202">
      <t>キョウイク</t>
    </rPh>
    <rPh sb="202" eb="204">
      <t>フクシ</t>
    </rPh>
    <rPh sb="204" eb="206">
      <t>ガクブ</t>
    </rPh>
    <rPh sb="207" eb="209">
      <t>キョウジュ</t>
    </rPh>
    <rPh sb="210" eb="213">
      <t>クボタ</t>
    </rPh>
    <rPh sb="213" eb="214">
      <t>ミツグ</t>
    </rPh>
    <rPh sb="215" eb="217">
      <t>キョウイク</t>
    </rPh>
    <rPh sb="217" eb="219">
      <t>フクシ</t>
    </rPh>
    <rPh sb="219" eb="221">
      <t>ガクブ</t>
    </rPh>
    <rPh sb="222" eb="225">
      <t>ジュンキョウジュ</t>
    </rPh>
    <rPh sb="226" eb="228">
      <t>モリカワ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</si>
</sst>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56">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0" xfId="0" applyFont="1" applyBorder="1">
      <alignment vertical="center"/>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20" xfId="0" applyFont="1" applyBorder="1" applyAlignment="1">
      <alignment vertical="top" shrinkToFit="1"/>
    </xf>
    <xf numFmtId="0" fontId="12" fillId="0" borderId="18" xfId="0" applyFont="1" applyBorder="1" applyAlignment="1">
      <alignment vertical="top" shrinkToFit="1"/>
    </xf>
    <xf numFmtId="0" fontId="13" fillId="0" borderId="0" xfId="0" applyFont="1">
      <alignment vertical="center"/>
    </xf>
    <xf numFmtId="0" fontId="10" fillId="0" borderId="0" xfId="0" applyFont="1" applyAlignment="1">
      <alignment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5" fillId="0" borderId="0" xfId="0" applyFont="1" applyAlignment="1">
      <alignment horizontal="center" vertical="center"/>
    </xf>
    <xf numFmtId="0" fontId="17" fillId="0" borderId="11" xfId="0" applyFont="1" applyBorder="1" applyAlignment="1">
      <alignment horizontal="center" vertical="center"/>
    </xf>
    <xf numFmtId="0" fontId="17" fillId="0" borderId="29" xfId="0" applyFont="1" applyBorder="1" applyAlignment="1">
      <alignment horizontal="center" vertical="center" wrapText="1"/>
    </xf>
    <xf numFmtId="0" fontId="17" fillId="0" borderId="30" xfId="0" applyFont="1" applyBorder="1" applyAlignment="1">
      <alignment horizontal="center" vertical="center"/>
    </xf>
    <xf numFmtId="0" fontId="17"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9"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9" fillId="0" borderId="47" xfId="0" applyNumberFormat="1" applyFont="1" applyBorder="1" applyAlignment="1">
      <alignment horizontal="center" vertical="center"/>
    </xf>
    <xf numFmtId="49" fontId="19" fillId="0" borderId="33" xfId="0" applyNumberFormat="1" applyFont="1" applyBorder="1" applyAlignment="1">
      <alignment horizontal="center" vertical="center"/>
    </xf>
    <xf numFmtId="49" fontId="19"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9"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9" fillId="0" borderId="52" xfId="0" applyNumberFormat="1" applyFont="1" applyBorder="1" applyAlignment="1">
      <alignment horizontal="center" vertical="center"/>
    </xf>
    <xf numFmtId="49" fontId="19" fillId="0" borderId="29" xfId="0" applyNumberFormat="1" applyFont="1" applyBorder="1" applyAlignment="1">
      <alignment horizontal="center" vertical="center"/>
    </xf>
    <xf numFmtId="0" fontId="22"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8" fillId="0" borderId="38" xfId="0" applyFont="1" applyBorder="1" applyAlignment="1">
      <alignment horizontal="center" vertical="center"/>
    </xf>
    <xf numFmtId="0" fontId="8" fillId="0" borderId="5" xfId="0" applyFont="1" applyFill="1" applyBorder="1">
      <alignment vertical="center"/>
    </xf>
    <xf numFmtId="176" fontId="8" fillId="0" borderId="0" xfId="0" applyNumberFormat="1" applyFont="1" applyFill="1" applyBorder="1" applyAlignment="1">
      <alignment vertical="center" wrapText="1"/>
    </xf>
    <xf numFmtId="0" fontId="8" fillId="0" borderId="0" xfId="0" applyFont="1" applyFill="1" applyBorder="1">
      <alignment vertical="center"/>
    </xf>
    <xf numFmtId="176" fontId="8" fillId="0" borderId="5" xfId="0" applyNumberFormat="1" applyFont="1" applyFill="1" applyBorder="1" applyAlignment="1">
      <alignment vertical="center"/>
    </xf>
    <xf numFmtId="176" fontId="8" fillId="0" borderId="0" xfId="0" applyNumberFormat="1" applyFont="1" applyFill="1" applyBorder="1">
      <alignment vertical="center"/>
    </xf>
    <xf numFmtId="0" fontId="8" fillId="0" borderId="0" xfId="0" applyFont="1" applyFill="1" applyBorder="1" applyAlignment="1">
      <alignment horizontal="center" vertical="center"/>
    </xf>
    <xf numFmtId="176" fontId="8" fillId="0" borderId="0" xfId="0" applyNumberFormat="1" applyFont="1" applyFill="1" applyAlignment="1">
      <alignment vertical="center" wrapText="1"/>
    </xf>
    <xf numFmtId="0" fontId="8" fillId="0" borderId="0" xfId="0" applyFont="1" applyFill="1" applyBorder="1" applyAlignment="1">
      <alignment vertical="center"/>
    </xf>
    <xf numFmtId="176" fontId="8" fillId="0" borderId="3" xfId="0" applyNumberFormat="1" applyFont="1" applyFill="1" applyBorder="1" applyAlignment="1">
      <alignment vertical="center" shrinkToFit="1"/>
    </xf>
    <xf numFmtId="0" fontId="8" fillId="0" borderId="2" xfId="0" applyFont="1" applyFill="1" applyBorder="1" applyAlignment="1">
      <alignment horizontal="center" vertical="center"/>
    </xf>
    <xf numFmtId="0" fontId="8" fillId="0" borderId="3" xfId="0" applyFont="1" applyFill="1" applyBorder="1" applyAlignment="1">
      <alignment horizontal="center" vertical="center"/>
    </xf>
    <xf numFmtId="0" fontId="8" fillId="0" borderId="4" xfId="0" applyFont="1" applyFill="1" applyBorder="1" applyAlignment="1">
      <alignment horizontal="center" vertical="center"/>
    </xf>
    <xf numFmtId="176" fontId="8" fillId="0" borderId="2" xfId="0" applyNumberFormat="1" applyFont="1" applyFill="1" applyBorder="1" applyAlignment="1">
      <alignment horizontal="center" vertical="center"/>
    </xf>
    <xf numFmtId="176" fontId="8" fillId="0" borderId="3" xfId="0" applyNumberFormat="1" applyFont="1" applyFill="1" applyBorder="1" applyAlignment="1">
      <alignment horizontal="center" vertical="center"/>
    </xf>
    <xf numFmtId="176" fontId="8" fillId="0" borderId="4" xfId="0" applyNumberFormat="1" applyFont="1" applyFill="1" applyBorder="1" applyAlignment="1">
      <alignment horizontal="center" vertical="center"/>
    </xf>
    <xf numFmtId="0" fontId="8" fillId="0" borderId="0" xfId="0" applyFont="1" applyFill="1" applyBorder="1" applyAlignment="1">
      <alignment horizontal="center" vertical="center"/>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Fill="1" applyBorder="1" applyAlignment="1">
      <alignment horizontal="center" vertical="center" shrinkToFit="1"/>
    </xf>
    <xf numFmtId="176" fontId="8" fillId="0" borderId="4" xfId="0" applyNumberFormat="1" applyFont="1" applyFill="1" applyBorder="1" applyAlignment="1">
      <alignment horizontal="center" vertical="center" shrinkToFit="1"/>
    </xf>
    <xf numFmtId="0" fontId="8" fillId="0" borderId="0" xfId="0" applyFont="1" applyFill="1" applyBorder="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Fill="1" applyBorder="1" applyAlignment="1">
      <alignment horizontal="right" vertical="center"/>
    </xf>
    <xf numFmtId="0" fontId="8" fillId="0" borderId="10" xfId="0" applyFont="1" applyFill="1" applyBorder="1" applyAlignment="1">
      <alignment horizontal="right" vertical="center"/>
    </xf>
    <xf numFmtId="176" fontId="8" fillId="0" borderId="3" xfId="0" applyNumberFormat="1" applyFont="1" applyFill="1" applyBorder="1" applyAlignment="1">
      <alignment horizontal="center" vertical="center" shrinkToFit="1"/>
    </xf>
    <xf numFmtId="0" fontId="14"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49" fontId="21" fillId="0" borderId="2" xfId="2" applyNumberFormat="1" applyFon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9" fillId="0" borderId="0" xfId="0" applyFont="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21" fillId="0" borderId="7" xfId="0" applyFont="1" applyBorder="1" applyAlignment="1">
      <alignment vertical="center" wrapText="1"/>
    </xf>
    <xf numFmtId="0" fontId="21" fillId="0" borderId="8" xfId="0" applyFont="1" applyBorder="1" applyAlignment="1">
      <alignment vertical="center" wrapText="1"/>
    </xf>
    <xf numFmtId="0" fontId="21" fillId="0" borderId="9" xfId="0" applyFont="1" applyBorder="1" applyAlignment="1">
      <alignment vertical="center" wrapText="1"/>
    </xf>
    <xf numFmtId="0" fontId="21" fillId="0" borderId="5" xfId="0" applyFont="1" applyBorder="1" applyAlignment="1">
      <alignment vertical="center" wrapText="1"/>
    </xf>
    <xf numFmtId="0" fontId="21" fillId="0" borderId="0" xfId="0" applyFont="1" applyBorder="1" applyAlignment="1">
      <alignment vertical="center" wrapText="1"/>
    </xf>
    <xf numFmtId="0" fontId="21" fillId="0" borderId="10" xfId="0" applyFont="1" applyBorder="1" applyAlignment="1">
      <alignment vertical="center" wrapText="1"/>
    </xf>
    <xf numFmtId="0" fontId="21" fillId="0" borderId="11" xfId="0" applyFont="1" applyBorder="1" applyAlignment="1">
      <alignment vertical="center" wrapText="1"/>
    </xf>
    <xf numFmtId="0" fontId="21" fillId="0" borderId="6" xfId="0" applyFont="1" applyBorder="1" applyAlignment="1">
      <alignment vertical="center" wrapText="1"/>
    </xf>
    <xf numFmtId="0" fontId="21" fillId="0" borderId="12" xfId="0" applyFont="1" applyBorder="1" applyAlignment="1">
      <alignment vertical="center" wrapText="1"/>
    </xf>
    <xf numFmtId="0" fontId="0" fillId="0" borderId="0" xfId="0">
      <alignment vertical="center"/>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9" fillId="0" borderId="22" xfId="0" applyFont="1" applyBorder="1" applyAlignment="1">
      <alignment horizontal="left" vertical="center" wrapText="1"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9" fillId="0" borderId="39" xfId="0" applyFont="1" applyBorder="1" applyAlignment="1">
      <alignment horizontal="left" vertical="center" wrapText="1"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6" xfId="0" applyFont="1" applyBorder="1" applyAlignment="1">
      <alignment horizontal="left" vertical="center" wrapText="1"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9" fillId="0" borderId="41" xfId="0" applyFont="1" applyBorder="1" applyAlignment="1">
      <alignment horizontal="left" vertical="center" wrapText="1"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8" fillId="0" borderId="0" xfId="0" applyFont="1" applyAlignment="1">
      <alignment vertical="center" wrapText="1"/>
    </xf>
    <xf numFmtId="0" fontId="18" fillId="0" borderId="0" xfId="0" applyFont="1" applyAlignment="1">
      <alignment horizontal="center" vertical="center"/>
    </xf>
    <xf numFmtId="0" fontId="8" fillId="0" borderId="7" xfId="0" applyFont="1" applyBorder="1" applyAlignment="1">
      <alignment horizontal="left" vertical="top" shrinkToFit="1"/>
    </xf>
    <xf numFmtId="0" fontId="11" fillId="0" borderId="8" xfId="0" applyFont="1" applyBorder="1" applyAlignment="1">
      <alignment horizontal="left" vertical="top" shrinkToFit="1"/>
    </xf>
    <xf numFmtId="0" fontId="11" fillId="0" borderId="9" xfId="0" applyFont="1" applyBorder="1" applyAlignment="1">
      <alignment horizontal="left" vertical="top" shrinkToFit="1"/>
    </xf>
    <xf numFmtId="0" fontId="11" fillId="0" borderId="5" xfId="0" applyFont="1" applyBorder="1" applyAlignment="1">
      <alignment horizontal="left" vertical="top" shrinkToFit="1"/>
    </xf>
    <xf numFmtId="0" fontId="11" fillId="0" borderId="0" xfId="0" applyFont="1" applyBorder="1" applyAlignment="1">
      <alignment horizontal="left" vertical="top" shrinkToFit="1"/>
    </xf>
    <xf numFmtId="0" fontId="11" fillId="0" borderId="10" xfId="0" applyFont="1" applyBorder="1" applyAlignment="1">
      <alignment horizontal="left" vertical="top" shrinkToFit="1"/>
    </xf>
    <xf numFmtId="0" fontId="11" fillId="0" borderId="0" xfId="0" applyFont="1" applyAlignment="1">
      <alignment horizontal="left" vertical="top" shrinkToFit="1"/>
    </xf>
    <xf numFmtId="0" fontId="11" fillId="0" borderId="11" xfId="0" applyFont="1" applyBorder="1" applyAlignment="1">
      <alignment horizontal="left" vertical="top" shrinkToFit="1"/>
    </xf>
    <xf numFmtId="0" fontId="11" fillId="0" borderId="6" xfId="0" applyFont="1" applyBorder="1" applyAlignment="1">
      <alignment horizontal="left" vertical="top" shrinkToFit="1"/>
    </xf>
    <xf numFmtId="0" fontId="11" fillId="0" borderId="12" xfId="0" applyFont="1" applyBorder="1" applyAlignment="1">
      <alignment horizontal="left" vertical="top"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21" fillId="0" borderId="19" xfId="0" applyFont="1" applyBorder="1" applyAlignment="1">
      <alignment vertical="center" wrapText="1" shrinkToFit="1"/>
    </xf>
    <xf numFmtId="0" fontId="21" fillId="0" borderId="20" xfId="0" applyFont="1" applyBorder="1" applyAlignment="1">
      <alignment vertical="center" shrinkToFit="1"/>
    </xf>
    <xf numFmtId="0" fontId="21" fillId="0" borderId="18" xfId="0" applyFont="1" applyBorder="1" applyAlignment="1">
      <alignment vertical="center" shrinkToFit="1"/>
    </xf>
    <xf numFmtId="0" fontId="21" fillId="0" borderId="48" xfId="0" applyFont="1" applyBorder="1" applyAlignment="1">
      <alignment vertical="center" wrapText="1"/>
    </xf>
    <xf numFmtId="0" fontId="21" fillId="0" borderId="49" xfId="0" applyFont="1" applyBorder="1" applyAlignment="1">
      <alignment vertical="center" wrapText="1"/>
    </xf>
    <xf numFmtId="0" fontId="20" fillId="0" borderId="48" xfId="0" applyFont="1" applyBorder="1" applyAlignment="1">
      <alignment vertical="center" wrapText="1"/>
    </xf>
    <xf numFmtId="0" fontId="20" fillId="0" borderId="32" xfId="0" applyFont="1" applyBorder="1" applyAlignment="1">
      <alignment vertical="center" wrapText="1"/>
    </xf>
    <xf numFmtId="0" fontId="8" fillId="0" borderId="39" xfId="0" applyFont="1" applyBorder="1" applyAlignment="1">
      <alignment vertical="center" wrapText="1" shrinkToFit="1"/>
    </xf>
    <xf numFmtId="0" fontId="21" fillId="0" borderId="39" xfId="0" applyFont="1" applyBorder="1" applyAlignment="1">
      <alignment vertical="center" shrinkToFit="1"/>
    </xf>
    <xf numFmtId="0" fontId="21" fillId="0" borderId="38" xfId="0" applyFont="1" applyBorder="1" applyAlignment="1">
      <alignment vertical="center" shrinkToFit="1"/>
    </xf>
    <xf numFmtId="0" fontId="9" fillId="0" borderId="6" xfId="0" applyFont="1" applyBorder="1" applyAlignment="1">
      <alignment vertical="center" wrapText="1"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21" fillId="0" borderId="32" xfId="0" applyFont="1" applyBorder="1" applyAlignment="1">
      <alignment vertical="center" wrapText="1"/>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20" xfId="0" applyFont="1" applyBorder="1" applyAlignment="1">
      <alignment horizontal="left" vertical="center" wrapText="1"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0" xfId="0" applyFont="1" applyAlignment="1">
      <alignment horizontal="right" vertical="center"/>
    </xf>
    <xf numFmtId="0" fontId="15"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6" fillId="0" borderId="8" xfId="0" applyFont="1" applyBorder="1" applyAlignment="1">
      <alignment horizontal="center" vertical="center" wrapText="1"/>
    </xf>
    <xf numFmtId="0" fontId="16" fillId="0" borderId="6" xfId="0" applyFont="1" applyBorder="1" applyAlignment="1">
      <alignment horizontal="center" vertical="center"/>
    </xf>
    <xf numFmtId="0" fontId="16" fillId="0" borderId="7" xfId="0" applyFont="1" applyBorder="1" applyAlignment="1">
      <alignment horizontal="center" vertical="center" wrapText="1"/>
    </xf>
    <xf numFmtId="0" fontId="16"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7" fillId="0" borderId="15" xfId="0" applyFont="1" applyBorder="1" applyAlignment="1">
      <alignment horizontal="center" vertical="center" wrapText="1"/>
    </xf>
    <xf numFmtId="0" fontId="17" fillId="0" borderId="13" xfId="0" applyFont="1" applyBorder="1" applyAlignment="1">
      <alignment horizontal="center" vertical="center"/>
    </xf>
    <xf numFmtId="0" fontId="16" fillId="0" borderId="9" xfId="0" applyFont="1" applyBorder="1" applyAlignment="1">
      <alignment horizontal="center" vertical="center"/>
    </xf>
    <xf numFmtId="0" fontId="16" fillId="0" borderId="12" xfId="0" applyFont="1" applyBorder="1" applyAlignment="1">
      <alignment horizontal="center" vertical="center"/>
    </xf>
    <xf numFmtId="0" fontId="8" fillId="0" borderId="7" xfId="0" applyFont="1" applyBorder="1" applyAlignment="1">
      <alignment vertical="top" wrapText="1" shrinkToFit="1"/>
    </xf>
    <xf numFmtId="0" fontId="10" fillId="0" borderId="8" xfId="0" applyFont="1" applyBorder="1" applyAlignment="1">
      <alignment vertical="top" wrapText="1" shrinkToFit="1"/>
    </xf>
    <xf numFmtId="0" fontId="11" fillId="0" borderId="8" xfId="0" applyFont="1" applyBorder="1" applyAlignment="1">
      <alignment vertical="top" wrapText="1" shrinkToFit="1"/>
    </xf>
    <xf numFmtId="0" fontId="11" fillId="0" borderId="9" xfId="0" applyFont="1" applyBorder="1" applyAlignment="1">
      <alignment vertical="top" wrapText="1" shrinkToFit="1"/>
    </xf>
    <xf numFmtId="0" fontId="11" fillId="0" borderId="5" xfId="0" applyFont="1" applyBorder="1" applyAlignment="1">
      <alignment vertical="top" wrapText="1" shrinkToFit="1"/>
    </xf>
    <xf numFmtId="0" fontId="11" fillId="0" borderId="0" xfId="0" applyFont="1" applyAlignment="1">
      <alignment vertical="top" wrapText="1" shrinkToFit="1"/>
    </xf>
    <xf numFmtId="0" fontId="11" fillId="0" borderId="10" xfId="0" applyFont="1" applyBorder="1" applyAlignment="1">
      <alignment vertical="top" wrapText="1" shrinkToFit="1"/>
    </xf>
    <xf numFmtId="0" fontId="11" fillId="0" borderId="11" xfId="0" applyFont="1" applyBorder="1" applyAlignment="1">
      <alignment vertical="top" wrapText="1" shrinkToFi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11" fillId="0" borderId="8" xfId="0" applyFont="1" applyBorder="1" applyAlignment="1">
      <alignment vertical="top"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2" fillId="0" borderId="6" xfId="0" applyFont="1" applyBorder="1">
      <alignment vertical="center"/>
    </xf>
    <xf numFmtId="0" fontId="8" fillId="0" borderId="16" xfId="0" applyFont="1" applyBorder="1" applyAlignment="1">
      <alignment vertical="top" wrapText="1" shrinkToFit="1"/>
    </xf>
    <xf numFmtId="0" fontId="11" fillId="0" borderId="22" xfId="0" applyFont="1" applyBorder="1" applyAlignment="1">
      <alignment vertical="top" shrinkToFit="1"/>
    </xf>
    <xf numFmtId="0" fontId="11" fillId="0" borderId="21" xfId="0" applyFont="1" applyBorder="1" applyAlignment="1">
      <alignment vertical="top" shrinkToFit="1"/>
    </xf>
    <xf numFmtId="0" fontId="11" fillId="0" borderId="3" xfId="0" applyFont="1" applyBorder="1" applyAlignment="1">
      <alignment vertical="center" shrinkToFit="1"/>
    </xf>
    <xf numFmtId="0" fontId="11" fillId="0" borderId="4" xfId="0" applyFont="1" applyBorder="1" applyAlignment="1">
      <alignment vertical="center" shrinkToFit="1"/>
    </xf>
    <xf numFmtId="0" fontId="12" fillId="0" borderId="7" xfId="0" applyFont="1" applyBorder="1" applyAlignment="1">
      <alignment vertical="top" wrapText="1" shrinkToFit="1"/>
    </xf>
    <xf numFmtId="0" fontId="12" fillId="0" borderId="8" xfId="0" applyFont="1" applyBorder="1" applyAlignment="1">
      <alignment vertical="top" wrapText="1" shrinkToFit="1"/>
    </xf>
    <xf numFmtId="0" fontId="5" fillId="0" borderId="8" xfId="0" applyFont="1" applyBorder="1" applyAlignment="1">
      <alignment vertical="top" shrinkToFit="1"/>
    </xf>
    <xf numFmtId="0" fontId="5" fillId="0" borderId="9" xfId="0" applyFont="1" applyBorder="1" applyAlignment="1">
      <alignment vertical="top" shrinkToFit="1"/>
    </xf>
    <xf numFmtId="0" fontId="5" fillId="0" borderId="5" xfId="0" applyFont="1" applyBorder="1" applyAlignment="1">
      <alignment vertical="top" shrinkToFit="1"/>
    </xf>
    <xf numFmtId="0" fontId="5" fillId="0" borderId="0" xfId="0" applyFont="1" applyAlignment="1">
      <alignment vertical="top" shrinkToFit="1"/>
    </xf>
    <xf numFmtId="0" fontId="5" fillId="0" borderId="10" xfId="0" applyFont="1" applyBorder="1" applyAlignment="1">
      <alignment vertical="top" shrinkToFit="1"/>
    </xf>
    <xf numFmtId="0" fontId="5" fillId="0" borderId="11" xfId="0" applyFont="1" applyBorder="1" applyAlignment="1">
      <alignment vertical="top" shrinkToFit="1"/>
    </xf>
    <xf numFmtId="0" fontId="5" fillId="0" borderId="6" xfId="0" applyFont="1" applyBorder="1" applyAlignment="1">
      <alignment vertical="top" shrinkToFit="1"/>
    </xf>
    <xf numFmtId="0" fontId="5" fillId="0" borderId="12" xfId="0" applyFont="1" applyBorder="1" applyAlignment="1">
      <alignment vertical="top"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8" fillId="0" borderId="6"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8" fillId="0" borderId="20" xfId="0" applyFont="1" applyFill="1" applyBorder="1" applyAlignment="1">
      <alignment vertical="top" wrapText="1" shrinkToFit="1"/>
    </xf>
    <xf numFmtId="0" fontId="11" fillId="0" borderId="20" xfId="0" applyFont="1" applyFill="1" applyBorder="1" applyAlignment="1">
      <alignment vertical="top" wrapText="1" shrinkToFit="1"/>
    </xf>
    <xf numFmtId="0" fontId="11" fillId="0" borderId="18" xfId="0" applyFont="1" applyFill="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8" fillId="0" borderId="20" xfId="0" applyFont="1" applyBorder="1" applyAlignment="1">
      <alignment vertical="top" wrapText="1" shrinkToFit="1"/>
    </xf>
    <xf numFmtId="0" fontId="11" fillId="0" borderId="20" xfId="0" applyFont="1" applyBorder="1" applyAlignment="1">
      <alignment vertical="top" wrapText="1" shrinkToFit="1"/>
    </xf>
    <xf numFmtId="0" fontId="11" fillId="0" borderId="18" xfId="0" applyFont="1" applyBorder="1" applyAlignment="1">
      <alignment vertical="top" wrapText="1" shrinkToFit="1"/>
    </xf>
    <xf numFmtId="0" fontId="8" fillId="0" borderId="19" xfId="0" applyFont="1" applyBorder="1" applyAlignment="1">
      <alignment vertical="top" wrapText="1" shrinkToFit="1"/>
    </xf>
    <xf numFmtId="0" fontId="2" fillId="0" borderId="17" xfId="0" applyFont="1" applyBorder="1">
      <alignment vertical="center"/>
    </xf>
    <xf numFmtId="0" fontId="0" fillId="0" borderId="18" xfId="0" applyBorder="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vertical="top" wrapText="1"/>
    </xf>
    <xf numFmtId="0" fontId="3" fillId="0" borderId="8" xfId="0" applyFont="1" applyBorder="1" applyAlignment="1">
      <alignment vertical="top" wrapText="1"/>
    </xf>
    <xf numFmtId="0" fontId="3" fillId="0" borderId="9" xfId="0" applyFont="1" applyBorder="1" applyAlignment="1">
      <alignment vertical="top" wrapText="1"/>
    </xf>
    <xf numFmtId="0" fontId="3" fillId="0" borderId="5" xfId="0" applyFont="1" applyBorder="1" applyAlignment="1">
      <alignment vertical="top" wrapText="1"/>
    </xf>
    <xf numFmtId="0" fontId="3" fillId="0" borderId="0" xfId="0" applyFont="1" applyAlignment="1">
      <alignment vertical="top" wrapText="1"/>
    </xf>
    <xf numFmtId="0" fontId="3" fillId="0" borderId="10" xfId="0" applyFont="1" applyBorder="1" applyAlignment="1">
      <alignment vertical="top" wrapText="1"/>
    </xf>
    <xf numFmtId="0" fontId="3" fillId="0" borderId="11" xfId="0" applyFont="1" applyBorder="1" applyAlignment="1">
      <alignment vertical="top" wrapText="1"/>
    </xf>
    <xf numFmtId="0" fontId="3" fillId="0" borderId="6" xfId="0" applyFont="1" applyBorder="1" applyAlignment="1">
      <alignment vertical="top" wrapText="1"/>
    </xf>
    <xf numFmtId="0" fontId="3" fillId="0" borderId="12" xfId="0" applyFont="1" applyBorder="1" applyAlignment="1">
      <alignment vertical="top" wrapText="1"/>
    </xf>
    <xf numFmtId="0" fontId="3" fillId="0" borderId="7"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3" fillId="0" borderId="7" xfId="0" applyFont="1" applyFill="1" applyBorder="1" applyAlignment="1">
      <alignment vertical="top" wrapText="1" shrinkToFit="1"/>
    </xf>
    <xf numFmtId="0" fontId="3" fillId="0" borderId="8" xfId="0" applyFont="1" applyFill="1" applyBorder="1" applyAlignment="1">
      <alignment vertical="top" shrinkToFit="1"/>
    </xf>
    <xf numFmtId="0" fontId="3" fillId="0" borderId="9" xfId="0" applyFont="1" applyFill="1" applyBorder="1" applyAlignment="1">
      <alignment vertical="top" shrinkToFit="1"/>
    </xf>
    <xf numFmtId="0" fontId="3" fillId="0" borderId="5" xfId="0" applyFont="1" applyFill="1" applyBorder="1" applyAlignment="1">
      <alignment vertical="top" shrinkToFit="1"/>
    </xf>
    <xf numFmtId="0" fontId="3" fillId="0" borderId="0" xfId="0" applyFont="1" applyFill="1" applyAlignment="1">
      <alignment vertical="top" shrinkToFit="1"/>
    </xf>
    <xf numFmtId="0" fontId="3" fillId="0" borderId="10" xfId="0" applyFont="1" applyFill="1" applyBorder="1" applyAlignment="1">
      <alignment vertical="top" shrinkToFit="1"/>
    </xf>
    <xf numFmtId="0" fontId="3" fillId="0" borderId="11" xfId="0" applyFont="1" applyFill="1" applyBorder="1" applyAlignment="1">
      <alignment vertical="top" shrinkToFit="1"/>
    </xf>
    <xf numFmtId="0" fontId="3" fillId="0" borderId="6" xfId="0" applyFont="1" applyFill="1" applyBorder="1" applyAlignment="1">
      <alignment vertical="top" shrinkToFit="1"/>
    </xf>
    <xf numFmtId="0" fontId="3" fillId="0" borderId="12" xfId="0" applyFont="1" applyFill="1" applyBorder="1" applyAlignment="1">
      <alignment vertical="top"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view="pageBreakPreview" topLeftCell="A13" zoomScaleNormal="100" zoomScaleSheetLayoutView="100" workbookViewId="0">
      <selection activeCell="I24" activeCellId="3" sqref="C22:D22 C24:D24 I22:J22 I24:J24"/>
    </sheetView>
  </sheetViews>
  <sheetFormatPr defaultColWidth="9" defaultRowHeight="18.75" customHeight="1" x14ac:dyDescent="0.15"/>
  <cols>
    <col min="1" max="1" width="3.375" style="12" customWidth="1"/>
    <col min="2" max="2" width="11.125" style="12" customWidth="1"/>
    <col min="3" max="8" width="6.625" style="12" customWidth="1"/>
    <col min="9" max="9" width="3.375" style="12" customWidth="1"/>
    <col min="10" max="10" width="10" style="12" customWidth="1"/>
    <col min="11" max="11" width="3.375" style="12" customWidth="1"/>
    <col min="12" max="12" width="7.75" style="12" customWidth="1"/>
    <col min="13" max="13" width="3.375" style="12" customWidth="1"/>
    <col min="14" max="14" width="4.5" style="12" customWidth="1"/>
    <col min="15" max="15" width="9" style="25"/>
    <col min="16" max="16384" width="9" style="11"/>
  </cols>
  <sheetData>
    <row r="1" spans="1:15" ht="24" customHeight="1" x14ac:dyDescent="0.15">
      <c r="M1" s="141" t="s">
        <v>26</v>
      </c>
      <c r="N1" s="141"/>
    </row>
    <row r="2" spans="1:15" ht="24" customHeight="1" x14ac:dyDescent="0.15">
      <c r="A2" s="145" t="s">
        <v>87</v>
      </c>
      <c r="B2" s="145"/>
      <c r="C2" s="145"/>
      <c r="D2" s="145"/>
      <c r="E2" s="145"/>
      <c r="F2" s="145"/>
      <c r="G2" s="145"/>
      <c r="H2" s="145"/>
      <c r="I2" s="145"/>
      <c r="J2" s="145"/>
      <c r="K2" s="145"/>
      <c r="L2" s="145"/>
      <c r="M2" s="145"/>
      <c r="N2" s="145"/>
    </row>
    <row r="3" spans="1:15" ht="24" customHeight="1" x14ac:dyDescent="0.15"/>
    <row r="4" spans="1:15" ht="24" customHeight="1" x14ac:dyDescent="0.15">
      <c r="A4" s="12" t="s">
        <v>6</v>
      </c>
      <c r="B4" s="13" t="s">
        <v>17</v>
      </c>
      <c r="C4" s="133" t="s">
        <v>154</v>
      </c>
      <c r="D4" s="134"/>
      <c r="E4" s="134"/>
      <c r="F4" s="134"/>
      <c r="G4" s="134"/>
      <c r="H4" s="134"/>
      <c r="I4" s="134"/>
      <c r="J4" s="134"/>
      <c r="K4" s="134"/>
      <c r="L4" s="134"/>
      <c r="M4" s="134"/>
      <c r="N4" s="140"/>
      <c r="O4" s="25" t="str">
        <f>IF(C4="","入力してください","")</f>
        <v/>
      </c>
    </row>
    <row r="5" spans="1:15" ht="7.5" customHeight="1" x14ac:dyDescent="0.15">
      <c r="B5" s="13"/>
      <c r="C5" s="13"/>
      <c r="D5" s="13"/>
      <c r="E5" s="14"/>
      <c r="F5" s="30"/>
      <c r="G5" s="30"/>
      <c r="H5" s="30"/>
      <c r="I5" s="30"/>
      <c r="J5" s="30"/>
      <c r="K5" s="30"/>
      <c r="L5" s="30"/>
      <c r="M5" s="30"/>
      <c r="N5" s="30"/>
    </row>
    <row r="6" spans="1:15" ht="24" customHeight="1" x14ac:dyDescent="0.15">
      <c r="A6" s="12" t="s">
        <v>50</v>
      </c>
      <c r="B6" s="13" t="s">
        <v>51</v>
      </c>
      <c r="C6" s="13"/>
      <c r="D6" s="133" t="s">
        <v>155</v>
      </c>
      <c r="E6" s="134"/>
      <c r="F6" s="134"/>
      <c r="G6" s="134"/>
      <c r="H6" s="140"/>
      <c r="I6" s="15" t="s">
        <v>90</v>
      </c>
      <c r="J6" s="30" t="s">
        <v>91</v>
      </c>
      <c r="K6" s="133" t="s">
        <v>156</v>
      </c>
      <c r="L6" s="134"/>
      <c r="M6" s="134"/>
      <c r="N6" s="140"/>
      <c r="O6" s="25" t="str">
        <f>IF(D6="","入力してください","")</f>
        <v/>
      </c>
    </row>
    <row r="7" spans="1:15" ht="7.5" customHeight="1" x14ac:dyDescent="0.15">
      <c r="B7" s="13"/>
      <c r="C7" s="13"/>
      <c r="D7" s="13"/>
      <c r="E7" s="14"/>
      <c r="F7" s="30"/>
      <c r="G7" s="30"/>
      <c r="H7" s="30"/>
      <c r="I7" s="30"/>
      <c r="J7" s="30"/>
      <c r="K7" s="30"/>
      <c r="L7" s="30"/>
      <c r="M7" s="30"/>
      <c r="N7" s="30"/>
    </row>
    <row r="8" spans="1:15" ht="24" customHeight="1" x14ac:dyDescent="0.15">
      <c r="A8" s="12" t="s">
        <v>14</v>
      </c>
      <c r="B8" s="13" t="s">
        <v>47</v>
      </c>
      <c r="C8" s="133" t="s">
        <v>157</v>
      </c>
      <c r="D8" s="134"/>
      <c r="E8" s="134"/>
      <c r="F8" s="134"/>
      <c r="G8" s="134"/>
      <c r="H8" s="134"/>
      <c r="I8" s="134"/>
      <c r="J8" s="134"/>
      <c r="K8" s="134"/>
      <c r="L8" s="134"/>
      <c r="M8" s="134"/>
      <c r="N8" s="140"/>
      <c r="O8" s="25" t="str">
        <f>IF(C8="","入力してください","")</f>
        <v/>
      </c>
    </row>
    <row r="9" spans="1:15" ht="7.5" customHeight="1" x14ac:dyDescent="0.15">
      <c r="B9" s="13"/>
      <c r="C9" s="13"/>
      <c r="D9" s="13"/>
      <c r="E9" s="14"/>
      <c r="F9" s="30"/>
      <c r="G9" s="30"/>
      <c r="H9" s="30"/>
      <c r="I9" s="30"/>
      <c r="J9" s="30"/>
      <c r="K9" s="30"/>
      <c r="L9" s="30"/>
      <c r="M9" s="30"/>
      <c r="N9" s="30"/>
    </row>
    <row r="10" spans="1:15" ht="24" customHeight="1" x14ac:dyDescent="0.15">
      <c r="A10" s="12" t="s">
        <v>12</v>
      </c>
      <c r="B10" s="13" t="s">
        <v>89</v>
      </c>
      <c r="C10" s="13"/>
      <c r="D10" s="13"/>
      <c r="E10" s="133" t="s">
        <v>158</v>
      </c>
      <c r="F10" s="134"/>
      <c r="G10" s="134"/>
      <c r="H10" s="134"/>
      <c r="I10" s="134"/>
      <c r="J10" s="134"/>
      <c r="K10" s="134"/>
      <c r="L10" s="134"/>
      <c r="M10" s="134"/>
      <c r="N10" s="140"/>
      <c r="O10" s="25" t="str">
        <f>IF(E10="","入力してください","")</f>
        <v/>
      </c>
    </row>
    <row r="11" spans="1:15" ht="7.5" customHeight="1" x14ac:dyDescent="0.15">
      <c r="B11" s="14"/>
      <c r="C11" s="14"/>
      <c r="D11" s="14"/>
      <c r="E11" s="14"/>
      <c r="F11" s="30"/>
      <c r="G11" s="30"/>
      <c r="H11" s="30"/>
      <c r="I11" s="30"/>
      <c r="J11" s="30"/>
      <c r="K11" s="30"/>
      <c r="L11" s="30"/>
      <c r="M11" s="30"/>
      <c r="N11" s="30"/>
    </row>
    <row r="12" spans="1:15" ht="24" customHeight="1" x14ac:dyDescent="0.15">
      <c r="A12" s="12" t="s">
        <v>60</v>
      </c>
      <c r="B12" s="14" t="s">
        <v>61</v>
      </c>
      <c r="C12" s="14"/>
      <c r="D12" s="14"/>
      <c r="E12" s="146">
        <v>2021</v>
      </c>
      <c r="F12" s="147"/>
      <c r="G12" s="15" t="s">
        <v>100</v>
      </c>
      <c r="H12" s="12" t="s">
        <v>101</v>
      </c>
      <c r="N12" s="110" t="s">
        <v>159</v>
      </c>
      <c r="O12" s="25" t="str">
        <f>IF(E12="","入力してください","")</f>
        <v/>
      </c>
    </row>
    <row r="13" spans="1:15" ht="7.5" customHeight="1" x14ac:dyDescent="0.15">
      <c r="B13" s="14"/>
      <c r="C13" s="14"/>
      <c r="D13" s="14"/>
      <c r="E13" s="14"/>
      <c r="F13" s="30"/>
      <c r="G13" s="30"/>
      <c r="H13" s="30"/>
      <c r="I13" s="30"/>
      <c r="J13" s="30"/>
      <c r="K13" s="30"/>
      <c r="L13" s="30"/>
      <c r="M13" s="30"/>
      <c r="N13" s="30"/>
    </row>
    <row r="14" spans="1:15" ht="24" customHeight="1" x14ac:dyDescent="0.15">
      <c r="A14" s="12" t="s">
        <v>55</v>
      </c>
      <c r="B14" s="12" t="s">
        <v>0</v>
      </c>
      <c r="C14" s="142" t="s">
        <v>5</v>
      </c>
      <c r="D14" s="143"/>
      <c r="E14" s="137">
        <v>214</v>
      </c>
      <c r="F14" s="138"/>
      <c r="G14" s="116" t="s">
        <v>8</v>
      </c>
      <c r="H14" s="66"/>
      <c r="I14" s="142" t="s">
        <v>9</v>
      </c>
      <c r="J14" s="143"/>
      <c r="K14" s="137">
        <v>355</v>
      </c>
      <c r="L14" s="144"/>
      <c r="M14" s="138"/>
      <c r="N14" s="117" t="s">
        <v>8</v>
      </c>
      <c r="O14" s="25" t="str">
        <f>IF(OR(E14="",K14=""),"入力してください","")</f>
        <v/>
      </c>
    </row>
    <row r="15" spans="1:15" ht="7.5" customHeight="1" x14ac:dyDescent="0.15">
      <c r="C15" s="66"/>
      <c r="D15" s="66"/>
      <c r="E15" s="66"/>
      <c r="F15" s="118"/>
      <c r="G15" s="118"/>
      <c r="H15" s="118"/>
      <c r="I15" s="118"/>
      <c r="J15" s="118"/>
      <c r="K15" s="118"/>
      <c r="L15" s="118"/>
      <c r="M15" s="117"/>
      <c r="N15" s="117"/>
    </row>
    <row r="16" spans="1:15" ht="24" customHeight="1" x14ac:dyDescent="0.15">
      <c r="A16" s="12" t="s">
        <v>62</v>
      </c>
      <c r="B16" s="12" t="s">
        <v>72</v>
      </c>
      <c r="C16" s="66"/>
      <c r="D16" s="66"/>
      <c r="E16" s="66"/>
      <c r="F16" s="118"/>
      <c r="G16" s="118"/>
      <c r="H16" s="118"/>
      <c r="I16" s="118"/>
      <c r="J16" s="118"/>
      <c r="K16" s="125">
        <v>23</v>
      </c>
      <c r="L16" s="126"/>
      <c r="M16" s="127"/>
      <c r="N16" s="117" t="s">
        <v>53</v>
      </c>
      <c r="O16" s="25" t="str">
        <f>IF(K16="","入力してください","")</f>
        <v/>
      </c>
    </row>
    <row r="17" spans="1:15" ht="7.5" customHeight="1" x14ac:dyDescent="0.15">
      <c r="C17" s="66"/>
      <c r="D17" s="66"/>
      <c r="E17" s="66"/>
      <c r="F17" s="118"/>
      <c r="G17" s="118"/>
      <c r="H17" s="118"/>
      <c r="I17" s="118"/>
      <c r="J17" s="118"/>
      <c r="K17" s="118"/>
      <c r="L17" s="118"/>
      <c r="M17" s="117"/>
      <c r="N17" s="117"/>
    </row>
    <row r="18" spans="1:15" ht="24" customHeight="1" x14ac:dyDescent="0.15">
      <c r="A18" s="12" t="s">
        <v>25</v>
      </c>
      <c r="B18" s="12" t="s">
        <v>81</v>
      </c>
      <c r="C18" s="66"/>
      <c r="D18" s="66"/>
      <c r="E18" s="137">
        <v>710</v>
      </c>
      <c r="F18" s="138"/>
      <c r="G18" s="119" t="s">
        <v>22</v>
      </c>
      <c r="H18" s="118"/>
      <c r="I18" s="66"/>
      <c r="J18" s="66"/>
      <c r="K18" s="139"/>
      <c r="L18" s="139"/>
      <c r="M18" s="139"/>
      <c r="N18" s="139"/>
      <c r="O18" s="25" t="str">
        <f>IF(E18="","入力してください","")</f>
        <v/>
      </c>
    </row>
    <row r="19" spans="1:15" ht="7.5" customHeight="1" x14ac:dyDescent="0.15">
      <c r="C19" s="66"/>
      <c r="D19" s="66"/>
      <c r="E19" s="120"/>
      <c r="F19" s="118"/>
      <c r="G19" s="118"/>
      <c r="H19" s="66"/>
      <c r="I19" s="66"/>
      <c r="J19" s="66"/>
      <c r="K19" s="66"/>
      <c r="L19" s="121"/>
      <c r="M19" s="121"/>
      <c r="N19" s="122"/>
    </row>
    <row r="20" spans="1:15" ht="24" customHeight="1" x14ac:dyDescent="0.15">
      <c r="A20" s="12" t="s">
        <v>80</v>
      </c>
      <c r="B20" s="12" t="s">
        <v>82</v>
      </c>
      <c r="C20" s="66"/>
      <c r="D20" s="66"/>
      <c r="E20" s="120"/>
      <c r="F20" s="118"/>
      <c r="G20" s="118"/>
      <c r="H20" s="66" t="s">
        <v>54</v>
      </c>
      <c r="I20" s="66"/>
      <c r="J20" s="128">
        <v>3285</v>
      </c>
      <c r="K20" s="129"/>
      <c r="L20" s="130"/>
      <c r="M20" s="121" t="s">
        <v>53</v>
      </c>
      <c r="N20" s="122"/>
      <c r="O20" s="25" t="str">
        <f>IF(J20="","入力してください","")</f>
        <v/>
      </c>
    </row>
    <row r="21" spans="1:15" ht="7.5" customHeight="1" x14ac:dyDescent="0.15">
      <c r="C21" s="66"/>
      <c r="D21" s="66"/>
      <c r="E21" s="120"/>
      <c r="F21" s="118"/>
      <c r="G21" s="118"/>
      <c r="H21" s="66"/>
      <c r="I21" s="66"/>
      <c r="J21" s="66"/>
      <c r="K21" s="66"/>
      <c r="L21" s="121"/>
      <c r="M21" s="121"/>
      <c r="N21" s="122"/>
    </row>
    <row r="22" spans="1:15" ht="24" customHeight="1" x14ac:dyDescent="0.15">
      <c r="B22" s="23" t="s">
        <v>18</v>
      </c>
      <c r="C22" s="137">
        <v>761</v>
      </c>
      <c r="D22" s="138"/>
      <c r="E22" s="120" t="s">
        <v>23</v>
      </c>
      <c r="F22" s="118"/>
      <c r="G22" s="131" t="s">
        <v>19</v>
      </c>
      <c r="H22" s="131"/>
      <c r="I22" s="137">
        <v>754</v>
      </c>
      <c r="J22" s="138"/>
      <c r="K22" s="123" t="s">
        <v>23</v>
      </c>
      <c r="L22" s="66"/>
      <c r="M22" s="121"/>
      <c r="N22" s="122"/>
    </row>
    <row r="23" spans="1:15" ht="7.5" customHeight="1" x14ac:dyDescent="0.15">
      <c r="B23" s="23"/>
      <c r="C23" s="124"/>
      <c r="D23" s="124"/>
      <c r="E23" s="120"/>
      <c r="F23" s="118"/>
      <c r="G23" s="121"/>
      <c r="H23" s="121"/>
      <c r="I23" s="124"/>
      <c r="J23" s="124"/>
      <c r="K23" s="123"/>
      <c r="L23" s="66"/>
      <c r="M23" s="121"/>
      <c r="N23" s="122"/>
    </row>
    <row r="24" spans="1:15" ht="24" customHeight="1" x14ac:dyDescent="0.15">
      <c r="B24" s="23" t="s">
        <v>20</v>
      </c>
      <c r="C24" s="137">
        <v>758</v>
      </c>
      <c r="D24" s="138"/>
      <c r="E24" s="120" t="s">
        <v>23</v>
      </c>
      <c r="F24" s="118"/>
      <c r="G24" s="131" t="s">
        <v>21</v>
      </c>
      <c r="H24" s="131"/>
      <c r="I24" s="137">
        <v>1012</v>
      </c>
      <c r="J24" s="138"/>
      <c r="K24" s="123" t="s">
        <v>23</v>
      </c>
      <c r="L24" s="66"/>
      <c r="M24" s="121"/>
      <c r="N24" s="122"/>
    </row>
    <row r="25" spans="1:15" ht="7.5" customHeight="1" x14ac:dyDescent="0.15">
      <c r="B25" s="23"/>
      <c r="C25" s="124"/>
      <c r="D25" s="124"/>
      <c r="E25" s="120"/>
      <c r="F25" s="118"/>
      <c r="G25" s="121"/>
      <c r="H25" s="121"/>
      <c r="I25" s="124"/>
      <c r="J25" s="124"/>
      <c r="K25" s="123"/>
      <c r="L25" s="66"/>
      <c r="M25" s="121"/>
      <c r="N25" s="122"/>
    </row>
    <row r="26" spans="1:15" ht="24" customHeight="1" x14ac:dyDescent="0.15">
      <c r="B26" s="23" t="s">
        <v>48</v>
      </c>
      <c r="C26" s="137">
        <v>0</v>
      </c>
      <c r="D26" s="138"/>
      <c r="E26" s="120" t="s">
        <v>8</v>
      </c>
      <c r="F26" s="118"/>
      <c r="G26" s="131" t="s">
        <v>49</v>
      </c>
      <c r="H26" s="131"/>
      <c r="I26" s="137">
        <v>0</v>
      </c>
      <c r="J26" s="138"/>
      <c r="K26" s="123" t="s">
        <v>8</v>
      </c>
      <c r="L26" s="66"/>
      <c r="M26" s="121"/>
      <c r="N26" s="122"/>
    </row>
    <row r="27" spans="1:15" ht="7.5" customHeight="1" x14ac:dyDescent="0.15">
      <c r="F27" s="16"/>
      <c r="G27" s="16"/>
      <c r="M27" s="17"/>
      <c r="N27" s="17"/>
    </row>
    <row r="28" spans="1:15" ht="24" customHeight="1" x14ac:dyDescent="0.15">
      <c r="A28" s="12" t="s">
        <v>52</v>
      </c>
      <c r="B28" s="13" t="s">
        <v>79</v>
      </c>
      <c r="C28" s="13"/>
      <c r="D28" s="13"/>
      <c r="E28" s="13"/>
      <c r="F28" s="15"/>
      <c r="G28" s="30"/>
      <c r="H28" s="30"/>
      <c r="I28" s="30"/>
      <c r="J28" s="18"/>
      <c r="K28" s="18"/>
      <c r="L28" s="18"/>
      <c r="M28" s="18"/>
      <c r="N28" s="18"/>
    </row>
    <row r="29" spans="1:15" s="12" customFormat="1" ht="24" customHeight="1" x14ac:dyDescent="0.15">
      <c r="B29" s="132" t="s">
        <v>78</v>
      </c>
      <c r="C29" s="132"/>
      <c r="D29" s="133" t="s">
        <v>160</v>
      </c>
      <c r="E29" s="134"/>
      <c r="F29" s="134"/>
      <c r="G29" s="135" t="s">
        <v>24</v>
      </c>
      <c r="H29" s="132"/>
      <c r="I29" s="136"/>
      <c r="J29" s="133" t="s">
        <v>161</v>
      </c>
      <c r="K29" s="134"/>
      <c r="L29" s="134"/>
      <c r="M29" s="134"/>
      <c r="N29" s="140"/>
      <c r="O29" s="25" t="str">
        <f>IF(OR(D29="",J29=""),"入力してください","")</f>
        <v/>
      </c>
    </row>
    <row r="30" spans="1:15" ht="7.5" customHeight="1" x14ac:dyDescent="0.15">
      <c r="F30" s="16"/>
      <c r="G30" s="16"/>
      <c r="M30" s="17"/>
      <c r="N30" s="17"/>
    </row>
    <row r="31" spans="1:15" ht="24" customHeight="1" x14ac:dyDescent="0.15">
      <c r="A31" s="12" t="s">
        <v>56</v>
      </c>
      <c r="B31" s="13" t="s">
        <v>84</v>
      </c>
      <c r="C31" s="13"/>
      <c r="D31" s="13"/>
      <c r="E31" s="13"/>
      <c r="F31" s="15"/>
      <c r="G31" s="18"/>
      <c r="H31" s="18"/>
      <c r="I31" s="18"/>
      <c r="J31" s="18"/>
      <c r="K31" s="18"/>
      <c r="L31" s="18"/>
      <c r="M31" s="18"/>
      <c r="N31" s="18"/>
    </row>
    <row r="32" spans="1:15" ht="24" customHeight="1" x14ac:dyDescent="0.15">
      <c r="B32" s="133" t="s">
        <v>162</v>
      </c>
      <c r="C32" s="134"/>
      <c r="D32" s="134"/>
      <c r="E32" s="134"/>
      <c r="F32" s="134"/>
      <c r="G32" s="134"/>
      <c r="H32" s="134"/>
      <c r="I32" s="134"/>
      <c r="J32" s="134"/>
      <c r="K32" s="134"/>
      <c r="L32" s="134"/>
      <c r="M32" s="134"/>
      <c r="N32" s="140"/>
      <c r="O32" s="25" t="str">
        <f>IF(B32="","入力してください","")</f>
        <v/>
      </c>
    </row>
    <row r="33" spans="1:15" ht="7.5" customHeight="1" x14ac:dyDescent="0.15">
      <c r="B33" s="10"/>
      <c r="C33" s="10"/>
      <c r="D33" s="10"/>
      <c r="E33" s="10"/>
      <c r="F33" s="10"/>
      <c r="G33" s="10"/>
      <c r="H33" s="10"/>
      <c r="I33" s="10"/>
      <c r="J33" s="10"/>
      <c r="K33" s="10"/>
      <c r="L33" s="10"/>
      <c r="M33" s="10"/>
      <c r="N33" s="10"/>
    </row>
    <row r="34" spans="1:15" s="12" customFormat="1" ht="24" customHeight="1" x14ac:dyDescent="0.15">
      <c r="B34" s="132" t="s">
        <v>78</v>
      </c>
      <c r="C34" s="132"/>
      <c r="D34" s="133" t="s">
        <v>160</v>
      </c>
      <c r="E34" s="134"/>
      <c r="F34" s="134"/>
      <c r="G34" s="135" t="s">
        <v>57</v>
      </c>
      <c r="H34" s="132"/>
      <c r="I34" s="136"/>
      <c r="J34" s="133" t="s">
        <v>161</v>
      </c>
      <c r="K34" s="134"/>
      <c r="L34" s="134"/>
      <c r="M34" s="134"/>
      <c r="N34" s="140"/>
      <c r="O34" s="25" t="str">
        <f>IF(OR(D34="",J34=""),"入力してください","")</f>
        <v/>
      </c>
    </row>
    <row r="35" spans="1:15" ht="7.5" customHeight="1" x14ac:dyDescent="0.15">
      <c r="F35" s="30"/>
      <c r="G35" s="30"/>
      <c r="H35" s="30"/>
      <c r="I35" s="30"/>
      <c r="J35" s="30"/>
      <c r="K35" s="30"/>
      <c r="L35" s="30"/>
      <c r="M35" s="30"/>
      <c r="N35" s="30"/>
    </row>
    <row r="36" spans="1:15" ht="24" customHeight="1" x14ac:dyDescent="0.15">
      <c r="A36" s="12" t="s">
        <v>63</v>
      </c>
      <c r="B36" s="12" t="s">
        <v>85</v>
      </c>
      <c r="M36" s="17"/>
      <c r="N36" s="17"/>
    </row>
    <row r="37" spans="1:15" ht="24" customHeight="1" x14ac:dyDescent="0.15">
      <c r="B37" s="133" t="s">
        <v>214</v>
      </c>
      <c r="C37" s="134"/>
      <c r="D37" s="134"/>
      <c r="E37" s="134"/>
      <c r="F37" s="134"/>
      <c r="G37" s="134"/>
      <c r="H37" s="134"/>
      <c r="I37" s="134"/>
      <c r="J37" s="134"/>
      <c r="K37" s="134"/>
      <c r="L37" s="134"/>
      <c r="M37" s="134"/>
      <c r="N37" s="140"/>
      <c r="O37" s="25" t="str">
        <f>IF(B37="","入力してください","")</f>
        <v/>
      </c>
    </row>
    <row r="38" spans="1:15" ht="7.5" customHeight="1" x14ac:dyDescent="0.15">
      <c r="F38" s="30"/>
      <c r="G38" s="30"/>
      <c r="H38" s="30"/>
      <c r="I38" s="30"/>
      <c r="J38" s="30"/>
      <c r="K38" s="30"/>
      <c r="L38" s="30"/>
      <c r="M38" s="30"/>
      <c r="N38" s="30"/>
    </row>
    <row r="39" spans="1:15" s="12" customFormat="1" ht="24" customHeight="1" x14ac:dyDescent="0.15">
      <c r="B39" s="132" t="s">
        <v>78</v>
      </c>
      <c r="C39" s="132"/>
      <c r="D39" s="133" t="s">
        <v>160</v>
      </c>
      <c r="E39" s="134"/>
      <c r="F39" s="134"/>
      <c r="G39" s="135" t="s">
        <v>57</v>
      </c>
      <c r="H39" s="132"/>
      <c r="I39" s="136"/>
      <c r="J39" s="133" t="s">
        <v>161</v>
      </c>
      <c r="K39" s="134"/>
      <c r="L39" s="134"/>
      <c r="M39" s="134"/>
      <c r="N39" s="140"/>
      <c r="O39" s="25" t="str">
        <f>IF(OR(D39="",J39=""),"入力してください","")</f>
        <v/>
      </c>
    </row>
    <row r="40" spans="1:15" ht="7.5" customHeight="1" x14ac:dyDescent="0.15">
      <c r="F40" s="30"/>
      <c r="G40" s="30"/>
      <c r="H40" s="30"/>
      <c r="I40" s="30"/>
      <c r="J40" s="30"/>
      <c r="K40" s="30"/>
      <c r="L40" s="30"/>
      <c r="M40" s="30"/>
      <c r="N40" s="30"/>
    </row>
    <row r="41" spans="1:15" ht="24" customHeight="1" x14ac:dyDescent="0.15">
      <c r="A41" s="12" t="s">
        <v>92</v>
      </c>
      <c r="B41" s="66" t="s">
        <v>71</v>
      </c>
      <c r="E41" s="67"/>
      <c r="F41" s="133" t="s">
        <v>184</v>
      </c>
      <c r="G41" s="134"/>
      <c r="H41" s="134"/>
      <c r="I41" s="134"/>
      <c r="J41" s="134"/>
      <c r="K41" s="134"/>
      <c r="L41" s="134"/>
      <c r="M41" s="134"/>
      <c r="N41" s="140"/>
      <c r="O41" s="25" t="str">
        <f>IF(F41="","入力してください","")</f>
        <v/>
      </c>
    </row>
    <row r="42" spans="1:15" ht="7.5" customHeight="1" x14ac:dyDescent="0.15">
      <c r="F42" s="30"/>
      <c r="G42" s="30"/>
      <c r="H42" s="30"/>
      <c r="I42" s="30"/>
      <c r="J42" s="30"/>
      <c r="K42" s="30"/>
      <c r="L42" s="30"/>
      <c r="M42" s="30"/>
      <c r="N42" s="30"/>
    </row>
    <row r="43" spans="1:15" ht="24" customHeight="1" x14ac:dyDescent="0.15">
      <c r="A43" s="12" t="s">
        <v>102</v>
      </c>
    </row>
    <row r="44" spans="1:15" ht="24" customHeight="1" x14ac:dyDescent="0.15">
      <c r="B44" s="24" t="s">
        <v>1</v>
      </c>
      <c r="C44" s="154" t="s">
        <v>163</v>
      </c>
      <c r="D44" s="155"/>
      <c r="E44" s="155"/>
      <c r="F44" s="155"/>
      <c r="G44" s="155"/>
      <c r="H44" s="155"/>
      <c r="I44" s="20" t="s">
        <v>2</v>
      </c>
      <c r="J44" s="21"/>
      <c r="K44" s="133" t="s">
        <v>164</v>
      </c>
      <c r="L44" s="134"/>
      <c r="M44" s="134"/>
      <c r="N44" s="140"/>
      <c r="O44" s="25" t="str">
        <f>IF(OR(C44="",K44=""),"入力してください","")</f>
        <v/>
      </c>
    </row>
    <row r="45" spans="1:15" ht="24" customHeight="1" x14ac:dyDescent="0.15">
      <c r="B45" s="19" t="s">
        <v>4</v>
      </c>
      <c r="C45" s="148" t="s">
        <v>165</v>
      </c>
      <c r="D45" s="149"/>
      <c r="E45" s="149"/>
      <c r="F45" s="149"/>
      <c r="G45" s="149"/>
      <c r="H45" s="150"/>
      <c r="I45" s="20" t="s">
        <v>3</v>
      </c>
      <c r="J45" s="21"/>
      <c r="K45" s="151" t="s">
        <v>166</v>
      </c>
      <c r="L45" s="152"/>
      <c r="M45" s="152"/>
      <c r="N45" s="153"/>
      <c r="O45" s="25"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00000000-0002-0000-0000-000001000000}">
      <formula1>"有,無"</formula1>
    </dataValidation>
    <dataValidation type="list" allowBlank="1" showInputMessage="1" showErrorMessage="1" sqref="F41:N41" xr:uid="{00000000-0002-0000-0000-000002000000}">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
  <sheetViews>
    <sheetView showZeros="0" view="pageBreakPreview" topLeftCell="A88" zoomScaleNormal="100" zoomScaleSheetLayoutView="100" workbookViewId="0">
      <selection activeCell="B93" sqref="B93:Z95"/>
    </sheetView>
  </sheetViews>
  <sheetFormatPr defaultColWidth="9" defaultRowHeight="18.75" customHeight="1" x14ac:dyDescent="0.15"/>
  <cols>
    <col min="1" max="1" width="2.5" style="11" customWidth="1"/>
    <col min="2" max="2" width="27.75" style="11" customWidth="1"/>
    <col min="3" max="13" width="3.375" style="11" customWidth="1"/>
    <col min="14" max="14" width="8.875" style="11" customWidth="1"/>
    <col min="15" max="15" width="18.875" style="11" customWidth="1"/>
    <col min="16" max="19" width="3.375" style="11" customWidth="1"/>
    <col min="20" max="20" width="3.5" style="11" customWidth="1"/>
    <col min="21" max="26" width="3.375" style="11" customWidth="1"/>
    <col min="27" max="16384" width="9" style="11"/>
  </cols>
  <sheetData>
    <row r="1" spans="1:26" ht="15" customHeight="1" x14ac:dyDescent="0.15">
      <c r="W1" s="180" t="s">
        <v>117</v>
      </c>
      <c r="X1" s="180"/>
      <c r="Y1" s="180"/>
      <c r="Z1" s="180"/>
    </row>
    <row r="2" spans="1:26" ht="18" customHeight="1" x14ac:dyDescent="0.15">
      <c r="A2" s="219" t="s">
        <v>69</v>
      </c>
      <c r="B2" s="219"/>
      <c r="C2" s="219"/>
      <c r="D2" s="219"/>
      <c r="E2" s="219"/>
      <c r="F2" s="219"/>
      <c r="G2" s="219"/>
      <c r="H2" s="219"/>
      <c r="I2" s="219"/>
      <c r="J2" s="219"/>
      <c r="K2" s="219"/>
      <c r="L2" s="219"/>
      <c r="M2" s="219"/>
      <c r="N2" s="219"/>
      <c r="O2" s="219"/>
      <c r="P2" s="219"/>
      <c r="Q2" s="219"/>
      <c r="R2" s="219"/>
      <c r="S2" s="219"/>
      <c r="T2" s="219"/>
      <c r="U2" s="219"/>
      <c r="V2" s="219"/>
      <c r="W2" s="219"/>
      <c r="X2" s="219"/>
      <c r="Y2" s="219"/>
      <c r="Z2" s="219"/>
    </row>
    <row r="3" spans="1:26" ht="15" customHeight="1" x14ac:dyDescent="0.15">
      <c r="B3" s="23"/>
      <c r="C3" s="23"/>
      <c r="D3" s="23"/>
      <c r="E3" s="23"/>
      <c r="F3" s="23"/>
      <c r="G3" s="23"/>
      <c r="H3" s="23"/>
      <c r="I3" s="23"/>
      <c r="J3" s="23"/>
      <c r="K3" s="23"/>
      <c r="L3" s="23"/>
      <c r="M3" s="23"/>
      <c r="N3" s="23"/>
      <c r="O3" s="23"/>
      <c r="P3" s="23"/>
      <c r="Q3" s="23"/>
      <c r="R3" s="23"/>
      <c r="S3" s="23"/>
      <c r="T3" s="23"/>
      <c r="U3" s="23"/>
      <c r="V3" s="23"/>
      <c r="W3" s="23"/>
      <c r="X3" s="23"/>
      <c r="Y3" s="23"/>
      <c r="Z3" s="23"/>
    </row>
    <row r="4" spans="1:26" ht="18" customHeight="1" x14ac:dyDescent="0.15">
      <c r="A4" s="11" t="s">
        <v>103</v>
      </c>
      <c r="B4" s="23"/>
      <c r="C4" s="23"/>
      <c r="D4" s="23"/>
      <c r="E4" s="23"/>
      <c r="F4" s="23"/>
      <c r="G4" s="23"/>
      <c r="H4" s="13" t="s">
        <v>116</v>
      </c>
      <c r="I4" s="23"/>
      <c r="J4" s="23"/>
      <c r="K4" s="23"/>
      <c r="L4" s="23"/>
      <c r="M4" s="23"/>
      <c r="N4" s="23"/>
      <c r="O4" s="171" t="s">
        <v>167</v>
      </c>
      <c r="P4" s="172"/>
      <c r="Q4" s="172"/>
      <c r="R4" s="172"/>
      <c r="S4" s="172"/>
      <c r="T4" s="172"/>
      <c r="U4" s="172"/>
      <c r="V4" s="172"/>
      <c r="W4" s="172"/>
      <c r="X4" s="172"/>
      <c r="Y4" s="172"/>
      <c r="Z4" s="173"/>
    </row>
    <row r="5" spans="1:26" ht="6" customHeight="1" x14ac:dyDescent="0.15">
      <c r="B5" s="23"/>
      <c r="C5" s="23"/>
      <c r="D5" s="23"/>
      <c r="E5" s="23"/>
      <c r="F5" s="23"/>
      <c r="G5" s="23"/>
      <c r="H5" s="23"/>
      <c r="I5" s="23"/>
      <c r="J5" s="23"/>
      <c r="K5" s="23"/>
      <c r="L5" s="23"/>
      <c r="M5" s="23"/>
      <c r="N5" s="23"/>
      <c r="O5" s="14"/>
      <c r="P5" s="23"/>
      <c r="Q5" s="23"/>
      <c r="R5" s="23"/>
      <c r="S5" s="23"/>
      <c r="T5" s="23"/>
      <c r="U5" s="23"/>
      <c r="V5" s="23"/>
      <c r="W5" s="23"/>
      <c r="X5" s="23"/>
      <c r="Y5" s="23"/>
      <c r="Z5" s="23"/>
    </row>
    <row r="6" spans="1:26" ht="18" customHeight="1" x14ac:dyDescent="0.15">
      <c r="B6" s="220" t="s">
        <v>185</v>
      </c>
      <c r="C6" s="221"/>
      <c r="D6" s="221"/>
      <c r="E6" s="221"/>
      <c r="F6" s="221"/>
      <c r="G6" s="221"/>
      <c r="H6" s="221"/>
      <c r="I6" s="221"/>
      <c r="J6" s="221"/>
      <c r="K6" s="221"/>
      <c r="L6" s="221"/>
      <c r="M6" s="221"/>
      <c r="N6" s="221"/>
      <c r="O6" s="221"/>
      <c r="P6" s="221"/>
      <c r="Q6" s="221"/>
      <c r="R6" s="221"/>
      <c r="S6" s="221"/>
      <c r="T6" s="221"/>
      <c r="U6" s="221"/>
      <c r="V6" s="221"/>
      <c r="W6" s="221"/>
      <c r="X6" s="221"/>
      <c r="Y6" s="221"/>
      <c r="Z6" s="222"/>
    </row>
    <row r="7" spans="1:26" ht="18" customHeight="1" x14ac:dyDescent="0.15">
      <c r="B7" s="223"/>
      <c r="C7" s="224"/>
      <c r="D7" s="224"/>
      <c r="E7" s="224"/>
      <c r="F7" s="224"/>
      <c r="G7" s="224"/>
      <c r="H7" s="224"/>
      <c r="I7" s="224"/>
      <c r="J7" s="224"/>
      <c r="K7" s="224"/>
      <c r="L7" s="224"/>
      <c r="M7" s="224"/>
      <c r="N7" s="224"/>
      <c r="O7" s="224"/>
      <c r="P7" s="224"/>
      <c r="Q7" s="224"/>
      <c r="R7" s="224"/>
      <c r="S7" s="224"/>
      <c r="T7" s="224"/>
      <c r="U7" s="224"/>
      <c r="V7" s="224"/>
      <c r="W7" s="224"/>
      <c r="X7" s="224"/>
      <c r="Y7" s="224"/>
      <c r="Z7" s="225"/>
    </row>
    <row r="8" spans="1:26" ht="18" customHeight="1" x14ac:dyDescent="0.15">
      <c r="B8" s="223"/>
      <c r="C8" s="224"/>
      <c r="D8" s="224"/>
      <c r="E8" s="224"/>
      <c r="F8" s="224"/>
      <c r="G8" s="224"/>
      <c r="H8" s="224"/>
      <c r="I8" s="224"/>
      <c r="J8" s="224"/>
      <c r="K8" s="224"/>
      <c r="L8" s="224"/>
      <c r="M8" s="224"/>
      <c r="N8" s="224"/>
      <c r="O8" s="224"/>
      <c r="P8" s="224"/>
      <c r="Q8" s="224"/>
      <c r="R8" s="224"/>
      <c r="S8" s="224"/>
      <c r="T8" s="224"/>
      <c r="U8" s="224"/>
      <c r="V8" s="224"/>
      <c r="W8" s="224"/>
      <c r="X8" s="224"/>
      <c r="Y8" s="224"/>
      <c r="Z8" s="225"/>
    </row>
    <row r="9" spans="1:26" ht="18" customHeight="1" x14ac:dyDescent="0.15">
      <c r="B9" s="223"/>
      <c r="C9" s="224"/>
      <c r="D9" s="224"/>
      <c r="E9" s="224"/>
      <c r="F9" s="224"/>
      <c r="G9" s="224"/>
      <c r="H9" s="224"/>
      <c r="I9" s="224"/>
      <c r="J9" s="224"/>
      <c r="K9" s="224"/>
      <c r="L9" s="224"/>
      <c r="M9" s="224"/>
      <c r="N9" s="224"/>
      <c r="O9" s="224"/>
      <c r="P9" s="224"/>
      <c r="Q9" s="224"/>
      <c r="R9" s="224"/>
      <c r="S9" s="224"/>
      <c r="T9" s="224"/>
      <c r="U9" s="224"/>
      <c r="V9" s="224"/>
      <c r="W9" s="224"/>
      <c r="X9" s="224"/>
      <c r="Y9" s="224"/>
      <c r="Z9" s="225"/>
    </row>
    <row r="10" spans="1:26" ht="18" customHeight="1" x14ac:dyDescent="0.15">
      <c r="B10" s="223"/>
      <c r="C10" s="226"/>
      <c r="D10" s="226"/>
      <c r="E10" s="226"/>
      <c r="F10" s="226"/>
      <c r="G10" s="226"/>
      <c r="H10" s="226"/>
      <c r="I10" s="226"/>
      <c r="J10" s="226"/>
      <c r="K10" s="226"/>
      <c r="L10" s="226"/>
      <c r="M10" s="226"/>
      <c r="N10" s="226"/>
      <c r="O10" s="226"/>
      <c r="P10" s="226"/>
      <c r="Q10" s="226"/>
      <c r="R10" s="226"/>
      <c r="S10" s="226"/>
      <c r="T10" s="226"/>
      <c r="U10" s="226"/>
      <c r="V10" s="226"/>
      <c r="W10" s="226"/>
      <c r="X10" s="226"/>
      <c r="Y10" s="226"/>
      <c r="Z10" s="225"/>
    </row>
    <row r="11" spans="1:26" ht="18" customHeight="1" x14ac:dyDescent="0.15">
      <c r="B11" s="227"/>
      <c r="C11" s="228"/>
      <c r="D11" s="228"/>
      <c r="E11" s="228"/>
      <c r="F11" s="228"/>
      <c r="G11" s="228"/>
      <c r="H11" s="228"/>
      <c r="I11" s="228"/>
      <c r="J11" s="228"/>
      <c r="K11" s="228"/>
      <c r="L11" s="228"/>
      <c r="M11" s="228"/>
      <c r="N11" s="228"/>
      <c r="O11" s="228"/>
      <c r="P11" s="228"/>
      <c r="Q11" s="228"/>
      <c r="R11" s="228"/>
      <c r="S11" s="228"/>
      <c r="T11" s="228"/>
      <c r="U11" s="228"/>
      <c r="V11" s="228"/>
      <c r="W11" s="228"/>
      <c r="X11" s="228"/>
      <c r="Y11" s="228"/>
      <c r="Z11" s="229"/>
    </row>
    <row r="12" spans="1:26" ht="7.5" customHeight="1" x14ac:dyDescent="0.15">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spans="1:26" ht="18" customHeight="1" x14ac:dyDescent="0.15">
      <c r="A13" s="218" t="s">
        <v>130</v>
      </c>
      <c r="B13" s="218"/>
      <c r="C13" s="218"/>
      <c r="D13" s="218"/>
      <c r="E13" s="218"/>
      <c r="F13" s="218"/>
      <c r="G13" s="218"/>
      <c r="H13" s="218"/>
      <c r="I13" s="218"/>
      <c r="J13" s="218"/>
      <c r="K13" s="218"/>
      <c r="L13" s="218"/>
      <c r="M13" s="218"/>
      <c r="N13" s="218"/>
      <c r="O13" s="218"/>
      <c r="P13" s="218"/>
      <c r="Q13" s="218"/>
      <c r="R13" s="218"/>
      <c r="S13" s="218"/>
      <c r="T13" s="218"/>
      <c r="U13" s="218"/>
      <c r="V13" s="218"/>
      <c r="W13" s="218"/>
      <c r="X13" s="218"/>
      <c r="Y13" s="218"/>
      <c r="Z13" s="218"/>
    </row>
    <row r="14" spans="1:26" ht="18" customHeight="1" x14ac:dyDescent="0.15">
      <c r="A14" s="218"/>
      <c r="B14" s="218"/>
      <c r="C14" s="218"/>
      <c r="D14" s="218"/>
      <c r="E14" s="218"/>
      <c r="F14" s="218"/>
      <c r="G14" s="218"/>
      <c r="H14" s="218"/>
      <c r="I14" s="218"/>
      <c r="J14" s="218"/>
      <c r="K14" s="218"/>
      <c r="L14" s="218"/>
      <c r="M14" s="218"/>
      <c r="N14" s="218"/>
      <c r="O14" s="218"/>
      <c r="P14" s="218"/>
      <c r="Q14" s="218"/>
      <c r="R14" s="218"/>
      <c r="S14" s="218"/>
      <c r="T14" s="218"/>
      <c r="U14" s="218"/>
      <c r="V14" s="218"/>
      <c r="W14" s="218"/>
      <c r="X14" s="218"/>
      <c r="Y14" s="218"/>
      <c r="Z14" s="218"/>
    </row>
    <row r="15" spans="1:26" ht="18" customHeight="1" x14ac:dyDescent="0.15">
      <c r="A15" s="12"/>
      <c r="B15" s="171" t="s">
        <v>104</v>
      </c>
      <c r="C15" s="172"/>
      <c r="D15" s="172"/>
      <c r="E15" s="172"/>
      <c r="F15" s="173"/>
      <c r="G15" s="24" t="s">
        <v>146</v>
      </c>
      <c r="H15" s="105" t="s">
        <v>145</v>
      </c>
      <c r="I15" s="172" t="s">
        <v>105</v>
      </c>
      <c r="J15" s="172"/>
      <c r="K15" s="172"/>
      <c r="L15" s="68" t="s">
        <v>108</v>
      </c>
      <c r="M15" s="68" t="s">
        <v>111</v>
      </c>
      <c r="N15" s="171" t="s">
        <v>104</v>
      </c>
      <c r="O15" s="172"/>
      <c r="P15" s="172"/>
      <c r="Q15" s="172"/>
      <c r="R15" s="172"/>
      <c r="S15" s="173"/>
      <c r="T15" s="24" t="s">
        <v>146</v>
      </c>
      <c r="U15" s="105" t="s">
        <v>145</v>
      </c>
      <c r="V15" s="172" t="s">
        <v>105</v>
      </c>
      <c r="W15" s="172"/>
      <c r="X15" s="172"/>
      <c r="Y15" s="68" t="s">
        <v>108</v>
      </c>
      <c r="Z15" s="68" t="s">
        <v>111</v>
      </c>
    </row>
    <row r="16" spans="1:26" ht="18" customHeight="1" x14ac:dyDescent="0.15">
      <c r="A16" s="12"/>
      <c r="B16" s="181" t="s">
        <v>158</v>
      </c>
      <c r="C16" s="182"/>
      <c r="D16" s="182"/>
      <c r="E16" s="182"/>
      <c r="F16" s="183"/>
      <c r="G16" s="106">
        <v>2</v>
      </c>
      <c r="H16" s="106" t="s">
        <v>168</v>
      </c>
      <c r="I16" s="187" t="s">
        <v>169</v>
      </c>
      <c r="J16" s="188"/>
      <c r="K16" s="189"/>
      <c r="L16" s="106" t="s">
        <v>168</v>
      </c>
      <c r="M16" s="106" t="s">
        <v>168</v>
      </c>
      <c r="N16" s="156"/>
      <c r="O16" s="157"/>
      <c r="P16" s="157"/>
      <c r="Q16" s="157"/>
      <c r="R16" s="157"/>
      <c r="S16" s="158"/>
      <c r="T16" s="106"/>
      <c r="U16" s="106"/>
      <c r="V16" s="187"/>
      <c r="W16" s="188"/>
      <c r="X16" s="189"/>
      <c r="Y16" s="106"/>
      <c r="Z16" s="106"/>
    </row>
    <row r="17" spans="1:26" ht="18" customHeight="1" x14ac:dyDescent="0.15">
      <c r="A17" s="12"/>
      <c r="B17" s="174"/>
      <c r="C17" s="175"/>
      <c r="D17" s="175"/>
      <c r="E17" s="175"/>
      <c r="F17" s="176"/>
      <c r="G17" s="107"/>
      <c r="H17" s="107"/>
      <c r="I17" s="165"/>
      <c r="J17" s="166"/>
      <c r="K17" s="167"/>
      <c r="L17" s="107"/>
      <c r="M17" s="107"/>
      <c r="N17" s="159"/>
      <c r="O17" s="160"/>
      <c r="P17" s="160"/>
      <c r="Q17" s="160"/>
      <c r="R17" s="160"/>
      <c r="S17" s="161"/>
      <c r="T17" s="107"/>
      <c r="U17" s="107"/>
      <c r="V17" s="165"/>
      <c r="W17" s="166"/>
      <c r="X17" s="167"/>
      <c r="Y17" s="107"/>
      <c r="Z17" s="107"/>
    </row>
    <row r="18" spans="1:26" ht="18" customHeight="1" x14ac:dyDescent="0.15">
      <c r="A18" s="12"/>
      <c r="B18" s="174"/>
      <c r="C18" s="175"/>
      <c r="D18" s="175"/>
      <c r="E18" s="175"/>
      <c r="F18" s="176"/>
      <c r="G18" s="107"/>
      <c r="H18" s="107"/>
      <c r="I18" s="165"/>
      <c r="J18" s="166"/>
      <c r="K18" s="167"/>
      <c r="L18" s="107"/>
      <c r="M18" s="107"/>
      <c r="N18" s="159"/>
      <c r="O18" s="160"/>
      <c r="P18" s="160"/>
      <c r="Q18" s="160"/>
      <c r="R18" s="160"/>
      <c r="S18" s="161"/>
      <c r="T18" s="107"/>
      <c r="U18" s="107"/>
      <c r="V18" s="165"/>
      <c r="W18" s="166"/>
      <c r="X18" s="167"/>
      <c r="Y18" s="107"/>
      <c r="Z18" s="107"/>
    </row>
    <row r="19" spans="1:26" ht="18" customHeight="1" x14ac:dyDescent="0.15">
      <c r="A19" s="12"/>
      <c r="B19" s="174"/>
      <c r="C19" s="175"/>
      <c r="D19" s="175"/>
      <c r="E19" s="175"/>
      <c r="F19" s="176"/>
      <c r="G19" s="107"/>
      <c r="H19" s="107"/>
      <c r="I19" s="165"/>
      <c r="J19" s="166"/>
      <c r="K19" s="167"/>
      <c r="L19" s="107"/>
      <c r="M19" s="107"/>
      <c r="N19" s="159"/>
      <c r="O19" s="160"/>
      <c r="P19" s="160"/>
      <c r="Q19" s="160"/>
      <c r="R19" s="160"/>
      <c r="S19" s="161"/>
      <c r="T19" s="107"/>
      <c r="U19" s="107"/>
      <c r="V19" s="165"/>
      <c r="W19" s="166"/>
      <c r="X19" s="167"/>
      <c r="Y19" s="107"/>
      <c r="Z19" s="107"/>
    </row>
    <row r="20" spans="1:26" ht="18" customHeight="1" x14ac:dyDescent="0.15">
      <c r="A20" s="12"/>
      <c r="B20" s="174"/>
      <c r="C20" s="175"/>
      <c r="D20" s="175"/>
      <c r="E20" s="175"/>
      <c r="F20" s="176"/>
      <c r="G20" s="107"/>
      <c r="H20" s="107"/>
      <c r="I20" s="165"/>
      <c r="J20" s="166"/>
      <c r="K20" s="167"/>
      <c r="L20" s="107"/>
      <c r="M20" s="107"/>
      <c r="N20" s="159"/>
      <c r="O20" s="160"/>
      <c r="P20" s="160"/>
      <c r="Q20" s="160"/>
      <c r="R20" s="160"/>
      <c r="S20" s="161"/>
      <c r="T20" s="107"/>
      <c r="U20" s="107"/>
      <c r="V20" s="165"/>
      <c r="W20" s="166"/>
      <c r="X20" s="167"/>
      <c r="Y20" s="107"/>
      <c r="Z20" s="107"/>
    </row>
    <row r="21" spans="1:26" ht="18" customHeight="1" x14ac:dyDescent="0.15">
      <c r="A21" s="23"/>
      <c r="B21" s="174"/>
      <c r="C21" s="175"/>
      <c r="D21" s="175"/>
      <c r="E21" s="175"/>
      <c r="F21" s="176"/>
      <c r="G21" s="107"/>
      <c r="H21" s="107"/>
      <c r="I21" s="165"/>
      <c r="J21" s="166"/>
      <c r="K21" s="167"/>
      <c r="L21" s="107"/>
      <c r="M21" s="107"/>
      <c r="N21" s="159"/>
      <c r="O21" s="160"/>
      <c r="P21" s="160"/>
      <c r="Q21" s="160"/>
      <c r="R21" s="160"/>
      <c r="S21" s="161"/>
      <c r="T21" s="107"/>
      <c r="U21" s="107"/>
      <c r="V21" s="165"/>
      <c r="W21" s="166"/>
      <c r="X21" s="167"/>
      <c r="Y21" s="107"/>
      <c r="Z21" s="107"/>
    </row>
    <row r="22" spans="1:26" ht="18" customHeight="1" x14ac:dyDescent="0.15">
      <c r="A22" s="23"/>
      <c r="B22" s="177"/>
      <c r="C22" s="178"/>
      <c r="D22" s="178"/>
      <c r="E22" s="178"/>
      <c r="F22" s="179"/>
      <c r="G22" s="108"/>
      <c r="H22" s="108"/>
      <c r="I22" s="168"/>
      <c r="J22" s="169"/>
      <c r="K22" s="170"/>
      <c r="L22" s="114"/>
      <c r="M22" s="114"/>
      <c r="N22" s="162"/>
      <c r="O22" s="163"/>
      <c r="P22" s="163"/>
      <c r="Q22" s="163"/>
      <c r="R22" s="163"/>
      <c r="S22" s="164"/>
      <c r="T22" s="108"/>
      <c r="U22" s="108"/>
      <c r="V22" s="168"/>
      <c r="W22" s="169"/>
      <c r="X22" s="170"/>
      <c r="Y22" s="114"/>
      <c r="Z22" s="114"/>
    </row>
    <row r="23" spans="1:26" ht="7.5" customHeight="1" x14ac:dyDescent="0.15">
      <c r="A23" s="23"/>
      <c r="B23" s="69"/>
      <c r="C23" s="69"/>
      <c r="D23" s="23"/>
      <c r="E23" s="23"/>
      <c r="F23" s="23"/>
      <c r="G23" s="23"/>
      <c r="H23" s="23"/>
      <c r="I23" s="23"/>
      <c r="J23" s="23"/>
      <c r="K23" s="23"/>
      <c r="L23" s="69"/>
      <c r="M23" s="69"/>
      <c r="N23" s="69"/>
      <c r="O23" s="69"/>
      <c r="P23" s="69"/>
      <c r="Q23" s="69"/>
      <c r="R23" s="69"/>
      <c r="S23" s="69"/>
      <c r="T23" s="69"/>
      <c r="U23" s="69"/>
      <c r="V23" s="69"/>
      <c r="W23" s="69"/>
      <c r="X23" s="69"/>
      <c r="Y23" s="69"/>
      <c r="Z23" s="23"/>
    </row>
    <row r="24" spans="1:26" ht="18" customHeight="1" x14ac:dyDescent="0.15">
      <c r="A24" s="218" t="s">
        <v>131</v>
      </c>
      <c r="B24" s="218"/>
      <c r="C24" s="218"/>
      <c r="D24" s="218"/>
      <c r="E24" s="218"/>
      <c r="F24" s="218"/>
      <c r="G24" s="218"/>
      <c r="H24" s="218"/>
      <c r="I24" s="218"/>
      <c r="J24" s="218"/>
      <c r="K24" s="218"/>
      <c r="L24" s="218"/>
      <c r="M24" s="218"/>
      <c r="N24" s="218"/>
      <c r="O24" s="218"/>
      <c r="P24" s="218"/>
      <c r="Q24" s="218"/>
      <c r="R24" s="218"/>
      <c r="S24" s="218"/>
      <c r="T24" s="218"/>
      <c r="U24" s="218"/>
      <c r="V24" s="218"/>
      <c r="W24" s="218"/>
      <c r="X24" s="218"/>
      <c r="Y24" s="218"/>
      <c r="Z24" s="218"/>
    </row>
    <row r="25" spans="1:26" ht="18" customHeight="1" x14ac:dyDescent="0.15">
      <c r="A25" s="218"/>
      <c r="B25" s="218"/>
      <c r="C25" s="218"/>
      <c r="D25" s="218"/>
      <c r="E25" s="218"/>
      <c r="F25" s="218"/>
      <c r="G25" s="218"/>
      <c r="H25" s="218"/>
      <c r="I25" s="218"/>
      <c r="J25" s="218"/>
      <c r="K25" s="218"/>
      <c r="L25" s="218"/>
      <c r="M25" s="218"/>
      <c r="N25" s="218"/>
      <c r="O25" s="218"/>
      <c r="P25" s="218"/>
      <c r="Q25" s="218"/>
      <c r="R25" s="218"/>
      <c r="S25" s="218"/>
      <c r="T25" s="218"/>
      <c r="U25" s="218"/>
      <c r="V25" s="218"/>
      <c r="W25" s="218"/>
      <c r="X25" s="218"/>
      <c r="Y25" s="218"/>
      <c r="Z25" s="218"/>
    </row>
    <row r="26" spans="1:26" ht="18" customHeight="1" x14ac:dyDescent="0.15">
      <c r="A26" s="12"/>
      <c r="B26" s="171" t="s">
        <v>104</v>
      </c>
      <c r="C26" s="172"/>
      <c r="D26" s="172"/>
      <c r="E26" s="172"/>
      <c r="F26" s="173"/>
      <c r="G26" s="24" t="s">
        <v>146</v>
      </c>
      <c r="H26" s="105" t="s">
        <v>145</v>
      </c>
      <c r="I26" s="172" t="s">
        <v>105</v>
      </c>
      <c r="J26" s="172"/>
      <c r="K26" s="172"/>
      <c r="L26" s="68" t="s">
        <v>132</v>
      </c>
      <c r="M26" s="68" t="s">
        <v>133</v>
      </c>
      <c r="N26" s="171" t="s">
        <v>104</v>
      </c>
      <c r="O26" s="172"/>
      <c r="P26" s="172"/>
      <c r="Q26" s="172"/>
      <c r="R26" s="172"/>
      <c r="S26" s="173"/>
      <c r="T26" s="24" t="s">
        <v>146</v>
      </c>
      <c r="U26" s="105" t="s">
        <v>145</v>
      </c>
      <c r="V26" s="172" t="s">
        <v>105</v>
      </c>
      <c r="W26" s="172"/>
      <c r="X26" s="172"/>
      <c r="Y26" s="68" t="s">
        <v>132</v>
      </c>
      <c r="Z26" s="68" t="s">
        <v>133</v>
      </c>
    </row>
    <row r="27" spans="1:26" ht="18" customHeight="1" x14ac:dyDescent="0.15">
      <c r="A27" s="12"/>
      <c r="B27" s="181" t="s">
        <v>158</v>
      </c>
      <c r="C27" s="182"/>
      <c r="D27" s="182"/>
      <c r="E27" s="182"/>
      <c r="F27" s="183"/>
      <c r="G27" s="106">
        <v>2</v>
      </c>
      <c r="H27" s="106" t="s">
        <v>168</v>
      </c>
      <c r="I27" s="187" t="s">
        <v>169</v>
      </c>
      <c r="J27" s="188"/>
      <c r="K27" s="189"/>
      <c r="L27" s="106" t="s">
        <v>168</v>
      </c>
      <c r="M27" s="106" t="s">
        <v>168</v>
      </c>
      <c r="N27" s="156"/>
      <c r="O27" s="157"/>
      <c r="P27" s="157"/>
      <c r="Q27" s="157"/>
      <c r="R27" s="157"/>
      <c r="S27" s="158"/>
      <c r="T27" s="106"/>
      <c r="U27" s="106"/>
      <c r="V27" s="187"/>
      <c r="W27" s="188"/>
      <c r="X27" s="189"/>
      <c r="Y27" s="106"/>
      <c r="Z27" s="106"/>
    </row>
    <row r="28" spans="1:26" ht="18" customHeight="1" x14ac:dyDescent="0.15">
      <c r="A28" s="12"/>
      <c r="B28" s="174"/>
      <c r="C28" s="175"/>
      <c r="D28" s="175"/>
      <c r="E28" s="175"/>
      <c r="F28" s="176"/>
      <c r="G28" s="107"/>
      <c r="H28" s="107"/>
      <c r="I28" s="165"/>
      <c r="J28" s="166"/>
      <c r="K28" s="167"/>
      <c r="L28" s="107"/>
      <c r="M28" s="107"/>
      <c r="N28" s="159"/>
      <c r="O28" s="160"/>
      <c r="P28" s="160"/>
      <c r="Q28" s="160"/>
      <c r="R28" s="160"/>
      <c r="S28" s="161"/>
      <c r="T28" s="107"/>
      <c r="U28" s="107"/>
      <c r="V28" s="165"/>
      <c r="W28" s="166"/>
      <c r="X28" s="167"/>
      <c r="Y28" s="107"/>
      <c r="Z28" s="107"/>
    </row>
    <row r="29" spans="1:26" ht="18" customHeight="1" x14ac:dyDescent="0.15">
      <c r="A29" s="12"/>
      <c r="B29" s="174"/>
      <c r="C29" s="175"/>
      <c r="D29" s="175"/>
      <c r="E29" s="175"/>
      <c r="F29" s="176"/>
      <c r="G29" s="107"/>
      <c r="H29" s="107"/>
      <c r="I29" s="165"/>
      <c r="J29" s="166"/>
      <c r="K29" s="167"/>
      <c r="L29" s="107"/>
      <c r="M29" s="107"/>
      <c r="N29" s="159"/>
      <c r="O29" s="160"/>
      <c r="P29" s="160"/>
      <c r="Q29" s="160"/>
      <c r="R29" s="160"/>
      <c r="S29" s="161"/>
      <c r="T29" s="107"/>
      <c r="U29" s="107"/>
      <c r="V29" s="165"/>
      <c r="W29" s="166"/>
      <c r="X29" s="167"/>
      <c r="Y29" s="107"/>
      <c r="Z29" s="107"/>
    </row>
    <row r="30" spans="1:26" ht="18" customHeight="1" x14ac:dyDescent="0.15">
      <c r="A30" s="12"/>
      <c r="B30" s="174"/>
      <c r="C30" s="175"/>
      <c r="D30" s="175"/>
      <c r="E30" s="175"/>
      <c r="F30" s="176"/>
      <c r="G30" s="107"/>
      <c r="H30" s="107"/>
      <c r="I30" s="165"/>
      <c r="J30" s="166"/>
      <c r="K30" s="167"/>
      <c r="L30" s="107"/>
      <c r="M30" s="107"/>
      <c r="N30" s="159"/>
      <c r="O30" s="160"/>
      <c r="P30" s="160"/>
      <c r="Q30" s="160"/>
      <c r="R30" s="160"/>
      <c r="S30" s="161"/>
      <c r="T30" s="107"/>
      <c r="U30" s="107"/>
      <c r="V30" s="165"/>
      <c r="W30" s="166"/>
      <c r="X30" s="167"/>
      <c r="Y30" s="107"/>
      <c r="Z30" s="107"/>
    </row>
    <row r="31" spans="1:26" ht="18" customHeight="1" x14ac:dyDescent="0.15">
      <c r="A31" s="12"/>
      <c r="B31" s="174"/>
      <c r="C31" s="175"/>
      <c r="D31" s="175"/>
      <c r="E31" s="175"/>
      <c r="F31" s="176"/>
      <c r="G31" s="107"/>
      <c r="H31" s="107"/>
      <c r="I31" s="165"/>
      <c r="J31" s="166"/>
      <c r="K31" s="167"/>
      <c r="L31" s="107"/>
      <c r="M31" s="107"/>
      <c r="N31" s="159"/>
      <c r="O31" s="160"/>
      <c r="P31" s="160"/>
      <c r="Q31" s="160"/>
      <c r="R31" s="160"/>
      <c r="S31" s="161"/>
      <c r="T31" s="107"/>
      <c r="U31" s="107"/>
      <c r="V31" s="165"/>
      <c r="W31" s="166"/>
      <c r="X31" s="167"/>
      <c r="Y31" s="107"/>
      <c r="Z31" s="107"/>
    </row>
    <row r="32" spans="1:26" ht="18" customHeight="1" x14ac:dyDescent="0.15">
      <c r="A32" s="12"/>
      <c r="B32" s="174"/>
      <c r="C32" s="175"/>
      <c r="D32" s="175"/>
      <c r="E32" s="175"/>
      <c r="F32" s="176"/>
      <c r="G32" s="107"/>
      <c r="H32" s="107"/>
      <c r="I32" s="165"/>
      <c r="J32" s="166"/>
      <c r="K32" s="167"/>
      <c r="L32" s="107"/>
      <c r="M32" s="107"/>
      <c r="N32" s="159"/>
      <c r="O32" s="160"/>
      <c r="P32" s="160"/>
      <c r="Q32" s="160"/>
      <c r="R32" s="160"/>
      <c r="S32" s="161"/>
      <c r="T32" s="107"/>
      <c r="U32" s="107"/>
      <c r="V32" s="165"/>
      <c r="W32" s="166"/>
      <c r="X32" s="167"/>
      <c r="Y32" s="107"/>
      <c r="Z32" s="107"/>
    </row>
    <row r="33" spans="1:26" ht="18" customHeight="1" x14ac:dyDescent="0.15">
      <c r="A33" s="12"/>
      <c r="B33" s="177"/>
      <c r="C33" s="178"/>
      <c r="D33" s="178"/>
      <c r="E33" s="178"/>
      <c r="F33" s="179"/>
      <c r="G33" s="108"/>
      <c r="H33" s="108"/>
      <c r="I33" s="168"/>
      <c r="J33" s="169"/>
      <c r="K33" s="170"/>
      <c r="L33" s="114"/>
      <c r="M33" s="114"/>
      <c r="N33" s="162"/>
      <c r="O33" s="163"/>
      <c r="P33" s="163"/>
      <c r="Q33" s="163"/>
      <c r="R33" s="163"/>
      <c r="S33" s="164"/>
      <c r="T33" s="108"/>
      <c r="U33" s="108"/>
      <c r="V33" s="168"/>
      <c r="W33" s="169"/>
      <c r="X33" s="170"/>
      <c r="Y33" s="114"/>
      <c r="Z33" s="114"/>
    </row>
    <row r="34" spans="1:26" ht="7.5" customHeight="1" x14ac:dyDescent="0.15">
      <c r="A34" s="23"/>
      <c r="B34" s="69"/>
      <c r="C34" s="69"/>
      <c r="D34" s="23"/>
      <c r="E34" s="23"/>
      <c r="F34" s="23"/>
      <c r="G34" s="23"/>
      <c r="H34" s="23"/>
      <c r="I34" s="23"/>
      <c r="J34" s="23"/>
      <c r="K34" s="23"/>
      <c r="L34" s="69"/>
      <c r="M34" s="69"/>
      <c r="N34" s="69"/>
      <c r="O34" s="69"/>
      <c r="P34" s="69"/>
      <c r="Q34" s="69"/>
      <c r="R34" s="69"/>
      <c r="S34" s="69"/>
      <c r="T34" s="69"/>
      <c r="U34" s="69"/>
      <c r="V34" s="69"/>
      <c r="W34" s="69"/>
      <c r="X34" s="69"/>
      <c r="Y34" s="69"/>
      <c r="Z34" s="23"/>
    </row>
    <row r="35" spans="1:26" ht="18" customHeight="1" x14ac:dyDescent="0.15">
      <c r="A35" s="218" t="s">
        <v>134</v>
      </c>
      <c r="B35" s="218"/>
      <c r="C35" s="218"/>
      <c r="D35" s="218"/>
      <c r="E35" s="218"/>
      <c r="F35" s="218"/>
      <c r="G35" s="218"/>
      <c r="H35" s="218"/>
      <c r="I35" s="218"/>
      <c r="J35" s="218"/>
      <c r="K35" s="218"/>
      <c r="L35" s="218"/>
      <c r="M35" s="218"/>
      <c r="N35" s="218"/>
      <c r="O35" s="218"/>
      <c r="P35" s="218"/>
      <c r="Q35" s="218"/>
      <c r="R35" s="218"/>
      <c r="S35" s="218"/>
      <c r="T35" s="218"/>
      <c r="U35" s="218"/>
      <c r="V35" s="218"/>
      <c r="W35" s="218"/>
      <c r="X35" s="218"/>
      <c r="Y35" s="218"/>
      <c r="Z35" s="218"/>
    </row>
    <row r="36" spans="1:26" ht="18" customHeight="1" x14ac:dyDescent="0.15">
      <c r="A36" s="218"/>
      <c r="B36" s="218"/>
      <c r="C36" s="218"/>
      <c r="D36" s="218"/>
      <c r="E36" s="218"/>
      <c r="F36" s="218"/>
      <c r="G36" s="218"/>
      <c r="H36" s="218"/>
      <c r="I36" s="218"/>
      <c r="J36" s="218"/>
      <c r="K36" s="218"/>
      <c r="L36" s="218"/>
      <c r="M36" s="218"/>
      <c r="N36" s="218"/>
      <c r="O36" s="218"/>
      <c r="P36" s="218"/>
      <c r="Q36" s="218"/>
      <c r="R36" s="218"/>
      <c r="S36" s="218"/>
      <c r="T36" s="218"/>
      <c r="U36" s="218"/>
      <c r="V36" s="218"/>
      <c r="W36" s="218"/>
      <c r="X36" s="218"/>
      <c r="Y36" s="218"/>
      <c r="Z36" s="218"/>
    </row>
    <row r="37" spans="1:26" ht="18" customHeight="1" x14ac:dyDescent="0.15">
      <c r="A37" s="12"/>
      <c r="B37" s="171" t="s">
        <v>104</v>
      </c>
      <c r="C37" s="172"/>
      <c r="D37" s="172"/>
      <c r="E37" s="172"/>
      <c r="F37" s="173"/>
      <c r="G37" s="24" t="s">
        <v>146</v>
      </c>
      <c r="H37" s="105" t="s">
        <v>145</v>
      </c>
      <c r="I37" s="171" t="s">
        <v>105</v>
      </c>
      <c r="J37" s="172"/>
      <c r="K37" s="173"/>
      <c r="L37" s="68" t="s">
        <v>135</v>
      </c>
      <c r="M37" s="68" t="s">
        <v>136</v>
      </c>
      <c r="N37" s="171" t="s">
        <v>104</v>
      </c>
      <c r="O37" s="172"/>
      <c r="P37" s="172"/>
      <c r="Q37" s="172"/>
      <c r="R37" s="172"/>
      <c r="S37" s="173"/>
      <c r="T37" s="24" t="s">
        <v>146</v>
      </c>
      <c r="U37" s="105" t="s">
        <v>145</v>
      </c>
      <c r="V37" s="171" t="s">
        <v>105</v>
      </c>
      <c r="W37" s="172"/>
      <c r="X37" s="173"/>
      <c r="Y37" s="68" t="s">
        <v>135</v>
      </c>
      <c r="Z37" s="68" t="s">
        <v>136</v>
      </c>
    </row>
    <row r="38" spans="1:26" ht="18" customHeight="1" x14ac:dyDescent="0.15">
      <c r="A38" s="23"/>
      <c r="B38" s="181" t="s">
        <v>158</v>
      </c>
      <c r="C38" s="182"/>
      <c r="D38" s="182"/>
      <c r="E38" s="182"/>
      <c r="F38" s="183"/>
      <c r="G38" s="106">
        <v>2</v>
      </c>
      <c r="H38" s="106" t="s">
        <v>168</v>
      </c>
      <c r="I38" s="187" t="s">
        <v>169</v>
      </c>
      <c r="J38" s="188"/>
      <c r="K38" s="189"/>
      <c r="L38" s="106" t="s">
        <v>168</v>
      </c>
      <c r="M38" s="106" t="s">
        <v>168</v>
      </c>
      <c r="N38" s="156"/>
      <c r="O38" s="157"/>
      <c r="P38" s="157"/>
      <c r="Q38" s="157"/>
      <c r="R38" s="157"/>
      <c r="S38" s="158"/>
      <c r="T38" s="106"/>
      <c r="U38" s="106"/>
      <c r="V38" s="187"/>
      <c r="W38" s="188"/>
      <c r="X38" s="189"/>
      <c r="Y38" s="106"/>
      <c r="Z38" s="106"/>
    </row>
    <row r="39" spans="1:26" ht="18" customHeight="1" x14ac:dyDescent="0.15">
      <c r="A39" s="23"/>
      <c r="B39" s="174"/>
      <c r="C39" s="175"/>
      <c r="D39" s="175"/>
      <c r="E39" s="175"/>
      <c r="F39" s="176"/>
      <c r="G39" s="107"/>
      <c r="H39" s="107"/>
      <c r="I39" s="165"/>
      <c r="J39" s="166"/>
      <c r="K39" s="167"/>
      <c r="L39" s="107"/>
      <c r="M39" s="107"/>
      <c r="N39" s="159"/>
      <c r="O39" s="160"/>
      <c r="P39" s="160"/>
      <c r="Q39" s="160"/>
      <c r="R39" s="160"/>
      <c r="S39" s="161"/>
      <c r="T39" s="107"/>
      <c r="U39" s="107"/>
      <c r="V39" s="165"/>
      <c r="W39" s="166"/>
      <c r="X39" s="167"/>
      <c r="Y39" s="107"/>
      <c r="Z39" s="107"/>
    </row>
    <row r="40" spans="1:26" ht="18" customHeight="1" x14ac:dyDescent="0.15">
      <c r="A40" s="23"/>
      <c r="B40" s="174"/>
      <c r="C40" s="175"/>
      <c r="D40" s="175"/>
      <c r="E40" s="175"/>
      <c r="F40" s="176"/>
      <c r="G40" s="107"/>
      <c r="H40" s="107"/>
      <c r="I40" s="165"/>
      <c r="J40" s="166"/>
      <c r="K40" s="167"/>
      <c r="L40" s="107"/>
      <c r="M40" s="107"/>
      <c r="N40" s="159"/>
      <c r="O40" s="160"/>
      <c r="P40" s="160"/>
      <c r="Q40" s="160"/>
      <c r="R40" s="160"/>
      <c r="S40" s="161"/>
      <c r="T40" s="107"/>
      <c r="U40" s="107"/>
      <c r="V40" s="165"/>
      <c r="W40" s="166"/>
      <c r="X40" s="167"/>
      <c r="Y40" s="107"/>
      <c r="Z40" s="107"/>
    </row>
    <row r="41" spans="1:26" ht="18" customHeight="1" x14ac:dyDescent="0.15">
      <c r="A41" s="23"/>
      <c r="B41" s="174"/>
      <c r="C41" s="175"/>
      <c r="D41" s="175"/>
      <c r="E41" s="175"/>
      <c r="F41" s="176"/>
      <c r="G41" s="107"/>
      <c r="H41" s="107"/>
      <c r="I41" s="165"/>
      <c r="J41" s="166"/>
      <c r="K41" s="167"/>
      <c r="L41" s="107"/>
      <c r="M41" s="107"/>
      <c r="N41" s="159"/>
      <c r="O41" s="160"/>
      <c r="P41" s="160"/>
      <c r="Q41" s="160"/>
      <c r="R41" s="160"/>
      <c r="S41" s="161"/>
      <c r="T41" s="107"/>
      <c r="U41" s="107"/>
      <c r="V41" s="165"/>
      <c r="W41" s="166"/>
      <c r="X41" s="167"/>
      <c r="Y41" s="107"/>
      <c r="Z41" s="107"/>
    </row>
    <row r="42" spans="1:26" ht="18" customHeight="1" x14ac:dyDescent="0.15">
      <c r="A42" s="23"/>
      <c r="B42" s="174"/>
      <c r="C42" s="175"/>
      <c r="D42" s="175"/>
      <c r="E42" s="175"/>
      <c r="F42" s="176"/>
      <c r="G42" s="107"/>
      <c r="H42" s="107"/>
      <c r="I42" s="165"/>
      <c r="J42" s="166"/>
      <c r="K42" s="167"/>
      <c r="L42" s="107"/>
      <c r="M42" s="107"/>
      <c r="N42" s="159"/>
      <c r="O42" s="160"/>
      <c r="P42" s="160"/>
      <c r="Q42" s="160"/>
      <c r="R42" s="160"/>
      <c r="S42" s="161"/>
      <c r="T42" s="107"/>
      <c r="U42" s="107"/>
      <c r="V42" s="165"/>
      <c r="W42" s="166"/>
      <c r="X42" s="167"/>
      <c r="Y42" s="107"/>
      <c r="Z42" s="107"/>
    </row>
    <row r="43" spans="1:26" ht="18" customHeight="1" x14ac:dyDescent="0.15">
      <c r="A43" s="23"/>
      <c r="B43" s="174"/>
      <c r="C43" s="175"/>
      <c r="D43" s="175"/>
      <c r="E43" s="175"/>
      <c r="F43" s="176"/>
      <c r="G43" s="107"/>
      <c r="H43" s="107"/>
      <c r="I43" s="165"/>
      <c r="J43" s="166"/>
      <c r="K43" s="167"/>
      <c r="L43" s="107"/>
      <c r="M43" s="107"/>
      <c r="N43" s="159"/>
      <c r="O43" s="160"/>
      <c r="P43" s="160"/>
      <c r="Q43" s="160"/>
      <c r="R43" s="160"/>
      <c r="S43" s="161"/>
      <c r="T43" s="107"/>
      <c r="U43" s="107"/>
      <c r="V43" s="165"/>
      <c r="W43" s="166"/>
      <c r="X43" s="167"/>
      <c r="Y43" s="107"/>
      <c r="Z43" s="107"/>
    </row>
    <row r="44" spans="1:26" ht="18" customHeight="1" x14ac:dyDescent="0.15">
      <c r="A44" s="23"/>
      <c r="B44" s="177"/>
      <c r="C44" s="178"/>
      <c r="D44" s="178"/>
      <c r="E44" s="178"/>
      <c r="F44" s="179"/>
      <c r="G44" s="108"/>
      <c r="H44" s="108"/>
      <c r="I44" s="168"/>
      <c r="J44" s="169"/>
      <c r="K44" s="170"/>
      <c r="L44" s="114"/>
      <c r="M44" s="114"/>
      <c r="N44" s="162"/>
      <c r="O44" s="163"/>
      <c r="P44" s="163"/>
      <c r="Q44" s="163"/>
      <c r="R44" s="163"/>
      <c r="S44" s="164"/>
      <c r="T44" s="108"/>
      <c r="U44" s="108"/>
      <c r="V44" s="168"/>
      <c r="W44" s="169"/>
      <c r="X44" s="170"/>
      <c r="Y44" s="114"/>
      <c r="Z44" s="114"/>
    </row>
    <row r="45" spans="1:26" ht="7.5" customHeight="1" x14ac:dyDescent="0.15">
      <c r="B45" s="70"/>
      <c r="C45" s="70"/>
      <c r="D45" s="70"/>
      <c r="E45" s="70"/>
      <c r="F45" s="70"/>
      <c r="G45" s="70"/>
      <c r="H45" s="70"/>
      <c r="I45" s="70"/>
      <c r="J45" s="70"/>
      <c r="K45" s="70"/>
      <c r="L45" s="70"/>
      <c r="M45" s="70"/>
      <c r="N45" s="70"/>
      <c r="O45" s="70"/>
      <c r="P45" s="70"/>
      <c r="Q45" s="70"/>
      <c r="R45" s="70"/>
      <c r="S45" s="70"/>
      <c r="T45" s="70"/>
      <c r="U45" s="70"/>
      <c r="V45" s="70"/>
      <c r="W45" s="70"/>
      <c r="X45" s="70"/>
      <c r="Y45" s="70"/>
    </row>
    <row r="46" spans="1:26" ht="18" customHeight="1" x14ac:dyDescent="0.15">
      <c r="A46" s="218" t="s">
        <v>137</v>
      </c>
      <c r="B46" s="218"/>
      <c r="C46" s="218"/>
      <c r="D46" s="218"/>
      <c r="E46" s="218"/>
      <c r="F46" s="218"/>
      <c r="G46" s="218"/>
      <c r="H46" s="218"/>
      <c r="I46" s="218"/>
      <c r="J46" s="218"/>
      <c r="K46" s="218"/>
      <c r="L46" s="218"/>
      <c r="M46" s="218"/>
      <c r="N46" s="218"/>
      <c r="O46" s="218"/>
      <c r="P46" s="218"/>
      <c r="Q46" s="218"/>
      <c r="R46" s="218"/>
      <c r="S46" s="218"/>
      <c r="T46" s="218"/>
      <c r="U46" s="218"/>
      <c r="V46" s="218"/>
      <c r="W46" s="218"/>
      <c r="X46" s="218"/>
      <c r="Y46" s="218"/>
      <c r="Z46" s="218"/>
    </row>
    <row r="47" spans="1:26" ht="18" customHeight="1" x14ac:dyDescent="0.15">
      <c r="A47" s="218"/>
      <c r="B47" s="218"/>
      <c r="C47" s="218"/>
      <c r="D47" s="218"/>
      <c r="E47" s="218"/>
      <c r="F47" s="218"/>
      <c r="G47" s="218"/>
      <c r="H47" s="218"/>
      <c r="I47" s="218"/>
      <c r="J47" s="218"/>
      <c r="K47" s="218"/>
      <c r="L47" s="218"/>
      <c r="M47" s="218"/>
      <c r="N47" s="218"/>
      <c r="O47" s="218"/>
      <c r="P47" s="218"/>
      <c r="Q47" s="218"/>
      <c r="R47" s="218"/>
      <c r="S47" s="218"/>
      <c r="T47" s="218"/>
      <c r="U47" s="218"/>
      <c r="V47" s="218"/>
      <c r="W47" s="218"/>
      <c r="X47" s="218"/>
      <c r="Y47" s="218"/>
      <c r="Z47" s="218"/>
    </row>
    <row r="48" spans="1:26" ht="18" customHeight="1" x14ac:dyDescent="0.15">
      <c r="A48" s="12"/>
      <c r="B48" s="171" t="s">
        <v>104</v>
      </c>
      <c r="C48" s="172"/>
      <c r="D48" s="172"/>
      <c r="E48" s="172"/>
      <c r="F48" s="173"/>
      <c r="G48" s="24" t="s">
        <v>146</v>
      </c>
      <c r="H48" s="105" t="s">
        <v>145</v>
      </c>
      <c r="I48" s="171" t="s">
        <v>105</v>
      </c>
      <c r="J48" s="172"/>
      <c r="K48" s="173"/>
      <c r="L48" s="68" t="s">
        <v>110</v>
      </c>
      <c r="M48" s="68" t="s">
        <v>112</v>
      </c>
      <c r="N48" s="171" t="s">
        <v>104</v>
      </c>
      <c r="O48" s="172"/>
      <c r="P48" s="172"/>
      <c r="Q48" s="172"/>
      <c r="R48" s="172"/>
      <c r="S48" s="173"/>
      <c r="T48" s="24" t="s">
        <v>146</v>
      </c>
      <c r="U48" s="105" t="s">
        <v>145</v>
      </c>
      <c r="V48" s="171" t="s">
        <v>105</v>
      </c>
      <c r="W48" s="172"/>
      <c r="X48" s="173"/>
      <c r="Y48" s="68" t="s">
        <v>110</v>
      </c>
      <c r="Z48" s="68" t="s">
        <v>112</v>
      </c>
    </row>
    <row r="49" spans="1:26" ht="18" customHeight="1" x14ac:dyDescent="0.15">
      <c r="A49" s="23"/>
      <c r="B49" s="181" t="s">
        <v>158</v>
      </c>
      <c r="C49" s="182"/>
      <c r="D49" s="182"/>
      <c r="E49" s="182"/>
      <c r="F49" s="183"/>
      <c r="G49" s="106">
        <v>2</v>
      </c>
      <c r="H49" s="106" t="s">
        <v>168</v>
      </c>
      <c r="I49" s="187" t="s">
        <v>169</v>
      </c>
      <c r="J49" s="188"/>
      <c r="K49" s="189"/>
      <c r="L49" s="106" t="s">
        <v>168</v>
      </c>
      <c r="M49" s="106" t="s">
        <v>168</v>
      </c>
      <c r="N49" s="156"/>
      <c r="O49" s="157"/>
      <c r="P49" s="157"/>
      <c r="Q49" s="157"/>
      <c r="R49" s="157"/>
      <c r="S49" s="158"/>
      <c r="T49" s="106"/>
      <c r="U49" s="106"/>
      <c r="V49" s="187"/>
      <c r="W49" s="188"/>
      <c r="X49" s="189"/>
      <c r="Y49" s="106"/>
      <c r="Z49" s="106"/>
    </row>
    <row r="50" spans="1:26" ht="18" customHeight="1" x14ac:dyDescent="0.15">
      <c r="A50" s="23"/>
      <c r="B50" s="174"/>
      <c r="C50" s="175"/>
      <c r="D50" s="175"/>
      <c r="E50" s="175"/>
      <c r="F50" s="176"/>
      <c r="G50" s="107"/>
      <c r="H50" s="107"/>
      <c r="I50" s="165"/>
      <c r="J50" s="166"/>
      <c r="K50" s="167"/>
      <c r="L50" s="107"/>
      <c r="M50" s="107"/>
      <c r="N50" s="159"/>
      <c r="O50" s="160"/>
      <c r="P50" s="160"/>
      <c r="Q50" s="160"/>
      <c r="R50" s="160"/>
      <c r="S50" s="161"/>
      <c r="T50" s="107"/>
      <c r="U50" s="107"/>
      <c r="V50" s="165"/>
      <c r="W50" s="166"/>
      <c r="X50" s="167"/>
      <c r="Y50" s="107"/>
      <c r="Z50" s="107"/>
    </row>
    <row r="51" spans="1:26" ht="18" customHeight="1" x14ac:dyDescent="0.15">
      <c r="A51" s="23"/>
      <c r="B51" s="174"/>
      <c r="C51" s="175"/>
      <c r="D51" s="175"/>
      <c r="E51" s="175"/>
      <c r="F51" s="176"/>
      <c r="G51" s="107"/>
      <c r="H51" s="107"/>
      <c r="I51" s="165"/>
      <c r="J51" s="166"/>
      <c r="K51" s="167"/>
      <c r="L51" s="107"/>
      <c r="M51" s="107"/>
      <c r="N51" s="159"/>
      <c r="O51" s="160"/>
      <c r="P51" s="160"/>
      <c r="Q51" s="160"/>
      <c r="R51" s="160"/>
      <c r="S51" s="161"/>
      <c r="T51" s="107"/>
      <c r="U51" s="107"/>
      <c r="V51" s="165"/>
      <c r="W51" s="166"/>
      <c r="X51" s="167"/>
      <c r="Y51" s="107"/>
      <c r="Z51" s="107"/>
    </row>
    <row r="52" spans="1:26" ht="18" customHeight="1" x14ac:dyDescent="0.15">
      <c r="A52" s="23"/>
      <c r="B52" s="174"/>
      <c r="C52" s="175"/>
      <c r="D52" s="175"/>
      <c r="E52" s="175"/>
      <c r="F52" s="176"/>
      <c r="G52" s="107"/>
      <c r="H52" s="107"/>
      <c r="I52" s="165"/>
      <c r="J52" s="166"/>
      <c r="K52" s="167"/>
      <c r="L52" s="107"/>
      <c r="M52" s="107"/>
      <c r="N52" s="159"/>
      <c r="O52" s="160"/>
      <c r="P52" s="160"/>
      <c r="Q52" s="160"/>
      <c r="R52" s="160"/>
      <c r="S52" s="161"/>
      <c r="T52" s="107"/>
      <c r="U52" s="107"/>
      <c r="V52" s="165"/>
      <c r="W52" s="166"/>
      <c r="X52" s="167"/>
      <c r="Y52" s="107"/>
      <c r="Z52" s="107"/>
    </row>
    <row r="53" spans="1:26" ht="18" customHeight="1" x14ac:dyDescent="0.15">
      <c r="A53" s="23"/>
      <c r="B53" s="174"/>
      <c r="C53" s="175"/>
      <c r="D53" s="175"/>
      <c r="E53" s="175"/>
      <c r="F53" s="176"/>
      <c r="G53" s="107"/>
      <c r="H53" s="107"/>
      <c r="I53" s="165"/>
      <c r="J53" s="166"/>
      <c r="K53" s="167"/>
      <c r="L53" s="107"/>
      <c r="M53" s="107"/>
      <c r="N53" s="159"/>
      <c r="O53" s="160"/>
      <c r="P53" s="160"/>
      <c r="Q53" s="160"/>
      <c r="R53" s="160"/>
      <c r="S53" s="161"/>
      <c r="T53" s="107"/>
      <c r="U53" s="107"/>
      <c r="V53" s="165"/>
      <c r="W53" s="166"/>
      <c r="X53" s="167"/>
      <c r="Y53" s="107"/>
      <c r="Z53" s="107"/>
    </row>
    <row r="54" spans="1:26" ht="18" customHeight="1" x14ac:dyDescent="0.15">
      <c r="A54" s="23"/>
      <c r="B54" s="174"/>
      <c r="C54" s="175"/>
      <c r="D54" s="175"/>
      <c r="E54" s="175"/>
      <c r="F54" s="176"/>
      <c r="G54" s="107"/>
      <c r="H54" s="107"/>
      <c r="I54" s="165"/>
      <c r="J54" s="166"/>
      <c r="K54" s="167"/>
      <c r="L54" s="107"/>
      <c r="M54" s="107"/>
      <c r="N54" s="159"/>
      <c r="O54" s="160"/>
      <c r="P54" s="160"/>
      <c r="Q54" s="160"/>
      <c r="R54" s="160"/>
      <c r="S54" s="161"/>
      <c r="T54" s="107"/>
      <c r="U54" s="107"/>
      <c r="V54" s="165"/>
      <c r="W54" s="166"/>
      <c r="X54" s="167"/>
      <c r="Y54" s="107"/>
      <c r="Z54" s="107"/>
    </row>
    <row r="55" spans="1:26" ht="18" customHeight="1" x14ac:dyDescent="0.15">
      <c r="A55" s="23"/>
      <c r="B55" s="177"/>
      <c r="C55" s="178"/>
      <c r="D55" s="178"/>
      <c r="E55" s="178"/>
      <c r="F55" s="179"/>
      <c r="G55" s="108"/>
      <c r="H55" s="108"/>
      <c r="I55" s="168"/>
      <c r="J55" s="169"/>
      <c r="K55" s="170"/>
      <c r="L55" s="114"/>
      <c r="M55" s="114"/>
      <c r="N55" s="162"/>
      <c r="O55" s="163"/>
      <c r="P55" s="163"/>
      <c r="Q55" s="163"/>
      <c r="R55" s="163"/>
      <c r="S55" s="164"/>
      <c r="T55" s="108"/>
      <c r="U55" s="108"/>
      <c r="V55" s="168"/>
      <c r="W55" s="169"/>
      <c r="X55" s="170"/>
      <c r="Y55" s="114"/>
      <c r="Z55" s="114"/>
    </row>
    <row r="56" spans="1:26" ht="7.5" customHeight="1" x14ac:dyDescent="0.15">
      <c r="B56" s="70"/>
      <c r="C56" s="70"/>
      <c r="D56" s="70"/>
      <c r="E56" s="70"/>
      <c r="F56" s="70"/>
      <c r="G56" s="70"/>
      <c r="H56" s="70"/>
      <c r="I56" s="70"/>
      <c r="J56" s="70"/>
      <c r="K56" s="70"/>
      <c r="L56" s="70"/>
      <c r="M56" s="70"/>
      <c r="N56" s="70"/>
      <c r="O56" s="70"/>
      <c r="P56" s="70"/>
      <c r="Q56" s="70"/>
      <c r="R56" s="70"/>
      <c r="S56" s="70"/>
      <c r="T56" s="70"/>
      <c r="U56" s="70"/>
      <c r="V56" s="70"/>
      <c r="W56" s="70"/>
      <c r="X56" s="70"/>
      <c r="Y56" s="70"/>
    </row>
    <row r="57" spans="1:26" ht="18" customHeight="1" x14ac:dyDescent="0.15">
      <c r="A57" s="218" t="s">
        <v>138</v>
      </c>
      <c r="B57" s="218"/>
      <c r="C57" s="218"/>
      <c r="D57" s="218"/>
      <c r="E57" s="218"/>
      <c r="F57" s="218"/>
      <c r="G57" s="218"/>
      <c r="H57" s="218"/>
      <c r="I57" s="218"/>
      <c r="J57" s="218"/>
      <c r="K57" s="218"/>
      <c r="L57" s="218"/>
      <c r="M57" s="218"/>
      <c r="N57" s="218"/>
      <c r="O57" s="218"/>
      <c r="P57" s="218"/>
      <c r="Q57" s="218"/>
      <c r="R57" s="218"/>
      <c r="S57" s="218"/>
      <c r="T57" s="218"/>
      <c r="U57" s="218"/>
      <c r="V57" s="218"/>
      <c r="W57" s="218"/>
      <c r="X57" s="218"/>
      <c r="Y57" s="218"/>
      <c r="Z57" s="218"/>
    </row>
    <row r="58" spans="1:26" ht="18" customHeight="1" x14ac:dyDescent="0.15">
      <c r="A58" s="218"/>
      <c r="B58" s="218"/>
      <c r="C58" s="218"/>
      <c r="D58" s="218"/>
      <c r="E58" s="218"/>
      <c r="F58" s="218"/>
      <c r="G58" s="218"/>
      <c r="H58" s="218"/>
      <c r="I58" s="218"/>
      <c r="J58" s="218"/>
      <c r="K58" s="218"/>
      <c r="L58" s="218"/>
      <c r="M58" s="218"/>
      <c r="N58" s="218"/>
      <c r="O58" s="218"/>
      <c r="P58" s="218"/>
      <c r="Q58" s="218"/>
      <c r="R58" s="218"/>
      <c r="S58" s="218"/>
      <c r="T58" s="218"/>
      <c r="U58" s="218"/>
      <c r="V58" s="218"/>
      <c r="W58" s="218"/>
      <c r="X58" s="218"/>
      <c r="Y58" s="218"/>
      <c r="Z58" s="218"/>
    </row>
    <row r="59" spans="1:26" ht="18" customHeight="1" x14ac:dyDescent="0.15">
      <c r="A59" s="12"/>
      <c r="B59" s="171" t="s">
        <v>104</v>
      </c>
      <c r="C59" s="172"/>
      <c r="D59" s="172"/>
      <c r="E59" s="173"/>
      <c r="F59" s="24" t="s">
        <v>146</v>
      </c>
      <c r="G59" s="105" t="s">
        <v>145</v>
      </c>
      <c r="H59" s="100" t="s">
        <v>105</v>
      </c>
      <c r="I59" s="101"/>
      <c r="J59" s="102"/>
      <c r="K59" s="68" t="s">
        <v>109</v>
      </c>
      <c r="L59" s="68" t="s">
        <v>139</v>
      </c>
      <c r="M59" s="68" t="s">
        <v>140</v>
      </c>
      <c r="N59" s="171" t="s">
        <v>104</v>
      </c>
      <c r="O59" s="172"/>
      <c r="P59" s="172"/>
      <c r="Q59" s="172"/>
      <c r="R59" s="173"/>
      <c r="S59" s="24" t="s">
        <v>146</v>
      </c>
      <c r="T59" s="105" t="s">
        <v>145</v>
      </c>
      <c r="U59" s="100" t="s">
        <v>105</v>
      </c>
      <c r="V59" s="101"/>
      <c r="W59" s="102"/>
      <c r="X59" s="68" t="s">
        <v>109</v>
      </c>
      <c r="Y59" s="68" t="s">
        <v>139</v>
      </c>
      <c r="Z59" s="68" t="s">
        <v>140</v>
      </c>
    </row>
    <row r="60" spans="1:26" ht="18" customHeight="1" x14ac:dyDescent="0.15">
      <c r="A60" s="23"/>
      <c r="B60" s="156" t="s">
        <v>158</v>
      </c>
      <c r="C60" s="157"/>
      <c r="D60" s="157"/>
      <c r="E60" s="158"/>
      <c r="F60" s="106">
        <v>2</v>
      </c>
      <c r="G60" s="106" t="s">
        <v>168</v>
      </c>
      <c r="H60" s="187" t="s">
        <v>169</v>
      </c>
      <c r="I60" s="188"/>
      <c r="J60" s="189"/>
      <c r="K60" s="115" t="s">
        <v>170</v>
      </c>
      <c r="L60" s="106" t="s">
        <v>168</v>
      </c>
      <c r="M60" s="106" t="s">
        <v>168</v>
      </c>
      <c r="N60" s="156"/>
      <c r="O60" s="157"/>
      <c r="P60" s="157"/>
      <c r="Q60" s="157"/>
      <c r="R60" s="158"/>
      <c r="S60" s="106"/>
      <c r="T60" s="106"/>
      <c r="U60" s="187"/>
      <c r="V60" s="188"/>
      <c r="W60" s="189"/>
      <c r="X60" s="113"/>
      <c r="Y60" s="106"/>
      <c r="Z60" s="106"/>
    </row>
    <row r="61" spans="1:26" ht="18" customHeight="1" x14ac:dyDescent="0.15">
      <c r="A61" s="23"/>
      <c r="B61" s="159"/>
      <c r="C61" s="160"/>
      <c r="D61" s="160"/>
      <c r="E61" s="161"/>
      <c r="F61" s="107"/>
      <c r="G61" s="107"/>
      <c r="H61" s="165"/>
      <c r="I61" s="166"/>
      <c r="J61" s="167"/>
      <c r="K61" s="111"/>
      <c r="L61" s="107"/>
      <c r="M61" s="107"/>
      <c r="N61" s="159"/>
      <c r="O61" s="160"/>
      <c r="P61" s="160"/>
      <c r="Q61" s="160"/>
      <c r="R61" s="161"/>
      <c r="S61" s="107"/>
      <c r="T61" s="107"/>
      <c r="U61" s="165"/>
      <c r="V61" s="166"/>
      <c r="W61" s="167"/>
      <c r="X61" s="111"/>
      <c r="Y61" s="107"/>
      <c r="Z61" s="107"/>
    </row>
    <row r="62" spans="1:26" ht="18" customHeight="1" x14ac:dyDescent="0.15">
      <c r="A62" s="23"/>
      <c r="B62" s="159"/>
      <c r="C62" s="160"/>
      <c r="D62" s="160"/>
      <c r="E62" s="161"/>
      <c r="F62" s="107"/>
      <c r="G62" s="107"/>
      <c r="H62" s="165"/>
      <c r="I62" s="166"/>
      <c r="J62" s="167"/>
      <c r="K62" s="111"/>
      <c r="L62" s="107"/>
      <c r="M62" s="107"/>
      <c r="N62" s="159"/>
      <c r="O62" s="160"/>
      <c r="P62" s="160"/>
      <c r="Q62" s="160"/>
      <c r="R62" s="161"/>
      <c r="S62" s="107"/>
      <c r="T62" s="107"/>
      <c r="U62" s="165"/>
      <c r="V62" s="166"/>
      <c r="W62" s="167"/>
      <c r="X62" s="111"/>
      <c r="Y62" s="107"/>
      <c r="Z62" s="107"/>
    </row>
    <row r="63" spans="1:26" ht="18" customHeight="1" x14ac:dyDescent="0.15">
      <c r="A63" s="23"/>
      <c r="B63" s="159"/>
      <c r="C63" s="160"/>
      <c r="D63" s="160"/>
      <c r="E63" s="161"/>
      <c r="F63" s="107"/>
      <c r="G63" s="107"/>
      <c r="H63" s="165"/>
      <c r="I63" s="166"/>
      <c r="J63" s="167"/>
      <c r="K63" s="111"/>
      <c r="L63" s="107"/>
      <c r="M63" s="107"/>
      <c r="N63" s="159"/>
      <c r="O63" s="160"/>
      <c r="P63" s="160"/>
      <c r="Q63" s="160"/>
      <c r="R63" s="161"/>
      <c r="S63" s="107"/>
      <c r="T63" s="107"/>
      <c r="U63" s="165"/>
      <c r="V63" s="166"/>
      <c r="W63" s="167"/>
      <c r="X63" s="111"/>
      <c r="Y63" s="107"/>
      <c r="Z63" s="107"/>
    </row>
    <row r="64" spans="1:26" ht="18" customHeight="1" x14ac:dyDescent="0.15">
      <c r="A64" s="23"/>
      <c r="B64" s="159"/>
      <c r="C64" s="160"/>
      <c r="D64" s="160"/>
      <c r="E64" s="161"/>
      <c r="F64" s="107"/>
      <c r="G64" s="107"/>
      <c r="H64" s="165"/>
      <c r="I64" s="166"/>
      <c r="J64" s="167"/>
      <c r="K64" s="111"/>
      <c r="L64" s="107"/>
      <c r="M64" s="107"/>
      <c r="N64" s="159"/>
      <c r="O64" s="160"/>
      <c r="P64" s="160"/>
      <c r="Q64" s="160"/>
      <c r="R64" s="161"/>
      <c r="S64" s="107"/>
      <c r="T64" s="107"/>
      <c r="U64" s="165"/>
      <c r="V64" s="166"/>
      <c r="W64" s="167"/>
      <c r="X64" s="111"/>
      <c r="Y64" s="107"/>
      <c r="Z64" s="107"/>
    </row>
    <row r="65" spans="1:26" ht="18" customHeight="1" x14ac:dyDescent="0.15">
      <c r="A65" s="23"/>
      <c r="B65" s="159"/>
      <c r="C65" s="160"/>
      <c r="D65" s="160"/>
      <c r="E65" s="161"/>
      <c r="F65" s="107"/>
      <c r="G65" s="107"/>
      <c r="H65" s="165"/>
      <c r="I65" s="166"/>
      <c r="J65" s="167"/>
      <c r="K65" s="111"/>
      <c r="L65" s="107"/>
      <c r="M65" s="107"/>
      <c r="N65" s="159"/>
      <c r="O65" s="160"/>
      <c r="P65" s="160"/>
      <c r="Q65" s="160"/>
      <c r="R65" s="161"/>
      <c r="S65" s="107"/>
      <c r="T65" s="107"/>
      <c r="U65" s="165"/>
      <c r="V65" s="166"/>
      <c r="W65" s="167"/>
      <c r="X65" s="111"/>
      <c r="Y65" s="107"/>
      <c r="Z65" s="107"/>
    </row>
    <row r="66" spans="1:26" ht="18" customHeight="1" x14ac:dyDescent="0.15">
      <c r="A66" s="23"/>
      <c r="B66" s="162"/>
      <c r="C66" s="163"/>
      <c r="D66" s="163"/>
      <c r="E66" s="164"/>
      <c r="F66" s="108"/>
      <c r="G66" s="108"/>
      <c r="H66" s="168"/>
      <c r="I66" s="169"/>
      <c r="J66" s="170"/>
      <c r="K66" s="112"/>
      <c r="L66" s="114"/>
      <c r="M66" s="114"/>
      <c r="N66" s="162"/>
      <c r="O66" s="163"/>
      <c r="P66" s="163"/>
      <c r="Q66" s="163"/>
      <c r="R66" s="164"/>
      <c r="S66" s="108"/>
      <c r="T66" s="108"/>
      <c r="U66" s="168"/>
      <c r="V66" s="169"/>
      <c r="W66" s="170"/>
      <c r="X66" s="112"/>
      <c r="Y66" s="114"/>
      <c r="Z66" s="114"/>
    </row>
    <row r="67" spans="1:26" ht="7.5" customHeight="1" x14ac:dyDescent="0.15">
      <c r="B67" s="70"/>
      <c r="C67" s="70"/>
      <c r="D67" s="70"/>
      <c r="E67" s="70"/>
      <c r="F67" s="70"/>
      <c r="G67" s="70"/>
      <c r="H67" s="70"/>
      <c r="I67" s="70"/>
      <c r="J67" s="70"/>
      <c r="K67" s="70"/>
      <c r="L67" s="70"/>
      <c r="M67" s="70"/>
      <c r="N67" s="70"/>
      <c r="O67" s="70"/>
      <c r="P67" s="70"/>
      <c r="Q67" s="70"/>
      <c r="R67" s="70"/>
      <c r="S67" s="70"/>
      <c r="T67" s="70"/>
      <c r="U67" s="70"/>
      <c r="V67" s="70"/>
      <c r="W67" s="70"/>
      <c r="X67" s="70"/>
      <c r="Y67" s="70"/>
    </row>
    <row r="68" spans="1:26" ht="18" customHeight="1" x14ac:dyDescent="0.15">
      <c r="A68" s="12" t="s">
        <v>141</v>
      </c>
      <c r="B68" s="12"/>
      <c r="C68" s="12"/>
      <c r="D68" s="12"/>
      <c r="E68" s="12"/>
      <c r="F68" s="12"/>
      <c r="G68" s="12"/>
      <c r="H68" s="12"/>
      <c r="I68" s="12"/>
      <c r="J68" s="12"/>
      <c r="K68" s="12"/>
      <c r="L68" s="23"/>
      <c r="M68" s="23"/>
      <c r="N68" s="23"/>
      <c r="O68" s="23"/>
      <c r="P68" s="23"/>
      <c r="Q68" s="23"/>
      <c r="R68" s="23"/>
      <c r="S68" s="23"/>
      <c r="T68" s="23"/>
      <c r="U68" s="23"/>
      <c r="V68" s="23"/>
      <c r="W68" s="23"/>
      <c r="X68" s="23"/>
      <c r="Y68" s="23"/>
      <c r="Z68" s="23"/>
    </row>
    <row r="69" spans="1:26" ht="18" customHeight="1" x14ac:dyDescent="0.15">
      <c r="A69" s="12"/>
      <c r="B69" s="171" t="s">
        <v>104</v>
      </c>
      <c r="C69" s="172"/>
      <c r="D69" s="172"/>
      <c r="E69" s="172"/>
      <c r="F69" s="173"/>
      <c r="G69" s="171" t="s">
        <v>151</v>
      </c>
      <c r="H69" s="172"/>
      <c r="I69" s="172"/>
      <c r="J69" s="172"/>
      <c r="K69" s="172"/>
      <c r="L69" s="172"/>
      <c r="M69" s="173"/>
      <c r="N69" s="184" t="s">
        <v>104</v>
      </c>
      <c r="O69" s="185"/>
      <c r="P69" s="185"/>
      <c r="Q69" s="185"/>
      <c r="R69" s="185"/>
      <c r="S69" s="186"/>
      <c r="T69" s="171" t="s">
        <v>151</v>
      </c>
      <c r="U69" s="172"/>
      <c r="V69" s="172"/>
      <c r="W69" s="172"/>
      <c r="X69" s="172"/>
      <c r="Y69" s="172"/>
      <c r="Z69" s="173"/>
    </row>
    <row r="70" spans="1:26" ht="18" customHeight="1" x14ac:dyDescent="0.15">
      <c r="A70" s="23"/>
      <c r="B70" s="156"/>
      <c r="C70" s="157"/>
      <c r="D70" s="157"/>
      <c r="E70" s="157"/>
      <c r="F70" s="158"/>
      <c r="G70" s="230"/>
      <c r="H70" s="231"/>
      <c r="I70" s="231"/>
      <c r="J70" s="231"/>
      <c r="K70" s="231"/>
      <c r="L70" s="231"/>
      <c r="M70" s="232"/>
      <c r="N70" s="156"/>
      <c r="O70" s="157"/>
      <c r="P70" s="157"/>
      <c r="Q70" s="157"/>
      <c r="R70" s="157"/>
      <c r="S70" s="158"/>
      <c r="T70" s="230"/>
      <c r="U70" s="231"/>
      <c r="V70" s="231"/>
      <c r="W70" s="231"/>
      <c r="X70" s="231"/>
      <c r="Y70" s="231"/>
      <c r="Z70" s="232"/>
    </row>
    <row r="71" spans="1:26" ht="18" customHeight="1" x14ac:dyDescent="0.15">
      <c r="A71" s="23"/>
      <c r="B71" s="159"/>
      <c r="C71" s="160"/>
      <c r="D71" s="160"/>
      <c r="E71" s="160"/>
      <c r="F71" s="161"/>
      <c r="G71" s="203"/>
      <c r="H71" s="204"/>
      <c r="I71" s="204"/>
      <c r="J71" s="204"/>
      <c r="K71" s="204"/>
      <c r="L71" s="204"/>
      <c r="M71" s="205"/>
      <c r="N71" s="159"/>
      <c r="O71" s="160"/>
      <c r="P71" s="160"/>
      <c r="Q71" s="160"/>
      <c r="R71" s="160"/>
      <c r="S71" s="161"/>
      <c r="T71" s="203"/>
      <c r="U71" s="204"/>
      <c r="V71" s="204"/>
      <c r="W71" s="204"/>
      <c r="X71" s="204"/>
      <c r="Y71" s="204"/>
      <c r="Z71" s="205"/>
    </row>
    <row r="72" spans="1:26" ht="18" customHeight="1" x14ac:dyDescent="0.15">
      <c r="A72" s="23"/>
      <c r="B72" s="159"/>
      <c r="C72" s="160"/>
      <c r="D72" s="160"/>
      <c r="E72" s="160"/>
      <c r="F72" s="161"/>
      <c r="G72" s="203"/>
      <c r="H72" s="204"/>
      <c r="I72" s="204"/>
      <c r="J72" s="204"/>
      <c r="K72" s="204"/>
      <c r="L72" s="204"/>
      <c r="M72" s="205"/>
      <c r="N72" s="159"/>
      <c r="O72" s="160"/>
      <c r="P72" s="160"/>
      <c r="Q72" s="160"/>
      <c r="R72" s="160"/>
      <c r="S72" s="161"/>
      <c r="T72" s="203"/>
      <c r="U72" s="204"/>
      <c r="V72" s="204"/>
      <c r="W72" s="204"/>
      <c r="X72" s="204"/>
      <c r="Y72" s="204"/>
      <c r="Z72" s="205"/>
    </row>
    <row r="73" spans="1:26" ht="18" customHeight="1" x14ac:dyDescent="0.15">
      <c r="A73" s="23"/>
      <c r="B73" s="159"/>
      <c r="C73" s="160"/>
      <c r="D73" s="160"/>
      <c r="E73" s="160"/>
      <c r="F73" s="161"/>
      <c r="G73" s="203"/>
      <c r="H73" s="204"/>
      <c r="I73" s="204"/>
      <c r="J73" s="204"/>
      <c r="K73" s="204"/>
      <c r="L73" s="204"/>
      <c r="M73" s="205"/>
      <c r="N73" s="159"/>
      <c r="O73" s="160"/>
      <c r="P73" s="160"/>
      <c r="Q73" s="160"/>
      <c r="R73" s="160"/>
      <c r="S73" s="161"/>
      <c r="T73" s="203"/>
      <c r="U73" s="204"/>
      <c r="V73" s="204"/>
      <c r="W73" s="204"/>
      <c r="X73" s="204"/>
      <c r="Y73" s="204"/>
      <c r="Z73" s="205"/>
    </row>
    <row r="74" spans="1:26" ht="18" customHeight="1" x14ac:dyDescent="0.15">
      <c r="A74" s="23"/>
      <c r="B74" s="159"/>
      <c r="C74" s="160"/>
      <c r="D74" s="160"/>
      <c r="E74" s="160"/>
      <c r="F74" s="161"/>
      <c r="G74" s="203"/>
      <c r="H74" s="204"/>
      <c r="I74" s="204"/>
      <c r="J74" s="204"/>
      <c r="K74" s="204"/>
      <c r="L74" s="204"/>
      <c r="M74" s="205"/>
      <c r="N74" s="159"/>
      <c r="O74" s="160"/>
      <c r="P74" s="160"/>
      <c r="Q74" s="160"/>
      <c r="R74" s="160"/>
      <c r="S74" s="161"/>
      <c r="T74" s="203"/>
      <c r="U74" s="204"/>
      <c r="V74" s="204"/>
      <c r="W74" s="204"/>
      <c r="X74" s="204"/>
      <c r="Y74" s="204"/>
      <c r="Z74" s="205"/>
    </row>
    <row r="75" spans="1:26" ht="18" customHeight="1" x14ac:dyDescent="0.15">
      <c r="A75" s="23"/>
      <c r="B75" s="159"/>
      <c r="C75" s="160"/>
      <c r="D75" s="160"/>
      <c r="E75" s="160"/>
      <c r="F75" s="161"/>
      <c r="G75" s="203"/>
      <c r="H75" s="204"/>
      <c r="I75" s="204"/>
      <c r="J75" s="204"/>
      <c r="K75" s="204"/>
      <c r="L75" s="204"/>
      <c r="M75" s="205"/>
      <c r="N75" s="159"/>
      <c r="O75" s="160"/>
      <c r="P75" s="160"/>
      <c r="Q75" s="160"/>
      <c r="R75" s="160"/>
      <c r="S75" s="161"/>
      <c r="T75" s="203"/>
      <c r="U75" s="204"/>
      <c r="V75" s="204"/>
      <c r="W75" s="204"/>
      <c r="X75" s="204"/>
      <c r="Y75" s="204"/>
      <c r="Z75" s="205"/>
    </row>
    <row r="76" spans="1:26" ht="18" customHeight="1" x14ac:dyDescent="0.15">
      <c r="A76" s="23"/>
      <c r="B76" s="162"/>
      <c r="C76" s="163"/>
      <c r="D76" s="163"/>
      <c r="E76" s="163"/>
      <c r="F76" s="164"/>
      <c r="G76" s="200"/>
      <c r="H76" s="201"/>
      <c r="I76" s="201"/>
      <c r="J76" s="201"/>
      <c r="K76" s="201"/>
      <c r="L76" s="201"/>
      <c r="M76" s="202"/>
      <c r="N76" s="162"/>
      <c r="O76" s="163"/>
      <c r="P76" s="163"/>
      <c r="Q76" s="163"/>
      <c r="R76" s="163"/>
      <c r="S76" s="164"/>
      <c r="T76" s="200"/>
      <c r="U76" s="201"/>
      <c r="V76" s="201"/>
      <c r="W76" s="201"/>
      <c r="X76" s="201"/>
      <c r="Y76" s="201"/>
      <c r="Z76" s="202"/>
    </row>
    <row r="77" spans="1:26" ht="18" customHeight="1" x14ac:dyDescent="0.15">
      <c r="A77" s="23"/>
      <c r="B77" s="65"/>
      <c r="C77" s="65"/>
      <c r="D77" s="65"/>
      <c r="E77" s="65"/>
      <c r="F77" s="65"/>
      <c r="G77" s="10"/>
      <c r="H77" s="10"/>
      <c r="I77" s="10"/>
      <c r="J77" s="10"/>
      <c r="K77" s="10"/>
      <c r="L77" s="10"/>
      <c r="M77" s="10"/>
      <c r="N77" s="65"/>
      <c r="O77" s="65"/>
      <c r="P77" s="65"/>
      <c r="Q77" s="65"/>
      <c r="R77" s="65"/>
      <c r="S77" s="65"/>
      <c r="T77" s="10"/>
      <c r="U77" s="10"/>
      <c r="V77" s="10"/>
      <c r="W77" s="10"/>
      <c r="X77" s="10"/>
      <c r="Y77" s="10"/>
      <c r="Z77" s="10"/>
    </row>
    <row r="78" spans="1:26" ht="18.75" customHeight="1" x14ac:dyDescent="0.15">
      <c r="A78" s="11" t="s">
        <v>147</v>
      </c>
    </row>
    <row r="79" spans="1:26" ht="18.75" customHeight="1" x14ac:dyDescent="0.15">
      <c r="B79" s="71" t="s">
        <v>106</v>
      </c>
      <c r="C79" s="72"/>
      <c r="D79" s="253" t="s">
        <v>107</v>
      </c>
      <c r="E79" s="253"/>
      <c r="F79" s="253"/>
      <c r="G79" s="253"/>
      <c r="H79" s="253"/>
      <c r="I79" s="253"/>
      <c r="J79" s="253"/>
      <c r="K79" s="253"/>
      <c r="L79" s="253"/>
      <c r="M79" s="253"/>
      <c r="N79" s="253"/>
      <c r="O79" s="253"/>
      <c r="P79" s="253"/>
      <c r="Q79" s="253"/>
      <c r="R79" s="253"/>
      <c r="S79" s="253"/>
      <c r="T79" s="253"/>
      <c r="U79" s="253"/>
      <c r="V79" s="253"/>
      <c r="W79" s="253"/>
      <c r="X79" s="253"/>
      <c r="Y79" s="253"/>
      <c r="Z79" s="254"/>
    </row>
    <row r="80" spans="1:26" ht="78" customHeight="1" x14ac:dyDescent="0.15">
      <c r="B80" s="238" t="s">
        <v>113</v>
      </c>
      <c r="C80" s="78" t="s">
        <v>108</v>
      </c>
      <c r="D80" s="247" t="s">
        <v>186</v>
      </c>
      <c r="E80" s="248"/>
      <c r="F80" s="248"/>
      <c r="G80" s="248"/>
      <c r="H80" s="248"/>
      <c r="I80" s="248"/>
      <c r="J80" s="248"/>
      <c r="K80" s="248"/>
      <c r="L80" s="248"/>
      <c r="M80" s="248"/>
      <c r="N80" s="248"/>
      <c r="O80" s="248"/>
      <c r="P80" s="248"/>
      <c r="Q80" s="248"/>
      <c r="R80" s="248"/>
      <c r="S80" s="248"/>
      <c r="T80" s="248"/>
      <c r="U80" s="248"/>
      <c r="V80" s="248"/>
      <c r="W80" s="248"/>
      <c r="X80" s="248"/>
      <c r="Y80" s="248"/>
      <c r="Z80" s="249"/>
    </row>
    <row r="81" spans="1:26" ht="78" customHeight="1" x14ac:dyDescent="0.15">
      <c r="B81" s="239"/>
      <c r="C81" s="103" t="s">
        <v>142</v>
      </c>
      <c r="D81" s="206" t="s">
        <v>187</v>
      </c>
      <c r="E81" s="207"/>
      <c r="F81" s="207"/>
      <c r="G81" s="207"/>
      <c r="H81" s="207"/>
      <c r="I81" s="207"/>
      <c r="J81" s="207"/>
      <c r="K81" s="207"/>
      <c r="L81" s="207"/>
      <c r="M81" s="207"/>
      <c r="N81" s="207"/>
      <c r="O81" s="207"/>
      <c r="P81" s="207"/>
      <c r="Q81" s="207"/>
      <c r="R81" s="207"/>
      <c r="S81" s="207"/>
      <c r="T81" s="207"/>
      <c r="U81" s="207"/>
      <c r="V81" s="207"/>
      <c r="W81" s="207"/>
      <c r="X81" s="207"/>
      <c r="Y81" s="207"/>
      <c r="Z81" s="208"/>
    </row>
    <row r="82" spans="1:26" ht="78" customHeight="1" x14ac:dyDescent="0.15">
      <c r="B82" s="236" t="s">
        <v>114</v>
      </c>
      <c r="C82" s="73" t="s">
        <v>132</v>
      </c>
      <c r="D82" s="209" t="s">
        <v>188</v>
      </c>
      <c r="E82" s="210"/>
      <c r="F82" s="210"/>
      <c r="G82" s="210"/>
      <c r="H82" s="210"/>
      <c r="I82" s="210"/>
      <c r="J82" s="210"/>
      <c r="K82" s="210"/>
      <c r="L82" s="210"/>
      <c r="M82" s="210"/>
      <c r="N82" s="210"/>
      <c r="O82" s="210"/>
      <c r="P82" s="210"/>
      <c r="Q82" s="210"/>
      <c r="R82" s="210"/>
      <c r="S82" s="210"/>
      <c r="T82" s="210"/>
      <c r="U82" s="210"/>
      <c r="V82" s="210"/>
      <c r="W82" s="210"/>
      <c r="X82" s="210"/>
      <c r="Y82" s="210"/>
      <c r="Z82" s="211"/>
    </row>
    <row r="83" spans="1:26" ht="78" customHeight="1" x14ac:dyDescent="0.15">
      <c r="B83" s="237"/>
      <c r="C83" s="104" t="s">
        <v>133</v>
      </c>
      <c r="D83" s="215" t="s">
        <v>189</v>
      </c>
      <c r="E83" s="216"/>
      <c r="F83" s="216"/>
      <c r="G83" s="216"/>
      <c r="H83" s="216"/>
      <c r="I83" s="216"/>
      <c r="J83" s="216"/>
      <c r="K83" s="216"/>
      <c r="L83" s="216"/>
      <c r="M83" s="216"/>
      <c r="N83" s="216"/>
      <c r="O83" s="216"/>
      <c r="P83" s="216"/>
      <c r="Q83" s="216"/>
      <c r="R83" s="216"/>
      <c r="S83" s="216"/>
      <c r="T83" s="216"/>
      <c r="U83" s="216"/>
      <c r="V83" s="216"/>
      <c r="W83" s="216"/>
      <c r="X83" s="216"/>
      <c r="Y83" s="216"/>
      <c r="Z83" s="217"/>
    </row>
    <row r="84" spans="1:26" ht="66" customHeight="1" x14ac:dyDescent="0.15">
      <c r="B84" s="236" t="s">
        <v>115</v>
      </c>
      <c r="C84" s="73" t="s">
        <v>135</v>
      </c>
      <c r="D84" s="210" t="s">
        <v>190</v>
      </c>
      <c r="E84" s="210"/>
      <c r="F84" s="210"/>
      <c r="G84" s="210"/>
      <c r="H84" s="210"/>
      <c r="I84" s="210"/>
      <c r="J84" s="210"/>
      <c r="K84" s="210"/>
      <c r="L84" s="210"/>
      <c r="M84" s="210"/>
      <c r="N84" s="210"/>
      <c r="O84" s="210"/>
      <c r="P84" s="210"/>
      <c r="Q84" s="210"/>
      <c r="R84" s="210"/>
      <c r="S84" s="210"/>
      <c r="T84" s="210"/>
      <c r="U84" s="210"/>
      <c r="V84" s="210"/>
      <c r="W84" s="210"/>
      <c r="X84" s="210"/>
      <c r="Y84" s="210"/>
      <c r="Z84" s="211"/>
    </row>
    <row r="85" spans="1:26" ht="66" customHeight="1" x14ac:dyDescent="0.15">
      <c r="B85" s="237"/>
      <c r="C85" s="75" t="s">
        <v>136</v>
      </c>
      <c r="D85" s="212" t="s">
        <v>191</v>
      </c>
      <c r="E85" s="213"/>
      <c r="F85" s="213"/>
      <c r="G85" s="213"/>
      <c r="H85" s="213"/>
      <c r="I85" s="213"/>
      <c r="J85" s="213"/>
      <c r="K85" s="213"/>
      <c r="L85" s="213"/>
      <c r="M85" s="213"/>
      <c r="N85" s="213"/>
      <c r="O85" s="213"/>
      <c r="P85" s="213"/>
      <c r="Q85" s="213"/>
      <c r="R85" s="213"/>
      <c r="S85" s="213"/>
      <c r="T85" s="213"/>
      <c r="U85" s="213"/>
      <c r="V85" s="213"/>
      <c r="W85" s="213"/>
      <c r="X85" s="213"/>
      <c r="Y85" s="213"/>
      <c r="Z85" s="214"/>
    </row>
    <row r="86" spans="1:26" ht="66" customHeight="1" x14ac:dyDescent="0.15">
      <c r="B86" s="238" t="s">
        <v>143</v>
      </c>
      <c r="C86" s="78" t="s">
        <v>110</v>
      </c>
      <c r="D86" s="247" t="s">
        <v>192</v>
      </c>
      <c r="E86" s="248"/>
      <c r="F86" s="248"/>
      <c r="G86" s="248"/>
      <c r="H86" s="248"/>
      <c r="I86" s="248"/>
      <c r="J86" s="248"/>
      <c r="K86" s="248"/>
      <c r="L86" s="248"/>
      <c r="M86" s="248"/>
      <c r="N86" s="248"/>
      <c r="O86" s="248"/>
      <c r="P86" s="248"/>
      <c r="Q86" s="248"/>
      <c r="R86" s="248"/>
      <c r="S86" s="248"/>
      <c r="T86" s="248"/>
      <c r="U86" s="248"/>
      <c r="V86" s="248"/>
      <c r="W86" s="248"/>
      <c r="X86" s="248"/>
      <c r="Y86" s="248"/>
      <c r="Z86" s="249"/>
    </row>
    <row r="87" spans="1:26" ht="66" customHeight="1" x14ac:dyDescent="0.15">
      <c r="B87" s="246"/>
      <c r="C87" s="74" t="s">
        <v>112</v>
      </c>
      <c r="D87" s="250" t="s">
        <v>193</v>
      </c>
      <c r="E87" s="251"/>
      <c r="F87" s="251"/>
      <c r="G87" s="251"/>
      <c r="H87" s="251"/>
      <c r="I87" s="251"/>
      <c r="J87" s="251"/>
      <c r="K87" s="251"/>
      <c r="L87" s="251"/>
      <c r="M87" s="251"/>
      <c r="N87" s="251"/>
      <c r="O87" s="251"/>
      <c r="P87" s="251"/>
      <c r="Q87" s="251"/>
      <c r="R87" s="251"/>
      <c r="S87" s="251"/>
      <c r="T87" s="251"/>
      <c r="U87" s="251"/>
      <c r="V87" s="251"/>
      <c r="W87" s="251"/>
      <c r="X87" s="251"/>
      <c r="Y87" s="251"/>
      <c r="Z87" s="252"/>
    </row>
    <row r="88" spans="1:26" ht="82.5" customHeight="1" x14ac:dyDescent="0.15">
      <c r="B88" s="238" t="s">
        <v>144</v>
      </c>
      <c r="C88" s="73" t="s">
        <v>109</v>
      </c>
      <c r="D88" s="240" t="s">
        <v>204</v>
      </c>
      <c r="E88" s="241"/>
      <c r="F88" s="241"/>
      <c r="G88" s="241"/>
      <c r="H88" s="241"/>
      <c r="I88" s="241"/>
      <c r="J88" s="241"/>
      <c r="K88" s="241"/>
      <c r="L88" s="241"/>
      <c r="M88" s="241"/>
      <c r="N88" s="241"/>
      <c r="O88" s="241"/>
      <c r="P88" s="241"/>
      <c r="Q88" s="241"/>
      <c r="R88" s="241"/>
      <c r="S88" s="241"/>
      <c r="T88" s="241"/>
      <c r="U88" s="241"/>
      <c r="V88" s="241"/>
      <c r="W88" s="241"/>
      <c r="X88" s="241"/>
      <c r="Y88" s="241"/>
      <c r="Z88" s="242"/>
    </row>
    <row r="89" spans="1:26" ht="66" customHeight="1" x14ac:dyDescent="0.15">
      <c r="B89" s="239"/>
      <c r="C89" s="74" t="s">
        <v>139</v>
      </c>
      <c r="D89" s="233" t="s">
        <v>215</v>
      </c>
      <c r="E89" s="234"/>
      <c r="F89" s="234"/>
      <c r="G89" s="234"/>
      <c r="H89" s="234"/>
      <c r="I89" s="234"/>
      <c r="J89" s="234"/>
      <c r="K89" s="234"/>
      <c r="L89" s="234"/>
      <c r="M89" s="234"/>
      <c r="N89" s="234"/>
      <c r="O89" s="234"/>
      <c r="P89" s="234"/>
      <c r="Q89" s="234"/>
      <c r="R89" s="234"/>
      <c r="S89" s="234"/>
      <c r="T89" s="234"/>
      <c r="U89" s="234"/>
      <c r="V89" s="234"/>
      <c r="W89" s="234"/>
      <c r="X89" s="234"/>
      <c r="Y89" s="234"/>
      <c r="Z89" s="235"/>
    </row>
    <row r="90" spans="1:26" ht="66" customHeight="1" x14ac:dyDescent="0.15">
      <c r="B90" s="237"/>
      <c r="C90" s="75" t="s">
        <v>140</v>
      </c>
      <c r="D90" s="243" t="s">
        <v>205</v>
      </c>
      <c r="E90" s="244"/>
      <c r="F90" s="244"/>
      <c r="G90" s="244"/>
      <c r="H90" s="244"/>
      <c r="I90" s="244"/>
      <c r="J90" s="244"/>
      <c r="K90" s="244"/>
      <c r="L90" s="244"/>
      <c r="M90" s="244"/>
      <c r="N90" s="244"/>
      <c r="O90" s="244"/>
      <c r="P90" s="244"/>
      <c r="Q90" s="244"/>
      <c r="R90" s="244"/>
      <c r="S90" s="244"/>
      <c r="T90" s="244"/>
      <c r="U90" s="244"/>
      <c r="V90" s="244"/>
      <c r="W90" s="244"/>
      <c r="X90" s="244"/>
      <c r="Y90" s="244"/>
      <c r="Z90" s="245"/>
    </row>
    <row r="91" spans="1:26" ht="6" customHeight="1" x14ac:dyDescent="0.15"/>
    <row r="92" spans="1:26" ht="18.75" customHeight="1" x14ac:dyDescent="0.15">
      <c r="A92" s="11" t="s">
        <v>148</v>
      </c>
    </row>
    <row r="93" spans="1:26" ht="30.75" customHeight="1" x14ac:dyDescent="0.15">
      <c r="B93" s="190" t="s">
        <v>202</v>
      </c>
      <c r="C93" s="191"/>
      <c r="D93" s="191"/>
      <c r="E93" s="191"/>
      <c r="F93" s="191"/>
      <c r="G93" s="191"/>
      <c r="H93" s="191"/>
      <c r="I93" s="191"/>
      <c r="J93" s="191"/>
      <c r="K93" s="191"/>
      <c r="L93" s="191"/>
      <c r="M93" s="191"/>
      <c r="N93" s="191"/>
      <c r="O93" s="191"/>
      <c r="P93" s="191"/>
      <c r="Q93" s="191"/>
      <c r="R93" s="191"/>
      <c r="S93" s="191"/>
      <c r="T93" s="191"/>
      <c r="U93" s="191"/>
      <c r="V93" s="191"/>
      <c r="W93" s="191"/>
      <c r="X93" s="191"/>
      <c r="Y93" s="191"/>
      <c r="Z93" s="192"/>
    </row>
    <row r="94" spans="1:26" ht="30.75" customHeight="1" x14ac:dyDescent="0.15">
      <c r="B94" s="193"/>
      <c r="C94" s="194"/>
      <c r="D94" s="194"/>
      <c r="E94" s="194"/>
      <c r="F94" s="194"/>
      <c r="G94" s="194"/>
      <c r="H94" s="194"/>
      <c r="I94" s="194"/>
      <c r="J94" s="194"/>
      <c r="K94" s="194"/>
      <c r="L94" s="194"/>
      <c r="M94" s="194"/>
      <c r="N94" s="194"/>
      <c r="O94" s="194"/>
      <c r="P94" s="194"/>
      <c r="Q94" s="194"/>
      <c r="R94" s="194"/>
      <c r="S94" s="194"/>
      <c r="T94" s="194"/>
      <c r="U94" s="194"/>
      <c r="V94" s="194"/>
      <c r="W94" s="194"/>
      <c r="X94" s="194"/>
      <c r="Y94" s="194"/>
      <c r="Z94" s="195"/>
    </row>
    <row r="95" spans="1:26" ht="30.75" customHeight="1" x14ac:dyDescent="0.15">
      <c r="B95" s="196"/>
      <c r="C95" s="197"/>
      <c r="D95" s="197"/>
      <c r="E95" s="197"/>
      <c r="F95" s="197"/>
      <c r="G95" s="197"/>
      <c r="H95" s="197"/>
      <c r="I95" s="197"/>
      <c r="J95" s="197"/>
      <c r="K95" s="197"/>
      <c r="L95" s="197"/>
      <c r="M95" s="197"/>
      <c r="N95" s="197"/>
      <c r="O95" s="197"/>
      <c r="P95" s="197"/>
      <c r="Q95" s="197"/>
      <c r="R95" s="197"/>
      <c r="S95" s="197"/>
      <c r="T95" s="197"/>
      <c r="U95" s="197"/>
      <c r="V95" s="197"/>
      <c r="W95" s="197"/>
      <c r="X95" s="197"/>
      <c r="Y95" s="197"/>
      <c r="Z95" s="198"/>
    </row>
    <row r="96" spans="1:26" ht="6" customHeight="1" x14ac:dyDescent="0.15"/>
    <row r="97" spans="1:26" ht="15" customHeight="1" x14ac:dyDescent="0.15">
      <c r="A97" s="11" t="s">
        <v>149</v>
      </c>
    </row>
    <row r="98" spans="1:26" ht="15" customHeight="1" x14ac:dyDescent="0.15">
      <c r="B98" s="199" t="s">
        <v>213</v>
      </c>
      <c r="C98" s="199"/>
      <c r="D98" s="199"/>
      <c r="E98" s="199"/>
      <c r="F98" s="199"/>
      <c r="G98" s="199"/>
      <c r="H98" s="199"/>
      <c r="I98" s="199"/>
      <c r="J98" s="199"/>
      <c r="K98" s="199"/>
      <c r="L98" s="199"/>
      <c r="M98" s="199"/>
      <c r="N98" s="199"/>
      <c r="O98" s="199"/>
      <c r="P98" s="199"/>
      <c r="Q98" s="199"/>
      <c r="R98" s="199"/>
      <c r="S98" s="199"/>
      <c r="T98" s="199"/>
      <c r="U98" s="199"/>
      <c r="V98" s="199"/>
      <c r="W98" s="199"/>
      <c r="X98" s="199"/>
      <c r="Y98" s="199"/>
      <c r="Z98" s="199"/>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L16:M22 Y27:Z33 H27:H33 H38:H44 Y38:Z44 H49:H55 Y49:Z55 Y60:Z66 L60:M66 H16:H22 U16:U22 T60:T66 U27:U33 L27:M33 U38:U44 L38:M44 U49:U55 G60:G66 L49:M55" xr:uid="{00000000-0002-0000-0100-000000000000}">
      <formula1>"○"</formula1>
    </dataValidation>
    <dataValidation type="list" allowBlank="1" showInputMessage="1" showErrorMessage="1" sqref="Z23 Z34 D34:K34 D23:K23 V16:V22 I16:I22 V27:V33 H60:H66 V38:V44 I27:I33 V49:V55 I38:I44 U60:U66 I49:I55" xr:uid="{00000000-0002-0000-0100-000001000000}">
      <formula1>"全学開講,一部開講"</formula1>
    </dataValidation>
    <dataValidation type="list" allowBlank="1" showInputMessage="1" showErrorMessage="1" sqref="O4" xr:uid="{00000000-0002-0000-0100-000002000000}">
      <formula1>"学部・学科によって、修了要件は相違する,学部・学科によって、修了要件は相違しない"</formula1>
    </dataValidation>
    <dataValidation type="list" allowBlank="1" showInputMessage="1" showErrorMessage="1" sqref="H74:M77 G70:G77 H70:M71 T70:T77 U70:Z71 U74:Z77" xr:uid="{00000000-0002-0000-01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19685039370078741"/>
  <pageSetup paperSize="9" scale="94" orientation="landscape" r:id="rId1"/>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0"/>
  <sheetViews>
    <sheetView view="pageBreakPreview" topLeftCell="A6" zoomScaleNormal="100" zoomScaleSheetLayoutView="100" workbookViewId="0">
      <selection activeCell="E10" sqref="E10"/>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55" t="s">
        <v>65</v>
      </c>
      <c r="G1" s="255"/>
      <c r="H1" s="255"/>
      <c r="I1" s="255"/>
      <c r="J1" s="255"/>
      <c r="K1" s="255"/>
      <c r="L1" s="255"/>
      <c r="M1" s="255"/>
      <c r="N1" s="255"/>
      <c r="O1" s="255"/>
      <c r="P1" s="255"/>
      <c r="Q1" s="255"/>
      <c r="R1" s="255"/>
    </row>
    <row r="2" spans="1:20" ht="18" customHeight="1" x14ac:dyDescent="0.15">
      <c r="A2" s="256" t="s">
        <v>93</v>
      </c>
      <c r="B2" s="256"/>
      <c r="C2" s="256"/>
      <c r="D2" s="256"/>
      <c r="E2" s="256"/>
      <c r="F2" s="256"/>
      <c r="G2" s="256"/>
      <c r="H2" s="256"/>
      <c r="I2" s="256"/>
      <c r="J2" s="256"/>
      <c r="K2" s="256"/>
      <c r="L2" s="256"/>
      <c r="M2" s="256"/>
      <c r="N2" s="256"/>
      <c r="O2" s="256"/>
      <c r="P2" s="256"/>
      <c r="Q2" s="256"/>
      <c r="R2" s="256"/>
      <c r="S2" s="4"/>
    </row>
    <row r="3" spans="1:20" ht="7.5" customHeight="1" x14ac:dyDescent="0.15">
      <c r="A3" s="31"/>
      <c r="B3" s="31"/>
      <c r="C3" s="31"/>
      <c r="D3" s="31"/>
      <c r="E3" s="31"/>
      <c r="F3" s="31"/>
      <c r="G3" s="31"/>
      <c r="H3" s="31"/>
      <c r="I3" s="31"/>
      <c r="J3" s="31"/>
      <c r="K3" s="31"/>
      <c r="L3" s="31"/>
      <c r="M3" s="31"/>
      <c r="N3" s="31"/>
      <c r="O3" s="31"/>
      <c r="P3" s="31"/>
      <c r="Q3" s="31"/>
      <c r="R3" s="31"/>
    </row>
    <row r="4" spans="1:20" ht="18" customHeight="1" x14ac:dyDescent="0.15">
      <c r="A4" s="4" t="s">
        <v>152</v>
      </c>
      <c r="B4" s="4"/>
      <c r="C4" s="257">
        <f>'様式１　大学等概要'!E12</f>
        <v>2021</v>
      </c>
      <c r="D4" s="258"/>
      <c r="E4" s="31" t="s">
        <v>118</v>
      </c>
      <c r="F4" s="31"/>
      <c r="G4" s="31"/>
      <c r="H4" s="31"/>
      <c r="I4" s="31"/>
      <c r="J4" s="79"/>
      <c r="K4" s="31"/>
      <c r="L4" s="31"/>
      <c r="M4" s="109"/>
      <c r="N4" s="109"/>
      <c r="O4" s="109"/>
      <c r="P4" s="109"/>
      <c r="Q4" s="109"/>
      <c r="R4" s="109"/>
    </row>
    <row r="5" spans="1:20" ht="6" customHeight="1" x14ac:dyDescent="0.15">
      <c r="A5" s="31"/>
      <c r="B5" s="31"/>
      <c r="C5" s="31"/>
      <c r="D5" s="31"/>
      <c r="E5" s="31"/>
      <c r="F5" s="31"/>
      <c r="G5" s="31"/>
      <c r="H5" s="31"/>
      <c r="I5" s="31"/>
      <c r="J5" s="31"/>
      <c r="K5" s="31"/>
      <c r="L5" s="31"/>
      <c r="M5" s="31"/>
      <c r="N5" s="31"/>
      <c r="O5" s="31"/>
      <c r="P5" s="31"/>
      <c r="Q5" s="31"/>
      <c r="R5" s="31"/>
    </row>
    <row r="6" spans="1:20" ht="18" customHeight="1" x14ac:dyDescent="0.15">
      <c r="A6" s="4" t="s">
        <v>150</v>
      </c>
      <c r="B6" s="31"/>
      <c r="C6" s="31"/>
      <c r="D6" s="31"/>
      <c r="E6" s="31"/>
      <c r="F6" s="31"/>
      <c r="G6" s="31"/>
      <c r="H6" s="31"/>
      <c r="I6" s="31"/>
      <c r="J6" s="31"/>
      <c r="K6" s="31"/>
      <c r="L6" s="31"/>
      <c r="M6" s="31"/>
      <c r="N6" s="31"/>
      <c r="O6" s="31"/>
      <c r="P6" s="31"/>
      <c r="Q6" s="31"/>
      <c r="R6" s="31"/>
    </row>
    <row r="7" spans="1:20" ht="6" customHeight="1" x14ac:dyDescent="0.15">
      <c r="A7" s="4"/>
      <c r="B7" s="31"/>
      <c r="C7" s="31"/>
      <c r="D7" s="31"/>
      <c r="E7" s="31"/>
      <c r="F7" s="31"/>
      <c r="G7" s="31"/>
      <c r="H7" s="31"/>
      <c r="I7" s="31"/>
      <c r="J7" s="31"/>
      <c r="K7" s="31"/>
      <c r="L7" s="31"/>
      <c r="M7" s="31"/>
      <c r="N7" s="31"/>
      <c r="O7" s="31"/>
      <c r="P7" s="31"/>
      <c r="Q7" s="31"/>
      <c r="R7" s="31"/>
    </row>
    <row r="8" spans="1:20" ht="18" customHeight="1" x14ac:dyDescent="0.15">
      <c r="B8" s="259" t="s">
        <v>83</v>
      </c>
      <c r="C8" s="261" t="s">
        <v>88</v>
      </c>
      <c r="D8" s="263" t="s">
        <v>70</v>
      </c>
      <c r="E8" s="265" t="s">
        <v>94</v>
      </c>
      <c r="F8" s="265"/>
      <c r="G8" s="265" t="s">
        <v>95</v>
      </c>
      <c r="H8" s="265"/>
      <c r="I8" s="265" t="s">
        <v>96</v>
      </c>
      <c r="J8" s="265"/>
      <c r="K8" s="266" t="s">
        <v>97</v>
      </c>
      <c r="L8" s="267"/>
      <c r="M8" s="266" t="s">
        <v>98</v>
      </c>
      <c r="N8" s="267"/>
      <c r="O8" s="266" t="s">
        <v>99</v>
      </c>
      <c r="P8" s="267"/>
      <c r="Q8" s="268" t="s">
        <v>64</v>
      </c>
      <c r="R8" s="270" t="s">
        <v>58</v>
      </c>
      <c r="T8" s="28"/>
    </row>
    <row r="9" spans="1:20" ht="18" customHeight="1" x14ac:dyDescent="0.15">
      <c r="A9" s="4"/>
      <c r="B9" s="260"/>
      <c r="C9" s="262"/>
      <c r="D9" s="264"/>
      <c r="E9" s="36" t="s">
        <v>46</v>
      </c>
      <c r="F9" s="37" t="s">
        <v>45</v>
      </c>
      <c r="G9" s="38" t="s">
        <v>46</v>
      </c>
      <c r="H9" s="39" t="s">
        <v>45</v>
      </c>
      <c r="I9" s="36" t="s">
        <v>46</v>
      </c>
      <c r="J9" s="37" t="s">
        <v>45</v>
      </c>
      <c r="K9" s="38" t="s">
        <v>46</v>
      </c>
      <c r="L9" s="39" t="s">
        <v>45</v>
      </c>
      <c r="M9" s="36" t="s">
        <v>46</v>
      </c>
      <c r="N9" s="37" t="s">
        <v>45</v>
      </c>
      <c r="O9" s="38" t="s">
        <v>46</v>
      </c>
      <c r="P9" s="39" t="s">
        <v>45</v>
      </c>
      <c r="Q9" s="269"/>
      <c r="R9" s="271"/>
      <c r="T9" s="28"/>
    </row>
    <row r="10" spans="1:20" ht="18" customHeight="1" x14ac:dyDescent="0.15">
      <c r="A10" s="40"/>
      <c r="B10" s="80" t="s">
        <v>172</v>
      </c>
      <c r="C10" s="40">
        <v>50</v>
      </c>
      <c r="D10" s="41">
        <v>200</v>
      </c>
      <c r="E10" s="42">
        <v>56</v>
      </c>
      <c r="F10" s="43">
        <v>53</v>
      </c>
      <c r="G10" s="44"/>
      <c r="H10" s="45"/>
      <c r="I10" s="42"/>
      <c r="J10" s="43"/>
      <c r="K10" s="44"/>
      <c r="L10" s="45"/>
      <c r="M10" s="42"/>
      <c r="N10" s="43"/>
      <c r="O10" s="44"/>
      <c r="P10" s="45"/>
      <c r="Q10" s="46">
        <f>E10+G10+I10+K10+M10+O10</f>
        <v>56</v>
      </c>
      <c r="R10" s="47">
        <f>Q10/D10</f>
        <v>0.28000000000000003</v>
      </c>
    </row>
    <row r="11" spans="1:20" ht="18" customHeight="1" x14ac:dyDescent="0.15">
      <c r="A11" s="40"/>
      <c r="B11" s="81" t="s">
        <v>173</v>
      </c>
      <c r="C11" s="56">
        <v>50</v>
      </c>
      <c r="D11" s="49">
        <v>200</v>
      </c>
      <c r="E11" s="50">
        <v>62</v>
      </c>
      <c r="F11" s="51">
        <v>59</v>
      </c>
      <c r="G11" s="52"/>
      <c r="H11" s="53"/>
      <c r="I11" s="50"/>
      <c r="J11" s="51"/>
      <c r="K11" s="52"/>
      <c r="L11" s="53"/>
      <c r="M11" s="50"/>
      <c r="N11" s="51"/>
      <c r="O11" s="52"/>
      <c r="P11" s="53"/>
      <c r="Q11" s="54">
        <f t="shared" ref="Q11:Q29" si="0">E11+G11+I11+K11+M11+O11</f>
        <v>62</v>
      </c>
      <c r="R11" s="55">
        <f t="shared" ref="R11:R29" si="1">Q11/D11</f>
        <v>0.31</v>
      </c>
    </row>
    <row r="12" spans="1:20" ht="18" customHeight="1" x14ac:dyDescent="0.15">
      <c r="A12" s="40"/>
      <c r="B12" s="81" t="s">
        <v>171</v>
      </c>
      <c r="C12" s="56">
        <v>100</v>
      </c>
      <c r="D12" s="49">
        <v>400</v>
      </c>
      <c r="E12" s="50">
        <v>101</v>
      </c>
      <c r="F12" s="51">
        <v>101</v>
      </c>
      <c r="G12" s="52"/>
      <c r="H12" s="53"/>
      <c r="I12" s="50"/>
      <c r="J12" s="51"/>
      <c r="K12" s="52"/>
      <c r="L12" s="53"/>
      <c r="M12" s="50"/>
      <c r="N12" s="51"/>
      <c r="O12" s="52"/>
      <c r="P12" s="53"/>
      <c r="Q12" s="54">
        <f t="shared" si="0"/>
        <v>101</v>
      </c>
      <c r="R12" s="55">
        <f t="shared" si="1"/>
        <v>0.2525</v>
      </c>
    </row>
    <row r="13" spans="1:20" ht="18" customHeight="1" x14ac:dyDescent="0.15">
      <c r="A13" s="40"/>
      <c r="B13" s="81" t="s">
        <v>175</v>
      </c>
      <c r="C13" s="56">
        <v>45</v>
      </c>
      <c r="D13" s="49">
        <v>180</v>
      </c>
      <c r="E13" s="50">
        <v>48</v>
      </c>
      <c r="F13" s="51">
        <v>47</v>
      </c>
      <c r="G13" s="52"/>
      <c r="H13" s="53"/>
      <c r="I13" s="50"/>
      <c r="J13" s="51"/>
      <c r="K13" s="52"/>
      <c r="L13" s="53"/>
      <c r="M13" s="50"/>
      <c r="N13" s="51"/>
      <c r="O13" s="52"/>
      <c r="P13" s="53"/>
      <c r="Q13" s="54">
        <f t="shared" si="0"/>
        <v>48</v>
      </c>
      <c r="R13" s="55">
        <f t="shared" si="1"/>
        <v>0.26666666666666666</v>
      </c>
    </row>
    <row r="14" spans="1:20" ht="18" customHeight="1" x14ac:dyDescent="0.15">
      <c r="A14" s="40"/>
      <c r="B14" s="81" t="s">
        <v>176</v>
      </c>
      <c r="C14" s="56">
        <v>45</v>
      </c>
      <c r="D14" s="49">
        <v>180</v>
      </c>
      <c r="E14" s="50">
        <v>46</v>
      </c>
      <c r="F14" s="51">
        <v>43</v>
      </c>
      <c r="G14" s="52"/>
      <c r="H14" s="53"/>
      <c r="I14" s="50"/>
      <c r="J14" s="51"/>
      <c r="K14" s="52"/>
      <c r="L14" s="53"/>
      <c r="M14" s="50"/>
      <c r="N14" s="51"/>
      <c r="O14" s="52"/>
      <c r="P14" s="53"/>
      <c r="Q14" s="54">
        <f t="shared" si="0"/>
        <v>46</v>
      </c>
      <c r="R14" s="55">
        <f t="shared" si="1"/>
        <v>0.25555555555555554</v>
      </c>
    </row>
    <row r="15" spans="1:20" ht="18" customHeight="1" x14ac:dyDescent="0.15">
      <c r="A15" s="40"/>
      <c r="B15" s="81" t="s">
        <v>177</v>
      </c>
      <c r="C15" s="56">
        <v>45</v>
      </c>
      <c r="D15" s="49">
        <v>180</v>
      </c>
      <c r="E15" s="50">
        <v>47</v>
      </c>
      <c r="F15" s="51">
        <v>45</v>
      </c>
      <c r="G15" s="52"/>
      <c r="H15" s="53"/>
      <c r="I15" s="50"/>
      <c r="J15" s="51"/>
      <c r="K15" s="52"/>
      <c r="L15" s="53"/>
      <c r="M15" s="50"/>
      <c r="N15" s="51"/>
      <c r="O15" s="52"/>
      <c r="P15" s="53"/>
      <c r="Q15" s="54">
        <f t="shared" si="0"/>
        <v>47</v>
      </c>
      <c r="R15" s="55">
        <f t="shared" si="1"/>
        <v>0.26111111111111113</v>
      </c>
    </row>
    <row r="16" spans="1:20" ht="18" customHeight="1" x14ac:dyDescent="0.15">
      <c r="A16" s="40"/>
      <c r="B16" s="81" t="s">
        <v>178</v>
      </c>
      <c r="C16" s="56">
        <v>50</v>
      </c>
      <c r="D16" s="49">
        <v>200</v>
      </c>
      <c r="E16" s="50">
        <v>51</v>
      </c>
      <c r="F16" s="51">
        <v>48</v>
      </c>
      <c r="G16" s="52"/>
      <c r="H16" s="53"/>
      <c r="I16" s="50"/>
      <c r="J16" s="51"/>
      <c r="K16" s="52"/>
      <c r="L16" s="53"/>
      <c r="M16" s="50"/>
      <c r="N16" s="51"/>
      <c r="O16" s="52"/>
      <c r="P16" s="53"/>
      <c r="Q16" s="54">
        <f t="shared" si="0"/>
        <v>51</v>
      </c>
      <c r="R16" s="55">
        <f t="shared" si="1"/>
        <v>0.255</v>
      </c>
    </row>
    <row r="17" spans="1:18" ht="18" customHeight="1" x14ac:dyDescent="0.15">
      <c r="A17" s="40"/>
      <c r="B17" s="81" t="s">
        <v>179</v>
      </c>
      <c r="C17" s="56">
        <v>55</v>
      </c>
      <c r="D17" s="49">
        <v>220</v>
      </c>
      <c r="E17" s="50">
        <v>60</v>
      </c>
      <c r="F17" s="51">
        <v>60</v>
      </c>
      <c r="G17" s="52"/>
      <c r="H17" s="53"/>
      <c r="I17" s="50"/>
      <c r="J17" s="51"/>
      <c r="K17" s="52"/>
      <c r="L17" s="53"/>
      <c r="M17" s="50"/>
      <c r="N17" s="51"/>
      <c r="O17" s="52"/>
      <c r="P17" s="53"/>
      <c r="Q17" s="54">
        <f t="shared" si="0"/>
        <v>60</v>
      </c>
      <c r="R17" s="55">
        <f t="shared" si="1"/>
        <v>0.27272727272727271</v>
      </c>
    </row>
    <row r="18" spans="1:18" ht="18" customHeight="1" x14ac:dyDescent="0.15">
      <c r="A18" s="40"/>
      <c r="B18" s="81" t="s">
        <v>174</v>
      </c>
      <c r="C18" s="56">
        <v>40</v>
      </c>
      <c r="D18" s="49">
        <v>160</v>
      </c>
      <c r="E18" s="50">
        <v>44</v>
      </c>
      <c r="F18" s="51">
        <v>43</v>
      </c>
      <c r="G18" s="52"/>
      <c r="H18" s="53"/>
      <c r="I18" s="50"/>
      <c r="J18" s="51"/>
      <c r="K18" s="52"/>
      <c r="L18" s="53"/>
      <c r="M18" s="50"/>
      <c r="N18" s="51"/>
      <c r="O18" s="52"/>
      <c r="P18" s="53"/>
      <c r="Q18" s="54">
        <f>E18+G18+I18+K18+M18+O18</f>
        <v>44</v>
      </c>
      <c r="R18" s="55">
        <f t="shared" si="1"/>
        <v>0.27500000000000002</v>
      </c>
    </row>
    <row r="19" spans="1:18" ht="18" customHeight="1" x14ac:dyDescent="0.15">
      <c r="A19" s="40"/>
      <c r="B19" s="81" t="s">
        <v>180</v>
      </c>
      <c r="C19" s="56">
        <v>50</v>
      </c>
      <c r="D19" s="49">
        <v>200</v>
      </c>
      <c r="E19" s="50">
        <v>54</v>
      </c>
      <c r="F19" s="51">
        <v>54</v>
      </c>
      <c r="G19" s="52"/>
      <c r="H19" s="53"/>
      <c r="I19" s="50"/>
      <c r="J19" s="51"/>
      <c r="K19" s="52"/>
      <c r="L19" s="53"/>
      <c r="M19" s="50"/>
      <c r="N19" s="51"/>
      <c r="O19" s="52"/>
      <c r="P19" s="53"/>
      <c r="Q19" s="54">
        <f t="shared" si="0"/>
        <v>54</v>
      </c>
      <c r="R19" s="55">
        <f t="shared" si="1"/>
        <v>0.27</v>
      </c>
    </row>
    <row r="20" spans="1:18" ht="18" customHeight="1" x14ac:dyDescent="0.15">
      <c r="A20" s="40"/>
      <c r="B20" s="81" t="s">
        <v>181</v>
      </c>
      <c r="C20" s="56">
        <v>90</v>
      </c>
      <c r="D20" s="49">
        <v>360</v>
      </c>
      <c r="E20" s="50">
        <v>94</v>
      </c>
      <c r="F20" s="51">
        <v>92</v>
      </c>
      <c r="G20" s="52"/>
      <c r="H20" s="53"/>
      <c r="I20" s="50"/>
      <c r="J20" s="51"/>
      <c r="K20" s="52"/>
      <c r="L20" s="53"/>
      <c r="M20" s="50"/>
      <c r="N20" s="51"/>
      <c r="O20" s="52"/>
      <c r="P20" s="53"/>
      <c r="Q20" s="54">
        <f t="shared" si="0"/>
        <v>94</v>
      </c>
      <c r="R20" s="55">
        <f t="shared" si="1"/>
        <v>0.26111111111111113</v>
      </c>
    </row>
    <row r="21" spans="1:18" ht="18" customHeight="1" x14ac:dyDescent="0.15">
      <c r="A21" s="40"/>
      <c r="B21" s="81" t="s">
        <v>182</v>
      </c>
      <c r="C21" s="56">
        <v>90</v>
      </c>
      <c r="D21" s="49">
        <v>360</v>
      </c>
      <c r="E21" s="50">
        <v>89</v>
      </c>
      <c r="F21" s="51">
        <v>88</v>
      </c>
      <c r="G21" s="52"/>
      <c r="H21" s="53"/>
      <c r="I21" s="50"/>
      <c r="J21" s="51"/>
      <c r="K21" s="52"/>
      <c r="L21" s="53"/>
      <c r="M21" s="50"/>
      <c r="N21" s="51"/>
      <c r="O21" s="52"/>
      <c r="P21" s="53"/>
      <c r="Q21" s="54">
        <f t="shared" si="0"/>
        <v>89</v>
      </c>
      <c r="R21" s="55">
        <f t="shared" si="1"/>
        <v>0.24722222222222223</v>
      </c>
    </row>
    <row r="22" spans="1:18" ht="18" customHeight="1" x14ac:dyDescent="0.15">
      <c r="A22" s="40"/>
      <c r="B22" s="81"/>
      <c r="C22" s="56"/>
      <c r="D22" s="49"/>
      <c r="E22" s="50"/>
      <c r="F22" s="51"/>
      <c r="G22" s="52"/>
      <c r="H22" s="53"/>
      <c r="I22" s="50"/>
      <c r="J22" s="51"/>
      <c r="K22" s="52"/>
      <c r="L22" s="53"/>
      <c r="M22" s="50"/>
      <c r="N22" s="51"/>
      <c r="O22" s="52"/>
      <c r="P22" s="53"/>
      <c r="Q22" s="54">
        <f t="shared" si="0"/>
        <v>0</v>
      </c>
      <c r="R22" s="55" t="e">
        <f t="shared" si="1"/>
        <v>#DIV/0!</v>
      </c>
    </row>
    <row r="23" spans="1:18" ht="18" customHeight="1" x14ac:dyDescent="0.15">
      <c r="A23" s="40"/>
      <c r="B23" s="81"/>
      <c r="C23" s="56"/>
      <c r="D23" s="49"/>
      <c r="E23" s="50"/>
      <c r="F23" s="51"/>
      <c r="G23" s="52"/>
      <c r="H23" s="53"/>
      <c r="I23" s="50"/>
      <c r="J23" s="51"/>
      <c r="K23" s="52"/>
      <c r="L23" s="53"/>
      <c r="M23" s="50"/>
      <c r="N23" s="51"/>
      <c r="O23" s="52"/>
      <c r="P23" s="53"/>
      <c r="Q23" s="54">
        <f t="shared" si="0"/>
        <v>0</v>
      </c>
      <c r="R23" s="55" t="e">
        <f t="shared" si="1"/>
        <v>#DIV/0!</v>
      </c>
    </row>
    <row r="24" spans="1:18" ht="18" customHeight="1" x14ac:dyDescent="0.15">
      <c r="A24" s="40"/>
      <c r="B24" s="81"/>
      <c r="C24" s="56"/>
      <c r="D24" s="49"/>
      <c r="E24" s="50"/>
      <c r="F24" s="51"/>
      <c r="G24" s="52"/>
      <c r="H24" s="53"/>
      <c r="I24" s="50"/>
      <c r="J24" s="51"/>
      <c r="K24" s="52"/>
      <c r="L24" s="53"/>
      <c r="M24" s="50"/>
      <c r="N24" s="51"/>
      <c r="O24" s="52"/>
      <c r="P24" s="53"/>
      <c r="Q24" s="54">
        <f t="shared" si="0"/>
        <v>0</v>
      </c>
      <c r="R24" s="55" t="e">
        <f t="shared" si="1"/>
        <v>#DIV/0!</v>
      </c>
    </row>
    <row r="25" spans="1:18" ht="18" customHeight="1" x14ac:dyDescent="0.15">
      <c r="A25" s="40"/>
      <c r="B25" s="81"/>
      <c r="C25" s="56"/>
      <c r="D25" s="49"/>
      <c r="E25" s="50"/>
      <c r="F25" s="51"/>
      <c r="G25" s="52"/>
      <c r="H25" s="53"/>
      <c r="I25" s="50"/>
      <c r="J25" s="51"/>
      <c r="K25" s="52"/>
      <c r="L25" s="53"/>
      <c r="M25" s="50"/>
      <c r="N25" s="51"/>
      <c r="O25" s="52"/>
      <c r="P25" s="53"/>
      <c r="Q25" s="54">
        <f t="shared" si="0"/>
        <v>0</v>
      </c>
      <c r="R25" s="55" t="e">
        <f t="shared" si="1"/>
        <v>#DIV/0!</v>
      </c>
    </row>
    <row r="26" spans="1:18" ht="18" customHeight="1" x14ac:dyDescent="0.15">
      <c r="A26" s="40"/>
      <c r="B26" s="81"/>
      <c r="C26" s="56"/>
      <c r="D26" s="49"/>
      <c r="E26" s="50"/>
      <c r="F26" s="51"/>
      <c r="G26" s="52"/>
      <c r="H26" s="53"/>
      <c r="I26" s="50"/>
      <c r="J26" s="51"/>
      <c r="K26" s="52"/>
      <c r="L26" s="53"/>
      <c r="M26" s="50"/>
      <c r="N26" s="51"/>
      <c r="O26" s="52"/>
      <c r="P26" s="53"/>
      <c r="Q26" s="54">
        <f t="shared" si="0"/>
        <v>0</v>
      </c>
      <c r="R26" s="55" t="e">
        <f t="shared" si="1"/>
        <v>#DIV/0!</v>
      </c>
    </row>
    <row r="27" spans="1:18" ht="18" customHeight="1" x14ac:dyDescent="0.15">
      <c r="A27" s="40"/>
      <c r="B27" s="81"/>
      <c r="C27" s="48"/>
      <c r="D27" s="49"/>
      <c r="E27" s="50"/>
      <c r="F27" s="51"/>
      <c r="G27" s="52"/>
      <c r="H27" s="53"/>
      <c r="I27" s="50"/>
      <c r="J27" s="51"/>
      <c r="K27" s="52"/>
      <c r="L27" s="53"/>
      <c r="M27" s="50"/>
      <c r="N27" s="51"/>
      <c r="O27" s="52"/>
      <c r="P27" s="53"/>
      <c r="Q27" s="54">
        <f t="shared" si="0"/>
        <v>0</v>
      </c>
      <c r="R27" s="55" t="e">
        <f t="shared" si="1"/>
        <v>#DIV/0!</v>
      </c>
    </row>
    <row r="28" spans="1:18" ht="18" customHeight="1" x14ac:dyDescent="0.15">
      <c r="A28" s="40"/>
      <c r="B28" s="81"/>
      <c r="C28" s="48"/>
      <c r="D28" s="49"/>
      <c r="E28" s="50"/>
      <c r="F28" s="51"/>
      <c r="G28" s="52"/>
      <c r="H28" s="53"/>
      <c r="I28" s="50"/>
      <c r="J28" s="51"/>
      <c r="K28" s="52"/>
      <c r="L28" s="53"/>
      <c r="M28" s="50"/>
      <c r="N28" s="51"/>
      <c r="O28" s="52"/>
      <c r="P28" s="53"/>
      <c r="Q28" s="54">
        <f t="shared" si="0"/>
        <v>0</v>
      </c>
      <c r="R28" s="55" t="e">
        <f t="shared" si="1"/>
        <v>#DIV/0!</v>
      </c>
    </row>
    <row r="29" spans="1:18" ht="18" customHeight="1" thickBot="1" x14ac:dyDescent="0.2">
      <c r="A29" s="40"/>
      <c r="B29" s="82"/>
      <c r="C29" s="83"/>
      <c r="D29" s="41"/>
      <c r="E29" s="42"/>
      <c r="F29" s="43"/>
      <c r="G29" s="44"/>
      <c r="H29" s="45"/>
      <c r="I29" s="42"/>
      <c r="J29" s="43"/>
      <c r="K29" s="44"/>
      <c r="L29" s="45"/>
      <c r="M29" s="42"/>
      <c r="N29" s="43"/>
      <c r="O29" s="44"/>
      <c r="P29" s="45"/>
      <c r="Q29" s="57">
        <f t="shared" si="0"/>
        <v>0</v>
      </c>
      <c r="R29" s="47" t="e">
        <f t="shared" si="1"/>
        <v>#DIV/0!</v>
      </c>
    </row>
    <row r="30" spans="1:18" ht="18" customHeight="1" thickTop="1" x14ac:dyDescent="0.15">
      <c r="B30" s="84" t="s">
        <v>59</v>
      </c>
      <c r="C30" s="85">
        <f t="shared" ref="C30:Q30" si="2">SUM(C10:C29)</f>
        <v>710</v>
      </c>
      <c r="D30" s="58">
        <f t="shared" si="2"/>
        <v>2840</v>
      </c>
      <c r="E30" s="59">
        <f t="shared" si="2"/>
        <v>752</v>
      </c>
      <c r="F30" s="60">
        <f t="shared" si="2"/>
        <v>733</v>
      </c>
      <c r="G30" s="61">
        <f t="shared" si="2"/>
        <v>0</v>
      </c>
      <c r="H30" s="62">
        <f t="shared" si="2"/>
        <v>0</v>
      </c>
      <c r="I30" s="59">
        <f t="shared" si="2"/>
        <v>0</v>
      </c>
      <c r="J30" s="60">
        <f t="shared" si="2"/>
        <v>0</v>
      </c>
      <c r="K30" s="61">
        <f t="shared" si="2"/>
        <v>0</v>
      </c>
      <c r="L30" s="62">
        <f t="shared" si="2"/>
        <v>0</v>
      </c>
      <c r="M30" s="59">
        <f t="shared" si="2"/>
        <v>0</v>
      </c>
      <c r="N30" s="60">
        <f t="shared" si="2"/>
        <v>0</v>
      </c>
      <c r="O30" s="61">
        <f t="shared" si="2"/>
        <v>0</v>
      </c>
      <c r="P30" s="62">
        <f t="shared" si="2"/>
        <v>0</v>
      </c>
      <c r="Q30" s="63">
        <f t="shared" si="2"/>
        <v>752</v>
      </c>
      <c r="R30" s="64">
        <f>Q30/D30</f>
        <v>0.26478873239436618</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44"/>
  <sheetViews>
    <sheetView showZeros="0" tabSelected="1" view="pageBreakPreview" zoomScaleNormal="100" zoomScaleSheetLayoutView="100" workbookViewId="0">
      <selection activeCell="B1" sqref="B1"/>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25"/>
    <col min="12" max="16384" width="11.375" style="1"/>
  </cols>
  <sheetData>
    <row r="1" spans="1:11" ht="18.75" customHeight="1" x14ac:dyDescent="0.15">
      <c r="A1" s="2" t="s">
        <v>119</v>
      </c>
      <c r="J1" s="34" t="s">
        <v>120</v>
      </c>
    </row>
    <row r="2" spans="1:11" ht="18.75" customHeight="1" x14ac:dyDescent="0.15">
      <c r="A2" s="256" t="s">
        <v>66</v>
      </c>
      <c r="B2" s="256"/>
      <c r="C2" s="256"/>
      <c r="D2" s="256"/>
      <c r="E2" s="256"/>
      <c r="F2" s="256"/>
      <c r="G2" s="256"/>
      <c r="H2" s="256"/>
      <c r="I2" s="256"/>
      <c r="J2" s="256"/>
    </row>
    <row r="3" spans="1:11" ht="7.5" customHeight="1" x14ac:dyDescent="0.15">
      <c r="B3" s="31"/>
      <c r="C3" s="31"/>
      <c r="D3" s="31"/>
      <c r="E3" s="31"/>
      <c r="F3" s="31"/>
      <c r="G3" s="31"/>
      <c r="H3" s="31"/>
      <c r="I3" s="31"/>
      <c r="J3" s="31"/>
    </row>
    <row r="4" spans="1:11" ht="18.75" customHeight="1" x14ac:dyDescent="0.15">
      <c r="A4" s="1" t="s">
        <v>6</v>
      </c>
      <c r="B4" s="4" t="s">
        <v>76</v>
      </c>
      <c r="C4" s="4"/>
      <c r="D4" s="4"/>
      <c r="E4" s="4"/>
      <c r="F4" s="4"/>
      <c r="G4" s="4"/>
      <c r="H4" s="4"/>
      <c r="I4" s="31"/>
      <c r="J4" s="31"/>
    </row>
    <row r="5" spans="1:11" ht="18.75" customHeight="1" x14ac:dyDescent="0.15">
      <c r="A5" s="1"/>
      <c r="B5" s="154" t="s">
        <v>216</v>
      </c>
      <c r="C5" s="294"/>
      <c r="D5" s="294"/>
      <c r="E5" s="294"/>
      <c r="F5" s="294"/>
      <c r="G5" s="294"/>
      <c r="H5" s="294"/>
      <c r="I5" s="294"/>
      <c r="J5" s="295"/>
      <c r="K5" s="25" t="str">
        <f>IF(B5="","入力してください","")</f>
        <v/>
      </c>
    </row>
    <row r="6" spans="1:11" ht="7.5" customHeight="1" x14ac:dyDescent="0.15">
      <c r="B6" s="31"/>
      <c r="C6" s="31"/>
      <c r="D6" s="31"/>
      <c r="E6" s="31"/>
      <c r="F6" s="31"/>
      <c r="G6" s="31"/>
      <c r="H6" s="31"/>
      <c r="I6" s="31"/>
      <c r="J6" s="31"/>
    </row>
    <row r="7" spans="1:11" s="4" customFormat="1" ht="18.75" customHeight="1" x14ac:dyDescent="0.15">
      <c r="A7" s="1" t="s">
        <v>10</v>
      </c>
      <c r="B7" s="1" t="s">
        <v>41</v>
      </c>
      <c r="C7" s="1"/>
      <c r="D7" s="1"/>
      <c r="E7" s="1"/>
      <c r="F7" s="1"/>
      <c r="G7" s="1"/>
      <c r="H7" s="1"/>
      <c r="I7" s="1"/>
      <c r="J7" s="1"/>
      <c r="K7" s="29"/>
    </row>
    <row r="8" spans="1:11" s="4" customFormat="1" ht="18.75" customHeight="1" x14ac:dyDescent="0.15">
      <c r="A8" s="86"/>
      <c r="B8" s="272" t="s">
        <v>217</v>
      </c>
      <c r="C8" s="274"/>
      <c r="D8" s="274"/>
      <c r="E8" s="274"/>
      <c r="F8" s="274"/>
      <c r="G8" s="274"/>
      <c r="H8" s="274"/>
      <c r="I8" s="282"/>
      <c r="J8" s="283"/>
      <c r="K8" s="25" t="str">
        <f>IF(B8="","入力してください","")</f>
        <v/>
      </c>
    </row>
    <row r="9" spans="1:11" s="4" customFormat="1" ht="18.75" customHeight="1" x14ac:dyDescent="0.15">
      <c r="A9" s="86"/>
      <c r="B9" s="284"/>
      <c r="C9" s="285"/>
      <c r="D9" s="285"/>
      <c r="E9" s="285"/>
      <c r="F9" s="285"/>
      <c r="G9" s="285"/>
      <c r="H9" s="285"/>
      <c r="I9" s="285"/>
      <c r="J9" s="286"/>
      <c r="K9" s="25"/>
    </row>
    <row r="10" spans="1:11" s="4" customFormat="1" ht="18.75" customHeight="1" x14ac:dyDescent="0.15">
      <c r="A10" s="86"/>
      <c r="B10" s="284"/>
      <c r="C10" s="285"/>
      <c r="D10" s="285"/>
      <c r="E10" s="285"/>
      <c r="F10" s="285"/>
      <c r="G10" s="285"/>
      <c r="H10" s="285"/>
      <c r="I10" s="285"/>
      <c r="J10" s="286"/>
      <c r="K10" s="25"/>
    </row>
    <row r="11" spans="1:11" s="4" customFormat="1" ht="18.75" customHeight="1" x14ac:dyDescent="0.15">
      <c r="A11" s="86"/>
      <c r="B11" s="284"/>
      <c r="C11" s="285"/>
      <c r="D11" s="285"/>
      <c r="E11" s="285"/>
      <c r="F11" s="285"/>
      <c r="G11" s="285"/>
      <c r="H11" s="285"/>
      <c r="I11" s="285"/>
      <c r="J11" s="286"/>
      <c r="K11" s="25"/>
    </row>
    <row r="12" spans="1:11" s="4" customFormat="1" ht="18.75" customHeight="1" x14ac:dyDescent="0.15">
      <c r="A12" s="86"/>
      <c r="B12" s="287"/>
      <c r="C12" s="288"/>
      <c r="D12" s="288"/>
      <c r="E12" s="288"/>
      <c r="F12" s="288"/>
      <c r="G12" s="288"/>
      <c r="H12" s="288"/>
      <c r="I12" s="288"/>
      <c r="J12" s="289"/>
      <c r="K12" s="25"/>
    </row>
    <row r="13" spans="1:11" s="4" customFormat="1" ht="7.5" customHeight="1" x14ac:dyDescent="0.15">
      <c r="A13" s="86"/>
      <c r="B13" s="86"/>
      <c r="C13" s="86"/>
      <c r="D13" s="86"/>
      <c r="E13" s="86"/>
      <c r="F13" s="86"/>
      <c r="G13" s="86"/>
      <c r="H13" s="86"/>
      <c r="I13" s="86"/>
      <c r="J13" s="86"/>
      <c r="K13" s="25"/>
    </row>
    <row r="14" spans="1:11" s="4" customFormat="1" ht="18.75" customHeight="1" x14ac:dyDescent="0.15">
      <c r="A14" s="87" t="s">
        <v>11</v>
      </c>
      <c r="B14" s="87" t="s">
        <v>16</v>
      </c>
      <c r="C14" s="87"/>
      <c r="D14" s="87"/>
      <c r="E14" s="87"/>
      <c r="F14" s="87"/>
      <c r="G14" s="87"/>
      <c r="H14" s="87"/>
      <c r="I14" s="87"/>
      <c r="J14" s="87"/>
      <c r="K14" s="25"/>
    </row>
    <row r="15" spans="1:11" s="4" customFormat="1" ht="18.75" customHeight="1" x14ac:dyDescent="0.15">
      <c r="A15" s="86"/>
      <c r="B15" s="296" t="s">
        <v>218</v>
      </c>
      <c r="C15" s="297"/>
      <c r="D15" s="297"/>
      <c r="E15" s="297"/>
      <c r="F15" s="297"/>
      <c r="G15" s="297"/>
      <c r="H15" s="297"/>
      <c r="I15" s="298"/>
      <c r="J15" s="299"/>
      <c r="K15" s="25" t="str">
        <f>IF(B15="","入力してください","")</f>
        <v/>
      </c>
    </row>
    <row r="16" spans="1:11" s="4" customFormat="1" ht="18.75" customHeight="1" x14ac:dyDescent="0.15">
      <c r="A16" s="86"/>
      <c r="B16" s="300"/>
      <c r="C16" s="301"/>
      <c r="D16" s="301"/>
      <c r="E16" s="301"/>
      <c r="F16" s="301"/>
      <c r="G16" s="301"/>
      <c r="H16" s="301"/>
      <c r="I16" s="301"/>
      <c r="J16" s="302"/>
      <c r="K16" s="25"/>
    </row>
    <row r="17" spans="1:11" s="4" customFormat="1" ht="18.75" customHeight="1" x14ac:dyDescent="0.15">
      <c r="A17" s="86"/>
      <c r="B17" s="300"/>
      <c r="C17" s="301"/>
      <c r="D17" s="301"/>
      <c r="E17" s="301"/>
      <c r="F17" s="301"/>
      <c r="G17" s="301"/>
      <c r="H17" s="301"/>
      <c r="I17" s="301"/>
      <c r="J17" s="302"/>
      <c r="K17" s="25"/>
    </row>
    <row r="18" spans="1:11" s="4" customFormat="1" ht="18.75" customHeight="1" x14ac:dyDescent="0.15">
      <c r="A18" s="86"/>
      <c r="B18" s="300"/>
      <c r="C18" s="301"/>
      <c r="D18" s="301"/>
      <c r="E18" s="301"/>
      <c r="F18" s="301"/>
      <c r="G18" s="301"/>
      <c r="H18" s="301"/>
      <c r="I18" s="301"/>
      <c r="J18" s="302"/>
      <c r="K18" s="25"/>
    </row>
    <row r="19" spans="1:11" s="4" customFormat="1" ht="18.75" customHeight="1" x14ac:dyDescent="0.15">
      <c r="A19" s="86"/>
      <c r="B19" s="300"/>
      <c r="C19" s="301"/>
      <c r="D19" s="301"/>
      <c r="E19" s="301"/>
      <c r="F19" s="301"/>
      <c r="G19" s="301"/>
      <c r="H19" s="301"/>
      <c r="I19" s="301"/>
      <c r="J19" s="302"/>
      <c r="K19" s="25"/>
    </row>
    <row r="20" spans="1:11" s="4" customFormat="1" ht="18.75" customHeight="1" x14ac:dyDescent="0.15">
      <c r="A20" s="86"/>
      <c r="B20" s="300"/>
      <c r="C20" s="301"/>
      <c r="D20" s="301"/>
      <c r="E20" s="301"/>
      <c r="F20" s="301"/>
      <c r="G20" s="301"/>
      <c r="H20" s="301"/>
      <c r="I20" s="301"/>
      <c r="J20" s="302"/>
      <c r="K20" s="25"/>
    </row>
    <row r="21" spans="1:11" s="4" customFormat="1" ht="18.75" customHeight="1" x14ac:dyDescent="0.15">
      <c r="A21" s="86"/>
      <c r="B21" s="300"/>
      <c r="C21" s="301"/>
      <c r="D21" s="301"/>
      <c r="E21" s="301"/>
      <c r="F21" s="301"/>
      <c r="G21" s="301"/>
      <c r="H21" s="301"/>
      <c r="I21" s="301"/>
      <c r="J21" s="302"/>
      <c r="K21" s="25"/>
    </row>
    <row r="22" spans="1:11" s="4" customFormat="1" ht="18.75" customHeight="1" x14ac:dyDescent="0.15">
      <c r="A22" s="86"/>
      <c r="B22" s="300"/>
      <c r="C22" s="301"/>
      <c r="D22" s="301"/>
      <c r="E22" s="301"/>
      <c r="F22" s="301"/>
      <c r="G22" s="301"/>
      <c r="H22" s="301"/>
      <c r="I22" s="301"/>
      <c r="J22" s="302"/>
      <c r="K22" s="25"/>
    </row>
    <row r="23" spans="1:11" s="4" customFormat="1" ht="18.75" customHeight="1" x14ac:dyDescent="0.15">
      <c r="A23" s="86"/>
      <c r="B23" s="300"/>
      <c r="C23" s="301"/>
      <c r="D23" s="301"/>
      <c r="E23" s="301"/>
      <c r="F23" s="301"/>
      <c r="G23" s="301"/>
      <c r="H23" s="301"/>
      <c r="I23" s="301"/>
      <c r="J23" s="302"/>
      <c r="K23" s="25"/>
    </row>
    <row r="24" spans="1:11" s="4" customFormat="1" ht="18.75" customHeight="1" x14ac:dyDescent="0.15">
      <c r="A24" s="86"/>
      <c r="B24" s="300"/>
      <c r="C24" s="301"/>
      <c r="D24" s="301"/>
      <c r="E24" s="301"/>
      <c r="F24" s="301"/>
      <c r="G24" s="301"/>
      <c r="H24" s="301"/>
      <c r="I24" s="301"/>
      <c r="J24" s="302"/>
      <c r="K24" s="25"/>
    </row>
    <row r="25" spans="1:11" s="4" customFormat="1" ht="18.75" customHeight="1" x14ac:dyDescent="0.15">
      <c r="A25" s="86"/>
      <c r="B25" s="303"/>
      <c r="C25" s="304"/>
      <c r="D25" s="304"/>
      <c r="E25" s="304"/>
      <c r="F25" s="304"/>
      <c r="G25" s="304"/>
      <c r="H25" s="304"/>
      <c r="I25" s="304"/>
      <c r="J25" s="305"/>
      <c r="K25" s="25"/>
    </row>
    <row r="26" spans="1:11" ht="7.5" customHeight="1" x14ac:dyDescent="0.15">
      <c r="A26" s="32"/>
      <c r="B26" s="32"/>
      <c r="C26" s="32"/>
      <c r="D26" s="32"/>
      <c r="E26" s="32"/>
      <c r="F26" s="32"/>
      <c r="G26" s="32"/>
      <c r="H26" s="32"/>
      <c r="I26" s="32"/>
      <c r="J26" s="32"/>
    </row>
    <row r="27" spans="1:11" s="4" customFormat="1" ht="18.75" customHeight="1" x14ac:dyDescent="0.15">
      <c r="A27" s="1" t="s">
        <v>14</v>
      </c>
      <c r="B27" s="1" t="s">
        <v>27</v>
      </c>
      <c r="C27" s="1"/>
      <c r="D27" s="1"/>
      <c r="E27" s="1"/>
      <c r="F27" s="1"/>
      <c r="G27" s="1"/>
      <c r="H27" s="1"/>
      <c r="I27" s="1"/>
      <c r="J27" s="1"/>
      <c r="K27" s="25"/>
    </row>
    <row r="28" spans="1:11" s="23" customFormat="1" ht="18.75" customHeight="1" x14ac:dyDescent="0.15">
      <c r="B28" s="88" t="s">
        <v>121</v>
      </c>
      <c r="C28" s="89">
        <f>'様式３　履修者等数の実績'!R30</f>
        <v>0.26478873239436618</v>
      </c>
      <c r="D28" s="90"/>
      <c r="E28" s="90" t="s">
        <v>122</v>
      </c>
      <c r="F28" s="89">
        <v>0.53</v>
      </c>
      <c r="G28" s="90"/>
      <c r="H28" s="90" t="s">
        <v>123</v>
      </c>
      <c r="I28" s="91">
        <v>0.79</v>
      </c>
      <c r="J28" s="92"/>
      <c r="K28" s="25"/>
    </row>
    <row r="29" spans="1:11" s="23" customFormat="1" ht="18.75" customHeight="1" x14ac:dyDescent="0.15">
      <c r="B29" s="76" t="s">
        <v>124</v>
      </c>
      <c r="C29" s="93">
        <v>1</v>
      </c>
      <c r="D29" s="77"/>
      <c r="E29" s="77" t="s">
        <v>125</v>
      </c>
      <c r="F29" s="93">
        <v>1</v>
      </c>
      <c r="G29" s="77"/>
      <c r="H29" s="77" t="s">
        <v>126</v>
      </c>
      <c r="I29" s="94">
        <f>'様式３　履修者等数の実績'!D30</f>
        <v>2840</v>
      </c>
      <c r="J29" s="95"/>
      <c r="K29" s="29"/>
    </row>
    <row r="30" spans="1:11" s="4" customFormat="1" ht="18.75" customHeight="1" x14ac:dyDescent="0.15">
      <c r="A30" s="1"/>
      <c r="B30" s="203" t="s">
        <v>127</v>
      </c>
      <c r="C30" s="204"/>
      <c r="D30" s="204"/>
      <c r="E30" s="204"/>
      <c r="F30" s="204"/>
      <c r="G30" s="204"/>
      <c r="H30" s="204"/>
      <c r="I30" s="204"/>
      <c r="J30" s="205"/>
      <c r="K30" s="29"/>
    </row>
    <row r="31" spans="1:11" s="4" customFormat="1" ht="18.75" customHeight="1" x14ac:dyDescent="0.15">
      <c r="A31" s="1"/>
      <c r="B31" s="291" t="s">
        <v>195</v>
      </c>
      <c r="C31" s="292"/>
      <c r="D31" s="292"/>
      <c r="E31" s="292"/>
      <c r="F31" s="292"/>
      <c r="G31" s="292"/>
      <c r="H31" s="292"/>
      <c r="I31" s="292"/>
      <c r="J31" s="293"/>
      <c r="K31" s="29" t="str">
        <f>IF(B31="","入力してください","")</f>
        <v/>
      </c>
    </row>
    <row r="32" spans="1:11" s="4" customFormat="1" ht="18.75" customHeight="1" x14ac:dyDescent="0.15">
      <c r="A32" s="1"/>
      <c r="B32" s="284"/>
      <c r="C32" s="285"/>
      <c r="D32" s="285"/>
      <c r="E32" s="285"/>
      <c r="F32" s="285"/>
      <c r="G32" s="285"/>
      <c r="H32" s="285"/>
      <c r="I32" s="285"/>
      <c r="J32" s="286"/>
      <c r="K32" s="29"/>
    </row>
    <row r="33" spans="1:11" s="4" customFormat="1" ht="18.75" customHeight="1" x14ac:dyDescent="0.15">
      <c r="A33" s="1"/>
      <c r="B33" s="284"/>
      <c r="C33" s="285"/>
      <c r="D33" s="285"/>
      <c r="E33" s="285"/>
      <c r="F33" s="285"/>
      <c r="G33" s="285"/>
      <c r="H33" s="285"/>
      <c r="I33" s="285"/>
      <c r="J33" s="286"/>
      <c r="K33" s="29"/>
    </row>
    <row r="34" spans="1:11" s="4" customFormat="1" ht="18.75" customHeight="1" x14ac:dyDescent="0.15">
      <c r="A34" s="1"/>
      <c r="B34" s="284"/>
      <c r="C34" s="285"/>
      <c r="D34" s="285"/>
      <c r="E34" s="285"/>
      <c r="F34" s="285"/>
      <c r="G34" s="285"/>
      <c r="H34" s="285"/>
      <c r="I34" s="285"/>
      <c r="J34" s="286"/>
      <c r="K34" s="29"/>
    </row>
    <row r="35" spans="1:11" s="4" customFormat="1" ht="18.75" customHeight="1" x14ac:dyDescent="0.15">
      <c r="A35" s="1"/>
      <c r="B35" s="284"/>
      <c r="C35" s="285"/>
      <c r="D35" s="285"/>
      <c r="E35" s="285"/>
      <c r="F35" s="285"/>
      <c r="G35" s="285"/>
      <c r="H35" s="285"/>
      <c r="I35" s="285"/>
      <c r="J35" s="286"/>
      <c r="K35" s="29"/>
    </row>
    <row r="36" spans="1:11" s="4" customFormat="1" ht="18.75" customHeight="1" x14ac:dyDescent="0.15">
      <c r="A36" s="1"/>
      <c r="B36" s="284"/>
      <c r="C36" s="285"/>
      <c r="D36" s="285"/>
      <c r="E36" s="285"/>
      <c r="F36" s="285"/>
      <c r="G36" s="285"/>
      <c r="H36" s="285"/>
      <c r="I36" s="285"/>
      <c r="J36" s="286"/>
      <c r="K36" s="29"/>
    </row>
    <row r="37" spans="1:11" s="4" customFormat="1" ht="18.75" customHeight="1" x14ac:dyDescent="0.15">
      <c r="A37" s="1"/>
      <c r="B37" s="284"/>
      <c r="C37" s="285"/>
      <c r="D37" s="285"/>
      <c r="E37" s="285"/>
      <c r="F37" s="285"/>
      <c r="G37" s="285"/>
      <c r="H37" s="285"/>
      <c r="I37" s="285"/>
      <c r="J37" s="286"/>
      <c r="K37" s="29"/>
    </row>
    <row r="38" spans="1:11" s="4" customFormat="1" ht="18.75" customHeight="1" x14ac:dyDescent="0.15">
      <c r="A38" s="1"/>
      <c r="B38" s="284"/>
      <c r="C38" s="285"/>
      <c r="D38" s="285"/>
      <c r="E38" s="285"/>
      <c r="F38" s="285"/>
      <c r="G38" s="285"/>
      <c r="H38" s="285"/>
      <c r="I38" s="285"/>
      <c r="J38" s="286"/>
      <c r="K38" s="29"/>
    </row>
    <row r="39" spans="1:11" s="4" customFormat="1" ht="18.75" customHeight="1" x14ac:dyDescent="0.15">
      <c r="A39" s="1"/>
      <c r="B39" s="284"/>
      <c r="C39" s="285"/>
      <c r="D39" s="285"/>
      <c r="E39" s="285"/>
      <c r="F39" s="285"/>
      <c r="G39" s="285"/>
      <c r="H39" s="285"/>
      <c r="I39" s="285"/>
      <c r="J39" s="286"/>
      <c r="K39" s="29"/>
    </row>
    <row r="40" spans="1:11" s="4" customFormat="1" ht="18.75" customHeight="1" x14ac:dyDescent="0.15">
      <c r="A40" s="1"/>
      <c r="B40" s="284"/>
      <c r="C40" s="285"/>
      <c r="D40" s="285"/>
      <c r="E40" s="285"/>
      <c r="F40" s="285"/>
      <c r="G40" s="285"/>
      <c r="H40" s="285"/>
      <c r="I40" s="285"/>
      <c r="J40" s="286"/>
      <c r="K40" s="29"/>
    </row>
    <row r="41" spans="1:11" s="4" customFormat="1" ht="18.75" customHeight="1" x14ac:dyDescent="0.15">
      <c r="A41" s="1"/>
      <c r="B41" s="284"/>
      <c r="C41" s="285"/>
      <c r="D41" s="285"/>
      <c r="E41" s="285"/>
      <c r="F41" s="285"/>
      <c r="G41" s="285"/>
      <c r="H41" s="285"/>
      <c r="I41" s="285"/>
      <c r="J41" s="286"/>
      <c r="K41" s="29"/>
    </row>
    <row r="42" spans="1:11" s="4" customFormat="1" ht="18.75" customHeight="1" x14ac:dyDescent="0.15">
      <c r="A42" s="1"/>
      <c r="B42" s="284"/>
      <c r="C42" s="285"/>
      <c r="D42" s="285"/>
      <c r="E42" s="285"/>
      <c r="F42" s="285"/>
      <c r="G42" s="285"/>
      <c r="H42" s="285"/>
      <c r="I42" s="285"/>
      <c r="J42" s="286"/>
      <c r="K42" s="29"/>
    </row>
    <row r="43" spans="1:11" ht="18.75" customHeight="1" x14ac:dyDescent="0.15">
      <c r="A43" s="32"/>
      <c r="B43" s="284"/>
      <c r="C43" s="285"/>
      <c r="D43" s="285"/>
      <c r="E43" s="285"/>
      <c r="F43" s="285"/>
      <c r="G43" s="285"/>
      <c r="H43" s="285"/>
      <c r="I43" s="285"/>
      <c r="J43" s="286"/>
      <c r="K43" s="29"/>
    </row>
    <row r="44" spans="1:11" ht="18.75" customHeight="1" x14ac:dyDescent="0.15">
      <c r="A44" s="32"/>
      <c r="B44" s="287"/>
      <c r="C44" s="288"/>
      <c r="D44" s="288"/>
      <c r="E44" s="288"/>
      <c r="F44" s="288"/>
      <c r="G44" s="288"/>
      <c r="H44" s="288"/>
      <c r="I44" s="288"/>
      <c r="J44" s="289"/>
    </row>
    <row r="45" spans="1:11" s="4" customFormat="1" ht="18.75" customHeight="1" x14ac:dyDescent="0.15">
      <c r="A45" s="96" t="s">
        <v>12</v>
      </c>
      <c r="B45" s="1" t="s">
        <v>67</v>
      </c>
      <c r="C45" s="1"/>
      <c r="D45" s="1"/>
      <c r="E45" s="1"/>
      <c r="F45" s="1"/>
      <c r="G45" s="1"/>
      <c r="H45" s="1"/>
      <c r="I45" s="96"/>
      <c r="J45" s="96"/>
      <c r="K45" s="25"/>
    </row>
    <row r="46" spans="1:11" ht="18.75" customHeight="1" x14ac:dyDescent="0.15">
      <c r="A46" s="32"/>
      <c r="B46" s="272" t="s">
        <v>183</v>
      </c>
      <c r="C46" s="273"/>
      <c r="D46" s="273"/>
      <c r="E46" s="273"/>
      <c r="F46" s="273"/>
      <c r="G46" s="273"/>
      <c r="H46" s="273"/>
      <c r="I46" s="274"/>
      <c r="J46" s="275"/>
      <c r="K46" s="25" t="str">
        <f>IF(B46="","入力してください","")</f>
        <v/>
      </c>
    </row>
    <row r="47" spans="1:11" ht="18.75" customHeight="1" x14ac:dyDescent="0.15">
      <c r="A47" s="32"/>
      <c r="B47" s="276"/>
      <c r="C47" s="277"/>
      <c r="D47" s="277"/>
      <c r="E47" s="277"/>
      <c r="F47" s="277"/>
      <c r="G47" s="277"/>
      <c r="H47" s="277"/>
      <c r="I47" s="277"/>
      <c r="J47" s="278"/>
    </row>
    <row r="48" spans="1:11" ht="18.75" customHeight="1" x14ac:dyDescent="0.15">
      <c r="A48" s="32"/>
      <c r="B48" s="276"/>
      <c r="C48" s="277"/>
      <c r="D48" s="277"/>
      <c r="E48" s="277"/>
      <c r="F48" s="277"/>
      <c r="G48" s="277"/>
      <c r="H48" s="277"/>
      <c r="I48" s="277"/>
      <c r="J48" s="278"/>
    </row>
    <row r="49" spans="1:10" ht="18.75" customHeight="1" x14ac:dyDescent="0.15">
      <c r="A49" s="32"/>
      <c r="B49" s="276"/>
      <c r="C49" s="277"/>
      <c r="D49" s="277"/>
      <c r="E49" s="277"/>
      <c r="F49" s="277"/>
      <c r="G49" s="277"/>
      <c r="H49" s="277"/>
      <c r="I49" s="277"/>
      <c r="J49" s="278"/>
    </row>
    <row r="50" spans="1:10" ht="18.75" customHeight="1" x14ac:dyDescent="0.15">
      <c r="A50" s="32"/>
      <c r="B50" s="276"/>
      <c r="C50" s="277"/>
      <c r="D50" s="277"/>
      <c r="E50" s="277"/>
      <c r="F50" s="277"/>
      <c r="G50" s="277"/>
      <c r="H50" s="277"/>
      <c r="I50" s="277"/>
      <c r="J50" s="278"/>
    </row>
    <row r="51" spans="1:10" ht="18.75" customHeight="1" x14ac:dyDescent="0.15">
      <c r="A51" s="32"/>
      <c r="B51" s="276"/>
      <c r="C51" s="277"/>
      <c r="D51" s="277"/>
      <c r="E51" s="277"/>
      <c r="F51" s="277"/>
      <c r="G51" s="277"/>
      <c r="H51" s="277"/>
      <c r="I51" s="277"/>
      <c r="J51" s="278"/>
    </row>
    <row r="52" spans="1:10" ht="18.75" customHeight="1" x14ac:dyDescent="0.15">
      <c r="A52" s="32"/>
      <c r="B52" s="276"/>
      <c r="C52" s="277"/>
      <c r="D52" s="277"/>
      <c r="E52" s="277"/>
      <c r="F52" s="277"/>
      <c r="G52" s="277"/>
      <c r="H52" s="277"/>
      <c r="I52" s="277"/>
      <c r="J52" s="278"/>
    </row>
    <row r="53" spans="1:10" ht="18.75" customHeight="1" x14ac:dyDescent="0.15">
      <c r="A53" s="32"/>
      <c r="B53" s="276"/>
      <c r="C53" s="277"/>
      <c r="D53" s="277"/>
      <c r="E53" s="277"/>
      <c r="F53" s="277"/>
      <c r="G53" s="277"/>
      <c r="H53" s="277"/>
      <c r="I53" s="277"/>
      <c r="J53" s="278"/>
    </row>
    <row r="54" spans="1:10" ht="18.75" customHeight="1" x14ac:dyDescent="0.15">
      <c r="A54" s="32"/>
      <c r="B54" s="276"/>
      <c r="C54" s="277"/>
      <c r="D54" s="277"/>
      <c r="E54" s="277"/>
      <c r="F54" s="277"/>
      <c r="G54" s="277"/>
      <c r="H54" s="277"/>
      <c r="I54" s="277"/>
      <c r="J54" s="278"/>
    </row>
    <row r="55" spans="1:10" ht="18.75" customHeight="1" x14ac:dyDescent="0.15">
      <c r="A55" s="32"/>
      <c r="B55" s="276"/>
      <c r="C55" s="277"/>
      <c r="D55" s="277"/>
      <c r="E55" s="277"/>
      <c r="F55" s="277"/>
      <c r="G55" s="277"/>
      <c r="H55" s="277"/>
      <c r="I55" s="277"/>
      <c r="J55" s="278"/>
    </row>
    <row r="56" spans="1:10" ht="18.75" customHeight="1" x14ac:dyDescent="0.15">
      <c r="A56" s="32"/>
      <c r="B56" s="276"/>
      <c r="C56" s="277"/>
      <c r="D56" s="277"/>
      <c r="E56" s="277"/>
      <c r="F56" s="277"/>
      <c r="G56" s="277"/>
      <c r="H56" s="277"/>
      <c r="I56" s="277"/>
      <c r="J56" s="278"/>
    </row>
    <row r="57" spans="1:10" ht="18.75" customHeight="1" x14ac:dyDescent="0.15">
      <c r="A57" s="32"/>
      <c r="B57" s="276"/>
      <c r="C57" s="277"/>
      <c r="D57" s="277"/>
      <c r="E57" s="277"/>
      <c r="F57" s="277"/>
      <c r="G57" s="277"/>
      <c r="H57" s="277"/>
      <c r="I57" s="277"/>
      <c r="J57" s="278"/>
    </row>
    <row r="58" spans="1:10" ht="18.75" customHeight="1" x14ac:dyDescent="0.15">
      <c r="A58" s="32"/>
      <c r="B58" s="276"/>
      <c r="C58" s="277"/>
      <c r="D58" s="277"/>
      <c r="E58" s="277"/>
      <c r="F58" s="277"/>
      <c r="G58" s="277"/>
      <c r="H58" s="277"/>
      <c r="I58" s="277"/>
      <c r="J58" s="278"/>
    </row>
    <row r="59" spans="1:10" ht="18.75" customHeight="1" x14ac:dyDescent="0.15">
      <c r="A59" s="32"/>
      <c r="B59" s="276"/>
      <c r="C59" s="277"/>
      <c r="D59" s="277"/>
      <c r="E59" s="277"/>
      <c r="F59" s="277"/>
      <c r="G59" s="277"/>
      <c r="H59" s="277"/>
      <c r="I59" s="277"/>
      <c r="J59" s="278"/>
    </row>
    <row r="60" spans="1:10" ht="18.75" customHeight="1" x14ac:dyDescent="0.15">
      <c r="A60" s="32"/>
      <c r="B60" s="276"/>
      <c r="C60" s="277"/>
      <c r="D60" s="277"/>
      <c r="E60" s="277"/>
      <c r="F60" s="277"/>
      <c r="G60" s="277"/>
      <c r="H60" s="277"/>
      <c r="I60" s="277"/>
      <c r="J60" s="278"/>
    </row>
    <row r="61" spans="1:10" ht="18.75" customHeight="1" x14ac:dyDescent="0.15">
      <c r="A61" s="32"/>
      <c r="B61" s="276"/>
      <c r="C61" s="277"/>
      <c r="D61" s="277"/>
      <c r="E61" s="277"/>
      <c r="F61" s="277"/>
      <c r="G61" s="277"/>
      <c r="H61" s="277"/>
      <c r="I61" s="277"/>
      <c r="J61" s="278"/>
    </row>
    <row r="62" spans="1:10" ht="18.75" customHeight="1" x14ac:dyDescent="0.15">
      <c r="A62" s="32"/>
      <c r="B62" s="276"/>
      <c r="C62" s="277"/>
      <c r="D62" s="277"/>
      <c r="E62" s="277"/>
      <c r="F62" s="277"/>
      <c r="G62" s="277"/>
      <c r="H62" s="277"/>
      <c r="I62" s="277"/>
      <c r="J62" s="278"/>
    </row>
    <row r="63" spans="1:10" ht="18.75" customHeight="1" x14ac:dyDescent="0.15">
      <c r="A63" s="32"/>
      <c r="B63" s="276"/>
      <c r="C63" s="277"/>
      <c r="D63" s="277"/>
      <c r="E63" s="277"/>
      <c r="F63" s="277"/>
      <c r="G63" s="277"/>
      <c r="H63" s="277"/>
      <c r="I63" s="277"/>
      <c r="J63" s="278"/>
    </row>
    <row r="64" spans="1:10" ht="18.75" customHeight="1" x14ac:dyDescent="0.15">
      <c r="A64" s="32"/>
      <c r="B64" s="276"/>
      <c r="C64" s="277"/>
      <c r="D64" s="277"/>
      <c r="E64" s="277"/>
      <c r="F64" s="277"/>
      <c r="G64" s="277"/>
      <c r="H64" s="277"/>
      <c r="I64" s="277"/>
      <c r="J64" s="278"/>
    </row>
    <row r="65" spans="1:11" ht="18.75" customHeight="1" x14ac:dyDescent="0.15">
      <c r="A65" s="32"/>
      <c r="B65" s="276"/>
      <c r="C65" s="277"/>
      <c r="D65" s="277"/>
      <c r="E65" s="277"/>
      <c r="F65" s="277"/>
      <c r="G65" s="277"/>
      <c r="H65" s="277"/>
      <c r="I65" s="277"/>
      <c r="J65" s="278"/>
    </row>
    <row r="66" spans="1:11" ht="18.75" customHeight="1" x14ac:dyDescent="0.15">
      <c r="A66" s="32"/>
      <c r="B66" s="279"/>
      <c r="C66" s="280"/>
      <c r="D66" s="280"/>
      <c r="E66" s="280"/>
      <c r="F66" s="280"/>
      <c r="G66" s="280"/>
      <c r="H66" s="280"/>
      <c r="I66" s="280"/>
      <c r="J66" s="281"/>
    </row>
    <row r="67" spans="1:11" ht="7.5" customHeight="1" x14ac:dyDescent="0.15">
      <c r="A67" s="32"/>
      <c r="B67" s="32"/>
      <c r="C67" s="32"/>
      <c r="D67" s="32"/>
      <c r="E67" s="32"/>
      <c r="F67" s="32"/>
      <c r="G67" s="32"/>
      <c r="H67" s="32"/>
      <c r="I67" s="32"/>
      <c r="J67" s="32"/>
    </row>
    <row r="68" spans="1:11" s="4" customFormat="1" ht="18.75" customHeight="1" x14ac:dyDescent="0.15">
      <c r="A68" s="1" t="s">
        <v>15</v>
      </c>
      <c r="B68" s="1" t="s">
        <v>75</v>
      </c>
      <c r="C68" s="1"/>
      <c r="D68" s="1"/>
      <c r="E68" s="1"/>
      <c r="F68" s="1"/>
      <c r="G68" s="1"/>
      <c r="H68" s="1"/>
      <c r="I68" s="1"/>
      <c r="J68" s="1"/>
      <c r="K68" s="25"/>
    </row>
    <row r="69" spans="1:11" s="4" customFormat="1" ht="18.75" customHeight="1" x14ac:dyDescent="0.15">
      <c r="A69" s="1"/>
      <c r="B69" s="272" t="s">
        <v>194</v>
      </c>
      <c r="C69" s="273"/>
      <c r="D69" s="273"/>
      <c r="E69" s="273"/>
      <c r="F69" s="273"/>
      <c r="G69" s="273"/>
      <c r="H69" s="273"/>
      <c r="I69" s="282"/>
      <c r="J69" s="283"/>
      <c r="K69" s="29" t="str">
        <f>IF(B69="","入力してください","")</f>
        <v/>
      </c>
    </row>
    <row r="70" spans="1:11" s="4" customFormat="1" ht="18.75" customHeight="1" x14ac:dyDescent="0.15">
      <c r="A70" s="1"/>
      <c r="B70" s="284"/>
      <c r="C70" s="285"/>
      <c r="D70" s="285"/>
      <c r="E70" s="285"/>
      <c r="F70" s="285"/>
      <c r="G70" s="285"/>
      <c r="H70" s="285"/>
      <c r="I70" s="285"/>
      <c r="J70" s="286"/>
      <c r="K70" s="29"/>
    </row>
    <row r="71" spans="1:11" s="4" customFormat="1" ht="18.75" customHeight="1" x14ac:dyDescent="0.15">
      <c r="A71" s="1"/>
      <c r="B71" s="284"/>
      <c r="C71" s="285"/>
      <c r="D71" s="285"/>
      <c r="E71" s="285"/>
      <c r="F71" s="285"/>
      <c r="G71" s="285"/>
      <c r="H71" s="285"/>
      <c r="I71" s="285"/>
      <c r="J71" s="286"/>
      <c r="K71" s="29"/>
    </row>
    <row r="72" spans="1:11" s="4" customFormat="1" ht="18.75" customHeight="1" x14ac:dyDescent="0.15">
      <c r="A72" s="1"/>
      <c r="B72" s="284"/>
      <c r="C72" s="285"/>
      <c r="D72" s="285"/>
      <c r="E72" s="285"/>
      <c r="F72" s="285"/>
      <c r="G72" s="285"/>
      <c r="H72" s="285"/>
      <c r="I72" s="285"/>
      <c r="J72" s="286"/>
      <c r="K72" s="29"/>
    </row>
    <row r="73" spans="1:11" s="4" customFormat="1" ht="18.75" customHeight="1" x14ac:dyDescent="0.15">
      <c r="A73" s="1"/>
      <c r="B73" s="284"/>
      <c r="C73" s="285"/>
      <c r="D73" s="285"/>
      <c r="E73" s="285"/>
      <c r="F73" s="285"/>
      <c r="G73" s="285"/>
      <c r="H73" s="285"/>
      <c r="I73" s="285"/>
      <c r="J73" s="286"/>
      <c r="K73" s="29"/>
    </row>
    <row r="74" spans="1:11" s="4" customFormat="1" ht="18.75" customHeight="1" x14ac:dyDescent="0.15">
      <c r="A74" s="1"/>
      <c r="B74" s="284"/>
      <c r="C74" s="285"/>
      <c r="D74" s="285"/>
      <c r="E74" s="285"/>
      <c r="F74" s="285"/>
      <c r="G74" s="285"/>
      <c r="H74" s="285"/>
      <c r="I74" s="285"/>
      <c r="J74" s="286"/>
      <c r="K74" s="29"/>
    </row>
    <row r="75" spans="1:11" s="4" customFormat="1" ht="18.75" customHeight="1" x14ac:dyDescent="0.15">
      <c r="A75" s="1"/>
      <c r="B75" s="284"/>
      <c r="C75" s="285"/>
      <c r="D75" s="285"/>
      <c r="E75" s="285"/>
      <c r="F75" s="285"/>
      <c r="G75" s="285"/>
      <c r="H75" s="285"/>
      <c r="I75" s="285"/>
      <c r="J75" s="286"/>
      <c r="K75" s="29"/>
    </row>
    <row r="76" spans="1:11" s="4" customFormat="1" ht="18.75" customHeight="1" x14ac:dyDescent="0.15">
      <c r="A76" s="1"/>
      <c r="B76" s="284"/>
      <c r="C76" s="285"/>
      <c r="D76" s="285"/>
      <c r="E76" s="285"/>
      <c r="F76" s="285"/>
      <c r="G76" s="285"/>
      <c r="H76" s="285"/>
      <c r="I76" s="285"/>
      <c r="J76" s="286"/>
      <c r="K76" s="29"/>
    </row>
    <row r="77" spans="1:11" s="4" customFormat="1" ht="18.75" customHeight="1" x14ac:dyDescent="0.15">
      <c r="A77" s="1"/>
      <c r="B77" s="284"/>
      <c r="C77" s="285"/>
      <c r="D77" s="285"/>
      <c r="E77" s="285"/>
      <c r="F77" s="285"/>
      <c r="G77" s="285"/>
      <c r="H77" s="285"/>
      <c r="I77" s="285"/>
      <c r="J77" s="286"/>
      <c r="K77" s="29"/>
    </row>
    <row r="78" spans="1:11" s="4" customFormat="1" ht="18.75" customHeight="1" x14ac:dyDescent="0.15">
      <c r="A78" s="1"/>
      <c r="B78" s="284"/>
      <c r="C78" s="285"/>
      <c r="D78" s="285"/>
      <c r="E78" s="285"/>
      <c r="F78" s="285"/>
      <c r="G78" s="285"/>
      <c r="H78" s="285"/>
      <c r="I78" s="285"/>
      <c r="J78" s="286"/>
      <c r="K78" s="29"/>
    </row>
    <row r="79" spans="1:11" s="4" customFormat="1" ht="18.75" customHeight="1" x14ac:dyDescent="0.15">
      <c r="A79" s="1"/>
      <c r="B79" s="284"/>
      <c r="C79" s="285"/>
      <c r="D79" s="285"/>
      <c r="E79" s="285"/>
      <c r="F79" s="285"/>
      <c r="G79" s="285"/>
      <c r="H79" s="285"/>
      <c r="I79" s="285"/>
      <c r="J79" s="286"/>
      <c r="K79" s="29"/>
    </row>
    <row r="80" spans="1:11" s="4" customFormat="1" ht="18.75" customHeight="1" x14ac:dyDescent="0.15">
      <c r="A80" s="1"/>
      <c r="B80" s="284"/>
      <c r="C80" s="285"/>
      <c r="D80" s="285"/>
      <c r="E80" s="285"/>
      <c r="F80" s="285"/>
      <c r="G80" s="285"/>
      <c r="H80" s="285"/>
      <c r="I80" s="285"/>
      <c r="J80" s="286"/>
      <c r="K80" s="29"/>
    </row>
    <row r="81" spans="1:11" s="4" customFormat="1" ht="18.75" customHeight="1" x14ac:dyDescent="0.15">
      <c r="A81" s="1"/>
      <c r="B81" s="284"/>
      <c r="C81" s="285"/>
      <c r="D81" s="285"/>
      <c r="E81" s="285"/>
      <c r="F81" s="285"/>
      <c r="G81" s="285"/>
      <c r="H81" s="285"/>
      <c r="I81" s="285"/>
      <c r="J81" s="286"/>
      <c r="K81" s="29"/>
    </row>
    <row r="82" spans="1:11" s="4" customFormat="1" ht="18.75" customHeight="1" x14ac:dyDescent="0.15">
      <c r="A82" s="1"/>
      <c r="B82" s="284"/>
      <c r="C82" s="285"/>
      <c r="D82" s="285"/>
      <c r="E82" s="285"/>
      <c r="F82" s="285"/>
      <c r="G82" s="285"/>
      <c r="H82" s="285"/>
      <c r="I82" s="285"/>
      <c r="J82" s="286"/>
      <c r="K82" s="29"/>
    </row>
    <row r="83" spans="1:11" s="4" customFormat="1" ht="18.75" customHeight="1" x14ac:dyDescent="0.15">
      <c r="A83" s="1"/>
      <c r="B83" s="284"/>
      <c r="C83" s="285"/>
      <c r="D83" s="285"/>
      <c r="E83" s="285"/>
      <c r="F83" s="285"/>
      <c r="G83" s="285"/>
      <c r="H83" s="285"/>
      <c r="I83" s="285"/>
      <c r="J83" s="286"/>
      <c r="K83" s="29"/>
    </row>
    <row r="84" spans="1:11" s="4" customFormat="1" ht="18.75" customHeight="1" x14ac:dyDescent="0.15">
      <c r="A84" s="1"/>
      <c r="B84" s="284"/>
      <c r="C84" s="285"/>
      <c r="D84" s="285"/>
      <c r="E84" s="285"/>
      <c r="F84" s="285"/>
      <c r="G84" s="285"/>
      <c r="H84" s="285"/>
      <c r="I84" s="285"/>
      <c r="J84" s="286"/>
      <c r="K84" s="29"/>
    </row>
    <row r="85" spans="1:11" ht="18.75" customHeight="1" x14ac:dyDescent="0.15">
      <c r="A85" s="32"/>
      <c r="B85" s="284"/>
      <c r="C85" s="285"/>
      <c r="D85" s="285"/>
      <c r="E85" s="285"/>
      <c r="F85" s="285"/>
      <c r="G85" s="285"/>
      <c r="H85" s="285"/>
      <c r="I85" s="285"/>
      <c r="J85" s="286"/>
      <c r="K85" s="29"/>
    </row>
    <row r="86" spans="1:11" ht="18.75" customHeight="1" x14ac:dyDescent="0.15">
      <c r="A86" s="32"/>
      <c r="B86" s="287"/>
      <c r="C86" s="288"/>
      <c r="D86" s="288"/>
      <c r="E86" s="288"/>
      <c r="F86" s="288"/>
      <c r="G86" s="288"/>
      <c r="H86" s="288"/>
      <c r="I86" s="288"/>
      <c r="J86" s="289"/>
      <c r="K86" s="29"/>
    </row>
    <row r="87" spans="1:11" ht="7.5" customHeight="1" x14ac:dyDescent="0.15">
      <c r="A87" s="32"/>
      <c r="B87" s="32"/>
      <c r="C87" s="32"/>
      <c r="D87" s="32"/>
      <c r="E87" s="32"/>
      <c r="F87" s="32"/>
      <c r="G87" s="32"/>
      <c r="H87" s="32"/>
      <c r="I87" s="32"/>
      <c r="J87" s="32"/>
    </row>
    <row r="88" spans="1:11" s="4" customFormat="1" ht="18.75" customHeight="1" x14ac:dyDescent="0.15">
      <c r="A88" s="1" t="s">
        <v>13</v>
      </c>
      <c r="B88" s="1" t="s">
        <v>29</v>
      </c>
      <c r="C88" s="1"/>
      <c r="D88" s="1"/>
      <c r="E88" s="1"/>
      <c r="F88" s="1"/>
      <c r="G88" s="1"/>
      <c r="H88" s="1"/>
      <c r="I88" s="1"/>
      <c r="J88" s="1"/>
      <c r="K88" s="25"/>
    </row>
    <row r="89" spans="1:11" s="4" customFormat="1" ht="18.75" customHeight="1" x14ac:dyDescent="0.15">
      <c r="A89" s="1"/>
      <c r="B89" s="272" t="s">
        <v>196</v>
      </c>
      <c r="C89" s="273"/>
      <c r="D89" s="273"/>
      <c r="E89" s="273"/>
      <c r="F89" s="273"/>
      <c r="G89" s="273"/>
      <c r="H89" s="273"/>
      <c r="I89" s="282"/>
      <c r="J89" s="283"/>
      <c r="K89" s="25"/>
    </row>
    <row r="90" spans="1:11" s="4" customFormat="1" ht="18.75" customHeight="1" x14ac:dyDescent="0.15">
      <c r="A90" s="1"/>
      <c r="B90" s="284"/>
      <c r="C90" s="285"/>
      <c r="D90" s="285"/>
      <c r="E90" s="285"/>
      <c r="F90" s="285"/>
      <c r="G90" s="285"/>
      <c r="H90" s="285"/>
      <c r="I90" s="285"/>
      <c r="J90" s="286"/>
      <c r="K90" s="29"/>
    </row>
    <row r="91" spans="1:11" s="4" customFormat="1" ht="18.75" customHeight="1" x14ac:dyDescent="0.15">
      <c r="A91" s="1"/>
      <c r="B91" s="284"/>
      <c r="C91" s="285"/>
      <c r="D91" s="285"/>
      <c r="E91" s="285"/>
      <c r="F91" s="285"/>
      <c r="G91" s="285"/>
      <c r="H91" s="285"/>
      <c r="I91" s="285"/>
      <c r="J91" s="286"/>
      <c r="K91" s="29" t="str">
        <f>IF(B89="","入力してください","")</f>
        <v/>
      </c>
    </row>
    <row r="92" spans="1:11" s="4" customFormat="1" ht="18.75" customHeight="1" x14ac:dyDescent="0.15">
      <c r="A92" s="1"/>
      <c r="B92" s="284"/>
      <c r="C92" s="285"/>
      <c r="D92" s="285"/>
      <c r="E92" s="285"/>
      <c r="F92" s="285"/>
      <c r="G92" s="285"/>
      <c r="H92" s="285"/>
      <c r="I92" s="285"/>
      <c r="J92" s="286"/>
      <c r="K92" s="29"/>
    </row>
    <row r="93" spans="1:11" s="4" customFormat="1" ht="18.75" customHeight="1" x14ac:dyDescent="0.15">
      <c r="A93" s="1"/>
      <c r="B93" s="284"/>
      <c r="C93" s="285"/>
      <c r="D93" s="285"/>
      <c r="E93" s="285"/>
      <c r="F93" s="285"/>
      <c r="G93" s="285"/>
      <c r="H93" s="285"/>
      <c r="I93" s="285"/>
      <c r="J93" s="286"/>
      <c r="K93" s="29"/>
    </row>
    <row r="94" spans="1:11" s="4" customFormat="1" ht="18.75" customHeight="1" x14ac:dyDescent="0.15">
      <c r="A94" s="1"/>
      <c r="B94" s="284"/>
      <c r="C94" s="285"/>
      <c r="D94" s="285"/>
      <c r="E94" s="285"/>
      <c r="F94" s="285"/>
      <c r="G94" s="285"/>
      <c r="H94" s="285"/>
      <c r="I94" s="285"/>
      <c r="J94" s="286"/>
      <c r="K94" s="29"/>
    </row>
    <row r="95" spans="1:11" s="4" customFormat="1" ht="18.75" customHeight="1" x14ac:dyDescent="0.15">
      <c r="A95" s="1"/>
      <c r="B95" s="284"/>
      <c r="C95" s="285"/>
      <c r="D95" s="285"/>
      <c r="E95" s="285"/>
      <c r="F95" s="285"/>
      <c r="G95" s="285"/>
      <c r="H95" s="285"/>
      <c r="I95" s="285"/>
      <c r="J95" s="286"/>
      <c r="K95" s="29"/>
    </row>
    <row r="96" spans="1:11" s="4" customFormat="1" ht="18.75" customHeight="1" x14ac:dyDescent="0.15">
      <c r="A96" s="1"/>
      <c r="B96" s="284"/>
      <c r="C96" s="285"/>
      <c r="D96" s="285"/>
      <c r="E96" s="285"/>
      <c r="F96" s="285"/>
      <c r="G96" s="285"/>
      <c r="H96" s="285"/>
      <c r="I96" s="285"/>
      <c r="J96" s="286"/>
      <c r="K96" s="29"/>
    </row>
    <row r="97" spans="1:11" s="4" customFormat="1" ht="18.75" customHeight="1" x14ac:dyDescent="0.15">
      <c r="A97" s="1"/>
      <c r="B97" s="284"/>
      <c r="C97" s="285"/>
      <c r="D97" s="285"/>
      <c r="E97" s="285"/>
      <c r="F97" s="285"/>
      <c r="G97" s="285"/>
      <c r="H97" s="285"/>
      <c r="I97" s="285"/>
      <c r="J97" s="286"/>
      <c r="K97" s="29"/>
    </row>
    <row r="98" spans="1:11" s="4" customFormat="1" ht="18.75" customHeight="1" x14ac:dyDescent="0.15">
      <c r="A98" s="1"/>
      <c r="B98" s="284"/>
      <c r="C98" s="285"/>
      <c r="D98" s="285"/>
      <c r="E98" s="285"/>
      <c r="F98" s="285"/>
      <c r="G98" s="285"/>
      <c r="H98" s="285"/>
      <c r="I98" s="285"/>
      <c r="J98" s="286"/>
      <c r="K98" s="29"/>
    </row>
    <row r="99" spans="1:11" s="4" customFormat="1" ht="18.75" customHeight="1" x14ac:dyDescent="0.15">
      <c r="A99" s="1"/>
      <c r="B99" s="284"/>
      <c r="C99" s="285"/>
      <c r="D99" s="285"/>
      <c r="E99" s="285"/>
      <c r="F99" s="285"/>
      <c r="G99" s="285"/>
      <c r="H99" s="285"/>
      <c r="I99" s="285"/>
      <c r="J99" s="286"/>
      <c r="K99" s="29"/>
    </row>
    <row r="100" spans="1:11" s="4" customFormat="1" ht="18.75" customHeight="1" x14ac:dyDescent="0.15">
      <c r="A100" s="1"/>
      <c r="B100" s="284"/>
      <c r="C100" s="285"/>
      <c r="D100" s="285"/>
      <c r="E100" s="285"/>
      <c r="F100" s="285"/>
      <c r="G100" s="285"/>
      <c r="H100" s="285"/>
      <c r="I100" s="285"/>
      <c r="J100" s="286"/>
      <c r="K100" s="29"/>
    </row>
    <row r="101" spans="1:11" s="4" customFormat="1" ht="18.75" customHeight="1" x14ac:dyDescent="0.15">
      <c r="A101" s="1"/>
      <c r="B101" s="284"/>
      <c r="C101" s="285"/>
      <c r="D101" s="285"/>
      <c r="E101" s="285"/>
      <c r="F101" s="285"/>
      <c r="G101" s="285"/>
      <c r="H101" s="285"/>
      <c r="I101" s="285"/>
      <c r="J101" s="286"/>
      <c r="K101" s="29"/>
    </row>
    <row r="102" spans="1:11" s="4" customFormat="1" ht="18.75" customHeight="1" x14ac:dyDescent="0.15">
      <c r="A102" s="1"/>
      <c r="B102" s="284"/>
      <c r="C102" s="285"/>
      <c r="D102" s="285"/>
      <c r="E102" s="285"/>
      <c r="F102" s="285"/>
      <c r="G102" s="285"/>
      <c r="H102" s="285"/>
      <c r="I102" s="285"/>
      <c r="J102" s="286"/>
      <c r="K102" s="29"/>
    </row>
    <row r="103" spans="1:11" s="4" customFormat="1" ht="18.75" customHeight="1" x14ac:dyDescent="0.15">
      <c r="A103" s="1"/>
      <c r="B103" s="284"/>
      <c r="C103" s="285"/>
      <c r="D103" s="285"/>
      <c r="E103" s="285"/>
      <c r="F103" s="285"/>
      <c r="G103" s="285"/>
      <c r="H103" s="285"/>
      <c r="I103" s="285"/>
      <c r="J103" s="286"/>
      <c r="K103" s="29"/>
    </row>
    <row r="104" spans="1:11" s="4" customFormat="1" ht="18.75" customHeight="1" x14ac:dyDescent="0.15">
      <c r="A104" s="1"/>
      <c r="B104" s="284"/>
      <c r="C104" s="285"/>
      <c r="D104" s="285"/>
      <c r="E104" s="285"/>
      <c r="F104" s="285"/>
      <c r="G104" s="285"/>
      <c r="H104" s="285"/>
      <c r="I104" s="285"/>
      <c r="J104" s="286"/>
      <c r="K104" s="29"/>
    </row>
    <row r="105" spans="1:11" s="4" customFormat="1" ht="18.75" customHeight="1" x14ac:dyDescent="0.15">
      <c r="A105" s="1"/>
      <c r="B105" s="284"/>
      <c r="C105" s="285"/>
      <c r="D105" s="285"/>
      <c r="E105" s="285"/>
      <c r="F105" s="285"/>
      <c r="G105" s="285"/>
      <c r="H105" s="285"/>
      <c r="I105" s="285"/>
      <c r="J105" s="286"/>
      <c r="K105" s="29"/>
    </row>
    <row r="106" spans="1:11" s="4" customFormat="1" ht="18.75" customHeight="1" x14ac:dyDescent="0.15">
      <c r="A106" s="1"/>
      <c r="B106" s="284"/>
      <c r="C106" s="285"/>
      <c r="D106" s="285"/>
      <c r="E106" s="285"/>
      <c r="F106" s="285"/>
      <c r="G106" s="285"/>
      <c r="H106" s="285"/>
      <c r="I106" s="285"/>
      <c r="J106" s="286"/>
      <c r="K106" s="29"/>
    </row>
    <row r="107" spans="1:11" ht="18.75" customHeight="1" x14ac:dyDescent="0.15">
      <c r="A107" s="32"/>
      <c r="B107" s="284"/>
      <c r="C107" s="285"/>
      <c r="D107" s="285"/>
      <c r="E107" s="285"/>
      <c r="F107" s="285"/>
      <c r="G107" s="285"/>
      <c r="H107" s="285"/>
      <c r="I107" s="285"/>
      <c r="J107" s="286"/>
      <c r="K107" s="29"/>
    </row>
    <row r="108" spans="1:11" ht="18.75" customHeight="1" x14ac:dyDescent="0.15">
      <c r="A108" s="32"/>
      <c r="B108" s="287"/>
      <c r="C108" s="288"/>
      <c r="D108" s="288"/>
      <c r="E108" s="288"/>
      <c r="F108" s="288"/>
      <c r="G108" s="288"/>
      <c r="H108" s="288"/>
      <c r="I108" s="288"/>
      <c r="J108" s="289"/>
      <c r="K108" s="29"/>
    </row>
    <row r="109" spans="1:11" ht="7.5" customHeight="1" x14ac:dyDescent="0.15">
      <c r="A109" s="32"/>
      <c r="B109" s="32"/>
      <c r="C109" s="32"/>
      <c r="D109" s="32"/>
      <c r="E109" s="32"/>
      <c r="F109" s="32"/>
      <c r="G109" s="32"/>
      <c r="H109" s="32"/>
      <c r="I109" s="32"/>
      <c r="J109" s="32"/>
    </row>
    <row r="110" spans="1:11" s="4" customFormat="1" ht="18.75" customHeight="1" x14ac:dyDescent="0.15">
      <c r="A110" s="1" t="s">
        <v>55</v>
      </c>
      <c r="B110" s="290" t="s">
        <v>86</v>
      </c>
      <c r="C110" s="290"/>
      <c r="D110" s="290"/>
      <c r="E110" s="290"/>
      <c r="F110" s="290"/>
      <c r="G110" s="290"/>
      <c r="H110" s="290"/>
      <c r="I110" s="290"/>
      <c r="J110" s="290"/>
      <c r="K110" s="25"/>
    </row>
    <row r="111" spans="1:11" ht="18.75" customHeight="1" x14ac:dyDescent="0.15">
      <c r="A111" s="32"/>
      <c r="B111" s="272" t="s">
        <v>206</v>
      </c>
      <c r="C111" s="273"/>
      <c r="D111" s="273"/>
      <c r="E111" s="273"/>
      <c r="F111" s="273"/>
      <c r="G111" s="273"/>
      <c r="H111" s="273"/>
      <c r="I111" s="282"/>
      <c r="J111" s="283"/>
    </row>
    <row r="112" spans="1:11" ht="18.75" customHeight="1" x14ac:dyDescent="0.15">
      <c r="A112" s="32"/>
      <c r="B112" s="284"/>
      <c r="C112" s="285"/>
      <c r="D112" s="285"/>
      <c r="E112" s="285"/>
      <c r="F112" s="285"/>
      <c r="G112" s="285"/>
      <c r="H112" s="285"/>
      <c r="I112" s="285"/>
      <c r="J112" s="286"/>
      <c r="K112" s="29"/>
    </row>
    <row r="113" spans="1:11" ht="18.75" customHeight="1" x14ac:dyDescent="0.15">
      <c r="A113" s="32"/>
      <c r="B113" s="284"/>
      <c r="C113" s="285"/>
      <c r="D113" s="285"/>
      <c r="E113" s="285"/>
      <c r="F113" s="285"/>
      <c r="G113" s="285"/>
      <c r="H113" s="285"/>
      <c r="I113" s="285"/>
      <c r="J113" s="286"/>
      <c r="K113" s="25" t="str">
        <f>IF(B111="","入力してください","")</f>
        <v/>
      </c>
    </row>
    <row r="114" spans="1:11" ht="18.75" customHeight="1" x14ac:dyDescent="0.15">
      <c r="A114" s="32"/>
      <c r="B114" s="284"/>
      <c r="C114" s="285"/>
      <c r="D114" s="285"/>
      <c r="E114" s="285"/>
      <c r="F114" s="285"/>
      <c r="G114" s="285"/>
      <c r="H114" s="285"/>
      <c r="I114" s="285"/>
      <c r="J114" s="286"/>
    </row>
    <row r="115" spans="1:11" ht="18.75" customHeight="1" x14ac:dyDescent="0.15">
      <c r="A115" s="32"/>
      <c r="B115" s="284"/>
      <c r="C115" s="285"/>
      <c r="D115" s="285"/>
      <c r="E115" s="285"/>
      <c r="F115" s="285"/>
      <c r="G115" s="285"/>
      <c r="H115" s="285"/>
      <c r="I115" s="285"/>
      <c r="J115" s="286"/>
    </row>
    <row r="116" spans="1:11" ht="18.75" customHeight="1" x14ac:dyDescent="0.15">
      <c r="A116" s="32"/>
      <c r="B116" s="284"/>
      <c r="C116" s="285"/>
      <c r="D116" s="285"/>
      <c r="E116" s="285"/>
      <c r="F116" s="285"/>
      <c r="G116" s="285"/>
      <c r="H116" s="285"/>
      <c r="I116" s="285"/>
      <c r="J116" s="286"/>
    </row>
    <row r="117" spans="1:11" ht="18.75" customHeight="1" x14ac:dyDescent="0.15">
      <c r="A117" s="32"/>
      <c r="B117" s="284"/>
      <c r="C117" s="285"/>
      <c r="D117" s="285"/>
      <c r="E117" s="285"/>
      <c r="F117" s="285"/>
      <c r="G117" s="285"/>
      <c r="H117" s="285"/>
      <c r="I117" s="285"/>
      <c r="J117" s="286"/>
    </row>
    <row r="118" spans="1:11" ht="18.75" customHeight="1" x14ac:dyDescent="0.15">
      <c r="A118" s="32"/>
      <c r="B118" s="284"/>
      <c r="C118" s="285"/>
      <c r="D118" s="285"/>
      <c r="E118" s="285"/>
      <c r="F118" s="285"/>
      <c r="G118" s="285"/>
      <c r="H118" s="285"/>
      <c r="I118" s="285"/>
      <c r="J118" s="286"/>
    </row>
    <row r="119" spans="1:11" ht="18.75" customHeight="1" x14ac:dyDescent="0.15">
      <c r="A119" s="32"/>
      <c r="B119" s="284"/>
      <c r="C119" s="285"/>
      <c r="D119" s="285"/>
      <c r="E119" s="285"/>
      <c r="F119" s="285"/>
      <c r="G119" s="285"/>
      <c r="H119" s="285"/>
      <c r="I119" s="285"/>
      <c r="J119" s="286"/>
    </row>
    <row r="120" spans="1:11" ht="18.75" customHeight="1" x14ac:dyDescent="0.15">
      <c r="A120" s="32"/>
      <c r="B120" s="284"/>
      <c r="C120" s="285"/>
      <c r="D120" s="285"/>
      <c r="E120" s="285"/>
      <c r="F120" s="285"/>
      <c r="G120" s="285"/>
      <c r="H120" s="285"/>
      <c r="I120" s="285"/>
      <c r="J120" s="286"/>
    </row>
    <row r="121" spans="1:11" ht="18.75" customHeight="1" x14ac:dyDescent="0.15">
      <c r="A121" s="32"/>
      <c r="B121" s="284"/>
      <c r="C121" s="285"/>
      <c r="D121" s="285"/>
      <c r="E121" s="285"/>
      <c r="F121" s="285"/>
      <c r="G121" s="285"/>
      <c r="H121" s="285"/>
      <c r="I121" s="285"/>
      <c r="J121" s="286"/>
    </row>
    <row r="122" spans="1:11" ht="18.75" customHeight="1" x14ac:dyDescent="0.15">
      <c r="A122" s="32"/>
      <c r="B122" s="284"/>
      <c r="C122" s="285"/>
      <c r="D122" s="285"/>
      <c r="E122" s="285"/>
      <c r="F122" s="285"/>
      <c r="G122" s="285"/>
      <c r="H122" s="285"/>
      <c r="I122" s="285"/>
      <c r="J122" s="286"/>
    </row>
    <row r="123" spans="1:11" ht="18.75" customHeight="1" x14ac:dyDescent="0.15">
      <c r="A123" s="32"/>
      <c r="B123" s="284"/>
      <c r="C123" s="285"/>
      <c r="D123" s="285"/>
      <c r="E123" s="285"/>
      <c r="F123" s="285"/>
      <c r="G123" s="285"/>
      <c r="H123" s="285"/>
      <c r="I123" s="285"/>
      <c r="J123" s="286"/>
    </row>
    <row r="124" spans="1:11" ht="18.75" customHeight="1" x14ac:dyDescent="0.15">
      <c r="A124" s="32"/>
      <c r="B124" s="284"/>
      <c r="C124" s="285"/>
      <c r="D124" s="285"/>
      <c r="E124" s="285"/>
      <c r="F124" s="285"/>
      <c r="G124" s="285"/>
      <c r="H124" s="285"/>
      <c r="I124" s="285"/>
      <c r="J124" s="286"/>
    </row>
    <row r="125" spans="1:11" ht="18.75" customHeight="1" x14ac:dyDescent="0.15">
      <c r="A125" s="32"/>
      <c r="B125" s="284"/>
      <c r="C125" s="285"/>
      <c r="D125" s="285"/>
      <c r="E125" s="285"/>
      <c r="F125" s="285"/>
      <c r="G125" s="285"/>
      <c r="H125" s="285"/>
      <c r="I125" s="285"/>
      <c r="J125" s="286"/>
    </row>
    <row r="126" spans="1:11" ht="18.75" customHeight="1" x14ac:dyDescent="0.15">
      <c r="A126" s="32"/>
      <c r="B126" s="284"/>
      <c r="C126" s="285"/>
      <c r="D126" s="285"/>
      <c r="E126" s="285"/>
      <c r="F126" s="285"/>
      <c r="G126" s="285"/>
      <c r="H126" s="285"/>
      <c r="I126" s="285"/>
      <c r="J126" s="286"/>
    </row>
    <row r="127" spans="1:11" ht="18.75" customHeight="1" x14ac:dyDescent="0.15">
      <c r="A127" s="32"/>
      <c r="B127" s="284"/>
      <c r="C127" s="285"/>
      <c r="D127" s="285"/>
      <c r="E127" s="285"/>
      <c r="F127" s="285"/>
      <c r="G127" s="285"/>
      <c r="H127" s="285"/>
      <c r="I127" s="285"/>
      <c r="J127" s="286"/>
    </row>
    <row r="128" spans="1:11" ht="18.75" customHeight="1" x14ac:dyDescent="0.15">
      <c r="A128" s="32"/>
      <c r="B128" s="284"/>
      <c r="C128" s="285"/>
      <c r="D128" s="285"/>
      <c r="E128" s="285"/>
      <c r="F128" s="285"/>
      <c r="G128" s="285"/>
      <c r="H128" s="285"/>
      <c r="I128" s="285"/>
      <c r="J128" s="286"/>
    </row>
    <row r="129" spans="1:10" ht="18.75" customHeight="1" x14ac:dyDescent="0.15">
      <c r="A129" s="32"/>
      <c r="B129" s="287"/>
      <c r="C129" s="288"/>
      <c r="D129" s="288"/>
      <c r="E129" s="288"/>
      <c r="F129" s="288"/>
      <c r="G129" s="288"/>
      <c r="H129" s="288"/>
      <c r="I129" s="288"/>
      <c r="J129" s="289"/>
    </row>
    <row r="130" spans="1:10" ht="7.5" customHeight="1" x14ac:dyDescent="0.15">
      <c r="A130" s="32"/>
      <c r="B130" s="97"/>
      <c r="C130" s="97"/>
      <c r="D130" s="97"/>
      <c r="E130" s="97"/>
      <c r="F130" s="97"/>
      <c r="G130" s="97"/>
      <c r="H130" s="97"/>
      <c r="I130" s="97"/>
      <c r="J130" s="97"/>
    </row>
    <row r="131" spans="1:10" ht="18.75" customHeight="1" x14ac:dyDescent="0.15">
      <c r="A131" s="32"/>
      <c r="B131" s="32"/>
      <c r="C131" s="32"/>
      <c r="D131" s="32"/>
      <c r="E131" s="32"/>
      <c r="F131" s="32"/>
      <c r="G131" s="32"/>
      <c r="H131" s="32"/>
      <c r="I131" s="32"/>
      <c r="J131" s="32"/>
    </row>
    <row r="132" spans="1:10" ht="18.75" customHeight="1" x14ac:dyDescent="0.15">
      <c r="A132" s="32"/>
      <c r="B132" s="32"/>
      <c r="C132" s="32"/>
      <c r="D132" s="32"/>
      <c r="E132" s="32"/>
      <c r="F132" s="32"/>
      <c r="G132" s="32"/>
      <c r="H132" s="32"/>
      <c r="I132" s="32"/>
      <c r="J132" s="32"/>
    </row>
    <row r="133" spans="1:10" ht="18.75" customHeight="1" x14ac:dyDescent="0.15">
      <c r="A133" s="32"/>
      <c r="B133" s="32"/>
      <c r="C133" s="32"/>
      <c r="D133" s="32"/>
      <c r="E133" s="32"/>
      <c r="F133" s="32"/>
      <c r="G133" s="32"/>
      <c r="H133" s="32"/>
      <c r="I133" s="32"/>
      <c r="J133" s="32"/>
    </row>
    <row r="134" spans="1:10" ht="18.75" customHeight="1" x14ac:dyDescent="0.15">
      <c r="A134" s="32"/>
      <c r="B134" s="32"/>
      <c r="C134" s="32"/>
      <c r="D134" s="32"/>
      <c r="E134" s="32"/>
      <c r="F134" s="32"/>
      <c r="G134" s="32"/>
      <c r="H134" s="32"/>
      <c r="I134" s="32"/>
      <c r="J134" s="32"/>
    </row>
    <row r="135" spans="1:10" ht="18.75" customHeight="1" x14ac:dyDescent="0.15">
      <c r="A135" s="32"/>
      <c r="B135" s="32"/>
      <c r="C135" s="32"/>
      <c r="D135" s="32"/>
      <c r="E135" s="32"/>
      <c r="F135" s="32"/>
      <c r="G135" s="32"/>
      <c r="H135" s="32"/>
      <c r="I135" s="32"/>
      <c r="J135" s="32"/>
    </row>
    <row r="136" spans="1:10" ht="18.75" customHeight="1" x14ac:dyDescent="0.15">
      <c r="A136" s="32"/>
      <c r="B136" s="32"/>
      <c r="C136" s="32"/>
      <c r="D136" s="32"/>
      <c r="E136" s="32"/>
      <c r="F136" s="32"/>
      <c r="G136" s="32"/>
      <c r="H136" s="32"/>
      <c r="I136" s="32"/>
      <c r="J136" s="32"/>
    </row>
    <row r="137" spans="1:10" ht="18.75" customHeight="1" x14ac:dyDescent="0.15">
      <c r="A137" s="32"/>
      <c r="B137" s="32"/>
      <c r="C137" s="32"/>
      <c r="D137" s="32"/>
      <c r="E137" s="32"/>
      <c r="F137" s="32"/>
      <c r="G137" s="32"/>
      <c r="H137" s="32"/>
      <c r="I137" s="32"/>
      <c r="J137" s="32"/>
    </row>
    <row r="138" spans="1:10" ht="18.75" customHeight="1" x14ac:dyDescent="0.15">
      <c r="A138" s="32"/>
      <c r="B138" s="32"/>
      <c r="C138" s="32"/>
      <c r="D138" s="32"/>
      <c r="E138" s="32"/>
      <c r="F138" s="32"/>
      <c r="G138" s="32"/>
      <c r="H138" s="32"/>
      <c r="I138" s="32"/>
      <c r="J138" s="32"/>
    </row>
    <row r="139" spans="1:10" ht="18.75" customHeight="1" x14ac:dyDescent="0.15">
      <c r="A139" s="32"/>
      <c r="B139" s="32"/>
      <c r="C139" s="32"/>
      <c r="D139" s="32"/>
      <c r="E139" s="32"/>
      <c r="F139" s="32"/>
      <c r="G139" s="32"/>
      <c r="H139" s="32"/>
      <c r="I139" s="32"/>
      <c r="J139" s="32"/>
    </row>
    <row r="140" spans="1:10" ht="18.75" customHeight="1" x14ac:dyDescent="0.15">
      <c r="A140" s="32"/>
      <c r="B140" s="32"/>
      <c r="C140" s="32"/>
      <c r="D140" s="32"/>
      <c r="E140" s="32"/>
      <c r="F140" s="32"/>
      <c r="G140" s="32"/>
      <c r="H140" s="32"/>
      <c r="I140" s="32"/>
      <c r="J140" s="32"/>
    </row>
    <row r="141" spans="1:10" ht="18.75" customHeight="1" x14ac:dyDescent="0.15">
      <c r="A141" s="32"/>
      <c r="B141" s="32"/>
      <c r="C141" s="32"/>
      <c r="D141" s="32"/>
      <c r="E141" s="32"/>
      <c r="F141" s="32"/>
      <c r="G141" s="32"/>
      <c r="H141" s="32"/>
      <c r="I141" s="32"/>
      <c r="J141" s="32"/>
    </row>
    <row r="142" spans="1:10" ht="18.75" customHeight="1" x14ac:dyDescent="0.15">
      <c r="A142" s="32"/>
      <c r="B142" s="32"/>
      <c r="C142" s="32"/>
      <c r="D142" s="32"/>
      <c r="E142" s="32"/>
      <c r="F142" s="32"/>
      <c r="G142" s="32"/>
      <c r="H142" s="32"/>
      <c r="I142" s="32"/>
      <c r="J142" s="32"/>
    </row>
    <row r="143" spans="1:10" ht="14.25" x14ac:dyDescent="0.15">
      <c r="A143" s="32"/>
      <c r="B143" s="32"/>
      <c r="C143" s="32"/>
      <c r="D143" s="32"/>
      <c r="E143" s="32"/>
      <c r="F143" s="32"/>
      <c r="G143" s="32"/>
      <c r="H143" s="32"/>
      <c r="I143" s="32"/>
      <c r="J143" s="32"/>
    </row>
    <row r="144" spans="1:10" ht="7.5" customHeight="1" x14ac:dyDescent="0.15">
      <c r="A144" s="98"/>
      <c r="B144" s="98"/>
      <c r="C144" s="98"/>
      <c r="D144" s="98"/>
      <c r="E144" s="98"/>
      <c r="F144" s="98"/>
      <c r="G144" s="98"/>
      <c r="H144" s="98"/>
      <c r="I144" s="98"/>
      <c r="J144" s="98"/>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6"/>
  <sheetViews>
    <sheetView showZeros="0" view="pageBreakPreview" zoomScale="85" zoomScaleNormal="100" zoomScaleSheetLayoutView="85" workbookViewId="0"/>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25" customWidth="1"/>
    <col min="12" max="16384" width="11.375" style="1"/>
  </cols>
  <sheetData>
    <row r="1" spans="1:11" ht="18.75" customHeight="1" x14ac:dyDescent="0.15">
      <c r="A1" s="1" t="s">
        <v>128</v>
      </c>
      <c r="J1" s="34" t="s">
        <v>77</v>
      </c>
    </row>
    <row r="2" spans="1:11" ht="18.75" customHeight="1" x14ac:dyDescent="0.15">
      <c r="A2" s="256" t="s">
        <v>44</v>
      </c>
      <c r="B2" s="256"/>
      <c r="C2" s="256"/>
      <c r="D2" s="256"/>
      <c r="E2" s="256"/>
      <c r="F2" s="256"/>
      <c r="G2" s="256"/>
      <c r="H2" s="256"/>
      <c r="I2" s="256"/>
      <c r="J2" s="256"/>
    </row>
    <row r="3" spans="1:11" ht="7.5" customHeight="1" x14ac:dyDescent="0.15">
      <c r="A3" s="35"/>
      <c r="B3" s="35"/>
      <c r="C3" s="35"/>
      <c r="D3" s="35"/>
      <c r="E3" s="35"/>
      <c r="F3" s="35"/>
      <c r="G3" s="35"/>
      <c r="H3" s="35"/>
      <c r="I3" s="35"/>
      <c r="J3" s="35"/>
    </row>
    <row r="4" spans="1:11" ht="18.75" customHeight="1" x14ac:dyDescent="0.15">
      <c r="A4" s="1" t="s">
        <v>6</v>
      </c>
      <c r="B4" s="4" t="s">
        <v>43</v>
      </c>
      <c r="C4" s="32"/>
      <c r="D4" s="32"/>
      <c r="E4" s="33"/>
      <c r="F4" s="33"/>
      <c r="G4" s="33"/>
      <c r="H4" s="33"/>
      <c r="I4" s="33"/>
      <c r="J4" s="33"/>
    </row>
    <row r="5" spans="1:11" ht="18.75" customHeight="1" x14ac:dyDescent="0.15">
      <c r="B5" s="323" t="s">
        <v>40</v>
      </c>
      <c r="C5" s="324"/>
      <c r="D5" s="325"/>
      <c r="E5" s="326" t="s">
        <v>42</v>
      </c>
      <c r="F5" s="326"/>
      <c r="G5" s="326"/>
      <c r="H5" s="326"/>
      <c r="I5" s="326"/>
      <c r="J5" s="327"/>
    </row>
    <row r="6" spans="1:11" ht="18.75" customHeight="1" x14ac:dyDescent="0.15">
      <c r="B6" s="3" t="s">
        <v>30</v>
      </c>
      <c r="C6" s="32"/>
      <c r="D6" s="7"/>
      <c r="I6" s="33"/>
      <c r="J6" s="5"/>
    </row>
    <row r="7" spans="1:11" ht="207" customHeight="1" x14ac:dyDescent="0.15">
      <c r="B7" s="6"/>
      <c r="C7" s="310" t="s">
        <v>31</v>
      </c>
      <c r="D7" s="311"/>
      <c r="E7" s="320" t="s">
        <v>207</v>
      </c>
      <c r="F7" s="318"/>
      <c r="G7" s="318"/>
      <c r="H7" s="318"/>
      <c r="I7" s="318"/>
      <c r="J7" s="319"/>
      <c r="K7" s="25" t="str">
        <f>IF(E7="","入力してください","")</f>
        <v/>
      </c>
    </row>
    <row r="8" spans="1:11" ht="207" customHeight="1" x14ac:dyDescent="0.15">
      <c r="B8" s="6"/>
      <c r="C8" s="321" t="s">
        <v>32</v>
      </c>
      <c r="D8" s="322"/>
      <c r="E8" s="320" t="s">
        <v>197</v>
      </c>
      <c r="F8" s="318"/>
      <c r="G8" s="318"/>
      <c r="H8" s="318"/>
      <c r="I8" s="318"/>
      <c r="J8" s="319"/>
      <c r="K8" s="25" t="str">
        <f>IF(E8="","入力してください","")</f>
        <v/>
      </c>
    </row>
    <row r="9" spans="1:11" ht="172.5" customHeight="1" x14ac:dyDescent="0.15">
      <c r="B9" s="6"/>
      <c r="C9" s="310" t="s">
        <v>33</v>
      </c>
      <c r="D9" s="311"/>
      <c r="E9" s="320" t="s">
        <v>208</v>
      </c>
      <c r="F9" s="318"/>
      <c r="G9" s="318"/>
      <c r="H9" s="318"/>
      <c r="I9" s="318"/>
      <c r="J9" s="319"/>
      <c r="K9" s="25" t="str">
        <f>IF(E9="","入力してください","")</f>
        <v/>
      </c>
    </row>
    <row r="10" spans="1:11" ht="172.5" customHeight="1" x14ac:dyDescent="0.15">
      <c r="B10" s="6"/>
      <c r="C10" s="310" t="s">
        <v>34</v>
      </c>
      <c r="D10" s="311"/>
      <c r="E10" s="320" t="s">
        <v>198</v>
      </c>
      <c r="F10" s="318"/>
      <c r="G10" s="318"/>
      <c r="H10" s="318"/>
      <c r="I10" s="318"/>
      <c r="J10" s="319"/>
      <c r="K10" s="25" t="str">
        <f t="shared" ref="K10:K14" si="0">IF(E10="","入力してください","")</f>
        <v/>
      </c>
    </row>
    <row r="11" spans="1:11" ht="172.5" customHeight="1" x14ac:dyDescent="0.15">
      <c r="B11" s="6"/>
      <c r="C11" s="310" t="s">
        <v>35</v>
      </c>
      <c r="D11" s="311"/>
      <c r="E11" s="320" t="s">
        <v>199</v>
      </c>
      <c r="F11" s="318"/>
      <c r="G11" s="318"/>
      <c r="H11" s="318"/>
      <c r="I11" s="318"/>
      <c r="J11" s="319"/>
      <c r="K11" s="25" t="str">
        <f t="shared" si="0"/>
        <v/>
      </c>
    </row>
    <row r="12" spans="1:11" ht="18.75" customHeight="1" x14ac:dyDescent="0.15">
      <c r="B12" s="9" t="s">
        <v>36</v>
      </c>
      <c r="C12" s="22"/>
      <c r="D12" s="8"/>
      <c r="E12" s="26"/>
      <c r="F12" s="26"/>
      <c r="G12" s="26"/>
      <c r="H12" s="26"/>
      <c r="I12" s="26"/>
      <c r="J12" s="27"/>
    </row>
    <row r="13" spans="1:11" ht="244.15" customHeight="1" x14ac:dyDescent="0.15">
      <c r="B13" s="6"/>
      <c r="C13" s="310" t="s">
        <v>37</v>
      </c>
      <c r="D13" s="311"/>
      <c r="E13" s="312" t="s">
        <v>210</v>
      </c>
      <c r="F13" s="313"/>
      <c r="G13" s="313"/>
      <c r="H13" s="313"/>
      <c r="I13" s="313"/>
      <c r="J13" s="314"/>
      <c r="K13" s="25" t="str">
        <f t="shared" si="0"/>
        <v/>
      </c>
    </row>
    <row r="14" spans="1:11" ht="255" customHeight="1" x14ac:dyDescent="0.15">
      <c r="B14" s="6"/>
      <c r="C14" s="310" t="s">
        <v>38</v>
      </c>
      <c r="D14" s="311"/>
      <c r="E14" s="312" t="s">
        <v>212</v>
      </c>
      <c r="F14" s="313"/>
      <c r="G14" s="313"/>
      <c r="H14" s="313"/>
      <c r="I14" s="313"/>
      <c r="J14" s="314"/>
      <c r="K14" s="25" t="str">
        <f t="shared" si="0"/>
        <v/>
      </c>
    </row>
    <row r="15" spans="1:11" ht="243" customHeight="1" x14ac:dyDescent="0.15">
      <c r="B15" s="315" t="s">
        <v>39</v>
      </c>
      <c r="C15" s="316"/>
      <c r="D15" s="311"/>
      <c r="E15" s="317" t="s">
        <v>201</v>
      </c>
      <c r="F15" s="318"/>
      <c r="G15" s="318"/>
      <c r="H15" s="318"/>
      <c r="I15" s="318"/>
      <c r="J15" s="319"/>
      <c r="K15" s="25" t="str">
        <f>IF(E15="","入力してください","")</f>
        <v/>
      </c>
    </row>
    <row r="16" spans="1:11" ht="243" customHeight="1" x14ac:dyDescent="0.15">
      <c r="A16" s="25"/>
      <c r="B16" s="306" t="s">
        <v>68</v>
      </c>
      <c r="C16" s="307"/>
      <c r="D16" s="308"/>
      <c r="E16" s="309" t="s">
        <v>200</v>
      </c>
      <c r="F16" s="280"/>
      <c r="G16" s="280"/>
      <c r="H16" s="280"/>
      <c r="I16" s="280"/>
      <c r="J16" s="281"/>
      <c r="K16" s="25" t="str">
        <f>IF(E16="","入力してください","")</f>
        <v/>
      </c>
    </row>
    <row r="17" spans="1:11" ht="7.5" customHeight="1" x14ac:dyDescent="0.15">
      <c r="B17" s="32"/>
      <c r="C17" s="32"/>
      <c r="D17" s="32"/>
      <c r="E17" s="33"/>
      <c r="F17" s="33"/>
      <c r="G17" s="33"/>
      <c r="H17" s="33"/>
      <c r="I17" s="33"/>
      <c r="J17" s="33"/>
    </row>
    <row r="18" spans="1:11" ht="18.75" customHeight="1" x14ac:dyDescent="0.15">
      <c r="A18" s="1" t="s">
        <v>129</v>
      </c>
      <c r="B18" s="4"/>
      <c r="C18" s="32"/>
      <c r="D18" s="32"/>
      <c r="E18" s="33"/>
      <c r="F18" s="87"/>
      <c r="G18" s="199" t="s">
        <v>213</v>
      </c>
      <c r="H18" s="199"/>
      <c r="I18" s="199"/>
      <c r="J18" s="199"/>
      <c r="K18" s="25" t="str">
        <f>IF(G18="","入力してください","")</f>
        <v/>
      </c>
    </row>
    <row r="19" spans="1:11" ht="22.5" customHeight="1" x14ac:dyDescent="0.15">
      <c r="B19" s="32"/>
      <c r="C19" s="32"/>
      <c r="D19" s="32"/>
      <c r="E19" s="33"/>
      <c r="F19" s="33"/>
      <c r="G19" s="33"/>
      <c r="H19" s="33"/>
      <c r="I19" s="33"/>
      <c r="J19" s="33"/>
    </row>
    <row r="20" spans="1:11" ht="22.5" customHeight="1" x14ac:dyDescent="0.15">
      <c r="B20" s="32"/>
      <c r="C20" s="32"/>
      <c r="D20" s="32"/>
      <c r="E20" s="33"/>
      <c r="F20" s="33"/>
      <c r="G20" s="33"/>
      <c r="H20" s="33"/>
      <c r="I20" s="33"/>
      <c r="J20" s="33"/>
    </row>
    <row r="21" spans="1:11" ht="22.5" customHeight="1" x14ac:dyDescent="0.15">
      <c r="B21" s="32"/>
      <c r="C21" s="32"/>
      <c r="D21" s="32"/>
      <c r="E21" s="33"/>
      <c r="F21" s="33"/>
      <c r="G21" s="33"/>
      <c r="H21" s="33"/>
      <c r="I21" s="33"/>
      <c r="J21" s="33"/>
    </row>
    <row r="22" spans="1:11" ht="22.5" customHeight="1" x14ac:dyDescent="0.15">
      <c r="B22" s="32"/>
      <c r="C22" s="32"/>
      <c r="D22" s="32"/>
      <c r="E22" s="33"/>
      <c r="F22" s="33"/>
      <c r="G22" s="33"/>
      <c r="H22" s="33"/>
      <c r="I22" s="33"/>
      <c r="J22" s="33"/>
    </row>
    <row r="23" spans="1:11" ht="22.5" customHeight="1" x14ac:dyDescent="0.15">
      <c r="B23" s="32"/>
      <c r="C23" s="32"/>
      <c r="D23" s="32"/>
      <c r="E23" s="33"/>
      <c r="F23" s="33"/>
      <c r="G23" s="33"/>
      <c r="H23" s="33"/>
      <c r="I23" s="33"/>
      <c r="J23" s="33"/>
    </row>
    <row r="24" spans="1:11" ht="22.5" customHeight="1" x14ac:dyDescent="0.15">
      <c r="B24" s="99"/>
      <c r="C24" s="99"/>
      <c r="D24" s="99"/>
      <c r="E24" s="99"/>
      <c r="F24" s="99"/>
      <c r="G24" s="99"/>
      <c r="H24" s="99"/>
      <c r="I24" s="99"/>
      <c r="J24" s="99"/>
    </row>
    <row r="25" spans="1:11" ht="22.5" customHeight="1" x14ac:dyDescent="0.15">
      <c r="B25" s="99"/>
      <c r="C25" s="99"/>
      <c r="D25" s="99"/>
      <c r="E25" s="99"/>
      <c r="F25" s="99"/>
      <c r="G25" s="99"/>
      <c r="H25" s="99"/>
      <c r="I25" s="99"/>
      <c r="J25" s="99"/>
    </row>
    <row r="26" spans="1:11" ht="22.5" customHeight="1" x14ac:dyDescent="0.15">
      <c r="B26" s="99"/>
      <c r="C26" s="99"/>
      <c r="D26" s="99"/>
      <c r="E26" s="99"/>
      <c r="F26" s="99"/>
      <c r="G26" s="99"/>
      <c r="H26" s="99"/>
      <c r="I26" s="99"/>
      <c r="J26" s="99"/>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printOptions horizontalCentered="1"/>
  <pageMargins left="0.78740157480314965" right="0.78740157480314965" top="0.78740157480314965" bottom="0.78740157480314965" header="0.31496062992125984" footer="0.31496062992125984"/>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24"/>
  <sheetViews>
    <sheetView showZeros="0" view="pageBreakPreview" zoomScaleNormal="100" zoomScaleSheetLayoutView="100" workbookViewId="0"/>
  </sheetViews>
  <sheetFormatPr defaultColWidth="11.375" defaultRowHeight="18.75" customHeight="1" x14ac:dyDescent="0.15"/>
  <cols>
    <col min="1" max="1" width="3.375" style="1" customWidth="1"/>
    <col min="2" max="2" width="15.5" style="1" customWidth="1"/>
    <col min="3" max="3" width="37.75" style="1" customWidth="1"/>
    <col min="4" max="4" width="1.125" style="1" customWidth="1"/>
    <col min="5" max="5" width="21.125" style="1" customWidth="1"/>
    <col min="6" max="6" width="7.75" style="1" customWidth="1"/>
    <col min="7" max="7" width="2.25" style="1" customWidth="1"/>
    <col min="8" max="8" width="2.125" style="1" customWidth="1"/>
    <col min="9" max="16384" width="11.375" style="1"/>
  </cols>
  <sheetData>
    <row r="1" spans="1:6" ht="18.75" customHeight="1" x14ac:dyDescent="0.15">
      <c r="E1" s="255" t="s">
        <v>7</v>
      </c>
      <c r="F1" s="255"/>
    </row>
    <row r="2" spans="1:6" ht="18.75" customHeight="1" x14ac:dyDescent="0.15">
      <c r="A2" s="328" t="s">
        <v>153</v>
      </c>
      <c r="B2" s="328"/>
      <c r="C2" s="328"/>
      <c r="D2" s="328"/>
      <c r="E2" s="328"/>
      <c r="F2" s="328"/>
    </row>
    <row r="3" spans="1:6" ht="7.5" customHeight="1" x14ac:dyDescent="0.15">
      <c r="A3" s="31"/>
      <c r="B3" s="31"/>
      <c r="C3" s="31"/>
      <c r="D3" s="31"/>
      <c r="E3" s="31"/>
      <c r="F3" s="31"/>
    </row>
    <row r="4" spans="1:6" ht="18.75" customHeight="1" x14ac:dyDescent="0.15">
      <c r="A4" s="31" t="s">
        <v>6</v>
      </c>
      <c r="B4" s="4" t="s">
        <v>28</v>
      </c>
      <c r="C4" s="31"/>
      <c r="D4" s="31"/>
      <c r="E4" s="31"/>
      <c r="F4" s="31"/>
    </row>
    <row r="5" spans="1:6" ht="18.75" customHeight="1" x14ac:dyDescent="0.15">
      <c r="A5" s="31"/>
      <c r="B5" s="329" t="s">
        <v>211</v>
      </c>
      <c r="C5" s="330"/>
      <c r="D5" s="330"/>
      <c r="E5" s="330"/>
      <c r="F5" s="331"/>
    </row>
    <row r="6" spans="1:6" ht="18.75" customHeight="1" x14ac:dyDescent="0.15">
      <c r="A6" s="31"/>
      <c r="B6" s="332"/>
      <c r="C6" s="333"/>
      <c r="D6" s="333"/>
      <c r="E6" s="333"/>
      <c r="F6" s="334"/>
    </row>
    <row r="7" spans="1:6" ht="18.75" customHeight="1" x14ac:dyDescent="0.15">
      <c r="A7" s="31"/>
      <c r="B7" s="332"/>
      <c r="C7" s="333"/>
      <c r="D7" s="333"/>
      <c r="E7" s="333"/>
      <c r="F7" s="334"/>
    </row>
    <row r="8" spans="1:6" ht="18.75" customHeight="1" x14ac:dyDescent="0.15">
      <c r="A8" s="31"/>
      <c r="B8" s="332"/>
      <c r="C8" s="333"/>
      <c r="D8" s="333"/>
      <c r="E8" s="333"/>
      <c r="F8" s="334"/>
    </row>
    <row r="9" spans="1:6" ht="18.75" customHeight="1" x14ac:dyDescent="0.15">
      <c r="A9" s="31"/>
      <c r="B9" s="332"/>
      <c r="C9" s="333"/>
      <c r="D9" s="333"/>
      <c r="E9" s="333"/>
      <c r="F9" s="334"/>
    </row>
    <row r="10" spans="1:6" ht="18.75" customHeight="1" x14ac:dyDescent="0.15">
      <c r="A10" s="31"/>
      <c r="B10" s="332"/>
      <c r="C10" s="333"/>
      <c r="D10" s="333"/>
      <c r="E10" s="333"/>
      <c r="F10" s="334"/>
    </row>
    <row r="11" spans="1:6" ht="18.75" customHeight="1" x14ac:dyDescent="0.15">
      <c r="A11" s="31"/>
      <c r="B11" s="332"/>
      <c r="C11" s="333"/>
      <c r="D11" s="333"/>
      <c r="E11" s="333"/>
      <c r="F11" s="334"/>
    </row>
    <row r="12" spans="1:6" ht="18.75" customHeight="1" x14ac:dyDescent="0.15">
      <c r="A12" s="31"/>
      <c r="B12" s="332"/>
      <c r="C12" s="333"/>
      <c r="D12" s="333"/>
      <c r="E12" s="333"/>
      <c r="F12" s="334"/>
    </row>
    <row r="13" spans="1:6" ht="18.75" customHeight="1" x14ac:dyDescent="0.15">
      <c r="A13" s="31"/>
      <c r="B13" s="332"/>
      <c r="C13" s="333"/>
      <c r="D13" s="333"/>
      <c r="E13" s="333"/>
      <c r="F13" s="334"/>
    </row>
    <row r="14" spans="1:6" ht="18.75" customHeight="1" x14ac:dyDescent="0.15">
      <c r="A14" s="31"/>
      <c r="B14" s="332"/>
      <c r="C14" s="333"/>
      <c r="D14" s="333"/>
      <c r="E14" s="333"/>
      <c r="F14" s="334"/>
    </row>
    <row r="15" spans="1:6" ht="18.75" customHeight="1" x14ac:dyDescent="0.15">
      <c r="A15" s="31"/>
      <c r="B15" s="332"/>
      <c r="C15" s="333"/>
      <c r="D15" s="333"/>
      <c r="E15" s="333"/>
      <c r="F15" s="334"/>
    </row>
    <row r="16" spans="1:6" ht="18.75" customHeight="1" x14ac:dyDescent="0.15">
      <c r="A16" s="31"/>
      <c r="B16" s="332"/>
      <c r="C16" s="333"/>
      <c r="D16" s="333"/>
      <c r="E16" s="333"/>
      <c r="F16" s="334"/>
    </row>
    <row r="17" spans="1:6" ht="18.75" customHeight="1" x14ac:dyDescent="0.15">
      <c r="A17" s="31"/>
      <c r="B17" s="332"/>
      <c r="C17" s="333"/>
      <c r="D17" s="333"/>
      <c r="E17" s="333"/>
      <c r="F17" s="334"/>
    </row>
    <row r="18" spans="1:6" ht="18.75" customHeight="1" x14ac:dyDescent="0.15">
      <c r="A18" s="31"/>
      <c r="B18" s="332"/>
      <c r="C18" s="333"/>
      <c r="D18" s="333"/>
      <c r="E18" s="333"/>
      <c r="F18" s="334"/>
    </row>
    <row r="19" spans="1:6" ht="18.75" customHeight="1" x14ac:dyDescent="0.15">
      <c r="A19" s="31"/>
      <c r="B19" s="332"/>
      <c r="C19" s="333"/>
      <c r="D19" s="333"/>
      <c r="E19" s="333"/>
      <c r="F19" s="334"/>
    </row>
    <row r="20" spans="1:6" ht="18.75" customHeight="1" x14ac:dyDescent="0.15">
      <c r="A20" s="31"/>
      <c r="B20" s="332"/>
      <c r="C20" s="333"/>
      <c r="D20" s="333"/>
      <c r="E20" s="333"/>
      <c r="F20" s="334"/>
    </row>
    <row r="21" spans="1:6" ht="18.75" customHeight="1" x14ac:dyDescent="0.15">
      <c r="A21" s="31"/>
      <c r="B21" s="332"/>
      <c r="C21" s="333"/>
      <c r="D21" s="333"/>
      <c r="E21" s="333"/>
      <c r="F21" s="334"/>
    </row>
    <row r="22" spans="1:6" ht="18.75" customHeight="1" x14ac:dyDescent="0.15">
      <c r="A22" s="31"/>
      <c r="B22" s="332"/>
      <c r="C22" s="333"/>
      <c r="D22" s="333"/>
      <c r="E22" s="333"/>
      <c r="F22" s="334"/>
    </row>
    <row r="23" spans="1:6" ht="18.75" customHeight="1" x14ac:dyDescent="0.15">
      <c r="A23" s="31"/>
      <c r="B23" s="332"/>
      <c r="C23" s="333"/>
      <c r="D23" s="333"/>
      <c r="E23" s="333"/>
      <c r="F23" s="334"/>
    </row>
    <row r="24" spans="1:6" ht="18.75" customHeight="1" x14ac:dyDescent="0.15">
      <c r="A24" s="31"/>
      <c r="B24" s="332"/>
      <c r="C24" s="333"/>
      <c r="D24" s="333"/>
      <c r="E24" s="333"/>
      <c r="F24" s="334"/>
    </row>
    <row r="25" spans="1:6" ht="18.75" customHeight="1" x14ac:dyDescent="0.15">
      <c r="A25" s="31"/>
      <c r="B25" s="332"/>
      <c r="C25" s="333"/>
      <c r="D25" s="333"/>
      <c r="E25" s="333"/>
      <c r="F25" s="334"/>
    </row>
    <row r="26" spans="1:6" ht="18.75" customHeight="1" x14ac:dyDescent="0.15">
      <c r="A26" s="31"/>
      <c r="B26" s="332"/>
      <c r="C26" s="333"/>
      <c r="D26" s="333"/>
      <c r="E26" s="333"/>
      <c r="F26" s="334"/>
    </row>
    <row r="27" spans="1:6" ht="18.75" customHeight="1" x14ac:dyDescent="0.15">
      <c r="A27" s="31"/>
      <c r="B27" s="332"/>
      <c r="C27" s="333"/>
      <c r="D27" s="333"/>
      <c r="E27" s="333"/>
      <c r="F27" s="334"/>
    </row>
    <row r="28" spans="1:6" ht="18.75" customHeight="1" x14ac:dyDescent="0.15">
      <c r="A28" s="31"/>
      <c r="B28" s="332"/>
      <c r="C28" s="333"/>
      <c r="D28" s="333"/>
      <c r="E28" s="333"/>
      <c r="F28" s="334"/>
    </row>
    <row r="29" spans="1:6" ht="18.75" customHeight="1" x14ac:dyDescent="0.15">
      <c r="A29" s="31"/>
      <c r="B29" s="332"/>
      <c r="C29" s="333"/>
      <c r="D29" s="333"/>
      <c r="E29" s="333"/>
      <c r="F29" s="334"/>
    </row>
    <row r="30" spans="1:6" ht="18.75" customHeight="1" x14ac:dyDescent="0.15">
      <c r="A30" s="31"/>
      <c r="B30" s="332"/>
      <c r="C30" s="333"/>
      <c r="D30" s="333"/>
      <c r="E30" s="333"/>
      <c r="F30" s="334"/>
    </row>
    <row r="31" spans="1:6" ht="18.75" customHeight="1" x14ac:dyDescent="0.15">
      <c r="A31" s="31"/>
      <c r="B31" s="332"/>
      <c r="C31" s="333"/>
      <c r="D31" s="333"/>
      <c r="E31" s="333"/>
      <c r="F31" s="334"/>
    </row>
    <row r="32" spans="1:6" ht="18.75" customHeight="1" x14ac:dyDescent="0.15">
      <c r="A32" s="31"/>
      <c r="B32" s="332"/>
      <c r="C32" s="333"/>
      <c r="D32" s="333"/>
      <c r="E32" s="333"/>
      <c r="F32" s="334"/>
    </row>
    <row r="33" spans="1:6" ht="18.75" customHeight="1" x14ac:dyDescent="0.15">
      <c r="A33" s="31"/>
      <c r="B33" s="332"/>
      <c r="C33" s="333"/>
      <c r="D33" s="333"/>
      <c r="E33" s="333"/>
      <c r="F33" s="334"/>
    </row>
    <row r="34" spans="1:6" ht="18.75" customHeight="1" x14ac:dyDescent="0.15">
      <c r="A34" s="31"/>
      <c r="B34" s="332"/>
      <c r="C34" s="333"/>
      <c r="D34" s="333"/>
      <c r="E34" s="333"/>
      <c r="F34" s="334"/>
    </row>
    <row r="35" spans="1:6" ht="18.75" customHeight="1" x14ac:dyDescent="0.15">
      <c r="A35" s="31"/>
      <c r="B35" s="332"/>
      <c r="C35" s="333"/>
      <c r="D35" s="333"/>
      <c r="E35" s="333"/>
      <c r="F35" s="334"/>
    </row>
    <row r="36" spans="1:6" ht="18.75" customHeight="1" x14ac:dyDescent="0.15">
      <c r="A36" s="31"/>
      <c r="B36" s="332"/>
      <c r="C36" s="333"/>
      <c r="D36" s="333"/>
      <c r="E36" s="333"/>
      <c r="F36" s="334"/>
    </row>
    <row r="37" spans="1:6" ht="18.75" customHeight="1" x14ac:dyDescent="0.15">
      <c r="A37" s="31"/>
      <c r="B37" s="332"/>
      <c r="C37" s="333"/>
      <c r="D37" s="333"/>
      <c r="E37" s="333"/>
      <c r="F37" s="334"/>
    </row>
    <row r="38" spans="1:6" ht="18.75" customHeight="1" x14ac:dyDescent="0.15">
      <c r="A38" s="31"/>
      <c r="B38" s="332"/>
      <c r="C38" s="333"/>
      <c r="D38" s="333"/>
      <c r="E38" s="333"/>
      <c r="F38" s="334"/>
    </row>
    <row r="39" spans="1:6" ht="18.75" customHeight="1" x14ac:dyDescent="0.15">
      <c r="A39" s="31"/>
      <c r="B39" s="332"/>
      <c r="C39" s="333"/>
      <c r="D39" s="333"/>
      <c r="E39" s="333"/>
      <c r="F39" s="334"/>
    </row>
    <row r="40" spans="1:6" ht="18.75" customHeight="1" x14ac:dyDescent="0.15">
      <c r="A40" s="31"/>
      <c r="B40" s="332"/>
      <c r="C40" s="333"/>
      <c r="D40" s="333"/>
      <c r="E40" s="333"/>
      <c r="F40" s="334"/>
    </row>
    <row r="41" spans="1:6" ht="18.75" customHeight="1" x14ac:dyDescent="0.15">
      <c r="A41" s="31"/>
      <c r="B41" s="332"/>
      <c r="C41" s="333"/>
      <c r="D41" s="333"/>
      <c r="E41" s="333"/>
      <c r="F41" s="334"/>
    </row>
    <row r="42" spans="1:6" ht="18.75" customHeight="1" x14ac:dyDescent="0.15">
      <c r="A42" s="31"/>
      <c r="B42" s="335"/>
      <c r="C42" s="336"/>
      <c r="D42" s="336"/>
      <c r="E42" s="336"/>
      <c r="F42" s="337"/>
    </row>
    <row r="43" spans="1:6" ht="18.75" customHeight="1" x14ac:dyDescent="0.15">
      <c r="A43" s="31" t="s">
        <v>10</v>
      </c>
      <c r="B43" s="4" t="s">
        <v>73</v>
      </c>
      <c r="C43" s="31"/>
      <c r="D43" s="31"/>
      <c r="E43" s="31"/>
      <c r="F43" s="31"/>
    </row>
    <row r="44" spans="1:6" ht="18.75" customHeight="1" x14ac:dyDescent="0.15">
      <c r="A44" s="31"/>
      <c r="B44" s="338" t="s">
        <v>209</v>
      </c>
      <c r="C44" s="339"/>
      <c r="D44" s="339"/>
      <c r="E44" s="339"/>
      <c r="F44" s="340"/>
    </row>
    <row r="45" spans="1:6" ht="18.75" customHeight="1" x14ac:dyDescent="0.15">
      <c r="A45" s="31"/>
      <c r="B45" s="341"/>
      <c r="C45" s="342"/>
      <c r="D45" s="342"/>
      <c r="E45" s="342"/>
      <c r="F45" s="343"/>
    </row>
    <row r="46" spans="1:6" ht="18.75" customHeight="1" x14ac:dyDescent="0.15">
      <c r="A46" s="31"/>
      <c r="B46" s="341"/>
      <c r="C46" s="342"/>
      <c r="D46" s="342"/>
      <c r="E46" s="342"/>
      <c r="F46" s="343"/>
    </row>
    <row r="47" spans="1:6" ht="18.75" customHeight="1" x14ac:dyDescent="0.15">
      <c r="A47" s="31"/>
      <c r="B47" s="341"/>
      <c r="C47" s="342"/>
      <c r="D47" s="342"/>
      <c r="E47" s="342"/>
      <c r="F47" s="343"/>
    </row>
    <row r="48" spans="1:6" ht="18.75" customHeight="1" x14ac:dyDescent="0.15">
      <c r="A48" s="31"/>
      <c r="B48" s="341"/>
      <c r="C48" s="342"/>
      <c r="D48" s="342"/>
      <c r="E48" s="342"/>
      <c r="F48" s="343"/>
    </row>
    <row r="49" spans="1:6" ht="18.75" customHeight="1" x14ac:dyDescent="0.15">
      <c r="A49" s="31"/>
      <c r="B49" s="341"/>
      <c r="C49" s="342"/>
      <c r="D49" s="342"/>
      <c r="E49" s="342"/>
      <c r="F49" s="343"/>
    </row>
    <row r="50" spans="1:6" ht="18.75" customHeight="1" x14ac:dyDescent="0.15">
      <c r="A50" s="31"/>
      <c r="B50" s="341"/>
      <c r="C50" s="342"/>
      <c r="D50" s="342"/>
      <c r="E50" s="342"/>
      <c r="F50" s="343"/>
    </row>
    <row r="51" spans="1:6" ht="18.75" customHeight="1" x14ac:dyDescent="0.15">
      <c r="A51" s="31"/>
      <c r="B51" s="341"/>
      <c r="C51" s="342"/>
      <c r="D51" s="342"/>
      <c r="E51" s="342"/>
      <c r="F51" s="343"/>
    </row>
    <row r="52" spans="1:6" ht="18.75" customHeight="1" x14ac:dyDescent="0.15">
      <c r="A52" s="31"/>
      <c r="B52" s="341"/>
      <c r="C52" s="342"/>
      <c r="D52" s="342"/>
      <c r="E52" s="342"/>
      <c r="F52" s="343"/>
    </row>
    <row r="53" spans="1:6" ht="18.75" customHeight="1" x14ac:dyDescent="0.15">
      <c r="A53" s="31"/>
      <c r="B53" s="341"/>
      <c r="C53" s="342"/>
      <c r="D53" s="342"/>
      <c r="E53" s="342"/>
      <c r="F53" s="343"/>
    </row>
    <row r="54" spans="1:6" ht="18.75" customHeight="1" x14ac:dyDescent="0.15">
      <c r="A54" s="31"/>
      <c r="B54" s="341"/>
      <c r="C54" s="342"/>
      <c r="D54" s="342"/>
      <c r="E54" s="342"/>
      <c r="F54" s="343"/>
    </row>
    <row r="55" spans="1:6" ht="18.75" customHeight="1" x14ac:dyDescent="0.15">
      <c r="A55" s="31"/>
      <c r="B55" s="341"/>
      <c r="C55" s="342"/>
      <c r="D55" s="342"/>
      <c r="E55" s="342"/>
      <c r="F55" s="343"/>
    </row>
    <row r="56" spans="1:6" ht="18.75" customHeight="1" x14ac:dyDescent="0.15">
      <c r="A56" s="31"/>
      <c r="B56" s="341"/>
      <c r="C56" s="342"/>
      <c r="D56" s="342"/>
      <c r="E56" s="342"/>
      <c r="F56" s="343"/>
    </row>
    <row r="57" spans="1:6" ht="18.75" customHeight="1" x14ac:dyDescent="0.15">
      <c r="A57" s="31"/>
      <c r="B57" s="341"/>
      <c r="C57" s="342"/>
      <c r="D57" s="342"/>
      <c r="E57" s="342"/>
      <c r="F57" s="343"/>
    </row>
    <row r="58" spans="1:6" ht="18.75" customHeight="1" x14ac:dyDescent="0.15">
      <c r="A58" s="31"/>
      <c r="B58" s="341"/>
      <c r="C58" s="342"/>
      <c r="D58" s="342"/>
      <c r="E58" s="342"/>
      <c r="F58" s="343"/>
    </row>
    <row r="59" spans="1:6" ht="18.75" customHeight="1" x14ac:dyDescent="0.15">
      <c r="A59" s="31"/>
      <c r="B59" s="341"/>
      <c r="C59" s="342"/>
      <c r="D59" s="342"/>
      <c r="E59" s="342"/>
      <c r="F59" s="343"/>
    </row>
    <row r="60" spans="1:6" ht="18.75" customHeight="1" x14ac:dyDescent="0.15">
      <c r="A60" s="31"/>
      <c r="B60" s="341"/>
      <c r="C60" s="342"/>
      <c r="D60" s="342"/>
      <c r="E60" s="342"/>
      <c r="F60" s="343"/>
    </row>
    <row r="61" spans="1:6" ht="18.75" customHeight="1" x14ac:dyDescent="0.15">
      <c r="A61" s="31"/>
      <c r="B61" s="341"/>
      <c r="C61" s="342"/>
      <c r="D61" s="342"/>
      <c r="E61" s="342"/>
      <c r="F61" s="343"/>
    </row>
    <row r="62" spans="1:6" ht="18.75" customHeight="1" x14ac:dyDescent="0.15">
      <c r="A62" s="31"/>
      <c r="B62" s="341"/>
      <c r="C62" s="342"/>
      <c r="D62" s="342"/>
      <c r="E62" s="342"/>
      <c r="F62" s="343"/>
    </row>
    <row r="63" spans="1:6" ht="18.75" customHeight="1" x14ac:dyDescent="0.15">
      <c r="A63" s="31"/>
      <c r="B63" s="341"/>
      <c r="C63" s="342"/>
      <c r="D63" s="342"/>
      <c r="E63" s="342"/>
      <c r="F63" s="343"/>
    </row>
    <row r="64" spans="1:6" ht="18.75" customHeight="1" x14ac:dyDescent="0.15">
      <c r="A64" s="31"/>
      <c r="B64" s="341"/>
      <c r="C64" s="342"/>
      <c r="D64" s="342"/>
      <c r="E64" s="342"/>
      <c r="F64" s="343"/>
    </row>
    <row r="65" spans="1:6" ht="18.75" customHeight="1" x14ac:dyDescent="0.15">
      <c r="A65" s="31"/>
      <c r="B65" s="341"/>
      <c r="C65" s="342"/>
      <c r="D65" s="342"/>
      <c r="E65" s="342"/>
      <c r="F65" s="343"/>
    </row>
    <row r="66" spans="1:6" ht="18.75" customHeight="1" x14ac:dyDescent="0.15">
      <c r="A66" s="31"/>
      <c r="B66" s="341"/>
      <c r="C66" s="342"/>
      <c r="D66" s="342"/>
      <c r="E66" s="342"/>
      <c r="F66" s="343"/>
    </row>
    <row r="67" spans="1:6" ht="18.75" customHeight="1" x14ac:dyDescent="0.15">
      <c r="A67" s="31"/>
      <c r="B67" s="341"/>
      <c r="C67" s="342"/>
      <c r="D67" s="342"/>
      <c r="E67" s="342"/>
      <c r="F67" s="343"/>
    </row>
    <row r="68" spans="1:6" ht="18.75" customHeight="1" x14ac:dyDescent="0.15">
      <c r="A68" s="31"/>
      <c r="B68" s="341"/>
      <c r="C68" s="342"/>
      <c r="D68" s="342"/>
      <c r="E68" s="342"/>
      <c r="F68" s="343"/>
    </row>
    <row r="69" spans="1:6" ht="18.75" customHeight="1" x14ac:dyDescent="0.15">
      <c r="A69" s="31"/>
      <c r="B69" s="341"/>
      <c r="C69" s="342"/>
      <c r="D69" s="342"/>
      <c r="E69" s="342"/>
      <c r="F69" s="343"/>
    </row>
    <row r="70" spans="1:6" ht="18.75" customHeight="1" x14ac:dyDescent="0.15">
      <c r="A70" s="31"/>
      <c r="B70" s="341"/>
      <c r="C70" s="342"/>
      <c r="D70" s="342"/>
      <c r="E70" s="342"/>
      <c r="F70" s="343"/>
    </row>
    <row r="71" spans="1:6" ht="18.75" customHeight="1" x14ac:dyDescent="0.15">
      <c r="A71" s="31"/>
      <c r="B71" s="341"/>
      <c r="C71" s="342"/>
      <c r="D71" s="342"/>
      <c r="E71" s="342"/>
      <c r="F71" s="343"/>
    </row>
    <row r="72" spans="1:6" ht="18.75" customHeight="1" x14ac:dyDescent="0.15">
      <c r="A72" s="31"/>
      <c r="B72" s="341"/>
      <c r="C72" s="342"/>
      <c r="D72" s="342"/>
      <c r="E72" s="342"/>
      <c r="F72" s="343"/>
    </row>
    <row r="73" spans="1:6" ht="18.75" customHeight="1" x14ac:dyDescent="0.15">
      <c r="A73" s="31"/>
      <c r="B73" s="341"/>
      <c r="C73" s="342"/>
      <c r="D73" s="342"/>
      <c r="E73" s="342"/>
      <c r="F73" s="343"/>
    </row>
    <row r="74" spans="1:6" ht="18.75" customHeight="1" x14ac:dyDescent="0.15">
      <c r="A74" s="31"/>
      <c r="B74" s="341"/>
      <c r="C74" s="342"/>
      <c r="D74" s="342"/>
      <c r="E74" s="342"/>
      <c r="F74" s="343"/>
    </row>
    <row r="75" spans="1:6" ht="18.75" customHeight="1" x14ac:dyDescent="0.15">
      <c r="A75" s="31"/>
      <c r="B75" s="341"/>
      <c r="C75" s="342"/>
      <c r="D75" s="342"/>
      <c r="E75" s="342"/>
      <c r="F75" s="343"/>
    </row>
    <row r="76" spans="1:6" ht="18.75" customHeight="1" x14ac:dyDescent="0.15">
      <c r="A76" s="31"/>
      <c r="B76" s="341"/>
      <c r="C76" s="342"/>
      <c r="D76" s="342"/>
      <c r="E76" s="342"/>
      <c r="F76" s="343"/>
    </row>
    <row r="77" spans="1:6" ht="18.75" customHeight="1" x14ac:dyDescent="0.15">
      <c r="A77" s="31"/>
      <c r="B77" s="341"/>
      <c r="C77" s="342"/>
      <c r="D77" s="342"/>
      <c r="E77" s="342"/>
      <c r="F77" s="343"/>
    </row>
    <row r="78" spans="1:6" ht="18.75" customHeight="1" x14ac:dyDescent="0.15">
      <c r="A78" s="31"/>
      <c r="B78" s="341"/>
      <c r="C78" s="342"/>
      <c r="D78" s="342"/>
      <c r="E78" s="342"/>
      <c r="F78" s="343"/>
    </row>
    <row r="79" spans="1:6" ht="18.75" customHeight="1" x14ac:dyDescent="0.15">
      <c r="A79" s="31"/>
      <c r="B79" s="341"/>
      <c r="C79" s="342"/>
      <c r="D79" s="342"/>
      <c r="E79" s="342"/>
      <c r="F79" s="343"/>
    </row>
    <row r="80" spans="1:6" ht="18.75" customHeight="1" x14ac:dyDescent="0.15">
      <c r="A80" s="31"/>
      <c r="B80" s="341"/>
      <c r="C80" s="342"/>
      <c r="D80" s="342"/>
      <c r="E80" s="342"/>
      <c r="F80" s="343"/>
    </row>
    <row r="81" spans="1:6" ht="18.75" customHeight="1" x14ac:dyDescent="0.15">
      <c r="A81" s="31"/>
      <c r="B81" s="341"/>
      <c r="C81" s="342"/>
      <c r="D81" s="342"/>
      <c r="E81" s="342"/>
      <c r="F81" s="343"/>
    </row>
    <row r="82" spans="1:6" ht="18.75" customHeight="1" x14ac:dyDescent="0.15">
      <c r="A82" s="31"/>
      <c r="B82" s="341"/>
      <c r="C82" s="342"/>
      <c r="D82" s="342"/>
      <c r="E82" s="342"/>
      <c r="F82" s="343"/>
    </row>
    <row r="83" spans="1:6" ht="18.75" customHeight="1" x14ac:dyDescent="0.15">
      <c r="A83" s="31"/>
      <c r="B83" s="344"/>
      <c r="C83" s="345"/>
      <c r="D83" s="345"/>
      <c r="E83" s="345"/>
      <c r="F83" s="346"/>
    </row>
    <row r="84" spans="1:6" ht="18.75" customHeight="1" x14ac:dyDescent="0.15">
      <c r="A84" s="4" t="s">
        <v>11</v>
      </c>
      <c r="B84" s="4" t="s">
        <v>74</v>
      </c>
      <c r="C84" s="4"/>
      <c r="D84" s="4"/>
      <c r="E84" s="4"/>
      <c r="F84" s="4"/>
    </row>
    <row r="85" spans="1:6" ht="18.75" customHeight="1" x14ac:dyDescent="0.15">
      <c r="A85" s="31"/>
      <c r="B85" s="347" t="s">
        <v>203</v>
      </c>
      <c r="C85" s="348"/>
      <c r="D85" s="348"/>
      <c r="E85" s="348"/>
      <c r="F85" s="349"/>
    </row>
    <row r="86" spans="1:6" ht="18.75" customHeight="1" x14ac:dyDescent="0.15">
      <c r="A86" s="31"/>
      <c r="B86" s="350"/>
      <c r="C86" s="351"/>
      <c r="D86" s="351"/>
      <c r="E86" s="351"/>
      <c r="F86" s="352"/>
    </row>
    <row r="87" spans="1:6" ht="18.75" customHeight="1" x14ac:dyDescent="0.15">
      <c r="A87" s="31"/>
      <c r="B87" s="350"/>
      <c r="C87" s="351"/>
      <c r="D87" s="351"/>
      <c r="E87" s="351"/>
      <c r="F87" s="352"/>
    </row>
    <row r="88" spans="1:6" ht="18.75" customHeight="1" x14ac:dyDescent="0.15">
      <c r="A88" s="31"/>
      <c r="B88" s="350"/>
      <c r="C88" s="351"/>
      <c r="D88" s="351"/>
      <c r="E88" s="351"/>
      <c r="F88" s="352"/>
    </row>
    <row r="89" spans="1:6" ht="18.75" customHeight="1" x14ac:dyDescent="0.15">
      <c r="A89" s="31"/>
      <c r="B89" s="350"/>
      <c r="C89" s="351"/>
      <c r="D89" s="351"/>
      <c r="E89" s="351"/>
      <c r="F89" s="352"/>
    </row>
    <row r="90" spans="1:6" ht="18.75" customHeight="1" x14ac:dyDescent="0.15">
      <c r="A90" s="31"/>
      <c r="B90" s="350"/>
      <c r="C90" s="351"/>
      <c r="D90" s="351"/>
      <c r="E90" s="351"/>
      <c r="F90" s="352"/>
    </row>
    <row r="91" spans="1:6" ht="18.75" customHeight="1" x14ac:dyDescent="0.15">
      <c r="A91" s="31"/>
      <c r="B91" s="350"/>
      <c r="C91" s="351"/>
      <c r="D91" s="351"/>
      <c r="E91" s="351"/>
      <c r="F91" s="352"/>
    </row>
    <row r="92" spans="1:6" ht="18.75" customHeight="1" x14ac:dyDescent="0.15">
      <c r="A92" s="31"/>
      <c r="B92" s="350"/>
      <c r="C92" s="351"/>
      <c r="D92" s="351"/>
      <c r="E92" s="351"/>
      <c r="F92" s="352"/>
    </row>
    <row r="93" spans="1:6" ht="18.75" customHeight="1" x14ac:dyDescent="0.15">
      <c r="A93" s="31"/>
      <c r="B93" s="350"/>
      <c r="C93" s="351"/>
      <c r="D93" s="351"/>
      <c r="E93" s="351"/>
      <c r="F93" s="352"/>
    </row>
    <row r="94" spans="1:6" ht="18.75" customHeight="1" x14ac:dyDescent="0.15">
      <c r="A94" s="31"/>
      <c r="B94" s="350"/>
      <c r="C94" s="351"/>
      <c r="D94" s="351"/>
      <c r="E94" s="351"/>
      <c r="F94" s="352"/>
    </row>
    <row r="95" spans="1:6" ht="18.75" customHeight="1" x14ac:dyDescent="0.15">
      <c r="A95" s="31"/>
      <c r="B95" s="350"/>
      <c r="C95" s="351"/>
      <c r="D95" s="351"/>
      <c r="E95" s="351"/>
      <c r="F95" s="352"/>
    </row>
    <row r="96" spans="1:6" ht="18.75" customHeight="1" x14ac:dyDescent="0.15">
      <c r="A96" s="31"/>
      <c r="B96" s="350"/>
      <c r="C96" s="351"/>
      <c r="D96" s="351"/>
      <c r="E96" s="351"/>
      <c r="F96" s="352"/>
    </row>
    <row r="97" spans="1:6" ht="18.75" customHeight="1" x14ac:dyDescent="0.15">
      <c r="A97" s="31"/>
      <c r="B97" s="350"/>
      <c r="C97" s="351"/>
      <c r="D97" s="351"/>
      <c r="E97" s="351"/>
      <c r="F97" s="352"/>
    </row>
    <row r="98" spans="1:6" ht="18.75" customHeight="1" x14ac:dyDescent="0.15">
      <c r="A98" s="31"/>
      <c r="B98" s="350"/>
      <c r="C98" s="351"/>
      <c r="D98" s="351"/>
      <c r="E98" s="351"/>
      <c r="F98" s="352"/>
    </row>
    <row r="99" spans="1:6" ht="18.75" customHeight="1" x14ac:dyDescent="0.15">
      <c r="A99" s="31"/>
      <c r="B99" s="350"/>
      <c r="C99" s="351"/>
      <c r="D99" s="351"/>
      <c r="E99" s="351"/>
      <c r="F99" s="352"/>
    </row>
    <row r="100" spans="1:6" ht="18.75" customHeight="1" x14ac:dyDescent="0.15">
      <c r="A100" s="31"/>
      <c r="B100" s="350"/>
      <c r="C100" s="351"/>
      <c r="D100" s="351"/>
      <c r="E100" s="351"/>
      <c r="F100" s="352"/>
    </row>
    <row r="101" spans="1:6" ht="18.75" customHeight="1" x14ac:dyDescent="0.15">
      <c r="A101" s="31"/>
      <c r="B101" s="350"/>
      <c r="C101" s="351"/>
      <c r="D101" s="351"/>
      <c r="E101" s="351"/>
      <c r="F101" s="352"/>
    </row>
    <row r="102" spans="1:6" ht="18.75" customHeight="1" x14ac:dyDescent="0.15">
      <c r="A102" s="31"/>
      <c r="B102" s="350"/>
      <c r="C102" s="351"/>
      <c r="D102" s="351"/>
      <c r="E102" s="351"/>
      <c r="F102" s="352"/>
    </row>
    <row r="103" spans="1:6" ht="18.75" customHeight="1" x14ac:dyDescent="0.15">
      <c r="A103" s="31"/>
      <c r="B103" s="350"/>
      <c r="C103" s="351"/>
      <c r="D103" s="351"/>
      <c r="E103" s="351"/>
      <c r="F103" s="352"/>
    </row>
    <row r="104" spans="1:6" ht="18.75" customHeight="1" x14ac:dyDescent="0.15">
      <c r="A104" s="31"/>
      <c r="B104" s="350"/>
      <c r="C104" s="351"/>
      <c r="D104" s="351"/>
      <c r="E104" s="351"/>
      <c r="F104" s="352"/>
    </row>
    <row r="105" spans="1:6" ht="18.75" customHeight="1" x14ac:dyDescent="0.15">
      <c r="A105" s="31"/>
      <c r="B105" s="350"/>
      <c r="C105" s="351"/>
      <c r="D105" s="351"/>
      <c r="E105" s="351"/>
      <c r="F105" s="352"/>
    </row>
    <row r="106" spans="1:6" ht="18.75" customHeight="1" x14ac:dyDescent="0.15">
      <c r="A106" s="31"/>
      <c r="B106" s="350"/>
      <c r="C106" s="351"/>
      <c r="D106" s="351"/>
      <c r="E106" s="351"/>
      <c r="F106" s="352"/>
    </row>
    <row r="107" spans="1:6" ht="18.75" customHeight="1" x14ac:dyDescent="0.15">
      <c r="A107" s="31"/>
      <c r="B107" s="350"/>
      <c r="C107" s="351"/>
      <c r="D107" s="351"/>
      <c r="E107" s="351"/>
      <c r="F107" s="352"/>
    </row>
    <row r="108" spans="1:6" ht="18.75" customHeight="1" x14ac:dyDescent="0.15">
      <c r="A108" s="31"/>
      <c r="B108" s="350"/>
      <c r="C108" s="351"/>
      <c r="D108" s="351"/>
      <c r="E108" s="351"/>
      <c r="F108" s="352"/>
    </row>
    <row r="109" spans="1:6" ht="18.75" customHeight="1" x14ac:dyDescent="0.15">
      <c r="A109" s="31"/>
      <c r="B109" s="350"/>
      <c r="C109" s="351"/>
      <c r="D109" s="351"/>
      <c r="E109" s="351"/>
      <c r="F109" s="352"/>
    </row>
    <row r="110" spans="1:6" ht="18.75" customHeight="1" x14ac:dyDescent="0.15">
      <c r="A110" s="31"/>
      <c r="B110" s="350"/>
      <c r="C110" s="351"/>
      <c r="D110" s="351"/>
      <c r="E110" s="351"/>
      <c r="F110" s="352"/>
    </row>
    <row r="111" spans="1:6" ht="18.75" customHeight="1" x14ac:dyDescent="0.15">
      <c r="A111" s="31"/>
      <c r="B111" s="350"/>
      <c r="C111" s="351"/>
      <c r="D111" s="351"/>
      <c r="E111" s="351"/>
      <c r="F111" s="352"/>
    </row>
    <row r="112" spans="1:6" ht="18.75" customHeight="1" x14ac:dyDescent="0.15">
      <c r="A112" s="31"/>
      <c r="B112" s="350"/>
      <c r="C112" s="351"/>
      <c r="D112" s="351"/>
      <c r="E112" s="351"/>
      <c r="F112" s="352"/>
    </row>
    <row r="113" spans="1:6" ht="18.75" customHeight="1" x14ac:dyDescent="0.15">
      <c r="A113" s="31"/>
      <c r="B113" s="350"/>
      <c r="C113" s="351"/>
      <c r="D113" s="351"/>
      <c r="E113" s="351"/>
      <c r="F113" s="352"/>
    </row>
    <row r="114" spans="1:6" ht="18.75" customHeight="1" x14ac:dyDescent="0.15">
      <c r="A114" s="31"/>
      <c r="B114" s="350"/>
      <c r="C114" s="351"/>
      <c r="D114" s="351"/>
      <c r="E114" s="351"/>
      <c r="F114" s="352"/>
    </row>
    <row r="115" spans="1:6" ht="18.75" customHeight="1" x14ac:dyDescent="0.15">
      <c r="A115" s="31"/>
      <c r="B115" s="350"/>
      <c r="C115" s="351"/>
      <c r="D115" s="351"/>
      <c r="E115" s="351"/>
      <c r="F115" s="352"/>
    </row>
    <row r="116" spans="1:6" ht="18.75" customHeight="1" x14ac:dyDescent="0.15">
      <c r="A116" s="31"/>
      <c r="B116" s="350"/>
      <c r="C116" s="351"/>
      <c r="D116" s="351"/>
      <c r="E116" s="351"/>
      <c r="F116" s="352"/>
    </row>
    <row r="117" spans="1:6" ht="18.75" customHeight="1" x14ac:dyDescent="0.15">
      <c r="A117" s="31"/>
      <c r="B117" s="350"/>
      <c r="C117" s="351"/>
      <c r="D117" s="351"/>
      <c r="E117" s="351"/>
      <c r="F117" s="352"/>
    </row>
    <row r="118" spans="1:6" ht="18.75" customHeight="1" x14ac:dyDescent="0.15">
      <c r="A118" s="31"/>
      <c r="B118" s="350"/>
      <c r="C118" s="351"/>
      <c r="D118" s="351"/>
      <c r="E118" s="351"/>
      <c r="F118" s="352"/>
    </row>
    <row r="119" spans="1:6" ht="18.75" customHeight="1" x14ac:dyDescent="0.15">
      <c r="A119" s="31"/>
      <c r="B119" s="350"/>
      <c r="C119" s="351"/>
      <c r="D119" s="351"/>
      <c r="E119" s="351"/>
      <c r="F119" s="352"/>
    </row>
    <row r="120" spans="1:6" ht="18.75" customHeight="1" x14ac:dyDescent="0.15">
      <c r="A120" s="31"/>
      <c r="B120" s="350"/>
      <c r="C120" s="351"/>
      <c r="D120" s="351"/>
      <c r="E120" s="351"/>
      <c r="F120" s="352"/>
    </row>
    <row r="121" spans="1:6" ht="18.75" customHeight="1" x14ac:dyDescent="0.15">
      <c r="A121" s="31"/>
      <c r="B121" s="350"/>
      <c r="C121" s="351"/>
      <c r="D121" s="351"/>
      <c r="E121" s="351"/>
      <c r="F121" s="352"/>
    </row>
    <row r="122" spans="1:6" ht="18.75" customHeight="1" x14ac:dyDescent="0.15">
      <c r="A122" s="31"/>
      <c r="B122" s="350"/>
      <c r="C122" s="351"/>
      <c r="D122" s="351"/>
      <c r="E122" s="351"/>
      <c r="F122" s="352"/>
    </row>
    <row r="123" spans="1:6" ht="18.75" customHeight="1" x14ac:dyDescent="0.15">
      <c r="A123" s="31"/>
      <c r="B123" s="350"/>
      <c r="C123" s="351"/>
      <c r="D123" s="351"/>
      <c r="E123" s="351"/>
      <c r="F123" s="352"/>
    </row>
    <row r="124" spans="1:6" ht="18.75" customHeight="1" x14ac:dyDescent="0.15">
      <c r="A124" s="31"/>
      <c r="B124" s="353"/>
      <c r="C124" s="354"/>
      <c r="D124" s="354"/>
      <c r="E124" s="354"/>
      <c r="F124" s="355"/>
    </row>
  </sheetData>
  <mergeCells count="5">
    <mergeCell ref="E1:F1"/>
    <mergeCell ref="A2:F2"/>
    <mergeCell ref="B5:F42"/>
    <mergeCell ref="B44:F83"/>
    <mergeCell ref="B85:F124"/>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2" max="5" man="1"/>
    <brk id="83"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様式６　特色ある取組</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lpstr>'様式６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中島　圭</cp:lastModifiedBy>
  <cp:lastPrinted>2022-05-12T07:33:37Z</cp:lastPrinted>
  <dcterms:created xsi:type="dcterms:W3CDTF">2011-06-14T05:32:50Z</dcterms:created>
  <dcterms:modified xsi:type="dcterms:W3CDTF">2022-06-02T00:29:33Z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