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defaultThemeVersion="124226"/>
  <mc:AlternateContent xmlns:mc="http://schemas.openxmlformats.org/markup-compatibility/2006">
    <mc:Choice Requires="x15">
      <x15ac:absPath xmlns:x15ac="http://schemas.microsoft.com/office/spreadsheetml/2010/11/ac" url="X:\EM部\教育課\会議\11データサイエンス教育研究推進本部\14_教育プログラム（リテラシーレベル）申請\04_申請後の修正対応\03_確認3回目（HP公表関係の修正依頼）\"/>
    </mc:Choice>
  </mc:AlternateContent>
  <xr:revisionPtr revIDLastSave="0" documentId="13_ncr:1_{0A471DFE-7465-42BB-A46B-F0908A33AD0D}" xr6:coauthVersionLast="36" xr6:coauthVersionMax="47" xr10:uidLastSave="{00000000-0000-0000-0000-000000000000}"/>
  <bookViews>
    <workbookView xWindow="0" yWindow="0" windowWidth="15060" windowHeight="11460" tabRatio="885" activeTab="6" xr2:uid="{00000000-000D-0000-FFFF-FFFF00000000}"/>
  </bookViews>
  <sheets>
    <sheet name="様式１　大学等概要" sheetId="8" r:id="rId1"/>
    <sheet name="様式２ー１　プログラムを構成する授業科目" sheetId="46" r:id="rId2"/>
    <sheet name="様式２ー２　プログラムを構成する授業科目" sheetId="45" r:id="rId3"/>
    <sheet name="様式２ー３　プログラムを構成する授業科目" sheetId="47" r:id="rId4"/>
    <sheet name="様式３　履修者等数の実績" sheetId="48" r:id="rId5"/>
    <sheet name="様式４　教育の質・履修者数を向上させるための体制・計画" sheetId="41" r:id="rId6"/>
    <sheet name="様式５　自己点検・評価" sheetId="42" r:id="rId7"/>
  </sheets>
  <definedNames>
    <definedName name="_xlnm._FilterDatabase" localSheetId="1" hidden="1">'様式２ー１　プログラムを構成する授業科目'!#REF!</definedName>
    <definedName name="_xlnm._FilterDatabase" localSheetId="2" hidden="1">'様式２ー２　プログラムを構成する授業科目'!#REF!</definedName>
    <definedName name="_xlnm._FilterDatabase" localSheetId="3" hidden="1">'様式２ー３　プログラムを構成する授業科目'!#REF!</definedName>
    <definedName name="_xlnm._FilterDatabase" localSheetId="4" hidden="1">'様式３　履修者等数の実績'!#REF!</definedName>
    <definedName name="_xlnm.Print_Area" localSheetId="0">'様式１　大学等概要'!$A$1:$N$45</definedName>
    <definedName name="_xlnm.Print_Area" localSheetId="1">'様式２ー１　プログラムを構成する授業科目'!$A$1:$Z$137</definedName>
    <definedName name="_xlnm.Print_Area" localSheetId="2">'様式２ー２　プログラムを構成する授業科目'!$A$1:$Z$136</definedName>
    <definedName name="_xlnm.Print_Area" localSheetId="3">'様式２ー３　プログラムを構成する授業科目'!$A$1:$Z$136</definedName>
    <definedName name="_xlnm.Print_Area" localSheetId="4">'様式３　履修者等数の実績'!$A$1:$R$30</definedName>
    <definedName name="_xlnm.Print_Area" localSheetId="5">'様式４　教育の質・履修者数を向上させるための体制・計画'!$A$1:$J$130</definedName>
    <definedName name="_xlnm.Print_Area" localSheetId="6">'様式５　自己点検・評価'!$A$1:$J$18</definedName>
  </definedNames>
  <calcPr calcId="191029"/>
</workbook>
</file>

<file path=xl/calcChain.xml><?xml version="1.0" encoding="utf-8"?>
<calcChain xmlns="http://schemas.openxmlformats.org/spreadsheetml/2006/main">
  <c r="K15" i="41" l="1"/>
  <c r="K8" i="41"/>
  <c r="F29" i="41" l="1"/>
  <c r="C4" i="48" l="1"/>
  <c r="P30" i="48"/>
  <c r="O30" i="48"/>
  <c r="N30" i="48"/>
  <c r="M30" i="48"/>
  <c r="L30" i="48"/>
  <c r="K30" i="48"/>
  <c r="J30" i="48"/>
  <c r="I30" i="48"/>
  <c r="H30" i="48"/>
  <c r="G30" i="48"/>
  <c r="F30" i="48"/>
  <c r="E30" i="48"/>
  <c r="D30" i="48"/>
  <c r="I29" i="41" s="1"/>
  <c r="C30" i="48"/>
  <c r="Q29" i="48"/>
  <c r="R29" i="48" s="1"/>
  <c r="Q28" i="48"/>
  <c r="R28" i="48" s="1"/>
  <c r="Q27" i="48"/>
  <c r="R27" i="48" s="1"/>
  <c r="Q26" i="48"/>
  <c r="R26" i="48" s="1"/>
  <c r="Q25" i="48"/>
  <c r="R25" i="48" s="1"/>
  <c r="Q24" i="48"/>
  <c r="R24" i="48" s="1"/>
  <c r="Q23" i="48"/>
  <c r="R23" i="48" s="1"/>
  <c r="Q22" i="48"/>
  <c r="R22" i="48" s="1"/>
  <c r="Q21" i="48"/>
  <c r="R21" i="48" s="1"/>
  <c r="Q20" i="48"/>
  <c r="R20" i="48" s="1"/>
  <c r="Q19" i="48"/>
  <c r="R19" i="48" s="1"/>
  <c r="Q18" i="48"/>
  <c r="R18" i="48" s="1"/>
  <c r="Q17" i="48"/>
  <c r="R17" i="48" s="1"/>
  <c r="Q16" i="48"/>
  <c r="R16" i="48" s="1"/>
  <c r="Q15" i="48"/>
  <c r="R15" i="48" s="1"/>
  <c r="Q14" i="48"/>
  <c r="R14" i="48" s="1"/>
  <c r="Q13" i="48"/>
  <c r="R13" i="48" s="1"/>
  <c r="Q12" i="48"/>
  <c r="R12" i="48" s="1"/>
  <c r="Q11" i="48"/>
  <c r="R11" i="48" s="1"/>
  <c r="Q10" i="48"/>
  <c r="R10" i="48" s="1"/>
  <c r="Q30" i="48" l="1"/>
  <c r="R30" i="48" s="1"/>
  <c r="C28" i="41" s="1"/>
  <c r="O16" i="8"/>
  <c r="K18" i="42" l="1"/>
  <c r="K16" i="42"/>
  <c r="K15" i="42"/>
  <c r="K9" i="42"/>
  <c r="K8" i="42"/>
  <c r="K7" i="42"/>
  <c r="K113" i="41"/>
  <c r="K91" i="41"/>
  <c r="K69" i="41"/>
  <c r="K46" i="41"/>
  <c r="K31" i="41"/>
  <c r="K5" i="41"/>
  <c r="O45" i="8"/>
  <c r="O44" i="8"/>
  <c r="O41" i="8"/>
  <c r="O39" i="8"/>
  <c r="O37" i="8"/>
  <c r="O34" i="8"/>
  <c r="O32" i="8"/>
  <c r="O29" i="8"/>
  <c r="O20" i="8"/>
  <c r="O18" i="8"/>
  <c r="O14" i="8"/>
  <c r="O12" i="8"/>
  <c r="O10" i="8"/>
  <c r="O6" i="8"/>
  <c r="O8" i="8"/>
  <c r="O4" i="8"/>
  <c r="K14" i="42"/>
  <c r="K13" i="42"/>
  <c r="K11" i="42"/>
  <c r="K10" i="42"/>
</calcChain>
</file>

<file path=xl/sharedStrings.xml><?xml version="1.0" encoding="utf-8"?>
<sst xmlns="http://schemas.openxmlformats.org/spreadsheetml/2006/main" count="1205" uniqueCount="317">
  <si>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</si>
  <si>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</si>
  <si>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</si>
  <si>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</si>
  <si>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</si>
  <si>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</si>
  <si>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</si>
  <si>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</si>
  <si>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</si>
  <si>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</si>
  <si>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</si>
  <si>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</si>
  <si>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</si>
  <si>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</si>
  <si>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</si>
  <si>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</si>
  <si>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</si>
  <si>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</si>
  <si>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</si>
  <si>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</si>
  <si>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</si>
  <si>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</si>
  <si>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</si>
  <si>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</si>
  <si>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</si>
  <si>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</si>
  <si>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</si>
  <si>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</si>
  <si>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</si>
  <si>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</si>
  <si>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</si>
  <si>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</si>
  <si>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</si>
  <si>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</si>
  <si>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</si>
  <si>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</si>
  <si>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</si>
  <si>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</si>
  <si>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</si>
  <si>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</si>
  <si>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</si>
  <si>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</si>
  <si>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</si>
  <si>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</si>
  <si>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</si>
  <si>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</si>
  <si>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</si>
  <si>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</si>
  <si>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</si>
  <si>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</si>
  <si>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</si>
  <si>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</si>
  <si>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</si>
  <si>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</si>
  <si>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</si>
  <si>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</si>
  <si>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</si>
  <si>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</si>
  <si>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</si>
  <si>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</si>
  <si>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</si>
  <si>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</si>
  <si>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</si>
  <si>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</si>
  <si>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</si>
  <si>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</si>
  <si>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</si>
  <si>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</si>
  <si>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</si>
  <si>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</si>
  <si>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</si>
  <si>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</si>
  <si>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</si>
  <si>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</si>
  <si>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</si>
  <si>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</si>
  <si>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</si>
  <si>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</si>
  <si>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</si>
  <si>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</si>
  <si>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</si>
  <si>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</si>
  <si>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</si>
  <si>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</si>
  <si>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</si>
  <si>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</si>
  <si>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</si>
  <si>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</si>
  <si>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</si>
  <si>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</si>
  <si>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</si>
  <si>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</si>
  <si>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</si>
  <si>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</si>
  <si>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</si>
  <si>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</si>
  <si>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</si>
  <si>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</si>
  <si>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</si>
  <si>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</si>
  <si>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</si>
  <si>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</si>
  <si>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</si>
  <si>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</si>
  <si>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</si>
  <si>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</si>
  <si>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</si>
  <si>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</si>
  <si>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</si>
  <si>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</si>
  <si>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</si>
  <si>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</si>
  <si>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</si>
  <si>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</si>
  <si>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</si>
  <si>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</si>
  <si>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</si>
  <si>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</si>
  <si>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</si>
  <si>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</si>
  <si>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</si>
  <si>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</si>
  <si>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</si>
  <si>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</si>
  <si>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</si>
  <si>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</si>
  <si>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</si>
  <si>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</si>
  <si>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</si>
  <si>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</si>
  <si>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</si>
  <si>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</si>
  <si>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</si>
  <si>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</si>
  <si>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</si>
  <si>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</si>
  <si>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</si>
  <si>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</si>
  <si>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</si>
  <si>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</si>
  <si>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</si>
  <si>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</si>
  <si>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</si>
  <si>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データサイエンスマイスター制度</t>
    <phoneticPr fontId="1"/>
  </si>
  <si>
    <t>無</t>
  </si>
  <si>
    <t>出口　毅</t>
    <phoneticPr fontId="1"/>
  </si>
  <si>
    <t>認定教育プログラム</t>
  </si>
  <si>
    <t>様式２－２</t>
    <phoneticPr fontId="1"/>
  </si>
  <si>
    <t>学部・学科によって、修了要件は相違する</t>
  </si>
  <si>
    <t>データ解析基礎</t>
    <phoneticPr fontId="1"/>
  </si>
  <si>
    <t>情報処理</t>
    <phoneticPr fontId="1"/>
  </si>
  <si>
    <t>○</t>
  </si>
  <si>
    <t>全学開講</t>
  </si>
  <si>
    <t>4-1統計および数理基礎</t>
  </si>
  <si>
    <t>4‐2アルゴリズム基礎</t>
  </si>
  <si>
    <t>解析学概論</t>
    <phoneticPr fontId="1"/>
  </si>
  <si>
    <t>解析学基礎</t>
    <phoneticPr fontId="1"/>
  </si>
  <si>
    <t>幾何学概論</t>
    <phoneticPr fontId="1"/>
  </si>
  <si>
    <t>幾何学基礎</t>
    <phoneticPr fontId="1"/>
  </si>
  <si>
    <t>線形代数Ⅰ（数理科学）</t>
    <phoneticPr fontId="1"/>
  </si>
  <si>
    <t>線形代数Ⅱ（数理科学）</t>
    <phoneticPr fontId="1"/>
  </si>
  <si>
    <t>代数学概論</t>
    <phoneticPr fontId="1"/>
  </si>
  <si>
    <t>代数学基礎</t>
    <phoneticPr fontId="1"/>
  </si>
  <si>
    <t>統計リテラシー1（数理科学）</t>
    <phoneticPr fontId="1"/>
  </si>
  <si>
    <t>統計リテラシー2（数理科学）</t>
    <phoneticPr fontId="1"/>
  </si>
  <si>
    <t>統計学・疫学</t>
    <phoneticPr fontId="1"/>
  </si>
  <si>
    <t>農学のための数物基礎（農学）</t>
    <phoneticPr fontId="1"/>
  </si>
  <si>
    <t>微分積分学Ⅰ(数理科学)</t>
    <phoneticPr fontId="1"/>
  </si>
  <si>
    <t>微分積分学Ⅱ(数理科学)</t>
    <phoneticPr fontId="1"/>
  </si>
  <si>
    <t>微分方程式(数理科学)</t>
    <phoneticPr fontId="1"/>
  </si>
  <si>
    <t>統計学1</t>
    <phoneticPr fontId="1"/>
  </si>
  <si>
    <t>統計学2</t>
    <phoneticPr fontId="1"/>
  </si>
  <si>
    <t>確率・統計概論</t>
    <phoneticPr fontId="1"/>
  </si>
  <si>
    <t>統計学</t>
    <phoneticPr fontId="1"/>
  </si>
  <si>
    <t>幾何学発展</t>
    <phoneticPr fontId="1"/>
  </si>
  <si>
    <t>算数の基礎</t>
    <phoneticPr fontId="1"/>
  </si>
  <si>
    <t>初等教科教育法I（算数）</t>
    <phoneticPr fontId="1"/>
  </si>
  <si>
    <t>応用確率論</t>
    <phoneticPr fontId="1"/>
  </si>
  <si>
    <t>集合と位相Ⅰ</t>
    <phoneticPr fontId="1"/>
  </si>
  <si>
    <t>数理統計学</t>
    <phoneticPr fontId="1"/>
  </si>
  <si>
    <t>集合と位相Ⅱ</t>
    <phoneticPr fontId="1"/>
  </si>
  <si>
    <t>数理統計入門</t>
    <phoneticPr fontId="1"/>
  </si>
  <si>
    <t>集合と位相演習</t>
    <phoneticPr fontId="1"/>
  </si>
  <si>
    <t>微分積分Ⅱ</t>
    <phoneticPr fontId="1"/>
  </si>
  <si>
    <t>微分積分演習</t>
    <phoneticPr fontId="1"/>
  </si>
  <si>
    <t>代数入門</t>
    <phoneticPr fontId="1"/>
  </si>
  <si>
    <t>4‐3データ構造とプログラミング基礎</t>
  </si>
  <si>
    <t>データサイエンス基礎(数理科学)</t>
    <phoneticPr fontId="1"/>
  </si>
  <si>
    <t>新聞で山形を知る(山形から考える)</t>
    <phoneticPr fontId="1"/>
  </si>
  <si>
    <t>共生のマーケティング(共生を考える)</t>
    <phoneticPr fontId="1"/>
  </si>
  <si>
    <t>情報社会論(社会学)</t>
    <phoneticPr fontId="1"/>
  </si>
  <si>
    <t>ＡＩ時代の情報教育(数理科学)</t>
    <phoneticPr fontId="1"/>
  </si>
  <si>
    <t>計量分析入門(数理科学)</t>
    <phoneticPr fontId="1"/>
  </si>
  <si>
    <t>プログラム演習(応用)</t>
    <phoneticPr fontId="1"/>
  </si>
  <si>
    <t>文系でもできるプログラミング(応用)</t>
    <phoneticPr fontId="1"/>
  </si>
  <si>
    <t>pythonによるデータ分析入門(応用)</t>
    <phoneticPr fontId="1"/>
  </si>
  <si>
    <t>総合講座Ⅲ</t>
    <phoneticPr fontId="1"/>
  </si>
  <si>
    <t>認知情報科学基礎実習</t>
    <phoneticPr fontId="1"/>
  </si>
  <si>
    <t>行動科学基礎演習</t>
    <phoneticPr fontId="1"/>
  </si>
  <si>
    <t>社会統計学</t>
    <phoneticPr fontId="1"/>
  </si>
  <si>
    <t>情報数学A</t>
    <phoneticPr fontId="1"/>
  </si>
  <si>
    <t>プログラミング</t>
    <phoneticPr fontId="1"/>
  </si>
  <si>
    <t>課題演習（地域情報）</t>
    <phoneticPr fontId="1"/>
  </si>
  <si>
    <t>調査方法論</t>
    <phoneticPr fontId="1"/>
  </si>
  <si>
    <t>経済情報科学1</t>
    <phoneticPr fontId="1"/>
  </si>
  <si>
    <t>社会調査法基礎</t>
    <phoneticPr fontId="1"/>
  </si>
  <si>
    <t>人間情報科学演習</t>
    <phoneticPr fontId="1"/>
  </si>
  <si>
    <t>人間情報科学概論</t>
    <phoneticPr fontId="1"/>
  </si>
  <si>
    <t>人間情報科学基礎演習</t>
    <phoneticPr fontId="1"/>
  </si>
  <si>
    <t>情報処理実習</t>
    <phoneticPr fontId="1"/>
  </si>
  <si>
    <t>心理学統計法</t>
    <phoneticPr fontId="1"/>
  </si>
  <si>
    <t>計算物理学</t>
    <phoneticPr fontId="1"/>
  </si>
  <si>
    <t>看護統計学</t>
    <phoneticPr fontId="1"/>
  </si>
  <si>
    <t>スポーツバイオメカニクス</t>
    <phoneticPr fontId="1"/>
  </si>
  <si>
    <t>心理学実験</t>
    <phoneticPr fontId="1"/>
  </si>
  <si>
    <t>体力測定演習</t>
    <phoneticPr fontId="1"/>
  </si>
  <si>
    <t>情報エレクトロニクス入門</t>
    <phoneticPr fontId="1"/>
  </si>
  <si>
    <t>プログラミング入門（応用）</t>
    <phoneticPr fontId="1"/>
  </si>
  <si>
    <t>プログラミング演習Ⅰ（電気・電子通信）</t>
    <phoneticPr fontId="1"/>
  </si>
  <si>
    <t>プログラミング演習Ⅰ（情報・知能）</t>
    <phoneticPr fontId="1"/>
  </si>
  <si>
    <t>プログラミング演習Ⅱ（電気・電子通信）</t>
    <phoneticPr fontId="1"/>
  </si>
  <si>
    <t>プログラミング演習Ⅱ（情報・知能）</t>
    <phoneticPr fontId="1"/>
  </si>
  <si>
    <t>ＰＢＬ演習Ⅰ（電気・電子通信）</t>
    <phoneticPr fontId="1"/>
  </si>
  <si>
    <t>ＰＢＬ演習Ⅰ（情報・知能）</t>
    <phoneticPr fontId="1"/>
  </si>
  <si>
    <t>情報科学演習</t>
    <phoneticPr fontId="1"/>
  </si>
  <si>
    <t>マルチメディア入門</t>
    <phoneticPr fontId="1"/>
  </si>
  <si>
    <t>計算機基礎</t>
    <phoneticPr fontId="1"/>
  </si>
  <si>
    <t>システム創成基礎</t>
    <phoneticPr fontId="1"/>
  </si>
  <si>
    <t>情報理論</t>
    <phoneticPr fontId="1"/>
  </si>
  <si>
    <t>オートマトンと言語理論</t>
    <phoneticPr fontId="1"/>
  </si>
  <si>
    <t>ソフトウェア工学</t>
    <phoneticPr fontId="1"/>
  </si>
  <si>
    <t>論理回路</t>
    <phoneticPr fontId="1"/>
  </si>
  <si>
    <t>情報処理演習</t>
    <phoneticPr fontId="1"/>
  </si>
  <si>
    <t>その他</t>
  </si>
  <si>
    <t>4‐6画像解析</t>
  </si>
  <si>
    <t>データサイエンスⅡ（数理科学）</t>
    <phoneticPr fontId="1"/>
  </si>
  <si>
    <t>理学部では、「データ解析基礎、データサイエンスI」の４単位を含め、合計８単位以上を修得すること。</t>
    <rPh sb="0" eb="3">
      <t>リガクブ</t>
    </rPh>
    <rPh sb="30" eb="31">
      <t>フク</t>
    </rPh>
    <phoneticPr fontId="1"/>
  </si>
  <si>
    <t xml:space="preserve">	</t>
    <phoneticPr fontId="1"/>
  </si>
  <si>
    <t>認知心理学特殊講義</t>
    <phoneticPr fontId="1"/>
  </si>
  <si>
    <t>データサイエンスI（数理科学）</t>
    <phoneticPr fontId="1"/>
  </si>
  <si>
    <t>コンピュータアーキテクチャ</t>
  </si>
  <si>
    <t>情報数学C</t>
  </si>
  <si>
    <t>計算科学A</t>
  </si>
  <si>
    <t>計算科学B</t>
  </si>
  <si>
    <t>・シェアリングエコノミーやサブスクリプションモデルなど、新しく加わったサービスを解説し、そこから生まれる新しい情報や価値を理解する。「データ解析基礎」（第15回データサイエンス・AIの動向、データ駆動型社会への移行）
・データサイエンスの初めから現代までを歴史の流れに沿って説明する。「データサイエンスI」（第１回）</t>
    <rPh sb="119" eb="120">
      <t>ハジ</t>
    </rPh>
    <rPh sb="123" eb="125">
      <t>ゲンダイ</t>
    </rPh>
    <rPh sb="128" eb="130">
      <t>レキシ</t>
    </rPh>
    <rPh sb="131" eb="132">
      <t>ナガ</t>
    </rPh>
    <rPh sb="134" eb="135">
      <t>ソ</t>
    </rPh>
    <rPh sb="137" eb="139">
      <t>セツメイ</t>
    </rPh>
    <rPh sb="154" eb="155">
      <t>ダイ</t>
    </rPh>
    <rPh sb="156" eb="157">
      <t>カイ</t>
    </rPh>
    <phoneticPr fontId="1"/>
  </si>
  <si>
    <t>・AIが社会に浸透することによるメリットやデメリットを列記し、今後の課題を考える。さらに、AI技術の学習方法を紹介することで、AIを使って自分なりの課題解決に取り組む、橋渡しを行う。「データ解析基礎」（第15回データサイエンス・AIの動向、データ駆動型社会への移行）
・新型コロナウィルスの話題も入れながら、DNA塩基配列データなど数値以外のデータを紹介する。「データサイエンスI」（第6回）</t>
    <rPh sb="135" eb="137">
      <t>シンガタ</t>
    </rPh>
    <rPh sb="145" eb="147">
      <t>ワダイ</t>
    </rPh>
    <rPh sb="148" eb="149">
      <t>イ</t>
    </rPh>
    <rPh sb="157" eb="161">
      <t>エンキハイレツ</t>
    </rPh>
    <rPh sb="166" eb="170">
      <t>スウチイガイ</t>
    </rPh>
    <rPh sb="175" eb="177">
      <t>ショウカイ</t>
    </rPh>
    <phoneticPr fontId="1"/>
  </si>
  <si>
    <t>・量的データや質的データなどデータの種類を理解し、正しい扱い方を学ぶ。「データ解析基礎」（第2回データの準備とデータのタイプ）
・ランダムな抽出実験による円周率や電池の長さを導き出す体験を通して、今まで経験したことのないデータ収集手法を学ぶ。「データサイエンスI」（第9回）</t>
    <rPh sb="1" eb="3">
      <t>リョウテキ</t>
    </rPh>
    <rPh sb="7" eb="9">
      <t>シツテキ</t>
    </rPh>
    <rPh sb="18" eb="20">
      <t>シュルイ</t>
    </rPh>
    <rPh sb="21" eb="23">
      <t>リカイ</t>
    </rPh>
    <rPh sb="25" eb="26">
      <t>タダ</t>
    </rPh>
    <rPh sb="28" eb="29">
      <t>アツカ</t>
    </rPh>
    <rPh sb="30" eb="31">
      <t>カタ</t>
    </rPh>
    <rPh sb="32" eb="33">
      <t>マナ</t>
    </rPh>
    <rPh sb="52" eb="54">
      <t>ジュンビ</t>
    </rPh>
    <rPh sb="70" eb="72">
      <t>チュウシュツ</t>
    </rPh>
    <rPh sb="72" eb="74">
      <t>ジッケン</t>
    </rPh>
    <rPh sb="77" eb="80">
      <t>エンシュウリツ</t>
    </rPh>
    <rPh sb="81" eb="83">
      <t>デンチ</t>
    </rPh>
    <rPh sb="84" eb="85">
      <t>ナガ</t>
    </rPh>
    <rPh sb="87" eb="88">
      <t>ミチビ</t>
    </rPh>
    <rPh sb="89" eb="90">
      <t>ダ</t>
    </rPh>
    <rPh sb="91" eb="93">
      <t>タイケン</t>
    </rPh>
    <rPh sb="94" eb="95">
      <t>トオ</t>
    </rPh>
    <rPh sb="98" eb="99">
      <t>イマ</t>
    </rPh>
    <rPh sb="101" eb="103">
      <t>ケイケン</t>
    </rPh>
    <rPh sb="113" eb="115">
      <t>シュウシュウ</t>
    </rPh>
    <rPh sb="115" eb="117">
      <t>シュホウ</t>
    </rPh>
    <rPh sb="118" eb="119">
      <t>マナ</t>
    </rPh>
    <phoneticPr fontId="1"/>
  </si>
  <si>
    <t>・ある施設の入場者数からエクセルを用いた標準偏差を計算する方法や、外国語検定試験の結果を用いて、エクセルによるデータ解析や散布図による可視化手法などを学ぶ。「データ解析基礎」（第6回量的変数をばらつきで要約する）
・統計処理言語Rを使った時系列データの可視化とデータ処理の実習を行う。「データサイエンスI」（第15回）</t>
    <rPh sb="75" eb="76">
      <t>マナ</t>
    </rPh>
    <rPh sb="108" eb="114">
      <t>トウケイショリゲンゴ</t>
    </rPh>
    <rPh sb="116" eb="117">
      <t>ツカ</t>
    </rPh>
    <rPh sb="119" eb="122">
      <t>ジケイレツ</t>
    </rPh>
    <rPh sb="126" eb="129">
      <t>カシカ</t>
    </rPh>
    <rPh sb="133" eb="135">
      <t>ショリ</t>
    </rPh>
    <rPh sb="136" eb="138">
      <t>ジッシュウ</t>
    </rPh>
    <rPh sb="139" eb="140">
      <t>オコナ</t>
    </rPh>
    <phoneticPr fontId="1"/>
  </si>
  <si>
    <t>・相関係数を用いた相関の検討、ある県の市町村ごとに、飲食店の数と金融機関店舗数の相関関係から判断できる結論の考察などを行う。「データ解析基礎」（：第10回散布図を活用して関係性を分析する）
・ベイズ理論を理解したうえで、ベイズ推定による予測を体験する。「データサイエンスI」（第13回）</t>
    <rPh sb="99" eb="101">
      <t>リロン</t>
    </rPh>
    <rPh sb="102" eb="104">
      <t>リカイ</t>
    </rPh>
    <rPh sb="113" eb="115">
      <t>スイテイ</t>
    </rPh>
    <rPh sb="118" eb="120">
      <t>ヨソク</t>
    </rPh>
    <rPh sb="121" eb="123">
      <t>タイケン</t>
    </rPh>
    <phoneticPr fontId="1"/>
  </si>
  <si>
    <t>https://www.yamagata-univ-derp.org/dsm2021</t>
    <phoneticPr fontId="1"/>
  </si>
  <si>
    <r>
      <t>・新商品アイデアの提案から、アンケートによるアイデア評価（実験調査、テストマーケティング）を統計的手法を使ってどのように行うかを、解説する。「データ解析基礎」（第9回平均値の比較をアイデア評価に応用する）
・データ駆動科学を題材に、ベテランの洞察力に負けない課題解決に向けた手法（スパースモデリング、ガウス過程）を解説する。「データサイエンスI」（第1</t>
    </r>
    <r>
      <rPr>
        <sz val="12"/>
        <rFont val="ＭＳ Ｐゴシック"/>
        <family val="2"/>
        <charset val="128"/>
      </rPr>
      <t>0</t>
    </r>
    <r>
      <rPr>
        <sz val="12"/>
        <rFont val="ＭＳ Ｐゴシック"/>
        <family val="2"/>
        <charset val="128"/>
        <scheme val="minor"/>
      </rPr>
      <t>回）</t>
    </r>
    <phoneticPr fontId="1"/>
  </si>
  <si>
    <t>・日経平均などの時系列データに指数化や移動平均などのデータ処理を行い、繰り返しパターンの発見を体験する。「データ解析基礎」（第13回時系列データを分析しよう、経済データの利活用技術の紹介）
・ガス消費量、二酸化炭素濃度の変化など、身近にある時系列データを紹介して、時系列データの可視化により読み取れる情報を解説する。「データサイエンスI」（第15回）</t>
    <rPh sb="44" eb="46">
      <t>ハッケン</t>
    </rPh>
    <rPh sb="98" eb="101">
      <t>ショウヒリョウ</t>
    </rPh>
    <rPh sb="102" eb="107">
      <t>ニサンカタンソ</t>
    </rPh>
    <rPh sb="107" eb="109">
      <t>ノウド</t>
    </rPh>
    <rPh sb="110" eb="112">
      <t>ヘンカ</t>
    </rPh>
    <rPh sb="115" eb="117">
      <t>ミジカ</t>
    </rPh>
    <rPh sb="120" eb="123">
      <t>ジケイレツ</t>
    </rPh>
    <rPh sb="127" eb="129">
      <t>ショウカイ</t>
    </rPh>
    <rPh sb="132" eb="135">
      <t>ジケイレツ</t>
    </rPh>
    <rPh sb="139" eb="142">
      <t>カシカ</t>
    </rPh>
    <rPh sb="145" eb="146">
      <t>ヨ</t>
    </rPh>
    <rPh sb="147" eb="148">
      <t>ト</t>
    </rPh>
    <rPh sb="150" eb="152">
      <t>ジョウホウ</t>
    </rPh>
    <rPh sb="153" eb="155">
      <t>カイセツ</t>
    </rPh>
    <phoneticPr fontId="1"/>
  </si>
  <si>
    <t>農学部では、「データ解析基礎、情報処理」の４単位を含め、合計８単位以上を修得すること。</t>
    <rPh sb="0" eb="3">
      <t>ノウガクブ</t>
    </rPh>
    <rPh sb="25" eb="26">
      <t>フク</t>
    </rPh>
    <phoneticPr fontId="1"/>
  </si>
  <si>
    <t>様式２－３</t>
    <phoneticPr fontId="1"/>
  </si>
  <si>
    <t>様式２－１</t>
    <phoneticPr fontId="1"/>
  </si>
  <si>
    <t>国立大学</t>
  </si>
  <si>
    <t>山形県山形市小白川町１丁目4番12号</t>
    <rPh sb="14" eb="15">
      <t>バン</t>
    </rPh>
    <rPh sb="17" eb="18">
      <t>ゴウ</t>
    </rPh>
    <phoneticPr fontId="1"/>
  </si>
  <si>
    <t>国立大学法人山形大学</t>
    <phoneticPr fontId="1"/>
  </si>
  <si>
    <t>yu-kyoiku@jm.kj.yamagata-u.ac.jp</t>
    <phoneticPr fontId="1"/>
  </si>
  <si>
    <t>教育担当理事・副学長</t>
    <phoneticPr fontId="1"/>
  </si>
  <si>
    <t>人文社会科学部</t>
    <rPh sb="0" eb="7">
      <t>ジンブンシャカイカガクブ</t>
    </rPh>
    <phoneticPr fontId="1"/>
  </si>
  <si>
    <t>理学部</t>
    <rPh sb="0" eb="3">
      <t>リガクブ</t>
    </rPh>
    <phoneticPr fontId="1"/>
  </si>
  <si>
    <t>地域教育文化学部</t>
    <rPh sb="0" eb="4">
      <t>チイキキョウイク</t>
    </rPh>
    <rPh sb="4" eb="6">
      <t>ブンカ</t>
    </rPh>
    <rPh sb="6" eb="8">
      <t>ガクブ</t>
    </rPh>
    <phoneticPr fontId="1"/>
  </si>
  <si>
    <t>医学部</t>
    <rPh sb="0" eb="3">
      <t>イガクブ</t>
    </rPh>
    <phoneticPr fontId="1"/>
  </si>
  <si>
    <t>工学部</t>
    <rPh sb="0" eb="3">
      <t>コウガクブ</t>
    </rPh>
    <phoneticPr fontId="1"/>
  </si>
  <si>
    <t>農学部</t>
    <rPh sb="0" eb="3">
      <t>ノウガクブ</t>
    </rPh>
    <phoneticPr fontId="1"/>
  </si>
  <si>
    <t>エンロールメント・マネジメント部教育課</t>
    <rPh sb="15" eb="16">
      <t>ブ</t>
    </rPh>
    <rPh sb="16" eb="18">
      <t>キョウイク</t>
    </rPh>
    <rPh sb="18" eb="19">
      <t>カ</t>
    </rPh>
    <phoneticPr fontId="1"/>
  </si>
  <si>
    <t>山形大学</t>
    <rPh sb="0" eb="2">
      <t>ヤマガタ</t>
    </rPh>
    <phoneticPr fontId="1"/>
  </si>
  <si>
    <t>コンピュータアーキテクチャ</t>
    <phoneticPr fontId="1"/>
  </si>
  <si>
    <t>令和3</t>
    <rPh sb="0" eb="2">
      <t>レイワ</t>
    </rPh>
    <phoneticPr fontId="1"/>
  </si>
  <si>
    <t>山形大学データサイエンス教育研究推進センター</t>
    <phoneticPr fontId="1"/>
  </si>
  <si>
    <t>山形大学データサイエンス教育研究推進本部</t>
    <phoneticPr fontId="1"/>
  </si>
  <si>
    <t>鈴木　千賀</t>
    <phoneticPr fontId="1"/>
  </si>
  <si>
    <t>センター長</t>
    <phoneticPr fontId="1"/>
  </si>
  <si>
    <t>本部長</t>
    <phoneticPr fontId="1"/>
  </si>
  <si>
    <r>
      <t>人文社会科学部・地域教育文化学部・医学部・工学部では、「データ解析基礎、情報処理」の４単位を含め、</t>
    </r>
    <r>
      <rPr>
        <sz val="12"/>
        <color theme="1"/>
        <rFont val="ＭＳ Ｐゴシック"/>
        <family val="3"/>
        <charset val="128"/>
        <scheme val="minor"/>
      </rPr>
      <t>合計</t>
    </r>
    <r>
      <rPr>
        <sz val="12"/>
        <rFont val="ＭＳ Ｐゴシック"/>
        <family val="3"/>
        <charset val="128"/>
        <scheme val="minor"/>
      </rPr>
      <t>８単位以上を修得すること。</t>
    </r>
    <rPh sb="0" eb="2">
      <t>ジンブン</t>
    </rPh>
    <rPh sb="2" eb="4">
      <t>シャカイ</t>
    </rPh>
    <rPh sb="4" eb="5">
      <t>カ</t>
    </rPh>
    <rPh sb="5" eb="7">
      <t>ガクブ</t>
    </rPh>
    <rPh sb="8" eb="10">
      <t>チイキ</t>
    </rPh>
    <rPh sb="10" eb="12">
      <t>キョウイク</t>
    </rPh>
    <rPh sb="12" eb="14">
      <t>ブンカ</t>
    </rPh>
    <rPh sb="14" eb="16">
      <t>ガクブ</t>
    </rPh>
    <rPh sb="17" eb="19">
      <t>イガク</t>
    </rPh>
    <rPh sb="19" eb="20">
      <t>ブ</t>
    </rPh>
    <rPh sb="21" eb="24">
      <t>コウガクブ</t>
    </rPh>
    <rPh sb="46" eb="47">
      <t>フク</t>
    </rPh>
    <rPh sb="51" eb="53">
      <t>イジョウ</t>
    </rPh>
    <rPh sb="61" eb="64">
      <t>リガクブ</t>
    </rPh>
    <phoneticPr fontId="1"/>
  </si>
  <si>
    <t>授業アンケートやWebClassのメッセージ機能で寄せられた意見を参考に、データサイエンス教育研究推進センターにおいて、マイスター制度の水準維持を確認している。アンケートには、動画教材の充実などどの改善を求めるコメントもあり、今後は、教材の更なる改善に務める。</t>
    <rPh sb="0" eb="2">
      <t>ジュギョウ</t>
    </rPh>
    <rPh sb="22" eb="24">
      <t>キノウ</t>
    </rPh>
    <rPh sb="25" eb="26">
      <t>ヨ</t>
    </rPh>
    <rPh sb="30" eb="32">
      <t>イケン</t>
    </rPh>
    <rPh sb="33" eb="35">
      <t>サンコウ</t>
    </rPh>
    <rPh sb="45" eb="51">
      <t>キョウイクケンキュウスイシン</t>
    </rPh>
    <rPh sb="65" eb="67">
      <t>セイド</t>
    </rPh>
    <rPh sb="68" eb="72">
      <t>スイジュンイジ</t>
    </rPh>
    <rPh sb="73" eb="75">
      <t>カクニン</t>
    </rPh>
    <rPh sb="88" eb="92">
      <t>ドウガキョウザイ</t>
    </rPh>
    <rPh sb="93" eb="95">
      <t>ジュウジツ</t>
    </rPh>
    <rPh sb="99" eb="101">
      <t>カイゼン</t>
    </rPh>
    <rPh sb="102" eb="103">
      <t>モト</t>
    </rPh>
    <rPh sb="113" eb="115">
      <t>コンゴ</t>
    </rPh>
    <rPh sb="117" eb="119">
      <t>キョウザイ</t>
    </rPh>
    <rPh sb="120" eb="121">
      <t>サラ</t>
    </rPh>
    <rPh sb="123" eb="125">
      <t>カイゼン</t>
    </rPh>
    <rPh sb="126" eb="127">
      <t>ツト</t>
    </rPh>
    <phoneticPr fontId="1"/>
  </si>
  <si>
    <t>経済学概論</t>
    <phoneticPr fontId="1"/>
  </si>
  <si>
    <t>課題演習（地域情報）</t>
    <rPh sb="9" eb="10">
      <t>カクニン</t>
    </rPh>
    <phoneticPr fontId="1"/>
  </si>
  <si>
    <t>プログラムの授業を教えている教員数</t>
  </si>
  <si>
    <t>データ解析基礎</t>
    <rPh sb="3" eb="5">
      <t>カイセキ</t>
    </rPh>
    <rPh sb="5" eb="7">
      <t>キソ</t>
    </rPh>
    <phoneticPr fontId="1"/>
  </si>
  <si>
    <t>情報数学B</t>
    <phoneticPr fontId="1"/>
  </si>
  <si>
    <t>笠原　明子</t>
    <rPh sb="0" eb="2">
      <t>カサハラ</t>
    </rPh>
    <rPh sb="3" eb="5">
      <t>アキコ</t>
    </rPh>
    <phoneticPr fontId="1"/>
  </si>
  <si>
    <t>023-628-4841</t>
    <phoneticPr fontId="1"/>
  </si>
  <si>
    <t>山形大学データサイエンス教育研究推進本部規程、山形大学データサイエンス教育研究推進センター規程</t>
    <rPh sb="45" eb="47">
      <t>キテイ</t>
    </rPh>
    <phoneticPr fontId="1"/>
  </si>
  <si>
    <t>できる限り多くの学生が履修・修得できるようなサポート体制</t>
  </si>
  <si>
    <t>データ構造とアルゴリズム　</t>
    <phoneticPr fontId="1"/>
  </si>
  <si>
    <t>統計学基礎　　</t>
    <phoneticPr fontId="1"/>
  </si>
  <si>
    <t>統計学基礎　</t>
    <phoneticPr fontId="1"/>
  </si>
  <si>
    <t>データ構造とアルゴリズム</t>
    <phoneticPr fontId="1"/>
  </si>
  <si>
    <t>本プログラムは、令和2年度から試行され、令和3年度より本格的にスタートした。新型コロナの影響もあり、先輩学生から後輩への反応は確認できていない。</t>
    <rPh sb="0" eb="1">
      <t>ホン</t>
    </rPh>
    <rPh sb="8" eb="10">
      <t>レイワ</t>
    </rPh>
    <rPh sb="11" eb="13">
      <t>ネンド</t>
    </rPh>
    <rPh sb="15" eb="17">
      <t>シコウ</t>
    </rPh>
    <rPh sb="20" eb="22">
      <t>レイワ</t>
    </rPh>
    <rPh sb="23" eb="25">
      <t>ネンド</t>
    </rPh>
    <rPh sb="27" eb="29">
      <t>ホンカク</t>
    </rPh>
    <rPh sb="29" eb="30">
      <t>テキ</t>
    </rPh>
    <rPh sb="38" eb="40">
      <t>シンガタ</t>
    </rPh>
    <rPh sb="44" eb="46">
      <t>エイキョウ</t>
    </rPh>
    <rPh sb="50" eb="54">
      <t>センパイガクセイ</t>
    </rPh>
    <rPh sb="56" eb="58">
      <t>コウハイ</t>
    </rPh>
    <rPh sb="60" eb="62">
      <t>ハンノウ</t>
    </rPh>
    <rPh sb="63" eb="65">
      <t>カクニン</t>
    </rPh>
    <phoneticPr fontId="1"/>
  </si>
  <si>
    <t>令和3年度</t>
    <rPh sb="0" eb="2">
      <t>レイワ</t>
    </rPh>
    <rPh sb="3" eb="5">
      <t>ネンド</t>
    </rPh>
    <phoneticPr fontId="1"/>
  </si>
  <si>
    <t>（１）山形大学データサイエンス教育研究推進本部は、山形大学におけるデータサイエンスや人工知能(AI)の技法を活用することにより地域の諸問題の解決に貢献しうる人材を育成することを目的とする。
（２）山形大学データサイエンス教育研究推進センターは、数理・データサイエンス人材を育成するため、地域企業・自治体等と連携して地域ニーズに対応した教育を行うことを目的とする。</t>
    <rPh sb="3" eb="7">
      <t>ヤマガタダイガク</t>
    </rPh>
    <rPh sb="15" eb="17">
      <t>キョウイク</t>
    </rPh>
    <rPh sb="17" eb="19">
      <t>ケンキュウ</t>
    </rPh>
    <rPh sb="25" eb="27">
      <t>ヤマガタ</t>
    </rPh>
    <rPh sb="27" eb="29">
      <t>ダイガク</t>
    </rPh>
    <rPh sb="112" eb="114">
      <t>ケンキュウ</t>
    </rPh>
    <rPh sb="114" eb="116">
      <t>スイシン</t>
    </rPh>
    <phoneticPr fontId="1"/>
  </si>
  <si>
    <t>内容・水準を維持・向上しつつ、より「分かりやすい」授業とすること</t>
    <phoneticPr fontId="1"/>
  </si>
  <si>
    <t>新入生オリエンテーションで、データサイエンスマイスター制度の案内チラシを配布する。
データサイエンス教育研究推進センターのホームページにて、データサイエンスマイスター制度の履修方法や得られる資格を公開する。
全学LMSシステム(WebClass)でデータサイエンスマイスター制度を周知する。
特に、オリエンテーションでは、データサイエンス教育研究推進センターのスタッフが会場に出向き、配布されている案内チラシの内容を口頭で説明することで、学生全体に広く履修を促している。</t>
    <rPh sb="146" eb="147">
      <t>トク</t>
    </rPh>
    <rPh sb="169" eb="175">
      <t>キョウイクケンキュウスイシン</t>
    </rPh>
    <rPh sb="185" eb="187">
      <t>カイジョウ</t>
    </rPh>
    <rPh sb="188" eb="190">
      <t>デム</t>
    </rPh>
    <rPh sb="192" eb="194">
      <t>ハイフ</t>
    </rPh>
    <rPh sb="199" eb="201">
      <t>アンナイ</t>
    </rPh>
    <rPh sb="205" eb="207">
      <t>ナイヨウ</t>
    </rPh>
    <rPh sb="208" eb="210">
      <t>コウトウ</t>
    </rPh>
    <rPh sb="211" eb="213">
      <t>セツメイ</t>
    </rPh>
    <rPh sb="219" eb="223">
      <t>ガクセイ</t>
    </rPh>
    <rPh sb="224" eb="225">
      <t>ヒロク</t>
    </rPh>
    <rPh sb="226" eb="228">
      <t>リシュウ</t>
    </rPh>
    <rPh sb="229" eb="230">
      <t>ウナガセィ</t>
    </rPh>
    <phoneticPr fontId="1"/>
  </si>
  <si>
    <t>データサイエンス教育研究推進センターのホームページと全学LMSシステム(WebClass)で、履修に関する質問をパソコンやモバイル端末からも受付けている。必修科目となった「データ解析基礎」では、オンデマンド教材にブラウザーを使っていつでも履修できる体制を構築した。</t>
    <phoneticPr fontId="1"/>
  </si>
  <si>
    <t>データサイエンス教育研究推進センターのホームページと全学LMSシステム(WebClass)で、履修に関する質問を２４時間いつでも受け付けている。また、全学LMSシステム(WebClass)上の課題問題にも空き時間を利用していつでも取り組め、自身の理解度を確認することができる。</t>
    <rPh sb="64" eb="65">
      <t>ウケ</t>
    </rPh>
    <rPh sb="102" eb="103">
      <t>アキジカn</t>
    </rPh>
    <rPh sb="107" eb="109">
      <t>リヨウ</t>
    </rPh>
    <rPh sb="115" eb="116">
      <t>トリクメ</t>
    </rPh>
    <phoneticPr fontId="1"/>
  </si>
  <si>
    <t>山形大学が導入している全学LMSシステム(WebClass)により、講義担当者は課題提出状況や課題評価を記録・参照が可能となっている。15回の講義に対応した15回の課題問題が用意され、WebClassで提出された課題を評価することで、学生全体の学修状況を把握できる。</t>
    <rPh sb="0" eb="4">
      <t>ヤマガタダイガク</t>
    </rPh>
    <rPh sb="5" eb="7">
      <t>ドウニュウ</t>
    </rPh>
    <rPh sb="11" eb="15">
      <t>ガクシュウカンリ</t>
    </rPh>
    <rPh sb="31" eb="33">
      <t>コウギ</t>
    </rPh>
    <rPh sb="33" eb="36">
      <t>タントウシャ</t>
    </rPh>
    <rPh sb="37" eb="39">
      <t>カダイ</t>
    </rPh>
    <rPh sb="39" eb="41">
      <t>テイシュツ</t>
    </rPh>
    <rPh sb="41" eb="43">
      <t>ジョウキョウ</t>
    </rPh>
    <rPh sb="44" eb="46">
      <t>カダイ</t>
    </rPh>
    <rPh sb="46" eb="48">
      <t>ヒョウカ</t>
    </rPh>
    <rPh sb="49" eb="51">
      <t>キロク</t>
    </rPh>
    <rPh sb="52" eb="54">
      <t>サンショウ</t>
    </rPh>
    <rPh sb="55" eb="57">
      <t>カノウ</t>
    </rPh>
    <rPh sb="66" eb="67">
      <t>カイ</t>
    </rPh>
    <rPh sb="68" eb="70">
      <t>コウギ</t>
    </rPh>
    <rPh sb="71" eb="73">
      <t>タイオウ</t>
    </rPh>
    <rPh sb="77" eb="78">
      <t>カイ</t>
    </rPh>
    <rPh sb="79" eb="83">
      <t>カダイモンダイ</t>
    </rPh>
    <rPh sb="84" eb="86">
      <t>ヨウイ</t>
    </rPh>
    <rPh sb="98" eb="100">
      <t>テイシュツ</t>
    </rPh>
    <rPh sb="103" eb="105">
      <t>カダイ</t>
    </rPh>
    <rPh sb="106" eb="108">
      <t>ヒョウカ</t>
    </rPh>
    <rPh sb="114" eb="118">
      <t>ガクセイゼンタイ</t>
    </rPh>
    <rPh sb="119" eb="121">
      <t>ガクシュウ</t>
    </rPh>
    <rPh sb="121" eb="123">
      <t>ジョウキョウ</t>
    </rPh>
    <rPh sb="124" eb="126">
      <t>ハアク</t>
    </rPh>
    <phoneticPr fontId="1"/>
  </si>
  <si>
    <r>
      <t>毎学期ごとに、全学LMSシステム(WebClass)で行われるアンケート調査により学生の履修動機、意欲、理解度、講義の分かりやすさなどを集計している。本プログラムの主要科目である「データ解析基礎」を対象として実施した令和3年度の授業評価アンケートでは、「この授業を意欲的に受講しましたか。」について</t>
    </r>
    <r>
      <rPr>
        <b/>
        <sz val="12"/>
        <rFont val="ＭＳ Ｐゴシック"/>
        <family val="3"/>
        <charset val="128"/>
        <scheme val="minor"/>
      </rPr>
      <t>９４％</t>
    </r>
    <r>
      <rPr>
        <sz val="12"/>
        <rFont val="ＭＳ Ｐゴシック"/>
        <family val="3"/>
        <charset val="128"/>
        <scheme val="minor"/>
      </rPr>
      <t>の学生が、「はい」または「まあそうである」と答えている。また、「この授業の内容を理解できましたか。」についても、</t>
    </r>
    <r>
      <rPr>
        <b/>
        <sz val="12"/>
        <rFont val="ＭＳ Ｐゴシック"/>
        <family val="3"/>
        <charset val="128"/>
        <scheme val="minor"/>
      </rPr>
      <t>９１％</t>
    </r>
    <r>
      <rPr>
        <sz val="12"/>
        <rFont val="ＭＳ Ｐゴシック"/>
        <family val="3"/>
        <charset val="128"/>
        <scheme val="minor"/>
      </rPr>
      <t>の学生が、「はい」または「まあそうである」と答えている。更に「考え方、能力、知識、技術などは向上しましたか。」についても</t>
    </r>
    <r>
      <rPr>
        <b/>
        <sz val="12"/>
        <rFont val="ＭＳ Ｐゴシック"/>
        <family val="3"/>
        <charset val="128"/>
        <scheme val="minor"/>
      </rPr>
      <t>９２％</t>
    </r>
    <r>
      <rPr>
        <sz val="12"/>
        <rFont val="ＭＳ Ｐゴシック"/>
        <family val="3"/>
        <charset val="128"/>
        <scheme val="minor"/>
      </rPr>
      <t>の学生が、「はい」または「まあそうである」と答えており、本プログラムにより、データサイエンスに関する新しい考え方、能力、知識、技術が習得されたことが確認できる。</t>
    </r>
    <rPh sb="0" eb="3">
      <t>マイガッキ</t>
    </rPh>
    <rPh sb="24" eb="25">
      <t>オコナ</t>
    </rPh>
    <rPh sb="33" eb="35">
      <t>チョウサ</t>
    </rPh>
    <rPh sb="38" eb="40">
      <t>ガクセイ</t>
    </rPh>
    <rPh sb="41" eb="45">
      <t>リシュウドウキ</t>
    </rPh>
    <rPh sb="46" eb="48">
      <t>イヨク</t>
    </rPh>
    <rPh sb="49" eb="52">
      <t>リカイド</t>
    </rPh>
    <rPh sb="53" eb="55">
      <t>コウギ</t>
    </rPh>
    <rPh sb="56" eb="57">
      <t>ワ</t>
    </rPh>
    <rPh sb="65" eb="67">
      <t>シュウケイ</t>
    </rPh>
    <rPh sb="96" eb="98">
      <t>タイショウ</t>
    </rPh>
    <rPh sb="101" eb="103">
      <t>ジッシ</t>
    </rPh>
    <rPh sb="105" eb="107">
      <t>レイワ</t>
    </rPh>
    <rPh sb="108" eb="110">
      <t>ネンド</t>
    </rPh>
    <rPh sb="111" eb="113">
      <t>ジュギョウ</t>
    </rPh>
    <rPh sb="113" eb="115">
      <t>ヒョウカ</t>
    </rPh>
    <rPh sb="150" eb="152">
      <t>ガクセイ</t>
    </rPh>
    <rPh sb="171" eb="172">
      <t>コタ</t>
    </rPh>
    <rPh sb="301" eb="302">
      <t>ホン</t>
    </rPh>
    <rPh sb="320" eb="321">
      <t>カン</t>
    </rPh>
    <rPh sb="323" eb="324">
      <t>アタラ</t>
    </rPh>
    <rPh sb="339" eb="341">
      <t>シュウトク</t>
    </rPh>
    <rPh sb="347" eb="349">
      <t>カクニン</t>
    </rPh>
    <phoneticPr fontId="1"/>
  </si>
  <si>
    <t>本プログラムは、令和2年度から試行され、令和3年度より本格的にスタートした。プログラム修了者の進路等は今後集約していく予定である。山形大学データマイスター制度については、データサイエンス教育研究推進センターのホームページで公開し、広く周知するとともに、数理・データサイエンス教育強化拠点コンソーシアムが主催する北海道・東北ブロック会議にて他大学や企業に向けてその活動を公開している。また、自治体とのDX推進に向けた連携教育の学生参加やデータサイエンスCaféやデータサイエンス学術相談パッケージなどの機会に、学内教育活動を企業に伝えている。これらに参加した企業や自治体からは、本プログラムに対する期待や評価をいただいている。</t>
    <rPh sb="0" eb="4">
      <t>ヤマガタダイガク</t>
    </rPh>
    <rPh sb="12" eb="14">
      <t>セイド</t>
    </rPh>
    <rPh sb="28" eb="34">
      <t>キョウイクケンキュウスイシン</t>
    </rPh>
    <rPh sb="43" eb="46">
      <t>シュウリョウセィア</t>
    </rPh>
    <rPh sb="47" eb="49">
      <t>シンロ</t>
    </rPh>
    <rPh sb="49" eb="50">
      <t>トウ</t>
    </rPh>
    <rPh sb="51" eb="53">
      <t>コンゴ</t>
    </rPh>
    <rPh sb="53" eb="55">
      <t>シュウヤ</t>
    </rPh>
    <rPh sb="59" eb="61">
      <t>ヨテイ</t>
    </rPh>
    <rPh sb="79" eb="81">
      <t>シュサイ</t>
    </rPh>
    <rPh sb="97" eb="100">
      <t>タダイガク</t>
    </rPh>
    <rPh sb="101" eb="103">
      <t>キギョウ</t>
    </rPh>
    <rPh sb="104" eb="105">
      <t>ム</t>
    </rPh>
    <rPh sb="109" eb="111">
      <t>カツドウ</t>
    </rPh>
    <rPh sb="112" eb="114">
      <t>コウカイ</t>
    </rPh>
    <rPh sb="122" eb="125">
      <t>ジチタイ</t>
    </rPh>
    <rPh sb="129" eb="131">
      <t>スイシン</t>
    </rPh>
    <rPh sb="132" eb="133">
      <t>ム</t>
    </rPh>
    <rPh sb="135" eb="137">
      <t>レンケイ</t>
    </rPh>
    <rPh sb="137" eb="139">
      <t>キョウイク</t>
    </rPh>
    <rPh sb="140" eb="142">
      <t>ガクセイ</t>
    </rPh>
    <rPh sb="142" eb="144">
      <t>サンカ</t>
    </rPh>
    <rPh sb="166" eb="170">
      <t>ガクジュツソウダン</t>
    </rPh>
    <rPh sb="178" eb="180">
      <t>キカイ</t>
    </rPh>
    <rPh sb="182" eb="188">
      <t>ガクナイキョウイクカツドウ</t>
    </rPh>
    <rPh sb="189" eb="191">
      <t>キギョウ</t>
    </rPh>
    <rPh sb="192" eb="193">
      <t>ツタ</t>
    </rPh>
    <rPh sb="270" eb="272">
      <t>_x0000__x0000__x0004__x0008__x000C__x0002__x000B__x001C__x0006__x0019_+_x0003_"/_x0002_%1_x0001_'3_x0002_*5_x0002_.;_x0002_1</t>
    </rPh>
    <phoneticPr fontId="1"/>
  </si>
  <si>
    <t>データサイエンス教育研究推進センターは、山形県内の企業や自治体と連携した学生と社会人の共同勉強会となるデータサイエンススタディセッション（DSSS)を毎年開催し、社会人を含めた学内外の人々が興味に合わせて集うデータサイエンスCaféを暫時開催している。これらの連携を活用して、産業界を取り巻く環境や課題を取り込むことで、データサイエンスマイスター制度での教育をより実学的なものにするための意見を収集している。</t>
    <rPh sb="8" eb="14">
      <t>キョウイクケンキュウスイシン</t>
    </rPh>
    <rPh sb="20" eb="24">
      <t>ヤマガタケンナイ</t>
    </rPh>
    <rPh sb="25" eb="27">
      <t>キギョウ</t>
    </rPh>
    <rPh sb="28" eb="31">
      <t>ジチタイ</t>
    </rPh>
    <rPh sb="32" eb="34">
      <t>レンケイ</t>
    </rPh>
    <rPh sb="36" eb="38">
      <t>ガクセイ</t>
    </rPh>
    <rPh sb="39" eb="42">
      <t>シャカイジン</t>
    </rPh>
    <rPh sb="43" eb="48">
      <t>キョウドウベンキョウカイ</t>
    </rPh>
    <rPh sb="75" eb="77">
      <t>マイトシ</t>
    </rPh>
    <rPh sb="77" eb="79">
      <t>カイサイ</t>
    </rPh>
    <rPh sb="81" eb="84">
      <t>シャカイジン</t>
    </rPh>
    <rPh sb="85" eb="86">
      <t>フク</t>
    </rPh>
    <rPh sb="88" eb="91">
      <t>ガクナイガイ</t>
    </rPh>
    <rPh sb="92" eb="94">
      <t>ヒトビト</t>
    </rPh>
    <rPh sb="95" eb="97">
      <t>キョウミ</t>
    </rPh>
    <rPh sb="98" eb="99">
      <t>ア</t>
    </rPh>
    <rPh sb="102" eb="103">
      <t>ツド</t>
    </rPh>
    <rPh sb="117" eb="119">
      <t>ザn</t>
    </rPh>
    <rPh sb="119" eb="121">
      <t>カイサイ</t>
    </rPh>
    <rPh sb="130" eb="132">
      <t>レンケイ</t>
    </rPh>
    <rPh sb="133" eb="135">
      <t>カツヨウ</t>
    </rPh>
    <rPh sb="138" eb="141">
      <t>サンギョウカイ</t>
    </rPh>
    <rPh sb="142" eb="143">
      <t>トリマク</t>
    </rPh>
    <rPh sb="149" eb="151">
      <t>カダイ</t>
    </rPh>
    <rPh sb="152" eb="153">
      <t>トリコム</t>
    </rPh>
    <rPh sb="173" eb="175">
      <t>セイド</t>
    </rPh>
    <rPh sb="177" eb="179">
      <t>キョウイク</t>
    </rPh>
    <rPh sb="182" eb="185">
      <t>ジツガク</t>
    </rPh>
    <rPh sb="194" eb="196">
      <t>イケn</t>
    </rPh>
    <rPh sb="197" eb="199">
      <t>シュウシュウ</t>
    </rPh>
    <phoneticPr fontId="1"/>
  </si>
  <si>
    <t>一部開講</t>
  </si>
  <si>
    <t>授業科目</t>
    <phoneticPr fontId="1"/>
  </si>
  <si>
    <t>本プログラムの主要科目となる「データ解析基礎」のオンデマンド教材では、実社会で活かされているデータを紹介し、いくつかの手法を使った解析により、客観的なデータが有用に活用できることを理解できる。また、実習を含んだ「データサイエンス基礎」では、気象庁から地元山形市の２年分の気象データをダウンロードして、データ解析を用いて、傘が必要な日と不要な日をロジスティック回帰で予想するプログラミング体験も行い、身近なデータの活用を実感してもらった。</t>
    <phoneticPr fontId="1"/>
  </si>
  <si>
    <t>・データの分析や可視化においては、利用者（料理でいえば客）の立場に立つことで、社会の中で広く使われる分析（料理）となることを学び、そのためのツールとして、エクセルの活用が１つの手段であることを紹介する。「データ解析基礎」（第1回データ活用と必要なスキル、実社会で活かされるデータ紹介）
・社会でいろいろな場面で活用されているQRコードを取り上げ、その仕組みと有用性を実際の計算も交えて、体験する。「データサイエンスI」（第8回）</t>
    <rPh sb="19" eb="20">
      <t>シャ</t>
    </rPh>
    <rPh sb="144" eb="146">
      <t>シャカイ</t>
    </rPh>
    <rPh sb="152" eb="154">
      <t>バメン</t>
    </rPh>
    <rPh sb="155" eb="157">
      <t>カツヨウ</t>
    </rPh>
    <rPh sb="168" eb="169">
      <t>ト</t>
    </rPh>
    <rPh sb="170" eb="171">
      <t>ア</t>
    </rPh>
    <rPh sb="175" eb="177">
      <t>シク</t>
    </rPh>
    <rPh sb="179" eb="182">
      <t>ユウヨウセイ</t>
    </rPh>
    <rPh sb="183" eb="185">
      <t>ジッサイ</t>
    </rPh>
    <rPh sb="186" eb="188">
      <t>ケイサン</t>
    </rPh>
    <rPh sb="189" eb="190">
      <t>マジ</t>
    </rPh>
    <rPh sb="193" eb="195">
      <t>タイケン</t>
    </rPh>
    <phoneticPr fontId="1"/>
  </si>
  <si>
    <r>
      <t>・個人情報の定義、個人情報がなぜ狙われるのか？他人の個人情報をどう扱ったらよいのか？また、著作権侵害やレポートの盗用などどのような事が禁じられているのかを理解する。「情報処理」（第2回）
・データやデータサイエンス・AIを</t>
    </r>
    <r>
      <rPr>
        <sz val="12"/>
        <rFont val="ＭＳ Ｐゴシック"/>
        <family val="3"/>
        <charset val="128"/>
        <scheme val="minor"/>
      </rPr>
      <t>利活用する際</t>
    </r>
    <r>
      <rPr>
        <sz val="12"/>
        <rFont val="ＭＳ Ｐゴシック"/>
        <family val="2"/>
        <charset val="128"/>
        <scheme val="minor"/>
      </rPr>
      <t>に求められるモラルや倫理について理解する。いくつかの具体的事案を見ながら，データ駆動型社会における脅威（リスク）について学ぶ。「データサイエンスI」（第14回）</t>
    </r>
    <rPh sb="89" eb="90">
      <t>ダイ</t>
    </rPh>
    <rPh sb="91" eb="92">
      <t>カイ</t>
    </rPh>
    <rPh sb="113" eb="114">
      <t>ヨウ</t>
    </rPh>
    <rPh sb="149" eb="150">
      <t>ミ</t>
    </rPh>
    <rPh sb="192" eb="193">
      <t>ダイ</t>
    </rPh>
    <rPh sb="195" eb="196">
      <t>カイ</t>
    </rPh>
    <phoneticPr fontId="1"/>
  </si>
  <si>
    <r>
      <t>・コンピュータウィルスなどコンピュータセキュリティに関する知識を学ぶ。SNSを使ったデマなど正しい情報とフェイク情報が混在する現実を理解する。「情報処理」（第2回）
・個人情報保護法やEU</t>
    </r>
    <r>
      <rPr>
        <sz val="12"/>
        <rFont val="Microsoft JhengHei UI"/>
        <family val="2"/>
        <charset val="134"/>
      </rPr>
      <t>⼀</t>
    </r>
    <r>
      <rPr>
        <sz val="12"/>
        <rFont val="ＭＳ Ｐゴシック"/>
        <family val="2"/>
        <charset val="128"/>
        <scheme val="minor"/>
      </rPr>
      <t>般データ保護規則（GDPR）など、最先端のデータを取り巻く考え方や指針・法についても紹介する。「データサイエンスI」（第14回）</t>
    </r>
    <rPh sb="85" eb="86">
      <t>ニン</t>
    </rPh>
    <rPh sb="126" eb="127">
      <t>カタ</t>
    </rPh>
    <phoneticPr fontId="1"/>
  </si>
  <si>
    <t>データから目的に整合した情報を読み解く技術、数理的思考力とデータを適切に活用し課題解決に導く能力が習得できます。</t>
    <phoneticPr fontId="1"/>
  </si>
  <si>
    <t>・「データ活用力」や「データ分析」の重要性を「料理」に例えて、素材（データ）から料理（分析結果）に至る流れを理解してもらう。「データ解析基礎」（第1回データ活用と必要なスキル、実社会で活かされるデータ紹介）
・TwitterやインスタグラムなどSNSを通した言葉をテキストデータとして、取り出し分類することで、新しい世界が見えてくることを示す。「データサイエンスI」（第3回）</t>
    <rPh sb="126" eb="127">
      <t>トオ</t>
    </rPh>
    <rPh sb="129" eb="131">
      <t>コトバ</t>
    </rPh>
    <rPh sb="143" eb="144">
      <t>ト</t>
    </rPh>
    <rPh sb="145" eb="146">
      <t>ダ</t>
    </rPh>
    <rPh sb="147" eb="149">
      <t>ブンルイ</t>
    </rPh>
    <rPh sb="155" eb="156">
      <t>アタラ</t>
    </rPh>
    <rPh sb="158" eb="160">
      <t>セカイ</t>
    </rPh>
    <rPh sb="161" eb="162">
      <t>ミ</t>
    </rPh>
    <rPh sb="169" eb="170">
      <t>シメ</t>
    </rPh>
    <phoneticPr fontId="1"/>
  </si>
  <si>
    <t>・個人情報の定義、個人情報がなぜ狙われるのか？他人の個人情報をどう扱ったらよいのか？また、著作権侵害やレポートの盗用などどのような事が禁じられているのかを理解する。「情報処理」（第2回）
・データやデータサイエンス・AIを利活用する際に求められるモラルや倫理について理解する。いくつかの具体的事案を見ながら，データ駆動型社会における脅威（リスク）について学ぶ。「データサイエンスI」（第14回）</t>
    <rPh sb="89" eb="90">
      <t>ダイ</t>
    </rPh>
    <rPh sb="91" eb="92">
      <t>カイ</t>
    </rPh>
    <rPh sb="113" eb="114">
      <t>ヨウ</t>
    </rPh>
    <rPh sb="149" eb="150">
      <t>ミ</t>
    </rPh>
    <rPh sb="192" eb="193">
      <t>ダイ</t>
    </rPh>
    <rPh sb="195" eb="196">
      <t>カイ</t>
    </rPh>
    <phoneticPr fontId="1"/>
  </si>
  <si>
    <r>
      <t>・コンピュータウィルスなどコンピュータセキュリティに関する知識を学ぶ。SNSを使ったデマなど正しい情報とフェイク情報が混在する現実を理解する。「情報処理」（第2回）
・個人情報保護法やEU</t>
    </r>
    <r>
      <rPr>
        <sz val="12"/>
        <rFont val="Microsoft JhengHei UI"/>
        <family val="2"/>
        <charset val="134"/>
      </rPr>
      <t>⼀</t>
    </r>
    <r>
      <rPr>
        <sz val="12"/>
        <rFont val="ＭＳ Ｐゴシック"/>
        <family val="2"/>
        <charset val="128"/>
        <scheme val="minor"/>
      </rPr>
      <t>般データ保護規則（GDPR）など、最先端のデータを取り巻く考え方や指針・法についても紹介する。「データサイエンスI」（第14回）</t>
    </r>
    <rPh sb="85" eb="86">
      <t>ニン</t>
    </rPh>
    <rPh sb="126" eb="127">
      <t>ホウ</t>
    </rPh>
    <phoneticPr fontId="1"/>
  </si>
  <si>
    <t>本プログラムの主要科目である「データ解析基礎」では、履修状況を山形大学学務情報システムを通じて、学部別の履修者数や個別学生の単位取得状況を、いつでも確認可能である。また、全学LMSシステム(WebClass)によりオンデマンドで教材が配信され、それぞれの教材を学生が、いつ、どれぐらい取り組んでいたかを一元管理できる。学生は、疑問な点などをWebClassのメッセージ機能を使って担当教員に質問することができるため、学生がどこが理解できていないかも把握できる。</t>
    <rPh sb="0" eb="1">
      <t>ホン</t>
    </rPh>
    <rPh sb="7" eb="11">
      <t>シュヨウカモク</t>
    </rPh>
    <rPh sb="18" eb="22">
      <t>カイセキキソ</t>
    </rPh>
    <rPh sb="26" eb="28">
      <t>リシュウ</t>
    </rPh>
    <rPh sb="28" eb="30">
      <t>ジョウキョウ</t>
    </rPh>
    <rPh sb="31" eb="35">
      <t>ヤマガタダイガク</t>
    </rPh>
    <rPh sb="35" eb="37">
      <t>ガクム</t>
    </rPh>
    <rPh sb="37" eb="39">
      <t>ジョウホウ</t>
    </rPh>
    <rPh sb="44" eb="45">
      <t>ツウ</t>
    </rPh>
    <rPh sb="48" eb="51">
      <t>ガクブベツ</t>
    </rPh>
    <rPh sb="52" eb="56">
      <t>リシュウシャスウ</t>
    </rPh>
    <rPh sb="57" eb="59">
      <t>コベツ</t>
    </rPh>
    <rPh sb="59" eb="61">
      <t>ガクセイ</t>
    </rPh>
    <rPh sb="62" eb="68">
      <t>タンイシュトクジョウキョウ</t>
    </rPh>
    <rPh sb="111" eb="113">
      <t>キョウザイ</t>
    </rPh>
    <rPh sb="114" eb="116">
      <t>ハイシン</t>
    </rPh>
    <rPh sb="124" eb="126">
      <t>キョウザイ</t>
    </rPh>
    <rPh sb="127" eb="129">
      <t>ガクセイ</t>
    </rPh>
    <rPh sb="139" eb="140">
      <t>ト</t>
    </rPh>
    <rPh sb="141" eb="142">
      <t>ク</t>
    </rPh>
    <rPh sb="148" eb="149">
      <t>イチ</t>
    </rPh>
    <rPh sb="149" eb="152">
      <t>ゲンカンリ</t>
    </rPh>
    <rPh sb="156" eb="158">
      <t>ガクセイ</t>
    </rPh>
    <rPh sb="160" eb="162">
      <t>ギモン</t>
    </rPh>
    <rPh sb="163" eb="164">
      <t>テン</t>
    </rPh>
    <rPh sb="181" eb="183">
      <t>キノウ</t>
    </rPh>
    <rPh sb="184" eb="185">
      <t>ツカ</t>
    </rPh>
    <rPh sb="187" eb="191">
      <t>タントウキョウイン</t>
    </rPh>
    <rPh sb="192" eb="194">
      <t>シツモン</t>
    </rPh>
    <rPh sb="205" eb="207">
      <t>ガクセイ</t>
    </rPh>
    <rPh sb="211" eb="213">
      <t>リカイ</t>
    </rPh>
    <rPh sb="221" eb="223">
      <t>ハアク</t>
    </rPh>
    <phoneticPr fontId="1"/>
  </si>
  <si>
    <t>令和3年度において、入学生の６６％の履修と３３％のベーシック認定（リテラシーレベル）を実現している。本プログラムの主要科目となる「データ解析基礎」は、令和５年度の全学必修化が予定されているため、履修率が向上し、令和７年には履修率が１００％になることが見込まれる。</t>
    <rPh sb="0" eb="2">
      <t>レイワ</t>
    </rPh>
    <rPh sb="3" eb="5">
      <t>ネンド</t>
    </rPh>
    <rPh sb="10" eb="13">
      <t>ニュウガクセイ</t>
    </rPh>
    <rPh sb="18" eb="20">
      <t>リシュウ</t>
    </rPh>
    <rPh sb="30" eb="32">
      <t>ニンテイ</t>
    </rPh>
    <rPh sb="43" eb="45">
      <t>ジツゲン</t>
    </rPh>
    <rPh sb="50" eb="51">
      <t>ホン</t>
    </rPh>
    <rPh sb="57" eb="59">
      <t>シュヨウ</t>
    </rPh>
    <rPh sb="59" eb="61">
      <t>カモク</t>
    </rPh>
    <rPh sb="68" eb="72">
      <t>カイセキキソ</t>
    </rPh>
    <rPh sb="75" eb="77">
      <t>レイワ</t>
    </rPh>
    <rPh sb="78" eb="80">
      <t>ネンド</t>
    </rPh>
    <rPh sb="81" eb="86">
      <t>ゼンガクヒッシュウカ</t>
    </rPh>
    <rPh sb="87" eb="89">
      <t>ヨテイ</t>
    </rPh>
    <rPh sb="97" eb="100">
      <t>リシュウリツ</t>
    </rPh>
    <rPh sb="101" eb="103">
      <t>コウジョウ</t>
    </rPh>
    <rPh sb="105" eb="107">
      <t>レイワ</t>
    </rPh>
    <rPh sb="108" eb="109">
      <t>ネン</t>
    </rPh>
    <rPh sb="111" eb="114">
      <t>リシュウリツ</t>
    </rPh>
    <rPh sb="125" eb="127">
      <t>ミコ</t>
    </rPh>
    <phoneticPr fontId="1"/>
  </si>
  <si>
    <t>２０１９年４月に 産学官連携により、地域ニーズに対応したデータサイエンス教育の充実を目指し、その成果を東北地域の中小規模大学へ還元することを目的として、データサイエンス教育研究推進センターを新設し、全学データサイエンス教育に向けた準備をスタートさせた。データサイエンス教育研究推進センターには、各学部から選出された協力教員がメンバーとして加わり、各学部の学生に合わせた調整が行われている。理学部では必修となっていない講義「情報処理」の代わりに理学部での必修となる講義「データサイエンスI」をデータサイエンスマイスター制度での必修科目とすることで、すべての学部学生が無理なく履修可能となる体制を構築している。</t>
    <rPh sb="15" eb="17">
      <t>コウギ</t>
    </rPh>
    <rPh sb="19" eb="25">
      <t>キバンキョウツウキョウイク</t>
    </rPh>
    <rPh sb="26" eb="28">
      <t>カモク</t>
    </rPh>
    <rPh sb="35" eb="39">
      <t>ガクブガクセイ</t>
    </rPh>
    <rPh sb="40" eb="44">
      <t>リシュウカノウ</t>
    </rPh>
    <rPh sb="55" eb="57">
      <t>ネンド</t>
    </rPh>
    <rPh sb="58" eb="59">
      <t>ガツ</t>
    </rPh>
    <rPh sb="136" eb="142">
      <t>キョウイクケンキュウスイシン</t>
    </rPh>
    <rPh sb="147" eb="150">
      <t>カクガク</t>
    </rPh>
    <rPh sb="152" eb="154">
      <t>センセィウ</t>
    </rPh>
    <rPh sb="157" eb="161">
      <t>キョウリョクキョウ</t>
    </rPh>
    <rPh sb="173" eb="176">
      <t>カクガ</t>
    </rPh>
    <rPh sb="177" eb="179">
      <t>ガクセイ</t>
    </rPh>
    <rPh sb="180" eb="181">
      <t>アワセ</t>
    </rPh>
    <rPh sb="184" eb="186">
      <t>チョウセイ</t>
    </rPh>
    <rPh sb="187" eb="188">
      <t>オコナワレ</t>
    </rPh>
    <rPh sb="194" eb="197">
      <t>リガク</t>
    </rPh>
    <rPh sb="199" eb="201">
      <t>ヒッセィウ</t>
    </rPh>
    <rPh sb="208" eb="210">
      <t>コウギ</t>
    </rPh>
    <rPh sb="211" eb="215">
      <t>ジョウホウ</t>
    </rPh>
    <rPh sb="217" eb="218">
      <t>カワリ</t>
    </rPh>
    <rPh sb="221" eb="223">
      <t>リガク</t>
    </rPh>
    <rPh sb="223" eb="224">
      <t>ブ</t>
    </rPh>
    <rPh sb="226" eb="228">
      <t>ヒッシュウ</t>
    </rPh>
    <rPh sb="231" eb="233">
      <t>コウギ</t>
    </rPh>
    <rPh sb="248" eb="250">
      <t>シンセツ</t>
    </rPh>
    <rPh sb="252" eb="254">
      <t>ゼンガク</t>
    </rPh>
    <rPh sb="282" eb="284">
      <t>ヒッムリムリムリタイセイコウチクムリシ</t>
    </rPh>
    <phoneticPr fontId="1"/>
  </si>
  <si>
    <t xml:space="preserve">新入生オリエンテーションで、データサイエンスマイスター制度の案内チラシを配布し、履修を促す。
データサイエンス教育研究推進センターのホームページにて、データサイエンスマイスター制度の履修方法や得られる資格を公開し、履修に向けた動機付けを高める。
全学LMSシステム(WebClass)とデータサイエンスマイスター制度との連携によりモバイル端末も活用可能な履修しやすい学修環境を整える。
令和5年度に向けては、認定に必要としている講義内容を整理統合し、現状の4単位から2単位で認定要件5項目を満たす形に再編した上で、全学必修科目にする。
</t>
    <rPh sb="0" eb="3">
      <t>シンニュウセイ</t>
    </rPh>
    <rPh sb="27" eb="29">
      <t>セイド</t>
    </rPh>
    <rPh sb="30" eb="32">
      <t>アンナイ</t>
    </rPh>
    <rPh sb="36" eb="38">
      <t>ハイフ</t>
    </rPh>
    <rPh sb="40" eb="42">
      <t>リシュウ</t>
    </rPh>
    <rPh sb="55" eb="61">
      <t>キョウイクケンキュウスイシン</t>
    </rPh>
    <rPh sb="91" eb="95">
      <t>リシュウホウホウ</t>
    </rPh>
    <rPh sb="96" eb="97">
      <t>エ</t>
    </rPh>
    <rPh sb="100" eb="102">
      <t>シカク</t>
    </rPh>
    <rPh sb="103" eb="105">
      <t>コウカイ</t>
    </rPh>
    <rPh sb="107" eb="109">
      <t>リシュウ</t>
    </rPh>
    <rPh sb="113" eb="116">
      <t>ドウキヅケ</t>
    </rPh>
    <rPh sb="118" eb="119">
      <t>タカメ</t>
    </rPh>
    <rPh sb="123" eb="125">
      <t>ゼンガク</t>
    </rPh>
    <rPh sb="156" eb="158">
      <t>セイド</t>
    </rPh>
    <rPh sb="160" eb="162">
      <t>レンケイ</t>
    </rPh>
    <rPh sb="172" eb="174">
      <t>カツヨウ</t>
    </rPh>
    <rPh sb="174" eb="176">
      <t>カノウ</t>
    </rPh>
    <rPh sb="177" eb="178">
      <t>ガクシュウ</t>
    </rPh>
    <rPh sb="178" eb="180">
      <t>カンキョウ</t>
    </rPh>
    <rPh sb="181" eb="182">
      <t>トトノエル</t>
    </rPh>
    <rPh sb="184" eb="186">
      <t>リシュウ</t>
    </rPh>
    <rPh sb="193" eb="195">
      <t>レイワ</t>
    </rPh>
    <rPh sb="196" eb="198">
      <t>ネンド</t>
    </rPh>
    <rPh sb="199" eb="200">
      <t>ム</t>
    </rPh>
    <rPh sb="204" eb="206">
      <t>ニンテイ</t>
    </rPh>
    <rPh sb="208" eb="210">
      <t>タンイ</t>
    </rPh>
    <rPh sb="210" eb="212">
      <t>リシュウ</t>
    </rPh>
    <rPh sb="214" eb="216">
      <t>ヒツヨウ</t>
    </rPh>
    <rPh sb="220" eb="224">
      <t>コウギナイヨウ</t>
    </rPh>
    <rPh sb="224" eb="228">
      <t>セイリトウゴウ</t>
    </rPh>
    <rPh sb="234" eb="236">
      <t>タンイ</t>
    </rPh>
    <rPh sb="237" eb="241">
      <t>ニンテイヨウケン</t>
    </rPh>
    <rPh sb="242" eb="244">
      <t>コウモク</t>
    </rPh>
    <rPh sb="245" eb="246">
      <t>ミ</t>
    </rPh>
    <rPh sb="248" eb="249">
      <t>カタチ</t>
    </rPh>
    <rPh sb="250" eb="252">
      <t>サイヘン</t>
    </rPh>
    <rPh sb="254" eb="255">
      <t>ウエ</t>
    </rPh>
    <rPh sb="257" eb="263">
      <t>ゼンガクヒッシュウカモク</t>
    </rPh>
    <phoneticPr fontId="1"/>
  </si>
  <si>
    <r>
      <rPr>
        <u/>
        <sz val="12"/>
        <rFont val="ＭＳ Ｐゴシック"/>
        <family val="3"/>
        <charset val="128"/>
        <scheme val="minor"/>
      </rPr>
      <t>（１）山形大学データサイエンス教育研究推進本部運営会議構成員（令和4年度）13名</t>
    </r>
    <r>
      <rPr>
        <sz val="12"/>
        <rFont val="ＭＳ Ｐゴシック"/>
        <family val="3"/>
        <charset val="128"/>
        <scheme val="minor"/>
      </rPr>
      <t xml:space="preserve">
推進本部長：出口 毅（教育担当理事・副学長）、統括責任者：大西 彰正（理学部・教授）、データサイエンス教育研究推進センター長：鈴木 千賀（理学部・教授）、AIデザイン教育研究推進センター長：小坂 哲夫（工学部・教授）、協力教員：本多 薫（人文社会科学部・教授）、中西 正樹（地域教育文化学部・教授）、脇 克志（理学部・教授）、鹿戸 将史（医学部・教授）、安田 宗樹（工学部・教授）、深見 忠典（工学部・教授）、田中 敦（工学部・准教授）、ロペス ラリー（農学部・教授）、千代 勝実（学士課程基盤教育機構・教授）
</t>
    </r>
    <r>
      <rPr>
        <u/>
        <sz val="12"/>
        <rFont val="ＭＳ Ｐゴシック"/>
        <family val="3"/>
        <charset val="128"/>
        <scheme val="minor"/>
      </rPr>
      <t xml:space="preserve">（２）山形大学データサイエンス教育研究推進センター会議構成員（令和4年度4月現在）12名
</t>
    </r>
    <r>
      <rPr>
        <sz val="12"/>
        <rFont val="ＭＳ Ｐゴシック"/>
        <family val="3"/>
        <charset val="128"/>
        <scheme val="minor"/>
      </rPr>
      <t>センター長（総括）兼アライアンスDS学術相談部門長：鈴木 千賀（理学部・教授）、副センター長兼国際・学術部門長：佐久間 雅（理学部・教授）、マイスターDSSS部門長兼マイスター・アライアンス担当：脇 克志（理学部・教授）、教材開発部門長：中山 祐貴（地域教育文化学部・准教授）、データサイエンスCafe部門長：具志堅 裕介（地域教育文化学部・講師）、センター協力教員：本多 薫（人文社会科学部・教授）、中西 正樹（地域教育文化学部・教授）、鹿戸 将史（医学部・教授）、安田 宗樹（工学部・教授）、ロペス ラリー（農学部・教授）、千代 勝実（学士課程基盤教育機構・教授）、小白川キャンパス事務部長： 池野 尚美</t>
    </r>
    <rPh sb="3" eb="7">
      <t>ヤマガタダイガク</t>
    </rPh>
    <rPh sb="15" eb="19">
      <t>キョウイクケンキュウ</t>
    </rPh>
    <rPh sb="19" eb="23">
      <t>スイシンホンブ</t>
    </rPh>
    <rPh sb="23" eb="27">
      <t>ウンエイカイギ</t>
    </rPh>
    <rPh sb="39" eb="40">
      <t>メイ</t>
    </rPh>
    <rPh sb="41" eb="46">
      <t>スイシンホンブチョウ</t>
    </rPh>
    <rPh sb="47" eb="49">
      <t>デグチ</t>
    </rPh>
    <rPh sb="50" eb="51">
      <t>タケシ</t>
    </rPh>
    <rPh sb="52" eb="54">
      <t>キョウイク</t>
    </rPh>
    <rPh sb="54" eb="56">
      <t>タントウ</t>
    </rPh>
    <rPh sb="56" eb="58">
      <t>リジ</t>
    </rPh>
    <rPh sb="59" eb="62">
      <t>フクガクチョウ</t>
    </rPh>
    <rPh sb="64" eb="69">
      <t>トウカツセキニンシャ</t>
    </rPh>
    <rPh sb="70" eb="72">
      <t>オオニシ</t>
    </rPh>
    <rPh sb="73" eb="75">
      <t>アキマサ</t>
    </rPh>
    <rPh sb="76" eb="79">
      <t>リガクブ</t>
    </rPh>
    <rPh sb="80" eb="82">
      <t>キョウジュ</t>
    </rPh>
    <rPh sb="92" eb="98">
      <t>キョウイクケンキュウスイシン</t>
    </rPh>
    <rPh sb="102" eb="103">
      <t>チョウ</t>
    </rPh>
    <rPh sb="142" eb="145">
      <t>コウガクブ</t>
    </rPh>
    <rPh sb="146" eb="148">
      <t>キョウジュ</t>
    </rPh>
    <rPh sb="150" eb="152">
      <t>キョウリョク</t>
    </rPh>
    <rPh sb="152" eb="154">
      <t>キョウイン</t>
    </rPh>
    <rPh sb="175" eb="177">
      <t>ブンカ</t>
    </rPh>
    <rPh sb="259" eb="261">
      <t>キョウジュ</t>
    </rPh>
    <rPh sb="324" eb="328">
      <t>ヤマガタダイガク</t>
    </rPh>
    <rPh sb="328" eb="330">
      <t>キョウイク</t>
    </rPh>
    <rPh sb="330" eb="332">
      <t>ケンキュウ</t>
    </rPh>
    <rPh sb="332" eb="334">
      <t>スイシン</t>
    </rPh>
    <rPh sb="335" eb="336">
      <t>ガツ</t>
    </rPh>
    <rPh sb="336" eb="338">
      <t>ゲンザイ</t>
    </rPh>
    <phoneticPr fontId="1"/>
  </si>
  <si>
    <t>データ処理演習</t>
    <rPh sb="5" eb="7">
      <t>エンシュウ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</si>
</sst>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Microsoft JhengHei UI"/>
      <family val="2"/>
      <charset val="134"/>
    </font>
    <font>
      <sz val="12"/>
      <name val="ＭＳ Ｐゴシック"/>
      <family val="2"/>
      <charset val="128"/>
    </font>
    <font>
      <b/>
      <sz val="12"/>
      <name val="ＭＳ Ｐゴシック"/>
      <family val="3"/>
      <charset val="128"/>
      <scheme val="minor"/>
    </font>
    <font>
      <sz val="10"/>
      <name val="ＭＳ Ｐゴシック"/>
      <family val="3"/>
      <charset val="128"/>
      <scheme val="minor"/>
    </font>
    <font>
      <sz val="7"/>
      <name val="ＭＳ Ｐゴシック"/>
      <family val="3"/>
      <charset val="128"/>
      <scheme val="minor"/>
    </font>
    <font>
      <u/>
      <sz val="12"/>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3" fillId="0" borderId="0" applyFont="0" applyFill="0" applyBorder="0" applyAlignment="0" applyProtection="0">
      <alignment vertical="center"/>
    </xf>
    <xf numFmtId="0" fontId="4" fillId="0" borderId="0" applyNumberFormat="0" applyFill="0" applyBorder="0" applyAlignment="0" applyProtection="0">
      <alignment vertical="center"/>
    </xf>
  </cellStyleXfs>
  <cellXfs count="335">
    <xf numFmtId="0" fontId="0" fillId="0" borderId="0" xfId="0">
      <alignment vertical="center"/>
    </xf>
    <xf numFmtId="176" fontId="5" fillId="0" borderId="0" xfId="0" applyNumberFormat="1" applyFont="1" applyBorder="1">
      <alignment vertical="center"/>
    </xf>
    <xf numFmtId="176" fontId="5" fillId="0" borderId="3" xfId="0" applyNumberFormat="1" applyFont="1" applyBorder="1" applyAlignment="1">
      <alignment vertical="center" shrinkToFit="1"/>
    </xf>
    <xf numFmtId="0" fontId="5" fillId="0" borderId="0" xfId="0" applyFont="1" applyBorder="1" applyAlignment="1">
      <alignment horizontal="center" vertical="center" shrinkToFit="1"/>
    </xf>
    <xf numFmtId="0" fontId="6" fillId="0" borderId="0" xfId="0" applyFont="1">
      <alignment vertical="center"/>
    </xf>
    <xf numFmtId="0" fontId="5" fillId="0" borderId="0" xfId="0" applyFont="1">
      <alignment vertical="center"/>
    </xf>
    <xf numFmtId="0" fontId="5" fillId="0" borderId="0" xfId="0" applyFont="1" applyAlignment="1">
      <alignment vertical="center"/>
    </xf>
    <xf numFmtId="0" fontId="5" fillId="0" borderId="0" xfId="0" applyFont="1" applyAlignment="1">
      <alignment horizontal="left" vertical="center"/>
    </xf>
    <xf numFmtId="0" fontId="5" fillId="0" borderId="0" xfId="0" applyFont="1" applyBorder="1" applyAlignment="1">
      <alignment vertical="center"/>
    </xf>
    <xf numFmtId="0" fontId="5" fillId="0" borderId="5" xfId="0" applyFont="1" applyBorder="1">
      <alignment vertical="center"/>
    </xf>
    <xf numFmtId="176" fontId="5" fillId="0" borderId="0" xfId="0" applyNumberFormat="1" applyFont="1" applyBorder="1" applyAlignment="1">
      <alignment vertical="center" wrapText="1"/>
    </xf>
    <xf numFmtId="0" fontId="5" fillId="0" borderId="0" xfId="0" applyFont="1" applyBorder="1">
      <alignment vertical="center"/>
    </xf>
    <xf numFmtId="176" fontId="5" fillId="0" borderId="5" xfId="0" applyNumberFormat="1" applyFont="1" applyBorder="1" applyAlignment="1">
      <alignment vertical="center"/>
    </xf>
    <xf numFmtId="176" fontId="5" fillId="0" borderId="0" xfId="0" applyNumberFormat="1" applyFont="1" applyAlignment="1">
      <alignment vertical="center" wrapText="1"/>
    </xf>
    <xf numFmtId="176" fontId="5" fillId="0" borderId="0" xfId="0" applyNumberFormat="1" applyFont="1" applyAlignment="1">
      <alignment horizontal="left" vertical="center" wrapText="1"/>
    </xf>
    <xf numFmtId="0" fontId="5" fillId="0" borderId="6" xfId="0" applyFont="1" applyBorder="1" applyAlignment="1">
      <alignment vertical="center" shrinkToFit="1"/>
    </xf>
    <xf numFmtId="0" fontId="5" fillId="0" borderId="1" xfId="0" applyFont="1" applyBorder="1">
      <alignment vertical="center"/>
    </xf>
    <xf numFmtId="0" fontId="5" fillId="0" borderId="2" xfId="0" applyFont="1" applyBorder="1">
      <alignment vertical="center"/>
    </xf>
    <xf numFmtId="0" fontId="5" fillId="0" borderId="4" xfId="0" applyFont="1" applyBorder="1">
      <alignment vertical="center"/>
    </xf>
    <xf numFmtId="0" fontId="5" fillId="0" borderId="0" xfId="0" applyFont="1" applyAlignment="1">
      <alignment horizontal="center" vertical="center"/>
    </xf>
    <xf numFmtId="0" fontId="5" fillId="0" borderId="1" xfId="0" applyFont="1" applyBorder="1" applyAlignment="1">
      <alignment vertical="center" shrinkToFit="1"/>
    </xf>
    <xf numFmtId="0" fontId="7" fillId="0" borderId="0" xfId="0" applyFont="1">
      <alignment vertical="center"/>
    </xf>
    <xf numFmtId="0" fontId="5" fillId="0" borderId="0" xfId="0" applyFont="1" applyBorder="1" applyAlignment="1">
      <alignment horizontal="center" vertical="center"/>
    </xf>
    <xf numFmtId="0" fontId="5" fillId="0" borderId="0" xfId="0" applyFont="1" applyBorder="1" applyAlignment="1">
      <alignment vertical="center" shrinkToFit="1"/>
    </xf>
    <xf numFmtId="0" fontId="2" fillId="0" borderId="0" xfId="0" applyFont="1" applyAlignment="1">
      <alignment vertical="center" shrinkToFit="1"/>
    </xf>
    <xf numFmtId="0" fontId="2" fillId="0" borderId="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5" fillId="0" borderId="0" xfId="0" applyFont="1" applyFill="1">
      <alignment vertical="center"/>
    </xf>
    <xf numFmtId="0" fontId="5" fillId="0" borderId="10" xfId="0" applyFont="1" applyBorder="1" applyAlignment="1">
      <alignment vertical="center" shrinkToFit="1"/>
    </xf>
    <xf numFmtId="0" fontId="5" fillId="0" borderId="0" xfId="0" applyFont="1" applyAlignment="1">
      <alignment vertical="top" wrapText="1"/>
    </xf>
    <xf numFmtId="0" fontId="5" fillId="0" borderId="44" xfId="0" applyFont="1" applyBorder="1" applyAlignment="1">
      <alignment horizontal="center" vertical="center" shrinkToFit="1"/>
    </xf>
    <xf numFmtId="0" fontId="5" fillId="0" borderId="45" xfId="0" applyFont="1" applyBorder="1" applyAlignment="1">
      <alignment horizontal="center" vertical="center" shrinkToFit="1"/>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5" fillId="0" borderId="7" xfId="0" applyFont="1" applyBorder="1" applyAlignment="1">
      <alignment horizontal="center" vertical="center" wrapText="1" shrinkToFit="1"/>
    </xf>
    <xf numFmtId="9" fontId="5" fillId="0" borderId="8" xfId="0" applyNumberFormat="1" applyFont="1" applyBorder="1" applyAlignment="1">
      <alignment horizontal="center" vertical="center" wrapText="1" shrinkToFit="1"/>
    </xf>
    <xf numFmtId="0" fontId="5" fillId="0" borderId="8" xfId="0" applyFont="1" applyBorder="1" applyAlignment="1">
      <alignment horizontal="center" vertical="center" wrapText="1" shrinkToFit="1"/>
    </xf>
    <xf numFmtId="176" fontId="5" fillId="0" borderId="45" xfId="0" applyNumberFormat="1" applyFont="1" applyBorder="1" applyAlignment="1">
      <alignment horizontal="center" vertical="center" shrinkToFit="1"/>
    </xf>
    <xf numFmtId="0" fontId="5" fillId="0" borderId="46" xfId="0" applyFont="1" applyBorder="1" applyAlignment="1">
      <alignment horizontal="center" vertical="center" shrinkToFit="1"/>
    </xf>
    <xf numFmtId="0" fontId="5" fillId="0" borderId="1" xfId="0" applyFont="1" applyBorder="1" applyAlignment="1">
      <alignment horizontal="center" vertical="center" shrinkToFit="1"/>
    </xf>
    <xf numFmtId="0" fontId="5" fillId="0" borderId="23" xfId="0" applyFont="1" applyFill="1" applyBorder="1" applyAlignment="1">
      <alignment horizontal="center" vertical="center" shrinkToFit="1"/>
    </xf>
    <xf numFmtId="0" fontId="5" fillId="0" borderId="13" xfId="0" applyFont="1" applyFill="1" applyBorder="1" applyAlignment="1">
      <alignment horizontal="center" vertical="center" shrinkToFit="1"/>
    </xf>
    <xf numFmtId="0" fontId="5" fillId="0" borderId="43" xfId="0" applyFont="1" applyFill="1" applyBorder="1" applyAlignment="1">
      <alignment horizontal="center" vertical="center" shrinkToFit="1"/>
    </xf>
    <xf numFmtId="0" fontId="11" fillId="0" borderId="20" xfId="0" applyFont="1" applyBorder="1" applyAlignment="1">
      <alignment vertical="top" shrinkToFit="1"/>
    </xf>
    <xf numFmtId="0" fontId="11" fillId="0" borderId="18" xfId="0" applyFont="1" applyBorder="1" applyAlignment="1">
      <alignment vertical="top" shrinkToFit="1"/>
    </xf>
    <xf numFmtId="0" fontId="8" fillId="0" borderId="53" xfId="0" applyFont="1" applyFill="1" applyBorder="1" applyAlignment="1">
      <alignment horizontal="center" vertical="center" shrinkToFit="1"/>
    </xf>
    <xf numFmtId="0" fontId="5" fillId="0" borderId="14" xfId="0" applyFont="1" applyFill="1" applyBorder="1" applyAlignment="1">
      <alignment horizontal="center" vertical="center" shrinkToFit="1"/>
    </xf>
    <xf numFmtId="0" fontId="5" fillId="0" borderId="53" xfId="0" applyFont="1" applyFill="1" applyBorder="1" applyAlignment="1">
      <alignment horizontal="center" vertical="center" shrinkToFit="1"/>
    </xf>
    <xf numFmtId="0" fontId="2" fillId="0" borderId="0" xfId="0" applyFont="1" applyFill="1">
      <alignment vertical="center"/>
    </xf>
    <xf numFmtId="0" fontId="5" fillId="0" borderId="0" xfId="0" applyFont="1" applyFill="1" applyBorder="1">
      <alignment vertical="center"/>
    </xf>
    <xf numFmtId="0" fontId="5" fillId="0" borderId="0" xfId="0" applyFont="1" applyAlignment="1">
      <alignment horizontal="right" vertical="center"/>
    </xf>
    <xf numFmtId="0" fontId="5" fillId="0" borderId="38" xfId="0" applyFont="1" applyFill="1" applyBorder="1" applyAlignment="1">
      <alignment horizontal="center" vertical="center"/>
    </xf>
    <xf numFmtId="0" fontId="10" fillId="0" borderId="0" xfId="0" applyFont="1" applyAlignment="1">
      <alignment horizontal="center" vertical="center"/>
    </xf>
    <xf numFmtId="0" fontId="5" fillId="0" borderId="0" xfId="0" applyFont="1" applyAlignment="1">
      <alignment vertical="center" wrapText="1"/>
    </xf>
    <xf numFmtId="0" fontId="5" fillId="0" borderId="18" xfId="0" applyFont="1" applyFill="1" applyBorder="1" applyAlignment="1">
      <alignment horizontal="center" vertical="center"/>
    </xf>
    <xf numFmtId="0" fontId="5" fillId="0" borderId="42" xfId="0" applyFont="1" applyFill="1" applyBorder="1" applyAlignment="1">
      <alignment horizontal="center" vertical="center"/>
    </xf>
    <xf numFmtId="0" fontId="5" fillId="0" borderId="9" xfId="0" applyFont="1" applyBorder="1" applyAlignment="1">
      <alignment horizontal="center" vertical="center" shrinkToFit="1"/>
    </xf>
    <xf numFmtId="0" fontId="6" fillId="0" borderId="0" xfId="0" applyFont="1" applyFill="1">
      <alignment vertical="center"/>
    </xf>
    <xf numFmtId="0" fontId="5" fillId="0" borderId="0" xfId="0" applyFont="1" applyFill="1" applyAlignment="1">
      <alignment horizontal="center" vertical="center"/>
    </xf>
    <xf numFmtId="0" fontId="5" fillId="0" borderId="0" xfId="0" applyFont="1" applyFill="1" applyAlignment="1">
      <alignment vertical="center"/>
    </xf>
    <xf numFmtId="0" fontId="5" fillId="0" borderId="0" xfId="0" applyFont="1" applyFill="1" applyAlignment="1">
      <alignment horizontal="left" vertical="center"/>
    </xf>
    <xf numFmtId="0" fontId="5" fillId="0" borderId="1" xfId="0" applyFont="1" applyFill="1" applyBorder="1" applyAlignment="1">
      <alignment vertical="center" shrinkToFit="1"/>
    </xf>
    <xf numFmtId="0" fontId="14" fillId="0" borderId="4" xfId="0" applyFont="1" applyFill="1" applyBorder="1" applyAlignment="1">
      <alignment horizontal="center" vertical="center" shrinkToFit="1"/>
    </xf>
    <xf numFmtId="49" fontId="11" fillId="0" borderId="1" xfId="0" applyNumberFormat="1" applyFont="1" applyFill="1" applyBorder="1" applyAlignment="1">
      <alignment horizontal="center" vertical="center"/>
    </xf>
    <xf numFmtId="0" fontId="5" fillId="0" borderId="0" xfId="0" applyFont="1" applyFill="1" applyAlignment="1">
      <alignment vertical="center" shrinkToFit="1"/>
    </xf>
    <xf numFmtId="0" fontId="5" fillId="0" borderId="0" xfId="0" applyFont="1" applyFill="1" applyAlignment="1">
      <alignment vertical="top" wrapText="1"/>
    </xf>
    <xf numFmtId="0" fontId="5" fillId="0" borderId="2" xfId="0" applyFont="1" applyFill="1" applyBorder="1" applyAlignment="1">
      <alignment vertical="center"/>
    </xf>
    <xf numFmtId="0" fontId="5" fillId="0" borderId="3" xfId="0" applyFont="1" applyFill="1" applyBorder="1" applyAlignment="1">
      <alignment vertical="center"/>
    </xf>
    <xf numFmtId="0" fontId="5" fillId="0" borderId="4" xfId="0" applyFont="1" applyFill="1" applyBorder="1" applyAlignment="1">
      <alignment vertical="center"/>
    </xf>
    <xf numFmtId="0" fontId="5" fillId="0" borderId="0" xfId="0" applyFont="1" applyFill="1" applyBorder="1" applyAlignment="1">
      <alignment vertical="center" shrinkToFit="1"/>
    </xf>
    <xf numFmtId="0" fontId="5" fillId="0" borderId="0" xfId="0" applyFont="1" applyFill="1" applyBorder="1" applyAlignment="1">
      <alignment horizontal="center" vertical="center" shrinkToFit="1"/>
    </xf>
    <xf numFmtId="0" fontId="6" fillId="0" borderId="2" xfId="0" applyFont="1" applyFill="1" applyBorder="1">
      <alignment vertical="center"/>
    </xf>
    <xf numFmtId="0" fontId="6" fillId="0" borderId="4" xfId="0" applyFont="1" applyFill="1" applyBorder="1">
      <alignment vertical="center"/>
    </xf>
    <xf numFmtId="49" fontId="11" fillId="0" borderId="51" xfId="0" applyNumberFormat="1" applyFont="1" applyFill="1" applyBorder="1" applyAlignment="1">
      <alignment horizontal="center" vertical="center"/>
    </xf>
    <xf numFmtId="49" fontId="11" fillId="0" borderId="52" xfId="0" applyNumberFormat="1" applyFont="1" applyFill="1" applyBorder="1" applyAlignment="1">
      <alignment horizontal="center" vertical="center"/>
    </xf>
    <xf numFmtId="49" fontId="11" fillId="0" borderId="47" xfId="0" applyNumberFormat="1" applyFont="1" applyFill="1" applyBorder="1" applyAlignment="1">
      <alignment horizontal="center" vertical="center"/>
    </xf>
    <xf numFmtId="49" fontId="11" fillId="0" borderId="29" xfId="0" applyNumberFormat="1" applyFont="1" applyFill="1" applyBorder="1" applyAlignment="1">
      <alignment horizontal="center" vertical="center"/>
    </xf>
    <xf numFmtId="49" fontId="11" fillId="0" borderId="50" xfId="0" applyNumberFormat="1" applyFont="1" applyFill="1" applyBorder="1" applyAlignment="1">
      <alignment horizontal="center" vertical="center"/>
    </xf>
    <xf numFmtId="49" fontId="11" fillId="0" borderId="33" xfId="0" applyNumberFormat="1" applyFont="1" applyFill="1" applyBorder="1" applyAlignment="1">
      <alignment horizontal="center" vertical="center"/>
    </xf>
    <xf numFmtId="0" fontId="12" fillId="0" borderId="8" xfId="0" applyFont="1" applyBorder="1">
      <alignment vertical="center"/>
    </xf>
    <xf numFmtId="0" fontId="12" fillId="0" borderId="18" xfId="0" applyFont="1" applyBorder="1">
      <alignment vertical="center"/>
    </xf>
    <xf numFmtId="0" fontId="12" fillId="0" borderId="48" xfId="0" applyFont="1" applyBorder="1">
      <alignment vertical="center"/>
    </xf>
    <xf numFmtId="0" fontId="12" fillId="0" borderId="34" xfId="0" applyFont="1" applyBorder="1">
      <alignment vertical="center"/>
    </xf>
    <xf numFmtId="0" fontId="11" fillId="0" borderId="0" xfId="0" applyFont="1">
      <alignment vertical="center"/>
    </xf>
    <xf numFmtId="0" fontId="11" fillId="0" borderId="0" xfId="0" applyFont="1" applyAlignment="1">
      <alignment vertical="top" wrapText="1"/>
    </xf>
    <xf numFmtId="0" fontId="11" fillId="0" borderId="0" xfId="0" applyFont="1" applyAlignment="1">
      <alignment vertical="top" shrinkToFit="1"/>
    </xf>
    <xf numFmtId="0" fontId="11" fillId="0" borderId="0" xfId="0" applyFont="1" applyAlignment="1">
      <alignment vertical="center" wrapText="1"/>
    </xf>
    <xf numFmtId="0" fontId="11" fillId="0" borderId="10" xfId="0" applyFont="1" applyBorder="1" applyAlignment="1">
      <alignment vertical="top" wrapText="1"/>
    </xf>
    <xf numFmtId="0" fontId="11" fillId="0" borderId="5" xfId="0" applyFont="1" applyBorder="1" applyAlignment="1">
      <alignment vertical="top" wrapText="1"/>
    </xf>
    <xf numFmtId="0" fontId="5" fillId="0" borderId="16" xfId="0" applyFont="1" applyBorder="1">
      <alignment vertical="center"/>
    </xf>
    <xf numFmtId="0" fontId="11" fillId="0" borderId="20" xfId="0" applyFont="1" applyBorder="1" applyAlignment="1">
      <alignment vertical="top" wrapText="1"/>
    </xf>
    <xf numFmtId="0" fontId="11" fillId="0" borderId="18" xfId="0" applyFont="1" applyBorder="1" applyAlignment="1">
      <alignment vertical="top" wrapText="1"/>
    </xf>
    <xf numFmtId="9" fontId="5" fillId="0" borderId="45" xfId="0" applyNumberFormat="1" applyFont="1" applyBorder="1" applyAlignment="1">
      <alignment horizontal="center" vertical="center" wrapText="1" shrinkToFit="1"/>
    </xf>
    <xf numFmtId="0" fontId="5" fillId="0" borderId="0" xfId="0" applyFont="1" applyBorder="1" applyAlignment="1">
      <alignment vertical="center" shrinkToFit="1"/>
    </xf>
    <xf numFmtId="176" fontId="5" fillId="0" borderId="32" xfId="0" applyNumberFormat="1" applyFont="1" applyBorder="1" applyAlignment="1">
      <alignment vertical="center" shrinkToFit="1"/>
    </xf>
    <xf numFmtId="176" fontId="5" fillId="0" borderId="10" xfId="0" applyNumberFormat="1" applyFont="1" applyBorder="1" applyAlignment="1">
      <alignment vertical="center" shrinkToFit="1"/>
    </xf>
    <xf numFmtId="176" fontId="5" fillId="0" borderId="34" xfId="0" applyNumberFormat="1" applyFont="1" applyBorder="1" applyAlignment="1">
      <alignment vertical="center" shrinkToFit="1"/>
    </xf>
    <xf numFmtId="176" fontId="5" fillId="0" borderId="18" xfId="0" applyNumberFormat="1" applyFont="1" applyBorder="1" applyAlignment="1">
      <alignment vertical="center" shrinkToFit="1"/>
    </xf>
    <xf numFmtId="0" fontId="13" fillId="0" borderId="0" xfId="0" applyFont="1">
      <alignment vertical="center"/>
    </xf>
    <xf numFmtId="0" fontId="19" fillId="0" borderId="11"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xf>
    <xf numFmtId="0" fontId="19" fillId="0" borderId="12" xfId="0" applyFont="1" applyBorder="1" applyAlignment="1">
      <alignment horizontal="center" vertical="center" wrapText="1"/>
    </xf>
    <xf numFmtId="0" fontId="5" fillId="0" borderId="0" xfId="0" applyFont="1" applyAlignment="1">
      <alignment vertical="center" shrinkToFit="1"/>
    </xf>
    <xf numFmtId="0" fontId="5" fillId="0" borderId="5" xfId="0" applyFont="1" applyBorder="1" applyAlignment="1">
      <alignment vertical="center" shrinkToFit="1"/>
    </xf>
    <xf numFmtId="176" fontId="5" fillId="0" borderId="5" xfId="0" applyNumberFormat="1" applyFont="1" applyBorder="1" applyAlignment="1">
      <alignment vertical="center" shrinkToFit="1"/>
    </xf>
    <xf numFmtId="176" fontId="5" fillId="0" borderId="31" xfId="0" applyNumberFormat="1" applyFont="1" applyBorder="1" applyAlignment="1">
      <alignment vertical="center" shrinkToFit="1"/>
    </xf>
    <xf numFmtId="176" fontId="5" fillId="0" borderId="14" xfId="0" applyNumberFormat="1" applyFont="1" applyBorder="1" applyAlignment="1">
      <alignment vertical="center" shrinkToFit="1"/>
    </xf>
    <xf numFmtId="9" fontId="5" fillId="0" borderId="10" xfId="0" applyNumberFormat="1" applyFont="1" applyBorder="1" applyAlignment="1">
      <alignment vertical="center" shrinkToFit="1"/>
    </xf>
    <xf numFmtId="0" fontId="5" fillId="0" borderId="23" xfId="0" applyFont="1" applyBorder="1" applyAlignment="1">
      <alignment horizontal="left" vertical="center" shrinkToFit="1"/>
    </xf>
    <xf numFmtId="0" fontId="5" fillId="0" borderId="20" xfId="0" applyFont="1" applyBorder="1" applyAlignment="1">
      <alignment vertical="center" shrinkToFit="1"/>
    </xf>
    <xf numFmtId="0" fontId="5" fillId="0" borderId="19" xfId="0" applyFont="1" applyBorder="1" applyAlignment="1">
      <alignment vertical="center" shrinkToFit="1"/>
    </xf>
    <xf numFmtId="176" fontId="5" fillId="0" borderId="19" xfId="0" applyNumberFormat="1" applyFont="1" applyBorder="1" applyAlignment="1">
      <alignment vertical="center" shrinkToFit="1"/>
    </xf>
    <xf numFmtId="176" fontId="5" fillId="0" borderId="33" xfId="0" applyNumberFormat="1" applyFont="1" applyBorder="1" applyAlignment="1">
      <alignment vertical="center" shrinkToFit="1"/>
    </xf>
    <xf numFmtId="176" fontId="5" fillId="0" borderId="23" xfId="0" applyNumberFormat="1" applyFont="1" applyBorder="1" applyAlignment="1">
      <alignment vertical="center" shrinkToFit="1"/>
    </xf>
    <xf numFmtId="9" fontId="5" fillId="0" borderId="23" xfId="0" applyNumberFormat="1" applyFont="1" applyBorder="1" applyAlignment="1">
      <alignment vertical="center" shrinkToFit="1"/>
    </xf>
    <xf numFmtId="0" fontId="5" fillId="0" borderId="18" xfId="0" applyFont="1" applyBorder="1" applyAlignment="1">
      <alignment vertical="center" shrinkToFit="1"/>
    </xf>
    <xf numFmtId="0" fontId="5" fillId="0" borderId="24" xfId="0" applyFont="1" applyBorder="1" applyAlignment="1">
      <alignment horizontal="left" vertical="center" shrinkToFit="1"/>
    </xf>
    <xf numFmtId="176" fontId="5" fillId="0" borderId="24" xfId="0" applyNumberFormat="1" applyFont="1" applyBorder="1" applyAlignment="1">
      <alignment vertical="center" shrinkToFit="1"/>
    </xf>
    <xf numFmtId="0" fontId="5" fillId="0" borderId="28" xfId="0" applyFont="1" applyBorder="1" applyAlignment="1">
      <alignment horizontal="center" vertical="center" shrinkToFit="1"/>
    </xf>
    <xf numFmtId="0" fontId="5" fillId="0" borderId="26" xfId="0" applyFont="1" applyBorder="1" applyAlignment="1">
      <alignment vertical="center" shrinkToFit="1"/>
    </xf>
    <xf numFmtId="0" fontId="5" fillId="0" borderId="25" xfId="0" applyFont="1" applyBorder="1" applyAlignment="1">
      <alignment vertical="center" shrinkToFit="1"/>
    </xf>
    <xf numFmtId="176" fontId="5" fillId="0" borderId="25" xfId="0" applyNumberFormat="1" applyFont="1" applyBorder="1" applyAlignment="1">
      <alignment vertical="center" shrinkToFit="1"/>
    </xf>
    <xf numFmtId="176" fontId="5" fillId="0" borderId="35" xfId="0" applyNumberFormat="1" applyFont="1" applyBorder="1" applyAlignment="1">
      <alignment vertical="center" shrinkToFit="1"/>
    </xf>
    <xf numFmtId="176" fontId="5" fillId="0" borderId="36" xfId="0" applyNumberFormat="1" applyFont="1" applyBorder="1" applyAlignment="1">
      <alignment vertical="center" shrinkToFit="1"/>
    </xf>
    <xf numFmtId="176" fontId="5" fillId="0" borderId="27" xfId="0" applyNumberFormat="1" applyFont="1" applyBorder="1" applyAlignment="1">
      <alignment vertical="center" shrinkToFit="1"/>
    </xf>
    <xf numFmtId="176" fontId="5" fillId="0" borderId="28" xfId="0" applyNumberFormat="1" applyFont="1" applyBorder="1" applyAlignment="1">
      <alignment vertical="center" shrinkToFit="1"/>
    </xf>
    <xf numFmtId="9" fontId="5" fillId="0" borderId="27" xfId="0" applyNumberFormat="1" applyFont="1" applyBorder="1" applyAlignment="1">
      <alignment vertical="center" shrinkToFit="1"/>
    </xf>
    <xf numFmtId="49" fontId="13" fillId="0" borderId="2" xfId="2" applyNumberFormat="1" applyFont="1" applyBorder="1" applyAlignment="1">
      <alignment vertical="center" shrinkToFit="1"/>
    </xf>
    <xf numFmtId="49" fontId="5" fillId="0" borderId="3" xfId="0" applyNumberFormat="1" applyFont="1" applyBorder="1" applyAlignment="1">
      <alignment vertical="center" shrinkToFit="1"/>
    </xf>
    <xf numFmtId="49" fontId="5" fillId="0" borderId="4" xfId="0" applyNumberFormat="1" applyFont="1" applyBorder="1" applyAlignment="1">
      <alignment vertical="center" shrinkToFit="1"/>
    </xf>
    <xf numFmtId="49" fontId="5" fillId="0" borderId="2" xfId="1" applyNumberFormat="1" applyFont="1" applyBorder="1" applyAlignment="1">
      <alignment horizontal="center" vertical="center" shrinkToFit="1"/>
    </xf>
    <xf numFmtId="49" fontId="5" fillId="0" borderId="3" xfId="1" applyNumberFormat="1" applyFont="1" applyBorder="1" applyAlignment="1">
      <alignment horizontal="center" vertical="center" shrinkToFit="1"/>
    </xf>
    <xf numFmtId="49" fontId="5" fillId="0" borderId="4" xfId="1" applyNumberFormat="1" applyFont="1" applyBorder="1" applyAlignment="1">
      <alignment horizontal="center" vertical="center" shrinkToFit="1"/>
    </xf>
    <xf numFmtId="0" fontId="5" fillId="0" borderId="0"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176" fontId="5" fillId="0" borderId="2" xfId="0" applyNumberFormat="1" applyFont="1" applyBorder="1" applyAlignment="1">
      <alignment horizontal="center" vertical="center" shrinkToFit="1"/>
    </xf>
    <xf numFmtId="176" fontId="5" fillId="0" borderId="4" xfId="0" applyNumberFormat="1" applyFont="1" applyBorder="1" applyAlignment="1">
      <alignment horizontal="center" vertical="center" shrinkToFit="1"/>
    </xf>
    <xf numFmtId="0" fontId="5" fillId="0" borderId="2" xfId="0" applyFont="1" applyBorder="1" applyAlignment="1">
      <alignment vertical="center" shrinkToFit="1"/>
    </xf>
    <xf numFmtId="0" fontId="5" fillId="0" borderId="3" xfId="0" applyFont="1" applyBorder="1" applyAlignment="1">
      <alignment vertical="center" shrinkToFit="1"/>
    </xf>
    <xf numFmtId="0" fontId="5" fillId="0" borderId="0" xfId="0" applyFont="1" applyBorder="1" applyAlignment="1">
      <alignment horizontal="right" vertical="center" shrinkToFit="1"/>
    </xf>
    <xf numFmtId="0" fontId="5" fillId="0" borderId="5" xfId="0" applyFont="1" applyBorder="1" applyAlignment="1">
      <alignment horizontal="right" vertical="center" shrinkToFit="1"/>
    </xf>
    <xf numFmtId="0" fontId="5" fillId="0" borderId="10" xfId="0" applyFont="1" applyBorder="1" applyAlignment="1">
      <alignment horizontal="right" vertical="center" shrinkToFit="1"/>
    </xf>
    <xf numFmtId="0" fontId="5" fillId="0" borderId="0" xfId="0" applyFont="1" applyAlignment="1">
      <alignment horizontal="right" vertical="center"/>
    </xf>
    <xf numFmtId="0" fontId="5" fillId="0" borderId="0" xfId="0" applyFont="1" applyBorder="1" applyAlignment="1">
      <alignment horizontal="right" vertical="center"/>
    </xf>
    <xf numFmtId="0" fontId="5" fillId="0" borderId="10" xfId="0" applyFont="1" applyBorder="1" applyAlignment="1">
      <alignment horizontal="right" vertical="center"/>
    </xf>
    <xf numFmtId="176" fontId="5" fillId="0" borderId="3" xfId="0" applyNumberFormat="1" applyFont="1" applyBorder="1" applyAlignment="1">
      <alignment horizontal="center" vertical="center" shrinkToFit="1"/>
    </xf>
    <xf numFmtId="0" fontId="9" fillId="0" borderId="0" xfId="0" applyFont="1" applyAlignment="1">
      <alignment horizontal="center" vertical="center"/>
    </xf>
    <xf numFmtId="0" fontId="5" fillId="0" borderId="2" xfId="0" applyNumberFormat="1" applyFont="1" applyBorder="1" applyAlignment="1">
      <alignment horizontal="center" vertical="center"/>
    </xf>
    <xf numFmtId="0" fontId="5" fillId="0" borderId="4" xfId="0" applyNumberFormat="1" applyFont="1" applyBorder="1" applyAlignment="1">
      <alignment horizontal="center"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176" fontId="5" fillId="0" borderId="2" xfId="0" applyNumberFormat="1" applyFont="1" applyBorder="1" applyAlignment="1">
      <alignment horizontal="center" vertical="center"/>
    </xf>
    <xf numFmtId="176" fontId="5" fillId="0" borderId="3" xfId="0" applyNumberFormat="1" applyFont="1" applyBorder="1" applyAlignment="1">
      <alignment horizontal="center" vertical="center"/>
    </xf>
    <xf numFmtId="176" fontId="5" fillId="0" borderId="4" xfId="0" applyNumberFormat="1" applyFont="1" applyBorder="1" applyAlignment="1">
      <alignment horizontal="center" vertical="center"/>
    </xf>
    <xf numFmtId="0" fontId="5" fillId="0" borderId="0" xfId="0" applyFont="1" applyBorder="1" applyAlignment="1">
      <alignment vertical="center" shrinkToFit="1"/>
    </xf>
    <xf numFmtId="0" fontId="5" fillId="0" borderId="37" xfId="0" applyFont="1" applyFill="1" applyBorder="1" applyAlignment="1">
      <alignment horizontal="left" vertical="center" shrinkToFit="1"/>
    </xf>
    <xf numFmtId="0" fontId="5" fillId="0" borderId="39" xfId="0" applyFont="1" applyFill="1" applyBorder="1" applyAlignment="1">
      <alignment horizontal="left" vertical="center" shrinkToFit="1"/>
    </xf>
    <xf numFmtId="0" fontId="5" fillId="0" borderId="38" xfId="0" applyFont="1" applyFill="1" applyBorder="1" applyAlignment="1">
      <alignment horizontal="left" vertical="center" shrinkToFit="1"/>
    </xf>
    <xf numFmtId="0" fontId="5" fillId="0" borderId="37" xfId="0" applyFont="1" applyFill="1" applyBorder="1" applyAlignment="1">
      <alignment horizontal="center" vertical="center"/>
    </xf>
    <xf numFmtId="0" fontId="5" fillId="0" borderId="39" xfId="0" applyFont="1" applyFill="1" applyBorder="1" applyAlignment="1">
      <alignment horizontal="center" vertical="center"/>
    </xf>
    <xf numFmtId="0" fontId="5" fillId="0" borderId="38" xfId="0" applyFont="1" applyFill="1" applyBorder="1" applyAlignment="1">
      <alignment horizontal="center" vertical="center"/>
    </xf>
    <xf numFmtId="0" fontId="5" fillId="0" borderId="37" xfId="0" applyFont="1" applyFill="1" applyBorder="1" applyAlignment="1">
      <alignment vertical="center" shrinkToFit="1"/>
    </xf>
    <xf numFmtId="0" fontId="5" fillId="0" borderId="39" xfId="0" applyFont="1" applyFill="1" applyBorder="1" applyAlignment="1">
      <alignment vertical="center" shrinkToFit="1"/>
    </xf>
    <xf numFmtId="0" fontId="5" fillId="0" borderId="38" xfId="0" applyFont="1" applyFill="1" applyBorder="1" applyAlignment="1">
      <alignment vertical="center" shrinkToFit="1"/>
    </xf>
    <xf numFmtId="0" fontId="5" fillId="0" borderId="19" xfId="0" applyFont="1" applyFill="1" applyBorder="1" applyAlignment="1">
      <alignment horizontal="left" vertical="center" shrinkToFit="1"/>
    </xf>
    <xf numFmtId="0" fontId="5" fillId="0" borderId="20" xfId="0" applyFont="1" applyFill="1" applyBorder="1" applyAlignment="1">
      <alignment horizontal="left" vertical="center" shrinkToFit="1"/>
    </xf>
    <xf numFmtId="0" fontId="5" fillId="0" borderId="18" xfId="0" applyFont="1" applyFill="1" applyBorder="1" applyAlignment="1">
      <alignment horizontal="left" vertical="center" shrinkToFit="1"/>
    </xf>
    <xf numFmtId="0" fontId="5" fillId="0" borderId="44" xfId="0" applyFont="1" applyFill="1" applyBorder="1" applyAlignment="1">
      <alignment horizontal="center" vertical="center"/>
    </xf>
    <xf numFmtId="0" fontId="5" fillId="0" borderId="45" xfId="0" applyFont="1" applyFill="1" applyBorder="1" applyAlignment="1">
      <alignment horizontal="center" vertical="center"/>
    </xf>
    <xf numFmtId="0" fontId="5" fillId="0" borderId="46" xfId="0" applyFont="1" applyFill="1" applyBorder="1" applyAlignment="1">
      <alignment horizontal="center" vertical="center"/>
    </xf>
    <xf numFmtId="0" fontId="5" fillId="0" borderId="19" xfId="0" applyFont="1" applyFill="1" applyBorder="1" applyAlignment="1">
      <alignment vertical="center" shrinkToFit="1"/>
    </xf>
    <xf numFmtId="0" fontId="5" fillId="0" borderId="20" xfId="0" applyFont="1" applyFill="1" applyBorder="1" applyAlignment="1">
      <alignment vertical="center" shrinkToFit="1"/>
    </xf>
    <xf numFmtId="0" fontId="5" fillId="0" borderId="18" xfId="0" applyFont="1" applyFill="1" applyBorder="1" applyAlignment="1">
      <alignment vertical="center" shrinkToFit="1"/>
    </xf>
    <xf numFmtId="0" fontId="5" fillId="0" borderId="19" xfId="0" applyFont="1" applyFill="1" applyBorder="1" applyAlignment="1">
      <alignment horizontal="center" vertical="center"/>
    </xf>
    <xf numFmtId="0" fontId="5" fillId="0" borderId="20" xfId="0" applyFont="1" applyFill="1" applyBorder="1" applyAlignment="1">
      <alignment horizontal="center" vertical="center"/>
    </xf>
    <xf numFmtId="0" fontId="5" fillId="0" borderId="18" xfId="0" applyFont="1" applyFill="1" applyBorder="1" applyAlignment="1">
      <alignment horizontal="center" vertical="center"/>
    </xf>
    <xf numFmtId="0" fontId="6" fillId="0" borderId="0" xfId="0" applyFont="1" applyFill="1" applyAlignment="1">
      <alignment horizontal="center" vertical="center"/>
    </xf>
    <xf numFmtId="0" fontId="10" fillId="0" borderId="0" xfId="0" applyFont="1" applyFill="1" applyAlignment="1">
      <alignment horizontal="center" vertical="center"/>
    </xf>
    <xf numFmtId="0" fontId="5" fillId="0" borderId="7" xfId="0" applyFont="1" applyFill="1" applyBorder="1" applyAlignment="1">
      <alignment horizontal="left" vertical="top" wrapText="1" shrinkToFit="1"/>
    </xf>
    <xf numFmtId="0" fontId="5" fillId="0" borderId="8" xfId="0" applyFont="1" applyFill="1" applyBorder="1" applyAlignment="1">
      <alignment horizontal="left" vertical="top" wrapText="1" shrinkToFit="1"/>
    </xf>
    <xf numFmtId="0" fontId="5" fillId="0" borderId="9" xfId="0" applyFont="1" applyFill="1" applyBorder="1" applyAlignment="1">
      <alignment horizontal="left" vertical="top" wrapText="1" shrinkToFit="1"/>
    </xf>
    <xf numFmtId="0" fontId="5" fillId="0" borderId="5" xfId="0" applyFont="1" applyFill="1" applyBorder="1" applyAlignment="1">
      <alignment horizontal="left" vertical="top" wrapText="1" shrinkToFit="1"/>
    </xf>
    <xf numFmtId="0" fontId="5" fillId="0" borderId="0" xfId="0" applyFont="1" applyFill="1" applyBorder="1" applyAlignment="1">
      <alignment horizontal="left" vertical="top" wrapText="1" shrinkToFit="1"/>
    </xf>
    <xf numFmtId="0" fontId="5" fillId="0" borderId="10" xfId="0" applyFont="1" applyFill="1" applyBorder="1" applyAlignment="1">
      <alignment horizontal="left" vertical="top" wrapText="1" shrinkToFit="1"/>
    </xf>
    <xf numFmtId="0" fontId="5" fillId="0" borderId="0" xfId="0" applyFont="1" applyFill="1" applyAlignment="1">
      <alignment horizontal="left" vertical="top" wrapText="1" shrinkToFit="1"/>
    </xf>
    <xf numFmtId="0" fontId="5" fillId="0" borderId="11" xfId="0" applyFont="1" applyFill="1" applyBorder="1" applyAlignment="1">
      <alignment horizontal="left" vertical="top" wrapText="1" shrinkToFit="1"/>
    </xf>
    <xf numFmtId="0" fontId="5" fillId="0" borderId="6" xfId="0" applyFont="1" applyFill="1" applyBorder="1" applyAlignment="1">
      <alignment horizontal="left" vertical="top" wrapText="1" shrinkToFit="1"/>
    </xf>
    <xf numFmtId="0" fontId="5" fillId="0" borderId="12" xfId="0" applyFont="1" applyFill="1" applyBorder="1" applyAlignment="1">
      <alignment horizontal="left" vertical="top" wrapText="1" shrinkToFit="1"/>
    </xf>
    <xf numFmtId="0" fontId="5" fillId="0" borderId="0" xfId="0" applyFont="1" applyFill="1" applyAlignment="1">
      <alignment vertical="center" wrapText="1"/>
    </xf>
    <xf numFmtId="0" fontId="5" fillId="0" borderId="40" xfId="0" applyFont="1" applyFill="1" applyBorder="1" applyAlignment="1">
      <alignment horizontal="left" vertical="center" shrinkToFit="1"/>
    </xf>
    <xf numFmtId="0" fontId="5" fillId="0" borderId="41" xfId="0" applyFont="1" applyFill="1" applyBorder="1" applyAlignment="1">
      <alignment horizontal="left" vertical="center" shrinkToFit="1"/>
    </xf>
    <xf numFmtId="0" fontId="5" fillId="0" borderId="42" xfId="0" applyFont="1" applyFill="1" applyBorder="1" applyAlignment="1">
      <alignment horizontal="left" vertical="center" shrinkToFit="1"/>
    </xf>
    <xf numFmtId="0" fontId="5" fillId="0" borderId="40" xfId="0" applyFont="1" applyFill="1" applyBorder="1" applyAlignment="1">
      <alignment horizontal="center" vertical="center"/>
    </xf>
    <xf numFmtId="0" fontId="5" fillId="0" borderId="41" xfId="0" applyFont="1" applyFill="1" applyBorder="1" applyAlignment="1">
      <alignment horizontal="center" vertical="center"/>
    </xf>
    <xf numFmtId="0" fontId="5" fillId="0" borderId="42" xfId="0" applyFont="1" applyFill="1" applyBorder="1" applyAlignment="1">
      <alignment horizontal="center" vertical="center"/>
    </xf>
    <xf numFmtId="0" fontId="5" fillId="0" borderId="40" xfId="0" applyFont="1" applyFill="1" applyBorder="1" applyAlignment="1">
      <alignment vertical="center" shrinkToFit="1"/>
    </xf>
    <xf numFmtId="0" fontId="5" fillId="0" borderId="41" xfId="0" applyFont="1" applyFill="1" applyBorder="1" applyAlignment="1">
      <alignment vertical="center" shrinkToFit="1"/>
    </xf>
    <xf numFmtId="0" fontId="5" fillId="0" borderId="42" xfId="0" applyFont="1" applyFill="1" applyBorder="1" applyAlignment="1">
      <alignment vertical="center" shrinkToFit="1"/>
    </xf>
    <xf numFmtId="0" fontId="5" fillId="0" borderId="16" xfId="0" applyFont="1" applyFill="1" applyBorder="1" applyAlignment="1">
      <alignment vertical="center" shrinkToFit="1"/>
    </xf>
    <xf numFmtId="0" fontId="5" fillId="0" borderId="22" xfId="0" applyFont="1" applyFill="1" applyBorder="1" applyAlignment="1">
      <alignment vertical="center" shrinkToFit="1"/>
    </xf>
    <xf numFmtId="0" fontId="5" fillId="0" borderId="21" xfId="0" applyFont="1" applyFill="1" applyBorder="1" applyAlignment="1">
      <alignment vertical="center" shrinkToFit="1"/>
    </xf>
    <xf numFmtId="0" fontId="5" fillId="0" borderId="16" xfId="0" applyFont="1" applyFill="1" applyBorder="1" applyAlignment="1">
      <alignment horizontal="center" vertical="center" shrinkToFit="1"/>
    </xf>
    <xf numFmtId="0" fontId="5" fillId="0" borderId="22" xfId="0" applyFont="1" applyFill="1" applyBorder="1" applyAlignment="1">
      <alignment horizontal="center" vertical="center" shrinkToFit="1"/>
    </xf>
    <xf numFmtId="0" fontId="5" fillId="0" borderId="21" xfId="0" applyFont="1" applyFill="1" applyBorder="1" applyAlignment="1">
      <alignment horizontal="center" vertical="center" shrinkToFit="1"/>
    </xf>
    <xf numFmtId="0" fontId="5" fillId="0" borderId="19" xfId="0" applyFont="1" applyFill="1" applyBorder="1" applyAlignment="1">
      <alignment horizontal="center" vertical="center" shrinkToFit="1"/>
    </xf>
    <xf numFmtId="0" fontId="5" fillId="0" borderId="20" xfId="0" applyFont="1" applyFill="1" applyBorder="1" applyAlignment="1">
      <alignment horizontal="center" vertical="center" shrinkToFit="1"/>
    </xf>
    <xf numFmtId="0" fontId="5" fillId="0" borderId="18" xfId="0" applyFont="1" applyFill="1" applyBorder="1" applyAlignment="1">
      <alignment horizontal="center" vertical="center" shrinkToFit="1"/>
    </xf>
    <xf numFmtId="0" fontId="5" fillId="0" borderId="7" xfId="0" applyFont="1" applyFill="1" applyBorder="1" applyAlignment="1">
      <alignment vertical="center" shrinkToFit="1"/>
    </xf>
    <xf numFmtId="0" fontId="5" fillId="0" borderId="8" xfId="0" applyFont="1" applyFill="1" applyBorder="1" applyAlignment="1">
      <alignment vertical="center" shrinkToFit="1"/>
    </xf>
    <xf numFmtId="0" fontId="5" fillId="0" borderId="9" xfId="0" applyFont="1" applyFill="1" applyBorder="1" applyAlignment="1">
      <alignment vertical="center" shrinkToFit="1"/>
    </xf>
    <xf numFmtId="0" fontId="5" fillId="0" borderId="7" xfId="0" applyFont="1" applyFill="1" applyBorder="1" applyAlignment="1">
      <alignment horizontal="center" vertical="center" shrinkToFit="1"/>
    </xf>
    <xf numFmtId="0" fontId="5" fillId="0" borderId="8" xfId="0" applyFont="1" applyFill="1" applyBorder="1" applyAlignment="1">
      <alignment horizontal="center" vertical="center" shrinkToFit="1"/>
    </xf>
    <xf numFmtId="0" fontId="5" fillId="0" borderId="9" xfId="0" applyFont="1" applyFill="1" applyBorder="1" applyAlignment="1">
      <alignment horizontal="center" vertical="center" shrinkToFit="1"/>
    </xf>
    <xf numFmtId="0" fontId="5" fillId="0" borderId="5" xfId="0" applyFont="1" applyFill="1" applyBorder="1" applyAlignment="1">
      <alignment vertical="center" shrinkToFit="1"/>
    </xf>
    <xf numFmtId="0" fontId="5" fillId="0" borderId="0" xfId="0" applyFont="1" applyFill="1" applyBorder="1" applyAlignment="1">
      <alignment vertical="center" shrinkToFit="1"/>
    </xf>
    <xf numFmtId="0" fontId="5" fillId="0" borderId="10" xfId="0" applyFont="1" applyFill="1" applyBorder="1" applyAlignment="1">
      <alignment vertical="center" shrinkToFit="1"/>
    </xf>
    <xf numFmtId="0" fontId="5" fillId="0" borderId="5" xfId="0" applyFont="1" applyFill="1" applyBorder="1" applyAlignment="1">
      <alignment horizontal="center" vertical="center" shrinkToFit="1"/>
    </xf>
    <xf numFmtId="0" fontId="5" fillId="0" borderId="0" xfId="0" applyFont="1" applyFill="1" applyBorder="1" applyAlignment="1">
      <alignment horizontal="center" vertical="center" shrinkToFit="1"/>
    </xf>
    <xf numFmtId="0" fontId="5" fillId="0" borderId="10" xfId="0" applyFont="1" applyFill="1" applyBorder="1" applyAlignment="1">
      <alignment horizontal="center" vertical="center" shrinkToFit="1"/>
    </xf>
    <xf numFmtId="0" fontId="5" fillId="0" borderId="17" xfId="0" applyFont="1" applyFill="1" applyBorder="1" applyAlignment="1">
      <alignment vertical="center" shrinkToFit="1"/>
    </xf>
    <xf numFmtId="0" fontId="5" fillId="0" borderId="44" xfId="0" applyFont="1" applyFill="1" applyBorder="1" applyAlignment="1">
      <alignment vertical="center" shrinkToFit="1"/>
    </xf>
    <xf numFmtId="0" fontId="5" fillId="0" borderId="45" xfId="0" applyFont="1" applyFill="1" applyBorder="1" applyAlignment="1">
      <alignment vertical="center" shrinkToFit="1"/>
    </xf>
    <xf numFmtId="0" fontId="5" fillId="0" borderId="46" xfId="0" applyFont="1" applyFill="1" applyBorder="1" applyAlignment="1">
      <alignment vertical="center" shrinkToFit="1"/>
    </xf>
    <xf numFmtId="0" fontId="2" fillId="0" borderId="19" xfId="0" applyFont="1" applyFill="1" applyBorder="1" applyAlignment="1">
      <alignment vertical="center" shrinkToFit="1"/>
    </xf>
    <xf numFmtId="0" fontId="2" fillId="0" borderId="20" xfId="0" applyFont="1" applyFill="1" applyBorder="1" applyAlignment="1">
      <alignment vertical="center" shrinkToFit="1"/>
    </xf>
    <xf numFmtId="0" fontId="2" fillId="0" borderId="18" xfId="0" applyFont="1" applyFill="1" applyBorder="1" applyAlignment="1">
      <alignment vertical="center" shrinkToFit="1"/>
    </xf>
    <xf numFmtId="0" fontId="13" fillId="0" borderId="48" xfId="0" applyFont="1" applyFill="1" applyBorder="1" applyAlignment="1">
      <alignment vertical="center" wrapText="1"/>
    </xf>
    <xf numFmtId="0" fontId="13" fillId="0" borderId="49" xfId="0" applyFont="1" applyFill="1" applyBorder="1" applyAlignment="1">
      <alignment vertical="center" wrapText="1"/>
    </xf>
    <xf numFmtId="0" fontId="6" fillId="0" borderId="39" xfId="0" applyFont="1" applyFill="1" applyBorder="1" applyAlignment="1">
      <alignment horizontal="left" vertical="top" wrapText="1" shrinkToFit="1"/>
    </xf>
    <xf numFmtId="0" fontId="6" fillId="0" borderId="38" xfId="0" applyFont="1" applyFill="1" applyBorder="1" applyAlignment="1">
      <alignment horizontal="left" vertical="top" wrapText="1" shrinkToFit="1"/>
    </xf>
    <xf numFmtId="0" fontId="6" fillId="0" borderId="41" xfId="0" applyFont="1" applyFill="1" applyBorder="1" applyAlignment="1">
      <alignment horizontal="left" vertical="top" wrapText="1" shrinkToFit="1"/>
    </xf>
    <xf numFmtId="0" fontId="6" fillId="0" borderId="42" xfId="0" applyFont="1" applyFill="1" applyBorder="1" applyAlignment="1">
      <alignment horizontal="left" vertical="top" wrapText="1" shrinkToFit="1"/>
    </xf>
    <xf numFmtId="0" fontId="6" fillId="0" borderId="6" xfId="0" applyFont="1" applyFill="1" applyBorder="1" applyAlignment="1">
      <alignment horizontal="left" vertical="top" wrapText="1" shrinkToFit="1"/>
    </xf>
    <xf numFmtId="0" fontId="6" fillId="0" borderId="12" xfId="0" applyFont="1" applyFill="1" applyBorder="1" applyAlignment="1">
      <alignment horizontal="left" vertical="top" wrapText="1" shrinkToFit="1"/>
    </xf>
    <xf numFmtId="0" fontId="5" fillId="0" borderId="11" xfId="0" applyFont="1" applyFill="1" applyBorder="1" applyAlignment="1">
      <alignment vertical="center" shrinkToFit="1"/>
    </xf>
    <xf numFmtId="0" fontId="5" fillId="0" borderId="6" xfId="0" applyFont="1" applyFill="1" applyBorder="1" applyAlignment="1">
      <alignment vertical="center" shrinkToFit="1"/>
    </xf>
    <xf numFmtId="0" fontId="5" fillId="0" borderId="12" xfId="0" applyFont="1" applyFill="1" applyBorder="1" applyAlignment="1">
      <alignment vertical="center" shrinkToFit="1"/>
    </xf>
    <xf numFmtId="0" fontId="5" fillId="0" borderId="40" xfId="0" applyFont="1" applyFill="1" applyBorder="1" applyAlignment="1">
      <alignment horizontal="center" vertical="center" shrinkToFit="1"/>
    </xf>
    <xf numFmtId="0" fontId="5" fillId="0" borderId="41" xfId="0" applyFont="1" applyFill="1" applyBorder="1" applyAlignment="1">
      <alignment horizontal="center" vertical="center" shrinkToFit="1"/>
    </xf>
    <xf numFmtId="0" fontId="5" fillId="0" borderId="42" xfId="0" applyFont="1" applyFill="1" applyBorder="1" applyAlignment="1">
      <alignment horizontal="center" vertical="center" shrinkToFit="1"/>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12" fillId="0" borderId="48" xfId="0" applyFont="1" applyFill="1" applyBorder="1" applyAlignment="1">
      <alignment vertical="center" wrapText="1"/>
    </xf>
    <xf numFmtId="0" fontId="12" fillId="0" borderId="32" xfId="0" applyFont="1" applyFill="1" applyBorder="1" applyAlignment="1">
      <alignment vertical="center" wrapText="1"/>
    </xf>
    <xf numFmtId="0" fontId="6" fillId="0" borderId="8" xfId="0" applyFont="1" applyFill="1" applyBorder="1" applyAlignment="1">
      <alignment horizontal="left" vertical="top" wrapText="1" shrinkToFit="1"/>
    </xf>
    <xf numFmtId="0" fontId="6" fillId="0" borderId="9" xfId="0" applyFont="1" applyFill="1" applyBorder="1" applyAlignment="1">
      <alignment horizontal="left" vertical="top" wrapText="1" shrinkToFit="1"/>
    </xf>
    <xf numFmtId="0" fontId="6" fillId="0" borderId="22" xfId="0" applyFont="1" applyFill="1" applyBorder="1" applyAlignment="1">
      <alignment horizontal="left" vertical="top" wrapText="1" shrinkToFit="1"/>
    </xf>
    <xf numFmtId="0" fontId="6" fillId="0" borderId="21" xfId="0" applyFont="1" applyFill="1" applyBorder="1" applyAlignment="1">
      <alignment horizontal="left" vertical="top" wrapText="1" shrinkToFit="1"/>
    </xf>
    <xf numFmtId="0" fontId="6" fillId="0" borderId="7" xfId="0" applyFont="1" applyFill="1" applyBorder="1" applyAlignment="1">
      <alignment vertical="center" shrinkToFit="1"/>
    </xf>
    <xf numFmtId="0" fontId="6" fillId="0" borderId="8" xfId="0" applyFont="1" applyFill="1" applyBorder="1" applyAlignment="1">
      <alignment vertical="center" shrinkToFit="1"/>
    </xf>
    <xf numFmtId="0" fontId="6" fillId="0" borderId="9" xfId="0" applyFont="1" applyFill="1" applyBorder="1" applyAlignment="1">
      <alignment vertical="center" shrinkToFit="1"/>
    </xf>
    <xf numFmtId="0" fontId="6" fillId="0" borderId="5" xfId="0" applyFont="1" applyFill="1" applyBorder="1" applyAlignment="1">
      <alignment vertical="center" shrinkToFit="1"/>
    </xf>
    <xf numFmtId="0" fontId="6" fillId="0" borderId="0" xfId="0" applyFont="1" applyFill="1" applyBorder="1" applyAlignment="1">
      <alignment vertical="center" shrinkToFit="1"/>
    </xf>
    <xf numFmtId="0" fontId="6" fillId="0" borderId="10" xfId="0" applyFont="1" applyFill="1" applyBorder="1" applyAlignment="1">
      <alignment vertical="center" shrinkToFit="1"/>
    </xf>
    <xf numFmtId="0" fontId="6" fillId="0" borderId="11" xfId="0" applyFont="1" applyFill="1" applyBorder="1" applyAlignment="1">
      <alignment vertical="center" shrinkToFit="1"/>
    </xf>
    <xf numFmtId="0" fontId="6" fillId="0" borderId="6" xfId="0" applyFont="1" applyFill="1" applyBorder="1" applyAlignment="1">
      <alignment vertical="center" shrinkToFit="1"/>
    </xf>
    <xf numFmtId="0" fontId="6" fillId="0" borderId="12" xfId="0" applyFont="1" applyFill="1" applyBorder="1" applyAlignment="1">
      <alignment vertical="center" shrinkToFit="1"/>
    </xf>
    <xf numFmtId="0" fontId="4" fillId="0" borderId="2" xfId="2" applyFill="1" applyBorder="1" applyAlignment="1">
      <alignment vertical="center" shrinkToFit="1"/>
    </xf>
    <xf numFmtId="0" fontId="6" fillId="0" borderId="3" xfId="0" applyFont="1" applyFill="1" applyBorder="1" applyAlignment="1">
      <alignment vertical="center" shrinkToFit="1"/>
    </xf>
    <xf numFmtId="0" fontId="6" fillId="0" borderId="4" xfId="0" applyFont="1" applyFill="1" applyBorder="1" applyAlignment="1">
      <alignment vertical="center" shrinkToFit="1"/>
    </xf>
    <xf numFmtId="0" fontId="13" fillId="0" borderId="32" xfId="0" applyFont="1" applyFill="1" applyBorder="1" applyAlignment="1">
      <alignment vertical="center" wrapText="1"/>
    </xf>
    <xf numFmtId="0" fontId="6" fillId="0" borderId="20" xfId="0" applyFont="1" applyFill="1" applyBorder="1" applyAlignment="1">
      <alignment horizontal="left" vertical="top" wrapText="1" shrinkToFit="1"/>
    </xf>
    <xf numFmtId="0" fontId="6" fillId="0" borderId="18" xfId="0" applyFont="1" applyFill="1" applyBorder="1" applyAlignment="1">
      <alignment horizontal="left" vertical="top" wrapText="1" shrinkToFit="1"/>
    </xf>
    <xf numFmtId="0" fontId="6" fillId="0" borderId="19" xfId="0" applyFont="1" applyFill="1" applyBorder="1" applyAlignment="1">
      <alignment horizontal="left" vertical="top" wrapText="1" shrinkToFit="1"/>
    </xf>
    <xf numFmtId="0" fontId="5" fillId="0" borderId="37" xfId="0" applyFont="1" applyBorder="1" applyAlignment="1">
      <alignment horizontal="center" vertical="center"/>
    </xf>
    <xf numFmtId="0" fontId="5" fillId="0" borderId="38" xfId="0" applyFont="1" applyBorder="1" applyAlignment="1">
      <alignment horizontal="center" vertical="center"/>
    </xf>
    <xf numFmtId="0" fontId="19" fillId="0" borderId="15" xfId="0" applyFont="1" applyBorder="1" applyAlignment="1">
      <alignment horizontal="center" vertical="center" wrapText="1"/>
    </xf>
    <xf numFmtId="0" fontId="19" fillId="0" borderId="13" xfId="0" applyFont="1" applyBorder="1" applyAlignment="1">
      <alignment horizontal="center" vertical="center"/>
    </xf>
    <xf numFmtId="0" fontId="18" fillId="0" borderId="9" xfId="0" applyFont="1" applyBorder="1" applyAlignment="1">
      <alignment horizontal="center" vertical="center"/>
    </xf>
    <xf numFmtId="0" fontId="18" fillId="0" borderId="12" xfId="0" applyFont="1" applyBorder="1" applyAlignment="1">
      <alignment horizontal="center" vertical="center"/>
    </xf>
    <xf numFmtId="0" fontId="10" fillId="0" borderId="0" xfId="0" applyFont="1" applyAlignment="1">
      <alignment horizontal="center" vertical="center"/>
    </xf>
    <xf numFmtId="0" fontId="2" fillId="0" borderId="2" xfId="0" applyNumberFormat="1" applyFont="1" applyBorder="1" applyAlignment="1">
      <alignment horizontal="center" vertical="center" shrinkToFit="1"/>
    </xf>
    <xf numFmtId="0" fontId="2" fillId="0" borderId="4" xfId="0" applyNumberFormat="1" applyFont="1" applyBorder="1" applyAlignment="1">
      <alignment horizontal="center" vertical="center" shrinkToFit="1"/>
    </xf>
    <xf numFmtId="0" fontId="5" fillId="0" borderId="15" xfId="0" applyFont="1" applyBorder="1" applyAlignment="1">
      <alignment horizontal="center" vertical="center"/>
    </xf>
    <xf numFmtId="0" fontId="5" fillId="0" borderId="13" xfId="0" applyFont="1" applyBorder="1" applyAlignment="1">
      <alignment horizontal="center" vertical="center"/>
    </xf>
    <xf numFmtId="0" fontId="18" fillId="0" borderId="8" xfId="0" applyFont="1" applyBorder="1" applyAlignment="1">
      <alignment horizontal="center" vertical="center" wrapText="1"/>
    </xf>
    <xf numFmtId="0" fontId="18" fillId="0" borderId="6" xfId="0" applyFont="1" applyBorder="1" applyAlignment="1">
      <alignment horizontal="center" vertical="center"/>
    </xf>
    <xf numFmtId="0" fontId="18" fillId="0" borderId="7" xfId="0" applyFont="1" applyBorder="1" applyAlignment="1">
      <alignment horizontal="center" vertical="center" wrapText="1"/>
    </xf>
    <xf numFmtId="0" fontId="18" fillId="0" borderId="11"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vertical="top" wrapText="1" shrinkToFit="1"/>
    </xf>
    <xf numFmtId="0" fontId="5" fillId="0" borderId="22" xfId="0" applyFont="1" applyBorder="1" applyAlignment="1">
      <alignment vertical="top" shrinkToFit="1"/>
    </xf>
    <xf numFmtId="0" fontId="5" fillId="0" borderId="21" xfId="0" applyFont="1" applyBorder="1" applyAlignment="1">
      <alignment vertical="top" shrinkToFit="1"/>
    </xf>
    <xf numFmtId="0" fontId="5" fillId="0" borderId="5" xfId="0" applyFont="1" applyBorder="1" applyAlignment="1">
      <alignment vertical="top" shrinkToFit="1"/>
    </xf>
    <xf numFmtId="0" fontId="5" fillId="0" borderId="0" xfId="0" applyFont="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5" fillId="0" borderId="4" xfId="0" applyFont="1" applyBorder="1" applyAlignment="1">
      <alignment vertical="center" shrinkToFit="1"/>
    </xf>
    <xf numFmtId="0" fontId="5" fillId="0" borderId="7" xfId="0" applyFont="1" applyBorder="1" applyAlignment="1">
      <alignment vertical="top" wrapText="1" shrinkToFit="1"/>
    </xf>
    <xf numFmtId="0" fontId="5" fillId="0" borderId="8" xfId="0" applyFont="1" applyBorder="1" applyAlignment="1">
      <alignment vertical="top" wrapText="1"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Fill="1" applyBorder="1" applyAlignment="1">
      <alignment vertical="top" shrinkToFit="1"/>
    </xf>
    <xf numFmtId="0" fontId="5" fillId="0" borderId="0" xfId="0" applyFont="1" applyFill="1" applyAlignment="1">
      <alignment vertical="top" shrinkToFit="1"/>
    </xf>
    <xf numFmtId="0" fontId="5" fillId="0" borderId="10" xfId="0" applyFont="1" applyFill="1" applyBorder="1" applyAlignment="1">
      <alignment vertical="top"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9" xfId="0" applyFont="1" applyBorder="1" applyAlignment="1">
      <alignment vertical="top" wrapText="1" shrinkToFit="1"/>
    </xf>
    <xf numFmtId="0" fontId="5" fillId="0" borderId="5" xfId="0" applyFont="1" applyBorder="1" applyAlignment="1">
      <alignment vertical="top" wrapText="1" shrinkToFit="1"/>
    </xf>
    <xf numFmtId="0" fontId="5" fillId="0" borderId="0" xfId="0" applyFont="1" applyAlignment="1">
      <alignment vertical="top" wrapText="1" shrinkToFit="1"/>
    </xf>
    <xf numFmtId="0" fontId="5" fillId="0" borderId="10" xfId="0" applyFont="1" applyBorder="1" applyAlignment="1">
      <alignment vertical="top" wrapText="1" shrinkToFit="1"/>
    </xf>
    <xf numFmtId="0" fontId="5" fillId="0" borderId="11" xfId="0" applyFont="1" applyBorder="1" applyAlignment="1">
      <alignment vertical="top" wrapText="1" shrinkToFit="1"/>
    </xf>
    <xf numFmtId="0" fontId="5" fillId="0" borderId="6" xfId="0" applyFont="1" applyBorder="1" applyAlignment="1">
      <alignment vertical="top" wrapText="1" shrinkToFit="1"/>
    </xf>
    <xf numFmtId="0" fontId="5" fillId="0" borderId="12" xfId="0" applyFont="1" applyBorder="1" applyAlignment="1">
      <alignment vertical="top" wrapText="1" shrinkToFit="1"/>
    </xf>
    <xf numFmtId="0" fontId="5" fillId="0" borderId="6" xfId="0" applyFont="1" applyBorder="1">
      <alignment vertical="center"/>
    </xf>
    <xf numFmtId="0" fontId="5" fillId="0" borderId="7" xfId="0" applyFont="1" applyFill="1" applyBorder="1" applyAlignment="1">
      <alignment vertical="top" wrapText="1" shrinkToFit="1"/>
    </xf>
    <xf numFmtId="0" fontId="5" fillId="0" borderId="8" xfId="0" applyFont="1" applyFill="1" applyBorder="1" applyAlignment="1">
      <alignment vertical="top" wrapText="1" shrinkToFit="1"/>
    </xf>
    <xf numFmtId="0" fontId="5" fillId="0" borderId="17" xfId="0" applyFont="1" applyBorder="1">
      <alignment vertical="center"/>
    </xf>
    <xf numFmtId="0" fontId="13" fillId="0" borderId="18" xfId="0" applyFont="1" applyBorder="1">
      <alignment vertical="center"/>
    </xf>
    <xf numFmtId="0" fontId="5" fillId="0" borderId="19" xfId="0" applyFont="1" applyBorder="1" applyAlignment="1">
      <alignment vertical="top" wrapText="1" shrinkToFit="1"/>
    </xf>
    <xf numFmtId="0" fontId="5" fillId="0" borderId="20" xfId="0" applyFont="1" applyBorder="1" applyAlignment="1">
      <alignment vertical="top" wrapText="1" shrinkToFit="1"/>
    </xf>
    <xf numFmtId="0" fontId="5" fillId="0" borderId="18" xfId="0" applyFont="1" applyBorder="1" applyAlignment="1">
      <alignmen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7" xfId="0" applyFont="1" applyBorder="1" applyAlignment="1">
      <alignment vertical="center" wrapText="1"/>
    </xf>
    <xf numFmtId="0" fontId="5" fillId="0" borderId="18" xfId="0" applyFont="1" applyBorder="1" applyAlignment="1">
      <alignment vertical="center" wrapText="1"/>
    </xf>
    <xf numFmtId="0" fontId="5" fillId="0" borderId="11" xfId="0" applyFont="1" applyFill="1" applyBorder="1" applyAlignment="1">
      <alignment vertical="center" wrapText="1"/>
    </xf>
    <xf numFmtId="0" fontId="5" fillId="0" borderId="6" xfId="0" applyFont="1" applyFill="1" applyBorder="1" applyAlignment="1">
      <alignment vertical="center" wrapText="1"/>
    </xf>
    <xf numFmtId="0" fontId="5" fillId="0" borderId="12" xfId="0" applyFont="1" applyFill="1" applyBorder="1" applyAlignment="1">
      <alignment vertical="center" wrapText="1"/>
    </xf>
    <xf numFmtId="0" fontId="5" fillId="0" borderId="6" xfId="0" applyFont="1" applyFill="1" applyBorder="1" applyAlignment="1">
      <alignment vertical="top" wrapText="1" shrinkToFit="1"/>
    </xf>
    <xf numFmtId="0" fontId="5" fillId="0" borderId="12" xfId="0" applyFont="1" applyFill="1" applyBorder="1" applyAlignment="1">
      <alignment vertical="top" wrapText="1" shrinkToFit="1"/>
    </xf>
    <xf numFmtId="0" fontId="13" fillId="0" borderId="3" xfId="2" applyFont="1" applyBorder="1" applyAlignment="1">
      <alignment horizontal="left" vertical="center" shrinkToFit="1"/>
    </xf>
    <xf numFmtId="0" fontId="13" fillId="0" borderId="4" xfId="2" applyFont="1" applyBorder="1" applyAlignment="1">
      <alignment horizontal="left" vertical="center" shrinkToFit="1"/>
    </xf>
    <xf numFmtId="0" fontId="5" fillId="0" borderId="19" xfId="0" applyFont="1" applyBorder="1" applyAlignment="1">
      <alignment vertical="center" wrapText="1"/>
    </xf>
    <xf numFmtId="0" fontId="5" fillId="0" borderId="20" xfId="0" applyFont="1" applyBorder="1" applyAlignment="1">
      <alignment vertical="center" wrapText="1"/>
    </xf>
    <xf numFmtId="0" fontId="4" fillId="0" borderId="2" xfId="2" applyBorder="1" applyAlignment="1">
      <alignment horizontal="left" vertical="center"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yu-kyoiku@jm.kj.yamagata-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amagata-univ-derp.org/dsm2021"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yamagata-univ-derp.org/dsm2021"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yamagata-univ-derp.org/dsm202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yamagata-univ-derp.org/dsm20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1"/>
  <sheetViews>
    <sheetView view="pageBreakPreview" zoomScaleNormal="100" zoomScaleSheetLayoutView="100" workbookViewId="0">
      <selection activeCell="E19" sqref="E19"/>
    </sheetView>
  </sheetViews>
  <sheetFormatPr defaultColWidth="9" defaultRowHeight="18.75" customHeight="1" x14ac:dyDescent="0.15"/>
  <cols>
    <col min="1" max="1" width="3.375" style="5" customWidth="1"/>
    <col min="2" max="2" width="11.125" style="5" customWidth="1"/>
    <col min="3" max="8" width="6.625" style="5" customWidth="1"/>
    <col min="9" max="9" width="3.375" style="5" customWidth="1"/>
    <col min="10" max="10" width="10" style="5" customWidth="1"/>
    <col min="11" max="11" width="3.375" style="5" customWidth="1"/>
    <col min="12" max="12" width="7.625" style="5" customWidth="1"/>
    <col min="13" max="13" width="3.375" style="5" customWidth="1"/>
    <col min="14" max="14" width="4.5" style="5" customWidth="1"/>
    <col min="15" max="15" width="9" style="21"/>
    <col min="16" max="16384" width="9" style="4"/>
  </cols>
  <sheetData>
    <row r="1" spans="1:15" ht="24" customHeight="1" x14ac:dyDescent="0.15">
      <c r="M1" s="146" t="s">
        <v>25</v>
      </c>
      <c r="N1" s="146"/>
    </row>
    <row r="2" spans="1:15" ht="24" customHeight="1" x14ac:dyDescent="0.15">
      <c r="A2" s="150" t="s">
        <v>80</v>
      </c>
      <c r="B2" s="150"/>
      <c r="C2" s="150"/>
      <c r="D2" s="150"/>
      <c r="E2" s="150"/>
      <c r="F2" s="150"/>
      <c r="G2" s="150"/>
      <c r="H2" s="150"/>
      <c r="I2" s="150"/>
      <c r="J2" s="150"/>
      <c r="K2" s="150"/>
      <c r="L2" s="150"/>
      <c r="M2" s="150"/>
      <c r="N2" s="150"/>
    </row>
    <row r="3" spans="1:15" ht="24" customHeight="1" x14ac:dyDescent="0.15"/>
    <row r="4" spans="1:15" ht="24" customHeight="1" x14ac:dyDescent="0.15">
      <c r="A4" s="5" t="s">
        <v>6</v>
      </c>
      <c r="B4" s="6" t="s">
        <v>16</v>
      </c>
      <c r="C4" s="136" t="s">
        <v>267</v>
      </c>
      <c r="D4" s="137"/>
      <c r="E4" s="137"/>
      <c r="F4" s="137"/>
      <c r="G4" s="137"/>
      <c r="H4" s="137"/>
      <c r="I4" s="137"/>
      <c r="J4" s="137"/>
      <c r="K4" s="137"/>
      <c r="L4" s="137"/>
      <c r="M4" s="137"/>
      <c r="N4" s="138"/>
      <c r="O4" s="21" t="str">
        <f>IF(C4="","入力してください","")</f>
        <v/>
      </c>
    </row>
    <row r="5" spans="1:15" ht="7.5" customHeight="1" x14ac:dyDescent="0.15">
      <c r="B5" s="6"/>
      <c r="C5" s="6"/>
      <c r="D5" s="6"/>
      <c r="E5" s="7"/>
      <c r="F5" s="23"/>
      <c r="G5" s="23"/>
      <c r="H5" s="23"/>
      <c r="I5" s="23"/>
      <c r="J5" s="23"/>
      <c r="K5" s="23"/>
      <c r="L5" s="23"/>
      <c r="M5" s="23"/>
      <c r="N5" s="23"/>
    </row>
    <row r="6" spans="1:15" ht="24" customHeight="1" x14ac:dyDescent="0.15">
      <c r="A6" s="5" t="s">
        <v>47</v>
      </c>
      <c r="B6" s="6" t="s">
        <v>48</v>
      </c>
      <c r="C6" s="6"/>
      <c r="D6" s="136" t="s">
        <v>257</v>
      </c>
      <c r="E6" s="137"/>
      <c r="F6" s="137"/>
      <c r="G6" s="137"/>
      <c r="H6" s="138"/>
      <c r="I6" s="8" t="s">
        <v>83</v>
      </c>
      <c r="J6" s="23" t="s">
        <v>84</v>
      </c>
      <c r="K6" s="136" t="s">
        <v>255</v>
      </c>
      <c r="L6" s="137"/>
      <c r="M6" s="137"/>
      <c r="N6" s="138"/>
      <c r="O6" s="21" t="str">
        <f>IF(D6="","入力してください","")</f>
        <v/>
      </c>
    </row>
    <row r="7" spans="1:15" ht="7.5" customHeight="1" x14ac:dyDescent="0.15">
      <c r="B7" s="6"/>
      <c r="C7" s="6"/>
      <c r="D7" s="6"/>
      <c r="E7" s="7"/>
      <c r="F7" s="23"/>
      <c r="G7" s="23"/>
      <c r="H7" s="23"/>
      <c r="I7" s="23"/>
      <c r="J7" s="23"/>
      <c r="K7" s="23"/>
      <c r="L7" s="23"/>
      <c r="M7" s="23"/>
      <c r="N7" s="23"/>
    </row>
    <row r="8" spans="1:15" ht="24" customHeight="1" x14ac:dyDescent="0.15">
      <c r="A8" s="5" t="s">
        <v>13</v>
      </c>
      <c r="B8" s="6" t="s">
        <v>44</v>
      </c>
      <c r="C8" s="136" t="s">
        <v>256</v>
      </c>
      <c r="D8" s="137"/>
      <c r="E8" s="137"/>
      <c r="F8" s="137"/>
      <c r="G8" s="137"/>
      <c r="H8" s="137"/>
      <c r="I8" s="137"/>
      <c r="J8" s="137"/>
      <c r="K8" s="137"/>
      <c r="L8" s="137"/>
      <c r="M8" s="137"/>
      <c r="N8" s="138"/>
      <c r="O8" s="21" t="str">
        <f>IF(C8="","入力してください","")</f>
        <v/>
      </c>
    </row>
    <row r="9" spans="1:15" ht="7.5" customHeight="1" x14ac:dyDescent="0.15">
      <c r="B9" s="6"/>
      <c r="C9" s="6"/>
      <c r="D9" s="6"/>
      <c r="E9" s="7"/>
      <c r="F9" s="23"/>
      <c r="G9" s="23"/>
      <c r="H9" s="23"/>
      <c r="I9" s="23"/>
      <c r="J9" s="23"/>
      <c r="K9" s="23"/>
      <c r="L9" s="23"/>
      <c r="M9" s="23"/>
      <c r="N9" s="23"/>
    </row>
    <row r="10" spans="1:15" ht="24" customHeight="1" x14ac:dyDescent="0.15">
      <c r="A10" s="5" t="s">
        <v>11</v>
      </c>
      <c r="B10" s="6" t="s">
        <v>82</v>
      </c>
      <c r="C10" s="6"/>
      <c r="D10" s="6"/>
      <c r="E10" s="136" t="s">
        <v>143</v>
      </c>
      <c r="F10" s="137"/>
      <c r="G10" s="137"/>
      <c r="H10" s="137"/>
      <c r="I10" s="137"/>
      <c r="J10" s="137"/>
      <c r="K10" s="137"/>
      <c r="L10" s="137"/>
      <c r="M10" s="137"/>
      <c r="N10" s="138"/>
      <c r="O10" s="21" t="str">
        <f>IF(E10="","入力してください","")</f>
        <v/>
      </c>
    </row>
    <row r="11" spans="1:15" ht="7.5" customHeight="1" x14ac:dyDescent="0.15">
      <c r="B11" s="7"/>
      <c r="C11" s="7"/>
      <c r="D11" s="7"/>
      <c r="E11" s="7"/>
      <c r="F11" s="23"/>
      <c r="G11" s="23"/>
      <c r="H11" s="23"/>
      <c r="I11" s="23"/>
      <c r="J11" s="23"/>
      <c r="K11" s="23"/>
      <c r="L11" s="23"/>
      <c r="M11" s="23"/>
      <c r="N11" s="23"/>
    </row>
    <row r="12" spans="1:15" ht="24" customHeight="1" x14ac:dyDescent="0.15">
      <c r="A12" s="5" t="s">
        <v>57</v>
      </c>
      <c r="B12" s="7" t="s">
        <v>58</v>
      </c>
      <c r="C12" s="7"/>
      <c r="D12" s="7"/>
      <c r="E12" s="151" t="s">
        <v>269</v>
      </c>
      <c r="F12" s="152"/>
      <c r="G12" s="8" t="s">
        <v>92</v>
      </c>
      <c r="H12" s="5" t="s">
        <v>93</v>
      </c>
      <c r="N12" s="40" t="s">
        <v>144</v>
      </c>
      <c r="O12" s="21" t="str">
        <f>IF(E12="","入力してください","")</f>
        <v/>
      </c>
    </row>
    <row r="13" spans="1:15" ht="7.5" customHeight="1" x14ac:dyDescent="0.15">
      <c r="B13" s="7"/>
      <c r="C13" s="7"/>
      <c r="D13" s="7"/>
      <c r="E13" s="7"/>
      <c r="F13" s="23"/>
      <c r="G13" s="23"/>
      <c r="H13" s="23"/>
      <c r="I13" s="23"/>
      <c r="J13" s="23"/>
      <c r="K13" s="23"/>
      <c r="L13" s="23"/>
      <c r="M13" s="23"/>
      <c r="N13" s="23"/>
    </row>
    <row r="14" spans="1:15" ht="24" customHeight="1" x14ac:dyDescent="0.15">
      <c r="A14" s="5" t="s">
        <v>52</v>
      </c>
      <c r="B14" s="5" t="s">
        <v>0</v>
      </c>
      <c r="C14" s="147" t="s">
        <v>5</v>
      </c>
      <c r="D14" s="148"/>
      <c r="E14" s="139">
        <v>788</v>
      </c>
      <c r="F14" s="140"/>
      <c r="G14" s="9" t="s">
        <v>7</v>
      </c>
      <c r="I14" s="147" t="s">
        <v>8</v>
      </c>
      <c r="J14" s="148"/>
      <c r="K14" s="139">
        <v>409</v>
      </c>
      <c r="L14" s="149"/>
      <c r="M14" s="140"/>
      <c r="N14" s="10" t="s">
        <v>7</v>
      </c>
      <c r="O14" s="21" t="str">
        <f>IF(OR(E14="",K14=""),"入力してください","")</f>
        <v/>
      </c>
    </row>
    <row r="15" spans="1:15" ht="7.5" customHeight="1" x14ac:dyDescent="0.15">
      <c r="F15" s="11"/>
      <c r="G15" s="11"/>
      <c r="H15" s="11"/>
      <c r="I15" s="11"/>
      <c r="J15" s="11"/>
      <c r="K15" s="11"/>
      <c r="L15" s="11"/>
      <c r="M15" s="10"/>
      <c r="N15" s="10"/>
    </row>
    <row r="16" spans="1:15" ht="24" customHeight="1" x14ac:dyDescent="0.15">
      <c r="A16" s="5" t="s">
        <v>59</v>
      </c>
      <c r="B16" s="28" t="s">
        <v>279</v>
      </c>
      <c r="C16" s="28"/>
      <c r="D16" s="28"/>
      <c r="E16" s="28"/>
      <c r="F16" s="50"/>
      <c r="G16" s="50"/>
      <c r="H16" s="50"/>
      <c r="I16" s="50"/>
      <c r="J16" s="50"/>
      <c r="K16" s="153">
        <v>9</v>
      </c>
      <c r="L16" s="154"/>
      <c r="M16" s="155"/>
      <c r="N16" s="10" t="s">
        <v>50</v>
      </c>
      <c r="O16" s="21" t="str">
        <f>IF(K16="","入力してください","")</f>
        <v/>
      </c>
    </row>
    <row r="17" spans="1:15" ht="7.5" customHeight="1" x14ac:dyDescent="0.15">
      <c r="F17" s="11"/>
      <c r="G17" s="11"/>
      <c r="H17" s="11"/>
      <c r="I17" s="11"/>
      <c r="J17" s="11"/>
      <c r="K17" s="11"/>
      <c r="L17" s="11"/>
      <c r="M17" s="10"/>
      <c r="N17" s="10"/>
    </row>
    <row r="18" spans="1:15" ht="24" customHeight="1" x14ac:dyDescent="0.15">
      <c r="A18" s="5" t="s">
        <v>24</v>
      </c>
      <c r="B18" s="5" t="s">
        <v>74</v>
      </c>
      <c r="E18" s="139">
        <v>1663</v>
      </c>
      <c r="F18" s="140"/>
      <c r="G18" s="12" t="s">
        <v>21</v>
      </c>
      <c r="H18" s="11"/>
      <c r="K18" s="159"/>
      <c r="L18" s="159"/>
      <c r="M18" s="159"/>
      <c r="N18" s="159"/>
      <c r="O18" s="21" t="str">
        <f>IF(E18="","入力してください","")</f>
        <v/>
      </c>
    </row>
    <row r="19" spans="1:15" ht="7.5" customHeight="1" x14ac:dyDescent="0.15">
      <c r="E19" s="1"/>
      <c r="F19" s="11"/>
      <c r="G19" s="11"/>
      <c r="L19" s="22"/>
      <c r="M19" s="22"/>
      <c r="N19" s="13"/>
    </row>
    <row r="20" spans="1:15" ht="24" customHeight="1" x14ac:dyDescent="0.15">
      <c r="A20" s="5" t="s">
        <v>73</v>
      </c>
      <c r="B20" s="5" t="s">
        <v>75</v>
      </c>
      <c r="E20" s="1"/>
      <c r="F20" s="11"/>
      <c r="G20" s="11"/>
      <c r="H20" s="5" t="s">
        <v>51</v>
      </c>
      <c r="J20" s="156">
        <v>7398</v>
      </c>
      <c r="K20" s="157"/>
      <c r="L20" s="158"/>
      <c r="M20" s="22" t="s">
        <v>50</v>
      </c>
      <c r="N20" s="13"/>
      <c r="O20" s="21" t="str">
        <f>IF(J20="","入力してください","")</f>
        <v/>
      </c>
    </row>
    <row r="21" spans="1:15" ht="7.5" customHeight="1" x14ac:dyDescent="0.15">
      <c r="E21" s="1"/>
      <c r="F21" s="11"/>
      <c r="G21" s="11"/>
      <c r="L21" s="22"/>
      <c r="M21" s="22"/>
      <c r="N21" s="13"/>
    </row>
    <row r="22" spans="1:15" ht="24" customHeight="1" x14ac:dyDescent="0.15">
      <c r="B22" s="19" t="s">
        <v>17</v>
      </c>
      <c r="C22" s="139">
        <v>1690</v>
      </c>
      <c r="D22" s="140"/>
      <c r="E22" s="1" t="s">
        <v>22</v>
      </c>
      <c r="F22" s="11"/>
      <c r="G22" s="135" t="s">
        <v>18</v>
      </c>
      <c r="H22" s="135"/>
      <c r="I22" s="139">
        <v>1690</v>
      </c>
      <c r="J22" s="140"/>
      <c r="K22" s="8" t="s">
        <v>22</v>
      </c>
      <c r="M22" s="22"/>
      <c r="N22" s="13"/>
    </row>
    <row r="23" spans="1:15" ht="7.5" customHeight="1" x14ac:dyDescent="0.15">
      <c r="B23" s="19"/>
      <c r="C23" s="2"/>
      <c r="D23" s="2"/>
      <c r="E23" s="1"/>
      <c r="F23" s="11"/>
      <c r="G23" s="22"/>
      <c r="H23" s="22"/>
      <c r="I23" s="2"/>
      <c r="J23" s="2"/>
      <c r="K23" s="8"/>
      <c r="M23" s="22"/>
      <c r="N23" s="13"/>
    </row>
    <row r="24" spans="1:15" ht="24" customHeight="1" x14ac:dyDescent="0.15">
      <c r="B24" s="19" t="s">
        <v>19</v>
      </c>
      <c r="C24" s="139">
        <v>1755</v>
      </c>
      <c r="D24" s="140"/>
      <c r="E24" s="1" t="s">
        <v>22</v>
      </c>
      <c r="F24" s="11"/>
      <c r="G24" s="135" t="s">
        <v>20</v>
      </c>
      <c r="H24" s="135"/>
      <c r="I24" s="139">
        <v>1991</v>
      </c>
      <c r="J24" s="140"/>
      <c r="K24" s="8" t="s">
        <v>22</v>
      </c>
      <c r="M24" s="22"/>
      <c r="N24" s="13"/>
    </row>
    <row r="25" spans="1:15" ht="7.5" customHeight="1" x14ac:dyDescent="0.15">
      <c r="B25" s="19"/>
      <c r="C25" s="2"/>
      <c r="D25" s="2"/>
      <c r="E25" s="1"/>
      <c r="F25" s="11"/>
      <c r="G25" s="22"/>
      <c r="H25" s="22"/>
      <c r="I25" s="2"/>
      <c r="J25" s="2"/>
      <c r="K25" s="8"/>
      <c r="M25" s="22"/>
      <c r="N25" s="13"/>
    </row>
    <row r="26" spans="1:15" ht="24" customHeight="1" x14ac:dyDescent="0.15">
      <c r="B26" s="19" t="s">
        <v>45</v>
      </c>
      <c r="C26" s="139">
        <v>125</v>
      </c>
      <c r="D26" s="140"/>
      <c r="E26" s="1" t="s">
        <v>7</v>
      </c>
      <c r="F26" s="11"/>
      <c r="G26" s="135" t="s">
        <v>46</v>
      </c>
      <c r="H26" s="135"/>
      <c r="I26" s="139">
        <v>147</v>
      </c>
      <c r="J26" s="140"/>
      <c r="K26" s="8" t="s">
        <v>7</v>
      </c>
      <c r="M26" s="22"/>
      <c r="N26" s="13"/>
    </row>
    <row r="27" spans="1:15" ht="7.5" customHeight="1" x14ac:dyDescent="0.15">
      <c r="F27" s="11"/>
      <c r="G27" s="11"/>
      <c r="M27" s="14"/>
      <c r="N27" s="14"/>
    </row>
    <row r="28" spans="1:15" ht="24" customHeight="1" x14ac:dyDescent="0.15">
      <c r="A28" s="5" t="s">
        <v>49</v>
      </c>
      <c r="B28" s="6" t="s">
        <v>72</v>
      </c>
      <c r="C28" s="6"/>
      <c r="D28" s="6"/>
      <c r="E28" s="6"/>
      <c r="F28" s="8"/>
      <c r="G28" s="23"/>
      <c r="H28" s="23"/>
      <c r="I28" s="23"/>
      <c r="J28" s="15"/>
      <c r="K28" s="15"/>
      <c r="L28" s="15"/>
      <c r="M28" s="15"/>
      <c r="N28" s="15"/>
    </row>
    <row r="29" spans="1:15" s="5" customFormat="1" ht="24" customHeight="1" x14ac:dyDescent="0.15">
      <c r="B29" s="143" t="s">
        <v>71</v>
      </c>
      <c r="C29" s="143"/>
      <c r="D29" s="136" t="s">
        <v>145</v>
      </c>
      <c r="E29" s="137"/>
      <c r="F29" s="137"/>
      <c r="G29" s="144" t="s">
        <v>23</v>
      </c>
      <c r="H29" s="143"/>
      <c r="I29" s="145"/>
      <c r="J29" s="136" t="s">
        <v>259</v>
      </c>
      <c r="K29" s="137"/>
      <c r="L29" s="137"/>
      <c r="M29" s="137"/>
      <c r="N29" s="138"/>
      <c r="O29" s="21" t="str">
        <f>IF(OR(D29="",J29=""),"入力してください","")</f>
        <v/>
      </c>
    </row>
    <row r="30" spans="1:15" ht="7.5" customHeight="1" x14ac:dyDescent="0.15">
      <c r="F30" s="11"/>
      <c r="G30" s="11"/>
      <c r="M30" s="14"/>
      <c r="N30" s="14"/>
    </row>
    <row r="31" spans="1:15" ht="24" customHeight="1" x14ac:dyDescent="0.15">
      <c r="A31" s="5" t="s">
        <v>53</v>
      </c>
      <c r="B31" s="6" t="s">
        <v>77</v>
      </c>
      <c r="C31" s="6"/>
      <c r="D31" s="6"/>
      <c r="E31" s="6"/>
      <c r="F31" s="8"/>
      <c r="G31" s="15"/>
      <c r="H31" s="15"/>
      <c r="I31" s="15"/>
      <c r="J31" s="15"/>
      <c r="K31" s="15"/>
      <c r="L31" s="15"/>
      <c r="M31" s="15"/>
      <c r="N31" s="15"/>
    </row>
    <row r="32" spans="1:15" ht="24" customHeight="1" x14ac:dyDescent="0.15">
      <c r="B32" s="136" t="s">
        <v>270</v>
      </c>
      <c r="C32" s="137"/>
      <c r="D32" s="137"/>
      <c r="E32" s="137"/>
      <c r="F32" s="137"/>
      <c r="G32" s="137"/>
      <c r="H32" s="137"/>
      <c r="I32" s="137"/>
      <c r="J32" s="137"/>
      <c r="K32" s="137"/>
      <c r="L32" s="137"/>
      <c r="M32" s="137"/>
      <c r="N32" s="138"/>
      <c r="O32" s="21" t="str">
        <f>IF(B32="","入力してください","")</f>
        <v/>
      </c>
    </row>
    <row r="33" spans="1:15" ht="7.5" customHeight="1" x14ac:dyDescent="0.15">
      <c r="B33" s="3"/>
      <c r="C33" s="3"/>
      <c r="D33" s="3"/>
      <c r="E33" s="3"/>
      <c r="F33" s="3"/>
      <c r="G33" s="3"/>
      <c r="H33" s="3"/>
      <c r="I33" s="3"/>
      <c r="J33" s="3"/>
      <c r="K33" s="3"/>
      <c r="L33" s="3"/>
      <c r="M33" s="3"/>
      <c r="N33" s="3"/>
    </row>
    <row r="34" spans="1:15" s="5" customFormat="1" ht="24" customHeight="1" x14ac:dyDescent="0.15">
      <c r="B34" s="143" t="s">
        <v>71</v>
      </c>
      <c r="C34" s="143"/>
      <c r="D34" s="136" t="s">
        <v>272</v>
      </c>
      <c r="E34" s="137"/>
      <c r="F34" s="137"/>
      <c r="G34" s="144" t="s">
        <v>54</v>
      </c>
      <c r="H34" s="143"/>
      <c r="I34" s="145"/>
      <c r="J34" s="136" t="s">
        <v>273</v>
      </c>
      <c r="K34" s="137"/>
      <c r="L34" s="137"/>
      <c r="M34" s="137"/>
      <c r="N34" s="138"/>
      <c r="O34" s="21" t="str">
        <f>IF(OR(D34="",J34=""),"入力してください","")</f>
        <v/>
      </c>
    </row>
    <row r="35" spans="1:15" ht="7.5" customHeight="1" x14ac:dyDescent="0.15">
      <c r="F35" s="23"/>
      <c r="G35" s="23"/>
      <c r="H35" s="23"/>
      <c r="I35" s="23"/>
      <c r="J35" s="23"/>
      <c r="K35" s="23"/>
      <c r="L35" s="23"/>
      <c r="M35" s="23"/>
      <c r="N35" s="23"/>
    </row>
    <row r="36" spans="1:15" ht="24" customHeight="1" x14ac:dyDescent="0.15">
      <c r="A36" s="5" t="s">
        <v>60</v>
      </c>
      <c r="B36" s="5" t="s">
        <v>78</v>
      </c>
      <c r="M36" s="14"/>
      <c r="N36" s="14"/>
    </row>
    <row r="37" spans="1:15" ht="24" customHeight="1" x14ac:dyDescent="0.15">
      <c r="B37" s="136" t="s">
        <v>271</v>
      </c>
      <c r="C37" s="137"/>
      <c r="D37" s="137"/>
      <c r="E37" s="137"/>
      <c r="F37" s="137"/>
      <c r="G37" s="137"/>
      <c r="H37" s="137"/>
      <c r="I37" s="137"/>
      <c r="J37" s="137"/>
      <c r="K37" s="137"/>
      <c r="L37" s="137"/>
      <c r="M37" s="137"/>
      <c r="N37" s="138"/>
      <c r="O37" s="21" t="str">
        <f>IF(B37="","入力してください","")</f>
        <v/>
      </c>
    </row>
    <row r="38" spans="1:15" ht="7.5" customHeight="1" x14ac:dyDescent="0.15">
      <c r="F38" s="23"/>
      <c r="G38" s="23"/>
      <c r="H38" s="23"/>
      <c r="I38" s="23"/>
      <c r="J38" s="23"/>
      <c r="K38" s="23"/>
      <c r="L38" s="23"/>
      <c r="M38" s="23"/>
      <c r="N38" s="23"/>
    </row>
    <row r="39" spans="1:15" s="5" customFormat="1" ht="24" customHeight="1" x14ac:dyDescent="0.15">
      <c r="B39" s="143" t="s">
        <v>71</v>
      </c>
      <c r="C39" s="143"/>
      <c r="D39" s="136" t="s">
        <v>145</v>
      </c>
      <c r="E39" s="137"/>
      <c r="F39" s="137"/>
      <c r="G39" s="144" t="s">
        <v>54</v>
      </c>
      <c r="H39" s="143"/>
      <c r="I39" s="145"/>
      <c r="J39" s="136" t="s">
        <v>274</v>
      </c>
      <c r="K39" s="137"/>
      <c r="L39" s="137"/>
      <c r="M39" s="137"/>
      <c r="N39" s="138"/>
      <c r="O39" s="21" t="str">
        <f>IF(OR(D39="",J39=""),"入力してください","")</f>
        <v/>
      </c>
    </row>
    <row r="40" spans="1:15" ht="7.5" customHeight="1" x14ac:dyDescent="0.15">
      <c r="F40" s="23"/>
      <c r="G40" s="23"/>
      <c r="H40" s="23"/>
      <c r="I40" s="23"/>
      <c r="J40" s="23"/>
      <c r="K40" s="23"/>
      <c r="L40" s="23"/>
      <c r="M40" s="23"/>
      <c r="N40" s="23"/>
    </row>
    <row r="41" spans="1:15" ht="24" customHeight="1" x14ac:dyDescent="0.15">
      <c r="A41" s="5" t="s">
        <v>85</v>
      </c>
      <c r="B41" s="28" t="s">
        <v>67</v>
      </c>
      <c r="E41" s="29"/>
      <c r="F41" s="136" t="s">
        <v>146</v>
      </c>
      <c r="G41" s="137"/>
      <c r="H41" s="137"/>
      <c r="I41" s="137"/>
      <c r="J41" s="137"/>
      <c r="K41" s="137"/>
      <c r="L41" s="137"/>
      <c r="M41" s="137"/>
      <c r="N41" s="138"/>
      <c r="O41" s="21" t="str">
        <f>IF(F41="","入力してください","")</f>
        <v/>
      </c>
    </row>
    <row r="42" spans="1:15" ht="7.5" customHeight="1" x14ac:dyDescent="0.15">
      <c r="F42" s="23"/>
      <c r="G42" s="23"/>
      <c r="H42" s="23"/>
      <c r="I42" s="23"/>
      <c r="J42" s="23"/>
      <c r="K42" s="23"/>
      <c r="L42" s="23"/>
      <c r="M42" s="23"/>
      <c r="N42" s="23"/>
    </row>
    <row r="43" spans="1:15" ht="24" customHeight="1" x14ac:dyDescent="0.15">
      <c r="A43" s="5" t="s">
        <v>94</v>
      </c>
    </row>
    <row r="44" spans="1:15" ht="24" customHeight="1" x14ac:dyDescent="0.15">
      <c r="B44" s="20" t="s">
        <v>1</v>
      </c>
      <c r="C44" s="141" t="s">
        <v>266</v>
      </c>
      <c r="D44" s="142"/>
      <c r="E44" s="142"/>
      <c r="F44" s="142"/>
      <c r="G44" s="142"/>
      <c r="H44" s="142"/>
      <c r="I44" s="17" t="s">
        <v>2</v>
      </c>
      <c r="J44" s="18"/>
      <c r="K44" s="136" t="s">
        <v>282</v>
      </c>
      <c r="L44" s="137"/>
      <c r="M44" s="137"/>
      <c r="N44" s="138"/>
      <c r="O44" s="21" t="str">
        <f>IF(OR(C44="",K44=""),"入力してください","")</f>
        <v/>
      </c>
    </row>
    <row r="45" spans="1:15" ht="24" customHeight="1" x14ac:dyDescent="0.15">
      <c r="B45" s="16" t="s">
        <v>4</v>
      </c>
      <c r="C45" s="129" t="s">
        <v>258</v>
      </c>
      <c r="D45" s="130"/>
      <c r="E45" s="130"/>
      <c r="F45" s="130"/>
      <c r="G45" s="130"/>
      <c r="H45" s="131"/>
      <c r="I45" s="17" t="s">
        <v>3</v>
      </c>
      <c r="J45" s="18"/>
      <c r="K45" s="132" t="s">
        <v>283</v>
      </c>
      <c r="L45" s="133"/>
      <c r="M45" s="133"/>
      <c r="N45" s="134"/>
      <c r="O45" s="21" t="str">
        <f>IF(OR(C45="",K45=""),"入力してください","")</f>
        <v/>
      </c>
    </row>
    <row r="111" spans="2:6" ht="18.75" customHeight="1" x14ac:dyDescent="0.15">
      <c r="B111" s="49"/>
      <c r="C111" s="49"/>
      <c r="D111" s="49"/>
      <c r="E111" s="49"/>
      <c r="F111" s="49"/>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B73258F0-F2C4-4BEC-AEF5-722824D48448}"/>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8688F-3968-4B86-A212-87EA6029472A}">
  <dimension ref="A1:Z136"/>
  <sheetViews>
    <sheetView showZeros="0" view="pageBreakPreview" zoomScale="85" zoomScaleNormal="100" zoomScaleSheetLayoutView="85" workbookViewId="0">
      <selection activeCell="G60" sqref="G60"/>
    </sheetView>
  </sheetViews>
  <sheetFormatPr defaultColWidth="9" defaultRowHeight="18.75" customHeight="1" x14ac:dyDescent="0.15"/>
  <cols>
    <col min="1" max="1" width="2.5" style="58" customWidth="1"/>
    <col min="2" max="2" width="27.625" style="58" customWidth="1"/>
    <col min="3" max="13" width="3.375" style="58" customWidth="1"/>
    <col min="14" max="14" width="8.875" style="58" customWidth="1"/>
    <col min="15" max="15" width="18.875" style="58" customWidth="1"/>
    <col min="16" max="19" width="3.375" style="58" customWidth="1"/>
    <col min="20" max="20" width="3.5" style="58" customWidth="1"/>
    <col min="21" max="26" width="3.375" style="58" customWidth="1"/>
    <col min="27" max="16384" width="9" style="58"/>
  </cols>
  <sheetData>
    <row r="1" spans="1:26" ht="15" customHeight="1" x14ac:dyDescent="0.15">
      <c r="W1" s="181" t="s">
        <v>254</v>
      </c>
      <c r="X1" s="181"/>
      <c r="Y1" s="181"/>
      <c r="Z1" s="181"/>
    </row>
    <row r="2" spans="1:26" ht="18" customHeight="1" x14ac:dyDescent="0.15">
      <c r="A2" s="182" t="s">
        <v>65</v>
      </c>
      <c r="B2" s="182"/>
      <c r="C2" s="182"/>
      <c r="D2" s="182"/>
      <c r="E2" s="182"/>
      <c r="F2" s="182"/>
      <c r="G2" s="182"/>
      <c r="H2" s="182"/>
      <c r="I2" s="182"/>
      <c r="J2" s="182"/>
      <c r="K2" s="182"/>
      <c r="L2" s="182"/>
      <c r="M2" s="182"/>
      <c r="N2" s="182"/>
      <c r="O2" s="182"/>
      <c r="P2" s="182"/>
      <c r="Q2" s="182"/>
      <c r="R2" s="182"/>
      <c r="S2" s="182"/>
      <c r="T2" s="182"/>
      <c r="U2" s="182"/>
      <c r="V2" s="182"/>
      <c r="W2" s="182"/>
      <c r="X2" s="182"/>
      <c r="Y2" s="182"/>
      <c r="Z2" s="182"/>
    </row>
    <row r="3" spans="1:26" ht="15" customHeight="1" x14ac:dyDescent="0.15">
      <c r="B3" s="59"/>
      <c r="C3" s="59"/>
      <c r="D3" s="59"/>
      <c r="E3" s="59"/>
      <c r="F3" s="59"/>
      <c r="G3" s="59"/>
      <c r="H3" s="59"/>
      <c r="I3" s="59"/>
      <c r="J3" s="59"/>
      <c r="K3" s="59"/>
      <c r="L3" s="59"/>
      <c r="M3" s="59"/>
      <c r="N3" s="59"/>
      <c r="O3" s="59"/>
      <c r="P3" s="59"/>
      <c r="Q3" s="59"/>
      <c r="R3" s="59"/>
      <c r="S3" s="59"/>
      <c r="T3" s="59"/>
      <c r="U3" s="59"/>
      <c r="V3" s="59"/>
      <c r="W3" s="59"/>
      <c r="X3" s="59"/>
      <c r="Y3" s="59"/>
      <c r="Z3" s="59"/>
    </row>
    <row r="4" spans="1:26" ht="18" customHeight="1" x14ac:dyDescent="0.15">
      <c r="A4" s="58" t="s">
        <v>95</v>
      </c>
      <c r="B4" s="59"/>
      <c r="C4" s="59"/>
      <c r="D4" s="59"/>
      <c r="E4" s="59"/>
      <c r="F4" s="59"/>
      <c r="G4" s="59"/>
      <c r="H4" s="60" t="s">
        <v>108</v>
      </c>
      <c r="I4" s="59"/>
      <c r="J4" s="59"/>
      <c r="K4" s="59"/>
      <c r="L4" s="59"/>
      <c r="M4" s="59"/>
      <c r="N4" s="59"/>
      <c r="O4" s="153" t="s">
        <v>148</v>
      </c>
      <c r="P4" s="154"/>
      <c r="Q4" s="154"/>
      <c r="R4" s="154"/>
      <c r="S4" s="154"/>
      <c r="T4" s="154"/>
      <c r="U4" s="154"/>
      <c r="V4" s="154"/>
      <c r="W4" s="154"/>
      <c r="X4" s="154"/>
      <c r="Y4" s="154"/>
      <c r="Z4" s="155"/>
    </row>
    <row r="5" spans="1:26" ht="6" customHeight="1" x14ac:dyDescent="0.15">
      <c r="B5" s="59"/>
      <c r="C5" s="59"/>
      <c r="D5" s="59"/>
      <c r="E5" s="59"/>
      <c r="F5" s="59"/>
      <c r="G5" s="59"/>
      <c r="H5" s="59"/>
      <c r="I5" s="59"/>
      <c r="J5" s="59"/>
      <c r="K5" s="59"/>
      <c r="L5" s="59"/>
      <c r="M5" s="59"/>
      <c r="N5" s="59"/>
      <c r="O5" s="61"/>
      <c r="P5" s="59"/>
      <c r="Q5" s="59"/>
      <c r="R5" s="59"/>
      <c r="S5" s="59"/>
      <c r="T5" s="59"/>
      <c r="U5" s="59"/>
      <c r="V5" s="59"/>
      <c r="W5" s="59"/>
      <c r="X5" s="59"/>
      <c r="Y5" s="59"/>
      <c r="Z5" s="59"/>
    </row>
    <row r="6" spans="1:26" ht="18" customHeight="1" x14ac:dyDescent="0.15">
      <c r="B6" s="183" t="s">
        <v>275</v>
      </c>
      <c r="C6" s="184"/>
      <c r="D6" s="184"/>
      <c r="E6" s="184"/>
      <c r="F6" s="184"/>
      <c r="G6" s="184"/>
      <c r="H6" s="184"/>
      <c r="I6" s="184"/>
      <c r="J6" s="184"/>
      <c r="K6" s="184"/>
      <c r="L6" s="184"/>
      <c r="M6" s="184"/>
      <c r="N6" s="184"/>
      <c r="O6" s="184"/>
      <c r="P6" s="184"/>
      <c r="Q6" s="184"/>
      <c r="R6" s="184"/>
      <c r="S6" s="184"/>
      <c r="T6" s="184"/>
      <c r="U6" s="184"/>
      <c r="V6" s="184"/>
      <c r="W6" s="184"/>
      <c r="X6" s="184"/>
      <c r="Y6" s="184"/>
      <c r="Z6" s="185"/>
    </row>
    <row r="7" spans="1:26" ht="18" customHeight="1" x14ac:dyDescent="0.15">
      <c r="B7" s="186"/>
      <c r="C7" s="187"/>
      <c r="D7" s="187"/>
      <c r="E7" s="187"/>
      <c r="F7" s="187"/>
      <c r="G7" s="187"/>
      <c r="H7" s="187"/>
      <c r="I7" s="187"/>
      <c r="J7" s="187"/>
      <c r="K7" s="187"/>
      <c r="L7" s="187"/>
      <c r="M7" s="187"/>
      <c r="N7" s="187"/>
      <c r="O7" s="187"/>
      <c r="P7" s="187"/>
      <c r="Q7" s="187"/>
      <c r="R7" s="187"/>
      <c r="S7" s="187"/>
      <c r="T7" s="187"/>
      <c r="U7" s="187"/>
      <c r="V7" s="187"/>
      <c r="W7" s="187"/>
      <c r="X7" s="187"/>
      <c r="Y7" s="187"/>
      <c r="Z7" s="188"/>
    </row>
    <row r="8" spans="1:26" ht="18" customHeight="1" x14ac:dyDescent="0.15">
      <c r="B8" s="186"/>
      <c r="C8" s="187"/>
      <c r="D8" s="187"/>
      <c r="E8" s="187"/>
      <c r="F8" s="187"/>
      <c r="G8" s="187"/>
      <c r="H8" s="187"/>
      <c r="I8" s="187"/>
      <c r="J8" s="187"/>
      <c r="K8" s="187"/>
      <c r="L8" s="187"/>
      <c r="M8" s="187"/>
      <c r="N8" s="187"/>
      <c r="O8" s="187"/>
      <c r="P8" s="187"/>
      <c r="Q8" s="187"/>
      <c r="R8" s="187"/>
      <c r="S8" s="187"/>
      <c r="T8" s="187"/>
      <c r="U8" s="187"/>
      <c r="V8" s="187"/>
      <c r="W8" s="187"/>
      <c r="X8" s="187"/>
      <c r="Y8" s="187"/>
      <c r="Z8" s="188"/>
    </row>
    <row r="9" spans="1:26" ht="18" customHeight="1" x14ac:dyDescent="0.15">
      <c r="B9" s="186"/>
      <c r="C9" s="187"/>
      <c r="D9" s="187"/>
      <c r="E9" s="187"/>
      <c r="F9" s="187"/>
      <c r="G9" s="187"/>
      <c r="H9" s="187"/>
      <c r="I9" s="187"/>
      <c r="J9" s="187"/>
      <c r="K9" s="187"/>
      <c r="L9" s="187"/>
      <c r="M9" s="187"/>
      <c r="N9" s="187"/>
      <c r="O9" s="187"/>
      <c r="P9" s="187"/>
      <c r="Q9" s="187"/>
      <c r="R9" s="187"/>
      <c r="S9" s="187"/>
      <c r="T9" s="187"/>
      <c r="U9" s="187"/>
      <c r="V9" s="187"/>
      <c r="W9" s="187"/>
      <c r="X9" s="187"/>
      <c r="Y9" s="187"/>
      <c r="Z9" s="188"/>
    </row>
    <row r="10" spans="1:26" ht="18" customHeight="1" x14ac:dyDescent="0.15">
      <c r="B10" s="186"/>
      <c r="C10" s="189"/>
      <c r="D10" s="189"/>
      <c r="E10" s="189"/>
      <c r="F10" s="189"/>
      <c r="G10" s="189"/>
      <c r="H10" s="189"/>
      <c r="I10" s="189"/>
      <c r="J10" s="189"/>
      <c r="K10" s="189"/>
      <c r="L10" s="189"/>
      <c r="M10" s="189"/>
      <c r="N10" s="189"/>
      <c r="O10" s="189"/>
      <c r="P10" s="189"/>
      <c r="Q10" s="189"/>
      <c r="R10" s="189"/>
      <c r="S10" s="189"/>
      <c r="T10" s="189"/>
      <c r="U10" s="189"/>
      <c r="V10" s="189"/>
      <c r="W10" s="189"/>
      <c r="X10" s="189"/>
      <c r="Y10" s="189"/>
      <c r="Z10" s="188"/>
    </row>
    <row r="11" spans="1:26" ht="18" customHeight="1" x14ac:dyDescent="0.15">
      <c r="B11" s="190"/>
      <c r="C11" s="191"/>
      <c r="D11" s="191"/>
      <c r="E11" s="191"/>
      <c r="F11" s="191"/>
      <c r="G11" s="191"/>
      <c r="H11" s="191"/>
      <c r="I11" s="191"/>
      <c r="J11" s="191"/>
      <c r="K11" s="191"/>
      <c r="L11" s="191"/>
      <c r="M11" s="191"/>
      <c r="N11" s="191"/>
      <c r="O11" s="191"/>
      <c r="P11" s="191"/>
      <c r="Q11" s="191"/>
      <c r="R11" s="191"/>
      <c r="S11" s="191"/>
      <c r="T11" s="191"/>
      <c r="U11" s="191"/>
      <c r="V11" s="191"/>
      <c r="W11" s="191"/>
      <c r="X11" s="191"/>
      <c r="Y11" s="191"/>
      <c r="Z11" s="192"/>
    </row>
    <row r="12" spans="1:26" ht="7.5" customHeight="1" x14ac:dyDescent="0.15">
      <c r="B12" s="59"/>
      <c r="C12" s="59"/>
      <c r="D12" s="59"/>
      <c r="E12" s="59"/>
      <c r="F12" s="59"/>
      <c r="G12" s="59"/>
      <c r="H12" s="59"/>
      <c r="I12" s="59"/>
      <c r="J12" s="59"/>
      <c r="K12" s="59"/>
      <c r="L12" s="59"/>
      <c r="M12" s="59"/>
      <c r="N12" s="59"/>
      <c r="O12" s="59"/>
      <c r="P12" s="59"/>
      <c r="Q12" s="59"/>
      <c r="R12" s="59"/>
      <c r="S12" s="59"/>
      <c r="T12" s="59"/>
      <c r="U12" s="59"/>
      <c r="V12" s="59"/>
      <c r="W12" s="59"/>
      <c r="X12" s="59"/>
      <c r="Y12" s="59"/>
      <c r="Z12" s="59"/>
    </row>
    <row r="13" spans="1:26" ht="18" customHeight="1" x14ac:dyDescent="0.15">
      <c r="A13" s="193" t="s">
        <v>120</v>
      </c>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row>
    <row r="14" spans="1:26" ht="18" customHeight="1" x14ac:dyDescent="0.15">
      <c r="A14" s="193"/>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row>
    <row r="15" spans="1:26" ht="18" customHeight="1" x14ac:dyDescent="0.15">
      <c r="A15" s="28"/>
      <c r="B15" s="153" t="s">
        <v>302</v>
      </c>
      <c r="C15" s="154"/>
      <c r="D15" s="154"/>
      <c r="E15" s="154"/>
      <c r="F15" s="155"/>
      <c r="G15" s="62" t="s">
        <v>136</v>
      </c>
      <c r="H15" s="63" t="s">
        <v>135</v>
      </c>
      <c r="I15" s="154" t="s">
        <v>97</v>
      </c>
      <c r="J15" s="154"/>
      <c r="K15" s="154"/>
      <c r="L15" s="64" t="s">
        <v>100</v>
      </c>
      <c r="M15" s="64" t="s">
        <v>103</v>
      </c>
      <c r="N15" s="153" t="s">
        <v>96</v>
      </c>
      <c r="O15" s="154"/>
      <c r="P15" s="154"/>
      <c r="Q15" s="154"/>
      <c r="R15" s="154"/>
      <c r="S15" s="155"/>
      <c r="T15" s="62" t="s">
        <v>136</v>
      </c>
      <c r="U15" s="63" t="s">
        <v>135</v>
      </c>
      <c r="V15" s="154" t="s">
        <v>97</v>
      </c>
      <c r="W15" s="154"/>
      <c r="X15" s="154"/>
      <c r="Y15" s="64" t="s">
        <v>100</v>
      </c>
      <c r="Z15" s="64" t="s">
        <v>103</v>
      </c>
    </row>
    <row r="16" spans="1:26" ht="18" customHeight="1" x14ac:dyDescent="0.15">
      <c r="A16" s="28"/>
      <c r="B16" s="160" t="s">
        <v>280</v>
      </c>
      <c r="C16" s="161"/>
      <c r="D16" s="161"/>
      <c r="E16" s="161"/>
      <c r="F16" s="162"/>
      <c r="G16" s="47">
        <v>2</v>
      </c>
      <c r="H16" s="47" t="s">
        <v>151</v>
      </c>
      <c r="I16" s="163" t="s">
        <v>152</v>
      </c>
      <c r="J16" s="164"/>
      <c r="K16" s="165"/>
      <c r="L16" s="47" t="s">
        <v>151</v>
      </c>
      <c r="M16" s="47" t="s">
        <v>151</v>
      </c>
      <c r="N16" s="166"/>
      <c r="O16" s="167"/>
      <c r="P16" s="167"/>
      <c r="Q16" s="167"/>
      <c r="R16" s="167"/>
      <c r="S16" s="168"/>
      <c r="T16" s="47"/>
      <c r="U16" s="47"/>
      <c r="V16" s="163"/>
      <c r="W16" s="164"/>
      <c r="X16" s="165"/>
      <c r="Y16" s="47"/>
      <c r="Z16" s="47"/>
    </row>
    <row r="17" spans="1:26" ht="18" customHeight="1" x14ac:dyDescent="0.15">
      <c r="A17" s="28"/>
      <c r="B17" s="169" t="s">
        <v>239</v>
      </c>
      <c r="C17" s="170"/>
      <c r="D17" s="170"/>
      <c r="E17" s="170"/>
      <c r="F17" s="171"/>
      <c r="G17" s="48">
        <v>2</v>
      </c>
      <c r="H17" s="46"/>
      <c r="I17" s="172" t="s">
        <v>301</v>
      </c>
      <c r="J17" s="173"/>
      <c r="K17" s="174"/>
      <c r="L17" s="48" t="s">
        <v>151</v>
      </c>
      <c r="M17" s="48" t="s">
        <v>151</v>
      </c>
      <c r="N17" s="175"/>
      <c r="O17" s="176"/>
      <c r="P17" s="176"/>
      <c r="Q17" s="176"/>
      <c r="R17" s="176"/>
      <c r="S17" s="177"/>
      <c r="T17" s="41"/>
      <c r="U17" s="41"/>
      <c r="V17" s="178"/>
      <c r="W17" s="179"/>
      <c r="X17" s="180"/>
      <c r="Y17" s="41"/>
      <c r="Z17" s="41"/>
    </row>
    <row r="18" spans="1:26" ht="18" customHeight="1" x14ac:dyDescent="0.15">
      <c r="A18" s="28"/>
      <c r="B18" s="169"/>
      <c r="C18" s="170"/>
      <c r="D18" s="170"/>
      <c r="E18" s="170"/>
      <c r="F18" s="171"/>
      <c r="G18" s="41"/>
      <c r="H18" s="41"/>
      <c r="I18" s="178"/>
      <c r="J18" s="179"/>
      <c r="K18" s="180"/>
      <c r="L18" s="41"/>
      <c r="M18" s="41"/>
      <c r="N18" s="175"/>
      <c r="O18" s="176"/>
      <c r="P18" s="176"/>
      <c r="Q18" s="176"/>
      <c r="R18" s="176"/>
      <c r="S18" s="177"/>
      <c r="T18" s="41"/>
      <c r="U18" s="41"/>
      <c r="V18" s="178"/>
      <c r="W18" s="179"/>
      <c r="X18" s="180"/>
      <c r="Y18" s="41"/>
      <c r="Z18" s="41"/>
    </row>
    <row r="19" spans="1:26" ht="18" customHeight="1" x14ac:dyDescent="0.15">
      <c r="A19" s="28"/>
      <c r="B19" s="169"/>
      <c r="C19" s="170"/>
      <c r="D19" s="170"/>
      <c r="E19" s="170"/>
      <c r="F19" s="171"/>
      <c r="G19" s="41"/>
      <c r="H19" s="41"/>
      <c r="I19" s="178"/>
      <c r="J19" s="179"/>
      <c r="K19" s="180"/>
      <c r="L19" s="41"/>
      <c r="M19" s="41"/>
      <c r="N19" s="175"/>
      <c r="O19" s="176"/>
      <c r="P19" s="176"/>
      <c r="Q19" s="176"/>
      <c r="R19" s="176"/>
      <c r="S19" s="177"/>
      <c r="T19" s="41"/>
      <c r="U19" s="41"/>
      <c r="V19" s="178"/>
      <c r="W19" s="179"/>
      <c r="X19" s="180"/>
      <c r="Y19" s="41"/>
      <c r="Z19" s="41"/>
    </row>
    <row r="20" spans="1:26" ht="18" customHeight="1" x14ac:dyDescent="0.15">
      <c r="A20" s="28"/>
      <c r="B20" s="169"/>
      <c r="C20" s="170"/>
      <c r="D20" s="170"/>
      <c r="E20" s="170"/>
      <c r="F20" s="171"/>
      <c r="G20" s="41"/>
      <c r="H20" s="41"/>
      <c r="I20" s="178"/>
      <c r="J20" s="179"/>
      <c r="K20" s="180"/>
      <c r="L20" s="41"/>
      <c r="M20" s="41"/>
      <c r="N20" s="175"/>
      <c r="O20" s="176"/>
      <c r="P20" s="176"/>
      <c r="Q20" s="176"/>
      <c r="R20" s="176"/>
      <c r="S20" s="177"/>
      <c r="T20" s="41"/>
      <c r="U20" s="41"/>
      <c r="V20" s="178"/>
      <c r="W20" s="179"/>
      <c r="X20" s="180"/>
      <c r="Y20" s="41"/>
      <c r="Z20" s="41"/>
    </row>
    <row r="21" spans="1:26" ht="18" customHeight="1" x14ac:dyDescent="0.15">
      <c r="A21" s="59"/>
      <c r="B21" s="169"/>
      <c r="C21" s="170"/>
      <c r="D21" s="170"/>
      <c r="E21" s="170"/>
      <c r="F21" s="171"/>
      <c r="G21" s="41"/>
      <c r="H21" s="41"/>
      <c r="I21" s="178"/>
      <c r="J21" s="179"/>
      <c r="K21" s="180"/>
      <c r="L21" s="41"/>
      <c r="M21" s="41"/>
      <c r="N21" s="175"/>
      <c r="O21" s="176"/>
      <c r="P21" s="176"/>
      <c r="Q21" s="176"/>
      <c r="R21" s="176"/>
      <c r="S21" s="177"/>
      <c r="T21" s="41"/>
      <c r="U21" s="41"/>
      <c r="V21" s="178"/>
      <c r="W21" s="179"/>
      <c r="X21" s="180"/>
      <c r="Y21" s="41"/>
      <c r="Z21" s="41"/>
    </row>
    <row r="22" spans="1:26" ht="18" customHeight="1" x14ac:dyDescent="0.15">
      <c r="A22" s="59"/>
      <c r="B22" s="194" t="s">
        <v>237</v>
      </c>
      <c r="C22" s="195"/>
      <c r="D22" s="195"/>
      <c r="E22" s="195"/>
      <c r="F22" s="196"/>
      <c r="G22" s="42"/>
      <c r="H22" s="42"/>
      <c r="I22" s="197"/>
      <c r="J22" s="198"/>
      <c r="K22" s="199"/>
      <c r="L22" s="43"/>
      <c r="M22" s="43"/>
      <c r="N22" s="200"/>
      <c r="O22" s="201"/>
      <c r="P22" s="201"/>
      <c r="Q22" s="201"/>
      <c r="R22" s="201"/>
      <c r="S22" s="202"/>
      <c r="T22" s="42"/>
      <c r="U22" s="42"/>
      <c r="V22" s="197"/>
      <c r="W22" s="198"/>
      <c r="X22" s="199"/>
      <c r="Y22" s="43"/>
      <c r="Z22" s="43"/>
    </row>
    <row r="23" spans="1:26" ht="7.5" customHeight="1" x14ac:dyDescent="0.15">
      <c r="A23" s="59"/>
      <c r="B23" s="65"/>
      <c r="C23" s="65"/>
      <c r="D23" s="59"/>
      <c r="E23" s="59"/>
      <c r="F23" s="59"/>
      <c r="G23" s="59"/>
      <c r="H23" s="59"/>
      <c r="I23" s="59"/>
      <c r="J23" s="59"/>
      <c r="K23" s="59"/>
      <c r="L23" s="65"/>
      <c r="M23" s="65"/>
      <c r="N23" s="65"/>
      <c r="O23" s="65"/>
      <c r="P23" s="65"/>
      <c r="Q23" s="65"/>
      <c r="R23" s="65"/>
      <c r="S23" s="65"/>
      <c r="T23" s="65"/>
      <c r="U23" s="65"/>
      <c r="V23" s="65"/>
      <c r="W23" s="65"/>
      <c r="X23" s="65"/>
      <c r="Y23" s="65"/>
      <c r="Z23" s="59"/>
    </row>
    <row r="24" spans="1:26" ht="18" customHeight="1" x14ac:dyDescent="0.15">
      <c r="A24" s="193" t="s">
        <v>121</v>
      </c>
      <c r="B24" s="193"/>
      <c r="C24" s="193"/>
      <c r="D24" s="193"/>
      <c r="E24" s="193"/>
      <c r="F24" s="193"/>
      <c r="G24" s="193"/>
      <c r="H24" s="193"/>
      <c r="I24" s="193"/>
      <c r="J24" s="193"/>
      <c r="K24" s="193"/>
      <c r="L24" s="193"/>
      <c r="M24" s="193"/>
      <c r="N24" s="193"/>
      <c r="O24" s="193"/>
      <c r="P24" s="193"/>
      <c r="Q24" s="193"/>
      <c r="R24" s="193"/>
      <c r="S24" s="193"/>
      <c r="T24" s="193"/>
      <c r="U24" s="193"/>
      <c r="V24" s="193"/>
      <c r="W24" s="193"/>
      <c r="X24" s="193"/>
      <c r="Y24" s="193"/>
      <c r="Z24" s="193"/>
    </row>
    <row r="25" spans="1:26" ht="18" customHeight="1" x14ac:dyDescent="0.15">
      <c r="A25" s="193"/>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3"/>
    </row>
    <row r="26" spans="1:26" ht="18" customHeight="1" x14ac:dyDescent="0.15">
      <c r="A26" s="28"/>
      <c r="B26" s="153" t="s">
        <v>96</v>
      </c>
      <c r="C26" s="154"/>
      <c r="D26" s="154"/>
      <c r="E26" s="154"/>
      <c r="F26" s="155"/>
      <c r="G26" s="62" t="s">
        <v>136</v>
      </c>
      <c r="H26" s="63" t="s">
        <v>135</v>
      </c>
      <c r="I26" s="154" t="s">
        <v>97</v>
      </c>
      <c r="J26" s="154"/>
      <c r="K26" s="154"/>
      <c r="L26" s="64" t="s">
        <v>122</v>
      </c>
      <c r="M26" s="64" t="s">
        <v>123</v>
      </c>
      <c r="N26" s="153" t="s">
        <v>96</v>
      </c>
      <c r="O26" s="154"/>
      <c r="P26" s="154"/>
      <c r="Q26" s="154"/>
      <c r="R26" s="154"/>
      <c r="S26" s="155"/>
      <c r="T26" s="62" t="s">
        <v>136</v>
      </c>
      <c r="U26" s="63" t="s">
        <v>135</v>
      </c>
      <c r="V26" s="154" t="s">
        <v>97</v>
      </c>
      <c r="W26" s="154"/>
      <c r="X26" s="154"/>
      <c r="Y26" s="64" t="s">
        <v>122</v>
      </c>
      <c r="Z26" s="64" t="s">
        <v>123</v>
      </c>
    </row>
    <row r="27" spans="1:26" ht="18" customHeight="1" x14ac:dyDescent="0.15">
      <c r="A27" s="28"/>
      <c r="B27" s="160" t="s">
        <v>149</v>
      </c>
      <c r="C27" s="161"/>
      <c r="D27" s="161"/>
      <c r="E27" s="161"/>
      <c r="F27" s="162"/>
      <c r="G27" s="47">
        <v>2</v>
      </c>
      <c r="H27" s="47" t="s">
        <v>151</v>
      </c>
      <c r="I27" s="163" t="s">
        <v>152</v>
      </c>
      <c r="J27" s="164"/>
      <c r="K27" s="165"/>
      <c r="L27" s="47" t="s">
        <v>151</v>
      </c>
      <c r="M27" s="47" t="s">
        <v>151</v>
      </c>
      <c r="N27" s="166"/>
      <c r="O27" s="167"/>
      <c r="P27" s="167"/>
      <c r="Q27" s="167"/>
      <c r="R27" s="167"/>
      <c r="S27" s="168"/>
      <c r="T27" s="47"/>
      <c r="U27" s="47"/>
      <c r="V27" s="163"/>
      <c r="W27" s="164"/>
      <c r="X27" s="165"/>
      <c r="Y27" s="47"/>
      <c r="Z27" s="47"/>
    </row>
    <row r="28" spans="1:26" ht="18" customHeight="1" x14ac:dyDescent="0.15">
      <c r="A28" s="28"/>
      <c r="B28" s="169" t="s">
        <v>239</v>
      </c>
      <c r="C28" s="170"/>
      <c r="D28" s="170"/>
      <c r="E28" s="170"/>
      <c r="F28" s="171"/>
      <c r="G28" s="48">
        <v>2</v>
      </c>
      <c r="H28" s="48"/>
      <c r="I28" s="172" t="s">
        <v>301</v>
      </c>
      <c r="J28" s="173"/>
      <c r="K28" s="174"/>
      <c r="L28" s="48" t="s">
        <v>151</v>
      </c>
      <c r="M28" s="48" t="s">
        <v>151</v>
      </c>
      <c r="N28" s="175"/>
      <c r="O28" s="176"/>
      <c r="P28" s="176"/>
      <c r="Q28" s="176"/>
      <c r="R28" s="176"/>
      <c r="S28" s="177"/>
      <c r="T28" s="41"/>
      <c r="U28" s="41"/>
      <c r="V28" s="178"/>
      <c r="W28" s="179"/>
      <c r="X28" s="180"/>
      <c r="Y28" s="41"/>
      <c r="Z28" s="41"/>
    </row>
    <row r="29" spans="1:26" ht="18" customHeight="1" x14ac:dyDescent="0.15">
      <c r="A29" s="28"/>
      <c r="B29" s="169"/>
      <c r="C29" s="170"/>
      <c r="D29" s="170"/>
      <c r="E29" s="170"/>
      <c r="F29" s="171"/>
      <c r="G29" s="41"/>
      <c r="H29" s="41"/>
      <c r="I29" s="178"/>
      <c r="J29" s="179"/>
      <c r="K29" s="180"/>
      <c r="L29" s="41"/>
      <c r="M29" s="41"/>
      <c r="N29" s="175"/>
      <c r="O29" s="176"/>
      <c r="P29" s="176"/>
      <c r="Q29" s="176"/>
      <c r="R29" s="176"/>
      <c r="S29" s="177"/>
      <c r="T29" s="41"/>
      <c r="U29" s="41"/>
      <c r="V29" s="178"/>
      <c r="W29" s="179"/>
      <c r="X29" s="180"/>
      <c r="Y29" s="41"/>
      <c r="Z29" s="41"/>
    </row>
    <row r="30" spans="1:26" ht="18" customHeight="1" x14ac:dyDescent="0.15">
      <c r="A30" s="28"/>
      <c r="B30" s="169"/>
      <c r="C30" s="170"/>
      <c r="D30" s="170"/>
      <c r="E30" s="170"/>
      <c r="F30" s="171"/>
      <c r="G30" s="41"/>
      <c r="H30" s="41"/>
      <c r="I30" s="178"/>
      <c r="J30" s="179"/>
      <c r="K30" s="180"/>
      <c r="L30" s="41"/>
      <c r="M30" s="41"/>
      <c r="N30" s="175"/>
      <c r="O30" s="176"/>
      <c r="P30" s="176"/>
      <c r="Q30" s="176"/>
      <c r="R30" s="176"/>
      <c r="S30" s="177"/>
      <c r="T30" s="41"/>
      <c r="U30" s="41"/>
      <c r="V30" s="178"/>
      <c r="W30" s="179"/>
      <c r="X30" s="180"/>
      <c r="Y30" s="41"/>
      <c r="Z30" s="41"/>
    </row>
    <row r="31" spans="1:26" ht="18" customHeight="1" x14ac:dyDescent="0.15">
      <c r="A31" s="28"/>
      <c r="B31" s="169"/>
      <c r="C31" s="170"/>
      <c r="D31" s="170"/>
      <c r="E31" s="170"/>
      <c r="F31" s="171"/>
      <c r="G31" s="41"/>
      <c r="H31" s="41"/>
      <c r="I31" s="178"/>
      <c r="J31" s="179"/>
      <c r="K31" s="180"/>
      <c r="L31" s="41"/>
      <c r="M31" s="41"/>
      <c r="N31" s="175"/>
      <c r="O31" s="176"/>
      <c r="P31" s="176"/>
      <c r="Q31" s="176"/>
      <c r="R31" s="176"/>
      <c r="S31" s="177"/>
      <c r="T31" s="41"/>
      <c r="U31" s="41"/>
      <c r="V31" s="178"/>
      <c r="W31" s="179"/>
      <c r="X31" s="180"/>
      <c r="Y31" s="41"/>
      <c r="Z31" s="41"/>
    </row>
    <row r="32" spans="1:26" ht="18" customHeight="1" x14ac:dyDescent="0.15">
      <c r="A32" s="28"/>
      <c r="B32" s="169"/>
      <c r="C32" s="170"/>
      <c r="D32" s="170"/>
      <c r="E32" s="170"/>
      <c r="F32" s="171"/>
      <c r="G32" s="41"/>
      <c r="H32" s="41"/>
      <c r="I32" s="178"/>
      <c r="J32" s="179"/>
      <c r="K32" s="180"/>
      <c r="L32" s="41"/>
      <c r="M32" s="41"/>
      <c r="N32" s="175"/>
      <c r="O32" s="176"/>
      <c r="P32" s="176"/>
      <c r="Q32" s="176"/>
      <c r="R32" s="176"/>
      <c r="S32" s="177"/>
      <c r="T32" s="41"/>
      <c r="U32" s="41"/>
      <c r="V32" s="178"/>
      <c r="W32" s="179"/>
      <c r="X32" s="180"/>
      <c r="Y32" s="41"/>
      <c r="Z32" s="41"/>
    </row>
    <row r="33" spans="1:26" ht="18" customHeight="1" x14ac:dyDescent="0.15">
      <c r="A33" s="28"/>
      <c r="B33" s="194"/>
      <c r="C33" s="195"/>
      <c r="D33" s="195"/>
      <c r="E33" s="195"/>
      <c r="F33" s="196"/>
      <c r="G33" s="42"/>
      <c r="H33" s="42"/>
      <c r="I33" s="197"/>
      <c r="J33" s="198"/>
      <c r="K33" s="199"/>
      <c r="L33" s="43"/>
      <c r="M33" s="43"/>
      <c r="N33" s="200"/>
      <c r="O33" s="201"/>
      <c r="P33" s="201"/>
      <c r="Q33" s="201"/>
      <c r="R33" s="201"/>
      <c r="S33" s="202"/>
      <c r="T33" s="42"/>
      <c r="U33" s="42"/>
      <c r="V33" s="197"/>
      <c r="W33" s="198"/>
      <c r="X33" s="199"/>
      <c r="Y33" s="43"/>
      <c r="Z33" s="43"/>
    </row>
    <row r="34" spans="1:26" ht="7.5" customHeight="1" x14ac:dyDescent="0.15">
      <c r="A34" s="59"/>
      <c r="B34" s="65"/>
      <c r="C34" s="65"/>
      <c r="D34" s="59"/>
      <c r="E34" s="59"/>
      <c r="F34" s="59"/>
      <c r="G34" s="59"/>
      <c r="H34" s="59"/>
      <c r="I34" s="59"/>
      <c r="J34" s="59"/>
      <c r="K34" s="59"/>
      <c r="L34" s="65"/>
      <c r="M34" s="65"/>
      <c r="N34" s="65"/>
      <c r="O34" s="65"/>
      <c r="P34" s="65"/>
      <c r="Q34" s="65"/>
      <c r="R34" s="65"/>
      <c r="S34" s="65"/>
      <c r="T34" s="65"/>
      <c r="U34" s="65"/>
      <c r="V34" s="65"/>
      <c r="W34" s="65"/>
      <c r="X34" s="65"/>
      <c r="Y34" s="65"/>
      <c r="Z34" s="59"/>
    </row>
    <row r="35" spans="1:26" ht="18" customHeight="1" x14ac:dyDescent="0.15">
      <c r="A35" s="193" t="s">
        <v>124</v>
      </c>
      <c r="B35" s="193"/>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row>
    <row r="36" spans="1:26" ht="18" customHeight="1" x14ac:dyDescent="0.15">
      <c r="A36" s="193"/>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spans="1:26" ht="18" customHeight="1" x14ac:dyDescent="0.15">
      <c r="A37" s="28"/>
      <c r="B37" s="153" t="s">
        <v>96</v>
      </c>
      <c r="C37" s="154"/>
      <c r="D37" s="154"/>
      <c r="E37" s="154"/>
      <c r="F37" s="155"/>
      <c r="G37" s="62" t="s">
        <v>136</v>
      </c>
      <c r="H37" s="63" t="s">
        <v>135</v>
      </c>
      <c r="I37" s="153" t="s">
        <v>97</v>
      </c>
      <c r="J37" s="154"/>
      <c r="K37" s="155"/>
      <c r="L37" s="64" t="s">
        <v>125</v>
      </c>
      <c r="M37" s="64" t="s">
        <v>126</v>
      </c>
      <c r="N37" s="153" t="s">
        <v>96</v>
      </c>
      <c r="O37" s="154"/>
      <c r="P37" s="154"/>
      <c r="Q37" s="154"/>
      <c r="R37" s="154"/>
      <c r="S37" s="155"/>
      <c r="T37" s="62" t="s">
        <v>136</v>
      </c>
      <c r="U37" s="63" t="s">
        <v>135</v>
      </c>
      <c r="V37" s="153" t="s">
        <v>97</v>
      </c>
      <c r="W37" s="154"/>
      <c r="X37" s="155"/>
      <c r="Y37" s="64" t="s">
        <v>125</v>
      </c>
      <c r="Z37" s="64" t="s">
        <v>126</v>
      </c>
    </row>
    <row r="38" spans="1:26" ht="18" customHeight="1" x14ac:dyDescent="0.15">
      <c r="A38" s="59"/>
      <c r="B38" s="160" t="s">
        <v>149</v>
      </c>
      <c r="C38" s="161"/>
      <c r="D38" s="161"/>
      <c r="E38" s="161"/>
      <c r="F38" s="162"/>
      <c r="G38" s="47">
        <v>2</v>
      </c>
      <c r="H38" s="47" t="s">
        <v>151</v>
      </c>
      <c r="I38" s="163" t="s">
        <v>152</v>
      </c>
      <c r="J38" s="164"/>
      <c r="K38" s="165"/>
      <c r="L38" s="47" t="s">
        <v>151</v>
      </c>
      <c r="M38" s="47" t="s">
        <v>151</v>
      </c>
      <c r="N38" s="166"/>
      <c r="O38" s="167"/>
      <c r="P38" s="167"/>
      <c r="Q38" s="167"/>
      <c r="R38" s="167"/>
      <c r="S38" s="168"/>
      <c r="T38" s="47"/>
      <c r="U38" s="47"/>
      <c r="V38" s="163"/>
      <c r="W38" s="164"/>
      <c r="X38" s="165"/>
      <c r="Y38" s="47"/>
      <c r="Z38" s="47"/>
    </row>
    <row r="39" spans="1:26" ht="18" customHeight="1" x14ac:dyDescent="0.15">
      <c r="A39" s="59"/>
      <c r="B39" s="169" t="s">
        <v>239</v>
      </c>
      <c r="C39" s="170"/>
      <c r="D39" s="170"/>
      <c r="E39" s="170"/>
      <c r="F39" s="171"/>
      <c r="G39" s="48">
        <v>2</v>
      </c>
      <c r="H39" s="48"/>
      <c r="I39" s="172" t="s">
        <v>301</v>
      </c>
      <c r="J39" s="173"/>
      <c r="K39" s="174"/>
      <c r="L39" s="48" t="s">
        <v>151</v>
      </c>
      <c r="M39" s="48" t="s">
        <v>151</v>
      </c>
      <c r="N39" s="175"/>
      <c r="O39" s="176"/>
      <c r="P39" s="176"/>
      <c r="Q39" s="176"/>
      <c r="R39" s="176"/>
      <c r="S39" s="177"/>
      <c r="T39" s="41"/>
      <c r="U39" s="41"/>
      <c r="V39" s="178"/>
      <c r="W39" s="179"/>
      <c r="X39" s="180"/>
      <c r="Y39" s="41"/>
      <c r="Z39" s="41"/>
    </row>
    <row r="40" spans="1:26" ht="18" customHeight="1" x14ac:dyDescent="0.15">
      <c r="A40" s="59"/>
      <c r="B40" s="169"/>
      <c r="C40" s="170"/>
      <c r="D40" s="170"/>
      <c r="E40" s="170"/>
      <c r="F40" s="171"/>
      <c r="G40" s="41"/>
      <c r="H40" s="41"/>
      <c r="I40" s="178"/>
      <c r="J40" s="179"/>
      <c r="K40" s="180"/>
      <c r="L40" s="41"/>
      <c r="M40" s="41"/>
      <c r="N40" s="175"/>
      <c r="O40" s="176"/>
      <c r="P40" s="176"/>
      <c r="Q40" s="176"/>
      <c r="R40" s="176"/>
      <c r="S40" s="177"/>
      <c r="T40" s="41"/>
      <c r="U40" s="41"/>
      <c r="V40" s="178"/>
      <c r="W40" s="179"/>
      <c r="X40" s="180"/>
      <c r="Y40" s="41"/>
      <c r="Z40" s="41"/>
    </row>
    <row r="41" spans="1:26" ht="18" customHeight="1" x14ac:dyDescent="0.15">
      <c r="A41" s="59"/>
      <c r="B41" s="169"/>
      <c r="C41" s="170"/>
      <c r="D41" s="170"/>
      <c r="E41" s="170"/>
      <c r="F41" s="171"/>
      <c r="G41" s="41"/>
      <c r="H41" s="41"/>
      <c r="I41" s="178"/>
      <c r="J41" s="179"/>
      <c r="K41" s="180"/>
      <c r="L41" s="41"/>
      <c r="M41" s="41"/>
      <c r="N41" s="175"/>
      <c r="O41" s="176"/>
      <c r="P41" s="176"/>
      <c r="Q41" s="176"/>
      <c r="R41" s="176"/>
      <c r="S41" s="177"/>
      <c r="T41" s="41"/>
      <c r="U41" s="41"/>
      <c r="V41" s="178"/>
      <c r="W41" s="179"/>
      <c r="X41" s="180"/>
      <c r="Y41" s="41"/>
      <c r="Z41" s="41"/>
    </row>
    <row r="42" spans="1:26" ht="18" customHeight="1" x14ac:dyDescent="0.15">
      <c r="A42" s="59"/>
      <c r="B42" s="169"/>
      <c r="C42" s="170"/>
      <c r="D42" s="170"/>
      <c r="E42" s="170"/>
      <c r="F42" s="171"/>
      <c r="G42" s="41"/>
      <c r="H42" s="41"/>
      <c r="I42" s="178"/>
      <c r="J42" s="179"/>
      <c r="K42" s="180"/>
      <c r="L42" s="41"/>
      <c r="M42" s="41"/>
      <c r="N42" s="175"/>
      <c r="O42" s="176"/>
      <c r="P42" s="176"/>
      <c r="Q42" s="176"/>
      <c r="R42" s="176"/>
      <c r="S42" s="177"/>
      <c r="T42" s="41"/>
      <c r="U42" s="41"/>
      <c r="V42" s="178"/>
      <c r="W42" s="179"/>
      <c r="X42" s="180"/>
      <c r="Y42" s="41"/>
      <c r="Z42" s="41"/>
    </row>
    <row r="43" spans="1:26" ht="18" customHeight="1" x14ac:dyDescent="0.15">
      <c r="A43" s="59"/>
      <c r="B43" s="169"/>
      <c r="C43" s="170"/>
      <c r="D43" s="170"/>
      <c r="E43" s="170"/>
      <c r="F43" s="171"/>
      <c r="G43" s="41"/>
      <c r="H43" s="41"/>
      <c r="I43" s="178"/>
      <c r="J43" s="179"/>
      <c r="K43" s="180"/>
      <c r="L43" s="41"/>
      <c r="M43" s="41"/>
      <c r="N43" s="175"/>
      <c r="O43" s="176"/>
      <c r="P43" s="176"/>
      <c r="Q43" s="176"/>
      <c r="R43" s="176"/>
      <c r="S43" s="177"/>
      <c r="T43" s="41"/>
      <c r="U43" s="41"/>
      <c r="V43" s="178"/>
      <c r="W43" s="179"/>
      <c r="X43" s="180"/>
      <c r="Y43" s="41"/>
      <c r="Z43" s="41"/>
    </row>
    <row r="44" spans="1:26" ht="18" customHeight="1" x14ac:dyDescent="0.15">
      <c r="A44" s="59"/>
      <c r="B44" s="194"/>
      <c r="C44" s="195"/>
      <c r="D44" s="195"/>
      <c r="E44" s="195"/>
      <c r="F44" s="196"/>
      <c r="G44" s="42"/>
      <c r="H44" s="42"/>
      <c r="I44" s="197"/>
      <c r="J44" s="198"/>
      <c r="K44" s="199"/>
      <c r="L44" s="43"/>
      <c r="M44" s="43"/>
      <c r="N44" s="200"/>
      <c r="O44" s="201"/>
      <c r="P44" s="201"/>
      <c r="Q44" s="201"/>
      <c r="R44" s="201"/>
      <c r="S44" s="202"/>
      <c r="T44" s="42"/>
      <c r="U44" s="42"/>
      <c r="V44" s="197"/>
      <c r="W44" s="198"/>
      <c r="X44" s="199"/>
      <c r="Y44" s="43"/>
      <c r="Z44" s="43"/>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3" t="s">
        <v>127</v>
      </c>
      <c r="B46" s="193"/>
      <c r="C46" s="193"/>
      <c r="D46" s="193"/>
      <c r="E46" s="193"/>
      <c r="F46" s="193"/>
      <c r="G46" s="193"/>
      <c r="H46" s="193"/>
      <c r="I46" s="193"/>
      <c r="J46" s="193"/>
      <c r="K46" s="193"/>
      <c r="L46" s="193"/>
      <c r="M46" s="193"/>
      <c r="N46" s="193"/>
      <c r="O46" s="193"/>
      <c r="P46" s="193"/>
      <c r="Q46" s="193"/>
      <c r="R46" s="193"/>
      <c r="S46" s="193"/>
      <c r="T46" s="193"/>
      <c r="U46" s="193"/>
      <c r="V46" s="193"/>
      <c r="W46" s="193"/>
      <c r="X46" s="193"/>
      <c r="Y46" s="193"/>
      <c r="Z46" s="193"/>
    </row>
    <row r="47" spans="1:26" ht="18" customHeight="1" x14ac:dyDescent="0.15">
      <c r="A47" s="193"/>
      <c r="B47" s="193"/>
      <c r="C47" s="193"/>
      <c r="D47" s="193"/>
      <c r="E47" s="193"/>
      <c r="F47" s="193"/>
      <c r="G47" s="193"/>
      <c r="H47" s="193"/>
      <c r="I47" s="193"/>
      <c r="J47" s="193"/>
      <c r="K47" s="193"/>
      <c r="L47" s="193"/>
      <c r="M47" s="193"/>
      <c r="N47" s="193"/>
      <c r="O47" s="193"/>
      <c r="P47" s="193"/>
      <c r="Q47" s="193"/>
      <c r="R47" s="193"/>
      <c r="S47" s="193"/>
      <c r="T47" s="193"/>
      <c r="U47" s="193"/>
      <c r="V47" s="193"/>
      <c r="W47" s="193"/>
      <c r="X47" s="193"/>
      <c r="Y47" s="193"/>
      <c r="Z47" s="193"/>
    </row>
    <row r="48" spans="1:26" ht="18" customHeight="1" x14ac:dyDescent="0.15">
      <c r="A48" s="28"/>
      <c r="B48" s="153" t="s">
        <v>96</v>
      </c>
      <c r="C48" s="154"/>
      <c r="D48" s="154"/>
      <c r="E48" s="154"/>
      <c r="F48" s="155"/>
      <c r="G48" s="62" t="s">
        <v>136</v>
      </c>
      <c r="H48" s="63" t="s">
        <v>135</v>
      </c>
      <c r="I48" s="153" t="s">
        <v>97</v>
      </c>
      <c r="J48" s="154"/>
      <c r="K48" s="155"/>
      <c r="L48" s="64" t="s">
        <v>102</v>
      </c>
      <c r="M48" s="64" t="s">
        <v>104</v>
      </c>
      <c r="N48" s="153" t="s">
        <v>96</v>
      </c>
      <c r="O48" s="154"/>
      <c r="P48" s="154"/>
      <c r="Q48" s="154"/>
      <c r="R48" s="154"/>
      <c r="S48" s="155"/>
      <c r="T48" s="62" t="s">
        <v>136</v>
      </c>
      <c r="U48" s="63" t="s">
        <v>135</v>
      </c>
      <c r="V48" s="153" t="s">
        <v>97</v>
      </c>
      <c r="W48" s="154"/>
      <c r="X48" s="155"/>
      <c r="Y48" s="64" t="s">
        <v>102</v>
      </c>
      <c r="Z48" s="64" t="s">
        <v>104</v>
      </c>
    </row>
    <row r="49" spans="1:26" ht="18" customHeight="1" x14ac:dyDescent="0.15">
      <c r="A49" s="59"/>
      <c r="B49" s="160" t="s">
        <v>150</v>
      </c>
      <c r="C49" s="161"/>
      <c r="D49" s="161"/>
      <c r="E49" s="161"/>
      <c r="F49" s="162"/>
      <c r="G49" s="47">
        <v>2</v>
      </c>
      <c r="H49" s="47" t="s">
        <v>151</v>
      </c>
      <c r="I49" s="163" t="s">
        <v>152</v>
      </c>
      <c r="J49" s="164"/>
      <c r="K49" s="165"/>
      <c r="L49" s="47" t="s">
        <v>151</v>
      </c>
      <c r="M49" s="47" t="s">
        <v>151</v>
      </c>
      <c r="N49" s="166"/>
      <c r="O49" s="167"/>
      <c r="P49" s="167"/>
      <c r="Q49" s="167"/>
      <c r="R49" s="167"/>
      <c r="S49" s="168"/>
      <c r="T49" s="47"/>
      <c r="U49" s="47"/>
      <c r="V49" s="163"/>
      <c r="W49" s="164"/>
      <c r="X49" s="165"/>
      <c r="Y49" s="47"/>
      <c r="Z49" s="47"/>
    </row>
    <row r="50" spans="1:26" ht="18" customHeight="1" x14ac:dyDescent="0.15">
      <c r="A50" s="59"/>
      <c r="B50" s="169" t="s">
        <v>239</v>
      </c>
      <c r="C50" s="170"/>
      <c r="D50" s="170"/>
      <c r="E50" s="170"/>
      <c r="F50" s="171"/>
      <c r="G50" s="48">
        <v>2</v>
      </c>
      <c r="H50" s="48"/>
      <c r="I50" s="172" t="s">
        <v>301</v>
      </c>
      <c r="J50" s="173"/>
      <c r="K50" s="174"/>
      <c r="L50" s="48" t="s">
        <v>151</v>
      </c>
      <c r="M50" s="48" t="s">
        <v>151</v>
      </c>
      <c r="N50" s="175"/>
      <c r="O50" s="176"/>
      <c r="P50" s="176"/>
      <c r="Q50" s="176"/>
      <c r="R50" s="176"/>
      <c r="S50" s="177"/>
      <c r="T50" s="41"/>
      <c r="U50" s="41"/>
      <c r="V50" s="178"/>
      <c r="W50" s="179"/>
      <c r="X50" s="180"/>
      <c r="Y50" s="41"/>
      <c r="Z50" s="41"/>
    </row>
    <row r="51" spans="1:26" ht="18" customHeight="1" x14ac:dyDescent="0.15">
      <c r="A51" s="59"/>
      <c r="B51" s="169"/>
      <c r="C51" s="170"/>
      <c r="D51" s="170"/>
      <c r="E51" s="170"/>
      <c r="F51" s="171"/>
      <c r="G51" s="41"/>
      <c r="H51" s="41"/>
      <c r="I51" s="178"/>
      <c r="J51" s="179"/>
      <c r="K51" s="180"/>
      <c r="L51" s="41"/>
      <c r="M51" s="41"/>
      <c r="N51" s="175"/>
      <c r="O51" s="176"/>
      <c r="P51" s="176"/>
      <c r="Q51" s="176"/>
      <c r="R51" s="176"/>
      <c r="S51" s="177"/>
      <c r="T51" s="41"/>
      <c r="U51" s="41"/>
      <c r="V51" s="178"/>
      <c r="W51" s="179"/>
      <c r="X51" s="180"/>
      <c r="Y51" s="41"/>
      <c r="Z51" s="41"/>
    </row>
    <row r="52" spans="1:26" ht="18" customHeight="1" x14ac:dyDescent="0.15">
      <c r="A52" s="59"/>
      <c r="B52" s="169"/>
      <c r="C52" s="170"/>
      <c r="D52" s="170"/>
      <c r="E52" s="170"/>
      <c r="F52" s="171"/>
      <c r="G52" s="41"/>
      <c r="H52" s="41"/>
      <c r="I52" s="178"/>
      <c r="J52" s="179"/>
      <c r="K52" s="180"/>
      <c r="L52" s="41"/>
      <c r="M52" s="41"/>
      <c r="N52" s="175"/>
      <c r="O52" s="176"/>
      <c r="P52" s="176"/>
      <c r="Q52" s="176"/>
      <c r="R52" s="176"/>
      <c r="S52" s="177"/>
      <c r="T52" s="41"/>
      <c r="U52" s="41"/>
      <c r="V52" s="178"/>
      <c r="W52" s="179"/>
      <c r="X52" s="180"/>
      <c r="Y52" s="41"/>
      <c r="Z52" s="41"/>
    </row>
    <row r="53" spans="1:26" ht="18" customHeight="1" x14ac:dyDescent="0.15">
      <c r="A53" s="59"/>
      <c r="B53" s="169"/>
      <c r="C53" s="170"/>
      <c r="D53" s="170"/>
      <c r="E53" s="170"/>
      <c r="F53" s="171"/>
      <c r="G53" s="41"/>
      <c r="H53" s="41"/>
      <c r="I53" s="178"/>
      <c r="J53" s="179"/>
      <c r="K53" s="180"/>
      <c r="L53" s="41"/>
      <c r="M53" s="41"/>
      <c r="N53" s="175"/>
      <c r="O53" s="176"/>
      <c r="P53" s="176"/>
      <c r="Q53" s="176"/>
      <c r="R53" s="176"/>
      <c r="S53" s="177"/>
      <c r="T53" s="41"/>
      <c r="U53" s="41"/>
      <c r="V53" s="178"/>
      <c r="W53" s="179"/>
      <c r="X53" s="180"/>
      <c r="Y53" s="41"/>
      <c r="Z53" s="41"/>
    </row>
    <row r="54" spans="1:26" ht="18" customHeight="1" x14ac:dyDescent="0.15">
      <c r="A54" s="59"/>
      <c r="B54" s="169"/>
      <c r="C54" s="170"/>
      <c r="D54" s="170"/>
      <c r="E54" s="170"/>
      <c r="F54" s="171"/>
      <c r="G54" s="41"/>
      <c r="H54" s="41"/>
      <c r="I54" s="178"/>
      <c r="J54" s="179"/>
      <c r="K54" s="180"/>
      <c r="L54" s="41"/>
      <c r="M54" s="41"/>
      <c r="N54" s="175"/>
      <c r="O54" s="176"/>
      <c r="P54" s="176"/>
      <c r="Q54" s="176"/>
      <c r="R54" s="176"/>
      <c r="S54" s="177"/>
      <c r="T54" s="41"/>
      <c r="U54" s="41"/>
      <c r="V54" s="178"/>
      <c r="W54" s="179"/>
      <c r="X54" s="180"/>
      <c r="Y54" s="41"/>
      <c r="Z54" s="41"/>
    </row>
    <row r="55" spans="1:26" ht="18" customHeight="1" x14ac:dyDescent="0.15">
      <c r="A55" s="59"/>
      <c r="B55" s="194"/>
      <c r="C55" s="195"/>
      <c r="D55" s="195"/>
      <c r="E55" s="195"/>
      <c r="F55" s="196"/>
      <c r="G55" s="42"/>
      <c r="H55" s="42"/>
      <c r="I55" s="197"/>
      <c r="J55" s="198"/>
      <c r="K55" s="199"/>
      <c r="L55" s="43"/>
      <c r="M55" s="43"/>
      <c r="N55" s="200"/>
      <c r="O55" s="201"/>
      <c r="P55" s="201"/>
      <c r="Q55" s="201"/>
      <c r="R55" s="201"/>
      <c r="S55" s="202"/>
      <c r="T55" s="42"/>
      <c r="U55" s="42"/>
      <c r="V55" s="197"/>
      <c r="W55" s="198"/>
      <c r="X55" s="199"/>
      <c r="Y55" s="43"/>
      <c r="Z55" s="43"/>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3" t="s">
        <v>128</v>
      </c>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row>
    <row r="58" spans="1:26" ht="18" customHeight="1" x14ac:dyDescent="0.15">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row>
    <row r="59" spans="1:26" ht="18" customHeight="1" x14ac:dyDescent="0.15">
      <c r="A59" s="28"/>
      <c r="B59" s="153" t="s">
        <v>96</v>
      </c>
      <c r="C59" s="154"/>
      <c r="D59" s="154"/>
      <c r="E59" s="155"/>
      <c r="F59" s="62" t="s">
        <v>136</v>
      </c>
      <c r="G59" s="63" t="s">
        <v>135</v>
      </c>
      <c r="H59" s="67" t="s">
        <v>97</v>
      </c>
      <c r="I59" s="68"/>
      <c r="J59" s="69"/>
      <c r="K59" s="64" t="s">
        <v>101</v>
      </c>
      <c r="L59" s="64" t="s">
        <v>129</v>
      </c>
      <c r="M59" s="64" t="s">
        <v>130</v>
      </c>
      <c r="N59" s="153" t="s">
        <v>96</v>
      </c>
      <c r="O59" s="154"/>
      <c r="P59" s="154"/>
      <c r="Q59" s="154"/>
      <c r="R59" s="155"/>
      <c r="S59" s="62" t="s">
        <v>136</v>
      </c>
      <c r="T59" s="63" t="s">
        <v>135</v>
      </c>
      <c r="U59" s="67" t="s">
        <v>97</v>
      </c>
      <c r="V59" s="68"/>
      <c r="W59" s="69"/>
      <c r="X59" s="64" t="s">
        <v>101</v>
      </c>
      <c r="Y59" s="64" t="s">
        <v>129</v>
      </c>
      <c r="Z59" s="64" t="s">
        <v>130</v>
      </c>
    </row>
    <row r="60" spans="1:26" ht="18" customHeight="1" x14ac:dyDescent="0.15">
      <c r="A60" s="59"/>
      <c r="B60" s="166" t="s">
        <v>149</v>
      </c>
      <c r="C60" s="167"/>
      <c r="D60" s="167"/>
      <c r="E60" s="168"/>
      <c r="F60" s="47">
        <v>2</v>
      </c>
      <c r="G60" s="47" t="s">
        <v>151</v>
      </c>
      <c r="H60" s="163" t="s">
        <v>152</v>
      </c>
      <c r="I60" s="164"/>
      <c r="J60" s="165"/>
      <c r="K60" s="47" t="s">
        <v>151</v>
      </c>
      <c r="L60" s="47" t="s">
        <v>151</v>
      </c>
      <c r="M60" s="47" t="s">
        <v>151</v>
      </c>
      <c r="N60" s="166"/>
      <c r="O60" s="167"/>
      <c r="P60" s="167"/>
      <c r="Q60" s="167"/>
      <c r="R60" s="168"/>
      <c r="S60" s="47"/>
      <c r="T60" s="47"/>
      <c r="U60" s="163"/>
      <c r="V60" s="164"/>
      <c r="W60" s="165"/>
      <c r="X60" s="52"/>
      <c r="Y60" s="47"/>
      <c r="Z60" s="47"/>
    </row>
    <row r="61" spans="1:26" ht="18" customHeight="1" x14ac:dyDescent="0.15">
      <c r="A61" s="59"/>
      <c r="B61" s="175" t="s">
        <v>239</v>
      </c>
      <c r="C61" s="176"/>
      <c r="D61" s="176"/>
      <c r="E61" s="177"/>
      <c r="F61" s="41">
        <v>2</v>
      </c>
      <c r="G61" s="41"/>
      <c r="H61" s="178" t="s">
        <v>301</v>
      </c>
      <c r="I61" s="179"/>
      <c r="J61" s="180"/>
      <c r="K61" s="48" t="s">
        <v>151</v>
      </c>
      <c r="L61" s="48" t="s">
        <v>151</v>
      </c>
      <c r="M61" s="48" t="s">
        <v>151</v>
      </c>
      <c r="N61" s="175"/>
      <c r="O61" s="176"/>
      <c r="P61" s="176"/>
      <c r="Q61" s="176"/>
      <c r="R61" s="177"/>
      <c r="S61" s="41"/>
      <c r="T61" s="41"/>
      <c r="U61" s="178"/>
      <c r="V61" s="179"/>
      <c r="W61" s="180"/>
      <c r="X61" s="55"/>
      <c r="Y61" s="41"/>
      <c r="Z61" s="41"/>
    </row>
    <row r="62" spans="1:26" ht="18" customHeight="1" x14ac:dyDescent="0.15">
      <c r="A62" s="59"/>
      <c r="B62" s="175"/>
      <c r="C62" s="176"/>
      <c r="D62" s="176"/>
      <c r="E62" s="177"/>
      <c r="F62" s="41"/>
      <c r="G62" s="41"/>
      <c r="H62" s="178"/>
      <c r="I62" s="179"/>
      <c r="J62" s="180"/>
      <c r="K62" s="55"/>
      <c r="L62" s="41"/>
      <c r="M62" s="41"/>
      <c r="N62" s="175"/>
      <c r="O62" s="176"/>
      <c r="P62" s="176"/>
      <c r="Q62" s="176"/>
      <c r="R62" s="177"/>
      <c r="S62" s="41"/>
      <c r="T62" s="41"/>
      <c r="U62" s="178"/>
      <c r="V62" s="179"/>
      <c r="W62" s="180"/>
      <c r="X62" s="55"/>
      <c r="Y62" s="41"/>
      <c r="Z62" s="41"/>
    </row>
    <row r="63" spans="1:26" ht="18" customHeight="1" x14ac:dyDescent="0.15">
      <c r="A63" s="59"/>
      <c r="B63" s="175"/>
      <c r="C63" s="176"/>
      <c r="D63" s="176"/>
      <c r="E63" s="177"/>
      <c r="F63" s="41"/>
      <c r="G63" s="41"/>
      <c r="H63" s="178"/>
      <c r="I63" s="179"/>
      <c r="J63" s="180"/>
      <c r="K63" s="55"/>
      <c r="L63" s="41"/>
      <c r="M63" s="41"/>
      <c r="N63" s="175"/>
      <c r="O63" s="176"/>
      <c r="P63" s="176"/>
      <c r="Q63" s="176"/>
      <c r="R63" s="177"/>
      <c r="S63" s="41"/>
      <c r="T63" s="41"/>
      <c r="U63" s="178"/>
      <c r="V63" s="179"/>
      <c r="W63" s="180"/>
      <c r="X63" s="55"/>
      <c r="Y63" s="41"/>
      <c r="Z63" s="41"/>
    </row>
    <row r="64" spans="1:26" ht="18" customHeight="1" x14ac:dyDescent="0.15">
      <c r="A64" s="59"/>
      <c r="B64" s="175"/>
      <c r="C64" s="176"/>
      <c r="D64" s="176"/>
      <c r="E64" s="177"/>
      <c r="F64" s="41"/>
      <c r="G64" s="41"/>
      <c r="H64" s="178"/>
      <c r="I64" s="179"/>
      <c r="J64" s="180"/>
      <c r="K64" s="55"/>
      <c r="L64" s="41"/>
      <c r="M64" s="41"/>
      <c r="N64" s="175"/>
      <c r="O64" s="176"/>
      <c r="P64" s="176"/>
      <c r="Q64" s="176"/>
      <c r="R64" s="177"/>
      <c r="S64" s="41"/>
      <c r="T64" s="41"/>
      <c r="U64" s="178"/>
      <c r="V64" s="179"/>
      <c r="W64" s="180"/>
      <c r="X64" s="55"/>
      <c r="Y64" s="41"/>
      <c r="Z64" s="41"/>
    </row>
    <row r="65" spans="1:26" ht="18" customHeight="1" x14ac:dyDescent="0.15">
      <c r="A65" s="59"/>
      <c r="B65" s="175"/>
      <c r="C65" s="176"/>
      <c r="D65" s="176"/>
      <c r="E65" s="177"/>
      <c r="F65" s="41"/>
      <c r="G65" s="41"/>
      <c r="H65" s="178"/>
      <c r="I65" s="179"/>
      <c r="J65" s="180"/>
      <c r="K65" s="55"/>
      <c r="L65" s="41"/>
      <c r="M65" s="41"/>
      <c r="N65" s="175"/>
      <c r="O65" s="176"/>
      <c r="P65" s="176"/>
      <c r="Q65" s="176"/>
      <c r="R65" s="177"/>
      <c r="S65" s="41"/>
      <c r="T65" s="41"/>
      <c r="U65" s="178"/>
      <c r="V65" s="179"/>
      <c r="W65" s="180"/>
      <c r="X65" s="55"/>
      <c r="Y65" s="41"/>
      <c r="Z65" s="41"/>
    </row>
    <row r="66" spans="1:26" ht="18" customHeight="1" x14ac:dyDescent="0.15">
      <c r="A66" s="59"/>
      <c r="B66" s="200"/>
      <c r="C66" s="201"/>
      <c r="D66" s="201"/>
      <c r="E66" s="202"/>
      <c r="F66" s="42"/>
      <c r="G66" s="42"/>
      <c r="H66" s="197"/>
      <c r="I66" s="198"/>
      <c r="J66" s="199"/>
      <c r="K66" s="56"/>
      <c r="L66" s="43"/>
      <c r="M66" s="43"/>
      <c r="N66" s="200"/>
      <c r="O66" s="201"/>
      <c r="P66" s="201"/>
      <c r="Q66" s="201"/>
      <c r="R66" s="202"/>
      <c r="S66" s="42"/>
      <c r="T66" s="42"/>
      <c r="U66" s="197"/>
      <c r="V66" s="198"/>
      <c r="W66" s="199"/>
      <c r="X66" s="56"/>
      <c r="Y66" s="43"/>
      <c r="Z66" s="43"/>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28" t="s">
        <v>131</v>
      </c>
      <c r="B68" s="28"/>
      <c r="C68" s="28"/>
      <c r="D68" s="28"/>
      <c r="E68" s="28"/>
      <c r="F68" s="28"/>
      <c r="G68" s="28"/>
      <c r="H68" s="28"/>
      <c r="I68" s="28"/>
      <c r="J68" s="28"/>
      <c r="K68" s="28"/>
      <c r="L68" s="59"/>
      <c r="M68" s="59"/>
      <c r="N68" s="59"/>
      <c r="O68" s="59"/>
      <c r="P68" s="59"/>
      <c r="Q68" s="59"/>
      <c r="R68" s="59"/>
      <c r="S68" s="59"/>
      <c r="T68" s="59"/>
      <c r="U68" s="59"/>
      <c r="V68" s="59"/>
      <c r="W68" s="59"/>
      <c r="X68" s="59"/>
      <c r="Y68" s="59"/>
      <c r="Z68" s="59"/>
    </row>
    <row r="69" spans="1:26" ht="18" customHeight="1" x14ac:dyDescent="0.15">
      <c r="A69" s="28"/>
      <c r="B69" s="153" t="s">
        <v>96</v>
      </c>
      <c r="C69" s="154"/>
      <c r="D69" s="154"/>
      <c r="E69" s="154"/>
      <c r="F69" s="155"/>
      <c r="G69" s="153" t="s">
        <v>141</v>
      </c>
      <c r="H69" s="154"/>
      <c r="I69" s="154"/>
      <c r="J69" s="154"/>
      <c r="K69" s="154"/>
      <c r="L69" s="154"/>
      <c r="M69" s="155"/>
      <c r="N69" s="153" t="s">
        <v>96</v>
      </c>
      <c r="O69" s="154"/>
      <c r="P69" s="154"/>
      <c r="Q69" s="154"/>
      <c r="R69" s="154"/>
      <c r="S69" s="155"/>
      <c r="T69" s="153" t="s">
        <v>141</v>
      </c>
      <c r="U69" s="154"/>
      <c r="V69" s="154"/>
      <c r="W69" s="154"/>
      <c r="X69" s="154"/>
      <c r="Y69" s="154"/>
      <c r="Z69" s="155"/>
    </row>
    <row r="70" spans="1:26" ht="18" customHeight="1" x14ac:dyDescent="0.15">
      <c r="A70" s="59"/>
      <c r="B70" s="212" t="s">
        <v>155</v>
      </c>
      <c r="C70" s="213"/>
      <c r="D70" s="213"/>
      <c r="E70" s="213"/>
      <c r="F70" s="214"/>
      <c r="G70" s="215" t="s">
        <v>153</v>
      </c>
      <c r="H70" s="216"/>
      <c r="I70" s="216"/>
      <c r="J70" s="216"/>
      <c r="K70" s="216"/>
      <c r="L70" s="216"/>
      <c r="M70" s="217"/>
      <c r="N70" s="166" t="s">
        <v>169</v>
      </c>
      <c r="O70" s="167"/>
      <c r="P70" s="167"/>
      <c r="Q70" s="167"/>
      <c r="R70" s="167"/>
      <c r="S70" s="168"/>
      <c r="T70" s="215" t="s">
        <v>153</v>
      </c>
      <c r="U70" s="216"/>
      <c r="V70" s="216"/>
      <c r="W70" s="216"/>
      <c r="X70" s="216"/>
      <c r="Y70" s="216"/>
      <c r="Z70" s="217"/>
    </row>
    <row r="71" spans="1:26" ht="18" customHeight="1" x14ac:dyDescent="0.15">
      <c r="A71" s="59"/>
      <c r="B71" s="203" t="s">
        <v>156</v>
      </c>
      <c r="C71" s="204"/>
      <c r="D71" s="204"/>
      <c r="E71" s="204"/>
      <c r="F71" s="205"/>
      <c r="G71" s="206" t="s">
        <v>153</v>
      </c>
      <c r="H71" s="207"/>
      <c r="I71" s="207"/>
      <c r="J71" s="207"/>
      <c r="K71" s="207"/>
      <c r="L71" s="207"/>
      <c r="M71" s="208"/>
      <c r="N71" s="218" t="s">
        <v>165</v>
      </c>
      <c r="O71" s="219"/>
      <c r="P71" s="219"/>
      <c r="Q71" s="219"/>
      <c r="R71" s="219"/>
      <c r="S71" s="220"/>
      <c r="T71" s="206" t="s">
        <v>153</v>
      </c>
      <c r="U71" s="207"/>
      <c r="V71" s="207"/>
      <c r="W71" s="207"/>
      <c r="X71" s="207"/>
      <c r="Y71" s="207"/>
      <c r="Z71" s="208"/>
    </row>
    <row r="72" spans="1:26" ht="18" customHeight="1" x14ac:dyDescent="0.15">
      <c r="A72" s="59"/>
      <c r="B72" s="203" t="s">
        <v>157</v>
      </c>
      <c r="C72" s="204"/>
      <c r="D72" s="204"/>
      <c r="E72" s="204"/>
      <c r="F72" s="205"/>
      <c r="G72" s="206" t="s">
        <v>153</v>
      </c>
      <c r="H72" s="207"/>
      <c r="I72" s="207"/>
      <c r="J72" s="207"/>
      <c r="K72" s="207"/>
      <c r="L72" s="207"/>
      <c r="M72" s="208"/>
      <c r="N72" s="203" t="s">
        <v>166</v>
      </c>
      <c r="O72" s="204"/>
      <c r="P72" s="204"/>
      <c r="Q72" s="204"/>
      <c r="R72" s="204"/>
      <c r="S72" s="205"/>
      <c r="T72" s="206" t="s">
        <v>153</v>
      </c>
      <c r="U72" s="207"/>
      <c r="V72" s="207"/>
      <c r="W72" s="207"/>
      <c r="X72" s="207"/>
      <c r="Y72" s="207"/>
      <c r="Z72" s="208"/>
    </row>
    <row r="73" spans="1:26" ht="18" customHeight="1" x14ac:dyDescent="0.15">
      <c r="A73" s="59"/>
      <c r="B73" s="175" t="s">
        <v>158</v>
      </c>
      <c r="C73" s="176"/>
      <c r="D73" s="176"/>
      <c r="E73" s="176"/>
      <c r="F73" s="177"/>
      <c r="G73" s="206" t="s">
        <v>153</v>
      </c>
      <c r="H73" s="207"/>
      <c r="I73" s="207"/>
      <c r="J73" s="207"/>
      <c r="K73" s="207"/>
      <c r="L73" s="207"/>
      <c r="M73" s="208"/>
      <c r="N73" s="203" t="s">
        <v>170</v>
      </c>
      <c r="O73" s="204"/>
      <c r="P73" s="204"/>
      <c r="Q73" s="204"/>
      <c r="R73" s="204"/>
      <c r="S73" s="205"/>
      <c r="T73" s="209" t="s">
        <v>153</v>
      </c>
      <c r="U73" s="210"/>
      <c r="V73" s="210"/>
      <c r="W73" s="210"/>
      <c r="X73" s="210"/>
      <c r="Y73" s="210"/>
      <c r="Z73" s="211"/>
    </row>
    <row r="74" spans="1:26" ht="18" customHeight="1" x14ac:dyDescent="0.15">
      <c r="A74" s="59"/>
      <c r="B74" s="218" t="s">
        <v>161</v>
      </c>
      <c r="C74" s="219"/>
      <c r="D74" s="219"/>
      <c r="E74" s="219"/>
      <c r="F74" s="220"/>
      <c r="G74" s="206" t="s">
        <v>153</v>
      </c>
      <c r="H74" s="207"/>
      <c r="I74" s="207"/>
      <c r="J74" s="207"/>
      <c r="K74" s="207"/>
      <c r="L74" s="207"/>
      <c r="M74" s="208"/>
      <c r="N74" s="175" t="s">
        <v>171</v>
      </c>
      <c r="O74" s="176"/>
      <c r="P74" s="176"/>
      <c r="Q74" s="176"/>
      <c r="R74" s="176"/>
      <c r="S74" s="177"/>
      <c r="T74" s="206" t="s">
        <v>153</v>
      </c>
      <c r="U74" s="207"/>
      <c r="V74" s="207"/>
      <c r="W74" s="207"/>
      <c r="X74" s="207"/>
      <c r="Y74" s="207"/>
      <c r="Z74" s="208"/>
    </row>
    <row r="75" spans="1:26" ht="18" customHeight="1" x14ac:dyDescent="0.15">
      <c r="A75" s="59"/>
      <c r="B75" s="203" t="s">
        <v>162</v>
      </c>
      <c r="C75" s="204"/>
      <c r="D75" s="204"/>
      <c r="E75" s="204"/>
      <c r="F75" s="205"/>
      <c r="G75" s="206" t="s">
        <v>153</v>
      </c>
      <c r="H75" s="207"/>
      <c r="I75" s="207"/>
      <c r="J75" s="207"/>
      <c r="K75" s="207"/>
      <c r="L75" s="207"/>
      <c r="M75" s="208"/>
      <c r="N75" s="218" t="s">
        <v>287</v>
      </c>
      <c r="O75" s="219"/>
      <c r="P75" s="219"/>
      <c r="Q75" s="219"/>
      <c r="R75" s="219"/>
      <c r="S75" s="220"/>
      <c r="T75" s="206" t="s">
        <v>153</v>
      </c>
      <c r="U75" s="207"/>
      <c r="V75" s="207"/>
      <c r="W75" s="207"/>
      <c r="X75" s="207"/>
      <c r="Y75" s="207"/>
      <c r="Z75" s="208"/>
    </row>
    <row r="76" spans="1:26" ht="18" customHeight="1" x14ac:dyDescent="0.15">
      <c r="A76" s="59"/>
      <c r="B76" s="203" t="s">
        <v>167</v>
      </c>
      <c r="C76" s="204"/>
      <c r="D76" s="204"/>
      <c r="E76" s="204"/>
      <c r="F76" s="205"/>
      <c r="G76" s="209" t="s">
        <v>153</v>
      </c>
      <c r="H76" s="210"/>
      <c r="I76" s="210"/>
      <c r="J76" s="210"/>
      <c r="K76" s="210"/>
      <c r="L76" s="210"/>
      <c r="M76" s="211"/>
      <c r="N76" s="203" t="s">
        <v>172</v>
      </c>
      <c r="O76" s="204"/>
      <c r="P76" s="204"/>
      <c r="Q76" s="204"/>
      <c r="R76" s="204"/>
      <c r="S76" s="205"/>
      <c r="T76" s="206" t="s">
        <v>153</v>
      </c>
      <c r="U76" s="207"/>
      <c r="V76" s="207"/>
      <c r="W76" s="207"/>
      <c r="X76" s="207"/>
      <c r="Y76" s="207"/>
      <c r="Z76" s="208"/>
    </row>
    <row r="77" spans="1:26" ht="18" customHeight="1" x14ac:dyDescent="0.15">
      <c r="A77" s="59"/>
      <c r="B77" s="203" t="s">
        <v>168</v>
      </c>
      <c r="C77" s="204"/>
      <c r="D77" s="204"/>
      <c r="E77" s="204"/>
      <c r="F77" s="205"/>
      <c r="G77" s="221" t="s">
        <v>153</v>
      </c>
      <c r="H77" s="222"/>
      <c r="I77" s="222"/>
      <c r="J77" s="222"/>
      <c r="K77" s="222"/>
      <c r="L77" s="222"/>
      <c r="M77" s="223"/>
      <c r="N77" s="175" t="s">
        <v>173</v>
      </c>
      <c r="O77" s="176"/>
      <c r="P77" s="176"/>
      <c r="Q77" s="176"/>
      <c r="R77" s="176"/>
      <c r="S77" s="177"/>
      <c r="T77" s="206" t="s">
        <v>153</v>
      </c>
      <c r="U77" s="207"/>
      <c r="V77" s="207"/>
      <c r="W77" s="207"/>
      <c r="X77" s="207"/>
      <c r="Y77" s="207"/>
      <c r="Z77" s="208"/>
    </row>
    <row r="78" spans="1:26" ht="18" customHeight="1" x14ac:dyDescent="0.15">
      <c r="A78" s="59"/>
      <c r="B78" s="175" t="s">
        <v>178</v>
      </c>
      <c r="C78" s="176"/>
      <c r="D78" s="176"/>
      <c r="E78" s="176"/>
      <c r="F78" s="177"/>
      <c r="G78" s="206" t="s">
        <v>153</v>
      </c>
      <c r="H78" s="207"/>
      <c r="I78" s="207"/>
      <c r="J78" s="207"/>
      <c r="K78" s="207"/>
      <c r="L78" s="207"/>
      <c r="M78" s="208"/>
      <c r="N78" s="225" t="s">
        <v>288</v>
      </c>
      <c r="O78" s="226"/>
      <c r="P78" s="226"/>
      <c r="Q78" s="226"/>
      <c r="R78" s="226"/>
      <c r="S78" s="227"/>
      <c r="T78" s="206" t="s">
        <v>153</v>
      </c>
      <c r="U78" s="207"/>
      <c r="V78" s="207"/>
      <c r="W78" s="207"/>
      <c r="X78" s="207"/>
      <c r="Y78" s="207"/>
      <c r="Z78" s="208"/>
    </row>
    <row r="79" spans="1:26" ht="18" customHeight="1" x14ac:dyDescent="0.15">
      <c r="A79" s="59"/>
      <c r="B79" s="218" t="s">
        <v>180</v>
      </c>
      <c r="C79" s="219"/>
      <c r="D79" s="219"/>
      <c r="E79" s="219"/>
      <c r="F79" s="220"/>
      <c r="G79" s="206" t="s">
        <v>153</v>
      </c>
      <c r="H79" s="207"/>
      <c r="I79" s="207"/>
      <c r="J79" s="207"/>
      <c r="K79" s="207"/>
      <c r="L79" s="207"/>
      <c r="M79" s="208"/>
      <c r="N79" s="175" t="s">
        <v>179</v>
      </c>
      <c r="O79" s="176"/>
      <c r="P79" s="176"/>
      <c r="Q79" s="176"/>
      <c r="R79" s="176"/>
      <c r="S79" s="177"/>
      <c r="T79" s="206" t="s">
        <v>153</v>
      </c>
      <c r="U79" s="207"/>
      <c r="V79" s="207"/>
      <c r="W79" s="207"/>
      <c r="X79" s="207"/>
      <c r="Y79" s="207"/>
      <c r="Z79" s="208"/>
    </row>
    <row r="80" spans="1:26" ht="18" customHeight="1" x14ac:dyDescent="0.15">
      <c r="A80" s="59"/>
      <c r="B80" s="224" t="s">
        <v>182</v>
      </c>
      <c r="C80" s="176"/>
      <c r="D80" s="176"/>
      <c r="E80" s="176"/>
      <c r="F80" s="176"/>
      <c r="G80" s="209" t="s">
        <v>153</v>
      </c>
      <c r="H80" s="210"/>
      <c r="I80" s="210"/>
      <c r="J80" s="210"/>
      <c r="K80" s="210"/>
      <c r="L80" s="210"/>
      <c r="M80" s="210"/>
      <c r="N80" s="175" t="s">
        <v>181</v>
      </c>
      <c r="O80" s="176"/>
      <c r="P80" s="176"/>
      <c r="Q80" s="176"/>
      <c r="R80" s="176"/>
      <c r="S80" s="177"/>
      <c r="T80" s="206" t="s">
        <v>153</v>
      </c>
      <c r="U80" s="207"/>
      <c r="V80" s="207"/>
      <c r="W80" s="207"/>
      <c r="X80" s="207"/>
      <c r="Y80" s="207"/>
      <c r="Z80" s="208"/>
    </row>
    <row r="81" spans="1:26" ht="18" customHeight="1" x14ac:dyDescent="0.15">
      <c r="A81" s="59"/>
      <c r="B81" s="175" t="s">
        <v>159</v>
      </c>
      <c r="C81" s="176"/>
      <c r="D81" s="176"/>
      <c r="E81" s="176"/>
      <c r="F81" s="177"/>
      <c r="G81" s="209" t="s">
        <v>153</v>
      </c>
      <c r="H81" s="210"/>
      <c r="I81" s="210"/>
      <c r="J81" s="210"/>
      <c r="K81" s="210"/>
      <c r="L81" s="210"/>
      <c r="M81" s="211"/>
      <c r="N81" s="175" t="s">
        <v>174</v>
      </c>
      <c r="O81" s="176"/>
      <c r="P81" s="176"/>
      <c r="Q81" s="176"/>
      <c r="R81" s="176"/>
      <c r="S81" s="177"/>
      <c r="T81" s="206" t="s">
        <v>153</v>
      </c>
      <c r="U81" s="207"/>
      <c r="V81" s="207"/>
      <c r="W81" s="207"/>
      <c r="X81" s="207"/>
      <c r="Y81" s="207"/>
      <c r="Z81" s="208"/>
    </row>
    <row r="82" spans="1:26" ht="18" customHeight="1" x14ac:dyDescent="0.15">
      <c r="A82" s="59"/>
      <c r="B82" s="218" t="s">
        <v>160</v>
      </c>
      <c r="C82" s="219"/>
      <c r="D82" s="219"/>
      <c r="E82" s="219"/>
      <c r="F82" s="220"/>
      <c r="G82" s="209" t="s">
        <v>153</v>
      </c>
      <c r="H82" s="210"/>
      <c r="I82" s="210"/>
      <c r="J82" s="210"/>
      <c r="K82" s="210"/>
      <c r="L82" s="210"/>
      <c r="M82" s="211"/>
      <c r="N82" s="175" t="s">
        <v>175</v>
      </c>
      <c r="O82" s="176"/>
      <c r="P82" s="176"/>
      <c r="Q82" s="176"/>
      <c r="R82" s="176"/>
      <c r="S82" s="177"/>
      <c r="T82" s="206" t="s">
        <v>153</v>
      </c>
      <c r="U82" s="207"/>
      <c r="V82" s="207"/>
      <c r="W82" s="207"/>
      <c r="X82" s="207"/>
      <c r="Y82" s="207"/>
      <c r="Z82" s="208"/>
    </row>
    <row r="83" spans="1:26" ht="18" customHeight="1" x14ac:dyDescent="0.15">
      <c r="A83" s="59"/>
      <c r="B83" s="175" t="s">
        <v>183</v>
      </c>
      <c r="C83" s="176"/>
      <c r="D83" s="176"/>
      <c r="E83" s="176"/>
      <c r="F83" s="177"/>
      <c r="G83" s="209" t="s">
        <v>153</v>
      </c>
      <c r="H83" s="210"/>
      <c r="I83" s="210"/>
      <c r="J83" s="210"/>
      <c r="K83" s="210"/>
      <c r="L83" s="210"/>
      <c r="M83" s="211"/>
      <c r="N83" s="175" t="s">
        <v>176</v>
      </c>
      <c r="O83" s="176"/>
      <c r="P83" s="176"/>
      <c r="Q83" s="176"/>
      <c r="R83" s="176"/>
      <c r="S83" s="177"/>
      <c r="T83" s="206" t="s">
        <v>153</v>
      </c>
      <c r="U83" s="207"/>
      <c r="V83" s="207"/>
      <c r="W83" s="207"/>
      <c r="X83" s="207"/>
      <c r="Y83" s="207"/>
      <c r="Z83" s="208"/>
    </row>
    <row r="84" spans="1:26" ht="18" customHeight="1" x14ac:dyDescent="0.15">
      <c r="A84" s="59"/>
      <c r="B84" s="175" t="s">
        <v>184</v>
      </c>
      <c r="C84" s="176"/>
      <c r="D84" s="176"/>
      <c r="E84" s="176"/>
      <c r="F84" s="177"/>
      <c r="G84" s="209" t="s">
        <v>153</v>
      </c>
      <c r="H84" s="210"/>
      <c r="I84" s="210"/>
      <c r="J84" s="210"/>
      <c r="K84" s="210"/>
      <c r="L84" s="210"/>
      <c r="M84" s="211"/>
      <c r="N84" s="175" t="s">
        <v>177</v>
      </c>
      <c r="O84" s="176"/>
      <c r="P84" s="176"/>
      <c r="Q84" s="176"/>
      <c r="R84" s="176"/>
      <c r="S84" s="177"/>
      <c r="T84" s="206" t="s">
        <v>153</v>
      </c>
      <c r="U84" s="207"/>
      <c r="V84" s="207"/>
      <c r="W84" s="207"/>
      <c r="X84" s="207"/>
      <c r="Y84" s="207"/>
      <c r="Z84" s="208"/>
    </row>
    <row r="85" spans="1:26" ht="18" customHeight="1" x14ac:dyDescent="0.15">
      <c r="A85" s="59"/>
      <c r="B85" s="175" t="s">
        <v>163</v>
      </c>
      <c r="C85" s="176"/>
      <c r="D85" s="176"/>
      <c r="E85" s="176"/>
      <c r="F85" s="177"/>
      <c r="G85" s="209" t="s">
        <v>153</v>
      </c>
      <c r="H85" s="210"/>
      <c r="I85" s="210"/>
      <c r="J85" s="210"/>
      <c r="K85" s="210"/>
      <c r="L85" s="210"/>
      <c r="M85" s="211"/>
      <c r="N85" s="175" t="s">
        <v>210</v>
      </c>
      <c r="O85" s="176"/>
      <c r="P85" s="176"/>
      <c r="Q85" s="176"/>
      <c r="R85" s="176"/>
      <c r="S85" s="177"/>
      <c r="T85" s="206" t="s">
        <v>153</v>
      </c>
      <c r="U85" s="207"/>
      <c r="V85" s="207"/>
      <c r="W85" s="207"/>
      <c r="X85" s="207"/>
      <c r="Y85" s="207"/>
      <c r="Z85" s="208"/>
    </row>
    <row r="86" spans="1:26" ht="18" customHeight="1" x14ac:dyDescent="0.15">
      <c r="A86" s="59"/>
      <c r="B86" s="175" t="s">
        <v>164</v>
      </c>
      <c r="C86" s="176"/>
      <c r="D86" s="176"/>
      <c r="E86" s="176"/>
      <c r="F86" s="177"/>
      <c r="G86" s="209" t="s">
        <v>153</v>
      </c>
      <c r="H86" s="210"/>
      <c r="I86" s="210"/>
      <c r="J86" s="210"/>
      <c r="K86" s="210"/>
      <c r="L86" s="210"/>
      <c r="M86" s="211"/>
      <c r="N86" s="175" t="s">
        <v>212</v>
      </c>
      <c r="O86" s="176"/>
      <c r="P86" s="176"/>
      <c r="Q86" s="176"/>
      <c r="R86" s="176"/>
      <c r="S86" s="177"/>
      <c r="T86" s="209" t="s">
        <v>153</v>
      </c>
      <c r="U86" s="210"/>
      <c r="V86" s="210"/>
      <c r="W86" s="210"/>
      <c r="X86" s="210"/>
      <c r="Y86" s="210"/>
      <c r="Z86" s="211"/>
    </row>
    <row r="87" spans="1:26" ht="18" customHeight="1" x14ac:dyDescent="0.15">
      <c r="A87" s="59"/>
      <c r="B87" s="175" t="s">
        <v>199</v>
      </c>
      <c r="C87" s="176"/>
      <c r="D87" s="176"/>
      <c r="E87" s="176"/>
      <c r="F87" s="177"/>
      <c r="G87" s="209" t="s">
        <v>153</v>
      </c>
      <c r="H87" s="210"/>
      <c r="I87" s="210"/>
      <c r="J87" s="210"/>
      <c r="K87" s="210"/>
      <c r="L87" s="210"/>
      <c r="M87" s="211"/>
      <c r="N87" s="175" t="s">
        <v>214</v>
      </c>
      <c r="O87" s="176"/>
      <c r="P87" s="176"/>
      <c r="Q87" s="176"/>
      <c r="R87" s="176"/>
      <c r="S87" s="177"/>
      <c r="T87" s="221" t="s">
        <v>153</v>
      </c>
      <c r="U87" s="222"/>
      <c r="V87" s="222"/>
      <c r="W87" s="222"/>
      <c r="X87" s="222"/>
      <c r="Y87" s="222"/>
      <c r="Z87" s="223"/>
    </row>
    <row r="88" spans="1:26" ht="18" customHeight="1" x14ac:dyDescent="0.15">
      <c r="A88" s="59"/>
      <c r="B88" s="175" t="s">
        <v>200</v>
      </c>
      <c r="C88" s="176"/>
      <c r="D88" s="176"/>
      <c r="E88" s="176"/>
      <c r="F88" s="177"/>
      <c r="G88" s="209" t="s">
        <v>153</v>
      </c>
      <c r="H88" s="210"/>
      <c r="I88" s="210"/>
      <c r="J88" s="210"/>
      <c r="K88" s="210"/>
      <c r="L88" s="210"/>
      <c r="M88" s="211"/>
      <c r="N88" s="175" t="s">
        <v>215</v>
      </c>
      <c r="O88" s="176"/>
      <c r="P88" s="176"/>
      <c r="Q88" s="176"/>
      <c r="R88" s="176"/>
      <c r="S88" s="177"/>
      <c r="T88" s="206" t="s">
        <v>153</v>
      </c>
      <c r="U88" s="207"/>
      <c r="V88" s="207"/>
      <c r="W88" s="207"/>
      <c r="X88" s="207"/>
      <c r="Y88" s="207"/>
      <c r="Z88" s="208"/>
    </row>
    <row r="89" spans="1:26" ht="18" customHeight="1" x14ac:dyDescent="0.15">
      <c r="A89" s="59"/>
      <c r="B89" s="175" t="s">
        <v>281</v>
      </c>
      <c r="C89" s="176"/>
      <c r="D89" s="176"/>
      <c r="E89" s="176"/>
      <c r="F89" s="177"/>
      <c r="G89" s="209" t="s">
        <v>153</v>
      </c>
      <c r="H89" s="210"/>
      <c r="I89" s="210"/>
      <c r="J89" s="210"/>
      <c r="K89" s="210"/>
      <c r="L89" s="210"/>
      <c r="M89" s="211"/>
      <c r="N89" s="175" t="s">
        <v>235</v>
      </c>
      <c r="O89" s="176"/>
      <c r="P89" s="176"/>
      <c r="Q89" s="176"/>
      <c r="R89" s="176"/>
      <c r="S89" s="177"/>
      <c r="T89" s="206" t="s">
        <v>153</v>
      </c>
      <c r="U89" s="207"/>
      <c r="V89" s="207"/>
      <c r="W89" s="207"/>
      <c r="X89" s="207"/>
      <c r="Y89" s="207"/>
      <c r="Z89" s="208"/>
    </row>
    <row r="90" spans="1:26" ht="18" customHeight="1" x14ac:dyDescent="0.15">
      <c r="A90" s="59"/>
      <c r="B90" s="175" t="s">
        <v>185</v>
      </c>
      <c r="C90" s="176"/>
      <c r="D90" s="176"/>
      <c r="E90" s="176"/>
      <c r="F90" s="177"/>
      <c r="G90" s="209" t="s">
        <v>153</v>
      </c>
      <c r="H90" s="210"/>
      <c r="I90" s="210"/>
      <c r="J90" s="210"/>
      <c r="K90" s="210"/>
      <c r="L90" s="210"/>
      <c r="M90" s="211"/>
      <c r="N90" s="175" t="s">
        <v>216</v>
      </c>
      <c r="O90" s="176"/>
      <c r="P90" s="176"/>
      <c r="Q90" s="176"/>
      <c r="R90" s="176"/>
      <c r="S90" s="177"/>
      <c r="T90" s="206" t="s">
        <v>154</v>
      </c>
      <c r="U90" s="207"/>
      <c r="V90" s="207"/>
      <c r="W90" s="207"/>
      <c r="X90" s="207"/>
      <c r="Y90" s="207"/>
      <c r="Z90" s="208"/>
    </row>
    <row r="91" spans="1:26" ht="18" customHeight="1" x14ac:dyDescent="0.15">
      <c r="A91" s="59"/>
      <c r="B91" s="175" t="s">
        <v>286</v>
      </c>
      <c r="C91" s="176"/>
      <c r="D91" s="176"/>
      <c r="E91" s="176"/>
      <c r="F91" s="177"/>
      <c r="G91" s="209" t="s">
        <v>154</v>
      </c>
      <c r="H91" s="210"/>
      <c r="I91" s="210"/>
      <c r="J91" s="210"/>
      <c r="K91" s="210"/>
      <c r="L91" s="210"/>
      <c r="M91" s="211"/>
      <c r="N91" s="175" t="s">
        <v>201</v>
      </c>
      <c r="O91" s="176"/>
      <c r="P91" s="176"/>
      <c r="Q91" s="176"/>
      <c r="R91" s="176"/>
      <c r="S91" s="177"/>
      <c r="T91" s="206" t="s">
        <v>186</v>
      </c>
      <c r="U91" s="207"/>
      <c r="V91" s="207"/>
      <c r="W91" s="207"/>
      <c r="X91" s="207"/>
      <c r="Y91" s="207"/>
      <c r="Z91" s="208"/>
    </row>
    <row r="92" spans="1:26" ht="18" customHeight="1" x14ac:dyDescent="0.15">
      <c r="A92" s="59"/>
      <c r="B92" s="175" t="s">
        <v>217</v>
      </c>
      <c r="C92" s="176"/>
      <c r="D92" s="176"/>
      <c r="E92" s="176"/>
      <c r="F92" s="177"/>
      <c r="G92" s="209" t="s">
        <v>186</v>
      </c>
      <c r="H92" s="210"/>
      <c r="I92" s="210"/>
      <c r="J92" s="210"/>
      <c r="K92" s="210"/>
      <c r="L92" s="210"/>
      <c r="M92" s="211"/>
      <c r="N92" s="175" t="s">
        <v>226</v>
      </c>
      <c r="O92" s="176"/>
      <c r="P92" s="176"/>
      <c r="Q92" s="176"/>
      <c r="R92" s="176"/>
      <c r="S92" s="177"/>
      <c r="T92" s="209" t="s">
        <v>186</v>
      </c>
      <c r="U92" s="210"/>
      <c r="V92" s="210"/>
      <c r="W92" s="210"/>
      <c r="X92" s="210"/>
      <c r="Y92" s="210"/>
      <c r="Z92" s="211"/>
    </row>
    <row r="93" spans="1:26" ht="18" customHeight="1" x14ac:dyDescent="0.15">
      <c r="A93" s="59"/>
      <c r="B93" s="224" t="s">
        <v>218</v>
      </c>
      <c r="C93" s="176"/>
      <c r="D93" s="176"/>
      <c r="E93" s="176"/>
      <c r="F93" s="177"/>
      <c r="G93" s="209" t="s">
        <v>186</v>
      </c>
      <c r="H93" s="210"/>
      <c r="I93" s="210"/>
      <c r="J93" s="210"/>
      <c r="K93" s="210"/>
      <c r="L93" s="210"/>
      <c r="M93" s="210"/>
      <c r="N93" s="175" t="s">
        <v>227</v>
      </c>
      <c r="O93" s="176"/>
      <c r="P93" s="176"/>
      <c r="Q93" s="176"/>
      <c r="R93" s="176"/>
      <c r="S93" s="177"/>
      <c r="T93" s="209" t="s">
        <v>186</v>
      </c>
      <c r="U93" s="210"/>
      <c r="V93" s="210"/>
      <c r="W93" s="210"/>
      <c r="X93" s="210"/>
      <c r="Y93" s="210"/>
      <c r="Z93" s="211"/>
    </row>
    <row r="94" spans="1:26" ht="18" customHeight="1" x14ac:dyDescent="0.15">
      <c r="A94" s="59"/>
      <c r="B94" s="175" t="s">
        <v>219</v>
      </c>
      <c r="C94" s="176"/>
      <c r="D94" s="176"/>
      <c r="E94" s="176"/>
      <c r="F94" s="177"/>
      <c r="G94" s="209" t="s">
        <v>186</v>
      </c>
      <c r="H94" s="210"/>
      <c r="I94" s="210"/>
      <c r="J94" s="210"/>
      <c r="K94" s="210"/>
      <c r="L94" s="210"/>
      <c r="M94" s="211"/>
      <c r="N94" s="175" t="s">
        <v>228</v>
      </c>
      <c r="O94" s="176"/>
      <c r="P94" s="176"/>
      <c r="Q94" s="176"/>
      <c r="R94" s="176"/>
      <c r="S94" s="177"/>
      <c r="T94" s="206" t="s">
        <v>186</v>
      </c>
      <c r="U94" s="207"/>
      <c r="V94" s="207"/>
      <c r="W94" s="207"/>
      <c r="X94" s="207"/>
      <c r="Y94" s="207"/>
      <c r="Z94" s="208"/>
    </row>
    <row r="95" spans="1:26" ht="18" customHeight="1" x14ac:dyDescent="0.15">
      <c r="A95" s="59"/>
      <c r="B95" s="175" t="s">
        <v>220</v>
      </c>
      <c r="C95" s="176"/>
      <c r="D95" s="176"/>
      <c r="E95" s="176"/>
      <c r="F95" s="177"/>
      <c r="G95" s="209" t="s">
        <v>186</v>
      </c>
      <c r="H95" s="210"/>
      <c r="I95" s="210"/>
      <c r="J95" s="210"/>
      <c r="K95" s="210"/>
      <c r="L95" s="210"/>
      <c r="M95" s="211"/>
      <c r="N95" s="175" t="s">
        <v>229</v>
      </c>
      <c r="O95" s="176"/>
      <c r="P95" s="176"/>
      <c r="Q95" s="176"/>
      <c r="R95" s="176"/>
      <c r="S95" s="177"/>
      <c r="T95" s="209" t="s">
        <v>186</v>
      </c>
      <c r="U95" s="210"/>
      <c r="V95" s="210"/>
      <c r="W95" s="210"/>
      <c r="X95" s="210"/>
      <c r="Y95" s="210"/>
      <c r="Z95" s="211"/>
    </row>
    <row r="96" spans="1:26" ht="18" customHeight="1" x14ac:dyDescent="0.15">
      <c r="A96" s="59"/>
      <c r="B96" s="175" t="s">
        <v>221</v>
      </c>
      <c r="C96" s="176"/>
      <c r="D96" s="176"/>
      <c r="E96" s="176"/>
      <c r="F96" s="177"/>
      <c r="G96" s="209" t="s">
        <v>186</v>
      </c>
      <c r="H96" s="210"/>
      <c r="I96" s="210"/>
      <c r="J96" s="210"/>
      <c r="K96" s="210"/>
      <c r="L96" s="210"/>
      <c r="M96" s="211"/>
      <c r="N96" s="175" t="s">
        <v>230</v>
      </c>
      <c r="O96" s="176"/>
      <c r="P96" s="176"/>
      <c r="Q96" s="176"/>
      <c r="R96" s="176"/>
      <c r="S96" s="177"/>
      <c r="T96" s="221" t="s">
        <v>186</v>
      </c>
      <c r="U96" s="222"/>
      <c r="V96" s="222"/>
      <c r="W96" s="222"/>
      <c r="X96" s="222"/>
      <c r="Y96" s="222"/>
      <c r="Z96" s="223"/>
    </row>
    <row r="97" spans="1:26" ht="18" customHeight="1" x14ac:dyDescent="0.15">
      <c r="A97" s="59"/>
      <c r="B97" s="175" t="s">
        <v>193</v>
      </c>
      <c r="C97" s="176"/>
      <c r="D97" s="176"/>
      <c r="E97" s="176"/>
      <c r="F97" s="177"/>
      <c r="G97" s="209" t="s">
        <v>186</v>
      </c>
      <c r="H97" s="210"/>
      <c r="I97" s="210"/>
      <c r="J97" s="210"/>
      <c r="K97" s="210"/>
      <c r="L97" s="210"/>
      <c r="M97" s="211"/>
      <c r="N97" s="175" t="s">
        <v>286</v>
      </c>
      <c r="O97" s="176"/>
      <c r="P97" s="176"/>
      <c r="Q97" s="176"/>
      <c r="R97" s="176"/>
      <c r="S97" s="177"/>
      <c r="T97" s="206" t="s">
        <v>186</v>
      </c>
      <c r="U97" s="207"/>
      <c r="V97" s="207"/>
      <c r="W97" s="207"/>
      <c r="X97" s="207"/>
      <c r="Y97" s="207"/>
      <c r="Z97" s="208"/>
    </row>
    <row r="98" spans="1:26" ht="18" customHeight="1" x14ac:dyDescent="0.15">
      <c r="A98" s="59"/>
      <c r="B98" s="175" t="s">
        <v>194</v>
      </c>
      <c r="C98" s="176"/>
      <c r="D98" s="176"/>
      <c r="E98" s="176"/>
      <c r="F98" s="177"/>
      <c r="G98" s="209" t="s">
        <v>186</v>
      </c>
      <c r="H98" s="210"/>
      <c r="I98" s="210"/>
      <c r="J98" s="210"/>
      <c r="K98" s="210"/>
      <c r="L98" s="210"/>
      <c r="M98" s="211"/>
      <c r="N98" s="175" t="s">
        <v>268</v>
      </c>
      <c r="O98" s="176"/>
      <c r="P98" s="176"/>
      <c r="Q98" s="176"/>
      <c r="R98" s="176"/>
      <c r="S98" s="177"/>
      <c r="T98" s="206" t="s">
        <v>186</v>
      </c>
      <c r="U98" s="207"/>
      <c r="V98" s="207"/>
      <c r="W98" s="207"/>
      <c r="X98" s="207"/>
      <c r="Y98" s="207"/>
      <c r="Z98" s="208"/>
    </row>
    <row r="99" spans="1:26" ht="18" customHeight="1" x14ac:dyDescent="0.15">
      <c r="A99" s="59"/>
      <c r="B99" s="175" t="s">
        <v>195</v>
      </c>
      <c r="C99" s="176"/>
      <c r="D99" s="176"/>
      <c r="E99" s="176"/>
      <c r="F99" s="177"/>
      <c r="G99" s="209" t="s">
        <v>186</v>
      </c>
      <c r="H99" s="210"/>
      <c r="I99" s="210"/>
      <c r="J99" s="210"/>
      <c r="K99" s="210"/>
      <c r="L99" s="210"/>
      <c r="M99" s="211"/>
      <c r="N99" s="175" t="s">
        <v>241</v>
      </c>
      <c r="O99" s="176"/>
      <c r="P99" s="176"/>
      <c r="Q99" s="176"/>
      <c r="R99" s="176"/>
      <c r="S99" s="177"/>
      <c r="T99" s="206" t="s">
        <v>186</v>
      </c>
      <c r="U99" s="207"/>
      <c r="V99" s="207"/>
      <c r="W99" s="207"/>
      <c r="X99" s="207"/>
      <c r="Y99" s="207"/>
      <c r="Z99" s="208"/>
    </row>
    <row r="100" spans="1:26" ht="18" customHeight="1" x14ac:dyDescent="0.15">
      <c r="A100" s="59"/>
      <c r="B100" s="175" t="s">
        <v>197</v>
      </c>
      <c r="C100" s="176"/>
      <c r="D100" s="176"/>
      <c r="E100" s="176"/>
      <c r="F100" s="177"/>
      <c r="G100" s="209" t="s">
        <v>186</v>
      </c>
      <c r="H100" s="210"/>
      <c r="I100" s="210"/>
      <c r="J100" s="210"/>
      <c r="K100" s="210"/>
      <c r="L100" s="210"/>
      <c r="M100" s="211"/>
      <c r="N100" s="175" t="s">
        <v>242</v>
      </c>
      <c r="O100" s="176"/>
      <c r="P100" s="176"/>
      <c r="Q100" s="176"/>
      <c r="R100" s="176"/>
      <c r="S100" s="177"/>
      <c r="T100" s="206" t="s">
        <v>186</v>
      </c>
      <c r="U100" s="207"/>
      <c r="V100" s="207"/>
      <c r="W100" s="207"/>
      <c r="X100" s="207"/>
      <c r="Y100" s="207"/>
      <c r="Z100" s="208"/>
    </row>
    <row r="101" spans="1:26" ht="18" customHeight="1" x14ac:dyDescent="0.15">
      <c r="A101" s="59"/>
      <c r="B101" s="175" t="s">
        <v>316</v>
      </c>
      <c r="C101" s="176"/>
      <c r="D101" s="176"/>
      <c r="E101" s="176"/>
      <c r="F101" s="177"/>
      <c r="G101" s="209" t="s">
        <v>186</v>
      </c>
      <c r="H101" s="210"/>
      <c r="I101" s="210"/>
      <c r="J101" s="210"/>
      <c r="K101" s="210"/>
      <c r="L101" s="210"/>
      <c r="M101" s="211"/>
      <c r="N101" s="175" t="s">
        <v>243</v>
      </c>
      <c r="O101" s="176"/>
      <c r="P101" s="176"/>
      <c r="Q101" s="176"/>
      <c r="R101" s="176"/>
      <c r="S101" s="177"/>
      <c r="T101" s="209" t="s">
        <v>186</v>
      </c>
      <c r="U101" s="210"/>
      <c r="V101" s="210"/>
      <c r="W101" s="210"/>
      <c r="X101" s="210"/>
      <c r="Y101" s="210"/>
      <c r="Z101" s="211"/>
    </row>
    <row r="102" spans="1:26" ht="18" customHeight="1" x14ac:dyDescent="0.15">
      <c r="A102" s="59"/>
      <c r="B102" s="175" t="s">
        <v>187</v>
      </c>
      <c r="C102" s="176"/>
      <c r="D102" s="176"/>
      <c r="E102" s="176"/>
      <c r="F102" s="177"/>
      <c r="G102" s="209" t="s">
        <v>186</v>
      </c>
      <c r="H102" s="210"/>
      <c r="I102" s="210"/>
      <c r="J102" s="210"/>
      <c r="K102" s="210"/>
      <c r="L102" s="210"/>
      <c r="M102" s="211"/>
      <c r="N102" s="175" t="s">
        <v>198</v>
      </c>
      <c r="O102" s="176"/>
      <c r="P102" s="176"/>
      <c r="Q102" s="176"/>
      <c r="R102" s="176"/>
      <c r="S102" s="177"/>
      <c r="T102" s="221" t="s">
        <v>186</v>
      </c>
      <c r="U102" s="222"/>
      <c r="V102" s="222"/>
      <c r="W102" s="222"/>
      <c r="X102" s="222"/>
      <c r="Y102" s="222"/>
      <c r="Z102" s="223"/>
    </row>
    <row r="103" spans="1:26" ht="18" customHeight="1" x14ac:dyDescent="0.15">
      <c r="A103" s="59"/>
      <c r="B103" s="175" t="s">
        <v>231</v>
      </c>
      <c r="C103" s="176"/>
      <c r="D103" s="176"/>
      <c r="E103" s="176"/>
      <c r="F103" s="177"/>
      <c r="G103" s="209" t="s">
        <v>186</v>
      </c>
      <c r="H103" s="210"/>
      <c r="I103" s="210"/>
      <c r="J103" s="210"/>
      <c r="K103" s="210"/>
      <c r="L103" s="210"/>
      <c r="M103" s="211"/>
      <c r="N103" s="175" t="s">
        <v>206</v>
      </c>
      <c r="O103" s="176"/>
      <c r="P103" s="176"/>
      <c r="Q103" s="176"/>
      <c r="R103" s="176"/>
      <c r="S103" s="177"/>
      <c r="T103" s="209" t="s">
        <v>186</v>
      </c>
      <c r="U103" s="210"/>
      <c r="V103" s="210"/>
      <c r="W103" s="210"/>
      <c r="X103" s="210"/>
      <c r="Y103" s="210"/>
      <c r="Z103" s="211"/>
    </row>
    <row r="104" spans="1:26" ht="18" customHeight="1" x14ac:dyDescent="0.15">
      <c r="A104" s="59"/>
      <c r="B104" s="175" t="s">
        <v>207</v>
      </c>
      <c r="C104" s="176"/>
      <c r="D104" s="176"/>
      <c r="E104" s="176"/>
      <c r="F104" s="177"/>
      <c r="G104" s="209" t="s">
        <v>186</v>
      </c>
      <c r="H104" s="210"/>
      <c r="I104" s="210"/>
      <c r="J104" s="210"/>
      <c r="K104" s="210"/>
      <c r="L104" s="210"/>
      <c r="M104" s="211"/>
      <c r="N104" s="175" t="s">
        <v>208</v>
      </c>
      <c r="O104" s="176"/>
      <c r="P104" s="176"/>
      <c r="Q104" s="176"/>
      <c r="R104" s="176"/>
      <c r="S104" s="177"/>
      <c r="T104" s="209" t="s">
        <v>186</v>
      </c>
      <c r="U104" s="210"/>
      <c r="V104" s="210"/>
      <c r="W104" s="210"/>
      <c r="X104" s="210"/>
      <c r="Y104" s="210"/>
      <c r="Z104" s="211"/>
    </row>
    <row r="105" spans="1:26" ht="18" customHeight="1" x14ac:dyDescent="0.15">
      <c r="A105" s="59"/>
      <c r="B105" s="175" t="s">
        <v>211</v>
      </c>
      <c r="C105" s="176"/>
      <c r="D105" s="176"/>
      <c r="E105" s="176"/>
      <c r="F105" s="177"/>
      <c r="G105" s="209" t="s">
        <v>186</v>
      </c>
      <c r="H105" s="210"/>
      <c r="I105" s="210"/>
      <c r="J105" s="210"/>
      <c r="K105" s="210"/>
      <c r="L105" s="210"/>
      <c r="M105" s="211"/>
      <c r="N105" s="175" t="s">
        <v>209</v>
      </c>
      <c r="O105" s="176"/>
      <c r="P105" s="176"/>
      <c r="Q105" s="176"/>
      <c r="R105" s="176"/>
      <c r="S105" s="177"/>
      <c r="T105" s="221" t="s">
        <v>186</v>
      </c>
      <c r="U105" s="222"/>
      <c r="V105" s="222"/>
      <c r="W105" s="222"/>
      <c r="X105" s="222"/>
      <c r="Y105" s="222"/>
      <c r="Z105" s="223"/>
    </row>
    <row r="106" spans="1:26" ht="18" customHeight="1" x14ac:dyDescent="0.15">
      <c r="A106" s="59"/>
      <c r="B106" s="175" t="s">
        <v>225</v>
      </c>
      <c r="C106" s="176"/>
      <c r="D106" s="176"/>
      <c r="E106" s="176"/>
      <c r="F106" s="177"/>
      <c r="G106" s="209" t="s">
        <v>234</v>
      </c>
      <c r="H106" s="210"/>
      <c r="I106" s="210"/>
      <c r="J106" s="210"/>
      <c r="K106" s="210"/>
      <c r="L106" s="210"/>
      <c r="M106" s="211"/>
      <c r="N106" s="175" t="s">
        <v>192</v>
      </c>
      <c r="O106" s="176"/>
      <c r="P106" s="176"/>
      <c r="Q106" s="176"/>
      <c r="R106" s="176"/>
      <c r="S106" s="177"/>
      <c r="T106" s="206" t="s">
        <v>233</v>
      </c>
      <c r="U106" s="207"/>
      <c r="V106" s="207"/>
      <c r="W106" s="207"/>
      <c r="X106" s="207"/>
      <c r="Y106" s="207"/>
      <c r="Z106" s="208"/>
    </row>
    <row r="107" spans="1:26" ht="18" customHeight="1" x14ac:dyDescent="0.15">
      <c r="A107" s="59"/>
      <c r="B107" s="175" t="s">
        <v>191</v>
      </c>
      <c r="C107" s="176"/>
      <c r="D107" s="176"/>
      <c r="E107" s="176"/>
      <c r="F107" s="177"/>
      <c r="G107" s="209" t="s">
        <v>233</v>
      </c>
      <c r="H107" s="210"/>
      <c r="I107" s="210"/>
      <c r="J107" s="210"/>
      <c r="K107" s="210"/>
      <c r="L107" s="210"/>
      <c r="M107" s="211"/>
      <c r="N107" s="175" t="s">
        <v>190</v>
      </c>
      <c r="O107" s="176"/>
      <c r="P107" s="176"/>
      <c r="Q107" s="176"/>
      <c r="R107" s="176"/>
      <c r="S107" s="177"/>
      <c r="T107" s="209" t="s">
        <v>233</v>
      </c>
      <c r="U107" s="210"/>
      <c r="V107" s="210"/>
      <c r="W107" s="210"/>
      <c r="X107" s="210"/>
      <c r="Y107" s="210"/>
      <c r="Z107" s="211"/>
    </row>
    <row r="108" spans="1:26" ht="18" customHeight="1" x14ac:dyDescent="0.15">
      <c r="A108" s="59"/>
      <c r="B108" s="175" t="s">
        <v>203</v>
      </c>
      <c r="C108" s="176"/>
      <c r="D108" s="176"/>
      <c r="E108" s="176"/>
      <c r="F108" s="177"/>
      <c r="G108" s="209" t="s">
        <v>233</v>
      </c>
      <c r="H108" s="210"/>
      <c r="I108" s="210"/>
      <c r="J108" s="210"/>
      <c r="K108" s="210"/>
      <c r="L108" s="210"/>
      <c r="M108" s="211"/>
      <c r="N108" s="175" t="s">
        <v>196</v>
      </c>
      <c r="O108" s="176"/>
      <c r="P108" s="176"/>
      <c r="Q108" s="176"/>
      <c r="R108" s="176"/>
      <c r="S108" s="177"/>
      <c r="T108" s="221" t="s">
        <v>233</v>
      </c>
      <c r="U108" s="222"/>
      <c r="V108" s="222"/>
      <c r="W108" s="222"/>
      <c r="X108" s="222"/>
      <c r="Y108" s="222"/>
      <c r="Z108" s="223"/>
    </row>
    <row r="109" spans="1:26" ht="18" customHeight="1" x14ac:dyDescent="0.15">
      <c r="A109" s="59"/>
      <c r="B109" s="175" t="s">
        <v>204</v>
      </c>
      <c r="C109" s="176"/>
      <c r="D109" s="176"/>
      <c r="E109" s="176"/>
      <c r="F109" s="177"/>
      <c r="G109" s="209" t="s">
        <v>233</v>
      </c>
      <c r="H109" s="210"/>
      <c r="I109" s="210"/>
      <c r="J109" s="210"/>
      <c r="K109" s="210"/>
      <c r="L109" s="210"/>
      <c r="M109" s="211"/>
      <c r="N109" s="175" t="s">
        <v>278</v>
      </c>
      <c r="O109" s="176"/>
      <c r="P109" s="176"/>
      <c r="Q109" s="176"/>
      <c r="R109" s="176"/>
      <c r="S109" s="177"/>
      <c r="T109" s="206" t="s">
        <v>233</v>
      </c>
      <c r="U109" s="207"/>
      <c r="V109" s="207"/>
      <c r="W109" s="207"/>
      <c r="X109" s="207"/>
      <c r="Y109" s="207"/>
      <c r="Z109" s="208"/>
    </row>
    <row r="110" spans="1:26" ht="18" customHeight="1" x14ac:dyDescent="0.15">
      <c r="A110" s="59"/>
      <c r="B110" s="175" t="s">
        <v>205</v>
      </c>
      <c r="C110" s="176"/>
      <c r="D110" s="176"/>
      <c r="E110" s="176"/>
      <c r="F110" s="177"/>
      <c r="G110" s="209" t="s">
        <v>233</v>
      </c>
      <c r="H110" s="210"/>
      <c r="I110" s="210"/>
      <c r="J110" s="210"/>
      <c r="K110" s="210"/>
      <c r="L110" s="210"/>
      <c r="M110" s="211"/>
      <c r="N110" s="175" t="s">
        <v>238</v>
      </c>
      <c r="O110" s="176"/>
      <c r="P110" s="176"/>
      <c r="Q110" s="176"/>
      <c r="R110" s="176"/>
      <c r="S110" s="177"/>
      <c r="T110" s="206" t="s">
        <v>233</v>
      </c>
      <c r="U110" s="207"/>
      <c r="V110" s="207"/>
      <c r="W110" s="207"/>
      <c r="X110" s="207"/>
      <c r="Y110" s="207"/>
      <c r="Z110" s="208"/>
    </row>
    <row r="111" spans="1:26" ht="18" customHeight="1" x14ac:dyDescent="0.15">
      <c r="A111" s="59"/>
      <c r="B111" s="228" t="s">
        <v>277</v>
      </c>
      <c r="C111" s="229"/>
      <c r="D111" s="229"/>
      <c r="E111" s="229"/>
      <c r="F111" s="230"/>
      <c r="G111" s="209" t="s">
        <v>233</v>
      </c>
      <c r="H111" s="210"/>
      <c r="I111" s="210"/>
      <c r="J111" s="210"/>
      <c r="K111" s="210"/>
      <c r="L111" s="210"/>
      <c r="M111" s="211"/>
      <c r="N111" s="175" t="s">
        <v>222</v>
      </c>
      <c r="O111" s="176"/>
      <c r="P111" s="176"/>
      <c r="Q111" s="176"/>
      <c r="R111" s="176"/>
      <c r="S111" s="177"/>
      <c r="T111" s="206" t="s">
        <v>233</v>
      </c>
      <c r="U111" s="207"/>
      <c r="V111" s="207"/>
      <c r="W111" s="207"/>
      <c r="X111" s="207"/>
      <c r="Y111" s="207"/>
      <c r="Z111" s="208"/>
    </row>
    <row r="112" spans="1:26" ht="18" customHeight="1" x14ac:dyDescent="0.15">
      <c r="A112" s="59"/>
      <c r="B112" s="175" t="s">
        <v>213</v>
      </c>
      <c r="C112" s="176"/>
      <c r="D112" s="176"/>
      <c r="E112" s="176"/>
      <c r="F112" s="177"/>
      <c r="G112" s="209" t="s">
        <v>233</v>
      </c>
      <c r="H112" s="210"/>
      <c r="I112" s="210"/>
      <c r="J112" s="210"/>
      <c r="K112" s="210"/>
      <c r="L112" s="210"/>
      <c r="M112" s="211"/>
      <c r="N112" s="175" t="s">
        <v>223</v>
      </c>
      <c r="O112" s="176"/>
      <c r="P112" s="176"/>
      <c r="Q112" s="176"/>
      <c r="R112" s="176"/>
      <c r="S112" s="177"/>
      <c r="T112" s="206" t="s">
        <v>233</v>
      </c>
      <c r="U112" s="207"/>
      <c r="V112" s="207"/>
      <c r="W112" s="207"/>
      <c r="X112" s="207"/>
      <c r="Y112" s="207"/>
      <c r="Z112" s="208"/>
    </row>
    <row r="113" spans="1:26" ht="18" customHeight="1" x14ac:dyDescent="0.15">
      <c r="A113" s="59"/>
      <c r="B113" s="175" t="s">
        <v>188</v>
      </c>
      <c r="C113" s="176"/>
      <c r="D113" s="176"/>
      <c r="E113" s="176"/>
      <c r="F113" s="177"/>
      <c r="G113" s="209" t="s">
        <v>233</v>
      </c>
      <c r="H113" s="210"/>
      <c r="I113" s="210"/>
      <c r="J113" s="210"/>
      <c r="K113" s="210"/>
      <c r="L113" s="210"/>
      <c r="M113" s="211"/>
      <c r="N113" s="175" t="s">
        <v>224</v>
      </c>
      <c r="O113" s="176"/>
      <c r="P113" s="176"/>
      <c r="Q113" s="176"/>
      <c r="R113" s="176"/>
      <c r="S113" s="177"/>
      <c r="T113" s="206" t="s">
        <v>233</v>
      </c>
      <c r="U113" s="207"/>
      <c r="V113" s="207"/>
      <c r="W113" s="207"/>
      <c r="X113" s="207"/>
      <c r="Y113" s="207"/>
      <c r="Z113" s="208"/>
    </row>
    <row r="114" spans="1:26" ht="18" customHeight="1" x14ac:dyDescent="0.15">
      <c r="A114" s="59"/>
      <c r="B114" s="239" t="s">
        <v>189</v>
      </c>
      <c r="C114" s="240"/>
      <c r="D114" s="240"/>
      <c r="E114" s="240"/>
      <c r="F114" s="241"/>
      <c r="G114" s="242" t="s">
        <v>233</v>
      </c>
      <c r="H114" s="243"/>
      <c r="I114" s="243"/>
      <c r="J114" s="243"/>
      <c r="K114" s="243"/>
      <c r="L114" s="243"/>
      <c r="M114" s="244"/>
      <c r="N114" s="239" t="s">
        <v>232</v>
      </c>
      <c r="O114" s="240"/>
      <c r="P114" s="240"/>
      <c r="Q114" s="240"/>
      <c r="R114" s="240"/>
      <c r="S114" s="241"/>
      <c r="T114" s="242" t="s">
        <v>233</v>
      </c>
      <c r="U114" s="243"/>
      <c r="V114" s="243"/>
      <c r="W114" s="243"/>
      <c r="X114" s="243"/>
      <c r="Y114" s="243"/>
      <c r="Z114" s="244"/>
    </row>
    <row r="115" spans="1:26" ht="18" customHeight="1" x14ac:dyDescent="0.15">
      <c r="A115" s="59"/>
      <c r="B115" s="70"/>
      <c r="C115" s="70"/>
      <c r="D115" s="70"/>
      <c r="E115" s="70"/>
      <c r="F115" s="70"/>
      <c r="G115" s="71"/>
      <c r="H115" s="71"/>
      <c r="I115" s="71"/>
      <c r="J115" s="71"/>
      <c r="K115" s="71"/>
      <c r="L115" s="71"/>
      <c r="M115" s="71"/>
      <c r="N115" s="70"/>
      <c r="O115" s="70"/>
      <c r="P115" s="70"/>
      <c r="Q115" s="70"/>
      <c r="R115" s="70"/>
      <c r="S115" s="70"/>
      <c r="T115" s="71"/>
      <c r="U115" s="71"/>
      <c r="V115" s="71"/>
      <c r="W115" s="71"/>
      <c r="X115" s="71"/>
      <c r="Y115" s="71"/>
      <c r="Z115" s="71"/>
    </row>
    <row r="116" spans="1:26" ht="18.75" customHeight="1" x14ac:dyDescent="0.15">
      <c r="A116" s="58" t="s">
        <v>137</v>
      </c>
    </row>
    <row r="117" spans="1:26" ht="18.75" customHeight="1" x14ac:dyDescent="0.15">
      <c r="B117" s="72" t="s">
        <v>98</v>
      </c>
      <c r="C117" s="73"/>
      <c r="D117" s="245" t="s">
        <v>99</v>
      </c>
      <c r="E117" s="245"/>
      <c r="F117" s="245"/>
      <c r="G117" s="245"/>
      <c r="H117" s="245"/>
      <c r="I117" s="245"/>
      <c r="J117" s="245"/>
      <c r="K117" s="245"/>
      <c r="L117" s="245"/>
      <c r="M117" s="245"/>
      <c r="N117" s="245"/>
      <c r="O117" s="245"/>
      <c r="P117" s="245"/>
      <c r="Q117" s="245"/>
      <c r="R117" s="245"/>
      <c r="S117" s="245"/>
      <c r="T117" s="245"/>
      <c r="U117" s="245"/>
      <c r="V117" s="245"/>
      <c r="W117" s="245"/>
      <c r="X117" s="245"/>
      <c r="Y117" s="245"/>
      <c r="Z117" s="246"/>
    </row>
    <row r="118" spans="1:26" ht="78" customHeight="1" x14ac:dyDescent="0.15">
      <c r="B118" s="247" t="s">
        <v>105</v>
      </c>
      <c r="C118" s="74" t="s">
        <v>100</v>
      </c>
      <c r="D118" s="249" t="s">
        <v>244</v>
      </c>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50"/>
    </row>
    <row r="119" spans="1:26" ht="78" customHeight="1" x14ac:dyDescent="0.15">
      <c r="B119" s="248"/>
      <c r="C119" s="75" t="s">
        <v>132</v>
      </c>
      <c r="D119" s="251" t="s">
        <v>245</v>
      </c>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2"/>
    </row>
    <row r="120" spans="1:26" ht="78" customHeight="1" x14ac:dyDescent="0.15">
      <c r="B120" s="231" t="s">
        <v>106</v>
      </c>
      <c r="C120" s="76" t="s">
        <v>122</v>
      </c>
      <c r="D120" s="233" t="s">
        <v>308</v>
      </c>
      <c r="E120" s="233"/>
      <c r="F120" s="233"/>
      <c r="G120" s="233"/>
      <c r="H120" s="233"/>
      <c r="I120" s="233"/>
      <c r="J120" s="233"/>
      <c r="K120" s="233"/>
      <c r="L120" s="233"/>
      <c r="M120" s="233"/>
      <c r="N120" s="233"/>
      <c r="O120" s="233"/>
      <c r="P120" s="233"/>
      <c r="Q120" s="233"/>
      <c r="R120" s="233"/>
      <c r="S120" s="233"/>
      <c r="T120" s="233"/>
      <c r="U120" s="233"/>
      <c r="V120" s="233"/>
      <c r="W120" s="233"/>
      <c r="X120" s="233"/>
      <c r="Y120" s="233"/>
      <c r="Z120" s="234"/>
    </row>
    <row r="121" spans="1:26" ht="78" customHeight="1" x14ac:dyDescent="0.15">
      <c r="B121" s="232"/>
      <c r="C121" s="77" t="s">
        <v>123</v>
      </c>
      <c r="D121" s="235" t="s">
        <v>304</v>
      </c>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6"/>
    </row>
    <row r="122" spans="1:26" ht="66" customHeight="1" x14ac:dyDescent="0.15">
      <c r="B122" s="231" t="s">
        <v>107</v>
      </c>
      <c r="C122" s="76" t="s">
        <v>125</v>
      </c>
      <c r="D122" s="233" t="s">
        <v>250</v>
      </c>
      <c r="E122" s="233"/>
      <c r="F122" s="233"/>
      <c r="G122" s="233"/>
      <c r="H122" s="233"/>
      <c r="I122" s="233"/>
      <c r="J122" s="233"/>
      <c r="K122" s="233"/>
      <c r="L122" s="233"/>
      <c r="M122" s="233"/>
      <c r="N122" s="233"/>
      <c r="O122" s="233"/>
      <c r="P122" s="233"/>
      <c r="Q122" s="233"/>
      <c r="R122" s="233"/>
      <c r="S122" s="233"/>
      <c r="T122" s="233"/>
      <c r="U122" s="233"/>
      <c r="V122" s="233"/>
      <c r="W122" s="233"/>
      <c r="X122" s="233"/>
      <c r="Y122" s="233"/>
      <c r="Z122" s="234"/>
    </row>
    <row r="123" spans="1:26" ht="66" customHeight="1" x14ac:dyDescent="0.15">
      <c r="B123" s="232"/>
      <c r="C123" s="78" t="s">
        <v>126</v>
      </c>
      <c r="D123" s="237" t="s">
        <v>251</v>
      </c>
      <c r="E123" s="237"/>
      <c r="F123" s="237"/>
      <c r="G123" s="237"/>
      <c r="H123" s="237"/>
      <c r="I123" s="237"/>
      <c r="J123" s="237"/>
      <c r="K123" s="237"/>
      <c r="L123" s="237"/>
      <c r="M123" s="237"/>
      <c r="N123" s="237"/>
      <c r="O123" s="237"/>
      <c r="P123" s="237"/>
      <c r="Q123" s="237"/>
      <c r="R123" s="237"/>
      <c r="S123" s="237"/>
      <c r="T123" s="237"/>
      <c r="U123" s="237"/>
      <c r="V123" s="237"/>
      <c r="W123" s="237"/>
      <c r="X123" s="237"/>
      <c r="Y123" s="237"/>
      <c r="Z123" s="238"/>
    </row>
    <row r="124" spans="1:26" ht="66" customHeight="1" x14ac:dyDescent="0.15">
      <c r="B124" s="247" t="s">
        <v>133</v>
      </c>
      <c r="C124" s="74" t="s">
        <v>102</v>
      </c>
      <c r="D124" s="249" t="s">
        <v>305</v>
      </c>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50"/>
    </row>
    <row r="125" spans="1:26" ht="66" customHeight="1" x14ac:dyDescent="0.15">
      <c r="B125" s="265"/>
      <c r="C125" s="79" t="s">
        <v>104</v>
      </c>
      <c r="D125" s="266" t="s">
        <v>306</v>
      </c>
      <c r="E125" s="266"/>
      <c r="F125" s="266"/>
      <c r="G125" s="266"/>
      <c r="H125" s="266"/>
      <c r="I125" s="266"/>
      <c r="J125" s="266"/>
      <c r="K125" s="266"/>
      <c r="L125" s="266"/>
      <c r="M125" s="266"/>
      <c r="N125" s="266"/>
      <c r="O125" s="266"/>
      <c r="P125" s="266"/>
      <c r="Q125" s="266"/>
      <c r="R125" s="266"/>
      <c r="S125" s="266"/>
      <c r="T125" s="266"/>
      <c r="U125" s="266"/>
      <c r="V125" s="266"/>
      <c r="W125" s="266"/>
      <c r="X125" s="266"/>
      <c r="Y125" s="266"/>
      <c r="Z125" s="267"/>
    </row>
    <row r="126" spans="1:26" ht="66" customHeight="1" x14ac:dyDescent="0.15">
      <c r="B126" s="247" t="s">
        <v>134</v>
      </c>
      <c r="C126" s="76" t="s">
        <v>101</v>
      </c>
      <c r="D126" s="233" t="s">
        <v>246</v>
      </c>
      <c r="E126" s="233"/>
      <c r="F126" s="233"/>
      <c r="G126" s="233"/>
      <c r="H126" s="233"/>
      <c r="I126" s="233"/>
      <c r="J126" s="233"/>
      <c r="K126" s="233"/>
      <c r="L126" s="233"/>
      <c r="M126" s="233"/>
      <c r="N126" s="233"/>
      <c r="O126" s="233"/>
      <c r="P126" s="233"/>
      <c r="Q126" s="233"/>
      <c r="R126" s="233"/>
      <c r="S126" s="233"/>
      <c r="T126" s="233"/>
      <c r="U126" s="233"/>
      <c r="V126" s="233"/>
      <c r="W126" s="233"/>
      <c r="X126" s="233"/>
      <c r="Y126" s="233"/>
      <c r="Z126" s="234"/>
    </row>
    <row r="127" spans="1:26" ht="66" customHeight="1" x14ac:dyDescent="0.15">
      <c r="B127" s="248"/>
      <c r="C127" s="79" t="s">
        <v>129</v>
      </c>
      <c r="D127" s="268" t="s">
        <v>247</v>
      </c>
      <c r="E127" s="266"/>
      <c r="F127" s="266"/>
      <c r="G127" s="266"/>
      <c r="H127" s="266"/>
      <c r="I127" s="266"/>
      <c r="J127" s="266"/>
      <c r="K127" s="266"/>
      <c r="L127" s="266"/>
      <c r="M127" s="266"/>
      <c r="N127" s="266"/>
      <c r="O127" s="266"/>
      <c r="P127" s="266"/>
      <c r="Q127" s="266"/>
      <c r="R127" s="266"/>
      <c r="S127" s="266"/>
      <c r="T127" s="266"/>
      <c r="U127" s="266"/>
      <c r="V127" s="266"/>
      <c r="W127" s="266"/>
      <c r="X127" s="266"/>
      <c r="Y127" s="266"/>
      <c r="Z127" s="267"/>
    </row>
    <row r="128" spans="1:26" ht="66" customHeight="1" x14ac:dyDescent="0.15">
      <c r="B128" s="232"/>
      <c r="C128" s="78" t="s">
        <v>130</v>
      </c>
      <c r="D128" s="237" t="s">
        <v>248</v>
      </c>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8"/>
    </row>
    <row r="129" spans="1:26" ht="6" customHeight="1" x14ac:dyDescent="0.15"/>
    <row r="130" spans="1:26" ht="18.75" customHeight="1" x14ac:dyDescent="0.15">
      <c r="A130" s="58" t="s">
        <v>138</v>
      </c>
    </row>
    <row r="131" spans="1:26" ht="18.75" customHeight="1" x14ac:dyDescent="0.15">
      <c r="B131" s="253" t="s">
        <v>307</v>
      </c>
      <c r="C131" s="254"/>
      <c r="D131" s="254"/>
      <c r="E131" s="254"/>
      <c r="F131" s="254"/>
      <c r="G131" s="254"/>
      <c r="H131" s="254"/>
      <c r="I131" s="254"/>
      <c r="J131" s="254"/>
      <c r="K131" s="254"/>
      <c r="L131" s="254"/>
      <c r="M131" s="254"/>
      <c r="N131" s="254"/>
      <c r="O131" s="254"/>
      <c r="P131" s="254"/>
      <c r="Q131" s="254"/>
      <c r="R131" s="254"/>
      <c r="S131" s="254"/>
      <c r="T131" s="254"/>
      <c r="U131" s="254"/>
      <c r="V131" s="254"/>
      <c r="W131" s="254"/>
      <c r="X131" s="254"/>
      <c r="Y131" s="254"/>
      <c r="Z131" s="255"/>
    </row>
    <row r="132" spans="1:26" ht="18.75" customHeight="1" x14ac:dyDescent="0.15">
      <c r="B132" s="256"/>
      <c r="C132" s="257"/>
      <c r="D132" s="257"/>
      <c r="E132" s="257"/>
      <c r="F132" s="257"/>
      <c r="G132" s="257"/>
      <c r="H132" s="257"/>
      <c r="I132" s="257"/>
      <c r="J132" s="257"/>
      <c r="K132" s="257"/>
      <c r="L132" s="257"/>
      <c r="M132" s="257"/>
      <c r="N132" s="257"/>
      <c r="O132" s="257"/>
      <c r="P132" s="257"/>
      <c r="Q132" s="257"/>
      <c r="R132" s="257"/>
      <c r="S132" s="257"/>
      <c r="T132" s="257"/>
      <c r="U132" s="257"/>
      <c r="V132" s="257"/>
      <c r="W132" s="257"/>
      <c r="X132" s="257"/>
      <c r="Y132" s="257"/>
      <c r="Z132" s="258"/>
    </row>
    <row r="133" spans="1:26" ht="18.75" customHeight="1" x14ac:dyDescent="0.15">
      <c r="B133" s="259"/>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1"/>
    </row>
    <row r="134" spans="1:26" ht="6" customHeight="1" x14ac:dyDescent="0.15"/>
    <row r="135" spans="1:26" ht="15" customHeight="1" x14ac:dyDescent="0.15">
      <c r="A135" s="58" t="s">
        <v>139</v>
      </c>
    </row>
    <row r="136" spans="1:26" ht="15" customHeight="1" x14ac:dyDescent="0.15">
      <c r="B136" s="262" t="s">
        <v>249</v>
      </c>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4"/>
    </row>
  </sheetData>
  <mergeCells count="370">
    <mergeCell ref="B131:Z133"/>
    <mergeCell ref="B136:Z136"/>
    <mergeCell ref="B124:B125"/>
    <mergeCell ref="D124:Z124"/>
    <mergeCell ref="D125:Z125"/>
    <mergeCell ref="B126:B128"/>
    <mergeCell ref="D126:Z126"/>
    <mergeCell ref="D127:Z127"/>
    <mergeCell ref="D128:Z128"/>
    <mergeCell ref="B120:B121"/>
    <mergeCell ref="D120:Z120"/>
    <mergeCell ref="D121:Z121"/>
    <mergeCell ref="B122:B123"/>
    <mergeCell ref="D122:Z122"/>
    <mergeCell ref="D123:Z123"/>
    <mergeCell ref="B114:F114"/>
    <mergeCell ref="G114:M114"/>
    <mergeCell ref="N114:S114"/>
    <mergeCell ref="T114:Z114"/>
    <mergeCell ref="D117:Z117"/>
    <mergeCell ref="B118:B119"/>
    <mergeCell ref="D118:Z118"/>
    <mergeCell ref="D119:Z119"/>
    <mergeCell ref="B112:F112"/>
    <mergeCell ref="G112:M112"/>
    <mergeCell ref="N112:S112"/>
    <mergeCell ref="T112:Z112"/>
    <mergeCell ref="B113:F113"/>
    <mergeCell ref="G113:M113"/>
    <mergeCell ref="N113:S113"/>
    <mergeCell ref="T113:Z113"/>
    <mergeCell ref="B110:F110"/>
    <mergeCell ref="G110:M110"/>
    <mergeCell ref="N110:S110"/>
    <mergeCell ref="T110:Z110"/>
    <mergeCell ref="B111:F111"/>
    <mergeCell ref="G111:M111"/>
    <mergeCell ref="N111:S111"/>
    <mergeCell ref="T111:Z111"/>
    <mergeCell ref="B108:F108"/>
    <mergeCell ref="G108:M108"/>
    <mergeCell ref="N108:S108"/>
    <mergeCell ref="T108:Z108"/>
    <mergeCell ref="B109:F109"/>
    <mergeCell ref="G109:M109"/>
    <mergeCell ref="N109:S109"/>
    <mergeCell ref="T109:Z109"/>
    <mergeCell ref="B106:F106"/>
    <mergeCell ref="G106:M106"/>
    <mergeCell ref="N106:S106"/>
    <mergeCell ref="T106:Z106"/>
    <mergeCell ref="B107:F107"/>
    <mergeCell ref="G107:M107"/>
    <mergeCell ref="N107:S107"/>
    <mergeCell ref="T107:Z107"/>
    <mergeCell ref="B104:F104"/>
    <mergeCell ref="G104:M104"/>
    <mergeCell ref="N104:S104"/>
    <mergeCell ref="T104:Z104"/>
    <mergeCell ref="B105:F105"/>
    <mergeCell ref="G105:M105"/>
    <mergeCell ref="N105:S105"/>
    <mergeCell ref="T105:Z105"/>
    <mergeCell ref="B102:F102"/>
    <mergeCell ref="G102:M102"/>
    <mergeCell ref="N102:S102"/>
    <mergeCell ref="T102:Z102"/>
    <mergeCell ref="B103:F103"/>
    <mergeCell ref="G103:M103"/>
    <mergeCell ref="N103:S103"/>
    <mergeCell ref="T103:Z103"/>
    <mergeCell ref="B100:F100"/>
    <mergeCell ref="G100:M100"/>
    <mergeCell ref="N100:S100"/>
    <mergeCell ref="T100:Z100"/>
    <mergeCell ref="B101:F101"/>
    <mergeCell ref="G101:M101"/>
    <mergeCell ref="N101:S101"/>
    <mergeCell ref="T101:Z101"/>
    <mergeCell ref="B98:F98"/>
    <mergeCell ref="G98:M98"/>
    <mergeCell ref="N98:S98"/>
    <mergeCell ref="T98:Z98"/>
    <mergeCell ref="B99:F99"/>
    <mergeCell ref="G99:M99"/>
    <mergeCell ref="N99:S99"/>
    <mergeCell ref="T99:Z99"/>
    <mergeCell ref="B96:F96"/>
    <mergeCell ref="G96:M96"/>
    <mergeCell ref="N96:S96"/>
    <mergeCell ref="T96:Z96"/>
    <mergeCell ref="B97:F97"/>
    <mergeCell ref="G97:M97"/>
    <mergeCell ref="N97:S97"/>
    <mergeCell ref="T97:Z97"/>
    <mergeCell ref="B94:F94"/>
    <mergeCell ref="G94:M94"/>
    <mergeCell ref="N94:S94"/>
    <mergeCell ref="T94:Z94"/>
    <mergeCell ref="B95:F95"/>
    <mergeCell ref="G95:M95"/>
    <mergeCell ref="N95:S95"/>
    <mergeCell ref="T95:Z95"/>
    <mergeCell ref="B92:F92"/>
    <mergeCell ref="G92:M92"/>
    <mergeCell ref="N92:S92"/>
    <mergeCell ref="T92:Z92"/>
    <mergeCell ref="B93:F93"/>
    <mergeCell ref="G93:M93"/>
    <mergeCell ref="N93:S93"/>
    <mergeCell ref="T93:Z93"/>
    <mergeCell ref="B90:F90"/>
    <mergeCell ref="G90:M90"/>
    <mergeCell ref="N90:S90"/>
    <mergeCell ref="T90:Z90"/>
    <mergeCell ref="B91:F91"/>
    <mergeCell ref="G91:M91"/>
    <mergeCell ref="N91:S91"/>
    <mergeCell ref="T91:Z91"/>
    <mergeCell ref="B88:F88"/>
    <mergeCell ref="G88:M88"/>
    <mergeCell ref="N88:S88"/>
    <mergeCell ref="T88:Z88"/>
    <mergeCell ref="B89:F89"/>
    <mergeCell ref="G89:M89"/>
    <mergeCell ref="N89:S89"/>
    <mergeCell ref="T89:Z89"/>
    <mergeCell ref="B86:F86"/>
    <mergeCell ref="G86:M86"/>
    <mergeCell ref="N86:S86"/>
    <mergeCell ref="T86:Z86"/>
    <mergeCell ref="B87:F87"/>
    <mergeCell ref="G87:M87"/>
    <mergeCell ref="N87:S87"/>
    <mergeCell ref="T87:Z87"/>
    <mergeCell ref="B84:F84"/>
    <mergeCell ref="G84:M84"/>
    <mergeCell ref="N84:S84"/>
    <mergeCell ref="T84:Z84"/>
    <mergeCell ref="B85:F85"/>
    <mergeCell ref="G85:M85"/>
    <mergeCell ref="N85:S85"/>
    <mergeCell ref="T85:Z85"/>
    <mergeCell ref="B82:F82"/>
    <mergeCell ref="G82:M82"/>
    <mergeCell ref="N82:S82"/>
    <mergeCell ref="T82:Z82"/>
    <mergeCell ref="B83:F83"/>
    <mergeCell ref="G83:M83"/>
    <mergeCell ref="N83:S83"/>
    <mergeCell ref="T83:Z83"/>
    <mergeCell ref="B80:F80"/>
    <mergeCell ref="G80:M80"/>
    <mergeCell ref="N80:S80"/>
    <mergeCell ref="T80:Z80"/>
    <mergeCell ref="B81:F81"/>
    <mergeCell ref="G81:M81"/>
    <mergeCell ref="N81:S81"/>
    <mergeCell ref="T81:Z81"/>
    <mergeCell ref="B78:F78"/>
    <mergeCell ref="G78:M78"/>
    <mergeCell ref="N78:S78"/>
    <mergeCell ref="T78:Z78"/>
    <mergeCell ref="B79:F79"/>
    <mergeCell ref="G79:M79"/>
    <mergeCell ref="N79:S79"/>
    <mergeCell ref="T79:Z79"/>
    <mergeCell ref="B76:F76"/>
    <mergeCell ref="G76:M76"/>
    <mergeCell ref="N76:S76"/>
    <mergeCell ref="T76:Z76"/>
    <mergeCell ref="B77:F77"/>
    <mergeCell ref="G77:M77"/>
    <mergeCell ref="N77:S77"/>
    <mergeCell ref="T77:Z77"/>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G70:M115 T70:Z115" xr:uid="{06FD00F2-9F89-4777-B449-4E9C8E84E67C}">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1684B0D7-BB78-4455-B468-FDE5A94F88E3}">
      <formula1>"学部・学科によって、修了要件は相違する,学部・学科によって、修了要件は相違しない"</formula1>
    </dataValidation>
    <dataValidation type="list" allowBlank="1" showInputMessage="1" showErrorMessage="1" sqref="Z23 Z34 D34:K34 D23:K23 V16:V22 I49:I55 V27:V33 H60:H66 V38:V44 I16:I22 V49:V55 I27:I33 U60:U66 I38:I44" xr:uid="{289724B9-911C-4C13-9380-A4260F05AA5A}">
      <formula1>"全学開講,一部開講"</formula1>
    </dataValidation>
    <dataValidation type="list" allowBlank="1" showInputMessage="1" showErrorMessage="1" sqref="Y16:Z22 H38:H44 Y27:Z33 L16:M22 L27:M33 Y38:Z44 Y49:Z55 Y60:Z66 K60:L61 L49:M55 U16:U22 T60:T66 U27:U33 L62:L66 U38:U44 H27:H33 U49:U55 H16:H22 L38:M44 H49:H55 M60:M66 G60:G66" xr:uid="{4E936901-41A2-4C34-8A11-7007FF8295E5}">
      <formula1>"○"</formula1>
    </dataValidation>
  </dataValidations>
  <hyperlinks>
    <hyperlink ref="B136" r:id="rId1" xr:uid="{72704B63-A128-4D51-9FD1-409713E4ECAC}"/>
  </hyperlinks>
  <printOptions horizontalCentered="1"/>
  <pageMargins left="0.23622047244094491" right="0.23622047244094491" top="0.19685039370078741" bottom="0" header="0" footer="0"/>
  <pageSetup paperSize="9" scale="70" fitToHeight="0"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03E19-DD08-4C43-BAA8-DAE0C565A51B}">
  <dimension ref="A1:Z136"/>
  <sheetViews>
    <sheetView showZeros="0" view="pageBreakPreview" zoomScale="85" zoomScaleNormal="100" zoomScaleSheetLayoutView="85" workbookViewId="0">
      <selection activeCell="B30" sqref="B30:F30"/>
    </sheetView>
  </sheetViews>
  <sheetFormatPr defaultColWidth="9" defaultRowHeight="18.75" customHeight="1" x14ac:dyDescent="0.15"/>
  <cols>
    <col min="1" max="1" width="2.5" style="58" customWidth="1"/>
    <col min="2" max="2" width="27.625" style="58" customWidth="1"/>
    <col min="3" max="13" width="3.375" style="58" customWidth="1"/>
    <col min="14" max="14" width="8.875" style="58" customWidth="1"/>
    <col min="15" max="15" width="18.875" style="58" customWidth="1"/>
    <col min="16" max="19" width="3.375" style="58" customWidth="1"/>
    <col min="20" max="20" width="3.5" style="58" customWidth="1"/>
    <col min="21" max="26" width="3.375" style="58" customWidth="1"/>
    <col min="27" max="16384" width="9" style="58"/>
  </cols>
  <sheetData>
    <row r="1" spans="1:26" ht="15" customHeight="1" x14ac:dyDescent="0.15">
      <c r="W1" s="181" t="s">
        <v>147</v>
      </c>
      <c r="X1" s="181"/>
      <c r="Y1" s="181"/>
      <c r="Z1" s="181"/>
    </row>
    <row r="2" spans="1:26" ht="18" customHeight="1" x14ac:dyDescent="0.15">
      <c r="A2" s="182" t="s">
        <v>65</v>
      </c>
      <c r="B2" s="182"/>
      <c r="C2" s="182"/>
      <c r="D2" s="182"/>
      <c r="E2" s="182"/>
      <c r="F2" s="182"/>
      <c r="G2" s="182"/>
      <c r="H2" s="182"/>
      <c r="I2" s="182"/>
      <c r="J2" s="182"/>
      <c r="K2" s="182"/>
      <c r="L2" s="182"/>
      <c r="M2" s="182"/>
      <c r="N2" s="182"/>
      <c r="O2" s="182"/>
      <c r="P2" s="182"/>
      <c r="Q2" s="182"/>
      <c r="R2" s="182"/>
      <c r="S2" s="182"/>
      <c r="T2" s="182"/>
      <c r="U2" s="182"/>
      <c r="V2" s="182"/>
      <c r="W2" s="182"/>
      <c r="X2" s="182"/>
      <c r="Y2" s="182"/>
      <c r="Z2" s="182"/>
    </row>
    <row r="3" spans="1:26" ht="15" customHeight="1" x14ac:dyDescent="0.15">
      <c r="B3" s="59"/>
      <c r="C3" s="59"/>
      <c r="D3" s="59"/>
      <c r="E3" s="59"/>
      <c r="F3" s="59"/>
      <c r="G3" s="59"/>
      <c r="H3" s="59"/>
      <c r="I3" s="59"/>
      <c r="J3" s="59"/>
      <c r="K3" s="59"/>
      <c r="L3" s="59"/>
      <c r="M3" s="59"/>
      <c r="N3" s="59"/>
      <c r="O3" s="59"/>
      <c r="P3" s="59"/>
      <c r="Q3" s="59"/>
      <c r="R3" s="59"/>
      <c r="S3" s="59"/>
      <c r="T3" s="59"/>
      <c r="U3" s="59"/>
      <c r="V3" s="59"/>
      <c r="W3" s="59"/>
      <c r="X3" s="59"/>
      <c r="Y3" s="59"/>
      <c r="Z3" s="59"/>
    </row>
    <row r="4" spans="1:26" ht="18" customHeight="1" x14ac:dyDescent="0.15">
      <c r="A4" s="58" t="s">
        <v>95</v>
      </c>
      <c r="B4" s="59"/>
      <c r="C4" s="59"/>
      <c r="D4" s="59"/>
      <c r="E4" s="59"/>
      <c r="F4" s="59"/>
      <c r="G4" s="59"/>
      <c r="H4" s="60" t="s">
        <v>108</v>
      </c>
      <c r="I4" s="59"/>
      <c r="J4" s="59"/>
      <c r="K4" s="59"/>
      <c r="L4" s="59"/>
      <c r="M4" s="59"/>
      <c r="N4" s="59"/>
      <c r="O4" s="153" t="s">
        <v>148</v>
      </c>
      <c r="P4" s="154"/>
      <c r="Q4" s="154"/>
      <c r="R4" s="154"/>
      <c r="S4" s="154"/>
      <c r="T4" s="154"/>
      <c r="U4" s="154"/>
      <c r="V4" s="154"/>
      <c r="W4" s="154"/>
      <c r="X4" s="154"/>
      <c r="Y4" s="154"/>
      <c r="Z4" s="155"/>
    </row>
    <row r="5" spans="1:26" ht="6" customHeight="1" x14ac:dyDescent="0.15">
      <c r="B5" s="59"/>
      <c r="C5" s="59"/>
      <c r="D5" s="59"/>
      <c r="E5" s="59"/>
      <c r="F5" s="59"/>
      <c r="G5" s="59"/>
      <c r="H5" s="59"/>
      <c r="I5" s="59"/>
      <c r="J5" s="59"/>
      <c r="K5" s="59"/>
      <c r="L5" s="59"/>
      <c r="M5" s="59"/>
      <c r="N5" s="59"/>
      <c r="O5" s="61"/>
      <c r="P5" s="59"/>
      <c r="Q5" s="59"/>
      <c r="R5" s="59"/>
      <c r="S5" s="59"/>
      <c r="T5" s="59"/>
      <c r="U5" s="59"/>
      <c r="V5" s="59"/>
      <c r="W5" s="59"/>
      <c r="X5" s="59"/>
      <c r="Y5" s="59"/>
      <c r="Z5" s="59"/>
    </row>
    <row r="6" spans="1:26" ht="18" customHeight="1" x14ac:dyDescent="0.15">
      <c r="B6" s="183" t="s">
        <v>236</v>
      </c>
      <c r="C6" s="184"/>
      <c r="D6" s="184"/>
      <c r="E6" s="184"/>
      <c r="F6" s="184"/>
      <c r="G6" s="184"/>
      <c r="H6" s="184"/>
      <c r="I6" s="184"/>
      <c r="J6" s="184"/>
      <c r="K6" s="184"/>
      <c r="L6" s="184"/>
      <c r="M6" s="184"/>
      <c r="N6" s="184"/>
      <c r="O6" s="184"/>
      <c r="P6" s="184"/>
      <c r="Q6" s="184"/>
      <c r="R6" s="184"/>
      <c r="S6" s="184"/>
      <c r="T6" s="184"/>
      <c r="U6" s="184"/>
      <c r="V6" s="184"/>
      <c r="W6" s="184"/>
      <c r="X6" s="184"/>
      <c r="Y6" s="184"/>
      <c r="Z6" s="185"/>
    </row>
    <row r="7" spans="1:26" ht="18" customHeight="1" x14ac:dyDescent="0.15">
      <c r="B7" s="186"/>
      <c r="C7" s="187"/>
      <c r="D7" s="187"/>
      <c r="E7" s="187"/>
      <c r="F7" s="187"/>
      <c r="G7" s="187"/>
      <c r="H7" s="187"/>
      <c r="I7" s="187"/>
      <c r="J7" s="187"/>
      <c r="K7" s="187"/>
      <c r="L7" s="187"/>
      <c r="M7" s="187"/>
      <c r="N7" s="187"/>
      <c r="O7" s="187"/>
      <c r="P7" s="187"/>
      <c r="Q7" s="187"/>
      <c r="R7" s="187"/>
      <c r="S7" s="187"/>
      <c r="T7" s="187"/>
      <c r="U7" s="187"/>
      <c r="V7" s="187"/>
      <c r="W7" s="187"/>
      <c r="X7" s="187"/>
      <c r="Y7" s="187"/>
      <c r="Z7" s="188"/>
    </row>
    <row r="8" spans="1:26" ht="18" customHeight="1" x14ac:dyDescent="0.15">
      <c r="B8" s="186"/>
      <c r="C8" s="187"/>
      <c r="D8" s="187"/>
      <c r="E8" s="187"/>
      <c r="F8" s="187"/>
      <c r="G8" s="187"/>
      <c r="H8" s="187"/>
      <c r="I8" s="187"/>
      <c r="J8" s="187"/>
      <c r="K8" s="187"/>
      <c r="L8" s="187"/>
      <c r="M8" s="187"/>
      <c r="N8" s="187"/>
      <c r="O8" s="187"/>
      <c r="P8" s="187"/>
      <c r="Q8" s="187"/>
      <c r="R8" s="187"/>
      <c r="S8" s="187"/>
      <c r="T8" s="187"/>
      <c r="U8" s="187"/>
      <c r="V8" s="187"/>
      <c r="W8" s="187"/>
      <c r="X8" s="187"/>
      <c r="Y8" s="187"/>
      <c r="Z8" s="188"/>
    </row>
    <row r="9" spans="1:26" ht="18" customHeight="1" x14ac:dyDescent="0.15">
      <c r="B9" s="186"/>
      <c r="C9" s="187"/>
      <c r="D9" s="187"/>
      <c r="E9" s="187"/>
      <c r="F9" s="187"/>
      <c r="G9" s="187"/>
      <c r="H9" s="187"/>
      <c r="I9" s="187"/>
      <c r="J9" s="187"/>
      <c r="K9" s="187"/>
      <c r="L9" s="187"/>
      <c r="M9" s="187"/>
      <c r="N9" s="187"/>
      <c r="O9" s="187"/>
      <c r="P9" s="187"/>
      <c r="Q9" s="187"/>
      <c r="R9" s="187"/>
      <c r="S9" s="187"/>
      <c r="T9" s="187"/>
      <c r="U9" s="187"/>
      <c r="V9" s="187"/>
      <c r="W9" s="187"/>
      <c r="X9" s="187"/>
      <c r="Y9" s="187"/>
      <c r="Z9" s="188"/>
    </row>
    <row r="10" spans="1:26" ht="18" customHeight="1" x14ac:dyDescent="0.15">
      <c r="B10" s="186"/>
      <c r="C10" s="189"/>
      <c r="D10" s="189"/>
      <c r="E10" s="189"/>
      <c r="F10" s="189"/>
      <c r="G10" s="189"/>
      <c r="H10" s="189"/>
      <c r="I10" s="189"/>
      <c r="J10" s="189"/>
      <c r="K10" s="189"/>
      <c r="L10" s="189"/>
      <c r="M10" s="189"/>
      <c r="N10" s="189"/>
      <c r="O10" s="189"/>
      <c r="P10" s="189"/>
      <c r="Q10" s="189"/>
      <c r="R10" s="189"/>
      <c r="S10" s="189"/>
      <c r="T10" s="189"/>
      <c r="U10" s="189"/>
      <c r="V10" s="189"/>
      <c r="W10" s="189"/>
      <c r="X10" s="189"/>
      <c r="Y10" s="189"/>
      <c r="Z10" s="188"/>
    </row>
    <row r="11" spans="1:26" ht="18" customHeight="1" x14ac:dyDescent="0.15">
      <c r="B11" s="190"/>
      <c r="C11" s="191"/>
      <c r="D11" s="191"/>
      <c r="E11" s="191"/>
      <c r="F11" s="191"/>
      <c r="G11" s="191"/>
      <c r="H11" s="191"/>
      <c r="I11" s="191"/>
      <c r="J11" s="191"/>
      <c r="K11" s="191"/>
      <c r="L11" s="191"/>
      <c r="M11" s="191"/>
      <c r="N11" s="191"/>
      <c r="O11" s="191"/>
      <c r="P11" s="191"/>
      <c r="Q11" s="191"/>
      <c r="R11" s="191"/>
      <c r="S11" s="191"/>
      <c r="T11" s="191"/>
      <c r="U11" s="191"/>
      <c r="V11" s="191"/>
      <c r="W11" s="191"/>
      <c r="X11" s="191"/>
      <c r="Y11" s="191"/>
      <c r="Z11" s="192"/>
    </row>
    <row r="12" spans="1:26" ht="7.5" customHeight="1" x14ac:dyDescent="0.15">
      <c r="B12" s="59"/>
      <c r="C12" s="59"/>
      <c r="D12" s="59"/>
      <c r="E12" s="59"/>
      <c r="F12" s="59"/>
      <c r="G12" s="59"/>
      <c r="H12" s="59"/>
      <c r="I12" s="59"/>
      <c r="J12" s="59"/>
      <c r="K12" s="59"/>
      <c r="L12" s="59"/>
      <c r="M12" s="59"/>
      <c r="N12" s="59"/>
      <c r="O12" s="59"/>
      <c r="P12" s="59"/>
      <c r="Q12" s="59"/>
      <c r="R12" s="59"/>
      <c r="S12" s="59"/>
      <c r="T12" s="59"/>
      <c r="U12" s="59"/>
      <c r="V12" s="59"/>
      <c r="W12" s="59"/>
      <c r="X12" s="59"/>
      <c r="Y12" s="59"/>
      <c r="Z12" s="59"/>
    </row>
    <row r="13" spans="1:26" ht="18" customHeight="1" x14ac:dyDescent="0.15">
      <c r="A13" s="193" t="s">
        <v>120</v>
      </c>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row>
    <row r="14" spans="1:26" ht="18" customHeight="1" x14ac:dyDescent="0.15">
      <c r="A14" s="193"/>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row>
    <row r="15" spans="1:26" ht="18" customHeight="1" x14ac:dyDescent="0.15">
      <c r="A15" s="28"/>
      <c r="B15" s="153" t="s">
        <v>96</v>
      </c>
      <c r="C15" s="154"/>
      <c r="D15" s="154"/>
      <c r="E15" s="154"/>
      <c r="F15" s="155"/>
      <c r="G15" s="62" t="s">
        <v>136</v>
      </c>
      <c r="H15" s="63" t="s">
        <v>135</v>
      </c>
      <c r="I15" s="154" t="s">
        <v>97</v>
      </c>
      <c r="J15" s="154"/>
      <c r="K15" s="154"/>
      <c r="L15" s="64" t="s">
        <v>100</v>
      </c>
      <c r="M15" s="64" t="s">
        <v>103</v>
      </c>
      <c r="N15" s="153" t="s">
        <v>96</v>
      </c>
      <c r="O15" s="154"/>
      <c r="P15" s="154"/>
      <c r="Q15" s="154"/>
      <c r="R15" s="154"/>
      <c r="S15" s="155"/>
      <c r="T15" s="62" t="s">
        <v>136</v>
      </c>
      <c r="U15" s="63" t="s">
        <v>135</v>
      </c>
      <c r="V15" s="154" t="s">
        <v>97</v>
      </c>
      <c r="W15" s="154"/>
      <c r="X15" s="154"/>
      <c r="Y15" s="64" t="s">
        <v>100</v>
      </c>
      <c r="Z15" s="64" t="s">
        <v>103</v>
      </c>
    </row>
    <row r="16" spans="1:26" ht="18" customHeight="1" x14ac:dyDescent="0.15">
      <c r="A16" s="28"/>
      <c r="B16" s="160" t="s">
        <v>280</v>
      </c>
      <c r="C16" s="161"/>
      <c r="D16" s="161"/>
      <c r="E16" s="161"/>
      <c r="F16" s="162"/>
      <c r="G16" s="47">
        <v>2</v>
      </c>
      <c r="H16" s="47" t="s">
        <v>151</v>
      </c>
      <c r="I16" s="163" t="s">
        <v>152</v>
      </c>
      <c r="J16" s="164"/>
      <c r="K16" s="165"/>
      <c r="L16" s="47" t="s">
        <v>151</v>
      </c>
      <c r="M16" s="47" t="s">
        <v>151</v>
      </c>
      <c r="N16" s="166"/>
      <c r="O16" s="167"/>
      <c r="P16" s="167"/>
      <c r="Q16" s="167"/>
      <c r="R16" s="167"/>
      <c r="S16" s="168"/>
      <c r="T16" s="47"/>
      <c r="U16" s="47"/>
      <c r="V16" s="163"/>
      <c r="W16" s="164"/>
      <c r="X16" s="165"/>
      <c r="Y16" s="47"/>
      <c r="Z16" s="47"/>
    </row>
    <row r="17" spans="1:26" ht="18" customHeight="1" x14ac:dyDescent="0.15">
      <c r="A17" s="28"/>
      <c r="B17" s="169" t="s">
        <v>239</v>
      </c>
      <c r="C17" s="170"/>
      <c r="D17" s="170"/>
      <c r="E17" s="170"/>
      <c r="F17" s="171"/>
      <c r="G17" s="48">
        <v>2</v>
      </c>
      <c r="H17" s="48" t="s">
        <v>151</v>
      </c>
      <c r="I17" s="172" t="s">
        <v>301</v>
      </c>
      <c r="J17" s="173"/>
      <c r="K17" s="174"/>
      <c r="L17" s="48" t="s">
        <v>151</v>
      </c>
      <c r="M17" s="48" t="s">
        <v>151</v>
      </c>
      <c r="N17" s="175"/>
      <c r="O17" s="176"/>
      <c r="P17" s="176"/>
      <c r="Q17" s="176"/>
      <c r="R17" s="176"/>
      <c r="S17" s="177"/>
      <c r="T17" s="41"/>
      <c r="U17" s="41"/>
      <c r="V17" s="178"/>
      <c r="W17" s="179"/>
      <c r="X17" s="180"/>
      <c r="Y17" s="41"/>
      <c r="Z17" s="41"/>
    </row>
    <row r="18" spans="1:26" ht="18" customHeight="1" x14ac:dyDescent="0.15">
      <c r="A18" s="28"/>
      <c r="B18" s="169"/>
      <c r="C18" s="170"/>
      <c r="D18" s="170"/>
      <c r="E18" s="170"/>
      <c r="F18" s="171"/>
      <c r="G18" s="41"/>
      <c r="H18" s="41"/>
      <c r="I18" s="178"/>
      <c r="J18" s="179"/>
      <c r="K18" s="180"/>
      <c r="L18" s="41"/>
      <c r="M18" s="41"/>
      <c r="N18" s="175"/>
      <c r="O18" s="176"/>
      <c r="P18" s="176"/>
      <c r="Q18" s="176"/>
      <c r="R18" s="176"/>
      <c r="S18" s="177"/>
      <c r="T18" s="41"/>
      <c r="U18" s="41"/>
      <c r="V18" s="178"/>
      <c r="W18" s="179"/>
      <c r="X18" s="180"/>
      <c r="Y18" s="41"/>
      <c r="Z18" s="41"/>
    </row>
    <row r="19" spans="1:26" ht="18" customHeight="1" x14ac:dyDescent="0.15">
      <c r="A19" s="28"/>
      <c r="B19" s="169"/>
      <c r="C19" s="170"/>
      <c r="D19" s="170"/>
      <c r="E19" s="170"/>
      <c r="F19" s="171"/>
      <c r="G19" s="41"/>
      <c r="H19" s="41"/>
      <c r="I19" s="178"/>
      <c r="J19" s="179"/>
      <c r="K19" s="180"/>
      <c r="L19" s="41"/>
      <c r="M19" s="41"/>
      <c r="N19" s="175"/>
      <c r="O19" s="176"/>
      <c r="P19" s="176"/>
      <c r="Q19" s="176"/>
      <c r="R19" s="176"/>
      <c r="S19" s="177"/>
      <c r="T19" s="41"/>
      <c r="U19" s="41"/>
      <c r="V19" s="178"/>
      <c r="W19" s="179"/>
      <c r="X19" s="180"/>
      <c r="Y19" s="41"/>
      <c r="Z19" s="41"/>
    </row>
    <row r="20" spans="1:26" ht="18" customHeight="1" x14ac:dyDescent="0.15">
      <c r="A20" s="28"/>
      <c r="B20" s="169"/>
      <c r="C20" s="170"/>
      <c r="D20" s="170"/>
      <c r="E20" s="170"/>
      <c r="F20" s="171"/>
      <c r="G20" s="41"/>
      <c r="H20" s="41"/>
      <c r="I20" s="178"/>
      <c r="J20" s="179"/>
      <c r="K20" s="180"/>
      <c r="L20" s="41"/>
      <c r="M20" s="41"/>
      <c r="N20" s="175"/>
      <c r="O20" s="176"/>
      <c r="P20" s="176"/>
      <c r="Q20" s="176"/>
      <c r="R20" s="176"/>
      <c r="S20" s="177"/>
      <c r="T20" s="41"/>
      <c r="U20" s="41"/>
      <c r="V20" s="178"/>
      <c r="W20" s="179"/>
      <c r="X20" s="180"/>
      <c r="Y20" s="41"/>
      <c r="Z20" s="41"/>
    </row>
    <row r="21" spans="1:26" ht="18" customHeight="1" x14ac:dyDescent="0.15">
      <c r="A21" s="59"/>
      <c r="B21" s="169"/>
      <c r="C21" s="170"/>
      <c r="D21" s="170"/>
      <c r="E21" s="170"/>
      <c r="F21" s="171"/>
      <c r="G21" s="41"/>
      <c r="H21" s="41"/>
      <c r="I21" s="178"/>
      <c r="J21" s="179"/>
      <c r="K21" s="180"/>
      <c r="L21" s="41"/>
      <c r="M21" s="41"/>
      <c r="N21" s="175"/>
      <c r="O21" s="176"/>
      <c r="P21" s="176"/>
      <c r="Q21" s="176"/>
      <c r="R21" s="176"/>
      <c r="S21" s="177"/>
      <c r="T21" s="41"/>
      <c r="U21" s="41"/>
      <c r="V21" s="178"/>
      <c r="W21" s="179"/>
      <c r="X21" s="180"/>
      <c r="Y21" s="41"/>
      <c r="Z21" s="41"/>
    </row>
    <row r="22" spans="1:26" ht="18" customHeight="1" x14ac:dyDescent="0.15">
      <c r="A22" s="59"/>
      <c r="B22" s="194" t="s">
        <v>237</v>
      </c>
      <c r="C22" s="195"/>
      <c r="D22" s="195"/>
      <c r="E22" s="195"/>
      <c r="F22" s="196"/>
      <c r="G22" s="42"/>
      <c r="H22" s="42"/>
      <c r="I22" s="197"/>
      <c r="J22" s="198"/>
      <c r="K22" s="199"/>
      <c r="L22" s="43"/>
      <c r="M22" s="43"/>
      <c r="N22" s="200"/>
      <c r="O22" s="201"/>
      <c r="P22" s="201"/>
      <c r="Q22" s="201"/>
      <c r="R22" s="201"/>
      <c r="S22" s="202"/>
      <c r="T22" s="42"/>
      <c r="U22" s="42"/>
      <c r="V22" s="197"/>
      <c r="W22" s="198"/>
      <c r="X22" s="199"/>
      <c r="Y22" s="43"/>
      <c r="Z22" s="43"/>
    </row>
    <row r="23" spans="1:26" ht="7.5" customHeight="1" x14ac:dyDescent="0.15">
      <c r="A23" s="59"/>
      <c r="B23" s="65"/>
      <c r="C23" s="65"/>
      <c r="D23" s="59"/>
      <c r="E23" s="59"/>
      <c r="F23" s="59"/>
      <c r="G23" s="59"/>
      <c r="H23" s="59"/>
      <c r="I23" s="59"/>
      <c r="J23" s="59"/>
      <c r="K23" s="59"/>
      <c r="L23" s="65"/>
      <c r="M23" s="65"/>
      <c r="N23" s="65"/>
      <c r="O23" s="65"/>
      <c r="P23" s="65"/>
      <c r="Q23" s="65"/>
      <c r="R23" s="65"/>
      <c r="S23" s="65"/>
      <c r="T23" s="65"/>
      <c r="U23" s="65"/>
      <c r="V23" s="65"/>
      <c r="W23" s="65"/>
      <c r="X23" s="65"/>
      <c r="Y23" s="65"/>
      <c r="Z23" s="59"/>
    </row>
    <row r="24" spans="1:26" ht="18" customHeight="1" x14ac:dyDescent="0.15">
      <c r="A24" s="193" t="s">
        <v>121</v>
      </c>
      <c r="B24" s="193"/>
      <c r="C24" s="193"/>
      <c r="D24" s="193"/>
      <c r="E24" s="193"/>
      <c r="F24" s="193"/>
      <c r="G24" s="193"/>
      <c r="H24" s="193"/>
      <c r="I24" s="193"/>
      <c r="J24" s="193"/>
      <c r="K24" s="193"/>
      <c r="L24" s="193"/>
      <c r="M24" s="193"/>
      <c r="N24" s="193"/>
      <c r="O24" s="193"/>
      <c r="P24" s="193"/>
      <c r="Q24" s="193"/>
      <c r="R24" s="193"/>
      <c r="S24" s="193"/>
      <c r="T24" s="193"/>
      <c r="U24" s="193"/>
      <c r="V24" s="193"/>
      <c r="W24" s="193"/>
      <c r="X24" s="193"/>
      <c r="Y24" s="193"/>
      <c r="Z24" s="193"/>
    </row>
    <row r="25" spans="1:26" ht="18" customHeight="1" x14ac:dyDescent="0.15">
      <c r="A25" s="193"/>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3"/>
    </row>
    <row r="26" spans="1:26" ht="18" customHeight="1" x14ac:dyDescent="0.15">
      <c r="A26" s="28"/>
      <c r="B26" s="153" t="s">
        <v>96</v>
      </c>
      <c r="C26" s="154"/>
      <c r="D26" s="154"/>
      <c r="E26" s="154"/>
      <c r="F26" s="155"/>
      <c r="G26" s="62" t="s">
        <v>136</v>
      </c>
      <c r="H26" s="63" t="s">
        <v>135</v>
      </c>
      <c r="I26" s="154" t="s">
        <v>97</v>
      </c>
      <c r="J26" s="154"/>
      <c r="K26" s="154"/>
      <c r="L26" s="64" t="s">
        <v>122</v>
      </c>
      <c r="M26" s="64" t="s">
        <v>123</v>
      </c>
      <c r="N26" s="153" t="s">
        <v>96</v>
      </c>
      <c r="O26" s="154"/>
      <c r="P26" s="154"/>
      <c r="Q26" s="154"/>
      <c r="R26" s="154"/>
      <c r="S26" s="155"/>
      <c r="T26" s="62" t="s">
        <v>136</v>
      </c>
      <c r="U26" s="63" t="s">
        <v>135</v>
      </c>
      <c r="V26" s="154" t="s">
        <v>97</v>
      </c>
      <c r="W26" s="154"/>
      <c r="X26" s="154"/>
      <c r="Y26" s="64" t="s">
        <v>122</v>
      </c>
      <c r="Z26" s="64" t="s">
        <v>123</v>
      </c>
    </row>
    <row r="27" spans="1:26" ht="18" customHeight="1" x14ac:dyDescent="0.15">
      <c r="A27" s="28"/>
      <c r="B27" s="160" t="s">
        <v>149</v>
      </c>
      <c r="C27" s="161"/>
      <c r="D27" s="161"/>
      <c r="E27" s="161"/>
      <c r="F27" s="162"/>
      <c r="G27" s="47">
        <v>2</v>
      </c>
      <c r="H27" s="47" t="s">
        <v>151</v>
      </c>
      <c r="I27" s="163" t="s">
        <v>152</v>
      </c>
      <c r="J27" s="164"/>
      <c r="K27" s="165"/>
      <c r="L27" s="47" t="s">
        <v>151</v>
      </c>
      <c r="M27" s="47" t="s">
        <v>151</v>
      </c>
      <c r="N27" s="166"/>
      <c r="O27" s="167"/>
      <c r="P27" s="167"/>
      <c r="Q27" s="167"/>
      <c r="R27" s="167"/>
      <c r="S27" s="168"/>
      <c r="T27" s="47"/>
      <c r="U27" s="47"/>
      <c r="V27" s="163"/>
      <c r="W27" s="164"/>
      <c r="X27" s="165"/>
      <c r="Y27" s="47"/>
      <c r="Z27" s="47"/>
    </row>
    <row r="28" spans="1:26" ht="18" customHeight="1" x14ac:dyDescent="0.15">
      <c r="A28" s="28"/>
      <c r="B28" s="169" t="s">
        <v>239</v>
      </c>
      <c r="C28" s="170"/>
      <c r="D28" s="170"/>
      <c r="E28" s="170"/>
      <c r="F28" s="171"/>
      <c r="G28" s="48">
        <v>2</v>
      </c>
      <c r="H28" s="48" t="s">
        <v>151</v>
      </c>
      <c r="I28" s="172" t="s">
        <v>301</v>
      </c>
      <c r="J28" s="173"/>
      <c r="K28" s="174"/>
      <c r="L28" s="48" t="s">
        <v>151</v>
      </c>
      <c r="M28" s="48" t="s">
        <v>151</v>
      </c>
      <c r="N28" s="175"/>
      <c r="O28" s="176"/>
      <c r="P28" s="176"/>
      <c r="Q28" s="176"/>
      <c r="R28" s="176"/>
      <c r="S28" s="177"/>
      <c r="T28" s="41"/>
      <c r="U28" s="41"/>
      <c r="V28" s="178"/>
      <c r="W28" s="179"/>
      <c r="X28" s="180"/>
      <c r="Y28" s="41"/>
      <c r="Z28" s="41"/>
    </row>
    <row r="29" spans="1:26" ht="18" customHeight="1" x14ac:dyDescent="0.15">
      <c r="A29" s="28"/>
      <c r="B29" s="169"/>
      <c r="C29" s="170"/>
      <c r="D29" s="170"/>
      <c r="E29" s="170"/>
      <c r="F29" s="171"/>
      <c r="G29" s="41"/>
      <c r="H29" s="41"/>
      <c r="I29" s="178"/>
      <c r="J29" s="179"/>
      <c r="K29" s="180"/>
      <c r="L29" s="41"/>
      <c r="M29" s="41"/>
      <c r="N29" s="175"/>
      <c r="O29" s="176"/>
      <c r="P29" s="176"/>
      <c r="Q29" s="176"/>
      <c r="R29" s="176"/>
      <c r="S29" s="177"/>
      <c r="T29" s="41"/>
      <c r="U29" s="41"/>
      <c r="V29" s="178"/>
      <c r="W29" s="179"/>
      <c r="X29" s="180"/>
      <c r="Y29" s="41"/>
      <c r="Z29" s="41"/>
    </row>
    <row r="30" spans="1:26" ht="18" customHeight="1" x14ac:dyDescent="0.15">
      <c r="A30" s="28"/>
      <c r="B30" s="169"/>
      <c r="C30" s="170"/>
      <c r="D30" s="170"/>
      <c r="E30" s="170"/>
      <c r="F30" s="171"/>
      <c r="G30" s="41"/>
      <c r="H30" s="41"/>
      <c r="I30" s="178"/>
      <c r="J30" s="179"/>
      <c r="K30" s="180"/>
      <c r="L30" s="41"/>
      <c r="M30" s="41"/>
      <c r="N30" s="175"/>
      <c r="O30" s="176"/>
      <c r="P30" s="176"/>
      <c r="Q30" s="176"/>
      <c r="R30" s="176"/>
      <c r="S30" s="177"/>
      <c r="T30" s="41"/>
      <c r="U30" s="41"/>
      <c r="V30" s="178"/>
      <c r="W30" s="179"/>
      <c r="X30" s="180"/>
      <c r="Y30" s="41"/>
      <c r="Z30" s="41"/>
    </row>
    <row r="31" spans="1:26" ht="18" customHeight="1" x14ac:dyDescent="0.15">
      <c r="A31" s="28"/>
      <c r="B31" s="169"/>
      <c r="C31" s="170"/>
      <c r="D31" s="170"/>
      <c r="E31" s="170"/>
      <c r="F31" s="171"/>
      <c r="G31" s="41"/>
      <c r="H31" s="41"/>
      <c r="I31" s="178"/>
      <c r="J31" s="179"/>
      <c r="K31" s="180"/>
      <c r="L31" s="41"/>
      <c r="M31" s="41"/>
      <c r="N31" s="175"/>
      <c r="O31" s="176"/>
      <c r="P31" s="176"/>
      <c r="Q31" s="176"/>
      <c r="R31" s="176"/>
      <c r="S31" s="177"/>
      <c r="T31" s="41"/>
      <c r="U31" s="41"/>
      <c r="V31" s="178"/>
      <c r="W31" s="179"/>
      <c r="X31" s="180"/>
      <c r="Y31" s="41"/>
      <c r="Z31" s="41"/>
    </row>
    <row r="32" spans="1:26" ht="18" customHeight="1" x14ac:dyDescent="0.15">
      <c r="A32" s="28"/>
      <c r="B32" s="169"/>
      <c r="C32" s="170"/>
      <c r="D32" s="170"/>
      <c r="E32" s="170"/>
      <c r="F32" s="171"/>
      <c r="G32" s="41"/>
      <c r="H32" s="41"/>
      <c r="I32" s="178"/>
      <c r="J32" s="179"/>
      <c r="K32" s="180"/>
      <c r="L32" s="41"/>
      <c r="M32" s="41"/>
      <c r="N32" s="175"/>
      <c r="O32" s="176"/>
      <c r="P32" s="176"/>
      <c r="Q32" s="176"/>
      <c r="R32" s="176"/>
      <c r="S32" s="177"/>
      <c r="T32" s="41"/>
      <c r="U32" s="41"/>
      <c r="V32" s="178"/>
      <c r="W32" s="179"/>
      <c r="X32" s="180"/>
      <c r="Y32" s="41"/>
      <c r="Z32" s="41"/>
    </row>
    <row r="33" spans="1:26" ht="18" customHeight="1" x14ac:dyDescent="0.15">
      <c r="A33" s="28"/>
      <c r="B33" s="194"/>
      <c r="C33" s="195"/>
      <c r="D33" s="195"/>
      <c r="E33" s="195"/>
      <c r="F33" s="196"/>
      <c r="G33" s="42"/>
      <c r="H33" s="42"/>
      <c r="I33" s="197"/>
      <c r="J33" s="198"/>
      <c r="K33" s="199"/>
      <c r="L33" s="43"/>
      <c r="M33" s="43"/>
      <c r="N33" s="200"/>
      <c r="O33" s="201"/>
      <c r="P33" s="201"/>
      <c r="Q33" s="201"/>
      <c r="R33" s="201"/>
      <c r="S33" s="202"/>
      <c r="T33" s="42"/>
      <c r="U33" s="42"/>
      <c r="V33" s="197"/>
      <c r="W33" s="198"/>
      <c r="X33" s="199"/>
      <c r="Y33" s="43"/>
      <c r="Z33" s="43"/>
    </row>
    <row r="34" spans="1:26" ht="7.5" customHeight="1" x14ac:dyDescent="0.15">
      <c r="A34" s="59"/>
      <c r="B34" s="65"/>
      <c r="C34" s="65"/>
      <c r="D34" s="59"/>
      <c r="E34" s="59"/>
      <c r="F34" s="59"/>
      <c r="G34" s="59"/>
      <c r="H34" s="59"/>
      <c r="I34" s="59"/>
      <c r="J34" s="59"/>
      <c r="K34" s="59"/>
      <c r="L34" s="65"/>
      <c r="M34" s="65"/>
      <c r="N34" s="65"/>
      <c r="O34" s="65"/>
      <c r="P34" s="65"/>
      <c r="Q34" s="65"/>
      <c r="R34" s="65"/>
      <c r="S34" s="65"/>
      <c r="T34" s="65"/>
      <c r="U34" s="65"/>
      <c r="V34" s="65"/>
      <c r="W34" s="65"/>
      <c r="X34" s="65"/>
      <c r="Y34" s="65"/>
      <c r="Z34" s="59"/>
    </row>
    <row r="35" spans="1:26" ht="18" customHeight="1" x14ac:dyDescent="0.15">
      <c r="A35" s="193" t="s">
        <v>124</v>
      </c>
      <c r="B35" s="193"/>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row>
    <row r="36" spans="1:26" ht="18" customHeight="1" x14ac:dyDescent="0.15">
      <c r="A36" s="193"/>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spans="1:26" ht="18" customHeight="1" x14ac:dyDescent="0.15">
      <c r="A37" s="28"/>
      <c r="B37" s="153" t="s">
        <v>96</v>
      </c>
      <c r="C37" s="154"/>
      <c r="D37" s="154"/>
      <c r="E37" s="154"/>
      <c r="F37" s="155"/>
      <c r="G37" s="62" t="s">
        <v>136</v>
      </c>
      <c r="H37" s="63" t="s">
        <v>135</v>
      </c>
      <c r="I37" s="153" t="s">
        <v>97</v>
      </c>
      <c r="J37" s="154"/>
      <c r="K37" s="155"/>
      <c r="L37" s="64" t="s">
        <v>125</v>
      </c>
      <c r="M37" s="64" t="s">
        <v>126</v>
      </c>
      <c r="N37" s="153" t="s">
        <v>96</v>
      </c>
      <c r="O37" s="154"/>
      <c r="P37" s="154"/>
      <c r="Q37" s="154"/>
      <c r="R37" s="154"/>
      <c r="S37" s="155"/>
      <c r="T37" s="62" t="s">
        <v>136</v>
      </c>
      <c r="U37" s="63" t="s">
        <v>135</v>
      </c>
      <c r="V37" s="153" t="s">
        <v>97</v>
      </c>
      <c r="W37" s="154"/>
      <c r="X37" s="155"/>
      <c r="Y37" s="64" t="s">
        <v>125</v>
      </c>
      <c r="Z37" s="64" t="s">
        <v>126</v>
      </c>
    </row>
    <row r="38" spans="1:26" ht="18" customHeight="1" x14ac:dyDescent="0.15">
      <c r="A38" s="59"/>
      <c r="B38" s="160" t="s">
        <v>149</v>
      </c>
      <c r="C38" s="161"/>
      <c r="D38" s="161"/>
      <c r="E38" s="161"/>
      <c r="F38" s="162"/>
      <c r="G38" s="47">
        <v>2</v>
      </c>
      <c r="H38" s="47" t="s">
        <v>151</v>
      </c>
      <c r="I38" s="163" t="s">
        <v>152</v>
      </c>
      <c r="J38" s="164"/>
      <c r="K38" s="165"/>
      <c r="L38" s="47" t="s">
        <v>151</v>
      </c>
      <c r="M38" s="47" t="s">
        <v>151</v>
      </c>
      <c r="N38" s="166"/>
      <c r="O38" s="167"/>
      <c r="P38" s="167"/>
      <c r="Q38" s="167"/>
      <c r="R38" s="167"/>
      <c r="S38" s="168"/>
      <c r="T38" s="47"/>
      <c r="U38" s="47"/>
      <c r="V38" s="163"/>
      <c r="W38" s="164"/>
      <c r="X38" s="165"/>
      <c r="Y38" s="47"/>
      <c r="Z38" s="47"/>
    </row>
    <row r="39" spans="1:26" ht="18" customHeight="1" x14ac:dyDescent="0.15">
      <c r="A39" s="59"/>
      <c r="B39" s="169" t="s">
        <v>239</v>
      </c>
      <c r="C39" s="170"/>
      <c r="D39" s="170"/>
      <c r="E39" s="170"/>
      <c r="F39" s="171"/>
      <c r="G39" s="48">
        <v>2</v>
      </c>
      <c r="H39" s="48" t="s">
        <v>151</v>
      </c>
      <c r="I39" s="172" t="s">
        <v>301</v>
      </c>
      <c r="J39" s="173"/>
      <c r="K39" s="174"/>
      <c r="L39" s="48" t="s">
        <v>151</v>
      </c>
      <c r="M39" s="48" t="s">
        <v>151</v>
      </c>
      <c r="N39" s="175"/>
      <c r="O39" s="176"/>
      <c r="P39" s="176"/>
      <c r="Q39" s="176"/>
      <c r="R39" s="176"/>
      <c r="S39" s="177"/>
      <c r="T39" s="41"/>
      <c r="U39" s="41"/>
      <c r="V39" s="178"/>
      <c r="W39" s="179"/>
      <c r="X39" s="180"/>
      <c r="Y39" s="41"/>
      <c r="Z39" s="41"/>
    </row>
    <row r="40" spans="1:26" ht="18" customHeight="1" x14ac:dyDescent="0.15">
      <c r="A40" s="59"/>
      <c r="B40" s="169"/>
      <c r="C40" s="170"/>
      <c r="D40" s="170"/>
      <c r="E40" s="170"/>
      <c r="F40" s="171"/>
      <c r="G40" s="41"/>
      <c r="H40" s="41"/>
      <c r="I40" s="178"/>
      <c r="J40" s="179"/>
      <c r="K40" s="180"/>
      <c r="L40" s="41"/>
      <c r="M40" s="41"/>
      <c r="N40" s="175"/>
      <c r="O40" s="176"/>
      <c r="P40" s="176"/>
      <c r="Q40" s="176"/>
      <c r="R40" s="176"/>
      <c r="S40" s="177"/>
      <c r="T40" s="41"/>
      <c r="U40" s="41"/>
      <c r="V40" s="178"/>
      <c r="W40" s="179"/>
      <c r="X40" s="180"/>
      <c r="Y40" s="41"/>
      <c r="Z40" s="41"/>
    </row>
    <row r="41" spans="1:26" ht="18" customHeight="1" x14ac:dyDescent="0.15">
      <c r="A41" s="59"/>
      <c r="B41" s="169"/>
      <c r="C41" s="170"/>
      <c r="D41" s="170"/>
      <c r="E41" s="170"/>
      <c r="F41" s="171"/>
      <c r="G41" s="41"/>
      <c r="H41" s="41"/>
      <c r="I41" s="178"/>
      <c r="J41" s="179"/>
      <c r="K41" s="180"/>
      <c r="L41" s="41"/>
      <c r="M41" s="41"/>
      <c r="N41" s="175"/>
      <c r="O41" s="176"/>
      <c r="P41" s="176"/>
      <c r="Q41" s="176"/>
      <c r="R41" s="176"/>
      <c r="S41" s="177"/>
      <c r="T41" s="41"/>
      <c r="U41" s="41"/>
      <c r="V41" s="178"/>
      <c r="W41" s="179"/>
      <c r="X41" s="180"/>
      <c r="Y41" s="41"/>
      <c r="Z41" s="41"/>
    </row>
    <row r="42" spans="1:26" ht="18" customHeight="1" x14ac:dyDescent="0.15">
      <c r="A42" s="59"/>
      <c r="B42" s="169"/>
      <c r="C42" s="170"/>
      <c r="D42" s="170"/>
      <c r="E42" s="170"/>
      <c r="F42" s="171"/>
      <c r="G42" s="41"/>
      <c r="H42" s="41"/>
      <c r="I42" s="178"/>
      <c r="J42" s="179"/>
      <c r="K42" s="180"/>
      <c r="L42" s="41"/>
      <c r="M42" s="41"/>
      <c r="N42" s="175"/>
      <c r="O42" s="176"/>
      <c r="P42" s="176"/>
      <c r="Q42" s="176"/>
      <c r="R42" s="176"/>
      <c r="S42" s="177"/>
      <c r="T42" s="41"/>
      <c r="U42" s="41"/>
      <c r="V42" s="178"/>
      <c r="W42" s="179"/>
      <c r="X42" s="180"/>
      <c r="Y42" s="41"/>
      <c r="Z42" s="41"/>
    </row>
    <row r="43" spans="1:26" ht="18" customHeight="1" x14ac:dyDescent="0.15">
      <c r="A43" s="59"/>
      <c r="B43" s="169"/>
      <c r="C43" s="170"/>
      <c r="D43" s="170"/>
      <c r="E43" s="170"/>
      <c r="F43" s="171"/>
      <c r="G43" s="41"/>
      <c r="H43" s="41"/>
      <c r="I43" s="178"/>
      <c r="J43" s="179"/>
      <c r="K43" s="180"/>
      <c r="L43" s="41"/>
      <c r="M43" s="41"/>
      <c r="N43" s="175"/>
      <c r="O43" s="176"/>
      <c r="P43" s="176"/>
      <c r="Q43" s="176"/>
      <c r="R43" s="176"/>
      <c r="S43" s="177"/>
      <c r="T43" s="41"/>
      <c r="U43" s="41"/>
      <c r="V43" s="178"/>
      <c r="W43" s="179"/>
      <c r="X43" s="180"/>
      <c r="Y43" s="41"/>
      <c r="Z43" s="41"/>
    </row>
    <row r="44" spans="1:26" ht="18" customHeight="1" x14ac:dyDescent="0.15">
      <c r="A44" s="59"/>
      <c r="B44" s="194"/>
      <c r="C44" s="195"/>
      <c r="D44" s="195"/>
      <c r="E44" s="195"/>
      <c r="F44" s="196"/>
      <c r="G44" s="42"/>
      <c r="H44" s="42"/>
      <c r="I44" s="197"/>
      <c r="J44" s="198"/>
      <c r="K44" s="199"/>
      <c r="L44" s="43"/>
      <c r="M44" s="43"/>
      <c r="N44" s="200"/>
      <c r="O44" s="201"/>
      <c r="P44" s="201"/>
      <c r="Q44" s="201"/>
      <c r="R44" s="201"/>
      <c r="S44" s="202"/>
      <c r="T44" s="42"/>
      <c r="U44" s="42"/>
      <c r="V44" s="197"/>
      <c r="W44" s="198"/>
      <c r="X44" s="199"/>
      <c r="Y44" s="43"/>
      <c r="Z44" s="43"/>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3" t="s">
        <v>127</v>
      </c>
      <c r="B46" s="193"/>
      <c r="C46" s="193"/>
      <c r="D46" s="193"/>
      <c r="E46" s="193"/>
      <c r="F46" s="193"/>
      <c r="G46" s="193"/>
      <c r="H46" s="193"/>
      <c r="I46" s="193"/>
      <c r="J46" s="193"/>
      <c r="K46" s="193"/>
      <c r="L46" s="193"/>
      <c r="M46" s="193"/>
      <c r="N46" s="193"/>
      <c r="O46" s="193"/>
      <c r="P46" s="193"/>
      <c r="Q46" s="193"/>
      <c r="R46" s="193"/>
      <c r="S46" s="193"/>
      <c r="T46" s="193"/>
      <c r="U46" s="193"/>
      <c r="V46" s="193"/>
      <c r="W46" s="193"/>
      <c r="X46" s="193"/>
      <c r="Y46" s="193"/>
      <c r="Z46" s="193"/>
    </row>
    <row r="47" spans="1:26" ht="18" customHeight="1" x14ac:dyDescent="0.15">
      <c r="A47" s="193"/>
      <c r="B47" s="193"/>
      <c r="C47" s="193"/>
      <c r="D47" s="193"/>
      <c r="E47" s="193"/>
      <c r="F47" s="193"/>
      <c r="G47" s="193"/>
      <c r="H47" s="193"/>
      <c r="I47" s="193"/>
      <c r="J47" s="193"/>
      <c r="K47" s="193"/>
      <c r="L47" s="193"/>
      <c r="M47" s="193"/>
      <c r="N47" s="193"/>
      <c r="O47" s="193"/>
      <c r="P47" s="193"/>
      <c r="Q47" s="193"/>
      <c r="R47" s="193"/>
      <c r="S47" s="193"/>
      <c r="T47" s="193"/>
      <c r="U47" s="193"/>
      <c r="V47" s="193"/>
      <c r="W47" s="193"/>
      <c r="X47" s="193"/>
      <c r="Y47" s="193"/>
      <c r="Z47" s="193"/>
    </row>
    <row r="48" spans="1:26" ht="18" customHeight="1" x14ac:dyDescent="0.15">
      <c r="A48" s="28"/>
      <c r="B48" s="153" t="s">
        <v>96</v>
      </c>
      <c r="C48" s="154"/>
      <c r="D48" s="154"/>
      <c r="E48" s="154"/>
      <c r="F48" s="155"/>
      <c r="G48" s="62" t="s">
        <v>136</v>
      </c>
      <c r="H48" s="63" t="s">
        <v>135</v>
      </c>
      <c r="I48" s="153" t="s">
        <v>97</v>
      </c>
      <c r="J48" s="154"/>
      <c r="K48" s="155"/>
      <c r="L48" s="64" t="s">
        <v>102</v>
      </c>
      <c r="M48" s="64" t="s">
        <v>104</v>
      </c>
      <c r="N48" s="153" t="s">
        <v>96</v>
      </c>
      <c r="O48" s="154"/>
      <c r="P48" s="154"/>
      <c r="Q48" s="154"/>
      <c r="R48" s="154"/>
      <c r="S48" s="155"/>
      <c r="T48" s="62" t="s">
        <v>136</v>
      </c>
      <c r="U48" s="63" t="s">
        <v>135</v>
      </c>
      <c r="V48" s="153" t="s">
        <v>97</v>
      </c>
      <c r="W48" s="154"/>
      <c r="X48" s="155"/>
      <c r="Y48" s="64" t="s">
        <v>102</v>
      </c>
      <c r="Z48" s="64" t="s">
        <v>104</v>
      </c>
    </row>
    <row r="49" spans="1:26" ht="18" customHeight="1" x14ac:dyDescent="0.15">
      <c r="A49" s="59"/>
      <c r="B49" s="160" t="s">
        <v>150</v>
      </c>
      <c r="C49" s="161"/>
      <c r="D49" s="161"/>
      <c r="E49" s="161"/>
      <c r="F49" s="162"/>
      <c r="G49" s="47">
        <v>2</v>
      </c>
      <c r="H49" s="47"/>
      <c r="I49" s="163" t="s">
        <v>152</v>
      </c>
      <c r="J49" s="164"/>
      <c r="K49" s="165"/>
      <c r="L49" s="47" t="s">
        <v>151</v>
      </c>
      <c r="M49" s="47" t="s">
        <v>151</v>
      </c>
      <c r="N49" s="166"/>
      <c r="O49" s="167"/>
      <c r="P49" s="167"/>
      <c r="Q49" s="167"/>
      <c r="R49" s="167"/>
      <c r="S49" s="168"/>
      <c r="T49" s="47"/>
      <c r="U49" s="47"/>
      <c r="V49" s="163"/>
      <c r="W49" s="164"/>
      <c r="X49" s="165"/>
      <c r="Y49" s="47"/>
      <c r="Z49" s="47"/>
    </row>
    <row r="50" spans="1:26" ht="18" customHeight="1" x14ac:dyDescent="0.15">
      <c r="A50" s="59"/>
      <c r="B50" s="169" t="s">
        <v>239</v>
      </c>
      <c r="C50" s="170"/>
      <c r="D50" s="170"/>
      <c r="E50" s="170"/>
      <c r="F50" s="171"/>
      <c r="G50" s="48">
        <v>2</v>
      </c>
      <c r="H50" s="48" t="s">
        <v>151</v>
      </c>
      <c r="I50" s="172" t="s">
        <v>301</v>
      </c>
      <c r="J50" s="173"/>
      <c r="K50" s="174"/>
      <c r="L50" s="48" t="s">
        <v>151</v>
      </c>
      <c r="M50" s="48" t="s">
        <v>151</v>
      </c>
      <c r="N50" s="175"/>
      <c r="O50" s="176"/>
      <c r="P50" s="176"/>
      <c r="Q50" s="176"/>
      <c r="R50" s="176"/>
      <c r="S50" s="177"/>
      <c r="T50" s="41"/>
      <c r="U50" s="41"/>
      <c r="V50" s="178"/>
      <c r="W50" s="179"/>
      <c r="X50" s="180"/>
      <c r="Y50" s="41"/>
      <c r="Z50" s="41"/>
    </row>
    <row r="51" spans="1:26" ht="18" customHeight="1" x14ac:dyDescent="0.15">
      <c r="A51" s="59"/>
      <c r="B51" s="169"/>
      <c r="C51" s="170"/>
      <c r="D51" s="170"/>
      <c r="E51" s="170"/>
      <c r="F51" s="171"/>
      <c r="G51" s="41"/>
      <c r="H51" s="41"/>
      <c r="I51" s="178"/>
      <c r="J51" s="179"/>
      <c r="K51" s="180"/>
      <c r="L51" s="41"/>
      <c r="M51" s="41"/>
      <c r="N51" s="175"/>
      <c r="O51" s="176"/>
      <c r="P51" s="176"/>
      <c r="Q51" s="176"/>
      <c r="R51" s="176"/>
      <c r="S51" s="177"/>
      <c r="T51" s="41"/>
      <c r="U51" s="41"/>
      <c r="V51" s="178"/>
      <c r="W51" s="179"/>
      <c r="X51" s="180"/>
      <c r="Y51" s="41"/>
      <c r="Z51" s="41"/>
    </row>
    <row r="52" spans="1:26" ht="18" customHeight="1" x14ac:dyDescent="0.15">
      <c r="A52" s="59"/>
      <c r="B52" s="169"/>
      <c r="C52" s="170"/>
      <c r="D52" s="170"/>
      <c r="E52" s="170"/>
      <c r="F52" s="171"/>
      <c r="G52" s="41"/>
      <c r="H52" s="41"/>
      <c r="I52" s="178"/>
      <c r="J52" s="179"/>
      <c r="K52" s="180"/>
      <c r="L52" s="41"/>
      <c r="M52" s="41"/>
      <c r="N52" s="175"/>
      <c r="O52" s="176"/>
      <c r="P52" s="176"/>
      <c r="Q52" s="176"/>
      <c r="R52" s="176"/>
      <c r="S52" s="177"/>
      <c r="T52" s="41"/>
      <c r="U52" s="41"/>
      <c r="V52" s="178"/>
      <c r="W52" s="179"/>
      <c r="X52" s="180"/>
      <c r="Y52" s="41"/>
      <c r="Z52" s="41"/>
    </row>
    <row r="53" spans="1:26" ht="18" customHeight="1" x14ac:dyDescent="0.15">
      <c r="A53" s="59"/>
      <c r="B53" s="169"/>
      <c r="C53" s="170"/>
      <c r="D53" s="170"/>
      <c r="E53" s="170"/>
      <c r="F53" s="171"/>
      <c r="G53" s="41"/>
      <c r="H53" s="41"/>
      <c r="I53" s="178"/>
      <c r="J53" s="179"/>
      <c r="K53" s="180"/>
      <c r="L53" s="41"/>
      <c r="M53" s="41"/>
      <c r="N53" s="175"/>
      <c r="O53" s="176"/>
      <c r="P53" s="176"/>
      <c r="Q53" s="176"/>
      <c r="R53" s="176"/>
      <c r="S53" s="177"/>
      <c r="T53" s="41"/>
      <c r="U53" s="41"/>
      <c r="V53" s="178"/>
      <c r="W53" s="179"/>
      <c r="X53" s="180"/>
      <c r="Y53" s="41"/>
      <c r="Z53" s="41"/>
    </row>
    <row r="54" spans="1:26" ht="18" customHeight="1" x14ac:dyDescent="0.15">
      <c r="A54" s="59"/>
      <c r="B54" s="169"/>
      <c r="C54" s="170"/>
      <c r="D54" s="170"/>
      <c r="E54" s="170"/>
      <c r="F54" s="171"/>
      <c r="G54" s="41"/>
      <c r="H54" s="41"/>
      <c r="I54" s="178"/>
      <c r="J54" s="179"/>
      <c r="K54" s="180"/>
      <c r="L54" s="41"/>
      <c r="M54" s="41"/>
      <c r="N54" s="175"/>
      <c r="O54" s="176"/>
      <c r="P54" s="176"/>
      <c r="Q54" s="176"/>
      <c r="R54" s="176"/>
      <c r="S54" s="177"/>
      <c r="T54" s="41"/>
      <c r="U54" s="41"/>
      <c r="V54" s="178"/>
      <c r="W54" s="179"/>
      <c r="X54" s="180"/>
      <c r="Y54" s="41"/>
      <c r="Z54" s="41"/>
    </row>
    <row r="55" spans="1:26" ht="18" customHeight="1" x14ac:dyDescent="0.15">
      <c r="A55" s="59"/>
      <c r="B55" s="194"/>
      <c r="C55" s="195"/>
      <c r="D55" s="195"/>
      <c r="E55" s="195"/>
      <c r="F55" s="196"/>
      <c r="G55" s="42"/>
      <c r="H55" s="42"/>
      <c r="I55" s="197"/>
      <c r="J55" s="198"/>
      <c r="K55" s="199"/>
      <c r="L55" s="43"/>
      <c r="M55" s="43"/>
      <c r="N55" s="200"/>
      <c r="O55" s="201"/>
      <c r="P55" s="201"/>
      <c r="Q55" s="201"/>
      <c r="R55" s="201"/>
      <c r="S55" s="202"/>
      <c r="T55" s="42"/>
      <c r="U55" s="42"/>
      <c r="V55" s="197"/>
      <c r="W55" s="198"/>
      <c r="X55" s="199"/>
      <c r="Y55" s="43"/>
      <c r="Z55" s="43"/>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3" t="s">
        <v>128</v>
      </c>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row>
    <row r="58" spans="1:26" ht="18" customHeight="1" x14ac:dyDescent="0.15">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row>
    <row r="59" spans="1:26" ht="18" customHeight="1" x14ac:dyDescent="0.15">
      <c r="A59" s="28"/>
      <c r="B59" s="153" t="s">
        <v>96</v>
      </c>
      <c r="C59" s="154"/>
      <c r="D59" s="154"/>
      <c r="E59" s="155"/>
      <c r="F59" s="62" t="s">
        <v>136</v>
      </c>
      <c r="G59" s="63" t="s">
        <v>135</v>
      </c>
      <c r="H59" s="67" t="s">
        <v>97</v>
      </c>
      <c r="I59" s="68"/>
      <c r="J59" s="69"/>
      <c r="K59" s="64" t="s">
        <v>101</v>
      </c>
      <c r="L59" s="64" t="s">
        <v>129</v>
      </c>
      <c r="M59" s="64" t="s">
        <v>130</v>
      </c>
      <c r="N59" s="153" t="s">
        <v>96</v>
      </c>
      <c r="O59" s="154"/>
      <c r="P59" s="154"/>
      <c r="Q59" s="154"/>
      <c r="R59" s="155"/>
      <c r="S59" s="62" t="s">
        <v>136</v>
      </c>
      <c r="T59" s="63" t="s">
        <v>135</v>
      </c>
      <c r="U59" s="67" t="s">
        <v>97</v>
      </c>
      <c r="V59" s="68"/>
      <c r="W59" s="69"/>
      <c r="X59" s="64" t="s">
        <v>101</v>
      </c>
      <c r="Y59" s="64" t="s">
        <v>129</v>
      </c>
      <c r="Z59" s="64" t="s">
        <v>130</v>
      </c>
    </row>
    <row r="60" spans="1:26" ht="18" customHeight="1" x14ac:dyDescent="0.15">
      <c r="A60" s="59"/>
      <c r="B60" s="166" t="s">
        <v>149</v>
      </c>
      <c r="C60" s="167"/>
      <c r="D60" s="167"/>
      <c r="E60" s="168"/>
      <c r="F60" s="47">
        <v>2</v>
      </c>
      <c r="G60" s="47" t="s">
        <v>151</v>
      </c>
      <c r="H60" s="163" t="s">
        <v>152</v>
      </c>
      <c r="I60" s="164"/>
      <c r="J60" s="165"/>
      <c r="K60" s="47" t="s">
        <v>151</v>
      </c>
      <c r="L60" s="47" t="s">
        <v>151</v>
      </c>
      <c r="M60" s="47" t="s">
        <v>151</v>
      </c>
      <c r="N60" s="166"/>
      <c r="O60" s="167"/>
      <c r="P60" s="167"/>
      <c r="Q60" s="167"/>
      <c r="R60" s="168"/>
      <c r="S60" s="47"/>
      <c r="T60" s="47"/>
      <c r="U60" s="163"/>
      <c r="V60" s="164"/>
      <c r="W60" s="165"/>
      <c r="X60" s="52"/>
      <c r="Y60" s="47"/>
      <c r="Z60" s="47"/>
    </row>
    <row r="61" spans="1:26" ht="18" customHeight="1" x14ac:dyDescent="0.15">
      <c r="A61" s="59"/>
      <c r="B61" s="175" t="s">
        <v>239</v>
      </c>
      <c r="C61" s="176"/>
      <c r="D61" s="176"/>
      <c r="E61" s="177"/>
      <c r="F61" s="41">
        <v>2</v>
      </c>
      <c r="G61" s="41" t="s">
        <v>151</v>
      </c>
      <c r="H61" s="178" t="s">
        <v>301</v>
      </c>
      <c r="I61" s="179"/>
      <c r="J61" s="180"/>
      <c r="K61" s="48" t="s">
        <v>151</v>
      </c>
      <c r="L61" s="48" t="s">
        <v>151</v>
      </c>
      <c r="M61" s="48" t="s">
        <v>151</v>
      </c>
      <c r="N61" s="175"/>
      <c r="O61" s="176"/>
      <c r="P61" s="176"/>
      <c r="Q61" s="176"/>
      <c r="R61" s="177"/>
      <c r="S61" s="41"/>
      <c r="T61" s="41"/>
      <c r="U61" s="178"/>
      <c r="V61" s="179"/>
      <c r="W61" s="180"/>
      <c r="X61" s="55"/>
      <c r="Y61" s="41"/>
      <c r="Z61" s="41"/>
    </row>
    <row r="62" spans="1:26" ht="18" customHeight="1" x14ac:dyDescent="0.15">
      <c r="A62" s="59"/>
      <c r="B62" s="175"/>
      <c r="C62" s="176"/>
      <c r="D62" s="176"/>
      <c r="E62" s="177"/>
      <c r="F62" s="41"/>
      <c r="G62" s="41"/>
      <c r="H62" s="178"/>
      <c r="I62" s="179"/>
      <c r="J62" s="180"/>
      <c r="K62" s="55"/>
      <c r="L62" s="41"/>
      <c r="M62" s="41"/>
      <c r="N62" s="175"/>
      <c r="O62" s="176"/>
      <c r="P62" s="176"/>
      <c r="Q62" s="176"/>
      <c r="R62" s="177"/>
      <c r="S62" s="41"/>
      <c r="T62" s="41"/>
      <c r="U62" s="178"/>
      <c r="V62" s="179"/>
      <c r="W62" s="180"/>
      <c r="X62" s="55"/>
      <c r="Y62" s="41"/>
      <c r="Z62" s="41"/>
    </row>
    <row r="63" spans="1:26" ht="18" customHeight="1" x14ac:dyDescent="0.15">
      <c r="A63" s="59"/>
      <c r="B63" s="175"/>
      <c r="C63" s="176"/>
      <c r="D63" s="176"/>
      <c r="E63" s="177"/>
      <c r="F63" s="41"/>
      <c r="G63" s="41"/>
      <c r="H63" s="178"/>
      <c r="I63" s="179"/>
      <c r="J63" s="180"/>
      <c r="K63" s="55"/>
      <c r="L63" s="41"/>
      <c r="M63" s="41"/>
      <c r="N63" s="175"/>
      <c r="O63" s="176"/>
      <c r="P63" s="176"/>
      <c r="Q63" s="176"/>
      <c r="R63" s="177"/>
      <c r="S63" s="41"/>
      <c r="T63" s="41"/>
      <c r="U63" s="178"/>
      <c r="V63" s="179"/>
      <c r="W63" s="180"/>
      <c r="X63" s="55"/>
      <c r="Y63" s="41"/>
      <c r="Z63" s="41"/>
    </row>
    <row r="64" spans="1:26" ht="18" customHeight="1" x14ac:dyDescent="0.15">
      <c r="A64" s="59"/>
      <c r="B64" s="175"/>
      <c r="C64" s="176"/>
      <c r="D64" s="176"/>
      <c r="E64" s="177"/>
      <c r="F64" s="41"/>
      <c r="G64" s="41"/>
      <c r="H64" s="178"/>
      <c r="I64" s="179"/>
      <c r="J64" s="180"/>
      <c r="K64" s="55"/>
      <c r="L64" s="41"/>
      <c r="M64" s="41"/>
      <c r="N64" s="175"/>
      <c r="O64" s="176"/>
      <c r="P64" s="176"/>
      <c r="Q64" s="176"/>
      <c r="R64" s="177"/>
      <c r="S64" s="41"/>
      <c r="T64" s="41"/>
      <c r="U64" s="178"/>
      <c r="V64" s="179"/>
      <c r="W64" s="180"/>
      <c r="X64" s="55"/>
      <c r="Y64" s="41"/>
      <c r="Z64" s="41"/>
    </row>
    <row r="65" spans="1:26" ht="18" customHeight="1" x14ac:dyDescent="0.15">
      <c r="A65" s="59"/>
      <c r="B65" s="175"/>
      <c r="C65" s="176"/>
      <c r="D65" s="176"/>
      <c r="E65" s="177"/>
      <c r="F65" s="41"/>
      <c r="G65" s="41"/>
      <c r="H65" s="178"/>
      <c r="I65" s="179"/>
      <c r="J65" s="180"/>
      <c r="K65" s="55"/>
      <c r="L65" s="41"/>
      <c r="M65" s="41"/>
      <c r="N65" s="175"/>
      <c r="O65" s="176"/>
      <c r="P65" s="176"/>
      <c r="Q65" s="176"/>
      <c r="R65" s="177"/>
      <c r="S65" s="41"/>
      <c r="T65" s="41"/>
      <c r="U65" s="178"/>
      <c r="V65" s="179"/>
      <c r="W65" s="180"/>
      <c r="X65" s="55"/>
      <c r="Y65" s="41"/>
      <c r="Z65" s="41"/>
    </row>
    <row r="66" spans="1:26" ht="18" customHeight="1" x14ac:dyDescent="0.15">
      <c r="A66" s="59"/>
      <c r="B66" s="200"/>
      <c r="C66" s="201"/>
      <c r="D66" s="201"/>
      <c r="E66" s="202"/>
      <c r="F66" s="42"/>
      <c r="G66" s="42"/>
      <c r="H66" s="197"/>
      <c r="I66" s="198"/>
      <c r="J66" s="199"/>
      <c r="K66" s="56"/>
      <c r="L66" s="43"/>
      <c r="M66" s="43"/>
      <c r="N66" s="200"/>
      <c r="O66" s="201"/>
      <c r="P66" s="201"/>
      <c r="Q66" s="201"/>
      <c r="R66" s="202"/>
      <c r="S66" s="42"/>
      <c r="T66" s="42"/>
      <c r="U66" s="197"/>
      <c r="V66" s="198"/>
      <c r="W66" s="199"/>
      <c r="X66" s="56"/>
      <c r="Y66" s="43"/>
      <c r="Z66" s="43"/>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28" t="s">
        <v>131</v>
      </c>
      <c r="B68" s="28"/>
      <c r="C68" s="28"/>
      <c r="D68" s="28"/>
      <c r="E68" s="28"/>
      <c r="F68" s="28"/>
      <c r="G68" s="28"/>
      <c r="H68" s="28"/>
      <c r="I68" s="28"/>
      <c r="J68" s="28"/>
      <c r="K68" s="28"/>
      <c r="L68" s="59"/>
      <c r="M68" s="59"/>
      <c r="N68" s="59"/>
      <c r="O68" s="59"/>
      <c r="P68" s="59"/>
      <c r="Q68" s="59"/>
      <c r="R68" s="59"/>
      <c r="S68" s="59"/>
      <c r="T68" s="59"/>
      <c r="U68" s="59"/>
      <c r="V68" s="59"/>
      <c r="W68" s="59"/>
      <c r="X68" s="59"/>
      <c r="Y68" s="59"/>
      <c r="Z68" s="59"/>
    </row>
    <row r="69" spans="1:26" ht="18" customHeight="1" x14ac:dyDescent="0.15">
      <c r="A69" s="28"/>
      <c r="B69" s="153" t="s">
        <v>96</v>
      </c>
      <c r="C69" s="154"/>
      <c r="D69" s="154"/>
      <c r="E69" s="154"/>
      <c r="F69" s="155"/>
      <c r="G69" s="153" t="s">
        <v>141</v>
      </c>
      <c r="H69" s="154"/>
      <c r="I69" s="154"/>
      <c r="J69" s="154"/>
      <c r="K69" s="154"/>
      <c r="L69" s="154"/>
      <c r="M69" s="155"/>
      <c r="N69" s="153" t="s">
        <v>96</v>
      </c>
      <c r="O69" s="154"/>
      <c r="P69" s="154"/>
      <c r="Q69" s="154"/>
      <c r="R69" s="154"/>
      <c r="S69" s="155"/>
      <c r="T69" s="153" t="s">
        <v>141</v>
      </c>
      <c r="U69" s="154"/>
      <c r="V69" s="154"/>
      <c r="W69" s="154"/>
      <c r="X69" s="154"/>
      <c r="Y69" s="154"/>
      <c r="Z69" s="155"/>
    </row>
    <row r="70" spans="1:26" ht="18" customHeight="1" x14ac:dyDescent="0.15">
      <c r="A70" s="59"/>
      <c r="B70" s="212" t="s">
        <v>155</v>
      </c>
      <c r="C70" s="213"/>
      <c r="D70" s="213"/>
      <c r="E70" s="213"/>
      <c r="F70" s="214"/>
      <c r="G70" s="215" t="s">
        <v>153</v>
      </c>
      <c r="H70" s="216"/>
      <c r="I70" s="216"/>
      <c r="J70" s="216"/>
      <c r="K70" s="216"/>
      <c r="L70" s="216"/>
      <c r="M70" s="217"/>
      <c r="N70" s="166" t="s">
        <v>169</v>
      </c>
      <c r="O70" s="167"/>
      <c r="P70" s="167"/>
      <c r="Q70" s="167"/>
      <c r="R70" s="167"/>
      <c r="S70" s="168"/>
      <c r="T70" s="215" t="s">
        <v>153</v>
      </c>
      <c r="U70" s="216"/>
      <c r="V70" s="216"/>
      <c r="W70" s="216"/>
      <c r="X70" s="216"/>
      <c r="Y70" s="216"/>
      <c r="Z70" s="217"/>
    </row>
    <row r="71" spans="1:26" ht="18" customHeight="1" x14ac:dyDescent="0.15">
      <c r="A71" s="59"/>
      <c r="B71" s="203" t="s">
        <v>156</v>
      </c>
      <c r="C71" s="204"/>
      <c r="D71" s="204"/>
      <c r="E71" s="204"/>
      <c r="F71" s="205"/>
      <c r="G71" s="206" t="s">
        <v>153</v>
      </c>
      <c r="H71" s="207"/>
      <c r="I71" s="207"/>
      <c r="J71" s="207"/>
      <c r="K71" s="207"/>
      <c r="L71" s="207"/>
      <c r="M71" s="208"/>
      <c r="N71" s="218" t="s">
        <v>165</v>
      </c>
      <c r="O71" s="219"/>
      <c r="P71" s="219"/>
      <c r="Q71" s="219"/>
      <c r="R71" s="219"/>
      <c r="S71" s="220"/>
      <c r="T71" s="206" t="s">
        <v>153</v>
      </c>
      <c r="U71" s="207"/>
      <c r="V71" s="207"/>
      <c r="W71" s="207"/>
      <c r="X71" s="207"/>
      <c r="Y71" s="207"/>
      <c r="Z71" s="208"/>
    </row>
    <row r="72" spans="1:26" ht="18" customHeight="1" x14ac:dyDescent="0.15">
      <c r="A72" s="59"/>
      <c r="B72" s="203" t="s">
        <v>157</v>
      </c>
      <c r="C72" s="204"/>
      <c r="D72" s="204"/>
      <c r="E72" s="204"/>
      <c r="F72" s="205"/>
      <c r="G72" s="206" t="s">
        <v>153</v>
      </c>
      <c r="H72" s="207"/>
      <c r="I72" s="207"/>
      <c r="J72" s="207"/>
      <c r="K72" s="207"/>
      <c r="L72" s="207"/>
      <c r="M72" s="208"/>
      <c r="N72" s="203" t="s">
        <v>166</v>
      </c>
      <c r="O72" s="204"/>
      <c r="P72" s="204"/>
      <c r="Q72" s="204"/>
      <c r="R72" s="204"/>
      <c r="S72" s="205"/>
      <c r="T72" s="206" t="s">
        <v>153</v>
      </c>
      <c r="U72" s="207"/>
      <c r="V72" s="207"/>
      <c r="W72" s="207"/>
      <c r="X72" s="207"/>
      <c r="Y72" s="207"/>
      <c r="Z72" s="208"/>
    </row>
    <row r="73" spans="1:26" ht="18" customHeight="1" x14ac:dyDescent="0.15">
      <c r="A73" s="59"/>
      <c r="B73" s="175" t="s">
        <v>158</v>
      </c>
      <c r="C73" s="176"/>
      <c r="D73" s="176"/>
      <c r="E73" s="176"/>
      <c r="F73" s="177"/>
      <c r="G73" s="206" t="s">
        <v>153</v>
      </c>
      <c r="H73" s="207"/>
      <c r="I73" s="207"/>
      <c r="J73" s="207"/>
      <c r="K73" s="207"/>
      <c r="L73" s="207"/>
      <c r="M73" s="208"/>
      <c r="N73" s="203" t="s">
        <v>170</v>
      </c>
      <c r="O73" s="204"/>
      <c r="P73" s="204"/>
      <c r="Q73" s="204"/>
      <c r="R73" s="204"/>
      <c r="S73" s="205"/>
      <c r="T73" s="209" t="s">
        <v>153</v>
      </c>
      <c r="U73" s="210"/>
      <c r="V73" s="210"/>
      <c r="W73" s="210"/>
      <c r="X73" s="210"/>
      <c r="Y73" s="210"/>
      <c r="Z73" s="211"/>
    </row>
    <row r="74" spans="1:26" ht="18" customHeight="1" x14ac:dyDescent="0.15">
      <c r="A74" s="59"/>
      <c r="B74" s="218" t="s">
        <v>161</v>
      </c>
      <c r="C74" s="219"/>
      <c r="D74" s="219"/>
      <c r="E74" s="219"/>
      <c r="F74" s="220"/>
      <c r="G74" s="206" t="s">
        <v>153</v>
      </c>
      <c r="H74" s="207"/>
      <c r="I74" s="207"/>
      <c r="J74" s="207"/>
      <c r="K74" s="207"/>
      <c r="L74" s="207"/>
      <c r="M74" s="208"/>
      <c r="N74" s="175" t="s">
        <v>171</v>
      </c>
      <c r="O74" s="176"/>
      <c r="P74" s="176"/>
      <c r="Q74" s="176"/>
      <c r="R74" s="176"/>
      <c r="S74" s="177"/>
      <c r="T74" s="206" t="s">
        <v>153</v>
      </c>
      <c r="U74" s="207"/>
      <c r="V74" s="207"/>
      <c r="W74" s="207"/>
      <c r="X74" s="207"/>
      <c r="Y74" s="207"/>
      <c r="Z74" s="208"/>
    </row>
    <row r="75" spans="1:26" ht="18" customHeight="1" x14ac:dyDescent="0.15">
      <c r="A75" s="59"/>
      <c r="B75" s="203" t="s">
        <v>162</v>
      </c>
      <c r="C75" s="204"/>
      <c r="D75" s="204"/>
      <c r="E75" s="204"/>
      <c r="F75" s="205"/>
      <c r="G75" s="206" t="s">
        <v>153</v>
      </c>
      <c r="H75" s="207"/>
      <c r="I75" s="207"/>
      <c r="J75" s="207"/>
      <c r="K75" s="207"/>
      <c r="L75" s="207"/>
      <c r="M75" s="208"/>
      <c r="N75" s="218" t="s">
        <v>288</v>
      </c>
      <c r="O75" s="219"/>
      <c r="P75" s="219"/>
      <c r="Q75" s="219"/>
      <c r="R75" s="219"/>
      <c r="S75" s="220"/>
      <c r="T75" s="206" t="s">
        <v>153</v>
      </c>
      <c r="U75" s="207"/>
      <c r="V75" s="207"/>
      <c r="W75" s="207"/>
      <c r="X75" s="207"/>
      <c r="Y75" s="207"/>
      <c r="Z75" s="208"/>
    </row>
    <row r="76" spans="1:26" ht="18" customHeight="1" x14ac:dyDescent="0.15">
      <c r="A76" s="59"/>
      <c r="B76" s="203" t="s">
        <v>167</v>
      </c>
      <c r="C76" s="204"/>
      <c r="D76" s="204"/>
      <c r="E76" s="204"/>
      <c r="F76" s="205"/>
      <c r="G76" s="209" t="s">
        <v>153</v>
      </c>
      <c r="H76" s="210"/>
      <c r="I76" s="210"/>
      <c r="J76" s="210"/>
      <c r="K76" s="210"/>
      <c r="L76" s="210"/>
      <c r="M76" s="211"/>
      <c r="N76" s="203" t="s">
        <v>172</v>
      </c>
      <c r="O76" s="204"/>
      <c r="P76" s="204"/>
      <c r="Q76" s="204"/>
      <c r="R76" s="204"/>
      <c r="S76" s="205"/>
      <c r="T76" s="206" t="s">
        <v>153</v>
      </c>
      <c r="U76" s="207"/>
      <c r="V76" s="207"/>
      <c r="W76" s="207"/>
      <c r="X76" s="207"/>
      <c r="Y76" s="207"/>
      <c r="Z76" s="208"/>
    </row>
    <row r="77" spans="1:26" ht="18" customHeight="1" x14ac:dyDescent="0.15">
      <c r="A77" s="59"/>
      <c r="B77" s="203" t="s">
        <v>168</v>
      </c>
      <c r="C77" s="204"/>
      <c r="D77" s="204"/>
      <c r="E77" s="204"/>
      <c r="F77" s="205"/>
      <c r="G77" s="221" t="s">
        <v>153</v>
      </c>
      <c r="H77" s="222"/>
      <c r="I77" s="222"/>
      <c r="J77" s="222"/>
      <c r="K77" s="222"/>
      <c r="L77" s="222"/>
      <c r="M77" s="223"/>
      <c r="N77" s="175" t="s">
        <v>173</v>
      </c>
      <c r="O77" s="176"/>
      <c r="P77" s="176"/>
      <c r="Q77" s="176"/>
      <c r="R77" s="176"/>
      <c r="S77" s="177"/>
      <c r="T77" s="206" t="s">
        <v>153</v>
      </c>
      <c r="U77" s="207"/>
      <c r="V77" s="207"/>
      <c r="W77" s="207"/>
      <c r="X77" s="207"/>
      <c r="Y77" s="207"/>
      <c r="Z77" s="208"/>
    </row>
    <row r="78" spans="1:26" ht="18" customHeight="1" x14ac:dyDescent="0.15">
      <c r="A78" s="59"/>
      <c r="B78" s="175" t="s">
        <v>178</v>
      </c>
      <c r="C78" s="176"/>
      <c r="D78" s="176"/>
      <c r="E78" s="176"/>
      <c r="F78" s="177"/>
      <c r="G78" s="206" t="s">
        <v>153</v>
      </c>
      <c r="H78" s="207"/>
      <c r="I78" s="207"/>
      <c r="J78" s="207"/>
      <c r="K78" s="207"/>
      <c r="L78" s="207"/>
      <c r="M78" s="208"/>
      <c r="N78" s="225" t="s">
        <v>288</v>
      </c>
      <c r="O78" s="226"/>
      <c r="P78" s="226"/>
      <c r="Q78" s="226"/>
      <c r="R78" s="226"/>
      <c r="S78" s="227"/>
      <c r="T78" s="206" t="s">
        <v>153</v>
      </c>
      <c r="U78" s="207"/>
      <c r="V78" s="207"/>
      <c r="W78" s="207"/>
      <c r="X78" s="207"/>
      <c r="Y78" s="207"/>
      <c r="Z78" s="208"/>
    </row>
    <row r="79" spans="1:26" ht="18" customHeight="1" x14ac:dyDescent="0.15">
      <c r="A79" s="59"/>
      <c r="B79" s="218" t="s">
        <v>180</v>
      </c>
      <c r="C79" s="219"/>
      <c r="D79" s="219"/>
      <c r="E79" s="219"/>
      <c r="F79" s="220"/>
      <c r="G79" s="206" t="s">
        <v>153</v>
      </c>
      <c r="H79" s="207"/>
      <c r="I79" s="207"/>
      <c r="J79" s="207"/>
      <c r="K79" s="207"/>
      <c r="L79" s="207"/>
      <c r="M79" s="208"/>
      <c r="N79" s="175" t="s">
        <v>179</v>
      </c>
      <c r="O79" s="176"/>
      <c r="P79" s="176"/>
      <c r="Q79" s="176"/>
      <c r="R79" s="176"/>
      <c r="S79" s="177"/>
      <c r="T79" s="206" t="s">
        <v>153</v>
      </c>
      <c r="U79" s="207"/>
      <c r="V79" s="207"/>
      <c r="W79" s="207"/>
      <c r="X79" s="207"/>
      <c r="Y79" s="207"/>
      <c r="Z79" s="208"/>
    </row>
    <row r="80" spans="1:26" ht="18" customHeight="1" x14ac:dyDescent="0.15">
      <c r="A80" s="59"/>
      <c r="B80" s="224" t="s">
        <v>182</v>
      </c>
      <c r="C80" s="176"/>
      <c r="D80" s="176"/>
      <c r="E80" s="176"/>
      <c r="F80" s="176"/>
      <c r="G80" s="209" t="s">
        <v>153</v>
      </c>
      <c r="H80" s="210"/>
      <c r="I80" s="210"/>
      <c r="J80" s="210"/>
      <c r="K80" s="210"/>
      <c r="L80" s="210"/>
      <c r="M80" s="210"/>
      <c r="N80" s="175" t="s">
        <v>181</v>
      </c>
      <c r="O80" s="176"/>
      <c r="P80" s="176"/>
      <c r="Q80" s="176"/>
      <c r="R80" s="176"/>
      <c r="S80" s="177"/>
      <c r="T80" s="206" t="s">
        <v>153</v>
      </c>
      <c r="U80" s="207"/>
      <c r="V80" s="207"/>
      <c r="W80" s="207"/>
      <c r="X80" s="207"/>
      <c r="Y80" s="207"/>
      <c r="Z80" s="208"/>
    </row>
    <row r="81" spans="1:26" ht="18" customHeight="1" x14ac:dyDescent="0.15">
      <c r="A81" s="59"/>
      <c r="B81" s="175" t="s">
        <v>159</v>
      </c>
      <c r="C81" s="176"/>
      <c r="D81" s="176"/>
      <c r="E81" s="176"/>
      <c r="F81" s="177"/>
      <c r="G81" s="209" t="s">
        <v>153</v>
      </c>
      <c r="H81" s="210"/>
      <c r="I81" s="210"/>
      <c r="J81" s="210"/>
      <c r="K81" s="210"/>
      <c r="L81" s="210"/>
      <c r="M81" s="211"/>
      <c r="N81" s="175" t="s">
        <v>174</v>
      </c>
      <c r="O81" s="176"/>
      <c r="P81" s="176"/>
      <c r="Q81" s="176"/>
      <c r="R81" s="176"/>
      <c r="S81" s="177"/>
      <c r="T81" s="206" t="s">
        <v>153</v>
      </c>
      <c r="U81" s="207"/>
      <c r="V81" s="207"/>
      <c r="W81" s="207"/>
      <c r="X81" s="207"/>
      <c r="Y81" s="207"/>
      <c r="Z81" s="208"/>
    </row>
    <row r="82" spans="1:26" ht="18" customHeight="1" x14ac:dyDescent="0.15">
      <c r="A82" s="59"/>
      <c r="B82" s="218" t="s">
        <v>160</v>
      </c>
      <c r="C82" s="219"/>
      <c r="D82" s="219"/>
      <c r="E82" s="219"/>
      <c r="F82" s="220"/>
      <c r="G82" s="209" t="s">
        <v>153</v>
      </c>
      <c r="H82" s="210"/>
      <c r="I82" s="210"/>
      <c r="J82" s="210"/>
      <c r="K82" s="210"/>
      <c r="L82" s="210"/>
      <c r="M82" s="211"/>
      <c r="N82" s="175" t="s">
        <v>175</v>
      </c>
      <c r="O82" s="176"/>
      <c r="P82" s="176"/>
      <c r="Q82" s="176"/>
      <c r="R82" s="176"/>
      <c r="S82" s="177"/>
      <c r="T82" s="206" t="s">
        <v>153</v>
      </c>
      <c r="U82" s="207"/>
      <c r="V82" s="207"/>
      <c r="W82" s="207"/>
      <c r="X82" s="207"/>
      <c r="Y82" s="207"/>
      <c r="Z82" s="208"/>
    </row>
    <row r="83" spans="1:26" ht="18" customHeight="1" x14ac:dyDescent="0.15">
      <c r="A83" s="59"/>
      <c r="B83" s="175" t="s">
        <v>183</v>
      </c>
      <c r="C83" s="176"/>
      <c r="D83" s="176"/>
      <c r="E83" s="176"/>
      <c r="F83" s="177"/>
      <c r="G83" s="209" t="s">
        <v>153</v>
      </c>
      <c r="H83" s="210"/>
      <c r="I83" s="210"/>
      <c r="J83" s="210"/>
      <c r="K83" s="210"/>
      <c r="L83" s="210"/>
      <c r="M83" s="211"/>
      <c r="N83" s="175" t="s">
        <v>176</v>
      </c>
      <c r="O83" s="176"/>
      <c r="P83" s="176"/>
      <c r="Q83" s="176"/>
      <c r="R83" s="176"/>
      <c r="S83" s="177"/>
      <c r="T83" s="206" t="s">
        <v>153</v>
      </c>
      <c r="U83" s="207"/>
      <c r="V83" s="207"/>
      <c r="W83" s="207"/>
      <c r="X83" s="207"/>
      <c r="Y83" s="207"/>
      <c r="Z83" s="208"/>
    </row>
    <row r="84" spans="1:26" ht="18" customHeight="1" x14ac:dyDescent="0.15">
      <c r="A84" s="59"/>
      <c r="B84" s="175" t="s">
        <v>184</v>
      </c>
      <c r="C84" s="176"/>
      <c r="D84" s="176"/>
      <c r="E84" s="176"/>
      <c r="F84" s="177"/>
      <c r="G84" s="209" t="s">
        <v>153</v>
      </c>
      <c r="H84" s="210"/>
      <c r="I84" s="210"/>
      <c r="J84" s="210"/>
      <c r="K84" s="210"/>
      <c r="L84" s="210"/>
      <c r="M84" s="211"/>
      <c r="N84" s="175" t="s">
        <v>177</v>
      </c>
      <c r="O84" s="176"/>
      <c r="P84" s="176"/>
      <c r="Q84" s="176"/>
      <c r="R84" s="176"/>
      <c r="S84" s="177"/>
      <c r="T84" s="206" t="s">
        <v>153</v>
      </c>
      <c r="U84" s="207"/>
      <c r="V84" s="207"/>
      <c r="W84" s="207"/>
      <c r="X84" s="207"/>
      <c r="Y84" s="207"/>
      <c r="Z84" s="208"/>
    </row>
    <row r="85" spans="1:26" ht="18" customHeight="1" x14ac:dyDescent="0.15">
      <c r="A85" s="59"/>
      <c r="B85" s="175" t="s">
        <v>163</v>
      </c>
      <c r="C85" s="176"/>
      <c r="D85" s="176"/>
      <c r="E85" s="176"/>
      <c r="F85" s="177"/>
      <c r="G85" s="209" t="s">
        <v>153</v>
      </c>
      <c r="H85" s="210"/>
      <c r="I85" s="210"/>
      <c r="J85" s="210"/>
      <c r="K85" s="210"/>
      <c r="L85" s="210"/>
      <c r="M85" s="211"/>
      <c r="N85" s="175" t="s">
        <v>210</v>
      </c>
      <c r="O85" s="176"/>
      <c r="P85" s="176"/>
      <c r="Q85" s="176"/>
      <c r="R85" s="176"/>
      <c r="S85" s="177"/>
      <c r="T85" s="206" t="s">
        <v>153</v>
      </c>
      <c r="U85" s="207"/>
      <c r="V85" s="207"/>
      <c r="W85" s="207"/>
      <c r="X85" s="207"/>
      <c r="Y85" s="207"/>
      <c r="Z85" s="208"/>
    </row>
    <row r="86" spans="1:26" ht="18" customHeight="1" x14ac:dyDescent="0.15">
      <c r="A86" s="59"/>
      <c r="B86" s="175" t="s">
        <v>164</v>
      </c>
      <c r="C86" s="176"/>
      <c r="D86" s="176"/>
      <c r="E86" s="176"/>
      <c r="F86" s="177"/>
      <c r="G86" s="209" t="s">
        <v>153</v>
      </c>
      <c r="H86" s="210"/>
      <c r="I86" s="210"/>
      <c r="J86" s="210"/>
      <c r="K86" s="210"/>
      <c r="L86" s="210"/>
      <c r="M86" s="211"/>
      <c r="N86" s="175" t="s">
        <v>212</v>
      </c>
      <c r="O86" s="176"/>
      <c r="P86" s="176"/>
      <c r="Q86" s="176"/>
      <c r="R86" s="176"/>
      <c r="S86" s="177"/>
      <c r="T86" s="209" t="s">
        <v>153</v>
      </c>
      <c r="U86" s="210"/>
      <c r="V86" s="210"/>
      <c r="W86" s="210"/>
      <c r="X86" s="210"/>
      <c r="Y86" s="210"/>
      <c r="Z86" s="211"/>
    </row>
    <row r="87" spans="1:26" ht="18" customHeight="1" x14ac:dyDescent="0.15">
      <c r="A87" s="59"/>
      <c r="B87" s="175" t="s">
        <v>199</v>
      </c>
      <c r="C87" s="176"/>
      <c r="D87" s="176"/>
      <c r="E87" s="176"/>
      <c r="F87" s="177"/>
      <c r="G87" s="209" t="s">
        <v>153</v>
      </c>
      <c r="H87" s="210"/>
      <c r="I87" s="210"/>
      <c r="J87" s="210"/>
      <c r="K87" s="210"/>
      <c r="L87" s="210"/>
      <c r="M87" s="211"/>
      <c r="N87" s="175" t="s">
        <v>214</v>
      </c>
      <c r="O87" s="176"/>
      <c r="P87" s="176"/>
      <c r="Q87" s="176"/>
      <c r="R87" s="176"/>
      <c r="S87" s="177"/>
      <c r="T87" s="221" t="s">
        <v>153</v>
      </c>
      <c r="U87" s="222"/>
      <c r="V87" s="222"/>
      <c r="W87" s="222"/>
      <c r="X87" s="222"/>
      <c r="Y87" s="222"/>
      <c r="Z87" s="223"/>
    </row>
    <row r="88" spans="1:26" ht="18" customHeight="1" x14ac:dyDescent="0.15">
      <c r="A88" s="59"/>
      <c r="B88" s="175" t="s">
        <v>200</v>
      </c>
      <c r="C88" s="176"/>
      <c r="D88" s="176"/>
      <c r="E88" s="176"/>
      <c r="F88" s="177"/>
      <c r="G88" s="209" t="s">
        <v>153</v>
      </c>
      <c r="H88" s="210"/>
      <c r="I88" s="210"/>
      <c r="J88" s="210"/>
      <c r="K88" s="210"/>
      <c r="L88" s="210"/>
      <c r="M88" s="211"/>
      <c r="N88" s="175" t="s">
        <v>215</v>
      </c>
      <c r="O88" s="176"/>
      <c r="P88" s="176"/>
      <c r="Q88" s="176"/>
      <c r="R88" s="176"/>
      <c r="S88" s="177"/>
      <c r="T88" s="206" t="s">
        <v>153</v>
      </c>
      <c r="U88" s="207"/>
      <c r="V88" s="207"/>
      <c r="W88" s="207"/>
      <c r="X88" s="207"/>
      <c r="Y88" s="207"/>
      <c r="Z88" s="208"/>
    </row>
    <row r="89" spans="1:26" ht="18" customHeight="1" x14ac:dyDescent="0.15">
      <c r="A89" s="59"/>
      <c r="B89" s="175" t="s">
        <v>281</v>
      </c>
      <c r="C89" s="176"/>
      <c r="D89" s="176"/>
      <c r="E89" s="176"/>
      <c r="F89" s="177"/>
      <c r="G89" s="209" t="s">
        <v>153</v>
      </c>
      <c r="H89" s="210"/>
      <c r="I89" s="210"/>
      <c r="J89" s="210"/>
      <c r="K89" s="210"/>
      <c r="L89" s="210"/>
      <c r="M89" s="211"/>
      <c r="N89" s="175" t="s">
        <v>235</v>
      </c>
      <c r="O89" s="176"/>
      <c r="P89" s="176"/>
      <c r="Q89" s="176"/>
      <c r="R89" s="176"/>
      <c r="S89" s="177"/>
      <c r="T89" s="206" t="s">
        <v>153</v>
      </c>
      <c r="U89" s="207"/>
      <c r="V89" s="207"/>
      <c r="W89" s="207"/>
      <c r="X89" s="207"/>
      <c r="Y89" s="207"/>
      <c r="Z89" s="208"/>
    </row>
    <row r="90" spans="1:26" ht="18" customHeight="1" x14ac:dyDescent="0.15">
      <c r="A90" s="59"/>
      <c r="B90" s="175" t="s">
        <v>185</v>
      </c>
      <c r="C90" s="176"/>
      <c r="D90" s="176"/>
      <c r="E90" s="176"/>
      <c r="F90" s="177"/>
      <c r="G90" s="209" t="s">
        <v>153</v>
      </c>
      <c r="H90" s="210"/>
      <c r="I90" s="210"/>
      <c r="J90" s="210"/>
      <c r="K90" s="210"/>
      <c r="L90" s="210"/>
      <c r="M90" s="211"/>
      <c r="N90" s="175" t="s">
        <v>216</v>
      </c>
      <c r="O90" s="176"/>
      <c r="P90" s="176"/>
      <c r="Q90" s="176"/>
      <c r="R90" s="176"/>
      <c r="S90" s="177"/>
      <c r="T90" s="206" t="s">
        <v>154</v>
      </c>
      <c r="U90" s="207"/>
      <c r="V90" s="207"/>
      <c r="W90" s="207"/>
      <c r="X90" s="207"/>
      <c r="Y90" s="207"/>
      <c r="Z90" s="208"/>
    </row>
    <row r="91" spans="1:26" ht="18" customHeight="1" x14ac:dyDescent="0.15">
      <c r="A91" s="59"/>
      <c r="B91" s="175" t="s">
        <v>286</v>
      </c>
      <c r="C91" s="176"/>
      <c r="D91" s="176"/>
      <c r="E91" s="176"/>
      <c r="F91" s="177"/>
      <c r="G91" s="209" t="s">
        <v>154</v>
      </c>
      <c r="H91" s="210"/>
      <c r="I91" s="210"/>
      <c r="J91" s="210"/>
      <c r="K91" s="210"/>
      <c r="L91" s="210"/>
      <c r="M91" s="211"/>
      <c r="N91" s="175" t="s">
        <v>201</v>
      </c>
      <c r="O91" s="176"/>
      <c r="P91" s="176"/>
      <c r="Q91" s="176"/>
      <c r="R91" s="176"/>
      <c r="S91" s="177"/>
      <c r="T91" s="206" t="s">
        <v>186</v>
      </c>
      <c r="U91" s="207"/>
      <c r="V91" s="207"/>
      <c r="W91" s="207"/>
      <c r="X91" s="207"/>
      <c r="Y91" s="207"/>
      <c r="Z91" s="208"/>
    </row>
    <row r="92" spans="1:26" ht="18" customHeight="1" x14ac:dyDescent="0.15">
      <c r="A92" s="59"/>
      <c r="B92" s="175" t="s">
        <v>217</v>
      </c>
      <c r="C92" s="176"/>
      <c r="D92" s="176"/>
      <c r="E92" s="176"/>
      <c r="F92" s="177"/>
      <c r="G92" s="209" t="s">
        <v>186</v>
      </c>
      <c r="H92" s="210"/>
      <c r="I92" s="210"/>
      <c r="J92" s="210"/>
      <c r="K92" s="210"/>
      <c r="L92" s="210"/>
      <c r="M92" s="211"/>
      <c r="N92" s="175" t="s">
        <v>226</v>
      </c>
      <c r="O92" s="176"/>
      <c r="P92" s="176"/>
      <c r="Q92" s="176"/>
      <c r="R92" s="176"/>
      <c r="S92" s="177"/>
      <c r="T92" s="209" t="s">
        <v>186</v>
      </c>
      <c r="U92" s="210"/>
      <c r="V92" s="210"/>
      <c r="W92" s="210"/>
      <c r="X92" s="210"/>
      <c r="Y92" s="210"/>
      <c r="Z92" s="211"/>
    </row>
    <row r="93" spans="1:26" ht="18" customHeight="1" x14ac:dyDescent="0.15">
      <c r="A93" s="59"/>
      <c r="B93" s="224" t="s">
        <v>218</v>
      </c>
      <c r="C93" s="176"/>
      <c r="D93" s="176"/>
      <c r="E93" s="176"/>
      <c r="F93" s="177"/>
      <c r="G93" s="209" t="s">
        <v>186</v>
      </c>
      <c r="H93" s="210"/>
      <c r="I93" s="210"/>
      <c r="J93" s="210"/>
      <c r="K93" s="210"/>
      <c r="L93" s="210"/>
      <c r="M93" s="210"/>
      <c r="N93" s="175" t="s">
        <v>227</v>
      </c>
      <c r="O93" s="176"/>
      <c r="P93" s="176"/>
      <c r="Q93" s="176"/>
      <c r="R93" s="176"/>
      <c r="S93" s="177"/>
      <c r="T93" s="209" t="s">
        <v>186</v>
      </c>
      <c r="U93" s="210"/>
      <c r="V93" s="210"/>
      <c r="W93" s="210"/>
      <c r="X93" s="210"/>
      <c r="Y93" s="210"/>
      <c r="Z93" s="211"/>
    </row>
    <row r="94" spans="1:26" ht="18" customHeight="1" x14ac:dyDescent="0.15">
      <c r="A94" s="59"/>
      <c r="B94" s="175" t="s">
        <v>219</v>
      </c>
      <c r="C94" s="176"/>
      <c r="D94" s="176"/>
      <c r="E94" s="176"/>
      <c r="F94" s="177"/>
      <c r="G94" s="209" t="s">
        <v>186</v>
      </c>
      <c r="H94" s="210"/>
      <c r="I94" s="210"/>
      <c r="J94" s="210"/>
      <c r="K94" s="210"/>
      <c r="L94" s="210"/>
      <c r="M94" s="211"/>
      <c r="N94" s="175" t="s">
        <v>228</v>
      </c>
      <c r="O94" s="176"/>
      <c r="P94" s="176"/>
      <c r="Q94" s="176"/>
      <c r="R94" s="176"/>
      <c r="S94" s="177"/>
      <c r="T94" s="206" t="s">
        <v>186</v>
      </c>
      <c r="U94" s="207"/>
      <c r="V94" s="207"/>
      <c r="W94" s="207"/>
      <c r="X94" s="207"/>
      <c r="Y94" s="207"/>
      <c r="Z94" s="208"/>
    </row>
    <row r="95" spans="1:26" ht="18" customHeight="1" x14ac:dyDescent="0.15">
      <c r="A95" s="59"/>
      <c r="B95" s="175" t="s">
        <v>220</v>
      </c>
      <c r="C95" s="176"/>
      <c r="D95" s="176"/>
      <c r="E95" s="176"/>
      <c r="F95" s="177"/>
      <c r="G95" s="209" t="s">
        <v>186</v>
      </c>
      <c r="H95" s="210"/>
      <c r="I95" s="210"/>
      <c r="J95" s="210"/>
      <c r="K95" s="210"/>
      <c r="L95" s="210"/>
      <c r="M95" s="211"/>
      <c r="N95" s="175" t="s">
        <v>229</v>
      </c>
      <c r="O95" s="176"/>
      <c r="P95" s="176"/>
      <c r="Q95" s="176"/>
      <c r="R95" s="176"/>
      <c r="S95" s="177"/>
      <c r="T95" s="209" t="s">
        <v>186</v>
      </c>
      <c r="U95" s="210"/>
      <c r="V95" s="210"/>
      <c r="W95" s="210"/>
      <c r="X95" s="210"/>
      <c r="Y95" s="210"/>
      <c r="Z95" s="211"/>
    </row>
    <row r="96" spans="1:26" ht="18" customHeight="1" x14ac:dyDescent="0.15">
      <c r="A96" s="59"/>
      <c r="B96" s="175" t="s">
        <v>221</v>
      </c>
      <c r="C96" s="176"/>
      <c r="D96" s="176"/>
      <c r="E96" s="176"/>
      <c r="F96" s="177"/>
      <c r="G96" s="209" t="s">
        <v>186</v>
      </c>
      <c r="H96" s="210"/>
      <c r="I96" s="210"/>
      <c r="J96" s="210"/>
      <c r="K96" s="210"/>
      <c r="L96" s="210"/>
      <c r="M96" s="211"/>
      <c r="N96" s="175" t="s">
        <v>230</v>
      </c>
      <c r="O96" s="176"/>
      <c r="P96" s="176"/>
      <c r="Q96" s="176"/>
      <c r="R96" s="176"/>
      <c r="S96" s="177"/>
      <c r="T96" s="221" t="s">
        <v>186</v>
      </c>
      <c r="U96" s="222"/>
      <c r="V96" s="222"/>
      <c r="W96" s="222"/>
      <c r="X96" s="222"/>
      <c r="Y96" s="222"/>
      <c r="Z96" s="223"/>
    </row>
    <row r="97" spans="1:26" ht="18" customHeight="1" x14ac:dyDescent="0.15">
      <c r="A97" s="59"/>
      <c r="B97" s="175" t="s">
        <v>193</v>
      </c>
      <c r="C97" s="176"/>
      <c r="D97" s="176"/>
      <c r="E97" s="176"/>
      <c r="F97" s="177"/>
      <c r="G97" s="209" t="s">
        <v>186</v>
      </c>
      <c r="H97" s="210"/>
      <c r="I97" s="210"/>
      <c r="J97" s="210"/>
      <c r="K97" s="210"/>
      <c r="L97" s="210"/>
      <c r="M97" s="211"/>
      <c r="N97" s="175" t="s">
        <v>286</v>
      </c>
      <c r="O97" s="176"/>
      <c r="P97" s="176"/>
      <c r="Q97" s="176"/>
      <c r="R97" s="176"/>
      <c r="S97" s="177"/>
      <c r="T97" s="206" t="s">
        <v>186</v>
      </c>
      <c r="U97" s="207"/>
      <c r="V97" s="207"/>
      <c r="W97" s="207"/>
      <c r="X97" s="207"/>
      <c r="Y97" s="207"/>
      <c r="Z97" s="208"/>
    </row>
    <row r="98" spans="1:26" ht="18" customHeight="1" x14ac:dyDescent="0.15">
      <c r="A98" s="59"/>
      <c r="B98" s="175" t="s">
        <v>194</v>
      </c>
      <c r="C98" s="176"/>
      <c r="D98" s="176"/>
      <c r="E98" s="176"/>
      <c r="F98" s="177"/>
      <c r="G98" s="209" t="s">
        <v>186</v>
      </c>
      <c r="H98" s="210"/>
      <c r="I98" s="210"/>
      <c r="J98" s="210"/>
      <c r="K98" s="210"/>
      <c r="L98" s="210"/>
      <c r="M98" s="211"/>
      <c r="N98" s="175" t="s">
        <v>240</v>
      </c>
      <c r="O98" s="176"/>
      <c r="P98" s="176"/>
      <c r="Q98" s="176"/>
      <c r="R98" s="176"/>
      <c r="S98" s="177"/>
      <c r="T98" s="206" t="s">
        <v>186</v>
      </c>
      <c r="U98" s="207"/>
      <c r="V98" s="207"/>
      <c r="W98" s="207"/>
      <c r="X98" s="207"/>
      <c r="Y98" s="207"/>
      <c r="Z98" s="208"/>
    </row>
    <row r="99" spans="1:26" ht="18" customHeight="1" x14ac:dyDescent="0.15">
      <c r="A99" s="59"/>
      <c r="B99" s="175" t="s">
        <v>195</v>
      </c>
      <c r="C99" s="176"/>
      <c r="D99" s="176"/>
      <c r="E99" s="176"/>
      <c r="F99" s="177"/>
      <c r="G99" s="209" t="s">
        <v>186</v>
      </c>
      <c r="H99" s="210"/>
      <c r="I99" s="210"/>
      <c r="J99" s="210"/>
      <c r="K99" s="210"/>
      <c r="L99" s="210"/>
      <c r="M99" s="211"/>
      <c r="N99" s="175" t="s">
        <v>241</v>
      </c>
      <c r="O99" s="176"/>
      <c r="P99" s="176"/>
      <c r="Q99" s="176"/>
      <c r="R99" s="176"/>
      <c r="S99" s="177"/>
      <c r="T99" s="206" t="s">
        <v>186</v>
      </c>
      <c r="U99" s="207"/>
      <c r="V99" s="207"/>
      <c r="W99" s="207"/>
      <c r="X99" s="207"/>
      <c r="Y99" s="207"/>
      <c r="Z99" s="208"/>
    </row>
    <row r="100" spans="1:26" ht="18" customHeight="1" x14ac:dyDescent="0.15">
      <c r="A100" s="59"/>
      <c r="B100" s="175" t="s">
        <v>197</v>
      </c>
      <c r="C100" s="176"/>
      <c r="D100" s="176"/>
      <c r="E100" s="176"/>
      <c r="F100" s="177"/>
      <c r="G100" s="209" t="s">
        <v>186</v>
      </c>
      <c r="H100" s="210"/>
      <c r="I100" s="210"/>
      <c r="J100" s="210"/>
      <c r="K100" s="210"/>
      <c r="L100" s="210"/>
      <c r="M100" s="211"/>
      <c r="N100" s="175" t="s">
        <v>242</v>
      </c>
      <c r="O100" s="176"/>
      <c r="P100" s="176"/>
      <c r="Q100" s="176"/>
      <c r="R100" s="176"/>
      <c r="S100" s="177"/>
      <c r="T100" s="206" t="s">
        <v>186</v>
      </c>
      <c r="U100" s="207"/>
      <c r="V100" s="207"/>
      <c r="W100" s="207"/>
      <c r="X100" s="207"/>
      <c r="Y100" s="207"/>
      <c r="Z100" s="208"/>
    </row>
    <row r="101" spans="1:26" ht="18" customHeight="1" x14ac:dyDescent="0.15">
      <c r="A101" s="59"/>
      <c r="B101" s="175" t="s">
        <v>316</v>
      </c>
      <c r="C101" s="176"/>
      <c r="D101" s="176"/>
      <c r="E101" s="176"/>
      <c r="F101" s="177"/>
      <c r="G101" s="209" t="s">
        <v>186</v>
      </c>
      <c r="H101" s="210"/>
      <c r="I101" s="210"/>
      <c r="J101" s="210"/>
      <c r="K101" s="210"/>
      <c r="L101" s="210"/>
      <c r="M101" s="211"/>
      <c r="N101" s="175" t="s">
        <v>243</v>
      </c>
      <c r="O101" s="176"/>
      <c r="P101" s="176"/>
      <c r="Q101" s="176"/>
      <c r="R101" s="176"/>
      <c r="S101" s="177"/>
      <c r="T101" s="209" t="s">
        <v>186</v>
      </c>
      <c r="U101" s="210"/>
      <c r="V101" s="210"/>
      <c r="W101" s="210"/>
      <c r="X101" s="210"/>
      <c r="Y101" s="210"/>
      <c r="Z101" s="211"/>
    </row>
    <row r="102" spans="1:26" ht="18" customHeight="1" x14ac:dyDescent="0.15">
      <c r="A102" s="59"/>
      <c r="B102" s="175" t="s">
        <v>187</v>
      </c>
      <c r="C102" s="176"/>
      <c r="D102" s="176"/>
      <c r="E102" s="176"/>
      <c r="F102" s="177"/>
      <c r="G102" s="209" t="s">
        <v>186</v>
      </c>
      <c r="H102" s="210"/>
      <c r="I102" s="210"/>
      <c r="J102" s="210"/>
      <c r="K102" s="210"/>
      <c r="L102" s="210"/>
      <c r="M102" s="211"/>
      <c r="N102" s="175" t="s">
        <v>198</v>
      </c>
      <c r="O102" s="176"/>
      <c r="P102" s="176"/>
      <c r="Q102" s="176"/>
      <c r="R102" s="176"/>
      <c r="S102" s="177"/>
      <c r="T102" s="221" t="s">
        <v>186</v>
      </c>
      <c r="U102" s="222"/>
      <c r="V102" s="222"/>
      <c r="W102" s="222"/>
      <c r="X102" s="222"/>
      <c r="Y102" s="222"/>
      <c r="Z102" s="223"/>
    </row>
    <row r="103" spans="1:26" ht="18" customHeight="1" x14ac:dyDescent="0.15">
      <c r="A103" s="59"/>
      <c r="B103" s="175" t="s">
        <v>231</v>
      </c>
      <c r="C103" s="176"/>
      <c r="D103" s="176"/>
      <c r="E103" s="176"/>
      <c r="F103" s="177"/>
      <c r="G103" s="209" t="s">
        <v>186</v>
      </c>
      <c r="H103" s="210"/>
      <c r="I103" s="210"/>
      <c r="J103" s="210"/>
      <c r="K103" s="210"/>
      <c r="L103" s="210"/>
      <c r="M103" s="211"/>
      <c r="N103" s="175" t="s">
        <v>206</v>
      </c>
      <c r="O103" s="176"/>
      <c r="P103" s="176"/>
      <c r="Q103" s="176"/>
      <c r="R103" s="176"/>
      <c r="S103" s="177"/>
      <c r="T103" s="209" t="s">
        <v>186</v>
      </c>
      <c r="U103" s="210"/>
      <c r="V103" s="210"/>
      <c r="W103" s="210"/>
      <c r="X103" s="210"/>
      <c r="Y103" s="210"/>
      <c r="Z103" s="211"/>
    </row>
    <row r="104" spans="1:26" ht="18" customHeight="1" x14ac:dyDescent="0.15">
      <c r="A104" s="59"/>
      <c r="B104" s="175" t="s">
        <v>207</v>
      </c>
      <c r="C104" s="176"/>
      <c r="D104" s="176"/>
      <c r="E104" s="176"/>
      <c r="F104" s="177"/>
      <c r="G104" s="209" t="s">
        <v>186</v>
      </c>
      <c r="H104" s="210"/>
      <c r="I104" s="210"/>
      <c r="J104" s="210"/>
      <c r="K104" s="210"/>
      <c r="L104" s="210"/>
      <c r="M104" s="211"/>
      <c r="N104" s="175" t="s">
        <v>208</v>
      </c>
      <c r="O104" s="176"/>
      <c r="P104" s="176"/>
      <c r="Q104" s="176"/>
      <c r="R104" s="176"/>
      <c r="S104" s="177"/>
      <c r="T104" s="209" t="s">
        <v>186</v>
      </c>
      <c r="U104" s="210"/>
      <c r="V104" s="210"/>
      <c r="W104" s="210"/>
      <c r="X104" s="210"/>
      <c r="Y104" s="210"/>
      <c r="Z104" s="211"/>
    </row>
    <row r="105" spans="1:26" ht="18" customHeight="1" x14ac:dyDescent="0.15">
      <c r="A105" s="59"/>
      <c r="B105" s="175" t="s">
        <v>211</v>
      </c>
      <c r="C105" s="176"/>
      <c r="D105" s="176"/>
      <c r="E105" s="176"/>
      <c r="F105" s="177"/>
      <c r="G105" s="209" t="s">
        <v>186</v>
      </c>
      <c r="H105" s="210"/>
      <c r="I105" s="210"/>
      <c r="J105" s="210"/>
      <c r="K105" s="210"/>
      <c r="L105" s="210"/>
      <c r="M105" s="211"/>
      <c r="N105" s="175" t="s">
        <v>209</v>
      </c>
      <c r="O105" s="176"/>
      <c r="P105" s="176"/>
      <c r="Q105" s="176"/>
      <c r="R105" s="176"/>
      <c r="S105" s="177"/>
      <c r="T105" s="221" t="s">
        <v>186</v>
      </c>
      <c r="U105" s="222"/>
      <c r="V105" s="222"/>
      <c r="W105" s="222"/>
      <c r="X105" s="222"/>
      <c r="Y105" s="222"/>
      <c r="Z105" s="223"/>
    </row>
    <row r="106" spans="1:26" ht="18" customHeight="1" x14ac:dyDescent="0.15">
      <c r="A106" s="59"/>
      <c r="B106" s="175" t="s">
        <v>225</v>
      </c>
      <c r="C106" s="176"/>
      <c r="D106" s="176"/>
      <c r="E106" s="176"/>
      <c r="F106" s="177"/>
      <c r="G106" s="209" t="s">
        <v>234</v>
      </c>
      <c r="H106" s="210"/>
      <c r="I106" s="210"/>
      <c r="J106" s="210"/>
      <c r="K106" s="210"/>
      <c r="L106" s="210"/>
      <c r="M106" s="211"/>
      <c r="N106" s="175" t="s">
        <v>192</v>
      </c>
      <c r="O106" s="176"/>
      <c r="P106" s="176"/>
      <c r="Q106" s="176"/>
      <c r="R106" s="176"/>
      <c r="S106" s="177"/>
      <c r="T106" s="206" t="s">
        <v>233</v>
      </c>
      <c r="U106" s="207"/>
      <c r="V106" s="207"/>
      <c r="W106" s="207"/>
      <c r="X106" s="207"/>
      <c r="Y106" s="207"/>
      <c r="Z106" s="208"/>
    </row>
    <row r="107" spans="1:26" ht="18" customHeight="1" x14ac:dyDescent="0.15">
      <c r="A107" s="59"/>
      <c r="B107" s="175" t="s">
        <v>191</v>
      </c>
      <c r="C107" s="176"/>
      <c r="D107" s="176"/>
      <c r="E107" s="176"/>
      <c r="F107" s="177"/>
      <c r="G107" s="209" t="s">
        <v>233</v>
      </c>
      <c r="H107" s="210"/>
      <c r="I107" s="210"/>
      <c r="J107" s="210"/>
      <c r="K107" s="210"/>
      <c r="L107" s="210"/>
      <c r="M107" s="211"/>
      <c r="N107" s="175" t="s">
        <v>190</v>
      </c>
      <c r="O107" s="176"/>
      <c r="P107" s="176"/>
      <c r="Q107" s="176"/>
      <c r="R107" s="176"/>
      <c r="S107" s="177"/>
      <c r="T107" s="209" t="s">
        <v>233</v>
      </c>
      <c r="U107" s="210"/>
      <c r="V107" s="210"/>
      <c r="W107" s="210"/>
      <c r="X107" s="210"/>
      <c r="Y107" s="210"/>
      <c r="Z107" s="211"/>
    </row>
    <row r="108" spans="1:26" ht="18" customHeight="1" x14ac:dyDescent="0.15">
      <c r="A108" s="59"/>
      <c r="B108" s="175" t="s">
        <v>203</v>
      </c>
      <c r="C108" s="176"/>
      <c r="D108" s="176"/>
      <c r="E108" s="176"/>
      <c r="F108" s="177"/>
      <c r="G108" s="209" t="s">
        <v>233</v>
      </c>
      <c r="H108" s="210"/>
      <c r="I108" s="210"/>
      <c r="J108" s="210"/>
      <c r="K108" s="210"/>
      <c r="L108" s="210"/>
      <c r="M108" s="211"/>
      <c r="N108" s="175" t="s">
        <v>196</v>
      </c>
      <c r="O108" s="176"/>
      <c r="P108" s="176"/>
      <c r="Q108" s="176"/>
      <c r="R108" s="176"/>
      <c r="S108" s="177"/>
      <c r="T108" s="221" t="s">
        <v>233</v>
      </c>
      <c r="U108" s="222"/>
      <c r="V108" s="222"/>
      <c r="W108" s="222"/>
      <c r="X108" s="222"/>
      <c r="Y108" s="222"/>
      <c r="Z108" s="223"/>
    </row>
    <row r="109" spans="1:26" ht="18" customHeight="1" x14ac:dyDescent="0.15">
      <c r="A109" s="59"/>
      <c r="B109" s="175" t="s">
        <v>204</v>
      </c>
      <c r="C109" s="176"/>
      <c r="D109" s="176"/>
      <c r="E109" s="176"/>
      <c r="F109" s="177"/>
      <c r="G109" s="209" t="s">
        <v>233</v>
      </c>
      <c r="H109" s="210"/>
      <c r="I109" s="210"/>
      <c r="J109" s="210"/>
      <c r="K109" s="210"/>
      <c r="L109" s="210"/>
      <c r="M109" s="211"/>
      <c r="N109" s="175" t="s">
        <v>202</v>
      </c>
      <c r="O109" s="176"/>
      <c r="P109" s="176"/>
      <c r="Q109" s="176"/>
      <c r="R109" s="176"/>
      <c r="S109" s="177"/>
      <c r="T109" s="206" t="s">
        <v>233</v>
      </c>
      <c r="U109" s="207"/>
      <c r="V109" s="207"/>
      <c r="W109" s="207"/>
      <c r="X109" s="207"/>
      <c r="Y109" s="207"/>
      <c r="Z109" s="208"/>
    </row>
    <row r="110" spans="1:26" ht="18" customHeight="1" x14ac:dyDescent="0.15">
      <c r="A110" s="59"/>
      <c r="B110" s="175" t="s">
        <v>205</v>
      </c>
      <c r="C110" s="176"/>
      <c r="D110" s="176"/>
      <c r="E110" s="176"/>
      <c r="F110" s="177"/>
      <c r="G110" s="209" t="s">
        <v>233</v>
      </c>
      <c r="H110" s="210"/>
      <c r="I110" s="210"/>
      <c r="J110" s="210"/>
      <c r="K110" s="210"/>
      <c r="L110" s="210"/>
      <c r="M110" s="211"/>
      <c r="N110" s="175" t="s">
        <v>238</v>
      </c>
      <c r="O110" s="176"/>
      <c r="P110" s="176"/>
      <c r="Q110" s="176"/>
      <c r="R110" s="176"/>
      <c r="S110" s="177"/>
      <c r="T110" s="206" t="s">
        <v>233</v>
      </c>
      <c r="U110" s="207"/>
      <c r="V110" s="207"/>
      <c r="W110" s="207"/>
      <c r="X110" s="207"/>
      <c r="Y110" s="207"/>
      <c r="Z110" s="208"/>
    </row>
    <row r="111" spans="1:26" ht="18" customHeight="1" x14ac:dyDescent="0.15">
      <c r="A111" s="59"/>
      <c r="B111" s="228" t="s">
        <v>277</v>
      </c>
      <c r="C111" s="229"/>
      <c r="D111" s="229"/>
      <c r="E111" s="229"/>
      <c r="F111" s="230"/>
      <c r="G111" s="209" t="s">
        <v>233</v>
      </c>
      <c r="H111" s="210"/>
      <c r="I111" s="210"/>
      <c r="J111" s="210"/>
      <c r="K111" s="210"/>
      <c r="L111" s="210"/>
      <c r="M111" s="211"/>
      <c r="N111" s="175" t="s">
        <v>222</v>
      </c>
      <c r="O111" s="176"/>
      <c r="P111" s="176"/>
      <c r="Q111" s="176"/>
      <c r="R111" s="176"/>
      <c r="S111" s="177"/>
      <c r="T111" s="206" t="s">
        <v>233</v>
      </c>
      <c r="U111" s="207"/>
      <c r="V111" s="207"/>
      <c r="W111" s="207"/>
      <c r="X111" s="207"/>
      <c r="Y111" s="207"/>
      <c r="Z111" s="208"/>
    </row>
    <row r="112" spans="1:26" ht="18" customHeight="1" x14ac:dyDescent="0.15">
      <c r="A112" s="59"/>
      <c r="B112" s="175" t="s">
        <v>213</v>
      </c>
      <c r="C112" s="176"/>
      <c r="D112" s="176"/>
      <c r="E112" s="176"/>
      <c r="F112" s="177"/>
      <c r="G112" s="209" t="s">
        <v>233</v>
      </c>
      <c r="H112" s="210"/>
      <c r="I112" s="210"/>
      <c r="J112" s="210"/>
      <c r="K112" s="210"/>
      <c r="L112" s="210"/>
      <c r="M112" s="211"/>
      <c r="N112" s="175" t="s">
        <v>223</v>
      </c>
      <c r="O112" s="176"/>
      <c r="P112" s="176"/>
      <c r="Q112" s="176"/>
      <c r="R112" s="176"/>
      <c r="S112" s="177"/>
      <c r="T112" s="206" t="s">
        <v>233</v>
      </c>
      <c r="U112" s="207"/>
      <c r="V112" s="207"/>
      <c r="W112" s="207"/>
      <c r="X112" s="207"/>
      <c r="Y112" s="207"/>
      <c r="Z112" s="208"/>
    </row>
    <row r="113" spans="1:26" ht="18" customHeight="1" x14ac:dyDescent="0.15">
      <c r="A113" s="59"/>
      <c r="B113" s="175" t="s">
        <v>188</v>
      </c>
      <c r="C113" s="176"/>
      <c r="D113" s="176"/>
      <c r="E113" s="176"/>
      <c r="F113" s="177"/>
      <c r="G113" s="209" t="s">
        <v>233</v>
      </c>
      <c r="H113" s="210"/>
      <c r="I113" s="210"/>
      <c r="J113" s="210"/>
      <c r="K113" s="210"/>
      <c r="L113" s="210"/>
      <c r="M113" s="211"/>
      <c r="N113" s="175" t="s">
        <v>224</v>
      </c>
      <c r="O113" s="176"/>
      <c r="P113" s="176"/>
      <c r="Q113" s="176"/>
      <c r="R113" s="176"/>
      <c r="S113" s="177"/>
      <c r="T113" s="206" t="s">
        <v>233</v>
      </c>
      <c r="U113" s="207"/>
      <c r="V113" s="207"/>
      <c r="W113" s="207"/>
      <c r="X113" s="207"/>
      <c r="Y113" s="207"/>
      <c r="Z113" s="208"/>
    </row>
    <row r="114" spans="1:26" ht="18" customHeight="1" x14ac:dyDescent="0.15">
      <c r="A114" s="59"/>
      <c r="B114" s="239" t="s">
        <v>189</v>
      </c>
      <c r="C114" s="240"/>
      <c r="D114" s="240"/>
      <c r="E114" s="240"/>
      <c r="F114" s="241"/>
      <c r="G114" s="242" t="s">
        <v>233</v>
      </c>
      <c r="H114" s="243"/>
      <c r="I114" s="243"/>
      <c r="J114" s="243"/>
      <c r="K114" s="243"/>
      <c r="L114" s="243"/>
      <c r="M114" s="244"/>
      <c r="N114" s="239" t="s">
        <v>232</v>
      </c>
      <c r="O114" s="240"/>
      <c r="P114" s="240"/>
      <c r="Q114" s="240"/>
      <c r="R114" s="240"/>
      <c r="S114" s="241"/>
      <c r="T114" s="242" t="s">
        <v>233</v>
      </c>
      <c r="U114" s="243"/>
      <c r="V114" s="243"/>
      <c r="W114" s="243"/>
      <c r="X114" s="243"/>
      <c r="Y114" s="243"/>
      <c r="Z114" s="244"/>
    </row>
    <row r="115" spans="1:26" ht="18" customHeight="1" x14ac:dyDescent="0.15">
      <c r="A115" s="59"/>
      <c r="B115" s="70"/>
      <c r="C115" s="70"/>
      <c r="D115" s="70"/>
      <c r="E115" s="70"/>
      <c r="F115" s="70"/>
      <c r="G115" s="71"/>
      <c r="H115" s="71"/>
      <c r="I115" s="71"/>
      <c r="J115" s="71"/>
      <c r="K115" s="71"/>
      <c r="L115" s="71"/>
      <c r="M115" s="71"/>
      <c r="N115" s="70"/>
      <c r="O115" s="70"/>
      <c r="P115" s="70"/>
      <c r="Q115" s="70"/>
      <c r="R115" s="70"/>
      <c r="S115" s="70"/>
      <c r="T115" s="71"/>
      <c r="U115" s="71"/>
      <c r="V115" s="71"/>
      <c r="W115" s="71"/>
      <c r="X115" s="71"/>
      <c r="Y115" s="71"/>
      <c r="Z115" s="71"/>
    </row>
    <row r="116" spans="1:26" ht="18.75" customHeight="1" x14ac:dyDescent="0.15">
      <c r="A116" s="58" t="s">
        <v>137</v>
      </c>
    </row>
    <row r="117" spans="1:26" ht="18.75" customHeight="1" x14ac:dyDescent="0.15">
      <c r="B117" s="72" t="s">
        <v>98</v>
      </c>
      <c r="C117" s="73"/>
      <c r="D117" s="245" t="s">
        <v>99</v>
      </c>
      <c r="E117" s="245"/>
      <c r="F117" s="245"/>
      <c r="G117" s="245"/>
      <c r="H117" s="245"/>
      <c r="I117" s="245"/>
      <c r="J117" s="245"/>
      <c r="K117" s="245"/>
      <c r="L117" s="245"/>
      <c r="M117" s="245"/>
      <c r="N117" s="245"/>
      <c r="O117" s="245"/>
      <c r="P117" s="245"/>
      <c r="Q117" s="245"/>
      <c r="R117" s="245"/>
      <c r="S117" s="245"/>
      <c r="T117" s="245"/>
      <c r="U117" s="245"/>
      <c r="V117" s="245"/>
      <c r="W117" s="245"/>
      <c r="X117" s="245"/>
      <c r="Y117" s="245"/>
      <c r="Z117" s="246"/>
    </row>
    <row r="118" spans="1:26" ht="78" customHeight="1" x14ac:dyDescent="0.15">
      <c r="B118" s="247" t="s">
        <v>105</v>
      </c>
      <c r="C118" s="74" t="s">
        <v>100</v>
      </c>
      <c r="D118" s="249" t="s">
        <v>244</v>
      </c>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50"/>
    </row>
    <row r="119" spans="1:26" ht="78" customHeight="1" x14ac:dyDescent="0.15">
      <c r="B119" s="248"/>
      <c r="C119" s="75" t="s">
        <v>132</v>
      </c>
      <c r="D119" s="251" t="s">
        <v>245</v>
      </c>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2"/>
    </row>
    <row r="120" spans="1:26" ht="78" customHeight="1" x14ac:dyDescent="0.15">
      <c r="B120" s="231" t="s">
        <v>106</v>
      </c>
      <c r="C120" s="76" t="s">
        <v>122</v>
      </c>
      <c r="D120" s="233" t="s">
        <v>308</v>
      </c>
      <c r="E120" s="233"/>
      <c r="F120" s="233"/>
      <c r="G120" s="233"/>
      <c r="H120" s="233"/>
      <c r="I120" s="233"/>
      <c r="J120" s="233"/>
      <c r="K120" s="233"/>
      <c r="L120" s="233"/>
      <c r="M120" s="233"/>
      <c r="N120" s="233"/>
      <c r="O120" s="233"/>
      <c r="P120" s="233"/>
      <c r="Q120" s="233"/>
      <c r="R120" s="233"/>
      <c r="S120" s="233"/>
      <c r="T120" s="233"/>
      <c r="U120" s="233"/>
      <c r="V120" s="233"/>
      <c r="W120" s="233"/>
      <c r="X120" s="233"/>
      <c r="Y120" s="233"/>
      <c r="Z120" s="234"/>
    </row>
    <row r="121" spans="1:26" ht="78" customHeight="1" x14ac:dyDescent="0.15">
      <c r="B121" s="232"/>
      <c r="C121" s="77" t="s">
        <v>123</v>
      </c>
      <c r="D121" s="235" t="s">
        <v>304</v>
      </c>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6"/>
    </row>
    <row r="122" spans="1:26" ht="77.25" customHeight="1" x14ac:dyDescent="0.15">
      <c r="B122" s="231" t="s">
        <v>107</v>
      </c>
      <c r="C122" s="76" t="s">
        <v>125</v>
      </c>
      <c r="D122" s="233" t="s">
        <v>250</v>
      </c>
      <c r="E122" s="233"/>
      <c r="F122" s="233"/>
      <c r="G122" s="233"/>
      <c r="H122" s="233"/>
      <c r="I122" s="233"/>
      <c r="J122" s="233"/>
      <c r="K122" s="233"/>
      <c r="L122" s="233"/>
      <c r="M122" s="233"/>
      <c r="N122" s="233"/>
      <c r="O122" s="233"/>
      <c r="P122" s="233"/>
      <c r="Q122" s="233"/>
      <c r="R122" s="233"/>
      <c r="S122" s="233"/>
      <c r="T122" s="233"/>
      <c r="U122" s="233"/>
      <c r="V122" s="233"/>
      <c r="W122" s="233"/>
      <c r="X122" s="233"/>
      <c r="Y122" s="233"/>
      <c r="Z122" s="234"/>
    </row>
    <row r="123" spans="1:26" ht="66" customHeight="1" x14ac:dyDescent="0.15">
      <c r="B123" s="232"/>
      <c r="C123" s="78" t="s">
        <v>126</v>
      </c>
      <c r="D123" s="237" t="s">
        <v>251</v>
      </c>
      <c r="E123" s="237"/>
      <c r="F123" s="237"/>
      <c r="G123" s="237"/>
      <c r="H123" s="237"/>
      <c r="I123" s="237"/>
      <c r="J123" s="237"/>
      <c r="K123" s="237"/>
      <c r="L123" s="237"/>
      <c r="M123" s="237"/>
      <c r="N123" s="237"/>
      <c r="O123" s="237"/>
      <c r="P123" s="237"/>
      <c r="Q123" s="237"/>
      <c r="R123" s="237"/>
      <c r="S123" s="237"/>
      <c r="T123" s="237"/>
      <c r="U123" s="237"/>
      <c r="V123" s="237"/>
      <c r="W123" s="237"/>
      <c r="X123" s="237"/>
      <c r="Y123" s="237"/>
      <c r="Z123" s="238"/>
    </row>
    <row r="124" spans="1:26" ht="66" customHeight="1" x14ac:dyDescent="0.15">
      <c r="B124" s="247" t="s">
        <v>133</v>
      </c>
      <c r="C124" s="74" t="s">
        <v>102</v>
      </c>
      <c r="D124" s="249" t="s">
        <v>309</v>
      </c>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50"/>
    </row>
    <row r="125" spans="1:26" ht="66" customHeight="1" x14ac:dyDescent="0.15">
      <c r="B125" s="265"/>
      <c r="C125" s="79" t="s">
        <v>104</v>
      </c>
      <c r="D125" s="266" t="s">
        <v>306</v>
      </c>
      <c r="E125" s="266"/>
      <c r="F125" s="266"/>
      <c r="G125" s="266"/>
      <c r="H125" s="266"/>
      <c r="I125" s="266"/>
      <c r="J125" s="266"/>
      <c r="K125" s="266"/>
      <c r="L125" s="266"/>
      <c r="M125" s="266"/>
      <c r="N125" s="266"/>
      <c r="O125" s="266"/>
      <c r="P125" s="266"/>
      <c r="Q125" s="266"/>
      <c r="R125" s="266"/>
      <c r="S125" s="266"/>
      <c r="T125" s="266"/>
      <c r="U125" s="266"/>
      <c r="V125" s="266"/>
      <c r="W125" s="266"/>
      <c r="X125" s="266"/>
      <c r="Y125" s="266"/>
      <c r="Z125" s="267"/>
    </row>
    <row r="126" spans="1:26" ht="66" customHeight="1" x14ac:dyDescent="0.15">
      <c r="B126" s="247" t="s">
        <v>134</v>
      </c>
      <c r="C126" s="76" t="s">
        <v>101</v>
      </c>
      <c r="D126" s="233" t="s">
        <v>246</v>
      </c>
      <c r="E126" s="233"/>
      <c r="F126" s="233"/>
      <c r="G126" s="233"/>
      <c r="H126" s="233"/>
      <c r="I126" s="233"/>
      <c r="J126" s="233"/>
      <c r="K126" s="233"/>
      <c r="L126" s="233"/>
      <c r="M126" s="233"/>
      <c r="N126" s="233"/>
      <c r="O126" s="233"/>
      <c r="P126" s="233"/>
      <c r="Q126" s="233"/>
      <c r="R126" s="233"/>
      <c r="S126" s="233"/>
      <c r="T126" s="233"/>
      <c r="U126" s="233"/>
      <c r="V126" s="233"/>
      <c r="W126" s="233"/>
      <c r="X126" s="233"/>
      <c r="Y126" s="233"/>
      <c r="Z126" s="234"/>
    </row>
    <row r="127" spans="1:26" ht="66" customHeight="1" x14ac:dyDescent="0.15">
      <c r="B127" s="248"/>
      <c r="C127" s="79" t="s">
        <v>129</v>
      </c>
      <c r="D127" s="268" t="s">
        <v>247</v>
      </c>
      <c r="E127" s="266"/>
      <c r="F127" s="266"/>
      <c r="G127" s="266"/>
      <c r="H127" s="266"/>
      <c r="I127" s="266"/>
      <c r="J127" s="266"/>
      <c r="K127" s="266"/>
      <c r="L127" s="266"/>
      <c r="M127" s="266"/>
      <c r="N127" s="266"/>
      <c r="O127" s="266"/>
      <c r="P127" s="266"/>
      <c r="Q127" s="266"/>
      <c r="R127" s="266"/>
      <c r="S127" s="266"/>
      <c r="T127" s="266"/>
      <c r="U127" s="266"/>
      <c r="V127" s="266"/>
      <c r="W127" s="266"/>
      <c r="X127" s="266"/>
      <c r="Y127" s="266"/>
      <c r="Z127" s="267"/>
    </row>
    <row r="128" spans="1:26" ht="66" customHeight="1" x14ac:dyDescent="0.15">
      <c r="B128" s="232"/>
      <c r="C128" s="78" t="s">
        <v>130</v>
      </c>
      <c r="D128" s="237" t="s">
        <v>248</v>
      </c>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8"/>
    </row>
    <row r="129" spans="1:26" ht="6" customHeight="1" x14ac:dyDescent="0.15"/>
    <row r="130" spans="1:26" ht="18.75" customHeight="1" x14ac:dyDescent="0.15">
      <c r="A130" s="58" t="s">
        <v>138</v>
      </c>
    </row>
    <row r="131" spans="1:26" ht="18.75" customHeight="1" x14ac:dyDescent="0.15">
      <c r="B131" s="253" t="s">
        <v>307</v>
      </c>
      <c r="C131" s="254"/>
      <c r="D131" s="254"/>
      <c r="E131" s="254"/>
      <c r="F131" s="254"/>
      <c r="G131" s="254"/>
      <c r="H131" s="254"/>
      <c r="I131" s="254"/>
      <c r="J131" s="254"/>
      <c r="K131" s="254"/>
      <c r="L131" s="254"/>
      <c r="M131" s="254"/>
      <c r="N131" s="254"/>
      <c r="O131" s="254"/>
      <c r="P131" s="254"/>
      <c r="Q131" s="254"/>
      <c r="R131" s="254"/>
      <c r="S131" s="254"/>
      <c r="T131" s="254"/>
      <c r="U131" s="254"/>
      <c r="V131" s="254"/>
      <c r="W131" s="254"/>
      <c r="X131" s="254"/>
      <c r="Y131" s="254"/>
      <c r="Z131" s="255"/>
    </row>
    <row r="132" spans="1:26" ht="18.75" customHeight="1" x14ac:dyDescent="0.15">
      <c r="B132" s="256"/>
      <c r="C132" s="257"/>
      <c r="D132" s="257"/>
      <c r="E132" s="257"/>
      <c r="F132" s="257"/>
      <c r="G132" s="257"/>
      <c r="H132" s="257"/>
      <c r="I132" s="257"/>
      <c r="J132" s="257"/>
      <c r="K132" s="257"/>
      <c r="L132" s="257"/>
      <c r="M132" s="257"/>
      <c r="N132" s="257"/>
      <c r="O132" s="257"/>
      <c r="P132" s="257"/>
      <c r="Q132" s="257"/>
      <c r="R132" s="257"/>
      <c r="S132" s="257"/>
      <c r="T132" s="257"/>
      <c r="U132" s="257"/>
      <c r="V132" s="257"/>
      <c r="W132" s="257"/>
      <c r="X132" s="257"/>
      <c r="Y132" s="257"/>
      <c r="Z132" s="258"/>
    </row>
    <row r="133" spans="1:26" ht="18.75" customHeight="1" x14ac:dyDescent="0.15">
      <c r="B133" s="259"/>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1"/>
    </row>
    <row r="134" spans="1:26" ht="6" customHeight="1" x14ac:dyDescent="0.15"/>
    <row r="135" spans="1:26" ht="15" customHeight="1" x14ac:dyDescent="0.15">
      <c r="A135" s="58" t="s">
        <v>139</v>
      </c>
    </row>
    <row r="136" spans="1:26" ht="15" customHeight="1" x14ac:dyDescent="0.15">
      <c r="B136" s="262" t="s">
        <v>249</v>
      </c>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4"/>
    </row>
  </sheetData>
  <mergeCells count="370">
    <mergeCell ref="B126:B128"/>
    <mergeCell ref="D126:Z126"/>
    <mergeCell ref="D127:Z127"/>
    <mergeCell ref="D128:Z128"/>
    <mergeCell ref="B131:Z133"/>
    <mergeCell ref="B136:Z136"/>
    <mergeCell ref="B122:B123"/>
    <mergeCell ref="D122:Z122"/>
    <mergeCell ref="D123:Z123"/>
    <mergeCell ref="B124:B125"/>
    <mergeCell ref="D124:Z124"/>
    <mergeCell ref="D125:Z125"/>
    <mergeCell ref="D117:Z117"/>
    <mergeCell ref="B118:B119"/>
    <mergeCell ref="D118:Z118"/>
    <mergeCell ref="D119:Z119"/>
    <mergeCell ref="B120:B121"/>
    <mergeCell ref="D120:Z120"/>
    <mergeCell ref="D121:Z121"/>
    <mergeCell ref="B107:F107"/>
    <mergeCell ref="G107:M107"/>
    <mergeCell ref="N107:S107"/>
    <mergeCell ref="T107:Z107"/>
    <mergeCell ref="B114:F114"/>
    <mergeCell ref="G114:M114"/>
    <mergeCell ref="N114:S114"/>
    <mergeCell ref="T114:Z114"/>
    <mergeCell ref="B108:F108"/>
    <mergeCell ref="G108:M108"/>
    <mergeCell ref="N108:S108"/>
    <mergeCell ref="T108:Z108"/>
    <mergeCell ref="B109:F109"/>
    <mergeCell ref="G109:M109"/>
    <mergeCell ref="N109:S109"/>
    <mergeCell ref="T109:Z109"/>
    <mergeCell ref="B110:F110"/>
    <mergeCell ref="B96:F96"/>
    <mergeCell ref="G96:M96"/>
    <mergeCell ref="N96:S96"/>
    <mergeCell ref="T96:Z96"/>
    <mergeCell ref="B97:F97"/>
    <mergeCell ref="G97:M97"/>
    <mergeCell ref="N97:S97"/>
    <mergeCell ref="T97:Z97"/>
    <mergeCell ref="B94:F94"/>
    <mergeCell ref="G94:M94"/>
    <mergeCell ref="N94:S94"/>
    <mergeCell ref="T94:Z94"/>
    <mergeCell ref="B95:F95"/>
    <mergeCell ref="G95:M95"/>
    <mergeCell ref="N95:S95"/>
    <mergeCell ref="T95:Z95"/>
    <mergeCell ref="B92:F92"/>
    <mergeCell ref="G92:M92"/>
    <mergeCell ref="N92:S92"/>
    <mergeCell ref="T92:Z92"/>
    <mergeCell ref="B93:F93"/>
    <mergeCell ref="G93:M93"/>
    <mergeCell ref="N93:S93"/>
    <mergeCell ref="T93:Z93"/>
    <mergeCell ref="B90:F90"/>
    <mergeCell ref="G90:M90"/>
    <mergeCell ref="N90:S90"/>
    <mergeCell ref="T90:Z90"/>
    <mergeCell ref="B91:F91"/>
    <mergeCell ref="G91:M91"/>
    <mergeCell ref="N91:S91"/>
    <mergeCell ref="T91:Z91"/>
    <mergeCell ref="B88:F88"/>
    <mergeCell ref="G88:M88"/>
    <mergeCell ref="N88:S88"/>
    <mergeCell ref="T88:Z88"/>
    <mergeCell ref="B89:F89"/>
    <mergeCell ref="G89:M89"/>
    <mergeCell ref="N89:S89"/>
    <mergeCell ref="T89:Z89"/>
    <mergeCell ref="B86:F86"/>
    <mergeCell ref="G86:M86"/>
    <mergeCell ref="N86:S86"/>
    <mergeCell ref="T86:Z86"/>
    <mergeCell ref="B87:F87"/>
    <mergeCell ref="G87:M87"/>
    <mergeCell ref="N87:S87"/>
    <mergeCell ref="T87:Z87"/>
    <mergeCell ref="B84:F84"/>
    <mergeCell ref="G84:M84"/>
    <mergeCell ref="N84:S84"/>
    <mergeCell ref="T84:Z84"/>
    <mergeCell ref="B85:F85"/>
    <mergeCell ref="G85:M85"/>
    <mergeCell ref="N85:S85"/>
    <mergeCell ref="T85:Z85"/>
    <mergeCell ref="B82:F82"/>
    <mergeCell ref="G82:M82"/>
    <mergeCell ref="N82:S82"/>
    <mergeCell ref="T82:Z82"/>
    <mergeCell ref="B83:F83"/>
    <mergeCell ref="G83:M83"/>
    <mergeCell ref="N83:S83"/>
    <mergeCell ref="T83:Z83"/>
    <mergeCell ref="B80:F80"/>
    <mergeCell ref="G80:M80"/>
    <mergeCell ref="N80:S80"/>
    <mergeCell ref="T80:Z80"/>
    <mergeCell ref="B81:F81"/>
    <mergeCell ref="G81:M81"/>
    <mergeCell ref="N81:S81"/>
    <mergeCell ref="T81:Z81"/>
    <mergeCell ref="B78:F78"/>
    <mergeCell ref="G78:M78"/>
    <mergeCell ref="N78:S78"/>
    <mergeCell ref="T78:Z78"/>
    <mergeCell ref="B79:F79"/>
    <mergeCell ref="G79:M79"/>
    <mergeCell ref="N79:S79"/>
    <mergeCell ref="T79:Z79"/>
    <mergeCell ref="B76:F76"/>
    <mergeCell ref="G76:M76"/>
    <mergeCell ref="N76:S76"/>
    <mergeCell ref="T76:Z76"/>
    <mergeCell ref="B77:F77"/>
    <mergeCell ref="G77:M77"/>
    <mergeCell ref="N77:S77"/>
    <mergeCell ref="T77:Z77"/>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98:F98"/>
    <mergeCell ref="G98:M98"/>
    <mergeCell ref="N98:S98"/>
    <mergeCell ref="T98:Z98"/>
    <mergeCell ref="B99:F99"/>
    <mergeCell ref="G99:M99"/>
    <mergeCell ref="N99:S99"/>
    <mergeCell ref="T99:Z99"/>
    <mergeCell ref="B100:F100"/>
    <mergeCell ref="G100:M100"/>
    <mergeCell ref="N100:S100"/>
    <mergeCell ref="T100:Z100"/>
    <mergeCell ref="B101:F101"/>
    <mergeCell ref="G101:M101"/>
    <mergeCell ref="N101:S101"/>
    <mergeCell ref="T101:Z101"/>
    <mergeCell ref="B102:F102"/>
    <mergeCell ref="G102:M102"/>
    <mergeCell ref="N102:S102"/>
    <mergeCell ref="T102:Z102"/>
    <mergeCell ref="B103:F103"/>
    <mergeCell ref="G103:M103"/>
    <mergeCell ref="N103:S103"/>
    <mergeCell ref="T103:Z103"/>
    <mergeCell ref="B104:F104"/>
    <mergeCell ref="G104:M104"/>
    <mergeCell ref="N104:S104"/>
    <mergeCell ref="T104:Z104"/>
    <mergeCell ref="B105:F105"/>
    <mergeCell ref="G105:M105"/>
    <mergeCell ref="N105:S105"/>
    <mergeCell ref="T105:Z105"/>
    <mergeCell ref="B106:F106"/>
    <mergeCell ref="G106:M106"/>
    <mergeCell ref="N106:S106"/>
    <mergeCell ref="T106:Z106"/>
    <mergeCell ref="B113:F113"/>
    <mergeCell ref="G113:M113"/>
    <mergeCell ref="N113:S113"/>
    <mergeCell ref="T113:Z113"/>
    <mergeCell ref="G110:M110"/>
    <mergeCell ref="N110:S110"/>
    <mergeCell ref="T110:Z110"/>
    <mergeCell ref="B111:F111"/>
    <mergeCell ref="G111:M111"/>
    <mergeCell ref="N111:S111"/>
    <mergeCell ref="T111:Z111"/>
    <mergeCell ref="B112:F112"/>
    <mergeCell ref="G112:M112"/>
    <mergeCell ref="N112:S112"/>
    <mergeCell ref="T112:Z112"/>
  </mergeCells>
  <phoneticPr fontId="1"/>
  <dataValidations count="4">
    <dataValidation type="list" allowBlank="1" showInputMessage="1" showErrorMessage="1" sqref="Y16:Z22 L62:L66 Y27:Z33 L16:M22 L27:M33 Y38:Z44 Y49:Z55 Y60:Z66 K60:L61 L49:M55 U16:U22 T60:T66 U27:U33 H27:H33 U38:U44 H38:H44 U49:U55 G60:G66 L38:M44 H49:H55 M60:M66 H16:H22" xr:uid="{FA040EF9-4D90-45BC-825A-F40FE94C43AD}">
      <formula1>"○"</formula1>
    </dataValidation>
    <dataValidation type="list" allowBlank="1" showInputMessage="1" showErrorMessage="1" sqref="Z23 Z34 D34:K34 D23:K23 V16:V22 I49:I55 V27:V33 H60:H66 V38:V44 I16:I22 V49:V55 I27:I33 U60:U66 I38:I44" xr:uid="{72BD6575-90B1-4AEE-BF1E-0E1F1318591C}">
      <formula1>"全学開講,一部開講"</formula1>
    </dataValidation>
    <dataValidation type="list" allowBlank="1" showInputMessage="1" showErrorMessage="1" sqref="O4" xr:uid="{01A939B3-C63C-46D9-8FDF-CEAACCA318E5}">
      <formula1>"学部・学科によって、修了要件は相違する,学部・学科によって、修了要件は相違しない"</formula1>
    </dataValidation>
    <dataValidation type="list" allowBlank="1" showInputMessage="1" showErrorMessage="1" sqref="G70:M115 T70:Z115" xr:uid="{1E6D379F-6BC4-4592-AA57-96B0681424A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136" r:id="rId1" xr:uid="{0141E638-EFF3-425F-9A60-75CB2739E618}"/>
  </hyperlinks>
  <printOptions horizontalCentered="1"/>
  <pageMargins left="0.19685039370078741" right="0.19685039370078741" top="0.19685039370078741" bottom="0" header="0" footer="0"/>
  <pageSetup paperSize="9" scale="75" fitToHeight="0"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2F142-66AD-429A-BE69-E0AB7BD92916}">
  <sheetPr>
    <pageSetUpPr fitToPage="1"/>
  </sheetPr>
  <dimension ref="A1:Z136"/>
  <sheetViews>
    <sheetView showZeros="0" view="pageBreakPreview" zoomScale="85" zoomScaleNormal="100" zoomScaleSheetLayoutView="85" workbookViewId="0">
      <selection activeCell="N17" sqref="N17:S17"/>
    </sheetView>
  </sheetViews>
  <sheetFormatPr defaultColWidth="9" defaultRowHeight="18.75" customHeight="1" x14ac:dyDescent="0.15"/>
  <cols>
    <col min="1" max="1" width="2.5" style="58" customWidth="1"/>
    <col min="2" max="2" width="27.625" style="58" customWidth="1"/>
    <col min="3" max="13" width="3.375" style="58" customWidth="1"/>
    <col min="14" max="14" width="8.875" style="58" customWidth="1"/>
    <col min="15" max="15" width="18.875" style="58" customWidth="1"/>
    <col min="16" max="19" width="3.375" style="58" customWidth="1"/>
    <col min="20" max="20" width="3.5" style="58" customWidth="1"/>
    <col min="21" max="26" width="3.375" style="58" customWidth="1"/>
    <col min="27" max="16384" width="9" style="58"/>
  </cols>
  <sheetData>
    <row r="1" spans="1:26" ht="15" customHeight="1" x14ac:dyDescent="0.15">
      <c r="W1" s="181" t="s">
        <v>253</v>
      </c>
      <c r="X1" s="181"/>
      <c r="Y1" s="181"/>
      <c r="Z1" s="181"/>
    </row>
    <row r="2" spans="1:26" ht="18" customHeight="1" x14ac:dyDescent="0.15">
      <c r="A2" s="182" t="s">
        <v>65</v>
      </c>
      <c r="B2" s="182"/>
      <c r="C2" s="182"/>
      <c r="D2" s="182"/>
      <c r="E2" s="182"/>
      <c r="F2" s="182"/>
      <c r="G2" s="182"/>
      <c r="H2" s="182"/>
      <c r="I2" s="182"/>
      <c r="J2" s="182"/>
      <c r="K2" s="182"/>
      <c r="L2" s="182"/>
      <c r="M2" s="182"/>
      <c r="N2" s="182"/>
      <c r="O2" s="182"/>
      <c r="P2" s="182"/>
      <c r="Q2" s="182"/>
      <c r="R2" s="182"/>
      <c r="S2" s="182"/>
      <c r="T2" s="182"/>
      <c r="U2" s="182"/>
      <c r="V2" s="182"/>
      <c r="W2" s="182"/>
      <c r="X2" s="182"/>
      <c r="Y2" s="182"/>
      <c r="Z2" s="182"/>
    </row>
    <row r="3" spans="1:26" ht="15" customHeight="1" x14ac:dyDescent="0.15">
      <c r="B3" s="59"/>
      <c r="C3" s="59"/>
      <c r="D3" s="59"/>
      <c r="E3" s="59"/>
      <c r="F3" s="59"/>
      <c r="G3" s="59"/>
      <c r="H3" s="59"/>
      <c r="I3" s="59"/>
      <c r="J3" s="59"/>
      <c r="K3" s="59"/>
      <c r="L3" s="59"/>
      <c r="M3" s="59"/>
      <c r="N3" s="59"/>
      <c r="O3" s="59"/>
      <c r="P3" s="59"/>
      <c r="Q3" s="59"/>
      <c r="R3" s="59"/>
      <c r="S3" s="59"/>
      <c r="T3" s="59"/>
      <c r="U3" s="59"/>
      <c r="V3" s="59"/>
      <c r="W3" s="59"/>
      <c r="X3" s="59"/>
      <c r="Y3" s="59"/>
      <c r="Z3" s="59"/>
    </row>
    <row r="4" spans="1:26" ht="18" customHeight="1" x14ac:dyDescent="0.15">
      <c r="A4" s="58" t="s">
        <v>95</v>
      </c>
      <c r="B4" s="59"/>
      <c r="C4" s="59"/>
      <c r="D4" s="59"/>
      <c r="E4" s="59"/>
      <c r="F4" s="59"/>
      <c r="G4" s="59"/>
      <c r="H4" s="60" t="s">
        <v>108</v>
      </c>
      <c r="I4" s="59"/>
      <c r="J4" s="59"/>
      <c r="K4" s="59"/>
      <c r="L4" s="59"/>
      <c r="M4" s="59"/>
      <c r="N4" s="59"/>
      <c r="O4" s="153" t="s">
        <v>148</v>
      </c>
      <c r="P4" s="154"/>
      <c r="Q4" s="154"/>
      <c r="R4" s="154"/>
      <c r="S4" s="154"/>
      <c r="T4" s="154"/>
      <c r="U4" s="154"/>
      <c r="V4" s="154"/>
      <c r="W4" s="154"/>
      <c r="X4" s="154"/>
      <c r="Y4" s="154"/>
      <c r="Z4" s="155"/>
    </row>
    <row r="5" spans="1:26" ht="6" customHeight="1" x14ac:dyDescent="0.15">
      <c r="B5" s="59"/>
      <c r="C5" s="59"/>
      <c r="D5" s="59"/>
      <c r="E5" s="59"/>
      <c r="F5" s="59"/>
      <c r="G5" s="59"/>
      <c r="H5" s="59"/>
      <c r="I5" s="59"/>
      <c r="J5" s="59"/>
      <c r="K5" s="59"/>
      <c r="L5" s="59"/>
      <c r="M5" s="59"/>
      <c r="N5" s="59"/>
      <c r="O5" s="61"/>
      <c r="P5" s="59"/>
      <c r="Q5" s="59"/>
      <c r="R5" s="59"/>
      <c r="S5" s="59"/>
      <c r="T5" s="59"/>
      <c r="U5" s="59"/>
      <c r="V5" s="59"/>
      <c r="W5" s="59"/>
      <c r="X5" s="59"/>
      <c r="Y5" s="59"/>
      <c r="Z5" s="59"/>
    </row>
    <row r="6" spans="1:26" ht="18" customHeight="1" x14ac:dyDescent="0.15">
      <c r="B6" s="183" t="s">
        <v>252</v>
      </c>
      <c r="C6" s="184"/>
      <c r="D6" s="184"/>
      <c r="E6" s="184"/>
      <c r="F6" s="184"/>
      <c r="G6" s="184"/>
      <c r="H6" s="184"/>
      <c r="I6" s="184"/>
      <c r="J6" s="184"/>
      <c r="K6" s="184"/>
      <c r="L6" s="184"/>
      <c r="M6" s="184"/>
      <c r="N6" s="184"/>
      <c r="O6" s="184"/>
      <c r="P6" s="184"/>
      <c r="Q6" s="184"/>
      <c r="R6" s="184"/>
      <c r="S6" s="184"/>
      <c r="T6" s="184"/>
      <c r="U6" s="184"/>
      <c r="V6" s="184"/>
      <c r="W6" s="184"/>
      <c r="X6" s="184"/>
      <c r="Y6" s="184"/>
      <c r="Z6" s="185"/>
    </row>
    <row r="7" spans="1:26" ht="18" customHeight="1" x14ac:dyDescent="0.15">
      <c r="B7" s="186"/>
      <c r="C7" s="187"/>
      <c r="D7" s="187"/>
      <c r="E7" s="187"/>
      <c r="F7" s="187"/>
      <c r="G7" s="187"/>
      <c r="H7" s="187"/>
      <c r="I7" s="187"/>
      <c r="J7" s="187"/>
      <c r="K7" s="187"/>
      <c r="L7" s="187"/>
      <c r="M7" s="187"/>
      <c r="N7" s="187"/>
      <c r="O7" s="187"/>
      <c r="P7" s="187"/>
      <c r="Q7" s="187"/>
      <c r="R7" s="187"/>
      <c r="S7" s="187"/>
      <c r="T7" s="187"/>
      <c r="U7" s="187"/>
      <c r="V7" s="187"/>
      <c r="W7" s="187"/>
      <c r="X7" s="187"/>
      <c r="Y7" s="187"/>
      <c r="Z7" s="188"/>
    </row>
    <row r="8" spans="1:26" ht="18" customHeight="1" x14ac:dyDescent="0.15">
      <c r="B8" s="186"/>
      <c r="C8" s="187"/>
      <c r="D8" s="187"/>
      <c r="E8" s="187"/>
      <c r="F8" s="187"/>
      <c r="G8" s="187"/>
      <c r="H8" s="187"/>
      <c r="I8" s="187"/>
      <c r="J8" s="187"/>
      <c r="K8" s="187"/>
      <c r="L8" s="187"/>
      <c r="M8" s="187"/>
      <c r="N8" s="187"/>
      <c r="O8" s="187"/>
      <c r="P8" s="187"/>
      <c r="Q8" s="187"/>
      <c r="R8" s="187"/>
      <c r="S8" s="187"/>
      <c r="T8" s="187"/>
      <c r="U8" s="187"/>
      <c r="V8" s="187"/>
      <c r="W8" s="187"/>
      <c r="X8" s="187"/>
      <c r="Y8" s="187"/>
      <c r="Z8" s="188"/>
    </row>
    <row r="9" spans="1:26" ht="18" customHeight="1" x14ac:dyDescent="0.15">
      <c r="B9" s="186"/>
      <c r="C9" s="187"/>
      <c r="D9" s="187"/>
      <c r="E9" s="187"/>
      <c r="F9" s="187"/>
      <c r="G9" s="187"/>
      <c r="H9" s="187"/>
      <c r="I9" s="187"/>
      <c r="J9" s="187"/>
      <c r="K9" s="187"/>
      <c r="L9" s="187"/>
      <c r="M9" s="187"/>
      <c r="N9" s="187"/>
      <c r="O9" s="187"/>
      <c r="P9" s="187"/>
      <c r="Q9" s="187"/>
      <c r="R9" s="187"/>
      <c r="S9" s="187"/>
      <c r="T9" s="187"/>
      <c r="U9" s="187"/>
      <c r="V9" s="187"/>
      <c r="W9" s="187"/>
      <c r="X9" s="187"/>
      <c r="Y9" s="187"/>
      <c r="Z9" s="188"/>
    </row>
    <row r="10" spans="1:26" ht="18" customHeight="1" x14ac:dyDescent="0.15">
      <c r="B10" s="186"/>
      <c r="C10" s="189"/>
      <c r="D10" s="189"/>
      <c r="E10" s="189"/>
      <c r="F10" s="189"/>
      <c r="G10" s="189"/>
      <c r="H10" s="189"/>
      <c r="I10" s="189"/>
      <c r="J10" s="189"/>
      <c r="K10" s="189"/>
      <c r="L10" s="189"/>
      <c r="M10" s="189"/>
      <c r="N10" s="189"/>
      <c r="O10" s="189"/>
      <c r="P10" s="189"/>
      <c r="Q10" s="189"/>
      <c r="R10" s="189"/>
      <c r="S10" s="189"/>
      <c r="T10" s="189"/>
      <c r="U10" s="189"/>
      <c r="V10" s="189"/>
      <c r="W10" s="189"/>
      <c r="X10" s="189"/>
      <c r="Y10" s="189"/>
      <c r="Z10" s="188"/>
    </row>
    <row r="11" spans="1:26" ht="18" customHeight="1" x14ac:dyDescent="0.15">
      <c r="B11" s="190"/>
      <c r="C11" s="191"/>
      <c r="D11" s="191"/>
      <c r="E11" s="191"/>
      <c r="F11" s="191"/>
      <c r="G11" s="191"/>
      <c r="H11" s="191"/>
      <c r="I11" s="191"/>
      <c r="J11" s="191"/>
      <c r="K11" s="191"/>
      <c r="L11" s="191"/>
      <c r="M11" s="191"/>
      <c r="N11" s="191"/>
      <c r="O11" s="191"/>
      <c r="P11" s="191"/>
      <c r="Q11" s="191"/>
      <c r="R11" s="191"/>
      <c r="S11" s="191"/>
      <c r="T11" s="191"/>
      <c r="U11" s="191"/>
      <c r="V11" s="191"/>
      <c r="W11" s="191"/>
      <c r="X11" s="191"/>
      <c r="Y11" s="191"/>
      <c r="Z11" s="192"/>
    </row>
    <row r="12" spans="1:26" ht="7.5" customHeight="1" x14ac:dyDescent="0.15">
      <c r="B12" s="59"/>
      <c r="C12" s="59"/>
      <c r="D12" s="59"/>
      <c r="E12" s="59"/>
      <c r="F12" s="59"/>
      <c r="G12" s="59"/>
      <c r="H12" s="59"/>
      <c r="I12" s="59"/>
      <c r="J12" s="59"/>
      <c r="K12" s="59"/>
      <c r="L12" s="59"/>
      <c r="M12" s="59"/>
      <c r="N12" s="59"/>
      <c r="O12" s="59"/>
      <c r="P12" s="59"/>
      <c r="Q12" s="59"/>
      <c r="R12" s="59"/>
      <c r="S12" s="59"/>
      <c r="T12" s="59"/>
      <c r="U12" s="59"/>
      <c r="V12" s="59"/>
      <c r="W12" s="59"/>
      <c r="X12" s="59"/>
      <c r="Y12" s="59"/>
      <c r="Z12" s="59"/>
    </row>
    <row r="13" spans="1:26" ht="18" customHeight="1" x14ac:dyDescent="0.15">
      <c r="A13" s="193" t="s">
        <v>120</v>
      </c>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row>
    <row r="14" spans="1:26" ht="18" customHeight="1" x14ac:dyDescent="0.15">
      <c r="A14" s="193"/>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row>
    <row r="15" spans="1:26" ht="18" customHeight="1" x14ac:dyDescent="0.15">
      <c r="A15" s="28"/>
      <c r="B15" s="153" t="s">
        <v>96</v>
      </c>
      <c r="C15" s="154"/>
      <c r="D15" s="154"/>
      <c r="E15" s="154"/>
      <c r="F15" s="155"/>
      <c r="G15" s="62" t="s">
        <v>136</v>
      </c>
      <c r="H15" s="63" t="s">
        <v>135</v>
      </c>
      <c r="I15" s="154" t="s">
        <v>97</v>
      </c>
      <c r="J15" s="154"/>
      <c r="K15" s="154"/>
      <c r="L15" s="64" t="s">
        <v>100</v>
      </c>
      <c r="M15" s="64" t="s">
        <v>103</v>
      </c>
      <c r="N15" s="153" t="s">
        <v>96</v>
      </c>
      <c r="O15" s="154"/>
      <c r="P15" s="154"/>
      <c r="Q15" s="154"/>
      <c r="R15" s="154"/>
      <c r="S15" s="155"/>
      <c r="T15" s="62" t="s">
        <v>136</v>
      </c>
      <c r="U15" s="63" t="s">
        <v>135</v>
      </c>
      <c r="V15" s="154" t="s">
        <v>97</v>
      </c>
      <c r="W15" s="154"/>
      <c r="X15" s="154"/>
      <c r="Y15" s="64" t="s">
        <v>100</v>
      </c>
      <c r="Z15" s="64" t="s">
        <v>103</v>
      </c>
    </row>
    <row r="16" spans="1:26" ht="18" customHeight="1" x14ac:dyDescent="0.15">
      <c r="A16" s="28"/>
      <c r="B16" s="160" t="s">
        <v>280</v>
      </c>
      <c r="C16" s="161"/>
      <c r="D16" s="161"/>
      <c r="E16" s="161"/>
      <c r="F16" s="162"/>
      <c r="G16" s="47">
        <v>2</v>
      </c>
      <c r="H16" s="47" t="s">
        <v>151</v>
      </c>
      <c r="I16" s="163" t="s">
        <v>152</v>
      </c>
      <c r="J16" s="164"/>
      <c r="K16" s="165"/>
      <c r="L16" s="47" t="s">
        <v>151</v>
      </c>
      <c r="M16" s="47" t="s">
        <v>151</v>
      </c>
      <c r="N16" s="166"/>
      <c r="O16" s="167"/>
      <c r="P16" s="167"/>
      <c r="Q16" s="167"/>
      <c r="R16" s="167"/>
      <c r="S16" s="168"/>
      <c r="T16" s="47"/>
      <c r="U16" s="47"/>
      <c r="V16" s="163"/>
      <c r="W16" s="164"/>
      <c r="X16" s="165"/>
      <c r="Y16" s="47"/>
      <c r="Z16" s="47"/>
    </row>
    <row r="17" spans="1:26" ht="18" customHeight="1" x14ac:dyDescent="0.15">
      <c r="A17" s="28"/>
      <c r="B17" s="169" t="s">
        <v>239</v>
      </c>
      <c r="C17" s="170"/>
      <c r="D17" s="170"/>
      <c r="E17" s="170"/>
      <c r="F17" s="171"/>
      <c r="G17" s="48">
        <v>2</v>
      </c>
      <c r="H17" s="48"/>
      <c r="I17" s="172" t="s">
        <v>301</v>
      </c>
      <c r="J17" s="173"/>
      <c r="K17" s="174"/>
      <c r="L17" s="48" t="s">
        <v>151</v>
      </c>
      <c r="M17" s="48" t="s">
        <v>151</v>
      </c>
      <c r="N17" s="175"/>
      <c r="O17" s="176"/>
      <c r="P17" s="176"/>
      <c r="Q17" s="176"/>
      <c r="R17" s="176"/>
      <c r="S17" s="177"/>
      <c r="T17" s="41"/>
      <c r="U17" s="41"/>
      <c r="V17" s="178"/>
      <c r="W17" s="179"/>
      <c r="X17" s="180"/>
      <c r="Y17" s="41"/>
      <c r="Z17" s="41"/>
    </row>
    <row r="18" spans="1:26" ht="18" customHeight="1" x14ac:dyDescent="0.15">
      <c r="A18" s="28"/>
      <c r="B18" s="169"/>
      <c r="C18" s="170"/>
      <c r="D18" s="170"/>
      <c r="E18" s="170"/>
      <c r="F18" s="171"/>
      <c r="G18" s="41"/>
      <c r="H18" s="41"/>
      <c r="I18" s="178"/>
      <c r="J18" s="179"/>
      <c r="K18" s="180"/>
      <c r="L18" s="41"/>
      <c r="M18" s="41"/>
      <c r="N18" s="175"/>
      <c r="O18" s="176"/>
      <c r="P18" s="176"/>
      <c r="Q18" s="176"/>
      <c r="R18" s="176"/>
      <c r="S18" s="177"/>
      <c r="T18" s="41"/>
      <c r="U18" s="41"/>
      <c r="V18" s="178"/>
      <c r="W18" s="179"/>
      <c r="X18" s="180"/>
      <c r="Y18" s="41"/>
      <c r="Z18" s="41"/>
    </row>
    <row r="19" spans="1:26" ht="18" customHeight="1" x14ac:dyDescent="0.15">
      <c r="A19" s="28"/>
      <c r="B19" s="169"/>
      <c r="C19" s="170"/>
      <c r="D19" s="170"/>
      <c r="E19" s="170"/>
      <c r="F19" s="171"/>
      <c r="G19" s="41"/>
      <c r="H19" s="41"/>
      <c r="I19" s="178"/>
      <c r="J19" s="179"/>
      <c r="K19" s="180"/>
      <c r="L19" s="41"/>
      <c r="M19" s="41"/>
      <c r="N19" s="175"/>
      <c r="O19" s="176"/>
      <c r="P19" s="176"/>
      <c r="Q19" s="176"/>
      <c r="R19" s="176"/>
      <c r="S19" s="177"/>
      <c r="T19" s="41"/>
      <c r="U19" s="41"/>
      <c r="V19" s="178"/>
      <c r="W19" s="179"/>
      <c r="X19" s="180"/>
      <c r="Y19" s="41"/>
      <c r="Z19" s="41"/>
    </row>
    <row r="20" spans="1:26" ht="18" customHeight="1" x14ac:dyDescent="0.15">
      <c r="A20" s="28"/>
      <c r="B20" s="169"/>
      <c r="C20" s="170"/>
      <c r="D20" s="170"/>
      <c r="E20" s="170"/>
      <c r="F20" s="171"/>
      <c r="G20" s="41"/>
      <c r="H20" s="41"/>
      <c r="I20" s="178"/>
      <c r="J20" s="179"/>
      <c r="K20" s="180"/>
      <c r="L20" s="41"/>
      <c r="M20" s="41"/>
      <c r="N20" s="175"/>
      <c r="O20" s="176"/>
      <c r="P20" s="176"/>
      <c r="Q20" s="176"/>
      <c r="R20" s="176"/>
      <c r="S20" s="177"/>
      <c r="T20" s="41"/>
      <c r="U20" s="41"/>
      <c r="V20" s="178"/>
      <c r="W20" s="179"/>
      <c r="X20" s="180"/>
      <c r="Y20" s="41"/>
      <c r="Z20" s="41"/>
    </row>
    <row r="21" spans="1:26" ht="18" customHeight="1" x14ac:dyDescent="0.15">
      <c r="A21" s="59"/>
      <c r="B21" s="169"/>
      <c r="C21" s="170"/>
      <c r="D21" s="170"/>
      <c r="E21" s="170"/>
      <c r="F21" s="171"/>
      <c r="G21" s="41"/>
      <c r="H21" s="41"/>
      <c r="I21" s="178"/>
      <c r="J21" s="179"/>
      <c r="K21" s="180"/>
      <c r="L21" s="41"/>
      <c r="M21" s="41"/>
      <c r="N21" s="175"/>
      <c r="O21" s="176"/>
      <c r="P21" s="176"/>
      <c r="Q21" s="176"/>
      <c r="R21" s="176"/>
      <c r="S21" s="177"/>
      <c r="T21" s="41"/>
      <c r="U21" s="41"/>
      <c r="V21" s="178"/>
      <c r="W21" s="179"/>
      <c r="X21" s="180"/>
      <c r="Y21" s="41"/>
      <c r="Z21" s="41"/>
    </row>
    <row r="22" spans="1:26" ht="18" customHeight="1" x14ac:dyDescent="0.15">
      <c r="A22" s="59"/>
      <c r="B22" s="194" t="s">
        <v>237</v>
      </c>
      <c r="C22" s="195"/>
      <c r="D22" s="195"/>
      <c r="E22" s="195"/>
      <c r="F22" s="196"/>
      <c r="G22" s="42"/>
      <c r="H22" s="42"/>
      <c r="I22" s="197"/>
      <c r="J22" s="198"/>
      <c r="K22" s="199"/>
      <c r="L22" s="43"/>
      <c r="M22" s="43"/>
      <c r="N22" s="200"/>
      <c r="O22" s="201"/>
      <c r="P22" s="201"/>
      <c r="Q22" s="201"/>
      <c r="R22" s="201"/>
      <c r="S22" s="202"/>
      <c r="T22" s="42"/>
      <c r="U22" s="42"/>
      <c r="V22" s="197"/>
      <c r="W22" s="198"/>
      <c r="X22" s="199"/>
      <c r="Y22" s="43"/>
      <c r="Z22" s="43"/>
    </row>
    <row r="23" spans="1:26" ht="7.5" customHeight="1" x14ac:dyDescent="0.15">
      <c r="A23" s="59"/>
      <c r="B23" s="65"/>
      <c r="C23" s="65"/>
      <c r="D23" s="59"/>
      <c r="E23" s="59"/>
      <c r="F23" s="59"/>
      <c r="G23" s="59"/>
      <c r="H23" s="59"/>
      <c r="I23" s="59"/>
      <c r="J23" s="59"/>
      <c r="K23" s="59"/>
      <c r="L23" s="65"/>
      <c r="M23" s="65"/>
      <c r="N23" s="65"/>
      <c r="O23" s="65"/>
      <c r="P23" s="65"/>
      <c r="Q23" s="65"/>
      <c r="R23" s="65"/>
      <c r="S23" s="65"/>
      <c r="T23" s="65"/>
      <c r="U23" s="65"/>
      <c r="V23" s="65"/>
      <c r="W23" s="65"/>
      <c r="X23" s="65"/>
      <c r="Y23" s="65"/>
      <c r="Z23" s="59"/>
    </row>
    <row r="24" spans="1:26" ht="18" customHeight="1" x14ac:dyDescent="0.15">
      <c r="A24" s="193" t="s">
        <v>121</v>
      </c>
      <c r="B24" s="193"/>
      <c r="C24" s="193"/>
      <c r="D24" s="193"/>
      <c r="E24" s="193"/>
      <c r="F24" s="193"/>
      <c r="G24" s="193"/>
      <c r="H24" s="193"/>
      <c r="I24" s="193"/>
      <c r="J24" s="193"/>
      <c r="K24" s="193"/>
      <c r="L24" s="193"/>
      <c r="M24" s="193"/>
      <c r="N24" s="193"/>
      <c r="O24" s="193"/>
      <c r="P24" s="193"/>
      <c r="Q24" s="193"/>
      <c r="R24" s="193"/>
      <c r="S24" s="193"/>
      <c r="T24" s="193"/>
      <c r="U24" s="193"/>
      <c r="V24" s="193"/>
      <c r="W24" s="193"/>
      <c r="X24" s="193"/>
      <c r="Y24" s="193"/>
      <c r="Z24" s="193"/>
    </row>
    <row r="25" spans="1:26" ht="18" customHeight="1" x14ac:dyDescent="0.15">
      <c r="A25" s="193"/>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3"/>
    </row>
    <row r="26" spans="1:26" ht="18" customHeight="1" x14ac:dyDescent="0.15">
      <c r="A26" s="28"/>
      <c r="B26" s="153" t="s">
        <v>96</v>
      </c>
      <c r="C26" s="154"/>
      <c r="D26" s="154"/>
      <c r="E26" s="154"/>
      <c r="F26" s="155"/>
      <c r="G26" s="62" t="s">
        <v>136</v>
      </c>
      <c r="H26" s="63" t="s">
        <v>135</v>
      </c>
      <c r="I26" s="154" t="s">
        <v>97</v>
      </c>
      <c r="J26" s="154"/>
      <c r="K26" s="154"/>
      <c r="L26" s="64" t="s">
        <v>122</v>
      </c>
      <c r="M26" s="64" t="s">
        <v>123</v>
      </c>
      <c r="N26" s="153" t="s">
        <v>96</v>
      </c>
      <c r="O26" s="154"/>
      <c r="P26" s="154"/>
      <c r="Q26" s="154"/>
      <c r="R26" s="154"/>
      <c r="S26" s="155"/>
      <c r="T26" s="62" t="s">
        <v>136</v>
      </c>
      <c r="U26" s="63" t="s">
        <v>135</v>
      </c>
      <c r="V26" s="154" t="s">
        <v>97</v>
      </c>
      <c r="W26" s="154"/>
      <c r="X26" s="154"/>
      <c r="Y26" s="64" t="s">
        <v>122</v>
      </c>
      <c r="Z26" s="64" t="s">
        <v>123</v>
      </c>
    </row>
    <row r="27" spans="1:26" ht="18" customHeight="1" x14ac:dyDescent="0.15">
      <c r="A27" s="28"/>
      <c r="B27" s="160" t="s">
        <v>149</v>
      </c>
      <c r="C27" s="161"/>
      <c r="D27" s="161"/>
      <c r="E27" s="161"/>
      <c r="F27" s="162"/>
      <c r="G27" s="47">
        <v>2</v>
      </c>
      <c r="H27" s="47" t="s">
        <v>151</v>
      </c>
      <c r="I27" s="163" t="s">
        <v>152</v>
      </c>
      <c r="J27" s="164"/>
      <c r="K27" s="165"/>
      <c r="L27" s="47" t="s">
        <v>151</v>
      </c>
      <c r="M27" s="47" t="s">
        <v>151</v>
      </c>
      <c r="N27" s="166"/>
      <c r="O27" s="167"/>
      <c r="P27" s="167"/>
      <c r="Q27" s="167"/>
      <c r="R27" s="167"/>
      <c r="S27" s="168"/>
      <c r="T27" s="47"/>
      <c r="U27" s="47"/>
      <c r="V27" s="163"/>
      <c r="W27" s="164"/>
      <c r="X27" s="165"/>
      <c r="Y27" s="47"/>
      <c r="Z27" s="47"/>
    </row>
    <row r="28" spans="1:26" ht="18" customHeight="1" x14ac:dyDescent="0.15">
      <c r="A28" s="28"/>
      <c r="B28" s="169" t="s">
        <v>239</v>
      </c>
      <c r="C28" s="170"/>
      <c r="D28" s="170"/>
      <c r="E28" s="170"/>
      <c r="F28" s="171"/>
      <c r="G28" s="48">
        <v>2</v>
      </c>
      <c r="H28" s="48"/>
      <c r="I28" s="172" t="s">
        <v>301</v>
      </c>
      <c r="J28" s="173"/>
      <c r="K28" s="174"/>
      <c r="L28" s="48" t="s">
        <v>151</v>
      </c>
      <c r="M28" s="48" t="s">
        <v>151</v>
      </c>
      <c r="N28" s="175"/>
      <c r="O28" s="176"/>
      <c r="P28" s="176"/>
      <c r="Q28" s="176"/>
      <c r="R28" s="176"/>
      <c r="S28" s="177"/>
      <c r="T28" s="41"/>
      <c r="U28" s="41"/>
      <c r="V28" s="178"/>
      <c r="W28" s="179"/>
      <c r="X28" s="180"/>
      <c r="Y28" s="41"/>
      <c r="Z28" s="41"/>
    </row>
    <row r="29" spans="1:26" ht="18" customHeight="1" x14ac:dyDescent="0.15">
      <c r="A29" s="28"/>
      <c r="B29" s="169"/>
      <c r="C29" s="170"/>
      <c r="D29" s="170"/>
      <c r="E29" s="170"/>
      <c r="F29" s="171"/>
      <c r="G29" s="41"/>
      <c r="H29" s="41"/>
      <c r="I29" s="178"/>
      <c r="J29" s="179"/>
      <c r="K29" s="180"/>
      <c r="L29" s="41"/>
      <c r="M29" s="41"/>
      <c r="N29" s="175"/>
      <c r="O29" s="176"/>
      <c r="P29" s="176"/>
      <c r="Q29" s="176"/>
      <c r="R29" s="176"/>
      <c r="S29" s="177"/>
      <c r="T29" s="41"/>
      <c r="U29" s="41"/>
      <c r="V29" s="178"/>
      <c r="W29" s="179"/>
      <c r="X29" s="180"/>
      <c r="Y29" s="41"/>
      <c r="Z29" s="41"/>
    </row>
    <row r="30" spans="1:26" ht="18" customHeight="1" x14ac:dyDescent="0.15">
      <c r="A30" s="28"/>
      <c r="B30" s="169"/>
      <c r="C30" s="170"/>
      <c r="D30" s="170"/>
      <c r="E30" s="170"/>
      <c r="F30" s="171"/>
      <c r="G30" s="41"/>
      <c r="H30" s="41"/>
      <c r="I30" s="178"/>
      <c r="J30" s="179"/>
      <c r="K30" s="180"/>
      <c r="L30" s="41"/>
      <c r="M30" s="41"/>
      <c r="N30" s="175"/>
      <c r="O30" s="176"/>
      <c r="P30" s="176"/>
      <c r="Q30" s="176"/>
      <c r="R30" s="176"/>
      <c r="S30" s="177"/>
      <c r="T30" s="41"/>
      <c r="U30" s="41"/>
      <c r="V30" s="178"/>
      <c r="W30" s="179"/>
      <c r="X30" s="180"/>
      <c r="Y30" s="41"/>
      <c r="Z30" s="41"/>
    </row>
    <row r="31" spans="1:26" ht="18" customHeight="1" x14ac:dyDescent="0.15">
      <c r="A31" s="28"/>
      <c r="B31" s="169"/>
      <c r="C31" s="170"/>
      <c r="D31" s="170"/>
      <c r="E31" s="170"/>
      <c r="F31" s="171"/>
      <c r="G31" s="41"/>
      <c r="H31" s="41"/>
      <c r="I31" s="178"/>
      <c r="J31" s="179"/>
      <c r="K31" s="180"/>
      <c r="L31" s="41"/>
      <c r="M31" s="41"/>
      <c r="N31" s="175"/>
      <c r="O31" s="176"/>
      <c r="P31" s="176"/>
      <c r="Q31" s="176"/>
      <c r="R31" s="176"/>
      <c r="S31" s="177"/>
      <c r="T31" s="41"/>
      <c r="U31" s="41"/>
      <c r="V31" s="178"/>
      <c r="W31" s="179"/>
      <c r="X31" s="180"/>
      <c r="Y31" s="41"/>
      <c r="Z31" s="41"/>
    </row>
    <row r="32" spans="1:26" ht="18" customHeight="1" x14ac:dyDescent="0.15">
      <c r="A32" s="28"/>
      <c r="B32" s="169"/>
      <c r="C32" s="170"/>
      <c r="D32" s="170"/>
      <c r="E32" s="170"/>
      <c r="F32" s="171"/>
      <c r="G32" s="41"/>
      <c r="H32" s="41"/>
      <c r="I32" s="178"/>
      <c r="J32" s="179"/>
      <c r="K32" s="180"/>
      <c r="L32" s="41"/>
      <c r="M32" s="41"/>
      <c r="N32" s="175"/>
      <c r="O32" s="176"/>
      <c r="P32" s="176"/>
      <c r="Q32" s="176"/>
      <c r="R32" s="176"/>
      <c r="S32" s="177"/>
      <c r="T32" s="41"/>
      <c r="U32" s="41"/>
      <c r="V32" s="178"/>
      <c r="W32" s="179"/>
      <c r="X32" s="180"/>
      <c r="Y32" s="41"/>
      <c r="Z32" s="41"/>
    </row>
    <row r="33" spans="1:26" ht="18" customHeight="1" x14ac:dyDescent="0.15">
      <c r="A33" s="28"/>
      <c r="B33" s="194"/>
      <c r="C33" s="195"/>
      <c r="D33" s="195"/>
      <c r="E33" s="195"/>
      <c r="F33" s="196"/>
      <c r="G33" s="42"/>
      <c r="H33" s="42"/>
      <c r="I33" s="197"/>
      <c r="J33" s="198"/>
      <c r="K33" s="199"/>
      <c r="L33" s="43"/>
      <c r="M33" s="43"/>
      <c r="N33" s="200"/>
      <c r="O33" s="201"/>
      <c r="P33" s="201"/>
      <c r="Q33" s="201"/>
      <c r="R33" s="201"/>
      <c r="S33" s="202"/>
      <c r="T33" s="42"/>
      <c r="U33" s="42"/>
      <c r="V33" s="197"/>
      <c r="W33" s="198"/>
      <c r="X33" s="199"/>
      <c r="Y33" s="43"/>
      <c r="Z33" s="43"/>
    </row>
    <row r="34" spans="1:26" ht="7.5" customHeight="1" x14ac:dyDescent="0.15">
      <c r="A34" s="59"/>
      <c r="B34" s="65"/>
      <c r="C34" s="65"/>
      <c r="D34" s="59"/>
      <c r="E34" s="59"/>
      <c r="F34" s="59"/>
      <c r="G34" s="59"/>
      <c r="H34" s="59"/>
      <c r="I34" s="59"/>
      <c r="J34" s="59"/>
      <c r="K34" s="59"/>
      <c r="L34" s="65"/>
      <c r="M34" s="65"/>
      <c r="N34" s="65"/>
      <c r="O34" s="65"/>
      <c r="P34" s="65"/>
      <c r="Q34" s="65"/>
      <c r="R34" s="65"/>
      <c r="S34" s="65"/>
      <c r="T34" s="65"/>
      <c r="U34" s="65"/>
      <c r="V34" s="65"/>
      <c r="W34" s="65"/>
      <c r="X34" s="65"/>
      <c r="Y34" s="65"/>
      <c r="Z34" s="59"/>
    </row>
    <row r="35" spans="1:26" ht="18" customHeight="1" x14ac:dyDescent="0.15">
      <c r="A35" s="193" t="s">
        <v>124</v>
      </c>
      <c r="B35" s="193"/>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row>
    <row r="36" spans="1:26" ht="18" customHeight="1" x14ac:dyDescent="0.15">
      <c r="A36" s="193"/>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spans="1:26" ht="18" customHeight="1" x14ac:dyDescent="0.15">
      <c r="A37" s="28"/>
      <c r="B37" s="153" t="s">
        <v>96</v>
      </c>
      <c r="C37" s="154"/>
      <c r="D37" s="154"/>
      <c r="E37" s="154"/>
      <c r="F37" s="155"/>
      <c r="G37" s="62" t="s">
        <v>136</v>
      </c>
      <c r="H37" s="63" t="s">
        <v>135</v>
      </c>
      <c r="I37" s="153" t="s">
        <v>97</v>
      </c>
      <c r="J37" s="154"/>
      <c r="K37" s="155"/>
      <c r="L37" s="64" t="s">
        <v>125</v>
      </c>
      <c r="M37" s="64" t="s">
        <v>126</v>
      </c>
      <c r="N37" s="153" t="s">
        <v>96</v>
      </c>
      <c r="O37" s="154"/>
      <c r="P37" s="154"/>
      <c r="Q37" s="154"/>
      <c r="R37" s="154"/>
      <c r="S37" s="155"/>
      <c r="T37" s="62" t="s">
        <v>136</v>
      </c>
      <c r="U37" s="63" t="s">
        <v>135</v>
      </c>
      <c r="V37" s="153" t="s">
        <v>97</v>
      </c>
      <c r="W37" s="154"/>
      <c r="X37" s="155"/>
      <c r="Y37" s="64" t="s">
        <v>125</v>
      </c>
      <c r="Z37" s="64" t="s">
        <v>126</v>
      </c>
    </row>
    <row r="38" spans="1:26" ht="18" customHeight="1" x14ac:dyDescent="0.15">
      <c r="A38" s="59"/>
      <c r="B38" s="160" t="s">
        <v>149</v>
      </c>
      <c r="C38" s="161"/>
      <c r="D38" s="161"/>
      <c r="E38" s="161"/>
      <c r="F38" s="162"/>
      <c r="G38" s="47">
        <v>2</v>
      </c>
      <c r="H38" s="47" t="s">
        <v>151</v>
      </c>
      <c r="I38" s="163" t="s">
        <v>152</v>
      </c>
      <c r="J38" s="164"/>
      <c r="K38" s="165"/>
      <c r="L38" s="47" t="s">
        <v>151</v>
      </c>
      <c r="M38" s="47" t="s">
        <v>151</v>
      </c>
      <c r="N38" s="166"/>
      <c r="O38" s="167"/>
      <c r="P38" s="167"/>
      <c r="Q38" s="167"/>
      <c r="R38" s="167"/>
      <c r="S38" s="168"/>
      <c r="T38" s="47"/>
      <c r="U38" s="47"/>
      <c r="V38" s="163"/>
      <c r="W38" s="164"/>
      <c r="X38" s="165"/>
      <c r="Y38" s="47"/>
      <c r="Z38" s="47"/>
    </row>
    <row r="39" spans="1:26" ht="18" customHeight="1" x14ac:dyDescent="0.15">
      <c r="A39" s="59"/>
      <c r="B39" s="169" t="s">
        <v>239</v>
      </c>
      <c r="C39" s="170"/>
      <c r="D39" s="170"/>
      <c r="E39" s="170"/>
      <c r="F39" s="171"/>
      <c r="G39" s="48">
        <v>2</v>
      </c>
      <c r="H39" s="48"/>
      <c r="I39" s="172" t="s">
        <v>301</v>
      </c>
      <c r="J39" s="173"/>
      <c r="K39" s="174"/>
      <c r="L39" s="48" t="s">
        <v>151</v>
      </c>
      <c r="M39" s="48" t="s">
        <v>151</v>
      </c>
      <c r="N39" s="175"/>
      <c r="O39" s="176"/>
      <c r="P39" s="176"/>
      <c r="Q39" s="176"/>
      <c r="R39" s="176"/>
      <c r="S39" s="177"/>
      <c r="T39" s="41"/>
      <c r="U39" s="41"/>
      <c r="V39" s="178"/>
      <c r="W39" s="179"/>
      <c r="X39" s="180"/>
      <c r="Y39" s="41"/>
      <c r="Z39" s="41"/>
    </row>
    <row r="40" spans="1:26" ht="18" customHeight="1" x14ac:dyDescent="0.15">
      <c r="A40" s="59"/>
      <c r="B40" s="169"/>
      <c r="C40" s="170"/>
      <c r="D40" s="170"/>
      <c r="E40" s="170"/>
      <c r="F40" s="171"/>
      <c r="G40" s="41"/>
      <c r="H40" s="41"/>
      <c r="I40" s="178"/>
      <c r="J40" s="179"/>
      <c r="K40" s="180"/>
      <c r="L40" s="41"/>
      <c r="M40" s="41"/>
      <c r="N40" s="175"/>
      <c r="O40" s="176"/>
      <c r="P40" s="176"/>
      <c r="Q40" s="176"/>
      <c r="R40" s="176"/>
      <c r="S40" s="177"/>
      <c r="T40" s="41"/>
      <c r="U40" s="41"/>
      <c r="V40" s="178"/>
      <c r="W40" s="179"/>
      <c r="X40" s="180"/>
      <c r="Y40" s="41"/>
      <c r="Z40" s="41"/>
    </row>
    <row r="41" spans="1:26" ht="18" customHeight="1" x14ac:dyDescent="0.15">
      <c r="A41" s="59"/>
      <c r="B41" s="169"/>
      <c r="C41" s="170"/>
      <c r="D41" s="170"/>
      <c r="E41" s="170"/>
      <c r="F41" s="171"/>
      <c r="G41" s="41"/>
      <c r="H41" s="41"/>
      <c r="I41" s="178"/>
      <c r="J41" s="179"/>
      <c r="K41" s="180"/>
      <c r="L41" s="41"/>
      <c r="M41" s="41"/>
      <c r="N41" s="175"/>
      <c r="O41" s="176"/>
      <c r="P41" s="176"/>
      <c r="Q41" s="176"/>
      <c r="R41" s="176"/>
      <c r="S41" s="177"/>
      <c r="T41" s="41"/>
      <c r="U41" s="41"/>
      <c r="V41" s="178"/>
      <c r="W41" s="179"/>
      <c r="X41" s="180"/>
      <c r="Y41" s="41"/>
      <c r="Z41" s="41"/>
    </row>
    <row r="42" spans="1:26" ht="18" customHeight="1" x14ac:dyDescent="0.15">
      <c r="A42" s="59"/>
      <c r="B42" s="169"/>
      <c r="C42" s="170"/>
      <c r="D42" s="170"/>
      <c r="E42" s="170"/>
      <c r="F42" s="171"/>
      <c r="G42" s="41"/>
      <c r="H42" s="41"/>
      <c r="I42" s="178"/>
      <c r="J42" s="179"/>
      <c r="K42" s="180"/>
      <c r="L42" s="41"/>
      <c r="M42" s="41"/>
      <c r="N42" s="175"/>
      <c r="O42" s="176"/>
      <c r="P42" s="176"/>
      <c r="Q42" s="176"/>
      <c r="R42" s="176"/>
      <c r="S42" s="177"/>
      <c r="T42" s="41"/>
      <c r="U42" s="41"/>
      <c r="V42" s="178"/>
      <c r="W42" s="179"/>
      <c r="X42" s="180"/>
      <c r="Y42" s="41"/>
      <c r="Z42" s="41"/>
    </row>
    <row r="43" spans="1:26" ht="18" customHeight="1" x14ac:dyDescent="0.15">
      <c r="A43" s="59"/>
      <c r="B43" s="169"/>
      <c r="C43" s="170"/>
      <c r="D43" s="170"/>
      <c r="E43" s="170"/>
      <c r="F43" s="171"/>
      <c r="G43" s="41"/>
      <c r="H43" s="41"/>
      <c r="I43" s="178"/>
      <c r="J43" s="179"/>
      <c r="K43" s="180"/>
      <c r="L43" s="41"/>
      <c r="M43" s="41"/>
      <c r="N43" s="175"/>
      <c r="O43" s="176"/>
      <c r="P43" s="176"/>
      <c r="Q43" s="176"/>
      <c r="R43" s="176"/>
      <c r="S43" s="177"/>
      <c r="T43" s="41"/>
      <c r="U43" s="41"/>
      <c r="V43" s="178"/>
      <c r="W43" s="179"/>
      <c r="X43" s="180"/>
      <c r="Y43" s="41"/>
      <c r="Z43" s="41"/>
    </row>
    <row r="44" spans="1:26" ht="18" customHeight="1" x14ac:dyDescent="0.15">
      <c r="A44" s="59"/>
      <c r="B44" s="194"/>
      <c r="C44" s="195"/>
      <c r="D44" s="195"/>
      <c r="E44" s="195"/>
      <c r="F44" s="196"/>
      <c r="G44" s="42"/>
      <c r="H44" s="42"/>
      <c r="I44" s="197"/>
      <c r="J44" s="198"/>
      <c r="K44" s="199"/>
      <c r="L44" s="43"/>
      <c r="M44" s="43"/>
      <c r="N44" s="200"/>
      <c r="O44" s="201"/>
      <c r="P44" s="201"/>
      <c r="Q44" s="201"/>
      <c r="R44" s="201"/>
      <c r="S44" s="202"/>
      <c r="T44" s="42"/>
      <c r="U44" s="42"/>
      <c r="V44" s="197"/>
      <c r="W44" s="198"/>
      <c r="X44" s="199"/>
      <c r="Y44" s="43"/>
      <c r="Z44" s="43"/>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3" t="s">
        <v>127</v>
      </c>
      <c r="B46" s="193"/>
      <c r="C46" s="193"/>
      <c r="D46" s="193"/>
      <c r="E46" s="193"/>
      <c r="F46" s="193"/>
      <c r="G46" s="193"/>
      <c r="H46" s="193"/>
      <c r="I46" s="193"/>
      <c r="J46" s="193"/>
      <c r="K46" s="193"/>
      <c r="L46" s="193"/>
      <c r="M46" s="193"/>
      <c r="N46" s="193"/>
      <c r="O46" s="193"/>
      <c r="P46" s="193"/>
      <c r="Q46" s="193"/>
      <c r="R46" s="193"/>
      <c r="S46" s="193"/>
      <c r="T46" s="193"/>
      <c r="U46" s="193"/>
      <c r="V46" s="193"/>
      <c r="W46" s="193"/>
      <c r="X46" s="193"/>
      <c r="Y46" s="193"/>
      <c r="Z46" s="193"/>
    </row>
    <row r="47" spans="1:26" ht="18" customHeight="1" x14ac:dyDescent="0.15">
      <c r="A47" s="193"/>
      <c r="B47" s="193"/>
      <c r="C47" s="193"/>
      <c r="D47" s="193"/>
      <c r="E47" s="193"/>
      <c r="F47" s="193"/>
      <c r="G47" s="193"/>
      <c r="H47" s="193"/>
      <c r="I47" s="193"/>
      <c r="J47" s="193"/>
      <c r="K47" s="193"/>
      <c r="L47" s="193"/>
      <c r="M47" s="193"/>
      <c r="N47" s="193"/>
      <c r="O47" s="193"/>
      <c r="P47" s="193"/>
      <c r="Q47" s="193"/>
      <c r="R47" s="193"/>
      <c r="S47" s="193"/>
      <c r="T47" s="193"/>
      <c r="U47" s="193"/>
      <c r="V47" s="193"/>
      <c r="W47" s="193"/>
      <c r="X47" s="193"/>
      <c r="Y47" s="193"/>
      <c r="Z47" s="193"/>
    </row>
    <row r="48" spans="1:26" ht="18" customHeight="1" x14ac:dyDescent="0.15">
      <c r="A48" s="28"/>
      <c r="B48" s="153" t="s">
        <v>96</v>
      </c>
      <c r="C48" s="154"/>
      <c r="D48" s="154"/>
      <c r="E48" s="154"/>
      <c r="F48" s="155"/>
      <c r="G48" s="62" t="s">
        <v>136</v>
      </c>
      <c r="H48" s="63" t="s">
        <v>135</v>
      </c>
      <c r="I48" s="153" t="s">
        <v>97</v>
      </c>
      <c r="J48" s="154"/>
      <c r="K48" s="155"/>
      <c r="L48" s="64" t="s">
        <v>102</v>
      </c>
      <c r="M48" s="64" t="s">
        <v>104</v>
      </c>
      <c r="N48" s="153" t="s">
        <v>96</v>
      </c>
      <c r="O48" s="154"/>
      <c r="P48" s="154"/>
      <c r="Q48" s="154"/>
      <c r="R48" s="154"/>
      <c r="S48" s="155"/>
      <c r="T48" s="62" t="s">
        <v>136</v>
      </c>
      <c r="U48" s="63" t="s">
        <v>135</v>
      </c>
      <c r="V48" s="153" t="s">
        <v>97</v>
      </c>
      <c r="W48" s="154"/>
      <c r="X48" s="155"/>
      <c r="Y48" s="64" t="s">
        <v>102</v>
      </c>
      <c r="Z48" s="64" t="s">
        <v>104</v>
      </c>
    </row>
    <row r="49" spans="1:26" ht="18" customHeight="1" x14ac:dyDescent="0.15">
      <c r="A49" s="59"/>
      <c r="B49" s="160" t="s">
        <v>150</v>
      </c>
      <c r="C49" s="161"/>
      <c r="D49" s="161"/>
      <c r="E49" s="161"/>
      <c r="F49" s="162"/>
      <c r="G49" s="47">
        <v>2</v>
      </c>
      <c r="H49" s="47" t="s">
        <v>151</v>
      </c>
      <c r="I49" s="163" t="s">
        <v>152</v>
      </c>
      <c r="J49" s="164"/>
      <c r="K49" s="165"/>
      <c r="L49" s="47" t="s">
        <v>151</v>
      </c>
      <c r="M49" s="47" t="s">
        <v>151</v>
      </c>
      <c r="N49" s="166"/>
      <c r="O49" s="167"/>
      <c r="P49" s="167"/>
      <c r="Q49" s="167"/>
      <c r="R49" s="167"/>
      <c r="S49" s="168"/>
      <c r="T49" s="47"/>
      <c r="U49" s="47"/>
      <c r="V49" s="163"/>
      <c r="W49" s="164"/>
      <c r="X49" s="165"/>
      <c r="Y49" s="47"/>
      <c r="Z49" s="47"/>
    </row>
    <row r="50" spans="1:26" ht="18" customHeight="1" x14ac:dyDescent="0.15">
      <c r="A50" s="59"/>
      <c r="B50" s="169" t="s">
        <v>239</v>
      </c>
      <c r="C50" s="170"/>
      <c r="D50" s="170"/>
      <c r="E50" s="170"/>
      <c r="F50" s="171"/>
      <c r="G50" s="48">
        <v>2</v>
      </c>
      <c r="H50" s="48"/>
      <c r="I50" s="172" t="s">
        <v>301</v>
      </c>
      <c r="J50" s="173"/>
      <c r="K50" s="174"/>
      <c r="L50" s="48" t="s">
        <v>151</v>
      </c>
      <c r="M50" s="48" t="s">
        <v>151</v>
      </c>
      <c r="N50" s="175"/>
      <c r="O50" s="176"/>
      <c r="P50" s="176"/>
      <c r="Q50" s="176"/>
      <c r="R50" s="176"/>
      <c r="S50" s="177"/>
      <c r="T50" s="41"/>
      <c r="U50" s="41"/>
      <c r="V50" s="178"/>
      <c r="W50" s="179"/>
      <c r="X50" s="180"/>
      <c r="Y50" s="41"/>
      <c r="Z50" s="41"/>
    </row>
    <row r="51" spans="1:26" ht="18" customHeight="1" x14ac:dyDescent="0.15">
      <c r="A51" s="59"/>
      <c r="B51" s="169"/>
      <c r="C51" s="170"/>
      <c r="D51" s="170"/>
      <c r="E51" s="170"/>
      <c r="F51" s="171"/>
      <c r="G51" s="41"/>
      <c r="H51" s="41"/>
      <c r="I51" s="178"/>
      <c r="J51" s="179"/>
      <c r="K51" s="180"/>
      <c r="L51" s="41"/>
      <c r="M51" s="41"/>
      <c r="N51" s="175"/>
      <c r="O51" s="176"/>
      <c r="P51" s="176"/>
      <c r="Q51" s="176"/>
      <c r="R51" s="176"/>
      <c r="S51" s="177"/>
      <c r="T51" s="41"/>
      <c r="U51" s="41"/>
      <c r="V51" s="178"/>
      <c r="W51" s="179"/>
      <c r="X51" s="180"/>
      <c r="Y51" s="41"/>
      <c r="Z51" s="41"/>
    </row>
    <row r="52" spans="1:26" ht="18" customHeight="1" x14ac:dyDescent="0.15">
      <c r="A52" s="59"/>
      <c r="B52" s="169"/>
      <c r="C52" s="170"/>
      <c r="D52" s="170"/>
      <c r="E52" s="170"/>
      <c r="F52" s="171"/>
      <c r="G52" s="41"/>
      <c r="H52" s="41"/>
      <c r="I52" s="178"/>
      <c r="J52" s="179"/>
      <c r="K52" s="180"/>
      <c r="L52" s="41"/>
      <c r="M52" s="41"/>
      <c r="N52" s="175"/>
      <c r="O52" s="176"/>
      <c r="P52" s="176"/>
      <c r="Q52" s="176"/>
      <c r="R52" s="176"/>
      <c r="S52" s="177"/>
      <c r="T52" s="41"/>
      <c r="U52" s="41"/>
      <c r="V52" s="178"/>
      <c r="W52" s="179"/>
      <c r="X52" s="180"/>
      <c r="Y52" s="41"/>
      <c r="Z52" s="41"/>
    </row>
    <row r="53" spans="1:26" ht="18" customHeight="1" x14ac:dyDescent="0.15">
      <c r="A53" s="59"/>
      <c r="B53" s="169"/>
      <c r="C53" s="170"/>
      <c r="D53" s="170"/>
      <c r="E53" s="170"/>
      <c r="F53" s="171"/>
      <c r="G53" s="41"/>
      <c r="H53" s="41"/>
      <c r="I53" s="178"/>
      <c r="J53" s="179"/>
      <c r="K53" s="180"/>
      <c r="L53" s="41"/>
      <c r="M53" s="41"/>
      <c r="N53" s="175"/>
      <c r="O53" s="176"/>
      <c r="P53" s="176"/>
      <c r="Q53" s="176"/>
      <c r="R53" s="176"/>
      <c r="S53" s="177"/>
      <c r="T53" s="41"/>
      <c r="U53" s="41"/>
      <c r="V53" s="178"/>
      <c r="W53" s="179"/>
      <c r="X53" s="180"/>
      <c r="Y53" s="41"/>
      <c r="Z53" s="41"/>
    </row>
    <row r="54" spans="1:26" ht="18" customHeight="1" x14ac:dyDescent="0.15">
      <c r="A54" s="59"/>
      <c r="B54" s="169"/>
      <c r="C54" s="170"/>
      <c r="D54" s="170"/>
      <c r="E54" s="170"/>
      <c r="F54" s="171"/>
      <c r="G54" s="41"/>
      <c r="H54" s="41"/>
      <c r="I54" s="178"/>
      <c r="J54" s="179"/>
      <c r="K54" s="180"/>
      <c r="L54" s="41"/>
      <c r="M54" s="41"/>
      <c r="N54" s="175"/>
      <c r="O54" s="176"/>
      <c r="P54" s="176"/>
      <c r="Q54" s="176"/>
      <c r="R54" s="176"/>
      <c r="S54" s="177"/>
      <c r="T54" s="41"/>
      <c r="U54" s="41"/>
      <c r="V54" s="178"/>
      <c r="W54" s="179"/>
      <c r="X54" s="180"/>
      <c r="Y54" s="41"/>
      <c r="Z54" s="41"/>
    </row>
    <row r="55" spans="1:26" ht="18" customHeight="1" x14ac:dyDescent="0.15">
      <c r="A55" s="59"/>
      <c r="B55" s="194"/>
      <c r="C55" s="195"/>
      <c r="D55" s="195"/>
      <c r="E55" s="195"/>
      <c r="F55" s="196"/>
      <c r="G55" s="42"/>
      <c r="H55" s="42"/>
      <c r="I55" s="197"/>
      <c r="J55" s="198"/>
      <c r="K55" s="199"/>
      <c r="L55" s="43"/>
      <c r="M55" s="43"/>
      <c r="N55" s="200"/>
      <c r="O55" s="201"/>
      <c r="P55" s="201"/>
      <c r="Q55" s="201"/>
      <c r="R55" s="201"/>
      <c r="S55" s="202"/>
      <c r="T55" s="42"/>
      <c r="U55" s="42"/>
      <c r="V55" s="197"/>
      <c r="W55" s="198"/>
      <c r="X55" s="199"/>
      <c r="Y55" s="43"/>
      <c r="Z55" s="43"/>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3" t="s">
        <v>128</v>
      </c>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c r="Z57" s="193"/>
    </row>
    <row r="58" spans="1:26" ht="18" customHeight="1" x14ac:dyDescent="0.15">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c r="Z58" s="193"/>
    </row>
    <row r="59" spans="1:26" ht="18" customHeight="1" x14ac:dyDescent="0.15">
      <c r="A59" s="28"/>
      <c r="B59" s="153" t="s">
        <v>96</v>
      </c>
      <c r="C59" s="154"/>
      <c r="D59" s="154"/>
      <c r="E59" s="155"/>
      <c r="F59" s="62" t="s">
        <v>136</v>
      </c>
      <c r="G59" s="63" t="s">
        <v>135</v>
      </c>
      <c r="H59" s="67" t="s">
        <v>97</v>
      </c>
      <c r="I59" s="68"/>
      <c r="J59" s="69"/>
      <c r="K59" s="64" t="s">
        <v>101</v>
      </c>
      <c r="L59" s="64" t="s">
        <v>129</v>
      </c>
      <c r="M59" s="64" t="s">
        <v>130</v>
      </c>
      <c r="N59" s="153" t="s">
        <v>96</v>
      </c>
      <c r="O59" s="154"/>
      <c r="P59" s="154"/>
      <c r="Q59" s="154"/>
      <c r="R59" s="155"/>
      <c r="S59" s="62" t="s">
        <v>136</v>
      </c>
      <c r="T59" s="63" t="s">
        <v>135</v>
      </c>
      <c r="U59" s="67" t="s">
        <v>97</v>
      </c>
      <c r="V59" s="68"/>
      <c r="W59" s="69"/>
      <c r="X59" s="64" t="s">
        <v>101</v>
      </c>
      <c r="Y59" s="64" t="s">
        <v>129</v>
      </c>
      <c r="Z59" s="64" t="s">
        <v>130</v>
      </c>
    </row>
    <row r="60" spans="1:26" ht="18" customHeight="1" x14ac:dyDescent="0.15">
      <c r="A60" s="59"/>
      <c r="B60" s="166" t="s">
        <v>149</v>
      </c>
      <c r="C60" s="167"/>
      <c r="D60" s="167"/>
      <c r="E60" s="168"/>
      <c r="F60" s="47">
        <v>2</v>
      </c>
      <c r="G60" s="47" t="s">
        <v>151</v>
      </c>
      <c r="H60" s="163" t="s">
        <v>152</v>
      </c>
      <c r="I60" s="164"/>
      <c r="J60" s="165"/>
      <c r="K60" s="47" t="s">
        <v>151</v>
      </c>
      <c r="L60" s="47" t="s">
        <v>151</v>
      </c>
      <c r="M60" s="47" t="s">
        <v>151</v>
      </c>
      <c r="N60" s="166"/>
      <c r="O60" s="167"/>
      <c r="P60" s="167"/>
      <c r="Q60" s="167"/>
      <c r="R60" s="168"/>
      <c r="S60" s="47"/>
      <c r="T60" s="47"/>
      <c r="U60" s="163"/>
      <c r="V60" s="164"/>
      <c r="W60" s="165"/>
      <c r="X60" s="52"/>
      <c r="Y60" s="47"/>
      <c r="Z60" s="47"/>
    </row>
    <row r="61" spans="1:26" ht="18" customHeight="1" x14ac:dyDescent="0.15">
      <c r="A61" s="59"/>
      <c r="B61" s="175" t="s">
        <v>239</v>
      </c>
      <c r="C61" s="176"/>
      <c r="D61" s="176"/>
      <c r="E61" s="177"/>
      <c r="F61" s="41">
        <v>2</v>
      </c>
      <c r="G61" s="41"/>
      <c r="H61" s="178" t="s">
        <v>301</v>
      </c>
      <c r="I61" s="179"/>
      <c r="J61" s="180"/>
      <c r="K61" s="48" t="s">
        <v>151</v>
      </c>
      <c r="L61" s="48" t="s">
        <v>151</v>
      </c>
      <c r="M61" s="48" t="s">
        <v>151</v>
      </c>
      <c r="N61" s="175"/>
      <c r="O61" s="176"/>
      <c r="P61" s="176"/>
      <c r="Q61" s="176"/>
      <c r="R61" s="177"/>
      <c r="S61" s="41"/>
      <c r="T61" s="41"/>
      <c r="U61" s="178"/>
      <c r="V61" s="179"/>
      <c r="W61" s="180"/>
      <c r="X61" s="55"/>
      <c r="Y61" s="41"/>
      <c r="Z61" s="41"/>
    </row>
    <row r="62" spans="1:26" ht="18" customHeight="1" x14ac:dyDescent="0.15">
      <c r="A62" s="59"/>
      <c r="B62" s="175"/>
      <c r="C62" s="176"/>
      <c r="D62" s="176"/>
      <c r="E62" s="177"/>
      <c r="F62" s="41"/>
      <c r="G62" s="41"/>
      <c r="H62" s="178"/>
      <c r="I62" s="179"/>
      <c r="J62" s="180"/>
      <c r="K62" s="55"/>
      <c r="L62" s="41"/>
      <c r="M62" s="41"/>
      <c r="N62" s="175"/>
      <c r="O62" s="176"/>
      <c r="P62" s="176"/>
      <c r="Q62" s="176"/>
      <c r="R62" s="177"/>
      <c r="S62" s="41"/>
      <c r="T62" s="41"/>
      <c r="U62" s="178"/>
      <c r="V62" s="179"/>
      <c r="W62" s="180"/>
      <c r="X62" s="55"/>
      <c r="Y62" s="41"/>
      <c r="Z62" s="41"/>
    </row>
    <row r="63" spans="1:26" ht="18" customHeight="1" x14ac:dyDescent="0.15">
      <c r="A63" s="59"/>
      <c r="B63" s="175"/>
      <c r="C63" s="176"/>
      <c r="D63" s="176"/>
      <c r="E63" s="177"/>
      <c r="F63" s="41"/>
      <c r="G63" s="41"/>
      <c r="H63" s="178"/>
      <c r="I63" s="179"/>
      <c r="J63" s="180"/>
      <c r="K63" s="55"/>
      <c r="L63" s="41"/>
      <c r="M63" s="41"/>
      <c r="N63" s="175"/>
      <c r="O63" s="176"/>
      <c r="P63" s="176"/>
      <c r="Q63" s="176"/>
      <c r="R63" s="177"/>
      <c r="S63" s="41"/>
      <c r="T63" s="41"/>
      <c r="U63" s="178"/>
      <c r="V63" s="179"/>
      <c r="W63" s="180"/>
      <c r="X63" s="55"/>
      <c r="Y63" s="41"/>
      <c r="Z63" s="41"/>
    </row>
    <row r="64" spans="1:26" ht="18" customHeight="1" x14ac:dyDescent="0.15">
      <c r="A64" s="59"/>
      <c r="B64" s="175"/>
      <c r="C64" s="176"/>
      <c r="D64" s="176"/>
      <c r="E64" s="177"/>
      <c r="F64" s="41"/>
      <c r="G64" s="41"/>
      <c r="H64" s="178"/>
      <c r="I64" s="179"/>
      <c r="J64" s="180"/>
      <c r="K64" s="55"/>
      <c r="L64" s="41"/>
      <c r="M64" s="41"/>
      <c r="N64" s="175"/>
      <c r="O64" s="176"/>
      <c r="P64" s="176"/>
      <c r="Q64" s="176"/>
      <c r="R64" s="177"/>
      <c r="S64" s="41"/>
      <c r="T64" s="41"/>
      <c r="U64" s="178"/>
      <c r="V64" s="179"/>
      <c r="W64" s="180"/>
      <c r="X64" s="55"/>
      <c r="Y64" s="41"/>
      <c r="Z64" s="41"/>
    </row>
    <row r="65" spans="1:26" ht="18" customHeight="1" x14ac:dyDescent="0.15">
      <c r="A65" s="59"/>
      <c r="B65" s="175"/>
      <c r="C65" s="176"/>
      <c r="D65" s="176"/>
      <c r="E65" s="177"/>
      <c r="F65" s="41"/>
      <c r="G65" s="41"/>
      <c r="H65" s="178"/>
      <c r="I65" s="179"/>
      <c r="J65" s="180"/>
      <c r="K65" s="55"/>
      <c r="L65" s="41"/>
      <c r="M65" s="41"/>
      <c r="N65" s="175"/>
      <c r="O65" s="176"/>
      <c r="P65" s="176"/>
      <c r="Q65" s="176"/>
      <c r="R65" s="177"/>
      <c r="S65" s="41"/>
      <c r="T65" s="41"/>
      <c r="U65" s="178"/>
      <c r="V65" s="179"/>
      <c r="W65" s="180"/>
      <c r="X65" s="55"/>
      <c r="Y65" s="41"/>
      <c r="Z65" s="41"/>
    </row>
    <row r="66" spans="1:26" ht="18" customHeight="1" x14ac:dyDescent="0.15">
      <c r="A66" s="59"/>
      <c r="B66" s="200"/>
      <c r="C66" s="201"/>
      <c r="D66" s="201"/>
      <c r="E66" s="202"/>
      <c r="F66" s="42"/>
      <c r="G66" s="42"/>
      <c r="H66" s="197"/>
      <c r="I66" s="198"/>
      <c r="J66" s="199"/>
      <c r="K66" s="56"/>
      <c r="L66" s="43"/>
      <c r="M66" s="43"/>
      <c r="N66" s="200"/>
      <c r="O66" s="201"/>
      <c r="P66" s="201"/>
      <c r="Q66" s="201"/>
      <c r="R66" s="202"/>
      <c r="S66" s="42"/>
      <c r="T66" s="42"/>
      <c r="U66" s="197"/>
      <c r="V66" s="198"/>
      <c r="W66" s="199"/>
      <c r="X66" s="56"/>
      <c r="Y66" s="43"/>
      <c r="Z66" s="43"/>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28" t="s">
        <v>131</v>
      </c>
      <c r="B68" s="28"/>
      <c r="C68" s="28"/>
      <c r="D68" s="28"/>
      <c r="E68" s="28"/>
      <c r="F68" s="28"/>
      <c r="G68" s="28"/>
      <c r="H68" s="28"/>
      <c r="I68" s="28"/>
      <c r="J68" s="28"/>
      <c r="K68" s="28"/>
      <c r="L68" s="59"/>
      <c r="M68" s="59"/>
      <c r="N68" s="59"/>
      <c r="O68" s="59"/>
      <c r="P68" s="59"/>
      <c r="Q68" s="59"/>
      <c r="R68" s="59"/>
      <c r="S68" s="59"/>
      <c r="T68" s="59"/>
      <c r="U68" s="59"/>
      <c r="V68" s="59"/>
      <c r="W68" s="59"/>
      <c r="X68" s="59"/>
      <c r="Y68" s="59"/>
      <c r="Z68" s="59"/>
    </row>
    <row r="69" spans="1:26" ht="18" customHeight="1" x14ac:dyDescent="0.15">
      <c r="A69" s="28"/>
      <c r="B69" s="153" t="s">
        <v>96</v>
      </c>
      <c r="C69" s="154"/>
      <c r="D69" s="154"/>
      <c r="E69" s="154"/>
      <c r="F69" s="155"/>
      <c r="G69" s="153" t="s">
        <v>141</v>
      </c>
      <c r="H69" s="154"/>
      <c r="I69" s="154"/>
      <c r="J69" s="154"/>
      <c r="K69" s="154"/>
      <c r="L69" s="154"/>
      <c r="M69" s="155"/>
      <c r="N69" s="153" t="s">
        <v>96</v>
      </c>
      <c r="O69" s="154"/>
      <c r="P69" s="154"/>
      <c r="Q69" s="154"/>
      <c r="R69" s="154"/>
      <c r="S69" s="155"/>
      <c r="T69" s="153" t="s">
        <v>141</v>
      </c>
      <c r="U69" s="154"/>
      <c r="V69" s="154"/>
      <c r="W69" s="154"/>
      <c r="X69" s="154"/>
      <c r="Y69" s="154"/>
      <c r="Z69" s="155"/>
    </row>
    <row r="70" spans="1:26" ht="18" customHeight="1" x14ac:dyDescent="0.15">
      <c r="A70" s="59"/>
      <c r="B70" s="212" t="s">
        <v>155</v>
      </c>
      <c r="C70" s="213"/>
      <c r="D70" s="213"/>
      <c r="E70" s="213"/>
      <c r="F70" s="214"/>
      <c r="G70" s="215" t="s">
        <v>153</v>
      </c>
      <c r="H70" s="216"/>
      <c r="I70" s="216"/>
      <c r="J70" s="216"/>
      <c r="K70" s="216"/>
      <c r="L70" s="216"/>
      <c r="M70" s="217"/>
      <c r="N70" s="166" t="s">
        <v>169</v>
      </c>
      <c r="O70" s="167"/>
      <c r="P70" s="167"/>
      <c r="Q70" s="167"/>
      <c r="R70" s="167"/>
      <c r="S70" s="168"/>
      <c r="T70" s="215" t="s">
        <v>153</v>
      </c>
      <c r="U70" s="216"/>
      <c r="V70" s="216"/>
      <c r="W70" s="216"/>
      <c r="X70" s="216"/>
      <c r="Y70" s="216"/>
      <c r="Z70" s="217"/>
    </row>
    <row r="71" spans="1:26" ht="18" customHeight="1" x14ac:dyDescent="0.15">
      <c r="A71" s="59"/>
      <c r="B71" s="203" t="s">
        <v>156</v>
      </c>
      <c r="C71" s="204"/>
      <c r="D71" s="204"/>
      <c r="E71" s="204"/>
      <c r="F71" s="205"/>
      <c r="G71" s="206" t="s">
        <v>153</v>
      </c>
      <c r="H71" s="207"/>
      <c r="I71" s="207"/>
      <c r="J71" s="207"/>
      <c r="K71" s="207"/>
      <c r="L71" s="207"/>
      <c r="M71" s="208"/>
      <c r="N71" s="218" t="s">
        <v>165</v>
      </c>
      <c r="O71" s="219"/>
      <c r="P71" s="219"/>
      <c r="Q71" s="219"/>
      <c r="R71" s="219"/>
      <c r="S71" s="220"/>
      <c r="T71" s="206" t="s">
        <v>153</v>
      </c>
      <c r="U71" s="207"/>
      <c r="V71" s="207"/>
      <c r="W71" s="207"/>
      <c r="X71" s="207"/>
      <c r="Y71" s="207"/>
      <c r="Z71" s="208"/>
    </row>
    <row r="72" spans="1:26" ht="18" customHeight="1" x14ac:dyDescent="0.15">
      <c r="A72" s="59"/>
      <c r="B72" s="203" t="s">
        <v>157</v>
      </c>
      <c r="C72" s="204"/>
      <c r="D72" s="204"/>
      <c r="E72" s="204"/>
      <c r="F72" s="205"/>
      <c r="G72" s="206" t="s">
        <v>153</v>
      </c>
      <c r="H72" s="207"/>
      <c r="I72" s="207"/>
      <c r="J72" s="207"/>
      <c r="K72" s="207"/>
      <c r="L72" s="207"/>
      <c r="M72" s="208"/>
      <c r="N72" s="203" t="s">
        <v>166</v>
      </c>
      <c r="O72" s="204"/>
      <c r="P72" s="204"/>
      <c r="Q72" s="204"/>
      <c r="R72" s="204"/>
      <c r="S72" s="205"/>
      <c r="T72" s="206" t="s">
        <v>153</v>
      </c>
      <c r="U72" s="207"/>
      <c r="V72" s="207"/>
      <c r="W72" s="207"/>
      <c r="X72" s="207"/>
      <c r="Y72" s="207"/>
      <c r="Z72" s="208"/>
    </row>
    <row r="73" spans="1:26" ht="18" customHeight="1" x14ac:dyDescent="0.15">
      <c r="A73" s="59"/>
      <c r="B73" s="175" t="s">
        <v>158</v>
      </c>
      <c r="C73" s="176"/>
      <c r="D73" s="176"/>
      <c r="E73" s="176"/>
      <c r="F73" s="177"/>
      <c r="G73" s="206" t="s">
        <v>153</v>
      </c>
      <c r="H73" s="207"/>
      <c r="I73" s="207"/>
      <c r="J73" s="207"/>
      <c r="K73" s="207"/>
      <c r="L73" s="207"/>
      <c r="M73" s="208"/>
      <c r="N73" s="203" t="s">
        <v>170</v>
      </c>
      <c r="O73" s="204"/>
      <c r="P73" s="204"/>
      <c r="Q73" s="204"/>
      <c r="R73" s="204"/>
      <c r="S73" s="205"/>
      <c r="T73" s="209" t="s">
        <v>153</v>
      </c>
      <c r="U73" s="210"/>
      <c r="V73" s="210"/>
      <c r="W73" s="210"/>
      <c r="X73" s="210"/>
      <c r="Y73" s="210"/>
      <c r="Z73" s="211"/>
    </row>
    <row r="74" spans="1:26" ht="18" customHeight="1" x14ac:dyDescent="0.15">
      <c r="A74" s="59"/>
      <c r="B74" s="218" t="s">
        <v>161</v>
      </c>
      <c r="C74" s="219"/>
      <c r="D74" s="219"/>
      <c r="E74" s="219"/>
      <c r="F74" s="220"/>
      <c r="G74" s="206" t="s">
        <v>153</v>
      </c>
      <c r="H74" s="207"/>
      <c r="I74" s="207"/>
      <c r="J74" s="207"/>
      <c r="K74" s="207"/>
      <c r="L74" s="207"/>
      <c r="M74" s="208"/>
      <c r="N74" s="175" t="s">
        <v>171</v>
      </c>
      <c r="O74" s="176"/>
      <c r="P74" s="176"/>
      <c r="Q74" s="176"/>
      <c r="R74" s="176"/>
      <c r="S74" s="177"/>
      <c r="T74" s="206" t="s">
        <v>153</v>
      </c>
      <c r="U74" s="207"/>
      <c r="V74" s="207"/>
      <c r="W74" s="207"/>
      <c r="X74" s="207"/>
      <c r="Y74" s="207"/>
      <c r="Z74" s="208"/>
    </row>
    <row r="75" spans="1:26" ht="18" customHeight="1" x14ac:dyDescent="0.15">
      <c r="A75" s="59"/>
      <c r="B75" s="203" t="s">
        <v>162</v>
      </c>
      <c r="C75" s="204"/>
      <c r="D75" s="204"/>
      <c r="E75" s="204"/>
      <c r="F75" s="205"/>
      <c r="G75" s="206" t="s">
        <v>153</v>
      </c>
      <c r="H75" s="207"/>
      <c r="I75" s="207"/>
      <c r="J75" s="207"/>
      <c r="K75" s="207"/>
      <c r="L75" s="207"/>
      <c r="M75" s="208"/>
      <c r="N75" s="218" t="s">
        <v>287</v>
      </c>
      <c r="O75" s="219"/>
      <c r="P75" s="219"/>
      <c r="Q75" s="219"/>
      <c r="R75" s="219"/>
      <c r="S75" s="220"/>
      <c r="T75" s="206" t="s">
        <v>153</v>
      </c>
      <c r="U75" s="207"/>
      <c r="V75" s="207"/>
      <c r="W75" s="207"/>
      <c r="X75" s="207"/>
      <c r="Y75" s="207"/>
      <c r="Z75" s="208"/>
    </row>
    <row r="76" spans="1:26" ht="18" customHeight="1" x14ac:dyDescent="0.15">
      <c r="A76" s="59"/>
      <c r="B76" s="203" t="s">
        <v>167</v>
      </c>
      <c r="C76" s="204"/>
      <c r="D76" s="204"/>
      <c r="E76" s="204"/>
      <c r="F76" s="205"/>
      <c r="G76" s="209" t="s">
        <v>153</v>
      </c>
      <c r="H76" s="210"/>
      <c r="I76" s="210"/>
      <c r="J76" s="210"/>
      <c r="K76" s="210"/>
      <c r="L76" s="210"/>
      <c r="M76" s="211"/>
      <c r="N76" s="203" t="s">
        <v>172</v>
      </c>
      <c r="O76" s="204"/>
      <c r="P76" s="204"/>
      <c r="Q76" s="204"/>
      <c r="R76" s="204"/>
      <c r="S76" s="205"/>
      <c r="T76" s="206" t="s">
        <v>153</v>
      </c>
      <c r="U76" s="207"/>
      <c r="V76" s="207"/>
      <c r="W76" s="207"/>
      <c r="X76" s="207"/>
      <c r="Y76" s="207"/>
      <c r="Z76" s="208"/>
    </row>
    <row r="77" spans="1:26" ht="18" customHeight="1" x14ac:dyDescent="0.15">
      <c r="A77" s="59"/>
      <c r="B77" s="203" t="s">
        <v>168</v>
      </c>
      <c r="C77" s="204"/>
      <c r="D77" s="204"/>
      <c r="E77" s="204"/>
      <c r="F77" s="205"/>
      <c r="G77" s="221" t="s">
        <v>153</v>
      </c>
      <c r="H77" s="222"/>
      <c r="I77" s="222"/>
      <c r="J77" s="222"/>
      <c r="K77" s="222"/>
      <c r="L77" s="222"/>
      <c r="M77" s="223"/>
      <c r="N77" s="175" t="s">
        <v>173</v>
      </c>
      <c r="O77" s="176"/>
      <c r="P77" s="176"/>
      <c r="Q77" s="176"/>
      <c r="R77" s="176"/>
      <c r="S77" s="177"/>
      <c r="T77" s="206" t="s">
        <v>153</v>
      </c>
      <c r="U77" s="207"/>
      <c r="V77" s="207"/>
      <c r="W77" s="207"/>
      <c r="X77" s="207"/>
      <c r="Y77" s="207"/>
      <c r="Z77" s="208"/>
    </row>
    <row r="78" spans="1:26" ht="18" customHeight="1" x14ac:dyDescent="0.15">
      <c r="A78" s="59"/>
      <c r="B78" s="175" t="s">
        <v>178</v>
      </c>
      <c r="C78" s="176"/>
      <c r="D78" s="176"/>
      <c r="E78" s="176"/>
      <c r="F78" s="177"/>
      <c r="G78" s="206" t="s">
        <v>153</v>
      </c>
      <c r="H78" s="207"/>
      <c r="I78" s="207"/>
      <c r="J78" s="207"/>
      <c r="K78" s="207"/>
      <c r="L78" s="207"/>
      <c r="M78" s="208"/>
      <c r="N78" s="225" t="s">
        <v>288</v>
      </c>
      <c r="O78" s="226"/>
      <c r="P78" s="226"/>
      <c r="Q78" s="226"/>
      <c r="R78" s="226"/>
      <c r="S78" s="227"/>
      <c r="T78" s="206" t="s">
        <v>153</v>
      </c>
      <c r="U78" s="207"/>
      <c r="V78" s="207"/>
      <c r="W78" s="207"/>
      <c r="X78" s="207"/>
      <c r="Y78" s="207"/>
      <c r="Z78" s="208"/>
    </row>
    <row r="79" spans="1:26" ht="18" customHeight="1" x14ac:dyDescent="0.15">
      <c r="A79" s="59"/>
      <c r="B79" s="218" t="s">
        <v>180</v>
      </c>
      <c r="C79" s="219"/>
      <c r="D79" s="219"/>
      <c r="E79" s="219"/>
      <c r="F79" s="220"/>
      <c r="G79" s="206" t="s">
        <v>153</v>
      </c>
      <c r="H79" s="207"/>
      <c r="I79" s="207"/>
      <c r="J79" s="207"/>
      <c r="K79" s="207"/>
      <c r="L79" s="207"/>
      <c r="M79" s="208"/>
      <c r="N79" s="175" t="s">
        <v>179</v>
      </c>
      <c r="O79" s="176"/>
      <c r="P79" s="176"/>
      <c r="Q79" s="176"/>
      <c r="R79" s="176"/>
      <c r="S79" s="177"/>
      <c r="T79" s="206" t="s">
        <v>153</v>
      </c>
      <c r="U79" s="207"/>
      <c r="V79" s="207"/>
      <c r="W79" s="207"/>
      <c r="X79" s="207"/>
      <c r="Y79" s="207"/>
      <c r="Z79" s="208"/>
    </row>
    <row r="80" spans="1:26" ht="18" customHeight="1" x14ac:dyDescent="0.15">
      <c r="A80" s="59"/>
      <c r="B80" s="224" t="s">
        <v>182</v>
      </c>
      <c r="C80" s="176"/>
      <c r="D80" s="176"/>
      <c r="E80" s="176"/>
      <c r="F80" s="176"/>
      <c r="G80" s="209" t="s">
        <v>153</v>
      </c>
      <c r="H80" s="210"/>
      <c r="I80" s="210"/>
      <c r="J80" s="210"/>
      <c r="K80" s="210"/>
      <c r="L80" s="210"/>
      <c r="M80" s="210"/>
      <c r="N80" s="175" t="s">
        <v>181</v>
      </c>
      <c r="O80" s="176"/>
      <c r="P80" s="176"/>
      <c r="Q80" s="176"/>
      <c r="R80" s="176"/>
      <c r="S80" s="177"/>
      <c r="T80" s="206" t="s">
        <v>153</v>
      </c>
      <c r="U80" s="207"/>
      <c r="V80" s="207"/>
      <c r="W80" s="207"/>
      <c r="X80" s="207"/>
      <c r="Y80" s="207"/>
      <c r="Z80" s="208"/>
    </row>
    <row r="81" spans="1:26" ht="18" customHeight="1" x14ac:dyDescent="0.15">
      <c r="A81" s="59"/>
      <c r="B81" s="175" t="s">
        <v>159</v>
      </c>
      <c r="C81" s="176"/>
      <c r="D81" s="176"/>
      <c r="E81" s="176"/>
      <c r="F81" s="177"/>
      <c r="G81" s="209" t="s">
        <v>153</v>
      </c>
      <c r="H81" s="210"/>
      <c r="I81" s="210"/>
      <c r="J81" s="210"/>
      <c r="K81" s="210"/>
      <c r="L81" s="210"/>
      <c r="M81" s="211"/>
      <c r="N81" s="175" t="s">
        <v>174</v>
      </c>
      <c r="O81" s="176"/>
      <c r="P81" s="176"/>
      <c r="Q81" s="176"/>
      <c r="R81" s="176"/>
      <c r="S81" s="177"/>
      <c r="T81" s="206" t="s">
        <v>153</v>
      </c>
      <c r="U81" s="207"/>
      <c r="V81" s="207"/>
      <c r="W81" s="207"/>
      <c r="X81" s="207"/>
      <c r="Y81" s="207"/>
      <c r="Z81" s="208"/>
    </row>
    <row r="82" spans="1:26" ht="18" customHeight="1" x14ac:dyDescent="0.15">
      <c r="A82" s="59"/>
      <c r="B82" s="218" t="s">
        <v>160</v>
      </c>
      <c r="C82" s="219"/>
      <c r="D82" s="219"/>
      <c r="E82" s="219"/>
      <c r="F82" s="220"/>
      <c r="G82" s="209" t="s">
        <v>153</v>
      </c>
      <c r="H82" s="210"/>
      <c r="I82" s="210"/>
      <c r="J82" s="210"/>
      <c r="K82" s="210"/>
      <c r="L82" s="210"/>
      <c r="M82" s="211"/>
      <c r="N82" s="175" t="s">
        <v>175</v>
      </c>
      <c r="O82" s="176"/>
      <c r="P82" s="176"/>
      <c r="Q82" s="176"/>
      <c r="R82" s="176"/>
      <c r="S82" s="177"/>
      <c r="T82" s="206" t="s">
        <v>153</v>
      </c>
      <c r="U82" s="207"/>
      <c r="V82" s="207"/>
      <c r="W82" s="207"/>
      <c r="X82" s="207"/>
      <c r="Y82" s="207"/>
      <c r="Z82" s="208"/>
    </row>
    <row r="83" spans="1:26" ht="18" customHeight="1" x14ac:dyDescent="0.15">
      <c r="A83" s="59"/>
      <c r="B83" s="175" t="s">
        <v>183</v>
      </c>
      <c r="C83" s="176"/>
      <c r="D83" s="176"/>
      <c r="E83" s="176"/>
      <c r="F83" s="177"/>
      <c r="G83" s="209" t="s">
        <v>153</v>
      </c>
      <c r="H83" s="210"/>
      <c r="I83" s="210"/>
      <c r="J83" s="210"/>
      <c r="K83" s="210"/>
      <c r="L83" s="210"/>
      <c r="M83" s="211"/>
      <c r="N83" s="175" t="s">
        <v>176</v>
      </c>
      <c r="O83" s="176"/>
      <c r="P83" s="176"/>
      <c r="Q83" s="176"/>
      <c r="R83" s="176"/>
      <c r="S83" s="177"/>
      <c r="T83" s="206" t="s">
        <v>153</v>
      </c>
      <c r="U83" s="207"/>
      <c r="V83" s="207"/>
      <c r="W83" s="207"/>
      <c r="X83" s="207"/>
      <c r="Y83" s="207"/>
      <c r="Z83" s="208"/>
    </row>
    <row r="84" spans="1:26" ht="18" customHeight="1" x14ac:dyDescent="0.15">
      <c r="A84" s="59"/>
      <c r="B84" s="175" t="s">
        <v>184</v>
      </c>
      <c r="C84" s="176"/>
      <c r="D84" s="176"/>
      <c r="E84" s="176"/>
      <c r="F84" s="177"/>
      <c r="G84" s="209" t="s">
        <v>153</v>
      </c>
      <c r="H84" s="210"/>
      <c r="I84" s="210"/>
      <c r="J84" s="210"/>
      <c r="K84" s="210"/>
      <c r="L84" s="210"/>
      <c r="M84" s="211"/>
      <c r="N84" s="175" t="s">
        <v>177</v>
      </c>
      <c r="O84" s="176"/>
      <c r="P84" s="176"/>
      <c r="Q84" s="176"/>
      <c r="R84" s="176"/>
      <c r="S84" s="177"/>
      <c r="T84" s="206" t="s">
        <v>153</v>
      </c>
      <c r="U84" s="207"/>
      <c r="V84" s="207"/>
      <c r="W84" s="207"/>
      <c r="X84" s="207"/>
      <c r="Y84" s="207"/>
      <c r="Z84" s="208"/>
    </row>
    <row r="85" spans="1:26" ht="18" customHeight="1" x14ac:dyDescent="0.15">
      <c r="A85" s="59"/>
      <c r="B85" s="175" t="s">
        <v>163</v>
      </c>
      <c r="C85" s="176"/>
      <c r="D85" s="176"/>
      <c r="E85" s="176"/>
      <c r="F85" s="177"/>
      <c r="G85" s="209" t="s">
        <v>153</v>
      </c>
      <c r="H85" s="210"/>
      <c r="I85" s="210"/>
      <c r="J85" s="210"/>
      <c r="K85" s="210"/>
      <c r="L85" s="210"/>
      <c r="M85" s="211"/>
      <c r="N85" s="175" t="s">
        <v>210</v>
      </c>
      <c r="O85" s="176"/>
      <c r="P85" s="176"/>
      <c r="Q85" s="176"/>
      <c r="R85" s="176"/>
      <c r="S85" s="177"/>
      <c r="T85" s="206" t="s">
        <v>153</v>
      </c>
      <c r="U85" s="207"/>
      <c r="V85" s="207"/>
      <c r="W85" s="207"/>
      <c r="X85" s="207"/>
      <c r="Y85" s="207"/>
      <c r="Z85" s="208"/>
    </row>
    <row r="86" spans="1:26" ht="18" customHeight="1" x14ac:dyDescent="0.15">
      <c r="A86" s="59"/>
      <c r="B86" s="175" t="s">
        <v>164</v>
      </c>
      <c r="C86" s="176"/>
      <c r="D86" s="176"/>
      <c r="E86" s="176"/>
      <c r="F86" s="177"/>
      <c r="G86" s="209" t="s">
        <v>153</v>
      </c>
      <c r="H86" s="210"/>
      <c r="I86" s="210"/>
      <c r="J86" s="210"/>
      <c r="K86" s="210"/>
      <c r="L86" s="210"/>
      <c r="M86" s="211"/>
      <c r="N86" s="175" t="s">
        <v>212</v>
      </c>
      <c r="O86" s="176"/>
      <c r="P86" s="176"/>
      <c r="Q86" s="176"/>
      <c r="R86" s="176"/>
      <c r="S86" s="177"/>
      <c r="T86" s="209" t="s">
        <v>153</v>
      </c>
      <c r="U86" s="210"/>
      <c r="V86" s="210"/>
      <c r="W86" s="210"/>
      <c r="X86" s="210"/>
      <c r="Y86" s="210"/>
      <c r="Z86" s="211"/>
    </row>
    <row r="87" spans="1:26" ht="18" customHeight="1" x14ac:dyDescent="0.15">
      <c r="A87" s="59"/>
      <c r="B87" s="175" t="s">
        <v>199</v>
      </c>
      <c r="C87" s="176"/>
      <c r="D87" s="176"/>
      <c r="E87" s="176"/>
      <c r="F87" s="177"/>
      <c r="G87" s="209" t="s">
        <v>153</v>
      </c>
      <c r="H87" s="210"/>
      <c r="I87" s="210"/>
      <c r="J87" s="210"/>
      <c r="K87" s="210"/>
      <c r="L87" s="210"/>
      <c r="M87" s="211"/>
      <c r="N87" s="175" t="s">
        <v>214</v>
      </c>
      <c r="O87" s="176"/>
      <c r="P87" s="176"/>
      <c r="Q87" s="176"/>
      <c r="R87" s="176"/>
      <c r="S87" s="177"/>
      <c r="T87" s="221" t="s">
        <v>153</v>
      </c>
      <c r="U87" s="222"/>
      <c r="V87" s="222"/>
      <c r="W87" s="222"/>
      <c r="X87" s="222"/>
      <c r="Y87" s="222"/>
      <c r="Z87" s="223"/>
    </row>
    <row r="88" spans="1:26" ht="18" customHeight="1" x14ac:dyDescent="0.15">
      <c r="A88" s="59"/>
      <c r="B88" s="175" t="s">
        <v>200</v>
      </c>
      <c r="C88" s="176"/>
      <c r="D88" s="176"/>
      <c r="E88" s="176"/>
      <c r="F88" s="177"/>
      <c r="G88" s="209" t="s">
        <v>153</v>
      </c>
      <c r="H88" s="210"/>
      <c r="I88" s="210"/>
      <c r="J88" s="210"/>
      <c r="K88" s="210"/>
      <c r="L88" s="210"/>
      <c r="M88" s="211"/>
      <c r="N88" s="175" t="s">
        <v>215</v>
      </c>
      <c r="O88" s="176"/>
      <c r="P88" s="176"/>
      <c r="Q88" s="176"/>
      <c r="R88" s="176"/>
      <c r="S88" s="177"/>
      <c r="T88" s="206" t="s">
        <v>153</v>
      </c>
      <c r="U88" s="207"/>
      <c r="V88" s="207"/>
      <c r="W88" s="207"/>
      <c r="X88" s="207"/>
      <c r="Y88" s="207"/>
      <c r="Z88" s="208"/>
    </row>
    <row r="89" spans="1:26" ht="18" customHeight="1" x14ac:dyDescent="0.15">
      <c r="A89" s="59"/>
      <c r="B89" s="175" t="s">
        <v>281</v>
      </c>
      <c r="C89" s="176"/>
      <c r="D89" s="176"/>
      <c r="E89" s="176"/>
      <c r="F89" s="177"/>
      <c r="G89" s="209" t="s">
        <v>153</v>
      </c>
      <c r="H89" s="210"/>
      <c r="I89" s="210"/>
      <c r="J89" s="210"/>
      <c r="K89" s="210"/>
      <c r="L89" s="210"/>
      <c r="M89" s="211"/>
      <c r="N89" s="175" t="s">
        <v>235</v>
      </c>
      <c r="O89" s="176"/>
      <c r="P89" s="176"/>
      <c r="Q89" s="176"/>
      <c r="R89" s="176"/>
      <c r="S89" s="177"/>
      <c r="T89" s="206" t="s">
        <v>153</v>
      </c>
      <c r="U89" s="207"/>
      <c r="V89" s="207"/>
      <c r="W89" s="207"/>
      <c r="X89" s="207"/>
      <c r="Y89" s="207"/>
      <c r="Z89" s="208"/>
    </row>
    <row r="90" spans="1:26" ht="18" customHeight="1" x14ac:dyDescent="0.15">
      <c r="A90" s="59"/>
      <c r="B90" s="175" t="s">
        <v>185</v>
      </c>
      <c r="C90" s="176"/>
      <c r="D90" s="176"/>
      <c r="E90" s="176"/>
      <c r="F90" s="177"/>
      <c r="G90" s="209" t="s">
        <v>153</v>
      </c>
      <c r="H90" s="210"/>
      <c r="I90" s="210"/>
      <c r="J90" s="210"/>
      <c r="K90" s="210"/>
      <c r="L90" s="210"/>
      <c r="M90" s="211"/>
      <c r="N90" s="175" t="s">
        <v>216</v>
      </c>
      <c r="O90" s="176"/>
      <c r="P90" s="176"/>
      <c r="Q90" s="176"/>
      <c r="R90" s="176"/>
      <c r="S90" s="177"/>
      <c r="T90" s="206" t="s">
        <v>154</v>
      </c>
      <c r="U90" s="207"/>
      <c r="V90" s="207"/>
      <c r="W90" s="207"/>
      <c r="X90" s="207"/>
      <c r="Y90" s="207"/>
      <c r="Z90" s="208"/>
    </row>
    <row r="91" spans="1:26" ht="18" customHeight="1" x14ac:dyDescent="0.15">
      <c r="A91" s="59"/>
      <c r="B91" s="175" t="s">
        <v>286</v>
      </c>
      <c r="C91" s="176"/>
      <c r="D91" s="176"/>
      <c r="E91" s="176"/>
      <c r="F91" s="177"/>
      <c r="G91" s="209" t="s">
        <v>154</v>
      </c>
      <c r="H91" s="210"/>
      <c r="I91" s="210"/>
      <c r="J91" s="210"/>
      <c r="K91" s="210"/>
      <c r="L91" s="210"/>
      <c r="M91" s="211"/>
      <c r="N91" s="175" t="s">
        <v>201</v>
      </c>
      <c r="O91" s="176"/>
      <c r="P91" s="176"/>
      <c r="Q91" s="176"/>
      <c r="R91" s="176"/>
      <c r="S91" s="177"/>
      <c r="T91" s="206" t="s">
        <v>186</v>
      </c>
      <c r="U91" s="207"/>
      <c r="V91" s="207"/>
      <c r="W91" s="207"/>
      <c r="X91" s="207"/>
      <c r="Y91" s="207"/>
      <c r="Z91" s="208"/>
    </row>
    <row r="92" spans="1:26" ht="18" customHeight="1" x14ac:dyDescent="0.15">
      <c r="A92" s="59"/>
      <c r="B92" s="175" t="s">
        <v>217</v>
      </c>
      <c r="C92" s="176"/>
      <c r="D92" s="176"/>
      <c r="E92" s="176"/>
      <c r="F92" s="177"/>
      <c r="G92" s="209" t="s">
        <v>186</v>
      </c>
      <c r="H92" s="210"/>
      <c r="I92" s="210"/>
      <c r="J92" s="210"/>
      <c r="K92" s="210"/>
      <c r="L92" s="210"/>
      <c r="M92" s="211"/>
      <c r="N92" s="175" t="s">
        <v>226</v>
      </c>
      <c r="O92" s="176"/>
      <c r="P92" s="176"/>
      <c r="Q92" s="176"/>
      <c r="R92" s="176"/>
      <c r="S92" s="177"/>
      <c r="T92" s="209" t="s">
        <v>186</v>
      </c>
      <c r="U92" s="210"/>
      <c r="V92" s="210"/>
      <c r="W92" s="210"/>
      <c r="X92" s="210"/>
      <c r="Y92" s="210"/>
      <c r="Z92" s="211"/>
    </row>
    <row r="93" spans="1:26" ht="18" customHeight="1" x14ac:dyDescent="0.15">
      <c r="A93" s="59"/>
      <c r="B93" s="224" t="s">
        <v>218</v>
      </c>
      <c r="C93" s="176"/>
      <c r="D93" s="176"/>
      <c r="E93" s="176"/>
      <c r="F93" s="177"/>
      <c r="G93" s="209" t="s">
        <v>186</v>
      </c>
      <c r="H93" s="210"/>
      <c r="I93" s="210"/>
      <c r="J93" s="210"/>
      <c r="K93" s="210"/>
      <c r="L93" s="210"/>
      <c r="M93" s="210"/>
      <c r="N93" s="175" t="s">
        <v>227</v>
      </c>
      <c r="O93" s="176"/>
      <c r="P93" s="176"/>
      <c r="Q93" s="176"/>
      <c r="R93" s="176"/>
      <c r="S93" s="177"/>
      <c r="T93" s="209" t="s">
        <v>186</v>
      </c>
      <c r="U93" s="210"/>
      <c r="V93" s="210"/>
      <c r="W93" s="210"/>
      <c r="X93" s="210"/>
      <c r="Y93" s="210"/>
      <c r="Z93" s="211"/>
    </row>
    <row r="94" spans="1:26" ht="18" customHeight="1" x14ac:dyDescent="0.15">
      <c r="A94" s="59"/>
      <c r="B94" s="175" t="s">
        <v>219</v>
      </c>
      <c r="C94" s="176"/>
      <c r="D94" s="176"/>
      <c r="E94" s="176"/>
      <c r="F94" s="177"/>
      <c r="G94" s="209" t="s">
        <v>186</v>
      </c>
      <c r="H94" s="210"/>
      <c r="I94" s="210"/>
      <c r="J94" s="210"/>
      <c r="K94" s="210"/>
      <c r="L94" s="210"/>
      <c r="M94" s="211"/>
      <c r="N94" s="175" t="s">
        <v>228</v>
      </c>
      <c r="O94" s="176"/>
      <c r="P94" s="176"/>
      <c r="Q94" s="176"/>
      <c r="R94" s="176"/>
      <c r="S94" s="177"/>
      <c r="T94" s="206" t="s">
        <v>186</v>
      </c>
      <c r="U94" s="207"/>
      <c r="V94" s="207"/>
      <c r="W94" s="207"/>
      <c r="X94" s="207"/>
      <c r="Y94" s="207"/>
      <c r="Z94" s="208"/>
    </row>
    <row r="95" spans="1:26" ht="18" customHeight="1" x14ac:dyDescent="0.15">
      <c r="A95" s="59"/>
      <c r="B95" s="175" t="s">
        <v>220</v>
      </c>
      <c r="C95" s="176"/>
      <c r="D95" s="176"/>
      <c r="E95" s="176"/>
      <c r="F95" s="177"/>
      <c r="G95" s="209" t="s">
        <v>186</v>
      </c>
      <c r="H95" s="210"/>
      <c r="I95" s="210"/>
      <c r="J95" s="210"/>
      <c r="K95" s="210"/>
      <c r="L95" s="210"/>
      <c r="M95" s="211"/>
      <c r="N95" s="175" t="s">
        <v>229</v>
      </c>
      <c r="O95" s="176"/>
      <c r="P95" s="176"/>
      <c r="Q95" s="176"/>
      <c r="R95" s="176"/>
      <c r="S95" s="177"/>
      <c r="T95" s="209" t="s">
        <v>186</v>
      </c>
      <c r="U95" s="210"/>
      <c r="V95" s="210"/>
      <c r="W95" s="210"/>
      <c r="X95" s="210"/>
      <c r="Y95" s="210"/>
      <c r="Z95" s="211"/>
    </row>
    <row r="96" spans="1:26" ht="18" customHeight="1" x14ac:dyDescent="0.15">
      <c r="A96" s="59"/>
      <c r="B96" s="175" t="s">
        <v>221</v>
      </c>
      <c r="C96" s="176"/>
      <c r="D96" s="176"/>
      <c r="E96" s="176"/>
      <c r="F96" s="177"/>
      <c r="G96" s="209" t="s">
        <v>186</v>
      </c>
      <c r="H96" s="210"/>
      <c r="I96" s="210"/>
      <c r="J96" s="210"/>
      <c r="K96" s="210"/>
      <c r="L96" s="210"/>
      <c r="M96" s="211"/>
      <c r="N96" s="175" t="s">
        <v>230</v>
      </c>
      <c r="O96" s="176"/>
      <c r="P96" s="176"/>
      <c r="Q96" s="176"/>
      <c r="R96" s="176"/>
      <c r="S96" s="177"/>
      <c r="T96" s="221" t="s">
        <v>186</v>
      </c>
      <c r="U96" s="222"/>
      <c r="V96" s="222"/>
      <c r="W96" s="222"/>
      <c r="X96" s="222"/>
      <c r="Y96" s="222"/>
      <c r="Z96" s="223"/>
    </row>
    <row r="97" spans="1:26" ht="18" customHeight="1" x14ac:dyDescent="0.15">
      <c r="A97" s="59"/>
      <c r="B97" s="175" t="s">
        <v>193</v>
      </c>
      <c r="C97" s="176"/>
      <c r="D97" s="176"/>
      <c r="E97" s="176"/>
      <c r="F97" s="177"/>
      <c r="G97" s="209" t="s">
        <v>186</v>
      </c>
      <c r="H97" s="210"/>
      <c r="I97" s="210"/>
      <c r="J97" s="210"/>
      <c r="K97" s="210"/>
      <c r="L97" s="210"/>
      <c r="M97" s="211"/>
      <c r="N97" s="175" t="s">
        <v>289</v>
      </c>
      <c r="O97" s="176"/>
      <c r="P97" s="176"/>
      <c r="Q97" s="176"/>
      <c r="R97" s="176"/>
      <c r="S97" s="177"/>
      <c r="T97" s="206" t="s">
        <v>186</v>
      </c>
      <c r="U97" s="207"/>
      <c r="V97" s="207"/>
      <c r="W97" s="207"/>
      <c r="X97" s="207"/>
      <c r="Y97" s="207"/>
      <c r="Z97" s="208"/>
    </row>
    <row r="98" spans="1:26" ht="18" customHeight="1" x14ac:dyDescent="0.15">
      <c r="A98" s="59"/>
      <c r="B98" s="175" t="s">
        <v>194</v>
      </c>
      <c r="C98" s="176"/>
      <c r="D98" s="176"/>
      <c r="E98" s="176"/>
      <c r="F98" s="177"/>
      <c r="G98" s="209" t="s">
        <v>186</v>
      </c>
      <c r="H98" s="210"/>
      <c r="I98" s="210"/>
      <c r="J98" s="210"/>
      <c r="K98" s="210"/>
      <c r="L98" s="210"/>
      <c r="M98" s="211"/>
      <c r="N98" s="175" t="s">
        <v>240</v>
      </c>
      <c r="O98" s="176"/>
      <c r="P98" s="176"/>
      <c r="Q98" s="176"/>
      <c r="R98" s="176"/>
      <c r="S98" s="177"/>
      <c r="T98" s="206" t="s">
        <v>186</v>
      </c>
      <c r="U98" s="207"/>
      <c r="V98" s="207"/>
      <c r="W98" s="207"/>
      <c r="X98" s="207"/>
      <c r="Y98" s="207"/>
      <c r="Z98" s="208"/>
    </row>
    <row r="99" spans="1:26" ht="18" customHeight="1" x14ac:dyDescent="0.15">
      <c r="A99" s="59"/>
      <c r="B99" s="175" t="s">
        <v>195</v>
      </c>
      <c r="C99" s="176"/>
      <c r="D99" s="176"/>
      <c r="E99" s="176"/>
      <c r="F99" s="177"/>
      <c r="G99" s="209" t="s">
        <v>186</v>
      </c>
      <c r="H99" s="210"/>
      <c r="I99" s="210"/>
      <c r="J99" s="210"/>
      <c r="K99" s="210"/>
      <c r="L99" s="210"/>
      <c r="M99" s="211"/>
      <c r="N99" s="175" t="s">
        <v>241</v>
      </c>
      <c r="O99" s="176"/>
      <c r="P99" s="176"/>
      <c r="Q99" s="176"/>
      <c r="R99" s="176"/>
      <c r="S99" s="177"/>
      <c r="T99" s="206" t="s">
        <v>186</v>
      </c>
      <c r="U99" s="207"/>
      <c r="V99" s="207"/>
      <c r="W99" s="207"/>
      <c r="X99" s="207"/>
      <c r="Y99" s="207"/>
      <c r="Z99" s="208"/>
    </row>
    <row r="100" spans="1:26" ht="18" customHeight="1" x14ac:dyDescent="0.15">
      <c r="A100" s="59"/>
      <c r="B100" s="175" t="s">
        <v>197</v>
      </c>
      <c r="C100" s="176"/>
      <c r="D100" s="176"/>
      <c r="E100" s="176"/>
      <c r="F100" s="177"/>
      <c r="G100" s="209" t="s">
        <v>186</v>
      </c>
      <c r="H100" s="210"/>
      <c r="I100" s="210"/>
      <c r="J100" s="210"/>
      <c r="K100" s="210"/>
      <c r="L100" s="210"/>
      <c r="M100" s="211"/>
      <c r="N100" s="175" t="s">
        <v>242</v>
      </c>
      <c r="O100" s="176"/>
      <c r="P100" s="176"/>
      <c r="Q100" s="176"/>
      <c r="R100" s="176"/>
      <c r="S100" s="177"/>
      <c r="T100" s="206" t="s">
        <v>186</v>
      </c>
      <c r="U100" s="207"/>
      <c r="V100" s="207"/>
      <c r="W100" s="207"/>
      <c r="X100" s="207"/>
      <c r="Y100" s="207"/>
      <c r="Z100" s="208"/>
    </row>
    <row r="101" spans="1:26" ht="18" customHeight="1" x14ac:dyDescent="0.15">
      <c r="A101" s="59"/>
      <c r="B101" s="175" t="s">
        <v>316</v>
      </c>
      <c r="C101" s="176"/>
      <c r="D101" s="176"/>
      <c r="E101" s="176"/>
      <c r="F101" s="177"/>
      <c r="G101" s="209" t="s">
        <v>186</v>
      </c>
      <c r="H101" s="210"/>
      <c r="I101" s="210"/>
      <c r="J101" s="210"/>
      <c r="K101" s="210"/>
      <c r="L101" s="210"/>
      <c r="M101" s="211"/>
      <c r="N101" s="175" t="s">
        <v>243</v>
      </c>
      <c r="O101" s="176"/>
      <c r="P101" s="176"/>
      <c r="Q101" s="176"/>
      <c r="R101" s="176"/>
      <c r="S101" s="177"/>
      <c r="T101" s="209" t="s">
        <v>186</v>
      </c>
      <c r="U101" s="210"/>
      <c r="V101" s="210"/>
      <c r="W101" s="210"/>
      <c r="X101" s="210"/>
      <c r="Y101" s="210"/>
      <c r="Z101" s="211"/>
    </row>
    <row r="102" spans="1:26" ht="18" customHeight="1" x14ac:dyDescent="0.15">
      <c r="A102" s="59"/>
      <c r="B102" s="175" t="s">
        <v>187</v>
      </c>
      <c r="C102" s="176"/>
      <c r="D102" s="176"/>
      <c r="E102" s="176"/>
      <c r="F102" s="177"/>
      <c r="G102" s="209" t="s">
        <v>186</v>
      </c>
      <c r="H102" s="210"/>
      <c r="I102" s="210"/>
      <c r="J102" s="210"/>
      <c r="K102" s="210"/>
      <c r="L102" s="210"/>
      <c r="M102" s="211"/>
      <c r="N102" s="175" t="s">
        <v>198</v>
      </c>
      <c r="O102" s="176"/>
      <c r="P102" s="176"/>
      <c r="Q102" s="176"/>
      <c r="R102" s="176"/>
      <c r="S102" s="177"/>
      <c r="T102" s="221" t="s">
        <v>186</v>
      </c>
      <c r="U102" s="222"/>
      <c r="V102" s="222"/>
      <c r="W102" s="222"/>
      <c r="X102" s="222"/>
      <c r="Y102" s="222"/>
      <c r="Z102" s="223"/>
    </row>
    <row r="103" spans="1:26" ht="18" customHeight="1" x14ac:dyDescent="0.15">
      <c r="A103" s="59"/>
      <c r="B103" s="175" t="s">
        <v>231</v>
      </c>
      <c r="C103" s="176"/>
      <c r="D103" s="176"/>
      <c r="E103" s="176"/>
      <c r="F103" s="177"/>
      <c r="G103" s="209" t="s">
        <v>186</v>
      </c>
      <c r="H103" s="210"/>
      <c r="I103" s="210"/>
      <c r="J103" s="210"/>
      <c r="K103" s="210"/>
      <c r="L103" s="210"/>
      <c r="M103" s="211"/>
      <c r="N103" s="175" t="s">
        <v>206</v>
      </c>
      <c r="O103" s="176"/>
      <c r="P103" s="176"/>
      <c r="Q103" s="176"/>
      <c r="R103" s="176"/>
      <c r="S103" s="177"/>
      <c r="T103" s="209" t="s">
        <v>186</v>
      </c>
      <c r="U103" s="210"/>
      <c r="V103" s="210"/>
      <c r="W103" s="210"/>
      <c r="X103" s="210"/>
      <c r="Y103" s="210"/>
      <c r="Z103" s="211"/>
    </row>
    <row r="104" spans="1:26" ht="18" customHeight="1" x14ac:dyDescent="0.15">
      <c r="A104" s="59"/>
      <c r="B104" s="175" t="s">
        <v>207</v>
      </c>
      <c r="C104" s="176"/>
      <c r="D104" s="176"/>
      <c r="E104" s="176"/>
      <c r="F104" s="177"/>
      <c r="G104" s="209" t="s">
        <v>186</v>
      </c>
      <c r="H104" s="210"/>
      <c r="I104" s="210"/>
      <c r="J104" s="210"/>
      <c r="K104" s="210"/>
      <c r="L104" s="210"/>
      <c r="M104" s="211"/>
      <c r="N104" s="175" t="s">
        <v>208</v>
      </c>
      <c r="O104" s="176"/>
      <c r="P104" s="176"/>
      <c r="Q104" s="176"/>
      <c r="R104" s="176"/>
      <c r="S104" s="177"/>
      <c r="T104" s="209" t="s">
        <v>186</v>
      </c>
      <c r="U104" s="210"/>
      <c r="V104" s="210"/>
      <c r="W104" s="210"/>
      <c r="X104" s="210"/>
      <c r="Y104" s="210"/>
      <c r="Z104" s="211"/>
    </row>
    <row r="105" spans="1:26" ht="18" customHeight="1" x14ac:dyDescent="0.15">
      <c r="A105" s="59"/>
      <c r="B105" s="175" t="s">
        <v>211</v>
      </c>
      <c r="C105" s="176"/>
      <c r="D105" s="176"/>
      <c r="E105" s="176"/>
      <c r="F105" s="177"/>
      <c r="G105" s="209" t="s">
        <v>186</v>
      </c>
      <c r="H105" s="210"/>
      <c r="I105" s="210"/>
      <c r="J105" s="210"/>
      <c r="K105" s="210"/>
      <c r="L105" s="210"/>
      <c r="M105" s="211"/>
      <c r="N105" s="175" t="s">
        <v>209</v>
      </c>
      <c r="O105" s="176"/>
      <c r="P105" s="176"/>
      <c r="Q105" s="176"/>
      <c r="R105" s="176"/>
      <c r="S105" s="177"/>
      <c r="T105" s="221" t="s">
        <v>186</v>
      </c>
      <c r="U105" s="222"/>
      <c r="V105" s="222"/>
      <c r="W105" s="222"/>
      <c r="X105" s="222"/>
      <c r="Y105" s="222"/>
      <c r="Z105" s="223"/>
    </row>
    <row r="106" spans="1:26" ht="18" customHeight="1" x14ac:dyDescent="0.15">
      <c r="A106" s="59"/>
      <c r="B106" s="175" t="s">
        <v>225</v>
      </c>
      <c r="C106" s="176"/>
      <c r="D106" s="176"/>
      <c r="E106" s="176"/>
      <c r="F106" s="177"/>
      <c r="G106" s="209" t="s">
        <v>234</v>
      </c>
      <c r="H106" s="210"/>
      <c r="I106" s="210"/>
      <c r="J106" s="210"/>
      <c r="K106" s="210"/>
      <c r="L106" s="210"/>
      <c r="M106" s="211"/>
      <c r="N106" s="175" t="s">
        <v>192</v>
      </c>
      <c r="O106" s="176"/>
      <c r="P106" s="176"/>
      <c r="Q106" s="176"/>
      <c r="R106" s="176"/>
      <c r="S106" s="177"/>
      <c r="T106" s="206" t="s">
        <v>233</v>
      </c>
      <c r="U106" s="207"/>
      <c r="V106" s="207"/>
      <c r="W106" s="207"/>
      <c r="X106" s="207"/>
      <c r="Y106" s="207"/>
      <c r="Z106" s="208"/>
    </row>
    <row r="107" spans="1:26" ht="18" customHeight="1" x14ac:dyDescent="0.15">
      <c r="A107" s="59"/>
      <c r="B107" s="175" t="s">
        <v>191</v>
      </c>
      <c r="C107" s="176"/>
      <c r="D107" s="176"/>
      <c r="E107" s="176"/>
      <c r="F107" s="177"/>
      <c r="G107" s="209" t="s">
        <v>233</v>
      </c>
      <c r="H107" s="210"/>
      <c r="I107" s="210"/>
      <c r="J107" s="210"/>
      <c r="K107" s="210"/>
      <c r="L107" s="210"/>
      <c r="M107" s="211"/>
      <c r="N107" s="175" t="s">
        <v>190</v>
      </c>
      <c r="O107" s="176"/>
      <c r="P107" s="176"/>
      <c r="Q107" s="176"/>
      <c r="R107" s="176"/>
      <c r="S107" s="177"/>
      <c r="T107" s="209" t="s">
        <v>233</v>
      </c>
      <c r="U107" s="210"/>
      <c r="V107" s="210"/>
      <c r="W107" s="210"/>
      <c r="X107" s="210"/>
      <c r="Y107" s="210"/>
      <c r="Z107" s="211"/>
    </row>
    <row r="108" spans="1:26" ht="18" customHeight="1" x14ac:dyDescent="0.15">
      <c r="A108" s="59"/>
      <c r="B108" s="175" t="s">
        <v>203</v>
      </c>
      <c r="C108" s="176"/>
      <c r="D108" s="176"/>
      <c r="E108" s="176"/>
      <c r="F108" s="177"/>
      <c r="G108" s="209" t="s">
        <v>233</v>
      </c>
      <c r="H108" s="210"/>
      <c r="I108" s="210"/>
      <c r="J108" s="210"/>
      <c r="K108" s="210"/>
      <c r="L108" s="210"/>
      <c r="M108" s="211"/>
      <c r="N108" s="175" t="s">
        <v>196</v>
      </c>
      <c r="O108" s="176"/>
      <c r="P108" s="176"/>
      <c r="Q108" s="176"/>
      <c r="R108" s="176"/>
      <c r="S108" s="177"/>
      <c r="T108" s="221" t="s">
        <v>233</v>
      </c>
      <c r="U108" s="222"/>
      <c r="V108" s="222"/>
      <c r="W108" s="222"/>
      <c r="X108" s="222"/>
      <c r="Y108" s="222"/>
      <c r="Z108" s="223"/>
    </row>
    <row r="109" spans="1:26" ht="18" customHeight="1" x14ac:dyDescent="0.15">
      <c r="A109" s="59"/>
      <c r="B109" s="175" t="s">
        <v>204</v>
      </c>
      <c r="C109" s="176"/>
      <c r="D109" s="176"/>
      <c r="E109" s="176"/>
      <c r="F109" s="177"/>
      <c r="G109" s="209" t="s">
        <v>233</v>
      </c>
      <c r="H109" s="210"/>
      <c r="I109" s="210"/>
      <c r="J109" s="210"/>
      <c r="K109" s="210"/>
      <c r="L109" s="210"/>
      <c r="M109" s="211"/>
      <c r="N109" s="175" t="s">
        <v>202</v>
      </c>
      <c r="O109" s="176"/>
      <c r="P109" s="176"/>
      <c r="Q109" s="176"/>
      <c r="R109" s="176"/>
      <c r="S109" s="177"/>
      <c r="T109" s="206" t="s">
        <v>233</v>
      </c>
      <c r="U109" s="207"/>
      <c r="V109" s="207"/>
      <c r="W109" s="207"/>
      <c r="X109" s="207"/>
      <c r="Y109" s="207"/>
      <c r="Z109" s="208"/>
    </row>
    <row r="110" spans="1:26" ht="18" customHeight="1" x14ac:dyDescent="0.15">
      <c r="A110" s="59"/>
      <c r="B110" s="175" t="s">
        <v>205</v>
      </c>
      <c r="C110" s="176"/>
      <c r="D110" s="176"/>
      <c r="E110" s="176"/>
      <c r="F110" s="177"/>
      <c r="G110" s="209" t="s">
        <v>233</v>
      </c>
      <c r="H110" s="210"/>
      <c r="I110" s="210"/>
      <c r="J110" s="210"/>
      <c r="K110" s="210"/>
      <c r="L110" s="210"/>
      <c r="M110" s="211"/>
      <c r="N110" s="175" t="s">
        <v>238</v>
      </c>
      <c r="O110" s="176"/>
      <c r="P110" s="176"/>
      <c r="Q110" s="176"/>
      <c r="R110" s="176"/>
      <c r="S110" s="177"/>
      <c r="T110" s="206" t="s">
        <v>233</v>
      </c>
      <c r="U110" s="207"/>
      <c r="V110" s="207"/>
      <c r="W110" s="207"/>
      <c r="X110" s="207"/>
      <c r="Y110" s="207"/>
      <c r="Z110" s="208"/>
    </row>
    <row r="111" spans="1:26" ht="18" customHeight="1" x14ac:dyDescent="0.15">
      <c r="A111" s="59"/>
      <c r="B111" s="228" t="s">
        <v>277</v>
      </c>
      <c r="C111" s="229"/>
      <c r="D111" s="229"/>
      <c r="E111" s="229"/>
      <c r="F111" s="230"/>
      <c r="G111" s="209" t="s">
        <v>233</v>
      </c>
      <c r="H111" s="210"/>
      <c r="I111" s="210"/>
      <c r="J111" s="210"/>
      <c r="K111" s="210"/>
      <c r="L111" s="210"/>
      <c r="M111" s="211"/>
      <c r="N111" s="175" t="s">
        <v>222</v>
      </c>
      <c r="O111" s="176"/>
      <c r="P111" s="176"/>
      <c r="Q111" s="176"/>
      <c r="R111" s="176"/>
      <c r="S111" s="177"/>
      <c r="T111" s="206" t="s">
        <v>233</v>
      </c>
      <c r="U111" s="207"/>
      <c r="V111" s="207"/>
      <c r="W111" s="207"/>
      <c r="X111" s="207"/>
      <c r="Y111" s="207"/>
      <c r="Z111" s="208"/>
    </row>
    <row r="112" spans="1:26" ht="18" customHeight="1" x14ac:dyDescent="0.15">
      <c r="A112" s="59"/>
      <c r="B112" s="175" t="s">
        <v>213</v>
      </c>
      <c r="C112" s="176"/>
      <c r="D112" s="176"/>
      <c r="E112" s="176"/>
      <c r="F112" s="177"/>
      <c r="G112" s="209" t="s">
        <v>233</v>
      </c>
      <c r="H112" s="210"/>
      <c r="I112" s="210"/>
      <c r="J112" s="210"/>
      <c r="K112" s="210"/>
      <c r="L112" s="210"/>
      <c r="M112" s="211"/>
      <c r="N112" s="175" t="s">
        <v>223</v>
      </c>
      <c r="O112" s="176"/>
      <c r="P112" s="176"/>
      <c r="Q112" s="176"/>
      <c r="R112" s="176"/>
      <c r="S112" s="177"/>
      <c r="T112" s="206" t="s">
        <v>233</v>
      </c>
      <c r="U112" s="207"/>
      <c r="V112" s="207"/>
      <c r="W112" s="207"/>
      <c r="X112" s="207"/>
      <c r="Y112" s="207"/>
      <c r="Z112" s="208"/>
    </row>
    <row r="113" spans="1:26" ht="18" customHeight="1" x14ac:dyDescent="0.15">
      <c r="A113" s="59"/>
      <c r="B113" s="175" t="s">
        <v>188</v>
      </c>
      <c r="C113" s="176"/>
      <c r="D113" s="176"/>
      <c r="E113" s="176"/>
      <c r="F113" s="177"/>
      <c r="G113" s="209" t="s">
        <v>233</v>
      </c>
      <c r="H113" s="210"/>
      <c r="I113" s="210"/>
      <c r="J113" s="210"/>
      <c r="K113" s="210"/>
      <c r="L113" s="210"/>
      <c r="M113" s="211"/>
      <c r="N113" s="175" t="s">
        <v>224</v>
      </c>
      <c r="O113" s="176"/>
      <c r="P113" s="176"/>
      <c r="Q113" s="176"/>
      <c r="R113" s="176"/>
      <c r="S113" s="177"/>
      <c r="T113" s="206" t="s">
        <v>233</v>
      </c>
      <c r="U113" s="207"/>
      <c r="V113" s="207"/>
      <c r="W113" s="207"/>
      <c r="X113" s="207"/>
      <c r="Y113" s="207"/>
      <c r="Z113" s="208"/>
    </row>
    <row r="114" spans="1:26" ht="18" customHeight="1" x14ac:dyDescent="0.15">
      <c r="A114" s="59"/>
      <c r="B114" s="239" t="s">
        <v>189</v>
      </c>
      <c r="C114" s="240"/>
      <c r="D114" s="240"/>
      <c r="E114" s="240"/>
      <c r="F114" s="241"/>
      <c r="G114" s="242" t="s">
        <v>233</v>
      </c>
      <c r="H114" s="243"/>
      <c r="I114" s="243"/>
      <c r="J114" s="243"/>
      <c r="K114" s="243"/>
      <c r="L114" s="243"/>
      <c r="M114" s="244"/>
      <c r="N114" s="239" t="s">
        <v>232</v>
      </c>
      <c r="O114" s="240"/>
      <c r="P114" s="240"/>
      <c r="Q114" s="240"/>
      <c r="R114" s="240"/>
      <c r="S114" s="241"/>
      <c r="T114" s="242" t="s">
        <v>233</v>
      </c>
      <c r="U114" s="243"/>
      <c r="V114" s="243"/>
      <c r="W114" s="243"/>
      <c r="X114" s="243"/>
      <c r="Y114" s="243"/>
      <c r="Z114" s="244"/>
    </row>
    <row r="115" spans="1:26" ht="18" customHeight="1" x14ac:dyDescent="0.15">
      <c r="A115" s="59"/>
      <c r="B115" s="70"/>
      <c r="C115" s="70"/>
      <c r="D115" s="70"/>
      <c r="E115" s="70"/>
      <c r="F115" s="70"/>
      <c r="G115" s="71"/>
      <c r="H115" s="71"/>
      <c r="I115" s="71"/>
      <c r="J115" s="71"/>
      <c r="K115" s="71"/>
      <c r="L115" s="71"/>
      <c r="M115" s="71"/>
      <c r="N115" s="70"/>
      <c r="O115" s="70"/>
      <c r="P115" s="70"/>
      <c r="Q115" s="70"/>
      <c r="R115" s="70"/>
      <c r="S115" s="70"/>
      <c r="T115" s="71"/>
      <c r="U115" s="71"/>
      <c r="V115" s="71"/>
      <c r="W115" s="71"/>
      <c r="X115" s="71"/>
      <c r="Y115" s="71"/>
      <c r="Z115" s="71"/>
    </row>
    <row r="116" spans="1:26" ht="18.75" customHeight="1" x14ac:dyDescent="0.15">
      <c r="A116" s="58" t="s">
        <v>137</v>
      </c>
    </row>
    <row r="117" spans="1:26" ht="18.75" customHeight="1" x14ac:dyDescent="0.15">
      <c r="B117" s="72" t="s">
        <v>98</v>
      </c>
      <c r="C117" s="73"/>
      <c r="D117" s="245" t="s">
        <v>99</v>
      </c>
      <c r="E117" s="245"/>
      <c r="F117" s="245"/>
      <c r="G117" s="245"/>
      <c r="H117" s="245"/>
      <c r="I117" s="245"/>
      <c r="J117" s="245"/>
      <c r="K117" s="245"/>
      <c r="L117" s="245"/>
      <c r="M117" s="245"/>
      <c r="N117" s="245"/>
      <c r="O117" s="245"/>
      <c r="P117" s="245"/>
      <c r="Q117" s="245"/>
      <c r="R117" s="245"/>
      <c r="S117" s="245"/>
      <c r="T117" s="245"/>
      <c r="U117" s="245"/>
      <c r="V117" s="245"/>
      <c r="W117" s="245"/>
      <c r="X117" s="245"/>
      <c r="Y117" s="245"/>
      <c r="Z117" s="246"/>
    </row>
    <row r="118" spans="1:26" ht="78" customHeight="1" x14ac:dyDescent="0.15">
      <c r="B118" s="247" t="s">
        <v>105</v>
      </c>
      <c r="C118" s="74" t="s">
        <v>100</v>
      </c>
      <c r="D118" s="249" t="s">
        <v>244</v>
      </c>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50"/>
    </row>
    <row r="119" spans="1:26" ht="78" customHeight="1" x14ac:dyDescent="0.15">
      <c r="B119" s="248"/>
      <c r="C119" s="75" t="s">
        <v>132</v>
      </c>
      <c r="D119" s="251" t="s">
        <v>245</v>
      </c>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2"/>
    </row>
    <row r="120" spans="1:26" ht="78" customHeight="1" x14ac:dyDescent="0.15">
      <c r="B120" s="231" t="s">
        <v>106</v>
      </c>
      <c r="C120" s="76" t="s">
        <v>122</v>
      </c>
      <c r="D120" s="233" t="s">
        <v>308</v>
      </c>
      <c r="E120" s="233"/>
      <c r="F120" s="233"/>
      <c r="G120" s="233"/>
      <c r="H120" s="233"/>
      <c r="I120" s="233"/>
      <c r="J120" s="233"/>
      <c r="K120" s="233"/>
      <c r="L120" s="233"/>
      <c r="M120" s="233"/>
      <c r="N120" s="233"/>
      <c r="O120" s="233"/>
      <c r="P120" s="233"/>
      <c r="Q120" s="233"/>
      <c r="R120" s="233"/>
      <c r="S120" s="233"/>
      <c r="T120" s="233"/>
      <c r="U120" s="233"/>
      <c r="V120" s="233"/>
      <c r="W120" s="233"/>
      <c r="X120" s="233"/>
      <c r="Y120" s="233"/>
      <c r="Z120" s="234"/>
    </row>
    <row r="121" spans="1:26" ht="78" customHeight="1" x14ac:dyDescent="0.15">
      <c r="B121" s="232"/>
      <c r="C121" s="77" t="s">
        <v>123</v>
      </c>
      <c r="D121" s="235" t="s">
        <v>304</v>
      </c>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6"/>
    </row>
    <row r="122" spans="1:26" ht="78" customHeight="1" x14ac:dyDescent="0.15">
      <c r="B122" s="231" t="s">
        <v>107</v>
      </c>
      <c r="C122" s="76" t="s">
        <v>125</v>
      </c>
      <c r="D122" s="233" t="s">
        <v>250</v>
      </c>
      <c r="E122" s="233"/>
      <c r="F122" s="233"/>
      <c r="G122" s="233"/>
      <c r="H122" s="233"/>
      <c r="I122" s="233"/>
      <c r="J122" s="233"/>
      <c r="K122" s="233"/>
      <c r="L122" s="233"/>
      <c r="M122" s="233"/>
      <c r="N122" s="233"/>
      <c r="O122" s="233"/>
      <c r="P122" s="233"/>
      <c r="Q122" s="233"/>
      <c r="R122" s="233"/>
      <c r="S122" s="233"/>
      <c r="T122" s="233"/>
      <c r="U122" s="233"/>
      <c r="V122" s="233"/>
      <c r="W122" s="233"/>
      <c r="X122" s="233"/>
      <c r="Y122" s="233"/>
      <c r="Z122" s="234"/>
    </row>
    <row r="123" spans="1:26" ht="66" customHeight="1" x14ac:dyDescent="0.15">
      <c r="B123" s="232"/>
      <c r="C123" s="78" t="s">
        <v>126</v>
      </c>
      <c r="D123" s="237" t="s">
        <v>251</v>
      </c>
      <c r="E123" s="237"/>
      <c r="F123" s="237"/>
      <c r="G123" s="237"/>
      <c r="H123" s="237"/>
      <c r="I123" s="237"/>
      <c r="J123" s="237"/>
      <c r="K123" s="237"/>
      <c r="L123" s="237"/>
      <c r="M123" s="237"/>
      <c r="N123" s="237"/>
      <c r="O123" s="237"/>
      <c r="P123" s="237"/>
      <c r="Q123" s="237"/>
      <c r="R123" s="237"/>
      <c r="S123" s="237"/>
      <c r="T123" s="237"/>
      <c r="U123" s="237"/>
      <c r="V123" s="237"/>
      <c r="W123" s="237"/>
      <c r="X123" s="237"/>
      <c r="Y123" s="237"/>
      <c r="Z123" s="238"/>
    </row>
    <row r="124" spans="1:26" ht="66" customHeight="1" x14ac:dyDescent="0.15">
      <c r="B124" s="247" t="s">
        <v>133</v>
      </c>
      <c r="C124" s="74" t="s">
        <v>102</v>
      </c>
      <c r="D124" s="249" t="s">
        <v>309</v>
      </c>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50"/>
    </row>
    <row r="125" spans="1:26" ht="66" customHeight="1" x14ac:dyDescent="0.15">
      <c r="B125" s="265"/>
      <c r="C125" s="79" t="s">
        <v>104</v>
      </c>
      <c r="D125" s="266" t="s">
        <v>310</v>
      </c>
      <c r="E125" s="266"/>
      <c r="F125" s="266"/>
      <c r="G125" s="266"/>
      <c r="H125" s="266"/>
      <c r="I125" s="266"/>
      <c r="J125" s="266"/>
      <c r="K125" s="266"/>
      <c r="L125" s="266"/>
      <c r="M125" s="266"/>
      <c r="N125" s="266"/>
      <c r="O125" s="266"/>
      <c r="P125" s="266"/>
      <c r="Q125" s="266"/>
      <c r="R125" s="266"/>
      <c r="S125" s="266"/>
      <c r="T125" s="266"/>
      <c r="U125" s="266"/>
      <c r="V125" s="266"/>
      <c r="W125" s="266"/>
      <c r="X125" s="266"/>
      <c r="Y125" s="266"/>
      <c r="Z125" s="267"/>
    </row>
    <row r="126" spans="1:26" ht="66" customHeight="1" x14ac:dyDescent="0.15">
      <c r="B126" s="247" t="s">
        <v>134</v>
      </c>
      <c r="C126" s="76" t="s">
        <v>101</v>
      </c>
      <c r="D126" s="233" t="s">
        <v>246</v>
      </c>
      <c r="E126" s="233"/>
      <c r="F126" s="233"/>
      <c r="G126" s="233"/>
      <c r="H126" s="233"/>
      <c r="I126" s="233"/>
      <c r="J126" s="233"/>
      <c r="K126" s="233"/>
      <c r="L126" s="233"/>
      <c r="M126" s="233"/>
      <c r="N126" s="233"/>
      <c r="O126" s="233"/>
      <c r="P126" s="233"/>
      <c r="Q126" s="233"/>
      <c r="R126" s="233"/>
      <c r="S126" s="233"/>
      <c r="T126" s="233"/>
      <c r="U126" s="233"/>
      <c r="V126" s="233"/>
      <c r="W126" s="233"/>
      <c r="X126" s="233"/>
      <c r="Y126" s="233"/>
      <c r="Z126" s="234"/>
    </row>
    <row r="127" spans="1:26" ht="66" customHeight="1" x14ac:dyDescent="0.15">
      <c r="B127" s="248"/>
      <c r="C127" s="79" t="s">
        <v>129</v>
      </c>
      <c r="D127" s="268" t="s">
        <v>247</v>
      </c>
      <c r="E127" s="266"/>
      <c r="F127" s="266"/>
      <c r="G127" s="266"/>
      <c r="H127" s="266"/>
      <c r="I127" s="266"/>
      <c r="J127" s="266"/>
      <c r="K127" s="266"/>
      <c r="L127" s="266"/>
      <c r="M127" s="266"/>
      <c r="N127" s="266"/>
      <c r="O127" s="266"/>
      <c r="P127" s="266"/>
      <c r="Q127" s="266"/>
      <c r="R127" s="266"/>
      <c r="S127" s="266"/>
      <c r="T127" s="266"/>
      <c r="U127" s="266"/>
      <c r="V127" s="266"/>
      <c r="W127" s="266"/>
      <c r="X127" s="266"/>
      <c r="Y127" s="266"/>
      <c r="Z127" s="267"/>
    </row>
    <row r="128" spans="1:26" ht="66" customHeight="1" x14ac:dyDescent="0.15">
      <c r="B128" s="232"/>
      <c r="C128" s="78" t="s">
        <v>130</v>
      </c>
      <c r="D128" s="237" t="s">
        <v>248</v>
      </c>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8"/>
    </row>
    <row r="129" spans="1:26" ht="6" customHeight="1" x14ac:dyDescent="0.15"/>
    <row r="130" spans="1:26" ht="18.75" customHeight="1" x14ac:dyDescent="0.15">
      <c r="A130" s="58" t="s">
        <v>138</v>
      </c>
    </row>
    <row r="131" spans="1:26" ht="18.75" customHeight="1" x14ac:dyDescent="0.15">
      <c r="B131" s="253" t="s">
        <v>307</v>
      </c>
      <c r="C131" s="254"/>
      <c r="D131" s="254"/>
      <c r="E131" s="254"/>
      <c r="F131" s="254"/>
      <c r="G131" s="254"/>
      <c r="H131" s="254"/>
      <c r="I131" s="254"/>
      <c r="J131" s="254"/>
      <c r="K131" s="254"/>
      <c r="L131" s="254"/>
      <c r="M131" s="254"/>
      <c r="N131" s="254"/>
      <c r="O131" s="254"/>
      <c r="P131" s="254"/>
      <c r="Q131" s="254"/>
      <c r="R131" s="254"/>
      <c r="S131" s="254"/>
      <c r="T131" s="254"/>
      <c r="U131" s="254"/>
      <c r="V131" s="254"/>
      <c r="W131" s="254"/>
      <c r="X131" s="254"/>
      <c r="Y131" s="254"/>
      <c r="Z131" s="255"/>
    </row>
    <row r="132" spans="1:26" ht="18.75" customHeight="1" x14ac:dyDescent="0.15">
      <c r="B132" s="256"/>
      <c r="C132" s="257"/>
      <c r="D132" s="257"/>
      <c r="E132" s="257"/>
      <c r="F132" s="257"/>
      <c r="G132" s="257"/>
      <c r="H132" s="257"/>
      <c r="I132" s="257"/>
      <c r="J132" s="257"/>
      <c r="K132" s="257"/>
      <c r="L132" s="257"/>
      <c r="M132" s="257"/>
      <c r="N132" s="257"/>
      <c r="O132" s="257"/>
      <c r="P132" s="257"/>
      <c r="Q132" s="257"/>
      <c r="R132" s="257"/>
      <c r="S132" s="257"/>
      <c r="T132" s="257"/>
      <c r="U132" s="257"/>
      <c r="V132" s="257"/>
      <c r="W132" s="257"/>
      <c r="X132" s="257"/>
      <c r="Y132" s="257"/>
      <c r="Z132" s="258"/>
    </row>
    <row r="133" spans="1:26" ht="18.75" customHeight="1" x14ac:dyDescent="0.15">
      <c r="B133" s="259"/>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1"/>
    </row>
    <row r="134" spans="1:26" ht="6" customHeight="1" x14ac:dyDescent="0.15"/>
    <row r="135" spans="1:26" ht="15" customHeight="1" x14ac:dyDescent="0.15">
      <c r="A135" s="58" t="s">
        <v>139</v>
      </c>
    </row>
    <row r="136" spans="1:26" ht="15" customHeight="1" x14ac:dyDescent="0.15">
      <c r="B136" s="262" t="s">
        <v>249</v>
      </c>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4"/>
    </row>
  </sheetData>
  <mergeCells count="370">
    <mergeCell ref="B131:Z133"/>
    <mergeCell ref="B136:Z136"/>
    <mergeCell ref="B124:B125"/>
    <mergeCell ref="D124:Z124"/>
    <mergeCell ref="D125:Z125"/>
    <mergeCell ref="B126:B128"/>
    <mergeCell ref="D126:Z126"/>
    <mergeCell ref="D127:Z127"/>
    <mergeCell ref="D128:Z128"/>
    <mergeCell ref="B120:B121"/>
    <mergeCell ref="D120:Z120"/>
    <mergeCell ref="D121:Z121"/>
    <mergeCell ref="B122:B123"/>
    <mergeCell ref="D122:Z122"/>
    <mergeCell ref="D123:Z123"/>
    <mergeCell ref="B114:F114"/>
    <mergeCell ref="G114:M114"/>
    <mergeCell ref="N114:S114"/>
    <mergeCell ref="T114:Z114"/>
    <mergeCell ref="D117:Z117"/>
    <mergeCell ref="B118:B119"/>
    <mergeCell ref="D118:Z118"/>
    <mergeCell ref="D119:Z119"/>
    <mergeCell ref="B112:F112"/>
    <mergeCell ref="G112:M112"/>
    <mergeCell ref="N112:S112"/>
    <mergeCell ref="T112:Z112"/>
    <mergeCell ref="B113:F113"/>
    <mergeCell ref="G113:M113"/>
    <mergeCell ref="N113:S113"/>
    <mergeCell ref="T113:Z113"/>
    <mergeCell ref="B110:F110"/>
    <mergeCell ref="G110:M110"/>
    <mergeCell ref="N110:S110"/>
    <mergeCell ref="T110:Z110"/>
    <mergeCell ref="B111:F111"/>
    <mergeCell ref="G111:M111"/>
    <mergeCell ref="N111:S111"/>
    <mergeCell ref="T111:Z111"/>
    <mergeCell ref="B108:F108"/>
    <mergeCell ref="G108:M108"/>
    <mergeCell ref="N108:S108"/>
    <mergeCell ref="T108:Z108"/>
    <mergeCell ref="B109:F109"/>
    <mergeCell ref="G109:M109"/>
    <mergeCell ref="N109:S109"/>
    <mergeCell ref="T109:Z109"/>
    <mergeCell ref="B106:F106"/>
    <mergeCell ref="G106:M106"/>
    <mergeCell ref="N106:S106"/>
    <mergeCell ref="T106:Z106"/>
    <mergeCell ref="B107:F107"/>
    <mergeCell ref="G107:M107"/>
    <mergeCell ref="N107:S107"/>
    <mergeCell ref="T107:Z107"/>
    <mergeCell ref="B104:F104"/>
    <mergeCell ref="G104:M104"/>
    <mergeCell ref="N104:S104"/>
    <mergeCell ref="T104:Z104"/>
    <mergeCell ref="B105:F105"/>
    <mergeCell ref="G105:M105"/>
    <mergeCell ref="N105:S105"/>
    <mergeCell ref="T105:Z105"/>
    <mergeCell ref="B102:F102"/>
    <mergeCell ref="G102:M102"/>
    <mergeCell ref="N102:S102"/>
    <mergeCell ref="T102:Z102"/>
    <mergeCell ref="B103:F103"/>
    <mergeCell ref="G103:M103"/>
    <mergeCell ref="N103:S103"/>
    <mergeCell ref="T103:Z103"/>
    <mergeCell ref="B100:F100"/>
    <mergeCell ref="G100:M100"/>
    <mergeCell ref="N100:S100"/>
    <mergeCell ref="T100:Z100"/>
    <mergeCell ref="B101:F101"/>
    <mergeCell ref="G101:M101"/>
    <mergeCell ref="N101:S101"/>
    <mergeCell ref="T101:Z101"/>
    <mergeCell ref="B98:F98"/>
    <mergeCell ref="G98:M98"/>
    <mergeCell ref="N98:S98"/>
    <mergeCell ref="T98:Z98"/>
    <mergeCell ref="B99:F99"/>
    <mergeCell ref="G99:M99"/>
    <mergeCell ref="N99:S99"/>
    <mergeCell ref="T99:Z99"/>
    <mergeCell ref="B96:F96"/>
    <mergeCell ref="G96:M96"/>
    <mergeCell ref="N96:S96"/>
    <mergeCell ref="T96:Z96"/>
    <mergeCell ref="B97:F97"/>
    <mergeCell ref="G97:M97"/>
    <mergeCell ref="N97:S97"/>
    <mergeCell ref="T97:Z97"/>
    <mergeCell ref="B94:F94"/>
    <mergeCell ref="G94:M94"/>
    <mergeCell ref="N94:S94"/>
    <mergeCell ref="T94:Z94"/>
    <mergeCell ref="B95:F95"/>
    <mergeCell ref="G95:M95"/>
    <mergeCell ref="N95:S95"/>
    <mergeCell ref="T95:Z95"/>
    <mergeCell ref="B92:F92"/>
    <mergeCell ref="G92:M92"/>
    <mergeCell ref="N92:S92"/>
    <mergeCell ref="T92:Z92"/>
    <mergeCell ref="B93:F93"/>
    <mergeCell ref="G93:M93"/>
    <mergeCell ref="N93:S93"/>
    <mergeCell ref="T93:Z93"/>
    <mergeCell ref="B90:F90"/>
    <mergeCell ref="G90:M90"/>
    <mergeCell ref="N90:S90"/>
    <mergeCell ref="T90:Z90"/>
    <mergeCell ref="B91:F91"/>
    <mergeCell ref="G91:M91"/>
    <mergeCell ref="N91:S91"/>
    <mergeCell ref="T91:Z91"/>
    <mergeCell ref="B88:F88"/>
    <mergeCell ref="G88:M88"/>
    <mergeCell ref="N88:S88"/>
    <mergeCell ref="T88:Z88"/>
    <mergeCell ref="B89:F89"/>
    <mergeCell ref="G89:M89"/>
    <mergeCell ref="N89:S89"/>
    <mergeCell ref="T89:Z89"/>
    <mergeCell ref="B86:F86"/>
    <mergeCell ref="G86:M86"/>
    <mergeCell ref="N86:S86"/>
    <mergeCell ref="T86:Z86"/>
    <mergeCell ref="B87:F87"/>
    <mergeCell ref="G87:M87"/>
    <mergeCell ref="N87:S87"/>
    <mergeCell ref="T87:Z87"/>
    <mergeCell ref="B84:F84"/>
    <mergeCell ref="G84:M84"/>
    <mergeCell ref="N84:S84"/>
    <mergeCell ref="T84:Z84"/>
    <mergeCell ref="B85:F85"/>
    <mergeCell ref="G85:M85"/>
    <mergeCell ref="N85:S85"/>
    <mergeCell ref="T85:Z85"/>
    <mergeCell ref="B82:F82"/>
    <mergeCell ref="G82:M82"/>
    <mergeCell ref="N82:S82"/>
    <mergeCell ref="T82:Z82"/>
    <mergeCell ref="B83:F83"/>
    <mergeCell ref="G83:M83"/>
    <mergeCell ref="N83:S83"/>
    <mergeCell ref="T83:Z83"/>
    <mergeCell ref="B80:F80"/>
    <mergeCell ref="G80:M80"/>
    <mergeCell ref="N80:S80"/>
    <mergeCell ref="T80:Z80"/>
    <mergeCell ref="B81:F81"/>
    <mergeCell ref="G81:M81"/>
    <mergeCell ref="N81:S81"/>
    <mergeCell ref="T81:Z81"/>
    <mergeCell ref="B78:F78"/>
    <mergeCell ref="G78:M78"/>
    <mergeCell ref="N78:S78"/>
    <mergeCell ref="T78:Z78"/>
    <mergeCell ref="B79:F79"/>
    <mergeCell ref="G79:M79"/>
    <mergeCell ref="N79:S79"/>
    <mergeCell ref="T79:Z79"/>
    <mergeCell ref="B76:F76"/>
    <mergeCell ref="G76:M76"/>
    <mergeCell ref="N76:S76"/>
    <mergeCell ref="T76:Z76"/>
    <mergeCell ref="B77:F77"/>
    <mergeCell ref="G77:M77"/>
    <mergeCell ref="N77:S77"/>
    <mergeCell ref="T77:Z77"/>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G70:M115 T70:Z115" xr:uid="{B11DAE1A-8FFE-445A-A874-13BBB489AAB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10A8B6C9-3C4D-4DC7-9CD4-F56DD2A34792}">
      <formula1>"学部・学科によって、修了要件は相違する,学部・学科によって、修了要件は相違しない"</formula1>
    </dataValidation>
    <dataValidation type="list" allowBlank="1" showInputMessage="1" showErrorMessage="1" sqref="Z23 Z34 D34:K34 D23:K23 V16:V22 I49:I55 V27:V33 H60:H66 V38:V44 I16:I22 V49:V55 I27:I33 U60:U66 I38:I44" xr:uid="{D6A979EF-9443-4C1B-B9FE-04C0D1411E26}">
      <formula1>"全学開講,一部開講"</formula1>
    </dataValidation>
    <dataValidation type="list" allowBlank="1" showInputMessage="1" showErrorMessage="1" sqref="Y16:Z22 H38:H44 Y27:Z33 L16:M22 L27:M33 Y38:Z44 Y49:Z55 Y60:Z66 K60:L61 L49:M55 U16:U22 T60:T66 U27:U33 H16:H22 U38:U44 H27:H33 U49:U55 G60:G66 L38:M44 H49:H55 M60:M66 L62:L66" xr:uid="{52F1F87D-ACCC-4CD5-A268-014D36A60A2F}">
      <formula1>"○"</formula1>
    </dataValidation>
  </dataValidations>
  <hyperlinks>
    <hyperlink ref="B136" r:id="rId1" xr:uid="{DDB4DB47-50FA-4BB6-98E1-2BD0AFF1A9BA}"/>
  </hyperlinks>
  <printOptions horizontalCentered="1"/>
  <pageMargins left="0.23622047244094491" right="0.23622047244094491" top="0.19685039370078741" bottom="0" header="0" footer="0"/>
  <pageSetup paperSize="9" scale="76" fitToHeight="0"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12205-D590-42A5-8803-0DBDBAD4C739}">
  <dimension ref="A1:T30"/>
  <sheetViews>
    <sheetView view="pageBreakPreview" topLeftCell="A7" zoomScale="115" zoomScaleNormal="100" zoomScaleSheetLayoutView="115" workbookViewId="0">
      <selection activeCell="D14" sqref="D14"/>
    </sheetView>
  </sheetViews>
  <sheetFormatPr defaultColWidth="9" defaultRowHeight="18.75" customHeight="1" x14ac:dyDescent="0.15"/>
  <cols>
    <col min="1" max="1" width="2.625" style="5" customWidth="1"/>
    <col min="2" max="2" width="30" style="5" customWidth="1"/>
    <col min="3" max="17" width="6.125" style="5" customWidth="1"/>
    <col min="18" max="18" width="6.625" style="5" customWidth="1"/>
    <col min="19" max="16384" width="9" style="5"/>
  </cols>
  <sheetData>
    <row r="1" spans="1:20" ht="18" customHeight="1" x14ac:dyDescent="0.15">
      <c r="F1" s="146" t="s">
        <v>62</v>
      </c>
      <c r="G1" s="146"/>
      <c r="H1" s="146"/>
      <c r="I1" s="146"/>
      <c r="J1" s="146"/>
      <c r="K1" s="146"/>
      <c r="L1" s="146"/>
      <c r="M1" s="146"/>
      <c r="N1" s="146"/>
      <c r="O1" s="146"/>
      <c r="P1" s="146"/>
      <c r="Q1" s="146"/>
      <c r="R1" s="146"/>
    </row>
    <row r="2" spans="1:20" ht="18" customHeight="1" x14ac:dyDescent="0.15">
      <c r="A2" s="275" t="s">
        <v>86</v>
      </c>
      <c r="B2" s="275"/>
      <c r="C2" s="275"/>
      <c r="D2" s="275"/>
      <c r="E2" s="275"/>
      <c r="F2" s="275"/>
      <c r="G2" s="275"/>
      <c r="H2" s="275"/>
      <c r="I2" s="275"/>
      <c r="J2" s="275"/>
      <c r="K2" s="275"/>
      <c r="L2" s="275"/>
      <c r="M2" s="275"/>
      <c r="N2" s="275"/>
      <c r="O2" s="275"/>
      <c r="P2" s="275"/>
      <c r="Q2" s="275"/>
      <c r="R2" s="275"/>
    </row>
    <row r="3" spans="1:20" ht="7.5" customHeight="1" x14ac:dyDescent="0.15">
      <c r="A3" s="19"/>
      <c r="B3" s="19"/>
      <c r="C3" s="19"/>
      <c r="D3" s="19"/>
      <c r="E3" s="19"/>
      <c r="F3" s="19"/>
      <c r="G3" s="19"/>
      <c r="H3" s="19"/>
      <c r="I3" s="19"/>
      <c r="J3" s="19"/>
      <c r="K3" s="19"/>
      <c r="L3" s="19"/>
      <c r="M3" s="19"/>
      <c r="N3" s="19"/>
      <c r="O3" s="19"/>
      <c r="P3" s="19"/>
      <c r="Q3" s="19"/>
      <c r="R3" s="19"/>
    </row>
    <row r="4" spans="1:20" ht="18" customHeight="1" x14ac:dyDescent="0.15">
      <c r="A4" s="5" t="s">
        <v>142</v>
      </c>
      <c r="C4" s="276" t="str">
        <f>'様式１　大学等概要'!E12</f>
        <v>令和3</v>
      </c>
      <c r="D4" s="277"/>
      <c r="E4" s="19" t="s">
        <v>92</v>
      </c>
      <c r="F4" s="19"/>
      <c r="G4" s="19"/>
      <c r="H4" s="19"/>
      <c r="I4" s="19"/>
      <c r="J4" s="7"/>
      <c r="K4" s="19"/>
      <c r="L4" s="19"/>
      <c r="M4" s="94"/>
      <c r="N4" s="94"/>
      <c r="O4" s="94"/>
      <c r="P4" s="94"/>
      <c r="Q4" s="94"/>
      <c r="R4" s="94"/>
    </row>
    <row r="5" spans="1:20" ht="6" customHeight="1" x14ac:dyDescent="0.15">
      <c r="A5" s="19"/>
      <c r="B5" s="19"/>
      <c r="C5" s="19"/>
      <c r="D5" s="19"/>
      <c r="E5" s="19"/>
      <c r="F5" s="19"/>
      <c r="G5" s="19"/>
      <c r="H5" s="19"/>
      <c r="I5" s="19"/>
      <c r="J5" s="19"/>
      <c r="K5" s="19"/>
      <c r="L5" s="19"/>
      <c r="M5" s="19"/>
      <c r="N5" s="19"/>
      <c r="O5" s="19"/>
      <c r="P5" s="19"/>
      <c r="Q5" s="19"/>
      <c r="R5" s="19"/>
    </row>
    <row r="6" spans="1:20" ht="18" customHeight="1" x14ac:dyDescent="0.15">
      <c r="A6" s="5" t="s">
        <v>140</v>
      </c>
      <c r="B6" s="19"/>
      <c r="C6" s="19"/>
      <c r="D6" s="19"/>
      <c r="E6" s="19"/>
      <c r="F6" s="19"/>
      <c r="G6" s="19"/>
      <c r="H6" s="19"/>
      <c r="I6" s="19"/>
      <c r="J6" s="19"/>
      <c r="K6" s="19"/>
      <c r="L6" s="19"/>
      <c r="M6" s="19"/>
      <c r="N6" s="19"/>
      <c r="O6" s="19"/>
      <c r="P6" s="19"/>
      <c r="Q6" s="19"/>
      <c r="R6" s="19"/>
    </row>
    <row r="7" spans="1:20" ht="6" customHeight="1" x14ac:dyDescent="0.15">
      <c r="B7" s="19"/>
      <c r="C7" s="19"/>
      <c r="D7" s="19"/>
      <c r="E7" s="19"/>
      <c r="F7" s="19"/>
      <c r="G7" s="19"/>
      <c r="H7" s="19"/>
      <c r="I7" s="19"/>
      <c r="J7" s="19"/>
      <c r="K7" s="19"/>
      <c r="L7" s="19"/>
      <c r="M7" s="19"/>
      <c r="N7" s="19"/>
      <c r="O7" s="19"/>
      <c r="P7" s="19"/>
      <c r="Q7" s="19"/>
      <c r="R7" s="19"/>
    </row>
    <row r="8" spans="1:20" ht="18" customHeight="1" x14ac:dyDescent="0.15">
      <c r="B8" s="278" t="s">
        <v>76</v>
      </c>
      <c r="C8" s="280" t="s">
        <v>81</v>
      </c>
      <c r="D8" s="282" t="s">
        <v>66</v>
      </c>
      <c r="E8" s="284" t="s">
        <v>291</v>
      </c>
      <c r="F8" s="284"/>
      <c r="G8" s="284" t="s">
        <v>87</v>
      </c>
      <c r="H8" s="284"/>
      <c r="I8" s="284" t="s">
        <v>88</v>
      </c>
      <c r="J8" s="284"/>
      <c r="K8" s="269" t="s">
        <v>89</v>
      </c>
      <c r="L8" s="270"/>
      <c r="M8" s="269" t="s">
        <v>90</v>
      </c>
      <c r="N8" s="270"/>
      <c r="O8" s="269" t="s">
        <v>91</v>
      </c>
      <c r="P8" s="270"/>
      <c r="Q8" s="271" t="s">
        <v>61</v>
      </c>
      <c r="R8" s="273" t="s">
        <v>55</v>
      </c>
      <c r="T8" s="99"/>
    </row>
    <row r="9" spans="1:20" ht="18" customHeight="1" x14ac:dyDescent="0.15">
      <c r="B9" s="279"/>
      <c r="C9" s="281"/>
      <c r="D9" s="283"/>
      <c r="E9" s="100" t="s">
        <v>43</v>
      </c>
      <c r="F9" s="101" t="s">
        <v>42</v>
      </c>
      <c r="G9" s="102" t="s">
        <v>43</v>
      </c>
      <c r="H9" s="103" t="s">
        <v>42</v>
      </c>
      <c r="I9" s="100" t="s">
        <v>43</v>
      </c>
      <c r="J9" s="101" t="s">
        <v>42</v>
      </c>
      <c r="K9" s="102" t="s">
        <v>43</v>
      </c>
      <c r="L9" s="103" t="s">
        <v>42</v>
      </c>
      <c r="M9" s="100" t="s">
        <v>43</v>
      </c>
      <c r="N9" s="101" t="s">
        <v>42</v>
      </c>
      <c r="O9" s="102" t="s">
        <v>43</v>
      </c>
      <c r="P9" s="103" t="s">
        <v>42</v>
      </c>
      <c r="Q9" s="272"/>
      <c r="R9" s="274"/>
      <c r="T9" s="99"/>
    </row>
    <row r="10" spans="1:20" ht="18" customHeight="1" x14ac:dyDescent="0.15">
      <c r="A10" s="104"/>
      <c r="B10" s="33" t="s">
        <v>260</v>
      </c>
      <c r="C10" s="24">
        <v>290</v>
      </c>
      <c r="D10" s="25">
        <v>1200</v>
      </c>
      <c r="E10" s="82">
        <v>217</v>
      </c>
      <c r="F10" s="80">
        <v>39</v>
      </c>
      <c r="G10" s="95">
        <v>0</v>
      </c>
      <c r="H10" s="96">
        <v>0</v>
      </c>
      <c r="I10" s="106">
        <v>0</v>
      </c>
      <c r="J10" s="107">
        <v>0</v>
      </c>
      <c r="K10" s="95">
        <v>0</v>
      </c>
      <c r="L10" s="96">
        <v>0</v>
      </c>
      <c r="M10" s="106">
        <v>0</v>
      </c>
      <c r="N10" s="107">
        <v>0</v>
      </c>
      <c r="O10" s="95">
        <v>0</v>
      </c>
      <c r="P10" s="96">
        <v>0</v>
      </c>
      <c r="Q10" s="108">
        <f t="shared" ref="Q10:Q29" si="0">E10+G10+I10+K10+M10+O10</f>
        <v>217</v>
      </c>
      <c r="R10" s="109">
        <f t="shared" ref="R10:R30" si="1">Q10/D10</f>
        <v>0.18083333333333335</v>
      </c>
    </row>
    <row r="11" spans="1:20" ht="18" customHeight="1" x14ac:dyDescent="0.15">
      <c r="A11" s="104"/>
      <c r="B11" s="34" t="s">
        <v>262</v>
      </c>
      <c r="C11" s="27">
        <v>175</v>
      </c>
      <c r="D11" s="26">
        <v>700</v>
      </c>
      <c r="E11" s="83">
        <v>126</v>
      </c>
      <c r="F11" s="81">
        <v>15</v>
      </c>
      <c r="G11" s="97">
        <v>0</v>
      </c>
      <c r="H11" s="98">
        <v>0</v>
      </c>
      <c r="I11" s="113">
        <v>0</v>
      </c>
      <c r="J11" s="114">
        <v>0</v>
      </c>
      <c r="K11" s="97">
        <v>0</v>
      </c>
      <c r="L11" s="98">
        <v>0</v>
      </c>
      <c r="M11" s="113">
        <v>0</v>
      </c>
      <c r="N11" s="114">
        <v>0</v>
      </c>
      <c r="O11" s="97">
        <v>0</v>
      </c>
      <c r="P11" s="98">
        <v>0</v>
      </c>
      <c r="Q11" s="115">
        <f t="shared" si="0"/>
        <v>126</v>
      </c>
      <c r="R11" s="116">
        <f t="shared" si="1"/>
        <v>0.18</v>
      </c>
    </row>
    <row r="12" spans="1:20" ht="18" customHeight="1" x14ac:dyDescent="0.15">
      <c r="A12" s="104"/>
      <c r="B12" s="34" t="s">
        <v>261</v>
      </c>
      <c r="C12" s="27">
        <v>210</v>
      </c>
      <c r="D12" s="26">
        <v>840</v>
      </c>
      <c r="E12" s="83">
        <v>70</v>
      </c>
      <c r="F12" s="81">
        <v>54</v>
      </c>
      <c r="G12" s="97">
        <v>0</v>
      </c>
      <c r="H12" s="98">
        <v>0</v>
      </c>
      <c r="I12" s="113">
        <v>0</v>
      </c>
      <c r="J12" s="114">
        <v>0</v>
      </c>
      <c r="K12" s="97">
        <v>0</v>
      </c>
      <c r="L12" s="98">
        <v>0</v>
      </c>
      <c r="M12" s="113">
        <v>0</v>
      </c>
      <c r="N12" s="114">
        <v>0</v>
      </c>
      <c r="O12" s="97">
        <v>0</v>
      </c>
      <c r="P12" s="98">
        <v>0</v>
      </c>
      <c r="Q12" s="115">
        <f t="shared" si="0"/>
        <v>70</v>
      </c>
      <c r="R12" s="116">
        <f t="shared" si="1"/>
        <v>8.3333333333333329E-2</v>
      </c>
    </row>
    <row r="13" spans="1:20" ht="18" customHeight="1" x14ac:dyDescent="0.15">
      <c r="A13" s="104"/>
      <c r="B13" s="34" t="s">
        <v>263</v>
      </c>
      <c r="C13" s="27">
        <v>173</v>
      </c>
      <c r="D13" s="26">
        <v>958</v>
      </c>
      <c r="E13" s="83">
        <v>115</v>
      </c>
      <c r="F13" s="81">
        <v>9</v>
      </c>
      <c r="G13" s="97">
        <v>0</v>
      </c>
      <c r="H13" s="98">
        <v>0</v>
      </c>
      <c r="I13" s="113">
        <v>0</v>
      </c>
      <c r="J13" s="114">
        <v>0</v>
      </c>
      <c r="K13" s="97">
        <v>0</v>
      </c>
      <c r="L13" s="98">
        <v>0</v>
      </c>
      <c r="M13" s="113">
        <v>0</v>
      </c>
      <c r="N13" s="114">
        <v>0</v>
      </c>
      <c r="O13" s="97">
        <v>0</v>
      </c>
      <c r="P13" s="98">
        <v>0</v>
      </c>
      <c r="Q13" s="115">
        <f t="shared" si="0"/>
        <v>115</v>
      </c>
      <c r="R13" s="116">
        <f t="shared" si="1"/>
        <v>0.12004175365344467</v>
      </c>
    </row>
    <row r="14" spans="1:20" ht="18" customHeight="1" x14ac:dyDescent="0.15">
      <c r="A14" s="104"/>
      <c r="B14" s="34" t="s">
        <v>264</v>
      </c>
      <c r="C14" s="27">
        <v>650</v>
      </c>
      <c r="D14" s="26">
        <v>2600</v>
      </c>
      <c r="E14" s="83">
        <v>464</v>
      </c>
      <c r="F14" s="81">
        <v>399</v>
      </c>
      <c r="G14" s="97">
        <v>0</v>
      </c>
      <c r="H14" s="98">
        <v>0</v>
      </c>
      <c r="I14" s="113">
        <v>0</v>
      </c>
      <c r="J14" s="114">
        <v>0</v>
      </c>
      <c r="K14" s="97">
        <v>0</v>
      </c>
      <c r="L14" s="98">
        <v>0</v>
      </c>
      <c r="M14" s="113">
        <v>0</v>
      </c>
      <c r="N14" s="114">
        <v>0</v>
      </c>
      <c r="O14" s="97">
        <v>0</v>
      </c>
      <c r="P14" s="98">
        <v>0</v>
      </c>
      <c r="Q14" s="115">
        <f t="shared" si="0"/>
        <v>464</v>
      </c>
      <c r="R14" s="116">
        <f t="shared" si="1"/>
        <v>0.17846153846153845</v>
      </c>
    </row>
    <row r="15" spans="1:20" ht="18" customHeight="1" x14ac:dyDescent="0.15">
      <c r="A15" s="104"/>
      <c r="B15" s="34" t="s">
        <v>265</v>
      </c>
      <c r="C15" s="27">
        <v>165</v>
      </c>
      <c r="D15" s="26">
        <v>660</v>
      </c>
      <c r="E15" s="83">
        <v>102</v>
      </c>
      <c r="F15" s="81">
        <v>23</v>
      </c>
      <c r="G15" s="97">
        <v>0</v>
      </c>
      <c r="H15" s="98">
        <v>0</v>
      </c>
      <c r="I15" s="113">
        <v>0</v>
      </c>
      <c r="J15" s="114">
        <v>0</v>
      </c>
      <c r="K15" s="97">
        <v>0</v>
      </c>
      <c r="L15" s="98">
        <v>0</v>
      </c>
      <c r="M15" s="113">
        <v>0</v>
      </c>
      <c r="N15" s="114">
        <v>0</v>
      </c>
      <c r="O15" s="97">
        <v>0</v>
      </c>
      <c r="P15" s="98">
        <v>0</v>
      </c>
      <c r="Q15" s="115">
        <f t="shared" si="0"/>
        <v>102</v>
      </c>
      <c r="R15" s="116">
        <f t="shared" si="1"/>
        <v>0.15454545454545454</v>
      </c>
    </row>
    <row r="16" spans="1:20" ht="18" customHeight="1" x14ac:dyDescent="0.15">
      <c r="A16" s="104"/>
      <c r="B16" s="110"/>
      <c r="C16" s="111"/>
      <c r="D16" s="112"/>
      <c r="E16" s="113"/>
      <c r="F16" s="114"/>
      <c r="G16" s="97"/>
      <c r="H16" s="98"/>
      <c r="I16" s="113"/>
      <c r="J16" s="114"/>
      <c r="K16" s="97"/>
      <c r="L16" s="98"/>
      <c r="M16" s="113"/>
      <c r="N16" s="114"/>
      <c r="O16" s="97"/>
      <c r="P16" s="98"/>
      <c r="Q16" s="115">
        <f t="shared" si="0"/>
        <v>0</v>
      </c>
      <c r="R16" s="116" t="e">
        <f t="shared" si="1"/>
        <v>#DIV/0!</v>
      </c>
    </row>
    <row r="17" spans="1:18" ht="18" customHeight="1" x14ac:dyDescent="0.15">
      <c r="A17" s="104"/>
      <c r="B17" s="110"/>
      <c r="C17" s="111"/>
      <c r="D17" s="112"/>
      <c r="E17" s="113"/>
      <c r="F17" s="114"/>
      <c r="G17" s="97"/>
      <c r="H17" s="98"/>
      <c r="I17" s="113"/>
      <c r="J17" s="114"/>
      <c r="K17" s="97"/>
      <c r="L17" s="98"/>
      <c r="M17" s="113"/>
      <c r="N17" s="114"/>
      <c r="O17" s="97"/>
      <c r="P17" s="98"/>
      <c r="Q17" s="115">
        <f t="shared" si="0"/>
        <v>0</v>
      </c>
      <c r="R17" s="116" t="e">
        <f t="shared" si="1"/>
        <v>#DIV/0!</v>
      </c>
    </row>
    <row r="18" spans="1:18" ht="18" customHeight="1" x14ac:dyDescent="0.15">
      <c r="A18" s="104"/>
      <c r="B18" s="110"/>
      <c r="C18" s="111"/>
      <c r="D18" s="112"/>
      <c r="E18" s="113"/>
      <c r="F18" s="114"/>
      <c r="G18" s="97"/>
      <c r="H18" s="98"/>
      <c r="I18" s="113"/>
      <c r="J18" s="114"/>
      <c r="K18" s="97"/>
      <c r="L18" s="98"/>
      <c r="M18" s="113"/>
      <c r="N18" s="114"/>
      <c r="O18" s="97"/>
      <c r="P18" s="98"/>
      <c r="Q18" s="115">
        <f t="shared" si="0"/>
        <v>0</v>
      </c>
      <c r="R18" s="116" t="e">
        <f t="shared" si="1"/>
        <v>#DIV/0!</v>
      </c>
    </row>
    <row r="19" spans="1:18" ht="18" customHeight="1" x14ac:dyDescent="0.15">
      <c r="A19" s="104"/>
      <c r="B19" s="110"/>
      <c r="C19" s="111"/>
      <c r="D19" s="112"/>
      <c r="E19" s="113"/>
      <c r="F19" s="114"/>
      <c r="G19" s="97"/>
      <c r="H19" s="98"/>
      <c r="I19" s="113"/>
      <c r="J19" s="114"/>
      <c r="K19" s="97"/>
      <c r="L19" s="98"/>
      <c r="M19" s="113"/>
      <c r="N19" s="114"/>
      <c r="O19" s="97"/>
      <c r="P19" s="98"/>
      <c r="Q19" s="115">
        <f t="shared" si="0"/>
        <v>0</v>
      </c>
      <c r="R19" s="116" t="e">
        <f t="shared" si="1"/>
        <v>#DIV/0!</v>
      </c>
    </row>
    <row r="20" spans="1:18" ht="18" customHeight="1" x14ac:dyDescent="0.15">
      <c r="A20" s="104"/>
      <c r="B20" s="110"/>
      <c r="C20" s="111"/>
      <c r="D20" s="112"/>
      <c r="E20" s="113"/>
      <c r="F20" s="114"/>
      <c r="G20" s="97"/>
      <c r="H20" s="98"/>
      <c r="I20" s="113"/>
      <c r="J20" s="114"/>
      <c r="K20" s="97"/>
      <c r="L20" s="98"/>
      <c r="M20" s="113"/>
      <c r="N20" s="114"/>
      <c r="O20" s="97"/>
      <c r="P20" s="98"/>
      <c r="Q20" s="115">
        <f t="shared" si="0"/>
        <v>0</v>
      </c>
      <c r="R20" s="116" t="e">
        <f t="shared" si="1"/>
        <v>#DIV/0!</v>
      </c>
    </row>
    <row r="21" spans="1:18" ht="18" customHeight="1" x14ac:dyDescent="0.15">
      <c r="A21" s="104"/>
      <c r="B21" s="110"/>
      <c r="C21" s="111"/>
      <c r="D21" s="112"/>
      <c r="E21" s="113"/>
      <c r="F21" s="114"/>
      <c r="G21" s="97"/>
      <c r="H21" s="98"/>
      <c r="I21" s="113"/>
      <c r="J21" s="114"/>
      <c r="K21" s="97"/>
      <c r="L21" s="98"/>
      <c r="M21" s="113"/>
      <c r="N21" s="114"/>
      <c r="O21" s="97"/>
      <c r="P21" s="98"/>
      <c r="Q21" s="115">
        <f t="shared" si="0"/>
        <v>0</v>
      </c>
      <c r="R21" s="116" t="e">
        <f t="shared" si="1"/>
        <v>#DIV/0!</v>
      </c>
    </row>
    <row r="22" spans="1:18" ht="18" customHeight="1" x14ac:dyDescent="0.15">
      <c r="A22" s="104"/>
      <c r="B22" s="110"/>
      <c r="C22" s="111"/>
      <c r="D22" s="112"/>
      <c r="E22" s="113"/>
      <c r="F22" s="114"/>
      <c r="G22" s="97"/>
      <c r="H22" s="98"/>
      <c r="I22" s="113"/>
      <c r="J22" s="114"/>
      <c r="K22" s="97"/>
      <c r="L22" s="98"/>
      <c r="M22" s="113"/>
      <c r="N22" s="114"/>
      <c r="O22" s="97"/>
      <c r="P22" s="98"/>
      <c r="Q22" s="115">
        <f t="shared" si="0"/>
        <v>0</v>
      </c>
      <c r="R22" s="116" t="e">
        <f t="shared" si="1"/>
        <v>#DIV/0!</v>
      </c>
    </row>
    <row r="23" spans="1:18" ht="18" customHeight="1" x14ac:dyDescent="0.15">
      <c r="A23" s="104"/>
      <c r="B23" s="110"/>
      <c r="C23" s="111"/>
      <c r="D23" s="112"/>
      <c r="E23" s="113"/>
      <c r="F23" s="114"/>
      <c r="G23" s="97"/>
      <c r="H23" s="98"/>
      <c r="I23" s="113"/>
      <c r="J23" s="114"/>
      <c r="K23" s="97"/>
      <c r="L23" s="98"/>
      <c r="M23" s="113"/>
      <c r="N23" s="114"/>
      <c r="O23" s="97"/>
      <c r="P23" s="98"/>
      <c r="Q23" s="115">
        <f t="shared" si="0"/>
        <v>0</v>
      </c>
      <c r="R23" s="116" t="e">
        <f t="shared" si="1"/>
        <v>#DIV/0!</v>
      </c>
    </row>
    <row r="24" spans="1:18" ht="18" customHeight="1" x14ac:dyDescent="0.15">
      <c r="A24" s="104"/>
      <c r="B24" s="110"/>
      <c r="C24" s="111"/>
      <c r="D24" s="112"/>
      <c r="E24" s="113"/>
      <c r="F24" s="114"/>
      <c r="G24" s="97"/>
      <c r="H24" s="98"/>
      <c r="I24" s="113"/>
      <c r="J24" s="114"/>
      <c r="K24" s="97"/>
      <c r="L24" s="98"/>
      <c r="M24" s="113"/>
      <c r="N24" s="114"/>
      <c r="O24" s="97"/>
      <c r="P24" s="98"/>
      <c r="Q24" s="115">
        <f t="shared" si="0"/>
        <v>0</v>
      </c>
      <c r="R24" s="116" t="e">
        <f t="shared" si="1"/>
        <v>#DIV/0!</v>
      </c>
    </row>
    <row r="25" spans="1:18" ht="18" customHeight="1" x14ac:dyDescent="0.15">
      <c r="A25" s="104"/>
      <c r="B25" s="110"/>
      <c r="C25" s="111"/>
      <c r="D25" s="112"/>
      <c r="E25" s="113"/>
      <c r="F25" s="114"/>
      <c r="G25" s="97"/>
      <c r="H25" s="98"/>
      <c r="I25" s="113"/>
      <c r="J25" s="114"/>
      <c r="K25" s="97"/>
      <c r="L25" s="98"/>
      <c r="M25" s="113"/>
      <c r="N25" s="114"/>
      <c r="O25" s="97"/>
      <c r="P25" s="98"/>
      <c r="Q25" s="115">
        <f t="shared" si="0"/>
        <v>0</v>
      </c>
      <c r="R25" s="116" t="e">
        <f t="shared" si="1"/>
        <v>#DIV/0!</v>
      </c>
    </row>
    <row r="26" spans="1:18" ht="18" customHeight="1" x14ac:dyDescent="0.15">
      <c r="A26" s="104"/>
      <c r="B26" s="110"/>
      <c r="C26" s="111"/>
      <c r="D26" s="112"/>
      <c r="E26" s="113"/>
      <c r="F26" s="114"/>
      <c r="G26" s="97"/>
      <c r="H26" s="98"/>
      <c r="I26" s="113"/>
      <c r="J26" s="114"/>
      <c r="K26" s="97"/>
      <c r="L26" s="98"/>
      <c r="M26" s="113"/>
      <c r="N26" s="114"/>
      <c r="O26" s="97"/>
      <c r="P26" s="98"/>
      <c r="Q26" s="115">
        <f t="shared" si="0"/>
        <v>0</v>
      </c>
      <c r="R26" s="116" t="e">
        <f t="shared" si="1"/>
        <v>#DIV/0!</v>
      </c>
    </row>
    <row r="27" spans="1:18" ht="18" customHeight="1" x14ac:dyDescent="0.15">
      <c r="A27" s="104"/>
      <c r="B27" s="110"/>
      <c r="C27" s="117"/>
      <c r="D27" s="112"/>
      <c r="E27" s="113"/>
      <c r="F27" s="114"/>
      <c r="G27" s="97"/>
      <c r="H27" s="98"/>
      <c r="I27" s="113"/>
      <c r="J27" s="114"/>
      <c r="K27" s="97"/>
      <c r="L27" s="98"/>
      <c r="M27" s="113"/>
      <c r="N27" s="114"/>
      <c r="O27" s="97"/>
      <c r="P27" s="98"/>
      <c r="Q27" s="115">
        <f t="shared" si="0"/>
        <v>0</v>
      </c>
      <c r="R27" s="116" t="e">
        <f t="shared" si="1"/>
        <v>#DIV/0!</v>
      </c>
    </row>
    <row r="28" spans="1:18" ht="18" customHeight="1" x14ac:dyDescent="0.15">
      <c r="A28" s="104"/>
      <c r="B28" s="110"/>
      <c r="C28" s="117"/>
      <c r="D28" s="112"/>
      <c r="E28" s="113"/>
      <c r="F28" s="114"/>
      <c r="G28" s="97"/>
      <c r="H28" s="98"/>
      <c r="I28" s="113"/>
      <c r="J28" s="114"/>
      <c r="K28" s="97"/>
      <c r="L28" s="98"/>
      <c r="M28" s="113"/>
      <c r="N28" s="114"/>
      <c r="O28" s="97"/>
      <c r="P28" s="98"/>
      <c r="Q28" s="115">
        <f t="shared" si="0"/>
        <v>0</v>
      </c>
      <c r="R28" s="116" t="e">
        <f t="shared" si="1"/>
        <v>#DIV/0!</v>
      </c>
    </row>
    <row r="29" spans="1:18" ht="18" customHeight="1" thickBot="1" x14ac:dyDescent="0.2">
      <c r="A29" s="104"/>
      <c r="B29" s="118"/>
      <c r="C29" s="29"/>
      <c r="D29" s="105"/>
      <c r="E29" s="106"/>
      <c r="F29" s="107"/>
      <c r="G29" s="95"/>
      <c r="H29" s="96"/>
      <c r="I29" s="106"/>
      <c r="J29" s="107"/>
      <c r="K29" s="95"/>
      <c r="L29" s="96"/>
      <c r="M29" s="106"/>
      <c r="N29" s="107"/>
      <c r="O29" s="95"/>
      <c r="P29" s="96"/>
      <c r="Q29" s="119">
        <f t="shared" si="0"/>
        <v>0</v>
      </c>
      <c r="R29" s="109" t="e">
        <f t="shared" si="1"/>
        <v>#DIV/0!</v>
      </c>
    </row>
    <row r="30" spans="1:18" ht="18" customHeight="1" thickTop="1" x14ac:dyDescent="0.15">
      <c r="B30" s="120" t="s">
        <v>56</v>
      </c>
      <c r="C30" s="121">
        <f t="shared" ref="C30:Q30" si="2">SUM(C10:C29)</f>
        <v>1663</v>
      </c>
      <c r="D30" s="122">
        <f t="shared" si="2"/>
        <v>6958</v>
      </c>
      <c r="E30" s="123">
        <f t="shared" si="2"/>
        <v>1094</v>
      </c>
      <c r="F30" s="124">
        <f t="shared" si="2"/>
        <v>539</v>
      </c>
      <c r="G30" s="125">
        <f t="shared" si="2"/>
        <v>0</v>
      </c>
      <c r="H30" s="126">
        <f t="shared" si="2"/>
        <v>0</v>
      </c>
      <c r="I30" s="123">
        <f t="shared" si="2"/>
        <v>0</v>
      </c>
      <c r="J30" s="124">
        <f t="shared" si="2"/>
        <v>0</v>
      </c>
      <c r="K30" s="125">
        <f t="shared" si="2"/>
        <v>0</v>
      </c>
      <c r="L30" s="126">
        <f t="shared" si="2"/>
        <v>0</v>
      </c>
      <c r="M30" s="123">
        <f t="shared" si="2"/>
        <v>0</v>
      </c>
      <c r="N30" s="124">
        <f t="shared" si="2"/>
        <v>0</v>
      </c>
      <c r="O30" s="125">
        <f t="shared" si="2"/>
        <v>0</v>
      </c>
      <c r="P30" s="126">
        <f t="shared" si="2"/>
        <v>0</v>
      </c>
      <c r="Q30" s="127">
        <f t="shared" si="2"/>
        <v>1094</v>
      </c>
      <c r="R30" s="128">
        <f t="shared" si="1"/>
        <v>0.15722908881862604</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M144"/>
  <sheetViews>
    <sheetView showZeros="0" view="pageBreakPreview" topLeftCell="A108" zoomScaleNormal="100" zoomScaleSheetLayoutView="100" workbookViewId="0">
      <selection activeCell="N42" sqref="N42"/>
    </sheetView>
  </sheetViews>
  <sheetFormatPr defaultColWidth="11.375" defaultRowHeight="18.75" customHeight="1" x14ac:dyDescent="0.15"/>
  <cols>
    <col min="1" max="1" width="2.625" style="84" customWidth="1"/>
    <col min="2" max="2" width="16.625" style="5" customWidth="1"/>
    <col min="3" max="3" width="8.875" style="5" customWidth="1"/>
    <col min="4" max="4" width="2.375" style="5" customWidth="1"/>
    <col min="5" max="5" width="16.625" style="5" customWidth="1"/>
    <col min="6" max="6" width="8.875" style="5" customWidth="1"/>
    <col min="7" max="7" width="2.375" style="5" customWidth="1"/>
    <col min="8" max="8" width="16.625" style="5" customWidth="1"/>
    <col min="9" max="9" width="8.875" style="5" customWidth="1"/>
    <col min="10" max="10" width="2.375" style="5" customWidth="1"/>
    <col min="11" max="16384" width="11.375" style="5"/>
  </cols>
  <sheetData>
    <row r="1" spans="1:13" ht="18.75" customHeight="1" x14ac:dyDescent="0.15">
      <c r="A1" s="84" t="s">
        <v>109</v>
      </c>
      <c r="J1" s="51" t="s">
        <v>110</v>
      </c>
    </row>
    <row r="2" spans="1:13" ht="18.75" customHeight="1" x14ac:dyDescent="0.15">
      <c r="A2" s="275" t="s">
        <v>63</v>
      </c>
      <c r="B2" s="275"/>
      <c r="C2" s="275"/>
      <c r="D2" s="275"/>
      <c r="E2" s="275"/>
      <c r="F2" s="275"/>
      <c r="G2" s="275"/>
      <c r="H2" s="275"/>
      <c r="I2" s="275"/>
      <c r="J2" s="275"/>
    </row>
    <row r="3" spans="1:13" ht="7.5" customHeight="1" x14ac:dyDescent="0.15">
      <c r="B3" s="19"/>
      <c r="C3" s="19"/>
      <c r="D3" s="19"/>
      <c r="E3" s="19"/>
      <c r="F3" s="19"/>
      <c r="G3" s="19"/>
      <c r="H3" s="19"/>
      <c r="I3" s="19"/>
      <c r="J3" s="19"/>
    </row>
    <row r="4" spans="1:13" ht="18.75" customHeight="1" x14ac:dyDescent="0.15">
      <c r="A4" s="5" t="s">
        <v>6</v>
      </c>
      <c r="B4" s="5" t="s">
        <v>69</v>
      </c>
      <c r="I4" s="19"/>
      <c r="J4" s="19"/>
    </row>
    <row r="5" spans="1:13" ht="18.75" customHeight="1" x14ac:dyDescent="0.15">
      <c r="A5" s="5"/>
      <c r="B5" s="141" t="s">
        <v>284</v>
      </c>
      <c r="C5" s="142"/>
      <c r="D5" s="142"/>
      <c r="E5" s="142"/>
      <c r="F5" s="142"/>
      <c r="G5" s="142"/>
      <c r="H5" s="142"/>
      <c r="I5" s="142"/>
      <c r="J5" s="294"/>
      <c r="K5" s="5" t="str">
        <f>IF(B5="","入力してください","")</f>
        <v/>
      </c>
    </row>
    <row r="6" spans="1:13" ht="7.5" customHeight="1" x14ac:dyDescent="0.15">
      <c r="B6" s="19"/>
      <c r="C6" s="19"/>
      <c r="D6" s="19"/>
      <c r="E6" s="19"/>
      <c r="F6" s="19"/>
      <c r="G6" s="19"/>
      <c r="H6" s="19"/>
      <c r="I6" s="19"/>
      <c r="J6" s="19"/>
    </row>
    <row r="7" spans="1:13" ht="18.75" customHeight="1" x14ac:dyDescent="0.15">
      <c r="A7" s="5" t="s">
        <v>9</v>
      </c>
      <c r="B7" s="5" t="s">
        <v>38</v>
      </c>
      <c r="K7" s="6"/>
    </row>
    <row r="8" spans="1:13" ht="18.75" customHeight="1" x14ac:dyDescent="0.15">
      <c r="A8" s="30"/>
      <c r="B8" s="295" t="s">
        <v>292</v>
      </c>
      <c r="C8" s="296"/>
      <c r="D8" s="296"/>
      <c r="E8" s="296"/>
      <c r="F8" s="296"/>
      <c r="G8" s="296"/>
      <c r="H8" s="296"/>
      <c r="I8" s="297"/>
      <c r="J8" s="298"/>
      <c r="K8" s="5" t="str">
        <f>IF(B8="","入力してください","")</f>
        <v/>
      </c>
    </row>
    <row r="9" spans="1:13" ht="18.75" customHeight="1" x14ac:dyDescent="0.15">
      <c r="A9" s="30"/>
      <c r="B9" s="288"/>
      <c r="C9" s="289"/>
      <c r="D9" s="289"/>
      <c r="E9" s="289"/>
      <c r="F9" s="289"/>
      <c r="G9" s="289"/>
      <c r="H9" s="289"/>
      <c r="I9" s="289"/>
      <c r="J9" s="290"/>
    </row>
    <row r="10" spans="1:13" ht="18.75" customHeight="1" x14ac:dyDescent="0.15">
      <c r="A10" s="30"/>
      <c r="B10" s="288"/>
      <c r="C10" s="289"/>
      <c r="D10" s="289"/>
      <c r="E10" s="289"/>
      <c r="F10" s="289"/>
      <c r="G10" s="289"/>
      <c r="H10" s="289"/>
      <c r="I10" s="289"/>
      <c r="J10" s="290"/>
    </row>
    <row r="11" spans="1:13" ht="18.75" customHeight="1" x14ac:dyDescent="0.15">
      <c r="A11" s="30"/>
      <c r="B11" s="288"/>
      <c r="C11" s="289"/>
      <c r="D11" s="289"/>
      <c r="E11" s="289"/>
      <c r="F11" s="289"/>
      <c r="G11" s="289"/>
      <c r="H11" s="289"/>
      <c r="I11" s="289"/>
      <c r="J11" s="290"/>
    </row>
    <row r="12" spans="1:13" ht="18.75" customHeight="1" x14ac:dyDescent="0.15">
      <c r="A12" s="30"/>
      <c r="B12" s="291"/>
      <c r="C12" s="292"/>
      <c r="D12" s="292"/>
      <c r="E12" s="292"/>
      <c r="F12" s="292"/>
      <c r="G12" s="292"/>
      <c r="H12" s="292"/>
      <c r="I12" s="292"/>
      <c r="J12" s="293"/>
    </row>
    <row r="13" spans="1:13" ht="7.5" customHeight="1" x14ac:dyDescent="0.15">
      <c r="A13" s="30"/>
      <c r="B13" s="30"/>
      <c r="C13" s="30"/>
      <c r="D13" s="30"/>
      <c r="E13" s="30"/>
      <c r="F13" s="30"/>
      <c r="G13" s="30"/>
      <c r="H13" s="30"/>
      <c r="I13" s="30"/>
      <c r="J13" s="30"/>
    </row>
    <row r="14" spans="1:13" ht="18.75" customHeight="1" x14ac:dyDescent="0.15">
      <c r="A14" s="54" t="s">
        <v>10</v>
      </c>
      <c r="B14" s="54" t="s">
        <v>15</v>
      </c>
      <c r="C14" s="54"/>
      <c r="D14" s="54"/>
      <c r="E14" s="54"/>
      <c r="F14" s="54"/>
      <c r="G14" s="54"/>
      <c r="H14" s="54"/>
      <c r="I14" s="54"/>
      <c r="J14" s="54"/>
    </row>
    <row r="15" spans="1:13" ht="23.25" customHeight="1" x14ac:dyDescent="0.15">
      <c r="A15" s="30"/>
      <c r="B15" s="295" t="s">
        <v>315</v>
      </c>
      <c r="C15" s="296"/>
      <c r="D15" s="296"/>
      <c r="E15" s="296"/>
      <c r="F15" s="296"/>
      <c r="G15" s="296"/>
      <c r="H15" s="296"/>
      <c r="I15" s="297"/>
      <c r="J15" s="298"/>
      <c r="K15" s="5" t="str">
        <f>IF(B15="","入力してください","")</f>
        <v/>
      </c>
    </row>
    <row r="16" spans="1:13" ht="23.25" customHeight="1" x14ac:dyDescent="0.15">
      <c r="A16" s="30"/>
      <c r="B16" s="299"/>
      <c r="C16" s="300"/>
      <c r="D16" s="300"/>
      <c r="E16" s="300"/>
      <c r="F16" s="300"/>
      <c r="G16" s="300"/>
      <c r="H16" s="300"/>
      <c r="I16" s="300"/>
      <c r="J16" s="301"/>
      <c r="K16" s="28"/>
      <c r="L16" s="28"/>
      <c r="M16" s="28"/>
    </row>
    <row r="17" spans="1:11" ht="23.25" customHeight="1" x14ac:dyDescent="0.15">
      <c r="A17" s="30"/>
      <c r="B17" s="288"/>
      <c r="C17" s="289"/>
      <c r="D17" s="289"/>
      <c r="E17" s="289"/>
      <c r="F17" s="289"/>
      <c r="G17" s="289"/>
      <c r="H17" s="289"/>
      <c r="I17" s="289"/>
      <c r="J17" s="290"/>
    </row>
    <row r="18" spans="1:11" ht="23.25" customHeight="1" x14ac:dyDescent="0.15">
      <c r="A18" s="30"/>
      <c r="B18" s="288"/>
      <c r="C18" s="289"/>
      <c r="D18" s="289"/>
      <c r="E18" s="289"/>
      <c r="F18" s="289"/>
      <c r="G18" s="289"/>
      <c r="H18" s="289"/>
      <c r="I18" s="289"/>
      <c r="J18" s="290"/>
    </row>
    <row r="19" spans="1:11" ht="23.25" customHeight="1" x14ac:dyDescent="0.15">
      <c r="A19" s="30"/>
      <c r="B19" s="288"/>
      <c r="C19" s="289"/>
      <c r="D19" s="289"/>
      <c r="E19" s="289"/>
      <c r="F19" s="289"/>
      <c r="G19" s="289"/>
      <c r="H19" s="289"/>
      <c r="I19" s="289"/>
      <c r="J19" s="290"/>
    </row>
    <row r="20" spans="1:11" ht="23.25" customHeight="1" x14ac:dyDescent="0.15">
      <c r="A20" s="30"/>
      <c r="B20" s="288"/>
      <c r="C20" s="289"/>
      <c r="D20" s="289"/>
      <c r="E20" s="289"/>
      <c r="F20" s="289"/>
      <c r="G20" s="289"/>
      <c r="H20" s="289"/>
      <c r="I20" s="289"/>
      <c r="J20" s="290"/>
    </row>
    <row r="21" spans="1:11" ht="23.25" customHeight="1" x14ac:dyDescent="0.15">
      <c r="A21" s="30"/>
      <c r="B21" s="288"/>
      <c r="C21" s="289"/>
      <c r="D21" s="289"/>
      <c r="E21" s="289"/>
      <c r="F21" s="289"/>
      <c r="G21" s="289"/>
      <c r="H21" s="289"/>
      <c r="I21" s="289"/>
      <c r="J21" s="290"/>
    </row>
    <row r="22" spans="1:11" ht="23.25" customHeight="1" x14ac:dyDescent="0.15">
      <c r="A22" s="30"/>
      <c r="B22" s="288"/>
      <c r="C22" s="289"/>
      <c r="D22" s="289"/>
      <c r="E22" s="289"/>
      <c r="F22" s="289"/>
      <c r="G22" s="289"/>
      <c r="H22" s="289"/>
      <c r="I22" s="289"/>
      <c r="J22" s="290"/>
    </row>
    <row r="23" spans="1:11" ht="23.25" customHeight="1" x14ac:dyDescent="0.15">
      <c r="A23" s="30"/>
      <c r="B23" s="288"/>
      <c r="C23" s="289"/>
      <c r="D23" s="289"/>
      <c r="E23" s="289"/>
      <c r="F23" s="289"/>
      <c r="G23" s="289"/>
      <c r="H23" s="289"/>
      <c r="I23" s="289"/>
      <c r="J23" s="290"/>
    </row>
    <row r="24" spans="1:11" ht="23.25" customHeight="1" x14ac:dyDescent="0.15">
      <c r="A24" s="30"/>
      <c r="B24" s="288"/>
      <c r="C24" s="289"/>
      <c r="D24" s="289"/>
      <c r="E24" s="289"/>
      <c r="F24" s="289"/>
      <c r="G24" s="289"/>
      <c r="H24" s="289"/>
      <c r="I24" s="289"/>
      <c r="J24" s="290"/>
    </row>
    <row r="25" spans="1:11" ht="34.9" customHeight="1" x14ac:dyDescent="0.15">
      <c r="A25" s="30"/>
      <c r="B25" s="291"/>
      <c r="C25" s="292"/>
      <c r="D25" s="292"/>
      <c r="E25" s="292"/>
      <c r="F25" s="292"/>
      <c r="G25" s="292"/>
      <c r="H25" s="292"/>
      <c r="I25" s="292"/>
      <c r="J25" s="293"/>
    </row>
    <row r="26" spans="1:11" ht="7.5" customHeight="1" x14ac:dyDescent="0.15">
      <c r="A26" s="85"/>
      <c r="B26" s="85"/>
      <c r="C26" s="85"/>
      <c r="D26" s="85"/>
      <c r="E26" s="85"/>
      <c r="F26" s="85"/>
      <c r="G26" s="85"/>
      <c r="H26" s="85"/>
      <c r="I26" s="85"/>
      <c r="J26" s="85"/>
    </row>
    <row r="27" spans="1:11" ht="18.75" customHeight="1" x14ac:dyDescent="0.15">
      <c r="A27" s="5" t="s">
        <v>13</v>
      </c>
      <c r="B27" s="5" t="s">
        <v>26</v>
      </c>
    </row>
    <row r="28" spans="1:11" s="19" customFormat="1" ht="18.75" customHeight="1" x14ac:dyDescent="0.15">
      <c r="B28" s="35" t="s">
        <v>111</v>
      </c>
      <c r="C28" s="36">
        <f>'様式３　履修者等数の実績'!R30</f>
        <v>0.15722908881862604</v>
      </c>
      <c r="D28" s="37"/>
      <c r="E28" s="37" t="s">
        <v>112</v>
      </c>
      <c r="F28" s="36">
        <v>0.32</v>
      </c>
      <c r="G28" s="37"/>
      <c r="H28" s="37" t="s">
        <v>113</v>
      </c>
      <c r="I28" s="36">
        <v>0.56000000000000005</v>
      </c>
      <c r="J28" s="57"/>
      <c r="K28" s="5"/>
    </row>
    <row r="29" spans="1:11" s="19" customFormat="1" ht="18.75" customHeight="1" x14ac:dyDescent="0.15">
      <c r="B29" s="31" t="s">
        <v>114</v>
      </c>
      <c r="C29" s="93">
        <v>0.8</v>
      </c>
      <c r="D29" s="32"/>
      <c r="E29" s="32" t="s">
        <v>115</v>
      </c>
      <c r="F29" s="93">
        <f>1</f>
        <v>1</v>
      </c>
      <c r="G29" s="32"/>
      <c r="H29" s="32" t="s">
        <v>116</v>
      </c>
      <c r="I29" s="38">
        <f>'様式３　履修者等数の実績'!D30</f>
        <v>6958</v>
      </c>
      <c r="J29" s="39"/>
      <c r="K29" s="6"/>
    </row>
    <row r="30" spans="1:11" ht="18.75" customHeight="1" x14ac:dyDescent="0.15">
      <c r="A30" s="5"/>
      <c r="B30" s="302" t="s">
        <v>117</v>
      </c>
      <c r="C30" s="303"/>
      <c r="D30" s="303"/>
      <c r="E30" s="303"/>
      <c r="F30" s="303"/>
      <c r="G30" s="303"/>
      <c r="H30" s="303"/>
      <c r="I30" s="303"/>
      <c r="J30" s="304"/>
      <c r="K30" s="6"/>
    </row>
    <row r="31" spans="1:11" ht="21.75" customHeight="1" x14ac:dyDescent="0.15">
      <c r="A31" s="5"/>
      <c r="B31" s="285" t="s">
        <v>314</v>
      </c>
      <c r="C31" s="286"/>
      <c r="D31" s="286"/>
      <c r="E31" s="286"/>
      <c r="F31" s="286"/>
      <c r="G31" s="286"/>
      <c r="H31" s="286"/>
      <c r="I31" s="286"/>
      <c r="J31" s="287"/>
      <c r="K31" s="6" t="str">
        <f>IF(B31="","入力してください","")</f>
        <v/>
      </c>
    </row>
    <row r="32" spans="1:11" ht="18.75" customHeight="1" x14ac:dyDescent="0.15">
      <c r="A32" s="5"/>
      <c r="B32" s="288"/>
      <c r="C32" s="289"/>
      <c r="D32" s="289"/>
      <c r="E32" s="289"/>
      <c r="F32" s="289"/>
      <c r="G32" s="289"/>
      <c r="H32" s="289"/>
      <c r="I32" s="289"/>
      <c r="J32" s="290"/>
      <c r="K32" s="6"/>
    </row>
    <row r="33" spans="1:11" ht="18.75" customHeight="1" x14ac:dyDescent="0.15">
      <c r="A33" s="5"/>
      <c r="B33" s="288"/>
      <c r="C33" s="289"/>
      <c r="D33" s="289"/>
      <c r="E33" s="289"/>
      <c r="F33" s="289"/>
      <c r="G33" s="289"/>
      <c r="H33" s="289"/>
      <c r="I33" s="289"/>
      <c r="J33" s="290"/>
      <c r="K33" s="6"/>
    </row>
    <row r="34" spans="1:11" ht="18.75" customHeight="1" x14ac:dyDescent="0.15">
      <c r="A34" s="5"/>
      <c r="B34" s="288"/>
      <c r="C34" s="289"/>
      <c r="D34" s="289"/>
      <c r="E34" s="289"/>
      <c r="F34" s="289"/>
      <c r="G34" s="289"/>
      <c r="H34" s="289"/>
      <c r="I34" s="289"/>
      <c r="J34" s="290"/>
      <c r="K34" s="6"/>
    </row>
    <row r="35" spans="1:11" ht="18.75" customHeight="1" x14ac:dyDescent="0.15">
      <c r="A35" s="5"/>
      <c r="B35" s="288"/>
      <c r="C35" s="289"/>
      <c r="D35" s="289"/>
      <c r="E35" s="289"/>
      <c r="F35" s="289"/>
      <c r="G35" s="289"/>
      <c r="H35" s="289"/>
      <c r="I35" s="289"/>
      <c r="J35" s="290"/>
      <c r="K35" s="6"/>
    </row>
    <row r="36" spans="1:11" ht="18.75" customHeight="1" x14ac:dyDescent="0.15">
      <c r="A36" s="5"/>
      <c r="B36" s="288"/>
      <c r="C36" s="289"/>
      <c r="D36" s="289"/>
      <c r="E36" s="289"/>
      <c r="F36" s="289"/>
      <c r="G36" s="289"/>
      <c r="H36" s="289"/>
      <c r="I36" s="289"/>
      <c r="J36" s="290"/>
      <c r="K36" s="6"/>
    </row>
    <row r="37" spans="1:11" ht="18.75" customHeight="1" x14ac:dyDescent="0.15">
      <c r="A37" s="5"/>
      <c r="B37" s="288"/>
      <c r="C37" s="289"/>
      <c r="D37" s="289"/>
      <c r="E37" s="289"/>
      <c r="F37" s="289"/>
      <c r="G37" s="289"/>
      <c r="H37" s="289"/>
      <c r="I37" s="289"/>
      <c r="J37" s="290"/>
      <c r="K37" s="6"/>
    </row>
    <row r="38" spans="1:11" ht="18.75" customHeight="1" x14ac:dyDescent="0.15">
      <c r="A38" s="5"/>
      <c r="B38" s="288"/>
      <c r="C38" s="289"/>
      <c r="D38" s="289"/>
      <c r="E38" s="289"/>
      <c r="F38" s="289"/>
      <c r="G38" s="289"/>
      <c r="H38" s="289"/>
      <c r="I38" s="289"/>
      <c r="J38" s="290"/>
      <c r="K38" s="6"/>
    </row>
    <row r="39" spans="1:11" ht="18.75" customHeight="1" x14ac:dyDescent="0.15">
      <c r="A39" s="5"/>
      <c r="B39" s="288"/>
      <c r="C39" s="289"/>
      <c r="D39" s="289"/>
      <c r="E39" s="289"/>
      <c r="F39" s="289"/>
      <c r="G39" s="289"/>
      <c r="H39" s="289"/>
      <c r="I39" s="289"/>
      <c r="J39" s="290"/>
      <c r="K39" s="6"/>
    </row>
    <row r="40" spans="1:11" ht="18.75" customHeight="1" x14ac:dyDescent="0.15">
      <c r="A40" s="5"/>
      <c r="B40" s="288"/>
      <c r="C40" s="289"/>
      <c r="D40" s="289"/>
      <c r="E40" s="289"/>
      <c r="F40" s="289"/>
      <c r="G40" s="289"/>
      <c r="H40" s="289"/>
      <c r="I40" s="289"/>
      <c r="J40" s="290"/>
      <c r="K40" s="6"/>
    </row>
    <row r="41" spans="1:11" ht="18.75" customHeight="1" x14ac:dyDescent="0.15">
      <c r="A41" s="5"/>
      <c r="B41" s="288"/>
      <c r="C41" s="289"/>
      <c r="D41" s="289"/>
      <c r="E41" s="289"/>
      <c r="F41" s="289"/>
      <c r="G41" s="289"/>
      <c r="H41" s="289"/>
      <c r="I41" s="289"/>
      <c r="J41" s="290"/>
      <c r="K41" s="6"/>
    </row>
    <row r="42" spans="1:11" ht="18.75" customHeight="1" x14ac:dyDescent="0.15">
      <c r="A42" s="5"/>
      <c r="B42" s="288"/>
      <c r="C42" s="289"/>
      <c r="D42" s="289"/>
      <c r="E42" s="289"/>
      <c r="F42" s="289"/>
      <c r="G42" s="289"/>
      <c r="H42" s="289"/>
      <c r="I42" s="289"/>
      <c r="J42" s="290"/>
      <c r="K42" s="6"/>
    </row>
    <row r="43" spans="1:11" ht="18.75" customHeight="1" x14ac:dyDescent="0.15">
      <c r="A43" s="85"/>
      <c r="B43" s="288"/>
      <c r="C43" s="289"/>
      <c r="D43" s="289"/>
      <c r="E43" s="289"/>
      <c r="F43" s="289"/>
      <c r="G43" s="289"/>
      <c r="H43" s="289"/>
      <c r="I43" s="289"/>
      <c r="J43" s="290"/>
      <c r="K43" s="6"/>
    </row>
    <row r="44" spans="1:11" ht="18.75" customHeight="1" x14ac:dyDescent="0.15">
      <c r="A44" s="85"/>
      <c r="B44" s="291"/>
      <c r="C44" s="292"/>
      <c r="D44" s="292"/>
      <c r="E44" s="292"/>
      <c r="F44" s="292"/>
      <c r="G44" s="292"/>
      <c r="H44" s="292"/>
      <c r="I44" s="292"/>
      <c r="J44" s="293"/>
    </row>
    <row r="45" spans="1:11" ht="18.75" customHeight="1" x14ac:dyDescent="0.15">
      <c r="A45" s="54" t="s">
        <v>11</v>
      </c>
      <c r="B45" s="5" t="s">
        <v>64</v>
      </c>
      <c r="I45" s="54"/>
      <c r="J45" s="54"/>
    </row>
    <row r="46" spans="1:11" ht="18.75" customHeight="1" x14ac:dyDescent="0.15">
      <c r="A46" s="85"/>
      <c r="B46" s="295" t="s">
        <v>313</v>
      </c>
      <c r="C46" s="296"/>
      <c r="D46" s="296"/>
      <c r="E46" s="296"/>
      <c r="F46" s="296"/>
      <c r="G46" s="296"/>
      <c r="H46" s="296"/>
      <c r="I46" s="296"/>
      <c r="J46" s="305"/>
      <c r="K46" s="5" t="str">
        <f>IF(B46="","入力してください","")</f>
        <v/>
      </c>
    </row>
    <row r="47" spans="1:11" ht="18.75" customHeight="1" x14ac:dyDescent="0.15">
      <c r="A47" s="85"/>
      <c r="B47" s="306"/>
      <c r="C47" s="307"/>
      <c r="D47" s="307"/>
      <c r="E47" s="307"/>
      <c r="F47" s="307"/>
      <c r="G47" s="307"/>
      <c r="H47" s="307"/>
      <c r="I47" s="307"/>
      <c r="J47" s="308"/>
    </row>
    <row r="48" spans="1:11" ht="18.75" customHeight="1" x14ac:dyDescent="0.15">
      <c r="A48" s="85"/>
      <c r="B48" s="306"/>
      <c r="C48" s="307"/>
      <c r="D48" s="307"/>
      <c r="E48" s="307"/>
      <c r="F48" s="307"/>
      <c r="G48" s="307"/>
      <c r="H48" s="307"/>
      <c r="I48" s="307"/>
      <c r="J48" s="308"/>
    </row>
    <row r="49" spans="1:10" ht="18.75" customHeight="1" x14ac:dyDescent="0.15">
      <c r="A49" s="85"/>
      <c r="B49" s="306"/>
      <c r="C49" s="307"/>
      <c r="D49" s="307"/>
      <c r="E49" s="307"/>
      <c r="F49" s="307"/>
      <c r="G49" s="307"/>
      <c r="H49" s="307"/>
      <c r="I49" s="307"/>
      <c r="J49" s="308"/>
    </row>
    <row r="50" spans="1:10" ht="18.75" customHeight="1" x14ac:dyDescent="0.15">
      <c r="A50" s="85"/>
      <c r="B50" s="306"/>
      <c r="C50" s="307"/>
      <c r="D50" s="307"/>
      <c r="E50" s="307"/>
      <c r="F50" s="307"/>
      <c r="G50" s="307"/>
      <c r="H50" s="307"/>
      <c r="I50" s="307"/>
      <c r="J50" s="308"/>
    </row>
    <row r="51" spans="1:10" ht="18.75" customHeight="1" x14ac:dyDescent="0.15">
      <c r="A51" s="85"/>
      <c r="B51" s="306"/>
      <c r="C51" s="307"/>
      <c r="D51" s="307"/>
      <c r="E51" s="307"/>
      <c r="F51" s="307"/>
      <c r="G51" s="307"/>
      <c r="H51" s="307"/>
      <c r="I51" s="307"/>
      <c r="J51" s="308"/>
    </row>
    <row r="52" spans="1:10" ht="18.75" customHeight="1" x14ac:dyDescent="0.15">
      <c r="A52" s="85"/>
      <c r="B52" s="306"/>
      <c r="C52" s="307"/>
      <c r="D52" s="307"/>
      <c r="E52" s="307"/>
      <c r="F52" s="307"/>
      <c r="G52" s="307"/>
      <c r="H52" s="307"/>
      <c r="I52" s="307"/>
      <c r="J52" s="308"/>
    </row>
    <row r="53" spans="1:10" ht="18.75" customHeight="1" x14ac:dyDescent="0.15">
      <c r="A53" s="85"/>
      <c r="B53" s="306"/>
      <c r="C53" s="307"/>
      <c r="D53" s="307"/>
      <c r="E53" s="307"/>
      <c r="F53" s="307"/>
      <c r="G53" s="307"/>
      <c r="H53" s="307"/>
      <c r="I53" s="307"/>
      <c r="J53" s="308"/>
    </row>
    <row r="54" spans="1:10" ht="18.75" customHeight="1" x14ac:dyDescent="0.15">
      <c r="A54" s="85"/>
      <c r="B54" s="306"/>
      <c r="C54" s="307"/>
      <c r="D54" s="307"/>
      <c r="E54" s="307"/>
      <c r="F54" s="307"/>
      <c r="G54" s="307"/>
      <c r="H54" s="307"/>
      <c r="I54" s="307"/>
      <c r="J54" s="308"/>
    </row>
    <row r="55" spans="1:10" ht="18.75" customHeight="1" x14ac:dyDescent="0.15">
      <c r="A55" s="85"/>
      <c r="B55" s="306"/>
      <c r="C55" s="307"/>
      <c r="D55" s="307"/>
      <c r="E55" s="307"/>
      <c r="F55" s="307"/>
      <c r="G55" s="307"/>
      <c r="H55" s="307"/>
      <c r="I55" s="307"/>
      <c r="J55" s="308"/>
    </row>
    <row r="56" spans="1:10" ht="18.75" customHeight="1" x14ac:dyDescent="0.15">
      <c r="A56" s="85"/>
      <c r="B56" s="306"/>
      <c r="C56" s="307"/>
      <c r="D56" s="307"/>
      <c r="E56" s="307"/>
      <c r="F56" s="307"/>
      <c r="G56" s="307"/>
      <c r="H56" s="307"/>
      <c r="I56" s="307"/>
      <c r="J56" s="308"/>
    </row>
    <row r="57" spans="1:10" ht="18.75" customHeight="1" x14ac:dyDescent="0.15">
      <c r="A57" s="85"/>
      <c r="B57" s="306"/>
      <c r="C57" s="307"/>
      <c r="D57" s="307"/>
      <c r="E57" s="307"/>
      <c r="F57" s="307"/>
      <c r="G57" s="307"/>
      <c r="H57" s="307"/>
      <c r="I57" s="307"/>
      <c r="J57" s="308"/>
    </row>
    <row r="58" spans="1:10" ht="18.75" customHeight="1" x14ac:dyDescent="0.15">
      <c r="A58" s="85"/>
      <c r="B58" s="306"/>
      <c r="C58" s="307"/>
      <c r="D58" s="307"/>
      <c r="E58" s="307"/>
      <c r="F58" s="307"/>
      <c r="G58" s="307"/>
      <c r="H58" s="307"/>
      <c r="I58" s="307"/>
      <c r="J58" s="308"/>
    </row>
    <row r="59" spans="1:10" ht="18.75" customHeight="1" x14ac:dyDescent="0.15">
      <c r="A59" s="85"/>
      <c r="B59" s="306"/>
      <c r="C59" s="307"/>
      <c r="D59" s="307"/>
      <c r="E59" s="307"/>
      <c r="F59" s="307"/>
      <c r="G59" s="307"/>
      <c r="H59" s="307"/>
      <c r="I59" s="307"/>
      <c r="J59" s="308"/>
    </row>
    <row r="60" spans="1:10" ht="18.75" customHeight="1" x14ac:dyDescent="0.15">
      <c r="A60" s="85"/>
      <c r="B60" s="306"/>
      <c r="C60" s="307"/>
      <c r="D60" s="307"/>
      <c r="E60" s="307"/>
      <c r="F60" s="307"/>
      <c r="G60" s="307"/>
      <c r="H60" s="307"/>
      <c r="I60" s="307"/>
      <c r="J60" s="308"/>
    </row>
    <row r="61" spans="1:10" ht="18.75" customHeight="1" x14ac:dyDescent="0.15">
      <c r="A61" s="85"/>
      <c r="B61" s="306"/>
      <c r="C61" s="307"/>
      <c r="D61" s="307"/>
      <c r="E61" s="307"/>
      <c r="F61" s="307"/>
      <c r="G61" s="307"/>
      <c r="H61" s="307"/>
      <c r="I61" s="307"/>
      <c r="J61" s="308"/>
    </row>
    <row r="62" spans="1:10" ht="18.75" customHeight="1" x14ac:dyDescent="0.15">
      <c r="A62" s="85"/>
      <c r="B62" s="306"/>
      <c r="C62" s="307"/>
      <c r="D62" s="307"/>
      <c r="E62" s="307"/>
      <c r="F62" s="307"/>
      <c r="G62" s="307"/>
      <c r="H62" s="307"/>
      <c r="I62" s="307"/>
      <c r="J62" s="308"/>
    </row>
    <row r="63" spans="1:10" ht="18.75" customHeight="1" x14ac:dyDescent="0.15">
      <c r="A63" s="85"/>
      <c r="B63" s="306"/>
      <c r="C63" s="307"/>
      <c r="D63" s="307"/>
      <c r="E63" s="307"/>
      <c r="F63" s="307"/>
      <c r="G63" s="307"/>
      <c r="H63" s="307"/>
      <c r="I63" s="307"/>
      <c r="J63" s="308"/>
    </row>
    <row r="64" spans="1:10" ht="18.75" customHeight="1" x14ac:dyDescent="0.15">
      <c r="A64" s="85"/>
      <c r="B64" s="306"/>
      <c r="C64" s="307"/>
      <c r="D64" s="307"/>
      <c r="E64" s="307"/>
      <c r="F64" s="307"/>
      <c r="G64" s="307"/>
      <c r="H64" s="307"/>
      <c r="I64" s="307"/>
      <c r="J64" s="308"/>
    </row>
    <row r="65" spans="1:11" ht="18.75" customHeight="1" x14ac:dyDescent="0.15">
      <c r="A65" s="85"/>
      <c r="B65" s="306"/>
      <c r="C65" s="307"/>
      <c r="D65" s="307"/>
      <c r="E65" s="307"/>
      <c r="F65" s="307"/>
      <c r="G65" s="307"/>
      <c r="H65" s="307"/>
      <c r="I65" s="307"/>
      <c r="J65" s="308"/>
    </row>
    <row r="66" spans="1:11" ht="18.75" customHeight="1" x14ac:dyDescent="0.15">
      <c r="A66" s="85"/>
      <c r="B66" s="309"/>
      <c r="C66" s="310"/>
      <c r="D66" s="310"/>
      <c r="E66" s="310"/>
      <c r="F66" s="310"/>
      <c r="G66" s="310"/>
      <c r="H66" s="310"/>
      <c r="I66" s="310"/>
      <c r="J66" s="311"/>
    </row>
    <row r="67" spans="1:11" ht="7.5" customHeight="1" x14ac:dyDescent="0.15">
      <c r="A67" s="85"/>
      <c r="B67" s="85"/>
      <c r="C67" s="85"/>
      <c r="D67" s="85"/>
      <c r="E67" s="85"/>
      <c r="F67" s="85"/>
      <c r="G67" s="85"/>
      <c r="H67" s="85"/>
      <c r="I67" s="85"/>
      <c r="J67" s="85"/>
    </row>
    <row r="68" spans="1:11" ht="18.75" customHeight="1" x14ac:dyDescent="0.15">
      <c r="A68" s="5" t="s">
        <v>14</v>
      </c>
      <c r="B68" s="5" t="s">
        <v>68</v>
      </c>
    </row>
    <row r="69" spans="1:11" ht="18.75" customHeight="1" x14ac:dyDescent="0.15">
      <c r="A69" s="5"/>
      <c r="B69" s="295" t="s">
        <v>294</v>
      </c>
      <c r="C69" s="296"/>
      <c r="D69" s="296"/>
      <c r="E69" s="296"/>
      <c r="F69" s="296"/>
      <c r="G69" s="296"/>
      <c r="H69" s="296"/>
      <c r="I69" s="297"/>
      <c r="J69" s="298"/>
      <c r="K69" s="6" t="str">
        <f>IF(B69="","入力してください","")</f>
        <v/>
      </c>
    </row>
    <row r="70" spans="1:11" ht="18.75" customHeight="1" x14ac:dyDescent="0.15">
      <c r="A70" s="5"/>
      <c r="B70" s="288"/>
      <c r="C70" s="289"/>
      <c r="D70" s="289"/>
      <c r="E70" s="289"/>
      <c r="F70" s="289"/>
      <c r="G70" s="289"/>
      <c r="H70" s="289"/>
      <c r="I70" s="289"/>
      <c r="J70" s="290"/>
      <c r="K70" s="6"/>
    </row>
    <row r="71" spans="1:11" ht="18.75" customHeight="1" x14ac:dyDescent="0.15">
      <c r="A71" s="5"/>
      <c r="B71" s="288"/>
      <c r="C71" s="289"/>
      <c r="D71" s="289"/>
      <c r="E71" s="289"/>
      <c r="F71" s="289"/>
      <c r="G71" s="289"/>
      <c r="H71" s="289"/>
      <c r="I71" s="289"/>
      <c r="J71" s="290"/>
      <c r="K71" s="6"/>
    </row>
    <row r="72" spans="1:11" ht="18.75" customHeight="1" x14ac:dyDescent="0.15">
      <c r="A72" s="5"/>
      <c r="B72" s="288"/>
      <c r="C72" s="289"/>
      <c r="D72" s="289"/>
      <c r="E72" s="289"/>
      <c r="F72" s="289"/>
      <c r="G72" s="289"/>
      <c r="H72" s="289"/>
      <c r="I72" s="289"/>
      <c r="J72" s="290"/>
      <c r="K72" s="6"/>
    </row>
    <row r="73" spans="1:11" ht="18.75" customHeight="1" x14ac:dyDescent="0.15">
      <c r="A73" s="5"/>
      <c r="B73" s="288"/>
      <c r="C73" s="289"/>
      <c r="D73" s="289"/>
      <c r="E73" s="289"/>
      <c r="F73" s="289"/>
      <c r="G73" s="289"/>
      <c r="H73" s="289"/>
      <c r="I73" s="289"/>
      <c r="J73" s="290"/>
      <c r="K73" s="6"/>
    </row>
    <row r="74" spans="1:11" ht="18.75" customHeight="1" x14ac:dyDescent="0.15">
      <c r="A74" s="5"/>
      <c r="B74" s="288"/>
      <c r="C74" s="289"/>
      <c r="D74" s="289"/>
      <c r="E74" s="289"/>
      <c r="F74" s="289"/>
      <c r="G74" s="289"/>
      <c r="H74" s="289"/>
      <c r="I74" s="289"/>
      <c r="J74" s="290"/>
      <c r="K74" s="6"/>
    </row>
    <row r="75" spans="1:11" ht="18.75" customHeight="1" x14ac:dyDescent="0.15">
      <c r="A75" s="5"/>
      <c r="B75" s="288"/>
      <c r="C75" s="289"/>
      <c r="D75" s="289"/>
      <c r="E75" s="289"/>
      <c r="F75" s="289"/>
      <c r="G75" s="289"/>
      <c r="H75" s="289"/>
      <c r="I75" s="289"/>
      <c r="J75" s="290"/>
      <c r="K75" s="6"/>
    </row>
    <row r="76" spans="1:11" ht="18.75" customHeight="1" x14ac:dyDescent="0.15">
      <c r="A76" s="5"/>
      <c r="B76" s="288"/>
      <c r="C76" s="289"/>
      <c r="D76" s="289"/>
      <c r="E76" s="289"/>
      <c r="F76" s="289"/>
      <c r="G76" s="289"/>
      <c r="H76" s="289"/>
      <c r="I76" s="289"/>
      <c r="J76" s="290"/>
      <c r="K76" s="6"/>
    </row>
    <row r="77" spans="1:11" ht="18.75" customHeight="1" x14ac:dyDescent="0.15">
      <c r="A77" s="5"/>
      <c r="B77" s="288"/>
      <c r="C77" s="289"/>
      <c r="D77" s="289"/>
      <c r="E77" s="289"/>
      <c r="F77" s="289"/>
      <c r="G77" s="289"/>
      <c r="H77" s="289"/>
      <c r="I77" s="289"/>
      <c r="J77" s="290"/>
      <c r="K77" s="6"/>
    </row>
    <row r="78" spans="1:11" ht="18.75" customHeight="1" x14ac:dyDescent="0.15">
      <c r="A78" s="5"/>
      <c r="B78" s="288"/>
      <c r="C78" s="289"/>
      <c r="D78" s="289"/>
      <c r="E78" s="289"/>
      <c r="F78" s="289"/>
      <c r="G78" s="289"/>
      <c r="H78" s="289"/>
      <c r="I78" s="289"/>
      <c r="J78" s="290"/>
      <c r="K78" s="6"/>
    </row>
    <row r="79" spans="1:11" ht="18.75" customHeight="1" x14ac:dyDescent="0.15">
      <c r="A79" s="5"/>
      <c r="B79" s="288"/>
      <c r="C79" s="289"/>
      <c r="D79" s="289"/>
      <c r="E79" s="289"/>
      <c r="F79" s="289"/>
      <c r="G79" s="289"/>
      <c r="H79" s="289"/>
      <c r="I79" s="289"/>
      <c r="J79" s="290"/>
      <c r="K79" s="6"/>
    </row>
    <row r="80" spans="1:11" ht="18.75" customHeight="1" x14ac:dyDescent="0.15">
      <c r="A80" s="5"/>
      <c r="B80" s="288"/>
      <c r="C80" s="289"/>
      <c r="D80" s="289"/>
      <c r="E80" s="289"/>
      <c r="F80" s="289"/>
      <c r="G80" s="289"/>
      <c r="H80" s="289"/>
      <c r="I80" s="289"/>
      <c r="J80" s="290"/>
      <c r="K80" s="6"/>
    </row>
    <row r="81" spans="1:11" ht="18.75" customHeight="1" x14ac:dyDescent="0.15">
      <c r="A81" s="5"/>
      <c r="B81" s="288"/>
      <c r="C81" s="289"/>
      <c r="D81" s="289"/>
      <c r="E81" s="289"/>
      <c r="F81" s="289"/>
      <c r="G81" s="289"/>
      <c r="H81" s="289"/>
      <c r="I81" s="289"/>
      <c r="J81" s="290"/>
      <c r="K81" s="6"/>
    </row>
    <row r="82" spans="1:11" ht="18.75" customHeight="1" x14ac:dyDescent="0.15">
      <c r="A82" s="5"/>
      <c r="B82" s="288"/>
      <c r="C82" s="289"/>
      <c r="D82" s="289"/>
      <c r="E82" s="289"/>
      <c r="F82" s="289"/>
      <c r="G82" s="289"/>
      <c r="H82" s="289"/>
      <c r="I82" s="289"/>
      <c r="J82" s="290"/>
      <c r="K82" s="6"/>
    </row>
    <row r="83" spans="1:11" ht="18.75" customHeight="1" x14ac:dyDescent="0.15">
      <c r="A83" s="5"/>
      <c r="B83" s="288"/>
      <c r="C83" s="289"/>
      <c r="D83" s="289"/>
      <c r="E83" s="289"/>
      <c r="F83" s="289"/>
      <c r="G83" s="289"/>
      <c r="H83" s="289"/>
      <c r="I83" s="289"/>
      <c r="J83" s="290"/>
      <c r="K83" s="6"/>
    </row>
    <row r="84" spans="1:11" ht="18.75" customHeight="1" x14ac:dyDescent="0.15">
      <c r="A84" s="5"/>
      <c r="B84" s="288"/>
      <c r="C84" s="289"/>
      <c r="D84" s="289"/>
      <c r="E84" s="289"/>
      <c r="F84" s="289"/>
      <c r="G84" s="289"/>
      <c r="H84" s="289"/>
      <c r="I84" s="289"/>
      <c r="J84" s="290"/>
      <c r="K84" s="6"/>
    </row>
    <row r="85" spans="1:11" ht="18.75" customHeight="1" x14ac:dyDescent="0.15">
      <c r="A85" s="85"/>
      <c r="B85" s="288"/>
      <c r="C85" s="289"/>
      <c r="D85" s="289"/>
      <c r="E85" s="289"/>
      <c r="F85" s="289"/>
      <c r="G85" s="289"/>
      <c r="H85" s="289"/>
      <c r="I85" s="289"/>
      <c r="J85" s="290"/>
      <c r="K85" s="6"/>
    </row>
    <row r="86" spans="1:11" ht="18.75" customHeight="1" x14ac:dyDescent="0.15">
      <c r="A86" s="85"/>
      <c r="B86" s="291"/>
      <c r="C86" s="292"/>
      <c r="D86" s="292"/>
      <c r="E86" s="292"/>
      <c r="F86" s="292"/>
      <c r="G86" s="292"/>
      <c r="H86" s="292"/>
      <c r="I86" s="292"/>
      <c r="J86" s="293"/>
      <c r="K86" s="6"/>
    </row>
    <row r="87" spans="1:11" ht="7.5" customHeight="1" x14ac:dyDescent="0.15">
      <c r="A87" s="85"/>
      <c r="B87" s="85"/>
      <c r="C87" s="85"/>
      <c r="D87" s="85"/>
      <c r="E87" s="85"/>
      <c r="F87" s="85"/>
      <c r="G87" s="85"/>
      <c r="H87" s="85"/>
      <c r="I87" s="85"/>
      <c r="J87" s="85"/>
    </row>
    <row r="88" spans="1:11" ht="18.75" customHeight="1" x14ac:dyDescent="0.15">
      <c r="A88" s="5" t="s">
        <v>12</v>
      </c>
      <c r="B88" s="5" t="s">
        <v>285</v>
      </c>
    </row>
    <row r="89" spans="1:11" ht="18.75" customHeight="1" x14ac:dyDescent="0.15">
      <c r="A89" s="5"/>
      <c r="B89" s="295" t="s">
        <v>295</v>
      </c>
      <c r="C89" s="296"/>
      <c r="D89" s="296"/>
      <c r="E89" s="296"/>
      <c r="F89" s="296"/>
      <c r="G89" s="296"/>
      <c r="H89" s="296"/>
      <c r="I89" s="297"/>
      <c r="J89" s="298"/>
    </row>
    <row r="90" spans="1:11" ht="18.75" customHeight="1" x14ac:dyDescent="0.15">
      <c r="A90" s="5"/>
      <c r="B90" s="288"/>
      <c r="C90" s="289"/>
      <c r="D90" s="289"/>
      <c r="E90" s="289"/>
      <c r="F90" s="289"/>
      <c r="G90" s="289"/>
      <c r="H90" s="289"/>
      <c r="I90" s="289"/>
      <c r="J90" s="290"/>
      <c r="K90" s="6"/>
    </row>
    <row r="91" spans="1:11" ht="18.75" customHeight="1" x14ac:dyDescent="0.15">
      <c r="A91" s="5"/>
      <c r="B91" s="288"/>
      <c r="C91" s="289"/>
      <c r="D91" s="289"/>
      <c r="E91" s="289"/>
      <c r="F91" s="289"/>
      <c r="G91" s="289"/>
      <c r="H91" s="289"/>
      <c r="I91" s="289"/>
      <c r="J91" s="290"/>
      <c r="K91" s="6" t="str">
        <f>IF(B89="","入力してください","")</f>
        <v/>
      </c>
    </row>
    <row r="92" spans="1:11" ht="18.75" customHeight="1" x14ac:dyDescent="0.15">
      <c r="A92" s="5"/>
      <c r="B92" s="288"/>
      <c r="C92" s="289"/>
      <c r="D92" s="289"/>
      <c r="E92" s="289"/>
      <c r="F92" s="289"/>
      <c r="G92" s="289"/>
      <c r="H92" s="289"/>
      <c r="I92" s="289"/>
      <c r="J92" s="290"/>
      <c r="K92" s="6"/>
    </row>
    <row r="93" spans="1:11" ht="18.75" customHeight="1" x14ac:dyDescent="0.15">
      <c r="A93" s="5"/>
      <c r="B93" s="288"/>
      <c r="C93" s="289"/>
      <c r="D93" s="289"/>
      <c r="E93" s="289"/>
      <c r="F93" s="289"/>
      <c r="G93" s="289"/>
      <c r="H93" s="289"/>
      <c r="I93" s="289"/>
      <c r="J93" s="290"/>
      <c r="K93" s="6"/>
    </row>
    <row r="94" spans="1:11" ht="18.75" customHeight="1" x14ac:dyDescent="0.15">
      <c r="A94" s="5"/>
      <c r="B94" s="288"/>
      <c r="C94" s="289"/>
      <c r="D94" s="289"/>
      <c r="E94" s="289"/>
      <c r="F94" s="289"/>
      <c r="G94" s="289"/>
      <c r="H94" s="289"/>
      <c r="I94" s="289"/>
      <c r="J94" s="290"/>
      <c r="K94" s="6"/>
    </row>
    <row r="95" spans="1:11" ht="18.75" customHeight="1" x14ac:dyDescent="0.15">
      <c r="A95" s="5"/>
      <c r="B95" s="288"/>
      <c r="C95" s="289"/>
      <c r="D95" s="289"/>
      <c r="E95" s="289"/>
      <c r="F95" s="289"/>
      <c r="G95" s="289"/>
      <c r="H95" s="289"/>
      <c r="I95" s="289"/>
      <c r="J95" s="290"/>
      <c r="K95" s="6"/>
    </row>
    <row r="96" spans="1:11" ht="18.75" customHeight="1" x14ac:dyDescent="0.15">
      <c r="A96" s="5"/>
      <c r="B96" s="288"/>
      <c r="C96" s="289"/>
      <c r="D96" s="289"/>
      <c r="E96" s="289"/>
      <c r="F96" s="289"/>
      <c r="G96" s="289"/>
      <c r="H96" s="289"/>
      <c r="I96" s="289"/>
      <c r="J96" s="290"/>
      <c r="K96" s="6"/>
    </row>
    <row r="97" spans="1:11" ht="18.75" customHeight="1" x14ac:dyDescent="0.15">
      <c r="A97" s="5"/>
      <c r="B97" s="288"/>
      <c r="C97" s="289"/>
      <c r="D97" s="289"/>
      <c r="E97" s="289"/>
      <c r="F97" s="289"/>
      <c r="G97" s="289"/>
      <c r="H97" s="289"/>
      <c r="I97" s="289"/>
      <c r="J97" s="290"/>
      <c r="K97" s="6"/>
    </row>
    <row r="98" spans="1:11" ht="18.75" customHeight="1" x14ac:dyDescent="0.15">
      <c r="A98" s="5"/>
      <c r="B98" s="288"/>
      <c r="C98" s="289"/>
      <c r="D98" s="289"/>
      <c r="E98" s="289"/>
      <c r="F98" s="289"/>
      <c r="G98" s="289"/>
      <c r="H98" s="289"/>
      <c r="I98" s="289"/>
      <c r="J98" s="290"/>
      <c r="K98" s="6"/>
    </row>
    <row r="99" spans="1:11" ht="18.75" customHeight="1" x14ac:dyDescent="0.15">
      <c r="A99" s="5"/>
      <c r="B99" s="288"/>
      <c r="C99" s="289"/>
      <c r="D99" s="289"/>
      <c r="E99" s="289"/>
      <c r="F99" s="289"/>
      <c r="G99" s="289"/>
      <c r="H99" s="289"/>
      <c r="I99" s="289"/>
      <c r="J99" s="290"/>
      <c r="K99" s="6"/>
    </row>
    <row r="100" spans="1:11" ht="18.75" customHeight="1" x14ac:dyDescent="0.15">
      <c r="A100" s="5"/>
      <c r="B100" s="288"/>
      <c r="C100" s="289"/>
      <c r="D100" s="289"/>
      <c r="E100" s="289"/>
      <c r="F100" s="289"/>
      <c r="G100" s="289"/>
      <c r="H100" s="289"/>
      <c r="I100" s="289"/>
      <c r="J100" s="290"/>
      <c r="K100" s="6"/>
    </row>
    <row r="101" spans="1:11" ht="18.75" customHeight="1" x14ac:dyDescent="0.15">
      <c r="A101" s="5"/>
      <c r="B101" s="288"/>
      <c r="C101" s="289"/>
      <c r="D101" s="289"/>
      <c r="E101" s="289"/>
      <c r="F101" s="289"/>
      <c r="G101" s="289"/>
      <c r="H101" s="289"/>
      <c r="I101" s="289"/>
      <c r="J101" s="290"/>
      <c r="K101" s="6"/>
    </row>
    <row r="102" spans="1:11" ht="18.75" customHeight="1" x14ac:dyDescent="0.15">
      <c r="A102" s="5"/>
      <c r="B102" s="288"/>
      <c r="C102" s="289"/>
      <c r="D102" s="289"/>
      <c r="E102" s="289"/>
      <c r="F102" s="289"/>
      <c r="G102" s="289"/>
      <c r="H102" s="289"/>
      <c r="I102" s="289"/>
      <c r="J102" s="290"/>
      <c r="K102" s="6"/>
    </row>
    <row r="103" spans="1:11" ht="18.75" customHeight="1" x14ac:dyDescent="0.15">
      <c r="A103" s="5"/>
      <c r="B103" s="288"/>
      <c r="C103" s="289"/>
      <c r="D103" s="289"/>
      <c r="E103" s="289"/>
      <c r="F103" s="289"/>
      <c r="G103" s="289"/>
      <c r="H103" s="289"/>
      <c r="I103" s="289"/>
      <c r="J103" s="290"/>
      <c r="K103" s="6"/>
    </row>
    <row r="104" spans="1:11" ht="18.75" customHeight="1" x14ac:dyDescent="0.15">
      <c r="A104" s="5"/>
      <c r="B104" s="288"/>
      <c r="C104" s="289"/>
      <c r="D104" s="289"/>
      <c r="E104" s="289"/>
      <c r="F104" s="289"/>
      <c r="G104" s="289"/>
      <c r="H104" s="289"/>
      <c r="I104" s="289"/>
      <c r="J104" s="290"/>
      <c r="K104" s="6"/>
    </row>
    <row r="105" spans="1:11" ht="18.75" customHeight="1" x14ac:dyDescent="0.15">
      <c r="A105" s="5"/>
      <c r="B105" s="288"/>
      <c r="C105" s="289"/>
      <c r="D105" s="289"/>
      <c r="E105" s="289"/>
      <c r="F105" s="289"/>
      <c r="G105" s="289"/>
      <c r="H105" s="289"/>
      <c r="I105" s="289"/>
      <c r="J105" s="290"/>
      <c r="K105" s="6"/>
    </row>
    <row r="106" spans="1:11" ht="18.75" customHeight="1" x14ac:dyDescent="0.15">
      <c r="A106" s="5"/>
      <c r="B106" s="288"/>
      <c r="C106" s="289"/>
      <c r="D106" s="289"/>
      <c r="E106" s="289"/>
      <c r="F106" s="289"/>
      <c r="G106" s="289"/>
      <c r="H106" s="289"/>
      <c r="I106" s="289"/>
      <c r="J106" s="290"/>
      <c r="K106" s="6"/>
    </row>
    <row r="107" spans="1:11" ht="18.75" customHeight="1" x14ac:dyDescent="0.15">
      <c r="A107" s="85"/>
      <c r="B107" s="288"/>
      <c r="C107" s="289"/>
      <c r="D107" s="289"/>
      <c r="E107" s="289"/>
      <c r="F107" s="289"/>
      <c r="G107" s="289"/>
      <c r="H107" s="289"/>
      <c r="I107" s="289"/>
      <c r="J107" s="290"/>
      <c r="K107" s="6"/>
    </row>
    <row r="108" spans="1:11" ht="18.75" customHeight="1" x14ac:dyDescent="0.15">
      <c r="A108" s="85"/>
      <c r="B108" s="291"/>
      <c r="C108" s="292"/>
      <c r="D108" s="292"/>
      <c r="E108" s="292"/>
      <c r="F108" s="292"/>
      <c r="G108" s="292"/>
      <c r="H108" s="292"/>
      <c r="I108" s="292"/>
      <c r="J108" s="293"/>
      <c r="K108" s="6"/>
    </row>
    <row r="109" spans="1:11" ht="7.5" customHeight="1" x14ac:dyDescent="0.15">
      <c r="A109" s="85"/>
      <c r="B109" s="85"/>
      <c r="C109" s="85"/>
      <c r="D109" s="85"/>
      <c r="E109" s="85"/>
      <c r="F109" s="85"/>
      <c r="G109" s="85"/>
      <c r="H109" s="85"/>
      <c r="I109" s="85"/>
      <c r="J109" s="85"/>
    </row>
    <row r="110" spans="1:11" ht="18.75" customHeight="1" x14ac:dyDescent="0.15">
      <c r="A110" s="5" t="s">
        <v>52</v>
      </c>
      <c r="B110" s="312" t="s">
        <v>79</v>
      </c>
      <c r="C110" s="312"/>
      <c r="D110" s="312"/>
      <c r="E110" s="312"/>
      <c r="F110" s="312"/>
      <c r="G110" s="312"/>
      <c r="H110" s="312"/>
      <c r="I110" s="312"/>
      <c r="J110" s="312"/>
    </row>
    <row r="111" spans="1:11" ht="18.75" customHeight="1" x14ac:dyDescent="0.15">
      <c r="A111" s="85"/>
      <c r="B111" s="313" t="s">
        <v>296</v>
      </c>
      <c r="C111" s="314"/>
      <c r="D111" s="314"/>
      <c r="E111" s="314"/>
      <c r="F111" s="314"/>
      <c r="G111" s="296"/>
      <c r="H111" s="296"/>
      <c r="I111" s="297"/>
      <c r="J111" s="298"/>
    </row>
    <row r="112" spans="1:11" ht="18.75" customHeight="1" x14ac:dyDescent="0.15">
      <c r="A112" s="85"/>
      <c r="B112" s="288"/>
      <c r="C112" s="289"/>
      <c r="D112" s="289"/>
      <c r="E112" s="289"/>
      <c r="F112" s="289"/>
      <c r="G112" s="289"/>
      <c r="H112" s="289"/>
      <c r="I112" s="289"/>
      <c r="J112" s="290"/>
      <c r="K112" s="6"/>
    </row>
    <row r="113" spans="1:11" ht="18.75" customHeight="1" x14ac:dyDescent="0.15">
      <c r="A113" s="85"/>
      <c r="B113" s="288"/>
      <c r="C113" s="289"/>
      <c r="D113" s="289"/>
      <c r="E113" s="289"/>
      <c r="F113" s="289"/>
      <c r="G113" s="289"/>
      <c r="H113" s="289"/>
      <c r="I113" s="289"/>
      <c r="J113" s="290"/>
      <c r="K113" s="5" t="str">
        <f>IF(B111="","入力してください","")</f>
        <v/>
      </c>
    </row>
    <row r="114" spans="1:11" ht="18.75" customHeight="1" x14ac:dyDescent="0.15">
      <c r="A114" s="85"/>
      <c r="B114" s="288"/>
      <c r="C114" s="289"/>
      <c r="D114" s="289"/>
      <c r="E114" s="289"/>
      <c r="F114" s="289"/>
      <c r="G114" s="289"/>
      <c r="H114" s="289"/>
      <c r="I114" s="289"/>
      <c r="J114" s="290"/>
    </row>
    <row r="115" spans="1:11" ht="18.75" customHeight="1" x14ac:dyDescent="0.15">
      <c r="A115" s="85"/>
      <c r="B115" s="288"/>
      <c r="C115" s="289"/>
      <c r="D115" s="289"/>
      <c r="E115" s="289"/>
      <c r="F115" s="289"/>
      <c r="G115" s="289"/>
      <c r="H115" s="289"/>
      <c r="I115" s="289"/>
      <c r="J115" s="290"/>
    </row>
    <row r="116" spans="1:11" ht="18.75" customHeight="1" x14ac:dyDescent="0.15">
      <c r="A116" s="85"/>
      <c r="B116" s="288"/>
      <c r="C116" s="289"/>
      <c r="D116" s="289"/>
      <c r="E116" s="289"/>
      <c r="F116" s="289"/>
      <c r="G116" s="289"/>
      <c r="H116" s="289"/>
      <c r="I116" s="289"/>
      <c r="J116" s="290"/>
    </row>
    <row r="117" spans="1:11" ht="18.75" customHeight="1" x14ac:dyDescent="0.15">
      <c r="A117" s="85"/>
      <c r="B117" s="288"/>
      <c r="C117" s="289"/>
      <c r="D117" s="289"/>
      <c r="E117" s="289"/>
      <c r="F117" s="289"/>
      <c r="G117" s="289"/>
      <c r="H117" s="289"/>
      <c r="I117" s="289"/>
      <c r="J117" s="290"/>
    </row>
    <row r="118" spans="1:11" ht="18.75" customHeight="1" x14ac:dyDescent="0.15">
      <c r="A118" s="85"/>
      <c r="B118" s="288"/>
      <c r="C118" s="289"/>
      <c r="D118" s="289"/>
      <c r="E118" s="289"/>
      <c r="F118" s="289"/>
      <c r="G118" s="289"/>
      <c r="H118" s="289"/>
      <c r="I118" s="289"/>
      <c r="J118" s="290"/>
    </row>
    <row r="119" spans="1:11" ht="18.75" customHeight="1" x14ac:dyDescent="0.15">
      <c r="A119" s="85"/>
      <c r="B119" s="288"/>
      <c r="C119" s="289"/>
      <c r="D119" s="289"/>
      <c r="E119" s="289"/>
      <c r="F119" s="289"/>
      <c r="G119" s="289"/>
      <c r="H119" s="289"/>
      <c r="I119" s="289"/>
      <c r="J119" s="290"/>
    </row>
    <row r="120" spans="1:11" ht="18.75" customHeight="1" x14ac:dyDescent="0.15">
      <c r="A120" s="85"/>
      <c r="B120" s="288"/>
      <c r="C120" s="289"/>
      <c r="D120" s="289"/>
      <c r="E120" s="289"/>
      <c r="F120" s="289"/>
      <c r="G120" s="289"/>
      <c r="H120" s="289"/>
      <c r="I120" s="289"/>
      <c r="J120" s="290"/>
    </row>
    <row r="121" spans="1:11" ht="18.75" customHeight="1" x14ac:dyDescent="0.15">
      <c r="A121" s="85"/>
      <c r="B121" s="288"/>
      <c r="C121" s="289"/>
      <c r="D121" s="289"/>
      <c r="E121" s="289"/>
      <c r="F121" s="289"/>
      <c r="G121" s="289"/>
      <c r="H121" s="289"/>
      <c r="I121" s="289"/>
      <c r="J121" s="290"/>
    </row>
    <row r="122" spans="1:11" ht="18.75" customHeight="1" x14ac:dyDescent="0.15">
      <c r="A122" s="85"/>
      <c r="B122" s="288"/>
      <c r="C122" s="289"/>
      <c r="D122" s="289"/>
      <c r="E122" s="289"/>
      <c r="F122" s="289"/>
      <c r="G122" s="289"/>
      <c r="H122" s="289"/>
      <c r="I122" s="289"/>
      <c r="J122" s="290"/>
    </row>
    <row r="123" spans="1:11" ht="18.75" customHeight="1" x14ac:dyDescent="0.15">
      <c r="A123" s="85"/>
      <c r="B123" s="288"/>
      <c r="C123" s="289"/>
      <c r="D123" s="289"/>
      <c r="E123" s="289"/>
      <c r="F123" s="289"/>
      <c r="G123" s="289"/>
      <c r="H123" s="289"/>
      <c r="I123" s="289"/>
      <c r="J123" s="290"/>
    </row>
    <row r="124" spans="1:11" ht="18.75" customHeight="1" x14ac:dyDescent="0.15">
      <c r="A124" s="85"/>
      <c r="B124" s="288"/>
      <c r="C124" s="289"/>
      <c r="D124" s="289"/>
      <c r="E124" s="289"/>
      <c r="F124" s="289"/>
      <c r="G124" s="289"/>
      <c r="H124" s="289"/>
      <c r="I124" s="289"/>
      <c r="J124" s="290"/>
    </row>
    <row r="125" spans="1:11" ht="18.75" customHeight="1" x14ac:dyDescent="0.15">
      <c r="A125" s="85"/>
      <c r="B125" s="288"/>
      <c r="C125" s="289"/>
      <c r="D125" s="289"/>
      <c r="E125" s="289"/>
      <c r="F125" s="289"/>
      <c r="G125" s="289"/>
      <c r="H125" s="289"/>
      <c r="I125" s="289"/>
      <c r="J125" s="290"/>
    </row>
    <row r="126" spans="1:11" ht="18.75" customHeight="1" x14ac:dyDescent="0.15">
      <c r="A126" s="85"/>
      <c r="B126" s="288"/>
      <c r="C126" s="289"/>
      <c r="D126" s="289"/>
      <c r="E126" s="289"/>
      <c r="F126" s="289"/>
      <c r="G126" s="289"/>
      <c r="H126" s="289"/>
      <c r="I126" s="289"/>
      <c r="J126" s="290"/>
    </row>
    <row r="127" spans="1:11" ht="18.75" customHeight="1" x14ac:dyDescent="0.15">
      <c r="A127" s="85"/>
      <c r="B127" s="288"/>
      <c r="C127" s="289"/>
      <c r="D127" s="289"/>
      <c r="E127" s="289"/>
      <c r="F127" s="289"/>
      <c r="G127" s="289"/>
      <c r="H127" s="289"/>
      <c r="I127" s="289"/>
      <c r="J127" s="290"/>
    </row>
    <row r="128" spans="1:11" ht="18.75" customHeight="1" x14ac:dyDescent="0.15">
      <c r="A128" s="85"/>
      <c r="B128" s="288"/>
      <c r="C128" s="289"/>
      <c r="D128" s="289"/>
      <c r="E128" s="289"/>
      <c r="F128" s="289"/>
      <c r="G128" s="289"/>
      <c r="H128" s="289"/>
      <c r="I128" s="289"/>
      <c r="J128" s="290"/>
    </row>
    <row r="129" spans="1:10" ht="18.75" customHeight="1" x14ac:dyDescent="0.15">
      <c r="A129" s="85"/>
      <c r="B129" s="291"/>
      <c r="C129" s="292"/>
      <c r="D129" s="292"/>
      <c r="E129" s="292"/>
      <c r="F129" s="292"/>
      <c r="G129" s="292"/>
      <c r="H129" s="292"/>
      <c r="I129" s="292"/>
      <c r="J129" s="293"/>
    </row>
    <row r="130" spans="1:10" ht="7.5" customHeight="1" x14ac:dyDescent="0.15">
      <c r="A130" s="85"/>
      <c r="B130" s="86"/>
      <c r="C130" s="86"/>
      <c r="D130" s="86"/>
      <c r="E130" s="86"/>
      <c r="F130" s="86"/>
      <c r="G130" s="86"/>
      <c r="H130" s="86"/>
      <c r="I130" s="86"/>
      <c r="J130" s="86"/>
    </row>
    <row r="131" spans="1:10" ht="18.75" customHeight="1" x14ac:dyDescent="0.15">
      <c r="A131" s="85"/>
      <c r="B131" s="85"/>
      <c r="C131" s="85"/>
      <c r="D131" s="85"/>
      <c r="E131" s="85"/>
      <c r="F131" s="85"/>
      <c r="G131" s="85"/>
      <c r="H131" s="85"/>
      <c r="I131" s="85"/>
      <c r="J131" s="85"/>
    </row>
    <row r="132" spans="1:10" ht="18.75" customHeight="1" x14ac:dyDescent="0.15">
      <c r="A132" s="85"/>
      <c r="B132" s="85"/>
      <c r="C132" s="85"/>
      <c r="D132" s="85"/>
      <c r="E132" s="85"/>
      <c r="F132" s="85"/>
      <c r="G132" s="85"/>
      <c r="H132" s="85"/>
      <c r="I132" s="85"/>
      <c r="J132" s="85"/>
    </row>
    <row r="133" spans="1:10" ht="18.75" customHeight="1" x14ac:dyDescent="0.15">
      <c r="A133" s="85"/>
      <c r="B133" s="85"/>
      <c r="C133" s="85"/>
      <c r="D133" s="85"/>
      <c r="E133" s="85"/>
      <c r="F133" s="85"/>
      <c r="G133" s="85"/>
      <c r="H133" s="85"/>
      <c r="I133" s="85"/>
      <c r="J133" s="85"/>
    </row>
    <row r="134" spans="1:10" ht="18.75" customHeight="1" x14ac:dyDescent="0.15">
      <c r="A134" s="85"/>
      <c r="B134" s="85"/>
      <c r="C134" s="85"/>
      <c r="D134" s="85"/>
      <c r="E134" s="85"/>
      <c r="F134" s="85"/>
      <c r="G134" s="85"/>
      <c r="H134" s="85"/>
      <c r="I134" s="85"/>
      <c r="J134" s="85"/>
    </row>
    <row r="135" spans="1:10" ht="18.75" customHeight="1" x14ac:dyDescent="0.15">
      <c r="A135" s="85"/>
      <c r="B135" s="85"/>
      <c r="C135" s="85"/>
      <c r="D135" s="85"/>
      <c r="E135" s="85"/>
      <c r="F135" s="85"/>
      <c r="G135" s="85"/>
      <c r="H135" s="85"/>
      <c r="I135" s="85"/>
      <c r="J135" s="85"/>
    </row>
    <row r="136" spans="1:10" ht="18.75" customHeight="1" x14ac:dyDescent="0.15">
      <c r="A136" s="85"/>
      <c r="B136" s="85"/>
      <c r="C136" s="85"/>
      <c r="D136" s="85"/>
      <c r="E136" s="85"/>
      <c r="F136" s="85"/>
      <c r="G136" s="85"/>
      <c r="H136" s="85"/>
      <c r="I136" s="85"/>
      <c r="J136" s="85"/>
    </row>
    <row r="137" spans="1:10" ht="18.75" customHeight="1" x14ac:dyDescent="0.15">
      <c r="A137" s="85"/>
      <c r="B137" s="85"/>
      <c r="C137" s="85"/>
      <c r="D137" s="85"/>
      <c r="E137" s="85"/>
      <c r="F137" s="85"/>
      <c r="G137" s="85"/>
      <c r="H137" s="85"/>
      <c r="I137" s="85"/>
      <c r="J137" s="85"/>
    </row>
    <row r="138" spans="1:10" ht="18.75" customHeight="1" x14ac:dyDescent="0.15">
      <c r="A138" s="85"/>
      <c r="B138" s="85"/>
      <c r="C138" s="85"/>
      <c r="D138" s="85"/>
      <c r="E138" s="85"/>
      <c r="F138" s="85"/>
      <c r="G138" s="85"/>
      <c r="H138" s="85"/>
      <c r="I138" s="85"/>
      <c r="J138" s="85"/>
    </row>
    <row r="139" spans="1:10" ht="18.75" customHeight="1" x14ac:dyDescent="0.15">
      <c r="A139" s="85"/>
      <c r="B139" s="85"/>
      <c r="C139" s="85"/>
      <c r="D139" s="85"/>
      <c r="E139" s="85"/>
      <c r="F139" s="85"/>
      <c r="G139" s="85"/>
      <c r="H139" s="85"/>
      <c r="I139" s="85"/>
      <c r="J139" s="85"/>
    </row>
    <row r="140" spans="1:10" ht="18.75" customHeight="1" x14ac:dyDescent="0.15">
      <c r="A140" s="85"/>
      <c r="B140" s="85"/>
      <c r="C140" s="85"/>
      <c r="D140" s="85"/>
      <c r="E140" s="85"/>
      <c r="F140" s="85"/>
      <c r="G140" s="85"/>
      <c r="H140" s="85"/>
      <c r="I140" s="85"/>
      <c r="J140" s="85"/>
    </row>
    <row r="141" spans="1:10" ht="18.75" customHeight="1" x14ac:dyDescent="0.15">
      <c r="A141" s="85"/>
      <c r="B141" s="85"/>
      <c r="C141" s="85"/>
      <c r="D141" s="85"/>
      <c r="E141" s="85"/>
      <c r="F141" s="85"/>
      <c r="G141" s="85"/>
      <c r="H141" s="85"/>
      <c r="I141" s="85"/>
      <c r="J141" s="85"/>
    </row>
    <row r="142" spans="1:10" ht="18.75" customHeight="1" x14ac:dyDescent="0.15">
      <c r="A142" s="85"/>
      <c r="B142" s="85"/>
      <c r="C142" s="85"/>
      <c r="D142" s="85"/>
      <c r="E142" s="85"/>
      <c r="F142" s="85"/>
      <c r="G142" s="85"/>
      <c r="H142" s="85"/>
      <c r="I142" s="85"/>
      <c r="J142" s="85"/>
    </row>
    <row r="143" spans="1:10" ht="14.25" x14ac:dyDescent="0.15">
      <c r="A143" s="85"/>
      <c r="B143" s="85"/>
      <c r="C143" s="85"/>
      <c r="D143" s="85"/>
      <c r="E143" s="85"/>
      <c r="F143" s="85"/>
      <c r="G143" s="85"/>
      <c r="H143" s="85"/>
      <c r="I143" s="85"/>
      <c r="J143" s="85"/>
    </row>
    <row r="144" spans="1:10" ht="7.5" customHeight="1" x14ac:dyDescent="0.15">
      <c r="A144" s="87"/>
      <c r="B144" s="87"/>
      <c r="C144" s="87"/>
      <c r="D144" s="87"/>
      <c r="E144" s="87"/>
      <c r="F144" s="87"/>
      <c r="G144" s="87"/>
      <c r="H144" s="87"/>
      <c r="I144" s="87"/>
      <c r="J144" s="87"/>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5" orientation="portrait" r:id="rId1"/>
  <rowBreaks count="2" manualBreakCount="2">
    <brk id="44" max="9" man="1"/>
    <brk id="87"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M111"/>
  <sheetViews>
    <sheetView showZeros="0" tabSelected="1" view="pageBreakPreview" topLeftCell="D1" zoomScaleNormal="100" zoomScaleSheetLayoutView="100" workbookViewId="0">
      <selection activeCell="I29" sqref="I29"/>
    </sheetView>
  </sheetViews>
  <sheetFormatPr defaultColWidth="11.375" defaultRowHeight="22.5" customHeight="1" x14ac:dyDescent="0.15"/>
  <cols>
    <col min="1" max="3" width="2.625" style="5" customWidth="1"/>
    <col min="4" max="4" width="22.375" style="5" customWidth="1"/>
    <col min="5" max="5" width="21.625" style="5" customWidth="1"/>
    <col min="6" max="7" width="7.625" style="5" customWidth="1"/>
    <col min="8" max="8" width="33.375" style="5" customWidth="1"/>
    <col min="9" max="9" width="24.5" style="5" customWidth="1"/>
    <col min="10" max="10" width="5.5" style="5" customWidth="1"/>
    <col min="11" max="11" width="4.125" style="5" customWidth="1"/>
    <col min="12" max="16384" width="11.375" style="5"/>
  </cols>
  <sheetData>
    <row r="1" spans="1:13" ht="18.75" customHeight="1" x14ac:dyDescent="0.15">
      <c r="A1" s="5" t="s">
        <v>118</v>
      </c>
      <c r="J1" s="51" t="s">
        <v>70</v>
      </c>
    </row>
    <row r="2" spans="1:13" ht="18.75" customHeight="1" x14ac:dyDescent="0.15">
      <c r="A2" s="275" t="s">
        <v>41</v>
      </c>
      <c r="B2" s="275"/>
      <c r="C2" s="275"/>
      <c r="D2" s="275"/>
      <c r="E2" s="275"/>
      <c r="F2" s="275"/>
      <c r="G2" s="275"/>
      <c r="H2" s="275"/>
      <c r="I2" s="275"/>
      <c r="J2" s="275"/>
    </row>
    <row r="3" spans="1:13" ht="7.5" customHeight="1" x14ac:dyDescent="0.15">
      <c r="A3" s="53"/>
      <c r="B3" s="53"/>
      <c r="C3" s="53"/>
      <c r="D3" s="53"/>
      <c r="E3" s="53"/>
      <c r="F3" s="53"/>
      <c r="G3" s="53"/>
      <c r="H3" s="53"/>
      <c r="I3" s="53"/>
      <c r="J3" s="53"/>
    </row>
    <row r="4" spans="1:13" ht="18.75" customHeight="1" x14ac:dyDescent="0.15">
      <c r="A4" s="5" t="s">
        <v>6</v>
      </c>
      <c r="B4" s="5" t="s">
        <v>40</v>
      </c>
      <c r="C4" s="85"/>
      <c r="D4" s="85"/>
      <c r="E4" s="85"/>
      <c r="F4" s="85"/>
      <c r="G4" s="85"/>
      <c r="H4" s="85"/>
      <c r="I4" s="85"/>
      <c r="J4" s="85"/>
    </row>
    <row r="5" spans="1:13" ht="18.75" customHeight="1" x14ac:dyDescent="0.15">
      <c r="B5" s="320" t="s">
        <v>37</v>
      </c>
      <c r="C5" s="321"/>
      <c r="D5" s="322"/>
      <c r="E5" s="321" t="s">
        <v>39</v>
      </c>
      <c r="F5" s="321"/>
      <c r="G5" s="321"/>
      <c r="H5" s="321"/>
      <c r="I5" s="321"/>
      <c r="J5" s="322"/>
    </row>
    <row r="6" spans="1:13" ht="18.75" customHeight="1" x14ac:dyDescent="0.15">
      <c r="B6" s="9" t="s">
        <v>27</v>
      </c>
      <c r="C6" s="85"/>
      <c r="D6" s="88"/>
      <c r="I6" s="85"/>
      <c r="J6" s="88"/>
    </row>
    <row r="7" spans="1:13" ht="207" customHeight="1" x14ac:dyDescent="0.15">
      <c r="B7" s="89"/>
      <c r="C7" s="323" t="s">
        <v>28</v>
      </c>
      <c r="D7" s="324"/>
      <c r="E7" s="317" t="s">
        <v>311</v>
      </c>
      <c r="F7" s="318"/>
      <c r="G7" s="318"/>
      <c r="H7" s="318"/>
      <c r="I7" s="318"/>
      <c r="J7" s="319"/>
      <c r="K7" s="5" t="str">
        <f>IF(E7="","入力してください","")</f>
        <v/>
      </c>
    </row>
    <row r="8" spans="1:13" ht="207" customHeight="1" x14ac:dyDescent="0.15">
      <c r="B8" s="89"/>
      <c r="C8" s="315" t="s">
        <v>29</v>
      </c>
      <c r="D8" s="316"/>
      <c r="E8" s="317" t="s">
        <v>297</v>
      </c>
      <c r="F8" s="318"/>
      <c r="G8" s="318"/>
      <c r="H8" s="318"/>
      <c r="I8" s="318"/>
      <c r="J8" s="319"/>
      <c r="K8" s="5" t="str">
        <f>IF(E8="","入力してください","")</f>
        <v/>
      </c>
    </row>
    <row r="9" spans="1:13" ht="172.5" customHeight="1" x14ac:dyDescent="0.15">
      <c r="B9" s="89"/>
      <c r="C9" s="323" t="s">
        <v>30</v>
      </c>
      <c r="D9" s="324"/>
      <c r="E9" s="317" t="s">
        <v>298</v>
      </c>
      <c r="F9" s="318"/>
      <c r="G9" s="318"/>
      <c r="H9" s="318"/>
      <c r="I9" s="318"/>
      <c r="J9" s="319"/>
      <c r="K9" s="5" t="str">
        <f>IF(E9="","入力してください","")</f>
        <v/>
      </c>
    </row>
    <row r="10" spans="1:13" ht="172.5" customHeight="1" x14ac:dyDescent="0.15">
      <c r="B10" s="89"/>
      <c r="C10" s="323" t="s">
        <v>31</v>
      </c>
      <c r="D10" s="324"/>
      <c r="E10" s="317" t="s">
        <v>290</v>
      </c>
      <c r="F10" s="318"/>
      <c r="G10" s="318"/>
      <c r="H10" s="318"/>
      <c r="I10" s="318"/>
      <c r="J10" s="319"/>
      <c r="K10" s="5" t="str">
        <f t="shared" ref="K10:K14" si="0">IF(E10="","入力してください","")</f>
        <v/>
      </c>
    </row>
    <row r="11" spans="1:13" ht="172.5" customHeight="1" x14ac:dyDescent="0.15">
      <c r="B11" s="89"/>
      <c r="C11" s="323" t="s">
        <v>32</v>
      </c>
      <c r="D11" s="324"/>
      <c r="E11" s="317" t="s">
        <v>312</v>
      </c>
      <c r="F11" s="318"/>
      <c r="G11" s="318"/>
      <c r="H11" s="318"/>
      <c r="I11" s="318"/>
      <c r="J11" s="319"/>
      <c r="K11" s="5" t="str">
        <f t="shared" si="0"/>
        <v/>
      </c>
    </row>
    <row r="12" spans="1:13" ht="18.75" customHeight="1" x14ac:dyDescent="0.15">
      <c r="B12" s="90" t="s">
        <v>33</v>
      </c>
      <c r="C12" s="91"/>
      <c r="D12" s="92"/>
      <c r="E12" s="44"/>
      <c r="F12" s="44"/>
      <c r="G12" s="44"/>
      <c r="H12" s="44"/>
      <c r="I12" s="44"/>
      <c r="J12" s="45"/>
    </row>
    <row r="13" spans="1:13" ht="244.35" customHeight="1" x14ac:dyDescent="0.15">
      <c r="B13" s="89"/>
      <c r="C13" s="323" t="s">
        <v>34</v>
      </c>
      <c r="D13" s="324"/>
      <c r="E13" s="318" t="s">
        <v>299</v>
      </c>
      <c r="F13" s="318"/>
      <c r="G13" s="318"/>
      <c r="H13" s="318"/>
      <c r="I13" s="318"/>
      <c r="J13" s="319"/>
      <c r="K13" s="5" t="str">
        <f t="shared" si="0"/>
        <v/>
      </c>
    </row>
    <row r="14" spans="1:13" ht="255" customHeight="1" x14ac:dyDescent="0.15">
      <c r="B14" s="89"/>
      <c r="C14" s="323" t="s">
        <v>35</v>
      </c>
      <c r="D14" s="324"/>
      <c r="E14" s="318" t="s">
        <v>300</v>
      </c>
      <c r="F14" s="318"/>
      <c r="G14" s="318"/>
      <c r="H14" s="318"/>
      <c r="I14" s="318"/>
      <c r="J14" s="319"/>
      <c r="K14" s="5" t="str">
        <f t="shared" si="0"/>
        <v/>
      </c>
    </row>
    <row r="15" spans="1:13" ht="243" customHeight="1" x14ac:dyDescent="0.15">
      <c r="B15" s="332" t="s">
        <v>36</v>
      </c>
      <c r="C15" s="333"/>
      <c r="D15" s="324"/>
      <c r="E15" s="318" t="s">
        <v>303</v>
      </c>
      <c r="F15" s="318"/>
      <c r="G15" s="318"/>
      <c r="H15" s="318"/>
      <c r="I15" s="318"/>
      <c r="J15" s="319"/>
      <c r="K15" s="5" t="str">
        <f>IF(E15="","入力してください","")</f>
        <v/>
      </c>
    </row>
    <row r="16" spans="1:13" ht="243" customHeight="1" x14ac:dyDescent="0.15">
      <c r="B16" s="325" t="s">
        <v>293</v>
      </c>
      <c r="C16" s="326"/>
      <c r="D16" s="327"/>
      <c r="E16" s="328" t="s">
        <v>276</v>
      </c>
      <c r="F16" s="328"/>
      <c r="G16" s="328"/>
      <c r="H16" s="328"/>
      <c r="I16" s="328"/>
      <c r="J16" s="329"/>
      <c r="K16" s="28" t="str">
        <f>IF(E16="","入力してください","")</f>
        <v/>
      </c>
      <c r="L16" s="28"/>
      <c r="M16" s="28"/>
    </row>
    <row r="17" spans="1:11" ht="7.5" customHeight="1" x14ac:dyDescent="0.15">
      <c r="B17" s="85"/>
      <c r="C17" s="85"/>
      <c r="D17" s="85"/>
      <c r="E17" s="85"/>
      <c r="F17" s="85"/>
      <c r="G17" s="85"/>
      <c r="H17" s="85"/>
      <c r="I17" s="85"/>
      <c r="J17" s="85"/>
    </row>
    <row r="18" spans="1:11" ht="18.75" customHeight="1" x14ac:dyDescent="0.15">
      <c r="A18" s="5" t="s">
        <v>119</v>
      </c>
      <c r="C18" s="85"/>
      <c r="D18" s="85"/>
      <c r="E18" s="85"/>
      <c r="F18" s="54"/>
      <c r="G18" s="334" t="s">
        <v>249</v>
      </c>
      <c r="H18" s="330"/>
      <c r="I18" s="330"/>
      <c r="J18" s="331"/>
      <c r="K18" s="5" t="str">
        <f>IF(G18="","入力してください","")</f>
        <v/>
      </c>
    </row>
    <row r="19" spans="1:11" ht="22.5" customHeight="1" x14ac:dyDescent="0.15">
      <c r="B19" s="85"/>
      <c r="C19" s="85"/>
      <c r="D19" s="85"/>
      <c r="E19" s="85"/>
      <c r="F19" s="85"/>
      <c r="G19" s="85"/>
      <c r="H19" s="85"/>
      <c r="I19" s="85"/>
      <c r="J19" s="85"/>
    </row>
    <row r="20" spans="1:11" ht="22.5" customHeight="1" x14ac:dyDescent="0.15">
      <c r="B20" s="85"/>
      <c r="C20" s="85"/>
      <c r="D20" s="85"/>
      <c r="E20" s="85"/>
      <c r="F20" s="85"/>
      <c r="G20" s="85"/>
      <c r="H20" s="85"/>
      <c r="I20" s="85"/>
      <c r="J20" s="85"/>
    </row>
    <row r="21" spans="1:11" ht="22.5" customHeight="1" x14ac:dyDescent="0.15">
      <c r="B21" s="85"/>
      <c r="C21" s="85"/>
      <c r="D21" s="85"/>
      <c r="E21" s="85"/>
      <c r="F21" s="85"/>
      <c r="G21" s="85"/>
      <c r="H21" s="85"/>
      <c r="I21" s="85"/>
      <c r="J21" s="85"/>
    </row>
    <row r="22" spans="1:11" ht="22.5" customHeight="1" x14ac:dyDescent="0.15">
      <c r="B22" s="85"/>
      <c r="C22" s="85"/>
      <c r="D22" s="85"/>
      <c r="E22" s="85"/>
      <c r="F22" s="85"/>
      <c r="G22" s="85"/>
      <c r="H22" s="85"/>
      <c r="I22" s="85"/>
      <c r="J22" s="85"/>
    </row>
    <row r="23" spans="1:11" ht="22.5" customHeight="1" x14ac:dyDescent="0.15">
      <c r="B23" s="85"/>
      <c r="C23" s="85"/>
      <c r="D23" s="85"/>
      <c r="E23" s="85"/>
      <c r="F23" s="85"/>
      <c r="G23" s="85"/>
      <c r="H23" s="85"/>
      <c r="I23" s="85"/>
      <c r="J23" s="85"/>
    </row>
    <row r="24" spans="1:11" ht="22.5" customHeight="1" x14ac:dyDescent="0.15">
      <c r="B24" s="30"/>
      <c r="C24" s="30"/>
      <c r="D24" s="30"/>
      <c r="E24" s="30"/>
      <c r="F24" s="30"/>
      <c r="G24" s="30"/>
      <c r="H24" s="30"/>
      <c r="I24" s="30"/>
      <c r="J24" s="30"/>
    </row>
    <row r="25" spans="1:11" ht="14.25" x14ac:dyDescent="0.15">
      <c r="B25" s="30"/>
      <c r="C25" s="30"/>
      <c r="D25" s="30"/>
      <c r="E25" s="30"/>
      <c r="F25" s="30"/>
      <c r="G25" s="30"/>
      <c r="H25" s="30"/>
      <c r="I25" s="30"/>
      <c r="J25" s="30"/>
    </row>
    <row r="26" spans="1:11" ht="22.5" customHeight="1" x14ac:dyDescent="0.15">
      <c r="B26" s="30"/>
      <c r="C26" s="30"/>
      <c r="D26" s="30"/>
      <c r="E26" s="30"/>
      <c r="F26" s="30"/>
      <c r="G26" s="30"/>
      <c r="H26" s="30"/>
      <c r="I26" s="30"/>
      <c r="J26" s="30"/>
    </row>
    <row r="111" spans="2:6" ht="22.5" customHeight="1" x14ac:dyDescent="0.15">
      <c r="B111" s="28"/>
      <c r="C111" s="28"/>
      <c r="D111" s="28"/>
      <c r="E111" s="28"/>
      <c r="F111" s="28"/>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92390BC4-9AE0-46DD-94F7-BF21D0A38F6F}"/>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様式２ー１　プログラムを構成する授業科目</vt:lpstr>
      <vt:lpstr>様式２ー２　プログラムを構成する授業科目</vt:lpstr>
      <vt:lpstr>様式２ー３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'様式２ー１　プログラムを構成する授業科目'!Print_Area</vt:lpstr>
      <vt:lpstr>'様式２ー２　プログラムを構成する授業科目'!Print_Area</vt:lpstr>
      <vt:lpstr>'様式２ー３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笠原　明子</cp:lastModifiedBy>
  <cp:lastPrinted>2022-05-24T00:31:58Z</cp:lastPrinted>
  <dcterms:created xsi:type="dcterms:W3CDTF">2011-06-14T05:32:50Z</dcterms:created>
  <dcterms:modified xsi:type="dcterms:W3CDTF">2022-07-13T05:01:22Z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