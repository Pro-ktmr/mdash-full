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Y:\聖マリア学院\数理・データサイエンス・AI教育プログラム認定制度　令和4年度申請（令和3年度プログラム）\申請書提出用\実際に申請する様式\聖マリア学院大学\"/>
    </mc:Choice>
  </mc:AlternateContent>
  <xr:revisionPtr revIDLastSave="0" documentId="13_ncr:1_{81759F66-0FBB-47ED-9256-47917C95228B}" xr6:coauthVersionLast="36" xr6:coauthVersionMax="36" xr10:uidLastSave="{00000000-0000-0000-0000-000000000000}"/>
  <bookViews>
    <workbookView xWindow="-645" yWindow="120" windowWidth="20265" windowHeight="7425"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C4" i="40" l="1"/>
  <c r="K18" i="42" l="1"/>
  <c r="K16" i="42"/>
  <c r="K15" i="42"/>
  <c r="K8" i="42"/>
  <c r="K113" i="41"/>
  <c r="K91" i="41"/>
  <c r="K69" i="41"/>
  <c r="K46" i="41"/>
  <c r="K31" i="41"/>
  <c r="K15" i="41"/>
  <c r="K5" i="41"/>
  <c r="O45" i="8"/>
  <c r="O44" i="8"/>
  <c r="O41" i="8"/>
  <c r="O39" i="8"/>
  <c r="O37" i="8"/>
  <c r="O34" i="8"/>
  <c r="O32" i="8"/>
  <c r="O29" i="8"/>
  <c r="O20" i="8"/>
  <c r="O18" i="8"/>
  <c r="O16" i="8"/>
  <c r="O14" i="8"/>
  <c r="O12" i="8"/>
  <c r="O10" i="8"/>
  <c r="O6" i="8"/>
  <c r="O8" i="8"/>
  <c r="O4" i="8"/>
  <c r="K14" i="42"/>
  <c r="K13" i="42"/>
  <c r="K10" i="42"/>
  <c r="P30" i="40"/>
  <c r="O30" i="40"/>
  <c r="N30" i="40"/>
  <c r="M30" i="40"/>
  <c r="L30" i="40"/>
  <c r="K30" i="40"/>
  <c r="J30" i="40"/>
  <c r="I30" i="40"/>
  <c r="H30" i="40"/>
  <c r="G30" i="40"/>
  <c r="F30" i="40"/>
  <c r="E30" i="40"/>
  <c r="D30" i="40"/>
  <c r="I29" i="41" s="1"/>
  <c r="C30" i="40"/>
  <c r="Q29" i="40"/>
  <c r="R29" i="40" s="1"/>
  <c r="Q28" i="40"/>
  <c r="R28" i="40"/>
  <c r="Q27" i="40"/>
  <c r="R27" i="40" s="1"/>
  <c r="Q26" i="40"/>
  <c r="R26" i="40"/>
  <c r="Q25" i="40"/>
  <c r="R25" i="40" s="1"/>
  <c r="Q24" i="40"/>
  <c r="R24" i="40"/>
  <c r="Q23" i="40"/>
  <c r="R23" i="40" s="1"/>
  <c r="Q22" i="40"/>
  <c r="R22" i="40"/>
  <c r="Q21" i="40"/>
  <c r="R21" i="40" s="1"/>
  <c r="Q20" i="40"/>
  <c r="R20" i="40"/>
  <c r="Q19" i="40"/>
  <c r="R19" i="40" s="1"/>
  <c r="Q18" i="40"/>
  <c r="R18" i="40"/>
  <c r="Q17" i="40"/>
  <c r="R17" i="40" s="1"/>
  <c r="Q16" i="40"/>
  <c r="R16" i="40"/>
  <c r="Q15" i="40"/>
  <c r="Q14" i="40"/>
  <c r="R14" i="40"/>
  <c r="Q13" i="40"/>
  <c r="R13" i="40" s="1"/>
  <c r="Q12" i="40"/>
  <c r="R12" i="40"/>
  <c r="Q11" i="40"/>
  <c r="R11" i="40" s="1"/>
  <c r="Q10" i="40"/>
  <c r="R10" i="40" s="1"/>
  <c r="Q30" i="40" l="1"/>
  <c r="R30" i="40" s="1"/>
  <c r="C28" i="41" s="1"/>
  <c r="R15" i="40"/>
</calcChain>
</file>

<file path=xl/sharedStrings.xml><?xml version="1.0" encoding="utf-8"?>
<sst xmlns="http://schemas.openxmlformats.org/spreadsheetml/2006/main" count="359" uniqueCount="209">
  <si>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</si>
  <si>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</si>
  <si>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</si>
  <si>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</si>
  <si>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</si>
  <si>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</si>
  <si>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</si>
  <si>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</si>
  <si>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</si>
  <si>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</si>
  <si>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</si>
  <si>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</si>
  <si>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</si>
  <si>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</si>
  <si>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</si>
  <si>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</si>
  <si>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</si>
  <si>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</si>
  <si>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</si>
  <si>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</si>
  <si>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</si>
  <si>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</si>
  <si>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</si>
  <si>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</si>
  <si>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</si>
  <si>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</si>
  <si>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</si>
  <si>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</si>
  <si>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</si>
  <si>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</si>
  <si>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</si>
  <si>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</si>
  <si>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</si>
  <si>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</si>
  <si>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</si>
  <si>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</si>
  <si>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</si>
  <si>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</si>
  <si>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</si>
  <si>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</si>
  <si>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</si>
  <si>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</si>
  <si>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</si>
  <si>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</si>
  <si>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</si>
  <si>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</si>
  <si>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</si>
  <si>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</si>
  <si>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⑫</t>
    <phoneticPr fontId="1"/>
  </si>
  <si>
    <t>総数</t>
    <rPh sb="0" eb="2">
      <t>ソウスウ</t>
    </rPh>
    <phoneticPr fontId="1"/>
  </si>
  <si>
    <t>⑧</t>
    <phoneticPr fontId="1"/>
  </si>
  <si>
    <t>⑬</t>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</si>
  <si>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</si>
  <si>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</si>
  <si>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</si>
  <si>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</si>
  <si>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</si>
  <si>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</si>
  <si>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</si>
  <si>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</si>
  <si>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</si>
  <si>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</si>
  <si>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</si>
  <si>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</si>
  <si>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</si>
  <si>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</si>
  <si>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</si>
  <si>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</si>
  <si>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</si>
  <si>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</si>
  <si>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</si>
  <si>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</si>
  <si>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</si>
  <si>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</si>
  <si>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</si>
  <si>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</si>
  <si>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</si>
  <si>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</si>
  <si>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</si>
  <si>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</si>
  <si>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</si>
  <si>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</si>
  <si>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</si>
  <si>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</si>
  <si>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</si>
  <si>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</si>
  <si>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</si>
  <si>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</si>
  <si>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</si>
  <si>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</si>
  <si>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</si>
  <si>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</si>
  <si>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</si>
  <si>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</si>
  <si>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</si>
  <si>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</si>
  <si>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</si>
  <si>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</si>
  <si>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</si>
  <si>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</si>
  <si>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</si>
  <si>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</si>
  <si>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</si>
  <si>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</si>
  <si>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</si>
  <si>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</si>
  <si>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</si>
  <si>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</si>
  <si>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</si>
  <si>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</si>
  <si>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</si>
  <si>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</si>
  <si>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</si>
  <si>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</si>
  <si>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</si>
  <si>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</si>
  <si>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</si>
  <si>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</si>
  <si>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</si>
  <si>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</si>
  <si>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</si>
  <si>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</si>
  <si>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</si>
  <si>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</si>
  <si>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</si>
  <si>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</si>
  <si>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</si>
  <si>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</si>
  <si>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</si>
  <si>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</si>
  <si>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</si>
  <si>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</si>
  <si>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</si>
  <si>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</si>
  <si>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</si>
  <si>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</si>
  <si>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</si>
  <si>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</si>
  <si>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</si>
  <si>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</si>
  <si>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</si>
  <si>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聖マリア学院大学</t>
    <rPh sb="0" eb="1">
      <t>セイ</t>
    </rPh>
    <rPh sb="4" eb="8">
      <t>ガクインダイガク</t>
    </rPh>
    <phoneticPr fontId="1"/>
  </si>
  <si>
    <t>学校法人　聖マリア学院</t>
    <rPh sb="0" eb="4">
      <t>ガッコウホウジン</t>
    </rPh>
    <rPh sb="5" eb="6">
      <t>セイ</t>
    </rPh>
    <rPh sb="9" eb="11">
      <t>ガクイン</t>
    </rPh>
    <phoneticPr fontId="1"/>
  </si>
  <si>
    <t>私立大学</t>
  </si>
  <si>
    <t>データヘルスサイエンス入門プログラム</t>
    <rPh sb="11" eb="13">
      <t>ニュウモン</t>
    </rPh>
    <phoneticPr fontId="1"/>
  </si>
  <si>
    <t>無</t>
  </si>
  <si>
    <t>井手　悠一郎</t>
    <rPh sb="0" eb="1">
      <t>イ</t>
    </rPh>
    <rPh sb="1" eb="2">
      <t>テ</t>
    </rPh>
    <rPh sb="3" eb="6">
      <t>ユウイチロウ</t>
    </rPh>
    <phoneticPr fontId="1"/>
  </si>
  <si>
    <t>教育の質向上委員会</t>
    <rPh sb="0" eb="2">
      <t>キョウイク</t>
    </rPh>
    <rPh sb="3" eb="4">
      <t>シツ</t>
    </rPh>
    <rPh sb="4" eb="6">
      <t>コウジョウ</t>
    </rPh>
    <rPh sb="6" eb="9">
      <t>イインカイ</t>
    </rPh>
    <phoneticPr fontId="1"/>
  </si>
  <si>
    <t>桃井　雅子</t>
    <rPh sb="0" eb="2">
      <t>モモイ</t>
    </rPh>
    <rPh sb="3" eb="5">
      <t>マサコ</t>
    </rPh>
    <phoneticPr fontId="1"/>
  </si>
  <si>
    <t>教育の質向上委員長・教務部長</t>
    <rPh sb="0" eb="2">
      <t>キョウイク</t>
    </rPh>
    <rPh sb="3" eb="4">
      <t>シツ</t>
    </rPh>
    <rPh sb="4" eb="6">
      <t>コウジョウ</t>
    </rPh>
    <rPh sb="6" eb="9">
      <t>イインチョウ</t>
    </rPh>
    <rPh sb="10" eb="12">
      <t>キョウム</t>
    </rPh>
    <rPh sb="12" eb="14">
      <t>ブチョウ</t>
    </rPh>
    <phoneticPr fontId="1"/>
  </si>
  <si>
    <t>教育の質向上委員会・教務部長</t>
    <rPh sb="0" eb="2">
      <t>キョウイク</t>
    </rPh>
    <rPh sb="3" eb="4">
      <t>シツ</t>
    </rPh>
    <rPh sb="4" eb="6">
      <t>コウジョウ</t>
    </rPh>
    <rPh sb="6" eb="9">
      <t>イインカイ</t>
    </rPh>
    <rPh sb="10" eb="14">
      <t>キョウムブチョウ</t>
    </rPh>
    <phoneticPr fontId="1"/>
  </si>
  <si>
    <t>認定教育プログラム</t>
  </si>
  <si>
    <t>事務部</t>
    <rPh sb="0" eb="3">
      <t>ジムブ</t>
    </rPh>
    <phoneticPr fontId="1"/>
  </si>
  <si>
    <t>野中　岳史</t>
    <rPh sb="0" eb="2">
      <t>ノナカ</t>
    </rPh>
    <rPh sb="3" eb="5">
      <t>タケシ</t>
    </rPh>
    <phoneticPr fontId="1"/>
  </si>
  <si>
    <t>kyoumu@st-mary.ac.jp</t>
    <phoneticPr fontId="1"/>
  </si>
  <si>
    <t xml:space="preserve">0942-35-7271 </t>
    <phoneticPr fontId="1"/>
  </si>
  <si>
    <t>学部・学科によって、修了要件は相違しない</t>
  </si>
  <si>
    <t>情報リテラシー</t>
    <rPh sb="0" eb="2">
      <t>ジョウホウ</t>
    </rPh>
    <phoneticPr fontId="1"/>
  </si>
  <si>
    <t>情報機器の操作</t>
    <rPh sb="0" eb="2">
      <t>ジョウホウ</t>
    </rPh>
    <rPh sb="2" eb="4">
      <t>キキ</t>
    </rPh>
    <rPh sb="5" eb="7">
      <t>ソウサ</t>
    </rPh>
    <phoneticPr fontId="1"/>
  </si>
  <si>
    <t>医療統計学Ⅰ</t>
    <rPh sb="0" eb="5">
      <t>イリョウトウケイガク</t>
    </rPh>
    <phoneticPr fontId="1"/>
  </si>
  <si>
    <t>疫学Ⅰ</t>
    <rPh sb="0" eb="2">
      <t>エキガク</t>
    </rPh>
    <phoneticPr fontId="1"/>
  </si>
  <si>
    <t>○</t>
  </si>
  <si>
    <t>全学開講</t>
  </si>
  <si>
    <t>医療統計学Ⅰ</t>
    <rPh sb="0" eb="2">
      <t>イリョウ</t>
    </rPh>
    <rPh sb="2" eb="5">
      <t>トウケイガク</t>
    </rPh>
    <phoneticPr fontId="1"/>
  </si>
  <si>
    <t>看護学部看護学科</t>
    <rPh sb="0" eb="4">
      <t>カンゴガクブ</t>
    </rPh>
    <rPh sb="4" eb="8">
      <t>カンゴガッカ</t>
    </rPh>
    <phoneticPr fontId="1"/>
  </si>
  <si>
    <t>教育の質向上委員会規程</t>
    <rPh sb="0" eb="2">
      <t>キョウイク</t>
    </rPh>
    <rPh sb="3" eb="4">
      <t>シツ</t>
    </rPh>
    <rPh sb="4" eb="6">
      <t>コウジョウ</t>
    </rPh>
    <rPh sb="6" eb="9">
      <t>イインカイ</t>
    </rPh>
    <rPh sb="9" eb="11">
      <t>キテイ</t>
    </rPh>
    <phoneticPr fontId="1"/>
  </si>
  <si>
    <t>データ解析：パターン発見、グルーピング）「医療統計学Ⅰ」（1回目）
データ可視化：複合グラフ、関係性の可視化「医療統計学Ⅰ」（3回目）
非構造化データ処理：画像分析「情報リテラシー」（3回目）
特化型AIと汎用AI、今のAIでできることとできないこと、AIとビッグデータ「医療統計学Ⅰ」（1回目）</t>
    <rPh sb="3" eb="5">
      <t>カイセキ</t>
    </rPh>
    <rPh sb="10" eb="12">
      <t>ハッケン</t>
    </rPh>
    <rPh sb="37" eb="40">
      <t>カシカ</t>
    </rPh>
    <rPh sb="41" eb="43">
      <t>フクゴウ</t>
    </rPh>
    <rPh sb="47" eb="50">
      <t>カンケイセイ</t>
    </rPh>
    <rPh sb="51" eb="54">
      <t>カシカ</t>
    </rPh>
    <rPh sb="55" eb="60">
      <t>イリョウトウケイガク</t>
    </rPh>
    <rPh sb="64" eb="66">
      <t>カイメ</t>
    </rPh>
    <rPh sb="68" eb="72">
      <t>ヒコウゾウカ</t>
    </rPh>
    <rPh sb="75" eb="77">
      <t>ショリ</t>
    </rPh>
    <rPh sb="78" eb="82">
      <t>ガゾウブンセキ</t>
    </rPh>
    <rPh sb="83" eb="85">
      <t>ジョウホウ</t>
    </rPh>
    <rPh sb="93" eb="95">
      <t>カイメ</t>
    </rPh>
    <rPh sb="97" eb="100">
      <t>トッカガタ</t>
    </rPh>
    <rPh sb="103" eb="105">
      <t>ハンヨウ</t>
    </rPh>
    <rPh sb="108" eb="109">
      <t>イマ</t>
    </rPh>
    <rPh sb="136" eb="141">
      <t>イリョウトウケイガク</t>
    </rPh>
    <rPh sb="145" eb="147">
      <t>カイメ</t>
    </rPh>
    <phoneticPr fontId="1"/>
  </si>
  <si>
    <t>データサイエンスのサイクル（データの取得・管理・加工）「医療統計学Ⅰ」（1回目）
ヘルスケアにおけるデータ・AI利活用事例「情報リテラシー」（3回目）</t>
    <rPh sb="18" eb="20">
      <t>シュトク</t>
    </rPh>
    <rPh sb="21" eb="23">
      <t>カンリ</t>
    </rPh>
    <rPh sb="24" eb="26">
      <t>カコウ</t>
    </rPh>
    <rPh sb="28" eb="33">
      <t>イリョウトウケイガク</t>
    </rPh>
    <rPh sb="37" eb="39">
      <t>カイメ</t>
    </rPh>
    <rPh sb="56" eb="61">
      <t>リカツヨウジレイ</t>
    </rPh>
    <rPh sb="62" eb="64">
      <t>ジョウホウ</t>
    </rPh>
    <rPh sb="72" eb="74">
      <t>カイメ</t>
    </rPh>
    <phoneticPr fontId="1"/>
  </si>
  <si>
    <t>ビッグデータ、IoT、AI、ロボット「医療統計学Ⅰ」（1回目）
データ量の増加、計算機の処理性能の向上「医療統計学Ⅰ」（1回目）
society5.0、データ駆動社会「医療統計学Ⅰ」（1回目）
人間の知的活動とAIの関係性「医療統計学Ⅰ」（1回目）</t>
    <rPh sb="35" eb="36">
      <t>リョウ</t>
    </rPh>
    <rPh sb="37" eb="39">
      <t>ゾウカ</t>
    </rPh>
    <rPh sb="40" eb="43">
      <t>ケイサンキ</t>
    </rPh>
    <rPh sb="79" eb="83">
      <t>クドウシャカイ</t>
    </rPh>
    <rPh sb="97" eb="99">
      <t>ニンゲン</t>
    </rPh>
    <rPh sb="100" eb="104">
      <t>チテキカツドウ</t>
    </rPh>
    <rPh sb="108" eb="111">
      <t>カンケイセイ</t>
    </rPh>
    <phoneticPr fontId="1"/>
  </si>
  <si>
    <t>データ、AI活用領域の広がり（生産、在庫管理、マーケティング、自動運転車両など）「医療統計学Ⅰ」（1回目）
仮説検証、知識発見、判断支援「情報リテラシー」（3回目）</t>
    <rPh sb="6" eb="10">
      <t>カツヨウリョウイキ</t>
    </rPh>
    <rPh sb="11" eb="12">
      <t>ヒロ</t>
    </rPh>
    <rPh sb="15" eb="17">
      <t>セイサン</t>
    </rPh>
    <rPh sb="18" eb="22">
      <t>ザイコカンリ</t>
    </rPh>
    <rPh sb="31" eb="35">
      <t>ジドウウンテン</t>
    </rPh>
    <rPh sb="35" eb="37">
      <t>シャリョウ</t>
    </rPh>
    <rPh sb="41" eb="46">
      <t>イリョウトウケイガク</t>
    </rPh>
    <rPh sb="50" eb="52">
      <t>カイメ</t>
    </rPh>
    <rPh sb="54" eb="58">
      <t>カセツケンショウ</t>
    </rPh>
    <rPh sb="59" eb="63">
      <t>チシキハッケン</t>
    </rPh>
    <rPh sb="64" eb="68">
      <t>ハンダンシエン</t>
    </rPh>
    <rPh sb="69" eb="71">
      <t>ジョウホウ</t>
    </rPh>
    <rPh sb="79" eb="81">
      <t>カイメ</t>
    </rPh>
    <phoneticPr fontId="1"/>
  </si>
  <si>
    <t xml:space="preserve">データの集計(和、平均）、並び替え「医療統計学Ⅰ」（3回目）（4回目）「情報機器の操作」（5回目）
</t>
    <rPh sb="4" eb="6">
      <t>シュウケイ</t>
    </rPh>
    <rPh sb="7" eb="8">
      <t>ワ</t>
    </rPh>
    <rPh sb="9" eb="11">
      <t>ヘイキン</t>
    </rPh>
    <rPh sb="13" eb="14">
      <t>ナラ</t>
    </rPh>
    <rPh sb="15" eb="16">
      <t>カ</t>
    </rPh>
    <rPh sb="18" eb="24">
      <t>イリョウトウケイガク1</t>
    </rPh>
    <rPh sb="27" eb="29">
      <t>カイメ</t>
    </rPh>
    <rPh sb="32" eb="34">
      <t>カイメ</t>
    </rPh>
    <rPh sb="36" eb="40">
      <t>ジョウホウキキ</t>
    </rPh>
    <rPh sb="41" eb="43">
      <t>ソウサ</t>
    </rPh>
    <rPh sb="46" eb="48">
      <t>カイメ</t>
    </rPh>
    <phoneticPr fontId="1"/>
  </si>
  <si>
    <t>情報リテラシー</t>
    <rPh sb="0" eb="2">
      <t>ジョウホウ</t>
    </rPh>
    <phoneticPr fontId="1"/>
  </si>
  <si>
    <t>4‐6画像解析</t>
  </si>
  <si>
    <t>4‐5テキスト解析</t>
  </si>
  <si>
    <t>AI等を活用した新しいビジネスモデル（プレシジョンメディシン）「情報リテラシー」（3回目）</t>
    <rPh sb="2" eb="3">
      <t>トウ</t>
    </rPh>
    <rPh sb="4" eb="6">
      <t>カツヨウ</t>
    </rPh>
    <rPh sb="8" eb="9">
      <t>アタラ</t>
    </rPh>
    <rPh sb="32" eb="34">
      <t>ジョウホウ</t>
    </rPh>
    <phoneticPr fontId="1"/>
  </si>
  <si>
    <t>4‐8データ活用実践（教師あり学習）</t>
  </si>
  <si>
    <t>調査データ、人の行動ログデータ、機械の稼働ログデータ「医療統計学Ⅰ」（1回目）
構造化データ「医療統計学Ⅱ」（1回目）
構造化データ、非構造化データ（文章、画像）「情報リテラシー」（3回目）</t>
    <rPh sb="0" eb="2">
      <t>チョウサ</t>
    </rPh>
    <rPh sb="6" eb="7">
      <t>ヒト</t>
    </rPh>
    <rPh sb="8" eb="10">
      <t>コウドウ</t>
    </rPh>
    <rPh sb="16" eb="18">
      <t>キカイ</t>
    </rPh>
    <rPh sb="19" eb="21">
      <t>カドウ</t>
    </rPh>
    <rPh sb="27" eb="32">
      <t>イリョウトウケイガク</t>
    </rPh>
    <rPh sb="36" eb="38">
      <t>カイメ</t>
    </rPh>
    <rPh sb="40" eb="43">
      <t>コウゾウカ</t>
    </rPh>
    <rPh sb="47" eb="52">
      <t>イリョウトウケイガク</t>
    </rPh>
    <rPh sb="56" eb="58">
      <t>カイメ</t>
    </rPh>
    <rPh sb="60" eb="63">
      <t>コウゾウカ</t>
    </rPh>
    <rPh sb="67" eb="71">
      <t>ヒコウゾウカ</t>
    </rPh>
    <rPh sb="75" eb="77">
      <t>ブンショウ</t>
    </rPh>
    <rPh sb="78" eb="80">
      <t>ガゾウ</t>
    </rPh>
    <rPh sb="82" eb="84">
      <t>ジョウホウ</t>
    </rPh>
    <rPh sb="92" eb="94">
      <t>カイメ</t>
    </rPh>
    <phoneticPr fontId="1"/>
  </si>
  <si>
    <t>医療統計学Ⅱ</t>
    <rPh sb="0" eb="5">
      <t>イリョウトウケイガク</t>
    </rPh>
    <phoneticPr fontId="1"/>
  </si>
  <si>
    <t>データ表現（棒グラフ、折れ線グラフ）「情報機器の操作」（5回目）
データの比較（条件をそろえた比較）「医療統計学Ⅰ」（3回目）
データの図表表現（チャート化）「医療統計学Ⅱ」（1回目）</t>
    <rPh sb="3" eb="5">
      <t>ヒョウゲン</t>
    </rPh>
    <rPh sb="6" eb="7">
      <t>ボウ</t>
    </rPh>
    <rPh sb="11" eb="12">
      <t>オ</t>
    </rPh>
    <rPh sb="13" eb="14">
      <t>セン</t>
    </rPh>
    <rPh sb="19" eb="23">
      <t>ジョウホウキキ</t>
    </rPh>
    <rPh sb="24" eb="26">
      <t>ソウサ</t>
    </rPh>
    <rPh sb="29" eb="31">
      <t>カイメ</t>
    </rPh>
    <rPh sb="37" eb="39">
      <t>ヒカク</t>
    </rPh>
    <rPh sb="40" eb="42">
      <t>ジョウケン</t>
    </rPh>
    <rPh sb="47" eb="49">
      <t>ヒカク</t>
    </rPh>
    <rPh sb="51" eb="56">
      <t>イリョウトウケイガク</t>
    </rPh>
    <rPh sb="60" eb="62">
      <t>カイメ</t>
    </rPh>
    <rPh sb="68" eb="72">
      <t>ズヒョウヒョウゲン</t>
    </rPh>
    <rPh sb="77" eb="78">
      <t>カ</t>
    </rPh>
    <rPh sb="80" eb="86">
      <t>イリョウトウケイガク2</t>
    </rPh>
    <rPh sb="89" eb="91">
      <t>カイメ</t>
    </rPh>
    <phoneticPr fontId="1"/>
  </si>
  <si>
    <t>医療統計学Ⅱ</t>
    <rPh sb="0" eb="6">
      <t>イリョウトウケイガク2</t>
    </rPh>
    <phoneticPr fontId="1"/>
  </si>
  <si>
    <t>4‐7データハンドリング</t>
  </si>
  <si>
    <t>令和3</t>
    <rPh sb="0" eb="2">
      <t>レイワ</t>
    </rPh>
    <phoneticPr fontId="1"/>
  </si>
  <si>
    <t>情報セキュリティ：機密性、完全性、可用性「情報機器の操作」（1回目）
暗号化、パスワード、悪意ある情報搾取「情報リテラシー」（4回目）
情報漏洩等によるセキュリティ事故の事例紹介「情報リテラシー」（4回目）（7回目）
匿名加工情報「疫学Ⅰ」（7回）</t>
    <rPh sb="0" eb="2">
      <t>ジョウホウ</t>
    </rPh>
    <rPh sb="9" eb="12">
      <t>キミツセイ</t>
    </rPh>
    <rPh sb="13" eb="16">
      <t>カンゼンセイ</t>
    </rPh>
    <rPh sb="17" eb="20">
      <t>カヨウセイ</t>
    </rPh>
    <rPh sb="21" eb="25">
      <t>ジョウホウキキ</t>
    </rPh>
    <rPh sb="26" eb="28">
      <t>ソウサ</t>
    </rPh>
    <rPh sb="109" eb="115">
      <t>トクメイカコウジョウホウ</t>
    </rPh>
    <rPh sb="116" eb="118">
      <t>エキガク</t>
    </rPh>
    <phoneticPr fontId="1"/>
  </si>
  <si>
    <t>データの種類「医療統計学Ⅰ」（4回目）
分布と代表値、代表値の性質の違い、データのばらつき、誤差の扱い「医療統計学Ⅰ」（5回目）
相関と因果（相関係数）「医療統計学Ⅰ」（6回目）
相関と因果（交絡）「疫学Ⅰ」（5回目）
母集団と標本抽出（国勢調査、アンケート調査、全数調査、多段抽出）「医療統計学Ⅰ」（7回目）
クロス集計表、分割表「医療統計学Ⅰ」（6回目）</t>
    <rPh sb="4" eb="6">
      <t>シュルイ</t>
    </rPh>
    <rPh sb="20" eb="22">
      <t>ブンプ</t>
    </rPh>
    <rPh sb="23" eb="26">
      <t>ダイヒョウチ</t>
    </rPh>
    <rPh sb="27" eb="30">
      <t>ダイヒョウチ</t>
    </rPh>
    <rPh sb="31" eb="33">
      <t>セイシツ</t>
    </rPh>
    <rPh sb="34" eb="35">
      <t>チガ</t>
    </rPh>
    <rPh sb="46" eb="48">
      <t>ゴサ</t>
    </rPh>
    <rPh sb="49" eb="50">
      <t>アツカ</t>
    </rPh>
    <rPh sb="52" eb="57">
      <t>イリョウトウケイガク</t>
    </rPh>
    <rPh sb="61" eb="63">
      <t>カイメ</t>
    </rPh>
    <rPh sb="65" eb="67">
      <t>ソウカン</t>
    </rPh>
    <rPh sb="68" eb="70">
      <t>インガ</t>
    </rPh>
    <rPh sb="71" eb="75">
      <t>ソウカンケイスウ</t>
    </rPh>
    <rPh sb="77" eb="81">
      <t>イリョウトウケイ</t>
    </rPh>
    <rPh sb="81" eb="82">
      <t>ガク</t>
    </rPh>
    <rPh sb="86" eb="88">
      <t>カイメ</t>
    </rPh>
    <rPh sb="90" eb="92">
      <t>ソウカン</t>
    </rPh>
    <rPh sb="93" eb="95">
      <t>インガ</t>
    </rPh>
    <rPh sb="96" eb="98">
      <t>コウラク</t>
    </rPh>
    <rPh sb="100" eb="102">
      <t>エキガク</t>
    </rPh>
    <rPh sb="110" eb="113">
      <t>ボシュウダン</t>
    </rPh>
    <rPh sb="114" eb="118">
      <t>ヒョウホンチュウシュツ</t>
    </rPh>
    <rPh sb="119" eb="123">
      <t>コクセイチョウサ</t>
    </rPh>
    <rPh sb="129" eb="131">
      <t>チョウサ</t>
    </rPh>
    <rPh sb="132" eb="136">
      <t>ゼンスウチョウサ</t>
    </rPh>
    <rPh sb="137" eb="141">
      <t>タダンチュウシュツ</t>
    </rPh>
    <rPh sb="143" eb="148">
      <t>イリョウトウケイガク</t>
    </rPh>
    <rPh sb="152" eb="154">
      <t>カイメ</t>
    </rPh>
    <rPh sb="159" eb="162">
      <t>シュウケイヒョウ</t>
    </rPh>
    <rPh sb="163" eb="166">
      <t>ブンカツヒョウ</t>
    </rPh>
    <rPh sb="167" eb="172">
      <t>イリョウトウケイガク</t>
    </rPh>
    <rPh sb="176" eb="178">
      <t>カイメ</t>
    </rPh>
    <phoneticPr fontId="1"/>
  </si>
  <si>
    <t>様式２</t>
    <phoneticPr fontId="1"/>
  </si>
  <si>
    <t>具体的な計画</t>
    <rPh sb="0" eb="3">
      <t>グタイテキ</t>
    </rPh>
    <rPh sb="4" eb="6">
      <t>ケイカク</t>
    </rPh>
    <phoneticPr fontId="1"/>
  </si>
  <si>
    <t>学長付改革推進統括監</t>
    <rPh sb="0" eb="2">
      <t>ガクチョウ</t>
    </rPh>
    <rPh sb="2" eb="3">
      <t>ツキ</t>
    </rPh>
    <rPh sb="3" eb="5">
      <t>カイカク</t>
    </rPh>
    <rPh sb="5" eb="7">
      <t>スイシン</t>
    </rPh>
    <rPh sb="7" eb="9">
      <t>トウカツ</t>
    </rPh>
    <rPh sb="9" eb="10">
      <t>カン</t>
    </rPh>
    <phoneticPr fontId="1"/>
  </si>
  <si>
    <t>ELSI「疫学Ⅰ」（７回目）
個人情報保護「疫学Ⅰ」（７回目）
データ倫理：データの捏造、改ざん、盗用、プライバシーの保護「情報リテラシー」（２回目）</t>
    <rPh sb="15" eb="21">
      <t>コジンジョウホウホゴ</t>
    </rPh>
    <rPh sb="35" eb="37">
      <t>リンリ</t>
    </rPh>
    <rPh sb="42" eb="44">
      <t>ネツゾウ</t>
    </rPh>
    <rPh sb="45" eb="46">
      <t>カイ</t>
    </rPh>
    <rPh sb="49" eb="51">
      <t>トウヨウ</t>
    </rPh>
    <rPh sb="59" eb="61">
      <t>ホゴ</t>
    </rPh>
    <rPh sb="62" eb="64">
      <t>ジョウホウ</t>
    </rPh>
    <rPh sb="72" eb="74">
      <t>カイメ</t>
    </rPh>
    <phoneticPr fontId="1"/>
  </si>
  <si>
    <t>　前述のとおり、本学は看護学部看護学科の単科大学であり、更に看護学科の必修科目である「情報リテラシー」「疫学Ⅰ」「医療統計学Ⅰ」を本プログラムの根幹（修了要件）とし、その中でモデルカリキュラム項目を網羅した内容として授業内容を整理することで、全学生が数理・データサイエンス・AI教育を受けられる体制としている。</t>
    <rPh sb="1" eb="3">
      <t>ゼンジュツ</t>
    </rPh>
    <rPh sb="8" eb="10">
      <t>ホンガク</t>
    </rPh>
    <rPh sb="11" eb="15">
      <t>カンゴガクブ</t>
    </rPh>
    <rPh sb="15" eb="17">
      <t>カンゴ</t>
    </rPh>
    <rPh sb="17" eb="19">
      <t>ガッカ</t>
    </rPh>
    <rPh sb="20" eb="22">
      <t>タンカ</t>
    </rPh>
    <rPh sb="22" eb="24">
      <t>ダイガク</t>
    </rPh>
    <rPh sb="28" eb="29">
      <t>サラ</t>
    </rPh>
    <rPh sb="30" eb="32">
      <t>カンゴ</t>
    </rPh>
    <rPh sb="32" eb="34">
      <t>ガッカ</t>
    </rPh>
    <rPh sb="35" eb="37">
      <t>ヒッシュウ</t>
    </rPh>
    <rPh sb="37" eb="39">
      <t>カモク</t>
    </rPh>
    <rPh sb="43" eb="45">
      <t>ジョウホウ</t>
    </rPh>
    <rPh sb="52" eb="54">
      <t>エキガク</t>
    </rPh>
    <rPh sb="57" eb="62">
      <t>イリョウトウケイガク</t>
    </rPh>
    <rPh sb="65" eb="66">
      <t>ホン</t>
    </rPh>
    <rPh sb="72" eb="74">
      <t>コンカン</t>
    </rPh>
    <rPh sb="75" eb="79">
      <t>シュウリョウヨウケン</t>
    </rPh>
    <rPh sb="85" eb="86">
      <t>ナカ</t>
    </rPh>
    <rPh sb="96" eb="98">
      <t>コウモク</t>
    </rPh>
    <rPh sb="99" eb="101">
      <t>モウラ</t>
    </rPh>
    <rPh sb="103" eb="105">
      <t>ナイヨウ</t>
    </rPh>
    <rPh sb="108" eb="112">
      <t>ジュギョウナイヨウ</t>
    </rPh>
    <rPh sb="113" eb="115">
      <t>セイリ</t>
    </rPh>
    <rPh sb="121" eb="124">
      <t>ゼンガクセイ</t>
    </rPh>
    <rPh sb="125" eb="127">
      <t>スウリ</t>
    </rPh>
    <rPh sb="139" eb="141">
      <t>キョウイク</t>
    </rPh>
    <rPh sb="142" eb="143">
      <t>ウ</t>
    </rPh>
    <rPh sb="147" eb="149">
      <t>タイセイ</t>
    </rPh>
    <phoneticPr fontId="1"/>
  </si>
  <si>
    <t xml:space="preserve">　前述のとおり、本学は看護学部看護学科の単科大学であり、また、本プログラムの修了要件となる科目は全て必修科目である。このため全学生が数理・データサイエンス・AI教育（データヘルスサイエンス入門プログラム）を受けることになる。なお、本プログラムの修了要件とはしていないが、プログラム内に選択科目として「情報機器の操作」と「医療統計学Ⅱ」を設定している。新入生や在校生に対する新年度ガイダンス（教務課ガイダンス）や学生向けメールにおいて、今後のデジタル社会において必要となる内容を教授する教育プログラムとして「データヘルスサイエンス入門プログラム」を設定していること、また本プログラムの構成科目に選択科目を含んでおり、当該選択科目を積極的に履修することを推奨している。
</t>
    <rPh sb="62" eb="65">
      <t>ゼンガクセイ</t>
    </rPh>
    <rPh sb="66" eb="68">
      <t>スウリ</t>
    </rPh>
    <rPh sb="80" eb="82">
      <t>キョウイク</t>
    </rPh>
    <rPh sb="103" eb="104">
      <t>ウ</t>
    </rPh>
    <rPh sb="140" eb="141">
      <t>ナイ</t>
    </rPh>
    <rPh sb="160" eb="165">
      <t>イリョウトウケイガク</t>
    </rPh>
    <rPh sb="179" eb="182">
      <t>ザイコウセイ</t>
    </rPh>
    <rPh sb="183" eb="184">
      <t>タイ</t>
    </rPh>
    <rPh sb="186" eb="189">
      <t>シンネンド</t>
    </rPh>
    <rPh sb="205" eb="207">
      <t>ガクセイ</t>
    </rPh>
    <rPh sb="207" eb="208">
      <t>ム</t>
    </rPh>
    <rPh sb="217" eb="219">
      <t>コンゴ</t>
    </rPh>
    <rPh sb="224" eb="226">
      <t>シャカイ</t>
    </rPh>
    <rPh sb="230" eb="232">
      <t>ヒツヨウ</t>
    </rPh>
    <rPh sb="235" eb="237">
      <t>ナイヨウ</t>
    </rPh>
    <rPh sb="238" eb="240">
      <t>キョウジュ</t>
    </rPh>
    <rPh sb="242" eb="244">
      <t>キョウイク</t>
    </rPh>
    <rPh sb="264" eb="266">
      <t>ニュウモン</t>
    </rPh>
    <rPh sb="273" eb="275">
      <t>セッテイ</t>
    </rPh>
    <rPh sb="284" eb="285">
      <t>ホン</t>
    </rPh>
    <rPh sb="291" eb="293">
      <t>コウセイ</t>
    </rPh>
    <rPh sb="293" eb="295">
      <t>カモク</t>
    </rPh>
    <rPh sb="296" eb="298">
      <t>センタク</t>
    </rPh>
    <rPh sb="298" eb="300">
      <t>カモク</t>
    </rPh>
    <rPh sb="301" eb="302">
      <t>フク</t>
    </rPh>
    <rPh sb="307" eb="309">
      <t>トウガイ</t>
    </rPh>
    <rPh sb="309" eb="311">
      <t>センタク</t>
    </rPh>
    <rPh sb="311" eb="313">
      <t>カモク</t>
    </rPh>
    <phoneticPr fontId="1"/>
  </si>
  <si>
    <t>　授業で学んだ知識の確認が行える自習コンテンツを作成し、学内外からアクセスできるLMSによって復習が行える環境としている。なお、学内からアクセスする場合、本学は全館においてWi-Fiの利用が可能であり、場所を限定することなくLMSへのアクセスが可能な環境を整えている。
　パソコン演習の復習には、学内のパソコン室を開放している。</t>
    <rPh sb="1" eb="3">
      <t>ジュギョウ</t>
    </rPh>
    <rPh sb="4" eb="5">
      <t>マナ</t>
    </rPh>
    <rPh sb="7" eb="9">
      <t>チシキ</t>
    </rPh>
    <rPh sb="10" eb="12">
      <t>カクニン</t>
    </rPh>
    <rPh sb="13" eb="14">
      <t>オコナ</t>
    </rPh>
    <rPh sb="16" eb="18">
      <t>ジシュウ</t>
    </rPh>
    <rPh sb="24" eb="26">
      <t>サクセイ</t>
    </rPh>
    <rPh sb="47" eb="49">
      <t>フクシュウ</t>
    </rPh>
    <rPh sb="50" eb="51">
      <t>オコナ</t>
    </rPh>
    <rPh sb="53" eb="55">
      <t>カンキョウ</t>
    </rPh>
    <rPh sb="64" eb="66">
      <t>ガクナイ</t>
    </rPh>
    <rPh sb="74" eb="76">
      <t>バアイ</t>
    </rPh>
    <rPh sb="140" eb="142">
      <t>エンシュウ</t>
    </rPh>
    <rPh sb="143" eb="145">
      <t>フクシュウ</t>
    </rPh>
    <rPh sb="148" eb="150">
      <t>ガクナイ</t>
    </rPh>
    <rPh sb="155" eb="156">
      <t>シツ</t>
    </rPh>
    <rPh sb="157" eb="159">
      <t>カイホウ</t>
    </rPh>
    <phoneticPr fontId="1"/>
  </si>
  <si>
    <t xml:space="preserve">　授業内容に関する質問は、授業中にも受け付けているが、授業時間以外においては、各科目のシラバスにオフィスアワーを明記し質問を受け付けるとともに、学内メールを使用して担当教員を窓口として質問を受け付けている。また、コンピュータ操作に不慣れな学生に配慮し、授業と並行してパソコンサポートクラスを正課外に開講する予定である。
</t>
    <rPh sb="3" eb="5">
      <t>ナイヨウ</t>
    </rPh>
    <rPh sb="6" eb="7">
      <t>カン</t>
    </rPh>
    <rPh sb="9" eb="11">
      <t>シツモン</t>
    </rPh>
    <rPh sb="13" eb="16">
      <t>ジュギョウチュウ</t>
    </rPh>
    <rPh sb="18" eb="19">
      <t>ウ</t>
    </rPh>
    <rPh sb="20" eb="21">
      <t>ツ</t>
    </rPh>
    <rPh sb="27" eb="33">
      <t>ジュギョウジカンイガイ</t>
    </rPh>
    <rPh sb="39" eb="40">
      <t>カク</t>
    </rPh>
    <rPh sb="40" eb="42">
      <t>カモク</t>
    </rPh>
    <rPh sb="56" eb="58">
      <t>メイキ</t>
    </rPh>
    <rPh sb="59" eb="61">
      <t>シツモン</t>
    </rPh>
    <rPh sb="62" eb="63">
      <t>ウ</t>
    </rPh>
    <rPh sb="64" eb="65">
      <t>ツ</t>
    </rPh>
    <rPh sb="72" eb="74">
      <t>ガクナイ</t>
    </rPh>
    <rPh sb="78" eb="80">
      <t>シヨウ</t>
    </rPh>
    <rPh sb="82" eb="84">
      <t>タントウ</t>
    </rPh>
    <rPh sb="84" eb="86">
      <t>キョウイン</t>
    </rPh>
    <rPh sb="87" eb="89">
      <t>マドグチ</t>
    </rPh>
    <rPh sb="92" eb="94">
      <t>シツモン</t>
    </rPh>
    <rPh sb="95" eb="96">
      <t>ウ</t>
    </rPh>
    <rPh sb="97" eb="98">
      <t>ツ</t>
    </rPh>
    <rPh sb="126" eb="128">
      <t>ジュギョウ</t>
    </rPh>
    <rPh sb="129" eb="131">
      <t>ヘイコウ</t>
    </rPh>
    <rPh sb="153" eb="155">
      <t>ヨテイ</t>
    </rPh>
    <phoneticPr fontId="1"/>
  </si>
  <si>
    <t>　
　各科目の単位認定試験において、学修目標が到達できたかを評価するとともに、プログラム全体における評価として、全プログラム修了後に「データ・AIの利活用と看護師の役割」について考察させたレポートを提出させることによって、数理・データサイエンス・AIに対する思考に関する学修成果を測っている。また、「プログラムに対する評価」を実施し、科目履修前および、履修期間終了直後に、知識、スキル、態度の視点から理解度や到達度の質問に回答してもらい、集計、分析を行っている。分析の結果、プログラム実施後にはいずれの項目も統計学的に有意に上昇し（p＜.001）、プログラムの成果はあったと判断できた。</t>
    <rPh sb="44" eb="46">
      <t>ゼンタイ</t>
    </rPh>
    <rPh sb="50" eb="52">
      <t>ヒョウカ</t>
    </rPh>
    <rPh sb="56" eb="57">
      <t>ゼン</t>
    </rPh>
    <rPh sb="99" eb="101">
      <t>テイシュツ</t>
    </rPh>
    <rPh sb="111" eb="113">
      <t>スウリ</t>
    </rPh>
    <rPh sb="126" eb="127">
      <t>タイ</t>
    </rPh>
    <rPh sb="231" eb="233">
      <t>ブンセキ</t>
    </rPh>
    <rPh sb="234" eb="236">
      <t>ケッカ</t>
    </rPh>
    <rPh sb="242" eb="245">
      <t>ジッシゴ</t>
    </rPh>
    <rPh sb="251" eb="253">
      <t>コウモク</t>
    </rPh>
    <rPh sb="254" eb="258">
      <t>トウケイガクテキ</t>
    </rPh>
    <rPh sb="259" eb="261">
      <t>ユウイ</t>
    </rPh>
    <rPh sb="262" eb="264">
      <t>ジョウショウ</t>
    </rPh>
    <rPh sb="280" eb="282">
      <t>セイカ</t>
    </rPh>
    <rPh sb="287" eb="289">
      <t>ハンダン</t>
    </rPh>
    <phoneticPr fontId="1"/>
  </si>
  <si>
    <t>　
　各科目において授業終了後に学生による「授業評価」を行っており、プログラムを構成する科目を科目ごとに経年比較することで、プログラム全体の内容改善に向けて検討を行うものとする。本プログラム初年次に実施した2科目「情報機器の操作」「情報リテラシー」について、プログラム構成前の令和2年度との授業評価を比較すると、理解度に関する評価項目である「講義はわかるように構成されていたか」、「今回の講義であなたの知識が増えたか」、「本講義に対する総合評価はどうでしたか」を合算した平均値は、令和2年度が4.13であったのに対して、令和3年度は4.44となっており、理解度が高まっていることが分かる。</t>
    <rPh sb="10" eb="15">
      <t>ジュギョウシュウリョウゴ</t>
    </rPh>
    <rPh sb="16" eb="18">
      <t>ガクセイ</t>
    </rPh>
    <rPh sb="22" eb="26">
      <t>ジュギョウヒョウカ</t>
    </rPh>
    <rPh sb="28" eb="29">
      <t>オコナ</t>
    </rPh>
    <rPh sb="40" eb="42">
      <t>コウセイ</t>
    </rPh>
    <rPh sb="44" eb="46">
      <t>カモク</t>
    </rPh>
    <rPh sb="47" eb="49">
      <t>カモク</t>
    </rPh>
    <rPh sb="52" eb="56">
      <t>ケイネンヒカク</t>
    </rPh>
    <rPh sb="67" eb="69">
      <t>ゼンタイ</t>
    </rPh>
    <rPh sb="70" eb="74">
      <t>ナイヨウカイゼン</t>
    </rPh>
    <rPh sb="75" eb="76">
      <t>ム</t>
    </rPh>
    <rPh sb="78" eb="80">
      <t>ケントウ</t>
    </rPh>
    <rPh sb="81" eb="82">
      <t>オコナ</t>
    </rPh>
    <rPh sb="89" eb="90">
      <t>ホン</t>
    </rPh>
    <rPh sb="95" eb="98">
      <t>ショネンジ</t>
    </rPh>
    <rPh sb="99" eb="101">
      <t>ジッシ</t>
    </rPh>
    <rPh sb="104" eb="106">
      <t>カモク</t>
    </rPh>
    <rPh sb="107" eb="111">
      <t>ジョウホウキキ</t>
    </rPh>
    <rPh sb="112" eb="114">
      <t>ソウサ</t>
    </rPh>
    <rPh sb="116" eb="118">
      <t>ジョウホウ</t>
    </rPh>
    <rPh sb="134" eb="137">
      <t>コウセイマエ</t>
    </rPh>
    <rPh sb="138" eb="140">
      <t>レイワ</t>
    </rPh>
    <rPh sb="141" eb="143">
      <t>ネンド</t>
    </rPh>
    <rPh sb="145" eb="149">
      <t>ジュギョウヒョウカ</t>
    </rPh>
    <rPh sb="150" eb="152">
      <t>ヒカクセイカハンダンモットヒンドオオチュウシンガクセイニガテイシキモソウサカンジュウジツヨテイ</t>
    </rPh>
    <rPh sb="231" eb="233">
      <t>ガッサン</t>
    </rPh>
    <rPh sb="235" eb="238">
      <t>ヘイキンチ</t>
    </rPh>
    <phoneticPr fontId="1"/>
  </si>
  <si>
    <t>　
　プログラムが進行中のため現時点では行えていないが、令和4年には、プログラム修了後のアンケートに後輩学生に向けた推奨度を確認する欄を設け、その内容を次年度に学内で周知することで、選択科目の履修を促すものとする。</t>
    <rPh sb="9" eb="12">
      <t>シンコウチュウ</t>
    </rPh>
    <rPh sb="15" eb="18">
      <t>ゲンジテン</t>
    </rPh>
    <rPh sb="20" eb="21">
      <t>オコナ</t>
    </rPh>
    <rPh sb="28" eb="30">
      <t>レイワ</t>
    </rPh>
    <rPh sb="31" eb="32">
      <t>ネン</t>
    </rPh>
    <rPh sb="40" eb="43">
      <t>シュウリョウゴ</t>
    </rPh>
    <rPh sb="55" eb="56">
      <t>ム</t>
    </rPh>
    <rPh sb="60" eb="61">
      <t>ド</t>
    </rPh>
    <rPh sb="62" eb="64">
      <t>カクニン</t>
    </rPh>
    <rPh sb="76" eb="79">
      <t>ジネンド</t>
    </rPh>
    <phoneticPr fontId="1"/>
  </si>
  <si>
    <t xml:space="preserve">
　プログラム進行中のため、現時点では修了者の評価は行えていないが、プログラム修了者の卒業後の調査を実施し、その活躍状況を評価するものとする。その際、卒業生の就職先である医療機関へヒアリングを行い、教授内容についての検討を行う予定である。</t>
    <rPh sb="7" eb="10">
      <t>シンコウチュウ</t>
    </rPh>
    <rPh sb="14" eb="17">
      <t>ゲンジテン</t>
    </rPh>
    <rPh sb="19" eb="22">
      <t>シュウリョウシャ</t>
    </rPh>
    <rPh sb="23" eb="25">
      <t>ヒョウカ</t>
    </rPh>
    <rPh sb="26" eb="27">
      <t>オコナ</t>
    </rPh>
    <phoneticPr fontId="1"/>
  </si>
  <si>
    <t>データヘルスサイエンス入門プログラムとして、1年次「情報リテラシー（必修：１単位）」、「情報機器の操作（選択：１単位）」、2年次「医療統計学Ⅰ（必修：１単位）」、「疫学Ⅰ（必修：１単位）」、3年次「医療統計学Ⅱ（選択：１単位）」を配置し、そのうち、「情報リテラシー」、「医療統計学Ⅰ」、「疫学Ⅰ」の単位認定試験に合格し、3科目（3単位）の単位取得を修了要件とする。</t>
    <rPh sb="11" eb="13">
      <t>ニュウモン</t>
    </rPh>
    <rPh sb="23" eb="25">
      <t>ネンジ</t>
    </rPh>
    <rPh sb="34" eb="36">
      <t>ヒッシュウ</t>
    </rPh>
    <rPh sb="38" eb="40">
      <t>タンイ</t>
    </rPh>
    <rPh sb="44" eb="48">
      <t>ジョウホウキキ</t>
    </rPh>
    <rPh sb="49" eb="51">
      <t>ソウサ</t>
    </rPh>
    <rPh sb="52" eb="54">
      <t>センタク</t>
    </rPh>
    <rPh sb="56" eb="58">
      <t>タンイ</t>
    </rPh>
    <rPh sb="62" eb="64">
      <t>ネンジ</t>
    </rPh>
    <rPh sb="72" eb="74">
      <t>ヒッシュウ</t>
    </rPh>
    <rPh sb="76" eb="78">
      <t>タンイ</t>
    </rPh>
    <rPh sb="86" eb="88">
      <t>ヒッシュウ</t>
    </rPh>
    <rPh sb="90" eb="92">
      <t>タンイ</t>
    </rPh>
    <rPh sb="96" eb="98">
      <t>ネンジ</t>
    </rPh>
    <rPh sb="99" eb="105">
      <t>イリョウトウケイガク2</t>
    </rPh>
    <rPh sb="106" eb="108">
      <t>センタク</t>
    </rPh>
    <rPh sb="110" eb="112">
      <t>タンイ</t>
    </rPh>
    <rPh sb="115" eb="117">
      <t>ハイチ</t>
    </rPh>
    <rPh sb="165" eb="167">
      <t>タンイ</t>
    </rPh>
    <phoneticPr fontId="1"/>
  </si>
  <si>
    <t>　教育の質向上委員会は、本学の教育理念に基づいた教育の質保証・向上に資することを設置目的としている（規程第1条）。
　主な所轄事項は、（1）教育課程に関すること、（2）単位認定に関すること、（3）教育環境に関すること、（4）教育・研究活動の支援に関すること、（5）教育の質保証・向上に資するFDに関すること、（6）特別の課程に関すること、（7）その他、教育の質保証・向上に関すること、である（規程第2条）
　上記のとおり、本委員会は教育課程及びその運用等の質保証・向上に資することを目的としており、正課の課程において編成する本プログラムの質保証・向上に関しても所轄・目的としている。なお、教育課程に関しては、実際の運用方針の決定、評価指標等に基づく改善方策、科目担当者の検討、シラバス内容確認等、教育課程運営全般に渡っている。</t>
    <rPh sb="1" eb="3">
      <t>キョウイク</t>
    </rPh>
    <rPh sb="4" eb="5">
      <t>シツ</t>
    </rPh>
    <rPh sb="5" eb="7">
      <t>コウジョウ</t>
    </rPh>
    <rPh sb="7" eb="10">
      <t>イインカイ</t>
    </rPh>
    <rPh sb="12" eb="14">
      <t>ホンガク</t>
    </rPh>
    <rPh sb="15" eb="17">
      <t>キョウイク</t>
    </rPh>
    <rPh sb="17" eb="19">
      <t>リネン</t>
    </rPh>
    <rPh sb="20" eb="21">
      <t>モト</t>
    </rPh>
    <rPh sb="24" eb="26">
      <t>キョウイク</t>
    </rPh>
    <rPh sb="27" eb="28">
      <t>シツ</t>
    </rPh>
    <rPh sb="28" eb="30">
      <t>ホショウ</t>
    </rPh>
    <rPh sb="31" eb="33">
      <t>コウジョウ</t>
    </rPh>
    <rPh sb="34" eb="35">
      <t>シ</t>
    </rPh>
    <rPh sb="40" eb="42">
      <t>セッチ</t>
    </rPh>
    <rPh sb="42" eb="44">
      <t>モクテキ</t>
    </rPh>
    <rPh sb="50" eb="52">
      <t>キテイ</t>
    </rPh>
    <rPh sb="52" eb="53">
      <t>ダイ</t>
    </rPh>
    <rPh sb="54" eb="55">
      <t>ジョウ</t>
    </rPh>
    <rPh sb="59" eb="60">
      <t>オモ</t>
    </rPh>
    <rPh sb="61" eb="63">
      <t>ショカツ</t>
    </rPh>
    <rPh sb="63" eb="65">
      <t>ジコウ</t>
    </rPh>
    <rPh sb="70" eb="72">
      <t>キョウイク</t>
    </rPh>
    <rPh sb="72" eb="74">
      <t>カテイ</t>
    </rPh>
    <rPh sb="75" eb="76">
      <t>カン</t>
    </rPh>
    <rPh sb="84" eb="86">
      <t>タンイ</t>
    </rPh>
    <rPh sb="86" eb="88">
      <t>ニンテイ</t>
    </rPh>
    <rPh sb="89" eb="90">
      <t>カン</t>
    </rPh>
    <rPh sb="98" eb="100">
      <t>キョウイク</t>
    </rPh>
    <rPh sb="100" eb="102">
      <t>カンキョウ</t>
    </rPh>
    <rPh sb="103" eb="104">
      <t>カン</t>
    </rPh>
    <rPh sb="112" eb="114">
      <t>キョウイク</t>
    </rPh>
    <rPh sb="115" eb="117">
      <t>ケンキュウ</t>
    </rPh>
    <rPh sb="117" eb="119">
      <t>カツドウ</t>
    </rPh>
    <rPh sb="120" eb="122">
      <t>シエン</t>
    </rPh>
    <rPh sb="123" eb="124">
      <t>カン</t>
    </rPh>
    <rPh sb="132" eb="134">
      <t>キョウイク</t>
    </rPh>
    <rPh sb="135" eb="136">
      <t>シツ</t>
    </rPh>
    <rPh sb="136" eb="138">
      <t>ホショウ</t>
    </rPh>
    <rPh sb="139" eb="141">
      <t>コウジョウ</t>
    </rPh>
    <rPh sb="142" eb="143">
      <t>シ</t>
    </rPh>
    <rPh sb="148" eb="149">
      <t>カン</t>
    </rPh>
    <rPh sb="157" eb="159">
      <t>トクベツ</t>
    </rPh>
    <rPh sb="160" eb="162">
      <t>カテイ</t>
    </rPh>
    <rPh sb="163" eb="164">
      <t>カン</t>
    </rPh>
    <rPh sb="174" eb="175">
      <t>タ</t>
    </rPh>
    <rPh sb="176" eb="178">
      <t>キョウイク</t>
    </rPh>
    <rPh sb="179" eb="182">
      <t>シツホショウ</t>
    </rPh>
    <rPh sb="183" eb="185">
      <t>コウジョウ</t>
    </rPh>
    <rPh sb="186" eb="187">
      <t>カン</t>
    </rPh>
    <rPh sb="196" eb="198">
      <t>キテイ</t>
    </rPh>
    <rPh sb="198" eb="199">
      <t>ダイ</t>
    </rPh>
    <rPh sb="200" eb="201">
      <t>ジョウ</t>
    </rPh>
    <rPh sb="204" eb="206">
      <t>ジョウキ</t>
    </rPh>
    <rPh sb="211" eb="212">
      <t>ホン</t>
    </rPh>
    <rPh sb="212" eb="215">
      <t>イインカイ</t>
    </rPh>
    <rPh sb="216" eb="220">
      <t>キョウイクカテイ</t>
    </rPh>
    <rPh sb="220" eb="221">
      <t>オヨ</t>
    </rPh>
    <rPh sb="224" eb="226">
      <t>ウンヨウ</t>
    </rPh>
    <rPh sb="226" eb="227">
      <t>トウ</t>
    </rPh>
    <rPh sb="228" eb="229">
      <t>シツ</t>
    </rPh>
    <rPh sb="229" eb="231">
      <t>ホショウ</t>
    </rPh>
    <rPh sb="232" eb="234">
      <t>コウジョウ</t>
    </rPh>
    <rPh sb="235" eb="236">
      <t>シ</t>
    </rPh>
    <rPh sb="241" eb="243">
      <t>モクテキ</t>
    </rPh>
    <rPh sb="262" eb="263">
      <t>ホン</t>
    </rPh>
    <rPh sb="269" eb="270">
      <t>シツ</t>
    </rPh>
    <rPh sb="270" eb="272">
      <t>ホショウ</t>
    </rPh>
    <rPh sb="273" eb="275">
      <t>コウジョウ</t>
    </rPh>
    <rPh sb="276" eb="277">
      <t>カン</t>
    </rPh>
    <rPh sb="280" eb="282">
      <t>ショカツ</t>
    </rPh>
    <rPh sb="283" eb="285">
      <t>モクテキ</t>
    </rPh>
    <rPh sb="294" eb="298">
      <t>キョウイクカテイ</t>
    </rPh>
    <rPh sb="299" eb="300">
      <t>カン</t>
    </rPh>
    <rPh sb="304" eb="306">
      <t>ジッサイ</t>
    </rPh>
    <rPh sb="312" eb="314">
      <t>ケッテイ</t>
    </rPh>
    <rPh sb="315" eb="317">
      <t>ヒョウカ</t>
    </rPh>
    <rPh sb="317" eb="319">
      <t>シヒョウ</t>
    </rPh>
    <rPh sb="319" eb="320">
      <t>トウ</t>
    </rPh>
    <rPh sb="321" eb="322">
      <t>モト</t>
    </rPh>
    <rPh sb="324" eb="326">
      <t>カイゼン</t>
    </rPh>
    <rPh sb="326" eb="328">
      <t>ホウサク</t>
    </rPh>
    <rPh sb="329" eb="331">
      <t>カモク</t>
    </rPh>
    <rPh sb="331" eb="334">
      <t>タントウシャ</t>
    </rPh>
    <rPh sb="335" eb="337">
      <t>ケントウ</t>
    </rPh>
    <rPh sb="342" eb="344">
      <t>ナイヨウ</t>
    </rPh>
    <rPh sb="344" eb="346">
      <t>カクニン</t>
    </rPh>
    <rPh sb="346" eb="347">
      <t>トウ</t>
    </rPh>
    <rPh sb="348" eb="350">
      <t>キョウイク</t>
    </rPh>
    <rPh sb="350" eb="352">
      <t>カテイ</t>
    </rPh>
    <rPh sb="352" eb="354">
      <t>ウンエイ</t>
    </rPh>
    <rPh sb="354" eb="356">
      <t>ゼンパン</t>
    </rPh>
    <rPh sb="357" eb="358">
      <t>ワタル</t>
    </rPh>
    <phoneticPr fontId="1"/>
  </si>
  <si>
    <t xml:space="preserve">看護学部看護学科教授／教育の質向上委員長・教務部長　　桃井雅子
看護学部看護学科教授／学部長　日高艶子
看護学部看護学科教授／研究科長　眞﨑直子
看護学部看護学科教授　Eric.Fortin
看護学部看護学科准教授　近末清美
看護学部看護学科准教授　井手悠一郎
看護学部看護学科准教授　小浜さつき
事務部次長　野中岳史
事務部教務課長　池田展子
事務部教育研究支援主査　江﨑裕紀
事務部教務課主任　加藤直子
</t>
    <rPh sb="0" eb="4">
      <t>カンゴガクブ</t>
    </rPh>
    <rPh sb="4" eb="8">
      <t>カンゴガッカ</t>
    </rPh>
    <rPh sb="8" eb="10">
      <t>キョウジュ</t>
    </rPh>
    <rPh sb="11" eb="13">
      <t>キョウイク</t>
    </rPh>
    <rPh sb="14" eb="15">
      <t>シツ</t>
    </rPh>
    <rPh sb="15" eb="17">
      <t>コウジョウ</t>
    </rPh>
    <rPh sb="17" eb="20">
      <t>イインチョウ</t>
    </rPh>
    <rPh sb="21" eb="23">
      <t>キョウム</t>
    </rPh>
    <rPh sb="23" eb="25">
      <t>ブチョウ</t>
    </rPh>
    <rPh sb="27" eb="29">
      <t>モモイ</t>
    </rPh>
    <rPh sb="29" eb="31">
      <t>マサコ</t>
    </rPh>
    <rPh sb="32" eb="36">
      <t>カンゴガクブ</t>
    </rPh>
    <rPh sb="36" eb="40">
      <t>カンゴガッカ</t>
    </rPh>
    <rPh sb="40" eb="42">
      <t>キョウジュ</t>
    </rPh>
    <rPh sb="43" eb="46">
      <t>ガクブチョウ</t>
    </rPh>
    <rPh sb="47" eb="49">
      <t>ヒダカ</t>
    </rPh>
    <rPh sb="49" eb="51">
      <t>ツヤコ</t>
    </rPh>
    <rPh sb="52" eb="56">
      <t>カンゴガクブ</t>
    </rPh>
    <rPh sb="56" eb="60">
      <t>カンゴガッカ</t>
    </rPh>
    <rPh sb="60" eb="62">
      <t>キョウジュ</t>
    </rPh>
    <rPh sb="63" eb="67">
      <t>ケンキュウカチョウ</t>
    </rPh>
    <rPh sb="68" eb="70">
      <t>マサキ</t>
    </rPh>
    <rPh sb="70" eb="72">
      <t>ナオコ</t>
    </rPh>
    <rPh sb="73" eb="77">
      <t>カンゴガクブ</t>
    </rPh>
    <rPh sb="77" eb="81">
      <t>カンゴガッカ</t>
    </rPh>
    <rPh sb="81" eb="83">
      <t>キョウジュ</t>
    </rPh>
    <rPh sb="96" eb="100">
      <t>カンゴガクブ</t>
    </rPh>
    <rPh sb="190" eb="193">
      <t>ジムブ</t>
    </rPh>
    <rPh sb="193" eb="196">
      <t>キョウムカ</t>
    </rPh>
    <rPh sb="196" eb="198">
      <t>シュニン</t>
    </rPh>
    <rPh sb="199" eb="201">
      <t>カトウ</t>
    </rPh>
    <rPh sb="201" eb="203">
      <t>ナオコ</t>
    </rPh>
    <phoneticPr fontId="1"/>
  </si>
  <si>
    <t xml:space="preserve">
　本学は看護の単科大学であり、また本プログラムの修了要件は全て必修科目としていることから、原則として修了要件としている科目の履修率は100％となる。本プログラムは令和3年度開始であり、令和3年度開講科目は1年次開講必修科目の「情報リテラシー（プログラム修了要件）」及び選択科目「情報機器の操作（プログラム修了要件外）」の2科目である。情報リテラシーに関しては、1年次在学生110名全員が履修・修得した。選択科目である「情報機器の操作」に関しても約95％が履修し高い履修率となった。引き続き、新年度ガイダンスや関連授業科目内での履修推奨を行うことで、高い水準での選択履修を目指す。
</t>
    <rPh sb="197" eb="199">
      <t>シュウトク</t>
    </rPh>
    <rPh sb="223" eb="224">
      <t>ヤク</t>
    </rPh>
    <phoneticPr fontId="1"/>
  </si>
  <si>
    <t xml:space="preserve">　
　本学は看護学部看護学科の単科大学であり、更にプログラム構成科目5 科目中、3科目が必修科目であることから、全学的な履修を可能としている。プログラム内には、さらに学修を深めたい学生のニーズに対応するため修了要件外の選択科目も設定しており、その履修率を高めるため教務課からのガイダンス等で推奨を行っている。更に、学部における入門プログラムで興味関心をもった学生が本学大学院へ進学し、データヘルスサイエンス領域で実践力を高める学びを目指せるよう、段階的な教育展開を計画している。
</t>
    <rPh sb="3" eb="5">
      <t>ホンガク</t>
    </rPh>
    <rPh sb="6" eb="9">
      <t>カンゴガク</t>
    </rPh>
    <rPh sb="9" eb="10">
      <t>ブ</t>
    </rPh>
    <rPh sb="10" eb="14">
      <t>カンゴガッカ</t>
    </rPh>
    <rPh sb="15" eb="17">
      <t>タンカ</t>
    </rPh>
    <rPh sb="17" eb="19">
      <t>ダイガク</t>
    </rPh>
    <rPh sb="23" eb="24">
      <t>サラ</t>
    </rPh>
    <rPh sb="76" eb="77">
      <t>ナイ</t>
    </rPh>
    <rPh sb="83" eb="85">
      <t>ガクシュウ</t>
    </rPh>
    <rPh sb="86" eb="87">
      <t>フカ</t>
    </rPh>
    <rPh sb="90" eb="92">
      <t>ガクセイ</t>
    </rPh>
    <rPh sb="97" eb="99">
      <t>タイオウ</t>
    </rPh>
    <rPh sb="103" eb="105">
      <t>シュウリョウ</t>
    </rPh>
    <rPh sb="105" eb="107">
      <t>ヨウケン</t>
    </rPh>
    <rPh sb="107" eb="108">
      <t>ガイ</t>
    </rPh>
    <rPh sb="114" eb="116">
      <t>セッテイ</t>
    </rPh>
    <rPh sb="148" eb="149">
      <t>オコナ</t>
    </rPh>
    <rPh sb="154" eb="155">
      <t>サラ</t>
    </rPh>
    <rPh sb="157" eb="159">
      <t>ガクブ</t>
    </rPh>
    <rPh sb="182" eb="184">
      <t>ホンガク</t>
    </rPh>
    <phoneticPr fontId="1"/>
  </si>
  <si>
    <t xml:space="preserve">
　医療機関から数理・データサイエンス・AI教育プログラムの必要性と期待する内容についてヒアリングを行い、得られた内容を授業内容に反映させることとしている。令和3年に受けた外部評価では、医療機関に蓄積されているデータの2次利用として、学生がそれを分析し、臨床現場にフィードバックできるようなシステムを将来的に構築できることが望ましいという意見があった。個人情報保護の観点から、実データの利用にはハードルもあるが、グループ医療機関と連携してシステム構築を検討したい。</t>
    <rPh sb="78" eb="80">
      <t>レイワ</t>
    </rPh>
    <rPh sb="81" eb="82">
      <t>ネン</t>
    </rPh>
    <rPh sb="83" eb="84">
      <t>ウ</t>
    </rPh>
    <rPh sb="86" eb="88">
      <t>ガイブ</t>
    </rPh>
    <rPh sb="88" eb="90">
      <t>ヒョウカ</t>
    </rPh>
    <rPh sb="93" eb="97">
      <t>イリョウキカン</t>
    </rPh>
    <rPh sb="98" eb="100">
      <t>チクセキ</t>
    </rPh>
    <rPh sb="110" eb="113">
      <t>ジリヨウ</t>
    </rPh>
    <rPh sb="117" eb="119">
      <t>ガクセイ</t>
    </rPh>
    <rPh sb="123" eb="125">
      <t>ブンセキ</t>
    </rPh>
    <rPh sb="127" eb="131">
      <t>リンショウゲンバ</t>
    </rPh>
    <rPh sb="150" eb="153">
      <t>ショウライテキ</t>
    </rPh>
    <rPh sb="154" eb="156">
      <t>コウチク</t>
    </rPh>
    <rPh sb="162" eb="163">
      <t>ノゾ</t>
    </rPh>
    <rPh sb="169" eb="171">
      <t>イケン</t>
    </rPh>
    <rPh sb="176" eb="180">
      <t>コジンジョウホウ</t>
    </rPh>
    <rPh sb="180" eb="182">
      <t>ホゴ</t>
    </rPh>
    <rPh sb="183" eb="185">
      <t>カンテン</t>
    </rPh>
    <rPh sb="188" eb="189">
      <t>ジツ</t>
    </rPh>
    <rPh sb="193" eb="195">
      <t>リヨウ</t>
    </rPh>
    <rPh sb="210" eb="214">
      <t>イリョウキカン</t>
    </rPh>
    <rPh sb="215" eb="217">
      <t>レンケイ</t>
    </rPh>
    <rPh sb="223" eb="225">
      <t>コウチク</t>
    </rPh>
    <rPh sb="226" eb="228">
      <t>ケントウ</t>
    </rPh>
    <phoneticPr fontId="1"/>
  </si>
  <si>
    <t>　
　社会でデータやAIが活用されている事例を多く示し、特に医療現場という身近な場で実装されている様々な例を概観することで、これからの価値の創造に関わるための素地を養うことに意欲が持てる内容としている。また、実データを扱い、探索的に課題を見つけたり、仮説を立て、検証のための分析を行ったりするデータ分析演習を取り入れている。それによって、データの扱いに慣れ、リテラシーを高め、学ぶ楽しさが感じられるようにしている。</t>
    <rPh sb="104" eb="105">
      <t>ジツ</t>
    </rPh>
    <rPh sb="109" eb="110">
      <t>アツカ</t>
    </rPh>
    <rPh sb="112" eb="115">
      <t>タンサクテキ</t>
    </rPh>
    <rPh sb="116" eb="118">
      <t>カダイ</t>
    </rPh>
    <rPh sb="119" eb="120">
      <t>ミ</t>
    </rPh>
    <rPh sb="125" eb="127">
      <t>カセツ</t>
    </rPh>
    <rPh sb="128" eb="129">
      <t>タ</t>
    </rPh>
    <rPh sb="131" eb="133">
      <t>ケンショウ</t>
    </rPh>
    <rPh sb="137" eb="139">
      <t>ブンセキ</t>
    </rPh>
    <rPh sb="140" eb="141">
      <t>オコナ</t>
    </rPh>
    <rPh sb="149" eb="153">
      <t>ブンセキエンシュウ</t>
    </rPh>
    <rPh sb="154" eb="155">
      <t>ト</t>
    </rPh>
    <rPh sb="156" eb="157">
      <t>イ</t>
    </rPh>
    <rPh sb="173" eb="174">
      <t>アツカ</t>
    </rPh>
    <rPh sb="176" eb="177">
      <t>ナ</t>
    </rPh>
    <rPh sb="185" eb="186">
      <t>タカ</t>
    </rPh>
    <rPh sb="188" eb="189">
      <t>マナ</t>
    </rPh>
    <rPh sb="190" eb="191">
      <t>タノ</t>
    </rPh>
    <rPh sb="194" eb="195">
      <t>カン</t>
    </rPh>
    <phoneticPr fontId="1"/>
  </si>
  <si>
    <t xml:space="preserve">
　AIの利活用など、専門的に馴染みのない用語については、身近な事例を多く取り入れ、社会の中で既に多くの恩恵を受けていることを実感させることで分かりやすさにつなげている。単に知識を広げるだけでなく、パソコン演習を通して実際にデータを分析させ、その中で統計学の知識の意味が理解できる授業構成としている。</t>
    <rPh sb="5" eb="8">
      <t>リカツヨウ</t>
    </rPh>
    <rPh sb="29" eb="31">
      <t>ミジカ</t>
    </rPh>
    <rPh sb="32" eb="34">
      <t>ジレイ</t>
    </rPh>
    <rPh sb="35" eb="36">
      <t>オオ</t>
    </rPh>
    <rPh sb="37" eb="38">
      <t>ト</t>
    </rPh>
    <rPh sb="39" eb="40">
      <t>イ</t>
    </rPh>
    <rPh sb="42" eb="44">
      <t>シャカイ</t>
    </rPh>
    <rPh sb="45" eb="46">
      <t>ナカ</t>
    </rPh>
    <rPh sb="47" eb="48">
      <t>スデ</t>
    </rPh>
    <rPh sb="49" eb="50">
      <t>オオ</t>
    </rPh>
    <rPh sb="52" eb="54">
      <t>オンケイ</t>
    </rPh>
    <rPh sb="55" eb="56">
      <t>ウ</t>
    </rPh>
    <rPh sb="63" eb="65">
      <t>ジッカン</t>
    </rPh>
    <rPh sb="71" eb="72">
      <t>ワ</t>
    </rPh>
    <rPh sb="109" eb="111">
      <t>ジッサイ</t>
    </rPh>
    <rPh sb="116" eb="118">
      <t>ブンセキ</t>
    </rPh>
    <rPh sb="123" eb="124">
      <t>ナカ</t>
    </rPh>
    <rPh sb="125" eb="127">
      <t>トウケイ</t>
    </rPh>
    <rPh sb="127" eb="128">
      <t>ガク</t>
    </rPh>
    <rPh sb="129" eb="131">
      <t>チシキ</t>
    </rPh>
    <rPh sb="132" eb="134">
      <t>イミ</t>
    </rPh>
    <rPh sb="135" eb="137">
      <t>リカイ</t>
    </rPh>
    <phoneticPr fontId="1"/>
  </si>
  <si>
    <t>全ての学生が、データ駆動社会の動向を知り、保健・医療・福祉の分野における新たな価値の創造に向けて、データ・AIを利活用する思考を身に着けることができる。また、目的に応じてデータを収集し、集計し、グラフ化するパソコン技術を習得し、比較可能なデータから得られる情報によって、健康課題を分析し、その解決に役立てる思考を身につけることができる。</t>
    <phoneticPr fontId="1"/>
  </si>
  <si>
    <t xml:space="preserve">毎年度共通
　　本プログラムは根幹（修了要件）となる3科目全て必修科目であるため、数理・データサイエンス・AI教育（データヘルスサイエンス入門プログラム）の履修率は100％となる。（令和3年度から本プログラムを開始するため、上記の収容定員に対する履修率は、令和3年度は1年生のみ、令和4年度は1・2年生、令和5年度は1・2・3年生、令和6年度以降は全学年が履修し100％となる。また、令和4年度入学生からはカリキュラム改正を行い、再申請を予定しているが、同様に必修科目で修了要件を満たす設定としている）
　なお、令和5年度は選択科目「医療統計学Ⅱ」を開講し、より深く学びたい学生のニーズに対応する計画としている。その履修率向上に向け、本年度「医療統計学Ⅰ」の科目内で学生に呼びかけ、動機づけを行う。
</t>
    <rPh sb="0" eb="3">
      <t>マイネンド</t>
    </rPh>
    <rPh sb="3" eb="5">
      <t>キョウツウ</t>
    </rPh>
    <rPh sb="8" eb="9">
      <t>ホン</t>
    </rPh>
    <rPh sb="15" eb="17">
      <t>コンカン</t>
    </rPh>
    <rPh sb="18" eb="20">
      <t>シュウリョウ</t>
    </rPh>
    <rPh sb="20" eb="22">
      <t>ヨウケン</t>
    </rPh>
    <rPh sb="27" eb="29">
      <t>カモク</t>
    </rPh>
    <rPh sb="29" eb="30">
      <t>スベ</t>
    </rPh>
    <rPh sb="31" eb="33">
      <t>ヒッシュウ</t>
    </rPh>
    <rPh sb="33" eb="35">
      <t>カモク</t>
    </rPh>
    <rPh sb="41" eb="43">
      <t>スウリ</t>
    </rPh>
    <rPh sb="55" eb="57">
      <t>キョウイク</t>
    </rPh>
    <rPh sb="69" eb="71">
      <t>ニュウモン</t>
    </rPh>
    <rPh sb="91" eb="93">
      <t>レイワ</t>
    </rPh>
    <rPh sb="94" eb="96">
      <t>ネンド</t>
    </rPh>
    <rPh sb="98" eb="99">
      <t>ホン</t>
    </rPh>
    <rPh sb="105" eb="107">
      <t>カイシ</t>
    </rPh>
    <rPh sb="112" eb="114">
      <t>ジョウキ</t>
    </rPh>
    <rPh sb="115" eb="117">
      <t>シュウヨウ</t>
    </rPh>
    <rPh sb="117" eb="119">
      <t>テイイン</t>
    </rPh>
    <rPh sb="120" eb="121">
      <t>タイ</t>
    </rPh>
    <rPh sb="123" eb="126">
      <t>リシュウリツ</t>
    </rPh>
    <rPh sb="128" eb="130">
      <t>レイワ</t>
    </rPh>
    <rPh sb="131" eb="133">
      <t>ネンド</t>
    </rPh>
    <rPh sb="135" eb="137">
      <t>ネンセイ</t>
    </rPh>
    <rPh sb="140" eb="142">
      <t>レイワ</t>
    </rPh>
    <rPh sb="143" eb="145">
      <t>ネンド</t>
    </rPh>
    <rPh sb="149" eb="151">
      <t>ネンセイ</t>
    </rPh>
    <rPh sb="152" eb="154">
      <t>レイワ</t>
    </rPh>
    <rPh sb="155" eb="157">
      <t>ネンド</t>
    </rPh>
    <rPh sb="174" eb="177">
      <t>ゼンガクネン</t>
    </rPh>
    <rPh sb="178" eb="180">
      <t>リシュウ</t>
    </rPh>
    <rPh sb="192" eb="194">
      <t>レイワ</t>
    </rPh>
    <rPh sb="195" eb="197">
      <t>ネンド</t>
    </rPh>
    <rPh sb="197" eb="200">
      <t>ニュウガクセイ</t>
    </rPh>
    <rPh sb="209" eb="211">
      <t>カイセイ</t>
    </rPh>
    <rPh sb="212" eb="213">
      <t>オコナ</t>
    </rPh>
    <rPh sb="215" eb="218">
      <t>サイシンセイ</t>
    </rPh>
    <rPh sb="219" eb="221">
      <t>ヨテイ</t>
    </rPh>
    <rPh sb="227" eb="229">
      <t>ドウヨウ</t>
    </rPh>
    <rPh sb="230" eb="232">
      <t>ヒッシュウ</t>
    </rPh>
    <rPh sb="232" eb="234">
      <t>カモク</t>
    </rPh>
    <rPh sb="235" eb="237">
      <t>シュウリョウ</t>
    </rPh>
    <rPh sb="237" eb="239">
      <t>ヨウケン</t>
    </rPh>
    <rPh sb="240" eb="241">
      <t>ミ</t>
    </rPh>
    <rPh sb="243" eb="245">
      <t>セッテイ</t>
    </rPh>
    <phoneticPr fontId="1"/>
  </si>
  <si>
    <t>https://www.st-mary.ac.jp/disclosure/pdf/2022/datascience_keikaku.pdf</t>
    <phoneticPr fontId="1"/>
  </si>
  <si>
    <t>https://www.st-mary.ac.jp/disclosure/pdf/2022/datascience_hyouka.pdf</t>
    <phoneticPr fontId="1"/>
  </si>
  <si>
    <t>福岡県久留米市津福本町422</t>
    <rPh sb="0" eb="3">
      <t>フクオカケン</t>
    </rPh>
    <rPh sb="3" eb="7">
      <t>クルメシ</t>
    </rPh>
    <rPh sb="7" eb="11">
      <t>ツブクホンマチ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</si>
</sst>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5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15" xfId="0" applyFont="1" applyBorder="1" applyAlignment="1">
      <alignment horizontal="center" vertical="center" shrinkToFit="1"/>
    </xf>
    <xf numFmtId="0" fontId="8" fillId="0" borderId="53" xfId="0" applyFont="1" applyBorder="1" applyAlignment="1">
      <alignment horizontal="center" vertical="center" shrinkToFit="1"/>
    </xf>
    <xf numFmtId="0" fontId="18" fillId="0" borderId="20" xfId="0" applyFont="1" applyFill="1" applyBorder="1" applyAlignment="1">
      <alignment vertical="top" shrinkToFit="1"/>
    </xf>
    <xf numFmtId="0" fontId="18" fillId="0" borderId="18" xfId="0" applyFont="1" applyFill="1" applyBorder="1" applyAlignment="1">
      <alignment vertical="top" shrinkToFit="1"/>
    </xf>
    <xf numFmtId="0" fontId="8" fillId="0" borderId="0" xfId="0" applyFont="1" applyBorder="1" applyAlignment="1">
      <alignment vertical="center" shrinkToFit="1"/>
    </xf>
    <xf numFmtId="0" fontId="8" fillId="0" borderId="23" xfId="0" applyFont="1" applyFill="1" applyBorder="1" applyAlignment="1">
      <alignment horizontal="center" vertical="center" shrinkToFit="1"/>
    </xf>
    <xf numFmtId="0" fontId="8" fillId="0" borderId="15" xfId="0" applyFont="1" applyFill="1" applyBorder="1" applyAlignment="1">
      <alignment horizontal="center" vertical="center" shrinkToFit="1"/>
    </xf>
    <xf numFmtId="0" fontId="8" fillId="0" borderId="53" xfId="0" applyFont="1" applyFill="1" applyBorder="1" applyAlignment="1">
      <alignment horizontal="center" vertical="center" shrinkToFit="1"/>
    </xf>
    <xf numFmtId="0" fontId="8" fillId="0" borderId="5" xfId="0" applyFont="1" applyFill="1" applyBorder="1" applyAlignment="1">
      <alignment vertical="center" shrinkToFit="1"/>
    </xf>
    <xf numFmtId="176" fontId="8" fillId="0" borderId="5" xfId="0" applyNumberFormat="1" applyFont="1" applyFill="1" applyBorder="1" applyAlignment="1">
      <alignment vertical="center" shrinkToFit="1"/>
    </xf>
    <xf numFmtId="176" fontId="8" fillId="0" borderId="31" xfId="0" applyNumberFormat="1" applyFont="1" applyFill="1" applyBorder="1" applyAlignment="1">
      <alignment vertical="center" shrinkToFit="1"/>
    </xf>
    <xf numFmtId="176" fontId="8" fillId="0" borderId="32" xfId="0" applyNumberFormat="1" applyFont="1" applyFill="1" applyBorder="1" applyAlignment="1">
      <alignment vertical="center" shrinkToFit="1"/>
    </xf>
    <xf numFmtId="176" fontId="8" fillId="0" borderId="10" xfId="0" applyNumberFormat="1" applyFont="1" applyFill="1" applyBorder="1" applyAlignment="1">
      <alignment vertical="center" shrinkToFit="1"/>
    </xf>
    <xf numFmtId="9" fontId="8" fillId="0" borderId="8" xfId="0" applyNumberFormat="1"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8" fillId="0" borderId="14" xfId="0" applyFont="1" applyFill="1" applyBorder="1" applyAlignment="1">
      <alignment horizontal="center" vertical="center" shrinkToFit="1"/>
    </xf>
    <xf numFmtId="0" fontId="8" fillId="0" borderId="18" xfId="0" applyFont="1" applyFill="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2" xfId="0" applyNumberFormat="1" applyFont="1" applyFill="1" applyBorder="1" applyAlignment="1">
      <alignment horizontal="center" vertical="center" shrinkToFit="1"/>
    </xf>
    <xf numFmtId="176" fontId="8" fillId="0" borderId="3"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Fill="1" applyBorder="1" applyAlignment="1">
      <alignment horizontal="center" vertical="center"/>
    </xf>
    <xf numFmtId="0" fontId="8" fillId="0" borderId="4" xfId="0" applyNumberFormat="1" applyFont="1" applyFill="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Fill="1" applyBorder="1" applyAlignment="1">
      <alignment vertical="center" wrapText="1" shrinkToFit="1"/>
    </xf>
    <xf numFmtId="0" fontId="8" fillId="0" borderId="20" xfId="0" applyFont="1" applyFill="1" applyBorder="1" applyAlignment="1">
      <alignment vertical="center" shrinkToFit="1"/>
    </xf>
    <xf numFmtId="0" fontId="8" fillId="0" borderId="18" xfId="0" applyFont="1" applyFill="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8" fillId="0" borderId="39" xfId="0" applyFont="1" applyFill="1" applyBorder="1" applyAlignment="1">
      <alignment vertical="center" wrapText="1" shrinkToFit="1"/>
    </xf>
    <xf numFmtId="0" fontId="8" fillId="0" borderId="39" xfId="0" applyFont="1" applyFill="1" applyBorder="1" applyAlignment="1">
      <alignment vertical="center" shrinkToFit="1"/>
    </xf>
    <xf numFmtId="0" fontId="8" fillId="0" borderId="38" xfId="0" applyFont="1" applyFill="1" applyBorder="1" applyAlignment="1">
      <alignment vertical="center" shrinkToFit="1"/>
    </xf>
    <xf numFmtId="0" fontId="8" fillId="0" borderId="6" xfId="0" applyFont="1" applyFill="1" applyBorder="1" applyAlignment="1">
      <alignment vertical="center" wrapText="1" shrinkToFit="1"/>
    </xf>
    <xf numFmtId="0" fontId="8" fillId="0" borderId="6" xfId="0" applyFont="1" applyFill="1" applyBorder="1" applyAlignment="1">
      <alignment vertical="center" shrinkToFit="1"/>
    </xf>
    <xf numFmtId="0" fontId="8" fillId="0" borderId="12" xfId="0" applyFont="1" applyFill="1" applyBorder="1" applyAlignment="1">
      <alignment vertical="center" shrinkToFit="1"/>
    </xf>
    <xf numFmtId="0" fontId="20" fillId="0" borderId="32" xfId="0" applyFont="1" applyBorder="1" applyAlignment="1">
      <alignment vertical="center" wrapText="1"/>
    </xf>
    <xf numFmtId="0" fontId="8" fillId="0" borderId="8" xfId="0" applyFont="1" applyFill="1" applyBorder="1" applyAlignment="1">
      <alignment horizontal="left" vertical="center" wrapText="1" shrinkToFit="1"/>
    </xf>
    <xf numFmtId="0" fontId="8" fillId="0" borderId="8" xfId="0" applyFont="1" applyFill="1" applyBorder="1" applyAlignment="1">
      <alignment horizontal="left" vertical="center" shrinkToFit="1"/>
    </xf>
    <xf numFmtId="0" fontId="8" fillId="0" borderId="9" xfId="0" applyFont="1" applyFill="1" applyBorder="1" applyAlignment="1">
      <alignment horizontal="left" vertical="center" shrinkToFit="1"/>
    </xf>
    <xf numFmtId="0" fontId="8" fillId="0" borderId="20" xfId="0" applyFont="1" applyFill="1" applyBorder="1" applyAlignment="1">
      <alignment horizontal="left" vertical="center" wrapText="1" shrinkToFit="1"/>
    </xf>
    <xf numFmtId="0" fontId="8" fillId="0" borderId="20" xfId="0" applyFont="1" applyFill="1" applyBorder="1" applyAlignment="1">
      <alignment horizontal="left" vertical="center" shrinkToFit="1"/>
    </xf>
    <xf numFmtId="0" fontId="8" fillId="0" borderId="18" xfId="0" applyFont="1" applyFill="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9" xfId="0" applyFont="1" applyFill="1" applyBorder="1" applyAlignment="1">
      <alignment horizontal="left" vertical="center" wrapText="1"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8" fillId="0" borderId="22" xfId="0" applyFont="1" applyFill="1" applyBorder="1" applyAlignment="1">
      <alignment horizontal="left" vertical="center" shrinkToFit="1"/>
    </xf>
    <xf numFmtId="0" fontId="8" fillId="0" borderId="21" xfId="0" applyFont="1" applyFill="1" applyBorder="1" applyAlignment="1">
      <alignment horizontal="left" vertical="center" shrinkToFit="1"/>
    </xf>
    <xf numFmtId="0" fontId="8" fillId="0" borderId="39" xfId="0" applyFont="1" applyFill="1" applyBorder="1" applyAlignment="1">
      <alignment horizontal="left" vertical="center" wrapText="1"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6" xfId="0" applyFont="1" applyFill="1" applyBorder="1" applyAlignment="1">
      <alignment horizontal="left" vertical="center" wrapText="1" shrinkToFit="1"/>
    </xf>
    <xf numFmtId="0" fontId="8" fillId="0" borderId="6" xfId="0" applyFont="1" applyFill="1" applyBorder="1" applyAlignment="1">
      <alignment horizontal="left" vertical="center" shrinkToFit="1"/>
    </xf>
    <xf numFmtId="0" fontId="8" fillId="0" borderId="12" xfId="0" applyFont="1" applyFill="1" applyBorder="1" applyAlignment="1">
      <alignment horizontal="left" vertical="center" shrinkToFit="1"/>
    </xf>
    <xf numFmtId="0" fontId="8" fillId="0" borderId="22" xfId="0" applyFont="1" applyFill="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7" fillId="2" borderId="2" xfId="2" applyFill="1" applyBorder="1" applyAlignment="1">
      <alignment vertical="center" shrinkToFit="1"/>
    </xf>
    <xf numFmtId="0" fontId="9" fillId="2" borderId="3" xfId="0" applyFont="1" applyFill="1" applyBorder="1" applyAlignment="1">
      <alignment vertical="center" shrinkToFit="1"/>
    </xf>
    <xf numFmtId="0" fontId="9" fillId="2" borderId="4" xfId="0" applyFont="1" applyFill="1" applyBorder="1" applyAlignment="1">
      <alignment vertical="center" shrinkToFit="1"/>
    </xf>
    <xf numFmtId="0" fontId="8" fillId="0" borderId="7" xfId="0" applyFont="1" applyBorder="1" applyAlignment="1">
      <alignment vertical="center"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44" xfId="0" applyFont="1" applyBorder="1" applyAlignment="1">
      <alignment vertical="center" shrinkToFit="1"/>
    </xf>
    <xf numFmtId="0" fontId="8" fillId="0" borderId="45" xfId="0" applyFont="1" applyBorder="1" applyAlignment="1">
      <alignment vertical="center" shrinkToFit="1"/>
    </xf>
    <xf numFmtId="0" fontId="8" fillId="0" borderId="46"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Fill="1" applyBorder="1" applyAlignment="1">
      <alignment horizontal="center" vertical="center" shrinkToFit="1"/>
    </xf>
    <xf numFmtId="0" fontId="3" fillId="0" borderId="4" xfId="0" applyNumberFormat="1" applyFont="1" applyFill="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lignment vertical="center"/>
    </xf>
    <xf numFmtId="0" fontId="8" fillId="0" borderId="7" xfId="0" applyFont="1" applyFill="1" applyBorder="1" applyAlignment="1">
      <alignment vertical="top" wrapText="1" shrinkToFit="1"/>
    </xf>
    <xf numFmtId="0" fontId="8" fillId="0" borderId="8" xfId="0" applyFont="1" applyFill="1" applyBorder="1" applyAlignment="1">
      <alignment vertical="top" wrapText="1"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2" fillId="0" borderId="17" xfId="0" applyFont="1" applyBorder="1">
      <alignment vertical="center"/>
    </xf>
    <xf numFmtId="0" fontId="0" fillId="0" borderId="18" xfId="0" applyBorder="1">
      <alignment vertical="center"/>
    </xf>
    <xf numFmtId="0" fontId="8" fillId="0" borderId="19" xfId="0" applyFont="1" applyFill="1" applyBorder="1" applyAlignment="1">
      <alignment vertical="top" wrapText="1" shrinkToFit="1"/>
    </xf>
    <xf numFmtId="0" fontId="8" fillId="0" borderId="20" xfId="0" applyFont="1" applyFill="1" applyBorder="1" applyAlignment="1">
      <alignment vertical="top" wrapText="1" shrinkToFit="1"/>
    </xf>
    <xf numFmtId="0" fontId="8" fillId="0" borderId="18" xfId="0" applyFont="1" applyFill="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Fill="1" applyBorder="1" applyAlignment="1">
      <alignment vertical="top" wrapText="1" shrinkToFit="1"/>
    </xf>
    <xf numFmtId="0" fontId="8" fillId="0" borderId="12" xfId="0" applyFont="1" applyFill="1" applyBorder="1" applyAlignment="1">
      <alignment vertical="top" wrapText="1" shrinkToFit="1"/>
    </xf>
    <xf numFmtId="0" fontId="7" fillId="2" borderId="2" xfId="2" applyFill="1" applyBorder="1" applyAlignment="1">
      <alignment horizontal="center" vertical="center" shrinkToFit="1"/>
    </xf>
    <xf numFmtId="0" fontId="11" fillId="2" borderId="3" xfId="2" applyFont="1" applyFill="1" applyBorder="1" applyAlignment="1">
      <alignment horizontal="center" vertical="center" shrinkToFit="1"/>
    </xf>
    <xf numFmtId="0" fontId="11" fillId="2" borderId="4" xfId="2" applyFont="1" applyFill="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st-mary.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t-mary.ac.jp/disclosure/pdf/2022/datascience_keikaku.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t-mary.ac.jp/disclosure/pdf/2022/datascience_hyouk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C9" sqref="C9"/>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55" t="s">
        <v>24</v>
      </c>
      <c r="N1" s="155"/>
    </row>
    <row r="2" spans="1:15" ht="24" customHeight="1" x14ac:dyDescent="0.15">
      <c r="A2" s="161" t="s">
        <v>78</v>
      </c>
      <c r="B2" s="161"/>
      <c r="C2" s="161"/>
      <c r="D2" s="161"/>
      <c r="E2" s="161"/>
      <c r="F2" s="161"/>
      <c r="G2" s="161"/>
      <c r="H2" s="161"/>
      <c r="I2" s="161"/>
      <c r="J2" s="161"/>
      <c r="K2" s="161"/>
      <c r="L2" s="161"/>
      <c r="M2" s="161"/>
      <c r="N2" s="161"/>
    </row>
    <row r="3" spans="1:15" ht="24" customHeight="1" x14ac:dyDescent="0.15"/>
    <row r="4" spans="1:15" ht="24" customHeight="1" x14ac:dyDescent="0.15">
      <c r="A4" s="14" t="s">
        <v>6</v>
      </c>
      <c r="B4" s="15" t="s">
        <v>16</v>
      </c>
      <c r="C4" s="150" t="s">
        <v>141</v>
      </c>
      <c r="D4" s="151"/>
      <c r="E4" s="151"/>
      <c r="F4" s="151"/>
      <c r="G4" s="151"/>
      <c r="H4" s="151"/>
      <c r="I4" s="151"/>
      <c r="J4" s="151"/>
      <c r="K4" s="151"/>
      <c r="L4" s="151"/>
      <c r="M4" s="151"/>
      <c r="N4" s="152"/>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9</v>
      </c>
      <c r="B6" s="15" t="s">
        <v>47</v>
      </c>
      <c r="C6" s="15"/>
      <c r="D6" s="150" t="s">
        <v>142</v>
      </c>
      <c r="E6" s="151"/>
      <c r="F6" s="151"/>
      <c r="G6" s="151"/>
      <c r="H6" s="152"/>
      <c r="I6" s="17" t="s">
        <v>81</v>
      </c>
      <c r="J6" s="35" t="s">
        <v>82</v>
      </c>
      <c r="K6" s="150" t="s">
        <v>143</v>
      </c>
      <c r="L6" s="151"/>
      <c r="M6" s="151"/>
      <c r="N6" s="152"/>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13</v>
      </c>
      <c r="B8" s="15" t="s">
        <v>44</v>
      </c>
      <c r="C8" s="150" t="s">
        <v>208</v>
      </c>
      <c r="D8" s="151"/>
      <c r="E8" s="151"/>
      <c r="F8" s="151"/>
      <c r="G8" s="151"/>
      <c r="H8" s="151"/>
      <c r="I8" s="151"/>
      <c r="J8" s="151"/>
      <c r="K8" s="151"/>
      <c r="L8" s="151"/>
      <c r="M8" s="151"/>
      <c r="N8" s="152"/>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11</v>
      </c>
      <c r="B10" s="15" t="s">
        <v>80</v>
      </c>
      <c r="C10" s="15"/>
      <c r="D10" s="15"/>
      <c r="E10" s="150" t="s">
        <v>144</v>
      </c>
      <c r="F10" s="151"/>
      <c r="G10" s="151"/>
      <c r="H10" s="151"/>
      <c r="I10" s="151"/>
      <c r="J10" s="151"/>
      <c r="K10" s="151"/>
      <c r="L10" s="151"/>
      <c r="M10" s="151"/>
      <c r="N10" s="152"/>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14</v>
      </c>
      <c r="B12" s="16" t="s">
        <v>54</v>
      </c>
      <c r="C12" s="16"/>
      <c r="D12" s="16"/>
      <c r="E12" s="162" t="s">
        <v>181</v>
      </c>
      <c r="F12" s="163"/>
      <c r="G12" s="17" t="s">
        <v>91</v>
      </c>
      <c r="H12" s="14" t="s">
        <v>92</v>
      </c>
      <c r="N12" s="112" t="s">
        <v>145</v>
      </c>
      <c r="O12" s="31" t="str">
        <f>IF(E12="","入力してください","")</f>
        <v/>
      </c>
    </row>
    <row r="13" spans="1:15" ht="7.5" customHeight="1" x14ac:dyDescent="0.15">
      <c r="B13" s="16"/>
      <c r="C13" s="16"/>
      <c r="D13" s="16"/>
      <c r="E13" s="16"/>
      <c r="F13" s="121"/>
      <c r="G13" s="121"/>
      <c r="H13" s="121"/>
      <c r="I13" s="121"/>
      <c r="J13" s="121"/>
      <c r="K13" s="121"/>
      <c r="L13" s="121"/>
      <c r="M13" s="121"/>
      <c r="N13" s="35"/>
    </row>
    <row r="14" spans="1:15" ht="24" customHeight="1" x14ac:dyDescent="0.15">
      <c r="A14" s="14" t="s">
        <v>50</v>
      </c>
      <c r="B14" s="14" t="s">
        <v>0</v>
      </c>
      <c r="C14" s="156" t="s">
        <v>5</v>
      </c>
      <c r="D14" s="157"/>
      <c r="E14" s="145">
        <v>38</v>
      </c>
      <c r="F14" s="146"/>
      <c r="G14" s="18" t="s">
        <v>7</v>
      </c>
      <c r="I14" s="156" t="s">
        <v>8</v>
      </c>
      <c r="J14" s="157"/>
      <c r="K14" s="158">
        <v>66</v>
      </c>
      <c r="L14" s="159"/>
      <c r="M14" s="160"/>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55</v>
      </c>
      <c r="B16" s="14" t="s">
        <v>65</v>
      </c>
      <c r="F16" s="20"/>
      <c r="G16" s="20"/>
      <c r="H16" s="20"/>
      <c r="I16" s="20"/>
      <c r="J16" s="20"/>
      <c r="K16" s="164">
        <v>6</v>
      </c>
      <c r="L16" s="165"/>
      <c r="M16" s="166"/>
      <c r="N16" s="19" t="s">
        <v>7</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23</v>
      </c>
      <c r="B18" s="14" t="s">
        <v>72</v>
      </c>
      <c r="E18" s="145">
        <v>110</v>
      </c>
      <c r="F18" s="146"/>
      <c r="G18" s="21" t="s">
        <v>21</v>
      </c>
      <c r="H18" s="20"/>
      <c r="K18" s="170"/>
      <c r="L18" s="170"/>
      <c r="M18" s="170"/>
      <c r="N18" s="170"/>
      <c r="O18" s="31" t="str">
        <f>IF(E18="","入力してください","")</f>
        <v/>
      </c>
    </row>
    <row r="19" spans="1:15" ht="7.5" customHeight="1" x14ac:dyDescent="0.15">
      <c r="E19" s="10"/>
      <c r="F19" s="20"/>
      <c r="G19" s="20"/>
      <c r="L19" s="34"/>
      <c r="M19" s="34"/>
      <c r="N19" s="22"/>
    </row>
    <row r="20" spans="1:15" ht="24" customHeight="1" x14ac:dyDescent="0.15">
      <c r="A20" s="14" t="s">
        <v>71</v>
      </c>
      <c r="B20" s="14" t="s">
        <v>73</v>
      </c>
      <c r="E20" s="10"/>
      <c r="F20" s="20"/>
      <c r="G20" s="20"/>
      <c r="H20" s="14" t="s">
        <v>49</v>
      </c>
      <c r="J20" s="167">
        <v>442</v>
      </c>
      <c r="K20" s="168"/>
      <c r="L20" s="169"/>
      <c r="M20" s="34" t="s">
        <v>7</v>
      </c>
      <c r="N20" s="22"/>
      <c r="O20" s="31" t="str">
        <f>IF(J20="","入力してください","")</f>
        <v/>
      </c>
    </row>
    <row r="21" spans="1:15" ht="7.5" customHeight="1" x14ac:dyDescent="0.15">
      <c r="E21" s="10"/>
      <c r="F21" s="20"/>
      <c r="G21" s="20"/>
      <c r="L21" s="34"/>
      <c r="M21" s="34"/>
      <c r="N21" s="22"/>
    </row>
    <row r="22" spans="1:15" ht="24" customHeight="1" x14ac:dyDescent="0.15">
      <c r="B22" s="29" t="s">
        <v>17</v>
      </c>
      <c r="C22" s="145">
        <v>110</v>
      </c>
      <c r="D22" s="146"/>
      <c r="E22" s="10" t="s">
        <v>7</v>
      </c>
      <c r="F22" s="20"/>
      <c r="G22" s="141" t="s">
        <v>18</v>
      </c>
      <c r="H22" s="141"/>
      <c r="I22" s="145">
        <v>114</v>
      </c>
      <c r="J22" s="146"/>
      <c r="K22" s="17" t="s">
        <v>7</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19</v>
      </c>
      <c r="C24" s="145">
        <v>108</v>
      </c>
      <c r="D24" s="146"/>
      <c r="E24" s="10" t="s">
        <v>7</v>
      </c>
      <c r="F24" s="20"/>
      <c r="G24" s="141" t="s">
        <v>20</v>
      </c>
      <c r="H24" s="141"/>
      <c r="I24" s="145">
        <v>110</v>
      </c>
      <c r="J24" s="146"/>
      <c r="K24" s="17" t="s">
        <v>7</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45</v>
      </c>
      <c r="C26" s="145">
        <v>0</v>
      </c>
      <c r="D26" s="146"/>
      <c r="E26" s="10" t="s">
        <v>7</v>
      </c>
      <c r="F26" s="20"/>
      <c r="G26" s="141" t="s">
        <v>46</v>
      </c>
      <c r="H26" s="141"/>
      <c r="I26" s="145">
        <v>0</v>
      </c>
      <c r="J26" s="146"/>
      <c r="K26" s="17" t="s">
        <v>7</v>
      </c>
      <c r="M26" s="34"/>
      <c r="N26" s="22"/>
    </row>
    <row r="27" spans="1:15" ht="7.5" customHeight="1" x14ac:dyDescent="0.15">
      <c r="F27" s="20"/>
      <c r="G27" s="20"/>
      <c r="M27" s="23"/>
      <c r="N27" s="23"/>
    </row>
    <row r="28" spans="1:15" ht="24" customHeight="1" x14ac:dyDescent="0.15">
      <c r="A28" s="14" t="s">
        <v>48</v>
      </c>
      <c r="B28" s="15" t="s">
        <v>70</v>
      </c>
      <c r="C28" s="15"/>
      <c r="D28" s="15"/>
      <c r="E28" s="15"/>
      <c r="F28" s="17"/>
      <c r="G28" s="35"/>
      <c r="H28" s="35"/>
      <c r="I28" s="35"/>
      <c r="J28" s="24"/>
      <c r="K28" s="24"/>
      <c r="L28" s="24"/>
      <c r="M28" s="24"/>
      <c r="N28" s="24"/>
    </row>
    <row r="29" spans="1:15" s="14" customFormat="1" ht="24" customHeight="1" x14ac:dyDescent="0.15">
      <c r="B29" s="149" t="s">
        <v>69</v>
      </c>
      <c r="C29" s="149"/>
      <c r="D29" s="150" t="s">
        <v>146</v>
      </c>
      <c r="E29" s="151"/>
      <c r="F29" s="151"/>
      <c r="G29" s="153" t="s">
        <v>22</v>
      </c>
      <c r="H29" s="149"/>
      <c r="I29" s="154"/>
      <c r="J29" s="142" t="s">
        <v>186</v>
      </c>
      <c r="K29" s="143"/>
      <c r="L29" s="143"/>
      <c r="M29" s="143"/>
      <c r="N29" s="144"/>
      <c r="O29" s="31" t="str">
        <f>IF(OR(D29="",J29=""),"入力してください","")</f>
        <v/>
      </c>
    </row>
    <row r="30" spans="1:15" ht="7.5" customHeight="1" x14ac:dyDescent="0.15">
      <c r="F30" s="20"/>
      <c r="G30" s="20"/>
      <c r="M30" s="23"/>
      <c r="N30" s="23"/>
    </row>
    <row r="31" spans="1:15" ht="24" customHeight="1" x14ac:dyDescent="0.15">
      <c r="A31" s="14" t="s">
        <v>51</v>
      </c>
      <c r="B31" s="15" t="s">
        <v>75</v>
      </c>
      <c r="C31" s="15"/>
      <c r="D31" s="15"/>
      <c r="E31" s="15"/>
      <c r="F31" s="17"/>
      <c r="G31" s="24"/>
      <c r="H31" s="24"/>
      <c r="I31" s="24"/>
      <c r="J31" s="24"/>
      <c r="K31" s="24"/>
      <c r="L31" s="24"/>
      <c r="M31" s="24"/>
      <c r="N31" s="24"/>
    </row>
    <row r="32" spans="1:15" ht="24" customHeight="1" x14ac:dyDescent="0.15">
      <c r="B32" s="150" t="s">
        <v>147</v>
      </c>
      <c r="C32" s="151"/>
      <c r="D32" s="151"/>
      <c r="E32" s="151"/>
      <c r="F32" s="151"/>
      <c r="G32" s="151"/>
      <c r="H32" s="151"/>
      <c r="I32" s="151"/>
      <c r="J32" s="151"/>
      <c r="K32" s="151"/>
      <c r="L32" s="151"/>
      <c r="M32" s="151"/>
      <c r="N32" s="152"/>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9" t="s">
        <v>69</v>
      </c>
      <c r="C34" s="149"/>
      <c r="D34" s="150" t="s">
        <v>148</v>
      </c>
      <c r="E34" s="151"/>
      <c r="F34" s="151"/>
      <c r="G34" s="153" t="s">
        <v>22</v>
      </c>
      <c r="H34" s="149"/>
      <c r="I34" s="154"/>
      <c r="J34" s="150" t="s">
        <v>149</v>
      </c>
      <c r="K34" s="151"/>
      <c r="L34" s="151"/>
      <c r="M34" s="151"/>
      <c r="N34" s="152"/>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56</v>
      </c>
      <c r="B36" s="14" t="s">
        <v>76</v>
      </c>
      <c r="M36" s="23"/>
      <c r="N36" s="23"/>
    </row>
    <row r="37" spans="1:15" ht="24" customHeight="1" x14ac:dyDescent="0.15">
      <c r="B37" s="150" t="s">
        <v>147</v>
      </c>
      <c r="C37" s="151"/>
      <c r="D37" s="151"/>
      <c r="E37" s="151"/>
      <c r="F37" s="151"/>
      <c r="G37" s="151"/>
      <c r="H37" s="151"/>
      <c r="I37" s="151"/>
      <c r="J37" s="151"/>
      <c r="K37" s="151"/>
      <c r="L37" s="151"/>
      <c r="M37" s="151"/>
      <c r="N37" s="152"/>
      <c r="O37" s="31" t="str">
        <f>IF(B37="","入力してください","")</f>
        <v/>
      </c>
    </row>
    <row r="38" spans="1:15" ht="7.5" customHeight="1" x14ac:dyDescent="0.15">
      <c r="F38" s="35"/>
      <c r="G38" s="35"/>
      <c r="H38" s="35"/>
      <c r="I38" s="35"/>
      <c r="J38" s="35"/>
      <c r="K38" s="35"/>
      <c r="L38" s="35"/>
      <c r="M38" s="35"/>
      <c r="N38" s="35"/>
    </row>
    <row r="39" spans="1:15" s="14" customFormat="1" ht="24" customHeight="1" x14ac:dyDescent="0.15">
      <c r="B39" s="149" t="s">
        <v>69</v>
      </c>
      <c r="C39" s="149"/>
      <c r="D39" s="150" t="s">
        <v>148</v>
      </c>
      <c r="E39" s="151"/>
      <c r="F39" s="151"/>
      <c r="G39" s="153" t="s">
        <v>22</v>
      </c>
      <c r="H39" s="149"/>
      <c r="I39" s="154"/>
      <c r="J39" s="150" t="s">
        <v>150</v>
      </c>
      <c r="K39" s="151"/>
      <c r="L39" s="151"/>
      <c r="M39" s="151"/>
      <c r="N39" s="152"/>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83</v>
      </c>
      <c r="B41" s="71" t="s">
        <v>64</v>
      </c>
      <c r="E41" s="72"/>
      <c r="F41" s="150" t="s">
        <v>151</v>
      </c>
      <c r="G41" s="151"/>
      <c r="H41" s="151"/>
      <c r="I41" s="151"/>
      <c r="J41" s="151"/>
      <c r="K41" s="151"/>
      <c r="L41" s="151"/>
      <c r="M41" s="151"/>
      <c r="N41" s="152"/>
      <c r="O41" s="31" t="str">
        <f>IF(F41="","入力してください","")</f>
        <v/>
      </c>
    </row>
    <row r="42" spans="1:15" ht="7.5" customHeight="1" x14ac:dyDescent="0.15">
      <c r="F42" s="35"/>
      <c r="G42" s="35"/>
      <c r="H42" s="35"/>
      <c r="I42" s="35"/>
      <c r="J42" s="35"/>
      <c r="K42" s="35"/>
      <c r="L42" s="35"/>
      <c r="M42" s="35"/>
      <c r="N42" s="35"/>
    </row>
    <row r="43" spans="1:15" ht="24" customHeight="1" x14ac:dyDescent="0.15">
      <c r="A43" s="14" t="s">
        <v>93</v>
      </c>
    </row>
    <row r="44" spans="1:15" ht="24" customHeight="1" x14ac:dyDescent="0.15">
      <c r="B44" s="30" t="s">
        <v>1</v>
      </c>
      <c r="C44" s="147" t="s">
        <v>152</v>
      </c>
      <c r="D44" s="148"/>
      <c r="E44" s="148"/>
      <c r="F44" s="148"/>
      <c r="G44" s="148"/>
      <c r="H44" s="148"/>
      <c r="I44" s="26" t="s">
        <v>2</v>
      </c>
      <c r="J44" s="27"/>
      <c r="K44" s="142" t="s">
        <v>153</v>
      </c>
      <c r="L44" s="143"/>
      <c r="M44" s="143"/>
      <c r="N44" s="144"/>
      <c r="O44" s="31" t="str">
        <f>IF(OR(C44="",K44=""),"入力してください","")</f>
        <v/>
      </c>
    </row>
    <row r="45" spans="1:15" ht="24" customHeight="1" x14ac:dyDescent="0.15">
      <c r="B45" s="25" t="s">
        <v>4</v>
      </c>
      <c r="C45" s="135" t="s">
        <v>154</v>
      </c>
      <c r="D45" s="136"/>
      <c r="E45" s="136"/>
      <c r="F45" s="136"/>
      <c r="G45" s="136"/>
      <c r="H45" s="137"/>
      <c r="I45" s="26" t="s">
        <v>3</v>
      </c>
      <c r="J45" s="27"/>
      <c r="K45" s="138" t="s">
        <v>155</v>
      </c>
      <c r="L45" s="139"/>
      <c r="M45" s="139"/>
      <c r="N45" s="140"/>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93" zoomScaleNormal="100" zoomScaleSheetLayoutView="100" workbookViewId="0">
      <selection activeCell="Q96" sqref="Q96"/>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78" t="s">
        <v>184</v>
      </c>
      <c r="X1" s="278"/>
      <c r="Y1" s="278"/>
      <c r="Z1" s="278"/>
    </row>
    <row r="2" spans="1:26" ht="18" customHeight="1" x14ac:dyDescent="0.15">
      <c r="A2" s="231" t="s">
        <v>62</v>
      </c>
      <c r="B2" s="231"/>
      <c r="C2" s="231"/>
      <c r="D2" s="231"/>
      <c r="E2" s="231"/>
      <c r="F2" s="231"/>
      <c r="G2" s="231"/>
      <c r="H2" s="231"/>
      <c r="I2" s="231"/>
      <c r="J2" s="231"/>
      <c r="K2" s="231"/>
      <c r="L2" s="231"/>
      <c r="M2" s="231"/>
      <c r="N2" s="231"/>
      <c r="O2" s="231"/>
      <c r="P2" s="231"/>
      <c r="Q2" s="231"/>
      <c r="R2" s="231"/>
      <c r="S2" s="231"/>
      <c r="T2" s="231"/>
      <c r="U2" s="231"/>
      <c r="V2" s="231"/>
      <c r="W2" s="231"/>
      <c r="X2" s="231"/>
      <c r="Y2" s="231"/>
      <c r="Z2" s="231"/>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94</v>
      </c>
      <c r="B4" s="29"/>
      <c r="C4" s="29"/>
      <c r="D4" s="29"/>
      <c r="E4" s="29"/>
      <c r="F4" s="29"/>
      <c r="G4" s="29"/>
      <c r="H4" s="15" t="s">
        <v>107</v>
      </c>
      <c r="I4" s="29"/>
      <c r="J4" s="29"/>
      <c r="K4" s="29"/>
      <c r="L4" s="29"/>
      <c r="M4" s="29"/>
      <c r="N4" s="29"/>
      <c r="O4" s="177" t="s">
        <v>156</v>
      </c>
      <c r="P4" s="178"/>
      <c r="Q4" s="178"/>
      <c r="R4" s="178"/>
      <c r="S4" s="178"/>
      <c r="T4" s="178"/>
      <c r="U4" s="178"/>
      <c r="V4" s="178"/>
      <c r="W4" s="178"/>
      <c r="X4" s="178"/>
      <c r="Y4" s="178"/>
      <c r="Z4" s="179"/>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32" t="s">
        <v>196</v>
      </c>
      <c r="C6" s="233"/>
      <c r="D6" s="233"/>
      <c r="E6" s="233"/>
      <c r="F6" s="233"/>
      <c r="G6" s="233"/>
      <c r="H6" s="233"/>
      <c r="I6" s="233"/>
      <c r="J6" s="233"/>
      <c r="K6" s="233"/>
      <c r="L6" s="233"/>
      <c r="M6" s="233"/>
      <c r="N6" s="233"/>
      <c r="O6" s="233"/>
      <c r="P6" s="233"/>
      <c r="Q6" s="233"/>
      <c r="R6" s="233"/>
      <c r="S6" s="233"/>
      <c r="T6" s="233"/>
      <c r="U6" s="233"/>
      <c r="V6" s="233"/>
      <c r="W6" s="233"/>
      <c r="X6" s="233"/>
      <c r="Y6" s="233"/>
      <c r="Z6" s="234"/>
    </row>
    <row r="7" spans="1:26" ht="18" customHeight="1" x14ac:dyDescent="0.15">
      <c r="B7" s="235"/>
      <c r="C7" s="236"/>
      <c r="D7" s="236"/>
      <c r="E7" s="236"/>
      <c r="F7" s="236"/>
      <c r="G7" s="236"/>
      <c r="H7" s="236"/>
      <c r="I7" s="236"/>
      <c r="J7" s="236"/>
      <c r="K7" s="236"/>
      <c r="L7" s="236"/>
      <c r="M7" s="236"/>
      <c r="N7" s="236"/>
      <c r="O7" s="236"/>
      <c r="P7" s="236"/>
      <c r="Q7" s="236"/>
      <c r="R7" s="236"/>
      <c r="S7" s="236"/>
      <c r="T7" s="236"/>
      <c r="U7" s="236"/>
      <c r="V7" s="236"/>
      <c r="W7" s="236"/>
      <c r="X7" s="236"/>
      <c r="Y7" s="236"/>
      <c r="Z7" s="237"/>
    </row>
    <row r="8" spans="1:26" ht="18" customHeight="1" x14ac:dyDescent="0.15">
      <c r="B8" s="235"/>
      <c r="C8" s="236"/>
      <c r="D8" s="236"/>
      <c r="E8" s="236"/>
      <c r="F8" s="236"/>
      <c r="G8" s="236"/>
      <c r="H8" s="236"/>
      <c r="I8" s="236"/>
      <c r="J8" s="236"/>
      <c r="K8" s="236"/>
      <c r="L8" s="236"/>
      <c r="M8" s="236"/>
      <c r="N8" s="236"/>
      <c r="O8" s="236"/>
      <c r="P8" s="236"/>
      <c r="Q8" s="236"/>
      <c r="R8" s="236"/>
      <c r="S8" s="236"/>
      <c r="T8" s="236"/>
      <c r="U8" s="236"/>
      <c r="V8" s="236"/>
      <c r="W8" s="236"/>
      <c r="X8" s="236"/>
      <c r="Y8" s="236"/>
      <c r="Z8" s="237"/>
    </row>
    <row r="9" spans="1:26" ht="18" customHeight="1" x14ac:dyDescent="0.15">
      <c r="B9" s="235"/>
      <c r="C9" s="236"/>
      <c r="D9" s="236"/>
      <c r="E9" s="236"/>
      <c r="F9" s="236"/>
      <c r="G9" s="236"/>
      <c r="H9" s="236"/>
      <c r="I9" s="236"/>
      <c r="J9" s="236"/>
      <c r="K9" s="236"/>
      <c r="L9" s="236"/>
      <c r="M9" s="236"/>
      <c r="N9" s="236"/>
      <c r="O9" s="236"/>
      <c r="P9" s="236"/>
      <c r="Q9" s="236"/>
      <c r="R9" s="236"/>
      <c r="S9" s="236"/>
      <c r="T9" s="236"/>
      <c r="U9" s="236"/>
      <c r="V9" s="236"/>
      <c r="W9" s="236"/>
      <c r="X9" s="236"/>
      <c r="Y9" s="236"/>
      <c r="Z9" s="237"/>
    </row>
    <row r="10" spans="1:26" ht="18" customHeight="1" x14ac:dyDescent="0.15">
      <c r="B10" s="235"/>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7"/>
    </row>
    <row r="11" spans="1:26" ht="18" customHeight="1" x14ac:dyDescent="0.15">
      <c r="B11" s="239"/>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1"/>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4" t="s">
        <v>118</v>
      </c>
      <c r="B13" s="224"/>
      <c r="C13" s="224"/>
      <c r="D13" s="224"/>
      <c r="E13" s="224"/>
      <c r="F13" s="224"/>
      <c r="G13" s="224"/>
      <c r="H13" s="224"/>
      <c r="I13" s="224"/>
      <c r="J13" s="224"/>
      <c r="K13" s="224"/>
      <c r="L13" s="224"/>
      <c r="M13" s="224"/>
      <c r="N13" s="224"/>
      <c r="O13" s="224"/>
      <c r="P13" s="224"/>
      <c r="Q13" s="224"/>
      <c r="R13" s="224"/>
      <c r="S13" s="224"/>
      <c r="T13" s="224"/>
      <c r="U13" s="224"/>
      <c r="V13" s="224"/>
      <c r="W13" s="224"/>
      <c r="X13" s="224"/>
      <c r="Y13" s="224"/>
      <c r="Z13" s="224"/>
    </row>
    <row r="14" spans="1:26" ht="18" customHeight="1" x14ac:dyDescent="0.15">
      <c r="A14" s="224"/>
      <c r="B14" s="224"/>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row>
    <row r="15" spans="1:26" ht="18" customHeight="1" x14ac:dyDescent="0.15">
      <c r="A15" s="14"/>
      <c r="B15" s="177" t="s">
        <v>95</v>
      </c>
      <c r="C15" s="178"/>
      <c r="D15" s="178"/>
      <c r="E15" s="178"/>
      <c r="F15" s="179"/>
      <c r="G15" s="30" t="s">
        <v>134</v>
      </c>
      <c r="H15" s="107" t="s">
        <v>133</v>
      </c>
      <c r="I15" s="178" t="s">
        <v>96</v>
      </c>
      <c r="J15" s="178"/>
      <c r="K15" s="178"/>
      <c r="L15" s="73" t="s">
        <v>99</v>
      </c>
      <c r="M15" s="73" t="s">
        <v>102</v>
      </c>
      <c r="N15" s="177" t="s">
        <v>95</v>
      </c>
      <c r="O15" s="178"/>
      <c r="P15" s="178"/>
      <c r="Q15" s="178"/>
      <c r="R15" s="178"/>
      <c r="S15" s="179"/>
      <c r="T15" s="30" t="s">
        <v>134</v>
      </c>
      <c r="U15" s="107" t="s">
        <v>133</v>
      </c>
      <c r="V15" s="178" t="s">
        <v>96</v>
      </c>
      <c r="W15" s="178"/>
      <c r="X15" s="178"/>
      <c r="Y15" s="73" t="s">
        <v>99</v>
      </c>
      <c r="Z15" s="73" t="s">
        <v>102</v>
      </c>
    </row>
    <row r="16" spans="1:26" ht="18" customHeight="1" x14ac:dyDescent="0.15">
      <c r="A16" s="14"/>
      <c r="B16" s="180" t="s">
        <v>157</v>
      </c>
      <c r="C16" s="181"/>
      <c r="D16" s="181"/>
      <c r="E16" s="181"/>
      <c r="F16" s="182"/>
      <c r="G16" s="108">
        <v>1</v>
      </c>
      <c r="H16" s="108" t="s">
        <v>161</v>
      </c>
      <c r="I16" s="215" t="s">
        <v>162</v>
      </c>
      <c r="J16" s="216"/>
      <c r="K16" s="217"/>
      <c r="L16" s="133"/>
      <c r="M16" s="133" t="s">
        <v>161</v>
      </c>
      <c r="N16" s="171"/>
      <c r="O16" s="172"/>
      <c r="P16" s="172"/>
      <c r="Q16" s="172"/>
      <c r="R16" s="172"/>
      <c r="S16" s="173"/>
      <c r="T16" s="108"/>
      <c r="U16" s="108"/>
      <c r="V16" s="215"/>
      <c r="W16" s="216"/>
      <c r="X16" s="217"/>
      <c r="Y16" s="108"/>
      <c r="Z16" s="108"/>
    </row>
    <row r="17" spans="1:26" ht="18" customHeight="1" x14ac:dyDescent="0.15">
      <c r="A17" s="14"/>
      <c r="B17" s="189" t="s">
        <v>163</v>
      </c>
      <c r="C17" s="190"/>
      <c r="D17" s="190"/>
      <c r="E17" s="190"/>
      <c r="F17" s="191"/>
      <c r="G17" s="109">
        <v>1</v>
      </c>
      <c r="H17" s="109" t="s">
        <v>161</v>
      </c>
      <c r="I17" s="218" t="s">
        <v>162</v>
      </c>
      <c r="J17" s="219"/>
      <c r="K17" s="220"/>
      <c r="L17" s="122" t="s">
        <v>161</v>
      </c>
      <c r="M17" s="122"/>
      <c r="N17" s="186"/>
      <c r="O17" s="187"/>
      <c r="P17" s="187"/>
      <c r="Q17" s="187"/>
      <c r="R17" s="187"/>
      <c r="S17" s="188"/>
      <c r="T17" s="109"/>
      <c r="U17" s="109"/>
      <c r="V17" s="218"/>
      <c r="W17" s="219"/>
      <c r="X17" s="220"/>
      <c r="Y17" s="109"/>
      <c r="Z17" s="109"/>
    </row>
    <row r="18" spans="1:26" ht="18" customHeight="1" x14ac:dyDescent="0.15">
      <c r="A18" s="14"/>
      <c r="B18" s="189"/>
      <c r="C18" s="190"/>
      <c r="D18" s="190"/>
      <c r="E18" s="190"/>
      <c r="F18" s="191"/>
      <c r="G18" s="109"/>
      <c r="H18" s="109"/>
      <c r="I18" s="218"/>
      <c r="J18" s="219"/>
      <c r="K18" s="220"/>
      <c r="L18" s="109"/>
      <c r="M18" s="109"/>
      <c r="N18" s="186"/>
      <c r="O18" s="187"/>
      <c r="P18" s="187"/>
      <c r="Q18" s="187"/>
      <c r="R18" s="187"/>
      <c r="S18" s="188"/>
      <c r="T18" s="109"/>
      <c r="U18" s="109"/>
      <c r="V18" s="218"/>
      <c r="W18" s="219"/>
      <c r="X18" s="220"/>
      <c r="Y18" s="109"/>
      <c r="Z18" s="109"/>
    </row>
    <row r="19" spans="1:26" ht="18" customHeight="1" x14ac:dyDescent="0.15">
      <c r="A19" s="14"/>
      <c r="B19" s="189"/>
      <c r="C19" s="190"/>
      <c r="D19" s="190"/>
      <c r="E19" s="190"/>
      <c r="F19" s="191"/>
      <c r="G19" s="109"/>
      <c r="H19" s="109"/>
      <c r="I19" s="218"/>
      <c r="J19" s="219"/>
      <c r="K19" s="220"/>
      <c r="L19" s="109"/>
      <c r="M19" s="109"/>
      <c r="N19" s="186"/>
      <c r="O19" s="187"/>
      <c r="P19" s="187"/>
      <c r="Q19" s="187"/>
      <c r="R19" s="187"/>
      <c r="S19" s="188"/>
      <c r="T19" s="109"/>
      <c r="U19" s="109"/>
      <c r="V19" s="218"/>
      <c r="W19" s="219"/>
      <c r="X19" s="220"/>
      <c r="Y19" s="109"/>
      <c r="Z19" s="109"/>
    </row>
    <row r="20" spans="1:26" ht="18" customHeight="1" x14ac:dyDescent="0.15">
      <c r="A20" s="14"/>
      <c r="B20" s="189"/>
      <c r="C20" s="190"/>
      <c r="D20" s="190"/>
      <c r="E20" s="190"/>
      <c r="F20" s="191"/>
      <c r="G20" s="109"/>
      <c r="H20" s="109"/>
      <c r="I20" s="218"/>
      <c r="J20" s="219"/>
      <c r="K20" s="220"/>
      <c r="L20" s="109"/>
      <c r="M20" s="109"/>
      <c r="N20" s="186"/>
      <c r="O20" s="187"/>
      <c r="P20" s="187"/>
      <c r="Q20" s="187"/>
      <c r="R20" s="187"/>
      <c r="S20" s="188"/>
      <c r="T20" s="109"/>
      <c r="U20" s="109"/>
      <c r="V20" s="218"/>
      <c r="W20" s="219"/>
      <c r="X20" s="220"/>
      <c r="Y20" s="109"/>
      <c r="Z20" s="109"/>
    </row>
    <row r="21" spans="1:26" ht="18" customHeight="1" x14ac:dyDescent="0.15">
      <c r="A21" s="29"/>
      <c r="B21" s="189"/>
      <c r="C21" s="190"/>
      <c r="D21" s="190"/>
      <c r="E21" s="190"/>
      <c r="F21" s="191"/>
      <c r="G21" s="109"/>
      <c r="H21" s="109"/>
      <c r="I21" s="218"/>
      <c r="J21" s="219"/>
      <c r="K21" s="220"/>
      <c r="L21" s="109"/>
      <c r="M21" s="109"/>
      <c r="N21" s="186"/>
      <c r="O21" s="187"/>
      <c r="P21" s="187"/>
      <c r="Q21" s="187"/>
      <c r="R21" s="187"/>
      <c r="S21" s="188"/>
      <c r="T21" s="109"/>
      <c r="U21" s="109"/>
      <c r="V21" s="218"/>
      <c r="W21" s="219"/>
      <c r="X21" s="220"/>
      <c r="Y21" s="109"/>
      <c r="Z21" s="109"/>
    </row>
    <row r="22" spans="1:26" ht="18" customHeight="1" x14ac:dyDescent="0.15">
      <c r="A22" s="29"/>
      <c r="B22" s="228"/>
      <c r="C22" s="229"/>
      <c r="D22" s="229"/>
      <c r="E22" s="229"/>
      <c r="F22" s="230"/>
      <c r="G22" s="110"/>
      <c r="H22" s="110"/>
      <c r="I22" s="221"/>
      <c r="J22" s="222"/>
      <c r="K22" s="223"/>
      <c r="L22" s="116"/>
      <c r="M22" s="116"/>
      <c r="N22" s="251"/>
      <c r="O22" s="252"/>
      <c r="P22" s="252"/>
      <c r="Q22" s="252"/>
      <c r="R22" s="252"/>
      <c r="S22" s="253"/>
      <c r="T22" s="110"/>
      <c r="U22" s="110"/>
      <c r="V22" s="221"/>
      <c r="W22" s="222"/>
      <c r="X22" s="223"/>
      <c r="Y22" s="116"/>
      <c r="Z22" s="116"/>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224" t="s">
        <v>119</v>
      </c>
      <c r="B24" s="224"/>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row>
    <row r="25" spans="1:26" ht="18" customHeight="1" x14ac:dyDescent="0.15">
      <c r="A25" s="224"/>
      <c r="B25" s="224"/>
      <c r="C25" s="224"/>
      <c r="D25" s="224"/>
      <c r="E25" s="224"/>
      <c r="F25" s="224"/>
      <c r="G25" s="224"/>
      <c r="H25" s="224"/>
      <c r="I25" s="224"/>
      <c r="J25" s="224"/>
      <c r="K25" s="224"/>
      <c r="L25" s="224"/>
      <c r="M25" s="224"/>
      <c r="N25" s="224"/>
      <c r="O25" s="224"/>
      <c r="P25" s="224"/>
      <c r="Q25" s="224"/>
      <c r="R25" s="224"/>
      <c r="S25" s="224"/>
      <c r="T25" s="224"/>
      <c r="U25" s="224"/>
      <c r="V25" s="224"/>
      <c r="W25" s="224"/>
      <c r="X25" s="224"/>
      <c r="Y25" s="224"/>
      <c r="Z25" s="224"/>
    </row>
    <row r="26" spans="1:26" ht="18" customHeight="1" x14ac:dyDescent="0.15">
      <c r="A26" s="14"/>
      <c r="B26" s="177" t="s">
        <v>95</v>
      </c>
      <c r="C26" s="178"/>
      <c r="D26" s="178"/>
      <c r="E26" s="178"/>
      <c r="F26" s="179"/>
      <c r="G26" s="30" t="s">
        <v>134</v>
      </c>
      <c r="H26" s="107" t="s">
        <v>133</v>
      </c>
      <c r="I26" s="178" t="s">
        <v>96</v>
      </c>
      <c r="J26" s="178"/>
      <c r="K26" s="178"/>
      <c r="L26" s="73" t="s">
        <v>120</v>
      </c>
      <c r="M26" s="73" t="s">
        <v>121</v>
      </c>
      <c r="N26" s="177" t="s">
        <v>95</v>
      </c>
      <c r="O26" s="178"/>
      <c r="P26" s="178"/>
      <c r="Q26" s="178"/>
      <c r="R26" s="178"/>
      <c r="S26" s="179"/>
      <c r="T26" s="30" t="s">
        <v>134</v>
      </c>
      <c r="U26" s="107" t="s">
        <v>133</v>
      </c>
      <c r="V26" s="178" t="s">
        <v>96</v>
      </c>
      <c r="W26" s="178"/>
      <c r="X26" s="178"/>
      <c r="Y26" s="73" t="s">
        <v>120</v>
      </c>
      <c r="Z26" s="73" t="s">
        <v>121</v>
      </c>
    </row>
    <row r="27" spans="1:26" ht="18" customHeight="1" x14ac:dyDescent="0.15">
      <c r="A27" s="14"/>
      <c r="B27" s="180" t="s">
        <v>157</v>
      </c>
      <c r="C27" s="181"/>
      <c r="D27" s="181"/>
      <c r="E27" s="181"/>
      <c r="F27" s="182"/>
      <c r="G27" s="108">
        <v>1</v>
      </c>
      <c r="H27" s="108" t="s">
        <v>161</v>
      </c>
      <c r="I27" s="215" t="s">
        <v>162</v>
      </c>
      <c r="J27" s="216"/>
      <c r="K27" s="217"/>
      <c r="L27" s="133" t="s">
        <v>161</v>
      </c>
      <c r="M27" s="133" t="s">
        <v>161</v>
      </c>
      <c r="N27" s="171"/>
      <c r="O27" s="172"/>
      <c r="P27" s="172"/>
      <c r="Q27" s="172"/>
      <c r="R27" s="172"/>
      <c r="S27" s="173"/>
      <c r="T27" s="108"/>
      <c r="U27" s="108"/>
      <c r="V27" s="215"/>
      <c r="W27" s="216"/>
      <c r="X27" s="217"/>
      <c r="Y27" s="108"/>
      <c r="Z27" s="108"/>
    </row>
    <row r="28" spans="1:26" ht="18" customHeight="1" x14ac:dyDescent="0.15">
      <c r="A28" s="14"/>
      <c r="B28" s="189" t="s">
        <v>163</v>
      </c>
      <c r="C28" s="190"/>
      <c r="D28" s="190"/>
      <c r="E28" s="190"/>
      <c r="F28" s="191"/>
      <c r="G28" s="109">
        <v>1</v>
      </c>
      <c r="H28" s="109" t="s">
        <v>161</v>
      </c>
      <c r="I28" s="218" t="s">
        <v>162</v>
      </c>
      <c r="J28" s="219"/>
      <c r="K28" s="220"/>
      <c r="L28" s="122" t="s">
        <v>161</v>
      </c>
      <c r="M28" s="122" t="s">
        <v>161</v>
      </c>
      <c r="N28" s="186"/>
      <c r="O28" s="187"/>
      <c r="P28" s="187"/>
      <c r="Q28" s="187"/>
      <c r="R28" s="187"/>
      <c r="S28" s="188"/>
      <c r="T28" s="109"/>
      <c r="U28" s="109"/>
      <c r="V28" s="218"/>
      <c r="W28" s="219"/>
      <c r="X28" s="220"/>
      <c r="Y28" s="109"/>
      <c r="Z28" s="109"/>
    </row>
    <row r="29" spans="1:26" ht="18" customHeight="1" x14ac:dyDescent="0.15">
      <c r="A29" s="14"/>
      <c r="B29" s="189" t="s">
        <v>177</v>
      </c>
      <c r="C29" s="190"/>
      <c r="D29" s="190"/>
      <c r="E29" s="190"/>
      <c r="F29" s="191"/>
      <c r="G29" s="109">
        <v>1</v>
      </c>
      <c r="H29" s="109"/>
      <c r="I29" s="218" t="s">
        <v>162</v>
      </c>
      <c r="J29" s="219"/>
      <c r="K29" s="220"/>
      <c r="L29" s="109" t="s">
        <v>161</v>
      </c>
      <c r="M29" s="109"/>
      <c r="N29" s="186"/>
      <c r="O29" s="187"/>
      <c r="P29" s="187"/>
      <c r="Q29" s="187"/>
      <c r="R29" s="187"/>
      <c r="S29" s="188"/>
      <c r="T29" s="109"/>
      <c r="U29" s="109"/>
      <c r="V29" s="218"/>
      <c r="W29" s="219"/>
      <c r="X29" s="220"/>
      <c r="Y29" s="109"/>
      <c r="Z29" s="109"/>
    </row>
    <row r="30" spans="1:26" ht="18" customHeight="1" x14ac:dyDescent="0.15">
      <c r="A30" s="14"/>
      <c r="B30" s="189"/>
      <c r="C30" s="190"/>
      <c r="D30" s="190"/>
      <c r="E30" s="190"/>
      <c r="F30" s="191"/>
      <c r="G30" s="109"/>
      <c r="H30" s="109"/>
      <c r="I30" s="218"/>
      <c r="J30" s="219"/>
      <c r="K30" s="220"/>
      <c r="L30" s="109"/>
      <c r="M30" s="109"/>
      <c r="N30" s="186"/>
      <c r="O30" s="187"/>
      <c r="P30" s="187"/>
      <c r="Q30" s="187"/>
      <c r="R30" s="187"/>
      <c r="S30" s="188"/>
      <c r="T30" s="109"/>
      <c r="U30" s="109"/>
      <c r="V30" s="218"/>
      <c r="W30" s="219"/>
      <c r="X30" s="220"/>
      <c r="Y30" s="109"/>
      <c r="Z30" s="109"/>
    </row>
    <row r="31" spans="1:26" ht="18" customHeight="1" x14ac:dyDescent="0.15">
      <c r="A31" s="14"/>
      <c r="B31" s="189"/>
      <c r="C31" s="190"/>
      <c r="D31" s="190"/>
      <c r="E31" s="190"/>
      <c r="F31" s="191"/>
      <c r="G31" s="109"/>
      <c r="H31" s="109"/>
      <c r="I31" s="218"/>
      <c r="J31" s="219"/>
      <c r="K31" s="220"/>
      <c r="L31" s="109"/>
      <c r="M31" s="109"/>
      <c r="N31" s="186"/>
      <c r="O31" s="187"/>
      <c r="P31" s="187"/>
      <c r="Q31" s="187"/>
      <c r="R31" s="187"/>
      <c r="S31" s="188"/>
      <c r="T31" s="109"/>
      <c r="U31" s="109"/>
      <c r="V31" s="218"/>
      <c r="W31" s="219"/>
      <c r="X31" s="220"/>
      <c r="Y31" s="109"/>
      <c r="Z31" s="109"/>
    </row>
    <row r="32" spans="1:26" ht="18" customHeight="1" x14ac:dyDescent="0.15">
      <c r="A32" s="14"/>
      <c r="B32" s="189"/>
      <c r="C32" s="190"/>
      <c r="D32" s="190"/>
      <c r="E32" s="190"/>
      <c r="F32" s="191"/>
      <c r="G32" s="109"/>
      <c r="H32" s="109"/>
      <c r="I32" s="218"/>
      <c r="J32" s="219"/>
      <c r="K32" s="220"/>
      <c r="L32" s="109"/>
      <c r="M32" s="109"/>
      <c r="N32" s="186"/>
      <c r="O32" s="187"/>
      <c r="P32" s="187"/>
      <c r="Q32" s="187"/>
      <c r="R32" s="187"/>
      <c r="S32" s="188"/>
      <c r="T32" s="109"/>
      <c r="U32" s="109"/>
      <c r="V32" s="218"/>
      <c r="W32" s="219"/>
      <c r="X32" s="220"/>
      <c r="Y32" s="109"/>
      <c r="Z32" s="109"/>
    </row>
    <row r="33" spans="1:26" ht="18" customHeight="1" x14ac:dyDescent="0.15">
      <c r="A33" s="14"/>
      <c r="B33" s="228"/>
      <c r="C33" s="229"/>
      <c r="D33" s="229"/>
      <c r="E33" s="229"/>
      <c r="F33" s="230"/>
      <c r="G33" s="110"/>
      <c r="H33" s="110"/>
      <c r="I33" s="221"/>
      <c r="J33" s="222"/>
      <c r="K33" s="223"/>
      <c r="L33" s="116"/>
      <c r="M33" s="116"/>
      <c r="N33" s="251"/>
      <c r="O33" s="252"/>
      <c r="P33" s="252"/>
      <c r="Q33" s="252"/>
      <c r="R33" s="252"/>
      <c r="S33" s="253"/>
      <c r="T33" s="110"/>
      <c r="U33" s="110"/>
      <c r="V33" s="221"/>
      <c r="W33" s="222"/>
      <c r="X33" s="223"/>
      <c r="Y33" s="116"/>
      <c r="Z33" s="116"/>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224" t="s">
        <v>122</v>
      </c>
      <c r="B35" s="224"/>
      <c r="C35" s="224"/>
      <c r="D35" s="224"/>
      <c r="E35" s="224"/>
      <c r="F35" s="224"/>
      <c r="G35" s="224"/>
      <c r="H35" s="224"/>
      <c r="I35" s="224"/>
      <c r="J35" s="224"/>
      <c r="K35" s="224"/>
      <c r="L35" s="224"/>
      <c r="M35" s="224"/>
      <c r="N35" s="224"/>
      <c r="O35" s="224"/>
      <c r="P35" s="224"/>
      <c r="Q35" s="224"/>
      <c r="R35" s="224"/>
      <c r="S35" s="224"/>
      <c r="T35" s="224"/>
      <c r="U35" s="224"/>
      <c r="V35" s="224"/>
      <c r="W35" s="224"/>
      <c r="X35" s="224"/>
      <c r="Y35" s="224"/>
      <c r="Z35" s="224"/>
    </row>
    <row r="36" spans="1:26" ht="18" customHeight="1" x14ac:dyDescent="0.15">
      <c r="A36" s="224"/>
      <c r="B36" s="224"/>
      <c r="C36" s="224"/>
      <c r="D36" s="224"/>
      <c r="E36" s="224"/>
      <c r="F36" s="224"/>
      <c r="G36" s="224"/>
      <c r="H36" s="224"/>
      <c r="I36" s="224"/>
      <c r="J36" s="224"/>
      <c r="K36" s="224"/>
      <c r="L36" s="224"/>
      <c r="M36" s="224"/>
      <c r="N36" s="224"/>
      <c r="O36" s="224"/>
      <c r="P36" s="224"/>
      <c r="Q36" s="224"/>
      <c r="R36" s="224"/>
      <c r="S36" s="224"/>
      <c r="T36" s="224"/>
      <c r="U36" s="224"/>
      <c r="V36" s="224"/>
      <c r="W36" s="224"/>
      <c r="X36" s="224"/>
      <c r="Y36" s="224"/>
      <c r="Z36" s="224"/>
    </row>
    <row r="37" spans="1:26" ht="18" customHeight="1" x14ac:dyDescent="0.15">
      <c r="A37" s="14"/>
      <c r="B37" s="177" t="s">
        <v>95</v>
      </c>
      <c r="C37" s="178"/>
      <c r="D37" s="178"/>
      <c r="E37" s="178"/>
      <c r="F37" s="179"/>
      <c r="G37" s="30" t="s">
        <v>134</v>
      </c>
      <c r="H37" s="107" t="s">
        <v>133</v>
      </c>
      <c r="I37" s="177" t="s">
        <v>96</v>
      </c>
      <c r="J37" s="178"/>
      <c r="K37" s="179"/>
      <c r="L37" s="73" t="s">
        <v>123</v>
      </c>
      <c r="M37" s="73" t="s">
        <v>124</v>
      </c>
      <c r="N37" s="177" t="s">
        <v>95</v>
      </c>
      <c r="O37" s="178"/>
      <c r="P37" s="178"/>
      <c r="Q37" s="178"/>
      <c r="R37" s="178"/>
      <c r="S37" s="179"/>
      <c r="T37" s="30" t="s">
        <v>134</v>
      </c>
      <c r="U37" s="107" t="s">
        <v>133</v>
      </c>
      <c r="V37" s="177" t="s">
        <v>96</v>
      </c>
      <c r="W37" s="178"/>
      <c r="X37" s="179"/>
      <c r="Y37" s="73" t="s">
        <v>123</v>
      </c>
      <c r="Z37" s="73" t="s">
        <v>124</v>
      </c>
    </row>
    <row r="38" spans="1:26" ht="18" customHeight="1" x14ac:dyDescent="0.15">
      <c r="A38" s="29"/>
      <c r="B38" s="180" t="s">
        <v>157</v>
      </c>
      <c r="C38" s="181"/>
      <c r="D38" s="181"/>
      <c r="E38" s="181"/>
      <c r="F38" s="182"/>
      <c r="G38" s="108">
        <v>1</v>
      </c>
      <c r="H38" s="108" t="s">
        <v>161</v>
      </c>
      <c r="I38" s="215" t="s">
        <v>162</v>
      </c>
      <c r="J38" s="216"/>
      <c r="K38" s="217"/>
      <c r="L38" s="133" t="s">
        <v>161</v>
      </c>
      <c r="M38" s="133" t="s">
        <v>161</v>
      </c>
      <c r="N38" s="171"/>
      <c r="O38" s="172"/>
      <c r="P38" s="172"/>
      <c r="Q38" s="172"/>
      <c r="R38" s="172"/>
      <c r="S38" s="173"/>
      <c r="T38" s="108"/>
      <c r="U38" s="108"/>
      <c r="V38" s="215"/>
      <c r="W38" s="216"/>
      <c r="X38" s="217"/>
      <c r="Y38" s="108"/>
      <c r="Z38" s="108"/>
    </row>
    <row r="39" spans="1:26" ht="18" customHeight="1" x14ac:dyDescent="0.15">
      <c r="A39" s="29"/>
      <c r="B39" s="189" t="s">
        <v>163</v>
      </c>
      <c r="C39" s="190"/>
      <c r="D39" s="190"/>
      <c r="E39" s="190"/>
      <c r="F39" s="191"/>
      <c r="G39" s="109">
        <v>1</v>
      </c>
      <c r="H39" s="109" t="s">
        <v>161</v>
      </c>
      <c r="I39" s="218" t="s">
        <v>162</v>
      </c>
      <c r="J39" s="219"/>
      <c r="K39" s="220"/>
      <c r="L39" s="122" t="s">
        <v>161</v>
      </c>
      <c r="M39" s="122" t="s">
        <v>161</v>
      </c>
      <c r="N39" s="186"/>
      <c r="O39" s="187"/>
      <c r="P39" s="187"/>
      <c r="Q39" s="187"/>
      <c r="R39" s="187"/>
      <c r="S39" s="188"/>
      <c r="T39" s="109"/>
      <c r="U39" s="109"/>
      <c r="V39" s="218"/>
      <c r="W39" s="219"/>
      <c r="X39" s="220"/>
      <c r="Y39" s="109"/>
      <c r="Z39" s="109"/>
    </row>
    <row r="40" spans="1:26" ht="18" customHeight="1" x14ac:dyDescent="0.15">
      <c r="A40" s="29"/>
      <c r="B40" s="189"/>
      <c r="C40" s="190"/>
      <c r="D40" s="190"/>
      <c r="E40" s="190"/>
      <c r="F40" s="191"/>
      <c r="G40" s="109"/>
      <c r="H40" s="109"/>
      <c r="I40" s="218"/>
      <c r="J40" s="219"/>
      <c r="K40" s="220"/>
      <c r="L40" s="109"/>
      <c r="M40" s="109"/>
      <c r="N40" s="186"/>
      <c r="O40" s="187"/>
      <c r="P40" s="187"/>
      <c r="Q40" s="187"/>
      <c r="R40" s="187"/>
      <c r="S40" s="188"/>
      <c r="T40" s="109"/>
      <c r="U40" s="109"/>
      <c r="V40" s="218"/>
      <c r="W40" s="219"/>
      <c r="X40" s="220"/>
      <c r="Y40" s="109"/>
      <c r="Z40" s="109"/>
    </row>
    <row r="41" spans="1:26" ht="18" customHeight="1" x14ac:dyDescent="0.15">
      <c r="A41" s="29"/>
      <c r="B41" s="189"/>
      <c r="C41" s="190"/>
      <c r="D41" s="190"/>
      <c r="E41" s="190"/>
      <c r="F41" s="191"/>
      <c r="G41" s="109"/>
      <c r="H41" s="109"/>
      <c r="I41" s="218"/>
      <c r="J41" s="219"/>
      <c r="K41" s="220"/>
      <c r="L41" s="109"/>
      <c r="M41" s="109"/>
      <c r="N41" s="186"/>
      <c r="O41" s="187"/>
      <c r="P41" s="187"/>
      <c r="Q41" s="187"/>
      <c r="R41" s="187"/>
      <c r="S41" s="188"/>
      <c r="T41" s="109"/>
      <c r="U41" s="109"/>
      <c r="V41" s="218"/>
      <c r="W41" s="219"/>
      <c r="X41" s="220"/>
      <c r="Y41" s="109"/>
      <c r="Z41" s="109"/>
    </row>
    <row r="42" spans="1:26" ht="18" customHeight="1" x14ac:dyDescent="0.15">
      <c r="A42" s="29"/>
      <c r="B42" s="189"/>
      <c r="C42" s="190"/>
      <c r="D42" s="190"/>
      <c r="E42" s="190"/>
      <c r="F42" s="191"/>
      <c r="G42" s="109"/>
      <c r="H42" s="109"/>
      <c r="I42" s="218"/>
      <c r="J42" s="219"/>
      <c r="K42" s="220"/>
      <c r="L42" s="109"/>
      <c r="M42" s="109"/>
      <c r="N42" s="186"/>
      <c r="O42" s="187"/>
      <c r="P42" s="187"/>
      <c r="Q42" s="187"/>
      <c r="R42" s="187"/>
      <c r="S42" s="188"/>
      <c r="T42" s="109"/>
      <c r="U42" s="109"/>
      <c r="V42" s="218"/>
      <c r="W42" s="219"/>
      <c r="X42" s="220"/>
      <c r="Y42" s="109"/>
      <c r="Z42" s="109"/>
    </row>
    <row r="43" spans="1:26" ht="18" customHeight="1" x14ac:dyDescent="0.15">
      <c r="A43" s="29"/>
      <c r="B43" s="189"/>
      <c r="C43" s="190"/>
      <c r="D43" s="190"/>
      <c r="E43" s="190"/>
      <c r="F43" s="191"/>
      <c r="G43" s="109"/>
      <c r="H43" s="109"/>
      <c r="I43" s="218"/>
      <c r="J43" s="219"/>
      <c r="K43" s="220"/>
      <c r="L43" s="109"/>
      <c r="M43" s="109"/>
      <c r="N43" s="186"/>
      <c r="O43" s="187"/>
      <c r="P43" s="187"/>
      <c r="Q43" s="187"/>
      <c r="R43" s="187"/>
      <c r="S43" s="188"/>
      <c r="T43" s="109"/>
      <c r="U43" s="109"/>
      <c r="V43" s="218"/>
      <c r="W43" s="219"/>
      <c r="X43" s="220"/>
      <c r="Y43" s="109"/>
      <c r="Z43" s="109"/>
    </row>
    <row r="44" spans="1:26" ht="18" customHeight="1" x14ac:dyDescent="0.15">
      <c r="A44" s="29"/>
      <c r="B44" s="228"/>
      <c r="C44" s="229"/>
      <c r="D44" s="229"/>
      <c r="E44" s="229"/>
      <c r="F44" s="230"/>
      <c r="G44" s="110"/>
      <c r="H44" s="110"/>
      <c r="I44" s="221"/>
      <c r="J44" s="222"/>
      <c r="K44" s="223"/>
      <c r="L44" s="116"/>
      <c r="M44" s="116"/>
      <c r="N44" s="251"/>
      <c r="O44" s="252"/>
      <c r="P44" s="252"/>
      <c r="Q44" s="252"/>
      <c r="R44" s="252"/>
      <c r="S44" s="253"/>
      <c r="T44" s="110"/>
      <c r="U44" s="110"/>
      <c r="V44" s="221"/>
      <c r="W44" s="222"/>
      <c r="X44" s="223"/>
      <c r="Y44" s="116"/>
      <c r="Z44" s="116"/>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224" t="s">
        <v>125</v>
      </c>
      <c r="B46" s="224"/>
      <c r="C46" s="224"/>
      <c r="D46" s="224"/>
      <c r="E46" s="224"/>
      <c r="F46" s="224"/>
      <c r="G46" s="224"/>
      <c r="H46" s="224"/>
      <c r="I46" s="224"/>
      <c r="J46" s="224"/>
      <c r="K46" s="224"/>
      <c r="L46" s="224"/>
      <c r="M46" s="224"/>
      <c r="N46" s="224"/>
      <c r="O46" s="224"/>
      <c r="P46" s="224"/>
      <c r="Q46" s="224"/>
      <c r="R46" s="224"/>
      <c r="S46" s="224"/>
      <c r="T46" s="224"/>
      <c r="U46" s="224"/>
      <c r="V46" s="224"/>
      <c r="W46" s="224"/>
      <c r="X46" s="224"/>
      <c r="Y46" s="224"/>
      <c r="Z46" s="224"/>
    </row>
    <row r="47" spans="1:26" ht="18" customHeight="1" x14ac:dyDescent="0.15">
      <c r="A47" s="224"/>
      <c r="B47" s="224"/>
      <c r="C47" s="224"/>
      <c r="D47" s="224"/>
      <c r="E47" s="224"/>
      <c r="F47" s="224"/>
      <c r="G47" s="224"/>
      <c r="H47" s="224"/>
      <c r="I47" s="224"/>
      <c r="J47" s="224"/>
      <c r="K47" s="224"/>
      <c r="L47" s="224"/>
      <c r="M47" s="224"/>
      <c r="N47" s="224"/>
      <c r="O47" s="224"/>
      <c r="P47" s="224"/>
      <c r="Q47" s="224"/>
      <c r="R47" s="224"/>
      <c r="S47" s="224"/>
      <c r="T47" s="224"/>
      <c r="U47" s="224"/>
      <c r="V47" s="224"/>
      <c r="W47" s="224"/>
      <c r="X47" s="224"/>
      <c r="Y47" s="224"/>
      <c r="Z47" s="224"/>
    </row>
    <row r="48" spans="1:26" ht="18" customHeight="1" x14ac:dyDescent="0.15">
      <c r="A48" s="14"/>
      <c r="B48" s="177" t="s">
        <v>95</v>
      </c>
      <c r="C48" s="178"/>
      <c r="D48" s="178"/>
      <c r="E48" s="178"/>
      <c r="F48" s="179"/>
      <c r="G48" s="30" t="s">
        <v>134</v>
      </c>
      <c r="H48" s="107" t="s">
        <v>133</v>
      </c>
      <c r="I48" s="177" t="s">
        <v>96</v>
      </c>
      <c r="J48" s="178"/>
      <c r="K48" s="179"/>
      <c r="L48" s="73" t="s">
        <v>101</v>
      </c>
      <c r="M48" s="73" t="s">
        <v>103</v>
      </c>
      <c r="N48" s="177" t="s">
        <v>95</v>
      </c>
      <c r="O48" s="178"/>
      <c r="P48" s="178"/>
      <c r="Q48" s="178"/>
      <c r="R48" s="178"/>
      <c r="S48" s="179"/>
      <c r="T48" s="30" t="s">
        <v>134</v>
      </c>
      <c r="U48" s="107" t="s">
        <v>133</v>
      </c>
      <c r="V48" s="177" t="s">
        <v>96</v>
      </c>
      <c r="W48" s="178"/>
      <c r="X48" s="179"/>
      <c r="Y48" s="73" t="s">
        <v>101</v>
      </c>
      <c r="Z48" s="73" t="s">
        <v>103</v>
      </c>
    </row>
    <row r="49" spans="1:26" ht="18" customHeight="1" x14ac:dyDescent="0.15">
      <c r="A49" s="29"/>
      <c r="B49" s="180" t="s">
        <v>157</v>
      </c>
      <c r="C49" s="181"/>
      <c r="D49" s="181"/>
      <c r="E49" s="181"/>
      <c r="F49" s="182"/>
      <c r="G49" s="108">
        <v>1</v>
      </c>
      <c r="H49" s="108" t="s">
        <v>161</v>
      </c>
      <c r="I49" s="215" t="s">
        <v>162</v>
      </c>
      <c r="J49" s="216"/>
      <c r="K49" s="217"/>
      <c r="L49" s="133" t="s">
        <v>161</v>
      </c>
      <c r="M49" s="133" t="s">
        <v>161</v>
      </c>
      <c r="N49" s="171"/>
      <c r="O49" s="172"/>
      <c r="P49" s="172"/>
      <c r="Q49" s="172"/>
      <c r="R49" s="172"/>
      <c r="S49" s="173"/>
      <c r="T49" s="108"/>
      <c r="U49" s="108"/>
      <c r="V49" s="215"/>
      <c r="W49" s="216"/>
      <c r="X49" s="217"/>
      <c r="Y49" s="108"/>
      <c r="Z49" s="108"/>
    </row>
    <row r="50" spans="1:26" ht="18" customHeight="1" x14ac:dyDescent="0.15">
      <c r="A50" s="29"/>
      <c r="B50" s="189" t="s">
        <v>158</v>
      </c>
      <c r="C50" s="190"/>
      <c r="D50" s="190"/>
      <c r="E50" s="190"/>
      <c r="F50" s="191"/>
      <c r="G50" s="109">
        <v>1</v>
      </c>
      <c r="H50" s="109"/>
      <c r="I50" s="218" t="s">
        <v>162</v>
      </c>
      <c r="J50" s="219"/>
      <c r="K50" s="220"/>
      <c r="L50" s="122"/>
      <c r="M50" s="122" t="s">
        <v>161</v>
      </c>
      <c r="N50" s="186"/>
      <c r="O50" s="187"/>
      <c r="P50" s="187"/>
      <c r="Q50" s="187"/>
      <c r="R50" s="187"/>
      <c r="S50" s="188"/>
      <c r="T50" s="109"/>
      <c r="U50" s="109"/>
      <c r="V50" s="218"/>
      <c r="W50" s="219"/>
      <c r="X50" s="220"/>
      <c r="Y50" s="109"/>
      <c r="Z50" s="109"/>
    </row>
    <row r="51" spans="1:26" ht="18" customHeight="1" x14ac:dyDescent="0.15">
      <c r="A51" s="29"/>
      <c r="B51" s="189" t="s">
        <v>160</v>
      </c>
      <c r="C51" s="190"/>
      <c r="D51" s="190"/>
      <c r="E51" s="190"/>
      <c r="F51" s="191"/>
      <c r="G51" s="109">
        <v>1</v>
      </c>
      <c r="H51" s="109" t="s">
        <v>161</v>
      </c>
      <c r="I51" s="218" t="s">
        <v>162</v>
      </c>
      <c r="J51" s="219"/>
      <c r="K51" s="220"/>
      <c r="L51" s="122" t="s">
        <v>161</v>
      </c>
      <c r="M51" s="122" t="s">
        <v>161</v>
      </c>
      <c r="N51" s="186"/>
      <c r="O51" s="187"/>
      <c r="P51" s="187"/>
      <c r="Q51" s="187"/>
      <c r="R51" s="187"/>
      <c r="S51" s="188"/>
      <c r="T51" s="109"/>
      <c r="U51" s="109"/>
      <c r="V51" s="218"/>
      <c r="W51" s="219"/>
      <c r="X51" s="220"/>
      <c r="Y51" s="109"/>
      <c r="Z51" s="109"/>
    </row>
    <row r="52" spans="1:26" ht="18" customHeight="1" x14ac:dyDescent="0.15">
      <c r="A52" s="29"/>
      <c r="B52" s="189"/>
      <c r="C52" s="190"/>
      <c r="D52" s="190"/>
      <c r="E52" s="190"/>
      <c r="F52" s="191"/>
      <c r="G52" s="109"/>
      <c r="H52" s="109"/>
      <c r="I52" s="218"/>
      <c r="J52" s="219"/>
      <c r="K52" s="220"/>
      <c r="L52" s="109"/>
      <c r="M52" s="109"/>
      <c r="N52" s="186"/>
      <c r="O52" s="187"/>
      <c r="P52" s="187"/>
      <c r="Q52" s="187"/>
      <c r="R52" s="187"/>
      <c r="S52" s="188"/>
      <c r="T52" s="109"/>
      <c r="U52" s="109"/>
      <c r="V52" s="218"/>
      <c r="W52" s="219"/>
      <c r="X52" s="220"/>
      <c r="Y52" s="109"/>
      <c r="Z52" s="109"/>
    </row>
    <row r="53" spans="1:26" ht="18" customHeight="1" x14ac:dyDescent="0.15">
      <c r="A53" s="29"/>
      <c r="B53" s="189"/>
      <c r="C53" s="190"/>
      <c r="D53" s="190"/>
      <c r="E53" s="190"/>
      <c r="F53" s="191"/>
      <c r="G53" s="109"/>
      <c r="H53" s="109"/>
      <c r="I53" s="218"/>
      <c r="J53" s="219"/>
      <c r="K53" s="220"/>
      <c r="L53" s="109"/>
      <c r="M53" s="109"/>
      <c r="N53" s="186"/>
      <c r="O53" s="187"/>
      <c r="P53" s="187"/>
      <c r="Q53" s="187"/>
      <c r="R53" s="187"/>
      <c r="S53" s="188"/>
      <c r="T53" s="109"/>
      <c r="U53" s="109"/>
      <c r="V53" s="218"/>
      <c r="W53" s="219"/>
      <c r="X53" s="220"/>
      <c r="Y53" s="109"/>
      <c r="Z53" s="109"/>
    </row>
    <row r="54" spans="1:26" ht="18" customHeight="1" x14ac:dyDescent="0.15">
      <c r="A54" s="29"/>
      <c r="B54" s="189"/>
      <c r="C54" s="190"/>
      <c r="D54" s="190"/>
      <c r="E54" s="190"/>
      <c r="F54" s="191"/>
      <c r="G54" s="109"/>
      <c r="H54" s="109"/>
      <c r="I54" s="218"/>
      <c r="J54" s="219"/>
      <c r="K54" s="220"/>
      <c r="L54" s="109"/>
      <c r="M54" s="109"/>
      <c r="N54" s="186"/>
      <c r="O54" s="187"/>
      <c r="P54" s="187"/>
      <c r="Q54" s="187"/>
      <c r="R54" s="187"/>
      <c r="S54" s="188"/>
      <c r="T54" s="109"/>
      <c r="U54" s="109"/>
      <c r="V54" s="218"/>
      <c r="W54" s="219"/>
      <c r="X54" s="220"/>
      <c r="Y54" s="109"/>
      <c r="Z54" s="109"/>
    </row>
    <row r="55" spans="1:26" ht="18" customHeight="1" x14ac:dyDescent="0.15">
      <c r="A55" s="29"/>
      <c r="B55" s="228"/>
      <c r="C55" s="229"/>
      <c r="D55" s="229"/>
      <c r="E55" s="229"/>
      <c r="F55" s="230"/>
      <c r="G55" s="110"/>
      <c r="H55" s="110"/>
      <c r="I55" s="221"/>
      <c r="J55" s="222"/>
      <c r="K55" s="223"/>
      <c r="L55" s="116"/>
      <c r="M55" s="116"/>
      <c r="N55" s="251"/>
      <c r="O55" s="252"/>
      <c r="P55" s="252"/>
      <c r="Q55" s="252"/>
      <c r="R55" s="252"/>
      <c r="S55" s="253"/>
      <c r="T55" s="110"/>
      <c r="U55" s="110"/>
      <c r="V55" s="221"/>
      <c r="W55" s="222"/>
      <c r="X55" s="223"/>
      <c r="Y55" s="116"/>
      <c r="Z55" s="116"/>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224" t="s">
        <v>126</v>
      </c>
      <c r="B57" s="224"/>
      <c r="C57" s="224"/>
      <c r="D57" s="224"/>
      <c r="E57" s="224"/>
      <c r="F57" s="224"/>
      <c r="G57" s="224"/>
      <c r="H57" s="224"/>
      <c r="I57" s="224"/>
      <c r="J57" s="224"/>
      <c r="K57" s="224"/>
      <c r="L57" s="224"/>
      <c r="M57" s="224"/>
      <c r="N57" s="224"/>
      <c r="O57" s="224"/>
      <c r="P57" s="224"/>
      <c r="Q57" s="224"/>
      <c r="R57" s="224"/>
      <c r="S57" s="224"/>
      <c r="T57" s="224"/>
      <c r="U57" s="224"/>
      <c r="V57" s="224"/>
      <c r="W57" s="224"/>
      <c r="X57" s="224"/>
      <c r="Y57" s="224"/>
      <c r="Z57" s="224"/>
    </row>
    <row r="58" spans="1:26" ht="18" customHeight="1" x14ac:dyDescent="0.15">
      <c r="A58" s="224"/>
      <c r="B58" s="224"/>
      <c r="C58" s="224"/>
      <c r="D58" s="224"/>
      <c r="E58" s="224"/>
      <c r="F58" s="224"/>
      <c r="G58" s="224"/>
      <c r="H58" s="224"/>
      <c r="I58" s="224"/>
      <c r="J58" s="224"/>
      <c r="K58" s="224"/>
      <c r="L58" s="224"/>
      <c r="M58" s="224"/>
      <c r="N58" s="224"/>
      <c r="O58" s="224"/>
      <c r="P58" s="224"/>
      <c r="Q58" s="224"/>
      <c r="R58" s="224"/>
      <c r="S58" s="224"/>
      <c r="T58" s="224"/>
      <c r="U58" s="224"/>
      <c r="V58" s="224"/>
      <c r="W58" s="224"/>
      <c r="X58" s="224"/>
      <c r="Y58" s="224"/>
      <c r="Z58" s="224"/>
    </row>
    <row r="59" spans="1:26" ht="18" customHeight="1" x14ac:dyDescent="0.15">
      <c r="A59" s="14"/>
      <c r="B59" s="177" t="s">
        <v>95</v>
      </c>
      <c r="C59" s="178"/>
      <c r="D59" s="178"/>
      <c r="E59" s="179"/>
      <c r="F59" s="30" t="s">
        <v>134</v>
      </c>
      <c r="G59" s="107" t="s">
        <v>133</v>
      </c>
      <c r="H59" s="102" t="s">
        <v>96</v>
      </c>
      <c r="I59" s="103"/>
      <c r="J59" s="104"/>
      <c r="K59" s="73" t="s">
        <v>100</v>
      </c>
      <c r="L59" s="73" t="s">
        <v>127</v>
      </c>
      <c r="M59" s="73" t="s">
        <v>128</v>
      </c>
      <c r="N59" s="177" t="s">
        <v>95</v>
      </c>
      <c r="O59" s="178"/>
      <c r="P59" s="178"/>
      <c r="Q59" s="178"/>
      <c r="R59" s="179"/>
      <c r="S59" s="30" t="s">
        <v>134</v>
      </c>
      <c r="T59" s="107" t="s">
        <v>133</v>
      </c>
      <c r="U59" s="102" t="s">
        <v>96</v>
      </c>
      <c r="V59" s="103"/>
      <c r="W59" s="104"/>
      <c r="X59" s="73" t="s">
        <v>100</v>
      </c>
      <c r="Y59" s="73" t="s">
        <v>127</v>
      </c>
      <c r="Z59" s="73" t="s">
        <v>128</v>
      </c>
    </row>
    <row r="60" spans="1:26" ht="18" customHeight="1" x14ac:dyDescent="0.15">
      <c r="A60" s="29"/>
      <c r="B60" s="272" t="s">
        <v>158</v>
      </c>
      <c r="C60" s="273"/>
      <c r="D60" s="273"/>
      <c r="E60" s="274"/>
      <c r="F60" s="117">
        <v>1</v>
      </c>
      <c r="G60" s="117"/>
      <c r="H60" s="257" t="s">
        <v>162</v>
      </c>
      <c r="I60" s="258"/>
      <c r="J60" s="259"/>
      <c r="K60" s="123"/>
      <c r="L60" s="123" t="s">
        <v>161</v>
      </c>
      <c r="M60" s="123" t="s">
        <v>161</v>
      </c>
      <c r="N60" s="171"/>
      <c r="O60" s="172"/>
      <c r="P60" s="172"/>
      <c r="Q60" s="172"/>
      <c r="R60" s="173"/>
      <c r="S60" s="108"/>
      <c r="T60" s="108"/>
      <c r="U60" s="215"/>
      <c r="V60" s="216"/>
      <c r="W60" s="217"/>
      <c r="X60" s="115"/>
      <c r="Y60" s="108"/>
      <c r="Z60" s="108"/>
    </row>
    <row r="61" spans="1:26" ht="18" customHeight="1" x14ac:dyDescent="0.15">
      <c r="A61" s="29"/>
      <c r="B61" s="186" t="s">
        <v>159</v>
      </c>
      <c r="C61" s="187"/>
      <c r="D61" s="187"/>
      <c r="E61" s="188"/>
      <c r="F61" s="109">
        <v>1</v>
      </c>
      <c r="G61" s="109" t="s">
        <v>161</v>
      </c>
      <c r="H61" s="218" t="s">
        <v>162</v>
      </c>
      <c r="I61" s="219"/>
      <c r="J61" s="220"/>
      <c r="K61" s="122" t="s">
        <v>161</v>
      </c>
      <c r="L61" s="122" t="s">
        <v>161</v>
      </c>
      <c r="M61" s="122" t="s">
        <v>161</v>
      </c>
      <c r="N61" s="186"/>
      <c r="O61" s="187"/>
      <c r="P61" s="187"/>
      <c r="Q61" s="187"/>
      <c r="R61" s="188"/>
      <c r="S61" s="109"/>
      <c r="T61" s="109"/>
      <c r="U61" s="218"/>
      <c r="V61" s="219"/>
      <c r="W61" s="220"/>
      <c r="X61" s="113"/>
      <c r="Y61" s="109"/>
      <c r="Z61" s="109"/>
    </row>
    <row r="62" spans="1:26" ht="18" customHeight="1" x14ac:dyDescent="0.15">
      <c r="A62" s="29"/>
      <c r="B62" s="275" t="s">
        <v>160</v>
      </c>
      <c r="C62" s="276"/>
      <c r="D62" s="276"/>
      <c r="E62" s="277"/>
      <c r="F62" s="118">
        <v>1</v>
      </c>
      <c r="G62" s="118" t="s">
        <v>161</v>
      </c>
      <c r="H62" s="225" t="s">
        <v>162</v>
      </c>
      <c r="I62" s="226"/>
      <c r="J62" s="227"/>
      <c r="K62" s="124" t="s">
        <v>161</v>
      </c>
      <c r="L62" s="124"/>
      <c r="M62" s="124"/>
      <c r="N62" s="186"/>
      <c r="O62" s="187"/>
      <c r="P62" s="187"/>
      <c r="Q62" s="187"/>
      <c r="R62" s="188"/>
      <c r="S62" s="109"/>
      <c r="T62" s="109"/>
      <c r="U62" s="218"/>
      <c r="V62" s="219"/>
      <c r="W62" s="220"/>
      <c r="X62" s="113"/>
      <c r="Y62" s="109"/>
      <c r="Z62" s="109"/>
    </row>
    <row r="63" spans="1:26" ht="18" customHeight="1" x14ac:dyDescent="0.15">
      <c r="A63" s="29"/>
      <c r="B63" s="186" t="s">
        <v>179</v>
      </c>
      <c r="C63" s="187"/>
      <c r="D63" s="187"/>
      <c r="E63" s="188"/>
      <c r="F63" s="118">
        <v>1</v>
      </c>
      <c r="G63" s="124"/>
      <c r="H63" s="218" t="s">
        <v>162</v>
      </c>
      <c r="I63" s="219"/>
      <c r="J63" s="220"/>
      <c r="K63" s="134"/>
      <c r="L63" s="122" t="s">
        <v>161</v>
      </c>
      <c r="M63" s="122"/>
      <c r="N63" s="186"/>
      <c r="O63" s="187"/>
      <c r="P63" s="187"/>
      <c r="Q63" s="187"/>
      <c r="R63" s="188"/>
      <c r="S63" s="109"/>
      <c r="T63" s="109"/>
      <c r="U63" s="218"/>
      <c r="V63" s="219"/>
      <c r="W63" s="220"/>
      <c r="X63" s="113"/>
      <c r="Y63" s="109"/>
      <c r="Z63" s="109"/>
    </row>
    <row r="64" spans="1:26" ht="18" customHeight="1" x14ac:dyDescent="0.15">
      <c r="A64" s="29"/>
      <c r="B64" s="186"/>
      <c r="C64" s="187"/>
      <c r="D64" s="187"/>
      <c r="E64" s="188"/>
      <c r="F64" s="109"/>
      <c r="G64" s="109"/>
      <c r="H64" s="218"/>
      <c r="I64" s="219"/>
      <c r="J64" s="220"/>
      <c r="K64" s="113"/>
      <c r="L64" s="109"/>
      <c r="M64" s="109"/>
      <c r="N64" s="186"/>
      <c r="O64" s="187"/>
      <c r="P64" s="187"/>
      <c r="Q64" s="187"/>
      <c r="R64" s="188"/>
      <c r="S64" s="109"/>
      <c r="T64" s="109"/>
      <c r="U64" s="218"/>
      <c r="V64" s="219"/>
      <c r="W64" s="220"/>
      <c r="X64" s="113"/>
      <c r="Y64" s="109"/>
      <c r="Z64" s="109"/>
    </row>
    <row r="65" spans="1:26" ht="18" customHeight="1" x14ac:dyDescent="0.15">
      <c r="A65" s="29"/>
      <c r="B65" s="186"/>
      <c r="C65" s="187"/>
      <c r="D65" s="187"/>
      <c r="E65" s="188"/>
      <c r="F65" s="109"/>
      <c r="G65" s="109"/>
      <c r="H65" s="218"/>
      <c r="I65" s="219"/>
      <c r="J65" s="220"/>
      <c r="K65" s="113"/>
      <c r="L65" s="109"/>
      <c r="M65" s="109"/>
      <c r="N65" s="186"/>
      <c r="O65" s="187"/>
      <c r="P65" s="187"/>
      <c r="Q65" s="187"/>
      <c r="R65" s="188"/>
      <c r="S65" s="109"/>
      <c r="T65" s="109"/>
      <c r="U65" s="218"/>
      <c r="V65" s="219"/>
      <c r="W65" s="220"/>
      <c r="X65" s="113"/>
      <c r="Y65" s="109"/>
      <c r="Z65" s="109"/>
    </row>
    <row r="66" spans="1:26" ht="18" customHeight="1" x14ac:dyDescent="0.15">
      <c r="A66" s="29"/>
      <c r="B66" s="251"/>
      <c r="C66" s="252"/>
      <c r="D66" s="252"/>
      <c r="E66" s="253"/>
      <c r="F66" s="110"/>
      <c r="G66" s="110"/>
      <c r="H66" s="221"/>
      <c r="I66" s="222"/>
      <c r="J66" s="223"/>
      <c r="K66" s="114"/>
      <c r="L66" s="116"/>
      <c r="M66" s="116"/>
      <c r="N66" s="251"/>
      <c r="O66" s="252"/>
      <c r="P66" s="252"/>
      <c r="Q66" s="252"/>
      <c r="R66" s="253"/>
      <c r="S66" s="110"/>
      <c r="T66" s="110"/>
      <c r="U66" s="221"/>
      <c r="V66" s="222"/>
      <c r="W66" s="223"/>
      <c r="X66" s="114"/>
      <c r="Y66" s="116"/>
      <c r="Z66" s="116"/>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129</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77" t="s">
        <v>95</v>
      </c>
      <c r="C69" s="178"/>
      <c r="D69" s="178"/>
      <c r="E69" s="178"/>
      <c r="F69" s="179"/>
      <c r="G69" s="177" t="s">
        <v>139</v>
      </c>
      <c r="H69" s="178"/>
      <c r="I69" s="178"/>
      <c r="J69" s="178"/>
      <c r="K69" s="178"/>
      <c r="L69" s="178"/>
      <c r="M69" s="179"/>
      <c r="N69" s="257" t="s">
        <v>95</v>
      </c>
      <c r="O69" s="258"/>
      <c r="P69" s="258"/>
      <c r="Q69" s="258"/>
      <c r="R69" s="258"/>
      <c r="S69" s="259"/>
      <c r="T69" s="177" t="s">
        <v>139</v>
      </c>
      <c r="U69" s="178"/>
      <c r="V69" s="178"/>
      <c r="W69" s="178"/>
      <c r="X69" s="178"/>
      <c r="Y69" s="178"/>
      <c r="Z69" s="179"/>
    </row>
    <row r="70" spans="1:26" ht="18" customHeight="1" x14ac:dyDescent="0.15">
      <c r="A70" s="29"/>
      <c r="B70" s="171" t="s">
        <v>171</v>
      </c>
      <c r="C70" s="172"/>
      <c r="D70" s="172"/>
      <c r="E70" s="172"/>
      <c r="F70" s="173"/>
      <c r="G70" s="180" t="s">
        <v>172</v>
      </c>
      <c r="H70" s="181"/>
      <c r="I70" s="181"/>
      <c r="J70" s="181"/>
      <c r="K70" s="181"/>
      <c r="L70" s="181"/>
      <c r="M70" s="182"/>
      <c r="N70" s="171"/>
      <c r="O70" s="172"/>
      <c r="P70" s="172"/>
      <c r="Q70" s="172"/>
      <c r="R70" s="172"/>
      <c r="S70" s="173"/>
      <c r="T70" s="174"/>
      <c r="U70" s="175"/>
      <c r="V70" s="175"/>
      <c r="W70" s="175"/>
      <c r="X70" s="175"/>
      <c r="Y70" s="175"/>
      <c r="Z70" s="176"/>
    </row>
    <row r="71" spans="1:26" ht="18" customHeight="1" x14ac:dyDescent="0.15">
      <c r="A71" s="29"/>
      <c r="B71" s="186" t="s">
        <v>171</v>
      </c>
      <c r="C71" s="187"/>
      <c r="D71" s="187"/>
      <c r="E71" s="187"/>
      <c r="F71" s="188"/>
      <c r="G71" s="189" t="s">
        <v>173</v>
      </c>
      <c r="H71" s="190"/>
      <c r="I71" s="190"/>
      <c r="J71" s="190"/>
      <c r="K71" s="190"/>
      <c r="L71" s="190"/>
      <c r="M71" s="191"/>
      <c r="N71" s="186"/>
      <c r="O71" s="187"/>
      <c r="P71" s="187"/>
      <c r="Q71" s="187"/>
      <c r="R71" s="187"/>
      <c r="S71" s="188"/>
      <c r="T71" s="192"/>
      <c r="U71" s="193"/>
      <c r="V71" s="193"/>
      <c r="W71" s="193"/>
      <c r="X71" s="193"/>
      <c r="Y71" s="193"/>
      <c r="Z71" s="194"/>
    </row>
    <row r="72" spans="1:26" ht="18" customHeight="1" x14ac:dyDescent="0.15">
      <c r="A72" s="29"/>
      <c r="B72" s="186" t="s">
        <v>171</v>
      </c>
      <c r="C72" s="187"/>
      <c r="D72" s="187"/>
      <c r="E72" s="187"/>
      <c r="F72" s="188"/>
      <c r="G72" s="189" t="s">
        <v>175</v>
      </c>
      <c r="H72" s="190"/>
      <c r="I72" s="190"/>
      <c r="J72" s="190"/>
      <c r="K72" s="190"/>
      <c r="L72" s="190"/>
      <c r="M72" s="191"/>
      <c r="N72" s="186"/>
      <c r="O72" s="187"/>
      <c r="P72" s="187"/>
      <c r="Q72" s="187"/>
      <c r="R72" s="187"/>
      <c r="S72" s="188"/>
      <c r="T72" s="192"/>
      <c r="U72" s="193"/>
      <c r="V72" s="193"/>
      <c r="W72" s="193"/>
      <c r="X72" s="193"/>
      <c r="Y72" s="193"/>
      <c r="Z72" s="194"/>
    </row>
    <row r="73" spans="1:26" ht="18" customHeight="1" x14ac:dyDescent="0.15">
      <c r="A73" s="29"/>
      <c r="B73" s="186" t="s">
        <v>179</v>
      </c>
      <c r="C73" s="187"/>
      <c r="D73" s="187"/>
      <c r="E73" s="187"/>
      <c r="F73" s="188"/>
      <c r="G73" s="189" t="s">
        <v>180</v>
      </c>
      <c r="H73" s="190"/>
      <c r="I73" s="190"/>
      <c r="J73" s="190"/>
      <c r="K73" s="190"/>
      <c r="L73" s="190"/>
      <c r="M73" s="191"/>
      <c r="N73" s="186"/>
      <c r="O73" s="187"/>
      <c r="P73" s="187"/>
      <c r="Q73" s="187"/>
      <c r="R73" s="187"/>
      <c r="S73" s="188"/>
      <c r="T73" s="192"/>
      <c r="U73" s="193"/>
      <c r="V73" s="193"/>
      <c r="W73" s="193"/>
      <c r="X73" s="193"/>
      <c r="Y73" s="193"/>
      <c r="Z73" s="194"/>
    </row>
    <row r="74" spans="1:26" ht="18" customHeight="1" x14ac:dyDescent="0.15">
      <c r="A74" s="29"/>
      <c r="B74" s="186" t="s">
        <v>179</v>
      </c>
      <c r="C74" s="187"/>
      <c r="D74" s="187"/>
      <c r="E74" s="187"/>
      <c r="F74" s="188"/>
      <c r="G74" s="189" t="s">
        <v>175</v>
      </c>
      <c r="H74" s="190"/>
      <c r="I74" s="190"/>
      <c r="J74" s="190"/>
      <c r="K74" s="190"/>
      <c r="L74" s="190"/>
      <c r="M74" s="191"/>
      <c r="N74" s="186"/>
      <c r="O74" s="187"/>
      <c r="P74" s="187"/>
      <c r="Q74" s="187"/>
      <c r="R74" s="187"/>
      <c r="S74" s="188"/>
      <c r="T74" s="192"/>
      <c r="U74" s="193"/>
      <c r="V74" s="193"/>
      <c r="W74" s="193"/>
      <c r="X74" s="193"/>
      <c r="Y74" s="193"/>
      <c r="Z74" s="194"/>
    </row>
    <row r="75" spans="1:26" ht="18" customHeight="1" x14ac:dyDescent="0.15">
      <c r="A75" s="29"/>
      <c r="B75" s="186"/>
      <c r="C75" s="187"/>
      <c r="D75" s="187"/>
      <c r="E75" s="187"/>
      <c r="F75" s="188"/>
      <c r="G75" s="192"/>
      <c r="H75" s="193"/>
      <c r="I75" s="193"/>
      <c r="J75" s="193"/>
      <c r="K75" s="193"/>
      <c r="L75" s="193"/>
      <c r="M75" s="194"/>
      <c r="N75" s="186"/>
      <c r="O75" s="187"/>
      <c r="P75" s="187"/>
      <c r="Q75" s="187"/>
      <c r="R75" s="187"/>
      <c r="S75" s="188"/>
      <c r="T75" s="192"/>
      <c r="U75" s="193"/>
      <c r="V75" s="193"/>
      <c r="W75" s="193"/>
      <c r="X75" s="193"/>
      <c r="Y75" s="193"/>
      <c r="Z75" s="194"/>
    </row>
    <row r="76" spans="1:26" ht="18" customHeight="1" x14ac:dyDescent="0.15">
      <c r="A76" s="29"/>
      <c r="B76" s="251"/>
      <c r="C76" s="252"/>
      <c r="D76" s="252"/>
      <c r="E76" s="252"/>
      <c r="F76" s="253"/>
      <c r="G76" s="254"/>
      <c r="H76" s="255"/>
      <c r="I76" s="255"/>
      <c r="J76" s="255"/>
      <c r="K76" s="255"/>
      <c r="L76" s="255"/>
      <c r="M76" s="256"/>
      <c r="N76" s="251"/>
      <c r="O76" s="252"/>
      <c r="P76" s="252"/>
      <c r="Q76" s="252"/>
      <c r="R76" s="252"/>
      <c r="S76" s="253"/>
      <c r="T76" s="254"/>
      <c r="U76" s="255"/>
      <c r="V76" s="255"/>
      <c r="W76" s="255"/>
      <c r="X76" s="255"/>
      <c r="Y76" s="255"/>
      <c r="Z76" s="256"/>
    </row>
    <row r="77" spans="1:26" ht="18" customHeight="1" x14ac:dyDescent="0.15">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x14ac:dyDescent="0.15">
      <c r="A78" s="13" t="s">
        <v>135</v>
      </c>
    </row>
    <row r="79" spans="1:26" ht="18.75" customHeight="1" x14ac:dyDescent="0.15">
      <c r="B79" s="76" t="s">
        <v>97</v>
      </c>
      <c r="C79" s="77"/>
      <c r="D79" s="212" t="s">
        <v>98</v>
      </c>
      <c r="E79" s="212"/>
      <c r="F79" s="212"/>
      <c r="G79" s="212"/>
      <c r="H79" s="212"/>
      <c r="I79" s="212"/>
      <c r="J79" s="212"/>
      <c r="K79" s="212"/>
      <c r="L79" s="212"/>
      <c r="M79" s="212"/>
      <c r="N79" s="212"/>
      <c r="O79" s="212"/>
      <c r="P79" s="212"/>
      <c r="Q79" s="212"/>
      <c r="R79" s="212"/>
      <c r="S79" s="212"/>
      <c r="T79" s="212"/>
      <c r="U79" s="212"/>
      <c r="V79" s="212"/>
      <c r="W79" s="212"/>
      <c r="X79" s="212"/>
      <c r="Y79" s="212"/>
      <c r="Z79" s="213"/>
    </row>
    <row r="80" spans="1:26" ht="94.5" customHeight="1" x14ac:dyDescent="0.15">
      <c r="B80" s="197" t="s">
        <v>104</v>
      </c>
      <c r="C80" s="83" t="s">
        <v>99</v>
      </c>
      <c r="D80" s="206" t="s">
        <v>168</v>
      </c>
      <c r="E80" s="206"/>
      <c r="F80" s="206"/>
      <c r="G80" s="206"/>
      <c r="H80" s="206"/>
      <c r="I80" s="206"/>
      <c r="J80" s="206"/>
      <c r="K80" s="206"/>
      <c r="L80" s="206"/>
      <c r="M80" s="206"/>
      <c r="N80" s="206"/>
      <c r="O80" s="206"/>
      <c r="P80" s="206"/>
      <c r="Q80" s="206"/>
      <c r="R80" s="206"/>
      <c r="S80" s="206"/>
      <c r="T80" s="206"/>
      <c r="U80" s="206"/>
      <c r="V80" s="206"/>
      <c r="W80" s="206"/>
      <c r="X80" s="206"/>
      <c r="Y80" s="206"/>
      <c r="Z80" s="214"/>
    </row>
    <row r="81" spans="1:26" ht="59.25" customHeight="1" x14ac:dyDescent="0.15">
      <c r="B81" s="198"/>
      <c r="C81" s="105" t="s">
        <v>130</v>
      </c>
      <c r="D81" s="242" t="s">
        <v>174</v>
      </c>
      <c r="E81" s="242"/>
      <c r="F81" s="242"/>
      <c r="G81" s="242"/>
      <c r="H81" s="242"/>
      <c r="I81" s="242"/>
      <c r="J81" s="242"/>
      <c r="K81" s="242"/>
      <c r="L81" s="242"/>
      <c r="M81" s="242"/>
      <c r="N81" s="242"/>
      <c r="O81" s="242"/>
      <c r="P81" s="242"/>
      <c r="Q81" s="242"/>
      <c r="R81" s="242"/>
      <c r="S81" s="242"/>
      <c r="T81" s="242"/>
      <c r="U81" s="242"/>
      <c r="V81" s="242"/>
      <c r="W81" s="242"/>
      <c r="X81" s="242"/>
      <c r="Y81" s="242"/>
      <c r="Z81" s="243"/>
    </row>
    <row r="82" spans="1:26" ht="73.5" customHeight="1" x14ac:dyDescent="0.15">
      <c r="B82" s="195" t="s">
        <v>105</v>
      </c>
      <c r="C82" s="78" t="s">
        <v>120</v>
      </c>
      <c r="D82" s="244" t="s">
        <v>176</v>
      </c>
      <c r="E82" s="245"/>
      <c r="F82" s="245"/>
      <c r="G82" s="245"/>
      <c r="H82" s="245"/>
      <c r="I82" s="245"/>
      <c r="J82" s="245"/>
      <c r="K82" s="245"/>
      <c r="L82" s="245"/>
      <c r="M82" s="245"/>
      <c r="N82" s="245"/>
      <c r="O82" s="245"/>
      <c r="P82" s="245"/>
      <c r="Q82" s="245"/>
      <c r="R82" s="245"/>
      <c r="S82" s="245"/>
      <c r="T82" s="245"/>
      <c r="U82" s="245"/>
      <c r="V82" s="245"/>
      <c r="W82" s="245"/>
      <c r="X82" s="245"/>
      <c r="Y82" s="245"/>
      <c r="Z82" s="246"/>
    </row>
    <row r="83" spans="1:26" ht="68.25" customHeight="1" x14ac:dyDescent="0.15">
      <c r="B83" s="196"/>
      <c r="C83" s="106" t="s">
        <v>121</v>
      </c>
      <c r="D83" s="250" t="s">
        <v>169</v>
      </c>
      <c r="E83" s="242"/>
      <c r="F83" s="242"/>
      <c r="G83" s="242"/>
      <c r="H83" s="242"/>
      <c r="I83" s="242"/>
      <c r="J83" s="242"/>
      <c r="K83" s="242"/>
      <c r="L83" s="242"/>
      <c r="M83" s="242"/>
      <c r="N83" s="242"/>
      <c r="O83" s="242"/>
      <c r="P83" s="242"/>
      <c r="Q83" s="242"/>
      <c r="R83" s="242"/>
      <c r="S83" s="242"/>
      <c r="T83" s="242"/>
      <c r="U83" s="242"/>
      <c r="V83" s="242"/>
      <c r="W83" s="242"/>
      <c r="X83" s="242"/>
      <c r="Y83" s="242"/>
      <c r="Z83" s="243"/>
    </row>
    <row r="84" spans="1:26" ht="66" customHeight="1" x14ac:dyDescent="0.15">
      <c r="B84" s="195" t="s">
        <v>106</v>
      </c>
      <c r="C84" s="78" t="s">
        <v>123</v>
      </c>
      <c r="D84" s="244" t="s">
        <v>166</v>
      </c>
      <c r="E84" s="245"/>
      <c r="F84" s="245"/>
      <c r="G84" s="245"/>
      <c r="H84" s="245"/>
      <c r="I84" s="245"/>
      <c r="J84" s="245"/>
      <c r="K84" s="245"/>
      <c r="L84" s="245"/>
      <c r="M84" s="245"/>
      <c r="N84" s="245"/>
      <c r="O84" s="245"/>
      <c r="P84" s="245"/>
      <c r="Q84" s="245"/>
      <c r="R84" s="245"/>
      <c r="S84" s="245"/>
      <c r="T84" s="245"/>
      <c r="U84" s="245"/>
      <c r="V84" s="245"/>
      <c r="W84" s="245"/>
      <c r="X84" s="245"/>
      <c r="Y84" s="245"/>
      <c r="Z84" s="246"/>
    </row>
    <row r="85" spans="1:26" ht="66" customHeight="1" x14ac:dyDescent="0.15">
      <c r="B85" s="196"/>
      <c r="C85" s="80" t="s">
        <v>124</v>
      </c>
      <c r="D85" s="247" t="s">
        <v>167</v>
      </c>
      <c r="E85" s="248"/>
      <c r="F85" s="248"/>
      <c r="G85" s="248"/>
      <c r="H85" s="248"/>
      <c r="I85" s="248"/>
      <c r="J85" s="248"/>
      <c r="K85" s="248"/>
      <c r="L85" s="248"/>
      <c r="M85" s="248"/>
      <c r="N85" s="248"/>
      <c r="O85" s="248"/>
      <c r="P85" s="248"/>
      <c r="Q85" s="248"/>
      <c r="R85" s="248"/>
      <c r="S85" s="248"/>
      <c r="T85" s="248"/>
      <c r="U85" s="248"/>
      <c r="V85" s="248"/>
      <c r="W85" s="248"/>
      <c r="X85" s="248"/>
      <c r="Y85" s="248"/>
      <c r="Z85" s="249"/>
    </row>
    <row r="86" spans="1:26" ht="66" customHeight="1" x14ac:dyDescent="0.15">
      <c r="B86" s="197" t="s">
        <v>131</v>
      </c>
      <c r="C86" s="83" t="s">
        <v>101</v>
      </c>
      <c r="D86" s="206" t="s">
        <v>187</v>
      </c>
      <c r="E86" s="207"/>
      <c r="F86" s="207"/>
      <c r="G86" s="207"/>
      <c r="H86" s="207"/>
      <c r="I86" s="207"/>
      <c r="J86" s="207"/>
      <c r="K86" s="207"/>
      <c r="L86" s="207"/>
      <c r="M86" s="207"/>
      <c r="N86" s="207"/>
      <c r="O86" s="207"/>
      <c r="P86" s="207"/>
      <c r="Q86" s="207"/>
      <c r="R86" s="207"/>
      <c r="S86" s="207"/>
      <c r="T86" s="207"/>
      <c r="U86" s="207"/>
      <c r="V86" s="207"/>
      <c r="W86" s="207"/>
      <c r="X86" s="207"/>
      <c r="Y86" s="207"/>
      <c r="Z86" s="208"/>
    </row>
    <row r="87" spans="1:26" ht="66" customHeight="1" x14ac:dyDescent="0.15">
      <c r="B87" s="205"/>
      <c r="C87" s="79" t="s">
        <v>103</v>
      </c>
      <c r="D87" s="209" t="s">
        <v>182</v>
      </c>
      <c r="E87" s="210"/>
      <c r="F87" s="210"/>
      <c r="G87" s="210"/>
      <c r="H87" s="210"/>
      <c r="I87" s="210"/>
      <c r="J87" s="210"/>
      <c r="K87" s="210"/>
      <c r="L87" s="210"/>
      <c r="M87" s="210"/>
      <c r="N87" s="210"/>
      <c r="O87" s="210"/>
      <c r="P87" s="210"/>
      <c r="Q87" s="210"/>
      <c r="R87" s="210"/>
      <c r="S87" s="210"/>
      <c r="T87" s="210"/>
      <c r="U87" s="210"/>
      <c r="V87" s="210"/>
      <c r="W87" s="210"/>
      <c r="X87" s="210"/>
      <c r="Y87" s="210"/>
      <c r="Z87" s="211"/>
    </row>
    <row r="88" spans="1:26" ht="98.25" customHeight="1" x14ac:dyDescent="0.15">
      <c r="B88" s="197" t="s">
        <v>132</v>
      </c>
      <c r="C88" s="78" t="s">
        <v>100</v>
      </c>
      <c r="D88" s="199" t="s">
        <v>183</v>
      </c>
      <c r="E88" s="200"/>
      <c r="F88" s="200"/>
      <c r="G88" s="200"/>
      <c r="H88" s="200"/>
      <c r="I88" s="200"/>
      <c r="J88" s="200"/>
      <c r="K88" s="200"/>
      <c r="L88" s="200"/>
      <c r="M88" s="200"/>
      <c r="N88" s="200"/>
      <c r="O88" s="200"/>
      <c r="P88" s="200"/>
      <c r="Q88" s="200"/>
      <c r="R88" s="200"/>
      <c r="S88" s="200"/>
      <c r="T88" s="200"/>
      <c r="U88" s="200"/>
      <c r="V88" s="200"/>
      <c r="W88" s="200"/>
      <c r="X88" s="200"/>
      <c r="Y88" s="200"/>
      <c r="Z88" s="201"/>
    </row>
    <row r="89" spans="1:26" ht="66" customHeight="1" x14ac:dyDescent="0.15">
      <c r="B89" s="198"/>
      <c r="C89" s="79" t="s">
        <v>127</v>
      </c>
      <c r="D89" s="183" t="s">
        <v>178</v>
      </c>
      <c r="E89" s="184"/>
      <c r="F89" s="184"/>
      <c r="G89" s="184"/>
      <c r="H89" s="184"/>
      <c r="I89" s="184"/>
      <c r="J89" s="184"/>
      <c r="K89" s="184"/>
      <c r="L89" s="184"/>
      <c r="M89" s="184"/>
      <c r="N89" s="184"/>
      <c r="O89" s="184"/>
      <c r="P89" s="184"/>
      <c r="Q89" s="184"/>
      <c r="R89" s="184"/>
      <c r="S89" s="184"/>
      <c r="T89" s="184"/>
      <c r="U89" s="184"/>
      <c r="V89" s="184"/>
      <c r="W89" s="184"/>
      <c r="X89" s="184"/>
      <c r="Y89" s="184"/>
      <c r="Z89" s="185"/>
    </row>
    <row r="90" spans="1:26" ht="56.25" customHeight="1" x14ac:dyDescent="0.15">
      <c r="B90" s="196"/>
      <c r="C90" s="80" t="s">
        <v>128</v>
      </c>
      <c r="D90" s="202" t="s">
        <v>170</v>
      </c>
      <c r="E90" s="203"/>
      <c r="F90" s="203"/>
      <c r="G90" s="203"/>
      <c r="H90" s="203"/>
      <c r="I90" s="203"/>
      <c r="J90" s="203"/>
      <c r="K90" s="203"/>
      <c r="L90" s="203"/>
      <c r="M90" s="203"/>
      <c r="N90" s="203"/>
      <c r="O90" s="203"/>
      <c r="P90" s="203"/>
      <c r="Q90" s="203"/>
      <c r="R90" s="203"/>
      <c r="S90" s="203"/>
      <c r="T90" s="203"/>
      <c r="U90" s="203"/>
      <c r="V90" s="203"/>
      <c r="W90" s="203"/>
      <c r="X90" s="203"/>
      <c r="Y90" s="203"/>
      <c r="Z90" s="204"/>
    </row>
    <row r="91" spans="1:26" ht="6" customHeight="1" x14ac:dyDescent="0.15"/>
    <row r="92" spans="1:26" ht="18.75" customHeight="1" x14ac:dyDescent="0.15">
      <c r="A92" s="13" t="s">
        <v>136</v>
      </c>
    </row>
    <row r="93" spans="1:26" ht="18.75" customHeight="1" x14ac:dyDescent="0.15">
      <c r="B93" s="260" t="s">
        <v>204</v>
      </c>
      <c r="C93" s="261"/>
      <c r="D93" s="261"/>
      <c r="E93" s="261"/>
      <c r="F93" s="261"/>
      <c r="G93" s="261"/>
      <c r="H93" s="261"/>
      <c r="I93" s="261"/>
      <c r="J93" s="261"/>
      <c r="K93" s="261"/>
      <c r="L93" s="261"/>
      <c r="M93" s="261"/>
      <c r="N93" s="261"/>
      <c r="O93" s="261"/>
      <c r="P93" s="261"/>
      <c r="Q93" s="261"/>
      <c r="R93" s="261"/>
      <c r="S93" s="261"/>
      <c r="T93" s="261"/>
      <c r="U93" s="261"/>
      <c r="V93" s="261"/>
      <c r="W93" s="261"/>
      <c r="X93" s="261"/>
      <c r="Y93" s="261"/>
      <c r="Z93" s="262"/>
    </row>
    <row r="94" spans="1:26" ht="18.75" customHeight="1" x14ac:dyDescent="0.15">
      <c r="B94" s="263"/>
      <c r="C94" s="264"/>
      <c r="D94" s="264"/>
      <c r="E94" s="264"/>
      <c r="F94" s="264"/>
      <c r="G94" s="264"/>
      <c r="H94" s="264"/>
      <c r="I94" s="264"/>
      <c r="J94" s="264"/>
      <c r="K94" s="264"/>
      <c r="L94" s="264"/>
      <c r="M94" s="264"/>
      <c r="N94" s="264"/>
      <c r="O94" s="264"/>
      <c r="P94" s="264"/>
      <c r="Q94" s="264"/>
      <c r="R94" s="264"/>
      <c r="S94" s="264"/>
      <c r="T94" s="264"/>
      <c r="U94" s="264"/>
      <c r="V94" s="264"/>
      <c r="W94" s="264"/>
      <c r="X94" s="264"/>
      <c r="Y94" s="264"/>
      <c r="Z94" s="265"/>
    </row>
    <row r="95" spans="1:26" ht="18.75" customHeight="1" x14ac:dyDescent="0.15">
      <c r="B95" s="266"/>
      <c r="C95" s="267"/>
      <c r="D95" s="267"/>
      <c r="E95" s="267"/>
      <c r="F95" s="267"/>
      <c r="G95" s="267"/>
      <c r="H95" s="267"/>
      <c r="I95" s="267"/>
      <c r="J95" s="267"/>
      <c r="K95" s="267"/>
      <c r="L95" s="267"/>
      <c r="M95" s="267"/>
      <c r="N95" s="267"/>
      <c r="O95" s="267"/>
      <c r="P95" s="267"/>
      <c r="Q95" s="267"/>
      <c r="R95" s="267"/>
      <c r="S95" s="267"/>
      <c r="T95" s="267"/>
      <c r="U95" s="267"/>
      <c r="V95" s="267"/>
      <c r="W95" s="267"/>
      <c r="X95" s="267"/>
      <c r="Y95" s="267"/>
      <c r="Z95" s="268"/>
    </row>
    <row r="96" spans="1:26" ht="6" customHeight="1" x14ac:dyDescent="0.15"/>
    <row r="97" spans="1:26" ht="15" customHeight="1" x14ac:dyDescent="0.15">
      <c r="A97" s="13" t="s">
        <v>137</v>
      </c>
    </row>
    <row r="98" spans="1:26" ht="15" customHeight="1" x14ac:dyDescent="0.15">
      <c r="B98" s="269" t="s">
        <v>206</v>
      </c>
      <c r="C98" s="270"/>
      <c r="D98" s="270"/>
      <c r="E98" s="270"/>
      <c r="F98" s="270"/>
      <c r="G98" s="270"/>
      <c r="H98" s="270"/>
      <c r="I98" s="270"/>
      <c r="J98" s="270"/>
      <c r="K98" s="270"/>
      <c r="L98" s="270"/>
      <c r="M98" s="270"/>
      <c r="N98" s="270"/>
      <c r="O98" s="270"/>
      <c r="P98" s="270"/>
      <c r="Q98" s="270"/>
      <c r="R98" s="270"/>
      <c r="S98" s="270"/>
      <c r="T98" s="270"/>
      <c r="U98" s="270"/>
      <c r="V98" s="270"/>
      <c r="W98" s="270"/>
      <c r="X98" s="270"/>
      <c r="Y98" s="270"/>
      <c r="Z98" s="271"/>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K60:K62 H16:H22 U16:U22 H27:H33 U27:U33 H38:H44 U38:U44 H49:H55 U49:U55 L60:M66 T60:T66 G60:G66"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47CC6C00-1F2B-4E9B-AB25-2298136092E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D32" sqref="D32"/>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79" t="s">
        <v>58</v>
      </c>
      <c r="G1" s="279"/>
      <c r="H1" s="279"/>
      <c r="I1" s="279"/>
      <c r="J1" s="279"/>
      <c r="K1" s="279"/>
      <c r="L1" s="279"/>
      <c r="M1" s="279"/>
      <c r="N1" s="279"/>
      <c r="O1" s="279"/>
      <c r="P1" s="279"/>
      <c r="Q1" s="279"/>
      <c r="R1" s="279"/>
    </row>
    <row r="2" spans="1:20" ht="18" customHeight="1" x14ac:dyDescent="0.15">
      <c r="A2" s="280" t="s">
        <v>84</v>
      </c>
      <c r="B2" s="280"/>
      <c r="C2" s="280"/>
      <c r="D2" s="280"/>
      <c r="E2" s="280"/>
      <c r="F2" s="280"/>
      <c r="G2" s="280"/>
      <c r="H2" s="280"/>
      <c r="I2" s="280"/>
      <c r="J2" s="280"/>
      <c r="K2" s="280"/>
      <c r="L2" s="280"/>
      <c r="M2" s="280"/>
      <c r="N2" s="280"/>
      <c r="O2" s="280"/>
      <c r="P2" s="280"/>
      <c r="Q2" s="280"/>
      <c r="R2" s="280"/>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140</v>
      </c>
      <c r="B4" s="4"/>
      <c r="C4" s="281" t="str">
        <f>'様式１　大学等概要'!E12</f>
        <v>令和3</v>
      </c>
      <c r="D4" s="282"/>
      <c r="E4" s="36" t="s">
        <v>91</v>
      </c>
      <c r="F4" s="36"/>
      <c r="G4" s="36"/>
      <c r="H4" s="36"/>
      <c r="I4" s="36"/>
      <c r="J4" s="84"/>
      <c r="K4" s="36"/>
      <c r="L4" s="36"/>
      <c r="M4" s="111"/>
      <c r="N4" s="111"/>
      <c r="O4" s="111"/>
      <c r="P4" s="111"/>
      <c r="Q4" s="111"/>
      <c r="R4" s="111"/>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138</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83" t="s">
        <v>74</v>
      </c>
      <c r="C8" s="285" t="s">
        <v>79</v>
      </c>
      <c r="D8" s="287" t="s">
        <v>63</v>
      </c>
      <c r="E8" s="289" t="s">
        <v>85</v>
      </c>
      <c r="F8" s="289"/>
      <c r="G8" s="289" t="s">
        <v>86</v>
      </c>
      <c r="H8" s="289"/>
      <c r="I8" s="289" t="s">
        <v>87</v>
      </c>
      <c r="J8" s="289"/>
      <c r="K8" s="290" t="s">
        <v>88</v>
      </c>
      <c r="L8" s="291"/>
      <c r="M8" s="290" t="s">
        <v>89</v>
      </c>
      <c r="N8" s="291"/>
      <c r="O8" s="290" t="s">
        <v>90</v>
      </c>
      <c r="P8" s="291"/>
      <c r="Q8" s="292" t="s">
        <v>57</v>
      </c>
      <c r="R8" s="294" t="s">
        <v>52</v>
      </c>
      <c r="T8" s="32"/>
    </row>
    <row r="9" spans="1:20" ht="18" customHeight="1" x14ac:dyDescent="0.15">
      <c r="A9" s="4"/>
      <c r="B9" s="284"/>
      <c r="C9" s="286"/>
      <c r="D9" s="288"/>
      <c r="E9" s="41" t="s">
        <v>43</v>
      </c>
      <c r="F9" s="42" t="s">
        <v>42</v>
      </c>
      <c r="G9" s="43" t="s">
        <v>43</v>
      </c>
      <c r="H9" s="44" t="s">
        <v>42</v>
      </c>
      <c r="I9" s="41" t="s">
        <v>43</v>
      </c>
      <c r="J9" s="42" t="s">
        <v>42</v>
      </c>
      <c r="K9" s="43" t="s">
        <v>43</v>
      </c>
      <c r="L9" s="44" t="s">
        <v>42</v>
      </c>
      <c r="M9" s="41" t="s">
        <v>43</v>
      </c>
      <c r="N9" s="42" t="s">
        <v>42</v>
      </c>
      <c r="O9" s="43" t="s">
        <v>43</v>
      </c>
      <c r="P9" s="44" t="s">
        <v>42</v>
      </c>
      <c r="Q9" s="293"/>
      <c r="R9" s="295"/>
      <c r="T9" s="32"/>
    </row>
    <row r="10" spans="1:20" ht="18" customHeight="1" x14ac:dyDescent="0.15">
      <c r="A10" s="45"/>
      <c r="B10" s="85" t="s">
        <v>164</v>
      </c>
      <c r="C10" s="45">
        <v>110</v>
      </c>
      <c r="D10" s="125">
        <v>440</v>
      </c>
      <c r="E10" s="126">
        <v>110</v>
      </c>
      <c r="F10" s="127">
        <v>0</v>
      </c>
      <c r="G10" s="128">
        <v>0</v>
      </c>
      <c r="H10" s="129">
        <v>0</v>
      </c>
      <c r="I10" s="126">
        <v>0</v>
      </c>
      <c r="J10" s="127">
        <v>0</v>
      </c>
      <c r="K10" s="128">
        <v>0</v>
      </c>
      <c r="L10" s="129">
        <v>0</v>
      </c>
      <c r="M10" s="126">
        <v>0</v>
      </c>
      <c r="N10" s="127">
        <v>0</v>
      </c>
      <c r="O10" s="128">
        <v>0</v>
      </c>
      <c r="P10" s="129">
        <v>0</v>
      </c>
      <c r="Q10" s="51">
        <f>E10+G10+I10+K10+M10+O10</f>
        <v>110</v>
      </c>
      <c r="R10" s="52">
        <f>Q10/D10</f>
        <v>0.25</v>
      </c>
    </row>
    <row r="11" spans="1:20" ht="18" customHeight="1" x14ac:dyDescent="0.15">
      <c r="A11" s="45"/>
      <c r="B11" s="86"/>
      <c r="C11" s="61"/>
      <c r="D11" s="54"/>
      <c r="E11" s="55"/>
      <c r="F11" s="56"/>
      <c r="G11" s="57"/>
      <c r="H11" s="58"/>
      <c r="I11" s="55"/>
      <c r="J11" s="56"/>
      <c r="K11" s="57"/>
      <c r="L11" s="58"/>
      <c r="M11" s="55"/>
      <c r="N11" s="56"/>
      <c r="O11" s="57"/>
      <c r="P11" s="58"/>
      <c r="Q11" s="59">
        <f t="shared" ref="Q11:Q29" si="0">E11+G11+I11+K11+M11+O11</f>
        <v>0</v>
      </c>
      <c r="R11" s="60" t="e">
        <f t="shared" ref="R11:R29" si="1">Q11/D11</f>
        <v>#DIV/0!</v>
      </c>
    </row>
    <row r="12" spans="1:20" ht="18" customHeight="1" x14ac:dyDescent="0.15">
      <c r="A12" s="45"/>
      <c r="B12" s="86"/>
      <c r="C12" s="61"/>
      <c r="D12" s="54"/>
      <c r="E12" s="55"/>
      <c r="F12" s="56"/>
      <c r="G12" s="57"/>
      <c r="H12" s="58"/>
      <c r="I12" s="55"/>
      <c r="J12" s="56"/>
      <c r="K12" s="57"/>
      <c r="L12" s="58"/>
      <c r="M12" s="55"/>
      <c r="N12" s="56"/>
      <c r="O12" s="57"/>
      <c r="P12" s="58"/>
      <c r="Q12" s="59">
        <f t="shared" si="0"/>
        <v>0</v>
      </c>
      <c r="R12" s="60" t="e">
        <f t="shared" si="1"/>
        <v>#DIV/0!</v>
      </c>
    </row>
    <row r="13" spans="1:20" ht="18" customHeight="1" x14ac:dyDescent="0.15">
      <c r="A13" s="45"/>
      <c r="B13" s="86"/>
      <c r="C13" s="61"/>
      <c r="D13" s="54"/>
      <c r="E13" s="55"/>
      <c r="F13" s="56"/>
      <c r="G13" s="57"/>
      <c r="H13" s="58"/>
      <c r="I13" s="55"/>
      <c r="J13" s="56"/>
      <c r="K13" s="57"/>
      <c r="L13" s="58"/>
      <c r="M13" s="55"/>
      <c r="N13" s="56"/>
      <c r="O13" s="57"/>
      <c r="P13" s="58"/>
      <c r="Q13" s="59">
        <f t="shared" si="0"/>
        <v>0</v>
      </c>
      <c r="R13" s="60" t="e">
        <f t="shared" si="1"/>
        <v>#DIV/0!</v>
      </c>
    </row>
    <row r="14" spans="1:20" ht="18" customHeight="1" x14ac:dyDescent="0.15">
      <c r="A14" s="45"/>
      <c r="B14" s="86"/>
      <c r="C14" s="61"/>
      <c r="D14" s="54"/>
      <c r="E14" s="55"/>
      <c r="F14" s="56"/>
      <c r="G14" s="57"/>
      <c r="H14" s="58"/>
      <c r="I14" s="55"/>
      <c r="J14" s="56"/>
      <c r="K14" s="57"/>
      <c r="L14" s="58"/>
      <c r="M14" s="55"/>
      <c r="N14" s="56"/>
      <c r="O14" s="57"/>
      <c r="P14" s="58"/>
      <c r="Q14" s="59">
        <f t="shared" si="0"/>
        <v>0</v>
      </c>
      <c r="R14" s="60" t="e">
        <f t="shared" si="1"/>
        <v>#DIV/0!</v>
      </c>
    </row>
    <row r="15" spans="1:20" ht="18" customHeight="1" x14ac:dyDescent="0.15">
      <c r="A15" s="45"/>
      <c r="B15" s="86"/>
      <c r="C15" s="61"/>
      <c r="D15" s="54"/>
      <c r="E15" s="55"/>
      <c r="F15" s="56"/>
      <c r="G15" s="57"/>
      <c r="H15" s="58"/>
      <c r="I15" s="55"/>
      <c r="J15" s="56"/>
      <c r="K15" s="57"/>
      <c r="L15" s="58"/>
      <c r="M15" s="55"/>
      <c r="N15" s="56"/>
      <c r="O15" s="57"/>
      <c r="P15" s="58"/>
      <c r="Q15" s="59">
        <f t="shared" si="0"/>
        <v>0</v>
      </c>
      <c r="R15" s="60" t="e">
        <f t="shared" si="1"/>
        <v>#DIV/0!</v>
      </c>
    </row>
    <row r="16" spans="1:20" ht="18" customHeight="1" x14ac:dyDescent="0.15">
      <c r="A16" s="45"/>
      <c r="B16" s="86"/>
      <c r="C16" s="61"/>
      <c r="D16" s="54"/>
      <c r="E16" s="55"/>
      <c r="F16" s="56"/>
      <c r="G16" s="57"/>
      <c r="H16" s="58"/>
      <c r="I16" s="55"/>
      <c r="J16" s="56"/>
      <c r="K16" s="57"/>
      <c r="L16" s="58"/>
      <c r="M16" s="55"/>
      <c r="N16" s="56"/>
      <c r="O16" s="57"/>
      <c r="P16" s="58"/>
      <c r="Q16" s="59">
        <f t="shared" si="0"/>
        <v>0</v>
      </c>
      <c r="R16" s="60" t="e">
        <f t="shared" si="1"/>
        <v>#DIV/0!</v>
      </c>
    </row>
    <row r="17" spans="1:18" ht="18" customHeight="1" x14ac:dyDescent="0.15">
      <c r="A17" s="45"/>
      <c r="B17" s="86"/>
      <c r="C17" s="61"/>
      <c r="D17" s="54"/>
      <c r="E17" s="55"/>
      <c r="F17" s="56"/>
      <c r="G17" s="57"/>
      <c r="H17" s="58"/>
      <c r="I17" s="55"/>
      <c r="J17" s="56"/>
      <c r="K17" s="57"/>
      <c r="L17" s="58"/>
      <c r="M17" s="55"/>
      <c r="N17" s="56"/>
      <c r="O17" s="57"/>
      <c r="P17" s="58"/>
      <c r="Q17" s="59">
        <f t="shared" si="0"/>
        <v>0</v>
      </c>
      <c r="R17" s="60" t="e">
        <f t="shared" si="1"/>
        <v>#DIV/0!</v>
      </c>
    </row>
    <row r="18" spans="1:18" ht="18" customHeight="1" x14ac:dyDescent="0.15">
      <c r="A18" s="45"/>
      <c r="B18" s="86"/>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15">
      <c r="A19" s="45"/>
      <c r="B19" s="86"/>
      <c r="C19" s="61"/>
      <c r="D19" s="54"/>
      <c r="E19" s="55"/>
      <c r="F19" s="56"/>
      <c r="G19" s="57"/>
      <c r="H19" s="58"/>
      <c r="I19" s="55"/>
      <c r="J19" s="56"/>
      <c r="K19" s="57"/>
      <c r="L19" s="58"/>
      <c r="M19" s="55"/>
      <c r="N19" s="56"/>
      <c r="O19" s="57"/>
      <c r="P19" s="58"/>
      <c r="Q19" s="59">
        <f t="shared" si="0"/>
        <v>0</v>
      </c>
      <c r="R19" s="60" t="e">
        <f t="shared" si="1"/>
        <v>#DIV/0!</v>
      </c>
    </row>
    <row r="20" spans="1:18" ht="18" customHeight="1" x14ac:dyDescent="0.15">
      <c r="A20" s="45"/>
      <c r="B20" s="86"/>
      <c r="C20" s="61"/>
      <c r="D20" s="54"/>
      <c r="E20" s="55"/>
      <c r="F20" s="56"/>
      <c r="G20" s="57"/>
      <c r="H20" s="58"/>
      <c r="I20" s="55"/>
      <c r="J20" s="56"/>
      <c r="K20" s="57"/>
      <c r="L20" s="58"/>
      <c r="M20" s="55"/>
      <c r="N20" s="56"/>
      <c r="O20" s="57"/>
      <c r="P20" s="58"/>
      <c r="Q20" s="59">
        <f t="shared" si="0"/>
        <v>0</v>
      </c>
      <c r="R20" s="60" t="e">
        <f t="shared" si="1"/>
        <v>#DIV/0!</v>
      </c>
    </row>
    <row r="21" spans="1:18" ht="18" customHeight="1" x14ac:dyDescent="0.15">
      <c r="A21" s="45"/>
      <c r="B21" s="86"/>
      <c r="C21" s="61"/>
      <c r="D21" s="54"/>
      <c r="E21" s="55"/>
      <c r="F21" s="56"/>
      <c r="G21" s="57"/>
      <c r="H21" s="58"/>
      <c r="I21" s="55"/>
      <c r="J21" s="56"/>
      <c r="K21" s="57"/>
      <c r="L21" s="58"/>
      <c r="M21" s="55"/>
      <c r="N21" s="56"/>
      <c r="O21" s="57"/>
      <c r="P21" s="58"/>
      <c r="Q21" s="59">
        <f t="shared" si="0"/>
        <v>0</v>
      </c>
      <c r="R21" s="60" t="e">
        <f t="shared" si="1"/>
        <v>#DIV/0!</v>
      </c>
    </row>
    <row r="22" spans="1:18" ht="18" customHeight="1" x14ac:dyDescent="0.15">
      <c r="A22" s="45"/>
      <c r="B22" s="86"/>
      <c r="C22" s="61"/>
      <c r="D22" s="54"/>
      <c r="E22" s="55"/>
      <c r="F22" s="56"/>
      <c r="G22" s="57"/>
      <c r="H22" s="58"/>
      <c r="I22" s="55"/>
      <c r="J22" s="56"/>
      <c r="K22" s="57"/>
      <c r="L22" s="58"/>
      <c r="M22" s="55"/>
      <c r="N22" s="56"/>
      <c r="O22" s="57"/>
      <c r="P22" s="58"/>
      <c r="Q22" s="59">
        <f t="shared" si="0"/>
        <v>0</v>
      </c>
      <c r="R22" s="60" t="e">
        <f t="shared" si="1"/>
        <v>#DIV/0!</v>
      </c>
    </row>
    <row r="23" spans="1:18" ht="18" customHeight="1" x14ac:dyDescent="0.15">
      <c r="A23" s="45"/>
      <c r="B23" s="86"/>
      <c r="C23" s="61"/>
      <c r="D23" s="54"/>
      <c r="E23" s="55"/>
      <c r="F23" s="56"/>
      <c r="G23" s="57"/>
      <c r="H23" s="58"/>
      <c r="I23" s="55"/>
      <c r="J23" s="56"/>
      <c r="K23" s="57"/>
      <c r="L23" s="58"/>
      <c r="M23" s="55"/>
      <c r="N23" s="56"/>
      <c r="O23" s="57"/>
      <c r="P23" s="58"/>
      <c r="Q23" s="59">
        <f t="shared" si="0"/>
        <v>0</v>
      </c>
      <c r="R23" s="60" t="e">
        <f t="shared" si="1"/>
        <v>#DIV/0!</v>
      </c>
    </row>
    <row r="24" spans="1:18" ht="18" customHeight="1" x14ac:dyDescent="0.15">
      <c r="A24" s="45"/>
      <c r="B24" s="86"/>
      <c r="C24" s="61"/>
      <c r="D24" s="54"/>
      <c r="E24" s="55"/>
      <c r="F24" s="56"/>
      <c r="G24" s="57"/>
      <c r="H24" s="58"/>
      <c r="I24" s="55"/>
      <c r="J24" s="56"/>
      <c r="K24" s="57"/>
      <c r="L24" s="58"/>
      <c r="M24" s="55"/>
      <c r="N24" s="56"/>
      <c r="O24" s="57"/>
      <c r="P24" s="58"/>
      <c r="Q24" s="59">
        <f t="shared" si="0"/>
        <v>0</v>
      </c>
      <c r="R24" s="60" t="e">
        <f t="shared" si="1"/>
        <v>#DIV/0!</v>
      </c>
    </row>
    <row r="25" spans="1:18" ht="18" customHeight="1" x14ac:dyDescent="0.15">
      <c r="A25" s="45"/>
      <c r="B25" s="86"/>
      <c r="C25" s="61"/>
      <c r="D25" s="54"/>
      <c r="E25" s="55"/>
      <c r="F25" s="56"/>
      <c r="G25" s="57"/>
      <c r="H25" s="58"/>
      <c r="I25" s="55"/>
      <c r="J25" s="56"/>
      <c r="K25" s="57"/>
      <c r="L25" s="58"/>
      <c r="M25" s="55"/>
      <c r="N25" s="56"/>
      <c r="O25" s="57"/>
      <c r="P25" s="58"/>
      <c r="Q25" s="59">
        <f t="shared" si="0"/>
        <v>0</v>
      </c>
      <c r="R25" s="60" t="e">
        <f t="shared" si="1"/>
        <v>#DIV/0!</v>
      </c>
    </row>
    <row r="26" spans="1:18" ht="18" customHeight="1" x14ac:dyDescent="0.15">
      <c r="A26" s="45"/>
      <c r="B26" s="86"/>
      <c r="C26" s="61"/>
      <c r="D26" s="54"/>
      <c r="E26" s="55"/>
      <c r="F26" s="56"/>
      <c r="G26" s="57"/>
      <c r="H26" s="58"/>
      <c r="I26" s="55"/>
      <c r="J26" s="56"/>
      <c r="K26" s="57"/>
      <c r="L26" s="58"/>
      <c r="M26" s="55"/>
      <c r="N26" s="56"/>
      <c r="O26" s="57"/>
      <c r="P26" s="58"/>
      <c r="Q26" s="59">
        <f t="shared" si="0"/>
        <v>0</v>
      </c>
      <c r="R26" s="60" t="e">
        <f t="shared" si="1"/>
        <v>#DIV/0!</v>
      </c>
    </row>
    <row r="27" spans="1:18" ht="18" customHeight="1" x14ac:dyDescent="0.15">
      <c r="A27" s="45"/>
      <c r="B27" s="86"/>
      <c r="C27" s="53"/>
      <c r="D27" s="54"/>
      <c r="E27" s="55"/>
      <c r="F27" s="56"/>
      <c r="G27" s="57"/>
      <c r="H27" s="58"/>
      <c r="I27" s="55"/>
      <c r="J27" s="56"/>
      <c r="K27" s="57"/>
      <c r="L27" s="58"/>
      <c r="M27" s="55"/>
      <c r="N27" s="56"/>
      <c r="O27" s="57"/>
      <c r="P27" s="58"/>
      <c r="Q27" s="59">
        <f t="shared" si="0"/>
        <v>0</v>
      </c>
      <c r="R27" s="60" t="e">
        <f t="shared" si="1"/>
        <v>#DIV/0!</v>
      </c>
    </row>
    <row r="28" spans="1:18" ht="18" customHeight="1" x14ac:dyDescent="0.15">
      <c r="A28" s="45"/>
      <c r="B28" s="86"/>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
      <c r="A29" s="45"/>
      <c r="B29" s="87"/>
      <c r="C29" s="88"/>
      <c r="D29" s="46"/>
      <c r="E29" s="47"/>
      <c r="F29" s="48"/>
      <c r="G29" s="49"/>
      <c r="H29" s="50"/>
      <c r="I29" s="47"/>
      <c r="J29" s="48"/>
      <c r="K29" s="49"/>
      <c r="L29" s="50"/>
      <c r="M29" s="47"/>
      <c r="N29" s="48"/>
      <c r="O29" s="49"/>
      <c r="P29" s="50"/>
      <c r="Q29" s="62">
        <f t="shared" si="0"/>
        <v>0</v>
      </c>
      <c r="R29" s="52" t="e">
        <f t="shared" si="1"/>
        <v>#DIV/0!</v>
      </c>
    </row>
    <row r="30" spans="1:18" ht="18" customHeight="1" thickTop="1" x14ac:dyDescent="0.15">
      <c r="B30" s="89" t="s">
        <v>53</v>
      </c>
      <c r="C30" s="90">
        <f t="shared" ref="C30:Q30" si="2">SUM(C10:C29)</f>
        <v>110</v>
      </c>
      <c r="D30" s="63">
        <f t="shared" si="2"/>
        <v>440</v>
      </c>
      <c r="E30" s="64">
        <f t="shared" si="2"/>
        <v>110</v>
      </c>
      <c r="F30" s="65">
        <f t="shared" si="2"/>
        <v>0</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110</v>
      </c>
      <c r="R30" s="69">
        <f>Q30/D30</f>
        <v>0.25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topLeftCell="A25" zoomScaleNormal="100" zoomScaleSheetLayoutView="100" workbookViewId="0">
      <selection activeCell="B31" sqref="B31:J44"/>
    </sheetView>
  </sheetViews>
  <sheetFormatPr defaultColWidth="11.375" defaultRowHeight="18.75" customHeight="1" x14ac:dyDescent="0.15"/>
  <cols>
    <col min="1" max="1" width="2.7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31"/>
    <col min="12" max="16384" width="11.375" style="1"/>
  </cols>
  <sheetData>
    <row r="1" spans="1:11" ht="18.75" customHeight="1" x14ac:dyDescent="0.15">
      <c r="A1" s="2" t="s">
        <v>108</v>
      </c>
      <c r="J1" s="39" t="s">
        <v>109</v>
      </c>
    </row>
    <row r="2" spans="1:11" ht="18.75" customHeight="1" x14ac:dyDescent="0.15">
      <c r="A2" s="280" t="s">
        <v>59</v>
      </c>
      <c r="B2" s="280"/>
      <c r="C2" s="280"/>
      <c r="D2" s="280"/>
      <c r="E2" s="280"/>
      <c r="F2" s="280"/>
      <c r="G2" s="280"/>
      <c r="H2" s="280"/>
      <c r="I2" s="280"/>
      <c r="J2" s="280"/>
    </row>
    <row r="3" spans="1:11" ht="7.5" customHeight="1" x14ac:dyDescent="0.15">
      <c r="B3" s="36"/>
      <c r="C3" s="36"/>
      <c r="D3" s="36"/>
      <c r="E3" s="36"/>
      <c r="F3" s="36"/>
      <c r="G3" s="36"/>
      <c r="H3" s="36"/>
      <c r="I3" s="36"/>
      <c r="J3" s="36"/>
    </row>
    <row r="4" spans="1:11" ht="18.75" customHeight="1" x14ac:dyDescent="0.15">
      <c r="A4" s="1" t="s">
        <v>6</v>
      </c>
      <c r="B4" s="4" t="s">
        <v>67</v>
      </c>
      <c r="C4" s="4"/>
      <c r="D4" s="4"/>
      <c r="E4" s="4"/>
      <c r="F4" s="4"/>
      <c r="G4" s="4"/>
      <c r="H4" s="4"/>
      <c r="I4" s="36"/>
      <c r="J4" s="36"/>
    </row>
    <row r="5" spans="1:11" ht="18.75" customHeight="1" x14ac:dyDescent="0.15">
      <c r="A5" s="1"/>
      <c r="B5" s="147" t="s">
        <v>165</v>
      </c>
      <c r="C5" s="148"/>
      <c r="D5" s="148"/>
      <c r="E5" s="148"/>
      <c r="F5" s="148"/>
      <c r="G5" s="148"/>
      <c r="H5" s="148"/>
      <c r="I5" s="148"/>
      <c r="J5" s="305"/>
      <c r="K5" s="31" t="str">
        <f>IF(B5="","入力してください","")</f>
        <v/>
      </c>
    </row>
    <row r="6" spans="1:11" ht="7.5" customHeight="1" x14ac:dyDescent="0.15">
      <c r="B6" s="36"/>
      <c r="C6" s="36"/>
      <c r="D6" s="36"/>
      <c r="E6" s="36"/>
      <c r="F6" s="36"/>
      <c r="G6" s="36"/>
      <c r="H6" s="36"/>
      <c r="I6" s="36"/>
      <c r="J6" s="36"/>
    </row>
    <row r="7" spans="1:11" s="4" customFormat="1" ht="18.75" customHeight="1" x14ac:dyDescent="0.15">
      <c r="A7" s="1" t="s">
        <v>9</v>
      </c>
      <c r="B7" s="1" t="s">
        <v>38</v>
      </c>
      <c r="C7" s="1"/>
      <c r="D7" s="1"/>
      <c r="E7" s="1"/>
      <c r="F7" s="1"/>
      <c r="G7" s="1"/>
      <c r="H7" s="1"/>
      <c r="I7" s="1"/>
      <c r="J7" s="1"/>
      <c r="K7" s="33"/>
    </row>
    <row r="8" spans="1:11" s="4" customFormat="1" ht="18.75" customHeight="1" x14ac:dyDescent="0.15">
      <c r="A8" s="91"/>
      <c r="B8" s="306" t="s">
        <v>197</v>
      </c>
      <c r="C8" s="307"/>
      <c r="D8" s="307"/>
      <c r="E8" s="307"/>
      <c r="F8" s="307"/>
      <c r="G8" s="307"/>
      <c r="H8" s="307"/>
      <c r="I8" s="308"/>
      <c r="J8" s="309"/>
      <c r="K8" s="31"/>
    </row>
    <row r="9" spans="1:11" s="4" customFormat="1" ht="18.75" customHeight="1" x14ac:dyDescent="0.15">
      <c r="A9" s="91"/>
      <c r="B9" s="299"/>
      <c r="C9" s="300"/>
      <c r="D9" s="300"/>
      <c r="E9" s="300"/>
      <c r="F9" s="300"/>
      <c r="G9" s="300"/>
      <c r="H9" s="300"/>
      <c r="I9" s="300"/>
      <c r="J9" s="301"/>
      <c r="K9" s="31"/>
    </row>
    <row r="10" spans="1:11" s="4" customFormat="1" ht="18.75" customHeight="1" x14ac:dyDescent="0.15">
      <c r="A10" s="91"/>
      <c r="B10" s="299"/>
      <c r="C10" s="300"/>
      <c r="D10" s="300"/>
      <c r="E10" s="300"/>
      <c r="F10" s="300"/>
      <c r="G10" s="300"/>
      <c r="H10" s="300"/>
      <c r="I10" s="300"/>
      <c r="J10" s="301"/>
      <c r="K10" s="31"/>
    </row>
    <row r="11" spans="1:11" s="4" customFormat="1" ht="18.75" customHeight="1" x14ac:dyDescent="0.15">
      <c r="A11" s="91"/>
      <c r="B11" s="299"/>
      <c r="C11" s="300"/>
      <c r="D11" s="300"/>
      <c r="E11" s="300"/>
      <c r="F11" s="300"/>
      <c r="G11" s="300"/>
      <c r="H11" s="300"/>
      <c r="I11" s="300"/>
      <c r="J11" s="301"/>
      <c r="K11" s="31"/>
    </row>
    <row r="12" spans="1:11" s="4" customFormat="1" ht="75" customHeight="1" x14ac:dyDescent="0.15">
      <c r="A12" s="91"/>
      <c r="B12" s="302"/>
      <c r="C12" s="303"/>
      <c r="D12" s="303"/>
      <c r="E12" s="303"/>
      <c r="F12" s="303"/>
      <c r="G12" s="303"/>
      <c r="H12" s="303"/>
      <c r="I12" s="303"/>
      <c r="J12" s="304"/>
      <c r="K12" s="31"/>
    </row>
    <row r="13" spans="1:11" s="4" customFormat="1" ht="7.5" customHeight="1" x14ac:dyDescent="0.15">
      <c r="A13" s="91"/>
      <c r="B13" s="91"/>
      <c r="C13" s="91"/>
      <c r="D13" s="91"/>
      <c r="E13" s="91"/>
      <c r="F13" s="91"/>
      <c r="G13" s="91"/>
      <c r="H13" s="91"/>
      <c r="I13" s="91"/>
      <c r="J13" s="91"/>
      <c r="K13" s="31"/>
    </row>
    <row r="14" spans="1:11" s="4" customFormat="1" ht="18.75" customHeight="1" x14ac:dyDescent="0.15">
      <c r="A14" s="92" t="s">
        <v>10</v>
      </c>
      <c r="B14" s="92" t="s">
        <v>15</v>
      </c>
      <c r="C14" s="92"/>
      <c r="D14" s="92"/>
      <c r="E14" s="92"/>
      <c r="F14" s="92"/>
      <c r="G14" s="92"/>
      <c r="H14" s="92"/>
      <c r="I14" s="92"/>
      <c r="J14" s="92"/>
      <c r="K14" s="31"/>
    </row>
    <row r="15" spans="1:11" s="4" customFormat="1" ht="18.75" customHeight="1" x14ac:dyDescent="0.15">
      <c r="A15" s="91"/>
      <c r="B15" s="306" t="s">
        <v>198</v>
      </c>
      <c r="C15" s="307"/>
      <c r="D15" s="307"/>
      <c r="E15" s="307"/>
      <c r="F15" s="307"/>
      <c r="G15" s="307"/>
      <c r="H15" s="307"/>
      <c r="I15" s="308"/>
      <c r="J15" s="309"/>
      <c r="K15" s="31" t="str">
        <f>IF(B15="","入力してください","")</f>
        <v/>
      </c>
    </row>
    <row r="16" spans="1:11" s="4" customFormat="1" ht="18.75" customHeight="1" x14ac:dyDescent="0.15">
      <c r="A16" s="91"/>
      <c r="B16" s="299"/>
      <c r="C16" s="300"/>
      <c r="D16" s="300"/>
      <c r="E16" s="300"/>
      <c r="F16" s="300"/>
      <c r="G16" s="300"/>
      <c r="H16" s="300"/>
      <c r="I16" s="300"/>
      <c r="J16" s="301"/>
      <c r="K16" s="31"/>
    </row>
    <row r="17" spans="1:11" s="4" customFormat="1" ht="18.75" customHeight="1" x14ac:dyDescent="0.15">
      <c r="A17" s="91"/>
      <c r="B17" s="299"/>
      <c r="C17" s="300"/>
      <c r="D17" s="300"/>
      <c r="E17" s="300"/>
      <c r="F17" s="300"/>
      <c r="G17" s="300"/>
      <c r="H17" s="300"/>
      <c r="I17" s="300"/>
      <c r="J17" s="301"/>
      <c r="K17" s="31"/>
    </row>
    <row r="18" spans="1:11" s="4" customFormat="1" ht="18.75" customHeight="1" x14ac:dyDescent="0.15">
      <c r="A18" s="91"/>
      <c r="B18" s="299"/>
      <c r="C18" s="300"/>
      <c r="D18" s="300"/>
      <c r="E18" s="300"/>
      <c r="F18" s="300"/>
      <c r="G18" s="300"/>
      <c r="H18" s="300"/>
      <c r="I18" s="300"/>
      <c r="J18" s="301"/>
      <c r="K18" s="31"/>
    </row>
    <row r="19" spans="1:11" s="4" customFormat="1" ht="18.75" customHeight="1" x14ac:dyDescent="0.15">
      <c r="A19" s="91"/>
      <c r="B19" s="299"/>
      <c r="C19" s="300"/>
      <c r="D19" s="300"/>
      <c r="E19" s="300"/>
      <c r="F19" s="300"/>
      <c r="G19" s="300"/>
      <c r="H19" s="300"/>
      <c r="I19" s="300"/>
      <c r="J19" s="301"/>
      <c r="K19" s="31"/>
    </row>
    <row r="20" spans="1:11" s="4" customFormat="1" ht="18.75" customHeight="1" x14ac:dyDescent="0.15">
      <c r="A20" s="91"/>
      <c r="B20" s="299"/>
      <c r="C20" s="300"/>
      <c r="D20" s="300"/>
      <c r="E20" s="300"/>
      <c r="F20" s="300"/>
      <c r="G20" s="300"/>
      <c r="H20" s="300"/>
      <c r="I20" s="300"/>
      <c r="J20" s="301"/>
      <c r="K20" s="31"/>
    </row>
    <row r="21" spans="1:11" s="4" customFormat="1" ht="18.75" customHeight="1" x14ac:dyDescent="0.15">
      <c r="A21" s="91"/>
      <c r="B21" s="299"/>
      <c r="C21" s="300"/>
      <c r="D21" s="300"/>
      <c r="E21" s="300"/>
      <c r="F21" s="300"/>
      <c r="G21" s="300"/>
      <c r="H21" s="300"/>
      <c r="I21" s="300"/>
      <c r="J21" s="301"/>
      <c r="K21" s="31"/>
    </row>
    <row r="22" spans="1:11" s="4" customFormat="1" ht="18.75" customHeight="1" x14ac:dyDescent="0.15">
      <c r="A22" s="91"/>
      <c r="B22" s="299"/>
      <c r="C22" s="300"/>
      <c r="D22" s="300"/>
      <c r="E22" s="300"/>
      <c r="F22" s="300"/>
      <c r="G22" s="300"/>
      <c r="H22" s="300"/>
      <c r="I22" s="300"/>
      <c r="J22" s="301"/>
      <c r="K22" s="31"/>
    </row>
    <row r="23" spans="1:11" s="4" customFormat="1" ht="18.75" customHeight="1" x14ac:dyDescent="0.15">
      <c r="A23" s="91"/>
      <c r="B23" s="299"/>
      <c r="C23" s="300"/>
      <c r="D23" s="300"/>
      <c r="E23" s="300"/>
      <c r="F23" s="300"/>
      <c r="G23" s="300"/>
      <c r="H23" s="300"/>
      <c r="I23" s="300"/>
      <c r="J23" s="301"/>
      <c r="K23" s="31"/>
    </row>
    <row r="24" spans="1:11" s="4" customFormat="1" ht="18.75" customHeight="1" x14ac:dyDescent="0.15">
      <c r="A24" s="91"/>
      <c r="B24" s="299"/>
      <c r="C24" s="300"/>
      <c r="D24" s="300"/>
      <c r="E24" s="300"/>
      <c r="F24" s="300"/>
      <c r="G24" s="300"/>
      <c r="H24" s="300"/>
      <c r="I24" s="300"/>
      <c r="J24" s="301"/>
      <c r="K24" s="31"/>
    </row>
    <row r="25" spans="1:11" s="4" customFormat="1" ht="18.75" customHeight="1" x14ac:dyDescent="0.15">
      <c r="A25" s="91"/>
      <c r="B25" s="302"/>
      <c r="C25" s="303"/>
      <c r="D25" s="303"/>
      <c r="E25" s="303"/>
      <c r="F25" s="303"/>
      <c r="G25" s="303"/>
      <c r="H25" s="303"/>
      <c r="I25" s="303"/>
      <c r="J25" s="304"/>
      <c r="K25" s="31"/>
    </row>
    <row r="26" spans="1:11" ht="7.5" customHeight="1" x14ac:dyDescent="0.15">
      <c r="A26" s="37"/>
      <c r="B26" s="37"/>
      <c r="C26" s="37"/>
      <c r="D26" s="37"/>
      <c r="E26" s="37"/>
      <c r="F26" s="37"/>
      <c r="G26" s="37"/>
      <c r="H26" s="37"/>
      <c r="I26" s="37"/>
      <c r="J26" s="37"/>
    </row>
    <row r="27" spans="1:11" s="4" customFormat="1" ht="18.75" customHeight="1" x14ac:dyDescent="0.15">
      <c r="A27" s="1" t="s">
        <v>13</v>
      </c>
      <c r="B27" s="1" t="s">
        <v>25</v>
      </c>
      <c r="C27" s="1"/>
      <c r="D27" s="1"/>
      <c r="E27" s="1"/>
      <c r="F27" s="1"/>
      <c r="G27" s="1"/>
      <c r="H27" s="1"/>
      <c r="I27" s="1"/>
      <c r="J27" s="1"/>
      <c r="K27" s="31"/>
    </row>
    <row r="28" spans="1:11" s="29" customFormat="1" ht="18.75" customHeight="1" x14ac:dyDescent="0.15">
      <c r="B28" s="93" t="s">
        <v>110</v>
      </c>
      <c r="C28" s="130">
        <f>'様式３　履修者等数の実績'!R30</f>
        <v>0.25</v>
      </c>
      <c r="D28" s="94"/>
      <c r="E28" s="94" t="s">
        <v>111</v>
      </c>
      <c r="F28" s="130">
        <v>0.5</v>
      </c>
      <c r="G28" s="94"/>
      <c r="H28" s="94" t="s">
        <v>112</v>
      </c>
      <c r="I28" s="131">
        <v>0.75</v>
      </c>
      <c r="J28" s="95"/>
      <c r="K28" s="31"/>
    </row>
    <row r="29" spans="1:11" s="29" customFormat="1" ht="18.75" customHeight="1" x14ac:dyDescent="0.15">
      <c r="B29" s="81" t="s">
        <v>113</v>
      </c>
      <c r="C29" s="132">
        <v>1</v>
      </c>
      <c r="D29" s="82"/>
      <c r="E29" s="82" t="s">
        <v>114</v>
      </c>
      <c r="F29" s="132">
        <v>1</v>
      </c>
      <c r="G29" s="82"/>
      <c r="H29" s="82" t="s">
        <v>115</v>
      </c>
      <c r="I29" s="96">
        <f>'様式３　履修者等数の実績'!D30</f>
        <v>440</v>
      </c>
      <c r="J29" s="97"/>
      <c r="K29" s="33"/>
    </row>
    <row r="30" spans="1:11" s="4" customFormat="1" ht="18.75" customHeight="1" x14ac:dyDescent="0.15">
      <c r="A30" s="1"/>
      <c r="B30" s="192" t="s">
        <v>185</v>
      </c>
      <c r="C30" s="193"/>
      <c r="D30" s="193"/>
      <c r="E30" s="193"/>
      <c r="F30" s="193"/>
      <c r="G30" s="193"/>
      <c r="H30" s="193"/>
      <c r="I30" s="193"/>
      <c r="J30" s="194"/>
      <c r="K30" s="33"/>
    </row>
    <row r="31" spans="1:11" s="4" customFormat="1" ht="18.75" customHeight="1" x14ac:dyDescent="0.15">
      <c r="A31" s="1"/>
      <c r="B31" s="296" t="s">
        <v>205</v>
      </c>
      <c r="C31" s="297"/>
      <c r="D31" s="297"/>
      <c r="E31" s="297"/>
      <c r="F31" s="297"/>
      <c r="G31" s="297"/>
      <c r="H31" s="297"/>
      <c r="I31" s="297"/>
      <c r="J31" s="298"/>
      <c r="K31" s="33" t="str">
        <f>IF(B31="","入力してください","")</f>
        <v/>
      </c>
    </row>
    <row r="32" spans="1:11" s="4" customFormat="1" ht="18.75" customHeight="1" x14ac:dyDescent="0.15">
      <c r="A32" s="1"/>
      <c r="B32" s="299"/>
      <c r="C32" s="300"/>
      <c r="D32" s="300"/>
      <c r="E32" s="300"/>
      <c r="F32" s="300"/>
      <c r="G32" s="300"/>
      <c r="H32" s="300"/>
      <c r="I32" s="300"/>
      <c r="J32" s="301"/>
      <c r="K32" s="33"/>
    </row>
    <row r="33" spans="1:11" s="4" customFormat="1" ht="18.75" customHeight="1" x14ac:dyDescent="0.15">
      <c r="A33" s="1"/>
      <c r="B33" s="299"/>
      <c r="C33" s="300"/>
      <c r="D33" s="300"/>
      <c r="E33" s="300"/>
      <c r="F33" s="300"/>
      <c r="G33" s="300"/>
      <c r="H33" s="300"/>
      <c r="I33" s="300"/>
      <c r="J33" s="301"/>
      <c r="K33" s="33"/>
    </row>
    <row r="34" spans="1:11" s="4" customFormat="1" ht="18.75" customHeight="1" x14ac:dyDescent="0.15">
      <c r="A34" s="1"/>
      <c r="B34" s="299"/>
      <c r="C34" s="300"/>
      <c r="D34" s="300"/>
      <c r="E34" s="300"/>
      <c r="F34" s="300"/>
      <c r="G34" s="300"/>
      <c r="H34" s="300"/>
      <c r="I34" s="300"/>
      <c r="J34" s="301"/>
      <c r="K34" s="33"/>
    </row>
    <row r="35" spans="1:11" s="4" customFormat="1" ht="18.75" customHeight="1" x14ac:dyDescent="0.15">
      <c r="A35" s="1"/>
      <c r="B35" s="299"/>
      <c r="C35" s="300"/>
      <c r="D35" s="300"/>
      <c r="E35" s="300"/>
      <c r="F35" s="300"/>
      <c r="G35" s="300"/>
      <c r="H35" s="300"/>
      <c r="I35" s="300"/>
      <c r="J35" s="301"/>
      <c r="K35" s="33"/>
    </row>
    <row r="36" spans="1:11" s="4" customFormat="1" ht="18.75" customHeight="1" x14ac:dyDescent="0.15">
      <c r="A36" s="1"/>
      <c r="B36" s="299"/>
      <c r="C36" s="300"/>
      <c r="D36" s="300"/>
      <c r="E36" s="300"/>
      <c r="F36" s="300"/>
      <c r="G36" s="300"/>
      <c r="H36" s="300"/>
      <c r="I36" s="300"/>
      <c r="J36" s="301"/>
      <c r="K36" s="33"/>
    </row>
    <row r="37" spans="1:11" s="4" customFormat="1" ht="18.75" customHeight="1" x14ac:dyDescent="0.15">
      <c r="A37" s="1"/>
      <c r="B37" s="299"/>
      <c r="C37" s="300"/>
      <c r="D37" s="300"/>
      <c r="E37" s="300"/>
      <c r="F37" s="300"/>
      <c r="G37" s="300"/>
      <c r="H37" s="300"/>
      <c r="I37" s="300"/>
      <c r="J37" s="301"/>
      <c r="K37" s="33"/>
    </row>
    <row r="38" spans="1:11" s="4" customFormat="1" ht="18.75" customHeight="1" x14ac:dyDescent="0.15">
      <c r="A38" s="1"/>
      <c r="B38" s="299"/>
      <c r="C38" s="300"/>
      <c r="D38" s="300"/>
      <c r="E38" s="300"/>
      <c r="F38" s="300"/>
      <c r="G38" s="300"/>
      <c r="H38" s="300"/>
      <c r="I38" s="300"/>
      <c r="J38" s="301"/>
      <c r="K38" s="33"/>
    </row>
    <row r="39" spans="1:11" s="4" customFormat="1" ht="18.75" customHeight="1" x14ac:dyDescent="0.15">
      <c r="A39" s="1"/>
      <c r="B39" s="299"/>
      <c r="C39" s="300"/>
      <c r="D39" s="300"/>
      <c r="E39" s="300"/>
      <c r="F39" s="300"/>
      <c r="G39" s="300"/>
      <c r="H39" s="300"/>
      <c r="I39" s="300"/>
      <c r="J39" s="301"/>
      <c r="K39" s="33"/>
    </row>
    <row r="40" spans="1:11" s="4" customFormat="1" ht="18.75" customHeight="1" x14ac:dyDescent="0.15">
      <c r="A40" s="1"/>
      <c r="B40" s="299"/>
      <c r="C40" s="300"/>
      <c r="D40" s="300"/>
      <c r="E40" s="300"/>
      <c r="F40" s="300"/>
      <c r="G40" s="300"/>
      <c r="H40" s="300"/>
      <c r="I40" s="300"/>
      <c r="J40" s="301"/>
      <c r="K40" s="33"/>
    </row>
    <row r="41" spans="1:11" s="4" customFormat="1" ht="18.75" customHeight="1" x14ac:dyDescent="0.15">
      <c r="A41" s="1"/>
      <c r="B41" s="299"/>
      <c r="C41" s="300"/>
      <c r="D41" s="300"/>
      <c r="E41" s="300"/>
      <c r="F41" s="300"/>
      <c r="G41" s="300"/>
      <c r="H41" s="300"/>
      <c r="I41" s="300"/>
      <c r="J41" s="301"/>
      <c r="K41" s="33"/>
    </row>
    <row r="42" spans="1:11" s="4" customFormat="1" ht="12" customHeight="1" x14ac:dyDescent="0.15">
      <c r="A42" s="1"/>
      <c r="B42" s="299"/>
      <c r="C42" s="300"/>
      <c r="D42" s="300"/>
      <c r="E42" s="300"/>
      <c r="F42" s="300"/>
      <c r="G42" s="300"/>
      <c r="H42" s="300"/>
      <c r="I42" s="300"/>
      <c r="J42" s="301"/>
      <c r="K42" s="33"/>
    </row>
    <row r="43" spans="1:11" ht="6.75" customHeight="1" x14ac:dyDescent="0.15">
      <c r="A43" s="37"/>
      <c r="B43" s="299"/>
      <c r="C43" s="300"/>
      <c r="D43" s="300"/>
      <c r="E43" s="300"/>
      <c r="F43" s="300"/>
      <c r="G43" s="300"/>
      <c r="H43" s="300"/>
      <c r="I43" s="300"/>
      <c r="J43" s="301"/>
      <c r="K43" s="33"/>
    </row>
    <row r="44" spans="1:11" ht="5.25" customHeight="1" x14ac:dyDescent="0.15">
      <c r="A44" s="37"/>
      <c r="B44" s="302"/>
      <c r="C44" s="303"/>
      <c r="D44" s="303"/>
      <c r="E44" s="303"/>
      <c r="F44" s="303"/>
      <c r="G44" s="303"/>
      <c r="H44" s="303"/>
      <c r="I44" s="303"/>
      <c r="J44" s="304"/>
    </row>
    <row r="45" spans="1:11" s="4" customFormat="1" ht="18.75" customHeight="1" x14ac:dyDescent="0.15">
      <c r="A45" s="98" t="s">
        <v>11</v>
      </c>
      <c r="B45" s="1" t="s">
        <v>60</v>
      </c>
      <c r="C45" s="1"/>
      <c r="D45" s="1"/>
      <c r="E45" s="1"/>
      <c r="F45" s="1"/>
      <c r="G45" s="1"/>
      <c r="H45" s="1"/>
      <c r="I45" s="98"/>
      <c r="J45" s="98"/>
      <c r="K45" s="31"/>
    </row>
    <row r="46" spans="1:11" ht="18.75" customHeight="1" x14ac:dyDescent="0.15">
      <c r="A46" s="37"/>
      <c r="B46" s="306" t="s">
        <v>188</v>
      </c>
      <c r="C46" s="307"/>
      <c r="D46" s="307"/>
      <c r="E46" s="307"/>
      <c r="F46" s="307"/>
      <c r="G46" s="307"/>
      <c r="H46" s="307"/>
      <c r="I46" s="307"/>
      <c r="J46" s="310"/>
      <c r="K46" s="31" t="str">
        <f>IF(B46="","入力してください","")</f>
        <v/>
      </c>
    </row>
    <row r="47" spans="1:11" ht="18.75" customHeight="1" x14ac:dyDescent="0.15">
      <c r="A47" s="37"/>
      <c r="B47" s="311"/>
      <c r="C47" s="312"/>
      <c r="D47" s="312"/>
      <c r="E47" s="312"/>
      <c r="F47" s="312"/>
      <c r="G47" s="312"/>
      <c r="H47" s="312"/>
      <c r="I47" s="312"/>
      <c r="J47" s="313"/>
    </row>
    <row r="48" spans="1:11" ht="18.75" customHeight="1" x14ac:dyDescent="0.15">
      <c r="A48" s="37"/>
      <c r="B48" s="311"/>
      <c r="C48" s="312"/>
      <c r="D48" s="312"/>
      <c r="E48" s="312"/>
      <c r="F48" s="312"/>
      <c r="G48" s="312"/>
      <c r="H48" s="312"/>
      <c r="I48" s="312"/>
      <c r="J48" s="313"/>
    </row>
    <row r="49" spans="1:10" ht="18.75" customHeight="1" x14ac:dyDescent="0.15">
      <c r="A49" s="37"/>
      <c r="B49" s="311"/>
      <c r="C49" s="312"/>
      <c r="D49" s="312"/>
      <c r="E49" s="312"/>
      <c r="F49" s="312"/>
      <c r="G49" s="312"/>
      <c r="H49" s="312"/>
      <c r="I49" s="312"/>
      <c r="J49" s="313"/>
    </row>
    <row r="50" spans="1:10" ht="18.75" customHeight="1" x14ac:dyDescent="0.15">
      <c r="A50" s="37"/>
      <c r="B50" s="311"/>
      <c r="C50" s="312"/>
      <c r="D50" s="312"/>
      <c r="E50" s="312"/>
      <c r="F50" s="312"/>
      <c r="G50" s="312"/>
      <c r="H50" s="312"/>
      <c r="I50" s="312"/>
      <c r="J50" s="313"/>
    </row>
    <row r="51" spans="1:10" ht="18.75" customHeight="1" x14ac:dyDescent="0.15">
      <c r="A51" s="37"/>
      <c r="B51" s="311"/>
      <c r="C51" s="312"/>
      <c r="D51" s="312"/>
      <c r="E51" s="312"/>
      <c r="F51" s="312"/>
      <c r="G51" s="312"/>
      <c r="H51" s="312"/>
      <c r="I51" s="312"/>
      <c r="J51" s="313"/>
    </row>
    <row r="52" spans="1:10" ht="18.75" customHeight="1" x14ac:dyDescent="0.15">
      <c r="A52" s="37"/>
      <c r="B52" s="311"/>
      <c r="C52" s="312"/>
      <c r="D52" s="312"/>
      <c r="E52" s="312"/>
      <c r="F52" s="312"/>
      <c r="G52" s="312"/>
      <c r="H52" s="312"/>
      <c r="I52" s="312"/>
      <c r="J52" s="313"/>
    </row>
    <row r="53" spans="1:10" ht="18.75" customHeight="1" x14ac:dyDescent="0.15">
      <c r="A53" s="37"/>
      <c r="B53" s="311"/>
      <c r="C53" s="312"/>
      <c r="D53" s="312"/>
      <c r="E53" s="312"/>
      <c r="F53" s="312"/>
      <c r="G53" s="312"/>
      <c r="H53" s="312"/>
      <c r="I53" s="312"/>
      <c r="J53" s="313"/>
    </row>
    <row r="54" spans="1:10" ht="18.75" customHeight="1" x14ac:dyDescent="0.15">
      <c r="A54" s="37"/>
      <c r="B54" s="311"/>
      <c r="C54" s="312"/>
      <c r="D54" s="312"/>
      <c r="E54" s="312"/>
      <c r="F54" s="312"/>
      <c r="G54" s="312"/>
      <c r="H54" s="312"/>
      <c r="I54" s="312"/>
      <c r="J54" s="313"/>
    </row>
    <row r="55" spans="1:10" ht="18.75" customHeight="1" x14ac:dyDescent="0.15">
      <c r="A55" s="37"/>
      <c r="B55" s="311"/>
      <c r="C55" s="312"/>
      <c r="D55" s="312"/>
      <c r="E55" s="312"/>
      <c r="F55" s="312"/>
      <c r="G55" s="312"/>
      <c r="H55" s="312"/>
      <c r="I55" s="312"/>
      <c r="J55" s="313"/>
    </row>
    <row r="56" spans="1:10" ht="18.75" customHeight="1" x14ac:dyDescent="0.15">
      <c r="A56" s="37"/>
      <c r="B56" s="311"/>
      <c r="C56" s="312"/>
      <c r="D56" s="312"/>
      <c r="E56" s="312"/>
      <c r="F56" s="312"/>
      <c r="G56" s="312"/>
      <c r="H56" s="312"/>
      <c r="I56" s="312"/>
      <c r="J56" s="313"/>
    </row>
    <row r="57" spans="1:10" ht="18.75" customHeight="1" x14ac:dyDescent="0.15">
      <c r="A57" s="37"/>
      <c r="B57" s="311"/>
      <c r="C57" s="312"/>
      <c r="D57" s="312"/>
      <c r="E57" s="312"/>
      <c r="F57" s="312"/>
      <c r="G57" s="312"/>
      <c r="H57" s="312"/>
      <c r="I57" s="312"/>
      <c r="J57" s="313"/>
    </row>
    <row r="58" spans="1:10" ht="18.75" customHeight="1" x14ac:dyDescent="0.15">
      <c r="A58" s="37"/>
      <c r="B58" s="311"/>
      <c r="C58" s="312"/>
      <c r="D58" s="312"/>
      <c r="E58" s="312"/>
      <c r="F58" s="312"/>
      <c r="G58" s="312"/>
      <c r="H58" s="312"/>
      <c r="I58" s="312"/>
      <c r="J58" s="313"/>
    </row>
    <row r="59" spans="1:10" ht="18.75" customHeight="1" x14ac:dyDescent="0.15">
      <c r="A59" s="37"/>
      <c r="B59" s="311"/>
      <c r="C59" s="312"/>
      <c r="D59" s="312"/>
      <c r="E59" s="312"/>
      <c r="F59" s="312"/>
      <c r="G59" s="312"/>
      <c r="H59" s="312"/>
      <c r="I59" s="312"/>
      <c r="J59" s="313"/>
    </row>
    <row r="60" spans="1:10" ht="18.75" customHeight="1" x14ac:dyDescent="0.15">
      <c r="A60" s="37"/>
      <c r="B60" s="311"/>
      <c r="C60" s="312"/>
      <c r="D60" s="312"/>
      <c r="E60" s="312"/>
      <c r="F60" s="312"/>
      <c r="G60" s="312"/>
      <c r="H60" s="312"/>
      <c r="I60" s="312"/>
      <c r="J60" s="313"/>
    </row>
    <row r="61" spans="1:10" ht="18.75" customHeight="1" x14ac:dyDescent="0.15">
      <c r="A61" s="37"/>
      <c r="B61" s="311"/>
      <c r="C61" s="312"/>
      <c r="D61" s="312"/>
      <c r="E61" s="312"/>
      <c r="F61" s="312"/>
      <c r="G61" s="312"/>
      <c r="H61" s="312"/>
      <c r="I61" s="312"/>
      <c r="J61" s="313"/>
    </row>
    <row r="62" spans="1:10" ht="18.75" customHeight="1" x14ac:dyDescent="0.15">
      <c r="A62" s="37"/>
      <c r="B62" s="311"/>
      <c r="C62" s="312"/>
      <c r="D62" s="312"/>
      <c r="E62" s="312"/>
      <c r="F62" s="312"/>
      <c r="G62" s="312"/>
      <c r="H62" s="312"/>
      <c r="I62" s="312"/>
      <c r="J62" s="313"/>
    </row>
    <row r="63" spans="1:10" ht="18.75" customHeight="1" x14ac:dyDescent="0.15">
      <c r="A63" s="37"/>
      <c r="B63" s="311"/>
      <c r="C63" s="312"/>
      <c r="D63" s="312"/>
      <c r="E63" s="312"/>
      <c r="F63" s="312"/>
      <c r="G63" s="312"/>
      <c r="H63" s="312"/>
      <c r="I63" s="312"/>
      <c r="J63" s="313"/>
    </row>
    <row r="64" spans="1:10" ht="18.75" customHeight="1" x14ac:dyDescent="0.15">
      <c r="A64" s="37"/>
      <c r="B64" s="311"/>
      <c r="C64" s="312"/>
      <c r="D64" s="312"/>
      <c r="E64" s="312"/>
      <c r="F64" s="312"/>
      <c r="G64" s="312"/>
      <c r="H64" s="312"/>
      <c r="I64" s="312"/>
      <c r="J64" s="313"/>
    </row>
    <row r="65" spans="1:11" ht="18.75" customHeight="1" x14ac:dyDescent="0.15">
      <c r="A65" s="37"/>
      <c r="B65" s="311"/>
      <c r="C65" s="312"/>
      <c r="D65" s="312"/>
      <c r="E65" s="312"/>
      <c r="F65" s="312"/>
      <c r="G65" s="312"/>
      <c r="H65" s="312"/>
      <c r="I65" s="312"/>
      <c r="J65" s="313"/>
    </row>
    <row r="66" spans="1:11" ht="18.75" customHeight="1" x14ac:dyDescent="0.15">
      <c r="A66" s="37"/>
      <c r="B66" s="314"/>
      <c r="C66" s="315"/>
      <c r="D66" s="315"/>
      <c r="E66" s="315"/>
      <c r="F66" s="315"/>
      <c r="G66" s="315"/>
      <c r="H66" s="315"/>
      <c r="I66" s="315"/>
      <c r="J66" s="316"/>
    </row>
    <row r="67" spans="1:11" ht="7.5" customHeight="1" x14ac:dyDescent="0.15">
      <c r="A67" s="37"/>
      <c r="B67" s="37"/>
      <c r="C67" s="37"/>
      <c r="D67" s="37"/>
      <c r="E67" s="37"/>
      <c r="F67" s="37"/>
      <c r="G67" s="37"/>
      <c r="H67" s="37"/>
      <c r="I67" s="37"/>
      <c r="J67" s="37"/>
    </row>
    <row r="68" spans="1:11" s="4" customFormat="1" ht="18.75" customHeight="1" x14ac:dyDescent="0.15">
      <c r="A68" s="1" t="s">
        <v>14</v>
      </c>
      <c r="B68" s="1" t="s">
        <v>66</v>
      </c>
      <c r="C68" s="1"/>
      <c r="D68" s="1"/>
      <c r="E68" s="1"/>
      <c r="F68" s="1"/>
      <c r="G68" s="1"/>
      <c r="H68" s="1"/>
      <c r="I68" s="1"/>
      <c r="J68" s="1"/>
      <c r="K68" s="31"/>
    </row>
    <row r="69" spans="1:11" s="4" customFormat="1" ht="18.75" customHeight="1" x14ac:dyDescent="0.15">
      <c r="A69" s="1"/>
      <c r="B69" s="306" t="s">
        <v>189</v>
      </c>
      <c r="C69" s="307"/>
      <c r="D69" s="307"/>
      <c r="E69" s="307"/>
      <c r="F69" s="307"/>
      <c r="G69" s="307"/>
      <c r="H69" s="307"/>
      <c r="I69" s="308"/>
      <c r="J69" s="309"/>
      <c r="K69" s="33" t="str">
        <f>IF(B69="","入力してください","")</f>
        <v/>
      </c>
    </row>
    <row r="70" spans="1:11" s="4" customFormat="1" ht="18.75" customHeight="1" x14ac:dyDescent="0.15">
      <c r="A70" s="1"/>
      <c r="B70" s="299"/>
      <c r="C70" s="300"/>
      <c r="D70" s="300"/>
      <c r="E70" s="300"/>
      <c r="F70" s="300"/>
      <c r="G70" s="300"/>
      <c r="H70" s="300"/>
      <c r="I70" s="300"/>
      <c r="J70" s="301"/>
      <c r="K70" s="33"/>
    </row>
    <row r="71" spans="1:11" s="4" customFormat="1" ht="18.75" customHeight="1" x14ac:dyDescent="0.15">
      <c r="A71" s="1"/>
      <c r="B71" s="299"/>
      <c r="C71" s="300"/>
      <c r="D71" s="300"/>
      <c r="E71" s="300"/>
      <c r="F71" s="300"/>
      <c r="G71" s="300"/>
      <c r="H71" s="300"/>
      <c r="I71" s="300"/>
      <c r="J71" s="301"/>
      <c r="K71" s="33"/>
    </row>
    <row r="72" spans="1:11" s="4" customFormat="1" ht="18.75" customHeight="1" x14ac:dyDescent="0.15">
      <c r="A72" s="1"/>
      <c r="B72" s="299"/>
      <c r="C72" s="300"/>
      <c r="D72" s="300"/>
      <c r="E72" s="300"/>
      <c r="F72" s="300"/>
      <c r="G72" s="300"/>
      <c r="H72" s="300"/>
      <c r="I72" s="300"/>
      <c r="J72" s="301"/>
      <c r="K72" s="33"/>
    </row>
    <row r="73" spans="1:11" s="4" customFormat="1" ht="18.75" customHeight="1" x14ac:dyDescent="0.15">
      <c r="A73" s="1"/>
      <c r="B73" s="299"/>
      <c r="C73" s="300"/>
      <c r="D73" s="300"/>
      <c r="E73" s="300"/>
      <c r="F73" s="300"/>
      <c r="G73" s="300"/>
      <c r="H73" s="300"/>
      <c r="I73" s="300"/>
      <c r="J73" s="301"/>
      <c r="K73" s="33"/>
    </row>
    <row r="74" spans="1:11" s="4" customFormat="1" ht="18.75" customHeight="1" x14ac:dyDescent="0.15">
      <c r="A74" s="1"/>
      <c r="B74" s="299"/>
      <c r="C74" s="300"/>
      <c r="D74" s="300"/>
      <c r="E74" s="300"/>
      <c r="F74" s="300"/>
      <c r="G74" s="300"/>
      <c r="H74" s="300"/>
      <c r="I74" s="300"/>
      <c r="J74" s="301"/>
      <c r="K74" s="33"/>
    </row>
    <row r="75" spans="1:11" s="4" customFormat="1" ht="18.75" customHeight="1" x14ac:dyDescent="0.15">
      <c r="A75" s="1"/>
      <c r="B75" s="299"/>
      <c r="C75" s="300"/>
      <c r="D75" s="300"/>
      <c r="E75" s="300"/>
      <c r="F75" s="300"/>
      <c r="G75" s="300"/>
      <c r="H75" s="300"/>
      <c r="I75" s="300"/>
      <c r="J75" s="301"/>
      <c r="K75" s="33"/>
    </row>
    <row r="76" spans="1:11" s="4" customFormat="1" ht="18.75" customHeight="1" x14ac:dyDescent="0.15">
      <c r="A76" s="1"/>
      <c r="B76" s="299"/>
      <c r="C76" s="300"/>
      <c r="D76" s="300"/>
      <c r="E76" s="300"/>
      <c r="F76" s="300"/>
      <c r="G76" s="300"/>
      <c r="H76" s="300"/>
      <c r="I76" s="300"/>
      <c r="J76" s="301"/>
      <c r="K76" s="33"/>
    </row>
    <row r="77" spans="1:11" s="4" customFormat="1" ht="18.75" customHeight="1" x14ac:dyDescent="0.15">
      <c r="A77" s="1"/>
      <c r="B77" s="299"/>
      <c r="C77" s="300"/>
      <c r="D77" s="300"/>
      <c r="E77" s="300"/>
      <c r="F77" s="300"/>
      <c r="G77" s="300"/>
      <c r="H77" s="300"/>
      <c r="I77" s="300"/>
      <c r="J77" s="301"/>
      <c r="K77" s="33"/>
    </row>
    <row r="78" spans="1:11" s="4" customFormat="1" ht="18.75" customHeight="1" x14ac:dyDescent="0.15">
      <c r="A78" s="1"/>
      <c r="B78" s="299"/>
      <c r="C78" s="300"/>
      <c r="D78" s="300"/>
      <c r="E78" s="300"/>
      <c r="F78" s="300"/>
      <c r="G78" s="300"/>
      <c r="H78" s="300"/>
      <c r="I78" s="300"/>
      <c r="J78" s="301"/>
      <c r="K78" s="33"/>
    </row>
    <row r="79" spans="1:11" s="4" customFormat="1" ht="18.75" customHeight="1" x14ac:dyDescent="0.15">
      <c r="A79" s="1"/>
      <c r="B79" s="299"/>
      <c r="C79" s="300"/>
      <c r="D79" s="300"/>
      <c r="E79" s="300"/>
      <c r="F79" s="300"/>
      <c r="G79" s="300"/>
      <c r="H79" s="300"/>
      <c r="I79" s="300"/>
      <c r="J79" s="301"/>
      <c r="K79" s="33"/>
    </row>
    <row r="80" spans="1:11" s="4" customFormat="1" ht="18.75" customHeight="1" x14ac:dyDescent="0.15">
      <c r="A80" s="1"/>
      <c r="B80" s="299"/>
      <c r="C80" s="300"/>
      <c r="D80" s="300"/>
      <c r="E80" s="300"/>
      <c r="F80" s="300"/>
      <c r="G80" s="300"/>
      <c r="H80" s="300"/>
      <c r="I80" s="300"/>
      <c r="J80" s="301"/>
      <c r="K80" s="33"/>
    </row>
    <row r="81" spans="1:11" s="4" customFormat="1" ht="18.75" customHeight="1" x14ac:dyDescent="0.15">
      <c r="A81" s="1"/>
      <c r="B81" s="299"/>
      <c r="C81" s="300"/>
      <c r="D81" s="300"/>
      <c r="E81" s="300"/>
      <c r="F81" s="300"/>
      <c r="G81" s="300"/>
      <c r="H81" s="300"/>
      <c r="I81" s="300"/>
      <c r="J81" s="301"/>
      <c r="K81" s="33"/>
    </row>
    <row r="82" spans="1:11" s="4" customFormat="1" ht="18.75" customHeight="1" x14ac:dyDescent="0.15">
      <c r="A82" s="1"/>
      <c r="B82" s="299"/>
      <c r="C82" s="300"/>
      <c r="D82" s="300"/>
      <c r="E82" s="300"/>
      <c r="F82" s="300"/>
      <c r="G82" s="300"/>
      <c r="H82" s="300"/>
      <c r="I82" s="300"/>
      <c r="J82" s="301"/>
      <c r="K82" s="33"/>
    </row>
    <row r="83" spans="1:11" s="4" customFormat="1" ht="18.75" customHeight="1" x14ac:dyDescent="0.15">
      <c r="A83" s="1"/>
      <c r="B83" s="299"/>
      <c r="C83" s="300"/>
      <c r="D83" s="300"/>
      <c r="E83" s="300"/>
      <c r="F83" s="300"/>
      <c r="G83" s="300"/>
      <c r="H83" s="300"/>
      <c r="I83" s="300"/>
      <c r="J83" s="301"/>
      <c r="K83" s="33"/>
    </row>
    <row r="84" spans="1:11" s="4" customFormat="1" ht="18.75" customHeight="1" x14ac:dyDescent="0.15">
      <c r="A84" s="1"/>
      <c r="B84" s="299"/>
      <c r="C84" s="300"/>
      <c r="D84" s="300"/>
      <c r="E84" s="300"/>
      <c r="F84" s="300"/>
      <c r="G84" s="300"/>
      <c r="H84" s="300"/>
      <c r="I84" s="300"/>
      <c r="J84" s="301"/>
      <c r="K84" s="33"/>
    </row>
    <row r="85" spans="1:11" ht="18.75" customHeight="1" x14ac:dyDescent="0.15">
      <c r="A85" s="37"/>
      <c r="B85" s="299"/>
      <c r="C85" s="300"/>
      <c r="D85" s="300"/>
      <c r="E85" s="300"/>
      <c r="F85" s="300"/>
      <c r="G85" s="300"/>
      <c r="H85" s="300"/>
      <c r="I85" s="300"/>
      <c r="J85" s="301"/>
      <c r="K85" s="33"/>
    </row>
    <row r="86" spans="1:11" ht="18.75" customHeight="1" x14ac:dyDescent="0.15">
      <c r="A86" s="37"/>
      <c r="B86" s="302"/>
      <c r="C86" s="303"/>
      <c r="D86" s="303"/>
      <c r="E86" s="303"/>
      <c r="F86" s="303"/>
      <c r="G86" s="303"/>
      <c r="H86" s="303"/>
      <c r="I86" s="303"/>
      <c r="J86" s="304"/>
      <c r="K86" s="33"/>
    </row>
    <row r="87" spans="1:11" ht="7.5" customHeight="1" x14ac:dyDescent="0.15">
      <c r="A87" s="37"/>
      <c r="B87" s="37"/>
      <c r="C87" s="37"/>
      <c r="D87" s="37"/>
      <c r="E87" s="37"/>
      <c r="F87" s="37"/>
      <c r="G87" s="37"/>
      <c r="H87" s="37"/>
      <c r="I87" s="37"/>
      <c r="J87" s="37"/>
    </row>
    <row r="88" spans="1:11" s="4" customFormat="1" ht="18.75" customHeight="1" x14ac:dyDescent="0.15">
      <c r="A88" s="1" t="s">
        <v>12</v>
      </c>
      <c r="B88" s="1" t="s">
        <v>26</v>
      </c>
      <c r="C88" s="1"/>
      <c r="D88" s="1"/>
      <c r="E88" s="1"/>
      <c r="F88" s="1"/>
      <c r="G88" s="1"/>
      <c r="H88" s="1"/>
      <c r="I88" s="1"/>
      <c r="J88" s="1"/>
      <c r="K88" s="31"/>
    </row>
    <row r="89" spans="1:11" s="4" customFormat="1" ht="18.75" customHeight="1" x14ac:dyDescent="0.15">
      <c r="A89" s="1"/>
      <c r="B89" s="306" t="s">
        <v>190</v>
      </c>
      <c r="C89" s="307"/>
      <c r="D89" s="307"/>
      <c r="E89" s="307"/>
      <c r="F89" s="307"/>
      <c r="G89" s="307"/>
      <c r="H89" s="307"/>
      <c r="I89" s="308"/>
      <c r="J89" s="309"/>
      <c r="K89" s="31"/>
    </row>
    <row r="90" spans="1:11" s="4" customFormat="1" ht="18.75" customHeight="1" x14ac:dyDescent="0.15">
      <c r="A90" s="1"/>
      <c r="B90" s="299"/>
      <c r="C90" s="300"/>
      <c r="D90" s="300"/>
      <c r="E90" s="300"/>
      <c r="F90" s="300"/>
      <c r="G90" s="300"/>
      <c r="H90" s="300"/>
      <c r="I90" s="300"/>
      <c r="J90" s="301"/>
      <c r="K90" s="33"/>
    </row>
    <row r="91" spans="1:11" s="4" customFormat="1" ht="18.75" customHeight="1" x14ac:dyDescent="0.15">
      <c r="A91" s="1"/>
      <c r="B91" s="299"/>
      <c r="C91" s="300"/>
      <c r="D91" s="300"/>
      <c r="E91" s="300"/>
      <c r="F91" s="300"/>
      <c r="G91" s="300"/>
      <c r="H91" s="300"/>
      <c r="I91" s="300"/>
      <c r="J91" s="301"/>
      <c r="K91" s="33" t="str">
        <f>IF(B89="","入力してください","")</f>
        <v/>
      </c>
    </row>
    <row r="92" spans="1:11" s="4" customFormat="1" ht="18.75" customHeight="1" x14ac:dyDescent="0.15">
      <c r="A92" s="1"/>
      <c r="B92" s="299"/>
      <c r="C92" s="300"/>
      <c r="D92" s="300"/>
      <c r="E92" s="300"/>
      <c r="F92" s="300"/>
      <c r="G92" s="300"/>
      <c r="H92" s="300"/>
      <c r="I92" s="300"/>
      <c r="J92" s="301"/>
      <c r="K92" s="33"/>
    </row>
    <row r="93" spans="1:11" s="4" customFormat="1" ht="18.75" customHeight="1" x14ac:dyDescent="0.15">
      <c r="A93" s="1"/>
      <c r="B93" s="299"/>
      <c r="C93" s="300"/>
      <c r="D93" s="300"/>
      <c r="E93" s="300"/>
      <c r="F93" s="300"/>
      <c r="G93" s="300"/>
      <c r="H93" s="300"/>
      <c r="I93" s="300"/>
      <c r="J93" s="301"/>
      <c r="K93" s="33"/>
    </row>
    <row r="94" spans="1:11" s="4" customFormat="1" ht="18.75" customHeight="1" x14ac:dyDescent="0.15">
      <c r="A94" s="1"/>
      <c r="B94" s="299"/>
      <c r="C94" s="300"/>
      <c r="D94" s="300"/>
      <c r="E94" s="300"/>
      <c r="F94" s="300"/>
      <c r="G94" s="300"/>
      <c r="H94" s="300"/>
      <c r="I94" s="300"/>
      <c r="J94" s="301"/>
      <c r="K94" s="33"/>
    </row>
    <row r="95" spans="1:11" s="4" customFormat="1" ht="18.75" customHeight="1" x14ac:dyDescent="0.15">
      <c r="A95" s="1"/>
      <c r="B95" s="299"/>
      <c r="C95" s="300"/>
      <c r="D95" s="300"/>
      <c r="E95" s="300"/>
      <c r="F95" s="300"/>
      <c r="G95" s="300"/>
      <c r="H95" s="300"/>
      <c r="I95" s="300"/>
      <c r="J95" s="301"/>
      <c r="K95" s="33"/>
    </row>
    <row r="96" spans="1:11" s="4" customFormat="1" ht="18.75" customHeight="1" x14ac:dyDescent="0.15">
      <c r="A96" s="1"/>
      <c r="B96" s="299"/>
      <c r="C96" s="300"/>
      <c r="D96" s="300"/>
      <c r="E96" s="300"/>
      <c r="F96" s="300"/>
      <c r="G96" s="300"/>
      <c r="H96" s="300"/>
      <c r="I96" s="300"/>
      <c r="J96" s="301"/>
      <c r="K96" s="33"/>
    </row>
    <row r="97" spans="1:11" s="4" customFormat="1" ht="18.75" customHeight="1" x14ac:dyDescent="0.15">
      <c r="A97" s="1"/>
      <c r="B97" s="299"/>
      <c r="C97" s="300"/>
      <c r="D97" s="300"/>
      <c r="E97" s="300"/>
      <c r="F97" s="300"/>
      <c r="G97" s="300"/>
      <c r="H97" s="300"/>
      <c r="I97" s="300"/>
      <c r="J97" s="301"/>
      <c r="K97" s="33"/>
    </row>
    <row r="98" spans="1:11" s="4" customFormat="1" ht="18.75" customHeight="1" x14ac:dyDescent="0.15">
      <c r="A98" s="1"/>
      <c r="B98" s="299"/>
      <c r="C98" s="300"/>
      <c r="D98" s="300"/>
      <c r="E98" s="300"/>
      <c r="F98" s="300"/>
      <c r="G98" s="300"/>
      <c r="H98" s="300"/>
      <c r="I98" s="300"/>
      <c r="J98" s="301"/>
      <c r="K98" s="33"/>
    </row>
    <row r="99" spans="1:11" s="4" customFormat="1" ht="18.75" customHeight="1" x14ac:dyDescent="0.15">
      <c r="A99" s="1"/>
      <c r="B99" s="299"/>
      <c r="C99" s="300"/>
      <c r="D99" s="300"/>
      <c r="E99" s="300"/>
      <c r="F99" s="300"/>
      <c r="G99" s="300"/>
      <c r="H99" s="300"/>
      <c r="I99" s="300"/>
      <c r="J99" s="301"/>
      <c r="K99" s="33"/>
    </row>
    <row r="100" spans="1:11" s="4" customFormat="1" ht="18.75" customHeight="1" x14ac:dyDescent="0.15">
      <c r="A100" s="1"/>
      <c r="B100" s="299"/>
      <c r="C100" s="300"/>
      <c r="D100" s="300"/>
      <c r="E100" s="300"/>
      <c r="F100" s="300"/>
      <c r="G100" s="300"/>
      <c r="H100" s="300"/>
      <c r="I100" s="300"/>
      <c r="J100" s="301"/>
      <c r="K100" s="33"/>
    </row>
    <row r="101" spans="1:11" s="4" customFormat="1" ht="18.75" customHeight="1" x14ac:dyDescent="0.15">
      <c r="A101" s="1"/>
      <c r="B101" s="299"/>
      <c r="C101" s="300"/>
      <c r="D101" s="300"/>
      <c r="E101" s="300"/>
      <c r="F101" s="300"/>
      <c r="G101" s="300"/>
      <c r="H101" s="300"/>
      <c r="I101" s="300"/>
      <c r="J101" s="301"/>
      <c r="K101" s="33"/>
    </row>
    <row r="102" spans="1:11" s="4" customFormat="1" ht="18.75" customHeight="1" x14ac:dyDescent="0.15">
      <c r="A102" s="1"/>
      <c r="B102" s="299"/>
      <c r="C102" s="300"/>
      <c r="D102" s="300"/>
      <c r="E102" s="300"/>
      <c r="F102" s="300"/>
      <c r="G102" s="300"/>
      <c r="H102" s="300"/>
      <c r="I102" s="300"/>
      <c r="J102" s="301"/>
      <c r="K102" s="33"/>
    </row>
    <row r="103" spans="1:11" s="4" customFormat="1" ht="18.75" customHeight="1" x14ac:dyDescent="0.15">
      <c r="A103" s="1"/>
      <c r="B103" s="299"/>
      <c r="C103" s="300"/>
      <c r="D103" s="300"/>
      <c r="E103" s="300"/>
      <c r="F103" s="300"/>
      <c r="G103" s="300"/>
      <c r="H103" s="300"/>
      <c r="I103" s="300"/>
      <c r="J103" s="301"/>
      <c r="K103" s="33"/>
    </row>
    <row r="104" spans="1:11" s="4" customFormat="1" ht="18.75" customHeight="1" x14ac:dyDescent="0.15">
      <c r="A104" s="1"/>
      <c r="B104" s="299"/>
      <c r="C104" s="300"/>
      <c r="D104" s="300"/>
      <c r="E104" s="300"/>
      <c r="F104" s="300"/>
      <c r="G104" s="300"/>
      <c r="H104" s="300"/>
      <c r="I104" s="300"/>
      <c r="J104" s="301"/>
      <c r="K104" s="33"/>
    </row>
    <row r="105" spans="1:11" s="4" customFormat="1" ht="18.75" customHeight="1" x14ac:dyDescent="0.15">
      <c r="A105" s="1"/>
      <c r="B105" s="299"/>
      <c r="C105" s="300"/>
      <c r="D105" s="300"/>
      <c r="E105" s="300"/>
      <c r="F105" s="300"/>
      <c r="G105" s="300"/>
      <c r="H105" s="300"/>
      <c r="I105" s="300"/>
      <c r="J105" s="301"/>
      <c r="K105" s="33"/>
    </row>
    <row r="106" spans="1:11" s="4" customFormat="1" ht="18.75" customHeight="1" x14ac:dyDescent="0.15">
      <c r="A106" s="1"/>
      <c r="B106" s="299"/>
      <c r="C106" s="300"/>
      <c r="D106" s="300"/>
      <c r="E106" s="300"/>
      <c r="F106" s="300"/>
      <c r="G106" s="300"/>
      <c r="H106" s="300"/>
      <c r="I106" s="300"/>
      <c r="J106" s="301"/>
      <c r="K106" s="33"/>
    </row>
    <row r="107" spans="1:11" ht="18.75" customHeight="1" x14ac:dyDescent="0.15">
      <c r="A107" s="37"/>
      <c r="B107" s="299"/>
      <c r="C107" s="300"/>
      <c r="D107" s="300"/>
      <c r="E107" s="300"/>
      <c r="F107" s="300"/>
      <c r="G107" s="300"/>
      <c r="H107" s="300"/>
      <c r="I107" s="300"/>
      <c r="J107" s="301"/>
      <c r="K107" s="33"/>
    </row>
    <row r="108" spans="1:11" ht="18.75" customHeight="1" x14ac:dyDescent="0.15">
      <c r="A108" s="37"/>
      <c r="B108" s="302"/>
      <c r="C108" s="303"/>
      <c r="D108" s="303"/>
      <c r="E108" s="303"/>
      <c r="F108" s="303"/>
      <c r="G108" s="303"/>
      <c r="H108" s="303"/>
      <c r="I108" s="303"/>
      <c r="J108" s="304"/>
      <c r="K108" s="33"/>
    </row>
    <row r="109" spans="1:11" ht="7.5" customHeight="1" x14ac:dyDescent="0.15">
      <c r="A109" s="37"/>
      <c r="B109" s="37"/>
      <c r="C109" s="37"/>
      <c r="D109" s="37"/>
      <c r="E109" s="37"/>
      <c r="F109" s="37"/>
      <c r="G109" s="37"/>
      <c r="H109" s="37"/>
      <c r="I109" s="37"/>
      <c r="J109" s="37"/>
    </row>
    <row r="110" spans="1:11" s="4" customFormat="1" ht="18.75" customHeight="1" x14ac:dyDescent="0.15">
      <c r="A110" s="1" t="s">
        <v>50</v>
      </c>
      <c r="B110" s="317" t="s">
        <v>77</v>
      </c>
      <c r="C110" s="317"/>
      <c r="D110" s="317"/>
      <c r="E110" s="317"/>
      <c r="F110" s="317"/>
      <c r="G110" s="317"/>
      <c r="H110" s="317"/>
      <c r="I110" s="317"/>
      <c r="J110" s="317"/>
      <c r="K110" s="31"/>
    </row>
    <row r="111" spans="1:11" ht="18.75" customHeight="1" x14ac:dyDescent="0.15">
      <c r="A111" s="37"/>
      <c r="B111" s="318" t="s">
        <v>191</v>
      </c>
      <c r="C111" s="319"/>
      <c r="D111" s="319"/>
      <c r="E111" s="319"/>
      <c r="F111" s="319"/>
      <c r="G111" s="319"/>
      <c r="H111" s="319"/>
      <c r="I111" s="320"/>
      <c r="J111" s="321"/>
    </row>
    <row r="112" spans="1:11" ht="18.75" customHeight="1" x14ac:dyDescent="0.15">
      <c r="A112" s="37"/>
      <c r="B112" s="322"/>
      <c r="C112" s="323"/>
      <c r="D112" s="323"/>
      <c r="E112" s="323"/>
      <c r="F112" s="323"/>
      <c r="G112" s="323"/>
      <c r="H112" s="323"/>
      <c r="I112" s="323"/>
      <c r="J112" s="324"/>
      <c r="K112" s="33"/>
    </row>
    <row r="113" spans="1:11" ht="18.75" customHeight="1" x14ac:dyDescent="0.15">
      <c r="A113" s="37"/>
      <c r="B113" s="322"/>
      <c r="C113" s="323"/>
      <c r="D113" s="323"/>
      <c r="E113" s="323"/>
      <c r="F113" s="323"/>
      <c r="G113" s="323"/>
      <c r="H113" s="323"/>
      <c r="I113" s="323"/>
      <c r="J113" s="324"/>
      <c r="K113" s="31" t="str">
        <f>IF(B111="","入力してください","")</f>
        <v/>
      </c>
    </row>
    <row r="114" spans="1:11" ht="18.75" customHeight="1" x14ac:dyDescent="0.15">
      <c r="A114" s="37"/>
      <c r="B114" s="322"/>
      <c r="C114" s="323"/>
      <c r="D114" s="323"/>
      <c r="E114" s="323"/>
      <c r="F114" s="323"/>
      <c r="G114" s="323"/>
      <c r="H114" s="323"/>
      <c r="I114" s="323"/>
      <c r="J114" s="324"/>
    </row>
    <row r="115" spans="1:11" ht="18.75" customHeight="1" x14ac:dyDescent="0.15">
      <c r="A115" s="37"/>
      <c r="B115" s="322"/>
      <c r="C115" s="323"/>
      <c r="D115" s="323"/>
      <c r="E115" s="323"/>
      <c r="F115" s="323"/>
      <c r="G115" s="323"/>
      <c r="H115" s="323"/>
      <c r="I115" s="323"/>
      <c r="J115" s="324"/>
    </row>
    <row r="116" spans="1:11" ht="18.75" customHeight="1" x14ac:dyDescent="0.15">
      <c r="A116" s="37"/>
      <c r="B116" s="322"/>
      <c r="C116" s="323"/>
      <c r="D116" s="323"/>
      <c r="E116" s="323"/>
      <c r="F116" s="323"/>
      <c r="G116" s="323"/>
      <c r="H116" s="323"/>
      <c r="I116" s="323"/>
      <c r="J116" s="324"/>
    </row>
    <row r="117" spans="1:11" ht="18.75" customHeight="1" x14ac:dyDescent="0.15">
      <c r="A117" s="37"/>
      <c r="B117" s="322"/>
      <c r="C117" s="323"/>
      <c r="D117" s="323"/>
      <c r="E117" s="323"/>
      <c r="F117" s="323"/>
      <c r="G117" s="323"/>
      <c r="H117" s="323"/>
      <c r="I117" s="323"/>
      <c r="J117" s="324"/>
    </row>
    <row r="118" spans="1:11" ht="18.75" customHeight="1" x14ac:dyDescent="0.15">
      <c r="A118" s="37"/>
      <c r="B118" s="322"/>
      <c r="C118" s="323"/>
      <c r="D118" s="323"/>
      <c r="E118" s="323"/>
      <c r="F118" s="323"/>
      <c r="G118" s="323"/>
      <c r="H118" s="323"/>
      <c r="I118" s="323"/>
      <c r="J118" s="324"/>
    </row>
    <row r="119" spans="1:11" ht="18.75" customHeight="1" x14ac:dyDescent="0.15">
      <c r="A119" s="37"/>
      <c r="B119" s="322"/>
      <c r="C119" s="323"/>
      <c r="D119" s="323"/>
      <c r="E119" s="323"/>
      <c r="F119" s="323"/>
      <c r="G119" s="323"/>
      <c r="H119" s="323"/>
      <c r="I119" s="323"/>
      <c r="J119" s="324"/>
    </row>
    <row r="120" spans="1:11" ht="18.75" customHeight="1" x14ac:dyDescent="0.15">
      <c r="A120" s="37"/>
      <c r="B120" s="322"/>
      <c r="C120" s="323"/>
      <c r="D120" s="323"/>
      <c r="E120" s="323"/>
      <c r="F120" s="323"/>
      <c r="G120" s="323"/>
      <c r="H120" s="323"/>
      <c r="I120" s="323"/>
      <c r="J120" s="324"/>
    </row>
    <row r="121" spans="1:11" ht="18.75" customHeight="1" x14ac:dyDescent="0.15">
      <c r="A121" s="37"/>
      <c r="B121" s="322"/>
      <c r="C121" s="323"/>
      <c r="D121" s="323"/>
      <c r="E121" s="323"/>
      <c r="F121" s="323"/>
      <c r="G121" s="323"/>
      <c r="H121" s="323"/>
      <c r="I121" s="323"/>
      <c r="J121" s="324"/>
    </row>
    <row r="122" spans="1:11" ht="18.75" customHeight="1" x14ac:dyDescent="0.15">
      <c r="A122" s="37"/>
      <c r="B122" s="322"/>
      <c r="C122" s="323"/>
      <c r="D122" s="323"/>
      <c r="E122" s="323"/>
      <c r="F122" s="323"/>
      <c r="G122" s="323"/>
      <c r="H122" s="323"/>
      <c r="I122" s="323"/>
      <c r="J122" s="324"/>
    </row>
    <row r="123" spans="1:11" ht="18.75" customHeight="1" x14ac:dyDescent="0.15">
      <c r="A123" s="37"/>
      <c r="B123" s="322"/>
      <c r="C123" s="323"/>
      <c r="D123" s="323"/>
      <c r="E123" s="323"/>
      <c r="F123" s="323"/>
      <c r="G123" s="323"/>
      <c r="H123" s="323"/>
      <c r="I123" s="323"/>
      <c r="J123" s="324"/>
    </row>
    <row r="124" spans="1:11" ht="18.75" customHeight="1" x14ac:dyDescent="0.15">
      <c r="A124" s="37"/>
      <c r="B124" s="322"/>
      <c r="C124" s="323"/>
      <c r="D124" s="323"/>
      <c r="E124" s="323"/>
      <c r="F124" s="323"/>
      <c r="G124" s="323"/>
      <c r="H124" s="323"/>
      <c r="I124" s="323"/>
      <c r="J124" s="324"/>
    </row>
    <row r="125" spans="1:11" ht="18.75" customHeight="1" x14ac:dyDescent="0.15">
      <c r="A125" s="37"/>
      <c r="B125" s="322"/>
      <c r="C125" s="323"/>
      <c r="D125" s="323"/>
      <c r="E125" s="323"/>
      <c r="F125" s="323"/>
      <c r="G125" s="323"/>
      <c r="H125" s="323"/>
      <c r="I125" s="323"/>
      <c r="J125" s="324"/>
    </row>
    <row r="126" spans="1:11" ht="18.75" customHeight="1" x14ac:dyDescent="0.15">
      <c r="A126" s="37"/>
      <c r="B126" s="322"/>
      <c r="C126" s="323"/>
      <c r="D126" s="323"/>
      <c r="E126" s="323"/>
      <c r="F126" s="323"/>
      <c r="G126" s="323"/>
      <c r="H126" s="323"/>
      <c r="I126" s="323"/>
      <c r="J126" s="324"/>
    </row>
    <row r="127" spans="1:11" ht="18.75" customHeight="1" x14ac:dyDescent="0.15">
      <c r="A127" s="37"/>
      <c r="B127" s="322"/>
      <c r="C127" s="323"/>
      <c r="D127" s="323"/>
      <c r="E127" s="323"/>
      <c r="F127" s="323"/>
      <c r="G127" s="323"/>
      <c r="H127" s="323"/>
      <c r="I127" s="323"/>
      <c r="J127" s="324"/>
    </row>
    <row r="128" spans="1:11" ht="18.75" customHeight="1" x14ac:dyDescent="0.15">
      <c r="A128" s="37"/>
      <c r="B128" s="322"/>
      <c r="C128" s="323"/>
      <c r="D128" s="323"/>
      <c r="E128" s="323"/>
      <c r="F128" s="323"/>
      <c r="G128" s="323"/>
      <c r="H128" s="323"/>
      <c r="I128" s="323"/>
      <c r="J128" s="324"/>
    </row>
    <row r="129" spans="1:10" ht="18.75" customHeight="1" x14ac:dyDescent="0.15">
      <c r="A129" s="37"/>
      <c r="B129" s="325"/>
      <c r="C129" s="326"/>
      <c r="D129" s="326"/>
      <c r="E129" s="326"/>
      <c r="F129" s="326"/>
      <c r="G129" s="326"/>
      <c r="H129" s="326"/>
      <c r="I129" s="326"/>
      <c r="J129" s="327"/>
    </row>
    <row r="130" spans="1:10" ht="7.5" customHeight="1" x14ac:dyDescent="0.15">
      <c r="A130" s="37"/>
      <c r="B130" s="99"/>
      <c r="C130" s="99"/>
      <c r="D130" s="99"/>
      <c r="E130" s="99"/>
      <c r="F130" s="99"/>
      <c r="G130" s="99"/>
      <c r="H130" s="99"/>
      <c r="I130" s="99"/>
      <c r="J130" s="99"/>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0"/>
      <c r="B144" s="100"/>
      <c r="C144" s="100"/>
      <c r="D144" s="100"/>
      <c r="E144" s="100"/>
      <c r="F144" s="100"/>
      <c r="G144" s="100"/>
      <c r="H144" s="100"/>
      <c r="I144" s="100"/>
      <c r="J144" s="100"/>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topLeftCell="A13" zoomScale="75" zoomScaleNormal="100" zoomScaleSheetLayoutView="75" workbookViewId="0">
      <selection activeCell="E16" sqref="E16:J16"/>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116</v>
      </c>
      <c r="J1" s="39" t="s">
        <v>68</v>
      </c>
    </row>
    <row r="2" spans="1:11" ht="18.75" customHeight="1" x14ac:dyDescent="0.15">
      <c r="A2" s="280" t="s">
        <v>41</v>
      </c>
      <c r="B2" s="280"/>
      <c r="C2" s="280"/>
      <c r="D2" s="280"/>
      <c r="E2" s="280"/>
      <c r="F2" s="280"/>
      <c r="G2" s="280"/>
      <c r="H2" s="280"/>
      <c r="I2" s="280"/>
      <c r="J2" s="280"/>
    </row>
    <row r="3" spans="1:11" ht="7.5" customHeight="1" x14ac:dyDescent="0.15">
      <c r="A3" s="40"/>
      <c r="B3" s="40"/>
      <c r="C3" s="40"/>
      <c r="D3" s="40"/>
      <c r="E3" s="40"/>
      <c r="F3" s="40"/>
      <c r="G3" s="40"/>
      <c r="H3" s="40"/>
      <c r="I3" s="40"/>
      <c r="J3" s="40"/>
    </row>
    <row r="4" spans="1:11" ht="18.75" customHeight="1" x14ac:dyDescent="0.15">
      <c r="A4" s="1" t="s">
        <v>6</v>
      </c>
      <c r="B4" s="4" t="s">
        <v>40</v>
      </c>
      <c r="C4" s="37"/>
      <c r="D4" s="37"/>
      <c r="E4" s="38"/>
      <c r="F4" s="38"/>
      <c r="G4" s="38"/>
      <c r="H4" s="38"/>
      <c r="I4" s="38"/>
      <c r="J4" s="38"/>
    </row>
    <row r="5" spans="1:11" ht="18.75" customHeight="1" x14ac:dyDescent="0.15">
      <c r="B5" s="333" t="s">
        <v>37</v>
      </c>
      <c r="C5" s="334"/>
      <c r="D5" s="335"/>
      <c r="E5" s="336" t="s">
        <v>39</v>
      </c>
      <c r="F5" s="336"/>
      <c r="G5" s="336"/>
      <c r="H5" s="336"/>
      <c r="I5" s="336"/>
      <c r="J5" s="337"/>
    </row>
    <row r="6" spans="1:11" ht="18.75" customHeight="1" x14ac:dyDescent="0.15">
      <c r="B6" s="3" t="s">
        <v>27</v>
      </c>
      <c r="C6" s="37"/>
      <c r="D6" s="7"/>
      <c r="I6" s="38"/>
      <c r="J6" s="5"/>
    </row>
    <row r="7" spans="1:11" ht="207" customHeight="1" x14ac:dyDescent="0.15">
      <c r="B7" s="6"/>
      <c r="C7" s="338" t="s">
        <v>28</v>
      </c>
      <c r="D7" s="339"/>
      <c r="E7" s="330" t="s">
        <v>199</v>
      </c>
      <c r="F7" s="331"/>
      <c r="G7" s="331"/>
      <c r="H7" s="331"/>
      <c r="I7" s="331"/>
      <c r="J7" s="332"/>
    </row>
    <row r="8" spans="1:11" ht="207" customHeight="1" x14ac:dyDescent="0.15">
      <c r="B8" s="6"/>
      <c r="C8" s="328" t="s">
        <v>29</v>
      </c>
      <c r="D8" s="329"/>
      <c r="E8" s="330" t="s">
        <v>192</v>
      </c>
      <c r="F8" s="331"/>
      <c r="G8" s="331"/>
      <c r="H8" s="331"/>
      <c r="I8" s="331"/>
      <c r="J8" s="332"/>
      <c r="K8" s="31" t="str">
        <f>IF(E8="","入力してください","")</f>
        <v/>
      </c>
    </row>
    <row r="9" spans="1:11" ht="172.5" customHeight="1" x14ac:dyDescent="0.15">
      <c r="B9" s="6"/>
      <c r="C9" s="338" t="s">
        <v>30</v>
      </c>
      <c r="D9" s="339"/>
      <c r="E9" s="330" t="s">
        <v>193</v>
      </c>
      <c r="F9" s="331"/>
      <c r="G9" s="331"/>
      <c r="H9" s="331"/>
      <c r="I9" s="331"/>
      <c r="J9" s="332"/>
    </row>
    <row r="10" spans="1:11" ht="172.5" customHeight="1" x14ac:dyDescent="0.15">
      <c r="B10" s="6"/>
      <c r="C10" s="338" t="s">
        <v>31</v>
      </c>
      <c r="D10" s="339"/>
      <c r="E10" s="330" t="s">
        <v>194</v>
      </c>
      <c r="F10" s="331"/>
      <c r="G10" s="331"/>
      <c r="H10" s="331"/>
      <c r="I10" s="331"/>
      <c r="J10" s="332"/>
      <c r="K10" s="31" t="str">
        <f t="shared" ref="K10:K14" si="0">IF(E10="","入力してください","")</f>
        <v/>
      </c>
    </row>
    <row r="11" spans="1:11" ht="172.5" customHeight="1" x14ac:dyDescent="0.15">
      <c r="B11" s="6"/>
      <c r="C11" s="338" t="s">
        <v>32</v>
      </c>
      <c r="D11" s="339"/>
      <c r="E11" s="330" t="s">
        <v>200</v>
      </c>
      <c r="F11" s="331"/>
      <c r="G11" s="331"/>
      <c r="H11" s="331"/>
      <c r="I11" s="331"/>
      <c r="J11" s="332"/>
    </row>
    <row r="12" spans="1:11" ht="18.75" customHeight="1" x14ac:dyDescent="0.15">
      <c r="B12" s="9" t="s">
        <v>33</v>
      </c>
      <c r="C12" s="28"/>
      <c r="D12" s="8"/>
      <c r="E12" s="119"/>
      <c r="F12" s="119"/>
      <c r="G12" s="119"/>
      <c r="H12" s="119"/>
      <c r="I12" s="119"/>
      <c r="J12" s="120"/>
    </row>
    <row r="13" spans="1:11" ht="244.15" customHeight="1" x14ac:dyDescent="0.15">
      <c r="B13" s="6"/>
      <c r="C13" s="338" t="s">
        <v>34</v>
      </c>
      <c r="D13" s="339"/>
      <c r="E13" s="331" t="s">
        <v>195</v>
      </c>
      <c r="F13" s="331"/>
      <c r="G13" s="331"/>
      <c r="H13" s="331"/>
      <c r="I13" s="331"/>
      <c r="J13" s="332"/>
      <c r="K13" s="31" t="str">
        <f t="shared" si="0"/>
        <v/>
      </c>
    </row>
    <row r="14" spans="1:11" ht="255" customHeight="1" x14ac:dyDescent="0.15">
      <c r="B14" s="6"/>
      <c r="C14" s="338" t="s">
        <v>35</v>
      </c>
      <c r="D14" s="339"/>
      <c r="E14" s="331" t="s">
        <v>201</v>
      </c>
      <c r="F14" s="331"/>
      <c r="G14" s="331"/>
      <c r="H14" s="331"/>
      <c r="I14" s="331"/>
      <c r="J14" s="332"/>
      <c r="K14" s="31" t="str">
        <f t="shared" si="0"/>
        <v/>
      </c>
    </row>
    <row r="15" spans="1:11" ht="243" customHeight="1" x14ac:dyDescent="0.15">
      <c r="B15" s="348" t="s">
        <v>36</v>
      </c>
      <c r="C15" s="349"/>
      <c r="D15" s="339"/>
      <c r="E15" s="331" t="s">
        <v>202</v>
      </c>
      <c r="F15" s="331"/>
      <c r="G15" s="331"/>
      <c r="H15" s="331"/>
      <c r="I15" s="331"/>
      <c r="J15" s="332"/>
      <c r="K15" s="31" t="str">
        <f>IF(E15="","入力してください","")</f>
        <v/>
      </c>
    </row>
    <row r="16" spans="1:11" ht="243" customHeight="1" x14ac:dyDescent="0.15">
      <c r="A16" s="31"/>
      <c r="B16" s="340" t="s">
        <v>61</v>
      </c>
      <c r="C16" s="341"/>
      <c r="D16" s="342"/>
      <c r="E16" s="343" t="s">
        <v>203</v>
      </c>
      <c r="F16" s="343"/>
      <c r="G16" s="343"/>
      <c r="H16" s="343"/>
      <c r="I16" s="343"/>
      <c r="J16" s="344"/>
      <c r="K16" s="31" t="str">
        <f>IF(E16="","入力してください","")</f>
        <v/>
      </c>
    </row>
    <row r="17" spans="1:11" ht="7.5" customHeight="1" x14ac:dyDescent="0.15">
      <c r="B17" s="37"/>
      <c r="C17" s="37"/>
      <c r="D17" s="37"/>
      <c r="E17" s="38"/>
      <c r="F17" s="38"/>
      <c r="G17" s="38"/>
      <c r="H17" s="38"/>
      <c r="I17" s="38"/>
      <c r="J17" s="38"/>
    </row>
    <row r="18" spans="1:11" ht="18.75" customHeight="1" x14ac:dyDescent="0.15">
      <c r="A18" s="1" t="s">
        <v>117</v>
      </c>
      <c r="B18" s="4"/>
      <c r="C18" s="37"/>
      <c r="D18" s="37"/>
      <c r="E18" s="38"/>
      <c r="F18" s="92"/>
      <c r="G18" s="345" t="s">
        <v>207</v>
      </c>
      <c r="H18" s="346"/>
      <c r="I18" s="346"/>
      <c r="J18" s="347"/>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1"/>
      <c r="C24" s="101"/>
      <c r="D24" s="101"/>
      <c r="E24" s="101"/>
      <c r="F24" s="101"/>
      <c r="G24" s="101"/>
      <c r="H24" s="101"/>
      <c r="I24" s="101"/>
      <c r="J24" s="101"/>
    </row>
    <row r="25" spans="1:11" ht="22.5" customHeight="1" x14ac:dyDescent="0.15">
      <c r="B25" s="101"/>
      <c r="C25" s="101"/>
      <c r="D25" s="101"/>
      <c r="E25" s="101"/>
      <c r="F25" s="101"/>
      <c r="G25" s="101"/>
      <c r="H25" s="101"/>
      <c r="I25" s="101"/>
      <c r="J25" s="101"/>
    </row>
    <row r="26" spans="1:11" ht="22.5" customHeight="1" x14ac:dyDescent="0.15">
      <c r="B26" s="101"/>
      <c r="C26" s="101"/>
      <c r="D26" s="101"/>
      <c r="E26" s="101"/>
      <c r="F26" s="101"/>
      <c r="G26" s="101"/>
      <c r="H26" s="101"/>
      <c r="I26" s="101"/>
      <c r="J26" s="101"/>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FFFE714B-DC04-4A89-A1A4-E07A78216FF0}"/>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profileuser</cp:lastModifiedBy>
  <cp:lastPrinted>2022-05-11T11:26:28Z</cp:lastPrinted>
  <dcterms:created xsi:type="dcterms:W3CDTF">2011-06-14T05:32:50Z</dcterms:created>
  <dcterms:modified xsi:type="dcterms:W3CDTF">2022-06-16T01:48:47Z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