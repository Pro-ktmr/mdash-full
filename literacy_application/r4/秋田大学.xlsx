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avisfs.jimu.akita-u.ac.jp\DATA\07-13-総合学務課-教務企画担当\250 数理・データサイエンス・ＡＩ教育プログラム認定制度\※R3　申請用データ\"/>
    </mc:Choice>
  </mc:AlternateContent>
  <bookViews>
    <workbookView xWindow="0" yWindow="0" windowWidth="28800" windowHeight="12456" tabRatio="885" activeTab="4"/>
  </bookViews>
  <sheets>
    <sheet name="様式１　大学等概要" sheetId="8" r:id="rId1"/>
    <sheet name="様式２-１国際　プログラムを構成する授業科目" sheetId="39" r:id="rId2"/>
    <sheet name="様式２-２教育　プログラムを構成する授業科目" sheetId="46" r:id="rId3"/>
    <sheet name="様式２-３医学　プログラムを構成する授業科目" sheetId="44" r:id="rId4"/>
    <sheet name="様式２-４理工　プログラムを構成する授業科目" sheetId="45" r:id="rId5"/>
    <sheet name="様式３　履修者等数の実績" sheetId="40" r:id="rId6"/>
    <sheet name="様式４　教育の質・履修者数を向上させるための体制・計画" sheetId="41" r:id="rId7"/>
    <sheet name="様式５　自己点検・評価" sheetId="42" r:id="rId8"/>
  </sheets>
  <definedNames>
    <definedName name="_xlnm._FilterDatabase" localSheetId="1" hidden="1">'様式２-１国際　プログラムを構成する授業科目'!#REF!</definedName>
    <definedName name="_xlnm._FilterDatabase" localSheetId="2" hidden="1">'様式２-２教育　プログラムを構成する授業科目'!#REF!</definedName>
    <definedName name="_xlnm._FilterDatabase" localSheetId="3" hidden="1">'様式２-３医学　プログラムを構成する授業科目'!#REF!</definedName>
    <definedName name="_xlnm._FilterDatabase" localSheetId="4" hidden="1">'様式２-４理工　プログラムを構成する授業科目'!#REF!</definedName>
    <definedName name="_xlnm._FilterDatabase" localSheetId="5" hidden="1">'様式３　履修者等数の実績'!#REF!</definedName>
    <definedName name="_xlnm.Print_Area" localSheetId="0">'様式１　大学等概要'!$A$1:$N$45</definedName>
    <definedName name="_xlnm.Print_Area" localSheetId="1">'様式２-１国際　プログラムを構成する授業科目'!$A$1:$Z$98</definedName>
    <definedName name="_xlnm.Print_Area" localSheetId="2">'様式２-２教育　プログラムを構成する授業科目'!$A$1:$Z$98</definedName>
    <definedName name="_xlnm.Print_Area" localSheetId="3">'様式２-３医学　プログラムを構成する授業科目'!$A$1:$Z$98</definedName>
    <definedName name="_xlnm.Print_Area" localSheetId="4">'様式２-４理工　プログラムを構成する授業科目'!$A$1:$Z$98</definedName>
    <definedName name="_xlnm.Print_Area" localSheetId="5">'様式３　履修者等数の実績'!$A$1:$R$30</definedName>
    <definedName name="_xlnm.Print_Area" localSheetId="6">'様式４　教育の質・履修者数を向上させるための体制・計画'!$A$1:$J$130</definedName>
    <definedName name="_xlnm.Print_Area" localSheetId="7">'様式５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 i="41" l="1"/>
  <c r="C28" i="4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s="1"/>
  <c r="R30" i="40" s="1"/>
  <c r="R10" i="40" l="1"/>
</calcChain>
</file>

<file path=xl/sharedStrings.xml><?xml version="1.0" encoding="utf-8"?>
<sst xmlns="http://schemas.openxmlformats.org/spreadsheetml/2006/main" count="847" uniqueCount="239">
  <si>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</si>
  <si>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</si>
  <si>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</si>
  <si>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</si>
  <si>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</si>
  <si>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</si>
  <si>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</si>
  <si>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</si>
  <si>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</si>
  <si>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</si>
  <si>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</si>
  <si>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</si>
  <si>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</si>
  <si>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</si>
  <si>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</si>
  <si>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</si>
  <si>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</si>
  <si>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</si>
  <si>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</si>
  <si>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</si>
  <si>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</si>
  <si>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</si>
  <si>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</si>
  <si>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</si>
  <si>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</si>
  <si>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</si>
  <si>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</si>
  <si>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</si>
  <si>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</si>
  <si>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</si>
  <si>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</si>
  <si>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</si>
  <si>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</si>
  <si>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</si>
  <si>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</si>
  <si>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</si>
  <si>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</si>
  <si>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</si>
  <si>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</si>
  <si>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</si>
  <si>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</si>
  <si>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</si>
  <si>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</si>
  <si>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</si>
  <si>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</si>
  <si>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</si>
  <si>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</si>
  <si>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</si>
  <si>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</si>
  <si>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</si>
  <si>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</si>
  <si>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総数</t>
    <rPh sb="0" eb="2">
      <t>ソウスウ</t>
    </rPh>
    <phoneticPr fontId="1"/>
  </si>
  <si>
    <t>⑧</t>
    <phoneticPr fontId="1"/>
  </si>
  <si>
    <t>⑬</t>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</si>
  <si>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</si>
  <si>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</si>
  <si>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</si>
  <si>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</si>
  <si>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</si>
  <si>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</si>
  <si>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</si>
  <si>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</si>
  <si>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</si>
  <si>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</si>
  <si>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</si>
  <si>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</si>
  <si>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</si>
  <si>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</si>
  <si>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</si>
  <si>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</si>
  <si>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</si>
  <si>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</si>
  <si>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</si>
  <si>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</si>
  <si>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</si>
  <si>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</si>
  <si>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</si>
  <si>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</si>
  <si>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</si>
  <si>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</si>
  <si>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</si>
  <si>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</si>
  <si>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</si>
  <si>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</si>
  <si>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</si>
  <si>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</si>
  <si>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</si>
  <si>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</si>
  <si>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</si>
  <si>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</si>
  <si>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</si>
  <si>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</si>
  <si>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</si>
  <si>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</si>
  <si>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</si>
  <si>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</si>
  <si>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</si>
  <si>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</si>
  <si>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</si>
  <si>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</si>
  <si>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</si>
  <si>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</si>
  <si>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</si>
  <si>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</si>
  <si>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</si>
  <si>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</si>
  <si>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</si>
  <si>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</si>
  <si>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</si>
  <si>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</si>
  <si>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</si>
  <si>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</si>
  <si>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</si>
  <si>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</si>
  <si>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</si>
  <si>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</si>
  <si>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</si>
  <si>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</si>
  <si>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</si>
  <si>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</si>
  <si>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</si>
  <si>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</si>
  <si>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</si>
  <si>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</si>
  <si>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</si>
  <si>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</si>
  <si>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</si>
  <si>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</si>
  <si>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</si>
  <si>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</si>
  <si>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</si>
  <si>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</si>
  <si>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</si>
  <si>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</si>
  <si>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</si>
  <si>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</si>
  <si>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</si>
  <si>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</si>
  <si>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</si>
  <si>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</si>
  <si>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</si>
  <si>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</si>
  <si>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</si>
  <si>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</si>
  <si>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</si>
  <si>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</si>
  <si>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秋田大学</t>
    <rPh sb="0" eb="2">
      <t>アキタ</t>
    </rPh>
    <rPh sb="2" eb="4">
      <t>ダイガク</t>
    </rPh>
    <phoneticPr fontId="1"/>
  </si>
  <si>
    <t>国立大学法人秋田大学</t>
    <phoneticPr fontId="1"/>
  </si>
  <si>
    <t>国立大学</t>
  </si>
  <si>
    <t>秋田県秋田市手形学園町１番１号</t>
    <phoneticPr fontId="1"/>
  </si>
  <si>
    <t>地域におけるDX推進プログラム</t>
    <phoneticPr fontId="1"/>
  </si>
  <si>
    <t>令和３</t>
    <phoneticPr fontId="1"/>
  </si>
  <si>
    <t>無</t>
  </si>
  <si>
    <t>後藤　猛</t>
    <phoneticPr fontId="1"/>
  </si>
  <si>
    <t>理事（教育・学生・国際担当）・副学長</t>
    <rPh sb="0" eb="2">
      <t>リジ</t>
    </rPh>
    <rPh sb="3" eb="5">
      <t>キョウイク</t>
    </rPh>
    <rPh sb="6" eb="8">
      <t>ガクセイ</t>
    </rPh>
    <rPh sb="9" eb="11">
      <t>コクサイ</t>
    </rPh>
    <rPh sb="11" eb="13">
      <t>タントウ</t>
    </rPh>
    <rPh sb="15" eb="18">
      <t>フクガクチョウ</t>
    </rPh>
    <phoneticPr fontId="1"/>
  </si>
  <si>
    <t>学務系委員長会議</t>
    <rPh sb="0" eb="8">
      <t>ガクムケイイインチョウカイギ</t>
    </rPh>
    <phoneticPr fontId="1"/>
  </si>
  <si>
    <t>上田　晴彦</t>
    <rPh sb="0" eb="2">
      <t>ウエダ</t>
    </rPh>
    <rPh sb="3" eb="5">
      <t>ハルヒコ</t>
    </rPh>
    <phoneticPr fontId="1"/>
  </si>
  <si>
    <t>教育推進主管</t>
    <rPh sb="0" eb="2">
      <t>キョウイク</t>
    </rPh>
    <rPh sb="2" eb="4">
      <t>スイシン</t>
    </rPh>
    <rPh sb="4" eb="6">
      <t>シュカン</t>
    </rPh>
    <phoneticPr fontId="1"/>
  </si>
  <si>
    <t>認定教育プログラム</t>
  </si>
  <si>
    <t>総合学務課</t>
    <rPh sb="0" eb="2">
      <t>ソウゴウ</t>
    </rPh>
    <rPh sb="2" eb="5">
      <t>ガクムカ</t>
    </rPh>
    <phoneticPr fontId="1"/>
  </si>
  <si>
    <t>伊藤昌之</t>
    <rPh sb="0" eb="2">
      <t>イトウ</t>
    </rPh>
    <rPh sb="2" eb="4">
      <t>マサユキ</t>
    </rPh>
    <phoneticPr fontId="1"/>
  </si>
  <si>
    <t>kyomusom@jimu.akita-u.ac.jp</t>
    <phoneticPr fontId="1"/>
  </si>
  <si>
    <t>018-889-3191</t>
    <phoneticPr fontId="1"/>
  </si>
  <si>
    <t>学部・学科によって、修了要件は相違する</t>
  </si>
  <si>
    <t>　国際資源学部では、プログラムを構成する「情報と知識・技術Ⅰ」の１単位を取得すること。また、「基礎情報学、基礎ＡＩ学、基礎データサイエンス学Ⅰ、基礎データサイエンス学Ⅱ」のうち１単位を取得し、 合計　２単位以上を取得すること。</t>
    <phoneticPr fontId="1"/>
  </si>
  <si>
    <t>情報と知識・技術Ⅰ</t>
    <phoneticPr fontId="1"/>
  </si>
  <si>
    <t>全学開講</t>
  </si>
  <si>
    <t>○</t>
  </si>
  <si>
    <t>基礎情報学</t>
    <rPh sb="0" eb="2">
      <t>キソ</t>
    </rPh>
    <rPh sb="2" eb="5">
      <t>ジョウホウガク</t>
    </rPh>
    <phoneticPr fontId="1"/>
  </si>
  <si>
    <t>一部開講</t>
  </si>
  <si>
    <t>基礎ＡＩ学</t>
    <rPh sb="0" eb="2">
      <t>キソ</t>
    </rPh>
    <rPh sb="4" eb="5">
      <t>ガク</t>
    </rPh>
    <phoneticPr fontId="1"/>
  </si>
  <si>
    <t>基礎データサイエンス学Ⅰ</t>
    <phoneticPr fontId="1"/>
  </si>
  <si>
    <t>基礎データサイエンス学Ⅱ</t>
  </si>
  <si>
    <t>・データ量の増加、計算機の処理性能の向上、AIの非連続的進化「情報と知識・技術Ⅰ」（１回目）
・第4次産業革命、Society 5.0、データ駆動型社会「情報と知識・技術Ⅰ」（１回目）
・複数技術を組み合わせたAIサービス「情報と知識・技術Ⅰ」（１回目）
・人間の知的活動とAIの関係性「情報と知識・技術Ⅰ」（１回目）</t>
    <rPh sb="43" eb="45">
      <t>カイメ</t>
    </rPh>
    <phoneticPr fontId="1"/>
  </si>
  <si>
    <t>・AI等を活用した新しいビジネスモデル(シェアリングエコノミー、商品のレコメンデーションなど)「情報と知識・技術Ⅰ」（２回目）
・AI最新技術の活用例（深層生成モデル、敵対的生成ネットワーク、強化学習、転移学習など）「情報と知識・技術Ⅰ」（２回目）</t>
  </si>
  <si>
    <t>・構造化データ、非構造化データ（文章、画像/動画、音声/音楽など）「情報と知識・技術Ⅰ」（３回目）
・データ作成（ビッグデータとアノテーション）「情報と知識・技術Ⅰ」（３回目）
・データのオープン化（オープンデータ）　「情報と知識・技術Ⅰ」（３回目）</t>
  </si>
  <si>
    <t>・データ・AI活用領域の広がり(生産、消費、文化活動など)「情報と知識・技術Ⅰ」（４回目）
・研究開発、調達、製造、物流、販売、マーケティング、サービスなど「情報と知識・技術Ⅰ」（４回目）
・仮説検証、知識発見、原因究明、計画策定、判断支援、活動代替、新規生成など「情報と知識・技術Ⅰ」（４回目）</t>
  </si>
  <si>
    <t>・ELSI（Ethical, Legal and Social Issues）「情報と知識・技術Ⅰ」（７回目）
・個人情報保護、EU一般データ保護規則(GDPR)、忘れられる権利、オプトアウト「情報と知識・技術Ⅰ」（７回目）
・データ倫理：データのねつ造、改ざん、盗用、プライバシー保護「情報と知識・技術Ⅰ」（７回目）</t>
  </si>
  <si>
    <t>・情報セキュリティ：機密性、完全性、可用性「情報と知識・技術Ⅰ」（８回目）
・匿名加工情報、暗号化、パスワード、悪意ある情報搾取「情報と知識・技術Ⅰ」（８回目）</t>
  </si>
  <si>
    <t>・データの種類（量的変数、質的変数）「基礎情報学」（２回目），「基礎ＡＩ学」（１回目），「基礎データサイエンス学Ⅰ」（２回目）
・データのばらつき（分散、標準偏差、偏差値）「基礎データサイエンス学Ⅰ」（２回目）
・データの分布(ヒストグラム)と代表値（平均値、中央値、最頻値）「基礎データサイエンス学Ⅰ」（２回目）
・相関と因果（相関係数、擬似相関、交絡）「基礎データサイエンス学Ⅰ」（５回目）
・クロス集計表、分割表、相関係数行列、散布図行列「基礎データサイエンス学Ⅱ」（７回目）</t>
    <rPh sb="40" eb="42">
      <t>カイメ</t>
    </rPh>
    <rPh sb="60" eb="61">
      <t>カイ</t>
    </rPh>
    <rPh sb="61" eb="62">
      <t>メ</t>
    </rPh>
    <phoneticPr fontId="1"/>
  </si>
  <si>
    <t>・データ解析ツール「基礎情報学」（８回目），「基礎ＡＩ学」（１回目），「基礎データサイエンス学Ⅰ」（２回目），「基礎データサイエンス学Ⅱ」（７回目）</t>
  </si>
  <si>
    <t>　現代社会における情報化の急速な進展により、多種多様で膨大なデータが身の回りにあふれている状態となった。本教育プログラムを通じて、リベラルアーツ教育の一環としてのデータサイエンスの位置づけを理解し、その基本的知識を身につけられる。さらに、データサイエンスに関連する様々な技術について理解し、現代社会を構成する市民・国民としてふさわしい活動ができる基礎知識が習得できる。</t>
    <phoneticPr fontId="1"/>
  </si>
  <si>
    <t>https://www.akita-u.ac.jp/kcenter/system.html</t>
    <phoneticPr fontId="1"/>
  </si>
  <si>
    <t>国際資源学部</t>
    <rPh sb="0" eb="2">
      <t>コクサイ</t>
    </rPh>
    <rPh sb="2" eb="4">
      <t>シゲン</t>
    </rPh>
    <rPh sb="4" eb="6">
      <t>ガクブ</t>
    </rPh>
    <phoneticPr fontId="1"/>
  </si>
  <si>
    <t>教育文化学部</t>
    <rPh sb="0" eb="2">
      <t>キョウイク</t>
    </rPh>
    <rPh sb="2" eb="4">
      <t>ブンカ</t>
    </rPh>
    <rPh sb="4" eb="6">
      <t>ガクブ</t>
    </rPh>
    <phoneticPr fontId="1"/>
  </si>
  <si>
    <t>医学部</t>
    <rPh sb="0" eb="3">
      <t>イガクブ</t>
    </rPh>
    <phoneticPr fontId="1"/>
  </si>
  <si>
    <t>理工学部</t>
    <rPh sb="0" eb="2">
      <t>リコウ</t>
    </rPh>
    <rPh sb="2" eb="4">
      <t>ガクブ</t>
    </rPh>
    <phoneticPr fontId="1"/>
  </si>
  <si>
    <t>秋田大学高等教育グローバルセンター学務系委員長会議設置要項</t>
    <phoneticPr fontId="1"/>
  </si>
  <si>
    <t>　各中期目標・中期計画期間中の全学的な教育関係の中期計画を着実に実施するため、高等教育グローバルセンターに学務系委員長会議を置いている。
　本会議において、数理・データサイエンス・AI教育における教育の質・履修者数を向上させるための方策を審議する。</t>
    <phoneticPr fontId="1"/>
  </si>
  <si>
    <t>教育推進主管
・教育文化学部・教授　上田晴彦
各学部等の学務系委員長
・国際資源学研究科・教授（教育学生委員長）　縄田浩志
・教育文化学部・教授（教務学生委員長）　大橋純一
・医学系研究科医学専攻・教授（学務委員会委員長）　高橋直人
・医学系研究科保健学専攻・教授（学務委員会委員長）　吉岡年明
・理工学研究科・教授（学務委員長）　奥山栄樹
　教育推進主管とは、秋田大学における教養基礎教育のとりまとめを行う役職である。また、各学部の学務をとりしきる委員会の委員長を委員としているため、本会議で審議した数理・データサイエンス・AI教育に係る質の向上のための方策を、すぐに学部の教育運営に反映させることができる。</t>
    <phoneticPr fontId="1"/>
  </si>
  <si>
    <t>　BYODの導入とともに、授業におけるＰＣの利活用を推進する中で、学生のデータサイエンスに係る意識を高めている。なお、現在リテラシー科目の必修化または選択必修化を検討中であり、これを以て、数理・データサイエンス・AI教育に対する学生の意識向上につなげることとする。
　また、学生向け掲示板a・netや、学部ガイダンスにおける周知を行うことで、「数理/データサイエンス/AI」が、今後の社会における「読み/書き/そろばん」であることを確認させ、履修を促すよう取り組んでいる。</t>
    <phoneticPr fontId="1"/>
  </si>
  <si>
    <t>　全学生が履修可能である教養教育科目の中に、「情報と知識・技術Ⅰ」の科目を設定し、オンデマンドにて開講することとした（なお、当該授業終了後、すみやかに課題の提出や指導を併せて行うことで、対面授業と同じだけの教育効果を生むよう整備している）。
　また、本教育プログラムの授業は、LMS上で展開されており、多くの学生がいつでも授業の内容について閲覧が可能な環境を構築している。</t>
    <phoneticPr fontId="1"/>
  </si>
  <si>
    <t>　本教育プログラムについては、授業コンテンツはLMSで管理している。学生は、授業時間外に、LMSや電子メール等を通じて、担当教員に不明点、質問等を問い合わせることができるようになっている。
　また、情報関連の質問教室を現在一部の学部向けに実施しているが、今後全学展開していく予定である。</t>
    <phoneticPr fontId="1"/>
  </si>
  <si>
    <t>学務系委員長会議において、プログラムの履修・修得状況の報告を定期的に行い、学生の出席状況や授業の進行状況を把握している。また、LMSを活用し、受講者ごとに課題の提出状況や進捗状況を把握することができる。これらの点検をもとに、次期開講のクラス編成や授業実施形態などの改善に結び付けている。</t>
    <phoneticPr fontId="1"/>
  </si>
  <si>
    <t>毎回の授業において、小テストを課題として課している。その実施状況および正答率などにより、本講義受講者・授業担当者の両者が授業内容に対する理解度を確認している。</t>
    <phoneticPr fontId="1"/>
  </si>
  <si>
    <t>受講生全員に対し授業アンケートを実施しており、その結果を学務系委員長会議で分析・検証する体制を整えている。アンケートでは、定量的評価を目的とした多肢選択式項目に加え、自由記述項目も設けており、「講義履修後に、フィッシングメールに遭遇したが、落ち着いて対応できた。」「どんどん情報化が進展している今日の状況をAIなどの観点から知ることができて面白かった。」「データサイエンスについての基礎が分かりやすく説明されていて、ためになった。」「AIなどの実際の活用事例がたくさん紹介されていたことで、理解が深まったと感じる。」など、本授業内容を理解した結果が、普段の行動に反映されている様子が確認できた。</t>
    <phoneticPr fontId="1"/>
  </si>
  <si>
    <t>本教育プログラム受講者全員に対して授業評価アンケートを実施しており、授業全体の満足度、説明のわかりやすさ、シラバスのわかりやすさなどを調査し、後輩等への学生の推奨度が上がるよう改善をしている。また全教養教育科目では、「学生からの評価が高い科目」を全学生に公開しているので、当該授業の評価が高くなれば、次年度履修生への推奨度が上がることになる。</t>
    <phoneticPr fontId="1"/>
  </si>
  <si>
    <t>　令和3年度には、数理・データサイエンス・AI教育ワーキンググループにおいて、リテラシー科目の基軸となる「情報と知識・技術Ⅰ」の開講計画を進め、１科目でリテラシーに関する知識をある程度把握できる体制を構築した。
　さらに、令和3年度から、必修化または選択必修化に向けて検討を始めており、履修者数及び履修率向上に向け、着実に前進している。</t>
    <phoneticPr fontId="1"/>
  </si>
  <si>
    <t>　本教育プログラムの修了認定者の名簿を適切に管理する体制を整備している。これにより、卒業予定者アンケート、進路・就職状況等、本学で収集している各種データとの照合が可能となり、追跡調査も効率的に行うことができる。なお、現時点では本教育プログラムを修了した卒業生はまだいないが、１期生卒業以降、地元の民間企業、地方公共団体等の就職先に対して「教育成果の検証アンケート」を実施し、本プログラム修了生の活躍状況や評価を調査することにしている。</t>
    <phoneticPr fontId="1"/>
  </si>
  <si>
    <t>　秋田大学では、秋田デジタルイノベーション推進コンソーシアムと連携し、地元企業・自治体と懇談の場を設け、情報交換や意見交換を行っている。その中で、データサイエンスやAIのリテラシー教育について、本学の教育に期待することや、社会に出てから必要となる知識・能力について情報収集している。参加企業、自治体からは、秋田大学の取り組みに高い期待が寄せられ、好意的に受け止められている。今後もコンソーシアムの場で定期的に意見を収集できる体制を整えている。</t>
    <phoneticPr fontId="1"/>
  </si>
  <si>
    <t>　本教育プログラムは各学部の数理・データサイエンス・AI教育担当教員が担当となり、「情報と知識・技術Ⅰ」の講義を行っている。動画コンテンツを利用することによりモデルカリキュラムリテラシーレベルに準じた内容を展開するとともに、数理・データサイエンス・AIが学生が所属する学部の領域で活用されている最新の事例、実例などを取り上げ、学生にとっては興味を持ちやすい内容となっている。</t>
    <phoneticPr fontId="1"/>
  </si>
  <si>
    <t xml:space="preserve">　受講のための前提知識を、全学共通のレベルに抑える一方、講義資料を充実させ、知識が少ない人は資料を読んで補うことができるように、また、知識がある人は読み飛ばすことができるように工夫している。さらに、数式を多用して重要事項を説明するのではなく、図やグラフ等を用い、視覚的にも理解が進むようにスライド資料を工夫している。
　また、身近な事項を考察の対象とした方が理解が進みやすいため、令和３年度には、スポーツ、将棋、物流および製造業、公共サービス、金融、ヘルスケアの各分野を取りあげ、その応用事例を学ぶなど工夫している。こうした工夫の効果は、アンケートや課題提出時の感想等をもとに検証し、授業改善に繋げている。
</t>
    <phoneticPr fontId="1"/>
  </si>
  <si>
    <t>情報学入門</t>
    <rPh sb="0" eb="3">
      <t>ジョウホウガク</t>
    </rPh>
    <rPh sb="3" eb="5">
      <t>ニュウモン</t>
    </rPh>
    <phoneticPr fontId="1"/>
  </si>
  <si>
    <t>ＡＩ学入門</t>
    <rPh sb="2" eb="3">
      <t>ガク</t>
    </rPh>
    <rPh sb="3" eb="5">
      <t>ニュウモン</t>
    </rPh>
    <phoneticPr fontId="1"/>
  </si>
  <si>
    <t>データサイエンス学入門Ⅰ</t>
    <rPh sb="8" eb="9">
      <t>ガク</t>
    </rPh>
    <rPh sb="9" eb="11">
      <t>ニュウモン</t>
    </rPh>
    <phoneticPr fontId="1"/>
  </si>
  <si>
    <t>データサイエンス学入門Ⅱ</t>
    <rPh sb="8" eb="9">
      <t>ガク</t>
    </rPh>
    <rPh sb="9" eb="11">
      <t>ニュウモン</t>
    </rPh>
    <phoneticPr fontId="1"/>
  </si>
  <si>
    <t xml:space="preserve">　医学部では、プログラムを構成する「情報と知識・技術Ⅰ」の１単位を取得すること。また、「情報学入門、AI学入門、データサイエンス学入門Ⅰ、データサイエンス学入門Ⅱ」のうち１単位を取得し、 合計　２単位以上を取得すること。
</t>
    <phoneticPr fontId="1"/>
  </si>
  <si>
    <t xml:space="preserve">　教育文化学部では、プログラムを構成する「情報と知識・技術Ⅰ」の１単位を取得すること。また、「基礎情報学、基礎ＡＩ学、基礎データサイエンス学Ⅰ、基礎データサイエンス学Ⅱ、情報学入門、AI学入門、データサイエンス学入門Ⅰ、データサイエンス学入門Ⅱ」のうち１単位を取得し、 合計　２単位以上を取得すること。
</t>
    <phoneticPr fontId="1"/>
  </si>
  <si>
    <t>データサイエンス学入門Ⅱ</t>
    <phoneticPr fontId="1"/>
  </si>
  <si>
    <t>　理工学部では、プログラムを構成する「情報と知識・技術Ⅰ」の１単位を取得すること。また、「基礎情報学、基礎ＡＩ学、基礎データサイエンス学Ⅰ、基礎データサイエンス学Ⅱ」のうち１単位を取得し、 合計　２単位以上を取得すること。
※科目名称のＡ～Ｃの記号はクラス別を意味する。</t>
    <phoneticPr fontId="1"/>
  </si>
  <si>
    <t>　目標を実現するために、令和3年度には、数理・データサイエンス・AI教育ワーキンググループにおいて、リテラシー科目の基軸となる「情報と知識・技術Ⅰ」の開講計画を進め、１科目でリテラシーに関する知識をおおよそ把握できる授業体制を構築した。なお「情報と知識・技術Ⅰ」はオンデマンド型授業として開講しており、各人の時間割に影響を受けることなく自由に受講できる体制を敷いている。
　これにより、数理・データサイエンス・AI教育における全学生の履修しやすい状況となっている。
　さらに令和3年度末から全学的に必修化する方向で検討を始めており、選択科目を既存の必修科目でカバーするなどの工夫を凝らして、全学生が無理なく受講し単位を取得できる体制を設計中である。令和４年度は引き続き、選択科目を既存の必修科目でカバーすることが可能か検討する。令和５年度には、選択科目を既存の必修科目でカバーする体制にて学生が履修する予定である。
　令和６年度には、新学部が新設される予定であるので、それを踏まえた全学カリキュラムの整理を行い、令和７年度にはカリキュラムを運用しつつ問題点を洗い出すことで、目標達成に向けた検証を行う。</t>
    <rPh sb="138" eb="139">
      <t>ガタ</t>
    </rPh>
    <rPh sb="139" eb="141">
      <t>ジュギョウ</t>
    </rPh>
    <rPh sb="144" eb="146">
      <t>カイコウ</t>
    </rPh>
    <rPh sb="151" eb="153">
      <t>カクジン</t>
    </rPh>
    <rPh sb="154" eb="157">
      <t>ジカンワリ</t>
    </rPh>
    <rPh sb="158" eb="160">
      <t>エイキョウ</t>
    </rPh>
    <rPh sb="161" eb="162">
      <t>ウ</t>
    </rPh>
    <rPh sb="168" eb="170">
      <t>ジユウ</t>
    </rPh>
    <rPh sb="171" eb="173">
      <t>ジュコウ</t>
    </rPh>
    <rPh sb="176" eb="178">
      <t>タイセイ</t>
    </rPh>
    <rPh sb="179" eb="180">
      <t>シ</t>
    </rPh>
    <rPh sb="242" eb="243">
      <t>マツ</t>
    </rPh>
    <rPh sb="245" eb="248">
      <t>ゼンガクテキ</t>
    </rPh>
    <rPh sb="254" eb="256">
      <t>ホウコウ</t>
    </rPh>
    <rPh sb="260" eb="261">
      <t>ハジ</t>
    </rPh>
    <rPh sb="266" eb="270">
      <t>センタクカモク</t>
    </rPh>
    <rPh sb="271" eb="273">
      <t>キゾン</t>
    </rPh>
    <rPh sb="274" eb="278">
      <t>ヒッシュウカモク</t>
    </rPh>
    <rPh sb="287" eb="289">
      <t>クフウ</t>
    </rPh>
    <rPh sb="290" eb="291">
      <t>コ</t>
    </rPh>
    <rPh sb="295" eb="296">
      <t>ゼン</t>
    </rPh>
    <rPh sb="296" eb="298">
      <t>ガクセイ</t>
    </rPh>
    <rPh sb="299" eb="301">
      <t>ムリ</t>
    </rPh>
    <rPh sb="303" eb="305">
      <t>ジュコウ</t>
    </rPh>
    <rPh sb="306" eb="308">
      <t>タンイ</t>
    </rPh>
    <rPh sb="309" eb="311">
      <t>シュトク</t>
    </rPh>
    <rPh sb="314" eb="316">
      <t>タイセイ</t>
    </rPh>
    <rPh sb="317" eb="320">
      <t>セッケイチュウ</t>
    </rPh>
    <rPh sb="324" eb="326">
      <t>レイワ</t>
    </rPh>
    <rPh sb="327" eb="329">
      <t>ネンド</t>
    </rPh>
    <rPh sb="330" eb="331">
      <t>ヒ</t>
    </rPh>
    <rPh sb="332" eb="333">
      <t>ツヅ</t>
    </rPh>
    <rPh sb="335" eb="339">
      <t>センタクカモク</t>
    </rPh>
    <rPh sb="340" eb="342">
      <t>キゾン</t>
    </rPh>
    <rPh sb="343" eb="347">
      <t>ヒッシュウカモク</t>
    </rPh>
    <rPh sb="356" eb="358">
      <t>カノウ</t>
    </rPh>
    <rPh sb="359" eb="361">
      <t>ケントウ</t>
    </rPh>
    <rPh sb="364" eb="366">
      <t>レイワ</t>
    </rPh>
    <rPh sb="367" eb="369">
      <t>ネンド</t>
    </rPh>
    <rPh sb="390" eb="392">
      <t>タイセイ</t>
    </rPh>
    <rPh sb="394" eb="396">
      <t>ガクセイ</t>
    </rPh>
    <rPh sb="397" eb="399">
      <t>リシュウ</t>
    </rPh>
    <rPh sb="401" eb="403">
      <t>ヨテイ</t>
    </rPh>
    <rPh sb="409" eb="411">
      <t>レイワ</t>
    </rPh>
    <rPh sb="412" eb="414">
      <t>ネンド</t>
    </rPh>
    <rPh sb="417" eb="420">
      <t>シンガクブ</t>
    </rPh>
    <rPh sb="421" eb="423">
      <t>シンセツ</t>
    </rPh>
    <rPh sb="426" eb="428">
      <t>ヨテイ</t>
    </rPh>
    <rPh sb="437" eb="438">
      <t>フ</t>
    </rPh>
    <rPh sb="441" eb="443">
      <t>ゼンガク</t>
    </rPh>
    <rPh sb="450" eb="452">
      <t>セイリ</t>
    </rPh>
    <rPh sb="453" eb="454">
      <t>オコナ</t>
    </rPh>
    <rPh sb="456" eb="458">
      <t>レイワ</t>
    </rPh>
    <rPh sb="459" eb="461">
      <t>ネンド</t>
    </rPh>
    <phoneticPr fontId="1"/>
  </si>
  <si>
    <t>・データサイエンスのサイクル（課題抽出と定式化、データの取得・管理・加工、探索的データ解析、データ解析と推論、結果の共有・伝達、課題解決に向けた提案）「情報と知識・技術Ⅰ」（６回目）
・流通、製造、金融、サービス、インフラ、公共、ヘルスケア等におけるデータ・AI利活用事例紹介「情報と知識・技術Ⅰ」（６回目）</t>
    <phoneticPr fontId="1"/>
  </si>
  <si>
    <t>・データ解析：予測、グルーピング、パターン発見、最適化、シミュレーション・データ同化など「情報と知識・技術Ⅰ」（５回目）
・データ可視化：複合グラフ、2軸グラフ、多次元の可視化、関係性の可視化、地図上の可視化、挙動・軌跡の可視化、リアルタイム可視化など「情報と知識・技術Ⅰ」（５回目）</t>
    <phoneticPr fontId="1"/>
  </si>
  <si>
    <t>様式２－１</t>
    <phoneticPr fontId="1"/>
  </si>
  <si>
    <t>様式２－２</t>
    <phoneticPr fontId="1"/>
  </si>
  <si>
    <t>・データ解析：予測、グルーピング、パターン発見、最適化、シミュレーション・データ同化など「情報と知識・技術Ⅰ」（５回目）
・データ可視化：複合グラフ、2軸グラフ、多次元の可視化、関係性の可視化、地図上の可視化、挙動・軌跡の可視化、リアルタイム可視化など「情報と知識・技術Ⅰ」（５回目）</t>
    <phoneticPr fontId="1"/>
  </si>
  <si>
    <t>・データサイエンスのサイクル（課題抽出と定式化、データの取得・管理・加工、探索的データ解析、データ解析と推論、結果の共有・伝達、課題解決に向けた提案）「情報と知識・技術Ⅰ」（６回目）
・流通、製造、金融、サービス、インフラ、公共、ヘルスケア等におけるデータ・AI利活用事例紹介「情報と知識・技術Ⅰ」（６回目）</t>
    <phoneticPr fontId="1"/>
  </si>
  <si>
    <t>様式２－３</t>
    <phoneticPr fontId="1"/>
  </si>
  <si>
    <t>・データ解析ツール「情報学入門」（７回目），「AI学入門」（３回目），「データサイエンス学入門Ⅰ」（３回目），「データサイエンス学入門Ⅱ」（７回目）</t>
    <phoneticPr fontId="1"/>
  </si>
  <si>
    <t>・データ表現「情報学入門」（４回目），「データサイエンス学入門Ⅰ」（３回目），「データサイエンス学入門Ⅱ」（７回目）
・データの図表表現「AI学入門」（４，５，６回目）</t>
    <rPh sb="81" eb="83">
      <t>カイメ</t>
    </rPh>
    <phoneticPr fontId="1"/>
  </si>
  <si>
    <t>・データの種類（量的変数、質的変数）「基礎情報学」（２回目），「基礎ＡＩ学」（１回目），「基礎データサイエンス学Ⅰ」（２回目），「情報学入門」（３回目），「AI学入門」（１回目），「データサイエンス学入門Ⅰ」（３回目），「データサイエンス学入門Ⅱ」（３回目）
・データのばらつき（分散、標準偏差、偏差値）「基礎データサイエンス学Ⅰ」（２回目），「データサイエンス学入門Ⅰ」（５回目）
・データの分布(ヒストグラム)と代表値（平均値、中央値、最頻値）「基礎データサイエンス学Ⅰ」（２回目）
・相関と因果（相関係数、擬似相関、交絡）「基礎データサイエンス学Ⅰ」（５回目）
・クロス集計表、分割表、相関係数行列、散布図行列「基礎データサイエンス学Ⅱ」（７回目）</t>
    <rPh sb="40" eb="42">
      <t>カイメ</t>
    </rPh>
    <rPh sb="60" eb="61">
      <t>カイ</t>
    </rPh>
    <rPh sb="61" eb="62">
      <t>メ</t>
    </rPh>
    <phoneticPr fontId="1"/>
  </si>
  <si>
    <t>・データの種類（量的変数、質的変数）「情報学入門」（３回目），「AI学入門」（１回目），「データサイエンス学入門Ⅰ」（３回目），「データサイエンス学入門Ⅱ」（３回目）
・データのばらつき（分散、標準偏差、偏差値）「データサイエンス学入門Ⅰ」（５回目）</t>
    <rPh sb="22" eb="24">
      <t>ニュウモン</t>
    </rPh>
    <rPh sb="40" eb="42">
      <t>カイメ</t>
    </rPh>
    <rPh sb="60" eb="61">
      <t>カイ</t>
    </rPh>
    <rPh sb="61" eb="62">
      <t>メ</t>
    </rPh>
    <phoneticPr fontId="1"/>
  </si>
  <si>
    <t>・データ表現「基礎データサイエンス学Ⅰ」（３回目），「情報学入門」（４回目），「データサイエンス学入門Ⅰ」（３回目），「データサイエンス学入門Ⅱ」（７回目）
・データの図表表現「基礎ＡＩ学」（１回目），「AI学入門」（４，５，６回目）
・優れた可視化事例の紹介（可視化することによって新たな気づきがあった事例など）「基礎情報学」（８回目），「基礎データサイエンス学Ⅱ」（７回目）</t>
    <rPh sb="97" eb="99">
      <t>カイメ</t>
    </rPh>
    <phoneticPr fontId="1"/>
  </si>
  <si>
    <t>・データ解析ツール「基礎情報学」（８回目），「基礎ＡＩ学」（１回目），「基礎データサイエンス学Ⅰ」（２回目），「基礎データサイエンス学Ⅱ」（７回目），「情報学入門」（７回目），「AI学入門」（３回目），「データサイエンス学入門Ⅰ」（３回目），「データサイエンス学入門Ⅱ」（７回目）</t>
    <phoneticPr fontId="1"/>
  </si>
  <si>
    <t>・データ表現「基礎データサイエンス学Ⅰ」（３回目）
・データの図表表現「基礎ＡＩ学」（１回目）
・優れた可視化事例の紹介（可視化することによって新たな気づきがあった事例など）「基礎情報学」（８回目），「基礎データサイエンス学Ⅱ」（７回目）</t>
    <rPh sb="44" eb="46">
      <t>カイメ</t>
    </rPh>
    <phoneticPr fontId="1"/>
  </si>
  <si>
    <t>様式２－４</t>
    <phoneticPr fontId="1"/>
  </si>
  <si>
    <t>基礎情報学A</t>
    <rPh sb="0" eb="2">
      <t>キソ</t>
    </rPh>
    <rPh sb="2" eb="5">
      <t>ジョウホウガク</t>
    </rPh>
    <phoneticPr fontId="1"/>
  </si>
  <si>
    <t>基礎情報学B</t>
    <rPh sb="0" eb="2">
      <t>キソ</t>
    </rPh>
    <rPh sb="2" eb="5">
      <t>ジョウホウガク</t>
    </rPh>
    <phoneticPr fontId="1"/>
  </si>
  <si>
    <t>基礎情報学C</t>
    <rPh sb="0" eb="2">
      <t>キソ</t>
    </rPh>
    <rPh sb="2" eb="5">
      <t>ジョウホウガク</t>
    </rPh>
    <phoneticPr fontId="1"/>
  </si>
  <si>
    <t>基礎ＡＩ学A</t>
    <phoneticPr fontId="1"/>
  </si>
  <si>
    <t>基礎ＡＩ学B</t>
    <phoneticPr fontId="1"/>
  </si>
  <si>
    <t>基礎ＡＩ学C</t>
    <phoneticPr fontId="1"/>
  </si>
  <si>
    <t>基礎データサイエンス学ⅠA</t>
    <phoneticPr fontId="1"/>
  </si>
  <si>
    <t>基礎データサイエンス学ⅠB</t>
    <phoneticPr fontId="1"/>
  </si>
  <si>
    <t>基礎データサイエンス学ⅠC</t>
    <phoneticPr fontId="1"/>
  </si>
  <si>
    <t>基礎データサイエンス学ⅡA</t>
    <phoneticPr fontId="1"/>
  </si>
  <si>
    <t>基礎データサイエンス学ⅡB</t>
    <phoneticPr fontId="1"/>
  </si>
  <si>
    <t>基礎データサイエンス学ⅡC</t>
    <phoneticPr fontId="1"/>
  </si>
  <si>
    <t>　全学生が履修可能である教養教育科目の中に、「情報と知識・技術Ⅰ」の科目を設定し、オンデマンドで開講することととした（なお、当該授業終了後、すみやかに課題の提出や指導を併せ行うことで、対面授業と同じだけの教育効果を生むよう整備している）。
　「情報と知識・技術Ⅰ」の科目内容としては、審査項目（１）～（４）の項目を網羅する内容となっており、審査項目（５）の内容を行う「基礎情報学（情報学入門）」「基礎ＡＩ学（ＡＩ学入門）」「基礎データサイエンス学Ⅰ・Ⅱ（データサイエンス学入門Ⅰ・Ⅱ）」は、全ての学部において、開講されている科目である。
　このような体制の下、数理・データサイエンス・AI教育における審査項目の内容を全て網羅した形で、授業を開講している。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</si>
</sst>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3" fillId="0" borderId="0" xfId="0" applyFont="1" applyAlignment="1">
      <alignment horizontal="center"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Border="1" applyAlignment="1">
      <alignment horizontal="center" vertical="center"/>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center" wrapText="1"/>
    </xf>
    <xf numFmtId="0" fontId="18" fillId="0" borderId="0" xfId="0" applyFont="1" applyAlignment="1">
      <alignment vertical="top" wrapText="1"/>
    </xf>
    <xf numFmtId="0" fontId="18" fillId="0" borderId="20" xfId="0" applyFont="1" applyBorder="1" applyAlignment="1">
      <alignment vertical="top" shrinkToFit="1"/>
    </xf>
    <xf numFmtId="0" fontId="18" fillId="0" borderId="18" xfId="0" applyFont="1" applyBorder="1" applyAlignment="1">
      <alignment vertical="top" shrinkToFit="1"/>
    </xf>
    <xf numFmtId="49" fontId="20"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2"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Fill="1" applyBorder="1" applyAlignment="1">
      <alignment vertical="center" wrapText="1" shrinkToFit="1"/>
    </xf>
    <xf numFmtId="0" fontId="9" fillId="0" borderId="20" xfId="0" applyFont="1" applyFill="1" applyBorder="1" applyAlignment="1">
      <alignment vertical="center" wrapText="1" shrinkToFit="1"/>
    </xf>
    <xf numFmtId="0" fontId="9" fillId="0" borderId="18" xfId="0" applyFont="1" applyFill="1" applyBorder="1" applyAlignment="1">
      <alignmen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9" xfId="0" applyFont="1" applyFill="1" applyBorder="1" applyAlignment="1">
      <alignment vertical="center" wrapText="1" shrinkToFit="1"/>
    </xf>
    <xf numFmtId="0" fontId="9" fillId="0" borderId="38" xfId="0" applyFont="1" applyFill="1" applyBorder="1" applyAlignment="1">
      <alignment vertical="center" wrapText="1" shrinkToFit="1"/>
    </xf>
    <xf numFmtId="0" fontId="9" fillId="0" borderId="6" xfId="0" applyFont="1" applyFill="1" applyBorder="1" applyAlignment="1">
      <alignment vertical="center" wrapText="1" shrinkToFit="1"/>
    </xf>
    <xf numFmtId="0" fontId="9" fillId="0" borderId="12" xfId="0" applyFont="1" applyFill="1" applyBorder="1" applyAlignment="1">
      <alignment vertical="center" wrapText="1" shrinkToFi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7" fillId="0" borderId="0" xfId="0" applyFont="1" applyAlignment="1">
      <alignment horizontal="center" vertical="center"/>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0" xfId="0" applyFont="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0" fontId="9" fillId="0" borderId="5" xfId="0" applyFont="1" applyBorder="1" applyAlignment="1">
      <alignment vertical="center" wrapText="1"/>
    </xf>
    <xf numFmtId="0" fontId="9" fillId="0" borderId="0" xfId="0" applyFont="1" applyBorder="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8" fillId="0" borderId="16" xfId="0" applyFont="1" applyFill="1" applyBorder="1" applyAlignment="1">
      <alignment vertical="top" wrapText="1" shrinkToFit="1"/>
    </xf>
    <xf numFmtId="0" fontId="8" fillId="0" borderId="22" xfId="0" applyFont="1" applyFill="1" applyBorder="1" applyAlignment="1">
      <alignment vertical="top" shrinkToFit="1"/>
    </xf>
    <xf numFmtId="0" fontId="8" fillId="0" borderId="21"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6" fillId="0" borderId="2" xfId="2" applyFont="1" applyBorder="1" applyAlignment="1">
      <alignment horizontal="center" vertical="center" shrinkToFit="1"/>
    </xf>
    <xf numFmtId="0" fontId="16" fillId="0" borderId="3" xfId="2" applyFont="1" applyBorder="1" applyAlignment="1">
      <alignment horizontal="center" vertical="center" shrinkToFit="1"/>
    </xf>
    <xf numFmtId="0" fontId="16"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P32" sqref="P32"/>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31"/>
    <col min="16" max="16384" width="9" style="13"/>
  </cols>
  <sheetData>
    <row r="1" spans="1:15" ht="24" customHeight="1" x14ac:dyDescent="0.2">
      <c r="M1" s="146" t="s">
        <v>25</v>
      </c>
      <c r="N1" s="146"/>
    </row>
    <row r="2" spans="1:15" ht="24" customHeight="1" x14ac:dyDescent="0.2">
      <c r="A2" s="150" t="s">
        <v>81</v>
      </c>
      <c r="B2" s="150"/>
      <c r="C2" s="150"/>
      <c r="D2" s="150"/>
      <c r="E2" s="150"/>
      <c r="F2" s="150"/>
      <c r="G2" s="150"/>
      <c r="H2" s="150"/>
      <c r="I2" s="150"/>
      <c r="J2" s="150"/>
      <c r="K2" s="150"/>
      <c r="L2" s="150"/>
      <c r="M2" s="150"/>
      <c r="N2" s="150"/>
    </row>
    <row r="3" spans="1:15" ht="24" customHeight="1" x14ac:dyDescent="0.2"/>
    <row r="4" spans="1:15" ht="24" customHeight="1" x14ac:dyDescent="0.2">
      <c r="A4" s="14" t="s">
        <v>6</v>
      </c>
      <c r="B4" s="15" t="s">
        <v>16</v>
      </c>
      <c r="C4" s="136" t="s">
        <v>146</v>
      </c>
      <c r="D4" s="137"/>
      <c r="E4" s="137"/>
      <c r="F4" s="137"/>
      <c r="G4" s="137"/>
      <c r="H4" s="137"/>
      <c r="I4" s="137"/>
      <c r="J4" s="137"/>
      <c r="K4" s="137"/>
      <c r="L4" s="137"/>
      <c r="M4" s="137"/>
      <c r="N4" s="138"/>
      <c r="O4" s="31" t="str">
        <f>IF(C4="","入力してください","")</f>
        <v/>
      </c>
    </row>
    <row r="5" spans="1:15" ht="7.5" customHeight="1" x14ac:dyDescent="0.2">
      <c r="B5" s="15"/>
      <c r="C5" s="15"/>
      <c r="D5" s="15"/>
      <c r="E5" s="16"/>
      <c r="F5" s="121"/>
      <c r="G5" s="121"/>
      <c r="H5" s="121"/>
      <c r="I5" s="121"/>
      <c r="J5" s="121"/>
      <c r="K5" s="121"/>
      <c r="L5" s="121"/>
      <c r="M5" s="121"/>
      <c r="N5" s="121"/>
    </row>
    <row r="6" spans="1:15" ht="24" customHeight="1" x14ac:dyDescent="0.2">
      <c r="A6" s="14" t="s">
        <v>48</v>
      </c>
      <c r="B6" s="15" t="s">
        <v>49</v>
      </c>
      <c r="C6" s="15"/>
      <c r="D6" s="136" t="s">
        <v>147</v>
      </c>
      <c r="E6" s="137"/>
      <c r="F6" s="137"/>
      <c r="G6" s="137"/>
      <c r="H6" s="138"/>
      <c r="I6" s="17" t="s">
        <v>84</v>
      </c>
      <c r="J6" s="121" t="s">
        <v>85</v>
      </c>
      <c r="K6" s="136" t="s">
        <v>148</v>
      </c>
      <c r="L6" s="137"/>
      <c r="M6" s="137"/>
      <c r="N6" s="138"/>
      <c r="O6" s="31" t="str">
        <f>IF(D6="","入力してください","")</f>
        <v/>
      </c>
    </row>
    <row r="7" spans="1:15" ht="7.5" customHeight="1" x14ac:dyDescent="0.2">
      <c r="B7" s="15"/>
      <c r="C7" s="15"/>
      <c r="D7" s="15"/>
      <c r="E7" s="16"/>
      <c r="F7" s="35"/>
      <c r="G7" s="35"/>
      <c r="H7" s="35"/>
      <c r="I7" s="35"/>
      <c r="J7" s="35"/>
      <c r="K7" s="35"/>
      <c r="L7" s="35"/>
      <c r="M7" s="35"/>
      <c r="N7" s="35"/>
    </row>
    <row r="8" spans="1:15" ht="24" customHeight="1" x14ac:dyDescent="0.2">
      <c r="A8" s="14" t="s">
        <v>13</v>
      </c>
      <c r="B8" s="15" t="s">
        <v>45</v>
      </c>
      <c r="C8" s="136" t="s">
        <v>149</v>
      </c>
      <c r="D8" s="137"/>
      <c r="E8" s="137"/>
      <c r="F8" s="137"/>
      <c r="G8" s="137"/>
      <c r="H8" s="137"/>
      <c r="I8" s="137"/>
      <c r="J8" s="137"/>
      <c r="K8" s="137"/>
      <c r="L8" s="137"/>
      <c r="M8" s="137"/>
      <c r="N8" s="138"/>
      <c r="O8" s="31" t="str">
        <f>IF(C8="","入力してください","")</f>
        <v/>
      </c>
    </row>
    <row r="9" spans="1:15" ht="7.5" customHeight="1" x14ac:dyDescent="0.2">
      <c r="B9" s="15"/>
      <c r="C9" s="15"/>
      <c r="D9" s="15"/>
      <c r="E9" s="16"/>
      <c r="F9" s="121"/>
      <c r="G9" s="121"/>
      <c r="H9" s="121"/>
      <c r="I9" s="121"/>
      <c r="J9" s="121"/>
      <c r="K9" s="121"/>
      <c r="L9" s="121"/>
      <c r="M9" s="121"/>
      <c r="N9" s="121"/>
    </row>
    <row r="10" spans="1:15" ht="24" customHeight="1" x14ac:dyDescent="0.2">
      <c r="A10" s="14" t="s">
        <v>11</v>
      </c>
      <c r="B10" s="15" t="s">
        <v>83</v>
      </c>
      <c r="C10" s="15"/>
      <c r="D10" s="15"/>
      <c r="E10" s="136" t="s">
        <v>150</v>
      </c>
      <c r="F10" s="137"/>
      <c r="G10" s="137"/>
      <c r="H10" s="137"/>
      <c r="I10" s="137"/>
      <c r="J10" s="137"/>
      <c r="K10" s="137"/>
      <c r="L10" s="137"/>
      <c r="M10" s="137"/>
      <c r="N10" s="138"/>
      <c r="O10" s="31" t="str">
        <f>IF(E10="","入力してください","")</f>
        <v/>
      </c>
    </row>
    <row r="11" spans="1:15" ht="7.5" customHeight="1" x14ac:dyDescent="0.2">
      <c r="B11" s="16"/>
      <c r="C11" s="16"/>
      <c r="D11" s="16"/>
      <c r="E11" s="16"/>
      <c r="F11" s="121"/>
      <c r="G11" s="121"/>
      <c r="H11" s="121"/>
      <c r="I11" s="121"/>
      <c r="J11" s="121"/>
      <c r="K11" s="121"/>
      <c r="L11" s="121"/>
      <c r="M11" s="121"/>
      <c r="N11" s="121"/>
    </row>
    <row r="12" spans="1:15" ht="24" customHeight="1" x14ac:dyDescent="0.2">
      <c r="A12" s="14" t="s">
        <v>56</v>
      </c>
      <c r="B12" s="16" t="s">
        <v>57</v>
      </c>
      <c r="C12" s="16"/>
      <c r="D12" s="16"/>
      <c r="E12" s="151" t="s">
        <v>151</v>
      </c>
      <c r="F12" s="152"/>
      <c r="G12" s="17" t="s">
        <v>94</v>
      </c>
      <c r="H12" s="14" t="s">
        <v>95</v>
      </c>
      <c r="N12" s="115" t="s">
        <v>152</v>
      </c>
      <c r="O12" s="31" t="str">
        <f>IF(E12="","入力してください","")</f>
        <v/>
      </c>
    </row>
    <row r="13" spans="1:15" ht="7.5" customHeight="1" x14ac:dyDescent="0.2">
      <c r="B13" s="16"/>
      <c r="C13" s="16"/>
      <c r="D13" s="16"/>
      <c r="E13" s="16"/>
      <c r="F13" s="121"/>
      <c r="G13" s="121"/>
      <c r="H13" s="121"/>
      <c r="I13" s="121"/>
      <c r="J13" s="121"/>
      <c r="K13" s="121"/>
      <c r="L13" s="121"/>
      <c r="M13" s="121"/>
      <c r="N13" s="121"/>
    </row>
    <row r="14" spans="1:15" ht="24" customHeight="1" x14ac:dyDescent="0.2">
      <c r="A14" s="14" t="s">
        <v>52</v>
      </c>
      <c r="B14" s="14" t="s">
        <v>0</v>
      </c>
      <c r="C14" s="147" t="s">
        <v>5</v>
      </c>
      <c r="D14" s="148"/>
      <c r="E14" s="139">
        <v>538</v>
      </c>
      <c r="F14" s="140"/>
      <c r="G14" s="18" t="s">
        <v>7</v>
      </c>
      <c r="I14" s="147" t="s">
        <v>8</v>
      </c>
      <c r="J14" s="148"/>
      <c r="K14" s="139">
        <v>236</v>
      </c>
      <c r="L14" s="149"/>
      <c r="M14" s="140"/>
      <c r="N14" s="19" t="s">
        <v>7</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58</v>
      </c>
      <c r="B16" s="14" t="s">
        <v>68</v>
      </c>
      <c r="F16" s="20"/>
      <c r="G16" s="20"/>
      <c r="H16" s="20"/>
      <c r="I16" s="20"/>
      <c r="J16" s="20"/>
      <c r="K16" s="153">
        <v>10</v>
      </c>
      <c r="L16" s="154"/>
      <c r="M16" s="155"/>
      <c r="N16" s="19" t="s">
        <v>7</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24</v>
      </c>
      <c r="B18" s="14" t="s">
        <v>75</v>
      </c>
      <c r="E18" s="139">
        <v>986</v>
      </c>
      <c r="F18" s="140"/>
      <c r="G18" s="21" t="s">
        <v>21</v>
      </c>
      <c r="H18" s="20"/>
      <c r="K18" s="159"/>
      <c r="L18" s="159"/>
      <c r="M18" s="159"/>
      <c r="N18" s="159"/>
      <c r="O18" s="31" t="str">
        <f>IF(E18="","入力してください","")</f>
        <v/>
      </c>
    </row>
    <row r="19" spans="1:15" ht="7.5" customHeight="1" x14ac:dyDescent="0.2">
      <c r="E19" s="10"/>
      <c r="F19" s="20"/>
      <c r="G19" s="20"/>
      <c r="L19" s="120"/>
      <c r="M19" s="120"/>
      <c r="N19" s="22"/>
    </row>
    <row r="20" spans="1:15" ht="24" customHeight="1" x14ac:dyDescent="0.2">
      <c r="A20" s="14" t="s">
        <v>74</v>
      </c>
      <c r="B20" s="14" t="s">
        <v>76</v>
      </c>
      <c r="E20" s="10"/>
      <c r="F20" s="20"/>
      <c r="G20" s="20"/>
      <c r="H20" s="14" t="s">
        <v>51</v>
      </c>
      <c r="J20" s="156">
        <v>4391</v>
      </c>
      <c r="K20" s="157"/>
      <c r="L20" s="158"/>
      <c r="M20" s="120" t="s">
        <v>7</v>
      </c>
      <c r="N20" s="22"/>
      <c r="O20" s="31" t="str">
        <f>IF(J20="","入力してください","")</f>
        <v/>
      </c>
    </row>
    <row r="21" spans="1:15" ht="7.5" customHeight="1" x14ac:dyDescent="0.2">
      <c r="E21" s="10"/>
      <c r="F21" s="20"/>
      <c r="G21" s="20"/>
      <c r="L21" s="34"/>
      <c r="M21" s="34"/>
      <c r="N21" s="22"/>
    </row>
    <row r="22" spans="1:15" ht="24" customHeight="1" x14ac:dyDescent="0.2">
      <c r="B22" s="29" t="s">
        <v>17</v>
      </c>
      <c r="C22" s="139">
        <v>1028</v>
      </c>
      <c r="D22" s="140"/>
      <c r="E22" s="10" t="s">
        <v>7</v>
      </c>
      <c r="F22" s="20"/>
      <c r="G22" s="135" t="s">
        <v>18</v>
      </c>
      <c r="H22" s="135"/>
      <c r="I22" s="139">
        <v>1013</v>
      </c>
      <c r="J22" s="140"/>
      <c r="K22" s="17" t="s">
        <v>22</v>
      </c>
      <c r="M22" s="34"/>
      <c r="N22" s="22"/>
    </row>
    <row r="23" spans="1:15" ht="7.5" customHeight="1" x14ac:dyDescent="0.2">
      <c r="B23" s="29"/>
      <c r="C23" s="11"/>
      <c r="D23" s="11"/>
      <c r="E23" s="10"/>
      <c r="F23" s="20"/>
      <c r="G23" s="120"/>
      <c r="H23" s="120"/>
      <c r="I23" s="11"/>
      <c r="J23" s="11"/>
      <c r="K23" s="17"/>
      <c r="M23" s="34"/>
      <c r="N23" s="22"/>
    </row>
    <row r="24" spans="1:15" ht="24" customHeight="1" x14ac:dyDescent="0.2">
      <c r="B24" s="29" t="s">
        <v>19</v>
      </c>
      <c r="C24" s="139">
        <v>1049</v>
      </c>
      <c r="D24" s="140"/>
      <c r="E24" s="10" t="s">
        <v>7</v>
      </c>
      <c r="F24" s="20"/>
      <c r="G24" s="135" t="s">
        <v>20</v>
      </c>
      <c r="H24" s="135"/>
      <c r="I24" s="139">
        <v>1053</v>
      </c>
      <c r="J24" s="140"/>
      <c r="K24" s="17" t="s">
        <v>22</v>
      </c>
      <c r="M24" s="34"/>
      <c r="N24" s="22"/>
    </row>
    <row r="25" spans="1:15" ht="7.5" customHeight="1" x14ac:dyDescent="0.2">
      <c r="B25" s="29"/>
      <c r="C25" s="11"/>
      <c r="D25" s="11"/>
      <c r="E25" s="10"/>
      <c r="F25" s="20"/>
      <c r="G25" s="120"/>
      <c r="H25" s="120"/>
      <c r="I25" s="11"/>
      <c r="J25" s="11"/>
      <c r="K25" s="17"/>
      <c r="M25" s="34"/>
      <c r="N25" s="22"/>
    </row>
    <row r="26" spans="1:15" ht="24" customHeight="1" x14ac:dyDescent="0.2">
      <c r="B26" s="29" t="s">
        <v>46</v>
      </c>
      <c r="C26" s="139">
        <v>128</v>
      </c>
      <c r="D26" s="140"/>
      <c r="E26" s="10" t="s">
        <v>7</v>
      </c>
      <c r="F26" s="20"/>
      <c r="G26" s="135" t="s">
        <v>47</v>
      </c>
      <c r="H26" s="135"/>
      <c r="I26" s="139">
        <v>120</v>
      </c>
      <c r="J26" s="140"/>
      <c r="K26" s="17" t="s">
        <v>7</v>
      </c>
      <c r="M26" s="34"/>
      <c r="N26" s="22"/>
    </row>
    <row r="27" spans="1:15" ht="7.5" customHeight="1" x14ac:dyDescent="0.2">
      <c r="F27" s="20"/>
      <c r="G27" s="20"/>
      <c r="M27" s="23"/>
      <c r="N27" s="23"/>
    </row>
    <row r="28" spans="1:15" ht="24" customHeight="1" x14ac:dyDescent="0.2">
      <c r="A28" s="14" t="s">
        <v>50</v>
      </c>
      <c r="B28" s="15" t="s">
        <v>73</v>
      </c>
      <c r="C28" s="15"/>
      <c r="D28" s="15"/>
      <c r="E28" s="15"/>
      <c r="F28" s="17"/>
      <c r="G28" s="35"/>
      <c r="H28" s="35"/>
      <c r="I28" s="35"/>
      <c r="J28" s="24"/>
      <c r="K28" s="24"/>
      <c r="L28" s="24"/>
      <c r="M28" s="24"/>
      <c r="N28" s="24"/>
    </row>
    <row r="29" spans="1:15" s="14" customFormat="1" ht="24" customHeight="1" x14ac:dyDescent="0.2">
      <c r="B29" s="143" t="s">
        <v>72</v>
      </c>
      <c r="C29" s="143"/>
      <c r="D29" s="136" t="s">
        <v>153</v>
      </c>
      <c r="E29" s="137"/>
      <c r="F29" s="137"/>
      <c r="G29" s="144" t="s">
        <v>23</v>
      </c>
      <c r="H29" s="143"/>
      <c r="I29" s="145"/>
      <c r="J29" s="136" t="s">
        <v>154</v>
      </c>
      <c r="K29" s="137"/>
      <c r="L29" s="137"/>
      <c r="M29" s="137"/>
      <c r="N29" s="138"/>
      <c r="O29" s="31" t="str">
        <f>IF(OR(D29="",J29=""),"入力してください","")</f>
        <v/>
      </c>
    </row>
    <row r="30" spans="1:15" ht="7.5" customHeight="1" x14ac:dyDescent="0.2">
      <c r="F30" s="20"/>
      <c r="G30" s="20"/>
      <c r="M30" s="23"/>
      <c r="N30" s="23"/>
    </row>
    <row r="31" spans="1:15" ht="24" customHeight="1" x14ac:dyDescent="0.2">
      <c r="A31" s="14" t="s">
        <v>53</v>
      </c>
      <c r="B31" s="15" t="s">
        <v>78</v>
      </c>
      <c r="C31" s="15"/>
      <c r="D31" s="15"/>
      <c r="E31" s="15"/>
      <c r="F31" s="17"/>
      <c r="G31" s="24"/>
      <c r="H31" s="24"/>
      <c r="I31" s="24"/>
      <c r="J31" s="24"/>
      <c r="K31" s="24"/>
      <c r="L31" s="24"/>
      <c r="M31" s="24"/>
      <c r="N31" s="24"/>
    </row>
    <row r="32" spans="1:15" ht="24" customHeight="1" x14ac:dyDescent="0.2">
      <c r="B32" s="136" t="s">
        <v>155</v>
      </c>
      <c r="C32" s="137"/>
      <c r="D32" s="137"/>
      <c r="E32" s="137"/>
      <c r="F32" s="137"/>
      <c r="G32" s="137"/>
      <c r="H32" s="137"/>
      <c r="I32" s="137"/>
      <c r="J32" s="137"/>
      <c r="K32" s="137"/>
      <c r="L32" s="137"/>
      <c r="M32" s="137"/>
      <c r="N32" s="138"/>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43" t="s">
        <v>72</v>
      </c>
      <c r="C34" s="143"/>
      <c r="D34" s="136" t="s">
        <v>156</v>
      </c>
      <c r="E34" s="137"/>
      <c r="F34" s="137"/>
      <c r="G34" s="144" t="s">
        <v>23</v>
      </c>
      <c r="H34" s="143"/>
      <c r="I34" s="145"/>
      <c r="J34" s="136" t="s">
        <v>157</v>
      </c>
      <c r="K34" s="137"/>
      <c r="L34" s="137"/>
      <c r="M34" s="137"/>
      <c r="N34" s="138"/>
      <c r="O34" s="31" t="str">
        <f>IF(OR(D34="",J34=""),"入力してください","")</f>
        <v/>
      </c>
    </row>
    <row r="35" spans="1:15" ht="7.5" customHeight="1" x14ac:dyDescent="0.2">
      <c r="F35" s="35"/>
      <c r="G35" s="35"/>
      <c r="H35" s="35"/>
      <c r="I35" s="35"/>
      <c r="J35" s="35"/>
      <c r="K35" s="35"/>
      <c r="L35" s="35"/>
      <c r="M35" s="35"/>
      <c r="N35" s="35"/>
    </row>
    <row r="36" spans="1:15" ht="24" customHeight="1" x14ac:dyDescent="0.2">
      <c r="A36" s="14" t="s">
        <v>59</v>
      </c>
      <c r="B36" s="14" t="s">
        <v>79</v>
      </c>
      <c r="M36" s="23"/>
      <c r="N36" s="23"/>
    </row>
    <row r="37" spans="1:15" ht="24" customHeight="1" x14ac:dyDescent="0.2">
      <c r="B37" s="136" t="s">
        <v>155</v>
      </c>
      <c r="C37" s="137"/>
      <c r="D37" s="137"/>
      <c r="E37" s="137"/>
      <c r="F37" s="137"/>
      <c r="G37" s="137"/>
      <c r="H37" s="137"/>
      <c r="I37" s="137"/>
      <c r="J37" s="137"/>
      <c r="K37" s="137"/>
      <c r="L37" s="137"/>
      <c r="M37" s="137"/>
      <c r="N37" s="138"/>
      <c r="O37" s="31" t="str">
        <f>IF(B37="","入力してください","")</f>
        <v/>
      </c>
    </row>
    <row r="38" spans="1:15" ht="7.5" customHeight="1" x14ac:dyDescent="0.2">
      <c r="F38" s="35"/>
      <c r="G38" s="35"/>
      <c r="H38" s="35"/>
      <c r="I38" s="35"/>
      <c r="J38" s="35"/>
      <c r="K38" s="35"/>
      <c r="L38" s="35"/>
      <c r="M38" s="35"/>
      <c r="N38" s="35"/>
    </row>
    <row r="39" spans="1:15" s="14" customFormat="1" ht="24" customHeight="1" x14ac:dyDescent="0.2">
      <c r="B39" s="143" t="s">
        <v>72</v>
      </c>
      <c r="C39" s="143"/>
      <c r="D39" s="136" t="s">
        <v>156</v>
      </c>
      <c r="E39" s="137"/>
      <c r="F39" s="137"/>
      <c r="G39" s="144" t="s">
        <v>23</v>
      </c>
      <c r="H39" s="143"/>
      <c r="I39" s="145"/>
      <c r="J39" s="136" t="s">
        <v>157</v>
      </c>
      <c r="K39" s="137"/>
      <c r="L39" s="137"/>
      <c r="M39" s="137"/>
      <c r="N39" s="138"/>
      <c r="O39" s="31" t="str">
        <f>IF(OR(D39="",J39=""),"入力してください","")</f>
        <v/>
      </c>
    </row>
    <row r="40" spans="1:15" ht="7.5" customHeight="1" x14ac:dyDescent="0.2">
      <c r="F40" s="35"/>
      <c r="G40" s="35"/>
      <c r="H40" s="35"/>
      <c r="I40" s="35"/>
      <c r="J40" s="35"/>
      <c r="K40" s="35"/>
      <c r="L40" s="35"/>
      <c r="M40" s="35"/>
      <c r="N40" s="35"/>
    </row>
    <row r="41" spans="1:15" ht="24" customHeight="1" x14ac:dyDescent="0.2">
      <c r="A41" s="14" t="s">
        <v>86</v>
      </c>
      <c r="B41" s="71" t="s">
        <v>67</v>
      </c>
      <c r="E41" s="72"/>
      <c r="F41" s="136" t="s">
        <v>158</v>
      </c>
      <c r="G41" s="137"/>
      <c r="H41" s="137"/>
      <c r="I41" s="137"/>
      <c r="J41" s="137"/>
      <c r="K41" s="137"/>
      <c r="L41" s="137"/>
      <c r="M41" s="137"/>
      <c r="N41" s="138"/>
      <c r="O41" s="31" t="str">
        <f>IF(F41="","入力してください","")</f>
        <v/>
      </c>
    </row>
    <row r="42" spans="1:15" ht="7.5" customHeight="1" x14ac:dyDescent="0.2">
      <c r="F42" s="35"/>
      <c r="G42" s="35"/>
      <c r="H42" s="35"/>
      <c r="I42" s="35"/>
      <c r="J42" s="35"/>
      <c r="K42" s="35"/>
      <c r="L42" s="35"/>
      <c r="M42" s="35"/>
      <c r="N42" s="35"/>
    </row>
    <row r="43" spans="1:15" ht="24" customHeight="1" x14ac:dyDescent="0.2">
      <c r="A43" s="14" t="s">
        <v>96</v>
      </c>
    </row>
    <row r="44" spans="1:15" ht="24" customHeight="1" x14ac:dyDescent="0.2">
      <c r="B44" s="30" t="s">
        <v>1</v>
      </c>
      <c r="C44" s="141" t="s">
        <v>159</v>
      </c>
      <c r="D44" s="142"/>
      <c r="E44" s="142"/>
      <c r="F44" s="142"/>
      <c r="G44" s="142"/>
      <c r="H44" s="142"/>
      <c r="I44" s="26" t="s">
        <v>2</v>
      </c>
      <c r="J44" s="27"/>
      <c r="K44" s="136" t="s">
        <v>160</v>
      </c>
      <c r="L44" s="137"/>
      <c r="M44" s="137"/>
      <c r="N44" s="138"/>
      <c r="O44" s="31" t="str">
        <f>IF(OR(C44="",K44=""),"入力してください","")</f>
        <v/>
      </c>
    </row>
    <row r="45" spans="1:15" ht="24" customHeight="1" x14ac:dyDescent="0.2">
      <c r="B45" s="25" t="s">
        <v>4</v>
      </c>
      <c r="C45" s="129" t="s">
        <v>161</v>
      </c>
      <c r="D45" s="130"/>
      <c r="E45" s="130"/>
      <c r="F45" s="130"/>
      <c r="G45" s="130"/>
      <c r="H45" s="131"/>
      <c r="I45" s="26" t="s">
        <v>3</v>
      </c>
      <c r="J45" s="27"/>
      <c r="K45" s="132" t="s">
        <v>162</v>
      </c>
      <c r="L45" s="133"/>
      <c r="M45" s="133"/>
      <c r="N45" s="134"/>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I51" sqref="I51:K51"/>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9" t="s">
        <v>213</v>
      </c>
      <c r="X1" s="249"/>
      <c r="Y1" s="249"/>
      <c r="Z1" s="249"/>
    </row>
    <row r="2" spans="1:26" ht="18" customHeight="1" x14ac:dyDescent="0.2">
      <c r="A2" s="209" t="s">
        <v>65</v>
      </c>
      <c r="B2" s="209"/>
      <c r="C2" s="209"/>
      <c r="D2" s="209"/>
      <c r="E2" s="209"/>
      <c r="F2" s="209"/>
      <c r="G2" s="209"/>
      <c r="H2" s="209"/>
      <c r="I2" s="209"/>
      <c r="J2" s="209"/>
      <c r="K2" s="209"/>
      <c r="L2" s="209"/>
      <c r="M2" s="209"/>
      <c r="N2" s="209"/>
      <c r="O2" s="209"/>
      <c r="P2" s="209"/>
      <c r="Q2" s="209"/>
      <c r="R2" s="209"/>
      <c r="S2" s="209"/>
      <c r="T2" s="209"/>
      <c r="U2" s="209"/>
      <c r="V2" s="209"/>
      <c r="W2" s="209"/>
      <c r="X2" s="209"/>
      <c r="Y2" s="209"/>
      <c r="Z2" s="209"/>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97</v>
      </c>
      <c r="B4" s="29"/>
      <c r="C4" s="29"/>
      <c r="D4" s="29"/>
      <c r="E4" s="29"/>
      <c r="F4" s="29"/>
      <c r="G4" s="29"/>
      <c r="H4" s="15" t="s">
        <v>110</v>
      </c>
      <c r="I4" s="29"/>
      <c r="J4" s="29"/>
      <c r="K4" s="29"/>
      <c r="L4" s="29"/>
      <c r="M4" s="29"/>
      <c r="N4" s="29"/>
      <c r="O4" s="153" t="s">
        <v>163</v>
      </c>
      <c r="P4" s="154"/>
      <c r="Q4" s="154"/>
      <c r="R4" s="154"/>
      <c r="S4" s="154"/>
      <c r="T4" s="154"/>
      <c r="U4" s="154"/>
      <c r="V4" s="154"/>
      <c r="W4" s="154"/>
      <c r="X4" s="154"/>
      <c r="Y4" s="154"/>
      <c r="Z4" s="155"/>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10" t="s">
        <v>164</v>
      </c>
      <c r="C6" s="211"/>
      <c r="D6" s="211"/>
      <c r="E6" s="211"/>
      <c r="F6" s="211"/>
      <c r="G6" s="211"/>
      <c r="H6" s="211"/>
      <c r="I6" s="211"/>
      <c r="J6" s="211"/>
      <c r="K6" s="211"/>
      <c r="L6" s="211"/>
      <c r="M6" s="211"/>
      <c r="N6" s="211"/>
      <c r="O6" s="211"/>
      <c r="P6" s="211"/>
      <c r="Q6" s="211"/>
      <c r="R6" s="211"/>
      <c r="S6" s="211"/>
      <c r="T6" s="211"/>
      <c r="U6" s="211"/>
      <c r="V6" s="211"/>
      <c r="W6" s="211"/>
      <c r="X6" s="211"/>
      <c r="Y6" s="211"/>
      <c r="Z6" s="212"/>
    </row>
    <row r="7" spans="1:26" ht="18" customHeight="1" x14ac:dyDescent="0.2">
      <c r="B7" s="213"/>
      <c r="C7" s="214"/>
      <c r="D7" s="214"/>
      <c r="E7" s="214"/>
      <c r="F7" s="214"/>
      <c r="G7" s="214"/>
      <c r="H7" s="214"/>
      <c r="I7" s="214"/>
      <c r="J7" s="214"/>
      <c r="K7" s="214"/>
      <c r="L7" s="214"/>
      <c r="M7" s="214"/>
      <c r="N7" s="214"/>
      <c r="O7" s="214"/>
      <c r="P7" s="214"/>
      <c r="Q7" s="214"/>
      <c r="R7" s="214"/>
      <c r="S7" s="214"/>
      <c r="T7" s="214"/>
      <c r="U7" s="214"/>
      <c r="V7" s="214"/>
      <c r="W7" s="214"/>
      <c r="X7" s="214"/>
      <c r="Y7" s="214"/>
      <c r="Z7" s="215"/>
    </row>
    <row r="8" spans="1:26" ht="18" customHeight="1" x14ac:dyDescent="0.2">
      <c r="B8" s="213"/>
      <c r="C8" s="214"/>
      <c r="D8" s="214"/>
      <c r="E8" s="214"/>
      <c r="F8" s="214"/>
      <c r="G8" s="214"/>
      <c r="H8" s="214"/>
      <c r="I8" s="214"/>
      <c r="J8" s="214"/>
      <c r="K8" s="214"/>
      <c r="L8" s="214"/>
      <c r="M8" s="214"/>
      <c r="N8" s="214"/>
      <c r="O8" s="214"/>
      <c r="P8" s="214"/>
      <c r="Q8" s="214"/>
      <c r="R8" s="214"/>
      <c r="S8" s="214"/>
      <c r="T8" s="214"/>
      <c r="U8" s="214"/>
      <c r="V8" s="214"/>
      <c r="W8" s="214"/>
      <c r="X8" s="214"/>
      <c r="Y8" s="214"/>
      <c r="Z8" s="215"/>
    </row>
    <row r="9" spans="1:26" ht="18" customHeight="1" x14ac:dyDescent="0.2">
      <c r="B9" s="213"/>
      <c r="C9" s="214"/>
      <c r="D9" s="214"/>
      <c r="E9" s="214"/>
      <c r="F9" s="214"/>
      <c r="G9" s="214"/>
      <c r="H9" s="214"/>
      <c r="I9" s="214"/>
      <c r="J9" s="214"/>
      <c r="K9" s="214"/>
      <c r="L9" s="214"/>
      <c r="M9" s="214"/>
      <c r="N9" s="214"/>
      <c r="O9" s="214"/>
      <c r="P9" s="214"/>
      <c r="Q9" s="214"/>
      <c r="R9" s="214"/>
      <c r="S9" s="214"/>
      <c r="T9" s="214"/>
      <c r="U9" s="214"/>
      <c r="V9" s="214"/>
      <c r="W9" s="214"/>
      <c r="X9" s="214"/>
      <c r="Y9" s="214"/>
      <c r="Z9" s="215"/>
    </row>
    <row r="10" spans="1:26" ht="18" customHeight="1" x14ac:dyDescent="0.2">
      <c r="B10" s="213"/>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5"/>
    </row>
    <row r="11" spans="1:26" ht="18" customHeight="1" x14ac:dyDescent="0.2">
      <c r="B11" s="217"/>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9"/>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5" t="s">
        <v>123</v>
      </c>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row>
    <row r="14" spans="1:26" ht="18" customHeight="1" x14ac:dyDescent="0.2">
      <c r="A14" s="205"/>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row>
    <row r="15" spans="1:26" ht="18" customHeight="1" x14ac:dyDescent="0.2">
      <c r="A15" s="14"/>
      <c r="B15" s="153" t="s">
        <v>98</v>
      </c>
      <c r="C15" s="154"/>
      <c r="D15" s="154"/>
      <c r="E15" s="154"/>
      <c r="F15" s="155"/>
      <c r="G15" s="30" t="s">
        <v>139</v>
      </c>
      <c r="H15" s="110" t="s">
        <v>138</v>
      </c>
      <c r="I15" s="154" t="s">
        <v>99</v>
      </c>
      <c r="J15" s="154"/>
      <c r="K15" s="154"/>
      <c r="L15" s="73" t="s">
        <v>102</v>
      </c>
      <c r="M15" s="73" t="s">
        <v>105</v>
      </c>
      <c r="N15" s="153" t="s">
        <v>98</v>
      </c>
      <c r="O15" s="154"/>
      <c r="P15" s="154"/>
      <c r="Q15" s="154"/>
      <c r="R15" s="154"/>
      <c r="S15" s="155"/>
      <c r="T15" s="30" t="s">
        <v>139</v>
      </c>
      <c r="U15" s="110" t="s">
        <v>138</v>
      </c>
      <c r="V15" s="154" t="s">
        <v>99</v>
      </c>
      <c r="W15" s="154"/>
      <c r="X15" s="154"/>
      <c r="Y15" s="73" t="s">
        <v>102</v>
      </c>
      <c r="Z15" s="73" t="s">
        <v>105</v>
      </c>
    </row>
    <row r="16" spans="1:26" ht="18" customHeight="1" x14ac:dyDescent="0.2">
      <c r="A16" s="14"/>
      <c r="B16" s="196" t="s">
        <v>165</v>
      </c>
      <c r="C16" s="197"/>
      <c r="D16" s="197"/>
      <c r="E16" s="197"/>
      <c r="F16" s="198"/>
      <c r="G16" s="111">
        <v>1</v>
      </c>
      <c r="H16" s="111" t="s">
        <v>167</v>
      </c>
      <c r="I16" s="190" t="s">
        <v>166</v>
      </c>
      <c r="J16" s="191"/>
      <c r="K16" s="192"/>
      <c r="L16" s="111" t="s">
        <v>167</v>
      </c>
      <c r="M16" s="111" t="s">
        <v>167</v>
      </c>
      <c r="N16" s="160"/>
      <c r="O16" s="161"/>
      <c r="P16" s="161"/>
      <c r="Q16" s="161"/>
      <c r="R16" s="161"/>
      <c r="S16" s="162"/>
      <c r="T16" s="111"/>
      <c r="U16" s="111"/>
      <c r="V16" s="190"/>
      <c r="W16" s="191"/>
      <c r="X16" s="192"/>
      <c r="Y16" s="111"/>
      <c r="Z16" s="111"/>
    </row>
    <row r="17" spans="1:26" ht="18" customHeight="1" x14ac:dyDescent="0.2">
      <c r="A17" s="14"/>
      <c r="B17" s="199"/>
      <c r="C17" s="200"/>
      <c r="D17" s="200"/>
      <c r="E17" s="200"/>
      <c r="F17" s="201"/>
      <c r="G17" s="112"/>
      <c r="H17" s="112"/>
      <c r="I17" s="193"/>
      <c r="J17" s="194"/>
      <c r="K17" s="195"/>
      <c r="L17" s="112"/>
      <c r="M17" s="112"/>
      <c r="N17" s="169"/>
      <c r="O17" s="170"/>
      <c r="P17" s="170"/>
      <c r="Q17" s="170"/>
      <c r="R17" s="170"/>
      <c r="S17" s="171"/>
      <c r="T17" s="112"/>
      <c r="U17" s="112"/>
      <c r="V17" s="193"/>
      <c r="W17" s="194"/>
      <c r="X17" s="195"/>
      <c r="Y17" s="112"/>
      <c r="Z17" s="112"/>
    </row>
    <row r="18" spans="1:26" ht="18" customHeight="1" x14ac:dyDescent="0.2">
      <c r="A18" s="14"/>
      <c r="B18" s="199"/>
      <c r="C18" s="200"/>
      <c r="D18" s="200"/>
      <c r="E18" s="200"/>
      <c r="F18" s="201"/>
      <c r="G18" s="112"/>
      <c r="H18" s="112"/>
      <c r="I18" s="193"/>
      <c r="J18" s="194"/>
      <c r="K18" s="195"/>
      <c r="L18" s="112"/>
      <c r="M18" s="112"/>
      <c r="N18" s="169"/>
      <c r="O18" s="170"/>
      <c r="P18" s="170"/>
      <c r="Q18" s="170"/>
      <c r="R18" s="170"/>
      <c r="S18" s="171"/>
      <c r="T18" s="112"/>
      <c r="U18" s="112"/>
      <c r="V18" s="193"/>
      <c r="W18" s="194"/>
      <c r="X18" s="195"/>
      <c r="Y18" s="112"/>
      <c r="Z18" s="112"/>
    </row>
    <row r="19" spans="1:26" ht="18" customHeight="1" x14ac:dyDescent="0.2">
      <c r="A19" s="14"/>
      <c r="B19" s="199"/>
      <c r="C19" s="200"/>
      <c r="D19" s="200"/>
      <c r="E19" s="200"/>
      <c r="F19" s="201"/>
      <c r="G19" s="112"/>
      <c r="H19" s="112"/>
      <c r="I19" s="193"/>
      <c r="J19" s="194"/>
      <c r="K19" s="195"/>
      <c r="L19" s="112"/>
      <c r="M19" s="112"/>
      <c r="N19" s="169"/>
      <c r="O19" s="170"/>
      <c r="P19" s="170"/>
      <c r="Q19" s="170"/>
      <c r="R19" s="170"/>
      <c r="S19" s="171"/>
      <c r="T19" s="112"/>
      <c r="U19" s="112"/>
      <c r="V19" s="193"/>
      <c r="W19" s="194"/>
      <c r="X19" s="195"/>
      <c r="Y19" s="112"/>
      <c r="Z19" s="112"/>
    </row>
    <row r="20" spans="1:26" ht="18" customHeight="1" x14ac:dyDescent="0.2">
      <c r="A20" s="14"/>
      <c r="B20" s="199"/>
      <c r="C20" s="200"/>
      <c r="D20" s="200"/>
      <c r="E20" s="200"/>
      <c r="F20" s="201"/>
      <c r="G20" s="112"/>
      <c r="H20" s="112"/>
      <c r="I20" s="193"/>
      <c r="J20" s="194"/>
      <c r="K20" s="195"/>
      <c r="L20" s="112"/>
      <c r="M20" s="112"/>
      <c r="N20" s="169"/>
      <c r="O20" s="170"/>
      <c r="P20" s="170"/>
      <c r="Q20" s="170"/>
      <c r="R20" s="170"/>
      <c r="S20" s="171"/>
      <c r="T20" s="112"/>
      <c r="U20" s="112"/>
      <c r="V20" s="193"/>
      <c r="W20" s="194"/>
      <c r="X20" s="195"/>
      <c r="Y20" s="112"/>
      <c r="Z20" s="112"/>
    </row>
    <row r="21" spans="1:26" ht="18" customHeight="1" x14ac:dyDescent="0.2">
      <c r="A21" s="29"/>
      <c r="B21" s="199"/>
      <c r="C21" s="200"/>
      <c r="D21" s="200"/>
      <c r="E21" s="200"/>
      <c r="F21" s="201"/>
      <c r="G21" s="112"/>
      <c r="H21" s="112"/>
      <c r="I21" s="193"/>
      <c r="J21" s="194"/>
      <c r="K21" s="195"/>
      <c r="L21" s="112"/>
      <c r="M21" s="112"/>
      <c r="N21" s="169"/>
      <c r="O21" s="170"/>
      <c r="P21" s="170"/>
      <c r="Q21" s="170"/>
      <c r="R21" s="170"/>
      <c r="S21" s="171"/>
      <c r="T21" s="112"/>
      <c r="U21" s="112"/>
      <c r="V21" s="193"/>
      <c r="W21" s="194"/>
      <c r="X21" s="195"/>
      <c r="Y21" s="112"/>
      <c r="Z21" s="112"/>
    </row>
    <row r="22" spans="1:26" ht="18" customHeight="1" x14ac:dyDescent="0.2">
      <c r="A22" s="29"/>
      <c r="B22" s="206"/>
      <c r="C22" s="207"/>
      <c r="D22" s="207"/>
      <c r="E22" s="207"/>
      <c r="F22" s="208"/>
      <c r="G22" s="113"/>
      <c r="H22" s="113"/>
      <c r="I22" s="202"/>
      <c r="J22" s="203"/>
      <c r="K22" s="204"/>
      <c r="L22" s="119"/>
      <c r="M22" s="119"/>
      <c r="N22" s="228"/>
      <c r="O22" s="229"/>
      <c r="P22" s="229"/>
      <c r="Q22" s="229"/>
      <c r="R22" s="229"/>
      <c r="S22" s="230"/>
      <c r="T22" s="113"/>
      <c r="U22" s="113"/>
      <c r="V22" s="202"/>
      <c r="W22" s="203"/>
      <c r="X22" s="204"/>
      <c r="Y22" s="119"/>
      <c r="Z22" s="119"/>
    </row>
    <row r="23" spans="1:26" ht="7.5" customHeight="1" x14ac:dyDescent="0.2">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2">
      <c r="A24" s="205" t="s">
        <v>124</v>
      </c>
      <c r="B24" s="205"/>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row>
    <row r="25" spans="1:26" ht="18" customHeight="1" x14ac:dyDescent="0.2">
      <c r="A25" s="205"/>
      <c r="B25" s="205"/>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row>
    <row r="26" spans="1:26" ht="18" customHeight="1" x14ac:dyDescent="0.2">
      <c r="A26" s="14"/>
      <c r="B26" s="153" t="s">
        <v>98</v>
      </c>
      <c r="C26" s="154"/>
      <c r="D26" s="154"/>
      <c r="E26" s="154"/>
      <c r="F26" s="155"/>
      <c r="G26" s="30" t="s">
        <v>139</v>
      </c>
      <c r="H26" s="110" t="s">
        <v>138</v>
      </c>
      <c r="I26" s="154" t="s">
        <v>99</v>
      </c>
      <c r="J26" s="154"/>
      <c r="K26" s="154"/>
      <c r="L26" s="73" t="s">
        <v>125</v>
      </c>
      <c r="M26" s="73" t="s">
        <v>126</v>
      </c>
      <c r="N26" s="153" t="s">
        <v>98</v>
      </c>
      <c r="O26" s="154"/>
      <c r="P26" s="154"/>
      <c r="Q26" s="154"/>
      <c r="R26" s="154"/>
      <c r="S26" s="155"/>
      <c r="T26" s="30" t="s">
        <v>139</v>
      </c>
      <c r="U26" s="110" t="s">
        <v>138</v>
      </c>
      <c r="V26" s="154" t="s">
        <v>99</v>
      </c>
      <c r="W26" s="154"/>
      <c r="X26" s="154"/>
      <c r="Y26" s="73" t="s">
        <v>125</v>
      </c>
      <c r="Z26" s="73" t="s">
        <v>126</v>
      </c>
    </row>
    <row r="27" spans="1:26" ht="18" customHeight="1" x14ac:dyDescent="0.2">
      <c r="A27" s="14"/>
      <c r="B27" s="196" t="s">
        <v>165</v>
      </c>
      <c r="C27" s="197"/>
      <c r="D27" s="197"/>
      <c r="E27" s="197"/>
      <c r="F27" s="198"/>
      <c r="G27" s="111">
        <v>1</v>
      </c>
      <c r="H27" s="111" t="s">
        <v>167</v>
      </c>
      <c r="I27" s="190" t="s">
        <v>166</v>
      </c>
      <c r="J27" s="191"/>
      <c r="K27" s="192"/>
      <c r="L27" s="111" t="s">
        <v>167</v>
      </c>
      <c r="M27" s="111" t="s">
        <v>167</v>
      </c>
      <c r="N27" s="160"/>
      <c r="O27" s="161"/>
      <c r="P27" s="161"/>
      <c r="Q27" s="161"/>
      <c r="R27" s="161"/>
      <c r="S27" s="162"/>
      <c r="T27" s="111"/>
      <c r="U27" s="111"/>
      <c r="V27" s="190"/>
      <c r="W27" s="191"/>
      <c r="X27" s="192"/>
      <c r="Y27" s="111"/>
      <c r="Z27" s="111"/>
    </row>
    <row r="28" spans="1:26" ht="18" customHeight="1" x14ac:dyDescent="0.2">
      <c r="A28" s="14"/>
      <c r="B28" s="199"/>
      <c r="C28" s="200"/>
      <c r="D28" s="200"/>
      <c r="E28" s="200"/>
      <c r="F28" s="201"/>
      <c r="G28" s="112"/>
      <c r="H28" s="112"/>
      <c r="I28" s="193"/>
      <c r="J28" s="194"/>
      <c r="K28" s="195"/>
      <c r="L28" s="112"/>
      <c r="M28" s="112"/>
      <c r="N28" s="169"/>
      <c r="O28" s="170"/>
      <c r="P28" s="170"/>
      <c r="Q28" s="170"/>
      <c r="R28" s="170"/>
      <c r="S28" s="171"/>
      <c r="T28" s="112"/>
      <c r="U28" s="112"/>
      <c r="V28" s="193"/>
      <c r="W28" s="194"/>
      <c r="X28" s="195"/>
      <c r="Y28" s="112"/>
      <c r="Z28" s="112"/>
    </row>
    <row r="29" spans="1:26" ht="18" customHeight="1" x14ac:dyDescent="0.2">
      <c r="A29" s="14"/>
      <c r="B29" s="199"/>
      <c r="C29" s="200"/>
      <c r="D29" s="200"/>
      <c r="E29" s="200"/>
      <c r="F29" s="201"/>
      <c r="G29" s="112"/>
      <c r="H29" s="112"/>
      <c r="I29" s="193"/>
      <c r="J29" s="194"/>
      <c r="K29" s="195"/>
      <c r="L29" s="112"/>
      <c r="M29" s="112"/>
      <c r="N29" s="169"/>
      <c r="O29" s="170"/>
      <c r="P29" s="170"/>
      <c r="Q29" s="170"/>
      <c r="R29" s="170"/>
      <c r="S29" s="171"/>
      <c r="T29" s="112"/>
      <c r="U29" s="112"/>
      <c r="V29" s="193"/>
      <c r="W29" s="194"/>
      <c r="X29" s="195"/>
      <c r="Y29" s="112"/>
      <c r="Z29" s="112"/>
    </row>
    <row r="30" spans="1:26" ht="18" customHeight="1" x14ac:dyDescent="0.2">
      <c r="A30" s="14"/>
      <c r="B30" s="199"/>
      <c r="C30" s="200"/>
      <c r="D30" s="200"/>
      <c r="E30" s="200"/>
      <c r="F30" s="201"/>
      <c r="G30" s="112"/>
      <c r="H30" s="112"/>
      <c r="I30" s="193"/>
      <c r="J30" s="194"/>
      <c r="K30" s="195"/>
      <c r="L30" s="112"/>
      <c r="M30" s="112"/>
      <c r="N30" s="169"/>
      <c r="O30" s="170"/>
      <c r="P30" s="170"/>
      <c r="Q30" s="170"/>
      <c r="R30" s="170"/>
      <c r="S30" s="171"/>
      <c r="T30" s="112"/>
      <c r="U30" s="112"/>
      <c r="V30" s="193"/>
      <c r="W30" s="194"/>
      <c r="X30" s="195"/>
      <c r="Y30" s="112"/>
      <c r="Z30" s="112"/>
    </row>
    <row r="31" spans="1:26" ht="18" customHeight="1" x14ac:dyDescent="0.2">
      <c r="A31" s="14"/>
      <c r="B31" s="199"/>
      <c r="C31" s="200"/>
      <c r="D31" s="200"/>
      <c r="E31" s="200"/>
      <c r="F31" s="201"/>
      <c r="G31" s="112"/>
      <c r="H31" s="112"/>
      <c r="I31" s="193"/>
      <c r="J31" s="194"/>
      <c r="K31" s="195"/>
      <c r="L31" s="112"/>
      <c r="M31" s="112"/>
      <c r="N31" s="169"/>
      <c r="O31" s="170"/>
      <c r="P31" s="170"/>
      <c r="Q31" s="170"/>
      <c r="R31" s="170"/>
      <c r="S31" s="171"/>
      <c r="T31" s="112"/>
      <c r="U31" s="112"/>
      <c r="V31" s="193"/>
      <c r="W31" s="194"/>
      <c r="X31" s="195"/>
      <c r="Y31" s="112"/>
      <c r="Z31" s="112"/>
    </row>
    <row r="32" spans="1:26" ht="18" customHeight="1" x14ac:dyDescent="0.2">
      <c r="A32" s="14"/>
      <c r="B32" s="199"/>
      <c r="C32" s="200"/>
      <c r="D32" s="200"/>
      <c r="E32" s="200"/>
      <c r="F32" s="201"/>
      <c r="G32" s="112"/>
      <c r="H32" s="112"/>
      <c r="I32" s="193"/>
      <c r="J32" s="194"/>
      <c r="K32" s="195"/>
      <c r="L32" s="112"/>
      <c r="M32" s="112"/>
      <c r="N32" s="169"/>
      <c r="O32" s="170"/>
      <c r="P32" s="170"/>
      <c r="Q32" s="170"/>
      <c r="R32" s="170"/>
      <c r="S32" s="171"/>
      <c r="T32" s="112"/>
      <c r="U32" s="112"/>
      <c r="V32" s="193"/>
      <c r="W32" s="194"/>
      <c r="X32" s="195"/>
      <c r="Y32" s="112"/>
      <c r="Z32" s="112"/>
    </row>
    <row r="33" spans="1:26" ht="18" customHeight="1" x14ac:dyDescent="0.2">
      <c r="A33" s="14"/>
      <c r="B33" s="206"/>
      <c r="C33" s="207"/>
      <c r="D33" s="207"/>
      <c r="E33" s="207"/>
      <c r="F33" s="208"/>
      <c r="G33" s="113"/>
      <c r="H33" s="113"/>
      <c r="I33" s="202"/>
      <c r="J33" s="203"/>
      <c r="K33" s="204"/>
      <c r="L33" s="119"/>
      <c r="M33" s="119"/>
      <c r="N33" s="228"/>
      <c r="O33" s="229"/>
      <c r="P33" s="229"/>
      <c r="Q33" s="229"/>
      <c r="R33" s="229"/>
      <c r="S33" s="230"/>
      <c r="T33" s="113"/>
      <c r="U33" s="113"/>
      <c r="V33" s="202"/>
      <c r="W33" s="203"/>
      <c r="X33" s="204"/>
      <c r="Y33" s="119"/>
      <c r="Z33" s="119"/>
    </row>
    <row r="34" spans="1:26" ht="7.5" customHeight="1" x14ac:dyDescent="0.2">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2">
      <c r="A35" s="205" t="s">
        <v>127</v>
      </c>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row>
    <row r="36" spans="1:26" ht="18" customHeight="1" x14ac:dyDescent="0.2">
      <c r="A36" s="205"/>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row>
    <row r="37" spans="1:26" ht="18" customHeight="1" x14ac:dyDescent="0.2">
      <c r="A37" s="14"/>
      <c r="B37" s="153" t="s">
        <v>98</v>
      </c>
      <c r="C37" s="154"/>
      <c r="D37" s="154"/>
      <c r="E37" s="154"/>
      <c r="F37" s="155"/>
      <c r="G37" s="30" t="s">
        <v>139</v>
      </c>
      <c r="H37" s="110" t="s">
        <v>138</v>
      </c>
      <c r="I37" s="153" t="s">
        <v>99</v>
      </c>
      <c r="J37" s="154"/>
      <c r="K37" s="155"/>
      <c r="L37" s="73" t="s">
        <v>128</v>
      </c>
      <c r="M37" s="73" t="s">
        <v>129</v>
      </c>
      <c r="N37" s="153" t="s">
        <v>98</v>
      </c>
      <c r="O37" s="154"/>
      <c r="P37" s="154"/>
      <c r="Q37" s="154"/>
      <c r="R37" s="154"/>
      <c r="S37" s="155"/>
      <c r="T37" s="30" t="s">
        <v>139</v>
      </c>
      <c r="U37" s="110" t="s">
        <v>138</v>
      </c>
      <c r="V37" s="153" t="s">
        <v>99</v>
      </c>
      <c r="W37" s="154"/>
      <c r="X37" s="155"/>
      <c r="Y37" s="73" t="s">
        <v>128</v>
      </c>
      <c r="Z37" s="73" t="s">
        <v>129</v>
      </c>
    </row>
    <row r="38" spans="1:26" ht="18" customHeight="1" x14ac:dyDescent="0.2">
      <c r="A38" s="29"/>
      <c r="B38" s="196" t="s">
        <v>165</v>
      </c>
      <c r="C38" s="197"/>
      <c r="D38" s="197"/>
      <c r="E38" s="197"/>
      <c r="F38" s="198"/>
      <c r="G38" s="111">
        <v>1</v>
      </c>
      <c r="H38" s="111" t="s">
        <v>167</v>
      </c>
      <c r="I38" s="190" t="s">
        <v>166</v>
      </c>
      <c r="J38" s="191"/>
      <c r="K38" s="192"/>
      <c r="L38" s="111" t="s">
        <v>167</v>
      </c>
      <c r="M38" s="111" t="s">
        <v>167</v>
      </c>
      <c r="N38" s="160"/>
      <c r="O38" s="161"/>
      <c r="P38" s="161"/>
      <c r="Q38" s="161"/>
      <c r="R38" s="161"/>
      <c r="S38" s="162"/>
      <c r="T38" s="111"/>
      <c r="U38" s="111"/>
      <c r="V38" s="190"/>
      <c r="W38" s="191"/>
      <c r="X38" s="192"/>
      <c r="Y38" s="111"/>
      <c r="Z38" s="111"/>
    </row>
    <row r="39" spans="1:26" ht="18" customHeight="1" x14ac:dyDescent="0.2">
      <c r="A39" s="29"/>
      <c r="B39" s="199"/>
      <c r="C39" s="200"/>
      <c r="D39" s="200"/>
      <c r="E39" s="200"/>
      <c r="F39" s="201"/>
      <c r="G39" s="112"/>
      <c r="H39" s="112"/>
      <c r="I39" s="193"/>
      <c r="J39" s="194"/>
      <c r="K39" s="195"/>
      <c r="L39" s="112"/>
      <c r="M39" s="112"/>
      <c r="N39" s="169"/>
      <c r="O39" s="170"/>
      <c r="P39" s="170"/>
      <c r="Q39" s="170"/>
      <c r="R39" s="170"/>
      <c r="S39" s="171"/>
      <c r="T39" s="112"/>
      <c r="U39" s="112"/>
      <c r="V39" s="193"/>
      <c r="W39" s="194"/>
      <c r="X39" s="195"/>
      <c r="Y39" s="112"/>
      <c r="Z39" s="112"/>
    </row>
    <row r="40" spans="1:26" ht="18" customHeight="1" x14ac:dyDescent="0.2">
      <c r="A40" s="29"/>
      <c r="B40" s="199"/>
      <c r="C40" s="200"/>
      <c r="D40" s="200"/>
      <c r="E40" s="200"/>
      <c r="F40" s="201"/>
      <c r="G40" s="112"/>
      <c r="H40" s="112"/>
      <c r="I40" s="193"/>
      <c r="J40" s="194"/>
      <c r="K40" s="195"/>
      <c r="L40" s="112"/>
      <c r="M40" s="112"/>
      <c r="N40" s="169"/>
      <c r="O40" s="170"/>
      <c r="P40" s="170"/>
      <c r="Q40" s="170"/>
      <c r="R40" s="170"/>
      <c r="S40" s="171"/>
      <c r="T40" s="112"/>
      <c r="U40" s="112"/>
      <c r="V40" s="193"/>
      <c r="W40" s="194"/>
      <c r="X40" s="195"/>
      <c r="Y40" s="112"/>
      <c r="Z40" s="112"/>
    </row>
    <row r="41" spans="1:26" ht="18" customHeight="1" x14ac:dyDescent="0.2">
      <c r="A41" s="29"/>
      <c r="B41" s="199"/>
      <c r="C41" s="200"/>
      <c r="D41" s="200"/>
      <c r="E41" s="200"/>
      <c r="F41" s="201"/>
      <c r="G41" s="112"/>
      <c r="H41" s="112"/>
      <c r="I41" s="193"/>
      <c r="J41" s="194"/>
      <c r="K41" s="195"/>
      <c r="L41" s="112"/>
      <c r="M41" s="112"/>
      <c r="N41" s="169"/>
      <c r="O41" s="170"/>
      <c r="P41" s="170"/>
      <c r="Q41" s="170"/>
      <c r="R41" s="170"/>
      <c r="S41" s="171"/>
      <c r="T41" s="112"/>
      <c r="U41" s="112"/>
      <c r="V41" s="193"/>
      <c r="W41" s="194"/>
      <c r="X41" s="195"/>
      <c r="Y41" s="112"/>
      <c r="Z41" s="112"/>
    </row>
    <row r="42" spans="1:26" ht="18" customHeight="1" x14ac:dyDescent="0.2">
      <c r="A42" s="29"/>
      <c r="B42" s="199"/>
      <c r="C42" s="200"/>
      <c r="D42" s="200"/>
      <c r="E42" s="200"/>
      <c r="F42" s="201"/>
      <c r="G42" s="112"/>
      <c r="H42" s="112"/>
      <c r="I42" s="193"/>
      <c r="J42" s="194"/>
      <c r="K42" s="195"/>
      <c r="L42" s="112"/>
      <c r="M42" s="112"/>
      <c r="N42" s="169"/>
      <c r="O42" s="170"/>
      <c r="P42" s="170"/>
      <c r="Q42" s="170"/>
      <c r="R42" s="170"/>
      <c r="S42" s="171"/>
      <c r="T42" s="112"/>
      <c r="U42" s="112"/>
      <c r="V42" s="193"/>
      <c r="W42" s="194"/>
      <c r="X42" s="195"/>
      <c r="Y42" s="112"/>
      <c r="Z42" s="112"/>
    </row>
    <row r="43" spans="1:26" ht="18" customHeight="1" x14ac:dyDescent="0.2">
      <c r="A43" s="29"/>
      <c r="B43" s="199"/>
      <c r="C43" s="200"/>
      <c r="D43" s="200"/>
      <c r="E43" s="200"/>
      <c r="F43" s="201"/>
      <c r="G43" s="112"/>
      <c r="H43" s="112"/>
      <c r="I43" s="193"/>
      <c r="J43" s="194"/>
      <c r="K43" s="195"/>
      <c r="L43" s="112"/>
      <c r="M43" s="112"/>
      <c r="N43" s="169"/>
      <c r="O43" s="170"/>
      <c r="P43" s="170"/>
      <c r="Q43" s="170"/>
      <c r="R43" s="170"/>
      <c r="S43" s="171"/>
      <c r="T43" s="112"/>
      <c r="U43" s="112"/>
      <c r="V43" s="193"/>
      <c r="W43" s="194"/>
      <c r="X43" s="195"/>
      <c r="Y43" s="112"/>
      <c r="Z43" s="112"/>
    </row>
    <row r="44" spans="1:26" ht="18" customHeight="1" x14ac:dyDescent="0.2">
      <c r="A44" s="29"/>
      <c r="B44" s="206"/>
      <c r="C44" s="207"/>
      <c r="D44" s="207"/>
      <c r="E44" s="207"/>
      <c r="F44" s="208"/>
      <c r="G44" s="113"/>
      <c r="H44" s="113"/>
      <c r="I44" s="202"/>
      <c r="J44" s="203"/>
      <c r="K44" s="204"/>
      <c r="L44" s="119"/>
      <c r="M44" s="119"/>
      <c r="N44" s="228"/>
      <c r="O44" s="229"/>
      <c r="P44" s="229"/>
      <c r="Q44" s="229"/>
      <c r="R44" s="229"/>
      <c r="S44" s="230"/>
      <c r="T44" s="113"/>
      <c r="U44" s="113"/>
      <c r="V44" s="202"/>
      <c r="W44" s="203"/>
      <c r="X44" s="204"/>
      <c r="Y44" s="119"/>
      <c r="Z44" s="119"/>
    </row>
    <row r="45" spans="1:26" ht="7.5" customHeight="1" x14ac:dyDescent="0.2">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2">
      <c r="A46" s="205" t="s">
        <v>130</v>
      </c>
      <c r="B46" s="205"/>
      <c r="C46" s="205"/>
      <c r="D46" s="205"/>
      <c r="E46" s="205"/>
      <c r="F46" s="205"/>
      <c r="G46" s="205"/>
      <c r="H46" s="205"/>
      <c r="I46" s="205"/>
      <c r="J46" s="205"/>
      <c r="K46" s="205"/>
      <c r="L46" s="205"/>
      <c r="M46" s="205"/>
      <c r="N46" s="205"/>
      <c r="O46" s="205"/>
      <c r="P46" s="205"/>
      <c r="Q46" s="205"/>
      <c r="R46" s="205"/>
      <c r="S46" s="205"/>
      <c r="T46" s="205"/>
      <c r="U46" s="205"/>
      <c r="V46" s="205"/>
      <c r="W46" s="205"/>
      <c r="X46" s="205"/>
      <c r="Y46" s="205"/>
      <c r="Z46" s="205"/>
    </row>
    <row r="47" spans="1:26" ht="18" customHeight="1" x14ac:dyDescent="0.2">
      <c r="A47" s="205"/>
      <c r="B47" s="205"/>
      <c r="C47" s="205"/>
      <c r="D47" s="205"/>
      <c r="E47" s="205"/>
      <c r="F47" s="205"/>
      <c r="G47" s="205"/>
      <c r="H47" s="205"/>
      <c r="I47" s="205"/>
      <c r="J47" s="205"/>
      <c r="K47" s="205"/>
      <c r="L47" s="205"/>
      <c r="M47" s="205"/>
      <c r="N47" s="205"/>
      <c r="O47" s="205"/>
      <c r="P47" s="205"/>
      <c r="Q47" s="205"/>
      <c r="R47" s="205"/>
      <c r="S47" s="205"/>
      <c r="T47" s="205"/>
      <c r="U47" s="205"/>
      <c r="V47" s="205"/>
      <c r="W47" s="205"/>
      <c r="X47" s="205"/>
      <c r="Y47" s="205"/>
      <c r="Z47" s="205"/>
    </row>
    <row r="48" spans="1:26" ht="18" customHeight="1" x14ac:dyDescent="0.2">
      <c r="A48" s="14"/>
      <c r="B48" s="153" t="s">
        <v>98</v>
      </c>
      <c r="C48" s="154"/>
      <c r="D48" s="154"/>
      <c r="E48" s="154"/>
      <c r="F48" s="155"/>
      <c r="G48" s="30" t="s">
        <v>139</v>
      </c>
      <c r="H48" s="110" t="s">
        <v>138</v>
      </c>
      <c r="I48" s="153" t="s">
        <v>99</v>
      </c>
      <c r="J48" s="154"/>
      <c r="K48" s="155"/>
      <c r="L48" s="73" t="s">
        <v>104</v>
      </c>
      <c r="M48" s="73" t="s">
        <v>106</v>
      </c>
      <c r="N48" s="153" t="s">
        <v>98</v>
      </c>
      <c r="O48" s="154"/>
      <c r="P48" s="154"/>
      <c r="Q48" s="154"/>
      <c r="R48" s="154"/>
      <c r="S48" s="155"/>
      <c r="T48" s="30" t="s">
        <v>139</v>
      </c>
      <c r="U48" s="110" t="s">
        <v>138</v>
      </c>
      <c r="V48" s="153" t="s">
        <v>99</v>
      </c>
      <c r="W48" s="154"/>
      <c r="X48" s="155"/>
      <c r="Y48" s="73" t="s">
        <v>104</v>
      </c>
      <c r="Z48" s="73" t="s">
        <v>106</v>
      </c>
    </row>
    <row r="49" spans="1:26" ht="18" customHeight="1" x14ac:dyDescent="0.2">
      <c r="A49" s="29"/>
      <c r="B49" s="196" t="s">
        <v>165</v>
      </c>
      <c r="C49" s="197"/>
      <c r="D49" s="197"/>
      <c r="E49" s="197"/>
      <c r="F49" s="198"/>
      <c r="G49" s="111">
        <v>1</v>
      </c>
      <c r="H49" s="111" t="s">
        <v>167</v>
      </c>
      <c r="I49" s="190" t="s">
        <v>166</v>
      </c>
      <c r="J49" s="191"/>
      <c r="K49" s="192"/>
      <c r="L49" s="111" t="s">
        <v>167</v>
      </c>
      <c r="M49" s="111" t="s">
        <v>167</v>
      </c>
      <c r="N49" s="160"/>
      <c r="O49" s="161"/>
      <c r="P49" s="161"/>
      <c r="Q49" s="161"/>
      <c r="R49" s="161"/>
      <c r="S49" s="162"/>
      <c r="T49" s="111"/>
      <c r="U49" s="111"/>
      <c r="V49" s="190"/>
      <c r="W49" s="191"/>
      <c r="X49" s="192"/>
      <c r="Y49" s="111"/>
      <c r="Z49" s="111"/>
    </row>
    <row r="50" spans="1:26" ht="18" customHeight="1" x14ac:dyDescent="0.2">
      <c r="A50" s="29"/>
      <c r="B50" s="199"/>
      <c r="C50" s="200"/>
      <c r="D50" s="200"/>
      <c r="E50" s="200"/>
      <c r="F50" s="201"/>
      <c r="G50" s="112"/>
      <c r="H50" s="112"/>
      <c r="I50" s="193"/>
      <c r="J50" s="194"/>
      <c r="K50" s="195"/>
      <c r="L50" s="112"/>
      <c r="M50" s="112"/>
      <c r="N50" s="169"/>
      <c r="O50" s="170"/>
      <c r="P50" s="170"/>
      <c r="Q50" s="170"/>
      <c r="R50" s="170"/>
      <c r="S50" s="171"/>
      <c r="T50" s="112"/>
      <c r="U50" s="112"/>
      <c r="V50" s="193"/>
      <c r="W50" s="194"/>
      <c r="X50" s="195"/>
      <c r="Y50" s="112"/>
      <c r="Z50" s="112"/>
    </row>
    <row r="51" spans="1:26" ht="18" customHeight="1" x14ac:dyDescent="0.2">
      <c r="A51" s="29"/>
      <c r="B51" s="199"/>
      <c r="C51" s="200"/>
      <c r="D51" s="200"/>
      <c r="E51" s="200"/>
      <c r="F51" s="201"/>
      <c r="G51" s="112"/>
      <c r="H51" s="112"/>
      <c r="I51" s="193"/>
      <c r="J51" s="194"/>
      <c r="K51" s="195"/>
      <c r="L51" s="112"/>
      <c r="M51" s="112"/>
      <c r="N51" s="169"/>
      <c r="O51" s="170"/>
      <c r="P51" s="170"/>
      <c r="Q51" s="170"/>
      <c r="R51" s="170"/>
      <c r="S51" s="171"/>
      <c r="T51" s="112"/>
      <c r="U51" s="112"/>
      <c r="V51" s="193"/>
      <c r="W51" s="194"/>
      <c r="X51" s="195"/>
      <c r="Y51" s="112"/>
      <c r="Z51" s="112"/>
    </row>
    <row r="52" spans="1:26" ht="18" customHeight="1" x14ac:dyDescent="0.2">
      <c r="A52" s="29"/>
      <c r="B52" s="199"/>
      <c r="C52" s="200"/>
      <c r="D52" s="200"/>
      <c r="E52" s="200"/>
      <c r="F52" s="201"/>
      <c r="G52" s="112"/>
      <c r="H52" s="112"/>
      <c r="I52" s="193"/>
      <c r="J52" s="194"/>
      <c r="K52" s="195"/>
      <c r="L52" s="112"/>
      <c r="M52" s="112"/>
      <c r="N52" s="169"/>
      <c r="O52" s="170"/>
      <c r="P52" s="170"/>
      <c r="Q52" s="170"/>
      <c r="R52" s="170"/>
      <c r="S52" s="171"/>
      <c r="T52" s="112"/>
      <c r="U52" s="112"/>
      <c r="V52" s="193"/>
      <c r="W52" s="194"/>
      <c r="X52" s="195"/>
      <c r="Y52" s="112"/>
      <c r="Z52" s="112"/>
    </row>
    <row r="53" spans="1:26" ht="18" customHeight="1" x14ac:dyDescent="0.2">
      <c r="A53" s="29"/>
      <c r="B53" s="199"/>
      <c r="C53" s="200"/>
      <c r="D53" s="200"/>
      <c r="E53" s="200"/>
      <c r="F53" s="201"/>
      <c r="G53" s="112"/>
      <c r="H53" s="112"/>
      <c r="I53" s="193"/>
      <c r="J53" s="194"/>
      <c r="K53" s="195"/>
      <c r="L53" s="112"/>
      <c r="M53" s="112"/>
      <c r="N53" s="169"/>
      <c r="O53" s="170"/>
      <c r="P53" s="170"/>
      <c r="Q53" s="170"/>
      <c r="R53" s="170"/>
      <c r="S53" s="171"/>
      <c r="T53" s="112"/>
      <c r="U53" s="112"/>
      <c r="V53" s="193"/>
      <c r="W53" s="194"/>
      <c r="X53" s="195"/>
      <c r="Y53" s="112"/>
      <c r="Z53" s="112"/>
    </row>
    <row r="54" spans="1:26" ht="18" customHeight="1" x14ac:dyDescent="0.2">
      <c r="A54" s="29"/>
      <c r="B54" s="199"/>
      <c r="C54" s="200"/>
      <c r="D54" s="200"/>
      <c r="E54" s="200"/>
      <c r="F54" s="201"/>
      <c r="G54" s="112"/>
      <c r="H54" s="112"/>
      <c r="I54" s="193"/>
      <c r="J54" s="194"/>
      <c r="K54" s="195"/>
      <c r="L54" s="112"/>
      <c r="M54" s="112"/>
      <c r="N54" s="169"/>
      <c r="O54" s="170"/>
      <c r="P54" s="170"/>
      <c r="Q54" s="170"/>
      <c r="R54" s="170"/>
      <c r="S54" s="171"/>
      <c r="T54" s="112"/>
      <c r="U54" s="112"/>
      <c r="V54" s="193"/>
      <c r="W54" s="194"/>
      <c r="X54" s="195"/>
      <c r="Y54" s="112"/>
      <c r="Z54" s="112"/>
    </row>
    <row r="55" spans="1:26" ht="18" customHeight="1" x14ac:dyDescent="0.2">
      <c r="A55" s="29"/>
      <c r="B55" s="206"/>
      <c r="C55" s="207"/>
      <c r="D55" s="207"/>
      <c r="E55" s="207"/>
      <c r="F55" s="208"/>
      <c r="G55" s="113"/>
      <c r="H55" s="113"/>
      <c r="I55" s="202"/>
      <c r="J55" s="203"/>
      <c r="K55" s="204"/>
      <c r="L55" s="119"/>
      <c r="M55" s="119"/>
      <c r="N55" s="228"/>
      <c r="O55" s="229"/>
      <c r="P55" s="229"/>
      <c r="Q55" s="229"/>
      <c r="R55" s="229"/>
      <c r="S55" s="230"/>
      <c r="T55" s="113"/>
      <c r="U55" s="113"/>
      <c r="V55" s="202"/>
      <c r="W55" s="203"/>
      <c r="X55" s="204"/>
      <c r="Y55" s="119"/>
      <c r="Z55" s="119"/>
    </row>
    <row r="56" spans="1:26" ht="7.5" customHeight="1" x14ac:dyDescent="0.2">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2">
      <c r="A57" s="205" t="s">
        <v>131</v>
      </c>
      <c r="B57" s="205"/>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row>
    <row r="58" spans="1:26" ht="18" customHeight="1" x14ac:dyDescent="0.2">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row>
    <row r="59" spans="1:26" ht="18" customHeight="1" x14ac:dyDescent="0.2">
      <c r="A59" s="14"/>
      <c r="B59" s="153" t="s">
        <v>98</v>
      </c>
      <c r="C59" s="154"/>
      <c r="D59" s="154"/>
      <c r="E59" s="155"/>
      <c r="F59" s="30" t="s">
        <v>139</v>
      </c>
      <c r="G59" s="110" t="s">
        <v>138</v>
      </c>
      <c r="H59" s="105" t="s">
        <v>99</v>
      </c>
      <c r="I59" s="106"/>
      <c r="J59" s="107"/>
      <c r="K59" s="73" t="s">
        <v>103</v>
      </c>
      <c r="L59" s="73" t="s">
        <v>132</v>
      </c>
      <c r="M59" s="73" t="s">
        <v>133</v>
      </c>
      <c r="N59" s="153" t="s">
        <v>98</v>
      </c>
      <c r="O59" s="154"/>
      <c r="P59" s="154"/>
      <c r="Q59" s="154"/>
      <c r="R59" s="155"/>
      <c r="S59" s="30" t="s">
        <v>139</v>
      </c>
      <c r="T59" s="110" t="s">
        <v>138</v>
      </c>
      <c r="U59" s="105" t="s">
        <v>99</v>
      </c>
      <c r="V59" s="106"/>
      <c r="W59" s="107"/>
      <c r="X59" s="73" t="s">
        <v>103</v>
      </c>
      <c r="Y59" s="73" t="s">
        <v>132</v>
      </c>
      <c r="Z59" s="73" t="s">
        <v>133</v>
      </c>
    </row>
    <row r="60" spans="1:26" ht="18" customHeight="1" x14ac:dyDescent="0.2">
      <c r="A60" s="29"/>
      <c r="B60" s="160" t="s">
        <v>168</v>
      </c>
      <c r="C60" s="161"/>
      <c r="D60" s="161"/>
      <c r="E60" s="162"/>
      <c r="F60" s="111">
        <v>1</v>
      </c>
      <c r="G60" s="111"/>
      <c r="H60" s="190" t="s">
        <v>169</v>
      </c>
      <c r="I60" s="191"/>
      <c r="J60" s="192"/>
      <c r="K60" s="111" t="s">
        <v>167</v>
      </c>
      <c r="L60" s="111" t="s">
        <v>167</v>
      </c>
      <c r="M60" s="111" t="s">
        <v>167</v>
      </c>
      <c r="N60" s="160"/>
      <c r="O60" s="161"/>
      <c r="P60" s="161"/>
      <c r="Q60" s="161"/>
      <c r="R60" s="162"/>
      <c r="S60" s="111"/>
      <c r="T60" s="111"/>
      <c r="U60" s="190"/>
      <c r="V60" s="191"/>
      <c r="W60" s="192"/>
      <c r="X60" s="118"/>
      <c r="Y60" s="111"/>
      <c r="Z60" s="111"/>
    </row>
    <row r="61" spans="1:26" ht="18" customHeight="1" x14ac:dyDescent="0.2">
      <c r="A61" s="29"/>
      <c r="B61" s="169" t="s">
        <v>170</v>
      </c>
      <c r="C61" s="170"/>
      <c r="D61" s="170"/>
      <c r="E61" s="171"/>
      <c r="F61" s="112">
        <v>1</v>
      </c>
      <c r="G61" s="112"/>
      <c r="H61" s="193" t="s">
        <v>169</v>
      </c>
      <c r="I61" s="194"/>
      <c r="J61" s="195"/>
      <c r="K61" s="112" t="s">
        <v>167</v>
      </c>
      <c r="L61" s="112" t="s">
        <v>167</v>
      </c>
      <c r="M61" s="112" t="s">
        <v>167</v>
      </c>
      <c r="N61" s="169"/>
      <c r="O61" s="170"/>
      <c r="P61" s="170"/>
      <c r="Q61" s="170"/>
      <c r="R61" s="171"/>
      <c r="S61" s="112"/>
      <c r="T61" s="112"/>
      <c r="U61" s="193"/>
      <c r="V61" s="194"/>
      <c r="W61" s="195"/>
      <c r="X61" s="116"/>
      <c r="Y61" s="112"/>
      <c r="Z61" s="112"/>
    </row>
    <row r="62" spans="1:26" ht="18" customHeight="1" x14ac:dyDescent="0.2">
      <c r="A62" s="29"/>
      <c r="B62" s="169" t="s">
        <v>171</v>
      </c>
      <c r="C62" s="170"/>
      <c r="D62" s="170"/>
      <c r="E62" s="171"/>
      <c r="F62" s="112">
        <v>1</v>
      </c>
      <c r="G62" s="112"/>
      <c r="H62" s="193" t="s">
        <v>169</v>
      </c>
      <c r="I62" s="194"/>
      <c r="J62" s="195"/>
      <c r="K62" s="112" t="s">
        <v>167</v>
      </c>
      <c r="L62" s="112" t="s">
        <v>167</v>
      </c>
      <c r="M62" s="112" t="s">
        <v>167</v>
      </c>
      <c r="N62" s="169"/>
      <c r="O62" s="170"/>
      <c r="P62" s="170"/>
      <c r="Q62" s="170"/>
      <c r="R62" s="171"/>
      <c r="S62" s="112"/>
      <c r="T62" s="112"/>
      <c r="U62" s="193"/>
      <c r="V62" s="194"/>
      <c r="W62" s="195"/>
      <c r="X62" s="116"/>
      <c r="Y62" s="112"/>
      <c r="Z62" s="112"/>
    </row>
    <row r="63" spans="1:26" ht="18" customHeight="1" x14ac:dyDescent="0.2">
      <c r="A63" s="29"/>
      <c r="B63" s="169" t="s">
        <v>172</v>
      </c>
      <c r="C63" s="170"/>
      <c r="D63" s="170"/>
      <c r="E63" s="171"/>
      <c r="F63" s="112">
        <v>1</v>
      </c>
      <c r="G63" s="112"/>
      <c r="H63" s="193" t="s">
        <v>169</v>
      </c>
      <c r="I63" s="194"/>
      <c r="J63" s="195"/>
      <c r="K63" s="112" t="s">
        <v>167</v>
      </c>
      <c r="L63" s="112" t="s">
        <v>167</v>
      </c>
      <c r="M63" s="112" t="s">
        <v>167</v>
      </c>
      <c r="N63" s="169"/>
      <c r="O63" s="170"/>
      <c r="P63" s="170"/>
      <c r="Q63" s="170"/>
      <c r="R63" s="171"/>
      <c r="S63" s="112"/>
      <c r="T63" s="112"/>
      <c r="U63" s="193"/>
      <c r="V63" s="194"/>
      <c r="W63" s="195"/>
      <c r="X63" s="116"/>
      <c r="Y63" s="112"/>
      <c r="Z63" s="112"/>
    </row>
    <row r="64" spans="1:26" ht="18" customHeight="1" x14ac:dyDescent="0.2">
      <c r="A64" s="29"/>
      <c r="B64" s="169"/>
      <c r="C64" s="170"/>
      <c r="D64" s="170"/>
      <c r="E64" s="171"/>
      <c r="F64" s="112"/>
      <c r="G64" s="112"/>
      <c r="H64" s="193"/>
      <c r="I64" s="194"/>
      <c r="J64" s="195"/>
      <c r="K64" s="116"/>
      <c r="L64" s="112"/>
      <c r="M64" s="112"/>
      <c r="N64" s="169"/>
      <c r="O64" s="170"/>
      <c r="P64" s="170"/>
      <c r="Q64" s="170"/>
      <c r="R64" s="171"/>
      <c r="S64" s="112"/>
      <c r="T64" s="112"/>
      <c r="U64" s="193"/>
      <c r="V64" s="194"/>
      <c r="W64" s="195"/>
      <c r="X64" s="116"/>
      <c r="Y64" s="112"/>
      <c r="Z64" s="112"/>
    </row>
    <row r="65" spans="1:26" ht="18" customHeight="1" x14ac:dyDescent="0.2">
      <c r="A65" s="29"/>
      <c r="B65" s="169"/>
      <c r="C65" s="170"/>
      <c r="D65" s="170"/>
      <c r="E65" s="171"/>
      <c r="F65" s="112"/>
      <c r="G65" s="112"/>
      <c r="H65" s="193"/>
      <c r="I65" s="194"/>
      <c r="J65" s="195"/>
      <c r="K65" s="116"/>
      <c r="L65" s="112"/>
      <c r="M65" s="112"/>
      <c r="N65" s="169"/>
      <c r="O65" s="170"/>
      <c r="P65" s="170"/>
      <c r="Q65" s="170"/>
      <c r="R65" s="171"/>
      <c r="S65" s="112"/>
      <c r="T65" s="112"/>
      <c r="U65" s="193"/>
      <c r="V65" s="194"/>
      <c r="W65" s="195"/>
      <c r="X65" s="116"/>
      <c r="Y65" s="112"/>
      <c r="Z65" s="112"/>
    </row>
    <row r="66" spans="1:26" ht="18" customHeight="1" x14ac:dyDescent="0.2">
      <c r="A66" s="29"/>
      <c r="B66" s="228"/>
      <c r="C66" s="229"/>
      <c r="D66" s="229"/>
      <c r="E66" s="230"/>
      <c r="F66" s="113"/>
      <c r="G66" s="113"/>
      <c r="H66" s="202"/>
      <c r="I66" s="203"/>
      <c r="J66" s="204"/>
      <c r="K66" s="117"/>
      <c r="L66" s="119"/>
      <c r="M66" s="119"/>
      <c r="N66" s="228"/>
      <c r="O66" s="229"/>
      <c r="P66" s="229"/>
      <c r="Q66" s="229"/>
      <c r="R66" s="230"/>
      <c r="S66" s="113"/>
      <c r="T66" s="113"/>
      <c r="U66" s="202"/>
      <c r="V66" s="203"/>
      <c r="W66" s="204"/>
      <c r="X66" s="117"/>
      <c r="Y66" s="119"/>
      <c r="Z66" s="119"/>
    </row>
    <row r="67" spans="1:26" ht="7.5" customHeight="1" x14ac:dyDescent="0.2">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2">
      <c r="A68" s="14" t="s">
        <v>134</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53" t="s">
        <v>98</v>
      </c>
      <c r="C69" s="154"/>
      <c r="D69" s="154"/>
      <c r="E69" s="154"/>
      <c r="F69" s="155"/>
      <c r="G69" s="153" t="s">
        <v>144</v>
      </c>
      <c r="H69" s="154"/>
      <c r="I69" s="154"/>
      <c r="J69" s="154"/>
      <c r="K69" s="154"/>
      <c r="L69" s="154"/>
      <c r="M69" s="155"/>
      <c r="N69" s="234" t="s">
        <v>98</v>
      </c>
      <c r="O69" s="235"/>
      <c r="P69" s="235"/>
      <c r="Q69" s="235"/>
      <c r="R69" s="235"/>
      <c r="S69" s="236"/>
      <c r="T69" s="153" t="s">
        <v>144</v>
      </c>
      <c r="U69" s="154"/>
      <c r="V69" s="154"/>
      <c r="W69" s="154"/>
      <c r="X69" s="154"/>
      <c r="Y69" s="154"/>
      <c r="Z69" s="155"/>
    </row>
    <row r="70" spans="1:26" ht="18" customHeight="1" x14ac:dyDescent="0.2">
      <c r="A70" s="29"/>
      <c r="B70" s="160"/>
      <c r="C70" s="161"/>
      <c r="D70" s="161"/>
      <c r="E70" s="161"/>
      <c r="F70" s="162"/>
      <c r="G70" s="163"/>
      <c r="H70" s="164"/>
      <c r="I70" s="164"/>
      <c r="J70" s="164"/>
      <c r="K70" s="164"/>
      <c r="L70" s="164"/>
      <c r="M70" s="165"/>
      <c r="N70" s="160"/>
      <c r="O70" s="161"/>
      <c r="P70" s="161"/>
      <c r="Q70" s="161"/>
      <c r="R70" s="161"/>
      <c r="S70" s="162"/>
      <c r="T70" s="163"/>
      <c r="U70" s="164"/>
      <c r="V70" s="164"/>
      <c r="W70" s="164"/>
      <c r="X70" s="164"/>
      <c r="Y70" s="164"/>
      <c r="Z70" s="165"/>
    </row>
    <row r="71" spans="1:26" ht="18" customHeight="1" x14ac:dyDescent="0.2">
      <c r="A71" s="29"/>
      <c r="B71" s="169"/>
      <c r="C71" s="170"/>
      <c r="D71" s="170"/>
      <c r="E71" s="170"/>
      <c r="F71" s="171"/>
      <c r="G71" s="172"/>
      <c r="H71" s="173"/>
      <c r="I71" s="173"/>
      <c r="J71" s="173"/>
      <c r="K71" s="173"/>
      <c r="L71" s="173"/>
      <c r="M71" s="174"/>
      <c r="N71" s="169"/>
      <c r="O71" s="170"/>
      <c r="P71" s="170"/>
      <c r="Q71" s="170"/>
      <c r="R71" s="170"/>
      <c r="S71" s="171"/>
      <c r="T71" s="172"/>
      <c r="U71" s="173"/>
      <c r="V71" s="173"/>
      <c r="W71" s="173"/>
      <c r="X71" s="173"/>
      <c r="Y71" s="173"/>
      <c r="Z71" s="174"/>
    </row>
    <row r="72" spans="1:26" ht="18" customHeight="1" x14ac:dyDescent="0.2">
      <c r="A72" s="29"/>
      <c r="B72" s="169"/>
      <c r="C72" s="170"/>
      <c r="D72" s="170"/>
      <c r="E72" s="170"/>
      <c r="F72" s="171"/>
      <c r="G72" s="172"/>
      <c r="H72" s="173"/>
      <c r="I72" s="173"/>
      <c r="J72" s="173"/>
      <c r="K72" s="173"/>
      <c r="L72" s="173"/>
      <c r="M72" s="174"/>
      <c r="N72" s="169"/>
      <c r="O72" s="170"/>
      <c r="P72" s="170"/>
      <c r="Q72" s="170"/>
      <c r="R72" s="170"/>
      <c r="S72" s="171"/>
      <c r="T72" s="172"/>
      <c r="U72" s="173"/>
      <c r="V72" s="173"/>
      <c r="W72" s="173"/>
      <c r="X72" s="173"/>
      <c r="Y72" s="173"/>
      <c r="Z72" s="174"/>
    </row>
    <row r="73" spans="1:26" ht="18" customHeight="1" x14ac:dyDescent="0.2">
      <c r="A73" s="29"/>
      <c r="B73" s="169"/>
      <c r="C73" s="170"/>
      <c r="D73" s="170"/>
      <c r="E73" s="170"/>
      <c r="F73" s="171"/>
      <c r="G73" s="172"/>
      <c r="H73" s="173"/>
      <c r="I73" s="173"/>
      <c r="J73" s="173"/>
      <c r="K73" s="173"/>
      <c r="L73" s="173"/>
      <c r="M73" s="174"/>
      <c r="N73" s="169"/>
      <c r="O73" s="170"/>
      <c r="P73" s="170"/>
      <c r="Q73" s="170"/>
      <c r="R73" s="170"/>
      <c r="S73" s="171"/>
      <c r="T73" s="172"/>
      <c r="U73" s="173"/>
      <c r="V73" s="173"/>
      <c r="W73" s="173"/>
      <c r="X73" s="173"/>
      <c r="Y73" s="173"/>
      <c r="Z73" s="174"/>
    </row>
    <row r="74" spans="1:26" ht="18" customHeight="1" x14ac:dyDescent="0.2">
      <c r="A74" s="29"/>
      <c r="B74" s="169"/>
      <c r="C74" s="170"/>
      <c r="D74" s="170"/>
      <c r="E74" s="170"/>
      <c r="F74" s="171"/>
      <c r="G74" s="172"/>
      <c r="H74" s="173"/>
      <c r="I74" s="173"/>
      <c r="J74" s="173"/>
      <c r="K74" s="173"/>
      <c r="L74" s="173"/>
      <c r="M74" s="174"/>
      <c r="N74" s="169"/>
      <c r="O74" s="170"/>
      <c r="P74" s="170"/>
      <c r="Q74" s="170"/>
      <c r="R74" s="170"/>
      <c r="S74" s="171"/>
      <c r="T74" s="172"/>
      <c r="U74" s="173"/>
      <c r="V74" s="173"/>
      <c r="W74" s="173"/>
      <c r="X74" s="173"/>
      <c r="Y74" s="173"/>
      <c r="Z74" s="174"/>
    </row>
    <row r="75" spans="1:26" ht="18" customHeight="1" x14ac:dyDescent="0.2">
      <c r="A75" s="29"/>
      <c r="B75" s="169"/>
      <c r="C75" s="170"/>
      <c r="D75" s="170"/>
      <c r="E75" s="170"/>
      <c r="F75" s="171"/>
      <c r="G75" s="172"/>
      <c r="H75" s="173"/>
      <c r="I75" s="173"/>
      <c r="J75" s="173"/>
      <c r="K75" s="173"/>
      <c r="L75" s="173"/>
      <c r="M75" s="174"/>
      <c r="N75" s="169"/>
      <c r="O75" s="170"/>
      <c r="P75" s="170"/>
      <c r="Q75" s="170"/>
      <c r="R75" s="170"/>
      <c r="S75" s="171"/>
      <c r="T75" s="172"/>
      <c r="U75" s="173"/>
      <c r="V75" s="173"/>
      <c r="W75" s="173"/>
      <c r="X75" s="173"/>
      <c r="Y75" s="173"/>
      <c r="Z75" s="174"/>
    </row>
    <row r="76" spans="1:26" ht="18" customHeight="1" x14ac:dyDescent="0.2">
      <c r="A76" s="29"/>
      <c r="B76" s="228"/>
      <c r="C76" s="229"/>
      <c r="D76" s="229"/>
      <c r="E76" s="229"/>
      <c r="F76" s="230"/>
      <c r="G76" s="231"/>
      <c r="H76" s="232"/>
      <c r="I76" s="232"/>
      <c r="J76" s="232"/>
      <c r="K76" s="232"/>
      <c r="L76" s="232"/>
      <c r="M76" s="233"/>
      <c r="N76" s="228"/>
      <c r="O76" s="229"/>
      <c r="P76" s="229"/>
      <c r="Q76" s="229"/>
      <c r="R76" s="229"/>
      <c r="S76" s="230"/>
      <c r="T76" s="231"/>
      <c r="U76" s="232"/>
      <c r="V76" s="232"/>
      <c r="W76" s="232"/>
      <c r="X76" s="232"/>
      <c r="Y76" s="232"/>
      <c r="Z76" s="233"/>
    </row>
    <row r="77" spans="1:26" ht="18" customHeight="1" x14ac:dyDescent="0.2">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x14ac:dyDescent="0.2">
      <c r="A78" s="13" t="s">
        <v>140</v>
      </c>
    </row>
    <row r="79" spans="1:26" ht="18.75" customHeight="1" x14ac:dyDescent="0.2">
      <c r="B79" s="76" t="s">
        <v>100</v>
      </c>
      <c r="C79" s="77"/>
      <c r="D79" s="188" t="s">
        <v>101</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78" customHeight="1" x14ac:dyDescent="0.2">
      <c r="B80" s="177" t="s">
        <v>107</v>
      </c>
      <c r="C80" s="83" t="s">
        <v>102</v>
      </c>
      <c r="D80" s="184" t="s">
        <v>173</v>
      </c>
      <c r="E80" s="184"/>
      <c r="F80" s="184"/>
      <c r="G80" s="184"/>
      <c r="H80" s="184"/>
      <c r="I80" s="184"/>
      <c r="J80" s="184"/>
      <c r="K80" s="184"/>
      <c r="L80" s="184"/>
      <c r="M80" s="184"/>
      <c r="N80" s="184"/>
      <c r="O80" s="184"/>
      <c r="P80" s="184"/>
      <c r="Q80" s="184"/>
      <c r="R80" s="184"/>
      <c r="S80" s="184"/>
      <c r="T80" s="184"/>
      <c r="U80" s="184"/>
      <c r="V80" s="184"/>
      <c r="W80" s="184"/>
      <c r="X80" s="184"/>
      <c r="Y80" s="184"/>
      <c r="Z80" s="185"/>
    </row>
    <row r="81" spans="1:26" ht="78" customHeight="1" x14ac:dyDescent="0.2">
      <c r="B81" s="178"/>
      <c r="C81" s="108" t="s">
        <v>135</v>
      </c>
      <c r="D81" s="220" t="s">
        <v>174</v>
      </c>
      <c r="E81" s="220"/>
      <c r="F81" s="220"/>
      <c r="G81" s="220"/>
      <c r="H81" s="220"/>
      <c r="I81" s="220"/>
      <c r="J81" s="220"/>
      <c r="K81" s="220"/>
      <c r="L81" s="220"/>
      <c r="M81" s="220"/>
      <c r="N81" s="220"/>
      <c r="O81" s="220"/>
      <c r="P81" s="220"/>
      <c r="Q81" s="220"/>
      <c r="R81" s="220"/>
      <c r="S81" s="220"/>
      <c r="T81" s="220"/>
      <c r="U81" s="220"/>
      <c r="V81" s="220"/>
      <c r="W81" s="220"/>
      <c r="X81" s="220"/>
      <c r="Y81" s="220"/>
      <c r="Z81" s="221"/>
    </row>
    <row r="82" spans="1:26" ht="78" customHeight="1" x14ac:dyDescent="0.2">
      <c r="B82" s="175" t="s">
        <v>108</v>
      </c>
      <c r="C82" s="78" t="s">
        <v>125</v>
      </c>
      <c r="D82" s="222" t="s">
        <v>175</v>
      </c>
      <c r="E82" s="222"/>
      <c r="F82" s="222"/>
      <c r="G82" s="222"/>
      <c r="H82" s="222"/>
      <c r="I82" s="222"/>
      <c r="J82" s="222"/>
      <c r="K82" s="222"/>
      <c r="L82" s="222"/>
      <c r="M82" s="222"/>
      <c r="N82" s="222"/>
      <c r="O82" s="222"/>
      <c r="P82" s="222"/>
      <c r="Q82" s="222"/>
      <c r="R82" s="222"/>
      <c r="S82" s="222"/>
      <c r="T82" s="222"/>
      <c r="U82" s="222"/>
      <c r="V82" s="222"/>
      <c r="W82" s="222"/>
      <c r="X82" s="222"/>
      <c r="Y82" s="222"/>
      <c r="Z82" s="223"/>
    </row>
    <row r="83" spans="1:26" ht="78" customHeight="1" x14ac:dyDescent="0.2">
      <c r="B83" s="176"/>
      <c r="C83" s="109" t="s">
        <v>126</v>
      </c>
      <c r="D83" s="226" t="s">
        <v>176</v>
      </c>
      <c r="E83" s="226"/>
      <c r="F83" s="226"/>
      <c r="G83" s="226"/>
      <c r="H83" s="226"/>
      <c r="I83" s="226"/>
      <c r="J83" s="226"/>
      <c r="K83" s="226"/>
      <c r="L83" s="226"/>
      <c r="M83" s="226"/>
      <c r="N83" s="226"/>
      <c r="O83" s="226"/>
      <c r="P83" s="226"/>
      <c r="Q83" s="226"/>
      <c r="R83" s="226"/>
      <c r="S83" s="226"/>
      <c r="T83" s="226"/>
      <c r="U83" s="226"/>
      <c r="V83" s="226"/>
      <c r="W83" s="226"/>
      <c r="X83" s="226"/>
      <c r="Y83" s="226"/>
      <c r="Z83" s="227"/>
    </row>
    <row r="84" spans="1:26" ht="66" customHeight="1" x14ac:dyDescent="0.2">
      <c r="B84" s="175" t="s">
        <v>109</v>
      </c>
      <c r="C84" s="78" t="s">
        <v>128</v>
      </c>
      <c r="D84" s="222" t="s">
        <v>212</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71.400000000000006" customHeight="1" x14ac:dyDescent="0.2">
      <c r="B85" s="176"/>
      <c r="C85" s="80" t="s">
        <v>129</v>
      </c>
      <c r="D85" s="224" t="s">
        <v>211</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66" customHeight="1" x14ac:dyDescent="0.2">
      <c r="B86" s="177" t="s">
        <v>136</v>
      </c>
      <c r="C86" s="83" t="s">
        <v>104</v>
      </c>
      <c r="D86" s="184" t="s">
        <v>177</v>
      </c>
      <c r="E86" s="184"/>
      <c r="F86" s="184"/>
      <c r="G86" s="184"/>
      <c r="H86" s="184"/>
      <c r="I86" s="184"/>
      <c r="J86" s="184"/>
      <c r="K86" s="184"/>
      <c r="L86" s="184"/>
      <c r="M86" s="184"/>
      <c r="N86" s="184"/>
      <c r="O86" s="184"/>
      <c r="P86" s="184"/>
      <c r="Q86" s="184"/>
      <c r="R86" s="184"/>
      <c r="S86" s="184"/>
      <c r="T86" s="184"/>
      <c r="U86" s="184"/>
      <c r="V86" s="184"/>
      <c r="W86" s="184"/>
      <c r="X86" s="184"/>
      <c r="Y86" s="184"/>
      <c r="Z86" s="185"/>
    </row>
    <row r="87" spans="1:26" ht="66" customHeight="1" x14ac:dyDescent="0.2">
      <c r="B87" s="183"/>
      <c r="C87" s="79" t="s">
        <v>106</v>
      </c>
      <c r="D87" s="186" t="s">
        <v>178</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93.6" customHeight="1" x14ac:dyDescent="0.2">
      <c r="B88" s="177" t="s">
        <v>137</v>
      </c>
      <c r="C88" s="78" t="s">
        <v>103</v>
      </c>
      <c r="D88" s="179" t="s">
        <v>179</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66" customHeight="1" x14ac:dyDescent="0.2">
      <c r="B89" s="178"/>
      <c r="C89" s="79" t="s">
        <v>132</v>
      </c>
      <c r="D89" s="166" t="s">
        <v>224</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66" customHeight="1" x14ac:dyDescent="0.2">
      <c r="B90" s="176"/>
      <c r="C90" s="80" t="s">
        <v>133</v>
      </c>
      <c r="D90" s="181" t="s">
        <v>180</v>
      </c>
      <c r="E90" s="181"/>
      <c r="F90" s="181"/>
      <c r="G90" s="181"/>
      <c r="H90" s="181"/>
      <c r="I90" s="181"/>
      <c r="J90" s="181"/>
      <c r="K90" s="181"/>
      <c r="L90" s="181"/>
      <c r="M90" s="181"/>
      <c r="N90" s="181"/>
      <c r="O90" s="181"/>
      <c r="P90" s="181"/>
      <c r="Q90" s="181"/>
      <c r="R90" s="181"/>
      <c r="S90" s="181"/>
      <c r="T90" s="181"/>
      <c r="U90" s="181"/>
      <c r="V90" s="181"/>
      <c r="W90" s="181"/>
      <c r="X90" s="181"/>
      <c r="Y90" s="181"/>
      <c r="Z90" s="182"/>
    </row>
    <row r="91" spans="1:26" ht="6" customHeight="1" x14ac:dyDescent="0.2"/>
    <row r="92" spans="1:26" ht="18.75" customHeight="1" x14ac:dyDescent="0.2">
      <c r="A92" s="13" t="s">
        <v>141</v>
      </c>
    </row>
    <row r="93" spans="1:26" ht="18.75" customHeight="1" x14ac:dyDescent="0.2">
      <c r="B93" s="237" t="s">
        <v>181</v>
      </c>
      <c r="C93" s="238"/>
      <c r="D93" s="238"/>
      <c r="E93" s="238"/>
      <c r="F93" s="238"/>
      <c r="G93" s="238"/>
      <c r="H93" s="238"/>
      <c r="I93" s="238"/>
      <c r="J93" s="238"/>
      <c r="K93" s="238"/>
      <c r="L93" s="238"/>
      <c r="M93" s="238"/>
      <c r="N93" s="238"/>
      <c r="O93" s="238"/>
      <c r="P93" s="238"/>
      <c r="Q93" s="238"/>
      <c r="R93" s="238"/>
      <c r="S93" s="238"/>
      <c r="T93" s="238"/>
      <c r="U93" s="238"/>
      <c r="V93" s="238"/>
      <c r="W93" s="238"/>
      <c r="X93" s="238"/>
      <c r="Y93" s="238"/>
      <c r="Z93" s="239"/>
    </row>
    <row r="94" spans="1:26" ht="18.75" customHeight="1" x14ac:dyDescent="0.2">
      <c r="B94" s="240"/>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2"/>
    </row>
    <row r="95" spans="1:26" ht="18.75" customHeight="1" x14ac:dyDescent="0.2">
      <c r="B95" s="243"/>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5"/>
    </row>
    <row r="96" spans="1:26" ht="6" customHeight="1" x14ac:dyDescent="0.2"/>
    <row r="97" spans="1:26" ht="15" customHeight="1" x14ac:dyDescent="0.2">
      <c r="A97" s="13" t="s">
        <v>142</v>
      </c>
    </row>
    <row r="98" spans="1:26" ht="15" customHeight="1" x14ac:dyDescent="0.2">
      <c r="B98" s="246" t="s">
        <v>182</v>
      </c>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8"/>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H16:H22 Y27:Z33 H27:H33 H38:H44 Y38:Z44 H49:H55 Y49:Z55 Y60:Z66 G60:G66 T60:T66 U16:U22 L16:M22 U27:U33 L27:M33 U38:U44 L38:M44 U49:U55 L49:M55 L60:M66 K60:K63">
      <formula1>"○"</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5"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I51" sqref="I51:K51"/>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9" t="s">
        <v>214</v>
      </c>
      <c r="X1" s="249"/>
      <c r="Y1" s="249"/>
      <c r="Z1" s="249"/>
    </row>
    <row r="2" spans="1:26" ht="18" customHeight="1" x14ac:dyDescent="0.2">
      <c r="A2" s="209" t="s">
        <v>65</v>
      </c>
      <c r="B2" s="209"/>
      <c r="C2" s="209"/>
      <c r="D2" s="209"/>
      <c r="E2" s="209"/>
      <c r="F2" s="209"/>
      <c r="G2" s="209"/>
      <c r="H2" s="209"/>
      <c r="I2" s="209"/>
      <c r="J2" s="209"/>
      <c r="K2" s="209"/>
      <c r="L2" s="209"/>
      <c r="M2" s="209"/>
      <c r="N2" s="209"/>
      <c r="O2" s="209"/>
      <c r="P2" s="209"/>
      <c r="Q2" s="209"/>
      <c r="R2" s="209"/>
      <c r="S2" s="209"/>
      <c r="T2" s="209"/>
      <c r="U2" s="209"/>
      <c r="V2" s="209"/>
      <c r="W2" s="209"/>
      <c r="X2" s="209"/>
      <c r="Y2" s="209"/>
      <c r="Z2" s="209"/>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97</v>
      </c>
      <c r="B4" s="29"/>
      <c r="C4" s="29"/>
      <c r="D4" s="29"/>
      <c r="E4" s="29"/>
      <c r="F4" s="29"/>
      <c r="G4" s="29"/>
      <c r="H4" s="15" t="s">
        <v>110</v>
      </c>
      <c r="I4" s="29"/>
      <c r="J4" s="29"/>
      <c r="K4" s="29"/>
      <c r="L4" s="29"/>
      <c r="M4" s="29"/>
      <c r="N4" s="29"/>
      <c r="O4" s="153" t="s">
        <v>163</v>
      </c>
      <c r="P4" s="154"/>
      <c r="Q4" s="154"/>
      <c r="R4" s="154"/>
      <c r="S4" s="154"/>
      <c r="T4" s="154"/>
      <c r="U4" s="154"/>
      <c r="V4" s="154"/>
      <c r="W4" s="154"/>
      <c r="X4" s="154"/>
      <c r="Y4" s="154"/>
      <c r="Z4" s="155"/>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10" t="s">
        <v>207</v>
      </c>
      <c r="C6" s="211"/>
      <c r="D6" s="211"/>
      <c r="E6" s="211"/>
      <c r="F6" s="211"/>
      <c r="G6" s="211"/>
      <c r="H6" s="211"/>
      <c r="I6" s="211"/>
      <c r="J6" s="211"/>
      <c r="K6" s="211"/>
      <c r="L6" s="211"/>
      <c r="M6" s="211"/>
      <c r="N6" s="211"/>
      <c r="O6" s="211"/>
      <c r="P6" s="211"/>
      <c r="Q6" s="211"/>
      <c r="R6" s="211"/>
      <c r="S6" s="211"/>
      <c r="T6" s="211"/>
      <c r="U6" s="211"/>
      <c r="V6" s="211"/>
      <c r="W6" s="211"/>
      <c r="X6" s="211"/>
      <c r="Y6" s="211"/>
      <c r="Z6" s="212"/>
    </row>
    <row r="7" spans="1:26" ht="18" customHeight="1" x14ac:dyDescent="0.2">
      <c r="B7" s="213"/>
      <c r="C7" s="214"/>
      <c r="D7" s="214"/>
      <c r="E7" s="214"/>
      <c r="F7" s="214"/>
      <c r="G7" s="214"/>
      <c r="H7" s="214"/>
      <c r="I7" s="214"/>
      <c r="J7" s="214"/>
      <c r="K7" s="214"/>
      <c r="L7" s="214"/>
      <c r="M7" s="214"/>
      <c r="N7" s="214"/>
      <c r="O7" s="214"/>
      <c r="P7" s="214"/>
      <c r="Q7" s="214"/>
      <c r="R7" s="214"/>
      <c r="S7" s="214"/>
      <c r="T7" s="214"/>
      <c r="U7" s="214"/>
      <c r="V7" s="214"/>
      <c r="W7" s="214"/>
      <c r="X7" s="214"/>
      <c r="Y7" s="214"/>
      <c r="Z7" s="215"/>
    </row>
    <row r="8" spans="1:26" ht="18" customHeight="1" x14ac:dyDescent="0.2">
      <c r="B8" s="213"/>
      <c r="C8" s="214"/>
      <c r="D8" s="214"/>
      <c r="E8" s="214"/>
      <c r="F8" s="214"/>
      <c r="G8" s="214"/>
      <c r="H8" s="214"/>
      <c r="I8" s="214"/>
      <c r="J8" s="214"/>
      <c r="K8" s="214"/>
      <c r="L8" s="214"/>
      <c r="M8" s="214"/>
      <c r="N8" s="214"/>
      <c r="O8" s="214"/>
      <c r="P8" s="214"/>
      <c r="Q8" s="214"/>
      <c r="R8" s="214"/>
      <c r="S8" s="214"/>
      <c r="T8" s="214"/>
      <c r="U8" s="214"/>
      <c r="V8" s="214"/>
      <c r="W8" s="214"/>
      <c r="X8" s="214"/>
      <c r="Y8" s="214"/>
      <c r="Z8" s="215"/>
    </row>
    <row r="9" spans="1:26" ht="18" customHeight="1" x14ac:dyDescent="0.2">
      <c r="B9" s="213"/>
      <c r="C9" s="214"/>
      <c r="D9" s="214"/>
      <c r="E9" s="214"/>
      <c r="F9" s="214"/>
      <c r="G9" s="214"/>
      <c r="H9" s="214"/>
      <c r="I9" s="214"/>
      <c r="J9" s="214"/>
      <c r="K9" s="214"/>
      <c r="L9" s="214"/>
      <c r="M9" s="214"/>
      <c r="N9" s="214"/>
      <c r="O9" s="214"/>
      <c r="P9" s="214"/>
      <c r="Q9" s="214"/>
      <c r="R9" s="214"/>
      <c r="S9" s="214"/>
      <c r="T9" s="214"/>
      <c r="U9" s="214"/>
      <c r="V9" s="214"/>
      <c r="W9" s="214"/>
      <c r="X9" s="214"/>
      <c r="Y9" s="214"/>
      <c r="Z9" s="215"/>
    </row>
    <row r="10" spans="1:26" ht="18" customHeight="1" x14ac:dyDescent="0.2">
      <c r="B10" s="213"/>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5"/>
    </row>
    <row r="11" spans="1:26" ht="18" customHeight="1" x14ac:dyDescent="0.2">
      <c r="B11" s="217"/>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9"/>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5" t="s">
        <v>123</v>
      </c>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row>
    <row r="14" spans="1:26" ht="18" customHeight="1" x14ac:dyDescent="0.2">
      <c r="A14" s="205"/>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row>
    <row r="15" spans="1:26" ht="18" customHeight="1" x14ac:dyDescent="0.2">
      <c r="A15" s="14"/>
      <c r="B15" s="153" t="s">
        <v>98</v>
      </c>
      <c r="C15" s="154"/>
      <c r="D15" s="154"/>
      <c r="E15" s="154"/>
      <c r="F15" s="155"/>
      <c r="G15" s="30" t="s">
        <v>139</v>
      </c>
      <c r="H15" s="110" t="s">
        <v>138</v>
      </c>
      <c r="I15" s="154" t="s">
        <v>99</v>
      </c>
      <c r="J15" s="154"/>
      <c r="K15" s="154"/>
      <c r="L15" s="73" t="s">
        <v>102</v>
      </c>
      <c r="M15" s="73" t="s">
        <v>105</v>
      </c>
      <c r="N15" s="153" t="s">
        <v>98</v>
      </c>
      <c r="O15" s="154"/>
      <c r="P15" s="154"/>
      <c r="Q15" s="154"/>
      <c r="R15" s="154"/>
      <c r="S15" s="155"/>
      <c r="T15" s="30" t="s">
        <v>139</v>
      </c>
      <c r="U15" s="110" t="s">
        <v>138</v>
      </c>
      <c r="V15" s="154" t="s">
        <v>99</v>
      </c>
      <c r="W15" s="154"/>
      <c r="X15" s="154"/>
      <c r="Y15" s="73" t="s">
        <v>102</v>
      </c>
      <c r="Z15" s="73" t="s">
        <v>105</v>
      </c>
    </row>
    <row r="16" spans="1:26" ht="18" customHeight="1" x14ac:dyDescent="0.2">
      <c r="A16" s="14"/>
      <c r="B16" s="196" t="s">
        <v>165</v>
      </c>
      <c r="C16" s="197"/>
      <c r="D16" s="197"/>
      <c r="E16" s="197"/>
      <c r="F16" s="198"/>
      <c r="G16" s="111">
        <v>1</v>
      </c>
      <c r="H16" s="111" t="s">
        <v>167</v>
      </c>
      <c r="I16" s="190" t="s">
        <v>166</v>
      </c>
      <c r="J16" s="191"/>
      <c r="K16" s="192"/>
      <c r="L16" s="111" t="s">
        <v>167</v>
      </c>
      <c r="M16" s="111" t="s">
        <v>167</v>
      </c>
      <c r="N16" s="160"/>
      <c r="O16" s="161"/>
      <c r="P16" s="161"/>
      <c r="Q16" s="161"/>
      <c r="R16" s="161"/>
      <c r="S16" s="162"/>
      <c r="T16" s="111"/>
      <c r="U16" s="111"/>
      <c r="V16" s="190"/>
      <c r="W16" s="191"/>
      <c r="X16" s="192"/>
      <c r="Y16" s="111"/>
      <c r="Z16" s="111"/>
    </row>
    <row r="17" spans="1:26" ht="18" customHeight="1" x14ac:dyDescent="0.2">
      <c r="A17" s="14"/>
      <c r="B17" s="199"/>
      <c r="C17" s="200"/>
      <c r="D17" s="200"/>
      <c r="E17" s="200"/>
      <c r="F17" s="201"/>
      <c r="G17" s="112"/>
      <c r="H17" s="112"/>
      <c r="I17" s="193"/>
      <c r="J17" s="194"/>
      <c r="K17" s="195"/>
      <c r="L17" s="112"/>
      <c r="M17" s="112"/>
      <c r="N17" s="169"/>
      <c r="O17" s="170"/>
      <c r="P17" s="170"/>
      <c r="Q17" s="170"/>
      <c r="R17" s="170"/>
      <c r="S17" s="171"/>
      <c r="T17" s="112"/>
      <c r="U17" s="112"/>
      <c r="V17" s="193"/>
      <c r="W17" s="194"/>
      <c r="X17" s="195"/>
      <c r="Y17" s="112"/>
      <c r="Z17" s="112"/>
    </row>
    <row r="18" spans="1:26" ht="18" customHeight="1" x14ac:dyDescent="0.2">
      <c r="A18" s="14"/>
      <c r="B18" s="199"/>
      <c r="C18" s="200"/>
      <c r="D18" s="200"/>
      <c r="E18" s="200"/>
      <c r="F18" s="201"/>
      <c r="G18" s="112"/>
      <c r="H18" s="112"/>
      <c r="I18" s="193"/>
      <c r="J18" s="194"/>
      <c r="K18" s="195"/>
      <c r="L18" s="112"/>
      <c r="M18" s="112"/>
      <c r="N18" s="169"/>
      <c r="O18" s="170"/>
      <c r="P18" s="170"/>
      <c r="Q18" s="170"/>
      <c r="R18" s="170"/>
      <c r="S18" s="171"/>
      <c r="T18" s="112"/>
      <c r="U18" s="112"/>
      <c r="V18" s="193"/>
      <c r="W18" s="194"/>
      <c r="X18" s="195"/>
      <c r="Y18" s="112"/>
      <c r="Z18" s="112"/>
    </row>
    <row r="19" spans="1:26" ht="18" customHeight="1" x14ac:dyDescent="0.2">
      <c r="A19" s="14"/>
      <c r="B19" s="199"/>
      <c r="C19" s="200"/>
      <c r="D19" s="200"/>
      <c r="E19" s="200"/>
      <c r="F19" s="201"/>
      <c r="G19" s="112"/>
      <c r="H19" s="112"/>
      <c r="I19" s="193"/>
      <c r="J19" s="194"/>
      <c r="K19" s="195"/>
      <c r="L19" s="112"/>
      <c r="M19" s="112"/>
      <c r="N19" s="169"/>
      <c r="O19" s="170"/>
      <c r="P19" s="170"/>
      <c r="Q19" s="170"/>
      <c r="R19" s="170"/>
      <c r="S19" s="171"/>
      <c r="T19" s="112"/>
      <c r="U19" s="112"/>
      <c r="V19" s="193"/>
      <c r="W19" s="194"/>
      <c r="X19" s="195"/>
      <c r="Y19" s="112"/>
      <c r="Z19" s="112"/>
    </row>
    <row r="20" spans="1:26" ht="18" customHeight="1" x14ac:dyDescent="0.2">
      <c r="A20" s="14"/>
      <c r="B20" s="199"/>
      <c r="C20" s="200"/>
      <c r="D20" s="200"/>
      <c r="E20" s="200"/>
      <c r="F20" s="201"/>
      <c r="G20" s="112"/>
      <c r="H20" s="112"/>
      <c r="I20" s="193"/>
      <c r="J20" s="194"/>
      <c r="K20" s="195"/>
      <c r="L20" s="112"/>
      <c r="M20" s="112"/>
      <c r="N20" s="169"/>
      <c r="O20" s="170"/>
      <c r="P20" s="170"/>
      <c r="Q20" s="170"/>
      <c r="R20" s="170"/>
      <c r="S20" s="171"/>
      <c r="T20" s="112"/>
      <c r="U20" s="112"/>
      <c r="V20" s="193"/>
      <c r="W20" s="194"/>
      <c r="X20" s="195"/>
      <c r="Y20" s="112"/>
      <c r="Z20" s="112"/>
    </row>
    <row r="21" spans="1:26" ht="18" customHeight="1" x14ac:dyDescent="0.2">
      <c r="A21" s="29"/>
      <c r="B21" s="199"/>
      <c r="C21" s="200"/>
      <c r="D21" s="200"/>
      <c r="E21" s="200"/>
      <c r="F21" s="201"/>
      <c r="G21" s="112"/>
      <c r="H21" s="112"/>
      <c r="I21" s="193"/>
      <c r="J21" s="194"/>
      <c r="K21" s="195"/>
      <c r="L21" s="112"/>
      <c r="M21" s="112"/>
      <c r="N21" s="169"/>
      <c r="O21" s="170"/>
      <c r="P21" s="170"/>
      <c r="Q21" s="170"/>
      <c r="R21" s="170"/>
      <c r="S21" s="171"/>
      <c r="T21" s="112"/>
      <c r="U21" s="112"/>
      <c r="V21" s="193"/>
      <c r="W21" s="194"/>
      <c r="X21" s="195"/>
      <c r="Y21" s="112"/>
      <c r="Z21" s="112"/>
    </row>
    <row r="22" spans="1:26" ht="18" customHeight="1" x14ac:dyDescent="0.2">
      <c r="A22" s="29"/>
      <c r="B22" s="206"/>
      <c r="C22" s="207"/>
      <c r="D22" s="207"/>
      <c r="E22" s="207"/>
      <c r="F22" s="208"/>
      <c r="G22" s="113"/>
      <c r="H22" s="113"/>
      <c r="I22" s="202"/>
      <c r="J22" s="203"/>
      <c r="K22" s="204"/>
      <c r="L22" s="119"/>
      <c r="M22" s="119"/>
      <c r="N22" s="228"/>
      <c r="O22" s="229"/>
      <c r="P22" s="229"/>
      <c r="Q22" s="229"/>
      <c r="R22" s="229"/>
      <c r="S22" s="230"/>
      <c r="T22" s="113"/>
      <c r="U22" s="113"/>
      <c r="V22" s="202"/>
      <c r="W22" s="203"/>
      <c r="X22" s="204"/>
      <c r="Y22" s="119"/>
      <c r="Z22" s="119"/>
    </row>
    <row r="23" spans="1:26" ht="7.5" customHeight="1" x14ac:dyDescent="0.2">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2">
      <c r="A24" s="205" t="s">
        <v>124</v>
      </c>
      <c r="B24" s="205"/>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row>
    <row r="25" spans="1:26" ht="18" customHeight="1" x14ac:dyDescent="0.2">
      <c r="A25" s="205"/>
      <c r="B25" s="205"/>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row>
    <row r="26" spans="1:26" ht="18" customHeight="1" x14ac:dyDescent="0.2">
      <c r="A26" s="14"/>
      <c r="B26" s="153" t="s">
        <v>98</v>
      </c>
      <c r="C26" s="154"/>
      <c r="D26" s="154"/>
      <c r="E26" s="154"/>
      <c r="F26" s="155"/>
      <c r="G26" s="30" t="s">
        <v>139</v>
      </c>
      <c r="H26" s="110" t="s">
        <v>138</v>
      </c>
      <c r="I26" s="154" t="s">
        <v>99</v>
      </c>
      <c r="J26" s="154"/>
      <c r="K26" s="154"/>
      <c r="L26" s="73" t="s">
        <v>125</v>
      </c>
      <c r="M26" s="73" t="s">
        <v>126</v>
      </c>
      <c r="N26" s="153" t="s">
        <v>98</v>
      </c>
      <c r="O26" s="154"/>
      <c r="P26" s="154"/>
      <c r="Q26" s="154"/>
      <c r="R26" s="154"/>
      <c r="S26" s="155"/>
      <c r="T26" s="30" t="s">
        <v>139</v>
      </c>
      <c r="U26" s="110" t="s">
        <v>138</v>
      </c>
      <c r="V26" s="154" t="s">
        <v>99</v>
      </c>
      <c r="W26" s="154"/>
      <c r="X26" s="154"/>
      <c r="Y26" s="73" t="s">
        <v>125</v>
      </c>
      <c r="Z26" s="73" t="s">
        <v>126</v>
      </c>
    </row>
    <row r="27" spans="1:26" ht="18" customHeight="1" x14ac:dyDescent="0.2">
      <c r="A27" s="14"/>
      <c r="B27" s="196" t="s">
        <v>165</v>
      </c>
      <c r="C27" s="197"/>
      <c r="D27" s="197"/>
      <c r="E27" s="197"/>
      <c r="F27" s="198"/>
      <c r="G27" s="111">
        <v>1</v>
      </c>
      <c r="H27" s="111" t="s">
        <v>167</v>
      </c>
      <c r="I27" s="190" t="s">
        <v>166</v>
      </c>
      <c r="J27" s="191"/>
      <c r="K27" s="192"/>
      <c r="L27" s="111" t="s">
        <v>167</v>
      </c>
      <c r="M27" s="111" t="s">
        <v>167</v>
      </c>
      <c r="N27" s="160"/>
      <c r="O27" s="161"/>
      <c r="P27" s="161"/>
      <c r="Q27" s="161"/>
      <c r="R27" s="161"/>
      <c r="S27" s="162"/>
      <c r="T27" s="111"/>
      <c r="U27" s="111"/>
      <c r="V27" s="190"/>
      <c r="W27" s="191"/>
      <c r="X27" s="192"/>
      <c r="Y27" s="111"/>
      <c r="Z27" s="111"/>
    </row>
    <row r="28" spans="1:26" ht="18" customHeight="1" x14ac:dyDescent="0.2">
      <c r="A28" s="14"/>
      <c r="B28" s="199"/>
      <c r="C28" s="200"/>
      <c r="D28" s="200"/>
      <c r="E28" s="200"/>
      <c r="F28" s="201"/>
      <c r="G28" s="112"/>
      <c r="H28" s="112"/>
      <c r="I28" s="193"/>
      <c r="J28" s="194"/>
      <c r="K28" s="195"/>
      <c r="L28" s="112"/>
      <c r="M28" s="112"/>
      <c r="N28" s="169"/>
      <c r="O28" s="170"/>
      <c r="P28" s="170"/>
      <c r="Q28" s="170"/>
      <c r="R28" s="170"/>
      <c r="S28" s="171"/>
      <c r="T28" s="112"/>
      <c r="U28" s="112"/>
      <c r="V28" s="193"/>
      <c r="W28" s="194"/>
      <c r="X28" s="195"/>
      <c r="Y28" s="112"/>
      <c r="Z28" s="112"/>
    </row>
    <row r="29" spans="1:26" ht="18" customHeight="1" x14ac:dyDescent="0.2">
      <c r="A29" s="14"/>
      <c r="B29" s="199"/>
      <c r="C29" s="200"/>
      <c r="D29" s="200"/>
      <c r="E29" s="200"/>
      <c r="F29" s="201"/>
      <c r="G29" s="112"/>
      <c r="H29" s="112"/>
      <c r="I29" s="193"/>
      <c r="J29" s="194"/>
      <c r="K29" s="195"/>
      <c r="L29" s="112"/>
      <c r="M29" s="112"/>
      <c r="N29" s="169"/>
      <c r="O29" s="170"/>
      <c r="P29" s="170"/>
      <c r="Q29" s="170"/>
      <c r="R29" s="170"/>
      <c r="S29" s="171"/>
      <c r="T29" s="112"/>
      <c r="U29" s="112"/>
      <c r="V29" s="193"/>
      <c r="W29" s="194"/>
      <c r="X29" s="195"/>
      <c r="Y29" s="112"/>
      <c r="Z29" s="112"/>
    </row>
    <row r="30" spans="1:26" ht="18" customHeight="1" x14ac:dyDescent="0.2">
      <c r="A30" s="14"/>
      <c r="B30" s="199"/>
      <c r="C30" s="200"/>
      <c r="D30" s="200"/>
      <c r="E30" s="200"/>
      <c r="F30" s="201"/>
      <c r="G30" s="112"/>
      <c r="H30" s="112"/>
      <c r="I30" s="193"/>
      <c r="J30" s="194"/>
      <c r="K30" s="195"/>
      <c r="L30" s="112"/>
      <c r="M30" s="112"/>
      <c r="N30" s="169"/>
      <c r="O30" s="170"/>
      <c r="P30" s="170"/>
      <c r="Q30" s="170"/>
      <c r="R30" s="170"/>
      <c r="S30" s="171"/>
      <c r="T30" s="112"/>
      <c r="U30" s="112"/>
      <c r="V30" s="193"/>
      <c r="W30" s="194"/>
      <c r="X30" s="195"/>
      <c r="Y30" s="112"/>
      <c r="Z30" s="112"/>
    </row>
    <row r="31" spans="1:26" ht="18" customHeight="1" x14ac:dyDescent="0.2">
      <c r="A31" s="14"/>
      <c r="B31" s="199"/>
      <c r="C31" s="200"/>
      <c r="D31" s="200"/>
      <c r="E31" s="200"/>
      <c r="F31" s="201"/>
      <c r="G31" s="112"/>
      <c r="H31" s="112"/>
      <c r="I31" s="193"/>
      <c r="J31" s="194"/>
      <c r="K31" s="195"/>
      <c r="L31" s="112"/>
      <c r="M31" s="112"/>
      <c r="N31" s="169"/>
      <c r="O31" s="170"/>
      <c r="P31" s="170"/>
      <c r="Q31" s="170"/>
      <c r="R31" s="170"/>
      <c r="S31" s="171"/>
      <c r="T31" s="112"/>
      <c r="U31" s="112"/>
      <c r="V31" s="193"/>
      <c r="W31" s="194"/>
      <c r="X31" s="195"/>
      <c r="Y31" s="112"/>
      <c r="Z31" s="112"/>
    </row>
    <row r="32" spans="1:26" ht="18" customHeight="1" x14ac:dyDescent="0.2">
      <c r="A32" s="14"/>
      <c r="B32" s="199"/>
      <c r="C32" s="200"/>
      <c r="D32" s="200"/>
      <c r="E32" s="200"/>
      <c r="F32" s="201"/>
      <c r="G32" s="112"/>
      <c r="H32" s="112"/>
      <c r="I32" s="193"/>
      <c r="J32" s="194"/>
      <c r="K32" s="195"/>
      <c r="L32" s="112"/>
      <c r="M32" s="112"/>
      <c r="N32" s="169"/>
      <c r="O32" s="170"/>
      <c r="P32" s="170"/>
      <c r="Q32" s="170"/>
      <c r="R32" s="170"/>
      <c r="S32" s="171"/>
      <c r="T32" s="112"/>
      <c r="U32" s="112"/>
      <c r="V32" s="193"/>
      <c r="W32" s="194"/>
      <c r="X32" s="195"/>
      <c r="Y32" s="112"/>
      <c r="Z32" s="112"/>
    </row>
    <row r="33" spans="1:26" ht="18" customHeight="1" x14ac:dyDescent="0.2">
      <c r="A33" s="14"/>
      <c r="B33" s="206"/>
      <c r="C33" s="207"/>
      <c r="D33" s="207"/>
      <c r="E33" s="207"/>
      <c r="F33" s="208"/>
      <c r="G33" s="113"/>
      <c r="H33" s="113"/>
      <c r="I33" s="202"/>
      <c r="J33" s="203"/>
      <c r="K33" s="204"/>
      <c r="L33" s="119"/>
      <c r="M33" s="119"/>
      <c r="N33" s="228"/>
      <c r="O33" s="229"/>
      <c r="P33" s="229"/>
      <c r="Q33" s="229"/>
      <c r="R33" s="229"/>
      <c r="S33" s="230"/>
      <c r="T33" s="113"/>
      <c r="U33" s="113"/>
      <c r="V33" s="202"/>
      <c r="W33" s="203"/>
      <c r="X33" s="204"/>
      <c r="Y33" s="119"/>
      <c r="Z33" s="119"/>
    </row>
    <row r="34" spans="1:26" ht="7.5" customHeight="1" x14ac:dyDescent="0.2">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2">
      <c r="A35" s="205" t="s">
        <v>127</v>
      </c>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row>
    <row r="36" spans="1:26" ht="18" customHeight="1" x14ac:dyDescent="0.2">
      <c r="A36" s="205"/>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row>
    <row r="37" spans="1:26" ht="18" customHeight="1" x14ac:dyDescent="0.2">
      <c r="A37" s="14"/>
      <c r="B37" s="153" t="s">
        <v>98</v>
      </c>
      <c r="C37" s="154"/>
      <c r="D37" s="154"/>
      <c r="E37" s="154"/>
      <c r="F37" s="155"/>
      <c r="G37" s="30" t="s">
        <v>139</v>
      </c>
      <c r="H37" s="110" t="s">
        <v>138</v>
      </c>
      <c r="I37" s="153" t="s">
        <v>99</v>
      </c>
      <c r="J37" s="154"/>
      <c r="K37" s="155"/>
      <c r="L37" s="73" t="s">
        <v>128</v>
      </c>
      <c r="M37" s="73" t="s">
        <v>129</v>
      </c>
      <c r="N37" s="153" t="s">
        <v>98</v>
      </c>
      <c r="O37" s="154"/>
      <c r="P37" s="154"/>
      <c r="Q37" s="154"/>
      <c r="R37" s="154"/>
      <c r="S37" s="155"/>
      <c r="T37" s="30" t="s">
        <v>139</v>
      </c>
      <c r="U37" s="110" t="s">
        <v>138</v>
      </c>
      <c r="V37" s="153" t="s">
        <v>99</v>
      </c>
      <c r="W37" s="154"/>
      <c r="X37" s="155"/>
      <c r="Y37" s="73" t="s">
        <v>128</v>
      </c>
      <c r="Z37" s="73" t="s">
        <v>129</v>
      </c>
    </row>
    <row r="38" spans="1:26" ht="18" customHeight="1" x14ac:dyDescent="0.2">
      <c r="A38" s="29"/>
      <c r="B38" s="196" t="s">
        <v>165</v>
      </c>
      <c r="C38" s="197"/>
      <c r="D38" s="197"/>
      <c r="E38" s="197"/>
      <c r="F38" s="198"/>
      <c r="G38" s="111">
        <v>1</v>
      </c>
      <c r="H38" s="111" t="s">
        <v>167</v>
      </c>
      <c r="I38" s="190" t="s">
        <v>166</v>
      </c>
      <c r="J38" s="191"/>
      <c r="K38" s="192"/>
      <c r="L38" s="111" t="s">
        <v>167</v>
      </c>
      <c r="M38" s="111" t="s">
        <v>167</v>
      </c>
      <c r="N38" s="160"/>
      <c r="O38" s="161"/>
      <c r="P38" s="161"/>
      <c r="Q38" s="161"/>
      <c r="R38" s="161"/>
      <c r="S38" s="162"/>
      <c r="T38" s="111"/>
      <c r="U38" s="111"/>
      <c r="V38" s="190"/>
      <c r="W38" s="191"/>
      <c r="X38" s="192"/>
      <c r="Y38" s="111"/>
      <c r="Z38" s="111"/>
    </row>
    <row r="39" spans="1:26" ht="18" customHeight="1" x14ac:dyDescent="0.2">
      <c r="A39" s="29"/>
      <c r="B39" s="199"/>
      <c r="C39" s="200"/>
      <c r="D39" s="200"/>
      <c r="E39" s="200"/>
      <c r="F39" s="201"/>
      <c r="G39" s="112"/>
      <c r="H39" s="112"/>
      <c r="I39" s="193"/>
      <c r="J39" s="194"/>
      <c r="K39" s="195"/>
      <c r="L39" s="112"/>
      <c r="M39" s="112"/>
      <c r="N39" s="169"/>
      <c r="O39" s="170"/>
      <c r="P39" s="170"/>
      <c r="Q39" s="170"/>
      <c r="R39" s="170"/>
      <c r="S39" s="171"/>
      <c r="T39" s="112"/>
      <c r="U39" s="112"/>
      <c r="V39" s="193"/>
      <c r="W39" s="194"/>
      <c r="X39" s="195"/>
      <c r="Y39" s="112"/>
      <c r="Z39" s="112"/>
    </row>
    <row r="40" spans="1:26" ht="18" customHeight="1" x14ac:dyDescent="0.2">
      <c r="A40" s="29"/>
      <c r="B40" s="199"/>
      <c r="C40" s="200"/>
      <c r="D40" s="200"/>
      <c r="E40" s="200"/>
      <c r="F40" s="201"/>
      <c r="G40" s="112"/>
      <c r="H40" s="112"/>
      <c r="I40" s="193"/>
      <c r="J40" s="194"/>
      <c r="K40" s="195"/>
      <c r="L40" s="112"/>
      <c r="M40" s="112"/>
      <c r="N40" s="169"/>
      <c r="O40" s="170"/>
      <c r="P40" s="170"/>
      <c r="Q40" s="170"/>
      <c r="R40" s="170"/>
      <c r="S40" s="171"/>
      <c r="T40" s="112"/>
      <c r="U40" s="112"/>
      <c r="V40" s="193"/>
      <c r="W40" s="194"/>
      <c r="X40" s="195"/>
      <c r="Y40" s="112"/>
      <c r="Z40" s="112"/>
    </row>
    <row r="41" spans="1:26" ht="18" customHeight="1" x14ac:dyDescent="0.2">
      <c r="A41" s="29"/>
      <c r="B41" s="199"/>
      <c r="C41" s="200"/>
      <c r="D41" s="200"/>
      <c r="E41" s="200"/>
      <c r="F41" s="201"/>
      <c r="G41" s="112"/>
      <c r="H41" s="112"/>
      <c r="I41" s="193"/>
      <c r="J41" s="194"/>
      <c r="K41" s="195"/>
      <c r="L41" s="112"/>
      <c r="M41" s="112"/>
      <c r="N41" s="169"/>
      <c r="O41" s="170"/>
      <c r="P41" s="170"/>
      <c r="Q41" s="170"/>
      <c r="R41" s="170"/>
      <c r="S41" s="171"/>
      <c r="T41" s="112"/>
      <c r="U41" s="112"/>
      <c r="V41" s="193"/>
      <c r="W41" s="194"/>
      <c r="X41" s="195"/>
      <c r="Y41" s="112"/>
      <c r="Z41" s="112"/>
    </row>
    <row r="42" spans="1:26" ht="18" customHeight="1" x14ac:dyDescent="0.2">
      <c r="A42" s="29"/>
      <c r="B42" s="199"/>
      <c r="C42" s="200"/>
      <c r="D42" s="200"/>
      <c r="E42" s="200"/>
      <c r="F42" s="201"/>
      <c r="G42" s="112"/>
      <c r="H42" s="112"/>
      <c r="I42" s="193"/>
      <c r="J42" s="194"/>
      <c r="K42" s="195"/>
      <c r="L42" s="112"/>
      <c r="M42" s="112"/>
      <c r="N42" s="169"/>
      <c r="O42" s="170"/>
      <c r="P42" s="170"/>
      <c r="Q42" s="170"/>
      <c r="R42" s="170"/>
      <c r="S42" s="171"/>
      <c r="T42" s="112"/>
      <c r="U42" s="112"/>
      <c r="V42" s="193"/>
      <c r="W42" s="194"/>
      <c r="X42" s="195"/>
      <c r="Y42" s="112"/>
      <c r="Z42" s="112"/>
    </row>
    <row r="43" spans="1:26" ht="18" customHeight="1" x14ac:dyDescent="0.2">
      <c r="A43" s="29"/>
      <c r="B43" s="199"/>
      <c r="C43" s="200"/>
      <c r="D43" s="200"/>
      <c r="E43" s="200"/>
      <c r="F43" s="201"/>
      <c r="G43" s="112"/>
      <c r="H43" s="112"/>
      <c r="I43" s="193"/>
      <c r="J43" s="194"/>
      <c r="K43" s="195"/>
      <c r="L43" s="112"/>
      <c r="M43" s="112"/>
      <c r="N43" s="169"/>
      <c r="O43" s="170"/>
      <c r="P43" s="170"/>
      <c r="Q43" s="170"/>
      <c r="R43" s="170"/>
      <c r="S43" s="171"/>
      <c r="T43" s="112"/>
      <c r="U43" s="112"/>
      <c r="V43" s="193"/>
      <c r="W43" s="194"/>
      <c r="X43" s="195"/>
      <c r="Y43" s="112"/>
      <c r="Z43" s="112"/>
    </row>
    <row r="44" spans="1:26" ht="18" customHeight="1" x14ac:dyDescent="0.2">
      <c r="A44" s="29"/>
      <c r="B44" s="206"/>
      <c r="C44" s="207"/>
      <c r="D44" s="207"/>
      <c r="E44" s="207"/>
      <c r="F44" s="208"/>
      <c r="G44" s="113"/>
      <c r="H44" s="113"/>
      <c r="I44" s="202"/>
      <c r="J44" s="203"/>
      <c r="K44" s="204"/>
      <c r="L44" s="119"/>
      <c r="M44" s="119"/>
      <c r="N44" s="228"/>
      <c r="O44" s="229"/>
      <c r="P44" s="229"/>
      <c r="Q44" s="229"/>
      <c r="R44" s="229"/>
      <c r="S44" s="230"/>
      <c r="T44" s="113"/>
      <c r="U44" s="113"/>
      <c r="V44" s="202"/>
      <c r="W44" s="203"/>
      <c r="X44" s="204"/>
      <c r="Y44" s="119"/>
      <c r="Z44" s="119"/>
    </row>
    <row r="45" spans="1:26" ht="7.5" customHeight="1" x14ac:dyDescent="0.2">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2">
      <c r="A46" s="205" t="s">
        <v>130</v>
      </c>
      <c r="B46" s="205"/>
      <c r="C46" s="205"/>
      <c r="D46" s="205"/>
      <c r="E46" s="205"/>
      <c r="F46" s="205"/>
      <c r="G46" s="205"/>
      <c r="H46" s="205"/>
      <c r="I46" s="205"/>
      <c r="J46" s="205"/>
      <c r="K46" s="205"/>
      <c r="L46" s="205"/>
      <c r="M46" s="205"/>
      <c r="N46" s="205"/>
      <c r="O46" s="205"/>
      <c r="P46" s="205"/>
      <c r="Q46" s="205"/>
      <c r="R46" s="205"/>
      <c r="S46" s="205"/>
      <c r="T46" s="205"/>
      <c r="U46" s="205"/>
      <c r="V46" s="205"/>
      <c r="W46" s="205"/>
      <c r="X46" s="205"/>
      <c r="Y46" s="205"/>
      <c r="Z46" s="205"/>
    </row>
    <row r="47" spans="1:26" ht="18" customHeight="1" x14ac:dyDescent="0.2">
      <c r="A47" s="205"/>
      <c r="B47" s="205"/>
      <c r="C47" s="205"/>
      <c r="D47" s="205"/>
      <c r="E47" s="205"/>
      <c r="F47" s="205"/>
      <c r="G47" s="205"/>
      <c r="H47" s="205"/>
      <c r="I47" s="205"/>
      <c r="J47" s="205"/>
      <c r="K47" s="205"/>
      <c r="L47" s="205"/>
      <c r="M47" s="205"/>
      <c r="N47" s="205"/>
      <c r="O47" s="205"/>
      <c r="P47" s="205"/>
      <c r="Q47" s="205"/>
      <c r="R47" s="205"/>
      <c r="S47" s="205"/>
      <c r="T47" s="205"/>
      <c r="U47" s="205"/>
      <c r="V47" s="205"/>
      <c r="W47" s="205"/>
      <c r="X47" s="205"/>
      <c r="Y47" s="205"/>
      <c r="Z47" s="205"/>
    </row>
    <row r="48" spans="1:26" ht="18" customHeight="1" x14ac:dyDescent="0.2">
      <c r="A48" s="14"/>
      <c r="B48" s="153" t="s">
        <v>98</v>
      </c>
      <c r="C48" s="154"/>
      <c r="D48" s="154"/>
      <c r="E48" s="154"/>
      <c r="F48" s="155"/>
      <c r="G48" s="30" t="s">
        <v>139</v>
      </c>
      <c r="H48" s="110" t="s">
        <v>138</v>
      </c>
      <c r="I48" s="153" t="s">
        <v>99</v>
      </c>
      <c r="J48" s="154"/>
      <c r="K48" s="155"/>
      <c r="L48" s="73" t="s">
        <v>104</v>
      </c>
      <c r="M48" s="73" t="s">
        <v>106</v>
      </c>
      <c r="N48" s="153" t="s">
        <v>98</v>
      </c>
      <c r="O48" s="154"/>
      <c r="P48" s="154"/>
      <c r="Q48" s="154"/>
      <c r="R48" s="154"/>
      <c r="S48" s="155"/>
      <c r="T48" s="30" t="s">
        <v>139</v>
      </c>
      <c r="U48" s="110" t="s">
        <v>138</v>
      </c>
      <c r="V48" s="153" t="s">
        <v>99</v>
      </c>
      <c r="W48" s="154"/>
      <c r="X48" s="155"/>
      <c r="Y48" s="73" t="s">
        <v>104</v>
      </c>
      <c r="Z48" s="73" t="s">
        <v>106</v>
      </c>
    </row>
    <row r="49" spans="1:26" ht="18" customHeight="1" x14ac:dyDescent="0.2">
      <c r="A49" s="29"/>
      <c r="B49" s="196" t="s">
        <v>165</v>
      </c>
      <c r="C49" s="197"/>
      <c r="D49" s="197"/>
      <c r="E49" s="197"/>
      <c r="F49" s="198"/>
      <c r="G49" s="111">
        <v>1</v>
      </c>
      <c r="H49" s="111" t="s">
        <v>167</v>
      </c>
      <c r="I49" s="190" t="s">
        <v>166</v>
      </c>
      <c r="J49" s="191"/>
      <c r="K49" s="192"/>
      <c r="L49" s="111" t="s">
        <v>167</v>
      </c>
      <c r="M49" s="111" t="s">
        <v>167</v>
      </c>
      <c r="N49" s="160"/>
      <c r="O49" s="161"/>
      <c r="P49" s="161"/>
      <c r="Q49" s="161"/>
      <c r="R49" s="161"/>
      <c r="S49" s="162"/>
      <c r="T49" s="111"/>
      <c r="U49" s="111"/>
      <c r="V49" s="190"/>
      <c r="W49" s="191"/>
      <c r="X49" s="192"/>
      <c r="Y49" s="111"/>
      <c r="Z49" s="111"/>
    </row>
    <row r="50" spans="1:26" ht="18" customHeight="1" x14ac:dyDescent="0.2">
      <c r="A50" s="29"/>
      <c r="B50" s="199"/>
      <c r="C50" s="200"/>
      <c r="D50" s="200"/>
      <c r="E50" s="200"/>
      <c r="F50" s="201"/>
      <c r="G50" s="112"/>
      <c r="H50" s="112"/>
      <c r="I50" s="193"/>
      <c r="J50" s="194"/>
      <c r="K50" s="195"/>
      <c r="L50" s="112"/>
      <c r="M50" s="112"/>
      <c r="N50" s="169"/>
      <c r="O50" s="170"/>
      <c r="P50" s="170"/>
      <c r="Q50" s="170"/>
      <c r="R50" s="170"/>
      <c r="S50" s="171"/>
      <c r="T50" s="112"/>
      <c r="U50" s="112"/>
      <c r="V50" s="193"/>
      <c r="W50" s="194"/>
      <c r="X50" s="195"/>
      <c r="Y50" s="112"/>
      <c r="Z50" s="112"/>
    </row>
    <row r="51" spans="1:26" ht="18" customHeight="1" x14ac:dyDescent="0.2">
      <c r="A51" s="29"/>
      <c r="B51" s="199"/>
      <c r="C51" s="200"/>
      <c r="D51" s="200"/>
      <c r="E51" s="200"/>
      <c r="F51" s="201"/>
      <c r="G51" s="112"/>
      <c r="H51" s="112"/>
      <c r="I51" s="193"/>
      <c r="J51" s="194"/>
      <c r="K51" s="195"/>
      <c r="L51" s="112"/>
      <c r="M51" s="112"/>
      <c r="N51" s="169"/>
      <c r="O51" s="170"/>
      <c r="P51" s="170"/>
      <c r="Q51" s="170"/>
      <c r="R51" s="170"/>
      <c r="S51" s="171"/>
      <c r="T51" s="112"/>
      <c r="U51" s="112"/>
      <c r="V51" s="193"/>
      <c r="W51" s="194"/>
      <c r="X51" s="195"/>
      <c r="Y51" s="112"/>
      <c r="Z51" s="112"/>
    </row>
    <row r="52" spans="1:26" ht="18" customHeight="1" x14ac:dyDescent="0.2">
      <c r="A52" s="29"/>
      <c r="B52" s="199"/>
      <c r="C52" s="200"/>
      <c r="D52" s="200"/>
      <c r="E52" s="200"/>
      <c r="F52" s="201"/>
      <c r="G52" s="112"/>
      <c r="H52" s="112"/>
      <c r="I52" s="193"/>
      <c r="J52" s="194"/>
      <c r="K52" s="195"/>
      <c r="L52" s="112"/>
      <c r="M52" s="112"/>
      <c r="N52" s="169"/>
      <c r="O52" s="170"/>
      <c r="P52" s="170"/>
      <c r="Q52" s="170"/>
      <c r="R52" s="170"/>
      <c r="S52" s="171"/>
      <c r="T52" s="112"/>
      <c r="U52" s="112"/>
      <c r="V52" s="193"/>
      <c r="W52" s="194"/>
      <c r="X52" s="195"/>
      <c r="Y52" s="112"/>
      <c r="Z52" s="112"/>
    </row>
    <row r="53" spans="1:26" ht="18" customHeight="1" x14ac:dyDescent="0.2">
      <c r="A53" s="29"/>
      <c r="B53" s="199"/>
      <c r="C53" s="200"/>
      <c r="D53" s="200"/>
      <c r="E53" s="200"/>
      <c r="F53" s="201"/>
      <c r="G53" s="112"/>
      <c r="H53" s="112"/>
      <c r="I53" s="193"/>
      <c r="J53" s="194"/>
      <c r="K53" s="195"/>
      <c r="L53" s="112"/>
      <c r="M53" s="112"/>
      <c r="N53" s="169"/>
      <c r="O53" s="170"/>
      <c r="P53" s="170"/>
      <c r="Q53" s="170"/>
      <c r="R53" s="170"/>
      <c r="S53" s="171"/>
      <c r="T53" s="112"/>
      <c r="U53" s="112"/>
      <c r="V53" s="193"/>
      <c r="W53" s="194"/>
      <c r="X53" s="195"/>
      <c r="Y53" s="112"/>
      <c r="Z53" s="112"/>
    </row>
    <row r="54" spans="1:26" ht="18" customHeight="1" x14ac:dyDescent="0.2">
      <c r="A54" s="29"/>
      <c r="B54" s="199"/>
      <c r="C54" s="200"/>
      <c r="D54" s="200"/>
      <c r="E54" s="200"/>
      <c r="F54" s="201"/>
      <c r="G54" s="112"/>
      <c r="H54" s="112"/>
      <c r="I54" s="193"/>
      <c r="J54" s="194"/>
      <c r="K54" s="195"/>
      <c r="L54" s="112"/>
      <c r="M54" s="112"/>
      <c r="N54" s="169"/>
      <c r="O54" s="170"/>
      <c r="P54" s="170"/>
      <c r="Q54" s="170"/>
      <c r="R54" s="170"/>
      <c r="S54" s="171"/>
      <c r="T54" s="112"/>
      <c r="U54" s="112"/>
      <c r="V54" s="193"/>
      <c r="W54" s="194"/>
      <c r="X54" s="195"/>
      <c r="Y54" s="112"/>
      <c r="Z54" s="112"/>
    </row>
    <row r="55" spans="1:26" ht="18" customHeight="1" x14ac:dyDescent="0.2">
      <c r="A55" s="29"/>
      <c r="B55" s="206"/>
      <c r="C55" s="207"/>
      <c r="D55" s="207"/>
      <c r="E55" s="207"/>
      <c r="F55" s="208"/>
      <c r="G55" s="113"/>
      <c r="H55" s="113"/>
      <c r="I55" s="202"/>
      <c r="J55" s="203"/>
      <c r="K55" s="204"/>
      <c r="L55" s="119"/>
      <c r="M55" s="119"/>
      <c r="N55" s="228"/>
      <c r="O55" s="229"/>
      <c r="P55" s="229"/>
      <c r="Q55" s="229"/>
      <c r="R55" s="229"/>
      <c r="S55" s="230"/>
      <c r="T55" s="113"/>
      <c r="U55" s="113"/>
      <c r="V55" s="202"/>
      <c r="W55" s="203"/>
      <c r="X55" s="204"/>
      <c r="Y55" s="119"/>
      <c r="Z55" s="119"/>
    </row>
    <row r="56" spans="1:26" ht="7.5" customHeight="1" x14ac:dyDescent="0.2">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2">
      <c r="A57" s="205" t="s">
        <v>131</v>
      </c>
      <c r="B57" s="205"/>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row>
    <row r="58" spans="1:26" ht="18" customHeight="1" x14ac:dyDescent="0.2">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row>
    <row r="59" spans="1:26" ht="18" customHeight="1" x14ac:dyDescent="0.2">
      <c r="A59" s="14"/>
      <c r="B59" s="153" t="s">
        <v>98</v>
      </c>
      <c r="C59" s="154"/>
      <c r="D59" s="154"/>
      <c r="E59" s="155"/>
      <c r="F59" s="30" t="s">
        <v>139</v>
      </c>
      <c r="G59" s="110" t="s">
        <v>138</v>
      </c>
      <c r="H59" s="105" t="s">
        <v>99</v>
      </c>
      <c r="I59" s="106"/>
      <c r="J59" s="107"/>
      <c r="K59" s="73" t="s">
        <v>103</v>
      </c>
      <c r="L59" s="73" t="s">
        <v>132</v>
      </c>
      <c r="M59" s="73" t="s">
        <v>133</v>
      </c>
      <c r="N59" s="153" t="s">
        <v>98</v>
      </c>
      <c r="O59" s="154"/>
      <c r="P59" s="154"/>
      <c r="Q59" s="154"/>
      <c r="R59" s="155"/>
      <c r="S59" s="30" t="s">
        <v>139</v>
      </c>
      <c r="T59" s="110" t="s">
        <v>138</v>
      </c>
      <c r="U59" s="105" t="s">
        <v>99</v>
      </c>
      <c r="V59" s="106"/>
      <c r="W59" s="107"/>
      <c r="X59" s="73" t="s">
        <v>103</v>
      </c>
      <c r="Y59" s="73" t="s">
        <v>132</v>
      </c>
      <c r="Z59" s="73" t="s">
        <v>133</v>
      </c>
    </row>
    <row r="60" spans="1:26" ht="18" customHeight="1" x14ac:dyDescent="0.2">
      <c r="A60" s="29"/>
      <c r="B60" s="160" t="s">
        <v>168</v>
      </c>
      <c r="C60" s="161"/>
      <c r="D60" s="161"/>
      <c r="E60" s="162"/>
      <c r="F60" s="111">
        <v>1</v>
      </c>
      <c r="G60" s="111"/>
      <c r="H60" s="190" t="s">
        <v>169</v>
      </c>
      <c r="I60" s="191"/>
      <c r="J60" s="192"/>
      <c r="K60" s="111" t="s">
        <v>167</v>
      </c>
      <c r="L60" s="111" t="s">
        <v>167</v>
      </c>
      <c r="M60" s="111" t="s">
        <v>167</v>
      </c>
      <c r="N60" s="160" t="s">
        <v>208</v>
      </c>
      <c r="O60" s="161"/>
      <c r="P60" s="161"/>
      <c r="Q60" s="161"/>
      <c r="R60" s="162"/>
      <c r="S60" s="111">
        <v>1</v>
      </c>
      <c r="T60" s="111"/>
      <c r="U60" s="190" t="s">
        <v>169</v>
      </c>
      <c r="V60" s="191"/>
      <c r="W60" s="192"/>
      <c r="X60" s="124" t="s">
        <v>167</v>
      </c>
      <c r="Y60" s="111" t="s">
        <v>167</v>
      </c>
      <c r="Z60" s="111" t="s">
        <v>167</v>
      </c>
    </row>
    <row r="61" spans="1:26" ht="18" customHeight="1" x14ac:dyDescent="0.2">
      <c r="A61" s="29"/>
      <c r="B61" s="169" t="s">
        <v>170</v>
      </c>
      <c r="C61" s="170"/>
      <c r="D61" s="170"/>
      <c r="E61" s="171"/>
      <c r="F61" s="112">
        <v>1</v>
      </c>
      <c r="G61" s="112"/>
      <c r="H61" s="193" t="s">
        <v>169</v>
      </c>
      <c r="I61" s="194"/>
      <c r="J61" s="195"/>
      <c r="K61" s="112" t="s">
        <v>167</v>
      </c>
      <c r="L61" s="112" t="s">
        <v>167</v>
      </c>
      <c r="M61" s="112" t="s">
        <v>167</v>
      </c>
      <c r="N61" s="169"/>
      <c r="O61" s="170"/>
      <c r="P61" s="170"/>
      <c r="Q61" s="170"/>
      <c r="R61" s="171"/>
      <c r="S61" s="112"/>
      <c r="T61" s="112"/>
      <c r="U61" s="193"/>
      <c r="V61" s="194"/>
      <c r="W61" s="195"/>
      <c r="X61" s="122"/>
      <c r="Y61" s="112"/>
      <c r="Z61" s="112"/>
    </row>
    <row r="62" spans="1:26" ht="18" customHeight="1" x14ac:dyDescent="0.2">
      <c r="A62" s="29"/>
      <c r="B62" s="169" t="s">
        <v>171</v>
      </c>
      <c r="C62" s="170"/>
      <c r="D62" s="170"/>
      <c r="E62" s="171"/>
      <c r="F62" s="112">
        <v>1</v>
      </c>
      <c r="G62" s="112"/>
      <c r="H62" s="193" t="s">
        <v>169</v>
      </c>
      <c r="I62" s="194"/>
      <c r="J62" s="195"/>
      <c r="K62" s="112" t="s">
        <v>167</v>
      </c>
      <c r="L62" s="112" t="s">
        <v>167</v>
      </c>
      <c r="M62" s="112" t="s">
        <v>167</v>
      </c>
      <c r="N62" s="169"/>
      <c r="O62" s="170"/>
      <c r="P62" s="170"/>
      <c r="Q62" s="170"/>
      <c r="R62" s="171"/>
      <c r="S62" s="112"/>
      <c r="T62" s="112"/>
      <c r="U62" s="193"/>
      <c r="V62" s="194"/>
      <c r="W62" s="195"/>
      <c r="X62" s="122"/>
      <c r="Y62" s="112"/>
      <c r="Z62" s="112"/>
    </row>
    <row r="63" spans="1:26" ht="18" customHeight="1" x14ac:dyDescent="0.2">
      <c r="A63" s="29"/>
      <c r="B63" s="169" t="s">
        <v>172</v>
      </c>
      <c r="C63" s="170"/>
      <c r="D63" s="170"/>
      <c r="E63" s="171"/>
      <c r="F63" s="112">
        <v>1</v>
      </c>
      <c r="G63" s="112"/>
      <c r="H63" s="193" t="s">
        <v>169</v>
      </c>
      <c r="I63" s="194"/>
      <c r="J63" s="195"/>
      <c r="K63" s="112" t="s">
        <v>167</v>
      </c>
      <c r="L63" s="112" t="s">
        <v>167</v>
      </c>
      <c r="M63" s="112" t="s">
        <v>167</v>
      </c>
      <c r="N63" s="169"/>
      <c r="O63" s="170"/>
      <c r="P63" s="170"/>
      <c r="Q63" s="170"/>
      <c r="R63" s="171"/>
      <c r="S63" s="112"/>
      <c r="T63" s="112"/>
      <c r="U63" s="193"/>
      <c r="V63" s="194"/>
      <c r="W63" s="195"/>
      <c r="X63" s="122"/>
      <c r="Y63" s="112"/>
      <c r="Z63" s="112"/>
    </row>
    <row r="64" spans="1:26" ht="18" customHeight="1" x14ac:dyDescent="0.2">
      <c r="A64" s="29"/>
      <c r="B64" s="169" t="s">
        <v>202</v>
      </c>
      <c r="C64" s="170"/>
      <c r="D64" s="170"/>
      <c r="E64" s="171"/>
      <c r="F64" s="112">
        <v>1</v>
      </c>
      <c r="G64" s="112"/>
      <c r="H64" s="193" t="s">
        <v>169</v>
      </c>
      <c r="I64" s="194"/>
      <c r="J64" s="195"/>
      <c r="K64" s="122" t="s">
        <v>167</v>
      </c>
      <c r="L64" s="112" t="s">
        <v>167</v>
      </c>
      <c r="M64" s="112" t="s">
        <v>167</v>
      </c>
      <c r="N64" s="169"/>
      <c r="O64" s="170"/>
      <c r="P64" s="170"/>
      <c r="Q64" s="170"/>
      <c r="R64" s="171"/>
      <c r="S64" s="112"/>
      <c r="T64" s="112"/>
      <c r="U64" s="193"/>
      <c r="V64" s="194"/>
      <c r="W64" s="195"/>
      <c r="X64" s="122"/>
      <c r="Y64" s="112"/>
      <c r="Z64" s="112"/>
    </row>
    <row r="65" spans="1:26" ht="18" customHeight="1" x14ac:dyDescent="0.2">
      <c r="A65" s="29"/>
      <c r="B65" s="169" t="s">
        <v>203</v>
      </c>
      <c r="C65" s="170"/>
      <c r="D65" s="170"/>
      <c r="E65" s="171"/>
      <c r="F65" s="112">
        <v>1</v>
      </c>
      <c r="G65" s="112"/>
      <c r="H65" s="193" t="s">
        <v>169</v>
      </c>
      <c r="I65" s="194"/>
      <c r="J65" s="195"/>
      <c r="K65" s="122" t="s">
        <v>167</v>
      </c>
      <c r="L65" s="112" t="s">
        <v>167</v>
      </c>
      <c r="M65" s="112" t="s">
        <v>167</v>
      </c>
      <c r="N65" s="169"/>
      <c r="O65" s="170"/>
      <c r="P65" s="170"/>
      <c r="Q65" s="170"/>
      <c r="R65" s="171"/>
      <c r="S65" s="112"/>
      <c r="T65" s="112"/>
      <c r="U65" s="193"/>
      <c r="V65" s="194"/>
      <c r="W65" s="195"/>
      <c r="X65" s="122"/>
      <c r="Y65" s="112"/>
      <c r="Z65" s="112"/>
    </row>
    <row r="66" spans="1:26" ht="18" customHeight="1" x14ac:dyDescent="0.2">
      <c r="A66" s="29"/>
      <c r="B66" s="228" t="s">
        <v>204</v>
      </c>
      <c r="C66" s="229"/>
      <c r="D66" s="229"/>
      <c r="E66" s="230"/>
      <c r="F66" s="113">
        <v>1</v>
      </c>
      <c r="G66" s="113"/>
      <c r="H66" s="202" t="s">
        <v>169</v>
      </c>
      <c r="I66" s="203"/>
      <c r="J66" s="204"/>
      <c r="K66" s="123" t="s">
        <v>167</v>
      </c>
      <c r="L66" s="119" t="s">
        <v>167</v>
      </c>
      <c r="M66" s="119" t="s">
        <v>167</v>
      </c>
      <c r="N66" s="228"/>
      <c r="O66" s="229"/>
      <c r="P66" s="229"/>
      <c r="Q66" s="229"/>
      <c r="R66" s="230"/>
      <c r="S66" s="113"/>
      <c r="T66" s="113"/>
      <c r="U66" s="202"/>
      <c r="V66" s="203"/>
      <c r="W66" s="204"/>
      <c r="X66" s="123"/>
      <c r="Y66" s="119"/>
      <c r="Z66" s="119"/>
    </row>
    <row r="67" spans="1:26" ht="7.5" customHeight="1" x14ac:dyDescent="0.2">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2">
      <c r="A68" s="14" t="s">
        <v>134</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53" t="s">
        <v>98</v>
      </c>
      <c r="C69" s="154"/>
      <c r="D69" s="154"/>
      <c r="E69" s="154"/>
      <c r="F69" s="155"/>
      <c r="G69" s="153" t="s">
        <v>144</v>
      </c>
      <c r="H69" s="154"/>
      <c r="I69" s="154"/>
      <c r="J69" s="154"/>
      <c r="K69" s="154"/>
      <c r="L69" s="154"/>
      <c r="M69" s="155"/>
      <c r="N69" s="234" t="s">
        <v>98</v>
      </c>
      <c r="O69" s="235"/>
      <c r="P69" s="235"/>
      <c r="Q69" s="235"/>
      <c r="R69" s="235"/>
      <c r="S69" s="236"/>
      <c r="T69" s="153" t="s">
        <v>144</v>
      </c>
      <c r="U69" s="154"/>
      <c r="V69" s="154"/>
      <c r="W69" s="154"/>
      <c r="X69" s="154"/>
      <c r="Y69" s="154"/>
      <c r="Z69" s="155"/>
    </row>
    <row r="70" spans="1:26" ht="18" customHeight="1" x14ac:dyDescent="0.2">
      <c r="A70" s="29"/>
      <c r="B70" s="160"/>
      <c r="C70" s="161"/>
      <c r="D70" s="161"/>
      <c r="E70" s="161"/>
      <c r="F70" s="162"/>
      <c r="G70" s="163"/>
      <c r="H70" s="164"/>
      <c r="I70" s="164"/>
      <c r="J70" s="164"/>
      <c r="K70" s="164"/>
      <c r="L70" s="164"/>
      <c r="M70" s="165"/>
      <c r="N70" s="160"/>
      <c r="O70" s="161"/>
      <c r="P70" s="161"/>
      <c r="Q70" s="161"/>
      <c r="R70" s="161"/>
      <c r="S70" s="162"/>
      <c r="T70" s="163"/>
      <c r="U70" s="164"/>
      <c r="V70" s="164"/>
      <c r="W70" s="164"/>
      <c r="X70" s="164"/>
      <c r="Y70" s="164"/>
      <c r="Z70" s="165"/>
    </row>
    <row r="71" spans="1:26" ht="18" customHeight="1" x14ac:dyDescent="0.2">
      <c r="A71" s="29"/>
      <c r="B71" s="169"/>
      <c r="C71" s="170"/>
      <c r="D71" s="170"/>
      <c r="E71" s="170"/>
      <c r="F71" s="171"/>
      <c r="G71" s="172"/>
      <c r="H71" s="173"/>
      <c r="I71" s="173"/>
      <c r="J71" s="173"/>
      <c r="K71" s="173"/>
      <c r="L71" s="173"/>
      <c r="M71" s="174"/>
      <c r="N71" s="169"/>
      <c r="O71" s="170"/>
      <c r="P71" s="170"/>
      <c r="Q71" s="170"/>
      <c r="R71" s="170"/>
      <c r="S71" s="171"/>
      <c r="T71" s="172"/>
      <c r="U71" s="173"/>
      <c r="V71" s="173"/>
      <c r="W71" s="173"/>
      <c r="X71" s="173"/>
      <c r="Y71" s="173"/>
      <c r="Z71" s="174"/>
    </row>
    <row r="72" spans="1:26" ht="18" customHeight="1" x14ac:dyDescent="0.2">
      <c r="A72" s="29"/>
      <c r="B72" s="169"/>
      <c r="C72" s="170"/>
      <c r="D72" s="170"/>
      <c r="E72" s="170"/>
      <c r="F72" s="171"/>
      <c r="G72" s="172"/>
      <c r="H72" s="173"/>
      <c r="I72" s="173"/>
      <c r="J72" s="173"/>
      <c r="K72" s="173"/>
      <c r="L72" s="173"/>
      <c r="M72" s="174"/>
      <c r="N72" s="169"/>
      <c r="O72" s="170"/>
      <c r="P72" s="170"/>
      <c r="Q72" s="170"/>
      <c r="R72" s="170"/>
      <c r="S72" s="171"/>
      <c r="T72" s="172"/>
      <c r="U72" s="173"/>
      <c r="V72" s="173"/>
      <c r="W72" s="173"/>
      <c r="X72" s="173"/>
      <c r="Y72" s="173"/>
      <c r="Z72" s="174"/>
    </row>
    <row r="73" spans="1:26" ht="18" customHeight="1" x14ac:dyDescent="0.2">
      <c r="A73" s="29"/>
      <c r="B73" s="169"/>
      <c r="C73" s="170"/>
      <c r="D73" s="170"/>
      <c r="E73" s="170"/>
      <c r="F73" s="171"/>
      <c r="G73" s="172"/>
      <c r="H73" s="173"/>
      <c r="I73" s="173"/>
      <c r="J73" s="173"/>
      <c r="K73" s="173"/>
      <c r="L73" s="173"/>
      <c r="M73" s="174"/>
      <c r="N73" s="169"/>
      <c r="O73" s="170"/>
      <c r="P73" s="170"/>
      <c r="Q73" s="170"/>
      <c r="R73" s="170"/>
      <c r="S73" s="171"/>
      <c r="T73" s="172"/>
      <c r="U73" s="173"/>
      <c r="V73" s="173"/>
      <c r="W73" s="173"/>
      <c r="X73" s="173"/>
      <c r="Y73" s="173"/>
      <c r="Z73" s="174"/>
    </row>
    <row r="74" spans="1:26" ht="18" customHeight="1" x14ac:dyDescent="0.2">
      <c r="A74" s="29"/>
      <c r="B74" s="169"/>
      <c r="C74" s="170"/>
      <c r="D74" s="170"/>
      <c r="E74" s="170"/>
      <c r="F74" s="171"/>
      <c r="G74" s="172"/>
      <c r="H74" s="173"/>
      <c r="I74" s="173"/>
      <c r="J74" s="173"/>
      <c r="K74" s="173"/>
      <c r="L74" s="173"/>
      <c r="M74" s="174"/>
      <c r="N74" s="169"/>
      <c r="O74" s="170"/>
      <c r="P74" s="170"/>
      <c r="Q74" s="170"/>
      <c r="R74" s="170"/>
      <c r="S74" s="171"/>
      <c r="T74" s="172"/>
      <c r="U74" s="173"/>
      <c r="V74" s="173"/>
      <c r="W74" s="173"/>
      <c r="X74" s="173"/>
      <c r="Y74" s="173"/>
      <c r="Z74" s="174"/>
    </row>
    <row r="75" spans="1:26" ht="18" customHeight="1" x14ac:dyDescent="0.2">
      <c r="A75" s="29"/>
      <c r="B75" s="169"/>
      <c r="C75" s="170"/>
      <c r="D75" s="170"/>
      <c r="E75" s="170"/>
      <c r="F75" s="171"/>
      <c r="G75" s="172"/>
      <c r="H75" s="173"/>
      <c r="I75" s="173"/>
      <c r="J75" s="173"/>
      <c r="K75" s="173"/>
      <c r="L75" s="173"/>
      <c r="M75" s="174"/>
      <c r="N75" s="169"/>
      <c r="O75" s="170"/>
      <c r="P75" s="170"/>
      <c r="Q75" s="170"/>
      <c r="R75" s="170"/>
      <c r="S75" s="171"/>
      <c r="T75" s="172"/>
      <c r="U75" s="173"/>
      <c r="V75" s="173"/>
      <c r="W75" s="173"/>
      <c r="X75" s="173"/>
      <c r="Y75" s="173"/>
      <c r="Z75" s="174"/>
    </row>
    <row r="76" spans="1:26" ht="18" customHeight="1" x14ac:dyDescent="0.2">
      <c r="A76" s="29"/>
      <c r="B76" s="228"/>
      <c r="C76" s="229"/>
      <c r="D76" s="229"/>
      <c r="E76" s="229"/>
      <c r="F76" s="230"/>
      <c r="G76" s="231"/>
      <c r="H76" s="232"/>
      <c r="I76" s="232"/>
      <c r="J76" s="232"/>
      <c r="K76" s="232"/>
      <c r="L76" s="232"/>
      <c r="M76" s="233"/>
      <c r="N76" s="228"/>
      <c r="O76" s="229"/>
      <c r="P76" s="229"/>
      <c r="Q76" s="229"/>
      <c r="R76" s="229"/>
      <c r="S76" s="230"/>
      <c r="T76" s="231"/>
      <c r="U76" s="232"/>
      <c r="V76" s="232"/>
      <c r="W76" s="232"/>
      <c r="X76" s="232"/>
      <c r="Y76" s="232"/>
      <c r="Z76" s="233"/>
    </row>
    <row r="77" spans="1:26" ht="18" customHeight="1" x14ac:dyDescent="0.2">
      <c r="A77" s="29"/>
      <c r="B77" s="121"/>
      <c r="C77" s="121"/>
      <c r="D77" s="121"/>
      <c r="E77" s="121"/>
      <c r="F77" s="121"/>
      <c r="G77" s="12"/>
      <c r="H77" s="12"/>
      <c r="I77" s="12"/>
      <c r="J77" s="12"/>
      <c r="K77" s="12"/>
      <c r="L77" s="12"/>
      <c r="M77" s="12"/>
      <c r="N77" s="121"/>
      <c r="O77" s="121"/>
      <c r="P77" s="121"/>
      <c r="Q77" s="121"/>
      <c r="R77" s="121"/>
      <c r="S77" s="121"/>
      <c r="T77" s="12"/>
      <c r="U77" s="12"/>
      <c r="V77" s="12"/>
      <c r="W77" s="12"/>
      <c r="X77" s="12"/>
      <c r="Y77" s="12"/>
      <c r="Z77" s="12"/>
    </row>
    <row r="78" spans="1:26" ht="18.75" customHeight="1" x14ac:dyDescent="0.2">
      <c r="A78" s="13" t="s">
        <v>140</v>
      </c>
    </row>
    <row r="79" spans="1:26" ht="18.75" customHeight="1" x14ac:dyDescent="0.2">
      <c r="B79" s="76" t="s">
        <v>100</v>
      </c>
      <c r="C79" s="77"/>
      <c r="D79" s="188" t="s">
        <v>101</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78" customHeight="1" x14ac:dyDescent="0.2">
      <c r="B80" s="177" t="s">
        <v>107</v>
      </c>
      <c r="C80" s="83" t="s">
        <v>102</v>
      </c>
      <c r="D80" s="184" t="s">
        <v>173</v>
      </c>
      <c r="E80" s="184"/>
      <c r="F80" s="184"/>
      <c r="G80" s="184"/>
      <c r="H80" s="184"/>
      <c r="I80" s="184"/>
      <c r="J80" s="184"/>
      <c r="K80" s="184"/>
      <c r="L80" s="184"/>
      <c r="M80" s="184"/>
      <c r="N80" s="184"/>
      <c r="O80" s="184"/>
      <c r="P80" s="184"/>
      <c r="Q80" s="184"/>
      <c r="R80" s="184"/>
      <c r="S80" s="184"/>
      <c r="T80" s="184"/>
      <c r="U80" s="184"/>
      <c r="V80" s="184"/>
      <c r="W80" s="184"/>
      <c r="X80" s="184"/>
      <c r="Y80" s="184"/>
      <c r="Z80" s="185"/>
    </row>
    <row r="81" spans="1:26" ht="78" customHeight="1" x14ac:dyDescent="0.2">
      <c r="B81" s="178"/>
      <c r="C81" s="108" t="s">
        <v>135</v>
      </c>
      <c r="D81" s="220" t="s">
        <v>174</v>
      </c>
      <c r="E81" s="220"/>
      <c r="F81" s="220"/>
      <c r="G81" s="220"/>
      <c r="H81" s="220"/>
      <c r="I81" s="220"/>
      <c r="J81" s="220"/>
      <c r="K81" s="220"/>
      <c r="L81" s="220"/>
      <c r="M81" s="220"/>
      <c r="N81" s="220"/>
      <c r="O81" s="220"/>
      <c r="P81" s="220"/>
      <c r="Q81" s="220"/>
      <c r="R81" s="220"/>
      <c r="S81" s="220"/>
      <c r="T81" s="220"/>
      <c r="U81" s="220"/>
      <c r="V81" s="220"/>
      <c r="W81" s="220"/>
      <c r="X81" s="220"/>
      <c r="Y81" s="220"/>
      <c r="Z81" s="221"/>
    </row>
    <row r="82" spans="1:26" ht="78" customHeight="1" x14ac:dyDescent="0.2">
      <c r="B82" s="175" t="s">
        <v>108</v>
      </c>
      <c r="C82" s="78" t="s">
        <v>125</v>
      </c>
      <c r="D82" s="222" t="s">
        <v>175</v>
      </c>
      <c r="E82" s="222"/>
      <c r="F82" s="222"/>
      <c r="G82" s="222"/>
      <c r="H82" s="222"/>
      <c r="I82" s="222"/>
      <c r="J82" s="222"/>
      <c r="K82" s="222"/>
      <c r="L82" s="222"/>
      <c r="M82" s="222"/>
      <c r="N82" s="222"/>
      <c r="O82" s="222"/>
      <c r="P82" s="222"/>
      <c r="Q82" s="222"/>
      <c r="R82" s="222"/>
      <c r="S82" s="222"/>
      <c r="T82" s="222"/>
      <c r="U82" s="222"/>
      <c r="V82" s="222"/>
      <c r="W82" s="222"/>
      <c r="X82" s="222"/>
      <c r="Y82" s="222"/>
      <c r="Z82" s="223"/>
    </row>
    <row r="83" spans="1:26" ht="78" customHeight="1" x14ac:dyDescent="0.2">
      <c r="B83" s="176"/>
      <c r="C83" s="109" t="s">
        <v>126</v>
      </c>
      <c r="D83" s="226" t="s">
        <v>176</v>
      </c>
      <c r="E83" s="226"/>
      <c r="F83" s="226"/>
      <c r="G83" s="226"/>
      <c r="H83" s="226"/>
      <c r="I83" s="226"/>
      <c r="J83" s="226"/>
      <c r="K83" s="226"/>
      <c r="L83" s="226"/>
      <c r="M83" s="226"/>
      <c r="N83" s="226"/>
      <c r="O83" s="226"/>
      <c r="P83" s="226"/>
      <c r="Q83" s="226"/>
      <c r="R83" s="226"/>
      <c r="S83" s="226"/>
      <c r="T83" s="226"/>
      <c r="U83" s="226"/>
      <c r="V83" s="226"/>
      <c r="W83" s="226"/>
      <c r="X83" s="226"/>
      <c r="Y83" s="226"/>
      <c r="Z83" s="227"/>
    </row>
    <row r="84" spans="1:26" ht="66" customHeight="1" x14ac:dyDescent="0.2">
      <c r="B84" s="175" t="s">
        <v>109</v>
      </c>
      <c r="C84" s="78" t="s">
        <v>128</v>
      </c>
      <c r="D84" s="222" t="s">
        <v>215</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66" customHeight="1" x14ac:dyDescent="0.2">
      <c r="B85" s="176"/>
      <c r="C85" s="80" t="s">
        <v>129</v>
      </c>
      <c r="D85" s="224" t="s">
        <v>216</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66" customHeight="1" x14ac:dyDescent="0.2">
      <c r="B86" s="177" t="s">
        <v>136</v>
      </c>
      <c r="C86" s="83" t="s">
        <v>104</v>
      </c>
      <c r="D86" s="184" t="s">
        <v>177</v>
      </c>
      <c r="E86" s="184"/>
      <c r="F86" s="184"/>
      <c r="G86" s="184"/>
      <c r="H86" s="184"/>
      <c r="I86" s="184"/>
      <c r="J86" s="184"/>
      <c r="K86" s="184"/>
      <c r="L86" s="184"/>
      <c r="M86" s="184"/>
      <c r="N86" s="184"/>
      <c r="O86" s="184"/>
      <c r="P86" s="184"/>
      <c r="Q86" s="184"/>
      <c r="R86" s="184"/>
      <c r="S86" s="184"/>
      <c r="T86" s="184"/>
      <c r="U86" s="184"/>
      <c r="V86" s="184"/>
      <c r="W86" s="184"/>
      <c r="X86" s="184"/>
      <c r="Y86" s="184"/>
      <c r="Z86" s="185"/>
    </row>
    <row r="87" spans="1:26" ht="66" customHeight="1" x14ac:dyDescent="0.2">
      <c r="B87" s="183"/>
      <c r="C87" s="79" t="s">
        <v>106</v>
      </c>
      <c r="D87" s="186" t="s">
        <v>178</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133.19999999999999" customHeight="1" x14ac:dyDescent="0.2">
      <c r="B88" s="177" t="s">
        <v>137</v>
      </c>
      <c r="C88" s="78" t="s">
        <v>103</v>
      </c>
      <c r="D88" s="179" t="s">
        <v>220</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84.6" customHeight="1" x14ac:dyDescent="0.2">
      <c r="B89" s="178"/>
      <c r="C89" s="79" t="s">
        <v>132</v>
      </c>
      <c r="D89" s="166" t="s">
        <v>222</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66" customHeight="1" x14ac:dyDescent="0.2">
      <c r="B90" s="176"/>
      <c r="C90" s="80" t="s">
        <v>133</v>
      </c>
      <c r="D90" s="181" t="s">
        <v>223</v>
      </c>
      <c r="E90" s="181"/>
      <c r="F90" s="181"/>
      <c r="G90" s="181"/>
      <c r="H90" s="181"/>
      <c r="I90" s="181"/>
      <c r="J90" s="181"/>
      <c r="K90" s="181"/>
      <c r="L90" s="181"/>
      <c r="M90" s="181"/>
      <c r="N90" s="181"/>
      <c r="O90" s="181"/>
      <c r="P90" s="181"/>
      <c r="Q90" s="181"/>
      <c r="R90" s="181"/>
      <c r="S90" s="181"/>
      <c r="T90" s="181"/>
      <c r="U90" s="181"/>
      <c r="V90" s="181"/>
      <c r="W90" s="181"/>
      <c r="X90" s="181"/>
      <c r="Y90" s="181"/>
      <c r="Z90" s="182"/>
    </row>
    <row r="91" spans="1:26" ht="6" customHeight="1" x14ac:dyDescent="0.2"/>
    <row r="92" spans="1:26" ht="18.75" customHeight="1" x14ac:dyDescent="0.2">
      <c r="A92" s="13" t="s">
        <v>141</v>
      </c>
    </row>
    <row r="93" spans="1:26" ht="18.75" customHeight="1" x14ac:dyDescent="0.2">
      <c r="B93" s="237" t="s">
        <v>181</v>
      </c>
      <c r="C93" s="238"/>
      <c r="D93" s="238"/>
      <c r="E93" s="238"/>
      <c r="F93" s="238"/>
      <c r="G93" s="238"/>
      <c r="H93" s="238"/>
      <c r="I93" s="238"/>
      <c r="J93" s="238"/>
      <c r="K93" s="238"/>
      <c r="L93" s="238"/>
      <c r="M93" s="238"/>
      <c r="N93" s="238"/>
      <c r="O93" s="238"/>
      <c r="P93" s="238"/>
      <c r="Q93" s="238"/>
      <c r="R93" s="238"/>
      <c r="S93" s="238"/>
      <c r="T93" s="238"/>
      <c r="U93" s="238"/>
      <c r="V93" s="238"/>
      <c r="W93" s="238"/>
      <c r="X93" s="238"/>
      <c r="Y93" s="238"/>
      <c r="Z93" s="239"/>
    </row>
    <row r="94" spans="1:26" ht="18.75" customHeight="1" x14ac:dyDescent="0.2">
      <c r="B94" s="240"/>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2"/>
    </row>
    <row r="95" spans="1:26" ht="18.75" customHeight="1" x14ac:dyDescent="0.2">
      <c r="B95" s="243"/>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5"/>
    </row>
    <row r="96" spans="1:26" ht="6" customHeight="1" x14ac:dyDescent="0.2"/>
    <row r="97" spans="1:26" ht="15" customHeight="1" x14ac:dyDescent="0.2">
      <c r="A97" s="13" t="s">
        <v>142</v>
      </c>
    </row>
    <row r="98" spans="1:26" ht="15" customHeight="1" x14ac:dyDescent="0.2">
      <c r="B98" s="246" t="s">
        <v>182</v>
      </c>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49:I55 V27:V33 I16:I22 V38:V44 I27:I33 V49:V55 I38:I44 H60:H66 U60:U66">
      <formula1>"全学開講,一部開講"</formula1>
    </dataValidation>
    <dataValidation type="list" allowBlank="1" showInputMessage="1" showErrorMessage="1" sqref="Y16:Z22 H16:H22 Y27:Z33 H27:H33 H38:H44 Y38:Z44 H49:H55 Y49:Z55 T60:T66 L60:M66 G60:G66 U16:U22 L16:M22 U27:U33 L27:M33 U38:U44 L38:M44 U49:U55 L49:M55 K60:K63 Y60:Z66">
      <formula1>"○"</formula1>
    </dataValidation>
  </dataValidations>
  <printOptions horizontalCentered="1"/>
  <pageMargins left="0.78740157480314965" right="0.78740157480314965" top="0.59055118110236227" bottom="0.19685039370078741" header="0.31496062992125984" footer="0.19685039370078741"/>
  <pageSetup paperSize="9" scale="87"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40" zoomScaleNormal="100" zoomScaleSheetLayoutView="100" workbookViewId="0">
      <selection activeCell="A46" sqref="A46:Z47"/>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9" t="s">
        <v>217</v>
      </c>
      <c r="X1" s="249"/>
      <c r="Y1" s="249"/>
      <c r="Z1" s="249"/>
    </row>
    <row r="2" spans="1:26" ht="18" customHeight="1" x14ac:dyDescent="0.2">
      <c r="A2" s="209" t="s">
        <v>65</v>
      </c>
      <c r="B2" s="209"/>
      <c r="C2" s="209"/>
      <c r="D2" s="209"/>
      <c r="E2" s="209"/>
      <c r="F2" s="209"/>
      <c r="G2" s="209"/>
      <c r="H2" s="209"/>
      <c r="I2" s="209"/>
      <c r="J2" s="209"/>
      <c r="K2" s="209"/>
      <c r="L2" s="209"/>
      <c r="M2" s="209"/>
      <c r="N2" s="209"/>
      <c r="O2" s="209"/>
      <c r="P2" s="209"/>
      <c r="Q2" s="209"/>
      <c r="R2" s="209"/>
      <c r="S2" s="209"/>
      <c r="T2" s="209"/>
      <c r="U2" s="209"/>
      <c r="V2" s="209"/>
      <c r="W2" s="209"/>
      <c r="X2" s="209"/>
      <c r="Y2" s="209"/>
      <c r="Z2" s="209"/>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97</v>
      </c>
      <c r="B4" s="29"/>
      <c r="C4" s="29"/>
      <c r="D4" s="29"/>
      <c r="E4" s="29"/>
      <c r="F4" s="29"/>
      <c r="G4" s="29"/>
      <c r="H4" s="15" t="s">
        <v>110</v>
      </c>
      <c r="I4" s="29"/>
      <c r="J4" s="29"/>
      <c r="K4" s="29"/>
      <c r="L4" s="29"/>
      <c r="M4" s="29"/>
      <c r="N4" s="29"/>
      <c r="O4" s="153" t="s">
        <v>163</v>
      </c>
      <c r="P4" s="154"/>
      <c r="Q4" s="154"/>
      <c r="R4" s="154"/>
      <c r="S4" s="154"/>
      <c r="T4" s="154"/>
      <c r="U4" s="154"/>
      <c r="V4" s="154"/>
      <c r="W4" s="154"/>
      <c r="X4" s="154"/>
      <c r="Y4" s="154"/>
      <c r="Z4" s="155"/>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10" t="s">
        <v>206</v>
      </c>
      <c r="C6" s="211"/>
      <c r="D6" s="211"/>
      <c r="E6" s="211"/>
      <c r="F6" s="211"/>
      <c r="G6" s="211"/>
      <c r="H6" s="211"/>
      <c r="I6" s="211"/>
      <c r="J6" s="211"/>
      <c r="K6" s="211"/>
      <c r="L6" s="211"/>
      <c r="M6" s="211"/>
      <c r="N6" s="211"/>
      <c r="O6" s="211"/>
      <c r="P6" s="211"/>
      <c r="Q6" s="211"/>
      <c r="R6" s="211"/>
      <c r="S6" s="211"/>
      <c r="T6" s="211"/>
      <c r="U6" s="211"/>
      <c r="V6" s="211"/>
      <c r="W6" s="211"/>
      <c r="X6" s="211"/>
      <c r="Y6" s="211"/>
      <c r="Z6" s="212"/>
    </row>
    <row r="7" spans="1:26" ht="18" customHeight="1" x14ac:dyDescent="0.2">
      <c r="B7" s="213"/>
      <c r="C7" s="214"/>
      <c r="D7" s="214"/>
      <c r="E7" s="214"/>
      <c r="F7" s="214"/>
      <c r="G7" s="214"/>
      <c r="H7" s="214"/>
      <c r="I7" s="214"/>
      <c r="J7" s="214"/>
      <c r="K7" s="214"/>
      <c r="L7" s="214"/>
      <c r="M7" s="214"/>
      <c r="N7" s="214"/>
      <c r="O7" s="214"/>
      <c r="P7" s="214"/>
      <c r="Q7" s="214"/>
      <c r="R7" s="214"/>
      <c r="S7" s="214"/>
      <c r="T7" s="214"/>
      <c r="U7" s="214"/>
      <c r="V7" s="214"/>
      <c r="W7" s="214"/>
      <c r="X7" s="214"/>
      <c r="Y7" s="214"/>
      <c r="Z7" s="215"/>
    </row>
    <row r="8" spans="1:26" ht="18" customHeight="1" x14ac:dyDescent="0.2">
      <c r="B8" s="213"/>
      <c r="C8" s="214"/>
      <c r="D8" s="214"/>
      <c r="E8" s="214"/>
      <c r="F8" s="214"/>
      <c r="G8" s="214"/>
      <c r="H8" s="214"/>
      <c r="I8" s="214"/>
      <c r="J8" s="214"/>
      <c r="K8" s="214"/>
      <c r="L8" s="214"/>
      <c r="M8" s="214"/>
      <c r="N8" s="214"/>
      <c r="O8" s="214"/>
      <c r="P8" s="214"/>
      <c r="Q8" s="214"/>
      <c r="R8" s="214"/>
      <c r="S8" s="214"/>
      <c r="T8" s="214"/>
      <c r="U8" s="214"/>
      <c r="V8" s="214"/>
      <c r="W8" s="214"/>
      <c r="X8" s="214"/>
      <c r="Y8" s="214"/>
      <c r="Z8" s="215"/>
    </row>
    <row r="9" spans="1:26" ht="18" customHeight="1" x14ac:dyDescent="0.2">
      <c r="B9" s="213"/>
      <c r="C9" s="214"/>
      <c r="D9" s="214"/>
      <c r="E9" s="214"/>
      <c r="F9" s="214"/>
      <c r="G9" s="214"/>
      <c r="H9" s="214"/>
      <c r="I9" s="214"/>
      <c r="J9" s="214"/>
      <c r="K9" s="214"/>
      <c r="L9" s="214"/>
      <c r="M9" s="214"/>
      <c r="N9" s="214"/>
      <c r="O9" s="214"/>
      <c r="P9" s="214"/>
      <c r="Q9" s="214"/>
      <c r="R9" s="214"/>
      <c r="S9" s="214"/>
      <c r="T9" s="214"/>
      <c r="U9" s="214"/>
      <c r="V9" s="214"/>
      <c r="W9" s="214"/>
      <c r="X9" s="214"/>
      <c r="Y9" s="214"/>
      <c r="Z9" s="215"/>
    </row>
    <row r="10" spans="1:26" ht="18" customHeight="1" x14ac:dyDescent="0.2">
      <c r="B10" s="213"/>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5"/>
    </row>
    <row r="11" spans="1:26" ht="18" customHeight="1" x14ac:dyDescent="0.2">
      <c r="B11" s="217"/>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9"/>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5" t="s">
        <v>123</v>
      </c>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row>
    <row r="14" spans="1:26" ht="18" customHeight="1" x14ac:dyDescent="0.2">
      <c r="A14" s="205"/>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row>
    <row r="15" spans="1:26" ht="18" customHeight="1" x14ac:dyDescent="0.2">
      <c r="A15" s="14"/>
      <c r="B15" s="153" t="s">
        <v>98</v>
      </c>
      <c r="C15" s="154"/>
      <c r="D15" s="154"/>
      <c r="E15" s="154"/>
      <c r="F15" s="155"/>
      <c r="G15" s="30" t="s">
        <v>139</v>
      </c>
      <c r="H15" s="110" t="s">
        <v>138</v>
      </c>
      <c r="I15" s="154" t="s">
        <v>99</v>
      </c>
      <c r="J15" s="154"/>
      <c r="K15" s="154"/>
      <c r="L15" s="73" t="s">
        <v>102</v>
      </c>
      <c r="M15" s="73" t="s">
        <v>105</v>
      </c>
      <c r="N15" s="153" t="s">
        <v>98</v>
      </c>
      <c r="O15" s="154"/>
      <c r="P15" s="154"/>
      <c r="Q15" s="154"/>
      <c r="R15" s="154"/>
      <c r="S15" s="155"/>
      <c r="T15" s="30" t="s">
        <v>139</v>
      </c>
      <c r="U15" s="110" t="s">
        <v>138</v>
      </c>
      <c r="V15" s="154" t="s">
        <v>99</v>
      </c>
      <c r="W15" s="154"/>
      <c r="X15" s="154"/>
      <c r="Y15" s="73" t="s">
        <v>102</v>
      </c>
      <c r="Z15" s="73" t="s">
        <v>105</v>
      </c>
    </row>
    <row r="16" spans="1:26" ht="18" customHeight="1" x14ac:dyDescent="0.2">
      <c r="A16" s="14"/>
      <c r="B16" s="196" t="s">
        <v>165</v>
      </c>
      <c r="C16" s="197"/>
      <c r="D16" s="197"/>
      <c r="E16" s="197"/>
      <c r="F16" s="198"/>
      <c r="G16" s="111">
        <v>1</v>
      </c>
      <c r="H16" s="111" t="s">
        <v>167</v>
      </c>
      <c r="I16" s="190" t="s">
        <v>166</v>
      </c>
      <c r="J16" s="191"/>
      <c r="K16" s="192"/>
      <c r="L16" s="111" t="s">
        <v>167</v>
      </c>
      <c r="M16" s="111" t="s">
        <v>167</v>
      </c>
      <c r="N16" s="160"/>
      <c r="O16" s="161"/>
      <c r="P16" s="161"/>
      <c r="Q16" s="161"/>
      <c r="R16" s="161"/>
      <c r="S16" s="162"/>
      <c r="T16" s="111"/>
      <c r="U16" s="111"/>
      <c r="V16" s="190"/>
      <c r="W16" s="191"/>
      <c r="X16" s="192"/>
      <c r="Y16" s="111"/>
      <c r="Z16" s="111"/>
    </row>
    <row r="17" spans="1:26" ht="18" customHeight="1" x14ac:dyDescent="0.2">
      <c r="A17" s="14"/>
      <c r="B17" s="199"/>
      <c r="C17" s="200"/>
      <c r="D17" s="200"/>
      <c r="E17" s="200"/>
      <c r="F17" s="201"/>
      <c r="G17" s="112"/>
      <c r="H17" s="112"/>
      <c r="I17" s="193"/>
      <c r="J17" s="194"/>
      <c r="K17" s="195"/>
      <c r="L17" s="112"/>
      <c r="M17" s="112"/>
      <c r="N17" s="169"/>
      <c r="O17" s="170"/>
      <c r="P17" s="170"/>
      <c r="Q17" s="170"/>
      <c r="R17" s="170"/>
      <c r="S17" s="171"/>
      <c r="T17" s="112"/>
      <c r="U17" s="112"/>
      <c r="V17" s="193"/>
      <c r="W17" s="194"/>
      <c r="X17" s="195"/>
      <c r="Y17" s="112"/>
      <c r="Z17" s="112"/>
    </row>
    <row r="18" spans="1:26" ht="18" customHeight="1" x14ac:dyDescent="0.2">
      <c r="A18" s="14"/>
      <c r="B18" s="199"/>
      <c r="C18" s="200"/>
      <c r="D18" s="200"/>
      <c r="E18" s="200"/>
      <c r="F18" s="201"/>
      <c r="G18" s="112"/>
      <c r="H18" s="112"/>
      <c r="I18" s="193"/>
      <c r="J18" s="194"/>
      <c r="K18" s="195"/>
      <c r="L18" s="112"/>
      <c r="M18" s="112"/>
      <c r="N18" s="169"/>
      <c r="O18" s="170"/>
      <c r="P18" s="170"/>
      <c r="Q18" s="170"/>
      <c r="R18" s="170"/>
      <c r="S18" s="171"/>
      <c r="T18" s="112"/>
      <c r="U18" s="112"/>
      <c r="V18" s="193"/>
      <c r="W18" s="194"/>
      <c r="X18" s="195"/>
      <c r="Y18" s="112"/>
      <c r="Z18" s="112"/>
    </row>
    <row r="19" spans="1:26" ht="18" customHeight="1" x14ac:dyDescent="0.2">
      <c r="A19" s="14"/>
      <c r="B19" s="199"/>
      <c r="C19" s="200"/>
      <c r="D19" s="200"/>
      <c r="E19" s="200"/>
      <c r="F19" s="201"/>
      <c r="G19" s="112"/>
      <c r="H19" s="112"/>
      <c r="I19" s="193"/>
      <c r="J19" s="194"/>
      <c r="K19" s="195"/>
      <c r="L19" s="112"/>
      <c r="M19" s="112"/>
      <c r="N19" s="169"/>
      <c r="O19" s="170"/>
      <c r="P19" s="170"/>
      <c r="Q19" s="170"/>
      <c r="R19" s="170"/>
      <c r="S19" s="171"/>
      <c r="T19" s="112"/>
      <c r="U19" s="112"/>
      <c r="V19" s="193"/>
      <c r="W19" s="194"/>
      <c r="X19" s="195"/>
      <c r="Y19" s="112"/>
      <c r="Z19" s="112"/>
    </row>
    <row r="20" spans="1:26" ht="18" customHeight="1" x14ac:dyDescent="0.2">
      <c r="A20" s="14"/>
      <c r="B20" s="199"/>
      <c r="C20" s="200"/>
      <c r="D20" s="200"/>
      <c r="E20" s="200"/>
      <c r="F20" s="201"/>
      <c r="G20" s="112"/>
      <c r="H20" s="112"/>
      <c r="I20" s="193"/>
      <c r="J20" s="194"/>
      <c r="K20" s="195"/>
      <c r="L20" s="112"/>
      <c r="M20" s="112"/>
      <c r="N20" s="169"/>
      <c r="O20" s="170"/>
      <c r="P20" s="170"/>
      <c r="Q20" s="170"/>
      <c r="R20" s="170"/>
      <c r="S20" s="171"/>
      <c r="T20" s="112"/>
      <c r="U20" s="112"/>
      <c r="V20" s="193"/>
      <c r="W20" s="194"/>
      <c r="X20" s="195"/>
      <c r="Y20" s="112"/>
      <c r="Z20" s="112"/>
    </row>
    <row r="21" spans="1:26" ht="18" customHeight="1" x14ac:dyDescent="0.2">
      <c r="A21" s="29"/>
      <c r="B21" s="199"/>
      <c r="C21" s="200"/>
      <c r="D21" s="200"/>
      <c r="E21" s="200"/>
      <c r="F21" s="201"/>
      <c r="G21" s="112"/>
      <c r="H21" s="112"/>
      <c r="I21" s="193"/>
      <c r="J21" s="194"/>
      <c r="K21" s="195"/>
      <c r="L21" s="112"/>
      <c r="M21" s="112"/>
      <c r="N21" s="169"/>
      <c r="O21" s="170"/>
      <c r="P21" s="170"/>
      <c r="Q21" s="170"/>
      <c r="R21" s="170"/>
      <c r="S21" s="171"/>
      <c r="T21" s="112"/>
      <c r="U21" s="112"/>
      <c r="V21" s="193"/>
      <c r="W21" s="194"/>
      <c r="X21" s="195"/>
      <c r="Y21" s="112"/>
      <c r="Z21" s="112"/>
    </row>
    <row r="22" spans="1:26" ht="18" customHeight="1" x14ac:dyDescent="0.2">
      <c r="A22" s="29"/>
      <c r="B22" s="206"/>
      <c r="C22" s="207"/>
      <c r="D22" s="207"/>
      <c r="E22" s="207"/>
      <c r="F22" s="208"/>
      <c r="G22" s="113"/>
      <c r="H22" s="113"/>
      <c r="I22" s="202"/>
      <c r="J22" s="203"/>
      <c r="K22" s="204"/>
      <c r="L22" s="119"/>
      <c r="M22" s="119"/>
      <c r="N22" s="228"/>
      <c r="O22" s="229"/>
      <c r="P22" s="229"/>
      <c r="Q22" s="229"/>
      <c r="R22" s="229"/>
      <c r="S22" s="230"/>
      <c r="T22" s="113"/>
      <c r="U22" s="113"/>
      <c r="V22" s="202"/>
      <c r="W22" s="203"/>
      <c r="X22" s="204"/>
      <c r="Y22" s="119"/>
      <c r="Z22" s="119"/>
    </row>
    <row r="23" spans="1:26" ht="7.5" customHeight="1" x14ac:dyDescent="0.2">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2">
      <c r="A24" s="205" t="s">
        <v>124</v>
      </c>
      <c r="B24" s="205"/>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row>
    <row r="25" spans="1:26" ht="18" customHeight="1" x14ac:dyDescent="0.2">
      <c r="A25" s="205"/>
      <c r="B25" s="205"/>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row>
    <row r="26" spans="1:26" ht="18" customHeight="1" x14ac:dyDescent="0.2">
      <c r="A26" s="14"/>
      <c r="B26" s="153" t="s">
        <v>98</v>
      </c>
      <c r="C26" s="154"/>
      <c r="D26" s="154"/>
      <c r="E26" s="154"/>
      <c r="F26" s="155"/>
      <c r="G26" s="30" t="s">
        <v>139</v>
      </c>
      <c r="H26" s="110" t="s">
        <v>138</v>
      </c>
      <c r="I26" s="154" t="s">
        <v>99</v>
      </c>
      <c r="J26" s="154"/>
      <c r="K26" s="154"/>
      <c r="L26" s="73" t="s">
        <v>125</v>
      </c>
      <c r="M26" s="73" t="s">
        <v>126</v>
      </c>
      <c r="N26" s="153" t="s">
        <v>98</v>
      </c>
      <c r="O26" s="154"/>
      <c r="P26" s="154"/>
      <c r="Q26" s="154"/>
      <c r="R26" s="154"/>
      <c r="S26" s="155"/>
      <c r="T26" s="30" t="s">
        <v>139</v>
      </c>
      <c r="U26" s="110" t="s">
        <v>138</v>
      </c>
      <c r="V26" s="154" t="s">
        <v>99</v>
      </c>
      <c r="W26" s="154"/>
      <c r="X26" s="154"/>
      <c r="Y26" s="73" t="s">
        <v>125</v>
      </c>
      <c r="Z26" s="73" t="s">
        <v>126</v>
      </c>
    </row>
    <row r="27" spans="1:26" ht="18" customHeight="1" x14ac:dyDescent="0.2">
      <c r="A27" s="14"/>
      <c r="B27" s="196" t="s">
        <v>165</v>
      </c>
      <c r="C27" s="197"/>
      <c r="D27" s="197"/>
      <c r="E27" s="197"/>
      <c r="F27" s="198"/>
      <c r="G27" s="111">
        <v>1</v>
      </c>
      <c r="H27" s="111" t="s">
        <v>167</v>
      </c>
      <c r="I27" s="190" t="s">
        <v>166</v>
      </c>
      <c r="J27" s="191"/>
      <c r="K27" s="192"/>
      <c r="L27" s="111" t="s">
        <v>167</v>
      </c>
      <c r="M27" s="111" t="s">
        <v>167</v>
      </c>
      <c r="N27" s="160"/>
      <c r="O27" s="161"/>
      <c r="P27" s="161"/>
      <c r="Q27" s="161"/>
      <c r="R27" s="161"/>
      <c r="S27" s="162"/>
      <c r="T27" s="111"/>
      <c r="U27" s="111"/>
      <c r="V27" s="190"/>
      <c r="W27" s="191"/>
      <c r="X27" s="192"/>
      <c r="Y27" s="111"/>
      <c r="Z27" s="111"/>
    </row>
    <row r="28" spans="1:26" ht="18" customHeight="1" x14ac:dyDescent="0.2">
      <c r="A28" s="14"/>
      <c r="B28" s="199"/>
      <c r="C28" s="200"/>
      <c r="D28" s="200"/>
      <c r="E28" s="200"/>
      <c r="F28" s="201"/>
      <c r="G28" s="112"/>
      <c r="H28" s="112"/>
      <c r="I28" s="193"/>
      <c r="J28" s="194"/>
      <c r="K28" s="195"/>
      <c r="L28" s="112"/>
      <c r="M28" s="112"/>
      <c r="N28" s="169"/>
      <c r="O28" s="170"/>
      <c r="P28" s="170"/>
      <c r="Q28" s="170"/>
      <c r="R28" s="170"/>
      <c r="S28" s="171"/>
      <c r="T28" s="112"/>
      <c r="U28" s="112"/>
      <c r="V28" s="193"/>
      <c r="W28" s="194"/>
      <c r="X28" s="195"/>
      <c r="Y28" s="112"/>
      <c r="Z28" s="112"/>
    </row>
    <row r="29" spans="1:26" ht="18" customHeight="1" x14ac:dyDescent="0.2">
      <c r="A29" s="14"/>
      <c r="B29" s="199"/>
      <c r="C29" s="200"/>
      <c r="D29" s="200"/>
      <c r="E29" s="200"/>
      <c r="F29" s="201"/>
      <c r="G29" s="112"/>
      <c r="H29" s="112"/>
      <c r="I29" s="193"/>
      <c r="J29" s="194"/>
      <c r="K29" s="195"/>
      <c r="L29" s="112"/>
      <c r="M29" s="112"/>
      <c r="N29" s="169"/>
      <c r="O29" s="170"/>
      <c r="P29" s="170"/>
      <c r="Q29" s="170"/>
      <c r="R29" s="170"/>
      <c r="S29" s="171"/>
      <c r="T29" s="112"/>
      <c r="U29" s="112"/>
      <c r="V29" s="193"/>
      <c r="W29" s="194"/>
      <c r="X29" s="195"/>
      <c r="Y29" s="112"/>
      <c r="Z29" s="112"/>
    </row>
    <row r="30" spans="1:26" ht="18" customHeight="1" x14ac:dyDescent="0.2">
      <c r="A30" s="14"/>
      <c r="B30" s="199"/>
      <c r="C30" s="200"/>
      <c r="D30" s="200"/>
      <c r="E30" s="200"/>
      <c r="F30" s="201"/>
      <c r="G30" s="112"/>
      <c r="H30" s="112"/>
      <c r="I30" s="193"/>
      <c r="J30" s="194"/>
      <c r="K30" s="195"/>
      <c r="L30" s="112"/>
      <c r="M30" s="112"/>
      <c r="N30" s="169"/>
      <c r="O30" s="170"/>
      <c r="P30" s="170"/>
      <c r="Q30" s="170"/>
      <c r="R30" s="170"/>
      <c r="S30" s="171"/>
      <c r="T30" s="112"/>
      <c r="U30" s="112"/>
      <c r="V30" s="193"/>
      <c r="W30" s="194"/>
      <c r="X30" s="195"/>
      <c r="Y30" s="112"/>
      <c r="Z30" s="112"/>
    </row>
    <row r="31" spans="1:26" ht="18" customHeight="1" x14ac:dyDescent="0.2">
      <c r="A31" s="14"/>
      <c r="B31" s="199"/>
      <c r="C31" s="200"/>
      <c r="D31" s="200"/>
      <c r="E31" s="200"/>
      <c r="F31" s="201"/>
      <c r="G31" s="112"/>
      <c r="H31" s="112"/>
      <c r="I31" s="193"/>
      <c r="J31" s="194"/>
      <c r="K31" s="195"/>
      <c r="L31" s="112"/>
      <c r="M31" s="112"/>
      <c r="N31" s="169"/>
      <c r="O31" s="170"/>
      <c r="P31" s="170"/>
      <c r="Q31" s="170"/>
      <c r="R31" s="170"/>
      <c r="S31" s="171"/>
      <c r="T31" s="112"/>
      <c r="U31" s="112"/>
      <c r="V31" s="193"/>
      <c r="W31" s="194"/>
      <c r="X31" s="195"/>
      <c r="Y31" s="112"/>
      <c r="Z31" s="112"/>
    </row>
    <row r="32" spans="1:26" ht="18" customHeight="1" x14ac:dyDescent="0.2">
      <c r="A32" s="14"/>
      <c r="B32" s="199"/>
      <c r="C32" s="200"/>
      <c r="D32" s="200"/>
      <c r="E32" s="200"/>
      <c r="F32" s="201"/>
      <c r="G32" s="112"/>
      <c r="H32" s="112"/>
      <c r="I32" s="193"/>
      <c r="J32" s="194"/>
      <c r="K32" s="195"/>
      <c r="L32" s="112"/>
      <c r="M32" s="112"/>
      <c r="N32" s="169"/>
      <c r="O32" s="170"/>
      <c r="P32" s="170"/>
      <c r="Q32" s="170"/>
      <c r="R32" s="170"/>
      <c r="S32" s="171"/>
      <c r="T32" s="112"/>
      <c r="U32" s="112"/>
      <c r="V32" s="193"/>
      <c r="W32" s="194"/>
      <c r="X32" s="195"/>
      <c r="Y32" s="112"/>
      <c r="Z32" s="112"/>
    </row>
    <row r="33" spans="1:26" ht="18" customHeight="1" x14ac:dyDescent="0.2">
      <c r="A33" s="14"/>
      <c r="B33" s="206"/>
      <c r="C33" s="207"/>
      <c r="D33" s="207"/>
      <c r="E33" s="207"/>
      <c r="F33" s="208"/>
      <c r="G33" s="113"/>
      <c r="H33" s="113"/>
      <c r="I33" s="202"/>
      <c r="J33" s="203"/>
      <c r="K33" s="204"/>
      <c r="L33" s="119"/>
      <c r="M33" s="119"/>
      <c r="N33" s="228"/>
      <c r="O33" s="229"/>
      <c r="P33" s="229"/>
      <c r="Q33" s="229"/>
      <c r="R33" s="229"/>
      <c r="S33" s="230"/>
      <c r="T33" s="113"/>
      <c r="U33" s="113"/>
      <c r="V33" s="202"/>
      <c r="W33" s="203"/>
      <c r="X33" s="204"/>
      <c r="Y33" s="119"/>
      <c r="Z33" s="119"/>
    </row>
    <row r="34" spans="1:26" ht="7.5" customHeight="1" x14ac:dyDescent="0.2">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2">
      <c r="A35" s="205" t="s">
        <v>127</v>
      </c>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row>
    <row r="36" spans="1:26" ht="18" customHeight="1" x14ac:dyDescent="0.2">
      <c r="A36" s="205"/>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row>
    <row r="37" spans="1:26" ht="18" customHeight="1" x14ac:dyDescent="0.2">
      <c r="A37" s="14"/>
      <c r="B37" s="153" t="s">
        <v>98</v>
      </c>
      <c r="C37" s="154"/>
      <c r="D37" s="154"/>
      <c r="E37" s="154"/>
      <c r="F37" s="155"/>
      <c r="G37" s="30" t="s">
        <v>139</v>
      </c>
      <c r="H37" s="110" t="s">
        <v>138</v>
      </c>
      <c r="I37" s="153" t="s">
        <v>99</v>
      </c>
      <c r="J37" s="154"/>
      <c r="K37" s="155"/>
      <c r="L37" s="73" t="s">
        <v>128</v>
      </c>
      <c r="M37" s="73" t="s">
        <v>129</v>
      </c>
      <c r="N37" s="153" t="s">
        <v>98</v>
      </c>
      <c r="O37" s="154"/>
      <c r="P37" s="154"/>
      <c r="Q37" s="154"/>
      <c r="R37" s="154"/>
      <c r="S37" s="155"/>
      <c r="T37" s="30" t="s">
        <v>139</v>
      </c>
      <c r="U37" s="110" t="s">
        <v>138</v>
      </c>
      <c r="V37" s="153" t="s">
        <v>99</v>
      </c>
      <c r="W37" s="154"/>
      <c r="X37" s="155"/>
      <c r="Y37" s="73" t="s">
        <v>128</v>
      </c>
      <c r="Z37" s="73" t="s">
        <v>129</v>
      </c>
    </row>
    <row r="38" spans="1:26" ht="18" customHeight="1" x14ac:dyDescent="0.2">
      <c r="A38" s="29"/>
      <c r="B38" s="196" t="s">
        <v>165</v>
      </c>
      <c r="C38" s="197"/>
      <c r="D38" s="197"/>
      <c r="E38" s="197"/>
      <c r="F38" s="198"/>
      <c r="G38" s="111">
        <v>1</v>
      </c>
      <c r="H38" s="111" t="s">
        <v>167</v>
      </c>
      <c r="I38" s="190" t="s">
        <v>166</v>
      </c>
      <c r="J38" s="191"/>
      <c r="K38" s="192"/>
      <c r="L38" s="111" t="s">
        <v>167</v>
      </c>
      <c r="M38" s="111" t="s">
        <v>167</v>
      </c>
      <c r="N38" s="160"/>
      <c r="O38" s="161"/>
      <c r="P38" s="161"/>
      <c r="Q38" s="161"/>
      <c r="R38" s="161"/>
      <c r="S38" s="162"/>
      <c r="T38" s="111"/>
      <c r="U38" s="111"/>
      <c r="V38" s="190"/>
      <c r="W38" s="191"/>
      <c r="X38" s="192"/>
      <c r="Y38" s="111"/>
      <c r="Z38" s="111"/>
    </row>
    <row r="39" spans="1:26" ht="18" customHeight="1" x14ac:dyDescent="0.2">
      <c r="A39" s="29"/>
      <c r="B39" s="199"/>
      <c r="C39" s="200"/>
      <c r="D39" s="200"/>
      <c r="E39" s="200"/>
      <c r="F39" s="201"/>
      <c r="G39" s="112"/>
      <c r="H39" s="112"/>
      <c r="I39" s="193"/>
      <c r="J39" s="194"/>
      <c r="K39" s="195"/>
      <c r="L39" s="112"/>
      <c r="M39" s="112"/>
      <c r="N39" s="169"/>
      <c r="O39" s="170"/>
      <c r="P39" s="170"/>
      <c r="Q39" s="170"/>
      <c r="R39" s="170"/>
      <c r="S39" s="171"/>
      <c r="T39" s="112"/>
      <c r="U39" s="112"/>
      <c r="V39" s="193"/>
      <c r="W39" s="194"/>
      <c r="X39" s="195"/>
      <c r="Y39" s="112"/>
      <c r="Z39" s="112"/>
    </row>
    <row r="40" spans="1:26" ht="18" customHeight="1" x14ac:dyDescent="0.2">
      <c r="A40" s="29"/>
      <c r="B40" s="199"/>
      <c r="C40" s="200"/>
      <c r="D40" s="200"/>
      <c r="E40" s="200"/>
      <c r="F40" s="201"/>
      <c r="G40" s="112"/>
      <c r="H40" s="112"/>
      <c r="I40" s="193"/>
      <c r="J40" s="194"/>
      <c r="K40" s="195"/>
      <c r="L40" s="112"/>
      <c r="M40" s="112"/>
      <c r="N40" s="169"/>
      <c r="O40" s="170"/>
      <c r="P40" s="170"/>
      <c r="Q40" s="170"/>
      <c r="R40" s="170"/>
      <c r="S40" s="171"/>
      <c r="T40" s="112"/>
      <c r="U40" s="112"/>
      <c r="V40" s="193"/>
      <c r="W40" s="194"/>
      <c r="X40" s="195"/>
      <c r="Y40" s="112"/>
      <c r="Z40" s="112"/>
    </row>
    <row r="41" spans="1:26" ht="18" customHeight="1" x14ac:dyDescent="0.2">
      <c r="A41" s="29"/>
      <c r="B41" s="199"/>
      <c r="C41" s="200"/>
      <c r="D41" s="200"/>
      <c r="E41" s="200"/>
      <c r="F41" s="201"/>
      <c r="G41" s="112"/>
      <c r="H41" s="112"/>
      <c r="I41" s="193"/>
      <c r="J41" s="194"/>
      <c r="K41" s="195"/>
      <c r="L41" s="112"/>
      <c r="M41" s="112"/>
      <c r="N41" s="169"/>
      <c r="O41" s="170"/>
      <c r="P41" s="170"/>
      <c r="Q41" s="170"/>
      <c r="R41" s="170"/>
      <c r="S41" s="171"/>
      <c r="T41" s="112"/>
      <c r="U41" s="112"/>
      <c r="V41" s="193"/>
      <c r="W41" s="194"/>
      <c r="X41" s="195"/>
      <c r="Y41" s="112"/>
      <c r="Z41" s="112"/>
    </row>
    <row r="42" spans="1:26" ht="18" customHeight="1" x14ac:dyDescent="0.2">
      <c r="A42" s="29"/>
      <c r="B42" s="199"/>
      <c r="C42" s="200"/>
      <c r="D42" s="200"/>
      <c r="E42" s="200"/>
      <c r="F42" s="201"/>
      <c r="G42" s="112"/>
      <c r="H42" s="112"/>
      <c r="I42" s="193"/>
      <c r="J42" s="194"/>
      <c r="K42" s="195"/>
      <c r="L42" s="112"/>
      <c r="M42" s="112"/>
      <c r="N42" s="169"/>
      <c r="O42" s="170"/>
      <c r="P42" s="170"/>
      <c r="Q42" s="170"/>
      <c r="R42" s="170"/>
      <c r="S42" s="171"/>
      <c r="T42" s="112"/>
      <c r="U42" s="112"/>
      <c r="V42" s="193"/>
      <c r="W42" s="194"/>
      <c r="X42" s="195"/>
      <c r="Y42" s="112"/>
      <c r="Z42" s="112"/>
    </row>
    <row r="43" spans="1:26" ht="18" customHeight="1" x14ac:dyDescent="0.2">
      <c r="A43" s="29"/>
      <c r="B43" s="199"/>
      <c r="C43" s="200"/>
      <c r="D43" s="200"/>
      <c r="E43" s="200"/>
      <c r="F43" s="201"/>
      <c r="G43" s="112"/>
      <c r="H43" s="112"/>
      <c r="I43" s="193"/>
      <c r="J43" s="194"/>
      <c r="K43" s="195"/>
      <c r="L43" s="112"/>
      <c r="M43" s="112"/>
      <c r="N43" s="169"/>
      <c r="O43" s="170"/>
      <c r="P43" s="170"/>
      <c r="Q43" s="170"/>
      <c r="R43" s="170"/>
      <c r="S43" s="171"/>
      <c r="T43" s="112"/>
      <c r="U43" s="112"/>
      <c r="V43" s="193"/>
      <c r="W43" s="194"/>
      <c r="X43" s="195"/>
      <c r="Y43" s="112"/>
      <c r="Z43" s="112"/>
    </row>
    <row r="44" spans="1:26" ht="18" customHeight="1" x14ac:dyDescent="0.2">
      <c r="A44" s="29"/>
      <c r="B44" s="206"/>
      <c r="C44" s="207"/>
      <c r="D44" s="207"/>
      <c r="E44" s="207"/>
      <c r="F44" s="208"/>
      <c r="G44" s="113"/>
      <c r="H44" s="113"/>
      <c r="I44" s="202"/>
      <c r="J44" s="203"/>
      <c r="K44" s="204"/>
      <c r="L44" s="119"/>
      <c r="M44" s="119"/>
      <c r="N44" s="228"/>
      <c r="O44" s="229"/>
      <c r="P44" s="229"/>
      <c r="Q44" s="229"/>
      <c r="R44" s="229"/>
      <c r="S44" s="230"/>
      <c r="T44" s="113"/>
      <c r="U44" s="113"/>
      <c r="V44" s="202"/>
      <c r="W44" s="203"/>
      <c r="X44" s="204"/>
      <c r="Y44" s="119"/>
      <c r="Z44" s="119"/>
    </row>
    <row r="45" spans="1:26" ht="7.5" customHeight="1" x14ac:dyDescent="0.2">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2">
      <c r="A46" s="205" t="s">
        <v>130</v>
      </c>
      <c r="B46" s="205"/>
      <c r="C46" s="205"/>
      <c r="D46" s="205"/>
      <c r="E46" s="205"/>
      <c r="F46" s="205"/>
      <c r="G46" s="205"/>
      <c r="H46" s="205"/>
      <c r="I46" s="205"/>
      <c r="J46" s="205"/>
      <c r="K46" s="205"/>
      <c r="L46" s="205"/>
      <c r="M46" s="205"/>
      <c r="N46" s="205"/>
      <c r="O46" s="205"/>
      <c r="P46" s="205"/>
      <c r="Q46" s="205"/>
      <c r="R46" s="205"/>
      <c r="S46" s="205"/>
      <c r="T46" s="205"/>
      <c r="U46" s="205"/>
      <c r="V46" s="205"/>
      <c r="W46" s="205"/>
      <c r="X46" s="205"/>
      <c r="Y46" s="205"/>
      <c r="Z46" s="205"/>
    </row>
    <row r="47" spans="1:26" ht="18" customHeight="1" x14ac:dyDescent="0.2">
      <c r="A47" s="205"/>
      <c r="B47" s="205"/>
      <c r="C47" s="205"/>
      <c r="D47" s="205"/>
      <c r="E47" s="205"/>
      <c r="F47" s="205"/>
      <c r="G47" s="205"/>
      <c r="H47" s="205"/>
      <c r="I47" s="205"/>
      <c r="J47" s="205"/>
      <c r="K47" s="205"/>
      <c r="L47" s="205"/>
      <c r="M47" s="205"/>
      <c r="N47" s="205"/>
      <c r="O47" s="205"/>
      <c r="P47" s="205"/>
      <c r="Q47" s="205"/>
      <c r="R47" s="205"/>
      <c r="S47" s="205"/>
      <c r="T47" s="205"/>
      <c r="U47" s="205"/>
      <c r="V47" s="205"/>
      <c r="W47" s="205"/>
      <c r="X47" s="205"/>
      <c r="Y47" s="205"/>
      <c r="Z47" s="205"/>
    </row>
    <row r="48" spans="1:26" ht="18" customHeight="1" x14ac:dyDescent="0.2">
      <c r="A48" s="14"/>
      <c r="B48" s="153" t="s">
        <v>98</v>
      </c>
      <c r="C48" s="154"/>
      <c r="D48" s="154"/>
      <c r="E48" s="154"/>
      <c r="F48" s="155"/>
      <c r="G48" s="30" t="s">
        <v>139</v>
      </c>
      <c r="H48" s="110" t="s">
        <v>138</v>
      </c>
      <c r="I48" s="153" t="s">
        <v>99</v>
      </c>
      <c r="J48" s="154"/>
      <c r="K48" s="155"/>
      <c r="L48" s="73" t="s">
        <v>104</v>
      </c>
      <c r="M48" s="73" t="s">
        <v>106</v>
      </c>
      <c r="N48" s="153" t="s">
        <v>98</v>
      </c>
      <c r="O48" s="154"/>
      <c r="P48" s="154"/>
      <c r="Q48" s="154"/>
      <c r="R48" s="154"/>
      <c r="S48" s="155"/>
      <c r="T48" s="30" t="s">
        <v>139</v>
      </c>
      <c r="U48" s="110" t="s">
        <v>138</v>
      </c>
      <c r="V48" s="153" t="s">
        <v>99</v>
      </c>
      <c r="W48" s="154"/>
      <c r="X48" s="155"/>
      <c r="Y48" s="73" t="s">
        <v>104</v>
      </c>
      <c r="Z48" s="73" t="s">
        <v>106</v>
      </c>
    </row>
    <row r="49" spans="1:26" ht="18" customHeight="1" x14ac:dyDescent="0.2">
      <c r="A49" s="29"/>
      <c r="B49" s="196" t="s">
        <v>165</v>
      </c>
      <c r="C49" s="197"/>
      <c r="D49" s="197"/>
      <c r="E49" s="197"/>
      <c r="F49" s="198"/>
      <c r="G49" s="111">
        <v>1</v>
      </c>
      <c r="H49" s="111" t="s">
        <v>167</v>
      </c>
      <c r="I49" s="190" t="s">
        <v>166</v>
      </c>
      <c r="J49" s="191"/>
      <c r="K49" s="192"/>
      <c r="L49" s="111" t="s">
        <v>167</v>
      </c>
      <c r="M49" s="111" t="s">
        <v>167</v>
      </c>
      <c r="N49" s="160"/>
      <c r="O49" s="161"/>
      <c r="P49" s="161"/>
      <c r="Q49" s="161"/>
      <c r="R49" s="161"/>
      <c r="S49" s="162"/>
      <c r="T49" s="111"/>
      <c r="U49" s="111"/>
      <c r="V49" s="190"/>
      <c r="W49" s="191"/>
      <c r="X49" s="192"/>
      <c r="Y49" s="111"/>
      <c r="Z49" s="111"/>
    </row>
    <row r="50" spans="1:26" ht="18" customHeight="1" x14ac:dyDescent="0.2">
      <c r="A50" s="29"/>
      <c r="B50" s="199"/>
      <c r="C50" s="200"/>
      <c r="D50" s="200"/>
      <c r="E50" s="200"/>
      <c r="F50" s="201"/>
      <c r="G50" s="112"/>
      <c r="H50" s="112"/>
      <c r="I50" s="193"/>
      <c r="J50" s="194"/>
      <c r="K50" s="195"/>
      <c r="L50" s="112"/>
      <c r="M50" s="112"/>
      <c r="N50" s="169"/>
      <c r="O50" s="170"/>
      <c r="P50" s="170"/>
      <c r="Q50" s="170"/>
      <c r="R50" s="170"/>
      <c r="S50" s="171"/>
      <c r="T50" s="112"/>
      <c r="U50" s="112"/>
      <c r="V50" s="193"/>
      <c r="W50" s="194"/>
      <c r="X50" s="195"/>
      <c r="Y50" s="112"/>
      <c r="Z50" s="112"/>
    </row>
    <row r="51" spans="1:26" ht="18" customHeight="1" x14ac:dyDescent="0.2">
      <c r="A51" s="29"/>
      <c r="B51" s="199"/>
      <c r="C51" s="200"/>
      <c r="D51" s="200"/>
      <c r="E51" s="200"/>
      <c r="F51" s="201"/>
      <c r="G51" s="112"/>
      <c r="H51" s="112"/>
      <c r="I51" s="193"/>
      <c r="J51" s="194"/>
      <c r="K51" s="195"/>
      <c r="L51" s="112"/>
      <c r="M51" s="112"/>
      <c r="N51" s="169"/>
      <c r="O51" s="170"/>
      <c r="P51" s="170"/>
      <c r="Q51" s="170"/>
      <c r="R51" s="170"/>
      <c r="S51" s="171"/>
      <c r="T51" s="112"/>
      <c r="U51" s="112"/>
      <c r="V51" s="193"/>
      <c r="W51" s="194"/>
      <c r="X51" s="195"/>
      <c r="Y51" s="112"/>
      <c r="Z51" s="112"/>
    </row>
    <row r="52" spans="1:26" ht="18" customHeight="1" x14ac:dyDescent="0.2">
      <c r="A52" s="29"/>
      <c r="B52" s="199"/>
      <c r="C52" s="200"/>
      <c r="D52" s="200"/>
      <c r="E52" s="200"/>
      <c r="F52" s="201"/>
      <c r="G52" s="112"/>
      <c r="H52" s="112"/>
      <c r="I52" s="193"/>
      <c r="J52" s="194"/>
      <c r="K52" s="195"/>
      <c r="L52" s="112"/>
      <c r="M52" s="112"/>
      <c r="N52" s="169"/>
      <c r="O52" s="170"/>
      <c r="P52" s="170"/>
      <c r="Q52" s="170"/>
      <c r="R52" s="170"/>
      <c r="S52" s="171"/>
      <c r="T52" s="112"/>
      <c r="U52" s="112"/>
      <c r="V52" s="193"/>
      <c r="W52" s="194"/>
      <c r="X52" s="195"/>
      <c r="Y52" s="112"/>
      <c r="Z52" s="112"/>
    </row>
    <row r="53" spans="1:26" ht="18" customHeight="1" x14ac:dyDescent="0.2">
      <c r="A53" s="29"/>
      <c r="B53" s="199"/>
      <c r="C53" s="200"/>
      <c r="D53" s="200"/>
      <c r="E53" s="200"/>
      <c r="F53" s="201"/>
      <c r="G53" s="112"/>
      <c r="H53" s="112"/>
      <c r="I53" s="193"/>
      <c r="J53" s="194"/>
      <c r="K53" s="195"/>
      <c r="L53" s="112"/>
      <c r="M53" s="112"/>
      <c r="N53" s="169"/>
      <c r="O53" s="170"/>
      <c r="P53" s="170"/>
      <c r="Q53" s="170"/>
      <c r="R53" s="170"/>
      <c r="S53" s="171"/>
      <c r="T53" s="112"/>
      <c r="U53" s="112"/>
      <c r="V53" s="193"/>
      <c r="W53" s="194"/>
      <c r="X53" s="195"/>
      <c r="Y53" s="112"/>
      <c r="Z53" s="112"/>
    </row>
    <row r="54" spans="1:26" ht="18" customHeight="1" x14ac:dyDescent="0.2">
      <c r="A54" s="29"/>
      <c r="B54" s="199"/>
      <c r="C54" s="200"/>
      <c r="D54" s="200"/>
      <c r="E54" s="200"/>
      <c r="F54" s="201"/>
      <c r="G54" s="112"/>
      <c r="H54" s="112"/>
      <c r="I54" s="193"/>
      <c r="J54" s="194"/>
      <c r="K54" s="195"/>
      <c r="L54" s="112"/>
      <c r="M54" s="112"/>
      <c r="N54" s="169"/>
      <c r="O54" s="170"/>
      <c r="P54" s="170"/>
      <c r="Q54" s="170"/>
      <c r="R54" s="170"/>
      <c r="S54" s="171"/>
      <c r="T54" s="112"/>
      <c r="U54" s="112"/>
      <c r="V54" s="193"/>
      <c r="W54" s="194"/>
      <c r="X54" s="195"/>
      <c r="Y54" s="112"/>
      <c r="Z54" s="112"/>
    </row>
    <row r="55" spans="1:26" ht="18" customHeight="1" x14ac:dyDescent="0.2">
      <c r="A55" s="29"/>
      <c r="B55" s="206"/>
      <c r="C55" s="207"/>
      <c r="D55" s="207"/>
      <c r="E55" s="207"/>
      <c r="F55" s="208"/>
      <c r="G55" s="113"/>
      <c r="H55" s="113"/>
      <c r="I55" s="202"/>
      <c r="J55" s="203"/>
      <c r="K55" s="204"/>
      <c r="L55" s="119"/>
      <c r="M55" s="119"/>
      <c r="N55" s="228"/>
      <c r="O55" s="229"/>
      <c r="P55" s="229"/>
      <c r="Q55" s="229"/>
      <c r="R55" s="229"/>
      <c r="S55" s="230"/>
      <c r="T55" s="113"/>
      <c r="U55" s="113"/>
      <c r="V55" s="202"/>
      <c r="W55" s="203"/>
      <c r="X55" s="204"/>
      <c r="Y55" s="119"/>
      <c r="Z55" s="119"/>
    </row>
    <row r="56" spans="1:26" ht="7.5" customHeight="1" x14ac:dyDescent="0.2">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2">
      <c r="A57" s="205" t="s">
        <v>131</v>
      </c>
      <c r="B57" s="205"/>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row>
    <row r="58" spans="1:26" ht="18" customHeight="1" x14ac:dyDescent="0.2">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row>
    <row r="59" spans="1:26" ht="18" customHeight="1" x14ac:dyDescent="0.2">
      <c r="A59" s="14"/>
      <c r="B59" s="153" t="s">
        <v>98</v>
      </c>
      <c r="C59" s="154"/>
      <c r="D59" s="154"/>
      <c r="E59" s="155"/>
      <c r="F59" s="30" t="s">
        <v>139</v>
      </c>
      <c r="G59" s="110" t="s">
        <v>138</v>
      </c>
      <c r="H59" s="105" t="s">
        <v>99</v>
      </c>
      <c r="I59" s="106"/>
      <c r="J59" s="107"/>
      <c r="K59" s="73" t="s">
        <v>103</v>
      </c>
      <c r="L59" s="73" t="s">
        <v>132</v>
      </c>
      <c r="M59" s="73" t="s">
        <v>133</v>
      </c>
      <c r="N59" s="153" t="s">
        <v>98</v>
      </c>
      <c r="O59" s="154"/>
      <c r="P59" s="154"/>
      <c r="Q59" s="154"/>
      <c r="R59" s="155"/>
      <c r="S59" s="30" t="s">
        <v>139</v>
      </c>
      <c r="T59" s="110" t="s">
        <v>138</v>
      </c>
      <c r="U59" s="105" t="s">
        <v>99</v>
      </c>
      <c r="V59" s="106"/>
      <c r="W59" s="107"/>
      <c r="X59" s="73" t="s">
        <v>103</v>
      </c>
      <c r="Y59" s="73" t="s">
        <v>132</v>
      </c>
      <c r="Z59" s="73" t="s">
        <v>133</v>
      </c>
    </row>
    <row r="60" spans="1:26" ht="18" customHeight="1" x14ac:dyDescent="0.2">
      <c r="A60" s="29"/>
      <c r="B60" s="160" t="s">
        <v>202</v>
      </c>
      <c r="C60" s="161"/>
      <c r="D60" s="161"/>
      <c r="E60" s="162"/>
      <c r="F60" s="111">
        <v>1</v>
      </c>
      <c r="G60" s="111"/>
      <c r="H60" s="190" t="s">
        <v>169</v>
      </c>
      <c r="I60" s="191"/>
      <c r="J60" s="192"/>
      <c r="K60" s="111" t="s">
        <v>167</v>
      </c>
      <c r="L60" s="111" t="s">
        <v>167</v>
      </c>
      <c r="M60" s="111" t="s">
        <v>167</v>
      </c>
      <c r="N60" s="160"/>
      <c r="O60" s="161"/>
      <c r="P60" s="161"/>
      <c r="Q60" s="161"/>
      <c r="R60" s="162"/>
      <c r="S60" s="111"/>
      <c r="T60" s="111"/>
      <c r="U60" s="190"/>
      <c r="V60" s="191"/>
      <c r="W60" s="192"/>
      <c r="X60" s="124"/>
      <c r="Y60" s="111"/>
      <c r="Z60" s="111"/>
    </row>
    <row r="61" spans="1:26" ht="18" customHeight="1" x14ac:dyDescent="0.2">
      <c r="A61" s="29"/>
      <c r="B61" s="169" t="s">
        <v>203</v>
      </c>
      <c r="C61" s="170"/>
      <c r="D61" s="170"/>
      <c r="E61" s="171"/>
      <c r="F61" s="112">
        <v>1</v>
      </c>
      <c r="G61" s="112"/>
      <c r="H61" s="193" t="s">
        <v>169</v>
      </c>
      <c r="I61" s="194"/>
      <c r="J61" s="195"/>
      <c r="K61" s="112" t="s">
        <v>167</v>
      </c>
      <c r="L61" s="112" t="s">
        <v>167</v>
      </c>
      <c r="M61" s="112" t="s">
        <v>167</v>
      </c>
      <c r="N61" s="169"/>
      <c r="O61" s="170"/>
      <c r="P61" s="170"/>
      <c r="Q61" s="170"/>
      <c r="R61" s="171"/>
      <c r="S61" s="112"/>
      <c r="T61" s="112"/>
      <c r="U61" s="193"/>
      <c r="V61" s="194"/>
      <c r="W61" s="195"/>
      <c r="X61" s="122"/>
      <c r="Y61" s="112"/>
      <c r="Z61" s="112"/>
    </row>
    <row r="62" spans="1:26" ht="18" customHeight="1" x14ac:dyDescent="0.2">
      <c r="A62" s="29"/>
      <c r="B62" s="169" t="s">
        <v>204</v>
      </c>
      <c r="C62" s="170"/>
      <c r="D62" s="170"/>
      <c r="E62" s="171"/>
      <c r="F62" s="112">
        <v>1</v>
      </c>
      <c r="G62" s="112"/>
      <c r="H62" s="193" t="s">
        <v>169</v>
      </c>
      <c r="I62" s="194"/>
      <c r="J62" s="195"/>
      <c r="K62" s="112" t="s">
        <v>167</v>
      </c>
      <c r="L62" s="112" t="s">
        <v>167</v>
      </c>
      <c r="M62" s="112" t="s">
        <v>167</v>
      </c>
      <c r="N62" s="169"/>
      <c r="O62" s="170"/>
      <c r="P62" s="170"/>
      <c r="Q62" s="170"/>
      <c r="R62" s="171"/>
      <c r="S62" s="112"/>
      <c r="T62" s="112"/>
      <c r="U62" s="193"/>
      <c r="V62" s="194"/>
      <c r="W62" s="195"/>
      <c r="X62" s="122"/>
      <c r="Y62" s="112"/>
      <c r="Z62" s="112"/>
    </row>
    <row r="63" spans="1:26" ht="18" customHeight="1" x14ac:dyDescent="0.2">
      <c r="A63" s="29"/>
      <c r="B63" s="169" t="s">
        <v>205</v>
      </c>
      <c r="C63" s="170"/>
      <c r="D63" s="170"/>
      <c r="E63" s="171"/>
      <c r="F63" s="112">
        <v>1</v>
      </c>
      <c r="G63" s="112"/>
      <c r="H63" s="193" t="s">
        <v>169</v>
      </c>
      <c r="I63" s="194"/>
      <c r="J63" s="195"/>
      <c r="K63" s="112" t="s">
        <v>167</v>
      </c>
      <c r="L63" s="112" t="s">
        <v>167</v>
      </c>
      <c r="M63" s="112" t="s">
        <v>167</v>
      </c>
      <c r="N63" s="169"/>
      <c r="O63" s="170"/>
      <c r="P63" s="170"/>
      <c r="Q63" s="170"/>
      <c r="R63" s="171"/>
      <c r="S63" s="112"/>
      <c r="T63" s="112"/>
      <c r="U63" s="193"/>
      <c r="V63" s="194"/>
      <c r="W63" s="195"/>
      <c r="X63" s="122"/>
      <c r="Y63" s="112"/>
      <c r="Z63" s="112"/>
    </row>
    <row r="64" spans="1:26" ht="18" customHeight="1" x14ac:dyDescent="0.2">
      <c r="A64" s="29"/>
      <c r="B64" s="169"/>
      <c r="C64" s="170"/>
      <c r="D64" s="170"/>
      <c r="E64" s="171"/>
      <c r="F64" s="112"/>
      <c r="G64" s="112"/>
      <c r="H64" s="193"/>
      <c r="I64" s="194"/>
      <c r="J64" s="195"/>
      <c r="K64" s="122"/>
      <c r="L64" s="112"/>
      <c r="M64" s="112"/>
      <c r="N64" s="169"/>
      <c r="O64" s="170"/>
      <c r="P64" s="170"/>
      <c r="Q64" s="170"/>
      <c r="R64" s="171"/>
      <c r="S64" s="112"/>
      <c r="T64" s="112"/>
      <c r="U64" s="193"/>
      <c r="V64" s="194"/>
      <c r="W64" s="195"/>
      <c r="X64" s="122"/>
      <c r="Y64" s="112"/>
      <c r="Z64" s="112"/>
    </row>
    <row r="65" spans="1:26" ht="18" customHeight="1" x14ac:dyDescent="0.2">
      <c r="A65" s="29"/>
      <c r="B65" s="169"/>
      <c r="C65" s="170"/>
      <c r="D65" s="170"/>
      <c r="E65" s="171"/>
      <c r="F65" s="112"/>
      <c r="G65" s="112"/>
      <c r="H65" s="193"/>
      <c r="I65" s="194"/>
      <c r="J65" s="195"/>
      <c r="K65" s="122"/>
      <c r="L65" s="112"/>
      <c r="M65" s="112"/>
      <c r="N65" s="169"/>
      <c r="O65" s="170"/>
      <c r="P65" s="170"/>
      <c r="Q65" s="170"/>
      <c r="R65" s="171"/>
      <c r="S65" s="112"/>
      <c r="T65" s="112"/>
      <c r="U65" s="193"/>
      <c r="V65" s="194"/>
      <c r="W65" s="195"/>
      <c r="X65" s="122"/>
      <c r="Y65" s="112"/>
      <c r="Z65" s="112"/>
    </row>
    <row r="66" spans="1:26" ht="18" customHeight="1" x14ac:dyDescent="0.2">
      <c r="A66" s="29"/>
      <c r="B66" s="228"/>
      <c r="C66" s="229"/>
      <c r="D66" s="229"/>
      <c r="E66" s="230"/>
      <c r="F66" s="113"/>
      <c r="G66" s="113"/>
      <c r="H66" s="202"/>
      <c r="I66" s="203"/>
      <c r="J66" s="204"/>
      <c r="K66" s="123"/>
      <c r="L66" s="119"/>
      <c r="M66" s="119"/>
      <c r="N66" s="228"/>
      <c r="O66" s="229"/>
      <c r="P66" s="229"/>
      <c r="Q66" s="229"/>
      <c r="R66" s="230"/>
      <c r="S66" s="113"/>
      <c r="T66" s="113"/>
      <c r="U66" s="202"/>
      <c r="V66" s="203"/>
      <c r="W66" s="204"/>
      <c r="X66" s="123"/>
      <c r="Y66" s="119"/>
      <c r="Z66" s="119"/>
    </row>
    <row r="67" spans="1:26" ht="7.5" customHeight="1" x14ac:dyDescent="0.2">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2">
      <c r="A68" s="14" t="s">
        <v>134</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53" t="s">
        <v>98</v>
      </c>
      <c r="C69" s="154"/>
      <c r="D69" s="154"/>
      <c r="E69" s="154"/>
      <c r="F69" s="155"/>
      <c r="G69" s="153" t="s">
        <v>144</v>
      </c>
      <c r="H69" s="154"/>
      <c r="I69" s="154"/>
      <c r="J69" s="154"/>
      <c r="K69" s="154"/>
      <c r="L69" s="154"/>
      <c r="M69" s="155"/>
      <c r="N69" s="234" t="s">
        <v>98</v>
      </c>
      <c r="O69" s="235"/>
      <c r="P69" s="235"/>
      <c r="Q69" s="235"/>
      <c r="R69" s="235"/>
      <c r="S69" s="236"/>
      <c r="T69" s="153" t="s">
        <v>144</v>
      </c>
      <c r="U69" s="154"/>
      <c r="V69" s="154"/>
      <c r="W69" s="154"/>
      <c r="X69" s="154"/>
      <c r="Y69" s="154"/>
      <c r="Z69" s="155"/>
    </row>
    <row r="70" spans="1:26" ht="18" customHeight="1" x14ac:dyDescent="0.2">
      <c r="A70" s="29"/>
      <c r="B70" s="160"/>
      <c r="C70" s="161"/>
      <c r="D70" s="161"/>
      <c r="E70" s="161"/>
      <c r="F70" s="162"/>
      <c r="G70" s="163"/>
      <c r="H70" s="164"/>
      <c r="I70" s="164"/>
      <c r="J70" s="164"/>
      <c r="K70" s="164"/>
      <c r="L70" s="164"/>
      <c r="M70" s="165"/>
      <c r="N70" s="160"/>
      <c r="O70" s="161"/>
      <c r="P70" s="161"/>
      <c r="Q70" s="161"/>
      <c r="R70" s="161"/>
      <c r="S70" s="162"/>
      <c r="T70" s="163"/>
      <c r="U70" s="164"/>
      <c r="V70" s="164"/>
      <c r="W70" s="164"/>
      <c r="X70" s="164"/>
      <c r="Y70" s="164"/>
      <c r="Z70" s="165"/>
    </row>
    <row r="71" spans="1:26" ht="18" customHeight="1" x14ac:dyDescent="0.2">
      <c r="A71" s="29"/>
      <c r="B71" s="169"/>
      <c r="C71" s="170"/>
      <c r="D71" s="170"/>
      <c r="E71" s="170"/>
      <c r="F71" s="171"/>
      <c r="G71" s="172"/>
      <c r="H71" s="173"/>
      <c r="I71" s="173"/>
      <c r="J71" s="173"/>
      <c r="K71" s="173"/>
      <c r="L71" s="173"/>
      <c r="M71" s="174"/>
      <c r="N71" s="169"/>
      <c r="O71" s="170"/>
      <c r="P71" s="170"/>
      <c r="Q71" s="170"/>
      <c r="R71" s="170"/>
      <c r="S71" s="171"/>
      <c r="T71" s="172"/>
      <c r="U71" s="173"/>
      <c r="V71" s="173"/>
      <c r="W71" s="173"/>
      <c r="X71" s="173"/>
      <c r="Y71" s="173"/>
      <c r="Z71" s="174"/>
    </row>
    <row r="72" spans="1:26" ht="18" customHeight="1" x14ac:dyDescent="0.2">
      <c r="A72" s="29"/>
      <c r="B72" s="169"/>
      <c r="C72" s="170"/>
      <c r="D72" s="170"/>
      <c r="E72" s="170"/>
      <c r="F72" s="171"/>
      <c r="G72" s="172"/>
      <c r="H72" s="173"/>
      <c r="I72" s="173"/>
      <c r="J72" s="173"/>
      <c r="K72" s="173"/>
      <c r="L72" s="173"/>
      <c r="M72" s="174"/>
      <c r="N72" s="169"/>
      <c r="O72" s="170"/>
      <c r="P72" s="170"/>
      <c r="Q72" s="170"/>
      <c r="R72" s="170"/>
      <c r="S72" s="171"/>
      <c r="T72" s="172"/>
      <c r="U72" s="173"/>
      <c r="V72" s="173"/>
      <c r="W72" s="173"/>
      <c r="X72" s="173"/>
      <c r="Y72" s="173"/>
      <c r="Z72" s="174"/>
    </row>
    <row r="73" spans="1:26" ht="18" customHeight="1" x14ac:dyDescent="0.2">
      <c r="A73" s="29"/>
      <c r="B73" s="169"/>
      <c r="C73" s="170"/>
      <c r="D73" s="170"/>
      <c r="E73" s="170"/>
      <c r="F73" s="171"/>
      <c r="G73" s="172"/>
      <c r="H73" s="173"/>
      <c r="I73" s="173"/>
      <c r="J73" s="173"/>
      <c r="K73" s="173"/>
      <c r="L73" s="173"/>
      <c r="M73" s="174"/>
      <c r="N73" s="169"/>
      <c r="O73" s="170"/>
      <c r="P73" s="170"/>
      <c r="Q73" s="170"/>
      <c r="R73" s="170"/>
      <c r="S73" s="171"/>
      <c r="T73" s="172"/>
      <c r="U73" s="173"/>
      <c r="V73" s="173"/>
      <c r="W73" s="173"/>
      <c r="X73" s="173"/>
      <c r="Y73" s="173"/>
      <c r="Z73" s="174"/>
    </row>
    <row r="74" spans="1:26" ht="18" customHeight="1" x14ac:dyDescent="0.2">
      <c r="A74" s="29"/>
      <c r="B74" s="169"/>
      <c r="C74" s="170"/>
      <c r="D74" s="170"/>
      <c r="E74" s="170"/>
      <c r="F74" s="171"/>
      <c r="G74" s="172"/>
      <c r="H74" s="173"/>
      <c r="I74" s="173"/>
      <c r="J74" s="173"/>
      <c r="K74" s="173"/>
      <c r="L74" s="173"/>
      <c r="M74" s="174"/>
      <c r="N74" s="169"/>
      <c r="O74" s="170"/>
      <c r="P74" s="170"/>
      <c r="Q74" s="170"/>
      <c r="R74" s="170"/>
      <c r="S74" s="171"/>
      <c r="T74" s="172"/>
      <c r="U74" s="173"/>
      <c r="V74" s="173"/>
      <c r="W74" s="173"/>
      <c r="X74" s="173"/>
      <c r="Y74" s="173"/>
      <c r="Z74" s="174"/>
    </row>
    <row r="75" spans="1:26" ht="18" customHeight="1" x14ac:dyDescent="0.2">
      <c r="A75" s="29"/>
      <c r="B75" s="169"/>
      <c r="C75" s="170"/>
      <c r="D75" s="170"/>
      <c r="E75" s="170"/>
      <c r="F75" s="171"/>
      <c r="G75" s="172"/>
      <c r="H75" s="173"/>
      <c r="I75" s="173"/>
      <c r="J75" s="173"/>
      <c r="K75" s="173"/>
      <c r="L75" s="173"/>
      <c r="M75" s="174"/>
      <c r="N75" s="169"/>
      <c r="O75" s="170"/>
      <c r="P75" s="170"/>
      <c r="Q75" s="170"/>
      <c r="R75" s="170"/>
      <c r="S75" s="171"/>
      <c r="T75" s="172"/>
      <c r="U75" s="173"/>
      <c r="V75" s="173"/>
      <c r="W75" s="173"/>
      <c r="X75" s="173"/>
      <c r="Y75" s="173"/>
      <c r="Z75" s="174"/>
    </row>
    <row r="76" spans="1:26" ht="18" customHeight="1" x14ac:dyDescent="0.2">
      <c r="A76" s="29"/>
      <c r="B76" s="228"/>
      <c r="C76" s="229"/>
      <c r="D76" s="229"/>
      <c r="E76" s="229"/>
      <c r="F76" s="230"/>
      <c r="G76" s="231"/>
      <c r="H76" s="232"/>
      <c r="I76" s="232"/>
      <c r="J76" s="232"/>
      <c r="K76" s="232"/>
      <c r="L76" s="232"/>
      <c r="M76" s="233"/>
      <c r="N76" s="228"/>
      <c r="O76" s="229"/>
      <c r="P76" s="229"/>
      <c r="Q76" s="229"/>
      <c r="R76" s="229"/>
      <c r="S76" s="230"/>
      <c r="T76" s="231"/>
      <c r="U76" s="232"/>
      <c r="V76" s="232"/>
      <c r="W76" s="232"/>
      <c r="X76" s="232"/>
      <c r="Y76" s="232"/>
      <c r="Z76" s="233"/>
    </row>
    <row r="77" spans="1:26" ht="18" customHeight="1" x14ac:dyDescent="0.2">
      <c r="A77" s="29"/>
      <c r="B77" s="121"/>
      <c r="C77" s="121"/>
      <c r="D77" s="121"/>
      <c r="E77" s="121"/>
      <c r="F77" s="121"/>
      <c r="G77" s="12"/>
      <c r="H77" s="12"/>
      <c r="I77" s="12"/>
      <c r="J77" s="12"/>
      <c r="K77" s="12"/>
      <c r="L77" s="12"/>
      <c r="M77" s="12"/>
      <c r="N77" s="121"/>
      <c r="O77" s="121"/>
      <c r="P77" s="121"/>
      <c r="Q77" s="121"/>
      <c r="R77" s="121"/>
      <c r="S77" s="121"/>
      <c r="T77" s="12"/>
      <c r="U77" s="12"/>
      <c r="V77" s="12"/>
      <c r="W77" s="12"/>
      <c r="X77" s="12"/>
      <c r="Y77" s="12"/>
      <c r="Z77" s="12"/>
    </row>
    <row r="78" spans="1:26" ht="18.75" customHeight="1" x14ac:dyDescent="0.2">
      <c r="A78" s="13" t="s">
        <v>140</v>
      </c>
    </row>
    <row r="79" spans="1:26" ht="18.75" customHeight="1" x14ac:dyDescent="0.2">
      <c r="B79" s="76" t="s">
        <v>100</v>
      </c>
      <c r="C79" s="77"/>
      <c r="D79" s="188" t="s">
        <v>101</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78" customHeight="1" x14ac:dyDescent="0.2">
      <c r="B80" s="177" t="s">
        <v>107</v>
      </c>
      <c r="C80" s="83" t="s">
        <v>102</v>
      </c>
      <c r="D80" s="184" t="s">
        <v>173</v>
      </c>
      <c r="E80" s="184"/>
      <c r="F80" s="184"/>
      <c r="G80" s="184"/>
      <c r="H80" s="184"/>
      <c r="I80" s="184"/>
      <c r="J80" s="184"/>
      <c r="K80" s="184"/>
      <c r="L80" s="184"/>
      <c r="M80" s="184"/>
      <c r="N80" s="184"/>
      <c r="O80" s="184"/>
      <c r="P80" s="184"/>
      <c r="Q80" s="184"/>
      <c r="R80" s="184"/>
      <c r="S80" s="184"/>
      <c r="T80" s="184"/>
      <c r="U80" s="184"/>
      <c r="V80" s="184"/>
      <c r="W80" s="184"/>
      <c r="X80" s="184"/>
      <c r="Y80" s="184"/>
      <c r="Z80" s="185"/>
    </row>
    <row r="81" spans="1:26" ht="78" customHeight="1" x14ac:dyDescent="0.2">
      <c r="B81" s="178"/>
      <c r="C81" s="108" t="s">
        <v>135</v>
      </c>
      <c r="D81" s="220" t="s">
        <v>174</v>
      </c>
      <c r="E81" s="220"/>
      <c r="F81" s="220"/>
      <c r="G81" s="220"/>
      <c r="H81" s="220"/>
      <c r="I81" s="220"/>
      <c r="J81" s="220"/>
      <c r="K81" s="220"/>
      <c r="L81" s="220"/>
      <c r="M81" s="220"/>
      <c r="N81" s="220"/>
      <c r="O81" s="220"/>
      <c r="P81" s="220"/>
      <c r="Q81" s="220"/>
      <c r="R81" s="220"/>
      <c r="S81" s="220"/>
      <c r="T81" s="220"/>
      <c r="U81" s="220"/>
      <c r="V81" s="220"/>
      <c r="W81" s="220"/>
      <c r="X81" s="220"/>
      <c r="Y81" s="220"/>
      <c r="Z81" s="221"/>
    </row>
    <row r="82" spans="1:26" ht="78" customHeight="1" x14ac:dyDescent="0.2">
      <c r="B82" s="175" t="s">
        <v>108</v>
      </c>
      <c r="C82" s="78" t="s">
        <v>125</v>
      </c>
      <c r="D82" s="222" t="s">
        <v>175</v>
      </c>
      <c r="E82" s="222"/>
      <c r="F82" s="222"/>
      <c r="G82" s="222"/>
      <c r="H82" s="222"/>
      <c r="I82" s="222"/>
      <c r="J82" s="222"/>
      <c r="K82" s="222"/>
      <c r="L82" s="222"/>
      <c r="M82" s="222"/>
      <c r="N82" s="222"/>
      <c r="O82" s="222"/>
      <c r="P82" s="222"/>
      <c r="Q82" s="222"/>
      <c r="R82" s="222"/>
      <c r="S82" s="222"/>
      <c r="T82" s="222"/>
      <c r="U82" s="222"/>
      <c r="V82" s="222"/>
      <c r="W82" s="222"/>
      <c r="X82" s="222"/>
      <c r="Y82" s="222"/>
      <c r="Z82" s="223"/>
    </row>
    <row r="83" spans="1:26" ht="78" customHeight="1" x14ac:dyDescent="0.2">
      <c r="B83" s="176"/>
      <c r="C83" s="109" t="s">
        <v>126</v>
      </c>
      <c r="D83" s="226" t="s">
        <v>176</v>
      </c>
      <c r="E83" s="226"/>
      <c r="F83" s="226"/>
      <c r="G83" s="226"/>
      <c r="H83" s="226"/>
      <c r="I83" s="226"/>
      <c r="J83" s="226"/>
      <c r="K83" s="226"/>
      <c r="L83" s="226"/>
      <c r="M83" s="226"/>
      <c r="N83" s="226"/>
      <c r="O83" s="226"/>
      <c r="P83" s="226"/>
      <c r="Q83" s="226"/>
      <c r="R83" s="226"/>
      <c r="S83" s="226"/>
      <c r="T83" s="226"/>
      <c r="U83" s="226"/>
      <c r="V83" s="226"/>
      <c r="W83" s="226"/>
      <c r="X83" s="226"/>
      <c r="Y83" s="226"/>
      <c r="Z83" s="227"/>
    </row>
    <row r="84" spans="1:26" ht="66" customHeight="1" x14ac:dyDescent="0.2">
      <c r="B84" s="175" t="s">
        <v>109</v>
      </c>
      <c r="C84" s="78" t="s">
        <v>128</v>
      </c>
      <c r="D84" s="222" t="s">
        <v>215</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66" customHeight="1" x14ac:dyDescent="0.2">
      <c r="B85" s="176"/>
      <c r="C85" s="80" t="s">
        <v>129</v>
      </c>
      <c r="D85" s="224" t="s">
        <v>216</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66" customHeight="1" x14ac:dyDescent="0.2">
      <c r="B86" s="177" t="s">
        <v>136</v>
      </c>
      <c r="C86" s="83" t="s">
        <v>104</v>
      </c>
      <c r="D86" s="184" t="s">
        <v>177</v>
      </c>
      <c r="E86" s="184"/>
      <c r="F86" s="184"/>
      <c r="G86" s="184"/>
      <c r="H86" s="184"/>
      <c r="I86" s="184"/>
      <c r="J86" s="184"/>
      <c r="K86" s="184"/>
      <c r="L86" s="184"/>
      <c r="M86" s="184"/>
      <c r="N86" s="184"/>
      <c r="O86" s="184"/>
      <c r="P86" s="184"/>
      <c r="Q86" s="184"/>
      <c r="R86" s="184"/>
      <c r="S86" s="184"/>
      <c r="T86" s="184"/>
      <c r="U86" s="184"/>
      <c r="V86" s="184"/>
      <c r="W86" s="184"/>
      <c r="X86" s="184"/>
      <c r="Y86" s="184"/>
      <c r="Z86" s="185"/>
    </row>
    <row r="87" spans="1:26" ht="66" customHeight="1" x14ac:dyDescent="0.2">
      <c r="B87" s="183"/>
      <c r="C87" s="79" t="s">
        <v>106</v>
      </c>
      <c r="D87" s="186" t="s">
        <v>178</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70.95" customHeight="1" x14ac:dyDescent="0.2">
      <c r="B88" s="177" t="s">
        <v>137</v>
      </c>
      <c r="C88" s="78" t="s">
        <v>103</v>
      </c>
      <c r="D88" s="179" t="s">
        <v>221</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66" customHeight="1" x14ac:dyDescent="0.2">
      <c r="B89" s="178"/>
      <c r="C89" s="79" t="s">
        <v>132</v>
      </c>
      <c r="D89" s="166" t="s">
        <v>219</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66" customHeight="1" x14ac:dyDescent="0.2">
      <c r="B90" s="176"/>
      <c r="C90" s="80" t="s">
        <v>133</v>
      </c>
      <c r="D90" s="181" t="s">
        <v>218</v>
      </c>
      <c r="E90" s="181"/>
      <c r="F90" s="181"/>
      <c r="G90" s="181"/>
      <c r="H90" s="181"/>
      <c r="I90" s="181"/>
      <c r="J90" s="181"/>
      <c r="K90" s="181"/>
      <c r="L90" s="181"/>
      <c r="M90" s="181"/>
      <c r="N90" s="181"/>
      <c r="O90" s="181"/>
      <c r="P90" s="181"/>
      <c r="Q90" s="181"/>
      <c r="R90" s="181"/>
      <c r="S90" s="181"/>
      <c r="T90" s="181"/>
      <c r="U90" s="181"/>
      <c r="V90" s="181"/>
      <c r="W90" s="181"/>
      <c r="X90" s="181"/>
      <c r="Y90" s="181"/>
      <c r="Z90" s="182"/>
    </row>
    <row r="91" spans="1:26" ht="6" customHeight="1" x14ac:dyDescent="0.2"/>
    <row r="92" spans="1:26" ht="18.75" customHeight="1" x14ac:dyDescent="0.2">
      <c r="A92" s="13" t="s">
        <v>141</v>
      </c>
    </row>
    <row r="93" spans="1:26" ht="18.75" customHeight="1" x14ac:dyDescent="0.2">
      <c r="B93" s="237" t="s">
        <v>181</v>
      </c>
      <c r="C93" s="238"/>
      <c r="D93" s="238"/>
      <c r="E93" s="238"/>
      <c r="F93" s="238"/>
      <c r="G93" s="238"/>
      <c r="H93" s="238"/>
      <c r="I93" s="238"/>
      <c r="J93" s="238"/>
      <c r="K93" s="238"/>
      <c r="L93" s="238"/>
      <c r="M93" s="238"/>
      <c r="N93" s="238"/>
      <c r="O93" s="238"/>
      <c r="P93" s="238"/>
      <c r="Q93" s="238"/>
      <c r="R93" s="238"/>
      <c r="S93" s="238"/>
      <c r="T93" s="238"/>
      <c r="U93" s="238"/>
      <c r="V93" s="238"/>
      <c r="W93" s="238"/>
      <c r="X93" s="238"/>
      <c r="Y93" s="238"/>
      <c r="Z93" s="239"/>
    </row>
    <row r="94" spans="1:26" ht="18.75" customHeight="1" x14ac:dyDescent="0.2">
      <c r="B94" s="240"/>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2"/>
    </row>
    <row r="95" spans="1:26" ht="18.75" customHeight="1" x14ac:dyDescent="0.2">
      <c r="B95" s="243"/>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5"/>
    </row>
    <row r="96" spans="1:26" ht="6" customHeight="1" x14ac:dyDescent="0.2"/>
    <row r="97" spans="1:26" ht="15" customHeight="1" x14ac:dyDescent="0.2">
      <c r="A97" s="13" t="s">
        <v>142</v>
      </c>
    </row>
    <row r="98" spans="1:26" ht="15" customHeight="1" x14ac:dyDescent="0.2">
      <c r="B98" s="246" t="s">
        <v>182</v>
      </c>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Y16:Z22 H16:H22 Y27:Z33 H27:H33 H38:H44 Y38:Z44 H49:H55 Y49:Z55 Y60:Z66 L60:M66 T60:T66 U16:U22 L16:M22 U27:U33 L27:M33 U38:U44 L38:M44 U49:U55 L49:M55 G60:G66 K60:K63">
      <formula1>"○"</formula1>
    </dataValidation>
  </dataValidations>
  <printOptions horizontalCentered="1"/>
  <pageMargins left="0.78740157480314965" right="0.78740157480314965" top="0.59055118110236227" bottom="0.19685039370078741" header="0.31496062992125984" footer="0.19685039370078741"/>
  <pageSetup paperSize="9" scale="95" orientation="landscape" r:id="rId1"/>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Normal="100" zoomScaleSheetLayoutView="100" workbookViewId="0">
      <selection activeCell="I51" sqref="I51:K51"/>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9" t="s">
        <v>225</v>
      </c>
      <c r="X1" s="249"/>
      <c r="Y1" s="249"/>
      <c r="Z1" s="249"/>
    </row>
    <row r="2" spans="1:26" ht="18" customHeight="1" x14ac:dyDescent="0.2">
      <c r="A2" s="209" t="s">
        <v>65</v>
      </c>
      <c r="B2" s="209"/>
      <c r="C2" s="209"/>
      <c r="D2" s="209"/>
      <c r="E2" s="209"/>
      <c r="F2" s="209"/>
      <c r="G2" s="209"/>
      <c r="H2" s="209"/>
      <c r="I2" s="209"/>
      <c r="J2" s="209"/>
      <c r="K2" s="209"/>
      <c r="L2" s="209"/>
      <c r="M2" s="209"/>
      <c r="N2" s="209"/>
      <c r="O2" s="209"/>
      <c r="P2" s="209"/>
      <c r="Q2" s="209"/>
      <c r="R2" s="209"/>
      <c r="S2" s="209"/>
      <c r="T2" s="209"/>
      <c r="U2" s="209"/>
      <c r="V2" s="209"/>
      <c r="W2" s="209"/>
      <c r="X2" s="209"/>
      <c r="Y2" s="209"/>
      <c r="Z2" s="209"/>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97</v>
      </c>
      <c r="B4" s="29"/>
      <c r="C4" s="29"/>
      <c r="D4" s="29"/>
      <c r="E4" s="29"/>
      <c r="F4" s="29"/>
      <c r="G4" s="29"/>
      <c r="H4" s="15" t="s">
        <v>110</v>
      </c>
      <c r="I4" s="29"/>
      <c r="J4" s="29"/>
      <c r="K4" s="29"/>
      <c r="L4" s="29"/>
      <c r="M4" s="29"/>
      <c r="N4" s="29"/>
      <c r="O4" s="153" t="s">
        <v>163</v>
      </c>
      <c r="P4" s="154"/>
      <c r="Q4" s="154"/>
      <c r="R4" s="154"/>
      <c r="S4" s="154"/>
      <c r="T4" s="154"/>
      <c r="U4" s="154"/>
      <c r="V4" s="154"/>
      <c r="W4" s="154"/>
      <c r="X4" s="154"/>
      <c r="Y4" s="154"/>
      <c r="Z4" s="155"/>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10" t="s">
        <v>209</v>
      </c>
      <c r="C6" s="211"/>
      <c r="D6" s="211"/>
      <c r="E6" s="211"/>
      <c r="F6" s="211"/>
      <c r="G6" s="211"/>
      <c r="H6" s="211"/>
      <c r="I6" s="211"/>
      <c r="J6" s="211"/>
      <c r="K6" s="211"/>
      <c r="L6" s="211"/>
      <c r="M6" s="211"/>
      <c r="N6" s="211"/>
      <c r="O6" s="211"/>
      <c r="P6" s="211"/>
      <c r="Q6" s="211"/>
      <c r="R6" s="211"/>
      <c r="S6" s="211"/>
      <c r="T6" s="211"/>
      <c r="U6" s="211"/>
      <c r="V6" s="211"/>
      <c r="W6" s="211"/>
      <c r="X6" s="211"/>
      <c r="Y6" s="211"/>
      <c r="Z6" s="212"/>
    </row>
    <row r="7" spans="1:26" ht="18" customHeight="1" x14ac:dyDescent="0.2">
      <c r="B7" s="213"/>
      <c r="C7" s="214"/>
      <c r="D7" s="214"/>
      <c r="E7" s="214"/>
      <c r="F7" s="214"/>
      <c r="G7" s="214"/>
      <c r="H7" s="214"/>
      <c r="I7" s="214"/>
      <c r="J7" s="214"/>
      <c r="K7" s="214"/>
      <c r="L7" s="214"/>
      <c r="M7" s="214"/>
      <c r="N7" s="214"/>
      <c r="O7" s="214"/>
      <c r="P7" s="214"/>
      <c r="Q7" s="214"/>
      <c r="R7" s="214"/>
      <c r="S7" s="214"/>
      <c r="T7" s="214"/>
      <c r="U7" s="214"/>
      <c r="V7" s="214"/>
      <c r="W7" s="214"/>
      <c r="X7" s="214"/>
      <c r="Y7" s="214"/>
      <c r="Z7" s="215"/>
    </row>
    <row r="8" spans="1:26" ht="18" customHeight="1" x14ac:dyDescent="0.2">
      <c r="B8" s="213"/>
      <c r="C8" s="214"/>
      <c r="D8" s="214"/>
      <c r="E8" s="214"/>
      <c r="F8" s="214"/>
      <c r="G8" s="214"/>
      <c r="H8" s="214"/>
      <c r="I8" s="214"/>
      <c r="J8" s="214"/>
      <c r="K8" s="214"/>
      <c r="L8" s="214"/>
      <c r="M8" s="214"/>
      <c r="N8" s="214"/>
      <c r="O8" s="214"/>
      <c r="P8" s="214"/>
      <c r="Q8" s="214"/>
      <c r="R8" s="214"/>
      <c r="S8" s="214"/>
      <c r="T8" s="214"/>
      <c r="U8" s="214"/>
      <c r="V8" s="214"/>
      <c r="W8" s="214"/>
      <c r="X8" s="214"/>
      <c r="Y8" s="214"/>
      <c r="Z8" s="215"/>
    </row>
    <row r="9" spans="1:26" ht="18" customHeight="1" x14ac:dyDescent="0.2">
      <c r="B9" s="213"/>
      <c r="C9" s="214"/>
      <c r="D9" s="214"/>
      <c r="E9" s="214"/>
      <c r="F9" s="214"/>
      <c r="G9" s="214"/>
      <c r="H9" s="214"/>
      <c r="I9" s="214"/>
      <c r="J9" s="214"/>
      <c r="K9" s="214"/>
      <c r="L9" s="214"/>
      <c r="M9" s="214"/>
      <c r="N9" s="214"/>
      <c r="O9" s="214"/>
      <c r="P9" s="214"/>
      <c r="Q9" s="214"/>
      <c r="R9" s="214"/>
      <c r="S9" s="214"/>
      <c r="T9" s="214"/>
      <c r="U9" s="214"/>
      <c r="V9" s="214"/>
      <c r="W9" s="214"/>
      <c r="X9" s="214"/>
      <c r="Y9" s="214"/>
      <c r="Z9" s="215"/>
    </row>
    <row r="10" spans="1:26" ht="18" customHeight="1" x14ac:dyDescent="0.2">
      <c r="B10" s="213"/>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5"/>
    </row>
    <row r="11" spans="1:26" ht="18" customHeight="1" x14ac:dyDescent="0.2">
      <c r="B11" s="217"/>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9"/>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5" t="s">
        <v>123</v>
      </c>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row>
    <row r="14" spans="1:26" ht="18" customHeight="1" x14ac:dyDescent="0.2">
      <c r="A14" s="205"/>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row>
    <row r="15" spans="1:26" ht="18" customHeight="1" x14ac:dyDescent="0.2">
      <c r="A15" s="14"/>
      <c r="B15" s="153" t="s">
        <v>98</v>
      </c>
      <c r="C15" s="154"/>
      <c r="D15" s="154"/>
      <c r="E15" s="154"/>
      <c r="F15" s="155"/>
      <c r="G15" s="30" t="s">
        <v>139</v>
      </c>
      <c r="H15" s="110" t="s">
        <v>138</v>
      </c>
      <c r="I15" s="154" t="s">
        <v>99</v>
      </c>
      <c r="J15" s="154"/>
      <c r="K15" s="154"/>
      <c r="L15" s="73" t="s">
        <v>102</v>
      </c>
      <c r="M15" s="73" t="s">
        <v>105</v>
      </c>
      <c r="N15" s="153" t="s">
        <v>98</v>
      </c>
      <c r="O15" s="154"/>
      <c r="P15" s="154"/>
      <c r="Q15" s="154"/>
      <c r="R15" s="154"/>
      <c r="S15" s="155"/>
      <c r="T15" s="30" t="s">
        <v>139</v>
      </c>
      <c r="U15" s="110" t="s">
        <v>138</v>
      </c>
      <c r="V15" s="154" t="s">
        <v>99</v>
      </c>
      <c r="W15" s="154"/>
      <c r="X15" s="154"/>
      <c r="Y15" s="73" t="s">
        <v>102</v>
      </c>
      <c r="Z15" s="73" t="s">
        <v>105</v>
      </c>
    </row>
    <row r="16" spans="1:26" ht="18" customHeight="1" x14ac:dyDescent="0.2">
      <c r="A16" s="14"/>
      <c r="B16" s="196" t="s">
        <v>165</v>
      </c>
      <c r="C16" s="197"/>
      <c r="D16" s="197"/>
      <c r="E16" s="197"/>
      <c r="F16" s="198"/>
      <c r="G16" s="111">
        <v>1</v>
      </c>
      <c r="H16" s="111" t="s">
        <v>167</v>
      </c>
      <c r="I16" s="190" t="s">
        <v>166</v>
      </c>
      <c r="J16" s="191"/>
      <c r="K16" s="192"/>
      <c r="L16" s="111" t="s">
        <v>167</v>
      </c>
      <c r="M16" s="111" t="s">
        <v>167</v>
      </c>
      <c r="N16" s="160"/>
      <c r="O16" s="161"/>
      <c r="P16" s="161"/>
      <c r="Q16" s="161"/>
      <c r="R16" s="161"/>
      <c r="S16" s="162"/>
      <c r="T16" s="111"/>
      <c r="U16" s="111"/>
      <c r="V16" s="190"/>
      <c r="W16" s="191"/>
      <c r="X16" s="192"/>
      <c r="Y16" s="111"/>
      <c r="Z16" s="111"/>
    </row>
    <row r="17" spans="1:26" ht="18" customHeight="1" x14ac:dyDescent="0.2">
      <c r="A17" s="14"/>
      <c r="B17" s="199"/>
      <c r="C17" s="200"/>
      <c r="D17" s="200"/>
      <c r="E17" s="200"/>
      <c r="F17" s="201"/>
      <c r="G17" s="112"/>
      <c r="H17" s="112"/>
      <c r="I17" s="193"/>
      <c r="J17" s="194"/>
      <c r="K17" s="195"/>
      <c r="L17" s="112"/>
      <c r="M17" s="112"/>
      <c r="N17" s="169"/>
      <c r="O17" s="170"/>
      <c r="P17" s="170"/>
      <c r="Q17" s="170"/>
      <c r="R17" s="170"/>
      <c r="S17" s="171"/>
      <c r="T17" s="112"/>
      <c r="U17" s="112"/>
      <c r="V17" s="193"/>
      <c r="W17" s="194"/>
      <c r="X17" s="195"/>
      <c r="Y17" s="112"/>
      <c r="Z17" s="112"/>
    </row>
    <row r="18" spans="1:26" ht="18" customHeight="1" x14ac:dyDescent="0.2">
      <c r="A18" s="14"/>
      <c r="B18" s="199"/>
      <c r="C18" s="200"/>
      <c r="D18" s="200"/>
      <c r="E18" s="200"/>
      <c r="F18" s="201"/>
      <c r="G18" s="112"/>
      <c r="H18" s="112"/>
      <c r="I18" s="193"/>
      <c r="J18" s="194"/>
      <c r="K18" s="195"/>
      <c r="L18" s="112"/>
      <c r="M18" s="112"/>
      <c r="N18" s="169"/>
      <c r="O18" s="170"/>
      <c r="P18" s="170"/>
      <c r="Q18" s="170"/>
      <c r="R18" s="170"/>
      <c r="S18" s="171"/>
      <c r="T18" s="112"/>
      <c r="U18" s="112"/>
      <c r="V18" s="193"/>
      <c r="W18" s="194"/>
      <c r="X18" s="195"/>
      <c r="Y18" s="112"/>
      <c r="Z18" s="112"/>
    </row>
    <row r="19" spans="1:26" ht="18" customHeight="1" x14ac:dyDescent="0.2">
      <c r="A19" s="14"/>
      <c r="B19" s="199"/>
      <c r="C19" s="200"/>
      <c r="D19" s="200"/>
      <c r="E19" s="200"/>
      <c r="F19" s="201"/>
      <c r="G19" s="112"/>
      <c r="H19" s="112"/>
      <c r="I19" s="193"/>
      <c r="J19" s="194"/>
      <c r="K19" s="195"/>
      <c r="L19" s="112"/>
      <c r="M19" s="112"/>
      <c r="N19" s="169"/>
      <c r="O19" s="170"/>
      <c r="P19" s="170"/>
      <c r="Q19" s="170"/>
      <c r="R19" s="170"/>
      <c r="S19" s="171"/>
      <c r="T19" s="112"/>
      <c r="U19" s="112"/>
      <c r="V19" s="193"/>
      <c r="W19" s="194"/>
      <c r="X19" s="195"/>
      <c r="Y19" s="112"/>
      <c r="Z19" s="112"/>
    </row>
    <row r="20" spans="1:26" ht="18" customHeight="1" x14ac:dyDescent="0.2">
      <c r="A20" s="14"/>
      <c r="B20" s="199"/>
      <c r="C20" s="200"/>
      <c r="D20" s="200"/>
      <c r="E20" s="200"/>
      <c r="F20" s="201"/>
      <c r="G20" s="112"/>
      <c r="H20" s="112"/>
      <c r="I20" s="193"/>
      <c r="J20" s="194"/>
      <c r="K20" s="195"/>
      <c r="L20" s="112"/>
      <c r="M20" s="112"/>
      <c r="N20" s="169"/>
      <c r="O20" s="170"/>
      <c r="P20" s="170"/>
      <c r="Q20" s="170"/>
      <c r="R20" s="170"/>
      <c r="S20" s="171"/>
      <c r="T20" s="112"/>
      <c r="U20" s="112"/>
      <c r="V20" s="193"/>
      <c r="W20" s="194"/>
      <c r="X20" s="195"/>
      <c r="Y20" s="112"/>
      <c r="Z20" s="112"/>
    </row>
    <row r="21" spans="1:26" ht="18" customHeight="1" x14ac:dyDescent="0.2">
      <c r="A21" s="29"/>
      <c r="B21" s="199"/>
      <c r="C21" s="200"/>
      <c r="D21" s="200"/>
      <c r="E21" s="200"/>
      <c r="F21" s="201"/>
      <c r="G21" s="112"/>
      <c r="H21" s="112"/>
      <c r="I21" s="193"/>
      <c r="J21" s="194"/>
      <c r="K21" s="195"/>
      <c r="L21" s="112"/>
      <c r="M21" s="112"/>
      <c r="N21" s="169"/>
      <c r="O21" s="170"/>
      <c r="P21" s="170"/>
      <c r="Q21" s="170"/>
      <c r="R21" s="170"/>
      <c r="S21" s="171"/>
      <c r="T21" s="112"/>
      <c r="U21" s="112"/>
      <c r="V21" s="193"/>
      <c r="W21" s="194"/>
      <c r="X21" s="195"/>
      <c r="Y21" s="112"/>
      <c r="Z21" s="112"/>
    </row>
    <row r="22" spans="1:26" ht="18" customHeight="1" x14ac:dyDescent="0.2">
      <c r="A22" s="29"/>
      <c r="B22" s="206"/>
      <c r="C22" s="207"/>
      <c r="D22" s="207"/>
      <c r="E22" s="207"/>
      <c r="F22" s="208"/>
      <c r="G22" s="113"/>
      <c r="H22" s="113"/>
      <c r="I22" s="202"/>
      <c r="J22" s="203"/>
      <c r="K22" s="204"/>
      <c r="L22" s="119"/>
      <c r="M22" s="119"/>
      <c r="N22" s="228"/>
      <c r="O22" s="229"/>
      <c r="P22" s="229"/>
      <c r="Q22" s="229"/>
      <c r="R22" s="229"/>
      <c r="S22" s="230"/>
      <c r="T22" s="113"/>
      <c r="U22" s="113"/>
      <c r="V22" s="202"/>
      <c r="W22" s="203"/>
      <c r="X22" s="204"/>
      <c r="Y22" s="119"/>
      <c r="Z22" s="119"/>
    </row>
    <row r="23" spans="1:26" ht="7.5" customHeight="1" x14ac:dyDescent="0.2">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2">
      <c r="A24" s="205" t="s">
        <v>124</v>
      </c>
      <c r="B24" s="205"/>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row>
    <row r="25" spans="1:26" ht="18" customHeight="1" x14ac:dyDescent="0.2">
      <c r="A25" s="205"/>
      <c r="B25" s="205"/>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row>
    <row r="26" spans="1:26" ht="18" customHeight="1" x14ac:dyDescent="0.2">
      <c r="A26" s="14"/>
      <c r="B26" s="153" t="s">
        <v>98</v>
      </c>
      <c r="C26" s="154"/>
      <c r="D26" s="154"/>
      <c r="E26" s="154"/>
      <c r="F26" s="155"/>
      <c r="G26" s="30" t="s">
        <v>139</v>
      </c>
      <c r="H26" s="110" t="s">
        <v>138</v>
      </c>
      <c r="I26" s="154" t="s">
        <v>99</v>
      </c>
      <c r="J26" s="154"/>
      <c r="K26" s="154"/>
      <c r="L26" s="73" t="s">
        <v>125</v>
      </c>
      <c r="M26" s="73" t="s">
        <v>126</v>
      </c>
      <c r="N26" s="153" t="s">
        <v>98</v>
      </c>
      <c r="O26" s="154"/>
      <c r="P26" s="154"/>
      <c r="Q26" s="154"/>
      <c r="R26" s="154"/>
      <c r="S26" s="155"/>
      <c r="T26" s="30" t="s">
        <v>139</v>
      </c>
      <c r="U26" s="110" t="s">
        <v>138</v>
      </c>
      <c r="V26" s="154" t="s">
        <v>99</v>
      </c>
      <c r="W26" s="154"/>
      <c r="X26" s="154"/>
      <c r="Y26" s="73" t="s">
        <v>125</v>
      </c>
      <c r="Z26" s="73" t="s">
        <v>126</v>
      </c>
    </row>
    <row r="27" spans="1:26" ht="18" customHeight="1" x14ac:dyDescent="0.2">
      <c r="A27" s="14"/>
      <c r="B27" s="196" t="s">
        <v>165</v>
      </c>
      <c r="C27" s="197"/>
      <c r="D27" s="197"/>
      <c r="E27" s="197"/>
      <c r="F27" s="198"/>
      <c r="G27" s="111">
        <v>1</v>
      </c>
      <c r="H27" s="111" t="s">
        <v>167</v>
      </c>
      <c r="I27" s="190" t="s">
        <v>166</v>
      </c>
      <c r="J27" s="191"/>
      <c r="K27" s="192"/>
      <c r="L27" s="111" t="s">
        <v>167</v>
      </c>
      <c r="M27" s="111" t="s">
        <v>167</v>
      </c>
      <c r="N27" s="160"/>
      <c r="O27" s="161"/>
      <c r="P27" s="161"/>
      <c r="Q27" s="161"/>
      <c r="R27" s="161"/>
      <c r="S27" s="162"/>
      <c r="T27" s="111"/>
      <c r="U27" s="111"/>
      <c r="V27" s="190"/>
      <c r="W27" s="191"/>
      <c r="X27" s="192"/>
      <c r="Y27" s="111"/>
      <c r="Z27" s="111"/>
    </row>
    <row r="28" spans="1:26" ht="18" customHeight="1" x14ac:dyDescent="0.2">
      <c r="A28" s="14"/>
      <c r="B28" s="199"/>
      <c r="C28" s="200"/>
      <c r="D28" s="200"/>
      <c r="E28" s="200"/>
      <c r="F28" s="201"/>
      <c r="G28" s="112"/>
      <c r="H28" s="112"/>
      <c r="I28" s="193"/>
      <c r="J28" s="194"/>
      <c r="K28" s="195"/>
      <c r="L28" s="112"/>
      <c r="M28" s="112"/>
      <c r="N28" s="169"/>
      <c r="O28" s="170"/>
      <c r="P28" s="170"/>
      <c r="Q28" s="170"/>
      <c r="R28" s="170"/>
      <c r="S28" s="171"/>
      <c r="T28" s="112"/>
      <c r="U28" s="112"/>
      <c r="V28" s="193"/>
      <c r="W28" s="194"/>
      <c r="X28" s="195"/>
      <c r="Y28" s="112"/>
      <c r="Z28" s="112"/>
    </row>
    <row r="29" spans="1:26" ht="18" customHeight="1" x14ac:dyDescent="0.2">
      <c r="A29" s="14"/>
      <c r="B29" s="199"/>
      <c r="C29" s="200"/>
      <c r="D29" s="200"/>
      <c r="E29" s="200"/>
      <c r="F29" s="201"/>
      <c r="G29" s="112"/>
      <c r="H29" s="112"/>
      <c r="I29" s="193"/>
      <c r="J29" s="194"/>
      <c r="K29" s="195"/>
      <c r="L29" s="112"/>
      <c r="M29" s="112"/>
      <c r="N29" s="169"/>
      <c r="O29" s="170"/>
      <c r="P29" s="170"/>
      <c r="Q29" s="170"/>
      <c r="R29" s="170"/>
      <c r="S29" s="171"/>
      <c r="T29" s="112"/>
      <c r="U29" s="112"/>
      <c r="V29" s="193"/>
      <c r="W29" s="194"/>
      <c r="X29" s="195"/>
      <c r="Y29" s="112"/>
      <c r="Z29" s="112"/>
    </row>
    <row r="30" spans="1:26" ht="18" customHeight="1" x14ac:dyDescent="0.2">
      <c r="A30" s="14"/>
      <c r="B30" s="199"/>
      <c r="C30" s="200"/>
      <c r="D30" s="200"/>
      <c r="E30" s="200"/>
      <c r="F30" s="201"/>
      <c r="G30" s="112"/>
      <c r="H30" s="112"/>
      <c r="I30" s="193"/>
      <c r="J30" s="194"/>
      <c r="K30" s="195"/>
      <c r="L30" s="112"/>
      <c r="M30" s="112"/>
      <c r="N30" s="169"/>
      <c r="O30" s="170"/>
      <c r="P30" s="170"/>
      <c r="Q30" s="170"/>
      <c r="R30" s="170"/>
      <c r="S30" s="171"/>
      <c r="T30" s="112"/>
      <c r="U30" s="112"/>
      <c r="V30" s="193"/>
      <c r="W30" s="194"/>
      <c r="X30" s="195"/>
      <c r="Y30" s="112"/>
      <c r="Z30" s="112"/>
    </row>
    <row r="31" spans="1:26" ht="18" customHeight="1" x14ac:dyDescent="0.2">
      <c r="A31" s="14"/>
      <c r="B31" s="199"/>
      <c r="C31" s="200"/>
      <c r="D31" s="200"/>
      <c r="E31" s="200"/>
      <c r="F31" s="201"/>
      <c r="G31" s="112"/>
      <c r="H31" s="112"/>
      <c r="I31" s="193"/>
      <c r="J31" s="194"/>
      <c r="K31" s="195"/>
      <c r="L31" s="112"/>
      <c r="M31" s="112"/>
      <c r="N31" s="169"/>
      <c r="O31" s="170"/>
      <c r="P31" s="170"/>
      <c r="Q31" s="170"/>
      <c r="R31" s="170"/>
      <c r="S31" s="171"/>
      <c r="T31" s="112"/>
      <c r="U31" s="112"/>
      <c r="V31" s="193"/>
      <c r="W31" s="194"/>
      <c r="X31" s="195"/>
      <c r="Y31" s="112"/>
      <c r="Z31" s="112"/>
    </row>
    <row r="32" spans="1:26" ht="18" customHeight="1" x14ac:dyDescent="0.2">
      <c r="A32" s="14"/>
      <c r="B32" s="199"/>
      <c r="C32" s="200"/>
      <c r="D32" s="200"/>
      <c r="E32" s="200"/>
      <c r="F32" s="201"/>
      <c r="G32" s="112"/>
      <c r="H32" s="112"/>
      <c r="I32" s="193"/>
      <c r="J32" s="194"/>
      <c r="K32" s="195"/>
      <c r="L32" s="112"/>
      <c r="M32" s="112"/>
      <c r="N32" s="169"/>
      <c r="O32" s="170"/>
      <c r="P32" s="170"/>
      <c r="Q32" s="170"/>
      <c r="R32" s="170"/>
      <c r="S32" s="171"/>
      <c r="T32" s="112"/>
      <c r="U32" s="112"/>
      <c r="V32" s="193"/>
      <c r="W32" s="194"/>
      <c r="X32" s="195"/>
      <c r="Y32" s="112"/>
      <c r="Z32" s="112"/>
    </row>
    <row r="33" spans="1:26" ht="18" customHeight="1" x14ac:dyDescent="0.2">
      <c r="A33" s="14"/>
      <c r="B33" s="206"/>
      <c r="C33" s="207"/>
      <c r="D33" s="207"/>
      <c r="E33" s="207"/>
      <c r="F33" s="208"/>
      <c r="G33" s="113"/>
      <c r="H33" s="113"/>
      <c r="I33" s="202"/>
      <c r="J33" s="203"/>
      <c r="K33" s="204"/>
      <c r="L33" s="119"/>
      <c r="M33" s="119"/>
      <c r="N33" s="228"/>
      <c r="O33" s="229"/>
      <c r="P33" s="229"/>
      <c r="Q33" s="229"/>
      <c r="R33" s="229"/>
      <c r="S33" s="230"/>
      <c r="T33" s="113"/>
      <c r="U33" s="113"/>
      <c r="V33" s="202"/>
      <c r="W33" s="203"/>
      <c r="X33" s="204"/>
      <c r="Y33" s="119"/>
      <c r="Z33" s="119"/>
    </row>
    <row r="34" spans="1:26" ht="7.5" customHeight="1" x14ac:dyDescent="0.2">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2">
      <c r="A35" s="205" t="s">
        <v>127</v>
      </c>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row>
    <row r="36" spans="1:26" ht="18" customHeight="1" x14ac:dyDescent="0.2">
      <c r="A36" s="205"/>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row>
    <row r="37" spans="1:26" ht="18" customHeight="1" x14ac:dyDescent="0.2">
      <c r="A37" s="14"/>
      <c r="B37" s="153" t="s">
        <v>98</v>
      </c>
      <c r="C37" s="154"/>
      <c r="D37" s="154"/>
      <c r="E37" s="154"/>
      <c r="F37" s="155"/>
      <c r="G37" s="30" t="s">
        <v>139</v>
      </c>
      <c r="H37" s="110" t="s">
        <v>138</v>
      </c>
      <c r="I37" s="153" t="s">
        <v>99</v>
      </c>
      <c r="J37" s="154"/>
      <c r="K37" s="155"/>
      <c r="L37" s="73" t="s">
        <v>128</v>
      </c>
      <c r="M37" s="73" t="s">
        <v>129</v>
      </c>
      <c r="N37" s="153" t="s">
        <v>98</v>
      </c>
      <c r="O37" s="154"/>
      <c r="P37" s="154"/>
      <c r="Q37" s="154"/>
      <c r="R37" s="154"/>
      <c r="S37" s="155"/>
      <c r="T37" s="30" t="s">
        <v>139</v>
      </c>
      <c r="U37" s="110" t="s">
        <v>138</v>
      </c>
      <c r="V37" s="153" t="s">
        <v>99</v>
      </c>
      <c r="W37" s="154"/>
      <c r="X37" s="155"/>
      <c r="Y37" s="73" t="s">
        <v>128</v>
      </c>
      <c r="Z37" s="73" t="s">
        <v>129</v>
      </c>
    </row>
    <row r="38" spans="1:26" ht="18" customHeight="1" x14ac:dyDescent="0.2">
      <c r="A38" s="29"/>
      <c r="B38" s="196" t="s">
        <v>165</v>
      </c>
      <c r="C38" s="197"/>
      <c r="D38" s="197"/>
      <c r="E38" s="197"/>
      <c r="F38" s="198"/>
      <c r="G38" s="111">
        <v>1</v>
      </c>
      <c r="H38" s="111" t="s">
        <v>167</v>
      </c>
      <c r="I38" s="190" t="s">
        <v>166</v>
      </c>
      <c r="J38" s="191"/>
      <c r="K38" s="192"/>
      <c r="L38" s="111" t="s">
        <v>167</v>
      </c>
      <c r="M38" s="111" t="s">
        <v>167</v>
      </c>
      <c r="N38" s="160"/>
      <c r="O38" s="161"/>
      <c r="P38" s="161"/>
      <c r="Q38" s="161"/>
      <c r="R38" s="161"/>
      <c r="S38" s="162"/>
      <c r="T38" s="111"/>
      <c r="U38" s="111"/>
      <c r="V38" s="190"/>
      <c r="W38" s="191"/>
      <c r="X38" s="192"/>
      <c r="Y38" s="111"/>
      <c r="Z38" s="111"/>
    </row>
    <row r="39" spans="1:26" ht="18" customHeight="1" x14ac:dyDescent="0.2">
      <c r="A39" s="29"/>
      <c r="B39" s="199"/>
      <c r="C39" s="200"/>
      <c r="D39" s="200"/>
      <c r="E39" s="200"/>
      <c r="F39" s="201"/>
      <c r="G39" s="112"/>
      <c r="H39" s="112"/>
      <c r="I39" s="193"/>
      <c r="J39" s="194"/>
      <c r="K39" s="195"/>
      <c r="L39" s="112"/>
      <c r="M39" s="112"/>
      <c r="N39" s="169"/>
      <c r="O39" s="170"/>
      <c r="P39" s="170"/>
      <c r="Q39" s="170"/>
      <c r="R39" s="170"/>
      <c r="S39" s="171"/>
      <c r="T39" s="112"/>
      <c r="U39" s="112"/>
      <c r="V39" s="193"/>
      <c r="W39" s="194"/>
      <c r="X39" s="195"/>
      <c r="Y39" s="112"/>
      <c r="Z39" s="112"/>
    </row>
    <row r="40" spans="1:26" ht="18" customHeight="1" x14ac:dyDescent="0.2">
      <c r="A40" s="29"/>
      <c r="B40" s="199"/>
      <c r="C40" s="200"/>
      <c r="D40" s="200"/>
      <c r="E40" s="200"/>
      <c r="F40" s="201"/>
      <c r="G40" s="112"/>
      <c r="H40" s="112"/>
      <c r="I40" s="193"/>
      <c r="J40" s="194"/>
      <c r="K40" s="195"/>
      <c r="L40" s="112"/>
      <c r="M40" s="112"/>
      <c r="N40" s="169"/>
      <c r="O40" s="170"/>
      <c r="P40" s="170"/>
      <c r="Q40" s="170"/>
      <c r="R40" s="170"/>
      <c r="S40" s="171"/>
      <c r="T40" s="112"/>
      <c r="U40" s="112"/>
      <c r="V40" s="193"/>
      <c r="W40" s="194"/>
      <c r="X40" s="195"/>
      <c r="Y40" s="112"/>
      <c r="Z40" s="112"/>
    </row>
    <row r="41" spans="1:26" ht="18" customHeight="1" x14ac:dyDescent="0.2">
      <c r="A41" s="29"/>
      <c r="B41" s="199"/>
      <c r="C41" s="200"/>
      <c r="D41" s="200"/>
      <c r="E41" s="200"/>
      <c r="F41" s="201"/>
      <c r="G41" s="112"/>
      <c r="H41" s="112"/>
      <c r="I41" s="193"/>
      <c r="J41" s="194"/>
      <c r="K41" s="195"/>
      <c r="L41" s="112"/>
      <c r="M41" s="112"/>
      <c r="N41" s="169"/>
      <c r="O41" s="170"/>
      <c r="P41" s="170"/>
      <c r="Q41" s="170"/>
      <c r="R41" s="170"/>
      <c r="S41" s="171"/>
      <c r="T41" s="112"/>
      <c r="U41" s="112"/>
      <c r="V41" s="193"/>
      <c r="W41" s="194"/>
      <c r="X41" s="195"/>
      <c r="Y41" s="112"/>
      <c r="Z41" s="112"/>
    </row>
    <row r="42" spans="1:26" ht="18" customHeight="1" x14ac:dyDescent="0.2">
      <c r="A42" s="29"/>
      <c r="B42" s="199"/>
      <c r="C42" s="200"/>
      <c r="D42" s="200"/>
      <c r="E42" s="200"/>
      <c r="F42" s="201"/>
      <c r="G42" s="112"/>
      <c r="H42" s="112"/>
      <c r="I42" s="193"/>
      <c r="J42" s="194"/>
      <c r="K42" s="195"/>
      <c r="L42" s="112"/>
      <c r="M42" s="112"/>
      <c r="N42" s="169"/>
      <c r="O42" s="170"/>
      <c r="P42" s="170"/>
      <c r="Q42" s="170"/>
      <c r="R42" s="170"/>
      <c r="S42" s="171"/>
      <c r="T42" s="112"/>
      <c r="U42" s="112"/>
      <c r="V42" s="193"/>
      <c r="W42" s="194"/>
      <c r="X42" s="195"/>
      <c r="Y42" s="112"/>
      <c r="Z42" s="112"/>
    </row>
    <row r="43" spans="1:26" ht="18" customHeight="1" x14ac:dyDescent="0.2">
      <c r="A43" s="29"/>
      <c r="B43" s="199"/>
      <c r="C43" s="200"/>
      <c r="D43" s="200"/>
      <c r="E43" s="200"/>
      <c r="F43" s="201"/>
      <c r="G43" s="112"/>
      <c r="H43" s="112"/>
      <c r="I43" s="193"/>
      <c r="J43" s="194"/>
      <c r="K43" s="195"/>
      <c r="L43" s="112"/>
      <c r="M43" s="112"/>
      <c r="N43" s="169"/>
      <c r="O43" s="170"/>
      <c r="P43" s="170"/>
      <c r="Q43" s="170"/>
      <c r="R43" s="170"/>
      <c r="S43" s="171"/>
      <c r="T43" s="112"/>
      <c r="U43" s="112"/>
      <c r="V43" s="193"/>
      <c r="W43" s="194"/>
      <c r="X43" s="195"/>
      <c r="Y43" s="112"/>
      <c r="Z43" s="112"/>
    </row>
    <row r="44" spans="1:26" ht="18" customHeight="1" x14ac:dyDescent="0.2">
      <c r="A44" s="29"/>
      <c r="B44" s="206"/>
      <c r="C44" s="207"/>
      <c r="D44" s="207"/>
      <c r="E44" s="207"/>
      <c r="F44" s="208"/>
      <c r="G44" s="113"/>
      <c r="H44" s="113"/>
      <c r="I44" s="202"/>
      <c r="J44" s="203"/>
      <c r="K44" s="204"/>
      <c r="L44" s="119"/>
      <c r="M44" s="119"/>
      <c r="N44" s="228"/>
      <c r="O44" s="229"/>
      <c r="P44" s="229"/>
      <c r="Q44" s="229"/>
      <c r="R44" s="229"/>
      <c r="S44" s="230"/>
      <c r="T44" s="113"/>
      <c r="U44" s="113"/>
      <c r="V44" s="202"/>
      <c r="W44" s="203"/>
      <c r="X44" s="204"/>
      <c r="Y44" s="119"/>
      <c r="Z44" s="119"/>
    </row>
    <row r="45" spans="1:26" ht="7.5" customHeight="1" x14ac:dyDescent="0.2">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2">
      <c r="A46" s="205" t="s">
        <v>130</v>
      </c>
      <c r="B46" s="205"/>
      <c r="C46" s="205"/>
      <c r="D46" s="205"/>
      <c r="E46" s="205"/>
      <c r="F46" s="205"/>
      <c r="G46" s="205"/>
      <c r="H46" s="205"/>
      <c r="I46" s="205"/>
      <c r="J46" s="205"/>
      <c r="K46" s="205"/>
      <c r="L46" s="205"/>
      <c r="M46" s="205"/>
      <c r="N46" s="205"/>
      <c r="O46" s="205"/>
      <c r="P46" s="205"/>
      <c r="Q46" s="205"/>
      <c r="R46" s="205"/>
      <c r="S46" s="205"/>
      <c r="T46" s="205"/>
      <c r="U46" s="205"/>
      <c r="V46" s="205"/>
      <c r="W46" s="205"/>
      <c r="X46" s="205"/>
      <c r="Y46" s="205"/>
      <c r="Z46" s="205"/>
    </row>
    <row r="47" spans="1:26" ht="18" customHeight="1" x14ac:dyDescent="0.2">
      <c r="A47" s="205"/>
      <c r="B47" s="205"/>
      <c r="C47" s="205"/>
      <c r="D47" s="205"/>
      <c r="E47" s="205"/>
      <c r="F47" s="205"/>
      <c r="G47" s="205"/>
      <c r="H47" s="205"/>
      <c r="I47" s="205"/>
      <c r="J47" s="205"/>
      <c r="K47" s="205"/>
      <c r="L47" s="205"/>
      <c r="M47" s="205"/>
      <c r="N47" s="205"/>
      <c r="O47" s="205"/>
      <c r="P47" s="205"/>
      <c r="Q47" s="205"/>
      <c r="R47" s="205"/>
      <c r="S47" s="205"/>
      <c r="T47" s="205"/>
      <c r="U47" s="205"/>
      <c r="V47" s="205"/>
      <c r="W47" s="205"/>
      <c r="X47" s="205"/>
      <c r="Y47" s="205"/>
      <c r="Z47" s="205"/>
    </row>
    <row r="48" spans="1:26" ht="18" customHeight="1" x14ac:dyDescent="0.2">
      <c r="A48" s="14"/>
      <c r="B48" s="153" t="s">
        <v>98</v>
      </c>
      <c r="C48" s="154"/>
      <c r="D48" s="154"/>
      <c r="E48" s="154"/>
      <c r="F48" s="155"/>
      <c r="G48" s="30" t="s">
        <v>139</v>
      </c>
      <c r="H48" s="110" t="s">
        <v>138</v>
      </c>
      <c r="I48" s="153" t="s">
        <v>99</v>
      </c>
      <c r="J48" s="154"/>
      <c r="K48" s="155"/>
      <c r="L48" s="73" t="s">
        <v>104</v>
      </c>
      <c r="M48" s="73" t="s">
        <v>106</v>
      </c>
      <c r="N48" s="153" t="s">
        <v>98</v>
      </c>
      <c r="O48" s="154"/>
      <c r="P48" s="154"/>
      <c r="Q48" s="154"/>
      <c r="R48" s="154"/>
      <c r="S48" s="155"/>
      <c r="T48" s="30" t="s">
        <v>139</v>
      </c>
      <c r="U48" s="110" t="s">
        <v>138</v>
      </c>
      <c r="V48" s="153" t="s">
        <v>99</v>
      </c>
      <c r="W48" s="154"/>
      <c r="X48" s="155"/>
      <c r="Y48" s="73" t="s">
        <v>104</v>
      </c>
      <c r="Z48" s="73" t="s">
        <v>106</v>
      </c>
    </row>
    <row r="49" spans="1:26" ht="18" customHeight="1" x14ac:dyDescent="0.2">
      <c r="A49" s="29"/>
      <c r="B49" s="196" t="s">
        <v>165</v>
      </c>
      <c r="C49" s="197"/>
      <c r="D49" s="197"/>
      <c r="E49" s="197"/>
      <c r="F49" s="198"/>
      <c r="G49" s="111">
        <v>1</v>
      </c>
      <c r="H49" s="111" t="s">
        <v>167</v>
      </c>
      <c r="I49" s="190" t="s">
        <v>166</v>
      </c>
      <c r="J49" s="191"/>
      <c r="K49" s="192"/>
      <c r="L49" s="111" t="s">
        <v>167</v>
      </c>
      <c r="M49" s="111" t="s">
        <v>167</v>
      </c>
      <c r="N49" s="160"/>
      <c r="O49" s="161"/>
      <c r="P49" s="161"/>
      <c r="Q49" s="161"/>
      <c r="R49" s="161"/>
      <c r="S49" s="162"/>
      <c r="T49" s="111"/>
      <c r="U49" s="111"/>
      <c r="V49" s="190"/>
      <c r="W49" s="191"/>
      <c r="X49" s="192"/>
      <c r="Y49" s="111"/>
      <c r="Z49" s="111"/>
    </row>
    <row r="50" spans="1:26" ht="18" customHeight="1" x14ac:dyDescent="0.2">
      <c r="A50" s="29"/>
      <c r="B50" s="199"/>
      <c r="C50" s="200"/>
      <c r="D50" s="200"/>
      <c r="E50" s="200"/>
      <c r="F50" s="201"/>
      <c r="G50" s="112"/>
      <c r="H50" s="112"/>
      <c r="I50" s="193"/>
      <c r="J50" s="194"/>
      <c r="K50" s="195"/>
      <c r="L50" s="112"/>
      <c r="M50" s="112"/>
      <c r="N50" s="169"/>
      <c r="O50" s="170"/>
      <c r="P50" s="170"/>
      <c r="Q50" s="170"/>
      <c r="R50" s="170"/>
      <c r="S50" s="171"/>
      <c r="T50" s="112"/>
      <c r="U50" s="112"/>
      <c r="V50" s="193"/>
      <c r="W50" s="194"/>
      <c r="X50" s="195"/>
      <c r="Y50" s="112"/>
      <c r="Z50" s="112"/>
    </row>
    <row r="51" spans="1:26" ht="18" customHeight="1" x14ac:dyDescent="0.2">
      <c r="A51" s="29"/>
      <c r="B51" s="199"/>
      <c r="C51" s="200"/>
      <c r="D51" s="200"/>
      <c r="E51" s="200"/>
      <c r="F51" s="201"/>
      <c r="G51" s="112"/>
      <c r="H51" s="112"/>
      <c r="I51" s="193"/>
      <c r="J51" s="194"/>
      <c r="K51" s="195"/>
      <c r="L51" s="112"/>
      <c r="M51" s="112"/>
      <c r="N51" s="169"/>
      <c r="O51" s="170"/>
      <c r="P51" s="170"/>
      <c r="Q51" s="170"/>
      <c r="R51" s="170"/>
      <c r="S51" s="171"/>
      <c r="T51" s="112"/>
      <c r="U51" s="112"/>
      <c r="V51" s="193"/>
      <c r="W51" s="194"/>
      <c r="X51" s="195"/>
      <c r="Y51" s="112"/>
      <c r="Z51" s="112"/>
    </row>
    <row r="52" spans="1:26" ht="18" customHeight="1" x14ac:dyDescent="0.2">
      <c r="A52" s="29"/>
      <c r="B52" s="199"/>
      <c r="C52" s="200"/>
      <c r="D52" s="200"/>
      <c r="E52" s="200"/>
      <c r="F52" s="201"/>
      <c r="G52" s="112"/>
      <c r="H52" s="112"/>
      <c r="I52" s="193"/>
      <c r="J52" s="194"/>
      <c r="K52" s="195"/>
      <c r="L52" s="112"/>
      <c r="M52" s="112"/>
      <c r="N52" s="169"/>
      <c r="O52" s="170"/>
      <c r="P52" s="170"/>
      <c r="Q52" s="170"/>
      <c r="R52" s="170"/>
      <c r="S52" s="171"/>
      <c r="T52" s="112"/>
      <c r="U52" s="112"/>
      <c r="V52" s="193"/>
      <c r="W52" s="194"/>
      <c r="X52" s="195"/>
      <c r="Y52" s="112"/>
      <c r="Z52" s="112"/>
    </row>
    <row r="53" spans="1:26" ht="18" customHeight="1" x14ac:dyDescent="0.2">
      <c r="A53" s="29"/>
      <c r="B53" s="199"/>
      <c r="C53" s="200"/>
      <c r="D53" s="200"/>
      <c r="E53" s="200"/>
      <c r="F53" s="201"/>
      <c r="G53" s="112"/>
      <c r="H53" s="112"/>
      <c r="I53" s="193"/>
      <c r="J53" s="194"/>
      <c r="K53" s="195"/>
      <c r="L53" s="112"/>
      <c r="M53" s="112"/>
      <c r="N53" s="169"/>
      <c r="O53" s="170"/>
      <c r="P53" s="170"/>
      <c r="Q53" s="170"/>
      <c r="R53" s="170"/>
      <c r="S53" s="171"/>
      <c r="T53" s="112"/>
      <c r="U53" s="112"/>
      <c r="V53" s="193"/>
      <c r="W53" s="194"/>
      <c r="X53" s="195"/>
      <c r="Y53" s="112"/>
      <c r="Z53" s="112"/>
    </row>
    <row r="54" spans="1:26" ht="18" customHeight="1" x14ac:dyDescent="0.2">
      <c r="A54" s="29"/>
      <c r="B54" s="199"/>
      <c r="C54" s="200"/>
      <c r="D54" s="200"/>
      <c r="E54" s="200"/>
      <c r="F54" s="201"/>
      <c r="G54" s="112"/>
      <c r="H54" s="112"/>
      <c r="I54" s="193"/>
      <c r="J54" s="194"/>
      <c r="K54" s="195"/>
      <c r="L54" s="112"/>
      <c r="M54" s="112"/>
      <c r="N54" s="169"/>
      <c r="O54" s="170"/>
      <c r="P54" s="170"/>
      <c r="Q54" s="170"/>
      <c r="R54" s="170"/>
      <c r="S54" s="171"/>
      <c r="T54" s="112"/>
      <c r="U54" s="112"/>
      <c r="V54" s="193"/>
      <c r="W54" s="194"/>
      <c r="X54" s="195"/>
      <c r="Y54" s="112"/>
      <c r="Z54" s="112"/>
    </row>
    <row r="55" spans="1:26" ht="18" customHeight="1" x14ac:dyDescent="0.2">
      <c r="A55" s="29"/>
      <c r="B55" s="206"/>
      <c r="C55" s="207"/>
      <c r="D55" s="207"/>
      <c r="E55" s="207"/>
      <c r="F55" s="208"/>
      <c r="G55" s="113"/>
      <c r="H55" s="113"/>
      <c r="I55" s="202"/>
      <c r="J55" s="203"/>
      <c r="K55" s="204"/>
      <c r="L55" s="119"/>
      <c r="M55" s="119"/>
      <c r="N55" s="228"/>
      <c r="O55" s="229"/>
      <c r="P55" s="229"/>
      <c r="Q55" s="229"/>
      <c r="R55" s="229"/>
      <c r="S55" s="230"/>
      <c r="T55" s="113"/>
      <c r="U55" s="113"/>
      <c r="V55" s="202"/>
      <c r="W55" s="203"/>
      <c r="X55" s="204"/>
      <c r="Y55" s="119"/>
      <c r="Z55" s="119"/>
    </row>
    <row r="56" spans="1:26" ht="7.5" customHeight="1" x14ac:dyDescent="0.2">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2">
      <c r="A57" s="205" t="s">
        <v>131</v>
      </c>
      <c r="B57" s="205"/>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row>
    <row r="58" spans="1:26" ht="18" customHeight="1" x14ac:dyDescent="0.2">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row>
    <row r="59" spans="1:26" ht="18" customHeight="1" x14ac:dyDescent="0.2">
      <c r="A59" s="14"/>
      <c r="B59" s="153" t="s">
        <v>98</v>
      </c>
      <c r="C59" s="154"/>
      <c r="D59" s="154"/>
      <c r="E59" s="155"/>
      <c r="F59" s="30" t="s">
        <v>139</v>
      </c>
      <c r="G59" s="110" t="s">
        <v>138</v>
      </c>
      <c r="H59" s="105" t="s">
        <v>99</v>
      </c>
      <c r="I59" s="106"/>
      <c r="J59" s="107"/>
      <c r="K59" s="73" t="s">
        <v>103</v>
      </c>
      <c r="L59" s="73" t="s">
        <v>132</v>
      </c>
      <c r="M59" s="73" t="s">
        <v>133</v>
      </c>
      <c r="N59" s="153" t="s">
        <v>98</v>
      </c>
      <c r="O59" s="154"/>
      <c r="P59" s="154"/>
      <c r="Q59" s="154"/>
      <c r="R59" s="155"/>
      <c r="S59" s="30" t="s">
        <v>139</v>
      </c>
      <c r="T59" s="110" t="s">
        <v>138</v>
      </c>
      <c r="U59" s="105" t="s">
        <v>99</v>
      </c>
      <c r="V59" s="106"/>
      <c r="W59" s="107"/>
      <c r="X59" s="73" t="s">
        <v>103</v>
      </c>
      <c r="Y59" s="73" t="s">
        <v>132</v>
      </c>
      <c r="Z59" s="73" t="s">
        <v>133</v>
      </c>
    </row>
    <row r="60" spans="1:26" ht="18" customHeight="1" x14ac:dyDescent="0.2">
      <c r="A60" s="29"/>
      <c r="B60" s="160" t="s">
        <v>226</v>
      </c>
      <c r="C60" s="161"/>
      <c r="D60" s="161"/>
      <c r="E60" s="162"/>
      <c r="F60" s="111">
        <v>1</v>
      </c>
      <c r="G60" s="111"/>
      <c r="H60" s="190" t="s">
        <v>169</v>
      </c>
      <c r="I60" s="191"/>
      <c r="J60" s="192"/>
      <c r="K60" s="111" t="s">
        <v>167</v>
      </c>
      <c r="L60" s="111" t="s">
        <v>167</v>
      </c>
      <c r="M60" s="111" t="s">
        <v>167</v>
      </c>
      <c r="N60" s="160" t="s">
        <v>233</v>
      </c>
      <c r="O60" s="161"/>
      <c r="P60" s="161"/>
      <c r="Q60" s="161"/>
      <c r="R60" s="162"/>
      <c r="S60" s="111">
        <v>1</v>
      </c>
      <c r="T60" s="111"/>
      <c r="U60" s="190" t="s">
        <v>169</v>
      </c>
      <c r="V60" s="191"/>
      <c r="W60" s="192"/>
      <c r="X60" s="124" t="s">
        <v>167</v>
      </c>
      <c r="Y60" s="111" t="s">
        <v>167</v>
      </c>
      <c r="Z60" s="111" t="s">
        <v>167</v>
      </c>
    </row>
    <row r="61" spans="1:26" ht="18" customHeight="1" x14ac:dyDescent="0.2">
      <c r="A61" s="29"/>
      <c r="B61" s="169" t="s">
        <v>227</v>
      </c>
      <c r="C61" s="170"/>
      <c r="D61" s="170"/>
      <c r="E61" s="171"/>
      <c r="F61" s="112">
        <v>1</v>
      </c>
      <c r="G61" s="112"/>
      <c r="H61" s="193" t="s">
        <v>169</v>
      </c>
      <c r="I61" s="194"/>
      <c r="J61" s="195"/>
      <c r="K61" s="112" t="s">
        <v>167</v>
      </c>
      <c r="L61" s="112" t="s">
        <v>167</v>
      </c>
      <c r="M61" s="112" t="s">
        <v>167</v>
      </c>
      <c r="N61" s="169" t="s">
        <v>234</v>
      </c>
      <c r="O61" s="170"/>
      <c r="P61" s="170"/>
      <c r="Q61" s="170"/>
      <c r="R61" s="171"/>
      <c r="S61" s="112">
        <v>1</v>
      </c>
      <c r="T61" s="112"/>
      <c r="U61" s="193" t="s">
        <v>169</v>
      </c>
      <c r="V61" s="194"/>
      <c r="W61" s="195"/>
      <c r="X61" s="122" t="s">
        <v>167</v>
      </c>
      <c r="Y61" s="112" t="s">
        <v>167</v>
      </c>
      <c r="Z61" s="112" t="s">
        <v>167</v>
      </c>
    </row>
    <row r="62" spans="1:26" ht="18" customHeight="1" x14ac:dyDescent="0.2">
      <c r="A62" s="29"/>
      <c r="B62" s="169" t="s">
        <v>228</v>
      </c>
      <c r="C62" s="170"/>
      <c r="D62" s="170"/>
      <c r="E62" s="171"/>
      <c r="F62" s="112">
        <v>1</v>
      </c>
      <c r="G62" s="112"/>
      <c r="H62" s="193" t="s">
        <v>169</v>
      </c>
      <c r="I62" s="194"/>
      <c r="J62" s="195"/>
      <c r="K62" s="112" t="s">
        <v>167</v>
      </c>
      <c r="L62" s="112" t="s">
        <v>167</v>
      </c>
      <c r="M62" s="112" t="s">
        <v>167</v>
      </c>
      <c r="N62" s="169" t="s">
        <v>235</v>
      </c>
      <c r="O62" s="170"/>
      <c r="P62" s="170"/>
      <c r="Q62" s="170"/>
      <c r="R62" s="171"/>
      <c r="S62" s="112">
        <v>1</v>
      </c>
      <c r="T62" s="112"/>
      <c r="U62" s="193" t="s">
        <v>169</v>
      </c>
      <c r="V62" s="194"/>
      <c r="W62" s="195"/>
      <c r="X62" s="122" t="s">
        <v>167</v>
      </c>
      <c r="Y62" s="112" t="s">
        <v>167</v>
      </c>
      <c r="Z62" s="112" t="s">
        <v>167</v>
      </c>
    </row>
    <row r="63" spans="1:26" ht="18" customHeight="1" x14ac:dyDescent="0.2">
      <c r="A63" s="29"/>
      <c r="B63" s="169" t="s">
        <v>229</v>
      </c>
      <c r="C63" s="170"/>
      <c r="D63" s="170"/>
      <c r="E63" s="171"/>
      <c r="F63" s="112">
        <v>1</v>
      </c>
      <c r="G63" s="112"/>
      <c r="H63" s="193" t="s">
        <v>169</v>
      </c>
      <c r="I63" s="194"/>
      <c r="J63" s="195"/>
      <c r="K63" s="112" t="s">
        <v>167</v>
      </c>
      <c r="L63" s="112" t="s">
        <v>167</v>
      </c>
      <c r="M63" s="112" t="s">
        <v>167</v>
      </c>
      <c r="N63" s="169" t="s">
        <v>236</v>
      </c>
      <c r="O63" s="170"/>
      <c r="P63" s="170"/>
      <c r="Q63" s="170"/>
      <c r="R63" s="171"/>
      <c r="S63" s="112">
        <v>1</v>
      </c>
      <c r="T63" s="112"/>
      <c r="U63" s="193" t="s">
        <v>169</v>
      </c>
      <c r="V63" s="194"/>
      <c r="W63" s="195"/>
      <c r="X63" s="122" t="s">
        <v>167</v>
      </c>
      <c r="Y63" s="112" t="s">
        <v>167</v>
      </c>
      <c r="Z63" s="112" t="s">
        <v>167</v>
      </c>
    </row>
    <row r="64" spans="1:26" ht="18" customHeight="1" x14ac:dyDescent="0.2">
      <c r="A64" s="29"/>
      <c r="B64" s="169" t="s">
        <v>230</v>
      </c>
      <c r="C64" s="170"/>
      <c r="D64" s="170"/>
      <c r="E64" s="171"/>
      <c r="F64" s="112">
        <v>1</v>
      </c>
      <c r="G64" s="112"/>
      <c r="H64" s="193" t="s">
        <v>169</v>
      </c>
      <c r="I64" s="194"/>
      <c r="J64" s="195"/>
      <c r="K64" s="122" t="s">
        <v>167</v>
      </c>
      <c r="L64" s="112" t="s">
        <v>167</v>
      </c>
      <c r="M64" s="112" t="s">
        <v>167</v>
      </c>
      <c r="N64" s="169" t="s">
        <v>237</v>
      </c>
      <c r="O64" s="170"/>
      <c r="P64" s="170"/>
      <c r="Q64" s="170"/>
      <c r="R64" s="171"/>
      <c r="S64" s="112">
        <v>1</v>
      </c>
      <c r="T64" s="112"/>
      <c r="U64" s="193" t="s">
        <v>169</v>
      </c>
      <c r="V64" s="194"/>
      <c r="W64" s="195"/>
      <c r="X64" s="122" t="s">
        <v>167</v>
      </c>
      <c r="Y64" s="112" t="s">
        <v>167</v>
      </c>
      <c r="Z64" s="112" t="s">
        <v>167</v>
      </c>
    </row>
    <row r="65" spans="1:26" ht="18" customHeight="1" x14ac:dyDescent="0.2">
      <c r="A65" s="29"/>
      <c r="B65" s="169" t="s">
        <v>231</v>
      </c>
      <c r="C65" s="170"/>
      <c r="D65" s="170"/>
      <c r="E65" s="171"/>
      <c r="F65" s="112">
        <v>1</v>
      </c>
      <c r="G65" s="112"/>
      <c r="H65" s="193" t="s">
        <v>169</v>
      </c>
      <c r="I65" s="194"/>
      <c r="J65" s="195"/>
      <c r="K65" s="122" t="s">
        <v>167</v>
      </c>
      <c r="L65" s="112" t="s">
        <v>167</v>
      </c>
      <c r="M65" s="112" t="s">
        <v>167</v>
      </c>
      <c r="N65" s="169"/>
      <c r="O65" s="170"/>
      <c r="P65" s="170"/>
      <c r="Q65" s="170"/>
      <c r="R65" s="171"/>
      <c r="S65" s="112"/>
      <c r="T65" s="112"/>
      <c r="U65" s="193"/>
      <c r="V65" s="194"/>
      <c r="W65" s="195"/>
      <c r="X65" s="122"/>
      <c r="Y65" s="112"/>
      <c r="Z65" s="112"/>
    </row>
    <row r="66" spans="1:26" ht="18" customHeight="1" x14ac:dyDescent="0.2">
      <c r="A66" s="29"/>
      <c r="B66" s="228" t="s">
        <v>232</v>
      </c>
      <c r="C66" s="229"/>
      <c r="D66" s="229"/>
      <c r="E66" s="230"/>
      <c r="F66" s="113">
        <v>1</v>
      </c>
      <c r="G66" s="113"/>
      <c r="H66" s="202" t="s">
        <v>169</v>
      </c>
      <c r="I66" s="203"/>
      <c r="J66" s="204"/>
      <c r="K66" s="123" t="s">
        <v>167</v>
      </c>
      <c r="L66" s="119" t="s">
        <v>167</v>
      </c>
      <c r="M66" s="119" t="s">
        <v>167</v>
      </c>
      <c r="N66" s="228"/>
      <c r="O66" s="229"/>
      <c r="P66" s="229"/>
      <c r="Q66" s="229"/>
      <c r="R66" s="230"/>
      <c r="S66" s="113"/>
      <c r="T66" s="113"/>
      <c r="U66" s="202"/>
      <c r="V66" s="203"/>
      <c r="W66" s="204"/>
      <c r="X66" s="123"/>
      <c r="Y66" s="119"/>
      <c r="Z66" s="119"/>
    </row>
    <row r="67" spans="1:26" ht="7.5" customHeight="1" x14ac:dyDescent="0.2">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2">
      <c r="A68" s="14" t="s">
        <v>134</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53" t="s">
        <v>98</v>
      </c>
      <c r="C69" s="154"/>
      <c r="D69" s="154"/>
      <c r="E69" s="154"/>
      <c r="F69" s="155"/>
      <c r="G69" s="153" t="s">
        <v>144</v>
      </c>
      <c r="H69" s="154"/>
      <c r="I69" s="154"/>
      <c r="J69" s="154"/>
      <c r="K69" s="154"/>
      <c r="L69" s="154"/>
      <c r="M69" s="155"/>
      <c r="N69" s="234" t="s">
        <v>98</v>
      </c>
      <c r="O69" s="235"/>
      <c r="P69" s="235"/>
      <c r="Q69" s="235"/>
      <c r="R69" s="235"/>
      <c r="S69" s="236"/>
      <c r="T69" s="153" t="s">
        <v>144</v>
      </c>
      <c r="U69" s="154"/>
      <c r="V69" s="154"/>
      <c r="W69" s="154"/>
      <c r="X69" s="154"/>
      <c r="Y69" s="154"/>
      <c r="Z69" s="155"/>
    </row>
    <row r="70" spans="1:26" ht="18" customHeight="1" x14ac:dyDescent="0.2">
      <c r="A70" s="29"/>
      <c r="B70" s="160"/>
      <c r="C70" s="161"/>
      <c r="D70" s="161"/>
      <c r="E70" s="161"/>
      <c r="F70" s="162"/>
      <c r="G70" s="163"/>
      <c r="H70" s="164"/>
      <c r="I70" s="164"/>
      <c r="J70" s="164"/>
      <c r="K70" s="164"/>
      <c r="L70" s="164"/>
      <c r="M70" s="165"/>
      <c r="N70" s="160"/>
      <c r="O70" s="161"/>
      <c r="P70" s="161"/>
      <c r="Q70" s="161"/>
      <c r="R70" s="161"/>
      <c r="S70" s="162"/>
      <c r="T70" s="163"/>
      <c r="U70" s="164"/>
      <c r="V70" s="164"/>
      <c r="W70" s="164"/>
      <c r="X70" s="164"/>
      <c r="Y70" s="164"/>
      <c r="Z70" s="165"/>
    </row>
    <row r="71" spans="1:26" ht="18" customHeight="1" x14ac:dyDescent="0.2">
      <c r="A71" s="29"/>
      <c r="B71" s="169"/>
      <c r="C71" s="170"/>
      <c r="D71" s="170"/>
      <c r="E71" s="170"/>
      <c r="F71" s="171"/>
      <c r="G71" s="172"/>
      <c r="H71" s="173"/>
      <c r="I71" s="173"/>
      <c r="J71" s="173"/>
      <c r="K71" s="173"/>
      <c r="L71" s="173"/>
      <c r="M71" s="174"/>
      <c r="N71" s="169"/>
      <c r="O71" s="170"/>
      <c r="P71" s="170"/>
      <c r="Q71" s="170"/>
      <c r="R71" s="170"/>
      <c r="S71" s="171"/>
      <c r="T71" s="172"/>
      <c r="U71" s="173"/>
      <c r="V71" s="173"/>
      <c r="W71" s="173"/>
      <c r="X71" s="173"/>
      <c r="Y71" s="173"/>
      <c r="Z71" s="174"/>
    </row>
    <row r="72" spans="1:26" ht="18" customHeight="1" x14ac:dyDescent="0.2">
      <c r="A72" s="29"/>
      <c r="B72" s="169"/>
      <c r="C72" s="170"/>
      <c r="D72" s="170"/>
      <c r="E72" s="170"/>
      <c r="F72" s="171"/>
      <c r="G72" s="172"/>
      <c r="H72" s="173"/>
      <c r="I72" s="173"/>
      <c r="J72" s="173"/>
      <c r="K72" s="173"/>
      <c r="L72" s="173"/>
      <c r="M72" s="174"/>
      <c r="N72" s="169"/>
      <c r="O72" s="170"/>
      <c r="P72" s="170"/>
      <c r="Q72" s="170"/>
      <c r="R72" s="170"/>
      <c r="S72" s="171"/>
      <c r="T72" s="172"/>
      <c r="U72" s="173"/>
      <c r="V72" s="173"/>
      <c r="W72" s="173"/>
      <c r="X72" s="173"/>
      <c r="Y72" s="173"/>
      <c r="Z72" s="174"/>
    </row>
    <row r="73" spans="1:26" ht="18" customHeight="1" x14ac:dyDescent="0.2">
      <c r="A73" s="29"/>
      <c r="B73" s="169"/>
      <c r="C73" s="170"/>
      <c r="D73" s="170"/>
      <c r="E73" s="170"/>
      <c r="F73" s="171"/>
      <c r="G73" s="172"/>
      <c r="H73" s="173"/>
      <c r="I73" s="173"/>
      <c r="J73" s="173"/>
      <c r="K73" s="173"/>
      <c r="L73" s="173"/>
      <c r="M73" s="174"/>
      <c r="N73" s="169"/>
      <c r="O73" s="170"/>
      <c r="P73" s="170"/>
      <c r="Q73" s="170"/>
      <c r="R73" s="170"/>
      <c r="S73" s="171"/>
      <c r="T73" s="172"/>
      <c r="U73" s="173"/>
      <c r="V73" s="173"/>
      <c r="W73" s="173"/>
      <c r="X73" s="173"/>
      <c r="Y73" s="173"/>
      <c r="Z73" s="174"/>
    </row>
    <row r="74" spans="1:26" ht="18" customHeight="1" x14ac:dyDescent="0.2">
      <c r="A74" s="29"/>
      <c r="B74" s="169"/>
      <c r="C74" s="170"/>
      <c r="D74" s="170"/>
      <c r="E74" s="170"/>
      <c r="F74" s="171"/>
      <c r="G74" s="172"/>
      <c r="H74" s="173"/>
      <c r="I74" s="173"/>
      <c r="J74" s="173"/>
      <c r="K74" s="173"/>
      <c r="L74" s="173"/>
      <c r="M74" s="174"/>
      <c r="N74" s="169"/>
      <c r="O74" s="170"/>
      <c r="P74" s="170"/>
      <c r="Q74" s="170"/>
      <c r="R74" s="170"/>
      <c r="S74" s="171"/>
      <c r="T74" s="172"/>
      <c r="U74" s="173"/>
      <c r="V74" s="173"/>
      <c r="W74" s="173"/>
      <c r="X74" s="173"/>
      <c r="Y74" s="173"/>
      <c r="Z74" s="174"/>
    </row>
    <row r="75" spans="1:26" ht="18" customHeight="1" x14ac:dyDescent="0.2">
      <c r="A75" s="29"/>
      <c r="B75" s="169"/>
      <c r="C75" s="170"/>
      <c r="D75" s="170"/>
      <c r="E75" s="170"/>
      <c r="F75" s="171"/>
      <c r="G75" s="172"/>
      <c r="H75" s="173"/>
      <c r="I75" s="173"/>
      <c r="J75" s="173"/>
      <c r="K75" s="173"/>
      <c r="L75" s="173"/>
      <c r="M75" s="174"/>
      <c r="N75" s="169"/>
      <c r="O75" s="170"/>
      <c r="P75" s="170"/>
      <c r="Q75" s="170"/>
      <c r="R75" s="170"/>
      <c r="S75" s="171"/>
      <c r="T75" s="172"/>
      <c r="U75" s="173"/>
      <c r="V75" s="173"/>
      <c r="W75" s="173"/>
      <c r="X75" s="173"/>
      <c r="Y75" s="173"/>
      <c r="Z75" s="174"/>
    </row>
    <row r="76" spans="1:26" ht="18" customHeight="1" x14ac:dyDescent="0.2">
      <c r="A76" s="29"/>
      <c r="B76" s="228"/>
      <c r="C76" s="229"/>
      <c r="D76" s="229"/>
      <c r="E76" s="229"/>
      <c r="F76" s="230"/>
      <c r="G76" s="231"/>
      <c r="H76" s="232"/>
      <c r="I76" s="232"/>
      <c r="J76" s="232"/>
      <c r="K76" s="232"/>
      <c r="L76" s="232"/>
      <c r="M76" s="233"/>
      <c r="N76" s="228"/>
      <c r="O76" s="229"/>
      <c r="P76" s="229"/>
      <c r="Q76" s="229"/>
      <c r="R76" s="229"/>
      <c r="S76" s="230"/>
      <c r="T76" s="231"/>
      <c r="U76" s="232"/>
      <c r="V76" s="232"/>
      <c r="W76" s="232"/>
      <c r="X76" s="232"/>
      <c r="Y76" s="232"/>
      <c r="Z76" s="233"/>
    </row>
    <row r="77" spans="1:26" ht="18" customHeight="1" x14ac:dyDescent="0.2">
      <c r="A77" s="29"/>
      <c r="B77" s="121"/>
      <c r="C77" s="121"/>
      <c r="D77" s="121"/>
      <c r="E77" s="121"/>
      <c r="F77" s="121"/>
      <c r="G77" s="12"/>
      <c r="H77" s="12"/>
      <c r="I77" s="12"/>
      <c r="J77" s="12"/>
      <c r="K77" s="12"/>
      <c r="L77" s="12"/>
      <c r="M77" s="12"/>
      <c r="N77" s="121"/>
      <c r="O77" s="121"/>
      <c r="P77" s="121"/>
      <c r="Q77" s="121"/>
      <c r="R77" s="121"/>
      <c r="S77" s="121"/>
      <c r="T77" s="12"/>
      <c r="U77" s="12"/>
      <c r="V77" s="12"/>
      <c r="W77" s="12"/>
      <c r="X77" s="12"/>
      <c r="Y77" s="12"/>
      <c r="Z77" s="12"/>
    </row>
    <row r="78" spans="1:26" ht="18.75" customHeight="1" x14ac:dyDescent="0.2">
      <c r="A78" s="13" t="s">
        <v>140</v>
      </c>
    </row>
    <row r="79" spans="1:26" ht="18.75" customHeight="1" x14ac:dyDescent="0.2">
      <c r="B79" s="76" t="s">
        <v>100</v>
      </c>
      <c r="C79" s="77"/>
      <c r="D79" s="188" t="s">
        <v>101</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78" customHeight="1" x14ac:dyDescent="0.2">
      <c r="B80" s="177" t="s">
        <v>107</v>
      </c>
      <c r="C80" s="83" t="s">
        <v>102</v>
      </c>
      <c r="D80" s="184" t="s">
        <v>173</v>
      </c>
      <c r="E80" s="184"/>
      <c r="F80" s="184"/>
      <c r="G80" s="184"/>
      <c r="H80" s="184"/>
      <c r="I80" s="184"/>
      <c r="J80" s="184"/>
      <c r="K80" s="184"/>
      <c r="L80" s="184"/>
      <c r="M80" s="184"/>
      <c r="N80" s="184"/>
      <c r="O80" s="184"/>
      <c r="P80" s="184"/>
      <c r="Q80" s="184"/>
      <c r="R80" s="184"/>
      <c r="S80" s="184"/>
      <c r="T80" s="184"/>
      <c r="U80" s="184"/>
      <c r="V80" s="184"/>
      <c r="W80" s="184"/>
      <c r="X80" s="184"/>
      <c r="Y80" s="184"/>
      <c r="Z80" s="185"/>
    </row>
    <row r="81" spans="1:26" ht="78" customHeight="1" x14ac:dyDescent="0.2">
      <c r="B81" s="178"/>
      <c r="C81" s="108" t="s">
        <v>135</v>
      </c>
      <c r="D81" s="220" t="s">
        <v>174</v>
      </c>
      <c r="E81" s="220"/>
      <c r="F81" s="220"/>
      <c r="G81" s="220"/>
      <c r="H81" s="220"/>
      <c r="I81" s="220"/>
      <c r="J81" s="220"/>
      <c r="K81" s="220"/>
      <c r="L81" s="220"/>
      <c r="M81" s="220"/>
      <c r="N81" s="220"/>
      <c r="O81" s="220"/>
      <c r="P81" s="220"/>
      <c r="Q81" s="220"/>
      <c r="R81" s="220"/>
      <c r="S81" s="220"/>
      <c r="T81" s="220"/>
      <c r="U81" s="220"/>
      <c r="V81" s="220"/>
      <c r="W81" s="220"/>
      <c r="X81" s="220"/>
      <c r="Y81" s="220"/>
      <c r="Z81" s="221"/>
    </row>
    <row r="82" spans="1:26" ht="78" customHeight="1" x14ac:dyDescent="0.2">
      <c r="B82" s="175" t="s">
        <v>108</v>
      </c>
      <c r="C82" s="78" t="s">
        <v>125</v>
      </c>
      <c r="D82" s="222" t="s">
        <v>175</v>
      </c>
      <c r="E82" s="222"/>
      <c r="F82" s="222"/>
      <c r="G82" s="222"/>
      <c r="H82" s="222"/>
      <c r="I82" s="222"/>
      <c r="J82" s="222"/>
      <c r="K82" s="222"/>
      <c r="L82" s="222"/>
      <c r="M82" s="222"/>
      <c r="N82" s="222"/>
      <c r="O82" s="222"/>
      <c r="P82" s="222"/>
      <c r="Q82" s="222"/>
      <c r="R82" s="222"/>
      <c r="S82" s="222"/>
      <c r="T82" s="222"/>
      <c r="U82" s="222"/>
      <c r="V82" s="222"/>
      <c r="W82" s="222"/>
      <c r="X82" s="222"/>
      <c r="Y82" s="222"/>
      <c r="Z82" s="223"/>
    </row>
    <row r="83" spans="1:26" ht="78" customHeight="1" x14ac:dyDescent="0.2">
      <c r="B83" s="176"/>
      <c r="C83" s="109" t="s">
        <v>126</v>
      </c>
      <c r="D83" s="226" t="s">
        <v>176</v>
      </c>
      <c r="E83" s="226"/>
      <c r="F83" s="226"/>
      <c r="G83" s="226"/>
      <c r="H83" s="226"/>
      <c r="I83" s="226"/>
      <c r="J83" s="226"/>
      <c r="K83" s="226"/>
      <c r="L83" s="226"/>
      <c r="M83" s="226"/>
      <c r="N83" s="226"/>
      <c r="O83" s="226"/>
      <c r="P83" s="226"/>
      <c r="Q83" s="226"/>
      <c r="R83" s="226"/>
      <c r="S83" s="226"/>
      <c r="T83" s="226"/>
      <c r="U83" s="226"/>
      <c r="V83" s="226"/>
      <c r="W83" s="226"/>
      <c r="X83" s="226"/>
      <c r="Y83" s="226"/>
      <c r="Z83" s="227"/>
    </row>
    <row r="84" spans="1:26" ht="66" customHeight="1" x14ac:dyDescent="0.2">
      <c r="B84" s="175" t="s">
        <v>109</v>
      </c>
      <c r="C84" s="78" t="s">
        <v>128</v>
      </c>
      <c r="D84" s="222" t="s">
        <v>215</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66" customHeight="1" x14ac:dyDescent="0.2">
      <c r="B85" s="176"/>
      <c r="C85" s="80" t="s">
        <v>129</v>
      </c>
      <c r="D85" s="224" t="s">
        <v>216</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66" customHeight="1" x14ac:dyDescent="0.2">
      <c r="B86" s="177" t="s">
        <v>136</v>
      </c>
      <c r="C86" s="83" t="s">
        <v>104</v>
      </c>
      <c r="D86" s="184" t="s">
        <v>177</v>
      </c>
      <c r="E86" s="184"/>
      <c r="F86" s="184"/>
      <c r="G86" s="184"/>
      <c r="H86" s="184"/>
      <c r="I86" s="184"/>
      <c r="J86" s="184"/>
      <c r="K86" s="184"/>
      <c r="L86" s="184"/>
      <c r="M86" s="184"/>
      <c r="N86" s="184"/>
      <c r="O86" s="184"/>
      <c r="P86" s="184"/>
      <c r="Q86" s="184"/>
      <c r="R86" s="184"/>
      <c r="S86" s="184"/>
      <c r="T86" s="184"/>
      <c r="U86" s="184"/>
      <c r="V86" s="184"/>
      <c r="W86" s="184"/>
      <c r="X86" s="184"/>
      <c r="Y86" s="184"/>
      <c r="Z86" s="185"/>
    </row>
    <row r="87" spans="1:26" ht="66" customHeight="1" x14ac:dyDescent="0.2">
      <c r="B87" s="183"/>
      <c r="C87" s="79" t="s">
        <v>106</v>
      </c>
      <c r="D87" s="186" t="s">
        <v>178</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100.2" customHeight="1" x14ac:dyDescent="0.2">
      <c r="B88" s="177" t="s">
        <v>137</v>
      </c>
      <c r="C88" s="78" t="s">
        <v>103</v>
      </c>
      <c r="D88" s="179" t="s">
        <v>179</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66" customHeight="1" x14ac:dyDescent="0.2">
      <c r="B89" s="178"/>
      <c r="C89" s="79" t="s">
        <v>132</v>
      </c>
      <c r="D89" s="166" t="s">
        <v>224</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55.2" customHeight="1" x14ac:dyDescent="0.2">
      <c r="B90" s="176"/>
      <c r="C90" s="80" t="s">
        <v>133</v>
      </c>
      <c r="D90" s="181" t="s">
        <v>180</v>
      </c>
      <c r="E90" s="181"/>
      <c r="F90" s="181"/>
      <c r="G90" s="181"/>
      <c r="H90" s="181"/>
      <c r="I90" s="181"/>
      <c r="J90" s="181"/>
      <c r="K90" s="181"/>
      <c r="L90" s="181"/>
      <c r="M90" s="181"/>
      <c r="N90" s="181"/>
      <c r="O90" s="181"/>
      <c r="P90" s="181"/>
      <c r="Q90" s="181"/>
      <c r="R90" s="181"/>
      <c r="S90" s="181"/>
      <c r="T90" s="181"/>
      <c r="U90" s="181"/>
      <c r="V90" s="181"/>
      <c r="W90" s="181"/>
      <c r="X90" s="181"/>
      <c r="Y90" s="181"/>
      <c r="Z90" s="182"/>
    </row>
    <row r="91" spans="1:26" ht="6" customHeight="1" x14ac:dyDescent="0.2"/>
    <row r="92" spans="1:26" ht="18.75" customHeight="1" x14ac:dyDescent="0.2">
      <c r="A92" s="13" t="s">
        <v>141</v>
      </c>
    </row>
    <row r="93" spans="1:26" ht="18.75" customHeight="1" x14ac:dyDescent="0.2">
      <c r="B93" s="237" t="s">
        <v>181</v>
      </c>
      <c r="C93" s="238"/>
      <c r="D93" s="238"/>
      <c r="E93" s="238"/>
      <c r="F93" s="238"/>
      <c r="G93" s="238"/>
      <c r="H93" s="238"/>
      <c r="I93" s="238"/>
      <c r="J93" s="238"/>
      <c r="K93" s="238"/>
      <c r="L93" s="238"/>
      <c r="M93" s="238"/>
      <c r="N93" s="238"/>
      <c r="O93" s="238"/>
      <c r="P93" s="238"/>
      <c r="Q93" s="238"/>
      <c r="R93" s="238"/>
      <c r="S93" s="238"/>
      <c r="T93" s="238"/>
      <c r="U93" s="238"/>
      <c r="V93" s="238"/>
      <c r="W93" s="238"/>
      <c r="X93" s="238"/>
      <c r="Y93" s="238"/>
      <c r="Z93" s="239"/>
    </row>
    <row r="94" spans="1:26" ht="18.75" customHeight="1" x14ac:dyDescent="0.2">
      <c r="B94" s="240"/>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2"/>
    </row>
    <row r="95" spans="1:26" ht="18.75" customHeight="1" x14ac:dyDescent="0.2">
      <c r="B95" s="243"/>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5"/>
    </row>
    <row r="96" spans="1:26" ht="6" customHeight="1" x14ac:dyDescent="0.2"/>
    <row r="97" spans="1:26" ht="15" customHeight="1" x14ac:dyDescent="0.2">
      <c r="A97" s="13" t="s">
        <v>142</v>
      </c>
    </row>
    <row r="98" spans="1:26" ht="15" customHeight="1" x14ac:dyDescent="0.2">
      <c r="B98" s="246" t="s">
        <v>182</v>
      </c>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Y16:Z22 H16:H22 Y27:Z33 H27:H33 H38:H44 Y38:Z44 H49:H55 Y49:Z55 Y60:Z66 G60:G66 T60:T66 U16:U22 L16:M22 U27:U33 L27:M33 U38:U44 L38:M44 U49:U55 L49:M55 L60:M66 K60:K63">
      <formula1>"○"</formula1>
    </dataValidation>
  </dataValidations>
  <printOptions horizontalCentered="1"/>
  <pageMargins left="0.78740157480314965" right="0.78740157480314965" top="0.59055118110236227" bottom="0.19685039370078741" header="0.31496062992125984" footer="0.19685039370078741"/>
  <pageSetup paperSize="9" scale="95" orientation="landscape" r:id="rId1"/>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E16" sqref="E16"/>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50" t="s">
        <v>61</v>
      </c>
      <c r="G1" s="250"/>
      <c r="H1" s="250"/>
      <c r="I1" s="250"/>
      <c r="J1" s="250"/>
      <c r="K1" s="250"/>
      <c r="L1" s="250"/>
      <c r="M1" s="250"/>
      <c r="N1" s="250"/>
      <c r="O1" s="250"/>
      <c r="P1" s="250"/>
      <c r="Q1" s="250"/>
      <c r="R1" s="250"/>
    </row>
    <row r="2" spans="1:20" ht="18" customHeight="1" x14ac:dyDescent="0.2">
      <c r="A2" s="251" t="s">
        <v>87</v>
      </c>
      <c r="B2" s="251"/>
      <c r="C2" s="251"/>
      <c r="D2" s="251"/>
      <c r="E2" s="251"/>
      <c r="F2" s="251"/>
      <c r="G2" s="251"/>
      <c r="H2" s="251"/>
      <c r="I2" s="251"/>
      <c r="J2" s="251"/>
      <c r="K2" s="251"/>
      <c r="L2" s="251"/>
      <c r="M2" s="251"/>
      <c r="N2" s="251"/>
      <c r="O2" s="251"/>
      <c r="P2" s="251"/>
      <c r="Q2" s="251"/>
      <c r="R2" s="251"/>
      <c r="S2" s="4"/>
    </row>
    <row r="3" spans="1:20" ht="7.5" customHeight="1" x14ac:dyDescent="0.2">
      <c r="A3" s="36"/>
      <c r="B3" s="36"/>
      <c r="C3" s="36"/>
      <c r="D3" s="36"/>
      <c r="E3" s="36"/>
      <c r="F3" s="36"/>
      <c r="G3" s="36"/>
      <c r="H3" s="36"/>
      <c r="I3" s="36"/>
      <c r="J3" s="36"/>
      <c r="K3" s="36"/>
      <c r="L3" s="36"/>
      <c r="M3" s="36"/>
      <c r="N3" s="36"/>
      <c r="O3" s="36"/>
      <c r="P3" s="36"/>
      <c r="Q3" s="36"/>
      <c r="R3" s="36"/>
    </row>
    <row r="4" spans="1:20" ht="18" customHeight="1" x14ac:dyDescent="0.2">
      <c r="A4" s="4" t="s">
        <v>145</v>
      </c>
      <c r="B4" s="4"/>
      <c r="C4" s="252" t="str">
        <f>'様式１　大学等概要'!E12</f>
        <v>令和３</v>
      </c>
      <c r="D4" s="253"/>
      <c r="E4" s="36" t="s">
        <v>111</v>
      </c>
      <c r="F4" s="36"/>
      <c r="G4" s="36"/>
      <c r="H4" s="36"/>
      <c r="I4" s="36"/>
      <c r="J4" s="84"/>
      <c r="K4" s="36"/>
      <c r="L4" s="36"/>
      <c r="M4" s="114"/>
      <c r="N4" s="114"/>
      <c r="O4" s="114"/>
      <c r="P4" s="114"/>
      <c r="Q4" s="114"/>
      <c r="R4" s="114"/>
    </row>
    <row r="5" spans="1:20" ht="6" customHeight="1" x14ac:dyDescent="0.2">
      <c r="A5" s="36"/>
      <c r="B5" s="36"/>
      <c r="C5" s="36"/>
      <c r="D5" s="36"/>
      <c r="E5" s="36"/>
      <c r="F5" s="36"/>
      <c r="G5" s="36"/>
      <c r="H5" s="36"/>
      <c r="I5" s="36"/>
      <c r="J5" s="36"/>
      <c r="K5" s="36"/>
      <c r="L5" s="36"/>
      <c r="M5" s="36"/>
      <c r="N5" s="36"/>
      <c r="O5" s="36"/>
      <c r="P5" s="36"/>
      <c r="Q5" s="36"/>
      <c r="R5" s="36"/>
    </row>
    <row r="6" spans="1:20" ht="18" customHeight="1" x14ac:dyDescent="0.2">
      <c r="A6" s="4" t="s">
        <v>143</v>
      </c>
      <c r="B6" s="36"/>
      <c r="C6" s="36"/>
      <c r="D6" s="36"/>
      <c r="E6" s="36"/>
      <c r="F6" s="36"/>
      <c r="G6" s="36"/>
      <c r="H6" s="36"/>
      <c r="I6" s="36"/>
      <c r="J6" s="36"/>
      <c r="K6" s="36"/>
      <c r="L6" s="36"/>
      <c r="M6" s="36"/>
      <c r="N6" s="36"/>
      <c r="O6" s="36"/>
      <c r="P6" s="36"/>
      <c r="Q6" s="36"/>
      <c r="R6" s="36"/>
    </row>
    <row r="7" spans="1:20" ht="6" customHeight="1" x14ac:dyDescent="0.2">
      <c r="A7" s="4"/>
      <c r="B7" s="36"/>
      <c r="C7" s="36"/>
      <c r="D7" s="36"/>
      <c r="E7" s="36"/>
      <c r="F7" s="36"/>
      <c r="G7" s="36"/>
      <c r="H7" s="36"/>
      <c r="I7" s="36"/>
      <c r="J7" s="36"/>
      <c r="K7" s="36"/>
      <c r="L7" s="36"/>
      <c r="M7" s="36"/>
      <c r="N7" s="36"/>
      <c r="O7" s="36"/>
      <c r="P7" s="36"/>
      <c r="Q7" s="36"/>
      <c r="R7" s="36"/>
    </row>
    <row r="8" spans="1:20" ht="18" customHeight="1" x14ac:dyDescent="0.2">
      <c r="B8" s="254" t="s">
        <v>77</v>
      </c>
      <c r="C8" s="256" t="s">
        <v>82</v>
      </c>
      <c r="D8" s="258" t="s">
        <v>66</v>
      </c>
      <c r="E8" s="260" t="s">
        <v>88</v>
      </c>
      <c r="F8" s="260"/>
      <c r="G8" s="260" t="s">
        <v>89</v>
      </c>
      <c r="H8" s="260"/>
      <c r="I8" s="260" t="s">
        <v>90</v>
      </c>
      <c r="J8" s="260"/>
      <c r="K8" s="261" t="s">
        <v>91</v>
      </c>
      <c r="L8" s="262"/>
      <c r="M8" s="261" t="s">
        <v>92</v>
      </c>
      <c r="N8" s="262"/>
      <c r="O8" s="261" t="s">
        <v>93</v>
      </c>
      <c r="P8" s="262"/>
      <c r="Q8" s="263" t="s">
        <v>60</v>
      </c>
      <c r="R8" s="265" t="s">
        <v>54</v>
      </c>
      <c r="T8" s="32"/>
    </row>
    <row r="9" spans="1:20" ht="18" customHeight="1" x14ac:dyDescent="0.2">
      <c r="A9" s="4"/>
      <c r="B9" s="255"/>
      <c r="C9" s="257"/>
      <c r="D9" s="259"/>
      <c r="E9" s="41" t="s">
        <v>44</v>
      </c>
      <c r="F9" s="42" t="s">
        <v>43</v>
      </c>
      <c r="G9" s="43" t="s">
        <v>44</v>
      </c>
      <c r="H9" s="44" t="s">
        <v>43</v>
      </c>
      <c r="I9" s="41" t="s">
        <v>44</v>
      </c>
      <c r="J9" s="42" t="s">
        <v>43</v>
      </c>
      <c r="K9" s="43" t="s">
        <v>44</v>
      </c>
      <c r="L9" s="44" t="s">
        <v>43</v>
      </c>
      <c r="M9" s="41" t="s">
        <v>44</v>
      </c>
      <c r="N9" s="42" t="s">
        <v>43</v>
      </c>
      <c r="O9" s="43" t="s">
        <v>44</v>
      </c>
      <c r="P9" s="44" t="s">
        <v>43</v>
      </c>
      <c r="Q9" s="264"/>
      <c r="R9" s="266"/>
      <c r="T9" s="32"/>
    </row>
    <row r="10" spans="1:20" ht="18" customHeight="1" x14ac:dyDescent="0.2">
      <c r="A10" s="45"/>
      <c r="B10" s="85" t="s">
        <v>183</v>
      </c>
      <c r="C10" s="45">
        <v>120</v>
      </c>
      <c r="D10" s="46">
        <v>480</v>
      </c>
      <c r="E10" s="47">
        <v>138</v>
      </c>
      <c r="F10" s="48">
        <v>16</v>
      </c>
      <c r="G10" s="49"/>
      <c r="H10" s="50"/>
      <c r="I10" s="47"/>
      <c r="J10" s="48"/>
      <c r="K10" s="49"/>
      <c r="L10" s="50"/>
      <c r="M10" s="47"/>
      <c r="N10" s="48"/>
      <c r="O10" s="49"/>
      <c r="P10" s="50"/>
      <c r="Q10" s="51">
        <f>E10+G10+I10+K10+M10+O10</f>
        <v>138</v>
      </c>
      <c r="R10" s="52">
        <f>Q10/D10</f>
        <v>0.28749999999999998</v>
      </c>
    </row>
    <row r="11" spans="1:20" ht="18" customHeight="1" x14ac:dyDescent="0.2">
      <c r="A11" s="45"/>
      <c r="B11" s="86" t="s">
        <v>184</v>
      </c>
      <c r="C11" s="61">
        <v>210</v>
      </c>
      <c r="D11" s="54">
        <v>840</v>
      </c>
      <c r="E11" s="55">
        <v>99</v>
      </c>
      <c r="F11" s="56">
        <v>8</v>
      </c>
      <c r="G11" s="57"/>
      <c r="H11" s="58"/>
      <c r="I11" s="55"/>
      <c r="J11" s="56"/>
      <c r="K11" s="57"/>
      <c r="L11" s="58"/>
      <c r="M11" s="55"/>
      <c r="N11" s="56"/>
      <c r="O11" s="57"/>
      <c r="P11" s="58"/>
      <c r="Q11" s="59">
        <f t="shared" ref="Q11:Q29" si="0">E11+G11+I11+K11+M11+O11</f>
        <v>99</v>
      </c>
      <c r="R11" s="60">
        <f t="shared" ref="R11:R29" si="1">Q11/D11</f>
        <v>0.11785714285714285</v>
      </c>
    </row>
    <row r="12" spans="1:20" ht="18" customHeight="1" x14ac:dyDescent="0.2">
      <c r="A12" s="45"/>
      <c r="B12" s="86" t="s">
        <v>185</v>
      </c>
      <c r="C12" s="61">
        <v>230</v>
      </c>
      <c r="D12" s="54">
        <v>1221</v>
      </c>
      <c r="E12" s="55">
        <v>14</v>
      </c>
      <c r="F12" s="56">
        <v>0</v>
      </c>
      <c r="G12" s="57"/>
      <c r="H12" s="58"/>
      <c r="I12" s="55"/>
      <c r="J12" s="56"/>
      <c r="K12" s="57"/>
      <c r="L12" s="58"/>
      <c r="M12" s="55"/>
      <c r="N12" s="56"/>
      <c r="O12" s="57"/>
      <c r="P12" s="58"/>
      <c r="Q12" s="59">
        <f t="shared" si="0"/>
        <v>14</v>
      </c>
      <c r="R12" s="60">
        <f t="shared" si="1"/>
        <v>1.1466011466011465E-2</v>
      </c>
    </row>
    <row r="13" spans="1:20" ht="18" customHeight="1" x14ac:dyDescent="0.2">
      <c r="A13" s="45"/>
      <c r="B13" s="86" t="s">
        <v>186</v>
      </c>
      <c r="C13" s="61">
        <v>395</v>
      </c>
      <c r="D13" s="54">
        <v>1604</v>
      </c>
      <c r="E13" s="55">
        <v>518</v>
      </c>
      <c r="F13" s="56">
        <v>80</v>
      </c>
      <c r="G13" s="57"/>
      <c r="H13" s="58"/>
      <c r="I13" s="55"/>
      <c r="J13" s="56"/>
      <c r="K13" s="57"/>
      <c r="L13" s="58"/>
      <c r="M13" s="55"/>
      <c r="N13" s="56"/>
      <c r="O13" s="57"/>
      <c r="P13" s="58"/>
      <c r="Q13" s="59">
        <f t="shared" si="0"/>
        <v>518</v>
      </c>
      <c r="R13" s="60">
        <f t="shared" si="1"/>
        <v>0.32294264339152118</v>
      </c>
    </row>
    <row r="14" spans="1:20" ht="18" customHeight="1" x14ac:dyDescent="0.2">
      <c r="A14" s="45"/>
      <c r="B14" s="86"/>
      <c r="C14" s="61"/>
      <c r="D14" s="54"/>
      <c r="E14" s="55"/>
      <c r="F14" s="56"/>
      <c r="G14" s="57"/>
      <c r="H14" s="58"/>
      <c r="I14" s="55"/>
      <c r="J14" s="56"/>
      <c r="K14" s="57"/>
      <c r="L14" s="58"/>
      <c r="M14" s="55"/>
      <c r="N14" s="56"/>
      <c r="O14" s="57"/>
      <c r="P14" s="58"/>
      <c r="Q14" s="59">
        <f t="shared" si="0"/>
        <v>0</v>
      </c>
      <c r="R14" s="60" t="e">
        <f t="shared" si="1"/>
        <v>#DIV/0!</v>
      </c>
    </row>
    <row r="15" spans="1:20" ht="18" customHeight="1" x14ac:dyDescent="0.2">
      <c r="A15" s="45"/>
      <c r="B15" s="86"/>
      <c r="C15" s="61"/>
      <c r="D15" s="54"/>
      <c r="E15" s="55"/>
      <c r="F15" s="56"/>
      <c r="G15" s="57"/>
      <c r="H15" s="58"/>
      <c r="I15" s="55"/>
      <c r="J15" s="56"/>
      <c r="K15" s="57"/>
      <c r="L15" s="58"/>
      <c r="M15" s="55"/>
      <c r="N15" s="56"/>
      <c r="O15" s="57"/>
      <c r="P15" s="58"/>
      <c r="Q15" s="59">
        <f t="shared" si="0"/>
        <v>0</v>
      </c>
      <c r="R15" s="60" t="e">
        <f t="shared" si="1"/>
        <v>#DIV/0!</v>
      </c>
    </row>
    <row r="16" spans="1:20" ht="18" customHeight="1" x14ac:dyDescent="0.2">
      <c r="A16" s="45"/>
      <c r="B16" s="86"/>
      <c r="C16" s="61"/>
      <c r="D16" s="54"/>
      <c r="E16" s="55"/>
      <c r="F16" s="56"/>
      <c r="G16" s="57"/>
      <c r="H16" s="58"/>
      <c r="I16" s="55"/>
      <c r="J16" s="56"/>
      <c r="K16" s="57"/>
      <c r="L16" s="58"/>
      <c r="M16" s="55"/>
      <c r="N16" s="56"/>
      <c r="O16" s="57"/>
      <c r="P16" s="58"/>
      <c r="Q16" s="59">
        <f t="shared" si="0"/>
        <v>0</v>
      </c>
      <c r="R16" s="60" t="e">
        <f t="shared" si="1"/>
        <v>#DIV/0!</v>
      </c>
    </row>
    <row r="17" spans="1:18" ht="18" customHeight="1" x14ac:dyDescent="0.2">
      <c r="A17" s="45"/>
      <c r="B17" s="86"/>
      <c r="C17" s="61"/>
      <c r="D17" s="54"/>
      <c r="E17" s="55"/>
      <c r="F17" s="56"/>
      <c r="G17" s="57"/>
      <c r="H17" s="58"/>
      <c r="I17" s="55"/>
      <c r="J17" s="56"/>
      <c r="K17" s="57"/>
      <c r="L17" s="58"/>
      <c r="M17" s="55"/>
      <c r="N17" s="56"/>
      <c r="O17" s="57"/>
      <c r="P17" s="58"/>
      <c r="Q17" s="59">
        <f t="shared" si="0"/>
        <v>0</v>
      </c>
      <c r="R17" s="60" t="e">
        <f t="shared" si="1"/>
        <v>#DIV/0!</v>
      </c>
    </row>
    <row r="18" spans="1:18" ht="18" customHeight="1" x14ac:dyDescent="0.2">
      <c r="A18" s="45"/>
      <c r="B18" s="86"/>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2">
      <c r="A19" s="45"/>
      <c r="B19" s="86"/>
      <c r="C19" s="61"/>
      <c r="D19" s="54"/>
      <c r="E19" s="55"/>
      <c r="F19" s="56"/>
      <c r="G19" s="57"/>
      <c r="H19" s="58"/>
      <c r="I19" s="55"/>
      <c r="J19" s="56"/>
      <c r="K19" s="57"/>
      <c r="L19" s="58"/>
      <c r="M19" s="55"/>
      <c r="N19" s="56"/>
      <c r="O19" s="57"/>
      <c r="P19" s="58"/>
      <c r="Q19" s="59">
        <f t="shared" si="0"/>
        <v>0</v>
      </c>
      <c r="R19" s="60" t="e">
        <f t="shared" si="1"/>
        <v>#DIV/0!</v>
      </c>
    </row>
    <row r="20" spans="1:18" ht="18" customHeight="1" x14ac:dyDescent="0.2">
      <c r="A20" s="45"/>
      <c r="B20" s="86"/>
      <c r="C20" s="61"/>
      <c r="D20" s="54"/>
      <c r="E20" s="55"/>
      <c r="F20" s="56"/>
      <c r="G20" s="57"/>
      <c r="H20" s="58"/>
      <c r="I20" s="55"/>
      <c r="J20" s="56"/>
      <c r="K20" s="57"/>
      <c r="L20" s="58"/>
      <c r="M20" s="55"/>
      <c r="N20" s="56"/>
      <c r="O20" s="57"/>
      <c r="P20" s="58"/>
      <c r="Q20" s="59">
        <f t="shared" si="0"/>
        <v>0</v>
      </c>
      <c r="R20" s="60" t="e">
        <f t="shared" si="1"/>
        <v>#DIV/0!</v>
      </c>
    </row>
    <row r="21" spans="1:18" ht="18" customHeight="1" x14ac:dyDescent="0.2">
      <c r="A21" s="45"/>
      <c r="B21" s="86"/>
      <c r="C21" s="61"/>
      <c r="D21" s="54"/>
      <c r="E21" s="55"/>
      <c r="F21" s="56"/>
      <c r="G21" s="57"/>
      <c r="H21" s="58"/>
      <c r="I21" s="55"/>
      <c r="J21" s="56"/>
      <c r="K21" s="57"/>
      <c r="L21" s="58"/>
      <c r="M21" s="55"/>
      <c r="N21" s="56"/>
      <c r="O21" s="57"/>
      <c r="P21" s="58"/>
      <c r="Q21" s="59">
        <f t="shared" si="0"/>
        <v>0</v>
      </c>
      <c r="R21" s="60" t="e">
        <f t="shared" si="1"/>
        <v>#DIV/0!</v>
      </c>
    </row>
    <row r="22" spans="1:18" ht="18" customHeight="1" x14ac:dyDescent="0.2">
      <c r="A22" s="45"/>
      <c r="B22" s="86"/>
      <c r="C22" s="61"/>
      <c r="D22" s="54"/>
      <c r="E22" s="55"/>
      <c r="F22" s="56"/>
      <c r="G22" s="57"/>
      <c r="H22" s="58"/>
      <c r="I22" s="55"/>
      <c r="J22" s="56"/>
      <c r="K22" s="57"/>
      <c r="L22" s="58"/>
      <c r="M22" s="55"/>
      <c r="N22" s="56"/>
      <c r="O22" s="57"/>
      <c r="P22" s="58"/>
      <c r="Q22" s="59">
        <f t="shared" si="0"/>
        <v>0</v>
      </c>
      <c r="R22" s="60" t="e">
        <f t="shared" si="1"/>
        <v>#DIV/0!</v>
      </c>
    </row>
    <row r="23" spans="1:18" ht="18" customHeight="1" x14ac:dyDescent="0.2">
      <c r="A23" s="45"/>
      <c r="B23" s="86"/>
      <c r="C23" s="61"/>
      <c r="D23" s="54"/>
      <c r="E23" s="55"/>
      <c r="F23" s="56"/>
      <c r="G23" s="57"/>
      <c r="H23" s="58"/>
      <c r="I23" s="55"/>
      <c r="J23" s="56"/>
      <c r="K23" s="57"/>
      <c r="L23" s="58"/>
      <c r="M23" s="55"/>
      <c r="N23" s="56"/>
      <c r="O23" s="57"/>
      <c r="P23" s="58"/>
      <c r="Q23" s="59">
        <f t="shared" si="0"/>
        <v>0</v>
      </c>
      <c r="R23" s="60" t="e">
        <f t="shared" si="1"/>
        <v>#DIV/0!</v>
      </c>
    </row>
    <row r="24" spans="1:18" ht="18" customHeight="1" x14ac:dyDescent="0.2">
      <c r="A24" s="45"/>
      <c r="B24" s="86"/>
      <c r="C24" s="61"/>
      <c r="D24" s="54"/>
      <c r="E24" s="55"/>
      <c r="F24" s="56"/>
      <c r="G24" s="57"/>
      <c r="H24" s="58"/>
      <c r="I24" s="55"/>
      <c r="J24" s="56"/>
      <c r="K24" s="57"/>
      <c r="L24" s="58"/>
      <c r="M24" s="55"/>
      <c r="N24" s="56"/>
      <c r="O24" s="57"/>
      <c r="P24" s="58"/>
      <c r="Q24" s="59">
        <f t="shared" si="0"/>
        <v>0</v>
      </c>
      <c r="R24" s="60" t="e">
        <f t="shared" si="1"/>
        <v>#DIV/0!</v>
      </c>
    </row>
    <row r="25" spans="1:18" ht="18" customHeight="1" x14ac:dyDescent="0.2">
      <c r="A25" s="45"/>
      <c r="B25" s="86"/>
      <c r="C25" s="61"/>
      <c r="D25" s="54"/>
      <c r="E25" s="55"/>
      <c r="F25" s="56"/>
      <c r="G25" s="57"/>
      <c r="H25" s="58"/>
      <c r="I25" s="55"/>
      <c r="J25" s="56"/>
      <c r="K25" s="57"/>
      <c r="L25" s="58"/>
      <c r="M25" s="55"/>
      <c r="N25" s="56"/>
      <c r="O25" s="57"/>
      <c r="P25" s="58"/>
      <c r="Q25" s="59">
        <f t="shared" si="0"/>
        <v>0</v>
      </c>
      <c r="R25" s="60" t="e">
        <f t="shared" si="1"/>
        <v>#DIV/0!</v>
      </c>
    </row>
    <row r="26" spans="1:18" ht="18" customHeight="1" x14ac:dyDescent="0.2">
      <c r="A26" s="45"/>
      <c r="B26" s="86"/>
      <c r="C26" s="61"/>
      <c r="D26" s="54"/>
      <c r="E26" s="55"/>
      <c r="F26" s="56"/>
      <c r="G26" s="57"/>
      <c r="H26" s="58"/>
      <c r="I26" s="55"/>
      <c r="J26" s="56"/>
      <c r="K26" s="57"/>
      <c r="L26" s="58"/>
      <c r="M26" s="55"/>
      <c r="N26" s="56"/>
      <c r="O26" s="57"/>
      <c r="P26" s="58"/>
      <c r="Q26" s="59">
        <f t="shared" si="0"/>
        <v>0</v>
      </c>
      <c r="R26" s="60" t="e">
        <f t="shared" si="1"/>
        <v>#DIV/0!</v>
      </c>
    </row>
    <row r="27" spans="1:18" ht="18" customHeight="1" x14ac:dyDescent="0.2">
      <c r="A27" s="45"/>
      <c r="B27" s="86"/>
      <c r="C27" s="53"/>
      <c r="D27" s="54"/>
      <c r="E27" s="55"/>
      <c r="F27" s="56"/>
      <c r="G27" s="57"/>
      <c r="H27" s="58"/>
      <c r="I27" s="55"/>
      <c r="J27" s="56"/>
      <c r="K27" s="57"/>
      <c r="L27" s="58"/>
      <c r="M27" s="55"/>
      <c r="N27" s="56"/>
      <c r="O27" s="57"/>
      <c r="P27" s="58"/>
      <c r="Q27" s="59">
        <f t="shared" si="0"/>
        <v>0</v>
      </c>
      <c r="R27" s="60" t="e">
        <f t="shared" si="1"/>
        <v>#DIV/0!</v>
      </c>
    </row>
    <row r="28" spans="1:18" ht="18" customHeight="1" x14ac:dyDescent="0.2">
      <c r="A28" s="45"/>
      <c r="B28" s="86"/>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5">
      <c r="A29" s="45"/>
      <c r="B29" s="87"/>
      <c r="C29" s="88"/>
      <c r="D29" s="46"/>
      <c r="E29" s="47"/>
      <c r="F29" s="48"/>
      <c r="G29" s="49"/>
      <c r="H29" s="50"/>
      <c r="I29" s="47"/>
      <c r="J29" s="48"/>
      <c r="K29" s="49"/>
      <c r="L29" s="50"/>
      <c r="M29" s="47"/>
      <c r="N29" s="48"/>
      <c r="O29" s="49"/>
      <c r="P29" s="50"/>
      <c r="Q29" s="62">
        <f t="shared" si="0"/>
        <v>0</v>
      </c>
      <c r="R29" s="52" t="e">
        <f t="shared" si="1"/>
        <v>#DIV/0!</v>
      </c>
    </row>
    <row r="30" spans="1:18" ht="18" customHeight="1" thickTop="1" x14ac:dyDescent="0.2">
      <c r="B30" s="89" t="s">
        <v>55</v>
      </c>
      <c r="C30" s="90">
        <f t="shared" ref="C30:Q30" si="2">SUM(C10:C29)</f>
        <v>955</v>
      </c>
      <c r="D30" s="63">
        <f t="shared" si="2"/>
        <v>4145</v>
      </c>
      <c r="E30" s="64">
        <f t="shared" si="2"/>
        <v>769</v>
      </c>
      <c r="F30" s="65">
        <f t="shared" si="2"/>
        <v>104</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769</v>
      </c>
      <c r="R30" s="69">
        <f>Q30/D30</f>
        <v>0.18552472858866104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40" zoomScaleNormal="100" zoomScaleSheetLayoutView="100" workbookViewId="0">
      <selection activeCell="Q27" sqref="Q27"/>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112</v>
      </c>
      <c r="J1" s="39" t="s">
        <v>113</v>
      </c>
    </row>
    <row r="2" spans="1:11" ht="18.75" customHeight="1" x14ac:dyDescent="0.2">
      <c r="A2" s="251" t="s">
        <v>62</v>
      </c>
      <c r="B2" s="251"/>
      <c r="C2" s="251"/>
      <c r="D2" s="251"/>
      <c r="E2" s="251"/>
      <c r="F2" s="251"/>
      <c r="G2" s="251"/>
      <c r="H2" s="251"/>
      <c r="I2" s="251"/>
      <c r="J2" s="251"/>
    </row>
    <row r="3" spans="1:11" ht="7.5" customHeight="1" x14ac:dyDescent="0.2">
      <c r="B3" s="36"/>
      <c r="C3" s="36"/>
      <c r="D3" s="36"/>
      <c r="E3" s="36"/>
      <c r="F3" s="36"/>
      <c r="G3" s="36"/>
      <c r="H3" s="36"/>
      <c r="I3" s="36"/>
      <c r="J3" s="36"/>
    </row>
    <row r="4" spans="1:11" ht="18.75" customHeight="1" x14ac:dyDescent="0.2">
      <c r="A4" s="1" t="s">
        <v>6</v>
      </c>
      <c r="B4" s="4" t="s">
        <v>70</v>
      </c>
      <c r="C4" s="4"/>
      <c r="D4" s="4"/>
      <c r="E4" s="4"/>
      <c r="F4" s="4"/>
      <c r="G4" s="4"/>
      <c r="H4" s="4"/>
      <c r="I4" s="36"/>
      <c r="J4" s="36"/>
    </row>
    <row r="5" spans="1:11" ht="18.75" customHeight="1" x14ac:dyDescent="0.2">
      <c r="A5" s="1"/>
      <c r="B5" s="141" t="s">
        <v>187</v>
      </c>
      <c r="C5" s="142"/>
      <c r="D5" s="142"/>
      <c r="E5" s="142"/>
      <c r="F5" s="142"/>
      <c r="G5" s="142"/>
      <c r="H5" s="142"/>
      <c r="I5" s="142"/>
      <c r="J5" s="276"/>
      <c r="K5" s="31" t="str">
        <f>IF(B5="","入力してください","")</f>
        <v/>
      </c>
    </row>
    <row r="6" spans="1:11" ht="7.5" customHeight="1" x14ac:dyDescent="0.2">
      <c r="B6" s="29"/>
      <c r="C6" s="29"/>
      <c r="D6" s="29"/>
      <c r="E6" s="29"/>
      <c r="F6" s="29"/>
      <c r="G6" s="29"/>
      <c r="H6" s="29"/>
      <c r="I6" s="29"/>
      <c r="J6" s="29"/>
    </row>
    <row r="7" spans="1:11" s="4" customFormat="1" ht="18.75" customHeight="1" x14ac:dyDescent="0.2">
      <c r="A7" s="1" t="s">
        <v>9</v>
      </c>
      <c r="B7" s="14" t="s">
        <v>39</v>
      </c>
      <c r="C7" s="14"/>
      <c r="D7" s="14"/>
      <c r="E7" s="14"/>
      <c r="F7" s="14"/>
      <c r="G7" s="14"/>
      <c r="H7" s="14"/>
      <c r="I7" s="14"/>
      <c r="J7" s="14"/>
      <c r="K7" s="33"/>
    </row>
    <row r="8" spans="1:11" s="4" customFormat="1" ht="18.75" customHeight="1" x14ac:dyDescent="0.2">
      <c r="A8" s="91"/>
      <c r="B8" s="277" t="s">
        <v>188</v>
      </c>
      <c r="C8" s="278"/>
      <c r="D8" s="278"/>
      <c r="E8" s="278"/>
      <c r="F8" s="278"/>
      <c r="G8" s="278"/>
      <c r="H8" s="278"/>
      <c r="I8" s="279"/>
      <c r="J8" s="280"/>
      <c r="K8" s="31" t="str">
        <f>IF(B8="","入力してください","")</f>
        <v/>
      </c>
    </row>
    <row r="9" spans="1:11" s="4" customFormat="1" ht="18.75" customHeight="1" x14ac:dyDescent="0.2">
      <c r="A9" s="91"/>
      <c r="B9" s="281"/>
      <c r="C9" s="282"/>
      <c r="D9" s="282"/>
      <c r="E9" s="282"/>
      <c r="F9" s="282"/>
      <c r="G9" s="282"/>
      <c r="H9" s="282"/>
      <c r="I9" s="282"/>
      <c r="J9" s="283"/>
      <c r="K9" s="31"/>
    </row>
    <row r="10" spans="1:11" s="4" customFormat="1" ht="18.75" customHeight="1" x14ac:dyDescent="0.2">
      <c r="A10" s="91"/>
      <c r="B10" s="281"/>
      <c r="C10" s="282"/>
      <c r="D10" s="282"/>
      <c r="E10" s="282"/>
      <c r="F10" s="282"/>
      <c r="G10" s="282"/>
      <c r="H10" s="282"/>
      <c r="I10" s="282"/>
      <c r="J10" s="283"/>
      <c r="K10" s="31"/>
    </row>
    <row r="11" spans="1:11" s="4" customFormat="1" ht="18.75" customHeight="1" x14ac:dyDescent="0.2">
      <c r="A11" s="91"/>
      <c r="B11" s="281"/>
      <c r="C11" s="282"/>
      <c r="D11" s="282"/>
      <c r="E11" s="282"/>
      <c r="F11" s="282"/>
      <c r="G11" s="282"/>
      <c r="H11" s="282"/>
      <c r="I11" s="282"/>
      <c r="J11" s="283"/>
      <c r="K11" s="31"/>
    </row>
    <row r="12" spans="1:11" s="4" customFormat="1" ht="18.75" customHeight="1" x14ac:dyDescent="0.2">
      <c r="A12" s="91"/>
      <c r="B12" s="284"/>
      <c r="C12" s="285"/>
      <c r="D12" s="285"/>
      <c r="E12" s="285"/>
      <c r="F12" s="285"/>
      <c r="G12" s="285"/>
      <c r="H12" s="285"/>
      <c r="I12" s="285"/>
      <c r="J12" s="286"/>
      <c r="K12" s="31"/>
    </row>
    <row r="13" spans="1:11" s="4" customFormat="1" ht="7.5" customHeight="1" x14ac:dyDescent="0.2">
      <c r="A13" s="91"/>
      <c r="B13" s="75"/>
      <c r="C13" s="75"/>
      <c r="D13" s="75"/>
      <c r="E13" s="75"/>
      <c r="F13" s="75"/>
      <c r="G13" s="75"/>
      <c r="H13" s="75"/>
      <c r="I13" s="75"/>
      <c r="J13" s="75"/>
      <c r="K13" s="31"/>
    </row>
    <row r="14" spans="1:11" s="4" customFormat="1" ht="18.75" customHeight="1" x14ac:dyDescent="0.2">
      <c r="A14" s="92" t="s">
        <v>10</v>
      </c>
      <c r="B14" s="125" t="s">
        <v>15</v>
      </c>
      <c r="C14" s="125"/>
      <c r="D14" s="125"/>
      <c r="E14" s="125"/>
      <c r="F14" s="125"/>
      <c r="G14" s="125"/>
      <c r="H14" s="125"/>
      <c r="I14" s="125"/>
      <c r="J14" s="125"/>
      <c r="K14" s="31"/>
    </row>
    <row r="15" spans="1:11" s="4" customFormat="1" ht="18.75" customHeight="1" x14ac:dyDescent="0.2">
      <c r="A15" s="91"/>
      <c r="B15" s="277" t="s">
        <v>189</v>
      </c>
      <c r="C15" s="278"/>
      <c r="D15" s="278"/>
      <c r="E15" s="278"/>
      <c r="F15" s="278"/>
      <c r="G15" s="278"/>
      <c r="H15" s="278"/>
      <c r="I15" s="279"/>
      <c r="J15" s="280"/>
      <c r="K15" s="31" t="str">
        <f>IF(B15="","入力してください","")</f>
        <v/>
      </c>
    </row>
    <row r="16" spans="1:11" s="4" customFormat="1" ht="18.75" customHeight="1" x14ac:dyDescent="0.2">
      <c r="A16" s="91"/>
      <c r="B16" s="281"/>
      <c r="C16" s="282"/>
      <c r="D16" s="282"/>
      <c r="E16" s="282"/>
      <c r="F16" s="282"/>
      <c r="G16" s="282"/>
      <c r="H16" s="282"/>
      <c r="I16" s="282"/>
      <c r="J16" s="283"/>
      <c r="K16" s="31"/>
    </row>
    <row r="17" spans="1:11" s="4" customFormat="1" ht="18.75" customHeight="1" x14ac:dyDescent="0.2">
      <c r="A17" s="91"/>
      <c r="B17" s="281"/>
      <c r="C17" s="282"/>
      <c r="D17" s="282"/>
      <c r="E17" s="282"/>
      <c r="F17" s="282"/>
      <c r="G17" s="282"/>
      <c r="H17" s="282"/>
      <c r="I17" s="282"/>
      <c r="J17" s="283"/>
      <c r="K17" s="31"/>
    </row>
    <row r="18" spans="1:11" s="4" customFormat="1" ht="18.75" customHeight="1" x14ac:dyDescent="0.2">
      <c r="A18" s="91"/>
      <c r="B18" s="281"/>
      <c r="C18" s="282"/>
      <c r="D18" s="282"/>
      <c r="E18" s="282"/>
      <c r="F18" s="282"/>
      <c r="G18" s="282"/>
      <c r="H18" s="282"/>
      <c r="I18" s="282"/>
      <c r="J18" s="283"/>
      <c r="K18" s="31"/>
    </row>
    <row r="19" spans="1:11" s="4" customFormat="1" ht="18.75" customHeight="1" x14ac:dyDescent="0.2">
      <c r="A19" s="91"/>
      <c r="B19" s="281"/>
      <c r="C19" s="282"/>
      <c r="D19" s="282"/>
      <c r="E19" s="282"/>
      <c r="F19" s="282"/>
      <c r="G19" s="282"/>
      <c r="H19" s="282"/>
      <c r="I19" s="282"/>
      <c r="J19" s="283"/>
      <c r="K19" s="31"/>
    </row>
    <row r="20" spans="1:11" s="4" customFormat="1" ht="18.75" customHeight="1" x14ac:dyDescent="0.2">
      <c r="A20" s="91"/>
      <c r="B20" s="281"/>
      <c r="C20" s="282"/>
      <c r="D20" s="282"/>
      <c r="E20" s="282"/>
      <c r="F20" s="282"/>
      <c r="G20" s="282"/>
      <c r="H20" s="282"/>
      <c r="I20" s="282"/>
      <c r="J20" s="283"/>
      <c r="K20" s="31"/>
    </row>
    <row r="21" spans="1:11" s="4" customFormat="1" ht="18.75" customHeight="1" x14ac:dyDescent="0.2">
      <c r="A21" s="91"/>
      <c r="B21" s="281"/>
      <c r="C21" s="282"/>
      <c r="D21" s="282"/>
      <c r="E21" s="282"/>
      <c r="F21" s="282"/>
      <c r="G21" s="282"/>
      <c r="H21" s="282"/>
      <c r="I21" s="282"/>
      <c r="J21" s="283"/>
      <c r="K21" s="31"/>
    </row>
    <row r="22" spans="1:11" s="4" customFormat="1" ht="18.75" customHeight="1" x14ac:dyDescent="0.2">
      <c r="A22" s="91"/>
      <c r="B22" s="281"/>
      <c r="C22" s="282"/>
      <c r="D22" s="282"/>
      <c r="E22" s="282"/>
      <c r="F22" s="282"/>
      <c r="G22" s="282"/>
      <c r="H22" s="282"/>
      <c r="I22" s="282"/>
      <c r="J22" s="283"/>
      <c r="K22" s="31"/>
    </row>
    <row r="23" spans="1:11" s="4" customFormat="1" ht="18.75" customHeight="1" x14ac:dyDescent="0.2">
      <c r="A23" s="91"/>
      <c r="B23" s="281"/>
      <c r="C23" s="282"/>
      <c r="D23" s="282"/>
      <c r="E23" s="282"/>
      <c r="F23" s="282"/>
      <c r="G23" s="282"/>
      <c r="H23" s="282"/>
      <c r="I23" s="282"/>
      <c r="J23" s="283"/>
      <c r="K23" s="31"/>
    </row>
    <row r="24" spans="1:11" s="4" customFormat="1" ht="18.75" customHeight="1" x14ac:dyDescent="0.2">
      <c r="A24" s="91"/>
      <c r="B24" s="281"/>
      <c r="C24" s="282"/>
      <c r="D24" s="282"/>
      <c r="E24" s="282"/>
      <c r="F24" s="282"/>
      <c r="G24" s="282"/>
      <c r="H24" s="282"/>
      <c r="I24" s="282"/>
      <c r="J24" s="283"/>
      <c r="K24" s="31"/>
    </row>
    <row r="25" spans="1:11" s="4" customFormat="1" ht="18.75" customHeight="1" x14ac:dyDescent="0.2">
      <c r="A25" s="91"/>
      <c r="B25" s="284"/>
      <c r="C25" s="285"/>
      <c r="D25" s="285"/>
      <c r="E25" s="285"/>
      <c r="F25" s="285"/>
      <c r="G25" s="285"/>
      <c r="H25" s="285"/>
      <c r="I25" s="285"/>
      <c r="J25" s="286"/>
      <c r="K25" s="31"/>
    </row>
    <row r="26" spans="1:11" ht="7.5" customHeight="1" x14ac:dyDescent="0.2">
      <c r="A26" s="37"/>
      <c r="B26" s="126"/>
      <c r="C26" s="126"/>
      <c r="D26" s="126"/>
      <c r="E26" s="126"/>
      <c r="F26" s="126"/>
      <c r="G26" s="126"/>
      <c r="H26" s="126"/>
      <c r="I26" s="126"/>
      <c r="J26" s="126"/>
    </row>
    <row r="27" spans="1:11" s="4" customFormat="1" ht="18.75" customHeight="1" x14ac:dyDescent="0.2">
      <c r="A27" s="1" t="s">
        <v>13</v>
      </c>
      <c r="B27" s="14" t="s">
        <v>26</v>
      </c>
      <c r="C27" s="14"/>
      <c r="D27" s="14"/>
      <c r="E27" s="14"/>
      <c r="F27" s="14"/>
      <c r="G27" s="14"/>
      <c r="H27" s="14"/>
      <c r="I27" s="14"/>
      <c r="J27" s="14"/>
      <c r="K27" s="31"/>
    </row>
    <row r="28" spans="1:11" s="29" customFormat="1" ht="18.75" customHeight="1" x14ac:dyDescent="0.2">
      <c r="B28" s="93" t="s">
        <v>114</v>
      </c>
      <c r="C28" s="94">
        <f>'様式３　履修者等数の実績'!R30</f>
        <v>0.18552472858866104</v>
      </c>
      <c r="D28" s="95"/>
      <c r="E28" s="95" t="s">
        <v>115</v>
      </c>
      <c r="F28" s="94">
        <v>0.37</v>
      </c>
      <c r="G28" s="95"/>
      <c r="H28" s="95" t="s">
        <v>116</v>
      </c>
      <c r="I28" s="96">
        <v>0.55000000000000004</v>
      </c>
      <c r="J28" s="97"/>
      <c r="K28" s="31"/>
    </row>
    <row r="29" spans="1:11" s="29" customFormat="1" ht="18.75" customHeight="1" x14ac:dyDescent="0.2">
      <c r="B29" s="81" t="s">
        <v>117</v>
      </c>
      <c r="C29" s="98">
        <v>0.74</v>
      </c>
      <c r="D29" s="82"/>
      <c r="E29" s="82" t="s">
        <v>118</v>
      </c>
      <c r="F29" s="98">
        <v>0.92</v>
      </c>
      <c r="G29" s="82"/>
      <c r="H29" s="82" t="s">
        <v>119</v>
      </c>
      <c r="I29" s="99">
        <f>'様式３　履修者等数の実績'!D30</f>
        <v>4145</v>
      </c>
      <c r="J29" s="100"/>
      <c r="K29" s="33"/>
    </row>
    <row r="30" spans="1:11" s="4" customFormat="1" ht="18.75" customHeight="1" x14ac:dyDescent="0.2">
      <c r="A30" s="1"/>
      <c r="B30" s="172" t="s">
        <v>120</v>
      </c>
      <c r="C30" s="173"/>
      <c r="D30" s="173"/>
      <c r="E30" s="173"/>
      <c r="F30" s="173"/>
      <c r="G30" s="173"/>
      <c r="H30" s="173"/>
      <c r="I30" s="173"/>
      <c r="J30" s="174"/>
      <c r="K30" s="33"/>
    </row>
    <row r="31" spans="1:11" s="4" customFormat="1" ht="18.75" customHeight="1" x14ac:dyDescent="0.2">
      <c r="A31" s="1"/>
      <c r="B31" s="267" t="s">
        <v>210</v>
      </c>
      <c r="C31" s="268"/>
      <c r="D31" s="268"/>
      <c r="E31" s="268"/>
      <c r="F31" s="268"/>
      <c r="G31" s="268"/>
      <c r="H31" s="268"/>
      <c r="I31" s="268"/>
      <c r="J31" s="269"/>
      <c r="K31" s="33" t="str">
        <f>IF(B31="","入力してください","")</f>
        <v/>
      </c>
    </row>
    <row r="32" spans="1:11" s="4" customFormat="1" ht="18.75" customHeight="1" x14ac:dyDescent="0.2">
      <c r="A32" s="1"/>
      <c r="B32" s="270"/>
      <c r="C32" s="271"/>
      <c r="D32" s="271"/>
      <c r="E32" s="271"/>
      <c r="F32" s="271"/>
      <c r="G32" s="271"/>
      <c r="H32" s="271"/>
      <c r="I32" s="271"/>
      <c r="J32" s="272"/>
      <c r="K32" s="33"/>
    </row>
    <row r="33" spans="1:11" s="4" customFormat="1" ht="18.75" customHeight="1" x14ac:dyDescent="0.2">
      <c r="A33" s="1"/>
      <c r="B33" s="270"/>
      <c r="C33" s="271"/>
      <c r="D33" s="271"/>
      <c r="E33" s="271"/>
      <c r="F33" s="271"/>
      <c r="G33" s="271"/>
      <c r="H33" s="271"/>
      <c r="I33" s="271"/>
      <c r="J33" s="272"/>
      <c r="K33" s="33"/>
    </row>
    <row r="34" spans="1:11" s="4" customFormat="1" ht="18.75" customHeight="1" x14ac:dyDescent="0.2">
      <c r="A34" s="1"/>
      <c r="B34" s="270"/>
      <c r="C34" s="271"/>
      <c r="D34" s="271"/>
      <c r="E34" s="271"/>
      <c r="F34" s="271"/>
      <c r="G34" s="271"/>
      <c r="H34" s="271"/>
      <c r="I34" s="271"/>
      <c r="J34" s="272"/>
      <c r="K34" s="33"/>
    </row>
    <row r="35" spans="1:11" s="4" customFormat="1" ht="18.75" customHeight="1" x14ac:dyDescent="0.2">
      <c r="A35" s="1"/>
      <c r="B35" s="270"/>
      <c r="C35" s="271"/>
      <c r="D35" s="271"/>
      <c r="E35" s="271"/>
      <c r="F35" s="271"/>
      <c r="G35" s="271"/>
      <c r="H35" s="271"/>
      <c r="I35" s="271"/>
      <c r="J35" s="272"/>
      <c r="K35" s="33"/>
    </row>
    <row r="36" spans="1:11" s="4" customFormat="1" ht="18.75" customHeight="1" x14ac:dyDescent="0.2">
      <c r="A36" s="1"/>
      <c r="B36" s="270"/>
      <c r="C36" s="271"/>
      <c r="D36" s="271"/>
      <c r="E36" s="271"/>
      <c r="F36" s="271"/>
      <c r="G36" s="271"/>
      <c r="H36" s="271"/>
      <c r="I36" s="271"/>
      <c r="J36" s="272"/>
      <c r="K36" s="33"/>
    </row>
    <row r="37" spans="1:11" s="4" customFormat="1" ht="18.75" customHeight="1" x14ac:dyDescent="0.2">
      <c r="A37" s="1"/>
      <c r="B37" s="270"/>
      <c r="C37" s="271"/>
      <c r="D37" s="271"/>
      <c r="E37" s="271"/>
      <c r="F37" s="271"/>
      <c r="G37" s="271"/>
      <c r="H37" s="271"/>
      <c r="I37" s="271"/>
      <c r="J37" s="272"/>
      <c r="K37" s="33"/>
    </row>
    <row r="38" spans="1:11" s="4" customFormat="1" ht="18.75" customHeight="1" x14ac:dyDescent="0.2">
      <c r="A38" s="1"/>
      <c r="B38" s="270"/>
      <c r="C38" s="271"/>
      <c r="D38" s="271"/>
      <c r="E38" s="271"/>
      <c r="F38" s="271"/>
      <c r="G38" s="271"/>
      <c r="H38" s="271"/>
      <c r="I38" s="271"/>
      <c r="J38" s="272"/>
      <c r="K38" s="33"/>
    </row>
    <row r="39" spans="1:11" s="4" customFormat="1" ht="18.75" customHeight="1" x14ac:dyDescent="0.2">
      <c r="A39" s="1"/>
      <c r="B39" s="270"/>
      <c r="C39" s="271"/>
      <c r="D39" s="271"/>
      <c r="E39" s="271"/>
      <c r="F39" s="271"/>
      <c r="G39" s="271"/>
      <c r="H39" s="271"/>
      <c r="I39" s="271"/>
      <c r="J39" s="272"/>
      <c r="K39" s="33"/>
    </row>
    <row r="40" spans="1:11" s="4" customFormat="1" ht="18.75" customHeight="1" x14ac:dyDescent="0.2">
      <c r="A40" s="1"/>
      <c r="B40" s="270"/>
      <c r="C40" s="271"/>
      <c r="D40" s="271"/>
      <c r="E40" s="271"/>
      <c r="F40" s="271"/>
      <c r="G40" s="271"/>
      <c r="H40" s="271"/>
      <c r="I40" s="271"/>
      <c r="J40" s="272"/>
      <c r="K40" s="33"/>
    </row>
    <row r="41" spans="1:11" s="4" customFormat="1" ht="18.75" customHeight="1" x14ac:dyDescent="0.2">
      <c r="A41" s="1"/>
      <c r="B41" s="270"/>
      <c r="C41" s="271"/>
      <c r="D41" s="271"/>
      <c r="E41" s="271"/>
      <c r="F41" s="271"/>
      <c r="G41" s="271"/>
      <c r="H41" s="271"/>
      <c r="I41" s="271"/>
      <c r="J41" s="272"/>
      <c r="K41" s="33"/>
    </row>
    <row r="42" spans="1:11" s="4" customFormat="1" ht="18.75" customHeight="1" x14ac:dyDescent="0.2">
      <c r="A42" s="1"/>
      <c r="B42" s="270"/>
      <c r="C42" s="271"/>
      <c r="D42" s="271"/>
      <c r="E42" s="271"/>
      <c r="F42" s="271"/>
      <c r="G42" s="271"/>
      <c r="H42" s="271"/>
      <c r="I42" s="271"/>
      <c r="J42" s="272"/>
      <c r="K42" s="33"/>
    </row>
    <row r="43" spans="1:11" ht="18.75" customHeight="1" x14ac:dyDescent="0.2">
      <c r="A43" s="37"/>
      <c r="B43" s="270"/>
      <c r="C43" s="271"/>
      <c r="D43" s="271"/>
      <c r="E43" s="271"/>
      <c r="F43" s="271"/>
      <c r="G43" s="271"/>
      <c r="H43" s="271"/>
      <c r="I43" s="271"/>
      <c r="J43" s="272"/>
      <c r="K43" s="33"/>
    </row>
    <row r="44" spans="1:11" ht="18.75" customHeight="1" x14ac:dyDescent="0.2">
      <c r="A44" s="37"/>
      <c r="B44" s="273"/>
      <c r="C44" s="274"/>
      <c r="D44" s="274"/>
      <c r="E44" s="274"/>
      <c r="F44" s="274"/>
      <c r="G44" s="274"/>
      <c r="H44" s="274"/>
      <c r="I44" s="274"/>
      <c r="J44" s="275"/>
    </row>
    <row r="45" spans="1:11" s="4" customFormat="1" ht="18.75" customHeight="1" x14ac:dyDescent="0.2">
      <c r="A45" s="101" t="s">
        <v>11</v>
      </c>
      <c r="B45" s="1" t="s">
        <v>63</v>
      </c>
      <c r="C45" s="1"/>
      <c r="D45" s="1"/>
      <c r="E45" s="1"/>
      <c r="F45" s="1"/>
      <c r="G45" s="1"/>
      <c r="H45" s="1"/>
      <c r="I45" s="101"/>
      <c r="J45" s="101"/>
      <c r="K45" s="31"/>
    </row>
    <row r="46" spans="1:11" ht="18.75" customHeight="1" x14ac:dyDescent="0.2">
      <c r="A46" s="37"/>
      <c r="B46" s="277" t="s">
        <v>238</v>
      </c>
      <c r="C46" s="278"/>
      <c r="D46" s="278"/>
      <c r="E46" s="278"/>
      <c r="F46" s="278"/>
      <c r="G46" s="278"/>
      <c r="H46" s="278"/>
      <c r="I46" s="278"/>
      <c r="J46" s="287"/>
      <c r="K46" s="31" t="str">
        <f>IF(B46="","入力してください","")</f>
        <v/>
      </c>
    </row>
    <row r="47" spans="1:11" ht="18.75" customHeight="1" x14ac:dyDescent="0.2">
      <c r="A47" s="37"/>
      <c r="B47" s="288"/>
      <c r="C47" s="289"/>
      <c r="D47" s="289"/>
      <c r="E47" s="289"/>
      <c r="F47" s="289"/>
      <c r="G47" s="289"/>
      <c r="H47" s="289"/>
      <c r="I47" s="289"/>
      <c r="J47" s="290"/>
    </row>
    <row r="48" spans="1:11" ht="18.75" customHeight="1" x14ac:dyDescent="0.2">
      <c r="A48" s="37"/>
      <c r="B48" s="288"/>
      <c r="C48" s="289"/>
      <c r="D48" s="289"/>
      <c r="E48" s="289"/>
      <c r="F48" s="289"/>
      <c r="G48" s="289"/>
      <c r="H48" s="289"/>
      <c r="I48" s="289"/>
      <c r="J48" s="290"/>
    </row>
    <row r="49" spans="1:10" ht="18.75" customHeight="1" x14ac:dyDescent="0.2">
      <c r="A49" s="37"/>
      <c r="B49" s="288"/>
      <c r="C49" s="289"/>
      <c r="D49" s="289"/>
      <c r="E49" s="289"/>
      <c r="F49" s="289"/>
      <c r="G49" s="289"/>
      <c r="H49" s="289"/>
      <c r="I49" s="289"/>
      <c r="J49" s="290"/>
    </row>
    <row r="50" spans="1:10" ht="18.75" customHeight="1" x14ac:dyDescent="0.2">
      <c r="A50" s="37"/>
      <c r="B50" s="288"/>
      <c r="C50" s="289"/>
      <c r="D50" s="289"/>
      <c r="E50" s="289"/>
      <c r="F50" s="289"/>
      <c r="G50" s="289"/>
      <c r="H50" s="289"/>
      <c r="I50" s="289"/>
      <c r="J50" s="290"/>
    </row>
    <row r="51" spans="1:10" ht="18.75" customHeight="1" x14ac:dyDescent="0.2">
      <c r="A51" s="37"/>
      <c r="B51" s="288"/>
      <c r="C51" s="289"/>
      <c r="D51" s="289"/>
      <c r="E51" s="289"/>
      <c r="F51" s="289"/>
      <c r="G51" s="289"/>
      <c r="H51" s="289"/>
      <c r="I51" s="289"/>
      <c r="J51" s="290"/>
    </row>
    <row r="52" spans="1:10" ht="18.75" customHeight="1" x14ac:dyDescent="0.2">
      <c r="A52" s="37"/>
      <c r="B52" s="288"/>
      <c r="C52" s="289"/>
      <c r="D52" s="289"/>
      <c r="E52" s="289"/>
      <c r="F52" s="289"/>
      <c r="G52" s="289"/>
      <c r="H52" s="289"/>
      <c r="I52" s="289"/>
      <c r="J52" s="290"/>
    </row>
    <row r="53" spans="1:10" ht="18.75" customHeight="1" x14ac:dyDescent="0.2">
      <c r="A53" s="37"/>
      <c r="B53" s="288"/>
      <c r="C53" s="289"/>
      <c r="D53" s="289"/>
      <c r="E53" s="289"/>
      <c r="F53" s="289"/>
      <c r="G53" s="289"/>
      <c r="H53" s="289"/>
      <c r="I53" s="289"/>
      <c r="J53" s="290"/>
    </row>
    <row r="54" spans="1:10" ht="18.75" customHeight="1" x14ac:dyDescent="0.2">
      <c r="A54" s="37"/>
      <c r="B54" s="288"/>
      <c r="C54" s="289"/>
      <c r="D54" s="289"/>
      <c r="E54" s="289"/>
      <c r="F54" s="289"/>
      <c r="G54" s="289"/>
      <c r="H54" s="289"/>
      <c r="I54" s="289"/>
      <c r="J54" s="290"/>
    </row>
    <row r="55" spans="1:10" ht="18.75" customHeight="1" x14ac:dyDescent="0.2">
      <c r="A55" s="37"/>
      <c r="B55" s="288"/>
      <c r="C55" s="289"/>
      <c r="D55" s="289"/>
      <c r="E55" s="289"/>
      <c r="F55" s="289"/>
      <c r="G55" s="289"/>
      <c r="H55" s="289"/>
      <c r="I55" s="289"/>
      <c r="J55" s="290"/>
    </row>
    <row r="56" spans="1:10" ht="18.75" customHeight="1" x14ac:dyDescent="0.2">
      <c r="A56" s="37"/>
      <c r="B56" s="288"/>
      <c r="C56" s="289"/>
      <c r="D56" s="289"/>
      <c r="E56" s="289"/>
      <c r="F56" s="289"/>
      <c r="G56" s="289"/>
      <c r="H56" s="289"/>
      <c r="I56" s="289"/>
      <c r="J56" s="290"/>
    </row>
    <row r="57" spans="1:10" ht="18.75" customHeight="1" x14ac:dyDescent="0.2">
      <c r="A57" s="37"/>
      <c r="B57" s="288"/>
      <c r="C57" s="289"/>
      <c r="D57" s="289"/>
      <c r="E57" s="289"/>
      <c r="F57" s="289"/>
      <c r="G57" s="289"/>
      <c r="H57" s="289"/>
      <c r="I57" s="289"/>
      <c r="J57" s="290"/>
    </row>
    <row r="58" spans="1:10" ht="18.75" customHeight="1" x14ac:dyDescent="0.2">
      <c r="A58" s="37"/>
      <c r="B58" s="288"/>
      <c r="C58" s="289"/>
      <c r="D58" s="289"/>
      <c r="E58" s="289"/>
      <c r="F58" s="289"/>
      <c r="G58" s="289"/>
      <c r="H58" s="289"/>
      <c r="I58" s="289"/>
      <c r="J58" s="290"/>
    </row>
    <row r="59" spans="1:10" ht="18.75" customHeight="1" x14ac:dyDescent="0.2">
      <c r="A59" s="37"/>
      <c r="B59" s="288"/>
      <c r="C59" s="289"/>
      <c r="D59" s="289"/>
      <c r="E59" s="289"/>
      <c r="F59" s="289"/>
      <c r="G59" s="289"/>
      <c r="H59" s="289"/>
      <c r="I59" s="289"/>
      <c r="J59" s="290"/>
    </row>
    <row r="60" spans="1:10" ht="18.75" customHeight="1" x14ac:dyDescent="0.2">
      <c r="A60" s="37"/>
      <c r="B60" s="288"/>
      <c r="C60" s="289"/>
      <c r="D60" s="289"/>
      <c r="E60" s="289"/>
      <c r="F60" s="289"/>
      <c r="G60" s="289"/>
      <c r="H60" s="289"/>
      <c r="I60" s="289"/>
      <c r="J60" s="290"/>
    </row>
    <row r="61" spans="1:10" ht="18.75" customHeight="1" x14ac:dyDescent="0.2">
      <c r="A61" s="37"/>
      <c r="B61" s="288"/>
      <c r="C61" s="289"/>
      <c r="D61" s="289"/>
      <c r="E61" s="289"/>
      <c r="F61" s="289"/>
      <c r="G61" s="289"/>
      <c r="H61" s="289"/>
      <c r="I61" s="289"/>
      <c r="J61" s="290"/>
    </row>
    <row r="62" spans="1:10" ht="18.75" customHeight="1" x14ac:dyDescent="0.2">
      <c r="A62" s="37"/>
      <c r="B62" s="288"/>
      <c r="C62" s="289"/>
      <c r="D62" s="289"/>
      <c r="E62" s="289"/>
      <c r="F62" s="289"/>
      <c r="G62" s="289"/>
      <c r="H62" s="289"/>
      <c r="I62" s="289"/>
      <c r="J62" s="290"/>
    </row>
    <row r="63" spans="1:10" ht="18.75" customHeight="1" x14ac:dyDescent="0.2">
      <c r="A63" s="37"/>
      <c r="B63" s="288"/>
      <c r="C63" s="289"/>
      <c r="D63" s="289"/>
      <c r="E63" s="289"/>
      <c r="F63" s="289"/>
      <c r="G63" s="289"/>
      <c r="H63" s="289"/>
      <c r="I63" s="289"/>
      <c r="J63" s="290"/>
    </row>
    <row r="64" spans="1:10" ht="18.75" customHeight="1" x14ac:dyDescent="0.2">
      <c r="A64" s="37"/>
      <c r="B64" s="288"/>
      <c r="C64" s="289"/>
      <c r="D64" s="289"/>
      <c r="E64" s="289"/>
      <c r="F64" s="289"/>
      <c r="G64" s="289"/>
      <c r="H64" s="289"/>
      <c r="I64" s="289"/>
      <c r="J64" s="290"/>
    </row>
    <row r="65" spans="1:11" ht="18.75" customHeight="1" x14ac:dyDescent="0.2">
      <c r="A65" s="37"/>
      <c r="B65" s="288"/>
      <c r="C65" s="289"/>
      <c r="D65" s="289"/>
      <c r="E65" s="289"/>
      <c r="F65" s="289"/>
      <c r="G65" s="289"/>
      <c r="H65" s="289"/>
      <c r="I65" s="289"/>
      <c r="J65" s="290"/>
    </row>
    <row r="66" spans="1:11" ht="18.75" customHeight="1" x14ac:dyDescent="0.2">
      <c r="A66" s="37"/>
      <c r="B66" s="291"/>
      <c r="C66" s="292"/>
      <c r="D66" s="292"/>
      <c r="E66" s="292"/>
      <c r="F66" s="292"/>
      <c r="G66" s="292"/>
      <c r="H66" s="292"/>
      <c r="I66" s="292"/>
      <c r="J66" s="293"/>
    </row>
    <row r="67" spans="1:11" ht="7.5" customHeight="1" x14ac:dyDescent="0.2">
      <c r="A67" s="37"/>
      <c r="B67" s="126"/>
      <c r="C67" s="126"/>
      <c r="D67" s="126"/>
      <c r="E67" s="126"/>
      <c r="F67" s="126"/>
      <c r="G67" s="126"/>
      <c r="H67" s="126"/>
      <c r="I67" s="126"/>
      <c r="J67" s="126"/>
    </row>
    <row r="68" spans="1:11" s="4" customFormat="1" ht="18.75" customHeight="1" x14ac:dyDescent="0.2">
      <c r="A68" s="1" t="s">
        <v>14</v>
      </c>
      <c r="B68" s="14" t="s">
        <v>69</v>
      </c>
      <c r="C68" s="14"/>
      <c r="D68" s="14"/>
      <c r="E68" s="14"/>
      <c r="F68" s="14"/>
      <c r="G68" s="14"/>
      <c r="H68" s="14"/>
      <c r="I68" s="14"/>
      <c r="J68" s="14"/>
      <c r="K68" s="31"/>
    </row>
    <row r="69" spans="1:11" s="4" customFormat="1" ht="18.75" customHeight="1" x14ac:dyDescent="0.2">
      <c r="A69" s="1"/>
      <c r="B69" s="277" t="s">
        <v>190</v>
      </c>
      <c r="C69" s="278"/>
      <c r="D69" s="278"/>
      <c r="E69" s="278"/>
      <c r="F69" s="278"/>
      <c r="G69" s="278"/>
      <c r="H69" s="278"/>
      <c r="I69" s="279"/>
      <c r="J69" s="280"/>
      <c r="K69" s="33" t="str">
        <f>IF(B69="","入力してください","")</f>
        <v/>
      </c>
    </row>
    <row r="70" spans="1:11" s="4" customFormat="1" ht="18.75" customHeight="1" x14ac:dyDescent="0.2">
      <c r="A70" s="1"/>
      <c r="B70" s="281"/>
      <c r="C70" s="282"/>
      <c r="D70" s="282"/>
      <c r="E70" s="282"/>
      <c r="F70" s="282"/>
      <c r="G70" s="282"/>
      <c r="H70" s="282"/>
      <c r="I70" s="282"/>
      <c r="J70" s="283"/>
      <c r="K70" s="33"/>
    </row>
    <row r="71" spans="1:11" s="4" customFormat="1" ht="18.75" customHeight="1" x14ac:dyDescent="0.2">
      <c r="A71" s="1"/>
      <c r="B71" s="281"/>
      <c r="C71" s="282"/>
      <c r="D71" s="282"/>
      <c r="E71" s="282"/>
      <c r="F71" s="282"/>
      <c r="G71" s="282"/>
      <c r="H71" s="282"/>
      <c r="I71" s="282"/>
      <c r="J71" s="283"/>
      <c r="K71" s="33"/>
    </row>
    <row r="72" spans="1:11" s="4" customFormat="1" ht="18.75" customHeight="1" x14ac:dyDescent="0.2">
      <c r="A72" s="1"/>
      <c r="B72" s="281"/>
      <c r="C72" s="282"/>
      <c r="D72" s="282"/>
      <c r="E72" s="282"/>
      <c r="F72" s="282"/>
      <c r="G72" s="282"/>
      <c r="H72" s="282"/>
      <c r="I72" s="282"/>
      <c r="J72" s="283"/>
      <c r="K72" s="33"/>
    </row>
    <row r="73" spans="1:11" s="4" customFormat="1" ht="18.75" customHeight="1" x14ac:dyDescent="0.2">
      <c r="A73" s="1"/>
      <c r="B73" s="281"/>
      <c r="C73" s="282"/>
      <c r="D73" s="282"/>
      <c r="E73" s="282"/>
      <c r="F73" s="282"/>
      <c r="G73" s="282"/>
      <c r="H73" s="282"/>
      <c r="I73" s="282"/>
      <c r="J73" s="283"/>
      <c r="K73" s="33"/>
    </row>
    <row r="74" spans="1:11" s="4" customFormat="1" ht="18.75" customHeight="1" x14ac:dyDescent="0.2">
      <c r="A74" s="1"/>
      <c r="B74" s="281"/>
      <c r="C74" s="282"/>
      <c r="D74" s="282"/>
      <c r="E74" s="282"/>
      <c r="F74" s="282"/>
      <c r="G74" s="282"/>
      <c r="H74" s="282"/>
      <c r="I74" s="282"/>
      <c r="J74" s="283"/>
      <c r="K74" s="33"/>
    </row>
    <row r="75" spans="1:11" s="4" customFormat="1" ht="18.75" customHeight="1" x14ac:dyDescent="0.2">
      <c r="A75" s="1"/>
      <c r="B75" s="281"/>
      <c r="C75" s="282"/>
      <c r="D75" s="282"/>
      <c r="E75" s="282"/>
      <c r="F75" s="282"/>
      <c r="G75" s="282"/>
      <c r="H75" s="282"/>
      <c r="I75" s="282"/>
      <c r="J75" s="283"/>
      <c r="K75" s="33"/>
    </row>
    <row r="76" spans="1:11" s="4" customFormat="1" ht="18.75" customHeight="1" x14ac:dyDescent="0.2">
      <c r="A76" s="1"/>
      <c r="B76" s="281"/>
      <c r="C76" s="282"/>
      <c r="D76" s="282"/>
      <c r="E76" s="282"/>
      <c r="F76" s="282"/>
      <c r="G76" s="282"/>
      <c r="H76" s="282"/>
      <c r="I76" s="282"/>
      <c r="J76" s="283"/>
      <c r="K76" s="33"/>
    </row>
    <row r="77" spans="1:11" s="4" customFormat="1" ht="18.75" customHeight="1" x14ac:dyDescent="0.2">
      <c r="A77" s="1"/>
      <c r="B77" s="281"/>
      <c r="C77" s="282"/>
      <c r="D77" s="282"/>
      <c r="E77" s="282"/>
      <c r="F77" s="282"/>
      <c r="G77" s="282"/>
      <c r="H77" s="282"/>
      <c r="I77" s="282"/>
      <c r="J77" s="283"/>
      <c r="K77" s="33"/>
    </row>
    <row r="78" spans="1:11" s="4" customFormat="1" ht="18.75" customHeight="1" x14ac:dyDescent="0.2">
      <c r="A78" s="1"/>
      <c r="B78" s="281"/>
      <c r="C78" s="282"/>
      <c r="D78" s="282"/>
      <c r="E78" s="282"/>
      <c r="F78" s="282"/>
      <c r="G78" s="282"/>
      <c r="H78" s="282"/>
      <c r="I78" s="282"/>
      <c r="J78" s="283"/>
      <c r="K78" s="33"/>
    </row>
    <row r="79" spans="1:11" s="4" customFormat="1" ht="18.75" customHeight="1" x14ac:dyDescent="0.2">
      <c r="A79" s="1"/>
      <c r="B79" s="281"/>
      <c r="C79" s="282"/>
      <c r="D79" s="282"/>
      <c r="E79" s="282"/>
      <c r="F79" s="282"/>
      <c r="G79" s="282"/>
      <c r="H79" s="282"/>
      <c r="I79" s="282"/>
      <c r="J79" s="283"/>
      <c r="K79" s="33"/>
    </row>
    <row r="80" spans="1:11" s="4" customFormat="1" ht="18.75" customHeight="1" x14ac:dyDescent="0.2">
      <c r="A80" s="1"/>
      <c r="B80" s="281"/>
      <c r="C80" s="282"/>
      <c r="D80" s="282"/>
      <c r="E80" s="282"/>
      <c r="F80" s="282"/>
      <c r="G80" s="282"/>
      <c r="H80" s="282"/>
      <c r="I80" s="282"/>
      <c r="J80" s="283"/>
      <c r="K80" s="33"/>
    </row>
    <row r="81" spans="1:11" s="4" customFormat="1" ht="18.75" customHeight="1" x14ac:dyDescent="0.2">
      <c r="A81" s="1"/>
      <c r="B81" s="281"/>
      <c r="C81" s="282"/>
      <c r="D81" s="282"/>
      <c r="E81" s="282"/>
      <c r="F81" s="282"/>
      <c r="G81" s="282"/>
      <c r="H81" s="282"/>
      <c r="I81" s="282"/>
      <c r="J81" s="283"/>
      <c r="K81" s="33"/>
    </row>
    <row r="82" spans="1:11" s="4" customFormat="1" ht="18.75" customHeight="1" x14ac:dyDescent="0.2">
      <c r="A82" s="1"/>
      <c r="B82" s="281"/>
      <c r="C82" s="282"/>
      <c r="D82" s="282"/>
      <c r="E82" s="282"/>
      <c r="F82" s="282"/>
      <c r="G82" s="282"/>
      <c r="H82" s="282"/>
      <c r="I82" s="282"/>
      <c r="J82" s="283"/>
      <c r="K82" s="33"/>
    </row>
    <row r="83" spans="1:11" s="4" customFormat="1" ht="18.75" customHeight="1" x14ac:dyDescent="0.2">
      <c r="A83" s="1"/>
      <c r="B83" s="281"/>
      <c r="C83" s="282"/>
      <c r="D83" s="282"/>
      <c r="E83" s="282"/>
      <c r="F83" s="282"/>
      <c r="G83" s="282"/>
      <c r="H83" s="282"/>
      <c r="I83" s="282"/>
      <c r="J83" s="283"/>
      <c r="K83" s="33"/>
    </row>
    <row r="84" spans="1:11" s="4" customFormat="1" ht="18.75" customHeight="1" x14ac:dyDescent="0.2">
      <c r="A84" s="1"/>
      <c r="B84" s="281"/>
      <c r="C84" s="282"/>
      <c r="D84" s="282"/>
      <c r="E84" s="282"/>
      <c r="F84" s="282"/>
      <c r="G84" s="282"/>
      <c r="H84" s="282"/>
      <c r="I84" s="282"/>
      <c r="J84" s="283"/>
      <c r="K84" s="33"/>
    </row>
    <row r="85" spans="1:11" ht="18.75" customHeight="1" x14ac:dyDescent="0.2">
      <c r="A85" s="37"/>
      <c r="B85" s="281"/>
      <c r="C85" s="282"/>
      <c r="D85" s="282"/>
      <c r="E85" s="282"/>
      <c r="F85" s="282"/>
      <c r="G85" s="282"/>
      <c r="H85" s="282"/>
      <c r="I85" s="282"/>
      <c r="J85" s="283"/>
      <c r="K85" s="33"/>
    </row>
    <row r="86" spans="1:11" ht="18.75" customHeight="1" x14ac:dyDescent="0.2">
      <c r="A86" s="37"/>
      <c r="B86" s="284"/>
      <c r="C86" s="285"/>
      <c r="D86" s="285"/>
      <c r="E86" s="285"/>
      <c r="F86" s="285"/>
      <c r="G86" s="285"/>
      <c r="H86" s="285"/>
      <c r="I86" s="285"/>
      <c r="J86" s="286"/>
      <c r="K86" s="33"/>
    </row>
    <row r="87" spans="1:11" ht="7.5" customHeight="1" x14ac:dyDescent="0.2">
      <c r="A87" s="37"/>
      <c r="B87" s="126"/>
      <c r="C87" s="126"/>
      <c r="D87" s="126"/>
      <c r="E87" s="126"/>
      <c r="F87" s="126"/>
      <c r="G87" s="126"/>
      <c r="H87" s="126"/>
      <c r="I87" s="126"/>
      <c r="J87" s="126"/>
    </row>
    <row r="88" spans="1:11" s="4" customFormat="1" ht="18.75" customHeight="1" x14ac:dyDescent="0.2">
      <c r="A88" s="1" t="s">
        <v>12</v>
      </c>
      <c r="B88" s="14" t="s">
        <v>27</v>
      </c>
      <c r="C88" s="14"/>
      <c r="D88" s="14"/>
      <c r="E88" s="14"/>
      <c r="F88" s="14"/>
      <c r="G88" s="14"/>
      <c r="H88" s="14"/>
      <c r="I88" s="14"/>
      <c r="J88" s="14"/>
      <c r="K88" s="31"/>
    </row>
    <row r="89" spans="1:11" s="4" customFormat="1" ht="18.75" customHeight="1" x14ac:dyDescent="0.2">
      <c r="A89" s="1"/>
      <c r="B89" s="277" t="s">
        <v>191</v>
      </c>
      <c r="C89" s="278"/>
      <c r="D89" s="278"/>
      <c r="E89" s="278"/>
      <c r="F89" s="278"/>
      <c r="G89" s="278"/>
      <c r="H89" s="278"/>
      <c r="I89" s="279"/>
      <c r="J89" s="280"/>
      <c r="K89" s="31"/>
    </row>
    <row r="90" spans="1:11" s="4" customFormat="1" ht="18.75" customHeight="1" x14ac:dyDescent="0.2">
      <c r="A90" s="1"/>
      <c r="B90" s="281"/>
      <c r="C90" s="282"/>
      <c r="D90" s="282"/>
      <c r="E90" s="282"/>
      <c r="F90" s="282"/>
      <c r="G90" s="282"/>
      <c r="H90" s="282"/>
      <c r="I90" s="282"/>
      <c r="J90" s="283"/>
      <c r="K90" s="33"/>
    </row>
    <row r="91" spans="1:11" s="4" customFormat="1" ht="18.75" customHeight="1" x14ac:dyDescent="0.2">
      <c r="A91" s="1"/>
      <c r="B91" s="281"/>
      <c r="C91" s="282"/>
      <c r="D91" s="282"/>
      <c r="E91" s="282"/>
      <c r="F91" s="282"/>
      <c r="G91" s="282"/>
      <c r="H91" s="282"/>
      <c r="I91" s="282"/>
      <c r="J91" s="283"/>
      <c r="K91" s="33" t="str">
        <f>IF(B89="","入力してください","")</f>
        <v/>
      </c>
    </row>
    <row r="92" spans="1:11" s="4" customFormat="1" ht="18.75" customHeight="1" x14ac:dyDescent="0.2">
      <c r="A92" s="1"/>
      <c r="B92" s="281"/>
      <c r="C92" s="282"/>
      <c r="D92" s="282"/>
      <c r="E92" s="282"/>
      <c r="F92" s="282"/>
      <c r="G92" s="282"/>
      <c r="H92" s="282"/>
      <c r="I92" s="282"/>
      <c r="J92" s="283"/>
      <c r="K92" s="33"/>
    </row>
    <row r="93" spans="1:11" s="4" customFormat="1" ht="18.75" customHeight="1" x14ac:dyDescent="0.2">
      <c r="A93" s="1"/>
      <c r="B93" s="281"/>
      <c r="C93" s="282"/>
      <c r="D93" s="282"/>
      <c r="E93" s="282"/>
      <c r="F93" s="282"/>
      <c r="G93" s="282"/>
      <c r="H93" s="282"/>
      <c r="I93" s="282"/>
      <c r="J93" s="283"/>
      <c r="K93" s="33"/>
    </row>
    <row r="94" spans="1:11" s="4" customFormat="1" ht="18.75" customHeight="1" x14ac:dyDescent="0.2">
      <c r="A94" s="1"/>
      <c r="B94" s="281"/>
      <c r="C94" s="282"/>
      <c r="D94" s="282"/>
      <c r="E94" s="282"/>
      <c r="F94" s="282"/>
      <c r="G94" s="282"/>
      <c r="H94" s="282"/>
      <c r="I94" s="282"/>
      <c r="J94" s="283"/>
      <c r="K94" s="33"/>
    </row>
    <row r="95" spans="1:11" s="4" customFormat="1" ht="18.75" customHeight="1" x14ac:dyDescent="0.2">
      <c r="A95" s="1"/>
      <c r="B95" s="281"/>
      <c r="C95" s="282"/>
      <c r="D95" s="282"/>
      <c r="E95" s="282"/>
      <c r="F95" s="282"/>
      <c r="G95" s="282"/>
      <c r="H95" s="282"/>
      <c r="I95" s="282"/>
      <c r="J95" s="283"/>
      <c r="K95" s="33"/>
    </row>
    <row r="96" spans="1:11" s="4" customFormat="1" ht="18.75" customHeight="1" x14ac:dyDescent="0.2">
      <c r="A96" s="1"/>
      <c r="B96" s="281"/>
      <c r="C96" s="282"/>
      <c r="D96" s="282"/>
      <c r="E96" s="282"/>
      <c r="F96" s="282"/>
      <c r="G96" s="282"/>
      <c r="H96" s="282"/>
      <c r="I96" s="282"/>
      <c r="J96" s="283"/>
      <c r="K96" s="33"/>
    </row>
    <row r="97" spans="1:11" s="4" customFormat="1" ht="18.75" customHeight="1" x14ac:dyDescent="0.2">
      <c r="A97" s="1"/>
      <c r="B97" s="281"/>
      <c r="C97" s="282"/>
      <c r="D97" s="282"/>
      <c r="E97" s="282"/>
      <c r="F97" s="282"/>
      <c r="G97" s="282"/>
      <c r="H97" s="282"/>
      <c r="I97" s="282"/>
      <c r="J97" s="283"/>
      <c r="K97" s="33"/>
    </row>
    <row r="98" spans="1:11" s="4" customFormat="1" ht="18.75" customHeight="1" x14ac:dyDescent="0.2">
      <c r="A98" s="1"/>
      <c r="B98" s="281"/>
      <c r="C98" s="282"/>
      <c r="D98" s="282"/>
      <c r="E98" s="282"/>
      <c r="F98" s="282"/>
      <c r="G98" s="282"/>
      <c r="H98" s="282"/>
      <c r="I98" s="282"/>
      <c r="J98" s="283"/>
      <c r="K98" s="33"/>
    </row>
    <row r="99" spans="1:11" s="4" customFormat="1" ht="18.75" customHeight="1" x14ac:dyDescent="0.2">
      <c r="A99" s="1"/>
      <c r="B99" s="281"/>
      <c r="C99" s="282"/>
      <c r="D99" s="282"/>
      <c r="E99" s="282"/>
      <c r="F99" s="282"/>
      <c r="G99" s="282"/>
      <c r="H99" s="282"/>
      <c r="I99" s="282"/>
      <c r="J99" s="283"/>
      <c r="K99" s="33"/>
    </row>
    <row r="100" spans="1:11" s="4" customFormat="1" ht="18.75" customHeight="1" x14ac:dyDescent="0.2">
      <c r="A100" s="1"/>
      <c r="B100" s="281"/>
      <c r="C100" s="282"/>
      <c r="D100" s="282"/>
      <c r="E100" s="282"/>
      <c r="F100" s="282"/>
      <c r="G100" s="282"/>
      <c r="H100" s="282"/>
      <c r="I100" s="282"/>
      <c r="J100" s="283"/>
      <c r="K100" s="33"/>
    </row>
    <row r="101" spans="1:11" s="4" customFormat="1" ht="18.75" customHeight="1" x14ac:dyDescent="0.2">
      <c r="A101" s="1"/>
      <c r="B101" s="281"/>
      <c r="C101" s="282"/>
      <c r="D101" s="282"/>
      <c r="E101" s="282"/>
      <c r="F101" s="282"/>
      <c r="G101" s="282"/>
      <c r="H101" s="282"/>
      <c r="I101" s="282"/>
      <c r="J101" s="283"/>
      <c r="K101" s="33"/>
    </row>
    <row r="102" spans="1:11" s="4" customFormat="1" ht="18.75" customHeight="1" x14ac:dyDescent="0.2">
      <c r="A102" s="1"/>
      <c r="B102" s="281"/>
      <c r="C102" s="282"/>
      <c r="D102" s="282"/>
      <c r="E102" s="282"/>
      <c r="F102" s="282"/>
      <c r="G102" s="282"/>
      <c r="H102" s="282"/>
      <c r="I102" s="282"/>
      <c r="J102" s="283"/>
      <c r="K102" s="33"/>
    </row>
    <row r="103" spans="1:11" s="4" customFormat="1" ht="18.75" customHeight="1" x14ac:dyDescent="0.2">
      <c r="A103" s="1"/>
      <c r="B103" s="281"/>
      <c r="C103" s="282"/>
      <c r="D103" s="282"/>
      <c r="E103" s="282"/>
      <c r="F103" s="282"/>
      <c r="G103" s="282"/>
      <c r="H103" s="282"/>
      <c r="I103" s="282"/>
      <c r="J103" s="283"/>
      <c r="K103" s="33"/>
    </row>
    <row r="104" spans="1:11" s="4" customFormat="1" ht="18.75" customHeight="1" x14ac:dyDescent="0.2">
      <c r="A104" s="1"/>
      <c r="B104" s="281"/>
      <c r="C104" s="282"/>
      <c r="D104" s="282"/>
      <c r="E104" s="282"/>
      <c r="F104" s="282"/>
      <c r="G104" s="282"/>
      <c r="H104" s="282"/>
      <c r="I104" s="282"/>
      <c r="J104" s="283"/>
      <c r="K104" s="33"/>
    </row>
    <row r="105" spans="1:11" s="4" customFormat="1" ht="18.75" customHeight="1" x14ac:dyDescent="0.2">
      <c r="A105" s="1"/>
      <c r="B105" s="281"/>
      <c r="C105" s="282"/>
      <c r="D105" s="282"/>
      <c r="E105" s="282"/>
      <c r="F105" s="282"/>
      <c r="G105" s="282"/>
      <c r="H105" s="282"/>
      <c r="I105" s="282"/>
      <c r="J105" s="283"/>
      <c r="K105" s="33"/>
    </row>
    <row r="106" spans="1:11" s="4" customFormat="1" ht="18.75" customHeight="1" x14ac:dyDescent="0.2">
      <c r="A106" s="1"/>
      <c r="B106" s="281"/>
      <c r="C106" s="282"/>
      <c r="D106" s="282"/>
      <c r="E106" s="282"/>
      <c r="F106" s="282"/>
      <c r="G106" s="282"/>
      <c r="H106" s="282"/>
      <c r="I106" s="282"/>
      <c r="J106" s="283"/>
      <c r="K106" s="33"/>
    </row>
    <row r="107" spans="1:11" ht="18.75" customHeight="1" x14ac:dyDescent="0.2">
      <c r="A107" s="37"/>
      <c r="B107" s="281"/>
      <c r="C107" s="282"/>
      <c r="D107" s="282"/>
      <c r="E107" s="282"/>
      <c r="F107" s="282"/>
      <c r="G107" s="282"/>
      <c r="H107" s="282"/>
      <c r="I107" s="282"/>
      <c r="J107" s="283"/>
      <c r="K107" s="33"/>
    </row>
    <row r="108" spans="1:11" ht="18.75" customHeight="1" x14ac:dyDescent="0.2">
      <c r="A108" s="37"/>
      <c r="B108" s="284"/>
      <c r="C108" s="285"/>
      <c r="D108" s="285"/>
      <c r="E108" s="285"/>
      <c r="F108" s="285"/>
      <c r="G108" s="285"/>
      <c r="H108" s="285"/>
      <c r="I108" s="285"/>
      <c r="J108" s="286"/>
      <c r="K108" s="33"/>
    </row>
    <row r="109" spans="1:11" ht="7.5" customHeight="1" x14ac:dyDescent="0.2">
      <c r="A109" s="37"/>
      <c r="B109" s="126"/>
      <c r="C109" s="126"/>
      <c r="D109" s="126"/>
      <c r="E109" s="126"/>
      <c r="F109" s="126"/>
      <c r="G109" s="126"/>
      <c r="H109" s="126"/>
      <c r="I109" s="126"/>
      <c r="J109" s="126"/>
    </row>
    <row r="110" spans="1:11" s="4" customFormat="1" ht="18.75" customHeight="1" x14ac:dyDescent="0.2">
      <c r="A110" s="1" t="s">
        <v>52</v>
      </c>
      <c r="B110" s="294" t="s">
        <v>80</v>
      </c>
      <c r="C110" s="294"/>
      <c r="D110" s="294"/>
      <c r="E110" s="294"/>
      <c r="F110" s="294"/>
      <c r="G110" s="294"/>
      <c r="H110" s="294"/>
      <c r="I110" s="294"/>
      <c r="J110" s="294"/>
      <c r="K110" s="31"/>
    </row>
    <row r="111" spans="1:11" ht="18.75" customHeight="1" x14ac:dyDescent="0.2">
      <c r="A111" s="37"/>
      <c r="B111" s="277" t="s">
        <v>192</v>
      </c>
      <c r="C111" s="278"/>
      <c r="D111" s="278"/>
      <c r="E111" s="278"/>
      <c r="F111" s="278"/>
      <c r="G111" s="278"/>
      <c r="H111" s="278"/>
      <c r="I111" s="279"/>
      <c r="J111" s="280"/>
    </row>
    <row r="112" spans="1:11" ht="18.75" customHeight="1" x14ac:dyDescent="0.2">
      <c r="A112" s="37"/>
      <c r="B112" s="281"/>
      <c r="C112" s="282"/>
      <c r="D112" s="282"/>
      <c r="E112" s="282"/>
      <c r="F112" s="282"/>
      <c r="G112" s="282"/>
      <c r="H112" s="282"/>
      <c r="I112" s="282"/>
      <c r="J112" s="283"/>
      <c r="K112" s="33"/>
    </row>
    <row r="113" spans="1:11" ht="18.75" customHeight="1" x14ac:dyDescent="0.2">
      <c r="A113" s="37"/>
      <c r="B113" s="281"/>
      <c r="C113" s="282"/>
      <c r="D113" s="282"/>
      <c r="E113" s="282"/>
      <c r="F113" s="282"/>
      <c r="G113" s="282"/>
      <c r="H113" s="282"/>
      <c r="I113" s="282"/>
      <c r="J113" s="283"/>
      <c r="K113" s="31" t="str">
        <f>IF(B111="","入力してください","")</f>
        <v/>
      </c>
    </row>
    <row r="114" spans="1:11" ht="18.75" customHeight="1" x14ac:dyDescent="0.2">
      <c r="A114" s="37"/>
      <c r="B114" s="281"/>
      <c r="C114" s="282"/>
      <c r="D114" s="282"/>
      <c r="E114" s="282"/>
      <c r="F114" s="282"/>
      <c r="G114" s="282"/>
      <c r="H114" s="282"/>
      <c r="I114" s="282"/>
      <c r="J114" s="283"/>
    </row>
    <row r="115" spans="1:11" ht="18.75" customHeight="1" x14ac:dyDescent="0.2">
      <c r="A115" s="37"/>
      <c r="B115" s="281"/>
      <c r="C115" s="282"/>
      <c r="D115" s="282"/>
      <c r="E115" s="282"/>
      <c r="F115" s="282"/>
      <c r="G115" s="282"/>
      <c r="H115" s="282"/>
      <c r="I115" s="282"/>
      <c r="J115" s="283"/>
    </row>
    <row r="116" spans="1:11" ht="18.75" customHeight="1" x14ac:dyDescent="0.2">
      <c r="A116" s="37"/>
      <c r="B116" s="281"/>
      <c r="C116" s="282"/>
      <c r="D116" s="282"/>
      <c r="E116" s="282"/>
      <c r="F116" s="282"/>
      <c r="G116" s="282"/>
      <c r="H116" s="282"/>
      <c r="I116" s="282"/>
      <c r="J116" s="283"/>
    </row>
    <row r="117" spans="1:11" ht="18.75" customHeight="1" x14ac:dyDescent="0.2">
      <c r="A117" s="37"/>
      <c r="B117" s="281"/>
      <c r="C117" s="282"/>
      <c r="D117" s="282"/>
      <c r="E117" s="282"/>
      <c r="F117" s="282"/>
      <c r="G117" s="282"/>
      <c r="H117" s="282"/>
      <c r="I117" s="282"/>
      <c r="J117" s="283"/>
    </row>
    <row r="118" spans="1:11" ht="18.75" customHeight="1" x14ac:dyDescent="0.2">
      <c r="A118" s="37"/>
      <c r="B118" s="281"/>
      <c r="C118" s="282"/>
      <c r="D118" s="282"/>
      <c r="E118" s="282"/>
      <c r="F118" s="282"/>
      <c r="G118" s="282"/>
      <c r="H118" s="282"/>
      <c r="I118" s="282"/>
      <c r="J118" s="283"/>
    </row>
    <row r="119" spans="1:11" ht="18.75" customHeight="1" x14ac:dyDescent="0.2">
      <c r="A119" s="37"/>
      <c r="B119" s="281"/>
      <c r="C119" s="282"/>
      <c r="D119" s="282"/>
      <c r="E119" s="282"/>
      <c r="F119" s="282"/>
      <c r="G119" s="282"/>
      <c r="H119" s="282"/>
      <c r="I119" s="282"/>
      <c r="J119" s="283"/>
    </row>
    <row r="120" spans="1:11" ht="18.75" customHeight="1" x14ac:dyDescent="0.2">
      <c r="A120" s="37"/>
      <c r="B120" s="281"/>
      <c r="C120" s="282"/>
      <c r="D120" s="282"/>
      <c r="E120" s="282"/>
      <c r="F120" s="282"/>
      <c r="G120" s="282"/>
      <c r="H120" s="282"/>
      <c r="I120" s="282"/>
      <c r="J120" s="283"/>
    </row>
    <row r="121" spans="1:11" ht="18.75" customHeight="1" x14ac:dyDescent="0.2">
      <c r="A121" s="37"/>
      <c r="B121" s="281"/>
      <c r="C121" s="282"/>
      <c r="D121" s="282"/>
      <c r="E121" s="282"/>
      <c r="F121" s="282"/>
      <c r="G121" s="282"/>
      <c r="H121" s="282"/>
      <c r="I121" s="282"/>
      <c r="J121" s="283"/>
    </row>
    <row r="122" spans="1:11" ht="18.75" customHeight="1" x14ac:dyDescent="0.2">
      <c r="A122" s="37"/>
      <c r="B122" s="281"/>
      <c r="C122" s="282"/>
      <c r="D122" s="282"/>
      <c r="E122" s="282"/>
      <c r="F122" s="282"/>
      <c r="G122" s="282"/>
      <c r="H122" s="282"/>
      <c r="I122" s="282"/>
      <c r="J122" s="283"/>
    </row>
    <row r="123" spans="1:11" ht="18.75" customHeight="1" x14ac:dyDescent="0.2">
      <c r="A123" s="37"/>
      <c r="B123" s="281"/>
      <c r="C123" s="282"/>
      <c r="D123" s="282"/>
      <c r="E123" s="282"/>
      <c r="F123" s="282"/>
      <c r="G123" s="282"/>
      <c r="H123" s="282"/>
      <c r="I123" s="282"/>
      <c r="J123" s="283"/>
    </row>
    <row r="124" spans="1:11" ht="18.75" customHeight="1" x14ac:dyDescent="0.2">
      <c r="A124" s="37"/>
      <c r="B124" s="281"/>
      <c r="C124" s="282"/>
      <c r="D124" s="282"/>
      <c r="E124" s="282"/>
      <c r="F124" s="282"/>
      <c r="G124" s="282"/>
      <c r="H124" s="282"/>
      <c r="I124" s="282"/>
      <c r="J124" s="283"/>
    </row>
    <row r="125" spans="1:11" ht="18.75" customHeight="1" x14ac:dyDescent="0.2">
      <c r="A125" s="37"/>
      <c r="B125" s="281"/>
      <c r="C125" s="282"/>
      <c r="D125" s="282"/>
      <c r="E125" s="282"/>
      <c r="F125" s="282"/>
      <c r="G125" s="282"/>
      <c r="H125" s="282"/>
      <c r="I125" s="282"/>
      <c r="J125" s="283"/>
    </row>
    <row r="126" spans="1:11" ht="18.75" customHeight="1" x14ac:dyDescent="0.2">
      <c r="A126" s="37"/>
      <c r="B126" s="281"/>
      <c r="C126" s="282"/>
      <c r="D126" s="282"/>
      <c r="E126" s="282"/>
      <c r="F126" s="282"/>
      <c r="G126" s="282"/>
      <c r="H126" s="282"/>
      <c r="I126" s="282"/>
      <c r="J126" s="283"/>
    </row>
    <row r="127" spans="1:11" ht="18.75" customHeight="1" x14ac:dyDescent="0.2">
      <c r="A127" s="37"/>
      <c r="B127" s="281"/>
      <c r="C127" s="282"/>
      <c r="D127" s="282"/>
      <c r="E127" s="282"/>
      <c r="F127" s="282"/>
      <c r="G127" s="282"/>
      <c r="H127" s="282"/>
      <c r="I127" s="282"/>
      <c r="J127" s="283"/>
    </row>
    <row r="128" spans="1:11" ht="18.75" customHeight="1" x14ac:dyDescent="0.2">
      <c r="A128" s="37"/>
      <c r="B128" s="281"/>
      <c r="C128" s="282"/>
      <c r="D128" s="282"/>
      <c r="E128" s="282"/>
      <c r="F128" s="282"/>
      <c r="G128" s="282"/>
      <c r="H128" s="282"/>
      <c r="I128" s="282"/>
      <c r="J128" s="283"/>
    </row>
    <row r="129" spans="1:10" ht="18.75" customHeight="1" x14ac:dyDescent="0.2">
      <c r="A129" s="37"/>
      <c r="B129" s="284"/>
      <c r="C129" s="285"/>
      <c r="D129" s="285"/>
      <c r="E129" s="285"/>
      <c r="F129" s="285"/>
      <c r="G129" s="285"/>
      <c r="H129" s="285"/>
      <c r="I129" s="285"/>
      <c r="J129" s="286"/>
    </row>
    <row r="130" spans="1:10" ht="7.5" customHeight="1" x14ac:dyDescent="0.2">
      <c r="A130" s="37"/>
      <c r="B130" s="102"/>
      <c r="C130" s="102"/>
      <c r="D130" s="102"/>
      <c r="E130" s="102"/>
      <c r="F130" s="102"/>
      <c r="G130" s="102"/>
      <c r="H130" s="102"/>
      <c r="I130" s="102"/>
      <c r="J130" s="102"/>
    </row>
    <row r="131" spans="1:10" ht="18.75" customHeight="1" x14ac:dyDescent="0.2">
      <c r="A131" s="37"/>
      <c r="B131" s="37"/>
      <c r="C131" s="37"/>
      <c r="D131" s="37"/>
      <c r="E131" s="37"/>
      <c r="F131" s="37"/>
      <c r="G131" s="37"/>
      <c r="H131" s="37"/>
      <c r="I131" s="37"/>
      <c r="J131" s="37"/>
    </row>
    <row r="132" spans="1:10" ht="18.75" customHeight="1" x14ac:dyDescent="0.2">
      <c r="A132" s="37"/>
      <c r="B132" s="37"/>
      <c r="C132" s="37"/>
      <c r="D132" s="37"/>
      <c r="E132" s="37"/>
      <c r="F132" s="37"/>
      <c r="G132" s="37"/>
      <c r="H132" s="37"/>
      <c r="I132" s="37"/>
      <c r="J132" s="37"/>
    </row>
    <row r="133" spans="1:10" ht="18.75" customHeight="1" x14ac:dyDescent="0.2">
      <c r="A133" s="37"/>
      <c r="B133" s="37"/>
      <c r="C133" s="37"/>
      <c r="D133" s="37"/>
      <c r="E133" s="37"/>
      <c r="F133" s="37"/>
      <c r="G133" s="37"/>
      <c r="H133" s="37"/>
      <c r="I133" s="37"/>
      <c r="J133" s="37"/>
    </row>
    <row r="134" spans="1:10" ht="18.75" customHeight="1" x14ac:dyDescent="0.2">
      <c r="A134" s="37"/>
      <c r="B134" s="37"/>
      <c r="C134" s="37"/>
      <c r="D134" s="37"/>
      <c r="E134" s="37"/>
      <c r="F134" s="37"/>
      <c r="G134" s="37"/>
      <c r="H134" s="37"/>
      <c r="I134" s="37"/>
      <c r="J134" s="37"/>
    </row>
    <row r="135" spans="1:10" ht="18.75" customHeight="1" x14ac:dyDescent="0.2">
      <c r="A135" s="37"/>
      <c r="B135" s="37"/>
      <c r="C135" s="37"/>
      <c r="D135" s="37"/>
      <c r="E135" s="37"/>
      <c r="F135" s="37"/>
      <c r="G135" s="37"/>
      <c r="H135" s="37"/>
      <c r="I135" s="37"/>
      <c r="J135" s="37"/>
    </row>
    <row r="136" spans="1:10" ht="18.75" customHeight="1" x14ac:dyDescent="0.2">
      <c r="A136" s="37"/>
      <c r="B136" s="37"/>
      <c r="C136" s="37"/>
      <c r="D136" s="37"/>
      <c r="E136" s="37"/>
      <c r="F136" s="37"/>
      <c r="G136" s="37"/>
      <c r="H136" s="37"/>
      <c r="I136" s="37"/>
      <c r="J136" s="37"/>
    </row>
    <row r="137" spans="1:10" ht="18.75" customHeight="1" x14ac:dyDescent="0.2">
      <c r="A137" s="37"/>
      <c r="B137" s="37"/>
      <c r="C137" s="37"/>
      <c r="D137" s="37"/>
      <c r="E137" s="37"/>
      <c r="F137" s="37"/>
      <c r="G137" s="37"/>
      <c r="H137" s="37"/>
      <c r="I137" s="37"/>
      <c r="J137" s="37"/>
    </row>
    <row r="138" spans="1:10" ht="18.75" customHeight="1" x14ac:dyDescent="0.2">
      <c r="A138" s="37"/>
      <c r="B138" s="37"/>
      <c r="C138" s="37"/>
      <c r="D138" s="37"/>
      <c r="E138" s="37"/>
      <c r="F138" s="37"/>
      <c r="G138" s="37"/>
      <c r="H138" s="37"/>
      <c r="I138" s="37"/>
      <c r="J138" s="37"/>
    </row>
    <row r="139" spans="1:10" ht="18.75" customHeight="1" x14ac:dyDescent="0.2">
      <c r="A139" s="37"/>
      <c r="B139" s="37"/>
      <c r="C139" s="37"/>
      <c r="D139" s="37"/>
      <c r="E139" s="37"/>
      <c r="F139" s="37"/>
      <c r="G139" s="37"/>
      <c r="H139" s="37"/>
      <c r="I139" s="37"/>
      <c r="J139" s="37"/>
    </row>
    <row r="140" spans="1:10" ht="18.75" customHeight="1" x14ac:dyDescent="0.2">
      <c r="A140" s="37"/>
      <c r="B140" s="37"/>
      <c r="C140" s="37"/>
      <c r="D140" s="37"/>
      <c r="E140" s="37"/>
      <c r="F140" s="37"/>
      <c r="G140" s="37"/>
      <c r="H140" s="37"/>
      <c r="I140" s="37"/>
      <c r="J140" s="37"/>
    </row>
    <row r="141" spans="1:10" ht="18.75" customHeight="1" x14ac:dyDescent="0.2">
      <c r="A141" s="37"/>
      <c r="B141" s="37"/>
      <c r="C141" s="37"/>
      <c r="D141" s="37"/>
      <c r="E141" s="37"/>
      <c r="F141" s="37"/>
      <c r="G141" s="37"/>
      <c r="H141" s="37"/>
      <c r="I141" s="37"/>
      <c r="J141" s="37"/>
    </row>
    <row r="142" spans="1:10" ht="18.75" customHeight="1" x14ac:dyDescent="0.2">
      <c r="A142" s="37"/>
      <c r="B142" s="37"/>
      <c r="C142" s="37"/>
      <c r="D142" s="37"/>
      <c r="E142" s="37"/>
      <c r="F142" s="37"/>
      <c r="G142" s="37"/>
      <c r="H142" s="37"/>
      <c r="I142" s="37"/>
      <c r="J142" s="37"/>
    </row>
    <row r="143" spans="1:10" ht="14.4" x14ac:dyDescent="0.2">
      <c r="A143" s="37"/>
      <c r="B143" s="37"/>
      <c r="C143" s="37"/>
      <c r="D143" s="37"/>
      <c r="E143" s="37"/>
      <c r="F143" s="37"/>
      <c r="G143" s="37"/>
      <c r="H143" s="37"/>
      <c r="I143" s="37"/>
      <c r="J143" s="37"/>
    </row>
    <row r="144" spans="1:10" ht="7.5" customHeight="1" x14ac:dyDescent="0.2">
      <c r="A144" s="103"/>
      <c r="B144" s="103"/>
      <c r="C144" s="103"/>
      <c r="D144" s="103"/>
      <c r="E144" s="103"/>
      <c r="F144" s="103"/>
      <c r="G144" s="103"/>
      <c r="H144" s="103"/>
      <c r="I144" s="103"/>
      <c r="J144" s="103"/>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G18" sqref="G18:J18"/>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x14ac:dyDescent="0.2">
      <c r="A1" s="1" t="s">
        <v>121</v>
      </c>
      <c r="J1" s="39" t="s">
        <v>71</v>
      </c>
    </row>
    <row r="2" spans="1:11" ht="18.75" customHeight="1" x14ac:dyDescent="0.2">
      <c r="A2" s="251" t="s">
        <v>42</v>
      </c>
      <c r="B2" s="251"/>
      <c r="C2" s="251"/>
      <c r="D2" s="251"/>
      <c r="E2" s="251"/>
      <c r="F2" s="251"/>
      <c r="G2" s="251"/>
      <c r="H2" s="251"/>
      <c r="I2" s="251"/>
      <c r="J2" s="251"/>
    </row>
    <row r="3" spans="1:11" ht="7.5" customHeight="1" x14ac:dyDescent="0.2">
      <c r="A3" s="40"/>
      <c r="B3" s="40"/>
      <c r="C3" s="40"/>
      <c r="D3" s="40"/>
      <c r="E3" s="40"/>
      <c r="F3" s="40"/>
      <c r="G3" s="40"/>
      <c r="H3" s="40"/>
      <c r="I3" s="40"/>
      <c r="J3" s="40"/>
    </row>
    <row r="4" spans="1:11" ht="18.75" customHeight="1" x14ac:dyDescent="0.2">
      <c r="A4" s="1" t="s">
        <v>6</v>
      </c>
      <c r="B4" s="4" t="s">
        <v>41</v>
      </c>
      <c r="C4" s="37"/>
      <c r="D4" s="37"/>
      <c r="E4" s="38"/>
      <c r="F4" s="38"/>
      <c r="G4" s="38"/>
      <c r="H4" s="38"/>
      <c r="I4" s="38"/>
      <c r="J4" s="38"/>
    </row>
    <row r="5" spans="1:11" ht="18.75" customHeight="1" x14ac:dyDescent="0.2">
      <c r="B5" s="300" t="s">
        <v>38</v>
      </c>
      <c r="C5" s="301"/>
      <c r="D5" s="302"/>
      <c r="E5" s="303" t="s">
        <v>40</v>
      </c>
      <c r="F5" s="303"/>
      <c r="G5" s="303"/>
      <c r="H5" s="303"/>
      <c r="I5" s="303"/>
      <c r="J5" s="304"/>
    </row>
    <row r="6" spans="1:11" ht="18.75" customHeight="1" x14ac:dyDescent="0.2">
      <c r="B6" s="3" t="s">
        <v>28</v>
      </c>
      <c r="C6" s="37"/>
      <c r="D6" s="7"/>
      <c r="I6" s="38"/>
      <c r="J6" s="5"/>
    </row>
    <row r="7" spans="1:11" ht="207" customHeight="1" x14ac:dyDescent="0.2">
      <c r="B7" s="6"/>
      <c r="C7" s="305" t="s">
        <v>29</v>
      </c>
      <c r="D7" s="306"/>
      <c r="E7" s="297" t="s">
        <v>193</v>
      </c>
      <c r="F7" s="298"/>
      <c r="G7" s="298"/>
      <c r="H7" s="298"/>
      <c r="I7" s="298"/>
      <c r="J7" s="299"/>
      <c r="K7" s="31" t="str">
        <f>IF(E7="","入力してください","")</f>
        <v/>
      </c>
    </row>
    <row r="8" spans="1:11" ht="207" customHeight="1" x14ac:dyDescent="0.2">
      <c r="B8" s="6"/>
      <c r="C8" s="295" t="s">
        <v>30</v>
      </c>
      <c r="D8" s="296"/>
      <c r="E8" s="297" t="s">
        <v>194</v>
      </c>
      <c r="F8" s="298"/>
      <c r="G8" s="298"/>
      <c r="H8" s="298"/>
      <c r="I8" s="298"/>
      <c r="J8" s="299"/>
      <c r="K8" s="31" t="str">
        <f>IF(E8="","入力してください","")</f>
        <v/>
      </c>
    </row>
    <row r="9" spans="1:11" ht="172.5" customHeight="1" x14ac:dyDescent="0.2">
      <c r="B9" s="6"/>
      <c r="C9" s="305" t="s">
        <v>31</v>
      </c>
      <c r="D9" s="306"/>
      <c r="E9" s="297" t="s">
        <v>195</v>
      </c>
      <c r="F9" s="298"/>
      <c r="G9" s="298"/>
      <c r="H9" s="298"/>
      <c r="I9" s="298"/>
      <c r="J9" s="299"/>
      <c r="K9" s="31" t="str">
        <f>IF(E9="","入力してください","")</f>
        <v/>
      </c>
    </row>
    <row r="10" spans="1:11" ht="172.5" customHeight="1" x14ac:dyDescent="0.2">
      <c r="B10" s="6"/>
      <c r="C10" s="305" t="s">
        <v>32</v>
      </c>
      <c r="D10" s="306"/>
      <c r="E10" s="297" t="s">
        <v>196</v>
      </c>
      <c r="F10" s="298"/>
      <c r="G10" s="298"/>
      <c r="H10" s="298"/>
      <c r="I10" s="298"/>
      <c r="J10" s="299"/>
      <c r="K10" s="31" t="str">
        <f t="shared" ref="K10:K14" si="0">IF(E10="","入力してください","")</f>
        <v/>
      </c>
    </row>
    <row r="11" spans="1:11" ht="172.5" customHeight="1" x14ac:dyDescent="0.2">
      <c r="B11" s="6"/>
      <c r="C11" s="305" t="s">
        <v>33</v>
      </c>
      <c r="D11" s="306"/>
      <c r="E11" s="297" t="s">
        <v>197</v>
      </c>
      <c r="F11" s="298"/>
      <c r="G11" s="298"/>
      <c r="H11" s="298"/>
      <c r="I11" s="298"/>
      <c r="J11" s="299"/>
      <c r="K11" s="31" t="str">
        <f t="shared" si="0"/>
        <v/>
      </c>
    </row>
    <row r="12" spans="1:11" ht="18.75" customHeight="1" x14ac:dyDescent="0.2">
      <c r="B12" s="9" t="s">
        <v>34</v>
      </c>
      <c r="C12" s="28"/>
      <c r="D12" s="8"/>
      <c r="E12" s="127"/>
      <c r="F12" s="127"/>
      <c r="G12" s="127"/>
      <c r="H12" s="127"/>
      <c r="I12" s="127"/>
      <c r="J12" s="128"/>
    </row>
    <row r="13" spans="1:11" ht="244.2" customHeight="1" x14ac:dyDescent="0.2">
      <c r="B13" s="6"/>
      <c r="C13" s="305" t="s">
        <v>35</v>
      </c>
      <c r="D13" s="306"/>
      <c r="E13" s="298" t="s">
        <v>198</v>
      </c>
      <c r="F13" s="298"/>
      <c r="G13" s="298"/>
      <c r="H13" s="298"/>
      <c r="I13" s="298"/>
      <c r="J13" s="299"/>
      <c r="K13" s="31" t="str">
        <f t="shared" si="0"/>
        <v/>
      </c>
    </row>
    <row r="14" spans="1:11" ht="255" customHeight="1" x14ac:dyDescent="0.2">
      <c r="B14" s="6"/>
      <c r="C14" s="305" t="s">
        <v>36</v>
      </c>
      <c r="D14" s="306"/>
      <c r="E14" s="298" t="s">
        <v>199</v>
      </c>
      <c r="F14" s="298"/>
      <c r="G14" s="298"/>
      <c r="H14" s="298"/>
      <c r="I14" s="298"/>
      <c r="J14" s="299"/>
      <c r="K14" s="31" t="str">
        <f t="shared" si="0"/>
        <v/>
      </c>
    </row>
    <row r="15" spans="1:11" ht="243" customHeight="1" x14ac:dyDescent="0.2">
      <c r="B15" s="313" t="s">
        <v>37</v>
      </c>
      <c r="C15" s="314"/>
      <c r="D15" s="306"/>
      <c r="E15" s="298" t="s">
        <v>200</v>
      </c>
      <c r="F15" s="298"/>
      <c r="G15" s="298"/>
      <c r="H15" s="298"/>
      <c r="I15" s="298"/>
      <c r="J15" s="299"/>
      <c r="K15" s="31" t="str">
        <f>IF(E15="","入力してください","")</f>
        <v/>
      </c>
    </row>
    <row r="16" spans="1:11" ht="243" customHeight="1" x14ac:dyDescent="0.2">
      <c r="A16" s="31"/>
      <c r="B16" s="307" t="s">
        <v>64</v>
      </c>
      <c r="C16" s="308"/>
      <c r="D16" s="309"/>
      <c r="E16" s="292" t="s">
        <v>201</v>
      </c>
      <c r="F16" s="292"/>
      <c r="G16" s="292"/>
      <c r="H16" s="292"/>
      <c r="I16" s="292"/>
      <c r="J16" s="293"/>
      <c r="K16" s="31" t="str">
        <f>IF(E16="","入力してください","")</f>
        <v/>
      </c>
    </row>
    <row r="17" spans="1:11" ht="7.5" customHeight="1" x14ac:dyDescent="0.2">
      <c r="B17" s="37"/>
      <c r="C17" s="37"/>
      <c r="D17" s="37"/>
      <c r="E17" s="38"/>
      <c r="F17" s="38"/>
      <c r="G17" s="38"/>
      <c r="H17" s="38"/>
      <c r="I17" s="38"/>
      <c r="J17" s="38"/>
    </row>
    <row r="18" spans="1:11" ht="18.75" customHeight="1" x14ac:dyDescent="0.2">
      <c r="A18" s="1" t="s">
        <v>122</v>
      </c>
      <c r="B18" s="4"/>
      <c r="C18" s="37"/>
      <c r="D18" s="37"/>
      <c r="E18" s="38"/>
      <c r="F18" s="92"/>
      <c r="G18" s="310" t="s">
        <v>182</v>
      </c>
      <c r="H18" s="311"/>
      <c r="I18" s="311"/>
      <c r="J18" s="312"/>
      <c r="K18" s="31" t="str">
        <f>IF(G18="","入力してください","")</f>
        <v/>
      </c>
    </row>
    <row r="19" spans="1:11" ht="22.5" customHeight="1" x14ac:dyDescent="0.2">
      <c r="B19" s="37"/>
      <c r="C19" s="37"/>
      <c r="D19" s="37"/>
      <c r="E19" s="38"/>
      <c r="F19" s="38"/>
      <c r="G19" s="38"/>
      <c r="H19" s="38"/>
      <c r="I19" s="38"/>
      <c r="J19" s="38"/>
    </row>
    <row r="20" spans="1:11" ht="22.5" customHeight="1" x14ac:dyDescent="0.2">
      <c r="B20" s="37"/>
      <c r="C20" s="37"/>
      <c r="D20" s="37"/>
      <c r="E20" s="38"/>
      <c r="F20" s="38"/>
      <c r="G20" s="38"/>
      <c r="H20" s="38"/>
      <c r="I20" s="38"/>
      <c r="J20" s="38"/>
    </row>
    <row r="21" spans="1:11" ht="22.5" customHeight="1" x14ac:dyDescent="0.2">
      <c r="B21" s="37"/>
      <c r="C21" s="37"/>
      <c r="D21" s="37"/>
      <c r="E21" s="38"/>
      <c r="F21" s="38"/>
      <c r="G21" s="38"/>
      <c r="H21" s="38"/>
      <c r="I21" s="38"/>
      <c r="J21" s="38"/>
    </row>
    <row r="22" spans="1:11" ht="22.5" customHeight="1" x14ac:dyDescent="0.2">
      <c r="B22" s="37"/>
      <c r="C22" s="37"/>
      <c r="D22" s="37"/>
      <c r="E22" s="38"/>
      <c r="F22" s="38"/>
      <c r="G22" s="38"/>
      <c r="H22" s="38"/>
      <c r="I22" s="38"/>
      <c r="J22" s="38"/>
    </row>
    <row r="23" spans="1:11" ht="22.5" customHeight="1" x14ac:dyDescent="0.2">
      <c r="B23" s="37"/>
      <c r="C23" s="37"/>
      <c r="D23" s="37"/>
      <c r="E23" s="38"/>
      <c r="F23" s="38"/>
      <c r="G23" s="38"/>
      <c r="H23" s="38"/>
      <c r="I23" s="38"/>
      <c r="J23" s="38"/>
    </row>
    <row r="24" spans="1:11" ht="22.5" customHeight="1" x14ac:dyDescent="0.2">
      <c r="B24" s="104"/>
      <c r="C24" s="104"/>
      <c r="D24" s="104"/>
      <c r="E24" s="104"/>
      <c r="F24" s="104"/>
      <c r="G24" s="104"/>
      <c r="H24" s="104"/>
      <c r="I24" s="104"/>
      <c r="J24" s="104"/>
    </row>
    <row r="25" spans="1:11" ht="22.5" customHeight="1" x14ac:dyDescent="0.2">
      <c r="B25" s="104"/>
      <c r="C25" s="104"/>
      <c r="D25" s="104"/>
      <c r="E25" s="104"/>
      <c r="F25" s="104"/>
      <c r="G25" s="104"/>
      <c r="H25" s="104"/>
      <c r="I25" s="104"/>
      <c r="J25" s="104"/>
    </row>
    <row r="26" spans="1:11" ht="22.5" customHeight="1" x14ac:dyDescent="0.2">
      <c r="B26" s="104"/>
      <c r="C26" s="104"/>
      <c r="D26" s="104"/>
      <c r="E26" s="104"/>
      <c r="F26" s="104"/>
      <c r="G26" s="104"/>
      <c r="H26" s="104"/>
      <c r="I26" s="104"/>
      <c r="J26" s="10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　大学等概要</vt:lpstr>
      <vt:lpstr>様式２-１国際　プログラムを構成する授業科目</vt:lpstr>
      <vt:lpstr>様式２-２教育　プログラムを構成する授業科目</vt:lpstr>
      <vt:lpstr>様式２-３医学　プログラムを構成する授業科目</vt:lpstr>
      <vt:lpstr>様式２-４理工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'様式２-１国際　プログラムを構成する授業科目'!Print_Area</vt:lpstr>
      <vt:lpstr>'様式２-２教育　プログラムを構成する授業科目'!Print_Area</vt:lpstr>
      <vt:lpstr>'様式２-３医学　プログラムを構成する授業科目'!Print_Area</vt:lpstr>
      <vt:lpstr>'様式２-４理工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22547518</cp:lastModifiedBy>
  <cp:lastPrinted>2022-04-12T08:55:38Z</cp:lastPrinted>
  <dcterms:created xsi:type="dcterms:W3CDTF">2011-06-14T05:32:50Z</dcterms:created>
  <dcterms:modified xsi:type="dcterms:W3CDTF">2022-05-17T06:46:42Z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