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Nupals01\nupals\教務G\教務共通\数理データサイエンス教育推進専門委員会\20220520提出　数理データサイエンス申請\01新潟薬科大学_リテラシー\"/>
    </mc:Choice>
  </mc:AlternateContent>
  <bookViews>
    <workbookView xWindow="0" yWindow="0" windowWidth="28800" windowHeight="11685" tabRatio="885"/>
  </bookViews>
  <sheets>
    <sheet name="様式１　大学等概要" sheetId="8" r:id="rId1"/>
    <sheet name="様式２-1プログラムを構成する授業科目" sheetId="45" r:id="rId2"/>
    <sheet name="様式２-2　プログラムを構成する授業科目" sheetId="44" r:id="rId3"/>
    <sheet name="様式２-3　プログラムを構成する授業科目" sheetId="39" r:id="rId4"/>
    <sheet name="様式３　履修者等数の実績" sheetId="40" r:id="rId5"/>
    <sheet name="様式４　教育の質・履修者数を向上させるための体制・計画" sheetId="41" r:id="rId6"/>
    <sheet name="様式５　自己点検・評価" sheetId="42" r:id="rId7"/>
  </sheets>
  <definedNames>
    <definedName name="_xlnm._FilterDatabase" localSheetId="1" hidden="1">'様式２-1プログラムを構成する授業科目'!#REF!</definedName>
    <definedName name="_xlnm._FilterDatabase" localSheetId="2" hidden="1">'様式２-2　プログラムを構成する授業科目'!#REF!</definedName>
    <definedName name="_xlnm._FilterDatabase" localSheetId="3" hidden="1">'様式２-3　プログラムを構成する授業科目'!#REF!</definedName>
    <definedName name="_xlnm._FilterDatabase" localSheetId="4" hidden="1">'様式３　履修者等数の実績'!#REF!</definedName>
    <definedName name="_xlnm.Print_Area" localSheetId="0">'様式１　大学等概要'!$A$1:$N$47</definedName>
    <definedName name="_xlnm.Print_Area" localSheetId="1">'様式２-1プログラムを構成する授業科目'!$A$1:$Z$65</definedName>
    <definedName name="_xlnm.Print_Area" localSheetId="2">'様式２-2　プログラムを構成する授業科目'!$A$1:$Z$64</definedName>
    <definedName name="_xlnm.Print_Area" localSheetId="3">'様式２-3　プログラムを構成する授業科目'!$A$1:$Z$69</definedName>
    <definedName name="_xlnm.Print_Area" localSheetId="4">'様式３　履修者等数の実績'!$A$1:$R$13</definedName>
    <definedName name="_xlnm.Print_Area" localSheetId="5">'様式４　教育の質・履修者数を向上させるための体制・計画'!$A$1:$J$61</definedName>
    <definedName name="_xlnm.Print_Area" localSheetId="6">'様式５　自己点検・評価'!$A$1:$J$19</definedName>
  </definedNames>
  <calcPr calcId="162913"/>
</workbook>
</file>

<file path=xl/calcChain.xml><?xml version="1.0" encoding="utf-8"?>
<calcChain xmlns="http://schemas.openxmlformats.org/spreadsheetml/2006/main">
  <c r="C4" i="40" l="1"/>
  <c r="K18" i="42" l="1"/>
  <c r="K16" i="42"/>
  <c r="K15" i="42"/>
  <c r="K9" i="42"/>
  <c r="K8" i="42"/>
  <c r="K7" i="42"/>
  <c r="K58" i="41"/>
  <c r="K49" i="41"/>
  <c r="K41" i="41"/>
  <c r="K34" i="41"/>
  <c r="K24" i="41"/>
  <c r="K14" i="41"/>
  <c r="K8" i="41"/>
  <c r="K5" i="41"/>
  <c r="O45" i="8"/>
  <c r="O44" i="8"/>
  <c r="O41" i="8"/>
  <c r="O39" i="8"/>
  <c r="O37" i="8"/>
  <c r="O34" i="8"/>
  <c r="O32" i="8"/>
  <c r="O29" i="8"/>
  <c r="O20" i="8"/>
  <c r="O18" i="8"/>
  <c r="O16" i="8"/>
  <c r="O14" i="8"/>
  <c r="O12" i="8"/>
  <c r="O10" i="8"/>
  <c r="O6" i="8"/>
  <c r="O8" i="8"/>
  <c r="O4" i="8"/>
  <c r="K14" i="42"/>
  <c r="K13" i="42"/>
  <c r="K11" i="42"/>
  <c r="K10" i="42"/>
  <c r="P13" i="40" l="1"/>
  <c r="O13" i="40"/>
  <c r="N13" i="40"/>
  <c r="M13" i="40"/>
  <c r="L13" i="40"/>
  <c r="K13" i="40"/>
  <c r="J13" i="40"/>
  <c r="I13" i="40"/>
  <c r="H13" i="40"/>
  <c r="G13" i="40"/>
  <c r="F13" i="40"/>
  <c r="E13" i="40"/>
  <c r="D13" i="40"/>
  <c r="I22" i="41" s="1"/>
  <c r="C13" i="40"/>
  <c r="Q12" i="40"/>
  <c r="R12" i="40" s="1"/>
  <c r="Q11" i="40"/>
  <c r="R11" i="40" s="1"/>
  <c r="Q10" i="40"/>
  <c r="Q13" i="40" l="1"/>
  <c r="R13" i="40" s="1"/>
  <c r="C21" i="41" s="1"/>
  <c r="R10" i="40"/>
</calcChain>
</file>

<file path=xl/sharedStrings.xml><?xml version="1.0" encoding="utf-8"?>
<sst xmlns="http://schemas.openxmlformats.org/spreadsheetml/2006/main" count="646" uniqueCount="236">
  <si>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</si>
  <si>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</si>
  <si>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</si>
  <si>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</si>
  <si>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新潟薬科大学</t>
    <phoneticPr fontId="1"/>
  </si>
  <si>
    <t>②</t>
    <phoneticPr fontId="1"/>
  </si>
  <si>
    <t>大学等の設置者</t>
  </si>
  <si>
    <t>学校法人新潟科学技術学園</t>
    <phoneticPr fontId="1"/>
  </si>
  <si>
    <t>③</t>
  </si>
  <si>
    <t>設置形態</t>
    <phoneticPr fontId="1"/>
  </si>
  <si>
    <t>私立大学</t>
  </si>
  <si>
    <t>④</t>
    <phoneticPr fontId="1"/>
  </si>
  <si>
    <t>所在地</t>
    <phoneticPr fontId="1"/>
  </si>
  <si>
    <t>新潟県新潟市秋葉区東島265-1</t>
    <phoneticPr fontId="1"/>
  </si>
  <si>
    <t>⑤</t>
    <phoneticPr fontId="1"/>
  </si>
  <si>
    <t>申請するプログラム名称</t>
    <rPh sb="0" eb="2">
      <t>シンセイ</t>
    </rPh>
    <rPh sb="9" eb="11">
      <t>メイショウ</t>
    </rPh>
    <phoneticPr fontId="1"/>
  </si>
  <si>
    <t>新潟薬科大学　数理・データサイエンス・AI教育プログラム</t>
    <phoneticPr fontId="1"/>
  </si>
  <si>
    <t>⑥</t>
    <phoneticPr fontId="1"/>
  </si>
  <si>
    <t>プログラムの開設年度</t>
    <rPh sb="6" eb="8">
      <t>カイセツ</t>
    </rPh>
    <rPh sb="8" eb="10">
      <t>ネンド</t>
    </rPh>
    <phoneticPr fontId="1"/>
  </si>
  <si>
    <t>令和３年度</t>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</si>
  <si>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</si>
  <si>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</si>
  <si>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</si>
  <si>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</si>
  <si>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</si>
  <si>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</si>
  <si>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</si>
  <si>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</si>
  <si>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</si>
  <si>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</si>
  <si>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</si>
  <si>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</si>
  <si>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</si>
  <si>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</si>
  <si>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</si>
  <si>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</si>
  <si>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</si>
  <si>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</si>
  <si>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</si>
  <si>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</si>
  <si>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</si>
  <si>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</si>
  <si>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</si>
  <si>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</si>
  <si>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</si>
  <si>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星名賢之助</t>
    <phoneticPr fontId="1"/>
  </si>
  <si>
    <t>（役職名）</t>
    <rPh sb="1" eb="4">
      <t>ヤクショクメイ</t>
    </rPh>
    <phoneticPr fontId="1"/>
  </si>
  <si>
    <t>数理データサイエンスAI教育推進委員会委員長</t>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</si>
  <si>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</si>
  <si>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</si>
  <si>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数理データサイエンスAI教育推進委員会</t>
    <rPh sb="18" eb="19">
      <t>カイ</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</si>
  <si>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</si>
  <si>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</si>
  <si>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教育委員会</t>
    <phoneticPr fontId="1"/>
  </si>
  <si>
    <t>杉原多公通</t>
    <phoneticPr fontId="1"/>
  </si>
  <si>
    <t>副学長・教育委員長</t>
    <rPh sb="0" eb="3">
      <t>フクガクチョウ</t>
    </rPh>
    <rPh sb="4" eb="9">
      <t>キョウイクイインチョウ</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</si>
  <si>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</si>
  <si>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</si>
  <si>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</si>
  <si>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</si>
  <si>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</si>
  <si>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担当者名</t>
    <rPh sb="0" eb="2">
      <t>タントウ</t>
    </rPh>
    <rPh sb="2" eb="3">
      <t>シャ</t>
    </rPh>
    <rPh sb="3" eb="4">
      <t>メイ</t>
    </rPh>
    <phoneticPr fontId="1"/>
  </si>
  <si>
    <t>池田優花</t>
    <rPh sb="0" eb="2">
      <t>イケダ</t>
    </rPh>
    <rPh sb="2" eb="4">
      <t>ユウハナ</t>
    </rPh>
    <phoneticPr fontId="1"/>
  </si>
  <si>
    <t>E-mail</t>
  </si>
  <si>
    <t>kyoumu@nupals.ac.jp</t>
    <phoneticPr fontId="1"/>
  </si>
  <si>
    <t>電話番号</t>
  </si>
  <si>
    <t>0250-28-5302</t>
    <phoneticPr fontId="1"/>
  </si>
  <si>
    <t>様式２－1</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</si>
  <si>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</si>
  <si>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</si>
  <si>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</si>
  <si>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</si>
  <si>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薬学部薬学科ではプログラムを構成する 「4科目（下記1～4）」 4.5単位を取得することを修了要件とする。
1.情報リテラシ
2.フレッシャーズセミナー
3.データサイエンスⅠ
4.統計学</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</si>
  <si>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</si>
  <si>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</si>
  <si>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</si>
  <si>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</si>
  <si>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</si>
  <si>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</si>
  <si>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</si>
  <si>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データサイエンスⅠ</t>
    <phoneticPr fontId="1"/>
  </si>
  <si>
    <t>一部開講</t>
  </si>
  <si>
    <t>○</t>
  </si>
  <si>
    <t>情報リテラシ</t>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</si>
  <si>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</si>
  <si>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</si>
  <si>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</si>
  <si>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</si>
  <si>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</si>
  <si>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</si>
  <si>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</si>
  <si>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</si>
  <si>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</si>
  <si>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情報リテラシ</t>
    <rPh sb="0" eb="2">
      <t>ジョウホウ</t>
    </rPh>
    <phoneticPr fontId="1"/>
  </si>
  <si>
    <t>フレッシャーズセミナー</t>
  </si>
  <si>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</si>
  <si>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</si>
  <si>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</si>
  <si>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</si>
  <si>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統計学</t>
    <rPh sb="0" eb="3">
      <t>トウケイガク</t>
    </rPh>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</si>
  <si>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</si>
  <si>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</si>
  <si>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統計学</t>
  </si>
  <si>
    <t>4-1統計および数理基礎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</si>
  <si>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</si>
  <si>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</si>
  <si>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</si>
  <si>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</si>
  <si>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r>
      <t xml:space="preserve">「データサイエンスⅠ」では、1回目でビッグデータとその活用、情報処理やデジタル化の歴史、データ量の歴史について学ぶ。2回目でIoT、AI、ロボットについて学ぶ。
</t>
    </r>
    <r>
      <rPr>
        <sz val="12"/>
        <rFont val="ＭＳ Ｐゴシック"/>
        <family val="3"/>
        <charset val="128"/>
        <scheme val="minor"/>
      </rPr>
      <t>「情報リテラシ」では12回目でビッグデータについて解説する。</t>
    </r>
    <phoneticPr fontId="1"/>
  </si>
  <si>
    <t>1-6</t>
    <phoneticPr fontId="1"/>
  </si>
  <si>
    <t>（２）「社会で活用されているデータ」や「データの活用領域」は非常に広範囲であって、日常生活や社会の課題を解決する有用なツールになり得るもの</t>
    <phoneticPr fontId="1"/>
  </si>
  <si>
    <t>「データサイエンスⅠ」では6回目で調査データ・ログデータ・実験データ・観測データなどデータの種類とその特徴を学び、実際に医療統計を用いて、データ解析方法を学ぶ。</t>
    <rPh sb="74" eb="76">
      <t>ホウホウ</t>
    </rPh>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</si>
  <si>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</si>
  <si>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サイエンスⅠ」では5回目でデータの種類と特徴を学習した上で、Excelを用いたデータ処理方法・一次データのグラフの作成などを学ぶ。6回目では医療統計やコフォート解析のデータを用い、データの相関性をクロス集計表をもとに解析する。</t>
    <phoneticPr fontId="1"/>
  </si>
  <si>
    <t>「データサイエンスⅠ」では7回目で医療統計等を用い、仮説を立て、実際にクロス集計表を作成することで、仮説の検証や新たな知識の発見が可能であることを経験する。このことを通して、データ・AIを活用することによって、どのような価値が生まれ、そのような価値を生むために何に気を付けるべきなのかを学ぶ。</t>
  </si>
  <si>
    <t>（４）活用に当たっての様々な留意事項（ELSI、個人情報、データ倫理、ＡＩ社会原則等）を考慮し、情報セキュリティや情報漏洩等、データを守る上での留意事項への理解をする</t>
    <phoneticPr fontId="1"/>
  </si>
  <si>
    <t>「情報リテラシ」では1～7回目でパソコンやインターネットを使う上での基礎知識を学ぶことで、データ・AIを扱う上での留意事項について身に付ける。</t>
    <rPh sb="52" eb="53">
      <t>アツカ</t>
    </rPh>
    <rPh sb="54" eb="55">
      <t>ウエ</t>
    </rPh>
    <rPh sb="57" eb="61">
      <t>リュウイジコウ</t>
    </rPh>
    <rPh sb="65" eb="66">
      <t>ミ</t>
    </rPh>
    <rPh sb="67" eb="68">
      <t>ツ</t>
    </rPh>
    <phoneticPr fontId="1"/>
  </si>
  <si>
    <t>「情報リテラシ」では8～11回目で以降に個人情報保護、忘れられる権利、守秘義務、SNS利用上の注意、情報セキュリティ、匿名加工情報、暗号化、パスワード、悪意ある情報搾取、情報漏洩等によるセキュリティ事故の事例紹介などを行い、データを守る上での留意事項について学習する。
「フレッシャーズセミナー」では4・5回目で薬局・病院・行政機関などに勤務する現役の薬剤師（OB・OG）を招聘し、医療における個人情報の取扱いについてなにが必要なのかをグループ討論し、理解を深める。また6～8回目には社会から求められる薬剤師像を考え、その中で医療の世界でのデータサイエンスの重要性を学ぶ。</t>
  </si>
  <si>
    <t>（５）実データ・実課題（学術データ等を含む）を用いた演習など、社会での実例を題材として、「データを読む、説明する、扱う」といった数理・データサイエンス・ＡＩの基本的な活用法に関するもの</t>
    <phoneticPr fontId="1"/>
  </si>
  <si>
    <t>「統計学」では「データを読み・説明する」ための基本事項として、１回目でデータの種類（量的変数、質的変数）、2回目でデータの分布(ヒストグラム)と代表値（平均値、中央値、最頻値）、代表値の性質の違い、データのばらつき（分散、標準偏差、偏差値）、データ表現（棒グラフ、折線グラフ、散布図）、3回目で相関（相関係数）、11回目で母集団と標本抽出（全数調査、単純無作為抽出）について学習する。</t>
  </si>
  <si>
    <t>「統計学」では「データを読み・説明する」ための基本事項として、１回目でデータの種類（量的変数、質的変数）、2回目でデータの分布(ヒストグラム)と代表値（平均値、中央値、最頻値）、代表値の性質の違い、データのばらつき（分散、標準偏差、偏差値）、データ表現（棒グラフ、折線グラフ、散布図）、3回目で相関（相関係数）、11回目で母集団と標本抽出（全数調査、単純無作為抽出）について学習する。</t>
    <phoneticPr fontId="1"/>
  </si>
  <si>
    <t>「データサイエンスⅠ」では5回目でデータの種類と特徴を学習した上で、Excelを用いたデータ処理方法・一次データのグラフの作成などを学ぶ。6回目では医療統計やコフォート解析のデータを用い、データの相関性をクロス集計表をもとに解析する。7回目ではデータとAIを活用することによって、仮説の検証や新たな知識の発見が可能であることを概説し、グラフや表を含んだレポートを作成する。</t>
    <rPh sb="163" eb="165">
      <t>ガイセツ</t>
    </rPh>
    <phoneticPr fontId="1"/>
  </si>
  <si>
    <t>⑩プログラムの学修成果（学生等が身に付けられる能力等）</t>
    <phoneticPr fontId="1"/>
  </si>
  <si>
    <t>⑪プログラムの授業内容等を公表しているアドレス</t>
    <phoneticPr fontId="1"/>
  </si>
  <si>
    <t>https://www.nupals.ac.jp/about/aiscience/</t>
    <phoneticPr fontId="1"/>
  </si>
  <si>
    <t>様式２－2</t>
    <phoneticPr fontId="1"/>
  </si>
  <si>
    <t>応用生命科学部応用生命科学科ではプログラムを構成する 「4科目（下記1～4）」 7単位を取得することを修了要件とする。
1.生命情報科学概論
2.初年次セミナー
3.生物学Ⅰ
4.データサイエンス入門</t>
  </si>
  <si>
    <t>データサイエンス入門</t>
    <rPh sb="8" eb="10">
      <t>ニュウモン</t>
    </rPh>
    <phoneticPr fontId="1"/>
  </si>
  <si>
    <t>初年次セミナー</t>
    <rPh sb="0" eb="3">
      <t>ショネンジ</t>
    </rPh>
    <phoneticPr fontId="1"/>
  </si>
  <si>
    <t>生命情報科学概論</t>
    <rPh sb="0" eb="8">
      <t>セイメイジョウホウカガクガイロン</t>
    </rPh>
    <phoneticPr fontId="1"/>
  </si>
  <si>
    <t>生物学Ⅰ</t>
    <rPh sb="0" eb="3">
      <t>セイブツガク</t>
    </rPh>
    <phoneticPr fontId="1"/>
  </si>
  <si>
    <t>「データサイエンス入門」では1回目で、社会で起きている変化を知り、数理・データサイエンス・AIを学ぶことの意義を理解する。AIを活用した新しいビジネスやサービスの概要とともに、どのようなデータが集められ、どう活用されているかについて学ぶ。</t>
    <phoneticPr fontId="1"/>
  </si>
  <si>
    <t>「データサイエンス入門」では2回目で、様々な領域でデータ・AIが活用されていること、そのために使われている技術の概要、活用することによって生まれる新たな価値、利活用における最新動向（ビジネスモデル、テクノロジー）について学ぶ。</t>
    <phoneticPr fontId="1"/>
  </si>
  <si>
    <t>「データサイエンス入門」では１回目で社会で活用されているデータにはどのようなものがあり、どう活用されているかについて学ぶ。</t>
    <phoneticPr fontId="1"/>
  </si>
  <si>
    <t>「データサイエンス入門」では2回目で様々な領域でデータ・AIが活用されていることを生産・消費・文化活動の側面から解説する。</t>
    <phoneticPr fontId="1"/>
  </si>
  <si>
    <t>「データサイエンス入門」では3回目でデータをまとめるにあたっての統計の基礎や分析手法を学ぶ。5回目では様々なグラフの特徴とどのような場合に用いるのが適切であるかについて学ぶ。</t>
    <phoneticPr fontId="1"/>
  </si>
  <si>
    <t>「データサイエンス入門」では4,6,7回目で実践課題（「大学生の学習方法に関する調査」）を用いてデータ分析やレポート作成に取組み、具体的な分析手法を経験し発表することで、データ解析と推論を経験する。</t>
  </si>
  <si>
    <t>「初年次セミナー」では15回目でにELSI（倫理的・法的・社会的な課題）やデータ倫理について解説し、国際社会や日本国内で提起されてきた様々な法令や指針について学んだうえで、16回目でデータ・AIが引き起こす課題についてグループで議論し、データ・AIを取り扱ううえでの留意事項を共有する。</t>
  </si>
  <si>
    <t>「初年次セミナー」では17回目でAIが社会実装される際の適切な情報管理について学び、18回目でデジタル社会における情報漏洩について、その対策をグループで議論し、発表することで、データを守る上での留意事項への理解を深める。
「生命情報科学概論」では7～10回目でシステムやデータの安全性、ネット上の脅威とその対策、個人情報の保護とSNS利用上の注意点について学ぶ。</t>
    <phoneticPr fontId="1"/>
  </si>
  <si>
    <t>「データサイエンス入門」では「データを読む」「データを説明する」ために、3回目でデータをまとめるにあたっての簡易統計量、ならびにそれらを分析する際の手法を学んだのち、5回目で様々なグラフの特徴と、どのような場合に用いるのが適切であるかについて学ぶ。</t>
  </si>
  <si>
    <t>「データサイエンス入門」では4回目と6・7回目で「大学生の学習方法に関する調査」を用いてデータ処理を学ぶ。
「生物学Ⅰ」では6回目で、生物学的な実験で得られるデータの解析法を学び、演習によってその処理法を身につける。</t>
    <rPh sb="9" eb="11">
      <t>ニュウモン</t>
    </rPh>
    <phoneticPr fontId="1"/>
  </si>
  <si>
    <t>様式２－3</t>
    <phoneticPr fontId="1"/>
  </si>
  <si>
    <t>応用生命科学部生命産業創造学科ではプログラムを構成する「4科目（下記1～4）」8単位を取得することを修了要件とする。
1.ITリテラシー基礎
2.ITリテラシー応用
3.初年次セミナー
4.データサイエンス入門</t>
  </si>
  <si>
    <t>ITリテラシー応用</t>
    <rPh sb="7" eb="9">
      <t>オウヨウ</t>
    </rPh>
    <phoneticPr fontId="1"/>
  </si>
  <si>
    <t>ITリテラシー基礎</t>
    <rPh sb="7" eb="9">
      <t>キソ</t>
    </rPh>
    <phoneticPr fontId="1"/>
  </si>
  <si>
    <t>○</t>
    <phoneticPr fontId="1"/>
  </si>
  <si>
    <r>
      <t xml:space="preserve">「データサイエンス入門」では1回目で、社会で起きている変化を知り、数理・データサイエンス・AIを学ぶことの意義を理解する。AIを活用した新しいビジネスやサービスの概要とともに、どのようなデータが集められ、どう活用されているかについて学ぶ。
</t>
    </r>
    <r>
      <rPr>
        <sz val="12"/>
        <rFont val="ＭＳ Ｐゴシック"/>
        <family val="3"/>
        <charset val="128"/>
        <scheme val="minor"/>
      </rPr>
      <t>「ITリテラシー応用」では8～10回目でAI・人工知能・IoT・５G・AR・VRについて学ぶ。</t>
    </r>
    <phoneticPr fontId="1"/>
  </si>
  <si>
    <t>「データサイエンス入門」では2回目で、様々な領域でデータ・AIが活用されていること、そのために使われている技術の概要、活用することによって生まれる新たな価値、利活用における最新動向（ビジネスモデル、テクノロジー）について学ぶ。
「ITリテラシー応用」では12・13回目でデータ・AI利活用における最新の動向と技術についてグループで調査・発表し、社会で起きている変化やこれからのIT社会について学ぶ。14回目ではITを利用したビジネスの可能性についてグループでディスカッションを行い、食・農業・環境の分野の課題解決にITをどのように生かすか考える。</t>
    <phoneticPr fontId="1"/>
  </si>
  <si>
    <t xml:space="preserve">「データサイエンス入門」では１回目で社会で活用されているデータにはどのようなものがあり、どう活用されているかについて学ぶ。
「ITリテラシー応用」では4回目でデータの種類と尺度、データのグラフ表現と分析の種類について学ぶ。
</t>
    <phoneticPr fontId="1"/>
  </si>
  <si>
    <t>「データサイエンス入門」では3回目でデータをまとめるにあたっての統計の基礎や分析手法を学ぶ。5回目では様々なグラフの特徴とどのような場合に用いるのが適切であるかについて学ぶ。
「ITリテラシー基礎」では7回目でコンピュータ内でのデータの扱いについて学ぶ。また8回目にはデータ・AI利活用のための技術であるデータベースについて学ぶ。</t>
    <phoneticPr fontId="1"/>
  </si>
  <si>
    <t>「データサイエンス入門」では4,6,7回目で実践課題（「大学生の学習方法に関する調査」）を用いてデータ分析やレポート作成に取組み、具体的な分析手法を経験し発表することで、データ解析と推論を経験する。
「ITリテラシー応用」では12・13回目でデータ・AI利活用における最新の動向と技術についてグループで調査・発表し、社会で起きている変化やこれからのIT社会について学ぶ。</t>
  </si>
  <si>
    <t>「初年次セミナー」では15回目でELSI（倫理的・法的・社会的な課題）やデータ倫理について解説し、国際社会や日本国内で提起されてきた様々な法令や指針について学んだうえで、16回目でデータ・AIが引き起こす課題についてグループで議論し、データ・AIを取り扱ううえでの留意事項を共有する。
「ITリテラシー基礎」では、10回目でデータを扱う上での留意事項を脅威やリスクの観点から学ぶ。また11回目で個人情報を含むデータに関する脅威やリスクへの対策について自身が利用している状況と比較しながら学ぶ。14回目では情報の発信・受信時におけるモラルや心構え・倫理について学ぶ。</t>
  </si>
  <si>
    <t>「初年次セミナー」では17回目でAIが社会実装される際の適切な情報管理について学び、18回目でデジタル社会における情報漏洩について、その対策をグループで議論し、発表することで、データを守る上での留意事項への理解を深める。
「ITリテラシー基礎」では、11回目でデータを守るための暗号化技術や組織が行うセキュリティマネジメントについて学ぶ。</t>
  </si>
  <si>
    <t>「データサイエンス入門」では「データを読む・説明する」ために、3回目でデータをまとめるにあたっての簡易統計量、ならびにそれらを分析する際の手法を学んだのち、5回目で様々なグラフの特徴とどのような場合に用いるのが適切であるかについて学ぶ。
「ITリテラシー基礎」では「データを読む・説明する」ために4回目でエクセルによる表計算・図表の作成を学ぶ。
「ITリテラシー応用」では「データを読む・説明する」ために、3回目・4回目でデータ分析の概要・データを表現する際の心得、データの種類と尺度、データのグラフ表現と分類の種類について学ぶ。</t>
  </si>
  <si>
    <t>「データサイエンス入門」では4回目と6・7回目で「大学生の学習方法に関する調査」を用いてデータ処理を学ぶ。
「ITリテラシー応用」では5回目・6回目でエクセル関数・検定等を学ぶ。また7回目で実際のデータを用いたデータ分析を行い、結果を発表・共有することで「データの読む・説明する・扱う」までを総合的に学習する。</t>
  </si>
  <si>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</si>
  <si>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</si>
  <si>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</si>
  <si>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</si>
  <si>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</si>
  <si>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</si>
  <si>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</si>
  <si>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</si>
  <si>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</si>
  <si>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</si>
  <si>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</si>
  <si>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</si>
  <si>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</si>
  <si>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</si>
  <si>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</si>
  <si>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</si>
  <si>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</si>
  <si>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薬学部・薬学科</t>
    <rPh sb="0" eb="3">
      <t>ヤクガクブ</t>
    </rPh>
    <rPh sb="4" eb="7">
      <t>ヤクガクカ</t>
    </rPh>
    <phoneticPr fontId="1"/>
  </si>
  <si>
    <t>応用生命科学部・応用生命科学科</t>
    <rPh sb="0" eb="7">
      <t>オウヨウセイメイカガクブ</t>
    </rPh>
    <rPh sb="8" eb="15">
      <t>オウヨウセイメイカガクカ</t>
    </rPh>
    <phoneticPr fontId="1"/>
  </si>
  <si>
    <t>応用生命科学部・生命産業創造学科</t>
    <rPh sb="0" eb="7">
      <t>オウヨウセイメイカガクブ</t>
    </rPh>
    <rPh sb="8" eb="16">
      <t>セイメイサンギョウソウゾウガッカ</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</si>
  <si>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</si>
  <si>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</si>
  <si>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</si>
  <si>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</si>
  <si>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</si>
  <si>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新潟薬科大学教育委員会　数理データサイエンス教育推進専門委員会規程</t>
    <phoneticPr fontId="1"/>
  </si>
  <si>
    <t>体制の目的</t>
    <rPh sb="0" eb="2">
      <t>タイセイ</t>
    </rPh>
    <rPh sb="3" eb="5">
      <t>モクテキ</t>
    </rPh>
    <phoneticPr fontId="1"/>
  </si>
  <si>
    <t>数理データサイエンス教育推進専門委員会は、新潟薬科大学教育委員会の下で「数理・データサイエンス・AI教育」の全学的な科目の整備、教育の推進、リテラシーの向上、および、それらの改善・支援活動を行う。</t>
    <rPh sb="76" eb="78">
      <t>コウジョウ</t>
    </rPh>
    <rPh sb="92" eb="94">
      <t>カツドウ</t>
    </rPh>
    <phoneticPr fontId="1"/>
  </si>
  <si>
    <t>③</t>
    <phoneticPr fontId="1"/>
  </si>
  <si>
    <t>具体的な構成員</t>
    <rPh sb="0" eb="3">
      <t>グタイテキ</t>
    </rPh>
    <rPh sb="4" eb="7">
      <t>コウセイイン</t>
    </rPh>
    <phoneticPr fontId="1"/>
  </si>
  <si>
    <t>数理データサイエンス教育推進専門委員会　委員長　星名　賢之助（薬学部教授）
数理データサイエンス教育推進専門委員会　委員　富永　佳子（薬学部教授）
数理データサイエンス教育推進専門委員会　委員　浅田　真一（薬学部教授）
数理データサイエンス教育推進専門委員会　委員　杉田　耕一（応用生命科学部教授）
数理データサイエンス教育推進専門委員会　委員　若栗　佳介（応用生命科学部助手）</t>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</si>
  <si>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</si>
  <si>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</si>
  <si>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</si>
  <si>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</si>
  <si>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</si>
  <si>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</si>
  <si>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</si>
  <si>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</si>
  <si>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</si>
  <si>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</si>
  <si>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</si>
  <si>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</si>
  <si>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</si>
  <si>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</si>
  <si>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</si>
  <si>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</si>
  <si>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</si>
  <si>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</si>
  <si>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</si>
  <si>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</si>
  <si>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</si>
  <si>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</si>
  <si>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</si>
  <si>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</si>
  <si>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</si>
  <si>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</si>
  <si>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</si>
  <si>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</si>
  <si>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データサイエンスⅠ」「データサイエンス入門」「ITリテラシー応用」では、時事問題や最新技術など社会での実例をもとに、AI等がどのように活用されているかを中心に、学生自ら調査し、好奇心を促す講義内容とした。また、実際にデータ分析に取り組む際は、それぞれの学科で専門となる素材を利用し、自身の専攻内容に数理・データサイエンス・AIが深くかかわっていることを実感してもらえるよう努めた。</t>
    <rPh sb="39" eb="41">
      <t>モンダイ</t>
    </rPh>
    <rPh sb="42" eb="44">
      <t>サイシン</t>
    </rPh>
    <rPh sb="44" eb="46">
      <t>ギジュツ</t>
    </rPh>
    <rPh sb="81" eb="83">
      <t>ガクセイ</t>
    </rPh>
    <rPh sb="83" eb="84">
      <t>ミズカ</t>
    </rPh>
    <rPh sb="85" eb="87">
      <t>チョウサ</t>
    </rPh>
    <rPh sb="142" eb="144">
      <t>ジシン</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</si>
  <si>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</si>
  <si>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②自己点検・評価体制における意見等を公表しているアドレス</t>
    <phoneticPr fontId="1"/>
  </si>
  <si>
    <t>事務部教務第一課</t>
    <rPh sb="5" eb="7">
      <t>ダイイチ</t>
    </rPh>
    <phoneticPr fontId="1"/>
  </si>
  <si>
    <t>「データサイエンスⅠ」では2回目でグループ単位で医療におけるAI活用の具体例と利用法について調査を行う。3回目では調査した資料をもとに発表資料を作成し、4回目ではグループごとに発表を行う。また8回目にはデータ・AIの利活用やその最新動向、深層学習のためのソフトウエアの種類や活用方法について学ぶ。</t>
    <phoneticPr fontId="1"/>
  </si>
  <si>
    <t>「データサイエンスⅠ」では7回目でデータとAIの活用領域の広がりを学ぶ。また、クロス集計表を作成し仮説検証、知識発見、原因究明、計画策定などを学ぶ。</t>
    <phoneticPr fontId="1"/>
  </si>
  <si>
    <t>人工知能（AI)の仕組み、社会におけるAIの利活用に関する知識
データセキュリティ、データ管理に関する基礎知識
データの基本的な統計解析、可視化を通じたデータの見方、データからの情報抽出の知識と実践スキル</t>
    <phoneticPr fontId="1"/>
  </si>
  <si>
    <t>人工知能（AI)の仕組み、社会におけるAIの利活用に関する知識
データセキュリティ、データ管理に関する基礎知識
データの基本的な統計解析、可視化を通じたデータの見方、データからの情報抽出の知識と実践スキル</t>
    <rPh sb="0" eb="4">
      <t>ジンコウチノウ</t>
    </rPh>
    <rPh sb="9" eb="11">
      <t>シク</t>
    </rPh>
    <rPh sb="13" eb="15">
      <t>シャカイ</t>
    </rPh>
    <rPh sb="22" eb="25">
      <t>リカツヨウ</t>
    </rPh>
    <rPh sb="26" eb="27">
      <t>カン</t>
    </rPh>
    <rPh sb="29" eb="31">
      <t>チシキ</t>
    </rPh>
    <rPh sb="45" eb="47">
      <t>カンリ</t>
    </rPh>
    <rPh sb="48" eb="49">
      <t>カン</t>
    </rPh>
    <rPh sb="51" eb="53">
      <t>キソ</t>
    </rPh>
    <rPh sb="53" eb="55">
      <t>チシキ</t>
    </rPh>
    <rPh sb="60" eb="63">
      <t>キホンテキ</t>
    </rPh>
    <rPh sb="64" eb="66">
      <t>トウケイ</t>
    </rPh>
    <rPh sb="66" eb="68">
      <t>カイセキ</t>
    </rPh>
    <rPh sb="69" eb="72">
      <t>カシカ</t>
    </rPh>
    <rPh sb="73" eb="74">
      <t>ツウ</t>
    </rPh>
    <rPh sb="80" eb="82">
      <t>ミカタ</t>
    </rPh>
    <rPh sb="89" eb="91">
      <t>ジョウホウ</t>
    </rPh>
    <rPh sb="91" eb="93">
      <t>チュウシュツ</t>
    </rPh>
    <rPh sb="94" eb="96">
      <t>チシキ</t>
    </rPh>
    <rPh sb="97" eb="99">
      <t>ジッセン</t>
    </rPh>
    <phoneticPr fontId="1"/>
  </si>
  <si>
    <t>　上記の目標を実現するために、令和３年度より入学後履修ガイダンスにおいて、すべての新入生に対して数理データサイエンスプログラムの必要性を説明するとともに、履修を推奨している。応用生命科学部 応用生命科学科及び生命産業ビジネス学科（令和3年度まで，生命産業創造学科）では，本教育プログラムの構成科目の全てが卒業要件において必修科目であるため、全ての学生が履修することになる。
　薬学部薬学科では、推薦入学者を対象に入学前教育でデータサイエンス教育を導入し、大学入学後における数理・データサイエンスへの興味を喚起している。
　本学は、令和５年度に看護学部、臨床検査学部を設置する予定であり、本プログラムの科目は全学４学科で必修科目にする。したがって、新入生の履修者は令和５年度入学生は１００％となり、いずれ全学生が履修することとなる。</t>
    <rPh sb="41" eb="44">
      <t>シンニュウセイ</t>
    </rPh>
    <rPh sb="45" eb="46">
      <t>タイ</t>
    </rPh>
    <rPh sb="80" eb="82">
      <t>スイショウ</t>
    </rPh>
    <rPh sb="115" eb="117">
      <t>レイワ</t>
    </rPh>
    <rPh sb="118" eb="119">
      <t>ネン</t>
    </rPh>
    <rPh sb="119" eb="120">
      <t>ド</t>
    </rPh>
    <rPh sb="123" eb="127">
      <t>セイメイサンギョウ</t>
    </rPh>
    <rPh sb="127" eb="131">
      <t>ソウゾウガッカ</t>
    </rPh>
    <rPh sb="149" eb="150">
      <t>スベ</t>
    </rPh>
    <rPh sb="173" eb="175">
      <t>ガクセイ</t>
    </rPh>
    <rPh sb="220" eb="222">
      <t>キョウイク</t>
    </rPh>
    <rPh sb="261" eb="263">
      <t>ホンガク</t>
    </rPh>
    <rPh sb="306" eb="308">
      <t>ガッカ</t>
    </rPh>
    <rPh sb="309" eb="311">
      <t>ヒッシュウ</t>
    </rPh>
    <rPh sb="323" eb="326">
      <t>シンニュウセイ</t>
    </rPh>
    <rPh sb="327" eb="330">
      <t>リシュウシャ</t>
    </rPh>
    <rPh sb="331" eb="333">
      <t>レイワ</t>
    </rPh>
    <rPh sb="334" eb="336">
      <t>ネンド</t>
    </rPh>
    <rPh sb="351" eb="354">
      <t>ゼンガクセイ</t>
    </rPh>
    <rPh sb="355" eb="357">
      <t>リシュウ</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</si>
  <si>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</si>
  <si>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xml:space="preserve">　本教育プログラム構成科目は、2022年度、2023年度は学部・学科ごとに分けられており，各学科の時間割内に必修科目として組み込まれている（薬学部１科目を除く）。したがって、すべての学生が通常科目と同様に標準的な時間割内で履修することが可能である。卒業要件で選択科目としている薬学部の１科目（データサイエンスⅠ）については、他の科目と授業時間が重複しないよう、時間割上の配慮および開講キャンパスの配慮をしている。
</t>
    <rPh sb="19" eb="21">
      <t>ネンド</t>
    </rPh>
    <rPh sb="26" eb="28">
      <t>ネンド</t>
    </rPh>
    <rPh sb="106" eb="109">
      <t>ジカンワリ</t>
    </rPh>
    <rPh sb="109" eb="110">
      <t>ナイ</t>
    </rPh>
    <phoneticPr fontId="1"/>
  </si>
  <si>
    <r>
      <t>　本教育プログラムの周知は、新入生ガイダンスでプログラムの目的と概要の説明を行うとともに、</t>
    </r>
    <r>
      <rPr>
        <sz val="12"/>
        <rFont val="ＭＳ Ｐゴシック"/>
        <family val="3"/>
        <charset val="128"/>
        <scheme val="minor"/>
      </rPr>
      <t>履修ガイドに本プログラムの説明を記載している。
　また、本学のホームページ</t>
    </r>
    <r>
      <rPr>
        <sz val="12"/>
        <rFont val="ＭＳ Ｐゴシック"/>
        <family val="2"/>
        <charset val="128"/>
        <scheme val="minor"/>
      </rPr>
      <t>（https://www.nupals.ac.jp/about/aiscience/）　にも本教育プログラムの情報を掲載し、学生が履修科目や修了認定等の情報を確認しやすい環境を整備している。</t>
    </r>
    <rPh sb="29" eb="31">
      <t>モクテキ</t>
    </rPh>
    <rPh sb="32" eb="34">
      <t>ガイヨウ</t>
    </rPh>
    <rPh sb="147" eb="151">
      <t>リシュウカモク</t>
    </rPh>
    <rPh sb="152" eb="156">
      <t>シュウリョウニンテイ</t>
    </rPh>
    <rPh sb="156" eb="157">
      <t>トウ</t>
    </rPh>
    <rPh sb="158" eb="160">
      <t>ジョウホウ</t>
    </rPh>
    <rPh sb="161" eb="163">
      <t>カクニン</t>
    </rPh>
    <phoneticPr fontId="1"/>
  </si>
  <si>
    <t xml:space="preserve">　多くの学生に無理なく本教育プログラムを履修してもらうため、本教育プログラムを構成している科目のうち、卒業要件で選択科目としている科目については、他の科目と授業時間が重複しないよう時間割上の配慮をしている。
　本教育プログラムは、各学科のメインキャンパスで開講しているため、授業時間以外でも教員のオフィスアワーに学生が対面で質疑応答に訪ねることができる。
　また、PCやネットワーク環境に関する質問やサポートは、事務部基盤整備課でも常時受け付けている。履修に関する質問は、事務部教務第一課や科目担当教員で直接対応だけでなく、チャット等の遠隔対応もしており、効率的かつ効果的なサポート体制となっている。
</t>
    <rPh sb="7" eb="9">
      <t>ムリ</t>
    </rPh>
    <rPh sb="156" eb="158">
      <t>ガクセイ</t>
    </rPh>
    <rPh sb="159" eb="161">
      <t>タイメン</t>
    </rPh>
    <rPh sb="167" eb="168">
      <t>タズ</t>
    </rPh>
    <rPh sb="191" eb="193">
      <t>カンキョウ</t>
    </rPh>
    <rPh sb="216" eb="218">
      <t>ジョウジ</t>
    </rPh>
    <rPh sb="236" eb="239">
      <t>ジムブ</t>
    </rPh>
    <rPh sb="241" eb="243">
      <t>ダイイチ</t>
    </rPh>
    <rPh sb="245" eb="247">
      <t>カモク</t>
    </rPh>
    <rPh sb="252" eb="254">
      <t>チョクセツ</t>
    </rPh>
    <rPh sb="254" eb="256">
      <t>タイオウ</t>
    </rPh>
    <rPh sb="268" eb="270">
      <t>エンカク</t>
    </rPh>
    <rPh sb="270" eb="272">
      <t>タイオウ</t>
    </rPh>
    <rPh sb="278" eb="281">
      <t>コウリツテキ</t>
    </rPh>
    <rPh sb="283" eb="286">
      <t>コウカテキ</t>
    </rPh>
    <rPh sb="291" eb="293">
      <t>タイセイ</t>
    </rPh>
    <phoneticPr fontId="1"/>
  </si>
  <si>
    <t>　教員ごとにオフィスアワーを設けており、学生は授業時間以外にも質疑応答を行うことができる。また、本学で遠隔教育用に導入しているMicrosoftTeamsのチャット機能を利用した教員と学生間のやりとりも可能である。また、授業の資料等は授業前および終了後に、適宜、本学ポータルサイト内の教育サポートサイト、およびMicrosoftTeamsに担当教員がアップロードする。それを活用して、学生は授業の予習、復習が常時可能となっている。</t>
    <rPh sb="48" eb="50">
      <t>ホンガク</t>
    </rPh>
    <rPh sb="51" eb="53">
      <t>エンカク</t>
    </rPh>
    <rPh sb="53" eb="55">
      <t>キョウイク</t>
    </rPh>
    <rPh sb="55" eb="56">
      <t>ヨウ</t>
    </rPh>
    <rPh sb="57" eb="59">
      <t>ドウニュウ</t>
    </rPh>
    <rPh sb="119" eb="120">
      <t>マエ</t>
    </rPh>
    <rPh sb="128" eb="130">
      <t>テキギ</t>
    </rPh>
    <rPh sb="131" eb="133">
      <t>ホンガク</t>
    </rPh>
    <rPh sb="140" eb="141">
      <t>ナイ</t>
    </rPh>
    <rPh sb="142" eb="144">
      <t>キョウイク</t>
    </rPh>
    <rPh sb="187" eb="189">
      <t>カツヨウ</t>
    </rPh>
    <rPh sb="198" eb="200">
      <t>ヨシュウ</t>
    </rPh>
    <rPh sb="201" eb="203">
      <t>フクシュウ</t>
    </rPh>
    <rPh sb="204" eb="206">
      <t>ジョウジ</t>
    </rPh>
    <phoneticPr fontId="1"/>
  </si>
  <si>
    <t xml:space="preserve">　数理データサイエンスAI教育推進委員会で、プログラムの履修状況の分析を実施した。課題の提出や講義出席等で問題がある場合は、迅速に教員より学生へ連絡をとるようになっている。薬学部1年生108名のうち23名が本プログラムを履修し、22名が単位習得した。応用生命科学部では、1年生146名がすべて履修し134名が単位を習得した。
　単位取得者には、本教育プログラム修了者として修了認定証を授与した。2021年度は本プログラム履修者169名のうち，薬学部薬学科で22名，応用生命科学部応用生命科学科で100名，応用生命科学部生命産業創造学科で34名の計156名が本プログラムを修了した。
</t>
    <rPh sb="51" eb="52">
      <t>トウ</t>
    </rPh>
    <rPh sb="53" eb="55">
      <t>モンダイ</t>
    </rPh>
    <rPh sb="58" eb="60">
      <t>バアイ</t>
    </rPh>
    <rPh sb="62" eb="64">
      <t>ジンソク</t>
    </rPh>
    <rPh sb="65" eb="67">
      <t>キョウイン</t>
    </rPh>
    <rPh sb="69" eb="71">
      <t>ガクセイ</t>
    </rPh>
    <rPh sb="72" eb="74">
      <t>レンラク</t>
    </rPh>
    <rPh sb="86" eb="89">
      <t>ヤクガクブ</t>
    </rPh>
    <rPh sb="90" eb="92">
      <t>ネンセイ</t>
    </rPh>
    <rPh sb="95" eb="96">
      <t>メイ</t>
    </rPh>
    <rPh sb="101" eb="102">
      <t>メイ</t>
    </rPh>
    <rPh sb="103" eb="104">
      <t>ホン</t>
    </rPh>
    <rPh sb="110" eb="112">
      <t>リシュウ</t>
    </rPh>
    <rPh sb="116" eb="117">
      <t>メイ</t>
    </rPh>
    <rPh sb="118" eb="122">
      <t>タンイシュウトク</t>
    </rPh>
    <rPh sb="125" eb="132">
      <t>オウヨウセイメイカガクブ</t>
    </rPh>
    <rPh sb="136" eb="138">
      <t>ネンセイ</t>
    </rPh>
    <rPh sb="141" eb="142">
      <t>メイ</t>
    </rPh>
    <rPh sb="146" eb="148">
      <t>リシュウ</t>
    </rPh>
    <rPh sb="152" eb="153">
      <t>メイ</t>
    </rPh>
    <rPh sb="154" eb="156">
      <t>タンイ</t>
    </rPh>
    <rPh sb="157" eb="159">
      <t>シュウトク</t>
    </rPh>
    <rPh sb="272" eb="273">
      <t>ケイ</t>
    </rPh>
    <rPh sb="276" eb="277">
      <t>メイ</t>
    </rPh>
    <phoneticPr fontId="1"/>
  </si>
  <si>
    <t xml:space="preserve">　学期ごとに実施する授業評価アンケートの調査項目のうち、「この分野および関連分野への興味が向上しましたか」「授業についてよく理解できましたか？」の項目や、定期試験や小テストの結果、提出された課題を数理データサイエンスAI教育推進委員会で分析することによって、学生の理解度を把握し、本教育プログラムの評価・改善に活用した。
　また、2021年度の本プログラム修了者を対象に、本プログラムを構成する科目の総合的な理解度、受講前後を比較した自身の成長度合い、情報セキュリティに関する項目の理解度等を問うアンケートを実施した。2023年度からのカリキュラム構成を検討する際に、データを使用する予定である。
</t>
    <rPh sb="169" eb="171">
      <t>ネンド</t>
    </rPh>
    <rPh sb="172" eb="173">
      <t>ホン</t>
    </rPh>
    <rPh sb="178" eb="181">
      <t>シュウリョウシャ</t>
    </rPh>
    <rPh sb="182" eb="184">
      <t>タイショウ</t>
    </rPh>
    <rPh sb="186" eb="187">
      <t>ホン</t>
    </rPh>
    <rPh sb="193" eb="195">
      <t>コウセイ</t>
    </rPh>
    <rPh sb="197" eb="199">
      <t>カモク</t>
    </rPh>
    <rPh sb="200" eb="203">
      <t>ソウゴウテキ</t>
    </rPh>
    <rPh sb="204" eb="207">
      <t>リカイド</t>
    </rPh>
    <rPh sb="208" eb="212">
      <t>ジュコウゼンゴ</t>
    </rPh>
    <rPh sb="213" eb="215">
      <t>ヒカク</t>
    </rPh>
    <rPh sb="217" eb="219">
      <t>ジシン</t>
    </rPh>
    <rPh sb="220" eb="224">
      <t>セイチョウドア</t>
    </rPh>
    <rPh sb="226" eb="228">
      <t>ジョウホウ</t>
    </rPh>
    <rPh sb="235" eb="236">
      <t>カン</t>
    </rPh>
    <rPh sb="238" eb="240">
      <t>コウモク</t>
    </rPh>
    <rPh sb="241" eb="244">
      <t>リカイド</t>
    </rPh>
    <rPh sb="244" eb="245">
      <t>トウ</t>
    </rPh>
    <rPh sb="246" eb="247">
      <t>ト</t>
    </rPh>
    <rPh sb="254" eb="256">
      <t>ジッシ</t>
    </rPh>
    <rPh sb="263" eb="265">
      <t>ネンド</t>
    </rPh>
    <rPh sb="274" eb="276">
      <t>コウセイ</t>
    </rPh>
    <rPh sb="277" eb="279">
      <t>ケントウ</t>
    </rPh>
    <rPh sb="281" eb="282">
      <t>サイ</t>
    </rPh>
    <rPh sb="288" eb="290">
      <t>シヨウ</t>
    </rPh>
    <rPh sb="292" eb="294">
      <t>ヨテイ</t>
    </rPh>
    <phoneticPr fontId="1"/>
  </si>
  <si>
    <t xml:space="preserve">　小テストや定期試験，提出された課題，授業内での発表で学生の理解度を把握している。また講義内でも適宜アンケートをとり、学生の理解度を見ながら講義・演習を進めている。プログラム全体の理解度アンケートでは、「よく理解できた」が14％、「ほぼ理解できた」が78％であった。一方で「理解できなかった」が5％となったが、大方、学習到達度は高かったといえる。また、社会におけるAIの関りが実感できたか、について、「非常に実感できた」が39％、「すこし実感できた」が57％、「実感できなかった」が3％となり、AIに関する理解度が進み、今後の社会生活において本プログラムの最も重要な役割は達成できたと評価できた。
</t>
    <rPh sb="1" eb="2">
      <t>ショウ</t>
    </rPh>
    <rPh sb="6" eb="10">
      <t>テイキシケン</t>
    </rPh>
    <rPh sb="11" eb="13">
      <t>テイシュツ</t>
    </rPh>
    <rPh sb="16" eb="18">
      <t>カダイ</t>
    </rPh>
    <rPh sb="19" eb="22">
      <t>ジュギョウナイ</t>
    </rPh>
    <rPh sb="24" eb="26">
      <t>ハッピョウ</t>
    </rPh>
    <rPh sb="27" eb="29">
      <t>ガクセイ</t>
    </rPh>
    <rPh sb="30" eb="32">
      <t>リカイ</t>
    </rPh>
    <rPh sb="32" eb="33">
      <t>ド</t>
    </rPh>
    <rPh sb="34" eb="36">
      <t>ハアク</t>
    </rPh>
    <rPh sb="43" eb="45">
      <t>コウギ</t>
    </rPh>
    <rPh sb="45" eb="46">
      <t>ナイ</t>
    </rPh>
    <rPh sb="48" eb="50">
      <t>テキギ</t>
    </rPh>
    <rPh sb="59" eb="61">
      <t>ガクセイ</t>
    </rPh>
    <rPh sb="62" eb="65">
      <t>リカイド</t>
    </rPh>
    <rPh sb="66" eb="67">
      <t>ミ</t>
    </rPh>
    <rPh sb="70" eb="72">
      <t>コウギ</t>
    </rPh>
    <rPh sb="73" eb="75">
      <t>エンシュウ</t>
    </rPh>
    <rPh sb="76" eb="77">
      <t>スス</t>
    </rPh>
    <rPh sb="87" eb="89">
      <t>ゼンタイ</t>
    </rPh>
    <rPh sb="90" eb="93">
      <t>リカイド</t>
    </rPh>
    <rPh sb="104" eb="106">
      <t>リカイ</t>
    </rPh>
    <rPh sb="118" eb="120">
      <t>リカイ</t>
    </rPh>
    <rPh sb="133" eb="135">
      <t>イッポウ</t>
    </rPh>
    <rPh sb="137" eb="139">
      <t>リカイ</t>
    </rPh>
    <rPh sb="155" eb="157">
      <t>オオカタ</t>
    </rPh>
    <rPh sb="158" eb="160">
      <t>ガクシュウ</t>
    </rPh>
    <rPh sb="160" eb="162">
      <t>トウタツ</t>
    </rPh>
    <rPh sb="162" eb="163">
      <t>ド</t>
    </rPh>
    <rPh sb="164" eb="165">
      <t>タカ</t>
    </rPh>
    <rPh sb="176" eb="178">
      <t>シャカイ</t>
    </rPh>
    <rPh sb="185" eb="186">
      <t>カカワ</t>
    </rPh>
    <rPh sb="188" eb="190">
      <t>ジッカン</t>
    </rPh>
    <rPh sb="201" eb="203">
      <t>ヒジョウ</t>
    </rPh>
    <rPh sb="204" eb="206">
      <t>ジッカン</t>
    </rPh>
    <rPh sb="219" eb="221">
      <t>ジッカン</t>
    </rPh>
    <rPh sb="231" eb="233">
      <t>ジッカン</t>
    </rPh>
    <rPh sb="250" eb="251">
      <t>カン</t>
    </rPh>
    <rPh sb="253" eb="256">
      <t>リカイド</t>
    </rPh>
    <rPh sb="257" eb="258">
      <t>スス</t>
    </rPh>
    <rPh sb="260" eb="262">
      <t>コンゴ</t>
    </rPh>
    <rPh sb="263" eb="267">
      <t>シャカイセイカツ</t>
    </rPh>
    <rPh sb="271" eb="272">
      <t>ホン</t>
    </rPh>
    <rPh sb="278" eb="279">
      <t>モット</t>
    </rPh>
    <rPh sb="280" eb="282">
      <t>ジュウヨウ</t>
    </rPh>
    <rPh sb="283" eb="285">
      <t>ヤクワリ</t>
    </rPh>
    <rPh sb="286" eb="288">
      <t>タッセイ</t>
    </rPh>
    <rPh sb="292" eb="294">
      <t>ヒョウカ</t>
    </rPh>
    <phoneticPr fontId="1"/>
  </si>
  <si>
    <t>　初年度（2021年度）のプログラム修了者の感想を、本教育プログラムのホームページに記載・公開した。また，2022年度始めの新入生履修ガイダンスで、修了者のプログラムに関するアンケート結果を紹介した。これにより、選択・必修問わず、本プログラムの意義と具体的に修得できるスキルを伝え、履修する意欲を高めるきっかけとすることができた。履修者のアンケート結果では推奨度は直接計ってないが、プログラム履修により「情報セキュリティ」や「AIリテラシー」に関してアンケート回答者の９割以上が興味が湧いたと回答しており、２年目は薬学部の履修率が向上することが期待される。</t>
    <rPh sb="18" eb="21">
      <t>シュウリョウシャ</t>
    </rPh>
    <rPh sb="45" eb="47">
      <t>コウカイ</t>
    </rPh>
    <rPh sb="74" eb="76">
      <t>シュウリョウ</t>
    </rPh>
    <rPh sb="76" eb="77">
      <t>シャ</t>
    </rPh>
    <rPh sb="84" eb="85">
      <t>カン</t>
    </rPh>
    <rPh sb="125" eb="128">
      <t>グタイテキ</t>
    </rPh>
    <rPh sb="129" eb="131">
      <t>シュウトク</t>
    </rPh>
    <rPh sb="145" eb="147">
      <t>イヨク</t>
    </rPh>
    <rPh sb="148" eb="149">
      <t>タカ</t>
    </rPh>
    <rPh sb="165" eb="168">
      <t>リシュウシャ</t>
    </rPh>
    <rPh sb="174" eb="176">
      <t>ケッカ</t>
    </rPh>
    <rPh sb="178" eb="181">
      <t>スイショウド</t>
    </rPh>
    <rPh sb="182" eb="184">
      <t>チョクセツ</t>
    </rPh>
    <rPh sb="184" eb="185">
      <t>ハカ</t>
    </rPh>
    <rPh sb="196" eb="198">
      <t>リシュウ</t>
    </rPh>
    <rPh sb="202" eb="204">
      <t>ジョウホウ</t>
    </rPh>
    <rPh sb="222" eb="223">
      <t>カン</t>
    </rPh>
    <rPh sb="230" eb="233">
      <t>カイトウシャ</t>
    </rPh>
    <rPh sb="235" eb="238">
      <t>ワリイジョウ</t>
    </rPh>
    <rPh sb="239" eb="241">
      <t>キョウミ</t>
    </rPh>
    <rPh sb="242" eb="243">
      <t>ワ</t>
    </rPh>
    <rPh sb="246" eb="248">
      <t>カイトウ</t>
    </rPh>
    <rPh sb="254" eb="256">
      <t>ネンメ</t>
    </rPh>
    <rPh sb="257" eb="260">
      <t>ヤクガクブ</t>
    </rPh>
    <rPh sb="261" eb="264">
      <t>リシュウリツ</t>
    </rPh>
    <rPh sb="265" eb="267">
      <t>コウジョウ</t>
    </rPh>
    <rPh sb="272" eb="274">
      <t>キタイ</t>
    </rPh>
    <phoneticPr fontId="1"/>
  </si>
  <si>
    <r>
      <t>　本教育プログラムを構成する科目は各学科により異なるが、各学科とも構成する科目のほとんどが必修科目である。具体的には、応用生命科学部の２学科はすべてが必修科目のため、履修率は100％である。薬学部薬学科ではプログラムに1科目選択科目が入っているため、プログラム初年度の履修率は17％にとどまった。2022年度は、2021年度の実績やプログラム修了者の感想を紹介するとともに、科目内容と実施形態を改善し，</t>
    </r>
    <r>
      <rPr>
        <sz val="12"/>
        <color theme="1"/>
        <rFont val="ＭＳ Ｐゴシック"/>
        <family val="3"/>
        <charset val="128"/>
        <scheme val="minor"/>
      </rPr>
      <t>履修者向上を目指している。</t>
    </r>
    <rPh sb="53" eb="56">
      <t>グタイテキ</t>
    </rPh>
    <rPh sb="59" eb="65">
      <t>オウヨウセイメイカガク</t>
    </rPh>
    <rPh sb="65" eb="66">
      <t>ブ</t>
    </rPh>
    <rPh sb="68" eb="70">
      <t>ガッカ</t>
    </rPh>
    <rPh sb="75" eb="77">
      <t>ヒッシュウ</t>
    </rPh>
    <rPh sb="77" eb="79">
      <t>カモク</t>
    </rPh>
    <rPh sb="130" eb="133">
      <t>ショネンド</t>
    </rPh>
    <rPh sb="134" eb="137">
      <t>リシュウリツ</t>
    </rPh>
    <rPh sb="152" eb="154">
      <t>ネンド</t>
    </rPh>
    <rPh sb="160" eb="162">
      <t>ネンド</t>
    </rPh>
    <rPh sb="163" eb="165">
      <t>ジッセキ</t>
    </rPh>
    <rPh sb="171" eb="174">
      <t>シュウリョウシャ</t>
    </rPh>
    <rPh sb="175" eb="177">
      <t>カンソウ</t>
    </rPh>
    <rPh sb="187" eb="191">
      <t>カモクナイヨウ</t>
    </rPh>
    <rPh sb="192" eb="196">
      <t>ジッシケイタイ</t>
    </rPh>
    <rPh sb="197" eb="199">
      <t>カイゼン</t>
    </rPh>
    <rPh sb="201" eb="204">
      <t>リシュウシャ</t>
    </rPh>
    <rPh sb="204" eb="206">
      <t>コウジョウ</t>
    </rPh>
    <rPh sb="207" eb="209">
      <t>メザ</t>
    </rPh>
    <phoneticPr fontId="1"/>
  </si>
  <si>
    <t xml:space="preserve">　2021年度は、本学が主催する学内企業説明会（企業の採用担当者を招き、学内で開催する会社説明会）等の機会を利用し、企業の採用担当者や卒業生に本プログラムの内容を説明したうえで、企業が新卒学生に求める能力やITスキル、情報・AIリテラシーに関する大学教育に期待することのアンケートを実施した。
　アンケート結果では、卒業時に身に付けておいてほしい能力として、「情報セキュリティ」「PCスキル」が多くあげられた。2022年度は、このことを履修説明の際に紹介し、履修予定者のモチベーションとした。今後、学外からの視点を取り入れた授業内容の変更を検討していく予定である。また、アンケート結果は、企業側にフィードバックし、継続的な外部評価の協力をお願いする予定である。
</t>
    <rPh sb="109" eb="111">
      <t>ジョウホウ</t>
    </rPh>
    <rPh sb="120" eb="121">
      <t>カン</t>
    </rPh>
    <rPh sb="153" eb="155">
      <t>ケッカ</t>
    </rPh>
    <rPh sb="173" eb="175">
      <t>ノウリョク</t>
    </rPh>
    <rPh sb="180" eb="182">
      <t>ジョウホウ</t>
    </rPh>
    <rPh sb="197" eb="198">
      <t>オオ</t>
    </rPh>
    <rPh sb="209" eb="211">
      <t>ネンド</t>
    </rPh>
    <rPh sb="218" eb="220">
      <t>リシュウ</t>
    </rPh>
    <rPh sb="220" eb="222">
      <t>セツメイ</t>
    </rPh>
    <rPh sb="223" eb="224">
      <t>サイ</t>
    </rPh>
    <rPh sb="225" eb="227">
      <t>ショウカイ</t>
    </rPh>
    <rPh sb="229" eb="234">
      <t>リシュウヨテイシャ</t>
    </rPh>
    <rPh sb="290" eb="292">
      <t>ケッカ</t>
    </rPh>
    <rPh sb="294" eb="296">
      <t>キギョウ</t>
    </rPh>
    <rPh sb="296" eb="297">
      <t>ガワ</t>
    </rPh>
    <rPh sb="307" eb="310">
      <t>ケイゾクテキ</t>
    </rPh>
    <rPh sb="311" eb="315">
      <t>ガイブヒョウカ</t>
    </rPh>
    <rPh sb="316" eb="318">
      <t>キョウリョク</t>
    </rPh>
    <rPh sb="320" eb="321">
      <t>ネガ</t>
    </rPh>
    <rPh sb="324" eb="326">
      <t>ヨテイ</t>
    </rPh>
    <phoneticPr fontId="1"/>
  </si>
  <si>
    <t>上記にも記載した通り、学内企業説明会（企業の採用担当者を招き、学内で開催する会社説明会）等の機会を利用し、企業の採用担当者や卒業生に本プログラムの内容を説明した上で、企業が新卒学生に求める能力やITスキル、大学教育に期待すること等のアンケートを実施した。回答結果は、ほぼ全ての企業が本プログラムの実施に理解を示した。また、各企業が共通して、PCの仕組みに関する知識、ネットワークの知識、 Word、Excel、Powerpointの基本的なアプリケーション操作能力、データ解析結果（グラフ・表など）を正しく読む能力を新卒社員に求めていることが結果から読み取れた。この結果を授業内容に反映できるように、今後検討していきたい。</t>
    <rPh sb="8" eb="9">
      <t>トオ</t>
    </rPh>
    <rPh sb="80" eb="81">
      <t>ウエ</t>
    </rPh>
    <rPh sb="114" eb="115">
      <t>トウ</t>
    </rPh>
    <rPh sb="127" eb="129">
      <t>カイトウ</t>
    </rPh>
    <rPh sb="283" eb="285">
      <t>ケッカ</t>
    </rPh>
    <rPh sb="286" eb="288">
      <t>ジュギョウ</t>
    </rPh>
    <rPh sb="288" eb="290">
      <t>ナイヨウ</t>
    </rPh>
    <rPh sb="291" eb="293">
      <t>ハンエイ</t>
    </rPh>
    <rPh sb="302" eb="304">
      <t>ケントウ</t>
    </rPh>
    <phoneticPr fontId="1"/>
  </si>
  <si>
    <t>2021年度は数理・データサイエンス・AI教育プログラムを修了した学生にアンケートを実施し、プログラムを構成している科目の理解度、関連分野への興味向上の度合い、自分の専攻との関わり、スキルアップしたと感じた項目等について分析した。回答した学生のほとんどが、本プログラムを通じて数理・データサイエンス・AIへの興味が向上しており、自分の専攻分野への関わりを実感することができていた。また、さらに深く勉強したいという希望もあり、今後勉強していきたい事項を回答してくれる学生もいた。今回のアンケートでは、学生はおおむね本プログラムの内容を理解できていることが分かったが、今後は、アンケートの分析結果を各科目担当者と検討し、学生の「わかりやすさ」の観点から講義の内容・実施方法を改善していきたいと考えている。</t>
    <rPh sb="4" eb="6">
      <t>ネンド</t>
    </rPh>
    <rPh sb="7" eb="9">
      <t>スウリ</t>
    </rPh>
    <rPh sb="21" eb="23">
      <t>キョウイク</t>
    </rPh>
    <rPh sb="29" eb="31">
      <t>シュウリョウ</t>
    </rPh>
    <rPh sb="33" eb="35">
      <t>ガクセイ</t>
    </rPh>
    <rPh sb="42" eb="44">
      <t>ジッシ</t>
    </rPh>
    <rPh sb="52" eb="54">
      <t>コウセイ</t>
    </rPh>
    <rPh sb="58" eb="60">
      <t>カモク</t>
    </rPh>
    <rPh sb="61" eb="64">
      <t>リカイド</t>
    </rPh>
    <rPh sb="65" eb="69">
      <t>カンレンブンヤ</t>
    </rPh>
    <rPh sb="71" eb="75">
      <t>キョウミコウジョウ</t>
    </rPh>
    <rPh sb="76" eb="78">
      <t>ドア</t>
    </rPh>
    <rPh sb="80" eb="82">
      <t>ジブン</t>
    </rPh>
    <rPh sb="83" eb="85">
      <t>センコウ</t>
    </rPh>
    <rPh sb="87" eb="88">
      <t>カカ</t>
    </rPh>
    <rPh sb="100" eb="101">
      <t>カン</t>
    </rPh>
    <rPh sb="103" eb="105">
      <t>コウモク</t>
    </rPh>
    <rPh sb="105" eb="106">
      <t>トウ</t>
    </rPh>
    <rPh sb="110" eb="112">
      <t>ブンセキ</t>
    </rPh>
    <rPh sb="115" eb="117">
      <t>カイトウ</t>
    </rPh>
    <rPh sb="119" eb="121">
      <t>ガクセイ</t>
    </rPh>
    <rPh sb="128" eb="129">
      <t>ホン</t>
    </rPh>
    <rPh sb="135" eb="136">
      <t>ツウ</t>
    </rPh>
    <rPh sb="138" eb="140">
      <t>スウリ</t>
    </rPh>
    <rPh sb="154" eb="156">
      <t>キョウミ</t>
    </rPh>
    <rPh sb="157" eb="159">
      <t>コウジョウ</t>
    </rPh>
    <rPh sb="164" eb="166">
      <t>ジブン</t>
    </rPh>
    <rPh sb="167" eb="171">
      <t>センコウブンヤ</t>
    </rPh>
    <rPh sb="173" eb="174">
      <t>カカ</t>
    </rPh>
    <rPh sb="177" eb="179">
      <t>ジッカン</t>
    </rPh>
    <rPh sb="196" eb="197">
      <t>フカ</t>
    </rPh>
    <rPh sb="198" eb="200">
      <t>ベンキョウ</t>
    </rPh>
    <rPh sb="206" eb="208">
      <t>キボウ</t>
    </rPh>
    <rPh sb="212" eb="214">
      <t>コンゴ</t>
    </rPh>
    <rPh sb="214" eb="216">
      <t>ベンキョウ</t>
    </rPh>
    <rPh sb="222" eb="224">
      <t>ジコウ</t>
    </rPh>
    <rPh sb="225" eb="227">
      <t>カイトウ</t>
    </rPh>
    <rPh sb="232" eb="234">
      <t>ガクセイ</t>
    </rPh>
    <rPh sb="238" eb="240">
      <t>コンカイ</t>
    </rPh>
    <rPh sb="249" eb="251">
      <t>ガクセイ</t>
    </rPh>
    <rPh sb="256" eb="257">
      <t>ホン</t>
    </rPh>
    <rPh sb="263" eb="265">
      <t>ナイヨウ</t>
    </rPh>
    <rPh sb="266" eb="268">
      <t>リカイ</t>
    </rPh>
    <rPh sb="276" eb="277">
      <t>ワ</t>
    </rPh>
    <rPh sb="282" eb="284">
      <t>コンゴ</t>
    </rPh>
    <rPh sb="292" eb="294">
      <t>ブンセキ</t>
    </rPh>
    <rPh sb="294" eb="296">
      <t>ケッカ</t>
    </rPh>
    <rPh sb="297" eb="298">
      <t>カク</t>
    </rPh>
    <rPh sb="298" eb="300">
      <t>カモク</t>
    </rPh>
    <rPh sb="300" eb="303">
      <t>タントウシャ</t>
    </rPh>
    <rPh sb="304" eb="306">
      <t>ケントウ</t>
    </rPh>
    <rPh sb="335" eb="337">
      <t>カイゼン</t>
    </rPh>
    <rPh sb="344" eb="345">
      <t>カンガ</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</si>
</sst>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style="hair">
        <color auto="1"/>
      </top>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316">
    <xf numFmtId="0" fontId="0" fillId="0" borderId="0" xfId="0">
      <alignment vertical="center"/>
    </xf>
    <xf numFmtId="0" fontId="2" fillId="0" borderId="0" xfId="0" applyFont="1">
      <alignment vertical="center"/>
    </xf>
    <xf numFmtId="0" fontId="4" fillId="0" borderId="0" xfId="0" applyFont="1">
      <alignment vertical="center"/>
    </xf>
    <xf numFmtId="0" fontId="3" fillId="0" borderId="0" xfId="0" applyFont="1">
      <alignment vertical="center"/>
    </xf>
    <xf numFmtId="0" fontId="7" fillId="0" borderId="0" xfId="0" applyFont="1" applyAlignment="1">
      <alignment horizontal="center" vertical="center" shrinkToFit="1"/>
    </xf>
    <xf numFmtId="0" fontId="8" fillId="0" borderId="0" xfId="0" applyFont="1">
      <alignment vertical="center"/>
    </xf>
    <xf numFmtId="0" fontId="7" fillId="0" borderId="0" xfId="0" applyFont="1">
      <alignment vertical="center"/>
    </xf>
    <xf numFmtId="0" fontId="7" fillId="0" borderId="0" xfId="0" applyFont="1" applyAlignment="1">
      <alignment horizontal="left" vertical="center"/>
    </xf>
    <xf numFmtId="0" fontId="7" fillId="0" borderId="5" xfId="0" applyFont="1" applyBorder="1">
      <alignment vertical="center"/>
    </xf>
    <xf numFmtId="176" fontId="7" fillId="0" borderId="0" xfId="0" applyNumberFormat="1" applyFont="1" applyAlignment="1">
      <alignment horizontal="left" vertical="center" wrapText="1"/>
    </xf>
    <xf numFmtId="0" fontId="7" fillId="0" borderId="6" xfId="0" applyFont="1" applyBorder="1" applyAlignment="1">
      <alignment vertical="center" shrinkToFit="1"/>
    </xf>
    <xf numFmtId="0" fontId="7" fillId="0" borderId="1" xfId="0" applyFont="1" applyBorder="1">
      <alignment vertical="center"/>
    </xf>
    <xf numFmtId="0" fontId="7" fillId="0" borderId="2" xfId="0" applyFont="1" applyBorder="1">
      <alignment vertical="center"/>
    </xf>
    <xf numFmtId="0" fontId="7" fillId="0" borderId="4" xfId="0" applyFont="1" applyBorder="1">
      <alignment vertical="center"/>
    </xf>
    <xf numFmtId="0" fontId="7" fillId="0" borderId="0" xfId="0" applyFont="1" applyAlignment="1">
      <alignment horizontal="center" vertical="center"/>
    </xf>
    <xf numFmtId="0" fontId="7" fillId="0" borderId="1" xfId="0" applyFont="1" applyBorder="1" applyAlignment="1">
      <alignment vertical="center" shrinkToFit="1"/>
    </xf>
    <xf numFmtId="0" fontId="9" fillId="0" borderId="0" xfId="0" applyFont="1">
      <alignment vertical="center"/>
    </xf>
    <xf numFmtId="0" fontId="10" fillId="0" borderId="0" xfId="0" applyFont="1">
      <alignment vertical="center"/>
    </xf>
    <xf numFmtId="0" fontId="7"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2" fillId="0" borderId="0" xfId="0" applyFont="1" applyAlignment="1">
      <alignment horizontal="right" vertical="center"/>
    </xf>
    <xf numFmtId="0" fontId="14" fillId="0" borderId="11" xfId="0" applyFont="1" applyBorder="1" applyAlignment="1">
      <alignment horizontal="center" vertical="center"/>
    </xf>
    <xf numFmtId="0" fontId="14" fillId="0" borderId="28" xfId="0" applyFont="1" applyBorder="1" applyAlignment="1">
      <alignment horizontal="center" vertical="center" wrapText="1"/>
    </xf>
    <xf numFmtId="0" fontId="14" fillId="0" borderId="29" xfId="0" applyFont="1" applyBorder="1" applyAlignment="1">
      <alignment horizontal="center" vertical="center"/>
    </xf>
    <xf numFmtId="0" fontId="14"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0"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0" fontId="3" fillId="0" borderId="24" xfId="0" applyFont="1" applyBorder="1" applyAlignment="1">
      <alignment vertical="center" shrinkToFit="1"/>
    </xf>
    <xf numFmtId="176" fontId="3" fillId="0" borderId="24"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26" xfId="0" applyNumberFormat="1" applyFont="1" applyBorder="1" applyAlignment="1">
      <alignment vertical="center" shrinkToFit="1"/>
    </xf>
    <xf numFmtId="176" fontId="3" fillId="0" borderId="27" xfId="0" applyNumberFormat="1" applyFont="1" applyBorder="1" applyAlignment="1">
      <alignment vertical="center" shrinkToFit="1"/>
    </xf>
    <xf numFmtId="9" fontId="3" fillId="0" borderId="26" xfId="0" applyNumberFormat="1" applyFont="1" applyBorder="1" applyAlignment="1">
      <alignment vertical="center" shrinkToFit="1"/>
    </xf>
    <xf numFmtId="0" fontId="7" fillId="0" borderId="10" xfId="0" applyFont="1" applyBorder="1" applyAlignment="1">
      <alignment vertical="center" shrinkToFit="1"/>
    </xf>
    <xf numFmtId="49" fontId="17" fillId="0" borderId="1" xfId="0" applyNumberFormat="1" applyFont="1" applyBorder="1" applyAlignment="1">
      <alignment horizontal="center" vertical="center"/>
    </xf>
    <xf numFmtId="0" fontId="7" fillId="0" borderId="0" xfId="0" applyFont="1" applyAlignment="1">
      <alignment vertical="top" wrapText="1"/>
    </xf>
    <xf numFmtId="0" fontId="8" fillId="0" borderId="2" xfId="0" applyFont="1" applyBorder="1">
      <alignment vertical="center"/>
    </xf>
    <xf numFmtId="0" fontId="8" fillId="0" borderId="4" xfId="0" applyFont="1" applyBorder="1">
      <alignment vertical="center"/>
    </xf>
    <xf numFmtId="49" fontId="17" fillId="0" borderId="46" xfId="0" applyNumberFormat="1" applyFont="1" applyBorder="1" applyAlignment="1">
      <alignment horizontal="center" vertical="center"/>
    </xf>
    <xf numFmtId="49" fontId="17" fillId="0" borderId="32" xfId="0" applyNumberFormat="1" applyFont="1" applyBorder="1" applyAlignment="1">
      <alignment horizontal="center" vertical="center"/>
    </xf>
    <xf numFmtId="49" fontId="17" fillId="0" borderId="49" xfId="0" applyNumberFormat="1" applyFont="1" applyBorder="1" applyAlignment="1">
      <alignment horizontal="center" vertical="center"/>
    </xf>
    <xf numFmtId="0" fontId="7" fillId="0" borderId="43" xfId="0" applyFont="1" applyBorder="1" applyAlignment="1">
      <alignment horizontal="center" vertical="center" shrinkToFit="1"/>
    </xf>
    <xf numFmtId="49" fontId="17" fillId="0" borderId="50"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7" xfId="0" applyFont="1" applyBorder="1" applyAlignment="1">
      <alignment horizontal="center" vertical="center" shrinkToFit="1"/>
    </xf>
    <xf numFmtId="0" fontId="3" fillId="0" borderId="25"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7" fillId="0" borderId="7" xfId="0" applyFont="1" applyBorder="1" applyAlignment="1">
      <alignment horizontal="center" vertical="center" wrapText="1" shrinkToFit="1"/>
    </xf>
    <xf numFmtId="0" fontId="7" fillId="0" borderId="9" xfId="0" applyFont="1" applyBorder="1" applyAlignment="1">
      <alignment horizontal="center" vertical="center" shrinkToFit="1"/>
    </xf>
    <xf numFmtId="0" fontId="7" fillId="0" borderId="45"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7" fillId="0" borderId="3" xfId="0" applyFont="1" applyBorder="1">
      <alignment vertical="center"/>
    </xf>
    <xf numFmtId="49" fontId="17" fillId="0" borderId="51" xfId="0" applyNumberFormat="1" applyFont="1" applyBorder="1" applyAlignment="1">
      <alignment horizontal="center" vertical="center"/>
    </xf>
    <xf numFmtId="49" fontId="17" fillId="0" borderId="28" xfId="0" applyNumberFormat="1" applyFont="1" applyBorder="1" applyAlignment="1">
      <alignment horizontal="center" vertical="center"/>
    </xf>
    <xf numFmtId="0" fontId="20" fillId="0" borderId="4" xfId="0" applyFont="1" applyBorder="1" applyAlignment="1">
      <alignment horizontal="center" vertical="center" shrinkToFit="1"/>
    </xf>
    <xf numFmtId="0" fontId="7" fillId="0" borderId="14"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1" xfId="0" applyFont="1" applyBorder="1" applyAlignment="1">
      <alignment horizontal="center" vertical="center" shrinkToFit="1"/>
    </xf>
    <xf numFmtId="0" fontId="7" fillId="0" borderId="18" xfId="0" applyFont="1" applyBorder="1" applyAlignment="1">
      <alignment horizontal="center" vertical="center"/>
    </xf>
    <xf numFmtId="0" fontId="7" fillId="0" borderId="37" xfId="0" applyFont="1" applyBorder="1" applyAlignment="1">
      <alignment horizontal="center" vertical="center"/>
    </xf>
    <xf numFmtId="0" fontId="7" fillId="0" borderId="42" xfId="0" applyFont="1" applyBorder="1" applyAlignment="1">
      <alignment horizontal="center" vertical="center" shrinkToFit="1"/>
    </xf>
    <xf numFmtId="0" fontId="7" fillId="0" borderId="0" xfId="0" applyFont="1" applyAlignment="1">
      <alignment horizontal="right" vertical="center"/>
    </xf>
    <xf numFmtId="0" fontId="7" fillId="0" borderId="0" xfId="0" applyFont="1" applyAlignment="1">
      <alignment vertical="center" wrapText="1"/>
    </xf>
    <xf numFmtId="0" fontId="16" fillId="0" borderId="0" xfId="0" applyFont="1" applyAlignment="1">
      <alignment horizontal="center" vertical="center"/>
    </xf>
    <xf numFmtId="0" fontId="8" fillId="0" borderId="0" xfId="0" applyFont="1" applyAlignment="1">
      <alignment horizontal="center" vertical="center"/>
    </xf>
    <xf numFmtId="0" fontId="17" fillId="0" borderId="0" xfId="0" applyFont="1" applyAlignment="1">
      <alignment vertical="top" wrapText="1"/>
    </xf>
    <xf numFmtId="0" fontId="17" fillId="0" borderId="10" xfId="0" applyFont="1" applyBorder="1" applyAlignment="1">
      <alignment vertical="top" wrapText="1"/>
    </xf>
    <xf numFmtId="0" fontId="17" fillId="0" borderId="5" xfId="0" applyFont="1" applyBorder="1" applyAlignment="1">
      <alignment vertical="top" wrapText="1"/>
    </xf>
    <xf numFmtId="0" fontId="7" fillId="0" borderId="16" xfId="0" applyFont="1" applyBorder="1">
      <alignment vertical="center"/>
    </xf>
    <xf numFmtId="0" fontId="17" fillId="0" borderId="20" xfId="0" applyFont="1" applyBorder="1" applyAlignment="1">
      <alignment vertical="top" wrapText="1"/>
    </xf>
    <xf numFmtId="0" fontId="17" fillId="0" borderId="18" xfId="0" applyFont="1" applyBorder="1" applyAlignment="1">
      <alignment vertical="top" wrapText="1"/>
    </xf>
    <xf numFmtId="0" fontId="17" fillId="0" borderId="20" xfId="0" applyFont="1" applyBorder="1" applyAlignment="1">
      <alignment vertical="top" shrinkToFit="1"/>
    </xf>
    <xf numFmtId="0" fontId="17" fillId="0" borderId="18" xfId="0" applyFont="1" applyBorder="1" applyAlignment="1">
      <alignment vertical="top" shrinkToFit="1"/>
    </xf>
    <xf numFmtId="0" fontId="7" fillId="0" borderId="15" xfId="0" applyFont="1" applyBorder="1" applyAlignment="1">
      <alignment horizontal="center" vertical="center" shrinkToFit="1"/>
    </xf>
    <xf numFmtId="0" fontId="8" fillId="0" borderId="14" xfId="0" applyFont="1" applyBorder="1" applyAlignment="1">
      <alignment horizontal="center" vertical="center"/>
    </xf>
    <xf numFmtId="0" fontId="8" fillId="0" borderId="16" xfId="0" applyFont="1" applyBorder="1" applyAlignment="1">
      <alignment horizontal="center" vertical="center"/>
    </xf>
    <xf numFmtId="0" fontId="8" fillId="0" borderId="23" xfId="0" applyFont="1" applyBorder="1" applyAlignment="1">
      <alignment horizontal="center" vertical="center"/>
    </xf>
    <xf numFmtId="0" fontId="7" fillId="3" borderId="0" xfId="0" applyFont="1" applyFill="1">
      <alignment vertical="center"/>
    </xf>
    <xf numFmtId="0" fontId="7" fillId="3" borderId="5" xfId="0" applyFont="1" applyFill="1" applyBorder="1">
      <alignment vertical="center"/>
    </xf>
    <xf numFmtId="176" fontId="7" fillId="3" borderId="0" xfId="0" applyNumberFormat="1" applyFont="1" applyFill="1" applyAlignment="1">
      <alignment vertical="center" wrapText="1"/>
    </xf>
    <xf numFmtId="176" fontId="7" fillId="3" borderId="5" xfId="0" applyNumberFormat="1" applyFont="1" applyFill="1" applyBorder="1">
      <alignment vertical="center"/>
    </xf>
    <xf numFmtId="176" fontId="7" fillId="3" borderId="0" xfId="0" applyNumberFormat="1" applyFont="1" applyFill="1">
      <alignment vertical="center"/>
    </xf>
    <xf numFmtId="0" fontId="7" fillId="3" borderId="0" xfId="0" applyFont="1" applyFill="1" applyAlignment="1">
      <alignment horizontal="center" vertical="center"/>
    </xf>
    <xf numFmtId="176" fontId="7" fillId="3" borderId="3" xfId="0" applyNumberFormat="1" applyFont="1" applyFill="1" applyBorder="1" applyAlignment="1">
      <alignment vertical="center" shrinkToFit="1"/>
    </xf>
    <xf numFmtId="0" fontId="7" fillId="0" borderId="8" xfId="0" applyFont="1" applyBorder="1" applyAlignment="1">
      <alignment horizontal="center" vertical="center"/>
    </xf>
    <xf numFmtId="0" fontId="7" fillId="0" borderId="52" xfId="0" applyFont="1" applyBorder="1" applyAlignment="1">
      <alignment horizontal="center" vertical="center" shrinkToFit="1"/>
    </xf>
    <xf numFmtId="0" fontId="7" fillId="0" borderId="8" xfId="0" applyFont="1" applyBorder="1" applyAlignment="1">
      <alignment vertical="top" wrapText="1"/>
    </xf>
    <xf numFmtId="0" fontId="8" fillId="0" borderId="8" xfId="0" applyFont="1" applyBorder="1">
      <alignment vertical="center"/>
    </xf>
    <xf numFmtId="0" fontId="7" fillId="0" borderId="42" xfId="0" applyFont="1" applyBorder="1" applyAlignment="1">
      <alignment horizontal="center" vertical="center"/>
    </xf>
    <xf numFmtId="0" fontId="8" fillId="0" borderId="39" xfId="0" applyFont="1" applyBorder="1" applyAlignment="1">
      <alignment horizontal="center" vertical="center"/>
    </xf>
    <xf numFmtId="0" fontId="8" fillId="0" borderId="42" xfId="0" applyFont="1" applyBorder="1" applyAlignment="1">
      <alignment horizontal="center" vertical="center"/>
    </xf>
    <xf numFmtId="9" fontId="7" fillId="0" borderId="8" xfId="0" applyNumberFormat="1" applyFont="1" applyFill="1" applyBorder="1" applyAlignment="1">
      <alignment horizontal="center" vertical="center" wrapText="1" shrinkToFit="1"/>
    </xf>
    <xf numFmtId="0" fontId="7" fillId="0" borderId="8" xfId="0" applyFont="1" applyFill="1" applyBorder="1" applyAlignment="1">
      <alignment horizontal="center" vertical="center" wrapText="1" shrinkToFit="1"/>
    </xf>
    <xf numFmtId="9" fontId="7" fillId="0" borderId="8" xfId="0" applyNumberFormat="1" applyFont="1" applyFill="1" applyBorder="1" applyAlignment="1">
      <alignment horizontal="center" vertical="center" shrinkToFit="1"/>
    </xf>
    <xf numFmtId="9" fontId="7" fillId="0" borderId="44" xfId="0" applyNumberFormat="1" applyFont="1" applyFill="1" applyBorder="1" applyAlignment="1">
      <alignment horizontal="center" vertical="center" shrinkToFit="1"/>
    </xf>
    <xf numFmtId="0" fontId="7" fillId="0" borderId="44" xfId="0" applyFont="1" applyFill="1" applyBorder="1" applyAlignment="1">
      <alignment horizontal="center" vertical="center" shrinkToFit="1"/>
    </xf>
    <xf numFmtId="176" fontId="7" fillId="0" borderId="44" xfId="0" applyNumberFormat="1" applyFont="1" applyFill="1" applyBorder="1" applyAlignment="1">
      <alignment horizontal="center" vertical="center" shrinkToFit="1"/>
    </xf>
    <xf numFmtId="49" fontId="15" fillId="0" borderId="2" xfId="2" applyNumberFormat="1" applyFont="1" applyBorder="1" applyAlignment="1">
      <alignment vertical="center" shrinkToFit="1"/>
    </xf>
    <xf numFmtId="49" fontId="7" fillId="0" borderId="3" xfId="0" applyNumberFormat="1" applyFont="1" applyBorder="1" applyAlignment="1">
      <alignment vertical="center" shrinkToFit="1"/>
    </xf>
    <xf numFmtId="49" fontId="7" fillId="0" borderId="4" xfId="0" applyNumberFormat="1" applyFont="1" applyBorder="1" applyAlignment="1">
      <alignment vertical="center" shrinkToFit="1"/>
    </xf>
    <xf numFmtId="49" fontId="7" fillId="0" borderId="2" xfId="1" applyNumberFormat="1" applyFont="1" applyBorder="1" applyAlignment="1">
      <alignment horizontal="center" vertical="center" shrinkToFit="1"/>
    </xf>
    <xf numFmtId="49" fontId="7" fillId="0" borderId="3" xfId="1" applyNumberFormat="1" applyFont="1" applyBorder="1" applyAlignment="1">
      <alignment horizontal="center" vertical="center" shrinkToFit="1"/>
    </xf>
    <xf numFmtId="49" fontId="7" fillId="0" borderId="4" xfId="1" applyNumberFormat="1" applyFont="1" applyBorder="1" applyAlignment="1">
      <alignment horizontal="center" vertical="center" shrinkToFit="1"/>
    </xf>
    <xf numFmtId="0" fontId="7" fillId="3" borderId="0" xfId="0" applyFont="1" applyFill="1" applyAlignment="1">
      <alignment horizontal="center" vertical="center"/>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176" fontId="7" fillId="3" borderId="2" xfId="0" applyNumberFormat="1" applyFont="1" applyFill="1" applyBorder="1" applyAlignment="1">
      <alignment horizontal="center" vertical="center" shrinkToFit="1"/>
    </xf>
    <xf numFmtId="176" fontId="7" fillId="3" borderId="4" xfId="0" applyNumberFormat="1" applyFont="1" applyFill="1" applyBorder="1" applyAlignment="1">
      <alignment horizontal="center" vertical="center" shrinkToFit="1"/>
    </xf>
    <xf numFmtId="0" fontId="7" fillId="0" borderId="2" xfId="0" applyFont="1" applyBorder="1" applyAlignment="1">
      <alignment vertical="center" shrinkToFit="1"/>
    </xf>
    <xf numFmtId="0" fontId="7" fillId="0" borderId="3" xfId="0" applyFont="1" applyBorder="1" applyAlignment="1">
      <alignment vertical="center" shrinkToFit="1"/>
    </xf>
    <xf numFmtId="0" fontId="7" fillId="0" borderId="0" xfId="0" applyFont="1" applyAlignment="1">
      <alignment horizontal="right" vertical="center" shrinkToFit="1"/>
    </xf>
    <xf numFmtId="0" fontId="7" fillId="0" borderId="5" xfId="0" applyFont="1" applyBorder="1" applyAlignment="1">
      <alignment horizontal="right" vertical="center" shrinkToFit="1"/>
    </xf>
    <xf numFmtId="0" fontId="7" fillId="0" borderId="10" xfId="0" applyFont="1" applyBorder="1" applyAlignment="1">
      <alignment horizontal="right" vertical="center" shrinkToFit="1"/>
    </xf>
    <xf numFmtId="0" fontId="7" fillId="0" borderId="0" xfId="0" applyFont="1" applyAlignment="1">
      <alignment horizontal="right" vertical="center"/>
    </xf>
    <xf numFmtId="0" fontId="7" fillId="3" borderId="0" xfId="0" applyFont="1" applyFill="1" applyAlignment="1">
      <alignment horizontal="right" vertical="center"/>
    </xf>
    <xf numFmtId="0" fontId="7" fillId="3" borderId="10" xfId="0" applyFont="1" applyFill="1" applyBorder="1" applyAlignment="1">
      <alignment horizontal="right" vertical="center"/>
    </xf>
    <xf numFmtId="176" fontId="7" fillId="3" borderId="3" xfId="0" applyNumberFormat="1" applyFont="1" applyFill="1" applyBorder="1" applyAlignment="1">
      <alignment horizontal="center" vertical="center" shrinkToFit="1"/>
    </xf>
    <xf numFmtId="0" fontId="11" fillId="0" borderId="0" xfId="0" applyFont="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176" fontId="7" fillId="3" borderId="2" xfId="0" applyNumberFormat="1" applyFont="1" applyFill="1" applyBorder="1" applyAlignment="1">
      <alignment horizontal="center" vertical="center"/>
    </xf>
    <xf numFmtId="176" fontId="7" fillId="3" borderId="3" xfId="0" applyNumberFormat="1" applyFont="1" applyFill="1" applyBorder="1" applyAlignment="1">
      <alignment horizontal="center" vertical="center"/>
    </xf>
    <xf numFmtId="176" fontId="7" fillId="3" borderId="4" xfId="0" applyNumberFormat="1" applyFont="1" applyFill="1" applyBorder="1" applyAlignment="1">
      <alignment horizontal="center" vertical="center"/>
    </xf>
    <xf numFmtId="0" fontId="7" fillId="3" borderId="0" xfId="0" applyFont="1" applyFill="1" applyAlignment="1">
      <alignment vertical="center" shrinkToFit="1"/>
    </xf>
    <xf numFmtId="0" fontId="7" fillId="0" borderId="36" xfId="0" applyFont="1" applyBorder="1" applyAlignment="1">
      <alignment horizontal="center" vertical="center"/>
    </xf>
    <xf numFmtId="0" fontId="7" fillId="0" borderId="38" xfId="0" applyFont="1" applyBorder="1" applyAlignment="1">
      <alignment horizontal="center" vertical="center"/>
    </xf>
    <xf numFmtId="0" fontId="7" fillId="0" borderId="37" xfId="0" applyFont="1" applyBorder="1" applyAlignment="1">
      <alignment horizontal="center" vertical="center"/>
    </xf>
    <xf numFmtId="0" fontId="7" fillId="0" borderId="39" xfId="0" applyFont="1" applyBorder="1" applyAlignment="1">
      <alignment horizontal="left" vertical="center" shrinkToFit="1"/>
    </xf>
    <xf numFmtId="0" fontId="7" fillId="0" borderId="40"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39" xfId="0" applyFont="1" applyBorder="1" applyAlignment="1">
      <alignment horizontal="center" vertical="center"/>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0" borderId="39" xfId="0" applyFont="1" applyBorder="1" applyAlignment="1">
      <alignment vertical="center" shrinkToFit="1"/>
    </xf>
    <xf numFmtId="0" fontId="7" fillId="0" borderId="40" xfId="0" applyFont="1" applyBorder="1" applyAlignment="1">
      <alignment vertical="center" shrinkToFit="1"/>
    </xf>
    <xf numFmtId="0" fontId="7" fillId="0" borderId="41" xfId="0" applyFont="1" applyBorder="1" applyAlignment="1">
      <alignment vertical="center" shrinkToFit="1"/>
    </xf>
    <xf numFmtId="0" fontId="8" fillId="0" borderId="0" xfId="0" applyFont="1" applyAlignment="1">
      <alignment horizontal="center" vertical="center"/>
    </xf>
    <xf numFmtId="0" fontId="16" fillId="0" borderId="0" xfId="0" applyFont="1" applyAlignment="1">
      <alignment horizontal="center" vertical="center"/>
    </xf>
    <xf numFmtId="0" fontId="7" fillId="0" borderId="3" xfId="0" applyFont="1" applyBorder="1" applyAlignment="1">
      <alignment horizontal="center" vertical="center"/>
    </xf>
    <xf numFmtId="0" fontId="7" fillId="0" borderId="7" xfId="0" applyFont="1" applyBorder="1" applyAlignment="1">
      <alignment horizontal="left" vertical="top" wrapText="1" shrinkToFit="1"/>
    </xf>
    <xf numFmtId="0" fontId="7" fillId="0" borderId="8" xfId="0" applyFont="1" applyBorder="1" applyAlignment="1">
      <alignment horizontal="left" vertical="top" shrinkToFit="1"/>
    </xf>
    <xf numFmtId="0" fontId="7" fillId="0" borderId="9" xfId="0" applyFont="1" applyBorder="1" applyAlignment="1">
      <alignment horizontal="left" vertical="top" shrinkToFit="1"/>
    </xf>
    <xf numFmtId="0" fontId="7" fillId="0" borderId="5" xfId="0" applyFont="1" applyBorder="1" applyAlignment="1">
      <alignment horizontal="left" vertical="top" shrinkToFit="1"/>
    </xf>
    <xf numFmtId="0" fontId="7" fillId="0" borderId="0" xfId="0" applyFont="1" applyAlignment="1">
      <alignment horizontal="left" vertical="top" shrinkToFit="1"/>
    </xf>
    <xf numFmtId="0" fontId="7" fillId="0" borderId="10" xfId="0" applyFont="1" applyBorder="1" applyAlignment="1">
      <alignment horizontal="left" vertical="top" shrinkToFit="1"/>
    </xf>
    <xf numFmtId="0" fontId="7" fillId="0" borderId="11" xfId="0" applyFont="1" applyBorder="1" applyAlignment="1">
      <alignment horizontal="left" vertical="top" shrinkToFit="1"/>
    </xf>
    <xf numFmtId="0" fontId="7" fillId="0" borderId="6" xfId="0" applyFont="1" applyBorder="1" applyAlignment="1">
      <alignment horizontal="left" vertical="top" shrinkToFit="1"/>
    </xf>
    <xf numFmtId="0" fontId="7" fillId="0" borderId="12" xfId="0" applyFont="1" applyBorder="1" applyAlignment="1">
      <alignment horizontal="left" vertical="top" shrinkToFit="1"/>
    </xf>
    <xf numFmtId="0" fontId="7" fillId="0" borderId="0" xfId="0" applyFont="1" applyAlignment="1">
      <alignment vertical="center" wrapText="1"/>
    </xf>
    <xf numFmtId="0" fontId="7" fillId="0" borderId="2" xfId="0" applyFont="1" applyBorder="1" applyAlignment="1">
      <alignment horizontal="left" vertical="center" shrinkToFit="1"/>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4" xfId="0" applyFont="1" applyBorder="1" applyAlignment="1">
      <alignment vertical="center" shrinkToFit="1"/>
    </xf>
    <xf numFmtId="0" fontId="7" fillId="0" borderId="36" xfId="0" applyFont="1" applyBorder="1" applyAlignment="1">
      <alignment horizontal="left" vertical="center" shrinkToFit="1"/>
    </xf>
    <xf numFmtId="0" fontId="7" fillId="0" borderId="38" xfId="0" applyFont="1" applyBorder="1" applyAlignment="1">
      <alignment horizontal="left" vertical="center" shrinkToFit="1"/>
    </xf>
    <xf numFmtId="0" fontId="7" fillId="0" borderId="37" xfId="0" applyFont="1" applyBorder="1" applyAlignment="1">
      <alignment horizontal="left" vertical="center" shrinkToFit="1"/>
    </xf>
    <xf numFmtId="0" fontId="7" fillId="0" borderId="36" xfId="0" applyFont="1" applyBorder="1" applyAlignment="1">
      <alignment vertical="center" shrinkToFit="1"/>
    </xf>
    <xf numFmtId="0" fontId="7" fillId="0" borderId="38" xfId="0" applyFont="1" applyBorder="1" applyAlignment="1">
      <alignment vertical="center" shrinkToFit="1"/>
    </xf>
    <xf numFmtId="0" fontId="7" fillId="0" borderId="37" xfId="0" applyFont="1" applyBorder="1" applyAlignment="1">
      <alignment vertical="center" shrinkToFit="1"/>
    </xf>
    <xf numFmtId="0" fontId="7" fillId="0" borderId="7" xfId="0" applyFont="1" applyBorder="1" applyAlignment="1">
      <alignment horizontal="left" vertical="center"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7" xfId="0" applyFont="1" applyBorder="1" applyAlignment="1">
      <alignment vertical="center" shrinkToFit="1"/>
    </xf>
    <xf numFmtId="0" fontId="7" fillId="0" borderId="8" xfId="0" applyFont="1" applyBorder="1" applyAlignment="1">
      <alignment vertical="center" shrinkToFit="1"/>
    </xf>
    <xf numFmtId="0" fontId="7" fillId="0" borderId="9" xfId="0" applyFont="1" applyBorder="1" applyAlignment="1">
      <alignment vertical="center" shrinkToFi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18" fillId="0" borderId="47" xfId="0" applyFont="1" applyBorder="1" applyAlignment="1">
      <alignment vertical="center" wrapText="1"/>
    </xf>
    <xf numFmtId="0" fontId="18" fillId="0" borderId="31" xfId="0" applyFont="1" applyBorder="1" applyAlignment="1">
      <alignment vertical="center" wrapText="1"/>
    </xf>
    <xf numFmtId="0" fontId="8" fillId="0" borderId="8" xfId="0" applyFont="1" applyBorder="1" applyAlignment="1">
      <alignment horizontal="left" vertical="center" wrapText="1" shrinkToFit="1"/>
    </xf>
    <xf numFmtId="0" fontId="7" fillId="0" borderId="9" xfId="0" applyFont="1" applyBorder="1" applyAlignment="1">
      <alignment horizontal="left" vertical="center" wrapText="1"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0" xfId="0" applyFont="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19" fillId="0" borderId="47" xfId="0" applyFont="1" applyBorder="1" applyAlignment="1">
      <alignment vertical="center" wrapText="1"/>
    </xf>
    <xf numFmtId="0" fontId="19" fillId="0" borderId="48" xfId="0" applyFont="1" applyBorder="1" applyAlignment="1">
      <alignment vertical="center" wrapText="1"/>
    </xf>
    <xf numFmtId="0" fontId="8" fillId="0" borderId="38" xfId="0" applyFont="1" applyBorder="1" applyAlignment="1">
      <alignment horizontal="left" vertical="center" wrapText="1" shrinkToFit="1"/>
    </xf>
    <xf numFmtId="0" fontId="8" fillId="0" borderId="37" xfId="0" applyFont="1" applyBorder="1" applyAlignment="1">
      <alignment horizontal="left" vertical="center" wrapText="1" shrinkToFit="1"/>
    </xf>
    <xf numFmtId="0" fontId="8" fillId="0" borderId="40" xfId="0" applyFont="1" applyBorder="1" applyAlignment="1">
      <alignment horizontal="left" vertical="center" wrapText="1" shrinkToFit="1"/>
    </xf>
    <xf numFmtId="0" fontId="8" fillId="0" borderId="41"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12" xfId="0" applyFont="1" applyBorder="1" applyAlignment="1">
      <alignment horizontal="left" vertical="center" wrapText="1"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19" fillId="0" borderId="31" xfId="0" applyFont="1" applyBorder="1" applyAlignment="1">
      <alignment vertical="center" wrapText="1"/>
    </xf>
    <xf numFmtId="0" fontId="8" fillId="2" borderId="8" xfId="0" applyFont="1" applyFill="1" applyBorder="1" applyAlignment="1">
      <alignment horizontal="left" vertical="center" wrapText="1" shrinkToFit="1"/>
    </xf>
    <xf numFmtId="0" fontId="7" fillId="2" borderId="9" xfId="0" applyFont="1" applyFill="1" applyBorder="1" applyAlignment="1">
      <alignment horizontal="left" vertical="center" wrapText="1" shrinkToFit="1"/>
    </xf>
    <xf numFmtId="0" fontId="7" fillId="2" borderId="20" xfId="0" applyFont="1" applyFill="1" applyBorder="1" applyAlignment="1">
      <alignment horizontal="left" vertical="center" wrapText="1" shrinkToFit="1"/>
    </xf>
    <xf numFmtId="0" fontId="7" fillId="2" borderId="18" xfId="0" applyFont="1" applyFill="1" applyBorder="1" applyAlignment="1">
      <alignment horizontal="left" vertical="center" wrapText="1" shrinkToFit="1"/>
    </xf>
    <xf numFmtId="0" fontId="8" fillId="0" borderId="38" xfId="0" applyFont="1" applyBorder="1" applyAlignment="1">
      <alignment vertical="center" wrapText="1" shrinkToFit="1"/>
    </xf>
    <xf numFmtId="0" fontId="8" fillId="0" borderId="37" xfId="0" applyFont="1" applyBorder="1" applyAlignment="1">
      <alignment vertical="center" wrapText="1" shrinkToFit="1"/>
    </xf>
    <xf numFmtId="0" fontId="8" fillId="0" borderId="6" xfId="0" applyFont="1" applyBorder="1" applyAlignment="1">
      <alignment vertical="center" wrapText="1" shrinkToFit="1"/>
    </xf>
    <xf numFmtId="0" fontId="8" fillId="0" borderId="12" xfId="0" applyFont="1" applyBorder="1" applyAlignment="1">
      <alignment vertical="center" wrapText="1" shrinkToFit="1"/>
    </xf>
    <xf numFmtId="0" fontId="7" fillId="0" borderId="8" xfId="0" applyFont="1" applyBorder="1" applyAlignment="1">
      <alignment horizontal="left" vertical="center" wrapText="1" shrinkToFit="1"/>
    </xf>
    <xf numFmtId="0" fontId="7" fillId="0" borderId="22" xfId="0" applyFont="1" applyBorder="1" applyAlignment="1">
      <alignment horizontal="left" vertical="center" wrapText="1" shrinkToFit="1"/>
    </xf>
    <xf numFmtId="0" fontId="7" fillId="0" borderId="21" xfId="0" applyFont="1" applyBorder="1" applyAlignment="1">
      <alignment horizontal="left" vertical="center" wrapText="1" shrinkToFit="1"/>
    </xf>
    <xf numFmtId="0" fontId="7" fillId="0" borderId="38" xfId="0" applyFont="1" applyBorder="1" applyAlignment="1">
      <alignment horizontal="left" vertical="center" wrapText="1" shrinkToFit="1"/>
    </xf>
    <xf numFmtId="0" fontId="7" fillId="0" borderId="37" xfId="0" applyFont="1" applyBorder="1" applyAlignment="1">
      <alignment horizontal="left" vertical="center" wrapText="1" shrinkToFit="1"/>
    </xf>
    <xf numFmtId="0" fontId="7" fillId="0" borderId="40" xfId="0" applyFont="1" applyBorder="1" applyAlignment="1">
      <alignment horizontal="left" vertical="center" wrapText="1" shrinkToFit="1"/>
    </xf>
    <xf numFmtId="0" fontId="7" fillId="0" borderId="41" xfId="0" applyFont="1" applyBorder="1" applyAlignment="1">
      <alignment horizontal="left" vertical="center" wrapText="1" shrinkToFit="1"/>
    </xf>
    <xf numFmtId="0" fontId="7" fillId="0" borderId="6" xfId="0" applyFont="1" applyBorder="1" applyAlignment="1">
      <alignment horizontal="left" vertical="center" wrapText="1" shrinkToFit="1"/>
    </xf>
    <xf numFmtId="0" fontId="7" fillId="0" borderId="12" xfId="0" applyFont="1" applyBorder="1" applyAlignment="1">
      <alignment horizontal="left" vertical="center" wrapText="1" shrinkToFit="1"/>
    </xf>
    <xf numFmtId="0" fontId="8" fillId="0" borderId="9" xfId="0" applyFont="1" applyBorder="1" applyAlignment="1">
      <alignment horizontal="left" vertical="center" wrapText="1" shrinkToFit="1"/>
    </xf>
    <xf numFmtId="0" fontId="8" fillId="0" borderId="20" xfId="0" applyFont="1" applyBorder="1" applyAlignment="1">
      <alignment horizontal="left" vertical="center" wrapText="1" shrinkToFit="1"/>
    </xf>
    <xf numFmtId="0" fontId="8" fillId="0" borderId="18" xfId="0" applyFont="1" applyBorder="1" applyAlignment="1">
      <alignment horizontal="left" vertical="center" wrapText="1" shrinkToFit="1"/>
    </xf>
    <xf numFmtId="0" fontId="7" fillId="0" borderId="37" xfId="0" applyFont="1" applyBorder="1" applyAlignment="1">
      <alignment vertical="center" wrapText="1" shrinkToFit="1"/>
    </xf>
    <xf numFmtId="0" fontId="7" fillId="0" borderId="6" xfId="0" applyFont="1" applyBorder="1" applyAlignment="1">
      <alignment vertical="center" wrapText="1" shrinkToFit="1"/>
    </xf>
    <xf numFmtId="0" fontId="7" fillId="0" borderId="6" xfId="0" applyFont="1" applyBorder="1" applyAlignment="1">
      <alignment vertical="center" shrinkToFit="1"/>
    </xf>
    <xf numFmtId="0" fontId="7" fillId="0" borderId="12" xfId="0" applyFont="1" applyBorder="1" applyAlignment="1">
      <alignment vertical="center" shrinkToFit="1"/>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vertical="center"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7" fillId="0" borderId="19" xfId="0" applyFont="1" applyBorder="1" applyAlignment="1">
      <alignment horizontal="left" vertical="center"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7" fillId="0" borderId="38" xfId="0" applyFont="1" applyBorder="1" applyAlignment="1">
      <alignment vertical="center" wrapText="1" shrinkToFit="1"/>
    </xf>
    <xf numFmtId="0" fontId="7" fillId="0" borderId="20" xfId="0" applyFont="1" applyBorder="1" applyAlignment="1">
      <alignment horizontal="left" vertical="center" wrapText="1" shrinkToFit="1"/>
    </xf>
    <xf numFmtId="0" fontId="7" fillId="0" borderId="18" xfId="0" applyFont="1" applyBorder="1" applyAlignment="1">
      <alignment horizontal="left" vertical="center" wrapText="1" shrinkToFit="1"/>
    </xf>
    <xf numFmtId="0" fontId="2" fillId="0" borderId="0" xfId="0" applyFont="1" applyAlignment="1">
      <alignment horizontal="right" vertical="center"/>
    </xf>
    <xf numFmtId="0" fontId="12"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3" fillId="0" borderId="8" xfId="0" applyFont="1" applyBorder="1" applyAlignment="1">
      <alignment horizontal="center"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wrapText="1"/>
    </xf>
    <xf numFmtId="0" fontId="13"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14" fillId="0" borderId="15" xfId="0" applyFont="1" applyBorder="1" applyAlignment="1">
      <alignment horizontal="center" vertical="center" wrapText="1"/>
    </xf>
    <xf numFmtId="0" fontId="14" fillId="0" borderId="13" xfId="0" applyFont="1" applyBorder="1" applyAlignment="1">
      <alignment horizontal="center" vertical="center"/>
    </xf>
    <xf numFmtId="0" fontId="13" fillId="0" borderId="9" xfId="0" applyFont="1" applyBorder="1" applyAlignment="1">
      <alignment horizontal="center" vertical="center"/>
    </xf>
    <xf numFmtId="0" fontId="13" fillId="0" borderId="12" xfId="0" applyFont="1" applyBorder="1" applyAlignment="1">
      <alignment horizontal="center" vertical="center"/>
    </xf>
    <xf numFmtId="0" fontId="7" fillId="0" borderId="16" xfId="0" applyFont="1" applyBorder="1" applyAlignment="1">
      <alignment vertical="top" wrapText="1" shrinkToFit="1"/>
    </xf>
    <xf numFmtId="0" fontId="7" fillId="0" borderId="22" xfId="0" applyFont="1" applyBorder="1" applyAlignment="1">
      <alignment vertical="top" wrapText="1" shrinkToFit="1"/>
    </xf>
    <xf numFmtId="0" fontId="7" fillId="0" borderId="21" xfId="0" applyFont="1" applyBorder="1" applyAlignment="1">
      <alignment vertical="top" wrapText="1" shrinkToFit="1"/>
    </xf>
    <xf numFmtId="0" fontId="7" fillId="0" borderId="5" xfId="0" applyFont="1" applyBorder="1" applyAlignment="1">
      <alignment vertical="top" wrapText="1" shrinkToFit="1"/>
    </xf>
    <xf numFmtId="0" fontId="7" fillId="0" borderId="0" xfId="0" applyFont="1" applyAlignment="1">
      <alignment vertical="top" wrapText="1" shrinkToFit="1"/>
    </xf>
    <xf numFmtId="0" fontId="7" fillId="0" borderId="10" xfId="0" applyFont="1" applyBorder="1" applyAlignment="1">
      <alignment vertical="top" wrapText="1" shrinkToFit="1"/>
    </xf>
    <xf numFmtId="0" fontId="7" fillId="0" borderId="11" xfId="0" applyFont="1" applyBorder="1" applyAlignment="1">
      <alignment vertical="top" wrapText="1" shrinkToFit="1"/>
    </xf>
    <xf numFmtId="0" fontId="7" fillId="0" borderId="6" xfId="0" applyFont="1" applyBorder="1" applyAlignment="1">
      <alignment vertical="top" wrapText="1" shrinkToFit="1"/>
    </xf>
    <xf numFmtId="0" fontId="7" fillId="0" borderId="12" xfId="0" applyFont="1" applyBorder="1" applyAlignment="1">
      <alignment vertical="top" wrapText="1" shrinkToFit="1"/>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8" xfId="0" applyFont="1" applyBorder="1" applyAlignment="1">
      <alignment vertical="top"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7" fillId="0" borderId="19"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18" xfId="0" applyFont="1" applyBorder="1" applyAlignment="1">
      <alignment horizontal="center" vertical="center" shrinkToFit="1"/>
    </xf>
    <xf numFmtId="0" fontId="8" fillId="0" borderId="7" xfId="0" applyFont="1" applyBorder="1" applyAlignment="1">
      <alignment vertical="top" wrapText="1" shrinkToFit="1"/>
    </xf>
    <xf numFmtId="0" fontId="7" fillId="0" borderId="9" xfId="0" applyFont="1" applyBorder="1" applyAlignment="1">
      <alignment vertical="top" wrapText="1" shrinkToFit="1"/>
    </xf>
    <xf numFmtId="0" fontId="2" fillId="0" borderId="6" xfId="0" applyFont="1" applyBorder="1" applyAlignment="1">
      <alignment vertical="center"/>
    </xf>
    <xf numFmtId="0" fontId="7" fillId="0" borderId="17" xfId="0" applyFont="1" applyBorder="1" applyAlignment="1">
      <alignment vertical="center"/>
    </xf>
    <xf numFmtId="0" fontId="19" fillId="0" borderId="18" xfId="0" applyFont="1" applyBorder="1" applyAlignment="1">
      <alignment vertical="center"/>
    </xf>
    <xf numFmtId="0" fontId="7" fillId="0" borderId="19" xfId="0" applyFont="1" applyBorder="1" applyAlignment="1">
      <alignment vertical="top" wrapText="1" shrinkToFit="1"/>
    </xf>
    <xf numFmtId="0" fontId="7" fillId="0" borderId="20" xfId="0" applyFont="1" applyBorder="1" applyAlignment="1">
      <alignment vertical="top" wrapText="1" shrinkToFit="1"/>
    </xf>
    <xf numFmtId="0" fontId="7" fillId="0" borderId="18" xfId="0" applyFont="1" applyBorder="1" applyAlignment="1">
      <alignment vertical="top" wrapText="1" shrinkToFit="1"/>
    </xf>
    <xf numFmtId="0" fontId="7" fillId="0" borderId="17" xfId="0" applyFont="1" applyBorder="1" applyAlignment="1">
      <alignment vertical="center" wrapText="1"/>
    </xf>
    <xf numFmtId="0" fontId="7" fillId="0" borderId="18" xfId="0" applyFont="1" applyBorder="1" applyAlignment="1">
      <alignment vertical="center" wrapText="1"/>
    </xf>
    <xf numFmtId="0" fontId="7" fillId="0" borderId="11" xfId="0" applyFont="1" applyBorder="1" applyAlignment="1">
      <alignment vertical="center" wrapText="1"/>
    </xf>
    <xf numFmtId="0" fontId="7" fillId="0" borderId="6" xfId="0" applyFont="1" applyBorder="1" applyAlignment="1">
      <alignment vertical="center" wrapText="1"/>
    </xf>
    <xf numFmtId="0" fontId="7" fillId="0" borderId="12" xfId="0" applyFont="1" applyBorder="1" applyAlignment="1">
      <alignment vertical="center" wrapText="1"/>
    </xf>
    <xf numFmtId="0" fontId="15" fillId="0" borderId="2" xfId="2" applyFont="1" applyBorder="1" applyAlignment="1">
      <alignment horizontal="left" vertical="center" shrinkToFit="1"/>
    </xf>
    <xf numFmtId="0" fontId="15" fillId="0" borderId="3" xfId="2" applyFont="1" applyBorder="1" applyAlignment="1">
      <alignment horizontal="left" vertical="center" shrinkToFit="1"/>
    </xf>
    <xf numFmtId="0" fontId="15" fillId="0" borderId="4" xfId="2" applyFont="1" applyBorder="1" applyAlignment="1">
      <alignment horizontal="left" vertical="center" shrinkToFit="1"/>
    </xf>
    <xf numFmtId="0" fontId="7" fillId="0" borderId="19" xfId="0" applyFont="1" applyBorder="1" applyAlignment="1">
      <alignment vertical="center" wrapText="1"/>
    </xf>
    <xf numFmtId="0" fontId="7" fillId="0" borderId="20" xfId="0" applyFont="1" applyBorder="1" applyAlignment="1">
      <alignment vertical="center" wrapText="1"/>
    </xf>
    <xf numFmtId="0" fontId="7" fillId="0" borderId="0" xfId="0" applyFont="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tabSelected="1" view="pageBreakPreview" zoomScaleNormal="100" zoomScaleSheetLayoutView="100" workbookViewId="0">
      <selection activeCell="Q47" sqref="Q47"/>
    </sheetView>
  </sheetViews>
  <sheetFormatPr defaultColWidth="9" defaultRowHeight="18.75" customHeight="1" x14ac:dyDescent="0.15"/>
  <cols>
    <col min="1" max="1" width="3.375" style="6" customWidth="1"/>
    <col min="2" max="2" width="11.125" style="6" customWidth="1"/>
    <col min="3" max="8" width="6.625" style="6" customWidth="1"/>
    <col min="9" max="9" width="3.375" style="6" customWidth="1"/>
    <col min="10" max="10" width="10" style="6" customWidth="1"/>
    <col min="11" max="11" width="3.375" style="6" customWidth="1"/>
    <col min="12" max="12" width="7.75" style="6" customWidth="1"/>
    <col min="13" max="13" width="3.375" style="6" customWidth="1"/>
    <col min="14" max="14" width="4.5" style="6" customWidth="1"/>
    <col min="15" max="15" width="9" style="16"/>
    <col min="16" max="16384" width="9" style="5"/>
  </cols>
  <sheetData>
    <row r="1" spans="1:15" ht="24" customHeight="1" x14ac:dyDescent="0.15">
      <c r="M1" s="135" t="s">
        <v>0</v>
      </c>
      <c r="N1" s="135"/>
    </row>
    <row r="2" spans="1:15" ht="24" customHeight="1" x14ac:dyDescent="0.15">
      <c r="A2" s="139" t="s">
        <v>1</v>
      </c>
      <c r="B2" s="139"/>
      <c r="C2" s="139"/>
      <c r="D2" s="139"/>
      <c r="E2" s="139"/>
      <c r="F2" s="139"/>
      <c r="G2" s="139"/>
      <c r="H2" s="139"/>
      <c r="I2" s="139"/>
      <c r="J2" s="139"/>
      <c r="K2" s="139"/>
      <c r="L2" s="139"/>
      <c r="M2" s="139"/>
      <c r="N2" s="139"/>
    </row>
    <row r="3" spans="1:15" ht="24" customHeight="1" x14ac:dyDescent="0.15"/>
    <row r="4" spans="1:15" ht="24" customHeight="1" x14ac:dyDescent="0.15">
      <c r="A4" s="6" t="s">
        <v>2</v>
      </c>
      <c r="B4" s="6" t="s">
        <v>3</v>
      </c>
      <c r="C4" s="125" t="s">
        <v>4</v>
      </c>
      <c r="D4" s="126"/>
      <c r="E4" s="126"/>
      <c r="F4" s="126"/>
      <c r="G4" s="126"/>
      <c r="H4" s="126"/>
      <c r="I4" s="126"/>
      <c r="J4" s="126"/>
      <c r="K4" s="126"/>
      <c r="L4" s="126"/>
      <c r="M4" s="126"/>
      <c r="N4" s="127"/>
      <c r="O4" s="16" t="str">
        <f>IF(C4="","入力してください","")</f>
        <v/>
      </c>
    </row>
    <row r="5" spans="1:15" ht="7.5" customHeight="1" x14ac:dyDescent="0.15">
      <c r="E5" s="7"/>
      <c r="F5" s="18"/>
      <c r="G5" s="18"/>
      <c r="H5" s="18"/>
      <c r="I5" s="18"/>
      <c r="J5" s="18"/>
      <c r="K5" s="18"/>
      <c r="L5" s="18"/>
      <c r="M5" s="18"/>
      <c r="N5" s="18"/>
    </row>
    <row r="6" spans="1:15" ht="24" customHeight="1" x14ac:dyDescent="0.15">
      <c r="A6" s="6" t="s">
        <v>5</v>
      </c>
      <c r="B6" s="6" t="s">
        <v>6</v>
      </c>
      <c r="D6" s="125" t="s">
        <v>7</v>
      </c>
      <c r="E6" s="126"/>
      <c r="F6" s="126"/>
      <c r="G6" s="126"/>
      <c r="H6" s="127"/>
      <c r="I6" s="6" t="s">
        <v>8</v>
      </c>
      <c r="J6" s="18" t="s">
        <v>9</v>
      </c>
      <c r="K6" s="125" t="s">
        <v>10</v>
      </c>
      <c r="L6" s="126"/>
      <c r="M6" s="126"/>
      <c r="N6" s="127"/>
      <c r="O6" s="16" t="str">
        <f>IF(D6="","入力してください","")</f>
        <v/>
      </c>
    </row>
    <row r="7" spans="1:15" ht="7.5" customHeight="1" x14ac:dyDescent="0.15">
      <c r="E7" s="7"/>
      <c r="F7" s="18"/>
      <c r="G7" s="18"/>
      <c r="H7" s="18"/>
      <c r="I7" s="18"/>
      <c r="J7" s="18"/>
      <c r="K7" s="18"/>
      <c r="L7" s="18"/>
      <c r="M7" s="18"/>
      <c r="N7" s="18"/>
    </row>
    <row r="8" spans="1:15" ht="24" customHeight="1" x14ac:dyDescent="0.15">
      <c r="A8" s="6" t="s">
        <v>11</v>
      </c>
      <c r="B8" s="6" t="s">
        <v>12</v>
      </c>
      <c r="C8" s="125" t="s">
        <v>13</v>
      </c>
      <c r="D8" s="126"/>
      <c r="E8" s="126"/>
      <c r="F8" s="126"/>
      <c r="G8" s="126"/>
      <c r="H8" s="126"/>
      <c r="I8" s="126"/>
      <c r="J8" s="126"/>
      <c r="K8" s="126"/>
      <c r="L8" s="126"/>
      <c r="M8" s="126"/>
      <c r="N8" s="127"/>
      <c r="O8" s="16" t="str">
        <f>IF(C8="","入力してください","")</f>
        <v/>
      </c>
    </row>
    <row r="9" spans="1:15" ht="7.5" customHeight="1" x14ac:dyDescent="0.15">
      <c r="E9" s="7"/>
      <c r="F9" s="18"/>
      <c r="G9" s="18"/>
      <c r="H9" s="18"/>
      <c r="I9" s="18"/>
      <c r="J9" s="18"/>
      <c r="K9" s="18"/>
      <c r="L9" s="18"/>
      <c r="M9" s="18"/>
      <c r="N9" s="18"/>
    </row>
    <row r="10" spans="1:15" ht="24" customHeight="1" x14ac:dyDescent="0.15">
      <c r="A10" s="6" t="s">
        <v>14</v>
      </c>
      <c r="B10" s="6" t="s">
        <v>15</v>
      </c>
      <c r="E10" s="125" t="s">
        <v>16</v>
      </c>
      <c r="F10" s="126"/>
      <c r="G10" s="126"/>
      <c r="H10" s="126"/>
      <c r="I10" s="126"/>
      <c r="J10" s="126"/>
      <c r="K10" s="126"/>
      <c r="L10" s="126"/>
      <c r="M10" s="126"/>
      <c r="N10" s="127"/>
      <c r="O10" s="16" t="str">
        <f>IF(E10="","入力してください","")</f>
        <v/>
      </c>
    </row>
    <row r="11" spans="1:15" ht="7.5" customHeight="1" x14ac:dyDescent="0.15">
      <c r="B11" s="7"/>
      <c r="C11" s="7"/>
      <c r="D11" s="7"/>
      <c r="E11" s="7"/>
      <c r="F11" s="18"/>
      <c r="G11" s="18"/>
      <c r="H11" s="18"/>
      <c r="I11" s="18"/>
      <c r="J11" s="18"/>
      <c r="K11" s="18"/>
      <c r="L11" s="18"/>
      <c r="M11" s="18"/>
      <c r="N11" s="18"/>
    </row>
    <row r="12" spans="1:15" ht="24" customHeight="1" x14ac:dyDescent="0.15">
      <c r="A12" s="6" t="s">
        <v>17</v>
      </c>
      <c r="B12" s="7" t="s">
        <v>18</v>
      </c>
      <c r="C12" s="7"/>
      <c r="D12" s="7"/>
      <c r="E12" s="140" t="s">
        <v>19</v>
      </c>
      <c r="F12" s="141"/>
      <c r="G12" s="6" t="s">
        <v>20</v>
      </c>
      <c r="H12" s="6" t="s">
        <v>21</v>
      </c>
      <c r="N12" s="78" t="s">
        <v>22</v>
      </c>
      <c r="O12" s="16" t="str">
        <f>IF(E12="","入力してください","")</f>
        <v/>
      </c>
    </row>
    <row r="13" spans="1:15" ht="7.5" customHeight="1" x14ac:dyDescent="0.15">
      <c r="B13" s="7"/>
      <c r="C13" s="7"/>
      <c r="D13" s="7"/>
      <c r="E13" s="7"/>
      <c r="F13" s="18"/>
      <c r="G13" s="18"/>
      <c r="H13" s="18"/>
      <c r="I13" s="18"/>
      <c r="J13" s="18"/>
      <c r="K13" s="18"/>
      <c r="L13" s="18"/>
      <c r="M13" s="18"/>
      <c r="N13" s="18"/>
    </row>
    <row r="14" spans="1:15" ht="24" customHeight="1" x14ac:dyDescent="0.15">
      <c r="A14" s="6" t="s">
        <v>23</v>
      </c>
      <c r="B14" s="98" t="s">
        <v>24</v>
      </c>
      <c r="C14" s="136" t="s">
        <v>25</v>
      </c>
      <c r="D14" s="137"/>
      <c r="E14" s="128">
        <v>81</v>
      </c>
      <c r="F14" s="129"/>
      <c r="G14" s="99" t="s">
        <v>26</v>
      </c>
      <c r="H14" s="98"/>
      <c r="I14" s="136" t="s">
        <v>27</v>
      </c>
      <c r="J14" s="137"/>
      <c r="K14" s="128">
        <v>57</v>
      </c>
      <c r="L14" s="138"/>
      <c r="M14" s="129"/>
      <c r="N14" s="100" t="s">
        <v>26</v>
      </c>
      <c r="O14" s="16" t="str">
        <f>IF(OR(E14="",K14=""),"入力してください","")</f>
        <v/>
      </c>
    </row>
    <row r="15" spans="1:15" ht="7.5" customHeight="1" x14ac:dyDescent="0.15">
      <c r="B15" s="98"/>
      <c r="C15" s="98"/>
      <c r="D15" s="98"/>
      <c r="E15" s="98"/>
      <c r="F15" s="98"/>
      <c r="G15" s="98"/>
      <c r="H15" s="98"/>
      <c r="I15" s="98"/>
      <c r="J15" s="98"/>
      <c r="K15" s="98"/>
      <c r="L15" s="98"/>
      <c r="M15" s="100"/>
      <c r="N15" s="100"/>
    </row>
    <row r="16" spans="1:15" ht="24" customHeight="1" x14ac:dyDescent="0.15">
      <c r="A16" s="6" t="s">
        <v>28</v>
      </c>
      <c r="B16" s="98" t="s">
        <v>29</v>
      </c>
      <c r="C16" s="98"/>
      <c r="D16" s="98"/>
      <c r="E16" s="98"/>
      <c r="F16" s="98"/>
      <c r="G16" s="98"/>
      <c r="H16" s="98"/>
      <c r="I16" s="98"/>
      <c r="J16" s="98"/>
      <c r="K16" s="142">
        <v>30</v>
      </c>
      <c r="L16" s="143"/>
      <c r="M16" s="144"/>
      <c r="N16" s="100" t="s">
        <v>26</v>
      </c>
      <c r="O16" s="16" t="str">
        <f>IF(K16="","入力してください","")</f>
        <v/>
      </c>
    </row>
    <row r="17" spans="1:15" ht="7.5" customHeight="1" x14ac:dyDescent="0.15">
      <c r="B17" s="98"/>
      <c r="C17" s="98"/>
      <c r="D17" s="98"/>
      <c r="E17" s="98"/>
      <c r="F17" s="98"/>
      <c r="G17" s="98"/>
      <c r="H17" s="98"/>
      <c r="I17" s="98"/>
      <c r="J17" s="98"/>
      <c r="K17" s="98"/>
      <c r="L17" s="98"/>
      <c r="M17" s="100"/>
      <c r="N17" s="100"/>
    </row>
    <row r="18" spans="1:15" ht="24" customHeight="1" x14ac:dyDescent="0.15">
      <c r="A18" s="6" t="s">
        <v>30</v>
      </c>
      <c r="B18" s="98" t="s">
        <v>31</v>
      </c>
      <c r="C18" s="98"/>
      <c r="D18" s="98"/>
      <c r="E18" s="128">
        <v>360</v>
      </c>
      <c r="F18" s="129"/>
      <c r="G18" s="101" t="s">
        <v>32</v>
      </c>
      <c r="H18" s="98"/>
      <c r="I18" s="98"/>
      <c r="J18" s="98"/>
      <c r="K18" s="148"/>
      <c r="L18" s="148"/>
      <c r="M18" s="148"/>
      <c r="N18" s="148"/>
      <c r="O18" s="16" t="str">
        <f>IF(E18="","入力してください","")</f>
        <v/>
      </c>
    </row>
    <row r="19" spans="1:15" ht="7.5" customHeight="1" x14ac:dyDescent="0.15">
      <c r="B19" s="98"/>
      <c r="C19" s="98"/>
      <c r="D19" s="98"/>
      <c r="E19" s="102"/>
      <c r="F19" s="98"/>
      <c r="G19" s="98"/>
      <c r="H19" s="98"/>
      <c r="I19" s="98"/>
      <c r="J19" s="98"/>
      <c r="K19" s="98"/>
      <c r="L19" s="103"/>
      <c r="M19" s="103"/>
      <c r="N19" s="100"/>
    </row>
    <row r="20" spans="1:15" ht="24" customHeight="1" x14ac:dyDescent="0.15">
      <c r="A20" s="6" t="s">
        <v>33</v>
      </c>
      <c r="B20" s="98" t="s">
        <v>34</v>
      </c>
      <c r="C20" s="98"/>
      <c r="D20" s="98"/>
      <c r="E20" s="102"/>
      <c r="F20" s="98"/>
      <c r="G20" s="98"/>
      <c r="H20" s="98" t="s">
        <v>35</v>
      </c>
      <c r="I20" s="98"/>
      <c r="J20" s="145">
        <v>1301</v>
      </c>
      <c r="K20" s="146"/>
      <c r="L20" s="147"/>
      <c r="M20" s="103" t="s">
        <v>26</v>
      </c>
      <c r="N20" s="100"/>
      <c r="O20" s="16" t="str">
        <f>IF(J20="","入力してください","")</f>
        <v/>
      </c>
    </row>
    <row r="21" spans="1:15" ht="7.5" customHeight="1" x14ac:dyDescent="0.15">
      <c r="B21" s="98"/>
      <c r="C21" s="98"/>
      <c r="D21" s="98"/>
      <c r="E21" s="102"/>
      <c r="F21" s="98"/>
      <c r="G21" s="98"/>
      <c r="H21" s="98"/>
      <c r="I21" s="98"/>
      <c r="J21" s="98"/>
      <c r="K21" s="98"/>
      <c r="L21" s="103"/>
      <c r="M21" s="103"/>
      <c r="N21" s="100"/>
    </row>
    <row r="22" spans="1:15" ht="24" customHeight="1" x14ac:dyDescent="0.15">
      <c r="B22" s="103" t="s">
        <v>36</v>
      </c>
      <c r="C22" s="128">
        <v>288</v>
      </c>
      <c r="D22" s="129"/>
      <c r="E22" s="102" t="s">
        <v>26</v>
      </c>
      <c r="F22" s="98"/>
      <c r="G22" s="124" t="s">
        <v>37</v>
      </c>
      <c r="H22" s="124"/>
      <c r="I22" s="128">
        <v>241</v>
      </c>
      <c r="J22" s="129"/>
      <c r="K22" s="98" t="s">
        <v>26</v>
      </c>
      <c r="L22" s="98"/>
      <c r="M22" s="103"/>
      <c r="N22" s="100"/>
    </row>
    <row r="23" spans="1:15" ht="7.5" customHeight="1" x14ac:dyDescent="0.15">
      <c r="B23" s="103"/>
      <c r="C23" s="104"/>
      <c r="D23" s="104"/>
      <c r="E23" s="102"/>
      <c r="F23" s="98"/>
      <c r="G23" s="103"/>
      <c r="H23" s="103"/>
      <c r="I23" s="104"/>
      <c r="J23" s="104"/>
      <c r="K23" s="98"/>
      <c r="L23" s="98"/>
      <c r="M23" s="103"/>
      <c r="N23" s="100"/>
    </row>
    <row r="24" spans="1:15" ht="24" customHeight="1" x14ac:dyDescent="0.15">
      <c r="B24" s="103" t="s">
        <v>38</v>
      </c>
      <c r="C24" s="128">
        <v>244</v>
      </c>
      <c r="D24" s="129"/>
      <c r="E24" s="102" t="s">
        <v>26</v>
      </c>
      <c r="F24" s="98"/>
      <c r="G24" s="124" t="s">
        <v>39</v>
      </c>
      <c r="H24" s="124"/>
      <c r="I24" s="128">
        <v>237</v>
      </c>
      <c r="J24" s="129"/>
      <c r="K24" s="98" t="s">
        <v>26</v>
      </c>
      <c r="L24" s="98"/>
      <c r="M24" s="103"/>
      <c r="N24" s="100"/>
    </row>
    <row r="25" spans="1:15" ht="7.5" customHeight="1" x14ac:dyDescent="0.15">
      <c r="B25" s="103"/>
      <c r="C25" s="104"/>
      <c r="D25" s="104"/>
      <c r="E25" s="102"/>
      <c r="F25" s="98"/>
      <c r="G25" s="103"/>
      <c r="H25" s="103"/>
      <c r="I25" s="104"/>
      <c r="J25" s="104"/>
      <c r="K25" s="98"/>
      <c r="L25" s="98"/>
      <c r="M25" s="103"/>
      <c r="N25" s="100"/>
    </row>
    <row r="26" spans="1:15" ht="24" customHeight="1" x14ac:dyDescent="0.15">
      <c r="B26" s="103" t="s">
        <v>40</v>
      </c>
      <c r="C26" s="128">
        <v>138</v>
      </c>
      <c r="D26" s="129"/>
      <c r="E26" s="102" t="s">
        <v>26</v>
      </c>
      <c r="F26" s="98"/>
      <c r="G26" s="124" t="s">
        <v>41</v>
      </c>
      <c r="H26" s="124"/>
      <c r="I26" s="128">
        <v>153</v>
      </c>
      <c r="J26" s="129"/>
      <c r="K26" s="98" t="s">
        <v>26</v>
      </c>
      <c r="L26" s="98"/>
      <c r="M26" s="103"/>
      <c r="N26" s="100"/>
    </row>
    <row r="27" spans="1:15" ht="7.5" customHeight="1" x14ac:dyDescent="0.15">
      <c r="M27" s="9"/>
      <c r="N27" s="9"/>
    </row>
    <row r="28" spans="1:15" ht="24" customHeight="1" x14ac:dyDescent="0.15">
      <c r="A28" s="6" t="s">
        <v>42</v>
      </c>
      <c r="B28" s="6" t="s">
        <v>43</v>
      </c>
      <c r="G28" s="18"/>
      <c r="H28" s="18"/>
      <c r="I28" s="18"/>
      <c r="J28" s="10"/>
      <c r="K28" s="10"/>
      <c r="L28" s="10"/>
      <c r="M28" s="10"/>
      <c r="N28" s="10"/>
    </row>
    <row r="29" spans="1:15" s="6" customFormat="1" ht="24" customHeight="1" x14ac:dyDescent="0.15">
      <c r="B29" s="132" t="s">
        <v>44</v>
      </c>
      <c r="C29" s="132"/>
      <c r="D29" s="125" t="s">
        <v>45</v>
      </c>
      <c r="E29" s="126"/>
      <c r="F29" s="126"/>
      <c r="G29" s="133" t="s">
        <v>46</v>
      </c>
      <c r="H29" s="132"/>
      <c r="I29" s="134"/>
      <c r="J29" s="125" t="s">
        <v>47</v>
      </c>
      <c r="K29" s="126"/>
      <c r="L29" s="126"/>
      <c r="M29" s="126"/>
      <c r="N29" s="127"/>
      <c r="O29" s="16" t="str">
        <f>IF(OR(D29="",J29=""),"入力してください","")</f>
        <v/>
      </c>
    </row>
    <row r="30" spans="1:15" ht="7.5" customHeight="1" x14ac:dyDescent="0.15">
      <c r="M30" s="9"/>
      <c r="N30" s="9"/>
    </row>
    <row r="31" spans="1:15" ht="24" customHeight="1" x14ac:dyDescent="0.15">
      <c r="A31" s="6" t="s">
        <v>48</v>
      </c>
      <c r="B31" s="6" t="s">
        <v>49</v>
      </c>
      <c r="G31" s="10"/>
      <c r="H31" s="10"/>
      <c r="I31" s="10"/>
      <c r="J31" s="10"/>
      <c r="K31" s="10"/>
      <c r="L31" s="10"/>
      <c r="M31" s="10"/>
      <c r="N31" s="10"/>
    </row>
    <row r="32" spans="1:15" ht="24" customHeight="1" x14ac:dyDescent="0.15">
      <c r="B32" s="125" t="s">
        <v>50</v>
      </c>
      <c r="C32" s="126"/>
      <c r="D32" s="126"/>
      <c r="E32" s="126"/>
      <c r="F32" s="126"/>
      <c r="G32" s="126"/>
      <c r="H32" s="126"/>
      <c r="I32" s="126"/>
      <c r="J32" s="126"/>
      <c r="K32" s="126"/>
      <c r="L32" s="126"/>
      <c r="M32" s="126"/>
      <c r="N32" s="127"/>
      <c r="O32" s="16" t="str">
        <f>IF(B32="","入力してください","")</f>
        <v/>
      </c>
    </row>
    <row r="33" spans="1:15" ht="7.5" customHeight="1" x14ac:dyDescent="0.15">
      <c r="B33" s="4"/>
      <c r="C33" s="4"/>
      <c r="D33" s="4"/>
      <c r="E33" s="4"/>
      <c r="F33" s="4"/>
      <c r="G33" s="4"/>
      <c r="H33" s="4"/>
      <c r="I33" s="4"/>
      <c r="J33" s="4"/>
      <c r="K33" s="4"/>
      <c r="L33" s="4"/>
      <c r="M33" s="4"/>
      <c r="N33" s="4"/>
    </row>
    <row r="34" spans="1:15" s="6" customFormat="1" ht="24" customHeight="1" x14ac:dyDescent="0.15">
      <c r="B34" s="132" t="s">
        <v>44</v>
      </c>
      <c r="C34" s="132"/>
      <c r="D34" s="125" t="s">
        <v>45</v>
      </c>
      <c r="E34" s="126"/>
      <c r="F34" s="126"/>
      <c r="G34" s="133" t="s">
        <v>46</v>
      </c>
      <c r="H34" s="132"/>
      <c r="I34" s="134"/>
      <c r="J34" s="125" t="s">
        <v>47</v>
      </c>
      <c r="K34" s="126"/>
      <c r="L34" s="126"/>
      <c r="M34" s="126"/>
      <c r="N34" s="127"/>
      <c r="O34" s="16" t="str">
        <f>IF(OR(D34="",J34=""),"入力してください","")</f>
        <v/>
      </c>
    </row>
    <row r="35" spans="1:15" ht="7.5" customHeight="1" x14ac:dyDescent="0.15">
      <c r="F35" s="18"/>
      <c r="G35" s="18"/>
      <c r="H35" s="18"/>
      <c r="I35" s="18"/>
      <c r="J35" s="18"/>
      <c r="K35" s="18"/>
      <c r="L35" s="18"/>
      <c r="M35" s="18"/>
      <c r="N35" s="18"/>
    </row>
    <row r="36" spans="1:15" ht="24" customHeight="1" x14ac:dyDescent="0.15">
      <c r="A36" s="6" t="s">
        <v>51</v>
      </c>
      <c r="B36" s="6" t="s">
        <v>52</v>
      </c>
      <c r="M36" s="9"/>
      <c r="N36" s="9"/>
    </row>
    <row r="37" spans="1:15" ht="24" customHeight="1" x14ac:dyDescent="0.15">
      <c r="B37" s="125" t="s">
        <v>53</v>
      </c>
      <c r="C37" s="126"/>
      <c r="D37" s="126"/>
      <c r="E37" s="126"/>
      <c r="F37" s="126"/>
      <c r="G37" s="126"/>
      <c r="H37" s="126"/>
      <c r="I37" s="126"/>
      <c r="J37" s="126"/>
      <c r="K37" s="126"/>
      <c r="L37" s="126"/>
      <c r="M37" s="126"/>
      <c r="N37" s="127"/>
      <c r="O37" s="16" t="str">
        <f>IF(B37="","入力してください","")</f>
        <v/>
      </c>
    </row>
    <row r="38" spans="1:15" ht="7.5" customHeight="1" x14ac:dyDescent="0.15">
      <c r="F38" s="18"/>
      <c r="G38" s="18"/>
      <c r="H38" s="18"/>
      <c r="I38" s="18"/>
      <c r="J38" s="18"/>
      <c r="K38" s="18"/>
      <c r="L38" s="18"/>
      <c r="M38" s="18"/>
      <c r="N38" s="18"/>
    </row>
    <row r="39" spans="1:15" s="6" customFormat="1" ht="24" customHeight="1" x14ac:dyDescent="0.15">
      <c r="B39" s="132" t="s">
        <v>44</v>
      </c>
      <c r="C39" s="132"/>
      <c r="D39" s="125" t="s">
        <v>54</v>
      </c>
      <c r="E39" s="126"/>
      <c r="F39" s="126"/>
      <c r="G39" s="133" t="s">
        <v>46</v>
      </c>
      <c r="H39" s="132"/>
      <c r="I39" s="134"/>
      <c r="J39" s="125" t="s">
        <v>55</v>
      </c>
      <c r="K39" s="126"/>
      <c r="L39" s="126"/>
      <c r="M39" s="126"/>
      <c r="N39" s="127"/>
      <c r="O39" s="16" t="str">
        <f>IF(OR(D39="",J39=""),"入力してください","")</f>
        <v/>
      </c>
    </row>
    <row r="40" spans="1:15" ht="7.5" customHeight="1" x14ac:dyDescent="0.15">
      <c r="F40" s="18"/>
      <c r="G40" s="18"/>
      <c r="H40" s="18"/>
      <c r="I40" s="18"/>
      <c r="J40" s="18"/>
      <c r="K40" s="18"/>
      <c r="L40" s="18"/>
      <c r="M40" s="18"/>
      <c r="N40" s="18"/>
    </row>
    <row r="41" spans="1:15" ht="24" customHeight="1" x14ac:dyDescent="0.15">
      <c r="A41" s="6" t="s">
        <v>56</v>
      </c>
      <c r="B41" s="6" t="s">
        <v>57</v>
      </c>
      <c r="E41" s="49"/>
      <c r="F41" s="125" t="s">
        <v>58</v>
      </c>
      <c r="G41" s="126"/>
      <c r="H41" s="126"/>
      <c r="I41" s="126"/>
      <c r="J41" s="126"/>
      <c r="K41" s="126"/>
      <c r="L41" s="126"/>
      <c r="M41" s="126"/>
      <c r="N41" s="127"/>
      <c r="O41" s="16" t="str">
        <f>IF(F41="","入力してください","")</f>
        <v/>
      </c>
    </row>
    <row r="42" spans="1:15" ht="7.5" customHeight="1" x14ac:dyDescent="0.15">
      <c r="F42" s="18"/>
      <c r="G42" s="18"/>
      <c r="H42" s="18"/>
      <c r="I42" s="18"/>
      <c r="J42" s="18"/>
      <c r="K42" s="18"/>
      <c r="L42" s="18"/>
      <c r="M42" s="18"/>
      <c r="N42" s="18"/>
    </row>
    <row r="43" spans="1:15" ht="24" customHeight="1" x14ac:dyDescent="0.15">
      <c r="A43" s="6" t="s">
        <v>59</v>
      </c>
    </row>
    <row r="44" spans="1:15" ht="24" customHeight="1" x14ac:dyDescent="0.15">
      <c r="B44" s="15" t="s">
        <v>60</v>
      </c>
      <c r="C44" s="130" t="s">
        <v>217</v>
      </c>
      <c r="D44" s="131"/>
      <c r="E44" s="131"/>
      <c r="F44" s="131"/>
      <c r="G44" s="131"/>
      <c r="H44" s="131"/>
      <c r="I44" s="12" t="s">
        <v>61</v>
      </c>
      <c r="J44" s="13"/>
      <c r="K44" s="125" t="s">
        <v>62</v>
      </c>
      <c r="L44" s="126"/>
      <c r="M44" s="126"/>
      <c r="N44" s="127"/>
      <c r="O44" s="16" t="str">
        <f>IF(OR(C44="",K44=""),"入力してください","")</f>
        <v/>
      </c>
    </row>
    <row r="45" spans="1:15" ht="24" customHeight="1" x14ac:dyDescent="0.15">
      <c r="B45" s="11" t="s">
        <v>63</v>
      </c>
      <c r="C45" s="118" t="s">
        <v>64</v>
      </c>
      <c r="D45" s="119"/>
      <c r="E45" s="119"/>
      <c r="F45" s="119"/>
      <c r="G45" s="119"/>
      <c r="H45" s="120"/>
      <c r="I45" s="12" t="s">
        <v>65</v>
      </c>
      <c r="J45" s="13"/>
      <c r="K45" s="121" t="s">
        <v>66</v>
      </c>
      <c r="L45" s="122"/>
      <c r="M45" s="122"/>
      <c r="N45" s="123"/>
      <c r="O45" s="16" t="str">
        <f>IF(OR(C45="",K45=""),"入力してください","")</f>
        <v/>
      </c>
    </row>
    <row r="47" spans="1:15" ht="18.75" customHeight="1" x14ac:dyDescent="0.15">
      <c r="F47" s="315">
        <v>1</v>
      </c>
      <c r="G47" s="315"/>
    </row>
  </sheetData>
  <mergeCells count="45">
    <mergeCell ref="F47:G47"/>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5"/>
  <sheetViews>
    <sheetView showZeros="0" view="pageBreakPreview" topLeftCell="A34" zoomScaleNormal="110" zoomScaleSheetLayoutView="100" workbookViewId="0">
      <selection activeCell="N15" sqref="N15:S15"/>
    </sheetView>
  </sheetViews>
  <sheetFormatPr defaultColWidth="9" defaultRowHeight="18.75" customHeight="1" x14ac:dyDescent="0.15"/>
  <cols>
    <col min="1" max="1" width="2.5" style="5" customWidth="1"/>
    <col min="2" max="2" width="27.75" style="5" customWidth="1"/>
    <col min="3" max="13" width="3.375" style="5" customWidth="1"/>
    <col min="14" max="14" width="8.875" style="5" customWidth="1"/>
    <col min="15" max="15" width="18.875" style="5" customWidth="1"/>
    <col min="16" max="19" width="3.375" style="5" customWidth="1"/>
    <col min="20" max="20" width="3.5" style="5" customWidth="1"/>
    <col min="21" max="26" width="3.375" style="5" customWidth="1"/>
    <col min="27" max="16384" width="9" style="5"/>
  </cols>
  <sheetData>
    <row r="1" spans="1:26" ht="15" customHeight="1" x14ac:dyDescent="0.15">
      <c r="W1" s="161" t="s">
        <v>67</v>
      </c>
      <c r="X1" s="161"/>
      <c r="Y1" s="161"/>
      <c r="Z1" s="161"/>
    </row>
    <row r="2" spans="1:26" ht="18" customHeight="1" x14ac:dyDescent="0.15">
      <c r="A2" s="162" t="s">
        <v>68</v>
      </c>
      <c r="B2" s="162"/>
      <c r="C2" s="162"/>
      <c r="D2" s="162"/>
      <c r="E2" s="162"/>
      <c r="F2" s="162"/>
      <c r="G2" s="162"/>
      <c r="H2" s="162"/>
      <c r="I2" s="162"/>
      <c r="J2" s="162"/>
      <c r="K2" s="162"/>
      <c r="L2" s="162"/>
      <c r="M2" s="162"/>
      <c r="N2" s="162"/>
      <c r="O2" s="162"/>
      <c r="P2" s="162"/>
      <c r="Q2" s="162"/>
      <c r="R2" s="162"/>
      <c r="S2" s="162"/>
      <c r="T2" s="162"/>
      <c r="U2" s="162"/>
      <c r="V2" s="162"/>
      <c r="W2" s="162"/>
      <c r="X2" s="162"/>
      <c r="Y2" s="162"/>
      <c r="Z2" s="162"/>
    </row>
    <row r="3" spans="1:26" ht="15" customHeight="1" x14ac:dyDescent="0.15">
      <c r="B3" s="14"/>
      <c r="C3" s="14"/>
      <c r="D3" s="14"/>
      <c r="E3" s="14"/>
      <c r="F3" s="14"/>
      <c r="G3" s="14"/>
      <c r="H3" s="14"/>
      <c r="I3" s="14"/>
      <c r="J3" s="14"/>
      <c r="K3" s="14"/>
      <c r="L3" s="14"/>
      <c r="M3" s="14"/>
      <c r="N3" s="14"/>
      <c r="O3" s="14"/>
      <c r="P3" s="14"/>
      <c r="Q3" s="14"/>
      <c r="R3" s="14"/>
      <c r="S3" s="14"/>
      <c r="T3" s="14"/>
      <c r="U3" s="14"/>
      <c r="V3" s="14"/>
      <c r="W3" s="14"/>
      <c r="X3" s="14"/>
      <c r="Y3" s="14"/>
      <c r="Z3" s="14"/>
    </row>
    <row r="4" spans="1:26" ht="18" customHeight="1" x14ac:dyDescent="0.15">
      <c r="A4" s="5" t="s">
        <v>69</v>
      </c>
      <c r="B4" s="14"/>
      <c r="C4" s="14"/>
      <c r="D4" s="14"/>
      <c r="E4" s="14"/>
      <c r="F4" s="14"/>
      <c r="G4" s="14"/>
      <c r="H4" s="6" t="s">
        <v>70</v>
      </c>
      <c r="I4" s="14"/>
      <c r="J4" s="14"/>
      <c r="K4" s="14"/>
      <c r="L4" s="14"/>
      <c r="M4" s="14"/>
      <c r="N4" s="14"/>
      <c r="O4" s="140" t="s">
        <v>71</v>
      </c>
      <c r="P4" s="163"/>
      <c r="Q4" s="163"/>
      <c r="R4" s="163"/>
      <c r="S4" s="163"/>
      <c r="T4" s="163"/>
      <c r="U4" s="163"/>
      <c r="V4" s="163"/>
      <c r="W4" s="163"/>
      <c r="X4" s="163"/>
      <c r="Y4" s="163"/>
      <c r="Z4" s="141"/>
    </row>
    <row r="5" spans="1:26" ht="6" customHeight="1" x14ac:dyDescent="0.15">
      <c r="B5" s="14"/>
      <c r="C5" s="14"/>
      <c r="D5" s="14"/>
      <c r="E5" s="14"/>
      <c r="F5" s="14"/>
      <c r="G5" s="14"/>
      <c r="H5" s="14"/>
      <c r="I5" s="14"/>
      <c r="J5" s="14"/>
      <c r="K5" s="14"/>
      <c r="L5" s="14"/>
      <c r="M5" s="14"/>
      <c r="N5" s="14"/>
      <c r="O5" s="7"/>
      <c r="P5" s="14"/>
      <c r="Q5" s="14"/>
      <c r="R5" s="14"/>
      <c r="S5" s="14"/>
      <c r="T5" s="14"/>
      <c r="U5" s="14"/>
      <c r="V5" s="14"/>
      <c r="W5" s="14"/>
      <c r="X5" s="14"/>
      <c r="Y5" s="14"/>
      <c r="Z5" s="14"/>
    </row>
    <row r="6" spans="1:26" ht="18" customHeight="1" x14ac:dyDescent="0.15">
      <c r="B6" s="164" t="s">
        <v>72</v>
      </c>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26" ht="18" customHeight="1" x14ac:dyDescent="0.15">
      <c r="B7" s="167"/>
      <c r="C7" s="168"/>
      <c r="D7" s="168"/>
      <c r="E7" s="168"/>
      <c r="F7" s="168"/>
      <c r="G7" s="168"/>
      <c r="H7" s="168"/>
      <c r="I7" s="168"/>
      <c r="J7" s="168"/>
      <c r="K7" s="168"/>
      <c r="L7" s="168"/>
      <c r="M7" s="168"/>
      <c r="N7" s="168"/>
      <c r="O7" s="168"/>
      <c r="P7" s="168"/>
      <c r="Q7" s="168"/>
      <c r="R7" s="168"/>
      <c r="S7" s="168"/>
      <c r="T7" s="168"/>
      <c r="U7" s="168"/>
      <c r="V7" s="168"/>
      <c r="W7" s="168"/>
      <c r="X7" s="168"/>
      <c r="Y7" s="168"/>
      <c r="Z7" s="169"/>
    </row>
    <row r="8" spans="1:26" ht="18" customHeight="1" x14ac:dyDescent="0.15">
      <c r="B8" s="167"/>
      <c r="C8" s="168"/>
      <c r="D8" s="168"/>
      <c r="E8" s="168"/>
      <c r="F8" s="168"/>
      <c r="G8" s="168"/>
      <c r="H8" s="168"/>
      <c r="I8" s="168"/>
      <c r="J8" s="168"/>
      <c r="K8" s="168"/>
      <c r="L8" s="168"/>
      <c r="M8" s="168"/>
      <c r="N8" s="168"/>
      <c r="O8" s="168"/>
      <c r="P8" s="168"/>
      <c r="Q8" s="168"/>
      <c r="R8" s="168"/>
      <c r="S8" s="168"/>
      <c r="T8" s="168"/>
      <c r="U8" s="168"/>
      <c r="V8" s="168"/>
      <c r="W8" s="168"/>
      <c r="X8" s="168"/>
      <c r="Y8" s="168"/>
      <c r="Z8" s="169"/>
    </row>
    <row r="9" spans="1:26" ht="18" customHeight="1" x14ac:dyDescent="0.15">
      <c r="B9" s="167"/>
      <c r="C9" s="168"/>
      <c r="D9" s="168"/>
      <c r="E9" s="168"/>
      <c r="F9" s="168"/>
      <c r="G9" s="168"/>
      <c r="H9" s="168"/>
      <c r="I9" s="168"/>
      <c r="J9" s="168"/>
      <c r="K9" s="168"/>
      <c r="L9" s="168"/>
      <c r="M9" s="168"/>
      <c r="N9" s="168"/>
      <c r="O9" s="168"/>
      <c r="P9" s="168"/>
      <c r="Q9" s="168"/>
      <c r="R9" s="168"/>
      <c r="S9" s="168"/>
      <c r="T9" s="168"/>
      <c r="U9" s="168"/>
      <c r="V9" s="168"/>
      <c r="W9" s="168"/>
      <c r="X9" s="168"/>
      <c r="Y9" s="168"/>
      <c r="Z9" s="169"/>
    </row>
    <row r="10" spans="1:26" ht="18" customHeight="1" x14ac:dyDescent="0.15">
      <c r="B10" s="167"/>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9"/>
    </row>
    <row r="11" spans="1:26" ht="18" customHeight="1" x14ac:dyDescent="0.15">
      <c r="B11" s="170"/>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2"/>
    </row>
    <row r="12" spans="1:26" ht="7.5" customHeight="1" x14ac:dyDescent="0.15">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8" customHeight="1" x14ac:dyDescent="0.15">
      <c r="A13" s="173" t="s">
        <v>73</v>
      </c>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spans="1:26" ht="18" customHeight="1" x14ac:dyDescent="0.15">
      <c r="A14" s="173"/>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spans="1:26" ht="18" customHeight="1" x14ac:dyDescent="0.15">
      <c r="A15" s="6"/>
      <c r="B15" s="140" t="s">
        <v>74</v>
      </c>
      <c r="C15" s="163"/>
      <c r="D15" s="163"/>
      <c r="E15" s="163"/>
      <c r="F15" s="141"/>
      <c r="G15" s="15" t="s">
        <v>75</v>
      </c>
      <c r="H15" s="75" t="s">
        <v>76</v>
      </c>
      <c r="I15" s="163" t="s">
        <v>77</v>
      </c>
      <c r="J15" s="163"/>
      <c r="K15" s="163"/>
      <c r="L15" s="50" t="s">
        <v>78</v>
      </c>
      <c r="M15" s="50" t="s">
        <v>79</v>
      </c>
      <c r="N15" s="140" t="s">
        <v>74</v>
      </c>
      <c r="O15" s="163"/>
      <c r="P15" s="163"/>
      <c r="Q15" s="163"/>
      <c r="R15" s="163"/>
      <c r="S15" s="141"/>
      <c r="T15" s="15" t="s">
        <v>75</v>
      </c>
      <c r="U15" s="75" t="s">
        <v>76</v>
      </c>
      <c r="V15" s="163" t="s">
        <v>77</v>
      </c>
      <c r="W15" s="163"/>
      <c r="X15" s="163"/>
      <c r="Y15" s="50" t="s">
        <v>78</v>
      </c>
      <c r="Z15" s="50" t="s">
        <v>79</v>
      </c>
    </row>
    <row r="16" spans="1:26" ht="18" customHeight="1" x14ac:dyDescent="0.15">
      <c r="A16" s="6"/>
      <c r="B16" s="178" t="s">
        <v>80</v>
      </c>
      <c r="C16" s="179"/>
      <c r="D16" s="179"/>
      <c r="E16" s="179"/>
      <c r="F16" s="180"/>
      <c r="G16" s="76">
        <v>1</v>
      </c>
      <c r="H16" s="76" t="s">
        <v>82</v>
      </c>
      <c r="I16" s="149" t="s">
        <v>81</v>
      </c>
      <c r="J16" s="150"/>
      <c r="K16" s="151"/>
      <c r="L16" s="76" t="s">
        <v>82</v>
      </c>
      <c r="M16" s="76" t="s">
        <v>82</v>
      </c>
      <c r="N16" s="181"/>
      <c r="O16" s="182"/>
      <c r="P16" s="182"/>
      <c r="Q16" s="182"/>
      <c r="R16" s="182"/>
      <c r="S16" s="183"/>
      <c r="T16" s="76"/>
      <c r="U16" s="76"/>
      <c r="V16" s="149"/>
      <c r="W16" s="150"/>
      <c r="X16" s="151"/>
      <c r="Y16" s="76"/>
      <c r="Z16" s="76"/>
    </row>
    <row r="17" spans="1:26" ht="18" customHeight="1" x14ac:dyDescent="0.15">
      <c r="A17" s="6"/>
      <c r="B17" s="152" t="s">
        <v>83</v>
      </c>
      <c r="C17" s="153"/>
      <c r="D17" s="153"/>
      <c r="E17" s="153"/>
      <c r="F17" s="154"/>
      <c r="G17" s="81">
        <v>1.5</v>
      </c>
      <c r="H17" s="106" t="s">
        <v>82</v>
      </c>
      <c r="I17" s="155" t="s">
        <v>81</v>
      </c>
      <c r="J17" s="156"/>
      <c r="K17" s="157"/>
      <c r="L17" s="81" t="s">
        <v>82</v>
      </c>
      <c r="M17" s="81"/>
      <c r="N17" s="158"/>
      <c r="O17" s="159"/>
      <c r="P17" s="159"/>
      <c r="Q17" s="159"/>
      <c r="R17" s="159"/>
      <c r="S17" s="160"/>
      <c r="T17" s="81"/>
      <c r="U17" s="81"/>
      <c r="V17" s="155"/>
      <c r="W17" s="156"/>
      <c r="X17" s="157"/>
      <c r="Y17" s="81"/>
      <c r="Z17" s="81"/>
    </row>
    <row r="18" spans="1:26" ht="7.5" customHeight="1" x14ac:dyDescent="0.15">
      <c r="A18" s="14"/>
      <c r="B18" s="18"/>
      <c r="C18" s="18"/>
      <c r="D18" s="14"/>
      <c r="E18" s="14"/>
      <c r="F18" s="14"/>
      <c r="G18" s="14"/>
      <c r="H18" s="105"/>
      <c r="I18" s="14"/>
      <c r="J18" s="14"/>
      <c r="K18" s="14"/>
      <c r="L18" s="18"/>
      <c r="M18" s="18"/>
      <c r="N18" s="18"/>
      <c r="O18" s="18"/>
      <c r="P18" s="18"/>
      <c r="Q18" s="18"/>
      <c r="R18" s="18"/>
      <c r="S18" s="18"/>
      <c r="T18" s="18"/>
      <c r="U18" s="18"/>
      <c r="V18" s="18"/>
      <c r="W18" s="18"/>
      <c r="X18" s="18"/>
      <c r="Y18" s="18"/>
      <c r="Z18" s="14"/>
    </row>
    <row r="19" spans="1:26" ht="18" customHeight="1" x14ac:dyDescent="0.15">
      <c r="A19" s="173" t="s">
        <v>84</v>
      </c>
      <c r="B19" s="173"/>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row>
    <row r="20" spans="1:26" ht="18" customHeight="1" x14ac:dyDescent="0.15">
      <c r="A20" s="173"/>
      <c r="B20" s="173"/>
      <c r="C20" s="173"/>
      <c r="D20" s="173"/>
      <c r="E20" s="173"/>
      <c r="F20" s="173"/>
      <c r="G20" s="173"/>
      <c r="H20" s="173"/>
      <c r="I20" s="173"/>
      <c r="J20" s="173"/>
      <c r="K20" s="173"/>
      <c r="L20" s="173"/>
      <c r="M20" s="173"/>
      <c r="N20" s="173"/>
      <c r="O20" s="173"/>
      <c r="P20" s="173"/>
      <c r="Q20" s="173"/>
      <c r="R20" s="173"/>
      <c r="S20" s="173"/>
      <c r="T20" s="173"/>
      <c r="U20" s="173"/>
      <c r="V20" s="173"/>
      <c r="W20" s="173"/>
      <c r="X20" s="173"/>
      <c r="Y20" s="173"/>
      <c r="Z20" s="173"/>
    </row>
    <row r="21" spans="1:26" ht="18" customHeight="1" x14ac:dyDescent="0.15">
      <c r="A21" s="6"/>
      <c r="B21" s="140" t="s">
        <v>74</v>
      </c>
      <c r="C21" s="163"/>
      <c r="D21" s="163"/>
      <c r="E21" s="163"/>
      <c r="F21" s="141"/>
      <c r="G21" s="15" t="s">
        <v>75</v>
      </c>
      <c r="H21" s="75" t="s">
        <v>76</v>
      </c>
      <c r="I21" s="163" t="s">
        <v>77</v>
      </c>
      <c r="J21" s="163"/>
      <c r="K21" s="163"/>
      <c r="L21" s="50" t="s">
        <v>85</v>
      </c>
      <c r="M21" s="50" t="s">
        <v>86</v>
      </c>
      <c r="N21" s="140" t="s">
        <v>74</v>
      </c>
      <c r="O21" s="163"/>
      <c r="P21" s="163"/>
      <c r="Q21" s="163"/>
      <c r="R21" s="163"/>
      <c r="S21" s="141"/>
      <c r="T21" s="15" t="s">
        <v>75</v>
      </c>
      <c r="U21" s="75" t="s">
        <v>76</v>
      </c>
      <c r="V21" s="163" t="s">
        <v>77</v>
      </c>
      <c r="W21" s="163"/>
      <c r="X21" s="163"/>
      <c r="Y21" s="50" t="s">
        <v>85</v>
      </c>
      <c r="Z21" s="50" t="s">
        <v>86</v>
      </c>
    </row>
    <row r="22" spans="1:26" ht="18" customHeight="1" x14ac:dyDescent="0.15">
      <c r="A22" s="6"/>
      <c r="B22" s="174" t="s">
        <v>80</v>
      </c>
      <c r="C22" s="175"/>
      <c r="D22" s="175"/>
      <c r="E22" s="175"/>
      <c r="F22" s="176"/>
      <c r="G22" s="78">
        <v>1</v>
      </c>
      <c r="H22" s="94" t="s">
        <v>82</v>
      </c>
      <c r="I22" s="140" t="s">
        <v>81</v>
      </c>
      <c r="J22" s="163"/>
      <c r="K22" s="141"/>
      <c r="L22" s="78" t="s">
        <v>82</v>
      </c>
      <c r="M22" s="78" t="s">
        <v>82</v>
      </c>
      <c r="N22" s="130"/>
      <c r="O22" s="131"/>
      <c r="P22" s="131"/>
      <c r="Q22" s="131"/>
      <c r="R22" s="131"/>
      <c r="S22" s="177"/>
      <c r="T22" s="78"/>
      <c r="U22" s="78"/>
      <c r="V22" s="140"/>
      <c r="W22" s="163"/>
      <c r="X22" s="141"/>
      <c r="Y22" s="78"/>
      <c r="Z22" s="78"/>
    </row>
    <row r="23" spans="1:26" ht="7.5" customHeight="1" x14ac:dyDescent="0.15">
      <c r="A23" s="14"/>
      <c r="B23" s="18"/>
      <c r="C23" s="18"/>
      <c r="D23" s="14"/>
      <c r="E23" s="14"/>
      <c r="F23" s="14"/>
      <c r="G23" s="14"/>
      <c r="H23" s="105"/>
      <c r="I23" s="14"/>
      <c r="J23" s="14"/>
      <c r="K23" s="14"/>
      <c r="L23" s="18"/>
      <c r="M23" s="18"/>
      <c r="N23" s="18"/>
      <c r="O23" s="18"/>
      <c r="P23" s="18"/>
      <c r="Q23" s="18"/>
      <c r="R23" s="18"/>
      <c r="S23" s="18"/>
      <c r="T23" s="18"/>
      <c r="U23" s="18"/>
      <c r="V23" s="18"/>
      <c r="W23" s="18"/>
      <c r="X23" s="18"/>
      <c r="Y23" s="18"/>
      <c r="Z23" s="14"/>
    </row>
    <row r="24" spans="1:26" ht="18" customHeight="1" x14ac:dyDescent="0.15">
      <c r="A24" s="173" t="s">
        <v>87</v>
      </c>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row>
    <row r="25" spans="1:26" ht="18" customHeight="1" x14ac:dyDescent="0.15">
      <c r="A25" s="173"/>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row>
    <row r="26" spans="1:26" ht="18" customHeight="1" x14ac:dyDescent="0.15">
      <c r="A26" s="6"/>
      <c r="B26" s="140" t="s">
        <v>74</v>
      </c>
      <c r="C26" s="163"/>
      <c r="D26" s="163"/>
      <c r="E26" s="163"/>
      <c r="F26" s="141"/>
      <c r="G26" s="15" t="s">
        <v>75</v>
      </c>
      <c r="H26" s="75" t="s">
        <v>76</v>
      </c>
      <c r="I26" s="140" t="s">
        <v>77</v>
      </c>
      <c r="J26" s="163"/>
      <c r="K26" s="141"/>
      <c r="L26" s="50" t="s">
        <v>88</v>
      </c>
      <c r="M26" s="50" t="s">
        <v>89</v>
      </c>
      <c r="N26" s="140" t="s">
        <v>74</v>
      </c>
      <c r="O26" s="163"/>
      <c r="P26" s="163"/>
      <c r="Q26" s="163"/>
      <c r="R26" s="163"/>
      <c r="S26" s="141"/>
      <c r="T26" s="15" t="s">
        <v>75</v>
      </c>
      <c r="U26" s="75" t="s">
        <v>76</v>
      </c>
      <c r="V26" s="140" t="s">
        <v>77</v>
      </c>
      <c r="W26" s="163"/>
      <c r="X26" s="141"/>
      <c r="Y26" s="50" t="s">
        <v>88</v>
      </c>
      <c r="Z26" s="50" t="s">
        <v>89</v>
      </c>
    </row>
    <row r="27" spans="1:26" ht="18" customHeight="1" x14ac:dyDescent="0.15">
      <c r="A27" s="14"/>
      <c r="B27" s="184" t="s">
        <v>80</v>
      </c>
      <c r="C27" s="185"/>
      <c r="D27" s="185"/>
      <c r="E27" s="185"/>
      <c r="F27" s="186"/>
      <c r="G27" s="94">
        <v>1</v>
      </c>
      <c r="H27" s="94" t="s">
        <v>82</v>
      </c>
      <c r="I27" s="187" t="s">
        <v>81</v>
      </c>
      <c r="J27" s="188"/>
      <c r="K27" s="189"/>
      <c r="L27" s="94" t="s">
        <v>82</v>
      </c>
      <c r="M27" s="94" t="s">
        <v>82</v>
      </c>
      <c r="N27" s="190"/>
      <c r="O27" s="191"/>
      <c r="P27" s="191"/>
      <c r="Q27" s="191"/>
      <c r="R27" s="191"/>
      <c r="S27" s="192"/>
      <c r="T27" s="94"/>
      <c r="U27" s="94"/>
      <c r="V27" s="187"/>
      <c r="W27" s="188"/>
      <c r="X27" s="189"/>
      <c r="Y27" s="94"/>
      <c r="Z27" s="94"/>
    </row>
    <row r="28" spans="1:26" ht="7.5" customHeight="1" x14ac:dyDescent="0.15">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8"/>
    </row>
    <row r="29" spans="1:26" ht="18" customHeight="1" x14ac:dyDescent="0.15">
      <c r="A29" s="173" t="s">
        <v>90</v>
      </c>
      <c r="B29" s="173"/>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3"/>
    </row>
    <row r="30" spans="1:26" ht="18" customHeight="1" x14ac:dyDescent="0.15">
      <c r="A30" s="17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row>
    <row r="31" spans="1:26" ht="18" customHeight="1" x14ac:dyDescent="0.15">
      <c r="A31" s="6"/>
      <c r="B31" s="140" t="s">
        <v>74</v>
      </c>
      <c r="C31" s="163"/>
      <c r="D31" s="163"/>
      <c r="E31" s="163"/>
      <c r="F31" s="141"/>
      <c r="G31" s="15" t="s">
        <v>75</v>
      </c>
      <c r="H31" s="75" t="s">
        <v>76</v>
      </c>
      <c r="I31" s="140" t="s">
        <v>77</v>
      </c>
      <c r="J31" s="163"/>
      <c r="K31" s="141"/>
      <c r="L31" s="50" t="s">
        <v>91</v>
      </c>
      <c r="M31" s="50" t="s">
        <v>92</v>
      </c>
      <c r="N31" s="140" t="s">
        <v>74</v>
      </c>
      <c r="O31" s="163"/>
      <c r="P31" s="163"/>
      <c r="Q31" s="163"/>
      <c r="R31" s="163"/>
      <c r="S31" s="141"/>
      <c r="T31" s="15" t="s">
        <v>75</v>
      </c>
      <c r="U31" s="75" t="s">
        <v>76</v>
      </c>
      <c r="V31" s="140" t="s">
        <v>77</v>
      </c>
      <c r="W31" s="163"/>
      <c r="X31" s="141"/>
      <c r="Y31" s="50" t="s">
        <v>91</v>
      </c>
      <c r="Z31" s="50" t="s">
        <v>92</v>
      </c>
    </row>
    <row r="32" spans="1:26" ht="18" customHeight="1" x14ac:dyDescent="0.15">
      <c r="A32" s="14"/>
      <c r="B32" s="178" t="s">
        <v>93</v>
      </c>
      <c r="C32" s="179"/>
      <c r="D32" s="179"/>
      <c r="E32" s="179"/>
      <c r="F32" s="180"/>
      <c r="G32" s="76">
        <v>1.5</v>
      </c>
      <c r="H32" s="76" t="s">
        <v>82</v>
      </c>
      <c r="I32" s="149" t="s">
        <v>81</v>
      </c>
      <c r="J32" s="150"/>
      <c r="K32" s="151"/>
      <c r="L32" s="76" t="s">
        <v>82</v>
      </c>
      <c r="M32" s="76" t="s">
        <v>82</v>
      </c>
      <c r="N32" s="181"/>
      <c r="O32" s="182"/>
      <c r="P32" s="182"/>
      <c r="Q32" s="182"/>
      <c r="R32" s="182"/>
      <c r="S32" s="183"/>
      <c r="T32" s="76"/>
      <c r="U32" s="76"/>
      <c r="V32" s="149"/>
      <c r="W32" s="150"/>
      <c r="X32" s="151"/>
      <c r="Y32" s="76"/>
      <c r="Z32" s="76"/>
    </row>
    <row r="33" spans="1:26" ht="18" customHeight="1" x14ac:dyDescent="0.15">
      <c r="A33" s="14"/>
      <c r="B33" s="152" t="s">
        <v>94</v>
      </c>
      <c r="C33" s="153"/>
      <c r="D33" s="153"/>
      <c r="E33" s="153"/>
      <c r="F33" s="154"/>
      <c r="G33" s="81">
        <v>0.5</v>
      </c>
      <c r="H33" s="81" t="s">
        <v>82</v>
      </c>
      <c r="I33" s="155" t="s">
        <v>81</v>
      </c>
      <c r="J33" s="156"/>
      <c r="K33" s="157"/>
      <c r="L33" s="81"/>
      <c r="M33" s="81" t="s">
        <v>82</v>
      </c>
      <c r="N33" s="158"/>
      <c r="O33" s="159"/>
      <c r="P33" s="159"/>
      <c r="Q33" s="159"/>
      <c r="R33" s="159"/>
      <c r="S33" s="160"/>
      <c r="T33" s="81"/>
      <c r="U33" s="81"/>
      <c r="V33" s="155"/>
      <c r="W33" s="156"/>
      <c r="X33" s="157"/>
      <c r="Y33" s="81"/>
      <c r="Z33" s="81"/>
    </row>
    <row r="34" spans="1:26" ht="7.5" customHeight="1" x14ac:dyDescent="0.15">
      <c r="B34" s="51"/>
      <c r="C34" s="51"/>
      <c r="D34" s="51"/>
      <c r="E34" s="51"/>
      <c r="F34" s="51"/>
      <c r="G34" s="51"/>
      <c r="H34" s="51"/>
      <c r="I34" s="51"/>
      <c r="J34" s="51"/>
      <c r="K34" s="51"/>
      <c r="L34" s="51"/>
      <c r="M34" s="51"/>
      <c r="N34" s="51"/>
      <c r="O34" s="51"/>
      <c r="P34" s="51"/>
      <c r="Q34" s="51"/>
      <c r="R34" s="51"/>
      <c r="S34" s="51"/>
      <c r="T34" s="51"/>
      <c r="U34" s="51"/>
      <c r="V34" s="51"/>
      <c r="W34" s="51"/>
      <c r="X34" s="51"/>
      <c r="Y34" s="51"/>
    </row>
    <row r="35" spans="1:26" ht="18" customHeight="1" x14ac:dyDescent="0.15">
      <c r="A35" s="173" t="s">
        <v>95</v>
      </c>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row>
    <row r="36" spans="1:26" ht="18" customHeight="1" x14ac:dyDescent="0.15">
      <c r="A36" s="173"/>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row>
    <row r="37" spans="1:26" ht="18" customHeight="1" x14ac:dyDescent="0.15">
      <c r="A37" s="6"/>
      <c r="B37" s="140" t="s">
        <v>74</v>
      </c>
      <c r="C37" s="163"/>
      <c r="D37" s="163"/>
      <c r="E37" s="141"/>
      <c r="F37" s="15" t="s">
        <v>75</v>
      </c>
      <c r="G37" s="75" t="s">
        <v>76</v>
      </c>
      <c r="H37" s="12" t="s">
        <v>77</v>
      </c>
      <c r="I37" s="72"/>
      <c r="J37" s="13"/>
      <c r="K37" s="50" t="s">
        <v>96</v>
      </c>
      <c r="L37" s="50" t="s">
        <v>97</v>
      </c>
      <c r="M37" s="50" t="s">
        <v>98</v>
      </c>
      <c r="N37" s="140" t="s">
        <v>74</v>
      </c>
      <c r="O37" s="163"/>
      <c r="P37" s="163"/>
      <c r="Q37" s="163"/>
      <c r="R37" s="141"/>
      <c r="S37" s="15" t="s">
        <v>75</v>
      </c>
      <c r="T37" s="75" t="s">
        <v>76</v>
      </c>
      <c r="U37" s="12" t="s">
        <v>77</v>
      </c>
      <c r="V37" s="72"/>
      <c r="W37" s="13"/>
      <c r="X37" s="50" t="s">
        <v>96</v>
      </c>
      <c r="Y37" s="50" t="s">
        <v>97</v>
      </c>
      <c r="Z37" s="50" t="s">
        <v>98</v>
      </c>
    </row>
    <row r="38" spans="1:26" ht="18" customHeight="1" x14ac:dyDescent="0.15">
      <c r="A38" s="14"/>
      <c r="B38" s="181" t="s">
        <v>99</v>
      </c>
      <c r="C38" s="182"/>
      <c r="D38" s="182"/>
      <c r="E38" s="183"/>
      <c r="F38" s="76">
        <v>1.5</v>
      </c>
      <c r="G38" s="76" t="s">
        <v>82</v>
      </c>
      <c r="H38" s="149" t="s">
        <v>81</v>
      </c>
      <c r="I38" s="150"/>
      <c r="J38" s="151"/>
      <c r="K38" s="76" t="s">
        <v>82</v>
      </c>
      <c r="L38" s="76" t="s">
        <v>82</v>
      </c>
      <c r="M38" s="76"/>
      <c r="N38" s="181"/>
      <c r="O38" s="182"/>
      <c r="P38" s="182"/>
      <c r="Q38" s="182"/>
      <c r="R38" s="183"/>
      <c r="S38" s="76"/>
      <c r="T38" s="76"/>
      <c r="U38" s="149"/>
      <c r="V38" s="150"/>
      <c r="W38" s="151"/>
      <c r="X38" s="80"/>
      <c r="Y38" s="76"/>
      <c r="Z38" s="76"/>
    </row>
    <row r="39" spans="1:26" ht="18" customHeight="1" x14ac:dyDescent="0.15">
      <c r="A39" s="14"/>
      <c r="B39" s="158" t="s">
        <v>80</v>
      </c>
      <c r="C39" s="159"/>
      <c r="D39" s="159"/>
      <c r="E39" s="160"/>
      <c r="F39" s="81">
        <v>1</v>
      </c>
      <c r="G39" s="81" t="s">
        <v>82</v>
      </c>
      <c r="H39" s="155" t="s">
        <v>81</v>
      </c>
      <c r="I39" s="156"/>
      <c r="J39" s="157"/>
      <c r="K39" s="81"/>
      <c r="L39" s="81"/>
      <c r="M39" s="81" t="s">
        <v>82</v>
      </c>
      <c r="N39" s="158"/>
      <c r="O39" s="159"/>
      <c r="P39" s="159"/>
      <c r="Q39" s="159"/>
      <c r="R39" s="160"/>
      <c r="S39" s="81"/>
      <c r="T39" s="81"/>
      <c r="U39" s="155"/>
      <c r="V39" s="156"/>
      <c r="W39" s="157"/>
      <c r="X39" s="109"/>
      <c r="Y39" s="81"/>
      <c r="Z39" s="81"/>
    </row>
    <row r="40" spans="1:26" ht="7.5" customHeight="1" x14ac:dyDescent="0.15">
      <c r="B40" s="51"/>
      <c r="C40" s="51"/>
      <c r="D40" s="51"/>
      <c r="E40" s="51"/>
      <c r="F40" s="51"/>
      <c r="G40" s="51"/>
      <c r="H40" s="51"/>
      <c r="I40" s="51"/>
      <c r="J40" s="51"/>
      <c r="K40" s="51"/>
      <c r="L40" s="51"/>
      <c r="M40" s="51"/>
      <c r="N40" s="51"/>
      <c r="O40" s="51"/>
      <c r="P40" s="51"/>
      <c r="Q40" s="51"/>
      <c r="R40" s="51"/>
      <c r="S40" s="51"/>
      <c r="T40" s="51"/>
      <c r="U40" s="51"/>
      <c r="V40" s="51"/>
      <c r="W40" s="51"/>
      <c r="X40" s="51"/>
      <c r="Y40" s="51"/>
    </row>
    <row r="41" spans="1:26" ht="18" customHeight="1" x14ac:dyDescent="0.15">
      <c r="A41" s="6" t="s">
        <v>100</v>
      </c>
      <c r="B41" s="6"/>
      <c r="C41" s="6"/>
      <c r="D41" s="6"/>
      <c r="E41" s="6"/>
      <c r="F41" s="6"/>
      <c r="G41" s="6"/>
      <c r="H41" s="6"/>
      <c r="I41" s="6"/>
      <c r="J41" s="6"/>
      <c r="K41" s="6"/>
      <c r="L41" s="14"/>
      <c r="M41" s="14"/>
      <c r="N41" s="14"/>
      <c r="O41" s="14"/>
      <c r="P41" s="14"/>
      <c r="Q41" s="14"/>
      <c r="R41" s="14"/>
      <c r="S41" s="14"/>
      <c r="T41" s="14"/>
      <c r="U41" s="14"/>
      <c r="V41" s="14"/>
      <c r="W41" s="14"/>
      <c r="X41" s="14"/>
      <c r="Y41" s="14"/>
      <c r="Z41" s="14"/>
    </row>
    <row r="42" spans="1:26" ht="18" customHeight="1" x14ac:dyDescent="0.15">
      <c r="A42" s="6"/>
      <c r="B42" s="140" t="s">
        <v>74</v>
      </c>
      <c r="C42" s="163"/>
      <c r="D42" s="163"/>
      <c r="E42" s="163"/>
      <c r="F42" s="141"/>
      <c r="G42" s="140" t="s">
        <v>101</v>
      </c>
      <c r="H42" s="163"/>
      <c r="I42" s="163"/>
      <c r="J42" s="163"/>
      <c r="K42" s="163"/>
      <c r="L42" s="163"/>
      <c r="M42" s="141"/>
      <c r="N42" s="187" t="s">
        <v>74</v>
      </c>
      <c r="O42" s="188"/>
      <c r="P42" s="188"/>
      <c r="Q42" s="188"/>
      <c r="R42" s="188"/>
      <c r="S42" s="189"/>
      <c r="T42" s="140" t="s">
        <v>101</v>
      </c>
      <c r="U42" s="163"/>
      <c r="V42" s="163"/>
      <c r="W42" s="163"/>
      <c r="X42" s="163"/>
      <c r="Y42" s="163"/>
      <c r="Z42" s="141"/>
    </row>
    <row r="43" spans="1:26" ht="18" customHeight="1" x14ac:dyDescent="0.15">
      <c r="A43" s="14"/>
      <c r="B43" s="130" t="s">
        <v>102</v>
      </c>
      <c r="C43" s="131"/>
      <c r="D43" s="131"/>
      <c r="E43" s="131"/>
      <c r="F43" s="177"/>
      <c r="G43" s="125" t="s">
        <v>103</v>
      </c>
      <c r="H43" s="126"/>
      <c r="I43" s="126"/>
      <c r="J43" s="126"/>
      <c r="K43" s="126"/>
      <c r="L43" s="126"/>
      <c r="M43" s="127"/>
      <c r="N43" s="130"/>
      <c r="O43" s="131"/>
      <c r="P43" s="131"/>
      <c r="Q43" s="131"/>
      <c r="R43" s="131"/>
      <c r="S43" s="177"/>
      <c r="T43" s="125"/>
      <c r="U43" s="126"/>
      <c r="V43" s="126"/>
      <c r="W43" s="126"/>
      <c r="X43" s="126"/>
      <c r="Y43" s="126"/>
      <c r="Z43" s="127"/>
    </row>
    <row r="44" spans="1:26" ht="18" customHeight="1" x14ac:dyDescent="0.15">
      <c r="A44" s="14"/>
      <c r="B44" s="18"/>
      <c r="C44" s="18"/>
      <c r="D44" s="18"/>
      <c r="E44" s="18"/>
      <c r="F44" s="18"/>
      <c r="G44" s="4"/>
      <c r="H44" s="4"/>
      <c r="I44" s="4"/>
      <c r="J44" s="4"/>
      <c r="K44" s="4"/>
      <c r="L44" s="4"/>
      <c r="M44" s="4"/>
      <c r="N44" s="18"/>
      <c r="O44" s="18"/>
      <c r="P44" s="18"/>
      <c r="Q44" s="18"/>
      <c r="R44" s="18"/>
      <c r="S44" s="18"/>
      <c r="T44" s="4"/>
      <c r="U44" s="4"/>
      <c r="V44" s="4"/>
      <c r="W44" s="4"/>
      <c r="X44" s="4"/>
      <c r="Y44" s="4"/>
      <c r="Z44" s="4"/>
    </row>
    <row r="45" spans="1:26" ht="18.75" customHeight="1" x14ac:dyDescent="0.15">
      <c r="A45" s="5" t="s">
        <v>104</v>
      </c>
    </row>
    <row r="46" spans="1:26" ht="18.75" customHeight="1" x14ac:dyDescent="0.15">
      <c r="B46" s="52" t="s">
        <v>105</v>
      </c>
      <c r="C46" s="53"/>
      <c r="D46" s="193" t="s">
        <v>106</v>
      </c>
      <c r="E46" s="193"/>
      <c r="F46" s="193"/>
      <c r="G46" s="193"/>
      <c r="H46" s="193"/>
      <c r="I46" s="193"/>
      <c r="J46" s="193"/>
      <c r="K46" s="193"/>
      <c r="L46" s="193"/>
      <c r="M46" s="193"/>
      <c r="N46" s="193"/>
      <c r="O46" s="193"/>
      <c r="P46" s="193"/>
      <c r="Q46" s="193"/>
      <c r="R46" s="193"/>
      <c r="S46" s="193"/>
      <c r="T46" s="193"/>
      <c r="U46" s="193"/>
      <c r="V46" s="193"/>
      <c r="W46" s="193"/>
      <c r="X46" s="193"/>
      <c r="Y46" s="193"/>
      <c r="Z46" s="194"/>
    </row>
    <row r="47" spans="1:26" ht="78" customHeight="1" x14ac:dyDescent="0.15">
      <c r="B47" s="195" t="s">
        <v>107</v>
      </c>
      <c r="C47" s="58" t="s">
        <v>78</v>
      </c>
      <c r="D47" s="197" t="s">
        <v>108</v>
      </c>
      <c r="E47" s="197"/>
      <c r="F47" s="197"/>
      <c r="G47" s="197"/>
      <c r="H47" s="197"/>
      <c r="I47" s="197"/>
      <c r="J47" s="197"/>
      <c r="K47" s="197"/>
      <c r="L47" s="197"/>
      <c r="M47" s="197"/>
      <c r="N47" s="197"/>
      <c r="O47" s="197"/>
      <c r="P47" s="197"/>
      <c r="Q47" s="197"/>
      <c r="R47" s="197"/>
      <c r="S47" s="197"/>
      <c r="T47" s="197"/>
      <c r="U47" s="197"/>
      <c r="V47" s="197"/>
      <c r="W47" s="197"/>
      <c r="X47" s="197"/>
      <c r="Y47" s="197"/>
      <c r="Z47" s="198"/>
    </row>
    <row r="48" spans="1:26" ht="78" customHeight="1" x14ac:dyDescent="0.15">
      <c r="B48" s="196"/>
      <c r="C48" s="73" t="s">
        <v>109</v>
      </c>
      <c r="D48" s="199" t="s">
        <v>218</v>
      </c>
      <c r="E48" s="199"/>
      <c r="F48" s="199"/>
      <c r="G48" s="199"/>
      <c r="H48" s="199"/>
      <c r="I48" s="199"/>
      <c r="J48" s="199"/>
      <c r="K48" s="199"/>
      <c r="L48" s="199"/>
      <c r="M48" s="199"/>
      <c r="N48" s="199"/>
      <c r="O48" s="199"/>
      <c r="P48" s="199"/>
      <c r="Q48" s="199"/>
      <c r="R48" s="199"/>
      <c r="S48" s="199"/>
      <c r="T48" s="199"/>
      <c r="U48" s="199"/>
      <c r="V48" s="199"/>
      <c r="W48" s="199"/>
      <c r="X48" s="199"/>
      <c r="Y48" s="199"/>
      <c r="Z48" s="200"/>
    </row>
    <row r="49" spans="1:26" ht="78" customHeight="1" x14ac:dyDescent="0.15">
      <c r="B49" s="210" t="s">
        <v>110</v>
      </c>
      <c r="C49" s="54" t="s">
        <v>85</v>
      </c>
      <c r="D49" s="212" t="s">
        <v>111</v>
      </c>
      <c r="E49" s="212"/>
      <c r="F49" s="212"/>
      <c r="G49" s="212"/>
      <c r="H49" s="212"/>
      <c r="I49" s="212"/>
      <c r="J49" s="212"/>
      <c r="K49" s="212"/>
      <c r="L49" s="212"/>
      <c r="M49" s="212"/>
      <c r="N49" s="212"/>
      <c r="O49" s="212"/>
      <c r="P49" s="212"/>
      <c r="Q49" s="212"/>
      <c r="R49" s="212"/>
      <c r="S49" s="212"/>
      <c r="T49" s="212"/>
      <c r="U49" s="212"/>
      <c r="V49" s="212"/>
      <c r="W49" s="212"/>
      <c r="X49" s="212"/>
      <c r="Y49" s="212"/>
      <c r="Z49" s="213"/>
    </row>
    <row r="50" spans="1:26" ht="78" customHeight="1" x14ac:dyDescent="0.15">
      <c r="B50" s="211"/>
      <c r="C50" s="74" t="s">
        <v>86</v>
      </c>
      <c r="D50" s="214" t="s">
        <v>219</v>
      </c>
      <c r="E50" s="214"/>
      <c r="F50" s="214"/>
      <c r="G50" s="214"/>
      <c r="H50" s="214"/>
      <c r="I50" s="214"/>
      <c r="J50" s="214"/>
      <c r="K50" s="214"/>
      <c r="L50" s="214"/>
      <c r="M50" s="214"/>
      <c r="N50" s="214"/>
      <c r="O50" s="214"/>
      <c r="P50" s="214"/>
      <c r="Q50" s="214"/>
      <c r="R50" s="214"/>
      <c r="S50" s="214"/>
      <c r="T50" s="214"/>
      <c r="U50" s="214"/>
      <c r="V50" s="214"/>
      <c r="W50" s="214"/>
      <c r="X50" s="214"/>
      <c r="Y50" s="214"/>
      <c r="Z50" s="215"/>
    </row>
    <row r="51" spans="1:26" ht="66" customHeight="1" x14ac:dyDescent="0.15">
      <c r="B51" s="210" t="s">
        <v>112</v>
      </c>
      <c r="C51" s="54" t="s">
        <v>88</v>
      </c>
      <c r="D51" s="212" t="s">
        <v>113</v>
      </c>
      <c r="E51" s="212"/>
      <c r="F51" s="212"/>
      <c r="G51" s="212"/>
      <c r="H51" s="212"/>
      <c r="I51" s="212"/>
      <c r="J51" s="212"/>
      <c r="K51" s="212"/>
      <c r="L51" s="212"/>
      <c r="M51" s="212"/>
      <c r="N51" s="212"/>
      <c r="O51" s="212"/>
      <c r="P51" s="212"/>
      <c r="Q51" s="212"/>
      <c r="R51" s="212"/>
      <c r="S51" s="212"/>
      <c r="T51" s="212"/>
      <c r="U51" s="212"/>
      <c r="V51" s="212"/>
      <c r="W51" s="212"/>
      <c r="X51" s="212"/>
      <c r="Y51" s="212"/>
      <c r="Z51" s="213"/>
    </row>
    <row r="52" spans="1:26" ht="66" customHeight="1" x14ac:dyDescent="0.15">
      <c r="B52" s="211"/>
      <c r="C52" s="56" t="s">
        <v>89</v>
      </c>
      <c r="D52" s="216" t="s">
        <v>114</v>
      </c>
      <c r="E52" s="216"/>
      <c r="F52" s="216"/>
      <c r="G52" s="216"/>
      <c r="H52" s="216"/>
      <c r="I52" s="216"/>
      <c r="J52" s="216"/>
      <c r="K52" s="216"/>
      <c r="L52" s="216"/>
      <c r="M52" s="216"/>
      <c r="N52" s="216"/>
      <c r="O52" s="216"/>
      <c r="P52" s="216"/>
      <c r="Q52" s="216"/>
      <c r="R52" s="216"/>
      <c r="S52" s="216"/>
      <c r="T52" s="216"/>
      <c r="U52" s="216"/>
      <c r="V52" s="216"/>
      <c r="W52" s="216"/>
      <c r="X52" s="216"/>
      <c r="Y52" s="216"/>
      <c r="Z52" s="217"/>
    </row>
    <row r="53" spans="1:26" ht="66" customHeight="1" x14ac:dyDescent="0.15">
      <c r="B53" s="195" t="s">
        <v>115</v>
      </c>
      <c r="C53" s="58" t="s">
        <v>91</v>
      </c>
      <c r="D53" s="222" t="s">
        <v>116</v>
      </c>
      <c r="E53" s="222"/>
      <c r="F53" s="222"/>
      <c r="G53" s="222"/>
      <c r="H53" s="222"/>
      <c r="I53" s="222"/>
      <c r="J53" s="222"/>
      <c r="K53" s="222"/>
      <c r="L53" s="222"/>
      <c r="M53" s="222"/>
      <c r="N53" s="222"/>
      <c r="O53" s="222"/>
      <c r="P53" s="222"/>
      <c r="Q53" s="222"/>
      <c r="R53" s="222"/>
      <c r="S53" s="222"/>
      <c r="T53" s="222"/>
      <c r="U53" s="222"/>
      <c r="V53" s="222"/>
      <c r="W53" s="222"/>
      <c r="X53" s="222"/>
      <c r="Y53" s="222"/>
      <c r="Z53" s="223"/>
    </row>
    <row r="54" spans="1:26" ht="103.5" customHeight="1" x14ac:dyDescent="0.15">
      <c r="B54" s="221"/>
      <c r="C54" s="55" t="s">
        <v>92</v>
      </c>
      <c r="D54" s="224" t="s">
        <v>117</v>
      </c>
      <c r="E54" s="224"/>
      <c r="F54" s="224"/>
      <c r="G54" s="224"/>
      <c r="H54" s="224"/>
      <c r="I54" s="224"/>
      <c r="J54" s="224"/>
      <c r="K54" s="224"/>
      <c r="L54" s="224"/>
      <c r="M54" s="224"/>
      <c r="N54" s="224"/>
      <c r="O54" s="224"/>
      <c r="P54" s="224"/>
      <c r="Q54" s="224"/>
      <c r="R54" s="224"/>
      <c r="S54" s="224"/>
      <c r="T54" s="224"/>
      <c r="U54" s="224"/>
      <c r="V54" s="224"/>
      <c r="W54" s="224"/>
      <c r="X54" s="224"/>
      <c r="Y54" s="224"/>
      <c r="Z54" s="225"/>
    </row>
    <row r="55" spans="1:26" ht="66" customHeight="1" x14ac:dyDescent="0.15">
      <c r="B55" s="195" t="s">
        <v>118</v>
      </c>
      <c r="C55" s="54" t="s">
        <v>96</v>
      </c>
      <c r="D55" s="226" t="s">
        <v>119</v>
      </c>
      <c r="E55" s="226"/>
      <c r="F55" s="226"/>
      <c r="G55" s="226"/>
      <c r="H55" s="226"/>
      <c r="I55" s="226"/>
      <c r="J55" s="226"/>
      <c r="K55" s="226"/>
      <c r="L55" s="226"/>
      <c r="M55" s="226"/>
      <c r="N55" s="226"/>
      <c r="O55" s="226"/>
      <c r="P55" s="226"/>
      <c r="Q55" s="226"/>
      <c r="R55" s="226"/>
      <c r="S55" s="226"/>
      <c r="T55" s="226"/>
      <c r="U55" s="226"/>
      <c r="V55" s="226"/>
      <c r="W55" s="226"/>
      <c r="X55" s="226"/>
      <c r="Y55" s="226"/>
      <c r="Z55" s="227"/>
    </row>
    <row r="56" spans="1:26" ht="66" customHeight="1" x14ac:dyDescent="0.15">
      <c r="B56" s="196"/>
      <c r="C56" s="55" t="s">
        <v>97</v>
      </c>
      <c r="D56" s="226" t="s">
        <v>120</v>
      </c>
      <c r="E56" s="226"/>
      <c r="F56" s="226"/>
      <c r="G56" s="226"/>
      <c r="H56" s="226"/>
      <c r="I56" s="226"/>
      <c r="J56" s="226"/>
      <c r="K56" s="226"/>
      <c r="L56" s="226"/>
      <c r="M56" s="226"/>
      <c r="N56" s="226"/>
      <c r="O56" s="226"/>
      <c r="P56" s="226"/>
      <c r="Q56" s="226"/>
      <c r="R56" s="226"/>
      <c r="S56" s="226"/>
      <c r="T56" s="226"/>
      <c r="U56" s="226"/>
      <c r="V56" s="226"/>
      <c r="W56" s="226"/>
      <c r="X56" s="226"/>
      <c r="Y56" s="226"/>
      <c r="Z56" s="227"/>
    </row>
    <row r="57" spans="1:26" ht="93" customHeight="1" x14ac:dyDescent="0.15">
      <c r="B57" s="211"/>
      <c r="C57" s="56" t="s">
        <v>98</v>
      </c>
      <c r="D57" s="228" t="s">
        <v>121</v>
      </c>
      <c r="E57" s="228"/>
      <c r="F57" s="228"/>
      <c r="G57" s="228"/>
      <c r="H57" s="228"/>
      <c r="I57" s="228"/>
      <c r="J57" s="228"/>
      <c r="K57" s="228"/>
      <c r="L57" s="228"/>
      <c r="M57" s="228"/>
      <c r="N57" s="228"/>
      <c r="O57" s="228"/>
      <c r="P57" s="228"/>
      <c r="Q57" s="228"/>
      <c r="R57" s="228"/>
      <c r="S57" s="228"/>
      <c r="T57" s="228"/>
      <c r="U57" s="228"/>
      <c r="V57" s="228"/>
      <c r="W57" s="228"/>
      <c r="X57" s="228"/>
      <c r="Y57" s="228"/>
      <c r="Z57" s="229"/>
    </row>
    <row r="58" spans="1:26" ht="6" customHeight="1" x14ac:dyDescent="0.15"/>
    <row r="59" spans="1:26" ht="18.75" customHeight="1" x14ac:dyDescent="0.15">
      <c r="A59" s="5" t="s">
        <v>122</v>
      </c>
    </row>
    <row r="60" spans="1:26" ht="18.75" customHeight="1" x14ac:dyDescent="0.15">
      <c r="B60" s="201" t="s">
        <v>221</v>
      </c>
      <c r="C60" s="202"/>
      <c r="D60" s="202"/>
      <c r="E60" s="202"/>
      <c r="F60" s="202"/>
      <c r="G60" s="202"/>
      <c r="H60" s="202"/>
      <c r="I60" s="202"/>
      <c r="J60" s="202"/>
      <c r="K60" s="202"/>
      <c r="L60" s="202"/>
      <c r="M60" s="202"/>
      <c r="N60" s="202"/>
      <c r="O60" s="202"/>
      <c r="P60" s="202"/>
      <c r="Q60" s="202"/>
      <c r="R60" s="202"/>
      <c r="S60" s="202"/>
      <c r="T60" s="202"/>
      <c r="U60" s="202"/>
      <c r="V60" s="202"/>
      <c r="W60" s="202"/>
      <c r="X60" s="202"/>
      <c r="Y60" s="202"/>
      <c r="Z60" s="203"/>
    </row>
    <row r="61" spans="1:26" ht="18.75" customHeight="1" x14ac:dyDescent="0.15">
      <c r="B61" s="204"/>
      <c r="C61" s="205"/>
      <c r="D61" s="205"/>
      <c r="E61" s="205"/>
      <c r="F61" s="205"/>
      <c r="G61" s="205"/>
      <c r="H61" s="205"/>
      <c r="I61" s="205"/>
      <c r="J61" s="205"/>
      <c r="K61" s="205"/>
      <c r="L61" s="205"/>
      <c r="M61" s="205"/>
      <c r="N61" s="205"/>
      <c r="O61" s="205"/>
      <c r="P61" s="205"/>
      <c r="Q61" s="205"/>
      <c r="R61" s="205"/>
      <c r="S61" s="205"/>
      <c r="T61" s="205"/>
      <c r="U61" s="205"/>
      <c r="V61" s="205"/>
      <c r="W61" s="205"/>
      <c r="X61" s="205"/>
      <c r="Y61" s="205"/>
      <c r="Z61" s="206"/>
    </row>
    <row r="62" spans="1:26" ht="18.75" customHeight="1" x14ac:dyDescent="0.15">
      <c r="B62" s="207"/>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9"/>
    </row>
    <row r="63" spans="1:26" ht="6" customHeight="1" x14ac:dyDescent="0.15"/>
    <row r="64" spans="1:26" ht="15" customHeight="1" x14ac:dyDescent="0.15">
      <c r="A64" s="5" t="s">
        <v>123</v>
      </c>
    </row>
    <row r="65" spans="2:26" ht="15" customHeight="1" x14ac:dyDescent="0.15">
      <c r="B65" s="218" t="s">
        <v>124</v>
      </c>
      <c r="C65" s="219"/>
      <c r="D65" s="219"/>
      <c r="E65" s="219"/>
      <c r="F65" s="219"/>
      <c r="G65" s="219"/>
      <c r="H65" s="219"/>
      <c r="I65" s="219"/>
      <c r="J65" s="219"/>
      <c r="K65" s="219"/>
      <c r="L65" s="219"/>
      <c r="M65" s="219"/>
      <c r="N65" s="219"/>
      <c r="O65" s="219"/>
      <c r="P65" s="219"/>
      <c r="Q65" s="219"/>
      <c r="R65" s="219"/>
      <c r="S65" s="219"/>
      <c r="T65" s="219"/>
      <c r="U65" s="219"/>
      <c r="V65" s="219"/>
      <c r="W65" s="219"/>
      <c r="X65" s="219"/>
      <c r="Y65" s="219"/>
      <c r="Z65" s="220"/>
    </row>
  </sheetData>
  <mergeCells count="86">
    <mergeCell ref="B65:Z65"/>
    <mergeCell ref="B53:B54"/>
    <mergeCell ref="D53:Z53"/>
    <mergeCell ref="D54:Z54"/>
    <mergeCell ref="B55:B57"/>
    <mergeCell ref="D55:Z55"/>
    <mergeCell ref="D56:Z56"/>
    <mergeCell ref="D57:Z57"/>
    <mergeCell ref="D46:Z46"/>
    <mergeCell ref="B47:B48"/>
    <mergeCell ref="D47:Z47"/>
    <mergeCell ref="D48:Z48"/>
    <mergeCell ref="B60:Z62"/>
    <mergeCell ref="B49:B50"/>
    <mergeCell ref="D49:Z49"/>
    <mergeCell ref="D50:Z50"/>
    <mergeCell ref="B51:B52"/>
    <mergeCell ref="D51:Z51"/>
    <mergeCell ref="D52:Z52"/>
    <mergeCell ref="A35:Z36"/>
    <mergeCell ref="B37:E37"/>
    <mergeCell ref="N37:R37"/>
    <mergeCell ref="B43:F43"/>
    <mergeCell ref="G43:M43"/>
    <mergeCell ref="N43:S43"/>
    <mergeCell ref="T43:Z43"/>
    <mergeCell ref="B42:F42"/>
    <mergeCell ref="G42:M42"/>
    <mergeCell ref="N42:S42"/>
    <mergeCell ref="T42:Z42"/>
    <mergeCell ref="B38:E38"/>
    <mergeCell ref="H38:J38"/>
    <mergeCell ref="N38:R38"/>
    <mergeCell ref="U38:W38"/>
    <mergeCell ref="B39:E39"/>
    <mergeCell ref="H39:J39"/>
    <mergeCell ref="N39:R39"/>
    <mergeCell ref="U39:W39"/>
    <mergeCell ref="A29:Z30"/>
    <mergeCell ref="B31:F31"/>
    <mergeCell ref="I31:K31"/>
    <mergeCell ref="N31:S31"/>
    <mergeCell ref="V31:X31"/>
    <mergeCell ref="B32:F32"/>
    <mergeCell ref="I32:K32"/>
    <mergeCell ref="N32:S32"/>
    <mergeCell ref="V32:X32"/>
    <mergeCell ref="B33:F33"/>
    <mergeCell ref="I33:K33"/>
    <mergeCell ref="N33:S33"/>
    <mergeCell ref="V33:X33"/>
    <mergeCell ref="B27:F27"/>
    <mergeCell ref="I27:K27"/>
    <mergeCell ref="N27:S27"/>
    <mergeCell ref="V27:X27"/>
    <mergeCell ref="A24:Z25"/>
    <mergeCell ref="B26:F26"/>
    <mergeCell ref="I26:K26"/>
    <mergeCell ref="N26:S26"/>
    <mergeCell ref="V26:X26"/>
    <mergeCell ref="B15:F15"/>
    <mergeCell ref="I15:K15"/>
    <mergeCell ref="N15:S15"/>
    <mergeCell ref="V15:X15"/>
    <mergeCell ref="B22:F22"/>
    <mergeCell ref="I22:K22"/>
    <mergeCell ref="N22:S22"/>
    <mergeCell ref="V22:X22"/>
    <mergeCell ref="A19:Z20"/>
    <mergeCell ref="B21:F21"/>
    <mergeCell ref="I21:K21"/>
    <mergeCell ref="N21:S21"/>
    <mergeCell ref="V21:X21"/>
    <mergeCell ref="B16:F16"/>
    <mergeCell ref="I16:K16"/>
    <mergeCell ref="N16:S16"/>
    <mergeCell ref="W1:Z1"/>
    <mergeCell ref="A2:Z2"/>
    <mergeCell ref="O4:Z4"/>
    <mergeCell ref="B6:Z11"/>
    <mergeCell ref="A13:Z14"/>
    <mergeCell ref="V16:X16"/>
    <mergeCell ref="B17:F17"/>
    <mergeCell ref="I17:K17"/>
    <mergeCell ref="N17:S17"/>
    <mergeCell ref="V17:X17"/>
  </mergeCells>
  <phoneticPr fontId="1"/>
  <dataValidations count="4">
    <dataValidation type="list" allowBlank="1" showInputMessage="1" showErrorMessage="1" sqref="K38:L38 K39 L16:M17 U16:U17 H16:H17 Y16:Z17 U22 H22 L22:M22 Y22:Z22 L27:M27 U27 Y27:Z27 H27 U32:U33 H32:H33 Y32:Z33 L32:M33 L39 M38:M39 G38:G39 Y38:Z39 T38:T39">
      <formula1>"○"</formula1>
    </dataValidation>
    <dataValidation type="list" allowBlank="1" showInputMessage="1" showErrorMessage="1" sqref="Z18 Z23 D23:K23 D18:K18 I16:I17 V16:V17 I22 V22 I27 V27 I32:I33 V32:V33 U38:U39 H38:H39">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G43 G44:M44 T43:Z4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65" fitToHeight="0" orientation="portrait" horizontalDpi="4294967292" r:id="rId1"/>
  <rowBreaks count="1" manualBreakCount="1">
    <brk id="44"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4"/>
  <sheetViews>
    <sheetView showZeros="0" view="pageBreakPreview" topLeftCell="A55" zoomScaleNormal="100" zoomScaleSheetLayoutView="100" workbookViewId="0">
      <selection activeCell="AF35" sqref="AF35"/>
    </sheetView>
  </sheetViews>
  <sheetFormatPr defaultColWidth="9" defaultRowHeight="18.75" customHeight="1" x14ac:dyDescent="0.15"/>
  <cols>
    <col min="1" max="1" width="2.5" style="5" customWidth="1"/>
    <col min="2" max="2" width="27.75" style="5" customWidth="1"/>
    <col min="3" max="13" width="3.375" style="5" customWidth="1"/>
    <col min="14" max="14" width="8.875" style="5" customWidth="1"/>
    <col min="15" max="15" width="18.875" style="5" customWidth="1"/>
    <col min="16" max="19" width="3.375" style="5" customWidth="1"/>
    <col min="20" max="20" width="3.5" style="5" customWidth="1"/>
    <col min="21" max="26" width="3.375" style="5" customWidth="1"/>
    <col min="27" max="16384" width="9" style="5"/>
  </cols>
  <sheetData>
    <row r="1" spans="1:26" ht="15" customHeight="1" x14ac:dyDescent="0.15">
      <c r="W1" s="161" t="s">
        <v>125</v>
      </c>
      <c r="X1" s="161"/>
      <c r="Y1" s="161"/>
      <c r="Z1" s="161"/>
    </row>
    <row r="2" spans="1:26" ht="18" customHeight="1" x14ac:dyDescent="0.15">
      <c r="A2" s="162" t="s">
        <v>68</v>
      </c>
      <c r="B2" s="162"/>
      <c r="C2" s="162"/>
      <c r="D2" s="162"/>
      <c r="E2" s="162"/>
      <c r="F2" s="162"/>
      <c r="G2" s="162"/>
      <c r="H2" s="162"/>
      <c r="I2" s="162"/>
      <c r="J2" s="162"/>
      <c r="K2" s="162"/>
      <c r="L2" s="162"/>
      <c r="M2" s="162"/>
      <c r="N2" s="162"/>
      <c r="O2" s="162"/>
      <c r="P2" s="162"/>
      <c r="Q2" s="162"/>
      <c r="R2" s="162"/>
      <c r="S2" s="162"/>
      <c r="T2" s="162"/>
      <c r="U2" s="162"/>
      <c r="V2" s="162"/>
      <c r="W2" s="162"/>
      <c r="X2" s="162"/>
      <c r="Y2" s="162"/>
      <c r="Z2" s="162"/>
    </row>
    <row r="3" spans="1:26" ht="15" customHeight="1" x14ac:dyDescent="0.15">
      <c r="B3" s="14"/>
      <c r="C3" s="14"/>
      <c r="D3" s="14"/>
      <c r="E3" s="14"/>
      <c r="F3" s="14"/>
      <c r="G3" s="14"/>
      <c r="H3" s="14"/>
      <c r="I3" s="14"/>
      <c r="J3" s="14"/>
      <c r="K3" s="14"/>
      <c r="L3" s="14"/>
      <c r="M3" s="14"/>
      <c r="N3" s="14"/>
      <c r="O3" s="14"/>
      <c r="P3" s="14"/>
      <c r="Q3" s="14"/>
      <c r="R3" s="14"/>
      <c r="S3" s="14"/>
      <c r="T3" s="14"/>
      <c r="U3" s="14"/>
      <c r="V3" s="14"/>
      <c r="W3" s="14"/>
      <c r="X3" s="14"/>
      <c r="Y3" s="14"/>
      <c r="Z3" s="14"/>
    </row>
    <row r="4" spans="1:26" ht="18" customHeight="1" x14ac:dyDescent="0.15">
      <c r="A4" s="5" t="s">
        <v>69</v>
      </c>
      <c r="B4" s="14"/>
      <c r="C4" s="14"/>
      <c r="D4" s="14"/>
      <c r="E4" s="14"/>
      <c r="F4" s="14"/>
      <c r="G4" s="14"/>
      <c r="H4" s="6" t="s">
        <v>70</v>
      </c>
      <c r="I4" s="14"/>
      <c r="J4" s="14"/>
      <c r="K4" s="14"/>
      <c r="L4" s="14"/>
      <c r="M4" s="14"/>
      <c r="N4" s="14"/>
      <c r="O4" s="140" t="s">
        <v>71</v>
      </c>
      <c r="P4" s="163"/>
      <c r="Q4" s="163"/>
      <c r="R4" s="163"/>
      <c r="S4" s="163"/>
      <c r="T4" s="163"/>
      <c r="U4" s="163"/>
      <c r="V4" s="163"/>
      <c r="W4" s="163"/>
      <c r="X4" s="163"/>
      <c r="Y4" s="163"/>
      <c r="Z4" s="141"/>
    </row>
    <row r="5" spans="1:26" ht="6" customHeight="1" x14ac:dyDescent="0.15">
      <c r="B5" s="14"/>
      <c r="C5" s="14"/>
      <c r="D5" s="14"/>
      <c r="E5" s="14"/>
      <c r="F5" s="14"/>
      <c r="G5" s="14"/>
      <c r="H5" s="14"/>
      <c r="I5" s="14"/>
      <c r="J5" s="14"/>
      <c r="K5" s="14"/>
      <c r="L5" s="14"/>
      <c r="M5" s="14"/>
      <c r="N5" s="14"/>
      <c r="O5" s="7"/>
      <c r="P5" s="14"/>
      <c r="Q5" s="14"/>
      <c r="R5" s="14"/>
      <c r="S5" s="14"/>
      <c r="T5" s="14"/>
      <c r="U5" s="14"/>
      <c r="V5" s="14"/>
      <c r="W5" s="14"/>
      <c r="X5" s="14"/>
      <c r="Y5" s="14"/>
      <c r="Z5" s="14"/>
    </row>
    <row r="6" spans="1:26" ht="18" customHeight="1" x14ac:dyDescent="0.15">
      <c r="B6" s="164" t="s">
        <v>126</v>
      </c>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26" ht="18" customHeight="1" x14ac:dyDescent="0.15">
      <c r="B7" s="167"/>
      <c r="C7" s="168"/>
      <c r="D7" s="168"/>
      <c r="E7" s="168"/>
      <c r="F7" s="168"/>
      <c r="G7" s="168"/>
      <c r="H7" s="168"/>
      <c r="I7" s="168"/>
      <c r="J7" s="168"/>
      <c r="K7" s="168"/>
      <c r="L7" s="168"/>
      <c r="M7" s="168"/>
      <c r="N7" s="168"/>
      <c r="O7" s="168"/>
      <c r="P7" s="168"/>
      <c r="Q7" s="168"/>
      <c r="R7" s="168"/>
      <c r="S7" s="168"/>
      <c r="T7" s="168"/>
      <c r="U7" s="168"/>
      <c r="V7" s="168"/>
      <c r="W7" s="168"/>
      <c r="X7" s="168"/>
      <c r="Y7" s="168"/>
      <c r="Z7" s="169"/>
    </row>
    <row r="8" spans="1:26" ht="18" customHeight="1" x14ac:dyDescent="0.15">
      <c r="B8" s="167"/>
      <c r="C8" s="168"/>
      <c r="D8" s="168"/>
      <c r="E8" s="168"/>
      <c r="F8" s="168"/>
      <c r="G8" s="168"/>
      <c r="H8" s="168"/>
      <c r="I8" s="168"/>
      <c r="J8" s="168"/>
      <c r="K8" s="168"/>
      <c r="L8" s="168"/>
      <c r="M8" s="168"/>
      <c r="N8" s="168"/>
      <c r="O8" s="168"/>
      <c r="P8" s="168"/>
      <c r="Q8" s="168"/>
      <c r="R8" s="168"/>
      <c r="S8" s="168"/>
      <c r="T8" s="168"/>
      <c r="U8" s="168"/>
      <c r="V8" s="168"/>
      <c r="W8" s="168"/>
      <c r="X8" s="168"/>
      <c r="Y8" s="168"/>
      <c r="Z8" s="169"/>
    </row>
    <row r="9" spans="1:26" ht="18" customHeight="1" x14ac:dyDescent="0.15">
      <c r="B9" s="167"/>
      <c r="C9" s="168"/>
      <c r="D9" s="168"/>
      <c r="E9" s="168"/>
      <c r="F9" s="168"/>
      <c r="G9" s="168"/>
      <c r="H9" s="168"/>
      <c r="I9" s="168"/>
      <c r="J9" s="168"/>
      <c r="K9" s="168"/>
      <c r="L9" s="168"/>
      <c r="M9" s="168"/>
      <c r="N9" s="168"/>
      <c r="O9" s="168"/>
      <c r="P9" s="168"/>
      <c r="Q9" s="168"/>
      <c r="R9" s="168"/>
      <c r="S9" s="168"/>
      <c r="T9" s="168"/>
      <c r="U9" s="168"/>
      <c r="V9" s="168"/>
      <c r="W9" s="168"/>
      <c r="X9" s="168"/>
      <c r="Y9" s="168"/>
      <c r="Z9" s="169"/>
    </row>
    <row r="10" spans="1:26" ht="18" customHeight="1" x14ac:dyDescent="0.15">
      <c r="B10" s="167"/>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9"/>
    </row>
    <row r="11" spans="1:26" ht="18" customHeight="1" x14ac:dyDescent="0.15">
      <c r="B11" s="170"/>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2"/>
    </row>
    <row r="12" spans="1:26" ht="7.5" customHeight="1" x14ac:dyDescent="0.15">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8" customHeight="1" x14ac:dyDescent="0.15">
      <c r="A13" s="173" t="s">
        <v>73</v>
      </c>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spans="1:26" ht="18" customHeight="1" x14ac:dyDescent="0.15">
      <c r="A14" s="173"/>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spans="1:26" ht="18" customHeight="1" x14ac:dyDescent="0.15">
      <c r="A15" s="6"/>
      <c r="B15" s="140" t="s">
        <v>74</v>
      </c>
      <c r="C15" s="163"/>
      <c r="D15" s="163"/>
      <c r="E15" s="163"/>
      <c r="F15" s="141"/>
      <c r="G15" s="15" t="s">
        <v>75</v>
      </c>
      <c r="H15" s="75" t="s">
        <v>76</v>
      </c>
      <c r="I15" s="163" t="s">
        <v>77</v>
      </c>
      <c r="J15" s="163"/>
      <c r="K15" s="163"/>
      <c r="L15" s="50" t="s">
        <v>78</v>
      </c>
      <c r="M15" s="50" t="s">
        <v>79</v>
      </c>
      <c r="N15" s="140" t="s">
        <v>74</v>
      </c>
      <c r="O15" s="163"/>
      <c r="P15" s="163"/>
      <c r="Q15" s="163"/>
      <c r="R15" s="163"/>
      <c r="S15" s="141"/>
      <c r="T15" s="15" t="s">
        <v>75</v>
      </c>
      <c r="U15" s="75" t="s">
        <v>76</v>
      </c>
      <c r="V15" s="163" t="s">
        <v>77</v>
      </c>
      <c r="W15" s="163"/>
      <c r="X15" s="163"/>
      <c r="Y15" s="50" t="s">
        <v>78</v>
      </c>
      <c r="Z15" s="50" t="s">
        <v>79</v>
      </c>
    </row>
    <row r="16" spans="1:26" ht="18" customHeight="1" x14ac:dyDescent="0.15">
      <c r="A16" s="6"/>
      <c r="B16" s="174" t="s">
        <v>127</v>
      </c>
      <c r="C16" s="175"/>
      <c r="D16" s="175"/>
      <c r="E16" s="175"/>
      <c r="F16" s="176"/>
      <c r="G16" s="78">
        <v>1</v>
      </c>
      <c r="H16" s="78" t="s">
        <v>82</v>
      </c>
      <c r="I16" s="140" t="s">
        <v>81</v>
      </c>
      <c r="J16" s="163"/>
      <c r="K16" s="141"/>
      <c r="L16" s="78" t="s">
        <v>82</v>
      </c>
      <c r="M16" s="78" t="s">
        <v>82</v>
      </c>
      <c r="N16" s="130"/>
      <c r="O16" s="131"/>
      <c r="P16" s="131"/>
      <c r="Q16" s="131"/>
      <c r="R16" s="131"/>
      <c r="S16" s="177"/>
      <c r="T16" s="78"/>
      <c r="U16" s="78"/>
      <c r="V16" s="140"/>
      <c r="W16" s="163"/>
      <c r="X16" s="141"/>
      <c r="Y16" s="78"/>
      <c r="Z16" s="78"/>
    </row>
    <row r="17" spans="1:26" ht="7.5" customHeight="1" x14ac:dyDescent="0.15">
      <c r="A17" s="14"/>
      <c r="B17" s="18"/>
      <c r="C17" s="18"/>
      <c r="D17" s="14"/>
      <c r="E17" s="14"/>
      <c r="F17" s="14"/>
      <c r="G17" s="14"/>
      <c r="H17" s="14"/>
      <c r="I17" s="14"/>
      <c r="J17" s="14"/>
      <c r="K17" s="14"/>
      <c r="L17" s="18"/>
      <c r="M17" s="18"/>
      <c r="N17" s="18"/>
      <c r="O17" s="18"/>
      <c r="P17" s="18"/>
      <c r="Q17" s="18"/>
      <c r="R17" s="18"/>
      <c r="S17" s="18"/>
      <c r="T17" s="18"/>
      <c r="U17" s="18"/>
      <c r="V17" s="18"/>
      <c r="W17" s="18"/>
      <c r="X17" s="18"/>
      <c r="Y17" s="18"/>
      <c r="Z17" s="14"/>
    </row>
    <row r="18" spans="1:26" ht="18" customHeight="1" x14ac:dyDescent="0.15">
      <c r="A18" s="173" t="s">
        <v>84</v>
      </c>
      <c r="B18" s="173"/>
      <c r="C18" s="173"/>
      <c r="D18" s="173"/>
      <c r="E18" s="173"/>
      <c r="F18" s="173"/>
      <c r="G18" s="173"/>
      <c r="H18" s="173"/>
      <c r="I18" s="173"/>
      <c r="J18" s="173"/>
      <c r="K18" s="173"/>
      <c r="L18" s="173"/>
      <c r="M18" s="173"/>
      <c r="N18" s="173"/>
      <c r="O18" s="173"/>
      <c r="P18" s="173"/>
      <c r="Q18" s="173"/>
      <c r="R18" s="173"/>
      <c r="S18" s="173"/>
      <c r="T18" s="173"/>
      <c r="U18" s="173"/>
      <c r="V18" s="173"/>
      <c r="W18" s="173"/>
      <c r="X18" s="173"/>
      <c r="Y18" s="173"/>
      <c r="Z18" s="173"/>
    </row>
    <row r="19" spans="1:26" ht="18" customHeight="1" x14ac:dyDescent="0.15">
      <c r="A19" s="173"/>
      <c r="B19" s="173"/>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row>
    <row r="20" spans="1:26" ht="18" customHeight="1" x14ac:dyDescent="0.15">
      <c r="A20" s="6"/>
      <c r="B20" s="140" t="s">
        <v>74</v>
      </c>
      <c r="C20" s="163"/>
      <c r="D20" s="163"/>
      <c r="E20" s="163"/>
      <c r="F20" s="141"/>
      <c r="G20" s="15" t="s">
        <v>75</v>
      </c>
      <c r="H20" s="75" t="s">
        <v>76</v>
      </c>
      <c r="I20" s="163" t="s">
        <v>77</v>
      </c>
      <c r="J20" s="163"/>
      <c r="K20" s="163"/>
      <c r="L20" s="50" t="s">
        <v>85</v>
      </c>
      <c r="M20" s="50" t="s">
        <v>86</v>
      </c>
      <c r="N20" s="140" t="s">
        <v>74</v>
      </c>
      <c r="O20" s="163"/>
      <c r="P20" s="163"/>
      <c r="Q20" s="163"/>
      <c r="R20" s="163"/>
      <c r="S20" s="141"/>
      <c r="T20" s="15" t="s">
        <v>75</v>
      </c>
      <c r="U20" s="75" t="s">
        <v>76</v>
      </c>
      <c r="V20" s="163" t="s">
        <v>77</v>
      </c>
      <c r="W20" s="163"/>
      <c r="X20" s="163"/>
      <c r="Y20" s="50" t="s">
        <v>85</v>
      </c>
      <c r="Z20" s="50" t="s">
        <v>86</v>
      </c>
    </row>
    <row r="21" spans="1:26" ht="18" customHeight="1" x14ac:dyDescent="0.15">
      <c r="A21" s="6"/>
      <c r="B21" s="174" t="s">
        <v>127</v>
      </c>
      <c r="C21" s="175"/>
      <c r="D21" s="175"/>
      <c r="E21" s="175"/>
      <c r="F21" s="176"/>
      <c r="G21" s="78">
        <v>1</v>
      </c>
      <c r="H21" s="78" t="s">
        <v>82</v>
      </c>
      <c r="I21" s="140" t="s">
        <v>81</v>
      </c>
      <c r="J21" s="163"/>
      <c r="K21" s="141"/>
      <c r="L21" s="78" t="s">
        <v>82</v>
      </c>
      <c r="M21" s="78" t="s">
        <v>82</v>
      </c>
      <c r="N21" s="130"/>
      <c r="O21" s="131"/>
      <c r="P21" s="131"/>
      <c r="Q21" s="131"/>
      <c r="R21" s="131"/>
      <c r="S21" s="177"/>
      <c r="T21" s="78"/>
      <c r="U21" s="78"/>
      <c r="V21" s="140"/>
      <c r="W21" s="163"/>
      <c r="X21" s="141"/>
      <c r="Y21" s="78"/>
      <c r="Z21" s="78"/>
    </row>
    <row r="22" spans="1:26" ht="7.5" customHeight="1" x14ac:dyDescent="0.15">
      <c r="A22" s="14"/>
      <c r="B22" s="18"/>
      <c r="C22" s="18"/>
      <c r="D22" s="14"/>
      <c r="E22" s="14"/>
      <c r="F22" s="14"/>
      <c r="G22" s="14"/>
      <c r="H22" s="14"/>
      <c r="I22" s="14"/>
      <c r="J22" s="14"/>
      <c r="K22" s="14"/>
      <c r="L22" s="18"/>
      <c r="M22" s="18"/>
      <c r="N22" s="18"/>
      <c r="O22" s="18"/>
      <c r="P22" s="18"/>
      <c r="Q22" s="18"/>
      <c r="R22" s="18"/>
      <c r="S22" s="18"/>
      <c r="T22" s="18"/>
      <c r="U22" s="18"/>
      <c r="V22" s="18"/>
      <c r="W22" s="18"/>
      <c r="X22" s="18"/>
      <c r="Y22" s="18"/>
      <c r="Z22" s="14"/>
    </row>
    <row r="23" spans="1:26" ht="18" customHeight="1" x14ac:dyDescent="0.15">
      <c r="A23" s="173" t="s">
        <v>87</v>
      </c>
      <c r="B23" s="173"/>
      <c r="C23" s="173"/>
      <c r="D23" s="173"/>
      <c r="E23" s="173"/>
      <c r="F23" s="173"/>
      <c r="G23" s="173"/>
      <c r="H23" s="173"/>
      <c r="I23" s="173"/>
      <c r="J23" s="173"/>
      <c r="K23" s="173"/>
      <c r="L23" s="173"/>
      <c r="M23" s="173"/>
      <c r="N23" s="173"/>
      <c r="O23" s="173"/>
      <c r="P23" s="173"/>
      <c r="Q23" s="173"/>
      <c r="R23" s="173"/>
      <c r="S23" s="173"/>
      <c r="T23" s="173"/>
      <c r="U23" s="173"/>
      <c r="V23" s="173"/>
      <c r="W23" s="173"/>
      <c r="X23" s="173"/>
      <c r="Y23" s="173"/>
      <c r="Z23" s="173"/>
    </row>
    <row r="24" spans="1:26" ht="18" customHeight="1" x14ac:dyDescent="0.15">
      <c r="A24" s="173"/>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row>
    <row r="25" spans="1:26" ht="18" customHeight="1" x14ac:dyDescent="0.15">
      <c r="A25" s="6"/>
      <c r="B25" s="140" t="s">
        <v>74</v>
      </c>
      <c r="C25" s="163"/>
      <c r="D25" s="163"/>
      <c r="E25" s="163"/>
      <c r="F25" s="141"/>
      <c r="G25" s="15" t="s">
        <v>75</v>
      </c>
      <c r="H25" s="75" t="s">
        <v>76</v>
      </c>
      <c r="I25" s="140" t="s">
        <v>77</v>
      </c>
      <c r="J25" s="163"/>
      <c r="K25" s="141"/>
      <c r="L25" s="50" t="s">
        <v>88</v>
      </c>
      <c r="M25" s="50" t="s">
        <v>89</v>
      </c>
      <c r="N25" s="140" t="s">
        <v>74</v>
      </c>
      <c r="O25" s="163"/>
      <c r="P25" s="163"/>
      <c r="Q25" s="163"/>
      <c r="R25" s="163"/>
      <c r="S25" s="141"/>
      <c r="T25" s="15" t="s">
        <v>75</v>
      </c>
      <c r="U25" s="75" t="s">
        <v>76</v>
      </c>
      <c r="V25" s="140" t="s">
        <v>77</v>
      </c>
      <c r="W25" s="163"/>
      <c r="X25" s="141"/>
      <c r="Y25" s="50" t="s">
        <v>88</v>
      </c>
      <c r="Z25" s="50" t="s">
        <v>89</v>
      </c>
    </row>
    <row r="26" spans="1:26" ht="18" customHeight="1" x14ac:dyDescent="0.15">
      <c r="A26" s="14"/>
      <c r="B26" s="174" t="s">
        <v>127</v>
      </c>
      <c r="C26" s="175"/>
      <c r="D26" s="175"/>
      <c r="E26" s="175"/>
      <c r="F26" s="176"/>
      <c r="G26" s="78">
        <v>1</v>
      </c>
      <c r="H26" s="78" t="s">
        <v>82</v>
      </c>
      <c r="I26" s="140" t="s">
        <v>81</v>
      </c>
      <c r="J26" s="163"/>
      <c r="K26" s="141"/>
      <c r="L26" s="78" t="s">
        <v>82</v>
      </c>
      <c r="M26" s="78" t="s">
        <v>82</v>
      </c>
      <c r="N26" s="130"/>
      <c r="O26" s="131"/>
      <c r="P26" s="131"/>
      <c r="Q26" s="131"/>
      <c r="R26" s="131"/>
      <c r="S26" s="177"/>
      <c r="T26" s="78"/>
      <c r="U26" s="78"/>
      <c r="V26" s="140"/>
      <c r="W26" s="163"/>
      <c r="X26" s="141"/>
      <c r="Y26" s="78"/>
      <c r="Z26" s="78"/>
    </row>
    <row r="27" spans="1:26" ht="7.5" customHeight="1" x14ac:dyDescent="0.15">
      <c r="B27" s="51"/>
      <c r="C27" s="51"/>
      <c r="D27" s="51"/>
      <c r="E27" s="51"/>
      <c r="F27" s="51"/>
      <c r="G27" s="51"/>
      <c r="H27" s="51"/>
      <c r="I27" s="51"/>
      <c r="J27" s="51"/>
      <c r="K27" s="51"/>
      <c r="L27" s="51"/>
      <c r="M27" s="51"/>
      <c r="N27" s="51"/>
      <c r="O27" s="51"/>
      <c r="P27" s="51"/>
      <c r="Q27" s="51"/>
      <c r="R27" s="51"/>
      <c r="S27" s="51"/>
      <c r="T27" s="51"/>
      <c r="U27" s="51"/>
      <c r="V27" s="51"/>
      <c r="W27" s="51"/>
      <c r="X27" s="51"/>
      <c r="Y27" s="51"/>
    </row>
    <row r="28" spans="1:26" ht="18" customHeight="1" x14ac:dyDescent="0.15">
      <c r="A28" s="173" t="s">
        <v>90</v>
      </c>
      <c r="B28" s="173"/>
      <c r="C28" s="173"/>
      <c r="D28" s="173"/>
      <c r="E28" s="173"/>
      <c r="F28" s="173"/>
      <c r="G28" s="173"/>
      <c r="H28" s="173"/>
      <c r="I28" s="173"/>
      <c r="J28" s="173"/>
      <c r="K28" s="173"/>
      <c r="L28" s="173"/>
      <c r="M28" s="173"/>
      <c r="N28" s="173"/>
      <c r="O28" s="173"/>
      <c r="P28" s="173"/>
      <c r="Q28" s="173"/>
      <c r="R28" s="173"/>
      <c r="S28" s="173"/>
      <c r="T28" s="173"/>
      <c r="U28" s="173"/>
      <c r="V28" s="173"/>
      <c r="W28" s="173"/>
      <c r="X28" s="173"/>
      <c r="Y28" s="173"/>
      <c r="Z28" s="173"/>
    </row>
    <row r="29" spans="1:26" ht="18" customHeight="1" x14ac:dyDescent="0.15">
      <c r="A29" s="173"/>
      <c r="B29" s="173"/>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3"/>
    </row>
    <row r="30" spans="1:26" ht="18" customHeight="1" x14ac:dyDescent="0.15">
      <c r="A30" s="6"/>
      <c r="B30" s="140" t="s">
        <v>74</v>
      </c>
      <c r="C30" s="163"/>
      <c r="D30" s="163"/>
      <c r="E30" s="163"/>
      <c r="F30" s="141"/>
      <c r="G30" s="15" t="s">
        <v>75</v>
      </c>
      <c r="H30" s="75" t="s">
        <v>76</v>
      </c>
      <c r="I30" s="140" t="s">
        <v>77</v>
      </c>
      <c r="J30" s="163"/>
      <c r="K30" s="141"/>
      <c r="L30" s="50" t="s">
        <v>91</v>
      </c>
      <c r="M30" s="50" t="s">
        <v>92</v>
      </c>
      <c r="N30" s="140" t="s">
        <v>74</v>
      </c>
      <c r="O30" s="163"/>
      <c r="P30" s="163"/>
      <c r="Q30" s="163"/>
      <c r="R30" s="163"/>
      <c r="S30" s="141"/>
      <c r="T30" s="15" t="s">
        <v>75</v>
      </c>
      <c r="U30" s="75" t="s">
        <v>76</v>
      </c>
      <c r="V30" s="140" t="s">
        <v>77</v>
      </c>
      <c r="W30" s="163"/>
      <c r="X30" s="141"/>
      <c r="Y30" s="50" t="s">
        <v>91</v>
      </c>
      <c r="Z30" s="50" t="s">
        <v>92</v>
      </c>
    </row>
    <row r="31" spans="1:26" ht="18" customHeight="1" x14ac:dyDescent="0.15">
      <c r="A31" s="14"/>
      <c r="B31" s="178" t="s">
        <v>128</v>
      </c>
      <c r="C31" s="179"/>
      <c r="D31" s="179"/>
      <c r="E31" s="179"/>
      <c r="F31" s="180"/>
      <c r="G31" s="76">
        <v>3</v>
      </c>
      <c r="H31" s="76" t="s">
        <v>82</v>
      </c>
      <c r="I31" s="149" t="s">
        <v>81</v>
      </c>
      <c r="J31" s="150"/>
      <c r="K31" s="151"/>
      <c r="L31" s="76" t="s">
        <v>82</v>
      </c>
      <c r="M31" s="76" t="s">
        <v>82</v>
      </c>
      <c r="N31" s="181"/>
      <c r="O31" s="182"/>
      <c r="P31" s="182"/>
      <c r="Q31" s="182"/>
      <c r="R31" s="182"/>
      <c r="S31" s="183"/>
      <c r="T31" s="76"/>
      <c r="U31" s="76"/>
      <c r="V31" s="149"/>
      <c r="W31" s="150"/>
      <c r="X31" s="151"/>
      <c r="Y31" s="76"/>
      <c r="Z31" s="76"/>
    </row>
    <row r="32" spans="1:26" ht="18" customHeight="1" x14ac:dyDescent="0.15">
      <c r="A32" s="14"/>
      <c r="B32" s="152" t="s">
        <v>129</v>
      </c>
      <c r="C32" s="153"/>
      <c r="D32" s="153"/>
      <c r="E32" s="153"/>
      <c r="F32" s="154"/>
      <c r="G32" s="81">
        <v>1</v>
      </c>
      <c r="H32" s="81" t="s">
        <v>82</v>
      </c>
      <c r="I32" s="155" t="s">
        <v>81</v>
      </c>
      <c r="J32" s="156"/>
      <c r="K32" s="157"/>
      <c r="L32" s="81"/>
      <c r="M32" s="81" t="s">
        <v>82</v>
      </c>
      <c r="N32" s="158"/>
      <c r="O32" s="159"/>
      <c r="P32" s="159"/>
      <c r="Q32" s="159"/>
      <c r="R32" s="159"/>
      <c r="S32" s="160"/>
      <c r="T32" s="81"/>
      <c r="U32" s="81"/>
      <c r="V32" s="155"/>
      <c r="W32" s="156"/>
      <c r="X32" s="157"/>
      <c r="Y32" s="81"/>
      <c r="Z32" s="81"/>
    </row>
    <row r="33" spans="1:26" ht="7.5" customHeight="1" x14ac:dyDescent="0.15">
      <c r="B33" s="51"/>
      <c r="C33" s="51"/>
      <c r="D33" s="51"/>
      <c r="E33" s="51"/>
      <c r="F33" s="51"/>
      <c r="G33" s="51"/>
      <c r="H33" s="51"/>
      <c r="I33" s="51"/>
      <c r="J33" s="51"/>
      <c r="K33" s="51"/>
      <c r="L33" s="51"/>
      <c r="M33" s="51"/>
      <c r="N33" s="51"/>
      <c r="O33" s="51"/>
      <c r="P33" s="51"/>
      <c r="Q33" s="51"/>
      <c r="R33" s="51"/>
      <c r="S33" s="51"/>
      <c r="T33" s="51"/>
      <c r="U33" s="51"/>
      <c r="V33" s="51"/>
      <c r="W33" s="51"/>
      <c r="X33" s="51"/>
      <c r="Y33" s="51"/>
    </row>
    <row r="34" spans="1:26" ht="18" customHeight="1" x14ac:dyDescent="0.15">
      <c r="A34" s="173" t="s">
        <v>95</v>
      </c>
      <c r="B34" s="173"/>
      <c r="C34" s="173"/>
      <c r="D34" s="173"/>
      <c r="E34" s="173"/>
      <c r="F34" s="173"/>
      <c r="G34" s="173"/>
      <c r="H34" s="173"/>
      <c r="I34" s="173"/>
      <c r="J34" s="173"/>
      <c r="K34" s="173"/>
      <c r="L34" s="173"/>
      <c r="M34" s="173"/>
      <c r="N34" s="173"/>
      <c r="O34" s="173"/>
      <c r="P34" s="173"/>
      <c r="Q34" s="173"/>
      <c r="R34" s="173"/>
      <c r="S34" s="173"/>
      <c r="T34" s="173"/>
      <c r="U34" s="173"/>
      <c r="V34" s="173"/>
      <c r="W34" s="173"/>
      <c r="X34" s="173"/>
      <c r="Y34" s="173"/>
      <c r="Z34" s="173"/>
    </row>
    <row r="35" spans="1:26" ht="18" customHeight="1" x14ac:dyDescent="0.15">
      <c r="A35" s="173"/>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row>
    <row r="36" spans="1:26" ht="18" customHeight="1" x14ac:dyDescent="0.15">
      <c r="A36" s="6"/>
      <c r="B36" s="140" t="s">
        <v>74</v>
      </c>
      <c r="C36" s="163"/>
      <c r="D36" s="163"/>
      <c r="E36" s="141"/>
      <c r="F36" s="15" t="s">
        <v>75</v>
      </c>
      <c r="G36" s="75" t="s">
        <v>76</v>
      </c>
      <c r="H36" s="12" t="s">
        <v>77</v>
      </c>
      <c r="I36" s="72"/>
      <c r="J36" s="13"/>
      <c r="K36" s="50" t="s">
        <v>96</v>
      </c>
      <c r="L36" s="50" t="s">
        <v>97</v>
      </c>
      <c r="M36" s="50" t="s">
        <v>98</v>
      </c>
      <c r="N36" s="140" t="s">
        <v>74</v>
      </c>
      <c r="O36" s="163"/>
      <c r="P36" s="163"/>
      <c r="Q36" s="163"/>
      <c r="R36" s="141"/>
      <c r="S36" s="15" t="s">
        <v>75</v>
      </c>
      <c r="T36" s="75" t="s">
        <v>76</v>
      </c>
      <c r="U36" s="12" t="s">
        <v>77</v>
      </c>
      <c r="V36" s="72"/>
      <c r="W36" s="13"/>
      <c r="X36" s="50" t="s">
        <v>96</v>
      </c>
      <c r="Y36" s="50" t="s">
        <v>97</v>
      </c>
      <c r="Z36" s="50" t="s">
        <v>98</v>
      </c>
    </row>
    <row r="37" spans="1:26" ht="18" customHeight="1" x14ac:dyDescent="0.15">
      <c r="A37" s="14"/>
      <c r="B37" s="181" t="s">
        <v>127</v>
      </c>
      <c r="C37" s="182"/>
      <c r="D37" s="182"/>
      <c r="E37" s="183"/>
      <c r="F37" s="76">
        <v>1</v>
      </c>
      <c r="G37" s="76" t="s">
        <v>82</v>
      </c>
      <c r="H37" s="149" t="s">
        <v>81</v>
      </c>
      <c r="I37" s="150"/>
      <c r="J37" s="151"/>
      <c r="K37" s="94" t="s">
        <v>82</v>
      </c>
      <c r="L37" s="94" t="s">
        <v>82</v>
      </c>
      <c r="M37" s="94" t="s">
        <v>82</v>
      </c>
      <c r="N37" s="181"/>
      <c r="O37" s="182"/>
      <c r="P37" s="182"/>
      <c r="Q37" s="182"/>
      <c r="R37" s="183"/>
      <c r="S37" s="76"/>
      <c r="T37" s="76"/>
      <c r="U37" s="149"/>
      <c r="V37" s="150"/>
      <c r="W37" s="151"/>
      <c r="X37" s="80"/>
      <c r="Y37" s="76"/>
      <c r="Z37" s="76"/>
    </row>
    <row r="38" spans="1:26" ht="18" customHeight="1" x14ac:dyDescent="0.15">
      <c r="A38" s="14"/>
      <c r="B38" s="158" t="s">
        <v>130</v>
      </c>
      <c r="C38" s="159"/>
      <c r="D38" s="159"/>
      <c r="E38" s="160"/>
      <c r="F38" s="81">
        <v>2</v>
      </c>
      <c r="G38" s="81" t="s">
        <v>82</v>
      </c>
      <c r="H38" s="155" t="s">
        <v>81</v>
      </c>
      <c r="I38" s="156"/>
      <c r="J38" s="157"/>
      <c r="K38" s="81"/>
      <c r="L38" s="81"/>
      <c r="M38" s="81" t="s">
        <v>82</v>
      </c>
      <c r="N38" s="158"/>
      <c r="O38" s="159"/>
      <c r="P38" s="159"/>
      <c r="Q38" s="159"/>
      <c r="R38" s="160"/>
      <c r="S38" s="81"/>
      <c r="T38" s="81"/>
      <c r="U38" s="155"/>
      <c r="V38" s="156"/>
      <c r="W38" s="157"/>
      <c r="X38" s="109"/>
      <c r="Y38" s="81"/>
      <c r="Z38" s="81"/>
    </row>
    <row r="39" spans="1:26" ht="7.5" customHeight="1" x14ac:dyDescent="0.15">
      <c r="B39" s="51"/>
      <c r="C39" s="51"/>
      <c r="D39" s="51"/>
      <c r="E39" s="51"/>
      <c r="F39" s="51"/>
      <c r="G39" s="51"/>
      <c r="H39" s="51"/>
      <c r="I39" s="51"/>
      <c r="J39" s="51"/>
      <c r="K39" s="51"/>
      <c r="L39" s="51"/>
      <c r="M39" s="51"/>
      <c r="N39" s="51"/>
      <c r="O39" s="51"/>
      <c r="P39" s="51"/>
      <c r="Q39" s="51"/>
      <c r="R39" s="51"/>
      <c r="S39" s="51"/>
      <c r="T39" s="51"/>
      <c r="U39" s="51"/>
      <c r="V39" s="51"/>
      <c r="W39" s="51"/>
      <c r="X39" s="51"/>
      <c r="Y39" s="51"/>
    </row>
    <row r="40" spans="1:26" ht="18" customHeight="1" x14ac:dyDescent="0.15">
      <c r="A40" s="6" t="s">
        <v>100</v>
      </c>
      <c r="B40" s="6"/>
      <c r="C40" s="6"/>
      <c r="D40" s="6"/>
      <c r="E40" s="6"/>
      <c r="F40" s="6"/>
      <c r="G40" s="6"/>
      <c r="H40" s="6"/>
      <c r="I40" s="6"/>
      <c r="J40" s="6"/>
      <c r="K40" s="6"/>
      <c r="L40" s="14"/>
      <c r="M40" s="14"/>
      <c r="N40" s="14"/>
      <c r="O40" s="14"/>
      <c r="P40" s="14"/>
      <c r="Q40" s="14"/>
      <c r="R40" s="14"/>
      <c r="S40" s="14"/>
      <c r="T40" s="14"/>
      <c r="U40" s="14"/>
      <c r="V40" s="14"/>
      <c r="W40" s="14"/>
      <c r="X40" s="14"/>
      <c r="Y40" s="14"/>
      <c r="Z40" s="14"/>
    </row>
    <row r="41" spans="1:26" ht="18" customHeight="1" x14ac:dyDescent="0.15">
      <c r="A41" s="6"/>
      <c r="B41" s="140" t="s">
        <v>74</v>
      </c>
      <c r="C41" s="163"/>
      <c r="D41" s="163"/>
      <c r="E41" s="163"/>
      <c r="F41" s="141"/>
      <c r="G41" s="140" t="s">
        <v>101</v>
      </c>
      <c r="H41" s="163"/>
      <c r="I41" s="163"/>
      <c r="J41" s="163"/>
      <c r="K41" s="163"/>
      <c r="L41" s="163"/>
      <c r="M41" s="141"/>
      <c r="N41" s="187" t="s">
        <v>74</v>
      </c>
      <c r="O41" s="188"/>
      <c r="P41" s="188"/>
      <c r="Q41" s="188"/>
      <c r="R41" s="188"/>
      <c r="S41" s="189"/>
      <c r="T41" s="140" t="s">
        <v>101</v>
      </c>
      <c r="U41" s="163"/>
      <c r="V41" s="163"/>
      <c r="W41" s="163"/>
      <c r="X41" s="163"/>
      <c r="Y41" s="163"/>
      <c r="Z41" s="141"/>
    </row>
    <row r="42" spans="1:26" ht="18" customHeight="1" x14ac:dyDescent="0.15">
      <c r="A42" s="14"/>
      <c r="B42" s="130"/>
      <c r="C42" s="131"/>
      <c r="D42" s="131"/>
      <c r="E42" s="131"/>
      <c r="F42" s="177"/>
      <c r="G42" s="125"/>
      <c r="H42" s="126"/>
      <c r="I42" s="126"/>
      <c r="J42" s="126"/>
      <c r="K42" s="126"/>
      <c r="L42" s="126"/>
      <c r="M42" s="127"/>
      <c r="N42" s="130"/>
      <c r="O42" s="131"/>
      <c r="P42" s="131"/>
      <c r="Q42" s="131"/>
      <c r="R42" s="131"/>
      <c r="S42" s="177"/>
      <c r="T42" s="125"/>
      <c r="U42" s="126"/>
      <c r="V42" s="126"/>
      <c r="W42" s="126"/>
      <c r="X42" s="126"/>
      <c r="Y42" s="126"/>
      <c r="Z42" s="127"/>
    </row>
    <row r="43" spans="1:26" ht="18" customHeight="1" x14ac:dyDescent="0.15">
      <c r="A43" s="14"/>
      <c r="B43" s="18"/>
      <c r="C43" s="18"/>
      <c r="D43" s="18"/>
      <c r="E43" s="18"/>
      <c r="F43" s="18"/>
      <c r="G43" s="4"/>
      <c r="H43" s="4"/>
      <c r="I43" s="4"/>
      <c r="J43" s="4"/>
      <c r="K43" s="4"/>
      <c r="L43" s="4"/>
      <c r="M43" s="4"/>
      <c r="N43" s="18"/>
      <c r="O43" s="18"/>
      <c r="P43" s="18"/>
      <c r="Q43" s="18"/>
      <c r="R43" s="18"/>
      <c r="S43" s="18"/>
      <c r="T43" s="4"/>
      <c r="U43" s="4"/>
      <c r="V43" s="4"/>
      <c r="W43" s="4"/>
      <c r="X43" s="4"/>
      <c r="Y43" s="4"/>
      <c r="Z43" s="4"/>
    </row>
    <row r="44" spans="1:26" ht="18.75" customHeight="1" x14ac:dyDescent="0.15">
      <c r="A44" s="5" t="s">
        <v>104</v>
      </c>
    </row>
    <row r="45" spans="1:26" ht="18.75" customHeight="1" x14ac:dyDescent="0.15">
      <c r="B45" s="52" t="s">
        <v>105</v>
      </c>
      <c r="C45" s="53"/>
      <c r="D45" s="193" t="s">
        <v>106</v>
      </c>
      <c r="E45" s="193"/>
      <c r="F45" s="193"/>
      <c r="G45" s="193"/>
      <c r="H45" s="193"/>
      <c r="I45" s="193"/>
      <c r="J45" s="193"/>
      <c r="K45" s="193"/>
      <c r="L45" s="193"/>
      <c r="M45" s="193"/>
      <c r="N45" s="193"/>
      <c r="O45" s="193"/>
      <c r="P45" s="193"/>
      <c r="Q45" s="193"/>
      <c r="R45" s="193"/>
      <c r="S45" s="193"/>
      <c r="T45" s="193"/>
      <c r="U45" s="193"/>
      <c r="V45" s="193"/>
      <c r="W45" s="193"/>
      <c r="X45" s="193"/>
      <c r="Y45" s="193"/>
      <c r="Z45" s="194"/>
    </row>
    <row r="46" spans="1:26" ht="78" customHeight="1" x14ac:dyDescent="0.15">
      <c r="B46" s="195" t="s">
        <v>107</v>
      </c>
      <c r="C46" s="58" t="s">
        <v>78</v>
      </c>
      <c r="D46" s="230" t="s">
        <v>131</v>
      </c>
      <c r="E46" s="230"/>
      <c r="F46" s="230"/>
      <c r="G46" s="230"/>
      <c r="H46" s="230"/>
      <c r="I46" s="230"/>
      <c r="J46" s="230"/>
      <c r="K46" s="230"/>
      <c r="L46" s="230"/>
      <c r="M46" s="230"/>
      <c r="N46" s="230"/>
      <c r="O46" s="230"/>
      <c r="P46" s="230"/>
      <c r="Q46" s="230"/>
      <c r="R46" s="230"/>
      <c r="S46" s="230"/>
      <c r="T46" s="230"/>
      <c r="U46" s="230"/>
      <c r="V46" s="230"/>
      <c r="W46" s="230"/>
      <c r="X46" s="230"/>
      <c r="Y46" s="230"/>
      <c r="Z46" s="198"/>
    </row>
    <row r="47" spans="1:26" ht="78" customHeight="1" x14ac:dyDescent="0.15">
      <c r="B47" s="196"/>
      <c r="C47" s="73" t="s">
        <v>109</v>
      </c>
      <c r="D47" s="231" t="s">
        <v>132</v>
      </c>
      <c r="E47" s="231"/>
      <c r="F47" s="231"/>
      <c r="G47" s="231"/>
      <c r="H47" s="231"/>
      <c r="I47" s="231"/>
      <c r="J47" s="231"/>
      <c r="K47" s="231"/>
      <c r="L47" s="231"/>
      <c r="M47" s="231"/>
      <c r="N47" s="231"/>
      <c r="O47" s="231"/>
      <c r="P47" s="231"/>
      <c r="Q47" s="231"/>
      <c r="R47" s="231"/>
      <c r="S47" s="231"/>
      <c r="T47" s="231"/>
      <c r="U47" s="231"/>
      <c r="V47" s="231"/>
      <c r="W47" s="231"/>
      <c r="X47" s="231"/>
      <c r="Y47" s="231"/>
      <c r="Z47" s="232"/>
    </row>
    <row r="48" spans="1:26" ht="78" customHeight="1" x14ac:dyDescent="0.15">
      <c r="B48" s="210" t="s">
        <v>110</v>
      </c>
      <c r="C48" s="54" t="s">
        <v>85</v>
      </c>
      <c r="D48" s="233" t="s">
        <v>133</v>
      </c>
      <c r="E48" s="233"/>
      <c r="F48" s="233"/>
      <c r="G48" s="233"/>
      <c r="H48" s="233"/>
      <c r="I48" s="233"/>
      <c r="J48" s="233"/>
      <c r="K48" s="233"/>
      <c r="L48" s="233"/>
      <c r="M48" s="233"/>
      <c r="N48" s="233"/>
      <c r="O48" s="233"/>
      <c r="P48" s="233"/>
      <c r="Q48" s="233"/>
      <c r="R48" s="233"/>
      <c r="S48" s="233"/>
      <c r="T48" s="233"/>
      <c r="U48" s="233"/>
      <c r="V48" s="233"/>
      <c r="W48" s="233"/>
      <c r="X48" s="233"/>
      <c r="Y48" s="233"/>
      <c r="Z48" s="234"/>
    </row>
    <row r="49" spans="1:26" ht="78" customHeight="1" x14ac:dyDescent="0.15">
      <c r="B49" s="211"/>
      <c r="C49" s="74" t="s">
        <v>86</v>
      </c>
      <c r="D49" s="235" t="s">
        <v>134</v>
      </c>
      <c r="E49" s="235"/>
      <c r="F49" s="235"/>
      <c r="G49" s="235"/>
      <c r="H49" s="235"/>
      <c r="I49" s="235"/>
      <c r="J49" s="235"/>
      <c r="K49" s="235"/>
      <c r="L49" s="235"/>
      <c r="M49" s="235"/>
      <c r="N49" s="235"/>
      <c r="O49" s="235"/>
      <c r="P49" s="235"/>
      <c r="Q49" s="235"/>
      <c r="R49" s="235"/>
      <c r="S49" s="235"/>
      <c r="T49" s="235"/>
      <c r="U49" s="235"/>
      <c r="V49" s="235"/>
      <c r="W49" s="235"/>
      <c r="X49" s="235"/>
      <c r="Y49" s="235"/>
      <c r="Z49" s="236"/>
    </row>
    <row r="50" spans="1:26" ht="66" customHeight="1" x14ac:dyDescent="0.15">
      <c r="B50" s="210" t="s">
        <v>112</v>
      </c>
      <c r="C50" s="54" t="s">
        <v>88</v>
      </c>
      <c r="D50" s="233" t="s">
        <v>135</v>
      </c>
      <c r="E50" s="233"/>
      <c r="F50" s="233"/>
      <c r="G50" s="233"/>
      <c r="H50" s="233"/>
      <c r="I50" s="233"/>
      <c r="J50" s="233"/>
      <c r="K50" s="233"/>
      <c r="L50" s="233"/>
      <c r="M50" s="233"/>
      <c r="N50" s="233"/>
      <c r="O50" s="233"/>
      <c r="P50" s="233"/>
      <c r="Q50" s="233"/>
      <c r="R50" s="233"/>
      <c r="S50" s="233"/>
      <c r="T50" s="233"/>
      <c r="U50" s="233"/>
      <c r="V50" s="233"/>
      <c r="W50" s="233"/>
      <c r="X50" s="233"/>
      <c r="Y50" s="233"/>
      <c r="Z50" s="234"/>
    </row>
    <row r="51" spans="1:26" ht="66" customHeight="1" x14ac:dyDescent="0.15">
      <c r="B51" s="211"/>
      <c r="C51" s="56" t="s">
        <v>89</v>
      </c>
      <c r="D51" s="237" t="s">
        <v>136</v>
      </c>
      <c r="E51" s="237"/>
      <c r="F51" s="237"/>
      <c r="G51" s="237"/>
      <c r="H51" s="237"/>
      <c r="I51" s="237"/>
      <c r="J51" s="237"/>
      <c r="K51" s="237"/>
      <c r="L51" s="237"/>
      <c r="M51" s="237"/>
      <c r="N51" s="237"/>
      <c r="O51" s="237"/>
      <c r="P51" s="237"/>
      <c r="Q51" s="237"/>
      <c r="R51" s="237"/>
      <c r="S51" s="237"/>
      <c r="T51" s="237"/>
      <c r="U51" s="237"/>
      <c r="V51" s="237"/>
      <c r="W51" s="237"/>
      <c r="X51" s="237"/>
      <c r="Y51" s="237"/>
      <c r="Z51" s="238"/>
    </row>
    <row r="52" spans="1:26" ht="66" customHeight="1" x14ac:dyDescent="0.15">
      <c r="B52" s="195" t="s">
        <v>115</v>
      </c>
      <c r="C52" s="58" t="s">
        <v>91</v>
      </c>
      <c r="D52" s="197" t="s">
        <v>137</v>
      </c>
      <c r="E52" s="197"/>
      <c r="F52" s="197"/>
      <c r="G52" s="197"/>
      <c r="H52" s="197"/>
      <c r="I52" s="197"/>
      <c r="J52" s="197"/>
      <c r="K52" s="197"/>
      <c r="L52" s="197"/>
      <c r="M52" s="197"/>
      <c r="N52" s="197"/>
      <c r="O52" s="197"/>
      <c r="P52" s="197"/>
      <c r="Q52" s="197"/>
      <c r="R52" s="197"/>
      <c r="S52" s="197"/>
      <c r="T52" s="197"/>
      <c r="U52" s="197"/>
      <c r="V52" s="197"/>
      <c r="W52" s="197"/>
      <c r="X52" s="197"/>
      <c r="Y52" s="197"/>
      <c r="Z52" s="239"/>
    </row>
    <row r="53" spans="1:26" ht="93.75" customHeight="1" x14ac:dyDescent="0.15">
      <c r="B53" s="221"/>
      <c r="C53" s="55" t="s">
        <v>92</v>
      </c>
      <c r="D53" s="240" t="s">
        <v>138</v>
      </c>
      <c r="E53" s="240"/>
      <c r="F53" s="240"/>
      <c r="G53" s="240"/>
      <c r="H53" s="240"/>
      <c r="I53" s="240"/>
      <c r="J53" s="240"/>
      <c r="K53" s="240"/>
      <c r="L53" s="240"/>
      <c r="M53" s="240"/>
      <c r="N53" s="240"/>
      <c r="O53" s="240"/>
      <c r="P53" s="240"/>
      <c r="Q53" s="240"/>
      <c r="R53" s="240"/>
      <c r="S53" s="240"/>
      <c r="T53" s="240"/>
      <c r="U53" s="240"/>
      <c r="V53" s="240"/>
      <c r="W53" s="240"/>
      <c r="X53" s="240"/>
      <c r="Y53" s="240"/>
      <c r="Z53" s="241"/>
    </row>
    <row r="54" spans="1:26" ht="66" customHeight="1" x14ac:dyDescent="0.15">
      <c r="B54" s="195" t="s">
        <v>118</v>
      </c>
      <c r="C54" s="54" t="s">
        <v>96</v>
      </c>
      <c r="D54" s="226" t="s">
        <v>139</v>
      </c>
      <c r="E54" s="226"/>
      <c r="F54" s="226"/>
      <c r="G54" s="226"/>
      <c r="H54" s="226"/>
      <c r="I54" s="226"/>
      <c r="J54" s="226"/>
      <c r="K54" s="226"/>
      <c r="L54" s="226"/>
      <c r="M54" s="226"/>
      <c r="N54" s="226"/>
      <c r="O54" s="226"/>
      <c r="P54" s="226"/>
      <c r="Q54" s="226"/>
      <c r="R54" s="226"/>
      <c r="S54" s="226"/>
      <c r="T54" s="226"/>
      <c r="U54" s="226"/>
      <c r="V54" s="226"/>
      <c r="W54" s="226"/>
      <c r="X54" s="226"/>
      <c r="Y54" s="226"/>
      <c r="Z54" s="242"/>
    </row>
    <row r="55" spans="1:26" ht="66" customHeight="1" x14ac:dyDescent="0.15">
      <c r="B55" s="196"/>
      <c r="C55" s="55" t="s">
        <v>97</v>
      </c>
      <c r="D55" s="226" t="s">
        <v>139</v>
      </c>
      <c r="E55" s="226"/>
      <c r="F55" s="226"/>
      <c r="G55" s="226"/>
      <c r="H55" s="226"/>
      <c r="I55" s="226"/>
      <c r="J55" s="226"/>
      <c r="K55" s="226"/>
      <c r="L55" s="226"/>
      <c r="M55" s="226"/>
      <c r="N55" s="226"/>
      <c r="O55" s="226"/>
      <c r="P55" s="226"/>
      <c r="Q55" s="226"/>
      <c r="R55" s="226"/>
      <c r="S55" s="226"/>
      <c r="T55" s="226"/>
      <c r="U55" s="226"/>
      <c r="V55" s="226"/>
      <c r="W55" s="226"/>
      <c r="X55" s="226"/>
      <c r="Y55" s="226"/>
      <c r="Z55" s="242"/>
    </row>
    <row r="56" spans="1:26" ht="66" customHeight="1" x14ac:dyDescent="0.15">
      <c r="B56" s="211"/>
      <c r="C56" s="56" t="s">
        <v>98</v>
      </c>
      <c r="D56" s="243" t="s">
        <v>140</v>
      </c>
      <c r="E56" s="244"/>
      <c r="F56" s="244"/>
      <c r="G56" s="244"/>
      <c r="H56" s="244"/>
      <c r="I56" s="244"/>
      <c r="J56" s="244"/>
      <c r="K56" s="244"/>
      <c r="L56" s="244"/>
      <c r="M56" s="244"/>
      <c r="N56" s="244"/>
      <c r="O56" s="244"/>
      <c r="P56" s="244"/>
      <c r="Q56" s="244"/>
      <c r="R56" s="244"/>
      <c r="S56" s="244"/>
      <c r="T56" s="244"/>
      <c r="U56" s="244"/>
      <c r="V56" s="244"/>
      <c r="W56" s="244"/>
      <c r="X56" s="244"/>
      <c r="Y56" s="244"/>
      <c r="Z56" s="245"/>
    </row>
    <row r="57" spans="1:26" ht="6" customHeight="1" x14ac:dyDescent="0.15"/>
    <row r="58" spans="1:26" ht="18.75" customHeight="1" x14ac:dyDescent="0.15">
      <c r="A58" s="5" t="s">
        <v>122</v>
      </c>
    </row>
    <row r="59" spans="1:26" ht="18.75" customHeight="1" x14ac:dyDescent="0.15">
      <c r="B59" s="201" t="s">
        <v>220</v>
      </c>
      <c r="C59" s="202"/>
      <c r="D59" s="202"/>
      <c r="E59" s="202"/>
      <c r="F59" s="202"/>
      <c r="G59" s="202"/>
      <c r="H59" s="202"/>
      <c r="I59" s="202"/>
      <c r="J59" s="202"/>
      <c r="K59" s="202"/>
      <c r="L59" s="202"/>
      <c r="M59" s="202"/>
      <c r="N59" s="202"/>
      <c r="O59" s="202"/>
      <c r="P59" s="202"/>
      <c r="Q59" s="202"/>
      <c r="R59" s="202"/>
      <c r="S59" s="202"/>
      <c r="T59" s="202"/>
      <c r="U59" s="202"/>
      <c r="V59" s="202"/>
      <c r="W59" s="202"/>
      <c r="X59" s="202"/>
      <c r="Y59" s="202"/>
      <c r="Z59" s="203"/>
    </row>
    <row r="60" spans="1:26" ht="18.75" customHeight="1" x14ac:dyDescent="0.15">
      <c r="B60" s="204"/>
      <c r="C60" s="205"/>
      <c r="D60" s="205"/>
      <c r="E60" s="205"/>
      <c r="F60" s="205"/>
      <c r="G60" s="205"/>
      <c r="H60" s="205"/>
      <c r="I60" s="205"/>
      <c r="J60" s="205"/>
      <c r="K60" s="205"/>
      <c r="L60" s="205"/>
      <c r="M60" s="205"/>
      <c r="N60" s="205"/>
      <c r="O60" s="205"/>
      <c r="P60" s="205"/>
      <c r="Q60" s="205"/>
      <c r="R60" s="205"/>
      <c r="S60" s="205"/>
      <c r="T60" s="205"/>
      <c r="U60" s="205"/>
      <c r="V60" s="205"/>
      <c r="W60" s="205"/>
      <c r="X60" s="205"/>
      <c r="Y60" s="205"/>
      <c r="Z60" s="206"/>
    </row>
    <row r="61" spans="1:26" ht="18.75" customHeight="1" x14ac:dyDescent="0.15">
      <c r="B61" s="207"/>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9"/>
    </row>
    <row r="62" spans="1:26" ht="6" customHeight="1" x14ac:dyDescent="0.15"/>
    <row r="63" spans="1:26" ht="15" customHeight="1" x14ac:dyDescent="0.15">
      <c r="A63" s="5" t="s">
        <v>123</v>
      </c>
    </row>
    <row r="64" spans="1:26" ht="15" customHeight="1" x14ac:dyDescent="0.15">
      <c r="B64" s="218" t="s">
        <v>124</v>
      </c>
      <c r="C64" s="219"/>
      <c r="D64" s="219"/>
      <c r="E64" s="219"/>
      <c r="F64" s="219"/>
      <c r="G64" s="219"/>
      <c r="H64" s="219"/>
      <c r="I64" s="219"/>
      <c r="J64" s="219"/>
      <c r="K64" s="219"/>
      <c r="L64" s="219"/>
      <c r="M64" s="219"/>
      <c r="N64" s="219"/>
      <c r="O64" s="219"/>
      <c r="P64" s="219"/>
      <c r="Q64" s="219"/>
      <c r="R64" s="219"/>
      <c r="S64" s="219"/>
      <c r="T64" s="219"/>
      <c r="U64" s="219"/>
      <c r="V64" s="219"/>
      <c r="W64" s="219"/>
      <c r="X64" s="219"/>
      <c r="Y64" s="219"/>
      <c r="Z64" s="220"/>
    </row>
  </sheetData>
  <mergeCells count="82">
    <mergeCell ref="B64:Z64"/>
    <mergeCell ref="B52:B53"/>
    <mergeCell ref="D52:Z52"/>
    <mergeCell ref="D53:Z53"/>
    <mergeCell ref="B54:B56"/>
    <mergeCell ref="D54:Z54"/>
    <mergeCell ref="D55:Z55"/>
    <mergeCell ref="D56:Z56"/>
    <mergeCell ref="D45:Z45"/>
    <mergeCell ref="B46:B47"/>
    <mergeCell ref="D46:Z46"/>
    <mergeCell ref="D47:Z47"/>
    <mergeCell ref="B59:Z61"/>
    <mergeCell ref="B48:B49"/>
    <mergeCell ref="D48:Z48"/>
    <mergeCell ref="D49:Z49"/>
    <mergeCell ref="B50:B51"/>
    <mergeCell ref="D50:Z50"/>
    <mergeCell ref="D51:Z51"/>
    <mergeCell ref="A34:Z35"/>
    <mergeCell ref="B36:E36"/>
    <mergeCell ref="N36:R36"/>
    <mergeCell ref="B42:F42"/>
    <mergeCell ref="G42:M42"/>
    <mergeCell ref="N42:S42"/>
    <mergeCell ref="T42:Z42"/>
    <mergeCell ref="B41:F41"/>
    <mergeCell ref="G41:M41"/>
    <mergeCell ref="N41:S41"/>
    <mergeCell ref="T41:Z41"/>
    <mergeCell ref="B37:E37"/>
    <mergeCell ref="H37:J37"/>
    <mergeCell ref="N37:R37"/>
    <mergeCell ref="U37:W37"/>
    <mergeCell ref="B38:E38"/>
    <mergeCell ref="H38:J38"/>
    <mergeCell ref="N38:R38"/>
    <mergeCell ref="U38:W38"/>
    <mergeCell ref="A28:Z29"/>
    <mergeCell ref="B30:F30"/>
    <mergeCell ref="I30:K30"/>
    <mergeCell ref="N30:S30"/>
    <mergeCell ref="V30:X30"/>
    <mergeCell ref="B31:F31"/>
    <mergeCell ref="I31:K31"/>
    <mergeCell ref="N31:S31"/>
    <mergeCell ref="V31:X31"/>
    <mergeCell ref="B32:F32"/>
    <mergeCell ref="I32:K32"/>
    <mergeCell ref="N32:S32"/>
    <mergeCell ref="V32:X32"/>
    <mergeCell ref="B26:F26"/>
    <mergeCell ref="I26:K26"/>
    <mergeCell ref="N26:S26"/>
    <mergeCell ref="V26:X26"/>
    <mergeCell ref="A23:Z24"/>
    <mergeCell ref="B25:F25"/>
    <mergeCell ref="I25:K25"/>
    <mergeCell ref="N25:S25"/>
    <mergeCell ref="V25:X25"/>
    <mergeCell ref="B21:F21"/>
    <mergeCell ref="I21:K21"/>
    <mergeCell ref="N21:S21"/>
    <mergeCell ref="V21:X21"/>
    <mergeCell ref="A18:Z19"/>
    <mergeCell ref="B20:F20"/>
    <mergeCell ref="I20:K20"/>
    <mergeCell ref="N20:S20"/>
    <mergeCell ref="V20:X20"/>
    <mergeCell ref="B16:F16"/>
    <mergeCell ref="I16:K16"/>
    <mergeCell ref="N16:S16"/>
    <mergeCell ref="V16:X16"/>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T42:Z43 G42:M4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17 Z22 D22:K22 D17:K17 V16 I16 V21 H37:H38 V26 I21 V31:V32 I31:I32 U37:U38 I26">
      <formula1>"全学開講,一部開講"</formula1>
    </dataValidation>
    <dataValidation type="list" allowBlank="1" showInputMessage="1" showErrorMessage="1" sqref="Y16:Z16 L16:M16 Y21:Z21 H21 H26 Y26:Z26 L37:M38 Y31:Z32 Y37:Z38 K37:K38 H16 U16 T37:T38 U21 L21:M21 U26 H31:H32 U31:U32 G37:G38 L26:M26 L31:M32">
      <formula1>"○"</formula1>
    </dataValidation>
  </dataValidations>
  <printOptions horizontalCentered="1"/>
  <pageMargins left="0.78740157480314965" right="0.78740157480314965" top="0.59055118110236227" bottom="0.19685039370078741" header="0.31496062992125984" footer="0.19685039370078741"/>
  <pageSetup paperSize="9" scale="61" orientation="portrait" horizontalDpi="4294967292" r:id="rId1"/>
  <rowBreaks count="1" manualBreakCount="1">
    <brk id="4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9"/>
  <sheetViews>
    <sheetView showZeros="0" view="pageBreakPreview" topLeftCell="A34" zoomScaleNormal="100" zoomScaleSheetLayoutView="100" workbookViewId="0">
      <selection activeCell="AD18" sqref="AD18"/>
    </sheetView>
  </sheetViews>
  <sheetFormatPr defaultColWidth="9" defaultRowHeight="18.75" customHeight="1" x14ac:dyDescent="0.15"/>
  <cols>
    <col min="1" max="1" width="2.5" style="5" customWidth="1"/>
    <col min="2" max="2" width="27.75" style="5" customWidth="1"/>
    <col min="3" max="13" width="3.375" style="5" customWidth="1"/>
    <col min="14" max="14" width="8.875" style="5" customWidth="1"/>
    <col min="15" max="15" width="18.875" style="5" customWidth="1"/>
    <col min="16" max="19" width="3.375" style="5" customWidth="1"/>
    <col min="20" max="20" width="3.5" style="5" customWidth="1"/>
    <col min="21" max="26" width="3.375" style="5" customWidth="1"/>
    <col min="27" max="16384" width="9" style="5"/>
  </cols>
  <sheetData>
    <row r="1" spans="1:26" ht="15" customHeight="1" x14ac:dyDescent="0.15">
      <c r="W1" s="161" t="s">
        <v>141</v>
      </c>
      <c r="X1" s="161"/>
      <c r="Y1" s="161"/>
      <c r="Z1" s="161"/>
    </row>
    <row r="2" spans="1:26" ht="18" customHeight="1" x14ac:dyDescent="0.15">
      <c r="A2" s="162" t="s">
        <v>68</v>
      </c>
      <c r="B2" s="162"/>
      <c r="C2" s="162"/>
      <c r="D2" s="162"/>
      <c r="E2" s="162"/>
      <c r="F2" s="162"/>
      <c r="G2" s="162"/>
      <c r="H2" s="162"/>
      <c r="I2" s="162"/>
      <c r="J2" s="162"/>
      <c r="K2" s="162"/>
      <c r="L2" s="162"/>
      <c r="M2" s="162"/>
      <c r="N2" s="162"/>
      <c r="O2" s="162"/>
      <c r="P2" s="162"/>
      <c r="Q2" s="162"/>
      <c r="R2" s="162"/>
      <c r="S2" s="162"/>
      <c r="T2" s="162"/>
      <c r="U2" s="162"/>
      <c r="V2" s="162"/>
      <c r="W2" s="162"/>
      <c r="X2" s="162"/>
      <c r="Y2" s="162"/>
      <c r="Z2" s="162"/>
    </row>
    <row r="3" spans="1:26" ht="15" customHeight="1" x14ac:dyDescent="0.15">
      <c r="B3" s="14"/>
      <c r="C3" s="14"/>
      <c r="D3" s="14"/>
      <c r="E3" s="14"/>
      <c r="F3" s="14"/>
      <c r="G3" s="14"/>
      <c r="H3" s="14"/>
      <c r="I3" s="14"/>
      <c r="J3" s="14"/>
      <c r="K3" s="14"/>
      <c r="L3" s="14"/>
      <c r="M3" s="14"/>
      <c r="N3" s="14"/>
      <c r="O3" s="14"/>
      <c r="P3" s="14"/>
      <c r="Q3" s="14"/>
      <c r="R3" s="14"/>
      <c r="S3" s="14"/>
      <c r="T3" s="14"/>
      <c r="U3" s="14"/>
      <c r="V3" s="14"/>
      <c r="W3" s="14"/>
      <c r="X3" s="14"/>
      <c r="Y3" s="14"/>
      <c r="Z3" s="14"/>
    </row>
    <row r="4" spans="1:26" ht="18" customHeight="1" x14ac:dyDescent="0.15">
      <c r="A4" s="5" t="s">
        <v>69</v>
      </c>
      <c r="B4" s="14"/>
      <c r="C4" s="14"/>
      <c r="D4" s="14"/>
      <c r="E4" s="14"/>
      <c r="F4" s="14"/>
      <c r="G4" s="14"/>
      <c r="H4" s="6" t="s">
        <v>70</v>
      </c>
      <c r="I4" s="14"/>
      <c r="J4" s="14"/>
      <c r="K4" s="14"/>
      <c r="L4" s="14"/>
      <c r="M4" s="14"/>
      <c r="N4" s="14"/>
      <c r="O4" s="140" t="s">
        <v>71</v>
      </c>
      <c r="P4" s="163"/>
      <c r="Q4" s="163"/>
      <c r="R4" s="163"/>
      <c r="S4" s="163"/>
      <c r="T4" s="163"/>
      <c r="U4" s="163"/>
      <c r="V4" s="163"/>
      <c r="W4" s="163"/>
      <c r="X4" s="163"/>
      <c r="Y4" s="163"/>
      <c r="Z4" s="141"/>
    </row>
    <row r="5" spans="1:26" ht="6" customHeight="1" x14ac:dyDescent="0.15">
      <c r="B5" s="14"/>
      <c r="C5" s="14"/>
      <c r="D5" s="14"/>
      <c r="E5" s="14"/>
      <c r="F5" s="14"/>
      <c r="G5" s="14"/>
      <c r="H5" s="14"/>
      <c r="I5" s="14"/>
      <c r="J5" s="14"/>
      <c r="K5" s="14"/>
      <c r="L5" s="14"/>
      <c r="M5" s="14"/>
      <c r="N5" s="14"/>
      <c r="O5" s="7"/>
      <c r="P5" s="14"/>
      <c r="Q5" s="14"/>
      <c r="R5" s="14"/>
      <c r="S5" s="14"/>
      <c r="T5" s="14"/>
      <c r="U5" s="14"/>
      <c r="V5" s="14"/>
      <c r="W5" s="14"/>
      <c r="X5" s="14"/>
      <c r="Y5" s="14"/>
      <c r="Z5" s="14"/>
    </row>
    <row r="6" spans="1:26" ht="18" customHeight="1" x14ac:dyDescent="0.15">
      <c r="B6" s="164" t="s">
        <v>142</v>
      </c>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26" ht="18" customHeight="1" x14ac:dyDescent="0.15">
      <c r="B7" s="167"/>
      <c r="C7" s="168"/>
      <c r="D7" s="168"/>
      <c r="E7" s="168"/>
      <c r="F7" s="168"/>
      <c r="G7" s="168"/>
      <c r="H7" s="168"/>
      <c r="I7" s="168"/>
      <c r="J7" s="168"/>
      <c r="K7" s="168"/>
      <c r="L7" s="168"/>
      <c r="M7" s="168"/>
      <c r="N7" s="168"/>
      <c r="O7" s="168"/>
      <c r="P7" s="168"/>
      <c r="Q7" s="168"/>
      <c r="R7" s="168"/>
      <c r="S7" s="168"/>
      <c r="T7" s="168"/>
      <c r="U7" s="168"/>
      <c r="V7" s="168"/>
      <c r="W7" s="168"/>
      <c r="X7" s="168"/>
      <c r="Y7" s="168"/>
      <c r="Z7" s="169"/>
    </row>
    <row r="8" spans="1:26" ht="18" customHeight="1" x14ac:dyDescent="0.15">
      <c r="B8" s="167"/>
      <c r="C8" s="168"/>
      <c r="D8" s="168"/>
      <c r="E8" s="168"/>
      <c r="F8" s="168"/>
      <c r="G8" s="168"/>
      <c r="H8" s="168"/>
      <c r="I8" s="168"/>
      <c r="J8" s="168"/>
      <c r="K8" s="168"/>
      <c r="L8" s="168"/>
      <c r="M8" s="168"/>
      <c r="N8" s="168"/>
      <c r="O8" s="168"/>
      <c r="P8" s="168"/>
      <c r="Q8" s="168"/>
      <c r="R8" s="168"/>
      <c r="S8" s="168"/>
      <c r="T8" s="168"/>
      <c r="U8" s="168"/>
      <c r="V8" s="168"/>
      <c r="W8" s="168"/>
      <c r="X8" s="168"/>
      <c r="Y8" s="168"/>
      <c r="Z8" s="169"/>
    </row>
    <row r="9" spans="1:26" ht="18" customHeight="1" x14ac:dyDescent="0.15">
      <c r="B9" s="167"/>
      <c r="C9" s="168"/>
      <c r="D9" s="168"/>
      <c r="E9" s="168"/>
      <c r="F9" s="168"/>
      <c r="G9" s="168"/>
      <c r="H9" s="168"/>
      <c r="I9" s="168"/>
      <c r="J9" s="168"/>
      <c r="K9" s="168"/>
      <c r="L9" s="168"/>
      <c r="M9" s="168"/>
      <c r="N9" s="168"/>
      <c r="O9" s="168"/>
      <c r="P9" s="168"/>
      <c r="Q9" s="168"/>
      <c r="R9" s="168"/>
      <c r="S9" s="168"/>
      <c r="T9" s="168"/>
      <c r="U9" s="168"/>
      <c r="V9" s="168"/>
      <c r="W9" s="168"/>
      <c r="X9" s="168"/>
      <c r="Y9" s="168"/>
      <c r="Z9" s="169"/>
    </row>
    <row r="10" spans="1:26" ht="18" customHeight="1" x14ac:dyDescent="0.15">
      <c r="B10" s="167"/>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9"/>
    </row>
    <row r="11" spans="1:26" ht="18" customHeight="1" x14ac:dyDescent="0.15">
      <c r="B11" s="170"/>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2"/>
    </row>
    <row r="12" spans="1:26" ht="7.5" customHeight="1" x14ac:dyDescent="0.15">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8" customHeight="1" x14ac:dyDescent="0.15">
      <c r="A13" s="173" t="s">
        <v>73</v>
      </c>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spans="1:26" ht="18" customHeight="1" x14ac:dyDescent="0.15">
      <c r="A14" s="173"/>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spans="1:26" ht="18" customHeight="1" x14ac:dyDescent="0.15">
      <c r="A15" s="6"/>
      <c r="B15" s="140" t="s">
        <v>74</v>
      </c>
      <c r="C15" s="163"/>
      <c r="D15" s="163"/>
      <c r="E15" s="163"/>
      <c r="F15" s="141"/>
      <c r="G15" s="15" t="s">
        <v>75</v>
      </c>
      <c r="H15" s="75" t="s">
        <v>76</v>
      </c>
      <c r="I15" s="163" t="s">
        <v>77</v>
      </c>
      <c r="J15" s="163"/>
      <c r="K15" s="163"/>
      <c r="L15" s="50" t="s">
        <v>78</v>
      </c>
      <c r="M15" s="50" t="s">
        <v>79</v>
      </c>
      <c r="N15" s="140" t="s">
        <v>74</v>
      </c>
      <c r="O15" s="163"/>
      <c r="P15" s="163"/>
      <c r="Q15" s="163"/>
      <c r="R15" s="163"/>
      <c r="S15" s="141"/>
      <c r="T15" s="15" t="s">
        <v>75</v>
      </c>
      <c r="U15" s="75" t="s">
        <v>76</v>
      </c>
      <c r="V15" s="163" t="s">
        <v>77</v>
      </c>
      <c r="W15" s="163"/>
      <c r="X15" s="163"/>
      <c r="Y15" s="50" t="s">
        <v>78</v>
      </c>
      <c r="Z15" s="50" t="s">
        <v>79</v>
      </c>
    </row>
    <row r="16" spans="1:26" ht="18" customHeight="1" x14ac:dyDescent="0.15">
      <c r="A16" s="6"/>
      <c r="B16" s="178" t="s">
        <v>127</v>
      </c>
      <c r="C16" s="179"/>
      <c r="D16" s="179"/>
      <c r="E16" s="179"/>
      <c r="F16" s="180"/>
      <c r="G16" s="76">
        <v>1</v>
      </c>
      <c r="H16" s="76" t="s">
        <v>82</v>
      </c>
      <c r="I16" s="149" t="s">
        <v>81</v>
      </c>
      <c r="J16" s="150"/>
      <c r="K16" s="151"/>
      <c r="L16" s="76" t="s">
        <v>82</v>
      </c>
      <c r="M16" s="76" t="s">
        <v>82</v>
      </c>
      <c r="N16" s="181"/>
      <c r="O16" s="182"/>
      <c r="P16" s="182"/>
      <c r="Q16" s="182"/>
      <c r="R16" s="182"/>
      <c r="S16" s="183"/>
      <c r="T16" s="76"/>
      <c r="U16" s="76"/>
      <c r="V16" s="149"/>
      <c r="W16" s="150"/>
      <c r="X16" s="151"/>
      <c r="Y16" s="76"/>
      <c r="Z16" s="76"/>
    </row>
    <row r="17" spans="1:26" ht="18" customHeight="1" x14ac:dyDescent="0.15">
      <c r="A17" s="6"/>
      <c r="B17" s="152" t="s">
        <v>143</v>
      </c>
      <c r="C17" s="153"/>
      <c r="D17" s="153"/>
      <c r="E17" s="153"/>
      <c r="F17" s="154"/>
      <c r="G17" s="81">
        <v>2</v>
      </c>
      <c r="H17" s="81" t="s">
        <v>82</v>
      </c>
      <c r="I17" s="155" t="s">
        <v>81</v>
      </c>
      <c r="J17" s="156"/>
      <c r="K17" s="157"/>
      <c r="L17" s="81" t="s">
        <v>82</v>
      </c>
      <c r="M17" s="81" t="s">
        <v>82</v>
      </c>
      <c r="N17" s="158"/>
      <c r="O17" s="159"/>
      <c r="P17" s="159"/>
      <c r="Q17" s="159"/>
      <c r="R17" s="159"/>
      <c r="S17" s="160"/>
      <c r="T17" s="81"/>
      <c r="U17" s="81"/>
      <c r="V17" s="155"/>
      <c r="W17" s="156"/>
      <c r="X17" s="157"/>
      <c r="Y17" s="81"/>
      <c r="Z17" s="81"/>
    </row>
    <row r="18" spans="1:26" ht="7.5" customHeight="1" x14ac:dyDescent="0.15">
      <c r="A18" s="14"/>
      <c r="B18" s="18"/>
      <c r="C18" s="18"/>
      <c r="D18" s="14"/>
      <c r="E18" s="14"/>
      <c r="F18" s="14"/>
      <c r="G18" s="14"/>
      <c r="H18" s="14"/>
      <c r="I18" s="14"/>
      <c r="J18" s="14"/>
      <c r="K18" s="14"/>
      <c r="L18" s="18"/>
      <c r="M18" s="18"/>
      <c r="N18" s="18"/>
      <c r="O18" s="18"/>
      <c r="P18" s="18"/>
      <c r="Q18" s="18"/>
      <c r="R18" s="18"/>
      <c r="S18" s="18"/>
      <c r="T18" s="18"/>
      <c r="U18" s="18"/>
      <c r="V18" s="18"/>
      <c r="W18" s="18"/>
      <c r="X18" s="18"/>
      <c r="Y18" s="18"/>
      <c r="Z18" s="14"/>
    </row>
    <row r="19" spans="1:26" ht="18" customHeight="1" x14ac:dyDescent="0.15">
      <c r="A19" s="173" t="s">
        <v>84</v>
      </c>
      <c r="B19" s="173"/>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row>
    <row r="20" spans="1:26" ht="18" customHeight="1" x14ac:dyDescent="0.15">
      <c r="A20" s="173"/>
      <c r="B20" s="173"/>
      <c r="C20" s="173"/>
      <c r="D20" s="173"/>
      <c r="E20" s="173"/>
      <c r="F20" s="173"/>
      <c r="G20" s="173"/>
      <c r="H20" s="173"/>
      <c r="I20" s="173"/>
      <c r="J20" s="173"/>
      <c r="K20" s="173"/>
      <c r="L20" s="173"/>
      <c r="M20" s="173"/>
      <c r="N20" s="173"/>
      <c r="O20" s="173"/>
      <c r="P20" s="173"/>
      <c r="Q20" s="173"/>
      <c r="R20" s="173"/>
      <c r="S20" s="173"/>
      <c r="T20" s="173"/>
      <c r="U20" s="173"/>
      <c r="V20" s="173"/>
      <c r="W20" s="173"/>
      <c r="X20" s="173"/>
      <c r="Y20" s="173"/>
      <c r="Z20" s="173"/>
    </row>
    <row r="21" spans="1:26" ht="18" customHeight="1" x14ac:dyDescent="0.15">
      <c r="A21" s="6"/>
      <c r="B21" s="140" t="s">
        <v>74</v>
      </c>
      <c r="C21" s="163"/>
      <c r="D21" s="163"/>
      <c r="E21" s="163"/>
      <c r="F21" s="141"/>
      <c r="G21" s="15" t="s">
        <v>75</v>
      </c>
      <c r="H21" s="75" t="s">
        <v>76</v>
      </c>
      <c r="I21" s="163" t="s">
        <v>77</v>
      </c>
      <c r="J21" s="163"/>
      <c r="K21" s="163"/>
      <c r="L21" s="50" t="s">
        <v>85</v>
      </c>
      <c r="M21" s="50" t="s">
        <v>86</v>
      </c>
      <c r="N21" s="140" t="s">
        <v>74</v>
      </c>
      <c r="O21" s="163"/>
      <c r="P21" s="163"/>
      <c r="Q21" s="163"/>
      <c r="R21" s="163"/>
      <c r="S21" s="141"/>
      <c r="T21" s="15" t="s">
        <v>75</v>
      </c>
      <c r="U21" s="75" t="s">
        <v>76</v>
      </c>
      <c r="V21" s="163" t="s">
        <v>77</v>
      </c>
      <c r="W21" s="163"/>
      <c r="X21" s="163"/>
      <c r="Y21" s="50" t="s">
        <v>85</v>
      </c>
      <c r="Z21" s="50" t="s">
        <v>86</v>
      </c>
    </row>
    <row r="22" spans="1:26" ht="18" customHeight="1" x14ac:dyDescent="0.15">
      <c r="A22" s="6"/>
      <c r="B22" s="178" t="s">
        <v>127</v>
      </c>
      <c r="C22" s="179"/>
      <c r="D22" s="179"/>
      <c r="E22" s="179"/>
      <c r="F22" s="180"/>
      <c r="G22" s="76">
        <v>1</v>
      </c>
      <c r="H22" s="76" t="s">
        <v>82</v>
      </c>
      <c r="I22" s="149" t="s">
        <v>81</v>
      </c>
      <c r="J22" s="150"/>
      <c r="K22" s="151"/>
      <c r="L22" s="76" t="s">
        <v>82</v>
      </c>
      <c r="M22" s="76" t="s">
        <v>82</v>
      </c>
      <c r="N22" s="181"/>
      <c r="O22" s="182"/>
      <c r="P22" s="182"/>
      <c r="Q22" s="182"/>
      <c r="R22" s="182"/>
      <c r="S22" s="183"/>
      <c r="T22" s="76"/>
      <c r="U22" s="76"/>
      <c r="V22" s="149"/>
      <c r="W22" s="150"/>
      <c r="X22" s="151"/>
      <c r="Y22" s="76"/>
      <c r="Z22" s="76"/>
    </row>
    <row r="23" spans="1:26" ht="18" customHeight="1" x14ac:dyDescent="0.15">
      <c r="A23" s="6"/>
      <c r="B23" s="152" t="s">
        <v>143</v>
      </c>
      <c r="C23" s="153"/>
      <c r="D23" s="153"/>
      <c r="E23" s="153"/>
      <c r="F23" s="154"/>
      <c r="G23" s="81">
        <v>2</v>
      </c>
      <c r="H23" s="81" t="s">
        <v>82</v>
      </c>
      <c r="I23" s="155" t="s">
        <v>81</v>
      </c>
      <c r="J23" s="156"/>
      <c r="K23" s="157"/>
      <c r="L23" s="81" t="s">
        <v>82</v>
      </c>
      <c r="M23" s="81"/>
      <c r="N23" s="158"/>
      <c r="O23" s="159"/>
      <c r="P23" s="159"/>
      <c r="Q23" s="159"/>
      <c r="R23" s="159"/>
      <c r="S23" s="160"/>
      <c r="T23" s="81"/>
      <c r="U23" s="81"/>
      <c r="V23" s="155"/>
      <c r="W23" s="156"/>
      <c r="X23" s="157"/>
      <c r="Y23" s="81"/>
      <c r="Z23" s="81"/>
    </row>
    <row r="24" spans="1:26" ht="7.5" customHeight="1" x14ac:dyDescent="0.15">
      <c r="A24" s="14"/>
      <c r="B24" s="18"/>
      <c r="C24" s="18"/>
      <c r="D24" s="14"/>
      <c r="E24" s="14"/>
      <c r="F24" s="14"/>
      <c r="G24" s="14"/>
      <c r="H24" s="14"/>
      <c r="I24" s="14"/>
      <c r="J24" s="14"/>
      <c r="K24" s="14"/>
      <c r="L24" s="18"/>
      <c r="M24" s="18"/>
      <c r="N24" s="18"/>
      <c r="O24" s="18"/>
      <c r="P24" s="18"/>
      <c r="Q24" s="18"/>
      <c r="R24" s="18"/>
      <c r="S24" s="18"/>
      <c r="T24" s="18"/>
      <c r="U24" s="18"/>
      <c r="V24" s="18"/>
      <c r="W24" s="18"/>
      <c r="X24" s="18"/>
      <c r="Y24" s="18"/>
      <c r="Z24" s="14"/>
    </row>
    <row r="25" spans="1:26" ht="18" customHeight="1" x14ac:dyDescent="0.15">
      <c r="A25" s="173" t="s">
        <v>87</v>
      </c>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row>
    <row r="26" spans="1:26" ht="18" customHeight="1" x14ac:dyDescent="0.15">
      <c r="A26" s="173"/>
      <c r="B26" s="173"/>
      <c r="C26" s="173"/>
      <c r="D26" s="173"/>
      <c r="E26" s="173"/>
      <c r="F26" s="173"/>
      <c r="G26" s="173"/>
      <c r="H26" s="173"/>
      <c r="I26" s="173"/>
      <c r="J26" s="173"/>
      <c r="K26" s="173"/>
      <c r="L26" s="173"/>
      <c r="M26" s="173"/>
      <c r="N26" s="173"/>
      <c r="O26" s="173"/>
      <c r="P26" s="173"/>
      <c r="Q26" s="173"/>
      <c r="R26" s="173"/>
      <c r="S26" s="173"/>
      <c r="T26" s="173"/>
      <c r="U26" s="173"/>
      <c r="V26" s="173"/>
      <c r="W26" s="173"/>
      <c r="X26" s="173"/>
      <c r="Y26" s="173"/>
      <c r="Z26" s="173"/>
    </row>
    <row r="27" spans="1:26" ht="18" customHeight="1" x14ac:dyDescent="0.15">
      <c r="A27" s="6"/>
      <c r="B27" s="140" t="s">
        <v>74</v>
      </c>
      <c r="C27" s="163"/>
      <c r="D27" s="163"/>
      <c r="E27" s="163"/>
      <c r="F27" s="141"/>
      <c r="G27" s="15" t="s">
        <v>75</v>
      </c>
      <c r="H27" s="75" t="s">
        <v>76</v>
      </c>
      <c r="I27" s="140" t="s">
        <v>77</v>
      </c>
      <c r="J27" s="163"/>
      <c r="K27" s="141"/>
      <c r="L27" s="50" t="s">
        <v>88</v>
      </c>
      <c r="M27" s="50" t="s">
        <v>89</v>
      </c>
      <c r="N27" s="140" t="s">
        <v>74</v>
      </c>
      <c r="O27" s="163"/>
      <c r="P27" s="163"/>
      <c r="Q27" s="163"/>
      <c r="R27" s="163"/>
      <c r="S27" s="141"/>
      <c r="T27" s="15" t="s">
        <v>75</v>
      </c>
      <c r="U27" s="75" t="s">
        <v>76</v>
      </c>
      <c r="V27" s="140" t="s">
        <v>77</v>
      </c>
      <c r="W27" s="163"/>
      <c r="X27" s="141"/>
      <c r="Y27" s="50" t="s">
        <v>88</v>
      </c>
      <c r="Z27" s="50" t="s">
        <v>89</v>
      </c>
    </row>
    <row r="28" spans="1:26" ht="18" customHeight="1" x14ac:dyDescent="0.15">
      <c r="A28" s="14"/>
      <c r="B28" s="178" t="s">
        <v>127</v>
      </c>
      <c r="C28" s="179"/>
      <c r="D28" s="179"/>
      <c r="E28" s="179"/>
      <c r="F28" s="180"/>
      <c r="G28" s="76">
        <v>1</v>
      </c>
      <c r="H28" s="76" t="s">
        <v>82</v>
      </c>
      <c r="I28" s="149" t="s">
        <v>81</v>
      </c>
      <c r="J28" s="150"/>
      <c r="K28" s="151"/>
      <c r="L28" s="76" t="s">
        <v>82</v>
      </c>
      <c r="M28" s="76" t="s">
        <v>82</v>
      </c>
      <c r="N28" s="181"/>
      <c r="O28" s="182"/>
      <c r="P28" s="182"/>
      <c r="Q28" s="182"/>
      <c r="R28" s="182"/>
      <c r="S28" s="183"/>
      <c r="T28" s="76"/>
      <c r="U28" s="76"/>
      <c r="V28" s="149"/>
      <c r="W28" s="150"/>
      <c r="X28" s="151"/>
      <c r="Y28" s="76"/>
      <c r="Z28" s="76"/>
    </row>
    <row r="29" spans="1:26" ht="18" customHeight="1" x14ac:dyDescent="0.15">
      <c r="A29" s="14"/>
      <c r="B29" s="252" t="s">
        <v>144</v>
      </c>
      <c r="C29" s="253"/>
      <c r="D29" s="253"/>
      <c r="E29" s="253"/>
      <c r="F29" s="254"/>
      <c r="G29" s="77">
        <v>2</v>
      </c>
      <c r="H29" s="77" t="s">
        <v>82</v>
      </c>
      <c r="I29" s="246" t="s">
        <v>81</v>
      </c>
      <c r="J29" s="247"/>
      <c r="K29" s="248"/>
      <c r="L29" s="77" t="s">
        <v>82</v>
      </c>
      <c r="M29" s="77"/>
      <c r="N29" s="249"/>
      <c r="O29" s="250"/>
      <c r="P29" s="250"/>
      <c r="Q29" s="250"/>
      <c r="R29" s="250"/>
      <c r="S29" s="251"/>
      <c r="T29" s="77"/>
      <c r="U29" s="77"/>
      <c r="V29" s="246"/>
      <c r="W29" s="247"/>
      <c r="X29" s="248"/>
      <c r="Y29" s="77"/>
      <c r="Z29" s="77"/>
    </row>
    <row r="30" spans="1:26" ht="18" customHeight="1" x14ac:dyDescent="0.15">
      <c r="A30" s="14"/>
      <c r="B30" s="152" t="s">
        <v>143</v>
      </c>
      <c r="C30" s="153"/>
      <c r="D30" s="153"/>
      <c r="E30" s="153"/>
      <c r="F30" s="154"/>
      <c r="G30" s="81">
        <v>2</v>
      </c>
      <c r="H30" s="81" t="s">
        <v>82</v>
      </c>
      <c r="I30" s="155" t="s">
        <v>81</v>
      </c>
      <c r="J30" s="156"/>
      <c r="K30" s="157"/>
      <c r="L30" s="81"/>
      <c r="M30" s="81" t="s">
        <v>82</v>
      </c>
      <c r="N30" s="158"/>
      <c r="O30" s="159"/>
      <c r="P30" s="159"/>
      <c r="Q30" s="159"/>
      <c r="R30" s="159"/>
      <c r="S30" s="160"/>
      <c r="T30" s="81"/>
      <c r="U30" s="81"/>
      <c r="V30" s="155"/>
      <c r="W30" s="156"/>
      <c r="X30" s="157"/>
      <c r="Y30" s="81"/>
      <c r="Z30" s="81"/>
    </row>
    <row r="31" spans="1:26" ht="7.5" customHeight="1" x14ac:dyDescent="0.15">
      <c r="B31" s="51"/>
      <c r="C31" s="51"/>
      <c r="D31" s="51"/>
      <c r="E31" s="51"/>
      <c r="F31" s="51"/>
      <c r="G31" s="51"/>
      <c r="H31" s="51"/>
      <c r="I31" s="51"/>
      <c r="J31" s="51"/>
      <c r="K31" s="51"/>
      <c r="L31" s="51"/>
      <c r="M31" s="51"/>
      <c r="N31" s="51"/>
      <c r="O31" s="51"/>
      <c r="P31" s="51"/>
      <c r="Q31" s="51"/>
      <c r="R31" s="51"/>
      <c r="S31" s="51"/>
      <c r="T31" s="51"/>
      <c r="U31" s="51"/>
      <c r="V31" s="51"/>
      <c r="W31" s="51"/>
      <c r="X31" s="51"/>
      <c r="Y31" s="51"/>
    </row>
    <row r="32" spans="1:26" ht="18" customHeight="1" x14ac:dyDescent="0.15">
      <c r="A32" s="173" t="s">
        <v>90</v>
      </c>
      <c r="B32" s="173"/>
      <c r="C32" s="173"/>
      <c r="D32" s="173"/>
      <c r="E32" s="173"/>
      <c r="F32" s="173"/>
      <c r="G32" s="173"/>
      <c r="H32" s="173"/>
      <c r="I32" s="173"/>
      <c r="J32" s="173"/>
      <c r="K32" s="173"/>
      <c r="L32" s="173"/>
      <c r="M32" s="173"/>
      <c r="N32" s="173"/>
      <c r="O32" s="173"/>
      <c r="P32" s="173"/>
      <c r="Q32" s="173"/>
      <c r="R32" s="173"/>
      <c r="S32" s="173"/>
      <c r="T32" s="173"/>
      <c r="U32" s="173"/>
      <c r="V32" s="173"/>
      <c r="W32" s="173"/>
      <c r="X32" s="173"/>
      <c r="Y32" s="173"/>
      <c r="Z32" s="173"/>
    </row>
    <row r="33" spans="1:26" ht="18" customHeight="1" x14ac:dyDescent="0.15">
      <c r="A33" s="173"/>
      <c r="B33" s="173"/>
      <c r="C33" s="173"/>
      <c r="D33" s="173"/>
      <c r="E33" s="173"/>
      <c r="F33" s="173"/>
      <c r="G33" s="173"/>
      <c r="H33" s="173"/>
      <c r="I33" s="173"/>
      <c r="J33" s="173"/>
      <c r="K33" s="173"/>
      <c r="L33" s="173"/>
      <c r="M33" s="173"/>
      <c r="N33" s="173"/>
      <c r="O33" s="173"/>
      <c r="P33" s="173"/>
      <c r="Q33" s="173"/>
      <c r="R33" s="173"/>
      <c r="S33" s="173"/>
      <c r="T33" s="173"/>
      <c r="U33" s="173"/>
      <c r="V33" s="173"/>
      <c r="W33" s="173"/>
      <c r="X33" s="173"/>
      <c r="Y33" s="173"/>
      <c r="Z33" s="173"/>
    </row>
    <row r="34" spans="1:26" ht="18" customHeight="1" x14ac:dyDescent="0.15">
      <c r="A34" s="6"/>
      <c r="B34" s="140" t="s">
        <v>74</v>
      </c>
      <c r="C34" s="163"/>
      <c r="D34" s="163"/>
      <c r="E34" s="163"/>
      <c r="F34" s="141"/>
      <c r="G34" s="15" t="s">
        <v>75</v>
      </c>
      <c r="H34" s="75" t="s">
        <v>76</v>
      </c>
      <c r="I34" s="140" t="s">
        <v>77</v>
      </c>
      <c r="J34" s="163"/>
      <c r="K34" s="141"/>
      <c r="L34" s="50" t="s">
        <v>91</v>
      </c>
      <c r="M34" s="50" t="s">
        <v>92</v>
      </c>
      <c r="N34" s="140" t="s">
        <v>74</v>
      </c>
      <c r="O34" s="163"/>
      <c r="P34" s="163"/>
      <c r="Q34" s="163"/>
      <c r="R34" s="163"/>
      <c r="S34" s="141"/>
      <c r="T34" s="15" t="s">
        <v>75</v>
      </c>
      <c r="U34" s="75" t="s">
        <v>76</v>
      </c>
      <c r="V34" s="140" t="s">
        <v>77</v>
      </c>
      <c r="W34" s="163"/>
      <c r="X34" s="141"/>
      <c r="Y34" s="50" t="s">
        <v>91</v>
      </c>
      <c r="Z34" s="50" t="s">
        <v>92</v>
      </c>
    </row>
    <row r="35" spans="1:26" ht="18" customHeight="1" x14ac:dyDescent="0.15">
      <c r="A35" s="14"/>
      <c r="B35" s="178" t="s">
        <v>128</v>
      </c>
      <c r="C35" s="179"/>
      <c r="D35" s="179"/>
      <c r="E35" s="179"/>
      <c r="F35" s="180"/>
      <c r="G35" s="76">
        <v>3</v>
      </c>
      <c r="H35" s="76" t="s">
        <v>82</v>
      </c>
      <c r="I35" s="149" t="s">
        <v>81</v>
      </c>
      <c r="J35" s="150"/>
      <c r="K35" s="151"/>
      <c r="L35" s="76" t="s">
        <v>82</v>
      </c>
      <c r="M35" s="76" t="s">
        <v>82</v>
      </c>
      <c r="N35" s="181"/>
      <c r="O35" s="182"/>
      <c r="P35" s="182"/>
      <c r="Q35" s="182"/>
      <c r="R35" s="182"/>
      <c r="S35" s="183"/>
      <c r="T35" s="76"/>
      <c r="U35" s="76"/>
      <c r="V35" s="149"/>
      <c r="W35" s="150"/>
      <c r="X35" s="151"/>
      <c r="Y35" s="76"/>
      <c r="Z35" s="76"/>
    </row>
    <row r="36" spans="1:26" ht="18" customHeight="1" x14ac:dyDescent="0.15">
      <c r="A36" s="14"/>
      <c r="B36" s="152" t="s">
        <v>144</v>
      </c>
      <c r="C36" s="153"/>
      <c r="D36" s="153"/>
      <c r="E36" s="153"/>
      <c r="F36" s="154"/>
      <c r="G36" s="81">
        <v>2</v>
      </c>
      <c r="H36" s="81" t="s">
        <v>82</v>
      </c>
      <c r="I36" s="155" t="s">
        <v>81</v>
      </c>
      <c r="J36" s="156"/>
      <c r="K36" s="157"/>
      <c r="L36" s="81" t="s">
        <v>82</v>
      </c>
      <c r="M36" s="81" t="s">
        <v>82</v>
      </c>
      <c r="N36" s="158"/>
      <c r="O36" s="159"/>
      <c r="P36" s="159"/>
      <c r="Q36" s="159"/>
      <c r="R36" s="159"/>
      <c r="S36" s="160"/>
      <c r="T36" s="81"/>
      <c r="U36" s="81"/>
      <c r="V36" s="155"/>
      <c r="W36" s="156"/>
      <c r="X36" s="157"/>
      <c r="Y36" s="81"/>
      <c r="Z36" s="81"/>
    </row>
    <row r="37" spans="1:26" ht="7.5" customHeight="1" x14ac:dyDescent="0.15">
      <c r="B37" s="51"/>
      <c r="C37" s="51"/>
      <c r="D37" s="51"/>
      <c r="E37" s="51"/>
      <c r="F37" s="51"/>
      <c r="G37" s="51"/>
      <c r="H37" s="51"/>
      <c r="I37" s="51"/>
      <c r="J37" s="51"/>
      <c r="K37" s="51"/>
      <c r="L37" s="51"/>
      <c r="M37" s="51"/>
      <c r="N37" s="51"/>
      <c r="O37" s="51"/>
      <c r="P37" s="51"/>
      <c r="Q37" s="51"/>
      <c r="R37" s="51"/>
      <c r="S37" s="51"/>
      <c r="T37" s="51"/>
      <c r="U37" s="51"/>
      <c r="V37" s="51"/>
      <c r="W37" s="51"/>
      <c r="X37" s="51"/>
      <c r="Y37" s="51"/>
    </row>
    <row r="38" spans="1:26" ht="18" customHeight="1" x14ac:dyDescent="0.15">
      <c r="A38" s="173" t="s">
        <v>95</v>
      </c>
      <c r="B38" s="173"/>
      <c r="C38" s="173"/>
      <c r="D38" s="173"/>
      <c r="E38" s="173"/>
      <c r="F38" s="173"/>
      <c r="G38" s="173"/>
      <c r="H38" s="173"/>
      <c r="I38" s="173"/>
      <c r="J38" s="173"/>
      <c r="K38" s="173"/>
      <c r="L38" s="173"/>
      <c r="M38" s="173"/>
      <c r="N38" s="173"/>
      <c r="O38" s="173"/>
      <c r="P38" s="173"/>
      <c r="Q38" s="173"/>
      <c r="R38" s="173"/>
      <c r="S38" s="173"/>
      <c r="T38" s="173"/>
      <c r="U38" s="173"/>
      <c r="V38" s="173"/>
      <c r="W38" s="173"/>
      <c r="X38" s="173"/>
      <c r="Y38" s="173"/>
      <c r="Z38" s="173"/>
    </row>
    <row r="39" spans="1:26" ht="18" customHeight="1" x14ac:dyDescent="0.15">
      <c r="A39" s="173"/>
      <c r="B39" s="173"/>
      <c r="C39" s="173"/>
      <c r="D39" s="173"/>
      <c r="E39" s="173"/>
      <c r="F39" s="173"/>
      <c r="G39" s="173"/>
      <c r="H39" s="173"/>
      <c r="I39" s="173"/>
      <c r="J39" s="173"/>
      <c r="K39" s="173"/>
      <c r="L39" s="173"/>
      <c r="M39" s="173"/>
      <c r="N39" s="173"/>
      <c r="O39" s="173"/>
      <c r="P39" s="173"/>
      <c r="Q39" s="173"/>
      <c r="R39" s="173"/>
      <c r="S39" s="173"/>
      <c r="T39" s="173"/>
      <c r="U39" s="173"/>
      <c r="V39" s="173"/>
      <c r="W39" s="173"/>
      <c r="X39" s="173"/>
      <c r="Y39" s="173"/>
      <c r="Z39" s="173"/>
    </row>
    <row r="40" spans="1:26" ht="18" customHeight="1" x14ac:dyDescent="0.15">
      <c r="A40" s="6"/>
      <c r="B40" s="140" t="s">
        <v>74</v>
      </c>
      <c r="C40" s="163"/>
      <c r="D40" s="163"/>
      <c r="E40" s="141"/>
      <c r="F40" s="15" t="s">
        <v>75</v>
      </c>
      <c r="G40" s="75" t="s">
        <v>76</v>
      </c>
      <c r="H40" s="12" t="s">
        <v>77</v>
      </c>
      <c r="I40" s="72"/>
      <c r="J40" s="13"/>
      <c r="K40" s="50" t="s">
        <v>96</v>
      </c>
      <c r="L40" s="50" t="s">
        <v>97</v>
      </c>
      <c r="M40" s="50" t="s">
        <v>98</v>
      </c>
      <c r="N40" s="140" t="s">
        <v>74</v>
      </c>
      <c r="O40" s="163"/>
      <c r="P40" s="163"/>
      <c r="Q40" s="163"/>
      <c r="R40" s="141"/>
      <c r="S40" s="15" t="s">
        <v>75</v>
      </c>
      <c r="T40" s="75" t="s">
        <v>76</v>
      </c>
      <c r="U40" s="12" t="s">
        <v>77</v>
      </c>
      <c r="V40" s="72"/>
      <c r="W40" s="13"/>
      <c r="X40" s="50" t="s">
        <v>96</v>
      </c>
      <c r="Y40" s="50" t="s">
        <v>97</v>
      </c>
      <c r="Z40" s="50" t="s">
        <v>98</v>
      </c>
    </row>
    <row r="41" spans="1:26" ht="18" customHeight="1" x14ac:dyDescent="0.15">
      <c r="A41" s="14"/>
      <c r="B41" s="178" t="s">
        <v>127</v>
      </c>
      <c r="C41" s="179"/>
      <c r="D41" s="179"/>
      <c r="E41" s="180"/>
      <c r="F41" s="76">
        <v>1</v>
      </c>
      <c r="G41" s="76" t="s">
        <v>82</v>
      </c>
      <c r="H41" s="149" t="s">
        <v>81</v>
      </c>
      <c r="I41" s="150"/>
      <c r="J41" s="151"/>
      <c r="K41" s="95" t="s">
        <v>145</v>
      </c>
      <c r="L41" s="95" t="s">
        <v>145</v>
      </c>
      <c r="M41" s="85" t="s">
        <v>145</v>
      </c>
      <c r="N41" s="181"/>
      <c r="O41" s="182"/>
      <c r="P41" s="182"/>
      <c r="Q41" s="182"/>
      <c r="R41" s="183"/>
      <c r="S41" s="76"/>
      <c r="T41" s="76"/>
      <c r="U41" s="149"/>
      <c r="V41" s="150"/>
      <c r="W41" s="151"/>
      <c r="X41" s="80"/>
      <c r="Y41" s="76"/>
      <c r="Z41" s="76"/>
    </row>
    <row r="42" spans="1:26" ht="18" customHeight="1" x14ac:dyDescent="0.15">
      <c r="A42" s="14"/>
      <c r="B42" s="252" t="s">
        <v>144</v>
      </c>
      <c r="C42" s="253"/>
      <c r="D42" s="253"/>
      <c r="E42" s="254"/>
      <c r="F42" s="77">
        <v>2</v>
      </c>
      <c r="G42" s="77" t="s">
        <v>82</v>
      </c>
      <c r="H42" s="246" t="s">
        <v>81</v>
      </c>
      <c r="I42" s="247"/>
      <c r="J42" s="248"/>
      <c r="K42" s="96" t="s">
        <v>145</v>
      </c>
      <c r="L42" s="97" t="s">
        <v>145</v>
      </c>
      <c r="M42" s="77"/>
      <c r="N42" s="249"/>
      <c r="O42" s="250"/>
      <c r="P42" s="250"/>
      <c r="Q42" s="250"/>
      <c r="R42" s="251"/>
      <c r="S42" s="77"/>
      <c r="T42" s="77"/>
      <c r="U42" s="246"/>
      <c r="V42" s="247"/>
      <c r="W42" s="248"/>
      <c r="X42" s="79"/>
      <c r="Y42" s="77"/>
      <c r="Z42" s="77"/>
    </row>
    <row r="43" spans="1:26" ht="18" customHeight="1" x14ac:dyDescent="0.15">
      <c r="A43" s="14"/>
      <c r="B43" s="152" t="s">
        <v>143</v>
      </c>
      <c r="C43" s="153"/>
      <c r="D43" s="153"/>
      <c r="E43" s="154"/>
      <c r="F43" s="81">
        <v>2</v>
      </c>
      <c r="G43" s="81" t="s">
        <v>82</v>
      </c>
      <c r="H43" s="155" t="s">
        <v>81</v>
      </c>
      <c r="I43" s="156"/>
      <c r="J43" s="157"/>
      <c r="K43" s="110" t="s">
        <v>145</v>
      </c>
      <c r="L43" s="110" t="s">
        <v>145</v>
      </c>
      <c r="M43" s="111" t="s">
        <v>145</v>
      </c>
      <c r="N43" s="158"/>
      <c r="O43" s="159"/>
      <c r="P43" s="159"/>
      <c r="Q43" s="159"/>
      <c r="R43" s="160"/>
      <c r="S43" s="81"/>
      <c r="T43" s="81"/>
      <c r="U43" s="155"/>
      <c r="V43" s="156"/>
      <c r="W43" s="157"/>
      <c r="X43" s="109"/>
      <c r="Y43" s="81"/>
      <c r="Z43" s="81"/>
    </row>
    <row r="44" spans="1:26" ht="7.5" customHeight="1" x14ac:dyDescent="0.15">
      <c r="B44" s="51"/>
      <c r="C44" s="51"/>
      <c r="D44" s="51"/>
      <c r="E44" s="51"/>
      <c r="F44" s="51"/>
      <c r="G44" s="51"/>
      <c r="H44" s="51"/>
      <c r="I44" s="51"/>
      <c r="J44" s="51"/>
      <c r="K44" s="51"/>
      <c r="L44" s="51"/>
      <c r="M44" s="51"/>
      <c r="N44" s="51"/>
      <c r="O44" s="51"/>
      <c r="P44" s="51"/>
      <c r="Q44" s="51"/>
      <c r="R44" s="51"/>
      <c r="S44" s="51"/>
      <c r="T44" s="51"/>
      <c r="U44" s="51"/>
      <c r="V44" s="51"/>
      <c r="W44" s="51"/>
      <c r="X44" s="51"/>
      <c r="Y44" s="51"/>
    </row>
    <row r="45" spans="1:26" ht="18" customHeight="1" x14ac:dyDescent="0.15">
      <c r="A45" s="6" t="s">
        <v>100</v>
      </c>
      <c r="B45" s="6"/>
      <c r="C45" s="6"/>
      <c r="D45" s="6"/>
      <c r="E45" s="6"/>
      <c r="F45" s="6"/>
      <c r="G45" s="6"/>
      <c r="H45" s="6"/>
      <c r="I45" s="6"/>
      <c r="J45" s="6"/>
      <c r="K45" s="6"/>
      <c r="L45" s="14"/>
      <c r="M45" s="14"/>
      <c r="N45" s="14"/>
      <c r="O45" s="14"/>
      <c r="P45" s="14"/>
      <c r="Q45" s="14"/>
      <c r="R45" s="14"/>
      <c r="S45" s="14"/>
      <c r="T45" s="14"/>
      <c r="U45" s="14"/>
      <c r="V45" s="14"/>
      <c r="W45" s="14"/>
      <c r="X45" s="14"/>
      <c r="Y45" s="14"/>
      <c r="Z45" s="14"/>
    </row>
    <row r="46" spans="1:26" ht="18" customHeight="1" x14ac:dyDescent="0.15">
      <c r="A46" s="6"/>
      <c r="B46" s="140" t="s">
        <v>74</v>
      </c>
      <c r="C46" s="163"/>
      <c r="D46" s="163"/>
      <c r="E46" s="163"/>
      <c r="F46" s="141"/>
      <c r="G46" s="140" t="s">
        <v>101</v>
      </c>
      <c r="H46" s="163"/>
      <c r="I46" s="163"/>
      <c r="J46" s="163"/>
      <c r="K46" s="163"/>
      <c r="L46" s="163"/>
      <c r="M46" s="141"/>
      <c r="N46" s="187" t="s">
        <v>74</v>
      </c>
      <c r="O46" s="188"/>
      <c r="P46" s="188"/>
      <c r="Q46" s="188"/>
      <c r="R46" s="188"/>
      <c r="S46" s="189"/>
      <c r="T46" s="140" t="s">
        <v>101</v>
      </c>
      <c r="U46" s="163"/>
      <c r="V46" s="163"/>
      <c r="W46" s="163"/>
      <c r="X46" s="163"/>
      <c r="Y46" s="163"/>
      <c r="Z46" s="141"/>
    </row>
    <row r="47" spans="1:26" ht="18" customHeight="1" x14ac:dyDescent="0.15">
      <c r="A47" s="14"/>
      <c r="B47" s="130"/>
      <c r="C47" s="131"/>
      <c r="D47" s="131"/>
      <c r="E47" s="131"/>
      <c r="F47" s="177"/>
      <c r="G47" s="125"/>
      <c r="H47" s="126"/>
      <c r="I47" s="126"/>
      <c r="J47" s="126"/>
      <c r="K47" s="126"/>
      <c r="L47" s="126"/>
      <c r="M47" s="127"/>
      <c r="N47" s="130"/>
      <c r="O47" s="131"/>
      <c r="P47" s="131"/>
      <c r="Q47" s="131"/>
      <c r="R47" s="131"/>
      <c r="S47" s="177"/>
      <c r="T47" s="125"/>
      <c r="U47" s="126"/>
      <c r="V47" s="126"/>
      <c r="W47" s="126"/>
      <c r="X47" s="126"/>
      <c r="Y47" s="126"/>
      <c r="Z47" s="127"/>
    </row>
    <row r="48" spans="1:26" ht="18" customHeight="1" x14ac:dyDescent="0.15">
      <c r="A48" s="14"/>
      <c r="B48" s="18"/>
      <c r="C48" s="18"/>
      <c r="D48" s="18"/>
      <c r="E48" s="18"/>
      <c r="F48" s="18"/>
      <c r="G48" s="4"/>
      <c r="H48" s="4"/>
      <c r="I48" s="4"/>
      <c r="J48" s="4"/>
      <c r="K48" s="4"/>
      <c r="L48" s="4"/>
      <c r="M48" s="4"/>
      <c r="N48" s="18"/>
      <c r="O48" s="18"/>
      <c r="P48" s="18"/>
      <c r="Q48" s="18"/>
      <c r="R48" s="18"/>
      <c r="S48" s="18"/>
      <c r="T48" s="4"/>
      <c r="U48" s="4"/>
      <c r="V48" s="4"/>
      <c r="W48" s="4"/>
      <c r="X48" s="4"/>
      <c r="Y48" s="4"/>
      <c r="Z48" s="4"/>
    </row>
    <row r="49" spans="1:26" ht="18.75" customHeight="1" x14ac:dyDescent="0.15">
      <c r="A49" s="5" t="s">
        <v>104</v>
      </c>
    </row>
    <row r="50" spans="1:26" ht="18.75" customHeight="1" x14ac:dyDescent="0.15">
      <c r="B50" s="52" t="s">
        <v>105</v>
      </c>
      <c r="C50" s="53"/>
      <c r="D50" s="193" t="s">
        <v>106</v>
      </c>
      <c r="E50" s="193"/>
      <c r="F50" s="193"/>
      <c r="G50" s="193"/>
      <c r="H50" s="193"/>
      <c r="I50" s="193"/>
      <c r="J50" s="193"/>
      <c r="K50" s="193"/>
      <c r="L50" s="193"/>
      <c r="M50" s="193"/>
      <c r="N50" s="193"/>
      <c r="O50" s="193"/>
      <c r="P50" s="193"/>
      <c r="Q50" s="193"/>
      <c r="R50" s="193"/>
      <c r="S50" s="193"/>
      <c r="T50" s="193"/>
      <c r="U50" s="193"/>
      <c r="V50" s="193"/>
      <c r="W50" s="193"/>
      <c r="X50" s="193"/>
      <c r="Y50" s="193"/>
      <c r="Z50" s="194"/>
    </row>
    <row r="51" spans="1:26" ht="78" customHeight="1" x14ac:dyDescent="0.15">
      <c r="B51" s="195" t="s">
        <v>107</v>
      </c>
      <c r="C51" s="58" t="s">
        <v>78</v>
      </c>
      <c r="D51" s="197" t="s">
        <v>146</v>
      </c>
      <c r="E51" s="197"/>
      <c r="F51" s="197"/>
      <c r="G51" s="197"/>
      <c r="H51" s="197"/>
      <c r="I51" s="197"/>
      <c r="J51" s="197"/>
      <c r="K51" s="197"/>
      <c r="L51" s="197"/>
      <c r="M51" s="197"/>
      <c r="N51" s="197"/>
      <c r="O51" s="197"/>
      <c r="P51" s="197"/>
      <c r="Q51" s="197"/>
      <c r="R51" s="197"/>
      <c r="S51" s="197"/>
      <c r="T51" s="197"/>
      <c r="U51" s="197"/>
      <c r="V51" s="197"/>
      <c r="W51" s="197"/>
      <c r="X51" s="197"/>
      <c r="Y51" s="197"/>
      <c r="Z51" s="198"/>
    </row>
    <row r="52" spans="1:26" ht="133.5" customHeight="1" x14ac:dyDescent="0.15">
      <c r="B52" s="196"/>
      <c r="C52" s="73" t="s">
        <v>109</v>
      </c>
      <c r="D52" s="231" t="s">
        <v>147</v>
      </c>
      <c r="E52" s="231"/>
      <c r="F52" s="231"/>
      <c r="G52" s="231"/>
      <c r="H52" s="231"/>
      <c r="I52" s="231"/>
      <c r="J52" s="231"/>
      <c r="K52" s="231"/>
      <c r="L52" s="231"/>
      <c r="M52" s="231"/>
      <c r="N52" s="231"/>
      <c r="O52" s="231"/>
      <c r="P52" s="231"/>
      <c r="Q52" s="231"/>
      <c r="R52" s="231"/>
      <c r="S52" s="231"/>
      <c r="T52" s="231"/>
      <c r="U52" s="231"/>
      <c r="V52" s="231"/>
      <c r="W52" s="231"/>
      <c r="X52" s="231"/>
      <c r="Y52" s="231"/>
      <c r="Z52" s="232"/>
    </row>
    <row r="53" spans="1:26" ht="78" customHeight="1" x14ac:dyDescent="0.15">
      <c r="B53" s="210" t="s">
        <v>110</v>
      </c>
      <c r="C53" s="54" t="s">
        <v>85</v>
      </c>
      <c r="D53" s="233" t="s">
        <v>148</v>
      </c>
      <c r="E53" s="233"/>
      <c r="F53" s="233"/>
      <c r="G53" s="233"/>
      <c r="H53" s="233"/>
      <c r="I53" s="233"/>
      <c r="J53" s="233"/>
      <c r="K53" s="233"/>
      <c r="L53" s="233"/>
      <c r="M53" s="233"/>
      <c r="N53" s="233"/>
      <c r="O53" s="233"/>
      <c r="P53" s="233"/>
      <c r="Q53" s="233"/>
      <c r="R53" s="233"/>
      <c r="S53" s="233"/>
      <c r="T53" s="233"/>
      <c r="U53" s="233"/>
      <c r="V53" s="233"/>
      <c r="W53" s="233"/>
      <c r="X53" s="233"/>
      <c r="Y53" s="233"/>
      <c r="Z53" s="234"/>
    </row>
    <row r="54" spans="1:26" ht="78" customHeight="1" x14ac:dyDescent="0.15">
      <c r="B54" s="211"/>
      <c r="C54" s="74" t="s">
        <v>86</v>
      </c>
      <c r="D54" s="235" t="s">
        <v>134</v>
      </c>
      <c r="E54" s="235"/>
      <c r="F54" s="235"/>
      <c r="G54" s="235"/>
      <c r="H54" s="235"/>
      <c r="I54" s="235"/>
      <c r="J54" s="235"/>
      <c r="K54" s="235"/>
      <c r="L54" s="235"/>
      <c r="M54" s="235"/>
      <c r="N54" s="235"/>
      <c r="O54" s="235"/>
      <c r="P54" s="235"/>
      <c r="Q54" s="235"/>
      <c r="R54" s="235"/>
      <c r="S54" s="235"/>
      <c r="T54" s="235"/>
      <c r="U54" s="235"/>
      <c r="V54" s="235"/>
      <c r="W54" s="235"/>
      <c r="X54" s="235"/>
      <c r="Y54" s="235"/>
      <c r="Z54" s="236"/>
    </row>
    <row r="55" spans="1:26" ht="91.5" customHeight="1" x14ac:dyDescent="0.15">
      <c r="B55" s="210" t="s">
        <v>112</v>
      </c>
      <c r="C55" s="54" t="s">
        <v>88</v>
      </c>
      <c r="D55" s="233" t="s">
        <v>149</v>
      </c>
      <c r="E55" s="233"/>
      <c r="F55" s="233"/>
      <c r="G55" s="233"/>
      <c r="H55" s="233"/>
      <c r="I55" s="233"/>
      <c r="J55" s="233"/>
      <c r="K55" s="233"/>
      <c r="L55" s="233"/>
      <c r="M55" s="233"/>
      <c r="N55" s="233"/>
      <c r="O55" s="233"/>
      <c r="P55" s="233"/>
      <c r="Q55" s="233"/>
      <c r="R55" s="233"/>
      <c r="S55" s="233"/>
      <c r="T55" s="233"/>
      <c r="U55" s="233"/>
      <c r="V55" s="233"/>
      <c r="W55" s="233"/>
      <c r="X55" s="233"/>
      <c r="Y55" s="233"/>
      <c r="Z55" s="234"/>
    </row>
    <row r="56" spans="1:26" ht="66" customHeight="1" x14ac:dyDescent="0.15">
      <c r="B56" s="211"/>
      <c r="C56" s="56" t="s">
        <v>89</v>
      </c>
      <c r="D56" s="237" t="s">
        <v>150</v>
      </c>
      <c r="E56" s="237"/>
      <c r="F56" s="237"/>
      <c r="G56" s="237"/>
      <c r="H56" s="237"/>
      <c r="I56" s="237"/>
      <c r="J56" s="237"/>
      <c r="K56" s="237"/>
      <c r="L56" s="237"/>
      <c r="M56" s="237"/>
      <c r="N56" s="237"/>
      <c r="O56" s="237"/>
      <c r="P56" s="237"/>
      <c r="Q56" s="237"/>
      <c r="R56" s="237"/>
      <c r="S56" s="237"/>
      <c r="T56" s="237"/>
      <c r="U56" s="237"/>
      <c r="V56" s="237"/>
      <c r="W56" s="237"/>
      <c r="X56" s="237"/>
      <c r="Y56" s="237"/>
      <c r="Z56" s="238"/>
    </row>
    <row r="57" spans="1:26" ht="111.75" customHeight="1" x14ac:dyDescent="0.15">
      <c r="B57" s="195" t="s">
        <v>115</v>
      </c>
      <c r="C57" s="58" t="s">
        <v>91</v>
      </c>
      <c r="D57" s="197" t="s">
        <v>151</v>
      </c>
      <c r="E57" s="197"/>
      <c r="F57" s="197"/>
      <c r="G57" s="197"/>
      <c r="H57" s="197"/>
      <c r="I57" s="197"/>
      <c r="J57" s="197"/>
      <c r="K57" s="197"/>
      <c r="L57" s="197"/>
      <c r="M57" s="197"/>
      <c r="N57" s="197"/>
      <c r="O57" s="197"/>
      <c r="P57" s="197"/>
      <c r="Q57" s="197"/>
      <c r="R57" s="197"/>
      <c r="S57" s="197"/>
      <c r="T57" s="197"/>
      <c r="U57" s="197"/>
      <c r="V57" s="197"/>
      <c r="W57" s="197"/>
      <c r="X57" s="197"/>
      <c r="Y57" s="197"/>
      <c r="Z57" s="198"/>
    </row>
    <row r="58" spans="1:26" ht="86.25" customHeight="1" x14ac:dyDescent="0.15">
      <c r="B58" s="221"/>
      <c r="C58" s="55" t="s">
        <v>92</v>
      </c>
      <c r="D58" s="256" t="s">
        <v>152</v>
      </c>
      <c r="E58" s="256"/>
      <c r="F58" s="256"/>
      <c r="G58" s="256"/>
      <c r="H58" s="256"/>
      <c r="I58" s="256"/>
      <c r="J58" s="256"/>
      <c r="K58" s="256"/>
      <c r="L58" s="256"/>
      <c r="M58" s="256"/>
      <c r="N58" s="256"/>
      <c r="O58" s="256"/>
      <c r="P58" s="256"/>
      <c r="Q58" s="256"/>
      <c r="R58" s="256"/>
      <c r="S58" s="256"/>
      <c r="T58" s="256"/>
      <c r="U58" s="256"/>
      <c r="V58" s="256"/>
      <c r="W58" s="256"/>
      <c r="X58" s="256"/>
      <c r="Y58" s="256"/>
      <c r="Z58" s="257"/>
    </row>
    <row r="59" spans="1:26" ht="142.5" customHeight="1" x14ac:dyDescent="0.15">
      <c r="B59" s="195" t="s">
        <v>118</v>
      </c>
      <c r="C59" s="54" t="s">
        <v>96</v>
      </c>
      <c r="D59" s="255" t="s">
        <v>153</v>
      </c>
      <c r="E59" s="255"/>
      <c r="F59" s="255"/>
      <c r="G59" s="255"/>
      <c r="H59" s="255"/>
      <c r="I59" s="255"/>
      <c r="J59" s="255"/>
      <c r="K59" s="255"/>
      <c r="L59" s="255"/>
      <c r="M59" s="255"/>
      <c r="N59" s="255"/>
      <c r="O59" s="255"/>
      <c r="P59" s="255"/>
      <c r="Q59" s="255"/>
      <c r="R59" s="255"/>
      <c r="S59" s="255"/>
      <c r="T59" s="255"/>
      <c r="U59" s="255"/>
      <c r="V59" s="255"/>
      <c r="W59" s="255"/>
      <c r="X59" s="255"/>
      <c r="Y59" s="255"/>
      <c r="Z59" s="242"/>
    </row>
    <row r="60" spans="1:26" ht="100.5" customHeight="1" x14ac:dyDescent="0.15">
      <c r="B60" s="196"/>
      <c r="C60" s="55" t="s">
        <v>97</v>
      </c>
      <c r="D60" s="255" t="s">
        <v>153</v>
      </c>
      <c r="E60" s="255"/>
      <c r="F60" s="255"/>
      <c r="G60" s="255"/>
      <c r="H60" s="255"/>
      <c r="I60" s="255"/>
      <c r="J60" s="255"/>
      <c r="K60" s="255"/>
      <c r="L60" s="255"/>
      <c r="M60" s="255"/>
      <c r="N60" s="255"/>
      <c r="O60" s="255"/>
      <c r="P60" s="255"/>
      <c r="Q60" s="255"/>
      <c r="R60" s="255"/>
      <c r="S60" s="255"/>
      <c r="T60" s="255"/>
      <c r="U60" s="255"/>
      <c r="V60" s="255"/>
      <c r="W60" s="255"/>
      <c r="X60" s="255"/>
      <c r="Y60" s="255"/>
      <c r="Z60" s="242"/>
    </row>
    <row r="61" spans="1:26" ht="101.25" customHeight="1" x14ac:dyDescent="0.15">
      <c r="B61" s="211"/>
      <c r="C61" s="56" t="s">
        <v>98</v>
      </c>
      <c r="D61" s="243" t="s">
        <v>154</v>
      </c>
      <c r="E61" s="244"/>
      <c r="F61" s="244"/>
      <c r="G61" s="244"/>
      <c r="H61" s="244"/>
      <c r="I61" s="244"/>
      <c r="J61" s="244"/>
      <c r="K61" s="244"/>
      <c r="L61" s="244"/>
      <c r="M61" s="244"/>
      <c r="N61" s="244"/>
      <c r="O61" s="244"/>
      <c r="P61" s="244"/>
      <c r="Q61" s="244"/>
      <c r="R61" s="244"/>
      <c r="S61" s="244"/>
      <c r="T61" s="244"/>
      <c r="U61" s="244"/>
      <c r="V61" s="244"/>
      <c r="W61" s="244"/>
      <c r="X61" s="244"/>
      <c r="Y61" s="244"/>
      <c r="Z61" s="245"/>
    </row>
    <row r="62" spans="1:26" ht="6" customHeight="1" x14ac:dyDescent="0.15"/>
    <row r="63" spans="1:26" ht="18.75" customHeight="1" x14ac:dyDescent="0.15">
      <c r="A63" s="5" t="s">
        <v>122</v>
      </c>
    </row>
    <row r="64" spans="1:26" ht="18.75" customHeight="1" x14ac:dyDescent="0.15">
      <c r="B64" s="201" t="s">
        <v>220</v>
      </c>
      <c r="C64" s="202"/>
      <c r="D64" s="202"/>
      <c r="E64" s="202"/>
      <c r="F64" s="202"/>
      <c r="G64" s="202"/>
      <c r="H64" s="202"/>
      <c r="I64" s="202"/>
      <c r="J64" s="202"/>
      <c r="K64" s="202"/>
      <c r="L64" s="202"/>
      <c r="M64" s="202"/>
      <c r="N64" s="202"/>
      <c r="O64" s="202"/>
      <c r="P64" s="202"/>
      <c r="Q64" s="202"/>
      <c r="R64" s="202"/>
      <c r="S64" s="202"/>
      <c r="T64" s="202"/>
      <c r="U64" s="202"/>
      <c r="V64" s="202"/>
      <c r="W64" s="202"/>
      <c r="X64" s="202"/>
      <c r="Y64" s="202"/>
      <c r="Z64" s="203"/>
    </row>
    <row r="65" spans="1:26" ht="18.75" customHeight="1" x14ac:dyDescent="0.15">
      <c r="B65" s="204"/>
      <c r="C65" s="205"/>
      <c r="D65" s="205"/>
      <c r="E65" s="205"/>
      <c r="F65" s="205"/>
      <c r="G65" s="205"/>
      <c r="H65" s="205"/>
      <c r="I65" s="205"/>
      <c r="J65" s="205"/>
      <c r="K65" s="205"/>
      <c r="L65" s="205"/>
      <c r="M65" s="205"/>
      <c r="N65" s="205"/>
      <c r="O65" s="205"/>
      <c r="P65" s="205"/>
      <c r="Q65" s="205"/>
      <c r="R65" s="205"/>
      <c r="S65" s="205"/>
      <c r="T65" s="205"/>
      <c r="U65" s="205"/>
      <c r="V65" s="205"/>
      <c r="W65" s="205"/>
      <c r="X65" s="205"/>
      <c r="Y65" s="205"/>
      <c r="Z65" s="206"/>
    </row>
    <row r="66" spans="1:26" ht="18.75" customHeight="1" x14ac:dyDescent="0.15">
      <c r="B66" s="207"/>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9"/>
    </row>
    <row r="67" spans="1:26" ht="6" customHeight="1" x14ac:dyDescent="0.15"/>
    <row r="68" spans="1:26" ht="15" customHeight="1" x14ac:dyDescent="0.15">
      <c r="A68" s="5" t="s">
        <v>123</v>
      </c>
    </row>
    <row r="69" spans="1:26" ht="15" customHeight="1" x14ac:dyDescent="0.15">
      <c r="B69" s="218" t="s">
        <v>124</v>
      </c>
      <c r="C69" s="219"/>
      <c r="D69" s="219"/>
      <c r="E69" s="219"/>
      <c r="F69" s="219"/>
      <c r="G69" s="219"/>
      <c r="H69" s="219"/>
      <c r="I69" s="219"/>
      <c r="J69" s="219"/>
      <c r="K69" s="219"/>
      <c r="L69" s="219"/>
      <c r="M69" s="219"/>
      <c r="N69" s="219"/>
      <c r="O69" s="219"/>
      <c r="P69" s="219"/>
      <c r="Q69" s="219"/>
      <c r="R69" s="219"/>
      <c r="S69" s="219"/>
      <c r="T69" s="219"/>
      <c r="U69" s="219"/>
      <c r="V69" s="219"/>
      <c r="W69" s="219"/>
      <c r="X69" s="219"/>
      <c r="Y69" s="219"/>
      <c r="Z69" s="220"/>
    </row>
  </sheetData>
  <mergeCells count="102">
    <mergeCell ref="B64:Z66"/>
    <mergeCell ref="B69:Z69"/>
    <mergeCell ref="D60:Z60"/>
    <mergeCell ref="W1:Z1"/>
    <mergeCell ref="B15:F15"/>
    <mergeCell ref="B16:F16"/>
    <mergeCell ref="B17:F17"/>
    <mergeCell ref="N15:S15"/>
    <mergeCell ref="N16:S16"/>
    <mergeCell ref="N17:S17"/>
    <mergeCell ref="I17:K17"/>
    <mergeCell ref="A2:Z2"/>
    <mergeCell ref="B6:Z11"/>
    <mergeCell ref="A13:Z14"/>
    <mergeCell ref="N27:S27"/>
    <mergeCell ref="N28:S28"/>
    <mergeCell ref="N29:S29"/>
    <mergeCell ref="N30:S30"/>
    <mergeCell ref="B27:F27"/>
    <mergeCell ref="B28:F28"/>
    <mergeCell ref="B29:F29"/>
    <mergeCell ref="B30:F30"/>
    <mergeCell ref="B40:E40"/>
    <mergeCell ref="N40:R40"/>
    <mergeCell ref="N22:S22"/>
    <mergeCell ref="I36:K36"/>
    <mergeCell ref="V36:X36"/>
    <mergeCell ref="B34:F34"/>
    <mergeCell ref="B35:F35"/>
    <mergeCell ref="B36:F36"/>
    <mergeCell ref="A32:Z33"/>
    <mergeCell ref="I34:K34"/>
    <mergeCell ref="V34:X34"/>
    <mergeCell ref="I35:K35"/>
    <mergeCell ref="V35:X35"/>
    <mergeCell ref="N36:S36"/>
    <mergeCell ref="I29:K29"/>
    <mergeCell ref="V29:X29"/>
    <mergeCell ref="I30:K30"/>
    <mergeCell ref="V30:X30"/>
    <mergeCell ref="N34:S34"/>
    <mergeCell ref="N35:S35"/>
    <mergeCell ref="A38:Z39"/>
    <mergeCell ref="I15:K15"/>
    <mergeCell ref="I16:K16"/>
    <mergeCell ref="V15:X15"/>
    <mergeCell ref="V16:X16"/>
    <mergeCell ref="O4:Z4"/>
    <mergeCell ref="V17:X17"/>
    <mergeCell ref="V27:X27"/>
    <mergeCell ref="I28:K28"/>
    <mergeCell ref="V28:X28"/>
    <mergeCell ref="I27:K27"/>
    <mergeCell ref="A19:Z20"/>
    <mergeCell ref="V21:X21"/>
    <mergeCell ref="V22:X22"/>
    <mergeCell ref="V23:X23"/>
    <mergeCell ref="I21:K21"/>
    <mergeCell ref="I22:K22"/>
    <mergeCell ref="I23:K23"/>
    <mergeCell ref="B21:F21"/>
    <mergeCell ref="B22:F22"/>
    <mergeCell ref="B23:F23"/>
    <mergeCell ref="N21:S21"/>
    <mergeCell ref="N23:S23"/>
    <mergeCell ref="A25:Z26"/>
    <mergeCell ref="B53:B54"/>
    <mergeCell ref="B55:B56"/>
    <mergeCell ref="B51:B52"/>
    <mergeCell ref="B59:B61"/>
    <mergeCell ref="D59:Z59"/>
    <mergeCell ref="D61:Z61"/>
    <mergeCell ref="B57:B58"/>
    <mergeCell ref="D57:Z57"/>
    <mergeCell ref="D58:Z58"/>
    <mergeCell ref="D50:Z50"/>
    <mergeCell ref="D51:Z51"/>
    <mergeCell ref="D52:Z52"/>
    <mergeCell ref="D53:Z53"/>
    <mergeCell ref="D56:Z56"/>
    <mergeCell ref="D54:Z54"/>
    <mergeCell ref="D55:Z55"/>
    <mergeCell ref="N47:S47"/>
    <mergeCell ref="T47:Z47"/>
    <mergeCell ref="T46:Z46"/>
    <mergeCell ref="B47:F47"/>
    <mergeCell ref="G47:M47"/>
    <mergeCell ref="U41:W41"/>
    <mergeCell ref="U42:W42"/>
    <mergeCell ref="H43:J43"/>
    <mergeCell ref="U43:W43"/>
    <mergeCell ref="B46:F46"/>
    <mergeCell ref="G46:M46"/>
    <mergeCell ref="N46:S46"/>
    <mergeCell ref="N41:R41"/>
    <mergeCell ref="N42:R42"/>
    <mergeCell ref="N43:R43"/>
    <mergeCell ref="B41:E41"/>
    <mergeCell ref="B42:E42"/>
    <mergeCell ref="B43:E43"/>
    <mergeCell ref="H41:J41"/>
    <mergeCell ref="H42:J42"/>
  </mergeCells>
  <phoneticPr fontId="1"/>
  <dataValidations count="4">
    <dataValidation type="list" allowBlank="1" showInputMessage="1" showErrorMessage="1" sqref="Y16:Z17 L16:M17 Y22:Z23 H22:H23 H28:H30 Y28:Z30 H35:H36 Y35:Z36 Y41:Z43 H16:H17 U16:U17 L35:M36 U22:U23 U28:U30 T41:T43 U35:U36 L28:M30 G41:G43 M42 L22:M23">
      <formula1>"○"</formula1>
    </dataValidation>
    <dataValidation type="list" allowBlank="1" showInputMessage="1" showErrorMessage="1" sqref="Z18 Z24 D24:K24 D18:K18 V16:V17 I16:I17 V22:V23 I35:I36 V28:V30 I22:I23 V35:V36 I28:I30 U41:U43 H41:H43">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T47:Z48 G47:M4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61" orientation="portrait" horizontalDpi="4294967292" r:id="rId1"/>
  <rowBreaks count="1" manualBreakCount="1">
    <brk id="48"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
  <sheetViews>
    <sheetView view="pageBreakPreview" zoomScaleNormal="100" zoomScaleSheetLayoutView="100" workbookViewId="0">
      <selection activeCell="F18" sqref="F18"/>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8" t="s">
        <v>155</v>
      </c>
      <c r="G1" s="258"/>
      <c r="H1" s="258"/>
      <c r="I1" s="258"/>
      <c r="J1" s="258"/>
      <c r="K1" s="258"/>
      <c r="L1" s="258"/>
      <c r="M1" s="258"/>
      <c r="N1" s="258"/>
      <c r="O1" s="258"/>
      <c r="P1" s="258"/>
      <c r="Q1" s="258"/>
      <c r="R1" s="258"/>
    </row>
    <row r="2" spans="1:20" ht="18" customHeight="1" x14ac:dyDescent="0.15">
      <c r="A2" s="259" t="s">
        <v>156</v>
      </c>
      <c r="B2" s="259"/>
      <c r="C2" s="259"/>
      <c r="D2" s="259"/>
      <c r="E2" s="259"/>
      <c r="F2" s="259"/>
      <c r="G2" s="259"/>
      <c r="H2" s="259"/>
      <c r="I2" s="259"/>
      <c r="J2" s="259"/>
      <c r="K2" s="259"/>
      <c r="L2" s="259"/>
      <c r="M2" s="259"/>
      <c r="N2" s="259"/>
      <c r="O2" s="259"/>
      <c r="P2" s="259"/>
      <c r="Q2" s="259"/>
      <c r="R2" s="259"/>
      <c r="S2" s="3"/>
    </row>
    <row r="3" spans="1:20" ht="7.5" customHeight="1" x14ac:dyDescent="0.15">
      <c r="A3" s="19"/>
      <c r="B3" s="19"/>
      <c r="C3" s="19"/>
      <c r="D3" s="19"/>
      <c r="E3" s="19"/>
      <c r="F3" s="19"/>
      <c r="G3" s="19"/>
      <c r="H3" s="19"/>
      <c r="I3" s="19"/>
      <c r="J3" s="19"/>
      <c r="K3" s="19"/>
      <c r="L3" s="19"/>
      <c r="M3" s="19"/>
      <c r="N3" s="19"/>
      <c r="O3" s="19"/>
      <c r="P3" s="19"/>
      <c r="Q3" s="19"/>
      <c r="R3" s="19"/>
    </row>
    <row r="4" spans="1:20" ht="18" customHeight="1" x14ac:dyDescent="0.15">
      <c r="A4" s="3" t="s">
        <v>157</v>
      </c>
      <c r="B4" s="3"/>
      <c r="C4" s="260" t="str">
        <f>'様式１　大学等概要'!E12</f>
        <v>令和３年度</v>
      </c>
      <c r="D4" s="261"/>
      <c r="E4" s="19" t="s">
        <v>20</v>
      </c>
      <c r="F4" s="19"/>
      <c r="G4" s="19"/>
      <c r="H4" s="19"/>
      <c r="I4" s="19"/>
      <c r="J4" s="59"/>
      <c r="K4" s="19"/>
      <c r="L4" s="19"/>
      <c r="M4" s="26"/>
      <c r="N4" s="26"/>
      <c r="O4" s="26"/>
      <c r="P4" s="26"/>
      <c r="Q4" s="26"/>
      <c r="R4" s="26"/>
    </row>
    <row r="5" spans="1:20" ht="6" customHeight="1" x14ac:dyDescent="0.15">
      <c r="A5" s="19"/>
      <c r="B5" s="19"/>
      <c r="C5" s="19"/>
      <c r="D5" s="19"/>
      <c r="E5" s="19"/>
      <c r="F5" s="19"/>
      <c r="G5" s="19"/>
      <c r="H5" s="19"/>
      <c r="I5" s="19"/>
      <c r="J5" s="19"/>
      <c r="K5" s="19"/>
      <c r="L5" s="19"/>
      <c r="M5" s="19"/>
      <c r="N5" s="19"/>
      <c r="O5" s="19"/>
      <c r="P5" s="19"/>
      <c r="Q5" s="19"/>
      <c r="R5" s="19"/>
    </row>
    <row r="6" spans="1:20" ht="18" customHeight="1" x14ac:dyDescent="0.15">
      <c r="A6" s="3" t="s">
        <v>158</v>
      </c>
      <c r="B6" s="19"/>
      <c r="C6" s="19"/>
      <c r="D6" s="19"/>
      <c r="E6" s="19"/>
      <c r="F6" s="19"/>
      <c r="G6" s="19"/>
      <c r="H6" s="19"/>
      <c r="I6" s="19"/>
      <c r="J6" s="19"/>
      <c r="K6" s="19"/>
      <c r="L6" s="19"/>
      <c r="M6" s="19"/>
      <c r="N6" s="19"/>
      <c r="O6" s="19"/>
      <c r="P6" s="19"/>
      <c r="Q6" s="19"/>
      <c r="R6" s="19"/>
    </row>
    <row r="7" spans="1:20" ht="6" customHeight="1" x14ac:dyDescent="0.15">
      <c r="A7" s="3"/>
      <c r="B7" s="19"/>
      <c r="C7" s="19"/>
      <c r="D7" s="19"/>
      <c r="E7" s="19"/>
      <c r="F7" s="19"/>
      <c r="G7" s="19"/>
      <c r="H7" s="19"/>
      <c r="I7" s="19"/>
      <c r="J7" s="19"/>
      <c r="K7" s="19"/>
      <c r="L7" s="19"/>
      <c r="M7" s="19"/>
      <c r="N7" s="19"/>
      <c r="O7" s="19"/>
      <c r="P7" s="19"/>
      <c r="Q7" s="19"/>
      <c r="R7" s="19"/>
    </row>
    <row r="8" spans="1:20" ht="18" customHeight="1" x14ac:dyDescent="0.15">
      <c r="B8" s="262" t="s">
        <v>159</v>
      </c>
      <c r="C8" s="264" t="s">
        <v>160</v>
      </c>
      <c r="D8" s="266" t="s">
        <v>161</v>
      </c>
      <c r="E8" s="268" t="s">
        <v>162</v>
      </c>
      <c r="F8" s="268"/>
      <c r="G8" s="268" t="s">
        <v>163</v>
      </c>
      <c r="H8" s="268"/>
      <c r="I8" s="268" t="s">
        <v>164</v>
      </c>
      <c r="J8" s="268"/>
      <c r="K8" s="269" t="s">
        <v>165</v>
      </c>
      <c r="L8" s="270"/>
      <c r="M8" s="269" t="s">
        <v>166</v>
      </c>
      <c r="N8" s="270"/>
      <c r="O8" s="269" t="s">
        <v>167</v>
      </c>
      <c r="P8" s="270"/>
      <c r="Q8" s="271" t="s">
        <v>168</v>
      </c>
      <c r="R8" s="273" t="s">
        <v>169</v>
      </c>
      <c r="T8" s="17"/>
    </row>
    <row r="9" spans="1:20" ht="18" customHeight="1" x14ac:dyDescent="0.15">
      <c r="A9" s="3"/>
      <c r="B9" s="263"/>
      <c r="C9" s="265"/>
      <c r="D9" s="267"/>
      <c r="E9" s="22" t="s">
        <v>170</v>
      </c>
      <c r="F9" s="23" t="s">
        <v>171</v>
      </c>
      <c r="G9" s="24" t="s">
        <v>170</v>
      </c>
      <c r="H9" s="25" t="s">
        <v>171</v>
      </c>
      <c r="I9" s="22" t="s">
        <v>170</v>
      </c>
      <c r="J9" s="23" t="s">
        <v>171</v>
      </c>
      <c r="K9" s="24" t="s">
        <v>170</v>
      </c>
      <c r="L9" s="25" t="s">
        <v>171</v>
      </c>
      <c r="M9" s="22" t="s">
        <v>170</v>
      </c>
      <c r="N9" s="23" t="s">
        <v>171</v>
      </c>
      <c r="O9" s="24" t="s">
        <v>170</v>
      </c>
      <c r="P9" s="25" t="s">
        <v>171</v>
      </c>
      <c r="Q9" s="272"/>
      <c r="R9" s="274"/>
      <c r="T9" s="17"/>
    </row>
    <row r="10" spans="1:20" ht="18" customHeight="1" x14ac:dyDescent="0.15">
      <c r="A10" s="26"/>
      <c r="B10" s="60" t="s">
        <v>172</v>
      </c>
      <c r="C10" s="26">
        <v>180</v>
      </c>
      <c r="D10" s="27">
        <v>1080</v>
      </c>
      <c r="E10" s="28">
        <v>23</v>
      </c>
      <c r="F10" s="29">
        <v>22</v>
      </c>
      <c r="G10" s="30">
        <v>0</v>
      </c>
      <c r="H10" s="31">
        <v>0</v>
      </c>
      <c r="I10" s="28">
        <v>0</v>
      </c>
      <c r="J10" s="29">
        <v>0</v>
      </c>
      <c r="K10" s="30">
        <v>0</v>
      </c>
      <c r="L10" s="31">
        <v>0</v>
      </c>
      <c r="M10" s="28">
        <v>0</v>
      </c>
      <c r="N10" s="29">
        <v>0</v>
      </c>
      <c r="O10" s="30">
        <v>0</v>
      </c>
      <c r="P10" s="31">
        <v>0</v>
      </c>
      <c r="Q10" s="32">
        <f>E10+G10+I10+K10+M10+O10</f>
        <v>23</v>
      </c>
      <c r="R10" s="33">
        <f>Q10/D10</f>
        <v>2.1296296296296296E-2</v>
      </c>
    </row>
    <row r="11" spans="1:20" ht="18" customHeight="1" x14ac:dyDescent="0.15">
      <c r="A11" s="26"/>
      <c r="B11" s="61" t="s">
        <v>173</v>
      </c>
      <c r="C11" s="41">
        <v>120</v>
      </c>
      <c r="D11" s="34">
        <v>480</v>
      </c>
      <c r="E11" s="35">
        <v>108</v>
      </c>
      <c r="F11" s="36">
        <v>100</v>
      </c>
      <c r="G11" s="37">
        <v>0</v>
      </c>
      <c r="H11" s="38">
        <v>0</v>
      </c>
      <c r="I11" s="35">
        <v>0</v>
      </c>
      <c r="J11" s="36">
        <v>0</v>
      </c>
      <c r="K11" s="37">
        <v>0</v>
      </c>
      <c r="L11" s="38">
        <v>0</v>
      </c>
      <c r="M11" s="35">
        <v>0</v>
      </c>
      <c r="N11" s="36">
        <v>0</v>
      </c>
      <c r="O11" s="37">
        <v>0</v>
      </c>
      <c r="P11" s="38">
        <v>0</v>
      </c>
      <c r="Q11" s="39">
        <f t="shared" ref="Q11:Q12" si="0">E11+G11+I11+K11+M11+O11</f>
        <v>108</v>
      </c>
      <c r="R11" s="40">
        <f t="shared" ref="R11:R12" si="1">Q11/D11</f>
        <v>0.22500000000000001</v>
      </c>
    </row>
    <row r="12" spans="1:20" ht="18" customHeight="1" thickBot="1" x14ac:dyDescent="0.2">
      <c r="A12" s="26"/>
      <c r="B12" s="61" t="s">
        <v>174</v>
      </c>
      <c r="C12" s="41">
        <v>60</v>
      </c>
      <c r="D12" s="34">
        <v>240</v>
      </c>
      <c r="E12" s="35">
        <v>38</v>
      </c>
      <c r="F12" s="36">
        <v>34</v>
      </c>
      <c r="G12" s="37">
        <v>0</v>
      </c>
      <c r="H12" s="38">
        <v>0</v>
      </c>
      <c r="I12" s="35">
        <v>0</v>
      </c>
      <c r="J12" s="36">
        <v>0</v>
      </c>
      <c r="K12" s="37">
        <v>0</v>
      </c>
      <c r="L12" s="38">
        <v>0</v>
      </c>
      <c r="M12" s="35">
        <v>0</v>
      </c>
      <c r="N12" s="36">
        <v>0</v>
      </c>
      <c r="O12" s="37">
        <v>0</v>
      </c>
      <c r="P12" s="38">
        <v>0</v>
      </c>
      <c r="Q12" s="39">
        <f t="shared" si="0"/>
        <v>38</v>
      </c>
      <c r="R12" s="40">
        <f t="shared" si="1"/>
        <v>0.15833333333333333</v>
      </c>
    </row>
    <row r="13" spans="1:20" ht="18" customHeight="1" thickTop="1" x14ac:dyDescent="0.15">
      <c r="B13" s="62" t="s">
        <v>175</v>
      </c>
      <c r="C13" s="63">
        <f t="shared" ref="C13:Q13" si="2">SUM(C10:C12)</f>
        <v>360</v>
      </c>
      <c r="D13" s="42">
        <f t="shared" si="2"/>
        <v>1800</v>
      </c>
      <c r="E13" s="43">
        <f t="shared" si="2"/>
        <v>169</v>
      </c>
      <c r="F13" s="44">
        <f t="shared" si="2"/>
        <v>156</v>
      </c>
      <c r="G13" s="45">
        <f t="shared" si="2"/>
        <v>0</v>
      </c>
      <c r="H13" s="46">
        <f t="shared" si="2"/>
        <v>0</v>
      </c>
      <c r="I13" s="43">
        <f t="shared" si="2"/>
        <v>0</v>
      </c>
      <c r="J13" s="44">
        <f t="shared" si="2"/>
        <v>0</v>
      </c>
      <c r="K13" s="45">
        <f t="shared" si="2"/>
        <v>0</v>
      </c>
      <c r="L13" s="46">
        <f t="shared" si="2"/>
        <v>0</v>
      </c>
      <c r="M13" s="43">
        <f t="shared" si="2"/>
        <v>0</v>
      </c>
      <c r="N13" s="44">
        <f t="shared" si="2"/>
        <v>0</v>
      </c>
      <c r="O13" s="45">
        <f t="shared" si="2"/>
        <v>0</v>
      </c>
      <c r="P13" s="46">
        <f t="shared" si="2"/>
        <v>0</v>
      </c>
      <c r="Q13" s="47">
        <f t="shared" si="2"/>
        <v>169</v>
      </c>
      <c r="R13" s="48">
        <f>Q13/D13</f>
        <v>9.3888888888888883E-2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horizont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showZeros="0" view="pageBreakPreview" zoomScaleNormal="100" zoomScaleSheetLayoutView="100" workbookViewId="0">
      <selection activeCell="N27" sqref="N27"/>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16"/>
    <col min="12" max="16384" width="11.375" style="1"/>
  </cols>
  <sheetData>
    <row r="1" spans="1:11" ht="18.75" customHeight="1" x14ac:dyDescent="0.15">
      <c r="A1" s="2" t="s">
        <v>176</v>
      </c>
      <c r="J1" s="21" t="s">
        <v>177</v>
      </c>
    </row>
    <row r="2" spans="1:11" ht="18.75" customHeight="1" x14ac:dyDescent="0.15">
      <c r="A2" s="259" t="s">
        <v>178</v>
      </c>
      <c r="B2" s="259"/>
      <c r="C2" s="259"/>
      <c r="D2" s="259"/>
      <c r="E2" s="259"/>
      <c r="F2" s="259"/>
      <c r="G2" s="259"/>
      <c r="H2" s="259"/>
      <c r="I2" s="259"/>
      <c r="J2" s="259"/>
    </row>
    <row r="3" spans="1:11" ht="7.5" customHeight="1" x14ac:dyDescent="0.15">
      <c r="B3" s="19"/>
      <c r="C3" s="19"/>
      <c r="D3" s="19"/>
      <c r="E3" s="19"/>
      <c r="F3" s="19"/>
      <c r="G3" s="19"/>
      <c r="H3" s="19"/>
      <c r="I3" s="19"/>
      <c r="J3" s="19"/>
    </row>
    <row r="4" spans="1:11" ht="18.75" customHeight="1" x14ac:dyDescent="0.15">
      <c r="A4" s="1" t="s">
        <v>2</v>
      </c>
      <c r="B4" s="3" t="s">
        <v>179</v>
      </c>
      <c r="C4" s="3"/>
      <c r="D4" s="3"/>
      <c r="E4" s="3"/>
      <c r="F4" s="3"/>
      <c r="G4" s="3"/>
      <c r="H4" s="3"/>
      <c r="I4" s="19"/>
      <c r="J4" s="19"/>
    </row>
    <row r="5" spans="1:11" ht="18.75" customHeight="1" x14ac:dyDescent="0.15">
      <c r="A5" s="1"/>
      <c r="B5" s="130" t="s">
        <v>180</v>
      </c>
      <c r="C5" s="131"/>
      <c r="D5" s="131"/>
      <c r="E5" s="131"/>
      <c r="F5" s="131"/>
      <c r="G5" s="131"/>
      <c r="H5" s="131"/>
      <c r="I5" s="131"/>
      <c r="J5" s="177"/>
      <c r="K5" s="16" t="str">
        <f>IF(B5="","入力してください","")</f>
        <v/>
      </c>
    </row>
    <row r="6" spans="1:11" ht="7.5" customHeight="1" x14ac:dyDescent="0.15">
      <c r="B6" s="19"/>
      <c r="C6" s="19"/>
      <c r="D6" s="19"/>
      <c r="E6" s="19"/>
      <c r="F6" s="19"/>
      <c r="G6" s="19"/>
      <c r="H6" s="19"/>
      <c r="I6" s="19"/>
      <c r="J6" s="19"/>
    </row>
    <row r="7" spans="1:11" s="3" customFormat="1" ht="18.75" customHeight="1" x14ac:dyDescent="0.15">
      <c r="A7" s="1" t="s">
        <v>5</v>
      </c>
      <c r="B7" s="1" t="s">
        <v>181</v>
      </c>
      <c r="C7" s="1"/>
      <c r="D7" s="1"/>
      <c r="E7" s="1"/>
      <c r="F7" s="1"/>
      <c r="G7" s="1"/>
      <c r="H7" s="1"/>
      <c r="I7" s="1"/>
      <c r="J7" s="1"/>
      <c r="K7" s="16"/>
    </row>
    <row r="8" spans="1:11" s="3" customFormat="1" ht="18.75" customHeight="1" x14ac:dyDescent="0.15">
      <c r="A8" s="64"/>
      <c r="B8" s="284" t="s">
        <v>182</v>
      </c>
      <c r="C8" s="285"/>
      <c r="D8" s="285"/>
      <c r="E8" s="285"/>
      <c r="F8" s="285"/>
      <c r="G8" s="285"/>
      <c r="H8" s="285"/>
      <c r="I8" s="286"/>
      <c r="J8" s="287"/>
      <c r="K8" s="16" t="str">
        <f>IF(B8="","入力してください","")</f>
        <v/>
      </c>
    </row>
    <row r="9" spans="1:11" s="3" customFormat="1" ht="18.75" customHeight="1" x14ac:dyDescent="0.15">
      <c r="A9" s="64"/>
      <c r="B9" s="288"/>
      <c r="C9" s="289"/>
      <c r="D9" s="289"/>
      <c r="E9" s="289"/>
      <c r="F9" s="289"/>
      <c r="G9" s="289"/>
      <c r="H9" s="289"/>
      <c r="I9" s="289"/>
      <c r="J9" s="290"/>
      <c r="K9" s="16"/>
    </row>
    <row r="10" spans="1:11" s="3" customFormat="1" ht="18.75" customHeight="1" x14ac:dyDescent="0.15">
      <c r="A10" s="64"/>
      <c r="B10" s="288"/>
      <c r="C10" s="289"/>
      <c r="D10" s="289"/>
      <c r="E10" s="289"/>
      <c r="F10" s="289"/>
      <c r="G10" s="289"/>
      <c r="H10" s="289"/>
      <c r="I10" s="289"/>
      <c r="J10" s="290"/>
      <c r="K10" s="16"/>
    </row>
    <row r="11" spans="1:11" s="3" customFormat="1" ht="18.75" customHeight="1" x14ac:dyDescent="0.15">
      <c r="A11" s="64"/>
      <c r="B11" s="291"/>
      <c r="C11" s="292"/>
      <c r="D11" s="292"/>
      <c r="E11" s="292"/>
      <c r="F11" s="292"/>
      <c r="G11" s="292"/>
      <c r="H11" s="292"/>
      <c r="I11" s="292"/>
      <c r="J11" s="293"/>
      <c r="K11" s="16"/>
    </row>
    <row r="12" spans="1:11" s="3" customFormat="1" ht="7.5" customHeight="1" x14ac:dyDescent="0.15">
      <c r="A12" s="64"/>
      <c r="B12" s="64"/>
      <c r="C12" s="64"/>
      <c r="D12" s="64"/>
      <c r="E12" s="64"/>
      <c r="F12" s="64"/>
      <c r="G12" s="64"/>
      <c r="H12" s="64"/>
      <c r="I12" s="64"/>
      <c r="J12" s="64"/>
      <c r="K12" s="16"/>
    </row>
    <row r="13" spans="1:11" s="3" customFormat="1" ht="18.75" customHeight="1" x14ac:dyDescent="0.15">
      <c r="A13" s="65" t="s">
        <v>183</v>
      </c>
      <c r="B13" s="65" t="s">
        <v>184</v>
      </c>
      <c r="C13" s="65"/>
      <c r="D13" s="65"/>
      <c r="E13" s="65"/>
      <c r="F13" s="65"/>
      <c r="G13" s="65"/>
      <c r="H13" s="65"/>
      <c r="I13" s="65"/>
      <c r="J13" s="65"/>
      <c r="K13" s="16"/>
    </row>
    <row r="14" spans="1:11" s="3" customFormat="1" ht="18.75" customHeight="1" x14ac:dyDescent="0.15">
      <c r="A14" s="64"/>
      <c r="B14" s="284" t="s">
        <v>185</v>
      </c>
      <c r="C14" s="285"/>
      <c r="D14" s="285"/>
      <c r="E14" s="285"/>
      <c r="F14" s="285"/>
      <c r="G14" s="285"/>
      <c r="H14" s="285"/>
      <c r="I14" s="286"/>
      <c r="J14" s="287"/>
      <c r="K14" s="16" t="str">
        <f>IF(B14="","入力してください","")</f>
        <v/>
      </c>
    </row>
    <row r="15" spans="1:11" s="3" customFormat="1" ht="18.75" customHeight="1" x14ac:dyDescent="0.15">
      <c r="A15" s="64"/>
      <c r="B15" s="288"/>
      <c r="C15" s="289"/>
      <c r="D15" s="289"/>
      <c r="E15" s="289"/>
      <c r="F15" s="289"/>
      <c r="G15" s="289"/>
      <c r="H15" s="289"/>
      <c r="I15" s="289"/>
      <c r="J15" s="290"/>
      <c r="K15" s="16"/>
    </row>
    <row r="16" spans="1:11" s="3" customFormat="1" ht="18.75" customHeight="1" x14ac:dyDescent="0.15">
      <c r="A16" s="64"/>
      <c r="B16" s="288"/>
      <c r="C16" s="289"/>
      <c r="D16" s="289"/>
      <c r="E16" s="289"/>
      <c r="F16" s="289"/>
      <c r="G16" s="289"/>
      <c r="H16" s="289"/>
      <c r="I16" s="289"/>
      <c r="J16" s="290"/>
      <c r="K16" s="16"/>
    </row>
    <row r="17" spans="1:11" s="3" customFormat="1" ht="18.75" customHeight="1" x14ac:dyDescent="0.15">
      <c r="A17" s="64"/>
      <c r="B17" s="288"/>
      <c r="C17" s="289"/>
      <c r="D17" s="289"/>
      <c r="E17" s="289"/>
      <c r="F17" s="289"/>
      <c r="G17" s="289"/>
      <c r="H17" s="289"/>
      <c r="I17" s="289"/>
      <c r="J17" s="290"/>
      <c r="K17" s="16"/>
    </row>
    <row r="18" spans="1:11" s="3" customFormat="1" ht="18.75" customHeight="1" x14ac:dyDescent="0.15">
      <c r="A18" s="64"/>
      <c r="B18" s="291"/>
      <c r="C18" s="292"/>
      <c r="D18" s="292"/>
      <c r="E18" s="292"/>
      <c r="F18" s="292"/>
      <c r="G18" s="292"/>
      <c r="H18" s="292"/>
      <c r="I18" s="292"/>
      <c r="J18" s="293"/>
      <c r="K18" s="16"/>
    </row>
    <row r="19" spans="1:11" ht="7.5" customHeight="1" x14ac:dyDescent="0.15">
      <c r="A19" s="20"/>
      <c r="B19" s="20"/>
      <c r="C19" s="20"/>
      <c r="D19" s="20"/>
      <c r="E19" s="20"/>
      <c r="F19" s="20"/>
      <c r="G19" s="20"/>
      <c r="H19" s="20"/>
      <c r="I19" s="20"/>
      <c r="J19" s="20"/>
    </row>
    <row r="20" spans="1:11" s="3" customFormat="1" ht="18.75" customHeight="1" x14ac:dyDescent="0.15">
      <c r="A20" s="1" t="s">
        <v>11</v>
      </c>
      <c r="B20" s="1" t="s">
        <v>186</v>
      </c>
      <c r="C20" s="1"/>
      <c r="D20" s="1"/>
      <c r="E20" s="1"/>
      <c r="F20" s="1"/>
      <c r="G20" s="1"/>
      <c r="H20" s="1"/>
      <c r="I20" s="1"/>
      <c r="J20" s="1"/>
      <c r="K20" s="16"/>
    </row>
    <row r="21" spans="1:11" s="14" customFormat="1" ht="18.75" customHeight="1" x14ac:dyDescent="0.15">
      <c r="B21" s="66" t="s">
        <v>187</v>
      </c>
      <c r="C21" s="112">
        <f>'様式３　履修者等数の実績'!R13</f>
        <v>9.3888888888888883E-2</v>
      </c>
      <c r="D21" s="113"/>
      <c r="E21" s="113" t="s">
        <v>188</v>
      </c>
      <c r="F21" s="112">
        <v>0.19</v>
      </c>
      <c r="G21" s="113"/>
      <c r="H21" s="113" t="s">
        <v>189</v>
      </c>
      <c r="I21" s="114">
        <v>0.43</v>
      </c>
      <c r="J21" s="67"/>
      <c r="K21" s="16"/>
    </row>
    <row r="22" spans="1:11" s="14" customFormat="1" ht="18.75" customHeight="1" x14ac:dyDescent="0.15">
      <c r="B22" s="57" t="s">
        <v>190</v>
      </c>
      <c r="C22" s="115">
        <v>0.63</v>
      </c>
      <c r="D22" s="116"/>
      <c r="E22" s="116" t="s">
        <v>191</v>
      </c>
      <c r="F22" s="115">
        <v>0.75</v>
      </c>
      <c r="G22" s="116"/>
      <c r="H22" s="116" t="s">
        <v>192</v>
      </c>
      <c r="I22" s="117">
        <f>'様式３　履修者等数の実績'!D13</f>
        <v>1800</v>
      </c>
      <c r="J22" s="68"/>
      <c r="K22" s="16"/>
    </row>
    <row r="23" spans="1:11" s="3" customFormat="1" ht="18.75" customHeight="1" x14ac:dyDescent="0.15">
      <c r="A23" s="1"/>
      <c r="B23" s="294" t="s">
        <v>193</v>
      </c>
      <c r="C23" s="295"/>
      <c r="D23" s="295"/>
      <c r="E23" s="295"/>
      <c r="F23" s="295"/>
      <c r="G23" s="295"/>
      <c r="H23" s="295"/>
      <c r="I23" s="295"/>
      <c r="J23" s="296"/>
      <c r="K23" s="16"/>
    </row>
    <row r="24" spans="1:11" s="3" customFormat="1" ht="18.75" customHeight="1" x14ac:dyDescent="0.15">
      <c r="A24" s="1"/>
      <c r="B24" s="275" t="s">
        <v>222</v>
      </c>
      <c r="C24" s="276"/>
      <c r="D24" s="276"/>
      <c r="E24" s="276"/>
      <c r="F24" s="276"/>
      <c r="G24" s="276"/>
      <c r="H24" s="276"/>
      <c r="I24" s="276"/>
      <c r="J24" s="277"/>
      <c r="K24" s="16" t="str">
        <f>IF(B24="","入力してください","")</f>
        <v/>
      </c>
    </row>
    <row r="25" spans="1:11" s="3" customFormat="1" ht="18.75" customHeight="1" x14ac:dyDescent="0.15">
      <c r="A25" s="1"/>
      <c r="B25" s="278"/>
      <c r="C25" s="279"/>
      <c r="D25" s="279"/>
      <c r="E25" s="279"/>
      <c r="F25" s="279"/>
      <c r="G25" s="279"/>
      <c r="H25" s="279"/>
      <c r="I25" s="279"/>
      <c r="J25" s="280"/>
      <c r="K25" s="16"/>
    </row>
    <row r="26" spans="1:11" s="3" customFormat="1" ht="18.75" customHeight="1" x14ac:dyDescent="0.15">
      <c r="A26" s="1"/>
      <c r="B26" s="278"/>
      <c r="C26" s="279"/>
      <c r="D26" s="279"/>
      <c r="E26" s="279"/>
      <c r="F26" s="279"/>
      <c r="G26" s="279"/>
      <c r="H26" s="279"/>
      <c r="I26" s="279"/>
      <c r="J26" s="280"/>
      <c r="K26" s="16"/>
    </row>
    <row r="27" spans="1:11" s="3" customFormat="1" ht="18.75" customHeight="1" x14ac:dyDescent="0.15">
      <c r="A27" s="1"/>
      <c r="B27" s="278"/>
      <c r="C27" s="279"/>
      <c r="D27" s="279"/>
      <c r="E27" s="279"/>
      <c r="F27" s="279"/>
      <c r="G27" s="279"/>
      <c r="H27" s="279"/>
      <c r="I27" s="279"/>
      <c r="J27" s="280"/>
      <c r="K27" s="16"/>
    </row>
    <row r="28" spans="1:11" s="3" customFormat="1" ht="18.75" customHeight="1" x14ac:dyDescent="0.15">
      <c r="A28" s="1"/>
      <c r="B28" s="278"/>
      <c r="C28" s="279"/>
      <c r="D28" s="279"/>
      <c r="E28" s="279"/>
      <c r="F28" s="279"/>
      <c r="G28" s="279"/>
      <c r="H28" s="279"/>
      <c r="I28" s="279"/>
      <c r="J28" s="280"/>
      <c r="K28" s="16"/>
    </row>
    <row r="29" spans="1:11" s="3" customFormat="1" ht="18.75" customHeight="1" x14ac:dyDescent="0.15">
      <c r="A29" s="1"/>
      <c r="B29" s="278"/>
      <c r="C29" s="279"/>
      <c r="D29" s="279"/>
      <c r="E29" s="279"/>
      <c r="F29" s="279"/>
      <c r="G29" s="279"/>
      <c r="H29" s="279"/>
      <c r="I29" s="279"/>
      <c r="J29" s="280"/>
      <c r="K29" s="16"/>
    </row>
    <row r="30" spans="1:11" s="3" customFormat="1" ht="18.75" customHeight="1" x14ac:dyDescent="0.15">
      <c r="A30" s="1"/>
      <c r="B30" s="278"/>
      <c r="C30" s="279"/>
      <c r="D30" s="279"/>
      <c r="E30" s="279"/>
      <c r="F30" s="279"/>
      <c r="G30" s="279"/>
      <c r="H30" s="279"/>
      <c r="I30" s="279"/>
      <c r="J30" s="280"/>
      <c r="K30" s="16"/>
    </row>
    <row r="31" spans="1:11" s="3" customFormat="1" ht="18.75" customHeight="1" x14ac:dyDescent="0.15">
      <c r="A31" s="1"/>
      <c r="B31" s="278"/>
      <c r="C31" s="279"/>
      <c r="D31" s="279"/>
      <c r="E31" s="279"/>
      <c r="F31" s="279"/>
      <c r="G31" s="279"/>
      <c r="H31" s="279"/>
      <c r="I31" s="279"/>
      <c r="J31" s="280"/>
      <c r="K31" s="16"/>
    </row>
    <row r="32" spans="1:11" ht="18.75" customHeight="1" x14ac:dyDescent="0.15">
      <c r="A32" s="20"/>
      <c r="B32" s="281"/>
      <c r="C32" s="282"/>
      <c r="D32" s="282"/>
      <c r="E32" s="282"/>
      <c r="F32" s="282"/>
      <c r="G32" s="282"/>
      <c r="H32" s="282"/>
      <c r="I32" s="282"/>
      <c r="J32" s="283"/>
    </row>
    <row r="33" spans="1:11" s="3" customFormat="1" ht="18.75" customHeight="1" x14ac:dyDescent="0.15">
      <c r="A33" s="69" t="s">
        <v>14</v>
      </c>
      <c r="B33" s="1" t="s">
        <v>223</v>
      </c>
      <c r="C33" s="1"/>
      <c r="D33" s="1"/>
      <c r="E33" s="1"/>
      <c r="F33" s="1"/>
      <c r="G33" s="1"/>
      <c r="H33" s="1"/>
      <c r="I33" s="69"/>
      <c r="J33" s="69"/>
      <c r="K33" s="16"/>
    </row>
    <row r="34" spans="1:11" ht="18.75" customHeight="1" x14ac:dyDescent="0.15">
      <c r="A34" s="20"/>
      <c r="B34" s="297" t="s">
        <v>224</v>
      </c>
      <c r="C34" s="285"/>
      <c r="D34" s="285"/>
      <c r="E34" s="285"/>
      <c r="F34" s="285"/>
      <c r="G34" s="285"/>
      <c r="H34" s="285"/>
      <c r="I34" s="285"/>
      <c r="J34" s="298"/>
      <c r="K34" s="16" t="str">
        <f>IF(B34="","入力してください","")</f>
        <v/>
      </c>
    </row>
    <row r="35" spans="1:11" ht="18.75" customHeight="1" x14ac:dyDescent="0.15">
      <c r="A35" s="20"/>
      <c r="B35" s="278"/>
      <c r="C35" s="279"/>
      <c r="D35" s="279"/>
      <c r="E35" s="279"/>
      <c r="F35" s="279"/>
      <c r="G35" s="279"/>
      <c r="H35" s="279"/>
      <c r="I35" s="279"/>
      <c r="J35" s="280"/>
    </row>
    <row r="36" spans="1:11" ht="18.75" customHeight="1" x14ac:dyDescent="0.15">
      <c r="A36" s="20"/>
      <c r="B36" s="278"/>
      <c r="C36" s="279"/>
      <c r="D36" s="279"/>
      <c r="E36" s="279"/>
      <c r="F36" s="279"/>
      <c r="G36" s="279"/>
      <c r="H36" s="279"/>
      <c r="I36" s="279"/>
      <c r="J36" s="280"/>
    </row>
    <row r="37" spans="1:11" ht="18.75" customHeight="1" x14ac:dyDescent="0.15">
      <c r="A37" s="20"/>
      <c r="B37" s="278"/>
      <c r="C37" s="279"/>
      <c r="D37" s="279"/>
      <c r="E37" s="279"/>
      <c r="F37" s="279"/>
      <c r="G37" s="279"/>
      <c r="H37" s="279"/>
      <c r="I37" s="279"/>
      <c r="J37" s="280"/>
    </row>
    <row r="38" spans="1:11" ht="18.75" customHeight="1" x14ac:dyDescent="0.15">
      <c r="A38" s="20"/>
      <c r="B38" s="281"/>
      <c r="C38" s="282"/>
      <c r="D38" s="282"/>
      <c r="E38" s="282"/>
      <c r="F38" s="282"/>
      <c r="G38" s="282"/>
      <c r="H38" s="282"/>
      <c r="I38" s="282"/>
      <c r="J38" s="283"/>
    </row>
    <row r="39" spans="1:11" ht="7.5" customHeight="1" x14ac:dyDescent="0.15">
      <c r="A39" s="20"/>
      <c r="B39" s="20"/>
      <c r="C39" s="20"/>
      <c r="D39" s="20"/>
      <c r="E39" s="20"/>
      <c r="F39" s="20"/>
      <c r="G39" s="20"/>
      <c r="H39" s="20"/>
      <c r="I39" s="20"/>
      <c r="J39" s="20"/>
    </row>
    <row r="40" spans="1:11" s="3" customFormat="1" ht="18.75" customHeight="1" x14ac:dyDescent="0.15">
      <c r="A40" s="1" t="s">
        <v>17</v>
      </c>
      <c r="B40" s="1" t="s">
        <v>194</v>
      </c>
      <c r="C40" s="1"/>
      <c r="D40" s="1"/>
      <c r="E40" s="1"/>
      <c r="F40" s="1"/>
      <c r="G40" s="1"/>
      <c r="H40" s="1"/>
      <c r="I40" s="1"/>
      <c r="J40" s="1"/>
      <c r="K40" s="16"/>
    </row>
    <row r="41" spans="1:11" s="3" customFormat="1" ht="18.75" customHeight="1" x14ac:dyDescent="0.15">
      <c r="A41" s="1"/>
      <c r="B41" s="297" t="s">
        <v>225</v>
      </c>
      <c r="C41" s="285"/>
      <c r="D41" s="285"/>
      <c r="E41" s="285"/>
      <c r="F41" s="285"/>
      <c r="G41" s="285"/>
      <c r="H41" s="285"/>
      <c r="I41" s="286"/>
      <c r="J41" s="287"/>
      <c r="K41" s="16" t="str">
        <f>IF(B41="","入力してください","")</f>
        <v/>
      </c>
    </row>
    <row r="42" spans="1:11" s="3" customFormat="1" ht="18.75" customHeight="1" x14ac:dyDescent="0.15">
      <c r="A42" s="1"/>
      <c r="B42" s="288"/>
      <c r="C42" s="289"/>
      <c r="D42" s="289"/>
      <c r="E42" s="289"/>
      <c r="F42" s="289"/>
      <c r="G42" s="289"/>
      <c r="H42" s="289"/>
      <c r="I42" s="289"/>
      <c r="J42" s="290"/>
      <c r="K42" s="16"/>
    </row>
    <row r="43" spans="1:11" s="3" customFormat="1" ht="18.75" customHeight="1" x14ac:dyDescent="0.15">
      <c r="A43" s="1"/>
      <c r="B43" s="288"/>
      <c r="C43" s="289"/>
      <c r="D43" s="289"/>
      <c r="E43" s="289"/>
      <c r="F43" s="289"/>
      <c r="G43" s="289"/>
      <c r="H43" s="289"/>
      <c r="I43" s="289"/>
      <c r="J43" s="290"/>
      <c r="K43" s="16"/>
    </row>
    <row r="44" spans="1:11" ht="18.75" customHeight="1" x14ac:dyDescent="0.15">
      <c r="A44" s="20"/>
      <c r="B44" s="291"/>
      <c r="C44" s="292"/>
      <c r="D44" s="292"/>
      <c r="E44" s="292"/>
      <c r="F44" s="292"/>
      <c r="G44" s="292"/>
      <c r="H44" s="292"/>
      <c r="I44" s="292"/>
      <c r="J44" s="293"/>
    </row>
    <row r="45" spans="1:11" ht="7.5" customHeight="1" x14ac:dyDescent="0.15">
      <c r="A45" s="20"/>
      <c r="B45" s="20"/>
      <c r="C45" s="20"/>
      <c r="D45" s="20"/>
      <c r="E45" s="20"/>
      <c r="F45" s="20"/>
      <c r="G45" s="20"/>
      <c r="H45" s="20"/>
      <c r="I45" s="20"/>
      <c r="J45" s="20"/>
    </row>
    <row r="46" spans="1:11" s="3" customFormat="1" ht="18.75" customHeight="1" x14ac:dyDescent="0.15">
      <c r="A46" s="1" t="s">
        <v>195</v>
      </c>
      <c r="B46" s="1" t="s">
        <v>196</v>
      </c>
      <c r="C46" s="1"/>
      <c r="D46" s="1"/>
      <c r="E46" s="1"/>
      <c r="F46" s="1"/>
      <c r="G46" s="1"/>
      <c r="H46" s="1"/>
      <c r="I46" s="1"/>
      <c r="J46" s="1"/>
      <c r="K46" s="16"/>
    </row>
    <row r="47" spans="1:11" s="3" customFormat="1" ht="18.75" customHeight="1" x14ac:dyDescent="0.15">
      <c r="A47" s="1"/>
      <c r="B47" s="297" t="s">
        <v>226</v>
      </c>
      <c r="C47" s="285"/>
      <c r="D47" s="285"/>
      <c r="E47" s="285"/>
      <c r="F47" s="285"/>
      <c r="G47" s="285"/>
      <c r="H47" s="285"/>
      <c r="I47" s="286"/>
      <c r="J47" s="287"/>
      <c r="K47" s="16"/>
    </row>
    <row r="48" spans="1:11" s="3" customFormat="1" ht="18.75" customHeight="1" x14ac:dyDescent="0.15">
      <c r="A48" s="1"/>
      <c r="B48" s="288"/>
      <c r="C48" s="289"/>
      <c r="D48" s="289"/>
      <c r="E48" s="289"/>
      <c r="F48" s="289"/>
      <c r="G48" s="289"/>
      <c r="H48" s="289"/>
      <c r="I48" s="289"/>
      <c r="J48" s="290"/>
      <c r="K48" s="16"/>
    </row>
    <row r="49" spans="1:11" s="3" customFormat="1" ht="18.75" customHeight="1" x14ac:dyDescent="0.15">
      <c r="A49" s="1"/>
      <c r="B49" s="288"/>
      <c r="C49" s="289"/>
      <c r="D49" s="289"/>
      <c r="E49" s="289"/>
      <c r="F49" s="289"/>
      <c r="G49" s="289"/>
      <c r="H49" s="289"/>
      <c r="I49" s="289"/>
      <c r="J49" s="290"/>
      <c r="K49" s="16" t="str">
        <f>IF(B47="","入力してください","")</f>
        <v/>
      </c>
    </row>
    <row r="50" spans="1:11" s="3" customFormat="1" ht="18.75" customHeight="1" x14ac:dyDescent="0.15">
      <c r="A50" s="1"/>
      <c r="B50" s="288"/>
      <c r="C50" s="289"/>
      <c r="D50" s="289"/>
      <c r="E50" s="289"/>
      <c r="F50" s="289"/>
      <c r="G50" s="289"/>
      <c r="H50" s="289"/>
      <c r="I50" s="289"/>
      <c r="J50" s="290"/>
      <c r="K50" s="16"/>
    </row>
    <row r="51" spans="1:11" s="3" customFormat="1" ht="18.75" customHeight="1" x14ac:dyDescent="0.15">
      <c r="A51" s="1"/>
      <c r="B51" s="288"/>
      <c r="C51" s="289"/>
      <c r="D51" s="289"/>
      <c r="E51" s="289"/>
      <c r="F51" s="289"/>
      <c r="G51" s="289"/>
      <c r="H51" s="289"/>
      <c r="I51" s="289"/>
      <c r="J51" s="290"/>
      <c r="K51" s="16"/>
    </row>
    <row r="52" spans="1:11" s="3" customFormat="1" ht="18.75" customHeight="1" x14ac:dyDescent="0.15">
      <c r="A52" s="1"/>
      <c r="B52" s="288"/>
      <c r="C52" s="289"/>
      <c r="D52" s="289"/>
      <c r="E52" s="289"/>
      <c r="F52" s="289"/>
      <c r="G52" s="289"/>
      <c r="H52" s="289"/>
      <c r="I52" s="289"/>
      <c r="J52" s="290"/>
      <c r="K52" s="16"/>
    </row>
    <row r="53" spans="1:11" ht="18.75" customHeight="1" x14ac:dyDescent="0.15">
      <c r="A53" s="20"/>
      <c r="B53" s="291"/>
      <c r="C53" s="292"/>
      <c r="D53" s="292"/>
      <c r="E53" s="292"/>
      <c r="F53" s="292"/>
      <c r="G53" s="292"/>
      <c r="H53" s="292"/>
      <c r="I53" s="292"/>
      <c r="J53" s="293"/>
    </row>
    <row r="54" spans="1:11" ht="7.5" customHeight="1" x14ac:dyDescent="0.15">
      <c r="A54" s="20"/>
      <c r="B54" s="20"/>
      <c r="C54" s="20"/>
      <c r="D54" s="20"/>
      <c r="E54" s="20"/>
      <c r="F54" s="20"/>
      <c r="G54" s="20"/>
      <c r="H54" s="20"/>
      <c r="I54" s="20"/>
      <c r="J54" s="20"/>
    </row>
    <row r="55" spans="1:11" s="3" customFormat="1" ht="18.75" customHeight="1" x14ac:dyDescent="0.15">
      <c r="A55" s="1" t="s">
        <v>23</v>
      </c>
      <c r="B55" s="299" t="s">
        <v>197</v>
      </c>
      <c r="C55" s="299"/>
      <c r="D55" s="299"/>
      <c r="E55" s="299"/>
      <c r="F55" s="299"/>
      <c r="G55" s="299"/>
      <c r="H55" s="299"/>
      <c r="I55" s="299"/>
      <c r="J55" s="299"/>
      <c r="K55" s="16"/>
    </row>
    <row r="56" spans="1:11" ht="18.75" customHeight="1" x14ac:dyDescent="0.15">
      <c r="A56" s="20"/>
      <c r="B56" s="297" t="s">
        <v>227</v>
      </c>
      <c r="C56" s="285"/>
      <c r="D56" s="285"/>
      <c r="E56" s="285"/>
      <c r="F56" s="285"/>
      <c r="G56" s="285"/>
      <c r="H56" s="285"/>
      <c r="I56" s="286"/>
      <c r="J56" s="287"/>
    </row>
    <row r="57" spans="1:11" ht="18.75" customHeight="1" x14ac:dyDescent="0.15">
      <c r="A57" s="20"/>
      <c r="B57" s="288"/>
      <c r="C57" s="289"/>
      <c r="D57" s="289"/>
      <c r="E57" s="289"/>
      <c r="F57" s="289"/>
      <c r="G57" s="289"/>
      <c r="H57" s="289"/>
      <c r="I57" s="289"/>
      <c r="J57" s="290"/>
    </row>
    <row r="58" spans="1:11" ht="18.75" customHeight="1" x14ac:dyDescent="0.15">
      <c r="A58" s="20"/>
      <c r="B58" s="288"/>
      <c r="C58" s="289"/>
      <c r="D58" s="289"/>
      <c r="E58" s="289"/>
      <c r="F58" s="289"/>
      <c r="G58" s="289"/>
      <c r="H58" s="289"/>
      <c r="I58" s="289"/>
      <c r="J58" s="290"/>
      <c r="K58" s="16" t="str">
        <f>IF(B56="","入力してください","")</f>
        <v/>
      </c>
    </row>
    <row r="59" spans="1:11" ht="18.75" customHeight="1" x14ac:dyDescent="0.15">
      <c r="A59" s="20"/>
      <c r="B59" s="288"/>
      <c r="C59" s="289"/>
      <c r="D59" s="289"/>
      <c r="E59" s="289"/>
      <c r="F59" s="289"/>
      <c r="G59" s="289"/>
      <c r="H59" s="289"/>
      <c r="I59" s="289"/>
      <c r="J59" s="290"/>
    </row>
    <row r="60" spans="1:11" ht="18.75" customHeight="1" x14ac:dyDescent="0.15">
      <c r="A60" s="20"/>
      <c r="B60" s="291"/>
      <c r="C60" s="292"/>
      <c r="D60" s="292"/>
      <c r="E60" s="292"/>
      <c r="F60" s="292"/>
      <c r="G60" s="292"/>
      <c r="H60" s="292"/>
      <c r="I60" s="292"/>
      <c r="J60" s="293"/>
    </row>
    <row r="61" spans="1:11" ht="7.5" customHeight="1" x14ac:dyDescent="0.15">
      <c r="A61" s="20"/>
      <c r="B61" s="70"/>
      <c r="C61" s="70"/>
      <c r="D61" s="70"/>
      <c r="E61" s="70"/>
      <c r="F61" s="70"/>
      <c r="G61" s="70"/>
      <c r="H61" s="70"/>
      <c r="I61" s="70"/>
      <c r="J61" s="70"/>
    </row>
    <row r="62" spans="1:11" ht="18.75" customHeight="1" x14ac:dyDescent="0.15">
      <c r="A62" s="20"/>
      <c r="B62" s="20"/>
      <c r="C62" s="20"/>
      <c r="D62" s="20"/>
      <c r="E62" s="20"/>
      <c r="F62" s="20"/>
      <c r="G62" s="20"/>
      <c r="H62" s="20"/>
      <c r="I62" s="20"/>
      <c r="J62" s="20"/>
    </row>
    <row r="63" spans="1:11" ht="18.75" customHeight="1" x14ac:dyDescent="0.15">
      <c r="A63" s="20"/>
      <c r="B63" s="20"/>
      <c r="C63" s="20"/>
      <c r="D63" s="20"/>
      <c r="E63" s="20"/>
      <c r="F63" s="20"/>
      <c r="G63" s="20"/>
      <c r="H63" s="20"/>
      <c r="I63" s="20"/>
      <c r="J63" s="20"/>
    </row>
    <row r="64" spans="1:11" ht="18.75" customHeight="1" x14ac:dyDescent="0.15">
      <c r="A64" s="20"/>
      <c r="B64" s="20"/>
      <c r="C64" s="20"/>
      <c r="D64" s="20"/>
      <c r="E64" s="20"/>
      <c r="F64" s="20"/>
      <c r="G64" s="20"/>
      <c r="H64" s="20"/>
      <c r="I64" s="20"/>
      <c r="J64" s="20"/>
    </row>
    <row r="65" spans="1:10" ht="18.75" customHeight="1" x14ac:dyDescent="0.15">
      <c r="A65" s="20"/>
      <c r="B65" s="20"/>
      <c r="C65" s="20"/>
      <c r="D65" s="20"/>
      <c r="E65" s="20"/>
      <c r="F65" s="20"/>
      <c r="G65" s="20"/>
      <c r="H65" s="20"/>
      <c r="I65" s="20"/>
      <c r="J65" s="20"/>
    </row>
    <row r="66" spans="1:10" ht="18.75" customHeight="1" x14ac:dyDescent="0.15">
      <c r="A66" s="20"/>
      <c r="B66" s="20"/>
      <c r="C66" s="20"/>
      <c r="D66" s="20"/>
      <c r="E66" s="20"/>
      <c r="F66" s="20"/>
      <c r="G66" s="20"/>
      <c r="H66" s="20"/>
      <c r="I66" s="20"/>
      <c r="J66" s="20"/>
    </row>
    <row r="67" spans="1:10" ht="18.75" customHeight="1" x14ac:dyDescent="0.15">
      <c r="A67" s="20"/>
      <c r="B67" s="20"/>
      <c r="C67" s="20"/>
      <c r="D67" s="20"/>
      <c r="E67" s="20"/>
      <c r="F67" s="20"/>
      <c r="G67" s="20"/>
      <c r="H67" s="20"/>
      <c r="I67" s="20"/>
      <c r="J67" s="20"/>
    </row>
    <row r="68" spans="1:10" ht="18.75" customHeight="1" x14ac:dyDescent="0.15">
      <c r="A68" s="20"/>
      <c r="B68" s="20"/>
      <c r="C68" s="20"/>
      <c r="D68" s="20"/>
      <c r="E68" s="20"/>
      <c r="F68" s="20"/>
      <c r="G68" s="20"/>
      <c r="H68" s="20"/>
      <c r="I68" s="20"/>
      <c r="J68" s="20"/>
    </row>
    <row r="69" spans="1:10" ht="18.75" customHeight="1" x14ac:dyDescent="0.15">
      <c r="A69" s="20"/>
      <c r="B69" s="20"/>
      <c r="C69" s="20"/>
      <c r="D69" s="20"/>
      <c r="E69" s="20"/>
      <c r="F69" s="20"/>
      <c r="G69" s="20"/>
      <c r="H69" s="20"/>
      <c r="I69" s="20"/>
      <c r="J69" s="20"/>
    </row>
    <row r="70" spans="1:10" ht="18.75" customHeight="1" x14ac:dyDescent="0.15">
      <c r="A70" s="20"/>
      <c r="B70" s="20"/>
      <c r="C70" s="20"/>
      <c r="D70" s="20"/>
      <c r="E70" s="20"/>
      <c r="F70" s="20"/>
      <c r="G70" s="20"/>
      <c r="H70" s="20"/>
      <c r="I70" s="20"/>
      <c r="J70" s="20"/>
    </row>
    <row r="71" spans="1:10" ht="18.75" customHeight="1" x14ac:dyDescent="0.15">
      <c r="A71" s="20"/>
      <c r="B71" s="20"/>
      <c r="C71" s="20"/>
      <c r="D71" s="20"/>
      <c r="E71" s="20"/>
      <c r="F71" s="20"/>
      <c r="G71" s="20"/>
      <c r="H71" s="20"/>
      <c r="I71" s="20"/>
      <c r="J71" s="20"/>
    </row>
    <row r="72" spans="1:10" ht="18.75" customHeight="1" x14ac:dyDescent="0.15">
      <c r="A72" s="20"/>
      <c r="B72" s="20"/>
      <c r="C72" s="20"/>
      <c r="D72" s="20"/>
      <c r="E72" s="20"/>
      <c r="F72" s="20"/>
      <c r="G72" s="20"/>
      <c r="H72" s="20"/>
      <c r="I72" s="20"/>
      <c r="J72" s="20"/>
    </row>
    <row r="73" spans="1:10" ht="18.75" customHeight="1" x14ac:dyDescent="0.15">
      <c r="A73" s="20"/>
      <c r="B73" s="20"/>
      <c r="C73" s="20"/>
      <c r="D73" s="20"/>
      <c r="E73" s="20"/>
      <c r="F73" s="20"/>
      <c r="G73" s="20"/>
      <c r="H73" s="20"/>
      <c r="I73" s="20"/>
      <c r="J73" s="20"/>
    </row>
    <row r="74" spans="1:10" ht="14.25" x14ac:dyDescent="0.15">
      <c r="A74" s="20"/>
      <c r="B74" s="20"/>
      <c r="C74" s="20"/>
      <c r="D74" s="20"/>
      <c r="E74" s="20"/>
      <c r="F74" s="20"/>
      <c r="G74" s="20"/>
      <c r="H74" s="20"/>
      <c r="I74" s="20"/>
      <c r="J74" s="20"/>
    </row>
    <row r="75" spans="1:10" ht="7.5" customHeight="1" x14ac:dyDescent="0.15">
      <c r="A75" s="71"/>
      <c r="B75" s="71"/>
      <c r="C75" s="71"/>
      <c r="D75" s="71"/>
      <c r="E75" s="71"/>
      <c r="F75" s="71"/>
      <c r="G75" s="71"/>
      <c r="H75" s="71"/>
      <c r="I75" s="71"/>
      <c r="J75" s="71"/>
    </row>
  </sheetData>
  <mergeCells count="11">
    <mergeCell ref="B34:J38"/>
    <mergeCell ref="B41:J44"/>
    <mergeCell ref="B47:J53"/>
    <mergeCell ref="B55:J55"/>
    <mergeCell ref="B56:J60"/>
    <mergeCell ref="B24:J32"/>
    <mergeCell ref="A2:J2"/>
    <mergeCell ref="B5:J5"/>
    <mergeCell ref="B8:J11"/>
    <mergeCell ref="B14:J18"/>
    <mergeCell ref="B23:J23"/>
  </mergeCells>
  <phoneticPr fontId="1"/>
  <printOptions horizontalCentered="1"/>
  <pageMargins left="0.78740157480314965" right="0.78740157480314965" top="0.78740157480314965" bottom="0.78740157480314965" header="0.31496062992125984" footer="0.31496062992125984"/>
  <pageSetup paperSize="9" orientation="portrait" horizontalDpi="4294967292" r:id="rId1"/>
  <rowBreaks count="1" manualBreakCount="1">
    <brk id="45"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B1" zoomScaleNormal="100" zoomScaleSheetLayoutView="100" workbookViewId="0">
      <selection activeCell="L7" sqref="L7"/>
    </sheetView>
  </sheetViews>
  <sheetFormatPr defaultColWidth="11.375" defaultRowHeight="22.5" customHeight="1" x14ac:dyDescent="0.15"/>
  <cols>
    <col min="1" max="3" width="2.75" style="5" customWidth="1"/>
    <col min="4" max="4" width="22.25" style="5" customWidth="1"/>
    <col min="5" max="5" width="21.625" style="5" customWidth="1"/>
    <col min="6" max="7" width="7.75" style="5" customWidth="1"/>
    <col min="8" max="8" width="33.375" style="5" customWidth="1"/>
    <col min="9" max="9" width="24.5" style="5" customWidth="1"/>
    <col min="10" max="10" width="5.5" style="5" customWidth="1"/>
    <col min="11" max="11" width="4.125" style="6" customWidth="1"/>
    <col min="12" max="16384" width="11.375" style="5"/>
  </cols>
  <sheetData>
    <row r="1" spans="1:11" ht="18.75" customHeight="1" x14ac:dyDescent="0.15">
      <c r="A1" s="5" t="s">
        <v>198</v>
      </c>
      <c r="J1" s="82" t="s">
        <v>199</v>
      </c>
    </row>
    <row r="2" spans="1:11" ht="18.75" customHeight="1" x14ac:dyDescent="0.15">
      <c r="A2" s="162" t="s">
        <v>200</v>
      </c>
      <c r="B2" s="162"/>
      <c r="C2" s="162"/>
      <c r="D2" s="162"/>
      <c r="E2" s="162"/>
      <c r="F2" s="162"/>
      <c r="G2" s="162"/>
      <c r="H2" s="162"/>
      <c r="I2" s="162"/>
      <c r="J2" s="162"/>
    </row>
    <row r="3" spans="1:11" ht="7.5" customHeight="1" x14ac:dyDescent="0.15">
      <c r="A3" s="84"/>
      <c r="B3" s="84"/>
      <c r="C3" s="84"/>
      <c r="D3" s="84"/>
      <c r="E3" s="84"/>
      <c r="F3" s="84"/>
      <c r="G3" s="84"/>
      <c r="H3" s="84"/>
      <c r="I3" s="84"/>
      <c r="J3" s="84"/>
    </row>
    <row r="4" spans="1:11" ht="18.75" customHeight="1" x14ac:dyDescent="0.15">
      <c r="A4" s="5" t="s">
        <v>2</v>
      </c>
      <c r="B4" s="6" t="s">
        <v>201</v>
      </c>
      <c r="C4" s="86"/>
      <c r="D4" s="86"/>
      <c r="E4" s="86"/>
      <c r="F4" s="86"/>
      <c r="G4" s="86"/>
      <c r="H4" s="86"/>
      <c r="I4" s="86"/>
      <c r="J4" s="86"/>
    </row>
    <row r="5" spans="1:11" ht="18.75" customHeight="1" x14ac:dyDescent="0.15">
      <c r="B5" s="140" t="s">
        <v>202</v>
      </c>
      <c r="C5" s="163"/>
      <c r="D5" s="141"/>
      <c r="E5" s="163" t="s">
        <v>203</v>
      </c>
      <c r="F5" s="163"/>
      <c r="G5" s="163"/>
      <c r="H5" s="163"/>
      <c r="I5" s="163"/>
      <c r="J5" s="141"/>
    </row>
    <row r="6" spans="1:11" ht="18.75" customHeight="1" x14ac:dyDescent="0.15">
      <c r="B6" s="8" t="s">
        <v>204</v>
      </c>
      <c r="C6" s="86"/>
      <c r="D6" s="87"/>
      <c r="I6" s="86"/>
      <c r="J6" s="87"/>
    </row>
    <row r="7" spans="1:11" ht="116.25" customHeight="1" x14ac:dyDescent="0.15">
      <c r="B7" s="88"/>
      <c r="C7" s="305" t="s">
        <v>205</v>
      </c>
      <c r="D7" s="306"/>
      <c r="E7" s="302" t="s">
        <v>228</v>
      </c>
      <c r="F7" s="303"/>
      <c r="G7" s="303"/>
      <c r="H7" s="303"/>
      <c r="I7" s="303"/>
      <c r="J7" s="304"/>
      <c r="K7" s="6" t="str">
        <f>IF(E7="","入力してください","")</f>
        <v/>
      </c>
    </row>
    <row r="8" spans="1:11" ht="116.25" customHeight="1" x14ac:dyDescent="0.15">
      <c r="B8" s="88"/>
      <c r="C8" s="300" t="s">
        <v>206</v>
      </c>
      <c r="D8" s="301"/>
      <c r="E8" s="302" t="s">
        <v>229</v>
      </c>
      <c r="F8" s="303"/>
      <c r="G8" s="303"/>
      <c r="H8" s="303"/>
      <c r="I8" s="303"/>
      <c r="J8" s="304"/>
      <c r="K8" s="6" t="str">
        <f>IF(E8="","入力してください","")</f>
        <v/>
      </c>
    </row>
    <row r="9" spans="1:11" ht="104.25" customHeight="1" x14ac:dyDescent="0.15">
      <c r="B9" s="88"/>
      <c r="C9" s="305" t="s">
        <v>207</v>
      </c>
      <c r="D9" s="306"/>
      <c r="E9" s="302" t="s">
        <v>230</v>
      </c>
      <c r="F9" s="303"/>
      <c r="G9" s="303"/>
      <c r="H9" s="303"/>
      <c r="I9" s="303"/>
      <c r="J9" s="304"/>
      <c r="K9" s="6" t="str">
        <f>IF(E9="","入力してください","")</f>
        <v/>
      </c>
    </row>
    <row r="10" spans="1:11" ht="111" customHeight="1" x14ac:dyDescent="0.15">
      <c r="B10" s="88"/>
      <c r="C10" s="305" t="s">
        <v>208</v>
      </c>
      <c r="D10" s="306"/>
      <c r="E10" s="302" t="s">
        <v>231</v>
      </c>
      <c r="F10" s="303"/>
      <c r="G10" s="303"/>
      <c r="H10" s="303"/>
      <c r="I10" s="303"/>
      <c r="J10" s="304"/>
      <c r="K10" s="6" t="str">
        <f t="shared" ref="K10:K14" si="0">IF(E10="","入力してください","")</f>
        <v/>
      </c>
    </row>
    <row r="11" spans="1:11" ht="90.75" customHeight="1" x14ac:dyDescent="0.15">
      <c r="B11" s="88"/>
      <c r="C11" s="305" t="s">
        <v>209</v>
      </c>
      <c r="D11" s="306"/>
      <c r="E11" s="302" t="s">
        <v>232</v>
      </c>
      <c r="F11" s="303"/>
      <c r="G11" s="303"/>
      <c r="H11" s="303"/>
      <c r="I11" s="303"/>
      <c r="J11" s="304"/>
      <c r="K11" s="6" t="str">
        <f t="shared" si="0"/>
        <v/>
      </c>
    </row>
    <row r="12" spans="1:11" ht="18.75" customHeight="1" x14ac:dyDescent="0.15">
      <c r="B12" s="89" t="s">
        <v>210</v>
      </c>
      <c r="C12" s="90"/>
      <c r="D12" s="91"/>
      <c r="E12" s="92"/>
      <c r="F12" s="92"/>
      <c r="G12" s="92"/>
      <c r="H12" s="92"/>
      <c r="I12" s="92"/>
      <c r="J12" s="93"/>
    </row>
    <row r="13" spans="1:11" ht="123" customHeight="1" x14ac:dyDescent="0.15">
      <c r="B13" s="88"/>
      <c r="C13" s="305" t="s">
        <v>211</v>
      </c>
      <c r="D13" s="306"/>
      <c r="E13" s="303" t="s">
        <v>233</v>
      </c>
      <c r="F13" s="303"/>
      <c r="G13" s="303"/>
      <c r="H13" s="303"/>
      <c r="I13" s="303"/>
      <c r="J13" s="304"/>
      <c r="K13" s="6" t="str">
        <f t="shared" si="0"/>
        <v/>
      </c>
    </row>
    <row r="14" spans="1:11" ht="116.25" customHeight="1" x14ac:dyDescent="0.15">
      <c r="B14" s="88"/>
      <c r="C14" s="305" t="s">
        <v>212</v>
      </c>
      <c r="D14" s="306"/>
      <c r="E14" s="303" t="s">
        <v>234</v>
      </c>
      <c r="F14" s="303"/>
      <c r="G14" s="303"/>
      <c r="H14" s="303"/>
      <c r="I14" s="303"/>
      <c r="J14" s="304"/>
      <c r="K14" s="6" t="str">
        <f t="shared" si="0"/>
        <v/>
      </c>
    </row>
    <row r="15" spans="1:11" ht="80.25" customHeight="1" x14ac:dyDescent="0.15">
      <c r="B15" s="313" t="s">
        <v>213</v>
      </c>
      <c r="C15" s="314"/>
      <c r="D15" s="306"/>
      <c r="E15" s="303" t="s">
        <v>214</v>
      </c>
      <c r="F15" s="303"/>
      <c r="G15" s="303"/>
      <c r="H15" s="303"/>
      <c r="I15" s="303"/>
      <c r="J15" s="304"/>
      <c r="K15" s="6" t="str">
        <f>IF(E15="","入力してください","")</f>
        <v/>
      </c>
    </row>
    <row r="16" spans="1:11" ht="144" customHeight="1" x14ac:dyDescent="0.15">
      <c r="A16" s="6"/>
      <c r="B16" s="307" t="s">
        <v>215</v>
      </c>
      <c r="C16" s="308"/>
      <c r="D16" s="309"/>
      <c r="E16" s="282" t="s">
        <v>235</v>
      </c>
      <c r="F16" s="282"/>
      <c r="G16" s="282"/>
      <c r="H16" s="282"/>
      <c r="I16" s="282"/>
      <c r="J16" s="283"/>
      <c r="K16" s="6" t="str">
        <f>IF(E16="","入力してください","")</f>
        <v/>
      </c>
    </row>
    <row r="17" spans="1:11" ht="7.5" customHeight="1" x14ac:dyDescent="0.15">
      <c r="B17" s="86"/>
      <c r="C17" s="86"/>
      <c r="D17" s="86"/>
      <c r="E17" s="86"/>
      <c r="F17" s="86"/>
      <c r="G17" s="86"/>
      <c r="H17" s="86"/>
      <c r="I17" s="86"/>
      <c r="J17" s="86"/>
    </row>
    <row r="18" spans="1:11" ht="18.75" customHeight="1" x14ac:dyDescent="0.15">
      <c r="A18" s="5" t="s">
        <v>216</v>
      </c>
      <c r="B18" s="6"/>
      <c r="C18" s="86"/>
      <c r="D18" s="86"/>
      <c r="E18" s="86"/>
      <c r="F18" s="83"/>
      <c r="G18" s="310" t="s">
        <v>124</v>
      </c>
      <c r="H18" s="311"/>
      <c r="I18" s="311"/>
      <c r="J18" s="312"/>
      <c r="K18" s="6" t="str">
        <f>IF(G18="","入力してください","")</f>
        <v/>
      </c>
    </row>
    <row r="19" spans="1:11" ht="22.5" customHeight="1" x14ac:dyDescent="0.15">
      <c r="B19" s="86"/>
      <c r="C19" s="86"/>
      <c r="D19" s="86"/>
      <c r="E19" s="86"/>
      <c r="F19" s="86"/>
      <c r="G19" s="86"/>
      <c r="H19" s="86"/>
      <c r="I19" s="86"/>
      <c r="J19" s="86"/>
    </row>
    <row r="20" spans="1:11" ht="22.5" customHeight="1" x14ac:dyDescent="0.15">
      <c r="B20" s="86"/>
      <c r="C20" s="86"/>
      <c r="D20" s="86"/>
      <c r="E20" s="86"/>
      <c r="F20" s="86"/>
      <c r="G20" s="86"/>
      <c r="H20" s="86"/>
      <c r="I20" s="86"/>
      <c r="J20" s="86"/>
    </row>
    <row r="21" spans="1:11" ht="22.5" customHeight="1" x14ac:dyDescent="0.15">
      <c r="B21" s="86"/>
      <c r="C21" s="86"/>
      <c r="D21" s="86"/>
      <c r="E21" s="86"/>
      <c r="F21" s="86"/>
      <c r="G21" s="86"/>
      <c r="H21" s="86"/>
      <c r="I21" s="86"/>
      <c r="J21" s="86"/>
    </row>
    <row r="22" spans="1:11" ht="22.5" customHeight="1" x14ac:dyDescent="0.15">
      <c r="B22" s="86"/>
      <c r="C22" s="86"/>
      <c r="D22" s="86"/>
      <c r="E22" s="86"/>
      <c r="F22" s="86"/>
      <c r="G22" s="86"/>
      <c r="H22" s="86"/>
      <c r="I22" s="86"/>
      <c r="J22" s="86"/>
    </row>
    <row r="23" spans="1:11" ht="22.5" customHeight="1" x14ac:dyDescent="0.15">
      <c r="B23" s="86"/>
      <c r="C23" s="86"/>
      <c r="D23" s="86"/>
      <c r="E23" s="86"/>
      <c r="F23" s="86"/>
      <c r="G23" s="86"/>
      <c r="H23" s="86"/>
      <c r="I23" s="86"/>
      <c r="J23" s="86"/>
    </row>
    <row r="24" spans="1:11" ht="22.5" customHeight="1" x14ac:dyDescent="0.15">
      <c r="B24" s="51"/>
      <c r="C24" s="51"/>
      <c r="D24" s="51"/>
      <c r="E24" s="51"/>
      <c r="F24" s="51"/>
      <c r="G24" s="51"/>
      <c r="H24" s="51"/>
      <c r="I24" s="51"/>
      <c r="J24" s="51"/>
    </row>
    <row r="25" spans="1:11" ht="22.5" customHeight="1" x14ac:dyDescent="0.15">
      <c r="B25" s="51"/>
      <c r="C25" s="51"/>
      <c r="D25" s="51"/>
      <c r="E25" s="51"/>
      <c r="F25" s="51"/>
      <c r="G25" s="51"/>
      <c r="H25" s="51"/>
      <c r="I25" s="51"/>
      <c r="J25" s="51"/>
    </row>
    <row r="26" spans="1:11" ht="22.5" customHeight="1" x14ac:dyDescent="0.15">
      <c r="B26" s="51"/>
      <c r="C26" s="51"/>
      <c r="D26" s="51"/>
      <c r="E26" s="51"/>
      <c r="F26" s="51"/>
      <c r="G26" s="51"/>
      <c r="H26" s="51"/>
      <c r="I26" s="51"/>
      <c r="J26" s="51"/>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scale="66" orientation="portrait" horizontalDpi="4294967292"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E81A8BF919F0440B49650D861CC2C76" ma:contentTypeVersion="2" ma:contentTypeDescription="新しいドキュメントを作成します。" ma:contentTypeScope="" ma:versionID="de3af415b4fa64ef53852d2a9a2d1968">
  <xsd:schema xmlns:xsd="http://www.w3.org/2001/XMLSchema" xmlns:xs="http://www.w3.org/2001/XMLSchema" xmlns:p="http://schemas.microsoft.com/office/2006/metadata/properties" xmlns:ns2="8fabb398-0da4-483f-a0b6-753ddafea0b0" targetNamespace="http://schemas.microsoft.com/office/2006/metadata/properties" ma:root="true" ma:fieldsID="227b67dda105cbd7c1b2ae59cc83e3e7" ns2:_="">
    <xsd:import namespace="8fabb398-0da4-483f-a0b6-753ddafea0b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abb398-0da4-483f-a0b6-753ddafea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A271663-97A4-4B2C-880C-73DA542F2285}">
  <ds:schemaRefs>
    <ds:schemaRef ds:uri="http://schemas.microsoft.com/sharepoint/v3/contenttype/forms"/>
  </ds:schemaRefs>
</ds:datastoreItem>
</file>

<file path=customXml/itemProps2.xml><?xml version="1.0" encoding="utf-8"?>
<ds:datastoreItem xmlns:ds="http://schemas.openxmlformats.org/officeDocument/2006/customXml" ds:itemID="{7A45BCFA-2DDE-4F71-829F-64738B6E55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abb398-0da4-483f-a0b6-753ddafea0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0E6F3E-1321-4DB4-8EA3-4F496B3AAC87}">
  <ds:schemaRef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8fabb398-0da4-483f-a0b6-753ddafea0b0"/>
    <ds:schemaRef ds:uri="http://purl.org/dc/term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様式２-1プログラムを構成する授業科目</vt:lpstr>
      <vt:lpstr>様式２-2　プログラムを構成する授業科目</vt:lpstr>
      <vt:lpstr>様式２-3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'様式２-1プログラムを構成する授業科目'!Print_Area</vt:lpstr>
      <vt:lpstr>'様式２-2　プログラムを構成する授業科目'!Print_Area</vt:lpstr>
      <vt:lpstr>'様式２-3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Windows User</cp:lastModifiedBy>
  <cp:revision/>
  <cp:lastPrinted>2022-05-24T23:39:54Z</cp:lastPrinted>
  <dcterms:created xsi:type="dcterms:W3CDTF">2011-06-14T05:32:50Z</dcterms:created>
  <dcterms:modified xsi:type="dcterms:W3CDTF">2022-05-24T23:45:29Z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0x0101004E81A8BF919F0440B49650D861CC2C76</vt:lpwstr>
  </property>
</Properties>
</file>