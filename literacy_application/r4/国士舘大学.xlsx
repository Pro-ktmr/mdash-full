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00-001 ◇個人別フォルダ◇（作業用）\005-齋藤\2021 work\AI・DS・数理関係\リテラシーレベル認定申請\★2022申請一式\"/>
    </mc:Choice>
  </mc:AlternateContent>
  <bookViews>
    <workbookView xWindow="0" yWindow="0" windowWidth="15195" windowHeight="12225" tabRatio="885"/>
  </bookViews>
  <sheets>
    <sheet name="様式１　大学等概要" sheetId="8" r:id="rId1"/>
    <sheet name="様式２　プログラムを構成する授業科目" sheetId="39" r:id="rId2"/>
    <sheet name="様式２　プログラムを構成する授業科目 (2)" sheetId="44"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　プログラムを構成する授業科目'!#REF!</definedName>
    <definedName name="_xlnm._FilterDatabase" localSheetId="2" hidden="1">'様式２　プログラムを構成する授業科目 (2)'!#REF!</definedName>
    <definedName name="_xlnm._FilterDatabase" localSheetId="3"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'様式２　プログラムを構成する授業科目 (2)'!$A$1:$Z$98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62913"/>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c r="O30" i="40"/>
  <c r="N30" i="40"/>
  <c r="M30" i="40"/>
  <c r="L30" i="40"/>
  <c r="K30" i="40"/>
  <c r="J30" i="40"/>
  <c r="I30" i="40"/>
  <c r="H30" i="40"/>
  <c r="G30" i="40"/>
  <c r="F30" i="40"/>
  <c r="E30" i="40"/>
  <c r="D30" i="40"/>
  <c r="I29" i="41"/>
  <c r="C30" i="40"/>
  <c r="Q29" i="40"/>
  <c r="R29" i="40"/>
  <c r="Q28" i="40"/>
  <c r="R28" i="40"/>
  <c r="Q27" i="40"/>
  <c r="R27" i="40"/>
  <c r="R26" i="40"/>
  <c r="Q26" i="40"/>
  <c r="Q25" i="40"/>
  <c r="R25" i="40"/>
  <c r="R24" i="40"/>
  <c r="Q24" i="40"/>
  <c r="Q23" i="40"/>
  <c r="R23" i="40"/>
  <c r="R22" i="40"/>
  <c r="Q22" i="40"/>
  <c r="Q21" i="40"/>
  <c r="R21" i="40"/>
  <c r="R20" i="40"/>
  <c r="Q20" i="40"/>
  <c r="Q19" i="40"/>
  <c r="R19" i="40"/>
  <c r="R18" i="40"/>
  <c r="Q18" i="40"/>
  <c r="Q17" i="40"/>
  <c r="R17" i="40"/>
  <c r="Q16" i="40"/>
  <c r="R16" i="40"/>
  <c r="Q15" i="40"/>
  <c r="R15" i="40"/>
  <c r="R14" i="40"/>
  <c r="Q14" i="40"/>
  <c r="Q13" i="40"/>
  <c r="R13" i="40"/>
  <c r="Q12" i="40"/>
  <c r="R12" i="40"/>
  <c r="Q11" i="40"/>
  <c r="R11" i="40"/>
  <c r="Q10" i="40"/>
  <c r="Q30" i="40"/>
  <c r="R30" i="40"/>
  <c r="C28" i="41"/>
  <c r="R10" i="40"/>
</calcChain>
</file>

<file path=xl/sharedStrings.xml><?xml version="1.0" encoding="utf-8"?>
<sst xmlns="http://schemas.openxmlformats.org/spreadsheetml/2006/main" count="476" uniqueCount="219">
  <si>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</si>
  <si>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</si>
  <si>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</si>
  <si>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</si>
  <si>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</si>
  <si>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</si>
  <si>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</si>
  <si>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</si>
  <si>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</si>
  <si>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</si>
  <si>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</si>
  <si>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</si>
  <si>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</si>
  <si>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</si>
  <si>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</si>
  <si>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</si>
  <si>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</si>
  <si>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</si>
  <si>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</si>
  <si>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</si>
  <si>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</si>
  <si>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</si>
  <si>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</si>
  <si>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</si>
  <si>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</si>
  <si>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</si>
  <si>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</si>
  <si>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</si>
  <si>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</si>
  <si>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</si>
  <si>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</si>
  <si>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</si>
  <si>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</si>
  <si>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</si>
  <si>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</si>
  <si>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</si>
  <si>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</si>
  <si>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</si>
  <si>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</si>
  <si>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</si>
  <si>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</si>
  <si>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</si>
  <si>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</si>
  <si>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</si>
  <si>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</si>
  <si>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</si>
  <si>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</si>
  <si>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</si>
  <si>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</si>
  <si>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</si>
  <si>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</si>
  <si>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</si>
  <si>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</si>
  <si>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</si>
  <si>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</si>
  <si>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</si>
  <si>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</si>
  <si>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</si>
  <si>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</si>
  <si>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</si>
  <si>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</si>
  <si>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</si>
  <si>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</si>
  <si>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</si>
  <si>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</si>
  <si>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</si>
  <si>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</si>
  <si>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</si>
  <si>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</si>
  <si>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</si>
  <si>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</si>
  <si>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</si>
  <si>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</si>
  <si>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</si>
  <si>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</si>
  <si>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</si>
  <si>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</si>
  <si>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</si>
  <si>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</si>
  <si>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</si>
  <si>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</si>
  <si>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</si>
  <si>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</si>
  <si>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</si>
  <si>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</si>
  <si>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</si>
  <si>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</si>
  <si>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</si>
  <si>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</si>
  <si>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</si>
  <si>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</si>
  <si>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</si>
  <si>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</si>
  <si>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</si>
  <si>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</si>
  <si>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</si>
  <si>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</si>
  <si>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</si>
  <si>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</si>
  <si>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</si>
  <si>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</si>
  <si>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</si>
  <si>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</si>
  <si>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</si>
  <si>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</si>
  <si>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</si>
  <si>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</si>
  <si>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</si>
  <si>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</si>
  <si>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</si>
  <si>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</si>
  <si>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</si>
  <si>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</si>
  <si>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</si>
  <si>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</si>
  <si>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</si>
  <si>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</si>
  <si>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</si>
  <si>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</si>
  <si>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</si>
  <si>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</si>
  <si>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</si>
  <si>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</si>
  <si>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</si>
  <si>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</si>
  <si>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</si>
  <si>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</si>
  <si>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</si>
  <si>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</si>
  <si>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</si>
  <si>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</si>
  <si>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</si>
  <si>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</si>
  <si>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</si>
  <si>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</si>
  <si>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</si>
  <si>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</si>
  <si>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</si>
  <si>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</si>
  <si>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</si>
  <si>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</si>
  <si>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</si>
  <si>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</si>
  <si>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</si>
  <si>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</si>
  <si>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</si>
  <si>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</si>
  <si>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</si>
  <si>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国士舘大学</t>
    <rPh sb="0" eb="3">
      <t>コクシカン</t>
    </rPh>
    <rPh sb="3" eb="5">
      <t>ダイガク</t>
    </rPh>
    <phoneticPr fontId="1"/>
  </si>
  <si>
    <t>学校法人　国士舘</t>
    <rPh sb="0" eb="2">
      <t>ガッコウ</t>
    </rPh>
    <rPh sb="2" eb="4">
      <t>ホウジン</t>
    </rPh>
    <rPh sb="5" eb="8">
      <t>コクシカン</t>
    </rPh>
    <phoneticPr fontId="1"/>
  </si>
  <si>
    <t>私立大学</t>
  </si>
  <si>
    <t>東京都世田谷区世田谷４丁目２８番１号</t>
    <rPh sb="0" eb="2">
      <t>トウキョウ</t>
    </rPh>
    <rPh sb="2" eb="3">
      <t>ト</t>
    </rPh>
    <rPh sb="3" eb="7">
      <t>セタガヤク</t>
    </rPh>
    <rPh sb="7" eb="10">
      <t>セタガヤ</t>
    </rPh>
    <rPh sb="11" eb="13">
      <t>チョウメ</t>
    </rPh>
    <rPh sb="15" eb="16">
      <t>バン</t>
    </rPh>
    <rPh sb="17" eb="18">
      <t>ゴウ</t>
    </rPh>
    <phoneticPr fontId="1"/>
  </si>
  <si>
    <t>ＡＩ・データサイエンス教育プログラム</t>
    <rPh sb="11" eb="13">
      <t>キョウイク</t>
    </rPh>
    <phoneticPr fontId="1"/>
  </si>
  <si>
    <t>令和３</t>
    <rPh sb="0" eb="2">
      <t>レイワ</t>
    </rPh>
    <phoneticPr fontId="1"/>
  </si>
  <si>
    <t>無</t>
  </si>
  <si>
    <t>佐藤　圭一</t>
    <rPh sb="0" eb="2">
      <t>サトウ</t>
    </rPh>
    <rPh sb="3" eb="5">
      <t>ケイイチ</t>
    </rPh>
    <phoneticPr fontId="1"/>
  </si>
  <si>
    <t>学長</t>
    <rPh sb="0" eb="2">
      <t>ガクチョウ</t>
    </rPh>
    <phoneticPr fontId="1"/>
  </si>
  <si>
    <t>全学教養教育運営センター　AI・データサイエンス教育ワーキンググループ</t>
    <rPh sb="0" eb="2">
      <t>ゼンガク</t>
    </rPh>
    <rPh sb="2" eb="4">
      <t>キョウヨウ</t>
    </rPh>
    <rPh sb="4" eb="6">
      <t>キョウイク</t>
    </rPh>
    <rPh sb="6" eb="8">
      <t>ウンエイ</t>
    </rPh>
    <rPh sb="24" eb="26">
      <t>キョウイク</t>
    </rPh>
    <phoneticPr fontId="1"/>
  </si>
  <si>
    <t>辰野　文理</t>
    <rPh sb="0" eb="2">
      <t>タツノ</t>
    </rPh>
    <rPh sb="3" eb="5">
      <t>ブンリ</t>
    </rPh>
    <phoneticPr fontId="1"/>
  </si>
  <si>
    <t>全学教養教育運営センター長</t>
    <rPh sb="0" eb="8">
      <t>ゼンガクキョウヨウキョウイクウンエイ</t>
    </rPh>
    <rPh sb="12" eb="13">
      <t>チョウ</t>
    </rPh>
    <phoneticPr fontId="1"/>
  </si>
  <si>
    <t>認定教育プログラム</t>
  </si>
  <si>
    <t>教務部教務課</t>
    <rPh sb="0" eb="2">
      <t>キョウム</t>
    </rPh>
    <rPh sb="2" eb="3">
      <t>ブ</t>
    </rPh>
    <rPh sb="3" eb="6">
      <t>キョウムカ</t>
    </rPh>
    <phoneticPr fontId="1"/>
  </si>
  <si>
    <t>齋藤　諒</t>
    <rPh sb="0" eb="2">
      <t>サイトウ</t>
    </rPh>
    <rPh sb="3" eb="4">
      <t>リョウ</t>
    </rPh>
    <phoneticPr fontId="1"/>
  </si>
  <si>
    <t>03-5481-5286</t>
    <phoneticPr fontId="1"/>
  </si>
  <si>
    <t>学部・学科によって、修了要件は相違する</t>
  </si>
  <si>
    <t>様式２－１</t>
    <phoneticPr fontId="1"/>
  </si>
  <si>
    <t>【政経学部・体育学部・法学部・文学部・２１世紀アジア学部・経営学部　対象】
以下の２科目４単位の単位修得によって、本プログラムの修了要件とする。
・AIとサイエンス
・統計学（基礎統計）</t>
    <phoneticPr fontId="1"/>
  </si>
  <si>
    <t>AIとサイエンス</t>
    <phoneticPr fontId="1"/>
  </si>
  <si>
    <t>○</t>
  </si>
  <si>
    <t>全学開講</t>
  </si>
  <si>
    <t>統計学（基礎統計）</t>
    <rPh sb="0" eb="3">
      <t>トウケイガク</t>
    </rPh>
    <rPh sb="4" eb="6">
      <t>キソ</t>
    </rPh>
    <rPh sb="6" eb="8">
      <t>トウケイ</t>
    </rPh>
    <phoneticPr fontId="1"/>
  </si>
  <si>
    <t>一部開講</t>
  </si>
  <si>
    <t>○</t>
    <phoneticPr fontId="1"/>
  </si>
  <si>
    <t>4‐5テキスト解析</t>
  </si>
  <si>
    <t>4‐6画像解析</t>
  </si>
  <si>
    <t>・社会で活用されているデータ（ビックデータ、構造化データ，非構造化データ等）「AIとサイエンス」（２回目）　</t>
    <rPh sb="36" eb="37">
      <t>トウ</t>
    </rPh>
    <rPh sb="50" eb="52">
      <t>カイメ</t>
    </rPh>
    <phoneticPr fontId="1"/>
  </si>
  <si>
    <t>・データとAIの活用領域（活用目的（仮説検証、知識発見など）ごとのAI活用具体例）「AIとサイエンス」（３回目）</t>
    <rPh sb="53" eb="55">
      <t>カイメ</t>
    </rPh>
    <phoneticPr fontId="1"/>
  </si>
  <si>
    <t>・AI・データサイエンスを学ぶ重要性、Society5.0、人間の知的活動とAIの関係性「AIとサイエンス」（１回目）　</t>
    <rPh sb="56" eb="58">
      <t>カイメ</t>
    </rPh>
    <phoneticPr fontId="1"/>
  </si>
  <si>
    <t>・AI活用の最前線（活用例）、AI技術の最前線（敵対的生成ネットワーク）「AIとサイエンス」（６回目）</t>
    <rPh sb="3" eb="5">
      <t>カツヨウ</t>
    </rPh>
    <rPh sb="6" eb="9">
      <t>サイゼンセン</t>
    </rPh>
    <rPh sb="10" eb="12">
      <t>カツヨウ</t>
    </rPh>
    <rPh sb="12" eb="13">
      <t>レイ</t>
    </rPh>
    <rPh sb="17" eb="19">
      <t>ギジュ</t>
    </rPh>
    <rPh sb="20" eb="23">
      <t>サイゼンセン</t>
    </rPh>
    <rPh sb="48" eb="50">
      <t>カイメ</t>
    </rPh>
    <phoneticPr fontId="1"/>
  </si>
  <si>
    <t>・特化型AIと汎用AI、今のAIで出来ることと出来ないこと「AIとサイエンス」（４回目）
・データ分析の「予測」、「分類」（グルーピングとクラスタリングの違い）、「発見」（相関分析）の説明「AIとサイエンス」（４回目）</t>
    <rPh sb="41" eb="43">
      <t>カイメ</t>
    </rPh>
    <rPh sb="92" eb="94">
      <t>セツメイ</t>
    </rPh>
    <rPh sb="106" eb="108">
      <t>カイメ</t>
    </rPh>
    <phoneticPr fontId="1"/>
  </si>
  <si>
    <t>・データサイエンスのサイクル、データ活用事例紹介「AIとサイエンス」（５回目）</t>
    <rPh sb="36" eb="38">
      <t>カイメ</t>
    </rPh>
    <phoneticPr fontId="1"/>
  </si>
  <si>
    <t>・AI社会原則、データサイエンス・AIを利活用する際に求められるモラルや倫理，データ駆動型社会におけるリスク、個人データを扱うときのELSI「AIとサイエンス」（13回目）
・データサイエンス・AIが引き起こした負の事例「AIとサイエンス」（15回目）</t>
    <rPh sb="83" eb="85">
      <t>カイメ</t>
    </rPh>
    <rPh sb="123" eb="125">
      <t>カイメ</t>
    </rPh>
    <phoneticPr fontId="1"/>
  </si>
  <si>
    <t>・セキュリティ事故の事例「AIとサイエンス」（14回目）</t>
    <rPh sb="25" eb="27">
      <t>カイメ</t>
    </rPh>
    <phoneticPr fontId="1"/>
  </si>
  <si>
    <t>・データの種類、グラフや基本統計量（中央値や散布度）の理解と算出手法）「AIとサイエンス」（10回目）
・統計量と現象理解の関係（相関と因果）「AIとサイエンス」（11回目）
・記述統計、度数分布とヒストグラム、データの代表値、ちらばりの尺度「統計学（基礎統計）」（2回目）</t>
    <rPh sb="122" eb="125">
      <t>トウケイガク</t>
    </rPh>
    <rPh sb="126" eb="128">
      <t>キソ</t>
    </rPh>
    <rPh sb="128" eb="130">
      <t>トウケイ</t>
    </rPh>
    <rPh sb="134" eb="135">
      <t>カイ</t>
    </rPh>
    <rPh sb="135" eb="136">
      <t>メ</t>
    </rPh>
    <phoneticPr fontId="1"/>
  </si>
  <si>
    <t>・表形式のデータの扱い方、データの集計（和、平均)方法，データの並び替え、ランキング「AIとサイエンス」（9回目）</t>
    <rPh sb="25" eb="27">
      <t>ホウホウ</t>
    </rPh>
    <rPh sb="54" eb="56">
      <t>カイメ</t>
    </rPh>
    <phoneticPr fontId="1"/>
  </si>
  <si>
    <t>・データ表現（棒グラフ、折線グラフ、散布図、ヒートマップ）の種類と使い分け，不適切なデータ表現について事例「AIとサイエンス」（７回目）
・データ表現の方法（棒グラフ、折線グラフ、散布図、ヒートマップ）「ＡＩとサイエンス」（８回目）
・データ間の関係、散布図と分割表、相関、回帰「統計学（基礎統計）」（3回目）</t>
    <rPh sb="30" eb="32">
      <t>シュルイ</t>
    </rPh>
    <rPh sb="33" eb="34">
      <t>ツカ</t>
    </rPh>
    <rPh sb="35" eb="36">
      <t>ワ</t>
    </rPh>
    <rPh sb="66" eb="67">
      <t>メ</t>
    </rPh>
    <rPh sb="136" eb="139">
      <t>トウケイガク</t>
    </rPh>
    <rPh sb="140" eb="142">
      <t>キソ</t>
    </rPh>
    <rPh sb="142" eb="144">
      <t>トウケイ</t>
    </rPh>
    <rPh sb="147" eb="148">
      <t>ダイ</t>
    </rPh>
    <rPh sb="149" eb="150">
      <t>カイ</t>
    </rPh>
    <rPh sb="152" eb="153">
      <t>メ</t>
    </rPh>
    <phoneticPr fontId="1"/>
  </si>
  <si>
    <t>【理工学部　対象】
以下の２科目４単位の単位修得によって、本プログラムの修了要件とする。
・AIとサイエンス
・統計学</t>
    <rPh sb="1" eb="3">
      <t>リコウ</t>
    </rPh>
    <rPh sb="3" eb="5">
      <t>ガクブ</t>
    </rPh>
    <rPh sb="6" eb="8">
      <t>タイショウ</t>
    </rPh>
    <rPh sb="11" eb="13">
      <t>イカ</t>
    </rPh>
    <rPh sb="15" eb="17">
      <t>カモク</t>
    </rPh>
    <rPh sb="18" eb="20">
      <t>タンイ</t>
    </rPh>
    <rPh sb="21" eb="23">
      <t>タンイ</t>
    </rPh>
    <rPh sb="23" eb="25">
      <t>シュウトク</t>
    </rPh>
    <rPh sb="30" eb="31">
      <t>ホン</t>
    </rPh>
    <rPh sb="37" eb="39">
      <t>シュウリョウ</t>
    </rPh>
    <rPh sb="39" eb="41">
      <t>ヨウケン</t>
    </rPh>
    <rPh sb="57" eb="60">
      <t>トウケイガク</t>
    </rPh>
    <phoneticPr fontId="1"/>
  </si>
  <si>
    <t>統計学</t>
    <rPh sb="0" eb="3">
      <t>トウケイガク</t>
    </rPh>
    <phoneticPr fontId="1"/>
  </si>
  <si>
    <t>・データの種類、グラフや基本統計量（中央値や散布度）の理解と算出手法）「AIとサイエンス」（10回目）
・統計量と現象理解の関係（相関と因果）「AIとサイエンス」（11回目）
・確率分布、正規分布「統計学」（6回目）</t>
    <rPh sb="89" eb="91">
      <t>カクリツ</t>
    </rPh>
    <rPh sb="91" eb="93">
      <t>ブンプ</t>
    </rPh>
    <rPh sb="94" eb="96">
      <t>セイキ</t>
    </rPh>
    <rPh sb="96" eb="98">
      <t>ブンプ</t>
    </rPh>
    <rPh sb="99" eb="102">
      <t>トウケイガク</t>
    </rPh>
    <rPh sb="105" eb="106">
      <t>カイ</t>
    </rPh>
    <rPh sb="106" eb="107">
      <t>メ</t>
    </rPh>
    <phoneticPr fontId="1"/>
  </si>
  <si>
    <t>・データ表現（棒グラフ、折線グラフ、散布図、ヒートマップ）の種類と使い分け，不適切なデータ表現について事例「AIとサイエンス」（７回目）
・データ表現の方法（棒グラフ、折線グラフ、散布図、ヒートマップ）「AIとサイエンス」（８回目）
・分散と標準偏差、相関係数「統計学」（5回目）</t>
    <rPh sb="30" eb="32">
      <t>シュルイ</t>
    </rPh>
    <rPh sb="33" eb="34">
      <t>ツカ</t>
    </rPh>
    <rPh sb="35" eb="36">
      <t>ワ</t>
    </rPh>
    <rPh sb="66" eb="67">
      <t>メ</t>
    </rPh>
    <rPh sb="131" eb="133">
      <t>キソ</t>
    </rPh>
    <rPh sb="134" eb="135">
      <t>カイ</t>
    </rPh>
    <rPh sb="137" eb="138">
      <t>メ</t>
    </rPh>
    <phoneticPr fontId="1"/>
  </si>
  <si>
    <t>様式２－２</t>
    <phoneticPr fontId="1"/>
  </si>
  <si>
    <t>kyoumujimu@kokushikan.ac.jp</t>
    <phoneticPr fontId="1"/>
  </si>
  <si>
    <t>政経学部</t>
    <rPh sb="0" eb="2">
      <t>セイケイ</t>
    </rPh>
    <rPh sb="2" eb="4">
      <t>ガクブ</t>
    </rPh>
    <phoneticPr fontId="1"/>
  </si>
  <si>
    <t>体育学部</t>
    <rPh sb="0" eb="2">
      <t>タイイク</t>
    </rPh>
    <rPh sb="2" eb="4">
      <t>ガクブ</t>
    </rPh>
    <phoneticPr fontId="1"/>
  </si>
  <si>
    <t>理工学部</t>
    <rPh sb="0" eb="2">
      <t>リコウ</t>
    </rPh>
    <rPh sb="2" eb="4">
      <t>ガクブ</t>
    </rPh>
    <phoneticPr fontId="1"/>
  </si>
  <si>
    <t>法学部</t>
    <rPh sb="0" eb="3">
      <t>ホウガクブ</t>
    </rPh>
    <phoneticPr fontId="1"/>
  </si>
  <si>
    <t>文学部</t>
    <rPh sb="0" eb="3">
      <t>ブンガクブ</t>
    </rPh>
    <phoneticPr fontId="1"/>
  </si>
  <si>
    <t>２１世紀アジア学部</t>
    <rPh sb="2" eb="4">
      <t>セイキ</t>
    </rPh>
    <rPh sb="7" eb="9">
      <t>ガクブ</t>
    </rPh>
    <phoneticPr fontId="1"/>
  </si>
  <si>
    <t>経営学部</t>
    <rPh sb="0" eb="2">
      <t>ケイエイ</t>
    </rPh>
    <rPh sb="2" eb="4">
      <t>ガクブ</t>
    </rPh>
    <phoneticPr fontId="1"/>
  </si>
  <si>
    <t>全学教養教育運営センター　ＡＩ・データサイエンス教育ワーキンググループ</t>
    <phoneticPr fontId="1"/>
  </si>
  <si>
    <t>本ワーキンググループは、データを活用し社会の課題を発見、解決できる人材を育成することを目的に、数理・データサイエンス・AI教育の全学的な展開や関連科目の整備を行う目的としている。</t>
    <phoneticPr fontId="1"/>
  </si>
  <si>
    <t>座長：辰野　文理　（全学教養教育運営センター長／法学部・教授）
メンバー：長谷川　均（副学長／文学部・教授）
　　　　　　関口宗男（全学教養教育運営センター自然科学部会主任／理工学部・教授）
　　　　　　齋藤　諒（教務課：庶務担当）</t>
    <rPh sb="102" eb="104">
      <t>サイトウ</t>
    </rPh>
    <rPh sb="105" eb="106">
      <t>リョウ</t>
    </rPh>
    <rPh sb="107" eb="110">
      <t>キョウムカ</t>
    </rPh>
    <rPh sb="111" eb="113">
      <t>ショム</t>
    </rPh>
    <rPh sb="113" eb="115">
      <t>タントウ</t>
    </rPh>
    <phoneticPr fontId="1"/>
  </si>
  <si>
    <t>　目標を実現するために、令和４年度より、「AIとサイエンス」の開講数を増やし、学生が履修し易い環境を整える。
　また、学生に対して、履修ガイダンス等でAIやデータサイエンスに関する啓蒙活動を行い、履修を促し登録者の増加を目指す。
　さらに、令和4年度からは本プログラムを副専攻化にし、体系的に学修できる体制を整えていく。</t>
    <rPh sb="120" eb="121">
      <t>レイ</t>
    </rPh>
    <rPh sb="121" eb="122">
      <t>ワ</t>
    </rPh>
    <rPh sb="123" eb="124">
      <t>ネン</t>
    </rPh>
    <rPh sb="124" eb="125">
      <t>ド</t>
    </rPh>
    <rPh sb="128" eb="129">
      <t>ホン</t>
    </rPh>
    <rPh sb="135" eb="138">
      <t>フクセンコウ</t>
    </rPh>
    <rPh sb="138" eb="139">
      <t>カ</t>
    </rPh>
    <rPh sb="142" eb="145">
      <t>タイケイテキ</t>
    </rPh>
    <rPh sb="146" eb="148">
      <t>ガクシュウ</t>
    </rPh>
    <rPh sb="151" eb="153">
      <t>タイセイ</t>
    </rPh>
    <rPh sb="154" eb="155">
      <t>トトノ</t>
    </rPh>
    <phoneticPr fontId="1"/>
  </si>
  <si>
    <t xml:space="preserve">　本プログラムで設定している科目は、特定の学部学科によらず、全学生が履修できる。また、総合教育科目の選択科目として１年次から開講しており、複数クラスを設けることにより学生の履修機会を確保している。
</t>
    <phoneticPr fontId="1"/>
  </si>
  <si>
    <t xml:space="preserve">　本プログラムの各授業で用いられた講義資料等は、本学のLMS（manaba）にアーカイブを蓄積し、すべての履修生がいつでも講義の閲覧が可能な環境を構築している。また、内容について、学生同士の意見や考えを共有できるようmanabaのスレッド機能を活用して、理解を深めている。
</t>
    <phoneticPr fontId="1"/>
  </si>
  <si>
    <t>　本プログラムにおける履修を本学のLMS（manaba）にて管理し、学生は授業時間以外に不明点等をシステムを通じて確認することができ、質問はできるだけ速やかに担当教員からの回答を確認できるような体制を構築している。</t>
    <phoneticPr fontId="1"/>
  </si>
  <si>
    <t>　本教育プログラムを構成する科目の履修状況、単位修得状況を収集している。これらのデータを活用することによって、履修状況や単位修得状況から本教育プログラムの修得状況を把握し、授業の計画・実施・評価・改善の仕組みを確立している。</t>
    <rPh sb="24" eb="26">
      <t>シュウトク</t>
    </rPh>
    <rPh sb="62" eb="64">
      <t>シュウトク</t>
    </rPh>
    <phoneticPr fontId="1"/>
  </si>
  <si>
    <t>　学修成果に関しては、各科目の履修者の成績評価（GPA等）をもとに学修成果を把握する。GPAを参考にした履修指導が行われており、GPAは学修成果を測る指標として活用されている。本プログラムに関しても、履修者の平均GPAやGPAの分布を分析することにより、学修成果を測定する。
また、授業評価アンケートの結果を総合的に分析することによって、授業内容の学生の理解度を把握することとしている。</t>
    <rPh sb="19" eb="21">
      <t>セイセキ</t>
    </rPh>
    <rPh sb="21" eb="23">
      <t>ヒョウカ</t>
    </rPh>
    <rPh sb="27" eb="28">
      <t>トウ</t>
    </rPh>
    <phoneticPr fontId="1"/>
  </si>
  <si>
    <t>　本学では、全科目を対象に「授業評価アンケート」を実施している。本プログラムの「授業評価アンケート」の結果を教務課やIR課が中心となって分析することにより、学生の理解度を把握し、問題がある場合には、改善提案を策定する。</t>
    <phoneticPr fontId="1"/>
  </si>
  <si>
    <t>　本学では、全科目を対象に「授業評価アンケート」を実施している。本プログラムの「授業評価アンケート」の結果を全学生を対象に公表することにより、履修生の授業に対する理解度を把握することで、積極的な履修を促している。</t>
    <rPh sb="54" eb="56">
      <t>ゼンガク</t>
    </rPh>
    <rPh sb="56" eb="57">
      <t>セイ</t>
    </rPh>
    <rPh sb="58" eb="60">
      <t>タイショウ</t>
    </rPh>
    <rPh sb="61" eb="63">
      <t>コウヒョウ</t>
    </rPh>
    <rPh sb="71" eb="73">
      <t>リシュウ</t>
    </rPh>
    <rPh sb="73" eb="74">
      <t>セイ</t>
    </rPh>
    <rPh sb="75" eb="77">
      <t>ジュギョウ</t>
    </rPh>
    <rPh sb="78" eb="79">
      <t>タイ</t>
    </rPh>
    <rPh sb="81" eb="84">
      <t>リカイド</t>
    </rPh>
    <rPh sb="85" eb="87">
      <t>ハアク</t>
    </rPh>
    <rPh sb="93" eb="96">
      <t>セッキョクテキ</t>
    </rPh>
    <rPh sb="97" eb="99">
      <t>リシュウ</t>
    </rPh>
    <rPh sb="100" eb="101">
      <t>ウナガ</t>
    </rPh>
    <phoneticPr fontId="1"/>
  </si>
  <si>
    <t>　令和４年度からは、現行プログラムを「副専攻」化し、さらに体系的に学修することができる体制を整え、そのメリットなどを伝えることで履修率向上に努めていく。
また、データサイエンス教育研究開発センターを立ち上げ、本プログラムの教材開発や指導法の研究などを進めていき、充実したプログラムを構築していき、近い将来に本プログラム全学生必修化を目標としている。</t>
    <rPh sb="1" eb="3">
      <t>レイワ</t>
    </rPh>
    <rPh sb="4" eb="5">
      <t>ネン</t>
    </rPh>
    <rPh sb="5" eb="6">
      <t>ド</t>
    </rPh>
    <rPh sb="10" eb="12">
      <t>ゲンコウ</t>
    </rPh>
    <rPh sb="19" eb="22">
      <t>フクセンコウ</t>
    </rPh>
    <rPh sb="23" eb="24">
      <t>カ</t>
    </rPh>
    <rPh sb="29" eb="32">
      <t>タイケイテキ</t>
    </rPh>
    <rPh sb="33" eb="35">
      <t>ガクシュウ</t>
    </rPh>
    <rPh sb="43" eb="45">
      <t>タイセイ</t>
    </rPh>
    <rPh sb="46" eb="47">
      <t>トトノ</t>
    </rPh>
    <rPh sb="58" eb="59">
      <t>ツタ</t>
    </rPh>
    <rPh sb="64" eb="66">
      <t>リシュウ</t>
    </rPh>
    <rPh sb="66" eb="67">
      <t>リツ</t>
    </rPh>
    <rPh sb="67" eb="69">
      <t>コウジョウ</t>
    </rPh>
    <rPh sb="70" eb="71">
      <t>ツト</t>
    </rPh>
    <rPh sb="88" eb="90">
      <t>キョウイク</t>
    </rPh>
    <rPh sb="90" eb="92">
      <t>ケンキュウ</t>
    </rPh>
    <rPh sb="92" eb="94">
      <t>カイハツ</t>
    </rPh>
    <rPh sb="99" eb="100">
      <t>タ</t>
    </rPh>
    <rPh sb="101" eb="102">
      <t>ア</t>
    </rPh>
    <rPh sb="104" eb="105">
      <t>ホン</t>
    </rPh>
    <rPh sb="111" eb="113">
      <t>キョウザイ</t>
    </rPh>
    <rPh sb="113" eb="115">
      <t>カイハツ</t>
    </rPh>
    <rPh sb="116" eb="118">
      <t>シドウ</t>
    </rPh>
    <rPh sb="118" eb="119">
      <t>ホウ</t>
    </rPh>
    <rPh sb="120" eb="122">
      <t>ケンキュウ</t>
    </rPh>
    <rPh sb="125" eb="126">
      <t>スス</t>
    </rPh>
    <rPh sb="131" eb="133">
      <t>ジュウジツ</t>
    </rPh>
    <rPh sb="141" eb="143">
      <t>コウチク</t>
    </rPh>
    <rPh sb="148" eb="149">
      <t>チカ</t>
    </rPh>
    <rPh sb="150" eb="152">
      <t>ショウライ</t>
    </rPh>
    <rPh sb="153" eb="154">
      <t>ホン</t>
    </rPh>
    <rPh sb="159" eb="161">
      <t>ゼンガク</t>
    </rPh>
    <rPh sb="161" eb="162">
      <t>セイ</t>
    </rPh>
    <rPh sb="162" eb="165">
      <t>ヒッシュウカ</t>
    </rPh>
    <rPh sb="166" eb="168">
      <t>モクヒョウ</t>
    </rPh>
    <phoneticPr fontId="1"/>
  </si>
  <si>
    <t>　現在のところ、本プログラムの修了者のなかで卒業生は出ていない。したがって、現時点では、本プログラム修了者の進路、活躍状況、企業等の評価については評価する材料がないため、具体的は点検・評価はできていないが、令和７年度以降は、本プログラムの修了者が卒業し、企業で働くようになる。その際には、IR課が行う「卒業生調査」を活用しつつ、キャリア形成支援センター等と協力して、本学学生の就職先企業へのヒアリングやアンケート調査等を実施することを検討している。</t>
    <rPh sb="85" eb="88">
      <t>グタイテキ</t>
    </rPh>
    <rPh sb="89" eb="91">
      <t>テンケン</t>
    </rPh>
    <rPh sb="92" eb="94">
      <t>ヒョウカ</t>
    </rPh>
    <phoneticPr fontId="1"/>
  </si>
  <si>
    <t>　本学では、「外部評価委員会」を設置している。
　「外部評価委員会」では、学外の大学関係者だけではなく、産業界からも委員を任命して外部評価をおこなう。
2021年度以降の「外部評価委員会」の外部評価に際して、本プログラムの教育内容や学修成果に関しても外部評価の評価対象に加え、産業界の意見を踏まえてプログラムの改善をおこなうことを予定している。</t>
    <phoneticPr fontId="1"/>
  </si>
  <si>
    <t>　リテラシーレベルのモデルカリキュラム全項目に対応するが、受験科目に数学が必修化されていない文系学部の学生のレベルに合わせ、数理・データサイエンス・AIを「学ぶ楽しさ」と「学ぶことの意義」を理解させることを最優先課題としてオリジナルの教材などを用いるような工夫をしている。</t>
    <phoneticPr fontId="1"/>
  </si>
  <si>
    <t>　新入生に、入学後の新入生ガイダンスにおいて、履修登録を行う前にデータサイエンス副専攻の説明会を実施し、数理・データサイエンス・AI教育の重要性を説明する。
　在学生に対しても同様に説明会等を実施して周知を図る。
　今後は、ホームページ上に特設ページを設け、学内外に本学の数理・データサイエンス・AI教育の重要性を伝達していきたい。</t>
    <rPh sb="118" eb="119">
      <t>ジョウ</t>
    </rPh>
    <phoneticPr fontId="1"/>
  </si>
  <si>
    <t>https://www.kokushikan.ac.jp/campus_life/learning_support/DSAI_program.html</t>
    <phoneticPr fontId="1"/>
  </si>
  <si>
    <t>「授業評価アンケート」を実施し、その結果などを参考にして分かりやすい授業のための改善を続けている。また、アンケートから学生が難しいと感じたところを毎年修正している。今年度は小テストについて意見があったので、改善を図っていきたい。</t>
    <rPh sb="18" eb="20">
      <t>ケッカ</t>
    </rPh>
    <rPh sb="82" eb="85">
      <t>コンネンド</t>
    </rPh>
    <rPh sb="86" eb="87">
      <t>ショウ</t>
    </rPh>
    <rPh sb="94" eb="96">
      <t>イケン</t>
    </rPh>
    <rPh sb="103" eb="105">
      <t>カイゼン</t>
    </rPh>
    <rPh sb="106" eb="107">
      <t>ハカ</t>
    </rPh>
    <phoneticPr fontId="1"/>
  </si>
  <si>
    <t>１．AIやデータサイエンスが、社会でどのように活用され新たな価値を生んでいるのかを理解し説明することができる。
２．データを正確に読み解き、世に出ている情報を正しく解釈するための知識を修得することができる。
３．AIのメリットやデメリット、またAIの持つポテンシャルについて正しく知ることにより、活用することができる。
４．AIを道具として上手に活用するための基礎的素養を修得し、論理的・科学的思考力を身に付けることができる。
５．問題を発見し、データサイエンスを通じて解決する能力を高めることが出来る。</t>
    <phoneticPr fontId="1"/>
  </si>
  <si>
    <t>https://www.kokushikan.ac.jp/campus_life/learning_support/file/R03DSAIpro_jikoten.pdf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</si>
</sst>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8">
    <font>
      <sz val="11"/>
      <color theme="1"/>
      <name val="ＭＳ Ｐゴシック"/>
      <family val="3"/>
      <charset val="128"/>
      <scheme val="minor"/>
    </font>
    <font>
      <sz val="6"/>
      <name val="ＭＳ Ｐゴシック"/>
      <family val="3"/>
      <charset val="128"/>
    </font>
    <font>
      <sz val="11"/>
      <color theme="1"/>
      <name val="ＭＳ Ｐゴシック"/>
      <family val="3"/>
      <charset val="128"/>
      <scheme val="minor"/>
    </font>
    <font>
      <u/>
      <sz val="11"/>
      <color theme="10"/>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sz val="12"/>
      <name val="ＭＳ Ｐゴシック"/>
      <family val="3"/>
      <charset val="128"/>
      <scheme val="minor"/>
    </font>
    <font>
      <sz val="12"/>
      <color rgb="FFFF0000"/>
      <name val="ＭＳ Ｐゴシック"/>
      <family val="3"/>
      <charset val="128"/>
      <scheme val="minor"/>
    </font>
    <font>
      <sz val="9"/>
      <color rgb="FFFF0000"/>
      <name val="ＭＳ Ｐゴシック"/>
      <family val="3"/>
      <charset val="128"/>
      <scheme val="minor"/>
    </font>
    <font>
      <sz val="14"/>
      <color theme="1"/>
      <name val="ＭＳ Ｐゴシック"/>
      <family val="3"/>
      <charset val="128"/>
      <scheme val="minor"/>
    </font>
    <font>
      <sz val="7"/>
      <color theme="1"/>
      <name val="ＭＳ Ｐゴシック"/>
      <family val="3"/>
      <charset val="128"/>
      <scheme val="minor"/>
    </font>
    <font>
      <sz val="9"/>
      <name val="ＭＳ Ｐゴシック"/>
      <family val="3"/>
      <charset val="128"/>
      <scheme val="minor"/>
    </font>
    <font>
      <sz val="8"/>
      <name val="ＭＳ Ｐゴシック"/>
      <family val="3"/>
      <charset val="128"/>
      <scheme val="minor"/>
    </font>
    <font>
      <sz val="13"/>
      <name val="ＭＳ Ｐゴシック"/>
      <family val="3"/>
      <charset val="128"/>
      <scheme val="minor"/>
    </font>
    <font>
      <u/>
      <sz val="11"/>
      <name val="ＭＳ Ｐゴシック"/>
      <family val="3"/>
      <charset val="128"/>
      <scheme val="minor"/>
    </font>
    <font>
      <sz val="11"/>
      <name val="ＭＳ Ｐゴシック"/>
      <family val="3"/>
      <charset val="128"/>
      <scheme val="minor"/>
    </font>
    <font>
      <sz val="14"/>
      <name val="ＭＳ Ｐゴシック"/>
      <family val="3"/>
      <charset val="128"/>
      <scheme val="minor"/>
    </font>
    <font>
      <sz val="10"/>
      <color theme="1"/>
      <name val="ＭＳ Ｐゴシック"/>
      <family val="3"/>
      <charset val="128"/>
      <scheme val="minor"/>
    </font>
  </fonts>
  <fills count="2">
    <fill>
      <patternFill patternType="none"/>
    </fill>
    <fill>
      <patternFill patternType="gray125"/>
    </fill>
  </fills>
  <borders count="53">
    <border>
      <left/>
      <right/>
      <top/>
      <bottom/>
      <diagonal/>
    </border>
    <border>
      <left style="thin">
        <color indexed="64"/>
      </left>
      <right/>
      <top/>
      <bottom/>
      <diagonal/>
    </border>
    <border>
      <left/>
      <right style="thin">
        <color indexed="64"/>
      </right>
      <top/>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style="thin">
        <color indexed="64"/>
      </left>
      <right/>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bottom style="thin">
        <color indexed="64"/>
      </bottom>
      <diagonal/>
    </border>
    <border>
      <left style="hair">
        <color indexed="64"/>
      </left>
      <right style="thin">
        <color indexed="64"/>
      </right>
      <top/>
      <bottom/>
      <diagonal/>
    </border>
    <border>
      <left style="thin">
        <color indexed="64"/>
      </left>
      <right style="hair">
        <color indexed="64"/>
      </right>
      <top/>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style="thin">
        <color indexed="64"/>
      </left>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style="hair">
        <color indexed="64"/>
      </left>
      <right style="thin">
        <color indexed="64"/>
      </right>
      <top style="thin">
        <color indexed="64"/>
      </top>
      <bottom/>
      <diagonal/>
    </border>
    <border>
      <left/>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hair">
        <color indexed="64"/>
      </bottom>
      <diagonal/>
    </border>
    <border>
      <left style="hair">
        <color indexed="64"/>
      </left>
      <right style="thin">
        <color indexed="64"/>
      </right>
      <top style="hair">
        <color indexed="64"/>
      </top>
      <bottom/>
      <diagonal/>
    </border>
    <border>
      <left style="thin">
        <color indexed="64"/>
      </left>
      <right style="thin">
        <color indexed="64"/>
      </right>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thin">
        <color indexed="64"/>
      </left>
      <right style="thin">
        <color indexed="64"/>
      </right>
      <top style="thin">
        <color indexed="64"/>
      </top>
      <bottom/>
      <diagonal/>
    </border>
    <border>
      <left style="hair">
        <color indexed="64"/>
      </left>
      <right/>
      <top style="hair">
        <color indexed="64"/>
      </top>
      <bottom style="hair">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38" fontId="2" fillId="0" borderId="0" applyFont="0" applyFill="0" applyBorder="0" applyAlignment="0" applyProtection="0">
      <alignment vertical="center"/>
    </xf>
  </cellStyleXfs>
  <cellXfs count="311">
    <xf numFmtId="0" fontId="0" fillId="0" borderId="0" xfId="0">
      <alignment vertical="center"/>
    </xf>
    <xf numFmtId="0" fontId="4" fillId="0" borderId="0" xfId="0" applyFont="1">
      <alignment vertical="center"/>
    </xf>
    <xf numFmtId="0" fontId="5" fillId="0" borderId="0" xfId="0" applyFont="1">
      <alignment vertical="center"/>
    </xf>
    <xf numFmtId="0" fontId="4" fillId="0" borderId="1" xfId="0" applyFont="1" applyBorder="1">
      <alignment vertical="center"/>
    </xf>
    <xf numFmtId="0" fontId="4" fillId="0" borderId="0" xfId="0" applyFont="1">
      <alignment vertical="center"/>
    </xf>
    <xf numFmtId="0" fontId="5" fillId="0" borderId="2" xfId="0" applyFont="1" applyBorder="1" applyAlignment="1">
      <alignment vertical="top" wrapText="1"/>
    </xf>
    <xf numFmtId="0" fontId="5" fillId="0" borderId="1" xfId="0" applyFont="1" applyBorder="1" applyAlignment="1">
      <alignment vertical="top" wrapText="1"/>
    </xf>
    <xf numFmtId="0" fontId="5" fillId="0" borderId="2" xfId="0" applyFont="1" applyBorder="1" applyAlignment="1">
      <alignment vertical="top" wrapText="1"/>
    </xf>
    <xf numFmtId="0" fontId="5" fillId="0" borderId="3" xfId="0" applyFont="1" applyBorder="1" applyAlignment="1">
      <alignment vertical="top" wrapText="1"/>
    </xf>
    <xf numFmtId="0" fontId="4" fillId="0" borderId="4" xfId="0" applyFont="1" applyBorder="1">
      <alignment vertical="center"/>
    </xf>
    <xf numFmtId="176" fontId="6" fillId="0" borderId="0" xfId="0" applyNumberFormat="1" applyFont="1" applyBorder="1">
      <alignment vertical="center"/>
    </xf>
    <xf numFmtId="176" fontId="6" fillId="0" borderId="5" xfId="0" applyNumberFormat="1" applyFont="1" applyBorder="1" applyAlignment="1">
      <alignment vertical="center" shrinkToFit="1"/>
    </xf>
    <xf numFmtId="0" fontId="6" fillId="0" borderId="0" xfId="0" applyFont="1" applyBorder="1" applyAlignment="1">
      <alignment horizontal="center" vertical="center" shrinkToFit="1"/>
    </xf>
    <xf numFmtId="0" fontId="6" fillId="0" borderId="0" xfId="0" applyFont="1">
      <alignment vertical="center"/>
    </xf>
    <xf numFmtId="0" fontId="6" fillId="0" borderId="0" xfId="0" applyFo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Border="1" applyAlignment="1">
      <alignment vertical="center"/>
    </xf>
    <xf numFmtId="0" fontId="6" fillId="0" borderId="1" xfId="0" applyFont="1" applyBorder="1">
      <alignment vertical="center"/>
    </xf>
    <xf numFmtId="176" fontId="6" fillId="0" borderId="0" xfId="0" applyNumberFormat="1" applyFont="1" applyBorder="1" applyAlignment="1">
      <alignment vertical="center" wrapText="1"/>
    </xf>
    <xf numFmtId="0" fontId="6" fillId="0" borderId="0" xfId="0" applyFont="1" applyBorder="1">
      <alignment vertical="center"/>
    </xf>
    <xf numFmtId="176" fontId="6" fillId="0" borderId="1" xfId="0" applyNumberFormat="1" applyFont="1" applyBorder="1" applyAlignment="1">
      <alignment vertical="center"/>
    </xf>
    <xf numFmtId="176" fontId="6" fillId="0" borderId="0" xfId="0" applyNumberFormat="1" applyFont="1" applyAlignment="1">
      <alignment vertical="center" wrapText="1"/>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7" xfId="0" applyFont="1" applyBorder="1">
      <alignment vertical="center"/>
    </xf>
    <xf numFmtId="0" fontId="6" fillId="0" borderId="8" xfId="0" applyFont="1" applyBorder="1">
      <alignment vertical="center"/>
    </xf>
    <xf numFmtId="0" fontId="6" fillId="0" borderId="9" xfId="0" applyFont="1" applyBorder="1">
      <alignment vertical="center"/>
    </xf>
    <xf numFmtId="0" fontId="5" fillId="0" borderId="10" xfId="0" applyFont="1" applyBorder="1" applyAlignment="1">
      <alignment vertical="top" wrapText="1"/>
    </xf>
    <xf numFmtId="0" fontId="6" fillId="0" borderId="0" xfId="0" applyFont="1" applyAlignment="1">
      <alignment horizontal="center" vertical="center"/>
    </xf>
    <xf numFmtId="0" fontId="6" fillId="0" borderId="7" xfId="0" applyFont="1" applyBorder="1" applyAlignment="1">
      <alignment vertical="center" shrinkToFit="1"/>
    </xf>
    <xf numFmtId="0" fontId="7" fillId="0" borderId="0" xfId="0" applyFont="1">
      <alignment vertical="center"/>
    </xf>
    <xf numFmtId="0" fontId="8" fillId="0" borderId="10" xfId="0" applyFont="1" applyBorder="1" applyAlignment="1">
      <alignment vertical="top" shrinkToFit="1"/>
    </xf>
    <xf numFmtId="0" fontId="8" fillId="0" borderId="3" xfId="0" applyFont="1" applyBorder="1" applyAlignment="1">
      <alignment vertical="top" shrinkToFit="1"/>
    </xf>
    <xf numFmtId="0" fontId="0" fillId="0" borderId="0" xfId="0" applyFont="1">
      <alignment vertical="center"/>
    </xf>
    <xf numFmtId="0" fontId="7" fillId="0" borderId="0" xfId="0" applyFont="1" applyAlignment="1">
      <alignment vertical="center"/>
    </xf>
    <xf numFmtId="0" fontId="6" fillId="0" borderId="0" xfId="0" applyFont="1" applyBorder="1" applyAlignment="1">
      <alignment horizontal="center" vertical="center"/>
    </xf>
    <xf numFmtId="0" fontId="6" fillId="0" borderId="0" xfId="0" applyFont="1" applyBorder="1" applyAlignment="1">
      <alignment vertical="center" shrinkToFit="1"/>
    </xf>
    <xf numFmtId="0" fontId="4" fillId="0" borderId="0" xfId="0" applyFont="1" applyAlignment="1">
      <alignment horizontal="center" vertical="center"/>
    </xf>
    <xf numFmtId="0" fontId="5" fillId="0" borderId="0" xfId="0" applyFont="1" applyAlignment="1">
      <alignment vertical="top" wrapText="1"/>
    </xf>
    <xf numFmtId="0" fontId="5" fillId="0" borderId="0" xfId="0" applyFont="1" applyAlignment="1">
      <alignment vertical="top" wrapText="1"/>
    </xf>
    <xf numFmtId="0" fontId="4" fillId="0" borderId="0" xfId="0" applyFont="1" applyAlignment="1">
      <alignment horizontal="right" vertical="center"/>
    </xf>
    <xf numFmtId="0" fontId="9" fillId="0" borderId="0" xfId="0" applyFont="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13" xfId="0" applyFont="1" applyBorder="1" applyAlignment="1">
      <alignment horizontal="center" vertical="center"/>
    </xf>
    <xf numFmtId="0" fontId="10" fillId="0" borderId="14" xfId="0" applyFont="1" applyBorder="1" applyAlignment="1">
      <alignment horizontal="center" vertical="center" wrapText="1"/>
    </xf>
    <xf numFmtId="0" fontId="4" fillId="0" borderId="0" xfId="0" applyFont="1" applyAlignment="1">
      <alignment vertical="center" shrinkToFit="1"/>
    </xf>
    <xf numFmtId="0" fontId="4" fillId="0" borderId="1" xfId="0" applyFont="1" applyBorder="1" applyAlignment="1">
      <alignment vertical="center" shrinkToFit="1"/>
    </xf>
    <xf numFmtId="176" fontId="4" fillId="0" borderId="1" xfId="0" applyNumberFormat="1" applyFont="1" applyBorder="1" applyAlignment="1">
      <alignment vertical="center" shrinkToFit="1"/>
    </xf>
    <xf numFmtId="176" fontId="4" fillId="0" borderId="15" xfId="0" applyNumberFormat="1" applyFont="1" applyBorder="1" applyAlignment="1">
      <alignment vertical="center" shrinkToFit="1"/>
    </xf>
    <xf numFmtId="176" fontId="4" fillId="0" borderId="16" xfId="0" applyNumberFormat="1" applyFont="1" applyBorder="1" applyAlignment="1">
      <alignment vertical="center" shrinkToFit="1"/>
    </xf>
    <xf numFmtId="176" fontId="4" fillId="0" borderId="2" xfId="0" applyNumberFormat="1" applyFont="1" applyBorder="1" applyAlignment="1">
      <alignment vertical="center" shrinkToFit="1"/>
    </xf>
    <xf numFmtId="176" fontId="4" fillId="0" borderId="17" xfId="0" applyNumberFormat="1" applyFont="1" applyBorder="1" applyAlignment="1">
      <alignment vertical="center" shrinkToFit="1"/>
    </xf>
    <xf numFmtId="9" fontId="4" fillId="0" borderId="2" xfId="0" applyNumberFormat="1" applyFont="1" applyBorder="1" applyAlignment="1">
      <alignment vertical="center" shrinkToFit="1"/>
    </xf>
    <xf numFmtId="0" fontId="4" fillId="0" borderId="3" xfId="0" applyFont="1" applyBorder="1" applyAlignment="1">
      <alignment vertical="center" shrinkToFit="1"/>
    </xf>
    <xf numFmtId="0" fontId="4" fillId="0" borderId="18" xfId="0" applyFont="1" applyBorder="1" applyAlignment="1">
      <alignment vertical="center" shrinkToFit="1"/>
    </xf>
    <xf numFmtId="176" fontId="4" fillId="0" borderId="18"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20" xfId="0" applyNumberFormat="1" applyFont="1" applyBorder="1" applyAlignment="1">
      <alignment vertical="center" shrinkToFit="1"/>
    </xf>
    <xf numFmtId="176" fontId="4" fillId="0" borderId="3" xfId="0" applyNumberFormat="1" applyFont="1" applyBorder="1" applyAlignment="1">
      <alignment vertical="center" shrinkToFit="1"/>
    </xf>
    <xf numFmtId="176" fontId="4" fillId="0" borderId="21" xfId="0" applyNumberFormat="1" applyFont="1" applyBorder="1" applyAlignment="1">
      <alignment vertical="center" shrinkToFit="1"/>
    </xf>
    <xf numFmtId="9" fontId="4" fillId="0" borderId="21" xfId="0" applyNumberFormat="1" applyFont="1" applyBorder="1" applyAlignment="1">
      <alignment vertical="center" shrinkToFit="1"/>
    </xf>
    <xf numFmtId="0" fontId="4" fillId="0" borderId="10" xfId="0" applyFont="1" applyBorder="1" applyAlignment="1">
      <alignment vertical="center" shrinkToFit="1"/>
    </xf>
    <xf numFmtId="176" fontId="4" fillId="0" borderId="22" xfId="0" applyNumberFormat="1" applyFont="1" applyBorder="1" applyAlignment="1">
      <alignment vertical="center" shrinkToFit="1"/>
    </xf>
    <xf numFmtId="0" fontId="4" fillId="0" borderId="23" xfId="0" applyFont="1" applyBorder="1" applyAlignment="1">
      <alignment vertical="center" shrinkToFit="1"/>
    </xf>
    <xf numFmtId="176" fontId="4" fillId="0" borderId="23" xfId="0" applyNumberFormat="1" applyFont="1" applyBorder="1" applyAlignment="1">
      <alignment vertical="center" shrinkToFit="1"/>
    </xf>
    <xf numFmtId="176" fontId="4" fillId="0" borderId="24" xfId="0" applyNumberFormat="1" applyFont="1" applyBorder="1" applyAlignment="1">
      <alignment vertical="center" shrinkToFit="1"/>
    </xf>
    <xf numFmtId="176" fontId="4" fillId="0" borderId="25" xfId="0" applyNumberFormat="1" applyFont="1" applyBorder="1" applyAlignment="1">
      <alignment vertical="center" shrinkToFit="1"/>
    </xf>
    <xf numFmtId="176" fontId="4" fillId="0" borderId="26" xfId="0" applyNumberFormat="1" applyFont="1" applyBorder="1" applyAlignment="1">
      <alignment vertical="center" shrinkToFit="1"/>
    </xf>
    <xf numFmtId="176" fontId="4" fillId="0" borderId="27" xfId="0" applyNumberFormat="1" applyFont="1" applyBorder="1" applyAlignment="1">
      <alignment vertical="center" shrinkToFit="1"/>
    </xf>
    <xf numFmtId="9" fontId="4" fillId="0" borderId="26" xfId="0" applyNumberFormat="1" applyFont="1" applyBorder="1" applyAlignment="1">
      <alignment vertical="center" shrinkToFit="1"/>
    </xf>
    <xf numFmtId="0" fontId="6" fillId="0" borderId="0" xfId="0" applyFont="1" applyBorder="1" applyAlignment="1">
      <alignment vertical="center" shrinkToFit="1"/>
    </xf>
    <xf numFmtId="0" fontId="6" fillId="0" borderId="0" xfId="0" applyFont="1" applyFill="1">
      <alignment vertical="center"/>
    </xf>
    <xf numFmtId="0" fontId="6" fillId="0" borderId="2" xfId="0" applyFont="1" applyBorder="1" applyAlignment="1">
      <alignment vertical="center" shrinkToFit="1"/>
    </xf>
    <xf numFmtId="49" fontId="11" fillId="0" borderId="7" xfId="0" applyNumberFormat="1" applyFont="1" applyBorder="1" applyAlignment="1">
      <alignment horizontal="center" vertical="center"/>
    </xf>
    <xf numFmtId="0" fontId="6" fillId="0" borderId="0" xfId="0" applyFont="1" applyAlignment="1">
      <alignment vertical="center" shrinkToFit="1"/>
    </xf>
    <xf numFmtId="0" fontId="6" fillId="0" borderId="0" xfId="0" applyFont="1" applyAlignment="1">
      <alignment vertical="top" wrapText="1"/>
    </xf>
    <xf numFmtId="0" fontId="6" fillId="0" borderId="8" xfId="0" applyFont="1" applyBorder="1">
      <alignment vertical="center"/>
    </xf>
    <xf numFmtId="0" fontId="6" fillId="0" borderId="9" xfId="0" applyFont="1" applyBorder="1">
      <alignment vertical="center"/>
    </xf>
    <xf numFmtId="49" fontId="11" fillId="0" borderId="28" xfId="0" applyNumberFormat="1" applyFont="1" applyBorder="1" applyAlignment="1">
      <alignment horizontal="center" vertical="center"/>
    </xf>
    <xf numFmtId="49" fontId="11" fillId="0" borderId="19" xfId="0" applyNumberFormat="1" applyFont="1" applyBorder="1" applyAlignment="1">
      <alignment horizontal="center" vertical="center"/>
    </xf>
    <xf numFmtId="49" fontId="11" fillId="0" borderId="29" xfId="0" applyNumberFormat="1" applyFont="1" applyBorder="1" applyAlignment="1">
      <alignment horizontal="center" vertical="center"/>
    </xf>
    <xf numFmtId="0" fontId="6" fillId="0" borderId="30" xfId="0" applyFont="1" applyBorder="1" applyAlignment="1">
      <alignment horizontal="center" vertical="center" shrinkToFit="1"/>
    </xf>
    <xf numFmtId="0" fontId="6" fillId="0" borderId="31" xfId="0" applyFont="1" applyBorder="1" applyAlignment="1">
      <alignment horizontal="center" vertical="center" shrinkToFit="1"/>
    </xf>
    <xf numFmtId="49" fontId="11" fillId="0" borderId="32" xfId="0" applyNumberFormat="1" applyFont="1" applyBorder="1" applyAlignment="1">
      <alignment horizontal="center" vertical="center"/>
    </xf>
    <xf numFmtId="0" fontId="4" fillId="0" borderId="0" xfId="0" applyFont="1" applyAlignment="1">
      <alignment horizontal="left" vertical="center"/>
    </xf>
    <xf numFmtId="0" fontId="4" fillId="0" borderId="21" xfId="0" applyFont="1" applyBorder="1" applyAlignment="1">
      <alignment horizontal="left" vertical="center" shrinkToFit="1"/>
    </xf>
    <xf numFmtId="0" fontId="4" fillId="0" borderId="22" xfId="0" applyFont="1" applyBorder="1" applyAlignment="1">
      <alignment horizontal="left" vertical="center" shrinkToFit="1"/>
    </xf>
    <xf numFmtId="0" fontId="4" fillId="0" borderId="2" xfId="0" applyFont="1" applyBorder="1" applyAlignment="1">
      <alignment vertical="center" shrinkToFit="1"/>
    </xf>
    <xf numFmtId="0" fontId="4" fillId="0" borderId="27" xfId="0" applyFont="1" applyBorder="1" applyAlignment="1">
      <alignment horizontal="center" vertical="center" shrinkToFit="1"/>
    </xf>
    <xf numFmtId="0" fontId="4" fillId="0" borderId="33" xfId="0" applyFont="1" applyBorder="1" applyAlignment="1">
      <alignment vertical="center" shrinkToFit="1"/>
    </xf>
    <xf numFmtId="0" fontId="4" fillId="0" borderId="0" xfId="0" applyFont="1" applyAlignment="1">
      <alignment vertical="top" wrapText="1"/>
    </xf>
    <xf numFmtId="0" fontId="4" fillId="0" borderId="0" xfId="0" applyFont="1" applyAlignment="1">
      <alignment vertical="center" wrapText="1"/>
    </xf>
    <xf numFmtId="0" fontId="6" fillId="0" borderId="34" xfId="0" applyFont="1" applyBorder="1" applyAlignment="1">
      <alignment horizontal="center" vertical="center" wrapText="1" shrinkToFit="1"/>
    </xf>
    <xf numFmtId="9" fontId="6" fillId="0" borderId="35" xfId="0" applyNumberFormat="1" applyFont="1" applyBorder="1" applyAlignment="1">
      <alignment horizontal="center" vertical="center" wrapText="1" shrinkToFit="1"/>
    </xf>
    <xf numFmtId="0" fontId="6" fillId="0" borderId="35" xfId="0" applyFont="1" applyBorder="1" applyAlignment="1">
      <alignment horizontal="center" vertical="center" wrapText="1" shrinkToFit="1"/>
    </xf>
    <xf numFmtId="9" fontId="6" fillId="0" borderId="35" xfId="0" applyNumberFormat="1" applyFont="1" applyBorder="1" applyAlignment="1">
      <alignment horizontal="center" vertical="center" shrinkToFit="1"/>
    </xf>
    <xf numFmtId="0" fontId="6" fillId="0" borderId="36" xfId="0" applyFont="1" applyBorder="1" applyAlignment="1">
      <alignment horizontal="center" vertical="center" shrinkToFit="1"/>
    </xf>
    <xf numFmtId="9" fontId="6" fillId="0" borderId="31" xfId="0" applyNumberFormat="1" applyFont="1" applyBorder="1" applyAlignment="1">
      <alignment horizontal="center" vertical="center" shrinkToFit="1"/>
    </xf>
    <xf numFmtId="176" fontId="6" fillId="0" borderId="31" xfId="0" applyNumberFormat="1" applyFont="1" applyBorder="1" applyAlignment="1">
      <alignment horizontal="center" vertical="center" shrinkToFit="1"/>
    </xf>
    <xf numFmtId="0" fontId="6" fillId="0" borderId="37" xfId="0" applyFont="1" applyBorder="1" applyAlignment="1">
      <alignment horizontal="center" vertical="center" shrinkToFit="1"/>
    </xf>
    <xf numFmtId="0" fontId="4" fillId="0" borderId="0" xfId="0" applyFont="1" applyAlignment="1">
      <alignment vertical="center" wrapText="1"/>
    </xf>
    <xf numFmtId="0" fontId="5" fillId="0" borderId="0" xfId="0" applyFont="1" applyAlignment="1">
      <alignment vertical="top" shrinkToFit="1"/>
    </xf>
    <xf numFmtId="0" fontId="5" fillId="0" borderId="0" xfId="0" applyFont="1" applyAlignment="1">
      <alignment vertical="center" wrapText="1"/>
    </xf>
    <xf numFmtId="0" fontId="4" fillId="0" borderId="0" xfId="0" applyFont="1" applyAlignment="1">
      <alignment vertical="top" wrapText="1"/>
    </xf>
    <xf numFmtId="0" fontId="6" fillId="0" borderId="8" xfId="0" applyFont="1" applyBorder="1" applyAlignment="1">
      <alignment vertical="center"/>
    </xf>
    <xf numFmtId="0" fontId="6" fillId="0" borderId="5" xfId="0" applyFont="1" applyBorder="1" applyAlignment="1">
      <alignment vertical="center"/>
    </xf>
    <xf numFmtId="0" fontId="6" fillId="0" borderId="9" xfId="0" applyFont="1" applyBorder="1" applyAlignment="1">
      <alignment vertical="center"/>
    </xf>
    <xf numFmtId="49" fontId="11" fillId="0" borderId="38" xfId="0" applyNumberFormat="1" applyFont="1" applyBorder="1" applyAlignment="1">
      <alignment horizontal="center" vertical="center"/>
    </xf>
    <xf numFmtId="49" fontId="11" fillId="0" borderId="12" xfId="0" applyNumberFormat="1" applyFont="1" applyBorder="1" applyAlignment="1">
      <alignment horizontal="center" vertical="center"/>
    </xf>
    <xf numFmtId="0" fontId="12" fillId="0" borderId="9" xfId="0" applyFont="1" applyBorder="1" applyAlignment="1">
      <alignment horizontal="center" vertical="center" shrinkToFit="1"/>
    </xf>
    <xf numFmtId="0" fontId="6" fillId="0" borderId="17"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39" xfId="0" applyFont="1" applyBorder="1" applyAlignment="1">
      <alignment horizontal="center" vertical="center" shrinkToFit="1"/>
    </xf>
    <xf numFmtId="0" fontId="4" fillId="0" borderId="0" xfId="0" applyFont="1" applyBorder="1" applyAlignment="1">
      <alignment vertical="center" shrinkToFit="1"/>
    </xf>
    <xf numFmtId="0" fontId="6" fillId="0" borderId="7" xfId="0" applyFont="1" applyBorder="1" applyAlignment="1">
      <alignment horizontal="center" vertical="center" shrinkToFit="1"/>
    </xf>
    <xf numFmtId="0" fontId="6" fillId="0" borderId="3" xfId="0" applyFont="1" applyBorder="1" applyAlignment="1">
      <alignment horizontal="center" vertical="center"/>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shrinkToFit="1"/>
    </xf>
    <xf numFmtId="0" fontId="6" fillId="0" borderId="0" xfId="0" applyFont="1" applyBorder="1" applyAlignment="1">
      <alignment vertical="center" shrinkToFit="1"/>
    </xf>
    <xf numFmtId="0" fontId="6" fillId="0" borderId="18" xfId="0" applyFont="1" applyBorder="1" applyAlignment="1">
      <alignment vertical="center" shrinkToFit="1"/>
    </xf>
    <xf numFmtId="0" fontId="6" fillId="0" borderId="10" xfId="0" applyFont="1" applyBorder="1" applyAlignment="1">
      <alignment vertical="center" shrinkToFit="1"/>
    </xf>
    <xf numFmtId="0" fontId="6" fillId="0" borderId="3" xfId="0" applyFont="1" applyBorder="1" applyAlignment="1">
      <alignment horizontal="center" vertical="center"/>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17" xfId="0" applyFont="1" applyBorder="1" applyAlignment="1">
      <alignment horizontal="left" vertical="center" shrinkToFit="1"/>
    </xf>
    <xf numFmtId="0" fontId="6" fillId="0" borderId="21" xfId="0" applyFont="1" applyBorder="1" applyAlignment="1">
      <alignment horizontal="left" vertical="center" shrinkToFit="1"/>
    </xf>
    <xf numFmtId="0" fontId="6" fillId="0" borderId="1" xfId="0" applyFont="1" applyBorder="1" applyAlignment="1">
      <alignment vertical="center" shrinkToFit="1"/>
    </xf>
    <xf numFmtId="49" fontId="14" fillId="0" borderId="8" xfId="1" applyNumberFormat="1" applyFont="1" applyBorder="1" applyAlignment="1">
      <alignment vertical="center" shrinkToFit="1"/>
    </xf>
    <xf numFmtId="49" fontId="6" fillId="0" borderId="5" xfId="0" applyNumberFormat="1" applyFont="1" applyBorder="1" applyAlignment="1">
      <alignment vertical="center" shrinkToFit="1"/>
    </xf>
    <xf numFmtId="49" fontId="6" fillId="0" borderId="9" xfId="0" applyNumberFormat="1" applyFont="1" applyBorder="1" applyAlignment="1">
      <alignment vertical="center" shrinkToFit="1"/>
    </xf>
    <xf numFmtId="49" fontId="6" fillId="0" borderId="8" xfId="2" applyNumberFormat="1" applyFont="1" applyBorder="1" applyAlignment="1">
      <alignment horizontal="center" vertical="center" shrinkToFit="1"/>
    </xf>
    <xf numFmtId="49" fontId="6" fillId="0" borderId="5" xfId="2" applyNumberFormat="1" applyFont="1" applyBorder="1" applyAlignment="1">
      <alignment horizontal="center" vertical="center" shrinkToFit="1"/>
    </xf>
    <xf numFmtId="49" fontId="6" fillId="0" borderId="9" xfId="2" applyNumberFormat="1" applyFont="1" applyBorder="1" applyAlignment="1">
      <alignment horizontal="center" vertical="center" shrinkToFit="1"/>
    </xf>
    <xf numFmtId="0" fontId="6" fillId="0" borderId="0" xfId="0" applyFont="1" applyBorder="1" applyAlignment="1">
      <alignment horizontal="center" vertical="center"/>
    </xf>
    <xf numFmtId="0" fontId="6" fillId="0" borderId="8" xfId="0" applyFont="1" applyBorder="1" applyAlignment="1">
      <alignment horizontal="center" vertical="center" shrinkToFit="1"/>
    </xf>
    <xf numFmtId="0" fontId="6" fillId="0" borderId="5" xfId="0" applyFont="1" applyBorder="1" applyAlignment="1">
      <alignment horizontal="center" vertical="center" shrinkToFit="1"/>
    </xf>
    <xf numFmtId="0" fontId="6" fillId="0" borderId="9" xfId="0" applyFont="1" applyBorder="1" applyAlignment="1">
      <alignment horizontal="center" vertical="center" shrinkToFit="1"/>
    </xf>
    <xf numFmtId="176" fontId="6" fillId="0" borderId="8" xfId="0" applyNumberFormat="1" applyFont="1" applyBorder="1" applyAlignment="1">
      <alignment horizontal="center" vertical="center" shrinkToFit="1"/>
    </xf>
    <xf numFmtId="176" fontId="6" fillId="0" borderId="9" xfId="0" applyNumberFormat="1" applyFont="1" applyBorder="1" applyAlignment="1">
      <alignment horizontal="center" vertical="center" shrinkToFit="1"/>
    </xf>
    <xf numFmtId="0" fontId="6" fillId="0" borderId="8" xfId="0" applyFont="1" applyBorder="1" applyAlignment="1">
      <alignment vertical="center" shrinkToFit="1"/>
    </xf>
    <xf numFmtId="0" fontId="6" fillId="0" borderId="5" xfId="0" applyFont="1" applyBorder="1" applyAlignment="1">
      <alignment vertical="center" shrinkToFit="1"/>
    </xf>
    <xf numFmtId="0" fontId="6" fillId="0" borderId="0" xfId="0" applyFont="1" applyBorder="1" applyAlignment="1">
      <alignment horizontal="right" vertical="center" shrinkToFit="1"/>
    </xf>
    <xf numFmtId="0" fontId="6" fillId="0" borderId="1" xfId="0" applyFont="1" applyBorder="1" applyAlignment="1">
      <alignment horizontal="right" vertical="center" shrinkToFit="1"/>
    </xf>
    <xf numFmtId="0" fontId="6" fillId="0" borderId="2" xfId="0" applyFont="1" applyBorder="1" applyAlignment="1">
      <alignment horizontal="right" vertical="center" shrinkToFit="1"/>
    </xf>
    <xf numFmtId="0" fontId="6" fillId="0" borderId="0" xfId="0" applyFont="1" applyAlignment="1">
      <alignment horizontal="right" vertical="center"/>
    </xf>
    <xf numFmtId="0" fontId="6" fillId="0" borderId="0" xfId="0" applyFont="1" applyBorder="1" applyAlignment="1">
      <alignment horizontal="right" vertical="center"/>
    </xf>
    <xf numFmtId="0" fontId="6" fillId="0" borderId="2" xfId="0" applyFont="1" applyBorder="1" applyAlignment="1">
      <alignment horizontal="right" vertical="center"/>
    </xf>
    <xf numFmtId="176" fontId="6" fillId="0" borderId="5" xfId="0" applyNumberFormat="1" applyFont="1" applyBorder="1" applyAlignment="1">
      <alignment horizontal="center" vertical="center" shrinkToFit="1"/>
    </xf>
    <xf numFmtId="0" fontId="13" fillId="0" borderId="0" xfId="0" applyFont="1" applyAlignment="1">
      <alignment horizontal="center" vertical="center"/>
    </xf>
    <xf numFmtId="0" fontId="6" fillId="0" borderId="0" xfId="0" applyFont="1" applyBorder="1" applyAlignment="1">
      <alignment vertical="center" shrinkToFit="1"/>
    </xf>
    <xf numFmtId="0" fontId="6" fillId="0" borderId="8" xfId="0" applyNumberFormat="1" applyFont="1" applyBorder="1" applyAlignment="1">
      <alignment horizontal="center" vertical="center"/>
    </xf>
    <xf numFmtId="0" fontId="6" fillId="0" borderId="9" xfId="0" applyNumberFormat="1" applyFont="1" applyBorder="1" applyAlignment="1">
      <alignment horizontal="center" vertical="center"/>
    </xf>
    <xf numFmtId="0" fontId="6" fillId="0" borderId="8" xfId="0" applyFont="1" applyBorder="1" applyAlignment="1">
      <alignment horizontal="center" vertical="center"/>
    </xf>
    <xf numFmtId="0" fontId="6" fillId="0" borderId="5" xfId="0" applyFont="1" applyBorder="1" applyAlignment="1">
      <alignment horizontal="center" vertical="center"/>
    </xf>
    <xf numFmtId="0" fontId="6" fillId="0" borderId="9" xfId="0" applyFont="1" applyBorder="1" applyAlignment="1">
      <alignment horizontal="center" vertical="center"/>
    </xf>
    <xf numFmtId="176" fontId="6" fillId="0" borderId="8" xfId="0" applyNumberFormat="1" applyFont="1" applyBorder="1" applyAlignment="1">
      <alignment horizontal="center" vertical="center"/>
    </xf>
    <xf numFmtId="176" fontId="6" fillId="0" borderId="5" xfId="0" applyNumberFormat="1" applyFont="1" applyBorder="1" applyAlignment="1">
      <alignment horizontal="center" vertical="center"/>
    </xf>
    <xf numFmtId="176" fontId="6" fillId="0" borderId="9" xfId="0" applyNumberFormat="1" applyFont="1" applyBorder="1" applyAlignment="1">
      <alignment horizontal="center" vertical="center"/>
    </xf>
    <xf numFmtId="0" fontId="15" fillId="0" borderId="18" xfId="0" applyFont="1" applyBorder="1" applyAlignment="1">
      <alignment vertical="center" wrapText="1" shrinkToFit="1"/>
    </xf>
    <xf numFmtId="0" fontId="15" fillId="0" borderId="10" xfId="0" applyFont="1" applyBorder="1" applyAlignment="1">
      <alignment vertical="center" shrinkToFit="1"/>
    </xf>
    <xf numFmtId="0" fontId="15" fillId="0" borderId="3" xfId="0" applyFont="1" applyBorder="1" applyAlignment="1">
      <alignment vertical="center" shrinkToFit="1"/>
    </xf>
    <xf numFmtId="0" fontId="6" fillId="0" borderId="18" xfId="0" applyFont="1" applyBorder="1" applyAlignment="1">
      <alignment vertical="center" shrinkToFit="1"/>
    </xf>
    <xf numFmtId="0" fontId="6" fillId="0" borderId="10" xfId="0" applyFont="1" applyBorder="1" applyAlignment="1">
      <alignment vertical="center" shrinkToFit="1"/>
    </xf>
    <xf numFmtId="0" fontId="6" fillId="0" borderId="3" xfId="0" applyFont="1" applyBorder="1" applyAlignment="1">
      <alignment vertical="center" shrinkToFit="1"/>
    </xf>
    <xf numFmtId="0" fontId="6" fillId="0" borderId="18"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3" xfId="0" applyFont="1" applyBorder="1" applyAlignment="1">
      <alignment horizontal="center" vertical="center" shrinkToFit="1"/>
    </xf>
    <xf numFmtId="0" fontId="15" fillId="0" borderId="35" xfId="0" applyFont="1" applyBorder="1" applyAlignment="1">
      <alignment horizontal="left" vertical="center" wrapText="1" shrinkToFit="1"/>
    </xf>
    <xf numFmtId="0" fontId="15" fillId="0" borderId="35" xfId="0" applyFont="1" applyBorder="1" applyAlignment="1">
      <alignment horizontal="left" vertical="center" shrinkToFit="1"/>
    </xf>
    <xf numFmtId="0" fontId="15" fillId="0" borderId="36" xfId="0" applyFont="1" applyBorder="1" applyAlignment="1">
      <alignment horizontal="left" vertical="center" shrinkToFit="1"/>
    </xf>
    <xf numFmtId="0" fontId="15" fillId="0" borderId="10" xfId="0" applyFont="1" applyBorder="1" applyAlignment="1">
      <alignment horizontal="left" vertical="center" shrinkToFit="1"/>
    </xf>
    <xf numFmtId="0" fontId="15" fillId="0" borderId="3" xfId="0" applyFont="1" applyBorder="1" applyAlignment="1">
      <alignment horizontal="left" vertical="center" shrinkToFit="1"/>
    </xf>
    <xf numFmtId="0" fontId="15" fillId="0" borderId="49" xfId="0" applyFont="1" applyBorder="1" applyAlignment="1">
      <alignment vertical="center" wrapText="1"/>
    </xf>
    <xf numFmtId="0" fontId="15" fillId="0" borderId="50" xfId="0" applyFont="1" applyBorder="1" applyAlignment="1">
      <alignment vertical="center" wrapText="1"/>
    </xf>
    <xf numFmtId="0" fontId="15" fillId="0" borderId="16" xfId="0" applyFont="1" applyBorder="1" applyAlignment="1">
      <alignment vertical="center" wrapText="1"/>
    </xf>
    <xf numFmtId="0" fontId="6" fillId="0" borderId="18" xfId="0" applyFont="1" applyBorder="1" applyAlignment="1">
      <alignment horizontal="center" vertical="center"/>
    </xf>
    <xf numFmtId="0" fontId="6" fillId="0" borderId="10" xfId="0" applyFont="1" applyBorder="1" applyAlignment="1">
      <alignment horizontal="center" vertical="center"/>
    </xf>
    <xf numFmtId="0" fontId="6" fillId="0" borderId="3"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6" fillId="0" borderId="41" xfId="0" applyFont="1" applyBorder="1" applyAlignment="1">
      <alignment horizontal="center" vertical="center"/>
    </xf>
    <xf numFmtId="0" fontId="6" fillId="0" borderId="45" xfId="0" applyFont="1" applyBorder="1" applyAlignment="1">
      <alignment horizontal="center" vertical="center"/>
    </xf>
    <xf numFmtId="0" fontId="6" fillId="0" borderId="46" xfId="0" applyFont="1" applyBorder="1" applyAlignment="1">
      <alignment horizontal="center" vertical="center"/>
    </xf>
    <xf numFmtId="0" fontId="6" fillId="0" borderId="40" xfId="0" applyFont="1" applyBorder="1" applyAlignment="1">
      <alignment horizontal="center" vertical="center"/>
    </xf>
    <xf numFmtId="0" fontId="6" fillId="0" borderId="0" xfId="0" applyFont="1" applyAlignment="1">
      <alignment vertical="center" wrapText="1"/>
    </xf>
    <xf numFmtId="0" fontId="6" fillId="0" borderId="45" xfId="0" applyFont="1" applyBorder="1" applyAlignment="1">
      <alignment vertical="center" shrinkToFit="1"/>
    </xf>
    <xf numFmtId="0" fontId="6" fillId="0" borderId="46" xfId="0" applyFont="1" applyBorder="1" applyAlignment="1">
      <alignment vertical="center" shrinkToFit="1"/>
    </xf>
    <xf numFmtId="0" fontId="6" fillId="0" borderId="40" xfId="0" applyFont="1" applyBorder="1" applyAlignment="1">
      <alignment vertical="center" shrinkToFit="1"/>
    </xf>
    <xf numFmtId="0" fontId="6" fillId="0" borderId="43" xfId="0" applyFont="1" applyBorder="1" applyAlignment="1">
      <alignment horizontal="left" vertical="center" shrinkToFit="1"/>
    </xf>
    <xf numFmtId="0" fontId="6" fillId="0" borderId="44"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10" xfId="0" applyFont="1" applyBorder="1" applyAlignment="1">
      <alignment horizontal="left" vertical="center" shrinkToFit="1"/>
    </xf>
    <xf numFmtId="0" fontId="6" fillId="0" borderId="3" xfId="0" applyFont="1" applyBorder="1" applyAlignment="1">
      <alignment horizontal="left" vertical="center" shrinkToFit="1"/>
    </xf>
    <xf numFmtId="0" fontId="15" fillId="0" borderId="34" xfId="0" applyFont="1" applyBorder="1" applyAlignment="1">
      <alignment vertical="center" wrapText="1" shrinkToFit="1"/>
    </xf>
    <xf numFmtId="0" fontId="15" fillId="0" borderId="35" xfId="0" applyFont="1" applyBorder="1" applyAlignment="1">
      <alignment vertical="center" shrinkToFit="1"/>
    </xf>
    <xf numFmtId="0" fontId="15" fillId="0" borderId="36" xfId="0" applyFont="1" applyBorder="1" applyAlignment="1">
      <alignment vertical="center" shrinkToFit="1"/>
    </xf>
    <xf numFmtId="0" fontId="15" fillId="0" borderId="1" xfId="0" applyFont="1" applyBorder="1" applyAlignment="1">
      <alignment vertical="center" shrinkToFit="1"/>
    </xf>
    <xf numFmtId="0" fontId="15" fillId="0" borderId="0" xfId="0" applyFont="1" applyBorder="1" applyAlignment="1">
      <alignment vertical="center" shrinkToFit="1"/>
    </xf>
    <xf numFmtId="0" fontId="15" fillId="0" borderId="2" xfId="0" applyFont="1" applyBorder="1" applyAlignment="1">
      <alignment vertical="center" shrinkToFit="1"/>
    </xf>
    <xf numFmtId="0" fontId="15" fillId="0" borderId="11" xfId="0" applyFont="1" applyBorder="1" applyAlignment="1">
      <alignment vertical="center" shrinkToFit="1"/>
    </xf>
    <xf numFmtId="0" fontId="15" fillId="0" borderId="6" xfId="0" applyFont="1" applyBorder="1" applyAlignment="1">
      <alignment vertical="center" shrinkToFit="1"/>
    </xf>
    <xf numFmtId="0" fontId="15" fillId="0" borderId="14" xfId="0" applyFont="1" applyBorder="1" applyAlignment="1">
      <alignment vertical="center" shrinkToFit="1"/>
    </xf>
    <xf numFmtId="0" fontId="6" fillId="0" borderId="9" xfId="0" applyFont="1" applyBorder="1" applyAlignment="1">
      <alignment vertical="center" shrinkToFit="1"/>
    </xf>
    <xf numFmtId="0" fontId="6" fillId="0" borderId="45" xfId="0"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40" xfId="0" applyFont="1" applyBorder="1" applyAlignment="1">
      <alignment horizontal="center" vertical="center" shrinkToFit="1"/>
    </xf>
    <xf numFmtId="0" fontId="15" fillId="0" borderId="47" xfId="0" applyFont="1" applyBorder="1" applyAlignment="1">
      <alignment horizontal="left" vertical="center" shrinkToFit="1"/>
    </xf>
    <xf numFmtId="0" fontId="15" fillId="0" borderId="48" xfId="0" applyFont="1" applyBorder="1" applyAlignment="1">
      <alignment horizontal="left" vertical="center" shrinkToFit="1"/>
    </xf>
    <xf numFmtId="0" fontId="15" fillId="0" borderId="44" xfId="0" applyFont="1" applyBorder="1" applyAlignment="1">
      <alignment horizontal="left" vertical="center" shrinkToFit="1"/>
    </xf>
    <xf numFmtId="0" fontId="15" fillId="0" borderId="41" xfId="0" applyFont="1" applyBorder="1" applyAlignment="1">
      <alignment horizontal="left" vertical="center" shrinkToFit="1"/>
    </xf>
    <xf numFmtId="0" fontId="15" fillId="0" borderId="6" xfId="0" applyFont="1" applyBorder="1" applyAlignment="1">
      <alignment horizontal="left" vertical="center" shrinkToFit="1"/>
    </xf>
    <xf numFmtId="0" fontId="15" fillId="0" borderId="14" xfId="0" applyFont="1" applyBorder="1" applyAlignment="1">
      <alignment horizontal="left" vertical="center" shrinkToFit="1"/>
    </xf>
    <xf numFmtId="0" fontId="15" fillId="0" borderId="46" xfId="0" applyFont="1" applyBorder="1" applyAlignment="1">
      <alignment horizontal="left" vertical="center" shrinkToFit="1"/>
    </xf>
    <xf numFmtId="0" fontId="15" fillId="0" borderId="40" xfId="0" applyFont="1" applyBorder="1" applyAlignment="1">
      <alignment horizontal="left" vertical="center" shrinkToFit="1"/>
    </xf>
    <xf numFmtId="0" fontId="15" fillId="0" borderId="44" xfId="0" applyFont="1" applyBorder="1" applyAlignment="1">
      <alignment horizontal="left" vertical="center" wrapText="1" shrinkToFit="1"/>
    </xf>
    <xf numFmtId="0" fontId="15" fillId="0" borderId="44" xfId="0" applyFont="1" applyBorder="1" applyAlignment="1">
      <alignment vertical="center" wrapText="1" shrinkToFit="1"/>
    </xf>
    <xf numFmtId="0" fontId="15" fillId="0" borderId="44" xfId="0" applyFont="1" applyBorder="1" applyAlignment="1">
      <alignment vertical="center" shrinkToFit="1"/>
    </xf>
    <xf numFmtId="0" fontId="15" fillId="0" borderId="41" xfId="0" applyFont="1" applyBorder="1" applyAlignment="1">
      <alignment vertical="center" shrinkToFit="1"/>
    </xf>
    <xf numFmtId="0" fontId="6" fillId="0" borderId="43" xfId="0" applyFont="1" applyBorder="1" applyAlignment="1">
      <alignment vertical="center" shrinkToFit="1"/>
    </xf>
    <xf numFmtId="0" fontId="6" fillId="0" borderId="44" xfId="0" applyFont="1" applyBorder="1" applyAlignment="1">
      <alignment vertical="center" shrinkToFit="1"/>
    </xf>
    <xf numFmtId="0" fontId="6" fillId="0" borderId="41" xfId="0" applyFont="1" applyBorder="1" applyAlignment="1">
      <alignment vertical="center" shrinkToFit="1"/>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6" fillId="0" borderId="43" xfId="0" applyFont="1" applyBorder="1" applyAlignment="1">
      <alignment horizontal="center" vertical="center" shrinkToFit="1"/>
    </xf>
    <xf numFmtId="0" fontId="6" fillId="0" borderId="44"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0" xfId="0" applyFont="1" applyAlignment="1">
      <alignment horizontal="center" vertical="center"/>
    </xf>
    <xf numFmtId="0" fontId="16" fillId="0" borderId="0" xfId="0" applyFont="1" applyAlignment="1">
      <alignment horizontal="center" vertical="center"/>
    </xf>
    <xf numFmtId="0" fontId="6" fillId="0" borderId="34" xfId="0" applyFont="1" applyBorder="1" applyAlignment="1">
      <alignment horizontal="left" vertical="top" wrapText="1" shrinkToFit="1"/>
    </xf>
    <xf numFmtId="0" fontId="6" fillId="0" borderId="35" xfId="0" applyFont="1" applyBorder="1" applyAlignment="1">
      <alignment horizontal="left" vertical="top" shrinkToFit="1"/>
    </xf>
    <xf numFmtId="0" fontId="6" fillId="0" borderId="36" xfId="0" applyFont="1" applyBorder="1" applyAlignment="1">
      <alignment horizontal="left" vertical="top" shrinkToFit="1"/>
    </xf>
    <xf numFmtId="0" fontId="6" fillId="0" borderId="1" xfId="0" applyFont="1" applyBorder="1" applyAlignment="1">
      <alignment horizontal="left" vertical="top" shrinkToFit="1"/>
    </xf>
    <xf numFmtId="0" fontId="6" fillId="0" borderId="0" xfId="0" applyFont="1" applyBorder="1" applyAlignment="1">
      <alignment horizontal="left" vertical="top" shrinkToFit="1"/>
    </xf>
    <xf numFmtId="0" fontId="6" fillId="0" borderId="2" xfId="0" applyFont="1" applyBorder="1" applyAlignment="1">
      <alignment horizontal="left" vertical="top" shrinkToFit="1"/>
    </xf>
    <xf numFmtId="0" fontId="6" fillId="0" borderId="0" xfId="0" applyFont="1" applyAlignment="1">
      <alignment horizontal="left" vertical="top" shrinkToFit="1"/>
    </xf>
    <xf numFmtId="0" fontId="6" fillId="0" borderId="11" xfId="0" applyFont="1" applyBorder="1" applyAlignment="1">
      <alignment horizontal="left" vertical="top" shrinkToFit="1"/>
    </xf>
    <xf numFmtId="0" fontId="6" fillId="0" borderId="6" xfId="0" applyFont="1" applyBorder="1" applyAlignment="1">
      <alignment horizontal="left" vertical="top" shrinkToFit="1"/>
    </xf>
    <xf numFmtId="0" fontId="6" fillId="0" borderId="14" xfId="0" applyFont="1" applyBorder="1" applyAlignment="1">
      <alignment horizontal="left" vertical="top" shrinkToFit="1"/>
    </xf>
    <xf numFmtId="0" fontId="6" fillId="0" borderId="45" xfId="0" applyFont="1" applyBorder="1" applyAlignment="1">
      <alignment horizontal="left" vertical="center" shrinkToFit="1"/>
    </xf>
    <xf numFmtId="0" fontId="6" fillId="0" borderId="46" xfId="0" applyFont="1" applyBorder="1" applyAlignment="1">
      <alignment horizontal="left" vertical="center" shrinkToFit="1"/>
    </xf>
    <xf numFmtId="0" fontId="6" fillId="0" borderId="40" xfId="0" applyFont="1" applyBorder="1" applyAlignment="1">
      <alignment horizontal="left" vertical="center" shrinkToFit="1"/>
    </xf>
    <xf numFmtId="0" fontId="4" fillId="0" borderId="43" xfId="0" applyFont="1" applyBorder="1" applyAlignment="1">
      <alignment horizontal="center" vertical="center"/>
    </xf>
    <xf numFmtId="0" fontId="4" fillId="0" borderId="41" xfId="0" applyFont="1" applyBorder="1" applyAlignment="1">
      <alignment horizontal="center" vertical="center"/>
    </xf>
    <xf numFmtId="0" fontId="10" fillId="0" borderId="51" xfId="0" applyFont="1" applyBorder="1" applyAlignment="1">
      <alignment horizontal="center" vertical="center" wrapText="1"/>
    </xf>
    <xf numFmtId="0" fontId="10" fillId="0" borderId="39" xfId="0" applyFont="1" applyBorder="1" applyAlignment="1">
      <alignment horizontal="center" vertical="center"/>
    </xf>
    <xf numFmtId="0" fontId="17" fillId="0" borderId="36" xfId="0" applyFont="1" applyBorder="1" applyAlignment="1">
      <alignment horizontal="center" vertical="center"/>
    </xf>
    <xf numFmtId="0" fontId="17" fillId="0" borderId="14" xfId="0" applyFont="1" applyBorder="1" applyAlignment="1">
      <alignment horizontal="center" vertical="center"/>
    </xf>
    <xf numFmtId="0" fontId="4" fillId="0" borderId="0" xfId="0" applyFont="1" applyAlignment="1">
      <alignment horizontal="right" vertical="center"/>
    </xf>
    <xf numFmtId="0" fontId="9" fillId="0" borderId="0" xfId="0" applyFont="1" applyAlignment="1">
      <alignment horizontal="center" vertical="center"/>
    </xf>
    <xf numFmtId="0" fontId="4" fillId="0" borderId="8" xfId="0" applyNumberFormat="1" applyFont="1" applyBorder="1" applyAlignment="1">
      <alignment horizontal="center" vertical="center" shrinkToFit="1"/>
    </xf>
    <xf numFmtId="0" fontId="4" fillId="0" borderId="9" xfId="0" applyNumberFormat="1" applyFont="1" applyBorder="1" applyAlignment="1">
      <alignment horizontal="center" vertical="center" shrinkToFit="1"/>
    </xf>
    <xf numFmtId="0" fontId="4" fillId="0" borderId="51" xfId="0" applyFont="1" applyBorder="1" applyAlignment="1">
      <alignment horizontal="center" vertical="center"/>
    </xf>
    <xf numFmtId="0" fontId="4" fillId="0" borderId="39" xfId="0" applyFont="1" applyBorder="1" applyAlignment="1">
      <alignment horizontal="center" vertical="center"/>
    </xf>
    <xf numFmtId="0" fontId="17" fillId="0" borderId="35" xfId="0" applyFont="1" applyBorder="1" applyAlignment="1">
      <alignment horizontal="center" vertical="center" wrapText="1"/>
    </xf>
    <xf numFmtId="0" fontId="17" fillId="0" borderId="6" xfId="0" applyFont="1" applyBorder="1" applyAlignment="1">
      <alignment horizontal="center" vertical="center"/>
    </xf>
    <xf numFmtId="0" fontId="17" fillId="0" borderId="34" xfId="0" applyFont="1" applyBorder="1" applyAlignment="1">
      <alignment horizontal="center" vertical="center" wrapText="1"/>
    </xf>
    <xf numFmtId="0" fontId="17" fillId="0" borderId="11" xfId="0" applyFont="1" applyBorder="1" applyAlignment="1">
      <alignment horizontal="center" vertical="center"/>
    </xf>
    <xf numFmtId="0" fontId="4" fillId="0" borderId="17" xfId="0" applyFont="1" applyBorder="1" applyAlignment="1">
      <alignment horizontal="center" vertical="center"/>
    </xf>
    <xf numFmtId="0" fontId="6" fillId="0" borderId="4" xfId="0" applyFont="1" applyBorder="1" applyAlignment="1">
      <alignment vertical="top" wrapText="1" shrinkToFit="1"/>
    </xf>
    <xf numFmtId="0" fontId="6" fillId="0" borderId="47" xfId="0" applyFont="1" applyBorder="1" applyAlignment="1">
      <alignment vertical="top" shrinkToFit="1"/>
    </xf>
    <xf numFmtId="0" fontId="6" fillId="0" borderId="48" xfId="0" applyFont="1" applyBorder="1" applyAlignment="1">
      <alignment vertical="top" shrinkToFit="1"/>
    </xf>
    <xf numFmtId="0" fontId="6" fillId="0" borderId="1" xfId="0" applyFont="1" applyBorder="1" applyAlignment="1">
      <alignment vertical="top" shrinkToFit="1"/>
    </xf>
    <xf numFmtId="0" fontId="6" fillId="0" borderId="0" xfId="0" applyFont="1" applyAlignment="1">
      <alignment vertical="top" shrinkToFit="1"/>
    </xf>
    <xf numFmtId="0" fontId="6" fillId="0" borderId="2"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4" xfId="0" applyFont="1" applyBorder="1" applyAlignment="1">
      <alignment vertical="top" shrinkToFit="1"/>
    </xf>
    <xf numFmtId="0" fontId="6" fillId="0" borderId="34" xfId="0" applyFont="1" applyBorder="1" applyAlignment="1">
      <alignment vertical="top" wrapText="1" shrinkToFit="1"/>
    </xf>
    <xf numFmtId="0" fontId="6" fillId="0" borderId="35" xfId="0" applyFont="1" applyBorder="1" applyAlignment="1">
      <alignment vertical="top" wrapText="1" shrinkToFit="1"/>
    </xf>
    <xf numFmtId="0" fontId="6" fillId="0" borderId="35" xfId="0" applyFont="1" applyBorder="1" applyAlignment="1">
      <alignment vertical="top" shrinkToFit="1"/>
    </xf>
    <xf numFmtId="0" fontId="6" fillId="0" borderId="36" xfId="0" applyFont="1" applyBorder="1" applyAlignment="1">
      <alignment vertical="top" shrinkToFit="1"/>
    </xf>
    <xf numFmtId="0" fontId="6" fillId="0" borderId="36" xfId="0" applyFont="1" applyBorder="1" applyAlignment="1">
      <alignment vertical="top" wrapText="1" shrinkToFit="1"/>
    </xf>
    <xf numFmtId="0" fontId="6" fillId="0" borderId="1" xfId="0" applyFont="1" applyBorder="1" applyAlignment="1">
      <alignment vertical="top" wrapText="1" shrinkToFit="1"/>
    </xf>
    <xf numFmtId="0" fontId="6" fillId="0" borderId="0" xfId="0" applyFont="1" applyAlignment="1">
      <alignment vertical="top" wrapText="1" shrinkToFit="1"/>
    </xf>
    <xf numFmtId="0" fontId="6" fillId="0" borderId="2"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4" xfId="0" applyFont="1" applyBorder="1" applyAlignment="1">
      <alignment vertical="top" wrapText="1" shrinkToFit="1"/>
    </xf>
    <xf numFmtId="0" fontId="7" fillId="0" borderId="35" xfId="0" applyFont="1" applyBorder="1" applyAlignment="1">
      <alignment vertical="top" wrapText="1" shrinkToFit="1"/>
    </xf>
    <xf numFmtId="0" fontId="7" fillId="0" borderId="35" xfId="0" applyFont="1" applyBorder="1" applyAlignment="1">
      <alignment vertical="top" shrinkToFit="1"/>
    </xf>
    <xf numFmtId="0" fontId="7" fillId="0" borderId="36" xfId="0" applyFont="1" applyBorder="1" applyAlignment="1">
      <alignment vertical="top" shrinkToFit="1"/>
    </xf>
    <xf numFmtId="0" fontId="7" fillId="0" borderId="1" xfId="0" applyFont="1" applyBorder="1" applyAlignment="1">
      <alignment vertical="top" shrinkToFit="1"/>
    </xf>
    <xf numFmtId="0" fontId="7" fillId="0" borderId="0" xfId="0" applyFont="1" applyAlignment="1">
      <alignment vertical="top" shrinkToFit="1"/>
    </xf>
    <xf numFmtId="0" fontId="7" fillId="0" borderId="2"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4" xfId="0" applyFont="1" applyBorder="1" applyAlignment="1">
      <alignment vertical="top" shrinkToFit="1"/>
    </xf>
    <xf numFmtId="0" fontId="4" fillId="0" borderId="6" xfId="0" applyFont="1" applyBorder="1">
      <alignment vertical="center"/>
    </xf>
    <xf numFmtId="0" fontId="4" fillId="0" borderId="52" xfId="0" applyFont="1" applyBorder="1">
      <alignment vertical="center"/>
    </xf>
    <xf numFmtId="0" fontId="0" fillId="0" borderId="3" xfId="0" applyBorder="1">
      <alignment vertical="center"/>
    </xf>
    <xf numFmtId="0" fontId="6" fillId="0" borderId="18" xfId="0" applyFont="1" applyBorder="1" applyAlignment="1">
      <alignment vertical="top" wrapText="1" shrinkToFit="1"/>
    </xf>
    <xf numFmtId="0" fontId="6" fillId="0" borderId="10" xfId="0" applyFont="1" applyBorder="1" applyAlignment="1">
      <alignment vertical="top" wrapText="1" shrinkToFit="1"/>
    </xf>
    <xf numFmtId="0" fontId="6" fillId="0" borderId="3" xfId="0" applyFont="1" applyBorder="1" applyAlignment="1">
      <alignment vertical="top" wrapText="1" shrinkToFit="1"/>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9" xfId="0" applyFont="1" applyBorder="1" applyAlignment="1">
      <alignment horizontal="center" vertical="center"/>
    </xf>
    <xf numFmtId="0" fontId="4" fillId="0" borderId="52" xfId="0" applyFont="1" applyBorder="1" applyAlignment="1">
      <alignment vertical="center" wrapText="1"/>
    </xf>
    <xf numFmtId="0" fontId="4" fillId="0" borderId="3" xfId="0" applyFont="1" applyBorder="1" applyAlignment="1">
      <alignment vertical="center" wrapTex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4" xfId="0" applyFont="1" applyBorder="1" applyAlignment="1">
      <alignment vertical="center" wrapText="1"/>
    </xf>
    <xf numFmtId="0" fontId="14" fillId="0" borderId="8" xfId="1" applyFont="1" applyBorder="1" applyAlignment="1">
      <alignment horizontal="center" vertical="center" shrinkToFit="1"/>
    </xf>
    <xf numFmtId="0" fontId="14" fillId="0" borderId="5" xfId="1" applyFont="1" applyBorder="1" applyAlignment="1">
      <alignment horizontal="center" vertical="center" shrinkToFit="1"/>
    </xf>
    <xf numFmtId="0" fontId="14" fillId="0" borderId="9" xfId="1" applyFont="1" applyBorder="1" applyAlignment="1">
      <alignment horizontal="center" vertical="center" shrinkToFit="1"/>
    </xf>
    <xf numFmtId="0" fontId="4" fillId="0" borderId="18" xfId="0" applyFont="1" applyBorder="1" applyAlignment="1">
      <alignment vertical="center" wrapText="1"/>
    </xf>
    <xf numFmtId="0" fontId="4" fillId="0" borderId="10" xfId="0" applyFont="1" applyBorder="1" applyAlignment="1">
      <alignment vertical="center" wrapText="1"/>
    </xf>
  </cellXfs>
  <cellStyles count="3">
    <cellStyle name="ハイパーリンク" xfId="1" builtinId="8"/>
    <cellStyle name="桁区切り" xfId="2"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B1" sqref="B1"/>
    </sheetView>
  </sheetViews>
  <sheetFormatPr defaultRowHeight="18.75" customHeight="1"/>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c r="M1" s="147" t="s">
        <v>25</v>
      </c>
      <c r="N1" s="147"/>
    </row>
    <row r="2" spans="1:15" ht="24" customHeight="1">
      <c r="A2" s="151" t="s">
        <v>83</v>
      </c>
      <c r="B2" s="151"/>
      <c r="C2" s="151"/>
      <c r="D2" s="151"/>
      <c r="E2" s="151"/>
      <c r="F2" s="151"/>
      <c r="G2" s="151"/>
      <c r="H2" s="151"/>
      <c r="I2" s="151"/>
      <c r="J2" s="151"/>
      <c r="K2" s="151"/>
      <c r="L2" s="151"/>
      <c r="M2" s="151"/>
      <c r="N2" s="151"/>
    </row>
    <row r="3" spans="1:15" ht="24" customHeight="1"/>
    <row r="4" spans="1:15" ht="24" customHeight="1">
      <c r="A4" s="14" t="s">
        <v>6</v>
      </c>
      <c r="B4" s="15" t="s">
        <v>16</v>
      </c>
      <c r="C4" s="137" t="s">
        <v>148</v>
      </c>
      <c r="D4" s="138"/>
      <c r="E4" s="138"/>
      <c r="F4" s="138"/>
      <c r="G4" s="138"/>
      <c r="H4" s="138"/>
      <c r="I4" s="138"/>
      <c r="J4" s="138"/>
      <c r="K4" s="138"/>
      <c r="L4" s="138"/>
      <c r="M4" s="138"/>
      <c r="N4" s="139"/>
      <c r="O4" s="31" t="str">
        <f>IF(C4="","入力してください","")</f>
        <v/>
      </c>
    </row>
    <row r="5" spans="1:15" ht="7.5" customHeight="1">
      <c r="B5" s="15"/>
      <c r="C5" s="15"/>
      <c r="D5" s="15"/>
      <c r="E5" s="16"/>
      <c r="F5" s="37"/>
      <c r="G5" s="37"/>
      <c r="H5" s="37"/>
      <c r="I5" s="37"/>
      <c r="J5" s="37"/>
      <c r="K5" s="37"/>
      <c r="L5" s="37"/>
      <c r="M5" s="37"/>
      <c r="N5" s="37"/>
    </row>
    <row r="6" spans="1:15" ht="24" customHeight="1">
      <c r="A6" s="14" t="s">
        <v>48</v>
      </c>
      <c r="B6" s="15" t="s">
        <v>49</v>
      </c>
      <c r="C6" s="15"/>
      <c r="D6" s="137" t="s">
        <v>149</v>
      </c>
      <c r="E6" s="138"/>
      <c r="F6" s="138"/>
      <c r="G6" s="138"/>
      <c r="H6" s="139"/>
      <c r="I6" s="17" t="s">
        <v>86</v>
      </c>
      <c r="J6" s="37" t="s">
        <v>87</v>
      </c>
      <c r="K6" s="137" t="s">
        <v>150</v>
      </c>
      <c r="L6" s="138"/>
      <c r="M6" s="138"/>
      <c r="N6" s="139"/>
      <c r="O6" s="31" t="str">
        <f>IF(D6="","入力してください","")</f>
        <v/>
      </c>
    </row>
    <row r="7" spans="1:15" ht="7.5" customHeight="1">
      <c r="B7" s="15"/>
      <c r="C7" s="15"/>
      <c r="D7" s="15"/>
      <c r="E7" s="16"/>
      <c r="F7" s="37"/>
      <c r="G7" s="37"/>
      <c r="H7" s="37"/>
      <c r="I7" s="37"/>
      <c r="J7" s="37"/>
      <c r="K7" s="37"/>
      <c r="L7" s="37"/>
      <c r="M7" s="37"/>
      <c r="N7" s="37"/>
    </row>
    <row r="8" spans="1:15" ht="24" customHeight="1">
      <c r="A8" s="14" t="s">
        <v>13</v>
      </c>
      <c r="B8" s="15" t="s">
        <v>45</v>
      </c>
      <c r="C8" s="137" t="s">
        <v>151</v>
      </c>
      <c r="D8" s="138"/>
      <c r="E8" s="138"/>
      <c r="F8" s="138"/>
      <c r="G8" s="138"/>
      <c r="H8" s="138"/>
      <c r="I8" s="138"/>
      <c r="J8" s="138"/>
      <c r="K8" s="138"/>
      <c r="L8" s="138"/>
      <c r="M8" s="138"/>
      <c r="N8" s="139"/>
      <c r="O8" s="31" t="str">
        <f>IF(C8="","入力してください","")</f>
        <v/>
      </c>
    </row>
    <row r="9" spans="1:15" ht="7.5" customHeight="1">
      <c r="B9" s="15"/>
      <c r="C9" s="15"/>
      <c r="D9" s="15"/>
      <c r="E9" s="16"/>
      <c r="F9" s="37"/>
      <c r="G9" s="37"/>
      <c r="H9" s="37"/>
      <c r="I9" s="37"/>
      <c r="J9" s="37"/>
      <c r="K9" s="37"/>
      <c r="L9" s="37"/>
      <c r="M9" s="37"/>
      <c r="N9" s="37"/>
    </row>
    <row r="10" spans="1:15" ht="24" customHeight="1">
      <c r="A10" s="14" t="s">
        <v>11</v>
      </c>
      <c r="B10" s="15" t="s">
        <v>85</v>
      </c>
      <c r="C10" s="15"/>
      <c r="D10" s="15"/>
      <c r="E10" s="137" t="s">
        <v>152</v>
      </c>
      <c r="F10" s="138"/>
      <c r="G10" s="138"/>
      <c r="H10" s="138"/>
      <c r="I10" s="138"/>
      <c r="J10" s="138"/>
      <c r="K10" s="138"/>
      <c r="L10" s="138"/>
      <c r="M10" s="138"/>
      <c r="N10" s="139"/>
      <c r="O10" s="31" t="str">
        <f>IF(E10="","入力してください","")</f>
        <v/>
      </c>
    </row>
    <row r="11" spans="1:15" ht="7.5" customHeight="1">
      <c r="B11" s="16"/>
      <c r="C11" s="16"/>
      <c r="D11" s="16"/>
      <c r="E11" s="16"/>
      <c r="F11" s="37"/>
      <c r="G11" s="37"/>
      <c r="H11" s="37"/>
      <c r="I11" s="37"/>
      <c r="J11" s="37"/>
      <c r="K11" s="37"/>
      <c r="L11" s="37"/>
      <c r="M11" s="37"/>
      <c r="N11" s="37"/>
    </row>
    <row r="12" spans="1:15" ht="24" customHeight="1">
      <c r="A12" s="14" t="s">
        <v>58</v>
      </c>
      <c r="B12" s="16" t="s">
        <v>59</v>
      </c>
      <c r="C12" s="16"/>
      <c r="D12" s="16"/>
      <c r="E12" s="153" t="s">
        <v>153</v>
      </c>
      <c r="F12" s="154"/>
      <c r="G12" s="17" t="s">
        <v>96</v>
      </c>
      <c r="H12" s="14" t="s">
        <v>97</v>
      </c>
      <c r="N12" s="116" t="s">
        <v>154</v>
      </c>
      <c r="O12" s="31" t="str">
        <f>IF(E12="","入力してください","")</f>
        <v/>
      </c>
    </row>
    <row r="13" spans="1:15" ht="7.5" customHeight="1">
      <c r="B13" s="16"/>
      <c r="C13" s="16"/>
      <c r="D13" s="16"/>
      <c r="E13" s="16"/>
      <c r="F13" s="37"/>
      <c r="G13" s="37"/>
      <c r="H13" s="37"/>
      <c r="I13" s="37"/>
      <c r="J13" s="37"/>
      <c r="K13" s="37"/>
      <c r="L13" s="37"/>
      <c r="M13" s="37"/>
      <c r="N13" s="37"/>
    </row>
    <row r="14" spans="1:15" ht="24" customHeight="1">
      <c r="A14" s="14" t="s">
        <v>53</v>
      </c>
      <c r="B14" s="14" t="s">
        <v>0</v>
      </c>
      <c r="C14" s="148" t="s">
        <v>5</v>
      </c>
      <c r="D14" s="149"/>
      <c r="E14" s="140">
        <v>305</v>
      </c>
      <c r="F14" s="141"/>
      <c r="G14" s="18" t="s">
        <v>7</v>
      </c>
      <c r="I14" s="148" t="s">
        <v>8</v>
      </c>
      <c r="J14" s="149"/>
      <c r="K14" s="140">
        <v>639</v>
      </c>
      <c r="L14" s="150"/>
      <c r="M14" s="141"/>
      <c r="N14" s="19" t="s">
        <v>7</v>
      </c>
      <c r="O14" s="31" t="str">
        <f>IF(OR(E14="",K14=""),"入力してください","")</f>
        <v/>
      </c>
    </row>
    <row r="15" spans="1:15" ht="7.5" customHeight="1">
      <c r="F15" s="20"/>
      <c r="G15" s="20"/>
      <c r="H15" s="20"/>
      <c r="I15" s="20"/>
      <c r="J15" s="20"/>
      <c r="K15" s="20"/>
      <c r="L15" s="20"/>
      <c r="M15" s="19"/>
      <c r="N15" s="19"/>
    </row>
    <row r="16" spans="1:15" ht="24" customHeight="1">
      <c r="A16" s="14" t="s">
        <v>60</v>
      </c>
      <c r="B16" s="14" t="s">
        <v>70</v>
      </c>
      <c r="F16" s="20"/>
      <c r="G16" s="20"/>
      <c r="H16" s="20"/>
      <c r="I16" s="20"/>
      <c r="J16" s="20"/>
      <c r="K16" s="155">
        <v>3</v>
      </c>
      <c r="L16" s="156"/>
      <c r="M16" s="157"/>
      <c r="N16" s="19" t="s">
        <v>51</v>
      </c>
      <c r="O16" s="31" t="str">
        <f>IF(K16="","入力してください","")</f>
        <v/>
      </c>
    </row>
    <row r="17" spans="1:15" ht="7.5" customHeight="1">
      <c r="F17" s="20"/>
      <c r="G17" s="20"/>
      <c r="H17" s="20"/>
      <c r="I17" s="20"/>
      <c r="J17" s="20"/>
      <c r="K17" s="20"/>
      <c r="L17" s="20"/>
      <c r="M17" s="19"/>
      <c r="N17" s="19"/>
    </row>
    <row r="18" spans="1:15" ht="24" customHeight="1">
      <c r="A18" s="14" t="s">
        <v>24</v>
      </c>
      <c r="B18" s="14" t="s">
        <v>77</v>
      </c>
      <c r="E18" s="140">
        <v>2820</v>
      </c>
      <c r="F18" s="141"/>
      <c r="G18" s="21" t="s">
        <v>21</v>
      </c>
      <c r="H18" s="20"/>
      <c r="K18" s="152"/>
      <c r="L18" s="152"/>
      <c r="M18" s="152"/>
      <c r="N18" s="152"/>
      <c r="O18" s="31" t="str">
        <f>IF(E18="","入力してください","")</f>
        <v/>
      </c>
    </row>
    <row r="19" spans="1:15" ht="7.5" customHeight="1">
      <c r="E19" s="10"/>
      <c r="F19" s="20"/>
      <c r="G19" s="20"/>
      <c r="L19" s="36"/>
      <c r="M19" s="36"/>
      <c r="N19" s="22"/>
    </row>
    <row r="20" spans="1:15" ht="24" customHeight="1">
      <c r="A20" s="14" t="s">
        <v>76</v>
      </c>
      <c r="B20" s="14" t="s">
        <v>78</v>
      </c>
      <c r="E20" s="10"/>
      <c r="F20" s="20"/>
      <c r="G20" s="20"/>
      <c r="H20" s="14" t="s">
        <v>52</v>
      </c>
      <c r="J20" s="158">
        <v>12353</v>
      </c>
      <c r="K20" s="159"/>
      <c r="L20" s="160"/>
      <c r="M20" s="36" t="s">
        <v>51</v>
      </c>
      <c r="N20" s="22"/>
      <c r="O20" s="31" t="str">
        <f>IF(J20="","入力してください","")</f>
        <v/>
      </c>
    </row>
    <row r="21" spans="1:15" ht="7.5" customHeight="1">
      <c r="E21" s="10"/>
      <c r="F21" s="20"/>
      <c r="G21" s="20"/>
      <c r="L21" s="36"/>
      <c r="M21" s="36"/>
      <c r="N21" s="22"/>
    </row>
    <row r="22" spans="1:15" ht="24" customHeight="1">
      <c r="B22" s="29" t="s">
        <v>17</v>
      </c>
      <c r="C22" s="140">
        <v>3024</v>
      </c>
      <c r="D22" s="141"/>
      <c r="E22" s="10" t="s">
        <v>22</v>
      </c>
      <c r="F22" s="20"/>
      <c r="G22" s="136" t="s">
        <v>18</v>
      </c>
      <c r="H22" s="136"/>
      <c r="I22" s="140">
        <v>3158</v>
      </c>
      <c r="J22" s="141"/>
      <c r="K22" s="17" t="s">
        <v>22</v>
      </c>
      <c r="M22" s="36"/>
      <c r="N22" s="22"/>
    </row>
    <row r="23" spans="1:15" ht="7.5" customHeight="1">
      <c r="B23" s="29"/>
      <c r="C23" s="11"/>
      <c r="D23" s="11"/>
      <c r="E23" s="10"/>
      <c r="F23" s="20"/>
      <c r="G23" s="36"/>
      <c r="H23" s="36"/>
      <c r="I23" s="11"/>
      <c r="J23" s="11"/>
      <c r="K23" s="17"/>
      <c r="M23" s="36"/>
      <c r="N23" s="22"/>
    </row>
    <row r="24" spans="1:15" ht="24" customHeight="1">
      <c r="B24" s="29" t="s">
        <v>19</v>
      </c>
      <c r="C24" s="140">
        <v>2958</v>
      </c>
      <c r="D24" s="141"/>
      <c r="E24" s="10" t="s">
        <v>22</v>
      </c>
      <c r="F24" s="20"/>
      <c r="G24" s="136" t="s">
        <v>20</v>
      </c>
      <c r="H24" s="136"/>
      <c r="I24" s="140">
        <v>3213</v>
      </c>
      <c r="J24" s="141"/>
      <c r="K24" s="17" t="s">
        <v>22</v>
      </c>
      <c r="M24" s="36"/>
      <c r="N24" s="22"/>
    </row>
    <row r="25" spans="1:15" ht="7.5" customHeight="1">
      <c r="B25" s="29"/>
      <c r="C25" s="11"/>
      <c r="D25" s="11"/>
      <c r="E25" s="10"/>
      <c r="F25" s="20"/>
      <c r="G25" s="36"/>
      <c r="H25" s="36"/>
      <c r="I25" s="11"/>
      <c r="J25" s="11"/>
      <c r="K25" s="17"/>
      <c r="M25" s="36"/>
      <c r="N25" s="22"/>
    </row>
    <row r="26" spans="1:15" ht="24" customHeight="1">
      <c r="B26" s="29" t="s">
        <v>46</v>
      </c>
      <c r="C26" s="140"/>
      <c r="D26" s="141"/>
      <c r="E26" s="10" t="s">
        <v>7</v>
      </c>
      <c r="F26" s="20"/>
      <c r="G26" s="136" t="s">
        <v>47</v>
      </c>
      <c r="H26" s="136"/>
      <c r="I26" s="140"/>
      <c r="J26" s="141"/>
      <c r="K26" s="17" t="s">
        <v>7</v>
      </c>
      <c r="M26" s="36"/>
      <c r="N26" s="22"/>
    </row>
    <row r="27" spans="1:15" ht="7.5" customHeight="1">
      <c r="F27" s="20"/>
      <c r="G27" s="20"/>
      <c r="M27" s="23"/>
      <c r="N27" s="23"/>
    </row>
    <row r="28" spans="1:15" ht="24" customHeight="1">
      <c r="A28" s="14" t="s">
        <v>50</v>
      </c>
      <c r="B28" s="15" t="s">
        <v>75</v>
      </c>
      <c r="C28" s="15"/>
      <c r="D28" s="15"/>
      <c r="E28" s="15"/>
      <c r="F28" s="17"/>
      <c r="G28" s="37"/>
      <c r="H28" s="37"/>
      <c r="I28" s="37"/>
      <c r="J28" s="24"/>
      <c r="K28" s="24"/>
      <c r="L28" s="24"/>
      <c r="M28" s="24"/>
      <c r="N28" s="24"/>
    </row>
    <row r="29" spans="1:15" s="14" customFormat="1" ht="24" customHeight="1">
      <c r="B29" s="144" t="s">
        <v>74</v>
      </c>
      <c r="C29" s="144"/>
      <c r="D29" s="137" t="s">
        <v>155</v>
      </c>
      <c r="E29" s="138"/>
      <c r="F29" s="138"/>
      <c r="G29" s="145" t="s">
        <v>23</v>
      </c>
      <c r="H29" s="144"/>
      <c r="I29" s="146"/>
      <c r="J29" s="137" t="s">
        <v>156</v>
      </c>
      <c r="K29" s="138"/>
      <c r="L29" s="138"/>
      <c r="M29" s="138"/>
      <c r="N29" s="139"/>
      <c r="O29" s="31" t="str">
        <f>IF(OR(D29="",J29=""),"入力してください","")</f>
        <v/>
      </c>
    </row>
    <row r="30" spans="1:15" ht="7.5" customHeight="1">
      <c r="F30" s="20"/>
      <c r="G30" s="20"/>
      <c r="M30" s="23"/>
      <c r="N30" s="23"/>
    </row>
    <row r="31" spans="1:15" ht="24" customHeight="1">
      <c r="A31" s="14" t="s">
        <v>54</v>
      </c>
      <c r="B31" s="15" t="s">
        <v>80</v>
      </c>
      <c r="C31" s="15"/>
      <c r="D31" s="15"/>
      <c r="E31" s="15"/>
      <c r="F31" s="17"/>
      <c r="G31" s="24"/>
      <c r="H31" s="24"/>
      <c r="I31" s="24"/>
      <c r="J31" s="24"/>
      <c r="K31" s="24"/>
      <c r="L31" s="24"/>
      <c r="M31" s="24"/>
      <c r="N31" s="24"/>
    </row>
    <row r="32" spans="1:15" ht="24" customHeight="1">
      <c r="B32" s="137" t="s">
        <v>157</v>
      </c>
      <c r="C32" s="138"/>
      <c r="D32" s="138"/>
      <c r="E32" s="138"/>
      <c r="F32" s="138"/>
      <c r="G32" s="138"/>
      <c r="H32" s="138"/>
      <c r="I32" s="138"/>
      <c r="J32" s="138"/>
      <c r="K32" s="138"/>
      <c r="L32" s="138"/>
      <c r="M32" s="138"/>
      <c r="N32" s="139"/>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44" t="s">
        <v>74</v>
      </c>
      <c r="C34" s="144"/>
      <c r="D34" s="137" t="s">
        <v>158</v>
      </c>
      <c r="E34" s="138"/>
      <c r="F34" s="138"/>
      <c r="G34" s="145" t="s">
        <v>55</v>
      </c>
      <c r="H34" s="144"/>
      <c r="I34" s="146"/>
      <c r="J34" s="137" t="s">
        <v>159</v>
      </c>
      <c r="K34" s="138"/>
      <c r="L34" s="138"/>
      <c r="M34" s="138"/>
      <c r="N34" s="139"/>
      <c r="O34" s="31" t="str">
        <f>IF(OR(D34="",J34=""),"入力してください","")</f>
        <v/>
      </c>
    </row>
    <row r="35" spans="1:15" ht="7.5" customHeight="1">
      <c r="F35" s="37"/>
      <c r="G35" s="37"/>
      <c r="H35" s="37"/>
      <c r="I35" s="37"/>
      <c r="J35" s="37"/>
      <c r="K35" s="37"/>
      <c r="L35" s="37"/>
      <c r="M35" s="37"/>
      <c r="N35" s="37"/>
    </row>
    <row r="36" spans="1:15" ht="24" customHeight="1">
      <c r="A36" s="14" t="s">
        <v>61</v>
      </c>
      <c r="B36" s="14" t="s">
        <v>81</v>
      </c>
      <c r="M36" s="23"/>
      <c r="N36" s="23"/>
    </row>
    <row r="37" spans="1:15" ht="24" customHeight="1">
      <c r="B37" s="137" t="s">
        <v>157</v>
      </c>
      <c r="C37" s="138"/>
      <c r="D37" s="138"/>
      <c r="E37" s="138"/>
      <c r="F37" s="138"/>
      <c r="G37" s="138"/>
      <c r="H37" s="138"/>
      <c r="I37" s="138"/>
      <c r="J37" s="138"/>
      <c r="K37" s="138"/>
      <c r="L37" s="138"/>
      <c r="M37" s="138"/>
      <c r="N37" s="139"/>
      <c r="O37" s="31" t="str">
        <f>IF(B37="","入力してください","")</f>
        <v/>
      </c>
    </row>
    <row r="38" spans="1:15" ht="7.5" customHeight="1">
      <c r="F38" s="37"/>
      <c r="G38" s="37"/>
      <c r="H38" s="37"/>
      <c r="I38" s="37"/>
      <c r="J38" s="37"/>
      <c r="K38" s="37"/>
      <c r="L38" s="37"/>
      <c r="M38" s="37"/>
      <c r="N38" s="37"/>
    </row>
    <row r="39" spans="1:15" s="14" customFormat="1" ht="24" customHeight="1">
      <c r="B39" s="144" t="s">
        <v>74</v>
      </c>
      <c r="C39" s="144"/>
      <c r="D39" s="137" t="s">
        <v>158</v>
      </c>
      <c r="E39" s="138"/>
      <c r="F39" s="138"/>
      <c r="G39" s="145" t="s">
        <v>55</v>
      </c>
      <c r="H39" s="144"/>
      <c r="I39" s="146"/>
      <c r="J39" s="137" t="s">
        <v>159</v>
      </c>
      <c r="K39" s="138"/>
      <c r="L39" s="138"/>
      <c r="M39" s="138"/>
      <c r="N39" s="139"/>
      <c r="O39" s="31" t="str">
        <f>IF(OR(D39="",J39=""),"入力してください","")</f>
        <v/>
      </c>
    </row>
    <row r="40" spans="1:15" ht="7.5" customHeight="1">
      <c r="F40" s="37"/>
      <c r="G40" s="37"/>
      <c r="H40" s="37"/>
      <c r="I40" s="37"/>
      <c r="J40" s="37"/>
      <c r="K40" s="37"/>
      <c r="L40" s="37"/>
      <c r="M40" s="37"/>
      <c r="N40" s="37"/>
    </row>
    <row r="41" spans="1:15" ht="24" customHeight="1">
      <c r="A41" s="14" t="s">
        <v>88</v>
      </c>
      <c r="B41" s="73" t="s">
        <v>69</v>
      </c>
      <c r="E41" s="74"/>
      <c r="F41" s="137" t="s">
        <v>160</v>
      </c>
      <c r="G41" s="138"/>
      <c r="H41" s="138"/>
      <c r="I41" s="138"/>
      <c r="J41" s="138"/>
      <c r="K41" s="138"/>
      <c r="L41" s="138"/>
      <c r="M41" s="138"/>
      <c r="N41" s="139"/>
      <c r="O41" s="31" t="str">
        <f>IF(F41="","入力してください","")</f>
        <v/>
      </c>
    </row>
    <row r="42" spans="1:15" ht="7.5" customHeight="1">
      <c r="F42" s="37"/>
      <c r="G42" s="37"/>
      <c r="H42" s="37"/>
      <c r="I42" s="37"/>
      <c r="J42" s="37"/>
      <c r="K42" s="37"/>
      <c r="L42" s="37"/>
      <c r="M42" s="37"/>
      <c r="N42" s="37"/>
    </row>
    <row r="43" spans="1:15" ht="24" customHeight="1">
      <c r="A43" s="14" t="s">
        <v>98</v>
      </c>
    </row>
    <row r="44" spans="1:15" ht="24" customHeight="1">
      <c r="B44" s="30" t="s">
        <v>1</v>
      </c>
      <c r="C44" s="142" t="s">
        <v>161</v>
      </c>
      <c r="D44" s="143"/>
      <c r="E44" s="143"/>
      <c r="F44" s="143"/>
      <c r="G44" s="143"/>
      <c r="H44" s="143"/>
      <c r="I44" s="26" t="s">
        <v>2</v>
      </c>
      <c r="J44" s="27"/>
      <c r="K44" s="137" t="s">
        <v>162</v>
      </c>
      <c r="L44" s="138"/>
      <c r="M44" s="138"/>
      <c r="N44" s="139"/>
      <c r="O44" s="31" t="str">
        <f>IF(OR(C44="",K44=""),"入力してください","")</f>
        <v/>
      </c>
    </row>
    <row r="45" spans="1:15" ht="24" customHeight="1">
      <c r="B45" s="25" t="s">
        <v>4</v>
      </c>
      <c r="C45" s="130" t="s">
        <v>191</v>
      </c>
      <c r="D45" s="131"/>
      <c r="E45" s="131"/>
      <c r="F45" s="131"/>
      <c r="G45" s="131"/>
      <c r="H45" s="132"/>
      <c r="I45" s="26" t="s">
        <v>3</v>
      </c>
      <c r="J45" s="27"/>
      <c r="K45" s="133" t="s">
        <v>163</v>
      </c>
      <c r="L45" s="134"/>
      <c r="M45" s="134"/>
      <c r="N45" s="135"/>
      <c r="O45" s="31" t="str">
        <f>IF(OR(C45="",K45=""),"入力してください","")</f>
        <v/>
      </c>
    </row>
  </sheetData>
  <mergeCells count="44">
    <mergeCell ref="D6:H6"/>
    <mergeCell ref="E12:F12"/>
    <mergeCell ref="K16:M16"/>
    <mergeCell ref="J20:L20"/>
    <mergeCell ref="G22:H22"/>
    <mergeCell ref="J39:N39"/>
    <mergeCell ref="B32:N32"/>
    <mergeCell ref="B37:N37"/>
    <mergeCell ref="G26:H26"/>
    <mergeCell ref="I26:J26"/>
    <mergeCell ref="B39:C39"/>
    <mergeCell ref="D39:F39"/>
    <mergeCell ref="G29:I29"/>
    <mergeCell ref="C26:D26"/>
    <mergeCell ref="M1:N1"/>
    <mergeCell ref="C14:D14"/>
    <mergeCell ref="C8:N8"/>
    <mergeCell ref="K14:M14"/>
    <mergeCell ref="C4:N4"/>
    <mergeCell ref="A2:N2"/>
    <mergeCell ref="E14:F14"/>
    <mergeCell ref="I14:J14"/>
    <mergeCell ref="E10:N10"/>
    <mergeCell ref="K6:N6"/>
    <mergeCell ref="I22:J22"/>
    <mergeCell ref="C22:D22"/>
    <mergeCell ref="K18:N18"/>
    <mergeCell ref="E18:F18"/>
    <mergeCell ref="C45:H45"/>
    <mergeCell ref="K45:N45"/>
    <mergeCell ref="G24:H24"/>
    <mergeCell ref="K44:N44"/>
    <mergeCell ref="I24:J24"/>
    <mergeCell ref="C44:H44"/>
    <mergeCell ref="B34:C34"/>
    <mergeCell ref="J34:N34"/>
    <mergeCell ref="D34:F34"/>
    <mergeCell ref="G34:I34"/>
    <mergeCell ref="C24:D24"/>
    <mergeCell ref="G39:I39"/>
    <mergeCell ref="F41:N41"/>
    <mergeCell ref="J29:N29"/>
    <mergeCell ref="B29:C29"/>
    <mergeCell ref="D29:F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1" zoomScaleNormal="100" zoomScaleSheetLayoutView="100" workbookViewId="0">
      <selection activeCell="W49" sqref="W49"/>
    </sheetView>
  </sheetViews>
  <sheetFormatPr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31" t="s">
        <v>165</v>
      </c>
      <c r="X1" s="231"/>
      <c r="Y1" s="231"/>
      <c r="Z1" s="231"/>
    </row>
    <row r="2" spans="1:26" ht="18" customHeight="1">
      <c r="A2" s="232" t="s">
        <v>67</v>
      </c>
      <c r="B2" s="232"/>
      <c r="C2" s="232"/>
      <c r="D2" s="232"/>
      <c r="E2" s="232"/>
      <c r="F2" s="232"/>
      <c r="G2" s="232"/>
      <c r="H2" s="232"/>
      <c r="I2" s="232"/>
      <c r="J2" s="232"/>
      <c r="K2" s="232"/>
      <c r="L2" s="232"/>
      <c r="M2" s="232"/>
      <c r="N2" s="232"/>
      <c r="O2" s="232"/>
      <c r="P2" s="232"/>
      <c r="Q2" s="232"/>
      <c r="R2" s="232"/>
      <c r="S2" s="232"/>
      <c r="T2" s="232"/>
      <c r="U2" s="232"/>
      <c r="V2" s="232"/>
      <c r="W2" s="232"/>
      <c r="X2" s="232"/>
      <c r="Y2" s="232"/>
      <c r="Z2" s="232"/>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99</v>
      </c>
      <c r="B4" s="29"/>
      <c r="C4" s="29"/>
      <c r="D4" s="29"/>
      <c r="E4" s="29"/>
      <c r="F4" s="29"/>
      <c r="G4" s="29"/>
      <c r="H4" s="15" t="s">
        <v>112</v>
      </c>
      <c r="I4" s="29"/>
      <c r="J4" s="29"/>
      <c r="K4" s="29"/>
      <c r="L4" s="29"/>
      <c r="M4" s="29"/>
      <c r="N4" s="29"/>
      <c r="O4" s="155" t="s">
        <v>164</v>
      </c>
      <c r="P4" s="156"/>
      <c r="Q4" s="156"/>
      <c r="R4" s="156"/>
      <c r="S4" s="156"/>
      <c r="T4" s="156"/>
      <c r="U4" s="156"/>
      <c r="V4" s="156"/>
      <c r="W4" s="156"/>
      <c r="X4" s="156"/>
      <c r="Y4" s="156"/>
      <c r="Z4" s="157"/>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33" t="s">
        <v>166</v>
      </c>
      <c r="C6" s="234"/>
      <c r="D6" s="234"/>
      <c r="E6" s="234"/>
      <c r="F6" s="234"/>
      <c r="G6" s="234"/>
      <c r="H6" s="234"/>
      <c r="I6" s="234"/>
      <c r="J6" s="234"/>
      <c r="K6" s="234"/>
      <c r="L6" s="234"/>
      <c r="M6" s="234"/>
      <c r="N6" s="234"/>
      <c r="O6" s="234"/>
      <c r="P6" s="234"/>
      <c r="Q6" s="234"/>
      <c r="R6" s="234"/>
      <c r="S6" s="234"/>
      <c r="T6" s="234"/>
      <c r="U6" s="234"/>
      <c r="V6" s="234"/>
      <c r="W6" s="234"/>
      <c r="X6" s="234"/>
      <c r="Y6" s="234"/>
      <c r="Z6" s="235"/>
    </row>
    <row r="7" spans="1:26" ht="18" customHeight="1">
      <c r="B7" s="236"/>
      <c r="C7" s="237"/>
      <c r="D7" s="237"/>
      <c r="E7" s="237"/>
      <c r="F7" s="237"/>
      <c r="G7" s="237"/>
      <c r="H7" s="237"/>
      <c r="I7" s="237"/>
      <c r="J7" s="237"/>
      <c r="K7" s="237"/>
      <c r="L7" s="237"/>
      <c r="M7" s="237"/>
      <c r="N7" s="237"/>
      <c r="O7" s="237"/>
      <c r="P7" s="237"/>
      <c r="Q7" s="237"/>
      <c r="R7" s="237"/>
      <c r="S7" s="237"/>
      <c r="T7" s="237"/>
      <c r="U7" s="237"/>
      <c r="V7" s="237"/>
      <c r="W7" s="237"/>
      <c r="X7" s="237"/>
      <c r="Y7" s="237"/>
      <c r="Z7" s="238"/>
    </row>
    <row r="8" spans="1:26" ht="18" customHeight="1">
      <c r="B8" s="236"/>
      <c r="C8" s="237"/>
      <c r="D8" s="237"/>
      <c r="E8" s="237"/>
      <c r="F8" s="237"/>
      <c r="G8" s="237"/>
      <c r="H8" s="237"/>
      <c r="I8" s="237"/>
      <c r="J8" s="237"/>
      <c r="K8" s="237"/>
      <c r="L8" s="237"/>
      <c r="M8" s="237"/>
      <c r="N8" s="237"/>
      <c r="O8" s="237"/>
      <c r="P8" s="237"/>
      <c r="Q8" s="237"/>
      <c r="R8" s="237"/>
      <c r="S8" s="237"/>
      <c r="T8" s="237"/>
      <c r="U8" s="237"/>
      <c r="V8" s="237"/>
      <c r="W8" s="237"/>
      <c r="X8" s="237"/>
      <c r="Y8" s="237"/>
      <c r="Z8" s="238"/>
    </row>
    <row r="9" spans="1:26" ht="18" customHeight="1">
      <c r="B9" s="236"/>
      <c r="C9" s="237"/>
      <c r="D9" s="237"/>
      <c r="E9" s="237"/>
      <c r="F9" s="237"/>
      <c r="G9" s="237"/>
      <c r="H9" s="237"/>
      <c r="I9" s="237"/>
      <c r="J9" s="237"/>
      <c r="K9" s="237"/>
      <c r="L9" s="237"/>
      <c r="M9" s="237"/>
      <c r="N9" s="237"/>
      <c r="O9" s="237"/>
      <c r="P9" s="237"/>
      <c r="Q9" s="237"/>
      <c r="R9" s="237"/>
      <c r="S9" s="237"/>
      <c r="T9" s="237"/>
      <c r="U9" s="237"/>
      <c r="V9" s="237"/>
      <c r="W9" s="237"/>
      <c r="X9" s="237"/>
      <c r="Y9" s="237"/>
      <c r="Z9" s="238"/>
    </row>
    <row r="10" spans="1:26" ht="18" customHeight="1">
      <c r="B10" s="236"/>
      <c r="C10" s="239"/>
      <c r="D10" s="239"/>
      <c r="E10" s="239"/>
      <c r="F10" s="239"/>
      <c r="G10" s="239"/>
      <c r="H10" s="239"/>
      <c r="I10" s="239"/>
      <c r="J10" s="239"/>
      <c r="K10" s="239"/>
      <c r="L10" s="239"/>
      <c r="M10" s="239"/>
      <c r="N10" s="239"/>
      <c r="O10" s="239"/>
      <c r="P10" s="239"/>
      <c r="Q10" s="239"/>
      <c r="R10" s="239"/>
      <c r="S10" s="239"/>
      <c r="T10" s="239"/>
      <c r="U10" s="239"/>
      <c r="V10" s="239"/>
      <c r="W10" s="239"/>
      <c r="X10" s="239"/>
      <c r="Y10" s="239"/>
      <c r="Z10" s="238"/>
    </row>
    <row r="11" spans="1:26" ht="18" customHeight="1">
      <c r="B11" s="240"/>
      <c r="C11" s="241"/>
      <c r="D11" s="241"/>
      <c r="E11" s="241"/>
      <c r="F11" s="241"/>
      <c r="G11" s="241"/>
      <c r="H11" s="241"/>
      <c r="I11" s="241"/>
      <c r="J11" s="241"/>
      <c r="K11" s="241"/>
      <c r="L11" s="241"/>
      <c r="M11" s="241"/>
      <c r="N11" s="241"/>
      <c r="O11" s="241"/>
      <c r="P11" s="241"/>
      <c r="Q11" s="241"/>
      <c r="R11" s="241"/>
      <c r="S11" s="241"/>
      <c r="T11" s="241"/>
      <c r="U11" s="241"/>
      <c r="V11" s="241"/>
      <c r="W11" s="241"/>
      <c r="X11" s="241"/>
      <c r="Y11" s="241"/>
      <c r="Z11" s="242"/>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187" t="s">
        <v>125</v>
      </c>
      <c r="B13" s="187"/>
      <c r="C13" s="187"/>
      <c r="D13" s="187"/>
      <c r="E13" s="187"/>
      <c r="F13" s="187"/>
      <c r="G13" s="187"/>
      <c r="H13" s="187"/>
      <c r="I13" s="187"/>
      <c r="J13" s="187"/>
      <c r="K13" s="187"/>
      <c r="L13" s="187"/>
      <c r="M13" s="187"/>
      <c r="N13" s="187"/>
      <c r="O13" s="187"/>
      <c r="P13" s="187"/>
      <c r="Q13" s="187"/>
      <c r="R13" s="187"/>
      <c r="S13" s="187"/>
      <c r="T13" s="187"/>
      <c r="U13" s="187"/>
      <c r="V13" s="187"/>
      <c r="W13" s="187"/>
      <c r="X13" s="187"/>
      <c r="Y13" s="187"/>
      <c r="Z13" s="187"/>
    </row>
    <row r="14" spans="1:26" ht="18" customHeight="1">
      <c r="A14" s="187"/>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row>
    <row r="15" spans="1:26" ht="18" customHeight="1">
      <c r="A15" s="14"/>
      <c r="B15" s="155" t="s">
        <v>100</v>
      </c>
      <c r="C15" s="156"/>
      <c r="D15" s="156"/>
      <c r="E15" s="156"/>
      <c r="F15" s="157"/>
      <c r="G15" s="30" t="s">
        <v>141</v>
      </c>
      <c r="H15" s="111" t="s">
        <v>140</v>
      </c>
      <c r="I15" s="156" t="s">
        <v>101</v>
      </c>
      <c r="J15" s="156"/>
      <c r="K15" s="156"/>
      <c r="L15" s="75" t="s">
        <v>104</v>
      </c>
      <c r="M15" s="75" t="s">
        <v>107</v>
      </c>
      <c r="N15" s="155" t="s">
        <v>100</v>
      </c>
      <c r="O15" s="156"/>
      <c r="P15" s="156"/>
      <c r="Q15" s="156"/>
      <c r="R15" s="156"/>
      <c r="S15" s="157"/>
      <c r="T15" s="30" t="s">
        <v>141</v>
      </c>
      <c r="U15" s="111" t="s">
        <v>140</v>
      </c>
      <c r="V15" s="156" t="s">
        <v>101</v>
      </c>
      <c r="W15" s="156"/>
      <c r="X15" s="156"/>
      <c r="Y15" s="75" t="s">
        <v>104</v>
      </c>
      <c r="Z15" s="75" t="s">
        <v>107</v>
      </c>
    </row>
    <row r="16" spans="1:26" ht="18" customHeight="1">
      <c r="A16" s="14"/>
      <c r="B16" s="191" t="s">
        <v>167</v>
      </c>
      <c r="C16" s="192"/>
      <c r="D16" s="192"/>
      <c r="E16" s="192"/>
      <c r="F16" s="193"/>
      <c r="G16" s="112">
        <v>2</v>
      </c>
      <c r="H16" s="112" t="s">
        <v>168</v>
      </c>
      <c r="I16" s="181" t="s">
        <v>169</v>
      </c>
      <c r="J16" s="182"/>
      <c r="K16" s="183"/>
      <c r="L16" s="112" t="s">
        <v>168</v>
      </c>
      <c r="M16" s="112" t="s">
        <v>168</v>
      </c>
      <c r="N16" s="222"/>
      <c r="O16" s="223"/>
      <c r="P16" s="223"/>
      <c r="Q16" s="223"/>
      <c r="R16" s="223"/>
      <c r="S16" s="224"/>
      <c r="T16" s="112"/>
      <c r="U16" s="112"/>
      <c r="V16" s="181"/>
      <c r="W16" s="182"/>
      <c r="X16" s="183"/>
      <c r="Y16" s="112"/>
      <c r="Z16" s="112"/>
    </row>
    <row r="17" spans="1:26" ht="18" customHeight="1">
      <c r="A17" s="14"/>
      <c r="B17" s="194"/>
      <c r="C17" s="195"/>
      <c r="D17" s="195"/>
      <c r="E17" s="195"/>
      <c r="F17" s="196"/>
      <c r="G17" s="113"/>
      <c r="H17" s="113"/>
      <c r="I17" s="178"/>
      <c r="J17" s="179"/>
      <c r="K17" s="180"/>
      <c r="L17" s="113"/>
      <c r="M17" s="113"/>
      <c r="N17" s="164"/>
      <c r="O17" s="165"/>
      <c r="P17" s="165"/>
      <c r="Q17" s="165"/>
      <c r="R17" s="165"/>
      <c r="S17" s="166"/>
      <c r="T17" s="113"/>
      <c r="U17" s="113"/>
      <c r="V17" s="178"/>
      <c r="W17" s="179"/>
      <c r="X17" s="180"/>
      <c r="Y17" s="113"/>
      <c r="Z17" s="113"/>
    </row>
    <row r="18" spans="1:26" ht="18" customHeight="1">
      <c r="A18" s="14"/>
      <c r="B18" s="194"/>
      <c r="C18" s="195"/>
      <c r="D18" s="195"/>
      <c r="E18" s="195"/>
      <c r="F18" s="196"/>
      <c r="G18" s="113"/>
      <c r="H18" s="113"/>
      <c r="I18" s="178"/>
      <c r="J18" s="179"/>
      <c r="K18" s="180"/>
      <c r="L18" s="113"/>
      <c r="M18" s="113"/>
      <c r="N18" s="164"/>
      <c r="O18" s="165"/>
      <c r="P18" s="165"/>
      <c r="Q18" s="165"/>
      <c r="R18" s="165"/>
      <c r="S18" s="166"/>
      <c r="T18" s="113"/>
      <c r="U18" s="113"/>
      <c r="V18" s="178"/>
      <c r="W18" s="179"/>
      <c r="X18" s="180"/>
      <c r="Y18" s="113"/>
      <c r="Z18" s="113"/>
    </row>
    <row r="19" spans="1:26" ht="18" customHeight="1">
      <c r="A19" s="14"/>
      <c r="B19" s="194"/>
      <c r="C19" s="195"/>
      <c r="D19" s="195"/>
      <c r="E19" s="195"/>
      <c r="F19" s="196"/>
      <c r="G19" s="113"/>
      <c r="H19" s="113"/>
      <c r="I19" s="178"/>
      <c r="J19" s="179"/>
      <c r="K19" s="180"/>
      <c r="L19" s="113"/>
      <c r="M19" s="113"/>
      <c r="N19" s="164"/>
      <c r="O19" s="165"/>
      <c r="P19" s="165"/>
      <c r="Q19" s="165"/>
      <c r="R19" s="165"/>
      <c r="S19" s="166"/>
      <c r="T19" s="113"/>
      <c r="U19" s="113"/>
      <c r="V19" s="178"/>
      <c r="W19" s="179"/>
      <c r="X19" s="180"/>
      <c r="Y19" s="113"/>
      <c r="Z19" s="113"/>
    </row>
    <row r="20" spans="1:26" ht="18" customHeight="1">
      <c r="A20" s="14"/>
      <c r="B20" s="194"/>
      <c r="C20" s="195"/>
      <c r="D20" s="195"/>
      <c r="E20" s="195"/>
      <c r="F20" s="196"/>
      <c r="G20" s="113"/>
      <c r="H20" s="113"/>
      <c r="I20" s="178"/>
      <c r="J20" s="179"/>
      <c r="K20" s="180"/>
      <c r="L20" s="113"/>
      <c r="M20" s="113"/>
      <c r="N20" s="164"/>
      <c r="O20" s="165"/>
      <c r="P20" s="165"/>
      <c r="Q20" s="165"/>
      <c r="R20" s="165"/>
      <c r="S20" s="166"/>
      <c r="T20" s="113"/>
      <c r="U20" s="113"/>
      <c r="V20" s="178"/>
      <c r="W20" s="179"/>
      <c r="X20" s="180"/>
      <c r="Y20" s="113"/>
      <c r="Z20" s="113"/>
    </row>
    <row r="21" spans="1:26" ht="18" customHeight="1">
      <c r="A21" s="29"/>
      <c r="B21" s="194"/>
      <c r="C21" s="195"/>
      <c r="D21" s="195"/>
      <c r="E21" s="195"/>
      <c r="F21" s="196"/>
      <c r="G21" s="113"/>
      <c r="H21" s="113"/>
      <c r="I21" s="178"/>
      <c r="J21" s="179"/>
      <c r="K21" s="180"/>
      <c r="L21" s="113"/>
      <c r="M21" s="113"/>
      <c r="N21" s="164"/>
      <c r="O21" s="165"/>
      <c r="P21" s="165"/>
      <c r="Q21" s="165"/>
      <c r="R21" s="165"/>
      <c r="S21" s="166"/>
      <c r="T21" s="113"/>
      <c r="U21" s="113"/>
      <c r="V21" s="178"/>
      <c r="W21" s="179"/>
      <c r="X21" s="180"/>
      <c r="Y21" s="113"/>
      <c r="Z21" s="113"/>
    </row>
    <row r="22" spans="1:26" ht="18" customHeight="1">
      <c r="A22" s="29"/>
      <c r="B22" s="243"/>
      <c r="C22" s="244"/>
      <c r="D22" s="244"/>
      <c r="E22" s="244"/>
      <c r="F22" s="245"/>
      <c r="G22" s="114"/>
      <c r="H22" s="114"/>
      <c r="I22" s="184"/>
      <c r="J22" s="185"/>
      <c r="K22" s="186"/>
      <c r="L22" s="120"/>
      <c r="M22" s="120"/>
      <c r="N22" s="188"/>
      <c r="O22" s="189"/>
      <c r="P22" s="189"/>
      <c r="Q22" s="189"/>
      <c r="R22" s="189"/>
      <c r="S22" s="190"/>
      <c r="T22" s="114"/>
      <c r="U22" s="114"/>
      <c r="V22" s="184"/>
      <c r="W22" s="185"/>
      <c r="X22" s="186"/>
      <c r="Y22" s="120"/>
      <c r="Z22" s="120"/>
    </row>
    <row r="23" spans="1:26" ht="7.5" customHeight="1">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c r="A24" s="187" t="s">
        <v>126</v>
      </c>
      <c r="B24" s="187"/>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row>
    <row r="25" spans="1:26" ht="18" customHeight="1">
      <c r="A25" s="187"/>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row>
    <row r="26" spans="1:26" ht="18" customHeight="1">
      <c r="A26" s="14"/>
      <c r="B26" s="155" t="s">
        <v>100</v>
      </c>
      <c r="C26" s="156"/>
      <c r="D26" s="156"/>
      <c r="E26" s="156"/>
      <c r="F26" s="157"/>
      <c r="G26" s="30" t="s">
        <v>141</v>
      </c>
      <c r="H26" s="111" t="s">
        <v>140</v>
      </c>
      <c r="I26" s="156" t="s">
        <v>101</v>
      </c>
      <c r="J26" s="156"/>
      <c r="K26" s="156"/>
      <c r="L26" s="75" t="s">
        <v>127</v>
      </c>
      <c r="M26" s="75" t="s">
        <v>128</v>
      </c>
      <c r="N26" s="155" t="s">
        <v>100</v>
      </c>
      <c r="O26" s="156"/>
      <c r="P26" s="156"/>
      <c r="Q26" s="156"/>
      <c r="R26" s="156"/>
      <c r="S26" s="157"/>
      <c r="T26" s="30" t="s">
        <v>141</v>
      </c>
      <c r="U26" s="111" t="s">
        <v>140</v>
      </c>
      <c r="V26" s="156" t="s">
        <v>101</v>
      </c>
      <c r="W26" s="156"/>
      <c r="X26" s="156"/>
      <c r="Y26" s="75" t="s">
        <v>127</v>
      </c>
      <c r="Z26" s="75" t="s">
        <v>128</v>
      </c>
    </row>
    <row r="27" spans="1:26" ht="18" customHeight="1">
      <c r="A27" s="14"/>
      <c r="B27" s="191" t="s">
        <v>167</v>
      </c>
      <c r="C27" s="192"/>
      <c r="D27" s="192"/>
      <c r="E27" s="192"/>
      <c r="F27" s="193"/>
      <c r="G27" s="112">
        <v>2</v>
      </c>
      <c r="H27" s="112" t="s">
        <v>168</v>
      </c>
      <c r="I27" s="181" t="s">
        <v>169</v>
      </c>
      <c r="J27" s="182"/>
      <c r="K27" s="183"/>
      <c r="L27" s="112" t="s">
        <v>168</v>
      </c>
      <c r="M27" s="112" t="s">
        <v>168</v>
      </c>
      <c r="N27" s="222"/>
      <c r="O27" s="223"/>
      <c r="P27" s="223"/>
      <c r="Q27" s="223"/>
      <c r="R27" s="223"/>
      <c r="S27" s="224"/>
      <c r="T27" s="112"/>
      <c r="U27" s="112"/>
      <c r="V27" s="181"/>
      <c r="W27" s="182"/>
      <c r="X27" s="183"/>
      <c r="Y27" s="112"/>
      <c r="Z27" s="112"/>
    </row>
    <row r="28" spans="1:26" ht="18" customHeight="1">
      <c r="A28" s="14"/>
      <c r="B28" s="194"/>
      <c r="C28" s="195"/>
      <c r="D28" s="195"/>
      <c r="E28" s="195"/>
      <c r="F28" s="196"/>
      <c r="G28" s="113"/>
      <c r="H28" s="113"/>
      <c r="I28" s="178"/>
      <c r="J28" s="179"/>
      <c r="K28" s="180"/>
      <c r="L28" s="113"/>
      <c r="M28" s="113"/>
      <c r="N28" s="164"/>
      <c r="O28" s="165"/>
      <c r="P28" s="165"/>
      <c r="Q28" s="165"/>
      <c r="R28" s="165"/>
      <c r="S28" s="166"/>
      <c r="T28" s="113"/>
      <c r="U28" s="113"/>
      <c r="V28" s="178"/>
      <c r="W28" s="179"/>
      <c r="X28" s="180"/>
      <c r="Y28" s="113"/>
      <c r="Z28" s="113"/>
    </row>
    <row r="29" spans="1:26" ht="18" customHeight="1">
      <c r="A29" s="14"/>
      <c r="B29" s="194"/>
      <c r="C29" s="195"/>
      <c r="D29" s="195"/>
      <c r="E29" s="195"/>
      <c r="F29" s="196"/>
      <c r="G29" s="113"/>
      <c r="H29" s="113"/>
      <c r="I29" s="178"/>
      <c r="J29" s="179"/>
      <c r="K29" s="180"/>
      <c r="L29" s="113"/>
      <c r="M29" s="113"/>
      <c r="N29" s="164"/>
      <c r="O29" s="165"/>
      <c r="P29" s="165"/>
      <c r="Q29" s="165"/>
      <c r="R29" s="165"/>
      <c r="S29" s="166"/>
      <c r="T29" s="113"/>
      <c r="U29" s="113"/>
      <c r="V29" s="178"/>
      <c r="W29" s="179"/>
      <c r="X29" s="180"/>
      <c r="Y29" s="113"/>
      <c r="Z29" s="113"/>
    </row>
    <row r="30" spans="1:26" ht="18" customHeight="1">
      <c r="A30" s="14"/>
      <c r="B30" s="194"/>
      <c r="C30" s="195"/>
      <c r="D30" s="195"/>
      <c r="E30" s="195"/>
      <c r="F30" s="196"/>
      <c r="G30" s="113"/>
      <c r="H30" s="113"/>
      <c r="I30" s="178"/>
      <c r="J30" s="179"/>
      <c r="K30" s="180"/>
      <c r="L30" s="113"/>
      <c r="M30" s="113"/>
      <c r="N30" s="164"/>
      <c r="O30" s="165"/>
      <c r="P30" s="165"/>
      <c r="Q30" s="165"/>
      <c r="R30" s="165"/>
      <c r="S30" s="166"/>
      <c r="T30" s="113"/>
      <c r="U30" s="113"/>
      <c r="V30" s="178"/>
      <c r="W30" s="179"/>
      <c r="X30" s="180"/>
      <c r="Y30" s="113"/>
      <c r="Z30" s="113"/>
    </row>
    <row r="31" spans="1:26" ht="18" customHeight="1">
      <c r="A31" s="14"/>
      <c r="B31" s="194"/>
      <c r="C31" s="195"/>
      <c r="D31" s="195"/>
      <c r="E31" s="195"/>
      <c r="F31" s="196"/>
      <c r="G31" s="113"/>
      <c r="H31" s="113"/>
      <c r="I31" s="178"/>
      <c r="J31" s="179"/>
      <c r="K31" s="180"/>
      <c r="L31" s="113"/>
      <c r="M31" s="113"/>
      <c r="N31" s="164"/>
      <c r="O31" s="165"/>
      <c r="P31" s="165"/>
      <c r="Q31" s="165"/>
      <c r="R31" s="165"/>
      <c r="S31" s="166"/>
      <c r="T31" s="113"/>
      <c r="U31" s="113"/>
      <c r="V31" s="178"/>
      <c r="W31" s="179"/>
      <c r="X31" s="180"/>
      <c r="Y31" s="113"/>
      <c r="Z31" s="113"/>
    </row>
    <row r="32" spans="1:26" ht="18" customHeight="1">
      <c r="A32" s="14"/>
      <c r="B32" s="194"/>
      <c r="C32" s="195"/>
      <c r="D32" s="195"/>
      <c r="E32" s="195"/>
      <c r="F32" s="196"/>
      <c r="G32" s="113"/>
      <c r="H32" s="113"/>
      <c r="I32" s="178"/>
      <c r="J32" s="179"/>
      <c r="K32" s="180"/>
      <c r="L32" s="113"/>
      <c r="M32" s="113"/>
      <c r="N32" s="164"/>
      <c r="O32" s="165"/>
      <c r="P32" s="165"/>
      <c r="Q32" s="165"/>
      <c r="R32" s="165"/>
      <c r="S32" s="166"/>
      <c r="T32" s="113"/>
      <c r="U32" s="113"/>
      <c r="V32" s="178"/>
      <c r="W32" s="179"/>
      <c r="X32" s="180"/>
      <c r="Y32" s="113"/>
      <c r="Z32" s="113"/>
    </row>
    <row r="33" spans="1:26" ht="18" customHeight="1">
      <c r="A33" s="14"/>
      <c r="B33" s="243"/>
      <c r="C33" s="244"/>
      <c r="D33" s="244"/>
      <c r="E33" s="244"/>
      <c r="F33" s="245"/>
      <c r="G33" s="114"/>
      <c r="H33" s="114"/>
      <c r="I33" s="184"/>
      <c r="J33" s="185"/>
      <c r="K33" s="186"/>
      <c r="L33" s="120"/>
      <c r="M33" s="120"/>
      <c r="N33" s="188"/>
      <c r="O33" s="189"/>
      <c r="P33" s="189"/>
      <c r="Q33" s="189"/>
      <c r="R33" s="189"/>
      <c r="S33" s="190"/>
      <c r="T33" s="114"/>
      <c r="U33" s="114"/>
      <c r="V33" s="184"/>
      <c r="W33" s="185"/>
      <c r="X33" s="186"/>
      <c r="Y33" s="120"/>
      <c r="Z33" s="120"/>
    </row>
    <row r="34" spans="1:26" ht="7.5" customHeight="1">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c r="A35" s="187" t="s">
        <v>129</v>
      </c>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row>
    <row r="36" spans="1:26" ht="18" customHeight="1">
      <c r="A36" s="187"/>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row>
    <row r="37" spans="1:26" ht="18" customHeight="1">
      <c r="A37" s="14"/>
      <c r="B37" s="155" t="s">
        <v>100</v>
      </c>
      <c r="C37" s="156"/>
      <c r="D37" s="156"/>
      <c r="E37" s="156"/>
      <c r="F37" s="157"/>
      <c r="G37" s="30" t="s">
        <v>141</v>
      </c>
      <c r="H37" s="111" t="s">
        <v>140</v>
      </c>
      <c r="I37" s="155" t="s">
        <v>101</v>
      </c>
      <c r="J37" s="156"/>
      <c r="K37" s="157"/>
      <c r="L37" s="75" t="s">
        <v>130</v>
      </c>
      <c r="M37" s="75" t="s">
        <v>131</v>
      </c>
      <c r="N37" s="155" t="s">
        <v>100</v>
      </c>
      <c r="O37" s="156"/>
      <c r="P37" s="156"/>
      <c r="Q37" s="156"/>
      <c r="R37" s="156"/>
      <c r="S37" s="157"/>
      <c r="T37" s="30" t="s">
        <v>141</v>
      </c>
      <c r="U37" s="111" t="s">
        <v>140</v>
      </c>
      <c r="V37" s="155" t="s">
        <v>101</v>
      </c>
      <c r="W37" s="156"/>
      <c r="X37" s="157"/>
      <c r="Y37" s="75" t="s">
        <v>130</v>
      </c>
      <c r="Z37" s="75" t="s">
        <v>131</v>
      </c>
    </row>
    <row r="38" spans="1:26" ht="18" customHeight="1">
      <c r="A38" s="29"/>
      <c r="B38" s="191" t="s">
        <v>167</v>
      </c>
      <c r="C38" s="192"/>
      <c r="D38" s="192"/>
      <c r="E38" s="192"/>
      <c r="F38" s="193"/>
      <c r="G38" s="112">
        <v>2</v>
      </c>
      <c r="H38" s="112" t="s">
        <v>168</v>
      </c>
      <c r="I38" s="181" t="s">
        <v>169</v>
      </c>
      <c r="J38" s="182"/>
      <c r="K38" s="183"/>
      <c r="L38" s="112" t="s">
        <v>168</v>
      </c>
      <c r="M38" s="112" t="s">
        <v>168</v>
      </c>
      <c r="N38" s="222"/>
      <c r="O38" s="223"/>
      <c r="P38" s="223"/>
      <c r="Q38" s="223"/>
      <c r="R38" s="223"/>
      <c r="S38" s="224"/>
      <c r="T38" s="112"/>
      <c r="U38" s="112"/>
      <c r="V38" s="181"/>
      <c r="W38" s="182"/>
      <c r="X38" s="183"/>
      <c r="Y38" s="112"/>
      <c r="Z38" s="112"/>
    </row>
    <row r="39" spans="1:26" ht="18" customHeight="1">
      <c r="A39" s="29"/>
      <c r="B39" s="194"/>
      <c r="C39" s="195"/>
      <c r="D39" s="195"/>
      <c r="E39" s="195"/>
      <c r="F39" s="196"/>
      <c r="G39" s="113"/>
      <c r="H39" s="113"/>
      <c r="I39" s="178"/>
      <c r="J39" s="179"/>
      <c r="K39" s="180"/>
      <c r="L39" s="113"/>
      <c r="M39" s="113"/>
      <c r="N39" s="164"/>
      <c r="O39" s="165"/>
      <c r="P39" s="165"/>
      <c r="Q39" s="165"/>
      <c r="R39" s="165"/>
      <c r="S39" s="166"/>
      <c r="T39" s="113"/>
      <c r="U39" s="113"/>
      <c r="V39" s="178"/>
      <c r="W39" s="179"/>
      <c r="X39" s="180"/>
      <c r="Y39" s="113"/>
      <c r="Z39" s="113"/>
    </row>
    <row r="40" spans="1:26" ht="18" customHeight="1">
      <c r="A40" s="29"/>
      <c r="B40" s="194"/>
      <c r="C40" s="195"/>
      <c r="D40" s="195"/>
      <c r="E40" s="195"/>
      <c r="F40" s="196"/>
      <c r="G40" s="113"/>
      <c r="H40" s="113"/>
      <c r="I40" s="178"/>
      <c r="J40" s="179"/>
      <c r="K40" s="180"/>
      <c r="L40" s="113"/>
      <c r="M40" s="113"/>
      <c r="N40" s="164"/>
      <c r="O40" s="165"/>
      <c r="P40" s="165"/>
      <c r="Q40" s="165"/>
      <c r="R40" s="165"/>
      <c r="S40" s="166"/>
      <c r="T40" s="113"/>
      <c r="U40" s="113"/>
      <c r="V40" s="178"/>
      <c r="W40" s="179"/>
      <c r="X40" s="180"/>
      <c r="Y40" s="113"/>
      <c r="Z40" s="113"/>
    </row>
    <row r="41" spans="1:26" ht="18" customHeight="1">
      <c r="A41" s="29"/>
      <c r="B41" s="194"/>
      <c r="C41" s="195"/>
      <c r="D41" s="195"/>
      <c r="E41" s="195"/>
      <c r="F41" s="196"/>
      <c r="G41" s="113"/>
      <c r="H41" s="113"/>
      <c r="I41" s="178"/>
      <c r="J41" s="179"/>
      <c r="K41" s="180"/>
      <c r="L41" s="113"/>
      <c r="M41" s="113"/>
      <c r="N41" s="164"/>
      <c r="O41" s="165"/>
      <c r="P41" s="165"/>
      <c r="Q41" s="165"/>
      <c r="R41" s="165"/>
      <c r="S41" s="166"/>
      <c r="T41" s="113"/>
      <c r="U41" s="113"/>
      <c r="V41" s="178"/>
      <c r="W41" s="179"/>
      <c r="X41" s="180"/>
      <c r="Y41" s="113"/>
      <c r="Z41" s="113"/>
    </row>
    <row r="42" spans="1:26" ht="18" customHeight="1">
      <c r="A42" s="29"/>
      <c r="B42" s="194"/>
      <c r="C42" s="195"/>
      <c r="D42" s="195"/>
      <c r="E42" s="195"/>
      <c r="F42" s="196"/>
      <c r="G42" s="113"/>
      <c r="H42" s="113"/>
      <c r="I42" s="178"/>
      <c r="J42" s="179"/>
      <c r="K42" s="180"/>
      <c r="L42" s="113"/>
      <c r="M42" s="113"/>
      <c r="N42" s="164"/>
      <c r="O42" s="165"/>
      <c r="P42" s="165"/>
      <c r="Q42" s="165"/>
      <c r="R42" s="165"/>
      <c r="S42" s="166"/>
      <c r="T42" s="113"/>
      <c r="U42" s="113"/>
      <c r="V42" s="178"/>
      <c r="W42" s="179"/>
      <c r="X42" s="180"/>
      <c r="Y42" s="113"/>
      <c r="Z42" s="113"/>
    </row>
    <row r="43" spans="1:26" ht="18" customHeight="1">
      <c r="A43" s="29"/>
      <c r="B43" s="194"/>
      <c r="C43" s="195"/>
      <c r="D43" s="195"/>
      <c r="E43" s="195"/>
      <c r="F43" s="196"/>
      <c r="G43" s="113"/>
      <c r="H43" s="113"/>
      <c r="I43" s="178"/>
      <c r="J43" s="179"/>
      <c r="K43" s="180"/>
      <c r="L43" s="113"/>
      <c r="M43" s="113"/>
      <c r="N43" s="164"/>
      <c r="O43" s="165"/>
      <c r="P43" s="165"/>
      <c r="Q43" s="165"/>
      <c r="R43" s="165"/>
      <c r="S43" s="166"/>
      <c r="T43" s="113"/>
      <c r="U43" s="113"/>
      <c r="V43" s="178"/>
      <c r="W43" s="179"/>
      <c r="X43" s="180"/>
      <c r="Y43" s="113"/>
      <c r="Z43" s="113"/>
    </row>
    <row r="44" spans="1:26" ht="18" customHeight="1">
      <c r="A44" s="29"/>
      <c r="B44" s="243"/>
      <c r="C44" s="244"/>
      <c r="D44" s="244"/>
      <c r="E44" s="244"/>
      <c r="F44" s="245"/>
      <c r="G44" s="114"/>
      <c r="H44" s="114"/>
      <c r="I44" s="184"/>
      <c r="J44" s="185"/>
      <c r="K44" s="186"/>
      <c r="L44" s="120"/>
      <c r="M44" s="120"/>
      <c r="N44" s="188"/>
      <c r="O44" s="189"/>
      <c r="P44" s="189"/>
      <c r="Q44" s="189"/>
      <c r="R44" s="189"/>
      <c r="S44" s="190"/>
      <c r="T44" s="114"/>
      <c r="U44" s="114"/>
      <c r="V44" s="184"/>
      <c r="W44" s="185"/>
      <c r="X44" s="186"/>
      <c r="Y44" s="120"/>
      <c r="Z44" s="120"/>
    </row>
    <row r="45" spans="1:26" ht="7.5" customHeight="1">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c r="A46" s="187" t="s">
        <v>132</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row>
    <row r="47" spans="1:26" ht="18" customHeight="1">
      <c r="A47" s="187"/>
      <c r="B47" s="18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row>
    <row r="48" spans="1:26" ht="18" customHeight="1">
      <c r="A48" s="14"/>
      <c r="B48" s="155" t="s">
        <v>100</v>
      </c>
      <c r="C48" s="156"/>
      <c r="D48" s="156"/>
      <c r="E48" s="156"/>
      <c r="F48" s="157"/>
      <c r="G48" s="30" t="s">
        <v>141</v>
      </c>
      <c r="H48" s="111" t="s">
        <v>140</v>
      </c>
      <c r="I48" s="155" t="s">
        <v>101</v>
      </c>
      <c r="J48" s="156"/>
      <c r="K48" s="157"/>
      <c r="L48" s="75" t="s">
        <v>106</v>
      </c>
      <c r="M48" s="75" t="s">
        <v>108</v>
      </c>
      <c r="N48" s="155" t="s">
        <v>100</v>
      </c>
      <c r="O48" s="156"/>
      <c r="P48" s="156"/>
      <c r="Q48" s="156"/>
      <c r="R48" s="156"/>
      <c r="S48" s="157"/>
      <c r="T48" s="30" t="s">
        <v>141</v>
      </c>
      <c r="U48" s="111" t="s">
        <v>140</v>
      </c>
      <c r="V48" s="155" t="s">
        <v>101</v>
      </c>
      <c r="W48" s="156"/>
      <c r="X48" s="157"/>
      <c r="Y48" s="75" t="s">
        <v>106</v>
      </c>
      <c r="Z48" s="75" t="s">
        <v>108</v>
      </c>
    </row>
    <row r="49" spans="1:26" ht="18" customHeight="1">
      <c r="A49" s="29"/>
      <c r="B49" s="191" t="s">
        <v>167</v>
      </c>
      <c r="C49" s="192"/>
      <c r="D49" s="192"/>
      <c r="E49" s="192"/>
      <c r="F49" s="193"/>
      <c r="G49" s="112">
        <v>2</v>
      </c>
      <c r="H49" s="112" t="s">
        <v>168</v>
      </c>
      <c r="I49" s="181" t="s">
        <v>169</v>
      </c>
      <c r="J49" s="182"/>
      <c r="K49" s="183"/>
      <c r="L49" s="112" t="s">
        <v>168</v>
      </c>
      <c r="M49" s="112" t="s">
        <v>168</v>
      </c>
      <c r="N49" s="222"/>
      <c r="O49" s="223"/>
      <c r="P49" s="223"/>
      <c r="Q49" s="223"/>
      <c r="R49" s="223"/>
      <c r="S49" s="224"/>
      <c r="T49" s="112"/>
      <c r="U49" s="112"/>
      <c r="V49" s="181"/>
      <c r="W49" s="182"/>
      <c r="X49" s="183"/>
      <c r="Y49" s="112"/>
      <c r="Z49" s="112"/>
    </row>
    <row r="50" spans="1:26" ht="18" customHeight="1">
      <c r="A50" s="29"/>
      <c r="B50" s="194"/>
      <c r="C50" s="195"/>
      <c r="D50" s="195"/>
      <c r="E50" s="195"/>
      <c r="F50" s="196"/>
      <c r="G50" s="113"/>
      <c r="H50" s="113"/>
      <c r="I50" s="178"/>
      <c r="J50" s="179"/>
      <c r="K50" s="180"/>
      <c r="L50" s="113"/>
      <c r="M50" s="113"/>
      <c r="N50" s="164"/>
      <c r="O50" s="165"/>
      <c r="P50" s="165"/>
      <c r="Q50" s="165"/>
      <c r="R50" s="165"/>
      <c r="S50" s="166"/>
      <c r="T50" s="113"/>
      <c r="U50" s="113"/>
      <c r="V50" s="178"/>
      <c r="W50" s="179"/>
      <c r="X50" s="180"/>
      <c r="Y50" s="113"/>
      <c r="Z50" s="113"/>
    </row>
    <row r="51" spans="1:26" ht="18" customHeight="1">
      <c r="A51" s="29"/>
      <c r="B51" s="194"/>
      <c r="C51" s="195"/>
      <c r="D51" s="195"/>
      <c r="E51" s="195"/>
      <c r="F51" s="196"/>
      <c r="G51" s="113"/>
      <c r="H51" s="113"/>
      <c r="I51" s="178"/>
      <c r="J51" s="179"/>
      <c r="K51" s="180"/>
      <c r="L51" s="113"/>
      <c r="M51" s="113"/>
      <c r="N51" s="164"/>
      <c r="O51" s="165"/>
      <c r="P51" s="165"/>
      <c r="Q51" s="165"/>
      <c r="R51" s="165"/>
      <c r="S51" s="166"/>
      <c r="T51" s="113"/>
      <c r="U51" s="113"/>
      <c r="V51" s="178"/>
      <c r="W51" s="179"/>
      <c r="X51" s="180"/>
      <c r="Y51" s="113"/>
      <c r="Z51" s="113"/>
    </row>
    <row r="52" spans="1:26" ht="18" customHeight="1">
      <c r="A52" s="29"/>
      <c r="B52" s="194"/>
      <c r="C52" s="195"/>
      <c r="D52" s="195"/>
      <c r="E52" s="195"/>
      <c r="F52" s="196"/>
      <c r="G52" s="113"/>
      <c r="H52" s="113"/>
      <c r="I52" s="178"/>
      <c r="J52" s="179"/>
      <c r="K52" s="180"/>
      <c r="L52" s="113"/>
      <c r="M52" s="113"/>
      <c r="N52" s="164"/>
      <c r="O52" s="165"/>
      <c r="P52" s="165"/>
      <c r="Q52" s="165"/>
      <c r="R52" s="165"/>
      <c r="S52" s="166"/>
      <c r="T52" s="113"/>
      <c r="U52" s="113"/>
      <c r="V52" s="178"/>
      <c r="W52" s="179"/>
      <c r="X52" s="180"/>
      <c r="Y52" s="113"/>
      <c r="Z52" s="113"/>
    </row>
    <row r="53" spans="1:26" ht="18" customHeight="1">
      <c r="A53" s="29"/>
      <c r="B53" s="194"/>
      <c r="C53" s="195"/>
      <c r="D53" s="195"/>
      <c r="E53" s="195"/>
      <c r="F53" s="196"/>
      <c r="G53" s="113"/>
      <c r="H53" s="113"/>
      <c r="I53" s="178"/>
      <c r="J53" s="179"/>
      <c r="K53" s="180"/>
      <c r="L53" s="113"/>
      <c r="M53" s="113"/>
      <c r="N53" s="164"/>
      <c r="O53" s="165"/>
      <c r="P53" s="165"/>
      <c r="Q53" s="165"/>
      <c r="R53" s="165"/>
      <c r="S53" s="166"/>
      <c r="T53" s="113"/>
      <c r="U53" s="113"/>
      <c r="V53" s="178"/>
      <c r="W53" s="179"/>
      <c r="X53" s="180"/>
      <c r="Y53" s="113"/>
      <c r="Z53" s="113"/>
    </row>
    <row r="54" spans="1:26" ht="18" customHeight="1">
      <c r="A54" s="29"/>
      <c r="B54" s="194"/>
      <c r="C54" s="195"/>
      <c r="D54" s="195"/>
      <c r="E54" s="195"/>
      <c r="F54" s="196"/>
      <c r="G54" s="113"/>
      <c r="H54" s="113"/>
      <c r="I54" s="178"/>
      <c r="J54" s="179"/>
      <c r="K54" s="180"/>
      <c r="L54" s="113"/>
      <c r="M54" s="113"/>
      <c r="N54" s="164"/>
      <c r="O54" s="165"/>
      <c r="P54" s="165"/>
      <c r="Q54" s="165"/>
      <c r="R54" s="165"/>
      <c r="S54" s="166"/>
      <c r="T54" s="113"/>
      <c r="U54" s="113"/>
      <c r="V54" s="178"/>
      <c r="W54" s="179"/>
      <c r="X54" s="180"/>
      <c r="Y54" s="113"/>
      <c r="Z54" s="113"/>
    </row>
    <row r="55" spans="1:26" ht="18" customHeight="1">
      <c r="A55" s="29"/>
      <c r="B55" s="243"/>
      <c r="C55" s="244"/>
      <c r="D55" s="244"/>
      <c r="E55" s="244"/>
      <c r="F55" s="245"/>
      <c r="G55" s="114"/>
      <c r="H55" s="114"/>
      <c r="I55" s="184"/>
      <c r="J55" s="185"/>
      <c r="K55" s="186"/>
      <c r="L55" s="120"/>
      <c r="M55" s="120"/>
      <c r="N55" s="188"/>
      <c r="O55" s="189"/>
      <c r="P55" s="189"/>
      <c r="Q55" s="189"/>
      <c r="R55" s="189"/>
      <c r="S55" s="190"/>
      <c r="T55" s="114"/>
      <c r="U55" s="114"/>
      <c r="V55" s="184"/>
      <c r="W55" s="185"/>
      <c r="X55" s="186"/>
      <c r="Y55" s="120"/>
      <c r="Z55" s="120"/>
    </row>
    <row r="56" spans="1:26" ht="7.5" customHeight="1">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c r="A57" s="187" t="s">
        <v>133</v>
      </c>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row>
    <row r="58" spans="1:26" ht="18" customHeight="1">
      <c r="A58" s="187"/>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row>
    <row r="59" spans="1:26" ht="18" customHeight="1">
      <c r="A59" s="14"/>
      <c r="B59" s="155" t="s">
        <v>100</v>
      </c>
      <c r="C59" s="156"/>
      <c r="D59" s="156"/>
      <c r="E59" s="157"/>
      <c r="F59" s="30" t="s">
        <v>141</v>
      </c>
      <c r="G59" s="111" t="s">
        <v>140</v>
      </c>
      <c r="H59" s="106" t="s">
        <v>101</v>
      </c>
      <c r="I59" s="107"/>
      <c r="J59" s="108"/>
      <c r="K59" s="75" t="s">
        <v>105</v>
      </c>
      <c r="L59" s="75" t="s">
        <v>134</v>
      </c>
      <c r="M59" s="75" t="s">
        <v>135</v>
      </c>
      <c r="N59" s="155" t="s">
        <v>100</v>
      </c>
      <c r="O59" s="156"/>
      <c r="P59" s="156"/>
      <c r="Q59" s="156"/>
      <c r="R59" s="157"/>
      <c r="S59" s="30" t="s">
        <v>141</v>
      </c>
      <c r="T59" s="111" t="s">
        <v>140</v>
      </c>
      <c r="U59" s="106" t="s">
        <v>101</v>
      </c>
      <c r="V59" s="107"/>
      <c r="W59" s="108"/>
      <c r="X59" s="75" t="s">
        <v>105</v>
      </c>
      <c r="Y59" s="75" t="s">
        <v>134</v>
      </c>
      <c r="Z59" s="75" t="s">
        <v>135</v>
      </c>
    </row>
    <row r="60" spans="1:26" ht="18" customHeight="1">
      <c r="A60" s="29"/>
      <c r="B60" s="222" t="s">
        <v>167</v>
      </c>
      <c r="C60" s="223"/>
      <c r="D60" s="223"/>
      <c r="E60" s="224"/>
      <c r="F60" s="112">
        <v>2</v>
      </c>
      <c r="G60" s="112" t="s">
        <v>168</v>
      </c>
      <c r="H60" s="181" t="s">
        <v>169</v>
      </c>
      <c r="I60" s="182"/>
      <c r="J60" s="183"/>
      <c r="K60" s="112" t="s">
        <v>168</v>
      </c>
      <c r="L60" s="112" t="s">
        <v>168</v>
      </c>
      <c r="M60" s="112" t="s">
        <v>168</v>
      </c>
      <c r="N60" s="222"/>
      <c r="O60" s="223"/>
      <c r="P60" s="223"/>
      <c r="Q60" s="223"/>
      <c r="R60" s="224"/>
      <c r="S60" s="112"/>
      <c r="T60" s="112"/>
      <c r="U60" s="181"/>
      <c r="V60" s="182"/>
      <c r="W60" s="183"/>
      <c r="X60" s="119"/>
      <c r="Y60" s="112"/>
      <c r="Z60" s="112"/>
    </row>
    <row r="61" spans="1:26" ht="18" customHeight="1">
      <c r="A61" s="29"/>
      <c r="B61" s="164" t="s">
        <v>170</v>
      </c>
      <c r="C61" s="165"/>
      <c r="D61" s="165"/>
      <c r="E61" s="166"/>
      <c r="F61" s="113">
        <v>2</v>
      </c>
      <c r="G61" s="113" t="s">
        <v>168</v>
      </c>
      <c r="H61" s="178" t="s">
        <v>171</v>
      </c>
      <c r="I61" s="179"/>
      <c r="J61" s="180"/>
      <c r="K61" s="124" t="s">
        <v>172</v>
      </c>
      <c r="L61" s="113" t="s">
        <v>168</v>
      </c>
      <c r="M61" s="113"/>
      <c r="N61" s="164"/>
      <c r="O61" s="165"/>
      <c r="P61" s="165"/>
      <c r="Q61" s="165"/>
      <c r="R61" s="166"/>
      <c r="S61" s="113"/>
      <c r="T61" s="113"/>
      <c r="U61" s="178"/>
      <c r="V61" s="179"/>
      <c r="W61" s="180"/>
      <c r="X61" s="117"/>
      <c r="Y61" s="113"/>
      <c r="Z61" s="113"/>
    </row>
    <row r="62" spans="1:26" ht="18" customHeight="1">
      <c r="A62" s="29"/>
      <c r="B62" s="164"/>
      <c r="C62" s="165"/>
      <c r="D62" s="165"/>
      <c r="E62" s="166"/>
      <c r="F62" s="113"/>
      <c r="G62" s="113"/>
      <c r="H62" s="178"/>
      <c r="I62" s="179"/>
      <c r="J62" s="180"/>
      <c r="K62" s="117"/>
      <c r="L62" s="113"/>
      <c r="M62" s="113"/>
      <c r="N62" s="164"/>
      <c r="O62" s="165"/>
      <c r="P62" s="165"/>
      <c r="Q62" s="165"/>
      <c r="R62" s="166"/>
      <c r="S62" s="113"/>
      <c r="T62" s="113"/>
      <c r="U62" s="178"/>
      <c r="V62" s="179"/>
      <c r="W62" s="180"/>
      <c r="X62" s="117"/>
      <c r="Y62" s="113"/>
      <c r="Z62" s="113"/>
    </row>
    <row r="63" spans="1:26" ht="18" customHeight="1">
      <c r="A63" s="29"/>
      <c r="B63" s="164"/>
      <c r="C63" s="165"/>
      <c r="D63" s="165"/>
      <c r="E63" s="166"/>
      <c r="F63" s="113"/>
      <c r="G63" s="113"/>
      <c r="H63" s="178"/>
      <c r="I63" s="179"/>
      <c r="J63" s="180"/>
      <c r="K63" s="117"/>
      <c r="L63" s="113"/>
      <c r="M63" s="113"/>
      <c r="N63" s="164"/>
      <c r="O63" s="165"/>
      <c r="P63" s="165"/>
      <c r="Q63" s="165"/>
      <c r="R63" s="166"/>
      <c r="S63" s="113"/>
      <c r="T63" s="113"/>
      <c r="U63" s="178"/>
      <c r="V63" s="179"/>
      <c r="W63" s="180"/>
      <c r="X63" s="117"/>
      <c r="Y63" s="113"/>
      <c r="Z63" s="113"/>
    </row>
    <row r="64" spans="1:26" ht="18" customHeight="1">
      <c r="A64" s="29"/>
      <c r="B64" s="164"/>
      <c r="C64" s="165"/>
      <c r="D64" s="165"/>
      <c r="E64" s="166"/>
      <c r="F64" s="113"/>
      <c r="G64" s="113"/>
      <c r="H64" s="178"/>
      <c r="I64" s="179"/>
      <c r="J64" s="180"/>
      <c r="K64" s="117"/>
      <c r="L64" s="113"/>
      <c r="M64" s="113"/>
      <c r="N64" s="164"/>
      <c r="O64" s="165"/>
      <c r="P64" s="165"/>
      <c r="Q64" s="165"/>
      <c r="R64" s="166"/>
      <c r="S64" s="113"/>
      <c r="T64" s="113"/>
      <c r="U64" s="178"/>
      <c r="V64" s="179"/>
      <c r="W64" s="180"/>
      <c r="X64" s="117"/>
      <c r="Y64" s="113"/>
      <c r="Z64" s="113"/>
    </row>
    <row r="65" spans="1:26" ht="18" customHeight="1">
      <c r="A65" s="29"/>
      <c r="B65" s="164"/>
      <c r="C65" s="165"/>
      <c r="D65" s="165"/>
      <c r="E65" s="166"/>
      <c r="F65" s="113"/>
      <c r="G65" s="113"/>
      <c r="H65" s="178"/>
      <c r="I65" s="179"/>
      <c r="J65" s="180"/>
      <c r="K65" s="117"/>
      <c r="L65" s="113"/>
      <c r="M65" s="113"/>
      <c r="N65" s="164"/>
      <c r="O65" s="165"/>
      <c r="P65" s="165"/>
      <c r="Q65" s="165"/>
      <c r="R65" s="166"/>
      <c r="S65" s="113"/>
      <c r="T65" s="113"/>
      <c r="U65" s="178"/>
      <c r="V65" s="179"/>
      <c r="W65" s="180"/>
      <c r="X65" s="117"/>
      <c r="Y65" s="113"/>
      <c r="Z65" s="113"/>
    </row>
    <row r="66" spans="1:26" ht="18" customHeight="1">
      <c r="A66" s="29"/>
      <c r="B66" s="188"/>
      <c r="C66" s="189"/>
      <c r="D66" s="189"/>
      <c r="E66" s="190"/>
      <c r="F66" s="114"/>
      <c r="G66" s="114"/>
      <c r="H66" s="184"/>
      <c r="I66" s="185"/>
      <c r="J66" s="186"/>
      <c r="K66" s="118"/>
      <c r="L66" s="120"/>
      <c r="M66" s="120"/>
      <c r="N66" s="188"/>
      <c r="O66" s="189"/>
      <c r="P66" s="189"/>
      <c r="Q66" s="189"/>
      <c r="R66" s="190"/>
      <c r="S66" s="114"/>
      <c r="T66" s="114"/>
      <c r="U66" s="184"/>
      <c r="V66" s="185"/>
      <c r="W66" s="186"/>
      <c r="X66" s="118"/>
      <c r="Y66" s="120"/>
      <c r="Z66" s="120"/>
    </row>
    <row r="67" spans="1:26" ht="7.5" customHeight="1">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55" t="s">
        <v>100</v>
      </c>
      <c r="C69" s="156"/>
      <c r="D69" s="156"/>
      <c r="E69" s="156"/>
      <c r="F69" s="157"/>
      <c r="G69" s="155" t="s">
        <v>146</v>
      </c>
      <c r="H69" s="156"/>
      <c r="I69" s="156"/>
      <c r="J69" s="156"/>
      <c r="K69" s="156"/>
      <c r="L69" s="156"/>
      <c r="M69" s="157"/>
      <c r="N69" s="225" t="s">
        <v>100</v>
      </c>
      <c r="O69" s="226"/>
      <c r="P69" s="226"/>
      <c r="Q69" s="226"/>
      <c r="R69" s="226"/>
      <c r="S69" s="227"/>
      <c r="T69" s="155" t="s">
        <v>146</v>
      </c>
      <c r="U69" s="156"/>
      <c r="V69" s="156"/>
      <c r="W69" s="156"/>
      <c r="X69" s="156"/>
      <c r="Y69" s="156"/>
      <c r="Z69" s="157"/>
    </row>
    <row r="70" spans="1:26" ht="18" customHeight="1">
      <c r="A70" s="29"/>
      <c r="B70" s="222" t="s">
        <v>167</v>
      </c>
      <c r="C70" s="223"/>
      <c r="D70" s="223"/>
      <c r="E70" s="223"/>
      <c r="F70" s="224"/>
      <c r="G70" s="228" t="s">
        <v>173</v>
      </c>
      <c r="H70" s="229"/>
      <c r="I70" s="229"/>
      <c r="J70" s="229"/>
      <c r="K70" s="229"/>
      <c r="L70" s="229"/>
      <c r="M70" s="230"/>
      <c r="N70" s="222"/>
      <c r="O70" s="223"/>
      <c r="P70" s="223"/>
      <c r="Q70" s="223"/>
      <c r="R70" s="223"/>
      <c r="S70" s="224"/>
      <c r="T70" s="228"/>
      <c r="U70" s="229"/>
      <c r="V70" s="229"/>
      <c r="W70" s="229"/>
      <c r="X70" s="229"/>
      <c r="Y70" s="229"/>
      <c r="Z70" s="230"/>
    </row>
    <row r="71" spans="1:26" ht="18" customHeight="1">
      <c r="A71" s="29"/>
      <c r="B71" s="164" t="s">
        <v>167</v>
      </c>
      <c r="C71" s="165"/>
      <c r="D71" s="165"/>
      <c r="E71" s="165"/>
      <c r="F71" s="166"/>
      <c r="G71" s="167" t="s">
        <v>174</v>
      </c>
      <c r="H71" s="168"/>
      <c r="I71" s="168"/>
      <c r="J71" s="168"/>
      <c r="K71" s="168"/>
      <c r="L71" s="168"/>
      <c r="M71" s="169"/>
      <c r="N71" s="164"/>
      <c r="O71" s="165"/>
      <c r="P71" s="165"/>
      <c r="Q71" s="165"/>
      <c r="R71" s="165"/>
      <c r="S71" s="166"/>
      <c r="T71" s="167"/>
      <c r="U71" s="168"/>
      <c r="V71" s="168"/>
      <c r="W71" s="168"/>
      <c r="X71" s="168"/>
      <c r="Y71" s="168"/>
      <c r="Z71" s="169"/>
    </row>
    <row r="72" spans="1:26" ht="18" customHeight="1">
      <c r="A72" s="29"/>
      <c r="B72" s="164"/>
      <c r="C72" s="165"/>
      <c r="D72" s="165"/>
      <c r="E72" s="165"/>
      <c r="F72" s="166"/>
      <c r="G72" s="167"/>
      <c r="H72" s="168"/>
      <c r="I72" s="168"/>
      <c r="J72" s="168"/>
      <c r="K72" s="168"/>
      <c r="L72" s="168"/>
      <c r="M72" s="169"/>
      <c r="N72" s="164"/>
      <c r="O72" s="165"/>
      <c r="P72" s="165"/>
      <c r="Q72" s="165"/>
      <c r="R72" s="165"/>
      <c r="S72" s="166"/>
      <c r="T72" s="167"/>
      <c r="U72" s="168"/>
      <c r="V72" s="168"/>
      <c r="W72" s="168"/>
      <c r="X72" s="168"/>
      <c r="Y72" s="168"/>
      <c r="Z72" s="169"/>
    </row>
    <row r="73" spans="1:26" ht="18" customHeight="1">
      <c r="A73" s="29"/>
      <c r="B73" s="164"/>
      <c r="C73" s="165"/>
      <c r="D73" s="165"/>
      <c r="E73" s="165"/>
      <c r="F73" s="166"/>
      <c r="G73" s="167"/>
      <c r="H73" s="168"/>
      <c r="I73" s="168"/>
      <c r="J73" s="168"/>
      <c r="K73" s="168"/>
      <c r="L73" s="168"/>
      <c r="M73" s="169"/>
      <c r="N73" s="164"/>
      <c r="O73" s="165"/>
      <c r="P73" s="165"/>
      <c r="Q73" s="165"/>
      <c r="R73" s="165"/>
      <c r="S73" s="166"/>
      <c r="T73" s="167"/>
      <c r="U73" s="168"/>
      <c r="V73" s="168"/>
      <c r="W73" s="168"/>
      <c r="X73" s="168"/>
      <c r="Y73" s="168"/>
      <c r="Z73" s="169"/>
    </row>
    <row r="74" spans="1:26" ht="18" customHeight="1">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c r="A76" s="29"/>
      <c r="B76" s="188"/>
      <c r="C76" s="189"/>
      <c r="D76" s="189"/>
      <c r="E76" s="189"/>
      <c r="F76" s="190"/>
      <c r="G76" s="207"/>
      <c r="H76" s="208"/>
      <c r="I76" s="208"/>
      <c r="J76" s="208"/>
      <c r="K76" s="208"/>
      <c r="L76" s="208"/>
      <c r="M76" s="209"/>
      <c r="N76" s="188"/>
      <c r="O76" s="189"/>
      <c r="P76" s="189"/>
      <c r="Q76" s="189"/>
      <c r="R76" s="189"/>
      <c r="S76" s="190"/>
      <c r="T76" s="207"/>
      <c r="U76" s="208"/>
      <c r="V76" s="208"/>
      <c r="W76" s="208"/>
      <c r="X76" s="208"/>
      <c r="Y76" s="208"/>
      <c r="Z76" s="209"/>
    </row>
    <row r="77" spans="1:26" ht="18" customHeight="1">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c r="A78" s="13" t="s">
        <v>142</v>
      </c>
    </row>
    <row r="79" spans="1:26" ht="18.75" customHeight="1">
      <c r="B79" s="78" t="s">
        <v>102</v>
      </c>
      <c r="C79" s="79"/>
      <c r="D79" s="156" t="s">
        <v>103</v>
      </c>
      <c r="E79" s="156"/>
      <c r="F79" s="156"/>
      <c r="G79" s="156"/>
      <c r="H79" s="156"/>
      <c r="I79" s="156"/>
      <c r="J79" s="156"/>
      <c r="K79" s="156"/>
      <c r="L79" s="156"/>
      <c r="M79" s="156"/>
      <c r="N79" s="156"/>
      <c r="O79" s="156"/>
      <c r="P79" s="156"/>
      <c r="Q79" s="156"/>
      <c r="R79" s="156"/>
      <c r="S79" s="156"/>
      <c r="T79" s="156"/>
      <c r="U79" s="156"/>
      <c r="V79" s="156"/>
      <c r="W79" s="156"/>
      <c r="X79" s="156"/>
      <c r="Y79" s="156"/>
      <c r="Z79" s="157"/>
    </row>
    <row r="80" spans="1:26" ht="78" customHeight="1">
      <c r="B80" s="175" t="s">
        <v>109</v>
      </c>
      <c r="C80" s="85" t="s">
        <v>104</v>
      </c>
      <c r="D80" s="171" t="s">
        <v>177</v>
      </c>
      <c r="E80" s="171"/>
      <c r="F80" s="171"/>
      <c r="G80" s="171"/>
      <c r="H80" s="171"/>
      <c r="I80" s="171"/>
      <c r="J80" s="171"/>
      <c r="K80" s="171"/>
      <c r="L80" s="171"/>
      <c r="M80" s="171"/>
      <c r="N80" s="171"/>
      <c r="O80" s="171"/>
      <c r="P80" s="171"/>
      <c r="Q80" s="171"/>
      <c r="R80" s="171"/>
      <c r="S80" s="171"/>
      <c r="T80" s="171"/>
      <c r="U80" s="171"/>
      <c r="V80" s="171"/>
      <c r="W80" s="171"/>
      <c r="X80" s="171"/>
      <c r="Y80" s="171"/>
      <c r="Z80" s="172"/>
    </row>
    <row r="81" spans="1:26" ht="78" customHeight="1">
      <c r="B81" s="177"/>
      <c r="C81" s="109" t="s">
        <v>137</v>
      </c>
      <c r="D81" s="210" t="s">
        <v>178</v>
      </c>
      <c r="E81" s="210"/>
      <c r="F81" s="210"/>
      <c r="G81" s="210"/>
      <c r="H81" s="210"/>
      <c r="I81" s="210"/>
      <c r="J81" s="210"/>
      <c r="K81" s="210"/>
      <c r="L81" s="210"/>
      <c r="M81" s="210"/>
      <c r="N81" s="210"/>
      <c r="O81" s="210"/>
      <c r="P81" s="210"/>
      <c r="Q81" s="210"/>
      <c r="R81" s="210"/>
      <c r="S81" s="210"/>
      <c r="T81" s="210"/>
      <c r="U81" s="210"/>
      <c r="V81" s="210"/>
      <c r="W81" s="210"/>
      <c r="X81" s="210"/>
      <c r="Y81" s="210"/>
      <c r="Z81" s="211"/>
    </row>
    <row r="82" spans="1:26" ht="78" customHeight="1">
      <c r="B82" s="175" t="s">
        <v>110</v>
      </c>
      <c r="C82" s="80" t="s">
        <v>127</v>
      </c>
      <c r="D82" s="212" t="s">
        <v>175</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c r="B83" s="176"/>
      <c r="C83" s="110" t="s">
        <v>128</v>
      </c>
      <c r="D83" s="216" t="s">
        <v>176</v>
      </c>
      <c r="E83" s="216"/>
      <c r="F83" s="216"/>
      <c r="G83" s="216"/>
      <c r="H83" s="216"/>
      <c r="I83" s="216"/>
      <c r="J83" s="216"/>
      <c r="K83" s="216"/>
      <c r="L83" s="216"/>
      <c r="M83" s="216"/>
      <c r="N83" s="216"/>
      <c r="O83" s="216"/>
      <c r="P83" s="216"/>
      <c r="Q83" s="216"/>
      <c r="R83" s="216"/>
      <c r="S83" s="216"/>
      <c r="T83" s="216"/>
      <c r="U83" s="216"/>
      <c r="V83" s="216"/>
      <c r="W83" s="216"/>
      <c r="X83" s="216"/>
      <c r="Y83" s="216"/>
      <c r="Z83" s="217"/>
    </row>
    <row r="84" spans="1:26" ht="66" customHeight="1">
      <c r="B84" s="175" t="s">
        <v>111</v>
      </c>
      <c r="C84" s="80" t="s">
        <v>130</v>
      </c>
      <c r="D84" s="218" t="s">
        <v>179</v>
      </c>
      <c r="E84" s="212"/>
      <c r="F84" s="212"/>
      <c r="G84" s="212"/>
      <c r="H84" s="212"/>
      <c r="I84" s="212"/>
      <c r="J84" s="212"/>
      <c r="K84" s="212"/>
      <c r="L84" s="212"/>
      <c r="M84" s="212"/>
      <c r="N84" s="212"/>
      <c r="O84" s="212"/>
      <c r="P84" s="212"/>
      <c r="Q84" s="212"/>
      <c r="R84" s="212"/>
      <c r="S84" s="212"/>
      <c r="T84" s="212"/>
      <c r="U84" s="212"/>
      <c r="V84" s="212"/>
      <c r="W84" s="212"/>
      <c r="X84" s="212"/>
      <c r="Y84" s="212"/>
      <c r="Z84" s="213"/>
    </row>
    <row r="85" spans="1:26" ht="66" customHeight="1">
      <c r="B85" s="176"/>
      <c r="C85" s="82" t="s">
        <v>131</v>
      </c>
      <c r="D85" s="214" t="s">
        <v>180</v>
      </c>
      <c r="E85" s="214"/>
      <c r="F85" s="214"/>
      <c r="G85" s="214"/>
      <c r="H85" s="214"/>
      <c r="I85" s="214"/>
      <c r="J85" s="214"/>
      <c r="K85" s="214"/>
      <c r="L85" s="214"/>
      <c r="M85" s="214"/>
      <c r="N85" s="214"/>
      <c r="O85" s="214"/>
      <c r="P85" s="214"/>
      <c r="Q85" s="214"/>
      <c r="R85" s="214"/>
      <c r="S85" s="214"/>
      <c r="T85" s="214"/>
      <c r="U85" s="214"/>
      <c r="V85" s="214"/>
      <c r="W85" s="214"/>
      <c r="X85" s="214"/>
      <c r="Y85" s="214"/>
      <c r="Z85" s="215"/>
    </row>
    <row r="86" spans="1:26" ht="66" customHeight="1">
      <c r="B86" s="175" t="s">
        <v>138</v>
      </c>
      <c r="C86" s="85" t="s">
        <v>106</v>
      </c>
      <c r="D86" s="170" t="s">
        <v>181</v>
      </c>
      <c r="E86" s="171"/>
      <c r="F86" s="171"/>
      <c r="G86" s="171"/>
      <c r="H86" s="171"/>
      <c r="I86" s="171"/>
      <c r="J86" s="171"/>
      <c r="K86" s="171"/>
      <c r="L86" s="171"/>
      <c r="M86" s="171"/>
      <c r="N86" s="171"/>
      <c r="O86" s="171"/>
      <c r="P86" s="171"/>
      <c r="Q86" s="171"/>
      <c r="R86" s="171"/>
      <c r="S86" s="171"/>
      <c r="T86" s="171"/>
      <c r="U86" s="171"/>
      <c r="V86" s="171"/>
      <c r="W86" s="171"/>
      <c r="X86" s="171"/>
      <c r="Y86" s="171"/>
      <c r="Z86" s="172"/>
    </row>
    <row r="87" spans="1:26" ht="66" customHeight="1">
      <c r="B87" s="177"/>
      <c r="C87" s="81" t="s">
        <v>108</v>
      </c>
      <c r="D87" s="173" t="s">
        <v>182</v>
      </c>
      <c r="E87" s="173"/>
      <c r="F87" s="173"/>
      <c r="G87" s="173"/>
      <c r="H87" s="173"/>
      <c r="I87" s="173"/>
      <c r="J87" s="173"/>
      <c r="K87" s="173"/>
      <c r="L87" s="173"/>
      <c r="M87" s="173"/>
      <c r="N87" s="173"/>
      <c r="O87" s="173"/>
      <c r="P87" s="173"/>
      <c r="Q87" s="173"/>
      <c r="R87" s="173"/>
      <c r="S87" s="173"/>
      <c r="T87" s="173"/>
      <c r="U87" s="173"/>
      <c r="V87" s="173"/>
      <c r="W87" s="173"/>
      <c r="X87" s="173"/>
      <c r="Y87" s="173"/>
      <c r="Z87" s="174"/>
    </row>
    <row r="88" spans="1:26" ht="66" customHeight="1">
      <c r="B88" s="175" t="s">
        <v>139</v>
      </c>
      <c r="C88" s="80" t="s">
        <v>105</v>
      </c>
      <c r="D88" s="219" t="s">
        <v>183</v>
      </c>
      <c r="E88" s="220"/>
      <c r="F88" s="220"/>
      <c r="G88" s="220"/>
      <c r="H88" s="220"/>
      <c r="I88" s="220"/>
      <c r="J88" s="220"/>
      <c r="K88" s="220"/>
      <c r="L88" s="220"/>
      <c r="M88" s="220"/>
      <c r="N88" s="220"/>
      <c r="O88" s="220"/>
      <c r="P88" s="220"/>
      <c r="Q88" s="220"/>
      <c r="R88" s="220"/>
      <c r="S88" s="220"/>
      <c r="T88" s="220"/>
      <c r="U88" s="220"/>
      <c r="V88" s="220"/>
      <c r="W88" s="220"/>
      <c r="X88" s="220"/>
      <c r="Y88" s="220"/>
      <c r="Z88" s="221"/>
    </row>
    <row r="89" spans="1:26" ht="66" customHeight="1">
      <c r="B89" s="177"/>
      <c r="C89" s="81" t="s">
        <v>134</v>
      </c>
      <c r="D89" s="161" t="s">
        <v>185</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66" customHeight="1">
      <c r="B90" s="176"/>
      <c r="C90" s="82" t="s">
        <v>135</v>
      </c>
      <c r="D90" s="204" t="s">
        <v>184</v>
      </c>
      <c r="E90" s="204"/>
      <c r="F90" s="204"/>
      <c r="G90" s="204"/>
      <c r="H90" s="204"/>
      <c r="I90" s="204"/>
      <c r="J90" s="204"/>
      <c r="K90" s="204"/>
      <c r="L90" s="204"/>
      <c r="M90" s="204"/>
      <c r="N90" s="204"/>
      <c r="O90" s="204"/>
      <c r="P90" s="204"/>
      <c r="Q90" s="204"/>
      <c r="R90" s="204"/>
      <c r="S90" s="204"/>
      <c r="T90" s="204"/>
      <c r="U90" s="204"/>
      <c r="V90" s="204"/>
      <c r="W90" s="204"/>
      <c r="X90" s="204"/>
      <c r="Y90" s="204"/>
      <c r="Z90" s="205"/>
    </row>
    <row r="91" spans="1:26" ht="6" customHeight="1"/>
    <row r="92" spans="1:26" ht="18.75" customHeight="1">
      <c r="A92" s="13" t="s">
        <v>143</v>
      </c>
    </row>
    <row r="93" spans="1:26" ht="18.75" customHeight="1">
      <c r="B93" s="197" t="s">
        <v>217</v>
      </c>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9"/>
    </row>
    <row r="94" spans="1:26" ht="18.75" customHeight="1">
      <c r="B94" s="200"/>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2"/>
    </row>
    <row r="95" spans="1:26" ht="34.5" customHeight="1">
      <c r="B95" s="203"/>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5"/>
    </row>
    <row r="96" spans="1:26" ht="6" customHeight="1"/>
    <row r="97" spans="1:26" ht="15" customHeight="1">
      <c r="A97" s="13" t="s">
        <v>144</v>
      </c>
    </row>
    <row r="98" spans="1:26" ht="15" customHeight="1">
      <c r="B98" s="142" t="s">
        <v>215</v>
      </c>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206"/>
    </row>
  </sheetData>
  <mergeCells count="218">
    <mergeCell ref="N51:S51"/>
    <mergeCell ref="N52:S52"/>
    <mergeCell ref="N53:S53"/>
    <mergeCell ref="N54:S54"/>
    <mergeCell ref="N55:S55"/>
    <mergeCell ref="B59:E59"/>
    <mergeCell ref="N59:R59"/>
    <mergeCell ref="N43:S43"/>
    <mergeCell ref="N44:S44"/>
    <mergeCell ref="I43:K43"/>
    <mergeCell ref="N48:S48"/>
    <mergeCell ref="N49:S49"/>
    <mergeCell ref="N50:S50"/>
    <mergeCell ref="A46:Z47"/>
    <mergeCell ref="I48:K48"/>
    <mergeCell ref="B51:F51"/>
    <mergeCell ref="B52:F52"/>
    <mergeCell ref="B53:F53"/>
    <mergeCell ref="B54:F54"/>
    <mergeCell ref="B55:F55"/>
    <mergeCell ref="I52:K52"/>
    <mergeCell ref="V52:X52"/>
    <mergeCell ref="V55:X55"/>
    <mergeCell ref="A57:Z58"/>
    <mergeCell ref="N33:S33"/>
    <mergeCell ref="B41:F41"/>
    <mergeCell ref="B42:F42"/>
    <mergeCell ref="B43:F43"/>
    <mergeCell ref="B44:F44"/>
    <mergeCell ref="N37:S37"/>
    <mergeCell ref="N38:S38"/>
    <mergeCell ref="N39:S39"/>
    <mergeCell ref="N40:S40"/>
    <mergeCell ref="N41:S41"/>
    <mergeCell ref="N42:S42"/>
    <mergeCell ref="B40:F40"/>
    <mergeCell ref="I22:K22"/>
    <mergeCell ref="B29:F29"/>
    <mergeCell ref="B30:F30"/>
    <mergeCell ref="B31:F31"/>
    <mergeCell ref="B32:F32"/>
    <mergeCell ref="B20:F20"/>
    <mergeCell ref="B21:F21"/>
    <mergeCell ref="B22:F22"/>
    <mergeCell ref="B33:F33"/>
    <mergeCell ref="N15:S15"/>
    <mergeCell ref="N16:S16"/>
    <mergeCell ref="N17:S17"/>
    <mergeCell ref="N18:S18"/>
    <mergeCell ref="N19:S19"/>
    <mergeCell ref="N20:S20"/>
    <mergeCell ref="N21:S21"/>
    <mergeCell ref="W1:Z1"/>
    <mergeCell ref="B15:F15"/>
    <mergeCell ref="B16:F16"/>
    <mergeCell ref="B17:F17"/>
    <mergeCell ref="B18:F18"/>
    <mergeCell ref="B19:F19"/>
    <mergeCell ref="I17:K17"/>
    <mergeCell ref="A2:Z2"/>
    <mergeCell ref="B6:Z11"/>
    <mergeCell ref="A13:Z14"/>
    <mergeCell ref="I15:K15"/>
    <mergeCell ref="I16:K16"/>
    <mergeCell ref="V15:X15"/>
    <mergeCell ref="V16:X16"/>
    <mergeCell ref="O4:Z4"/>
    <mergeCell ref="I21:K21"/>
    <mergeCell ref="B69:F69"/>
    <mergeCell ref="G69:M69"/>
    <mergeCell ref="N69:S69"/>
    <mergeCell ref="U65:W65"/>
    <mergeCell ref="U66:W66"/>
    <mergeCell ref="U64:W64"/>
    <mergeCell ref="N70:S70"/>
    <mergeCell ref="T70:Z70"/>
    <mergeCell ref="T69:Z69"/>
    <mergeCell ref="B70:F70"/>
    <mergeCell ref="G70:M70"/>
    <mergeCell ref="H64:J64"/>
    <mergeCell ref="H65:J65"/>
    <mergeCell ref="H66:J66"/>
    <mergeCell ref="N64:R64"/>
    <mergeCell ref="N65:R65"/>
    <mergeCell ref="N66:R66"/>
    <mergeCell ref="B60:E60"/>
    <mergeCell ref="B61:E61"/>
    <mergeCell ref="B62:E62"/>
    <mergeCell ref="B63:E63"/>
    <mergeCell ref="B64:E64"/>
    <mergeCell ref="B65:E65"/>
    <mergeCell ref="B66:E66"/>
    <mergeCell ref="N60:R60"/>
    <mergeCell ref="H60:J60"/>
    <mergeCell ref="H61:J61"/>
    <mergeCell ref="N61:R61"/>
    <mergeCell ref="N62:R62"/>
    <mergeCell ref="N63:R63"/>
    <mergeCell ref="B93:Z95"/>
    <mergeCell ref="B98:Z98"/>
    <mergeCell ref="T76:Z76"/>
    <mergeCell ref="B71:F71"/>
    <mergeCell ref="G71:M71"/>
    <mergeCell ref="N71:S71"/>
    <mergeCell ref="T71:Z71"/>
    <mergeCell ref="B74:F74"/>
    <mergeCell ref="B76:F76"/>
    <mergeCell ref="G76:M76"/>
    <mergeCell ref="N76:S76"/>
    <mergeCell ref="G74:M74"/>
    <mergeCell ref="N74:S74"/>
    <mergeCell ref="D81:Z81"/>
    <mergeCell ref="D82:Z82"/>
    <mergeCell ref="D85:Z85"/>
    <mergeCell ref="D83:Z83"/>
    <mergeCell ref="D84:Z84"/>
    <mergeCell ref="B75:F75"/>
    <mergeCell ref="G75:M75"/>
    <mergeCell ref="B88:B90"/>
    <mergeCell ref="D88:Z88"/>
    <mergeCell ref="D90:Z90"/>
    <mergeCell ref="B86:B87"/>
    <mergeCell ref="I37:K37"/>
    <mergeCell ref="B37:F37"/>
    <mergeCell ref="B38:F38"/>
    <mergeCell ref="B39:F39"/>
    <mergeCell ref="V50:X50"/>
    <mergeCell ref="B48:F48"/>
    <mergeCell ref="B49:F49"/>
    <mergeCell ref="B50:F50"/>
    <mergeCell ref="V43:X43"/>
    <mergeCell ref="I44:K44"/>
    <mergeCell ref="V44:X44"/>
    <mergeCell ref="I50:K50"/>
    <mergeCell ref="V42:X42"/>
    <mergeCell ref="V37:X37"/>
    <mergeCell ref="I38:K38"/>
    <mergeCell ref="V17:X17"/>
    <mergeCell ref="V20:X20"/>
    <mergeCell ref="V21:X21"/>
    <mergeCell ref="V22:X22"/>
    <mergeCell ref="I18:K18"/>
    <mergeCell ref="I19:K19"/>
    <mergeCell ref="V18:X18"/>
    <mergeCell ref="V19:X19"/>
    <mergeCell ref="N22:S22"/>
    <mergeCell ref="I20:K20"/>
    <mergeCell ref="A24:Z25"/>
    <mergeCell ref="I29:K29"/>
    <mergeCell ref="I30:K30"/>
    <mergeCell ref="V29:X29"/>
    <mergeCell ref="V30:X30"/>
    <mergeCell ref="B26:F26"/>
    <mergeCell ref="B27:F27"/>
    <mergeCell ref="B28:F28"/>
    <mergeCell ref="V38:X38"/>
    <mergeCell ref="I39:K39"/>
    <mergeCell ref="V39:X39"/>
    <mergeCell ref="I53:K53"/>
    <mergeCell ref="V53:X53"/>
    <mergeCell ref="I54:K54"/>
    <mergeCell ref="V54:X54"/>
    <mergeCell ref="I55:K55"/>
    <mergeCell ref="I33:K33"/>
    <mergeCell ref="H62:J62"/>
    <mergeCell ref="H63:J63"/>
    <mergeCell ref="U62:W62"/>
    <mergeCell ref="U63:W63"/>
    <mergeCell ref="V48:X48"/>
    <mergeCell ref="I49:K49"/>
    <mergeCell ref="V49:X49"/>
    <mergeCell ref="I51:K51"/>
    <mergeCell ref="V51:X51"/>
    <mergeCell ref="I40:K40"/>
    <mergeCell ref="I41:K41"/>
    <mergeCell ref="V40:X40"/>
    <mergeCell ref="A35:Z36"/>
    <mergeCell ref="U60:W60"/>
    <mergeCell ref="U61:W61"/>
    <mergeCell ref="V41:X41"/>
    <mergeCell ref="V33:X33"/>
    <mergeCell ref="I42:K42"/>
    <mergeCell ref="V31:X31"/>
    <mergeCell ref="I31:K31"/>
    <mergeCell ref="I32:K32"/>
    <mergeCell ref="V26:X26"/>
    <mergeCell ref="V27:X27"/>
    <mergeCell ref="V28:X28"/>
    <mergeCell ref="I26:K26"/>
    <mergeCell ref="I27:K27"/>
    <mergeCell ref="I28:K28"/>
    <mergeCell ref="V32:X32"/>
    <mergeCell ref="N26:S26"/>
    <mergeCell ref="N27:S27"/>
    <mergeCell ref="N28:S28"/>
    <mergeCell ref="N29:S29"/>
    <mergeCell ref="N30:S30"/>
    <mergeCell ref="N31:S31"/>
    <mergeCell ref="N32:S32"/>
    <mergeCell ref="D89:Z89"/>
    <mergeCell ref="B73:F73"/>
    <mergeCell ref="G72:M72"/>
    <mergeCell ref="G73:M73"/>
    <mergeCell ref="N72:S72"/>
    <mergeCell ref="D86:Z86"/>
    <mergeCell ref="D87:Z87"/>
    <mergeCell ref="N73:S73"/>
    <mergeCell ref="T72:Z72"/>
    <mergeCell ref="T73:Z73"/>
    <mergeCell ref="B82:B83"/>
    <mergeCell ref="B84:B85"/>
    <mergeCell ref="B80:B81"/>
    <mergeCell ref="D79:Z79"/>
    <mergeCell ref="D80:Z80"/>
    <mergeCell ref="N75:S75"/>
    <mergeCell ref="T75:Z75"/>
    <mergeCell ref="T74:Z74"/>
    <mergeCell ref="B72:F72"/>
  </mergeCells>
  <phoneticPr fontId="1"/>
  <dataValidations count="4">
    <dataValidation type="list" allowBlank="1" showInputMessage="1" showErrorMessage="1" sqref="Y16:Z22 H16:H22 Y27:Z33 H27:H33 H38:H44 Y38:Z44 H49:H55 Y49:Z55 Y60:Z66 G60:G66 T60:T66 U16:U22 L16:M22 U27:U33 L27:M33 U38:U44 L38:M44 U49:U55 L49:M55 L60:M66 K60">
      <formula1>"○"</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U70:Z71 U74:Z77 T70:T77 G70:G77 H70:M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5" zoomScaleNormal="100" zoomScaleSheetLayoutView="100" workbookViewId="0">
      <selection activeCell="W49" sqref="W49"/>
    </sheetView>
  </sheetViews>
  <sheetFormatPr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31" t="s">
        <v>190</v>
      </c>
      <c r="X1" s="231"/>
      <c r="Y1" s="231"/>
      <c r="Z1" s="231"/>
    </row>
    <row r="2" spans="1:26" ht="18" customHeight="1">
      <c r="A2" s="232" t="s">
        <v>67</v>
      </c>
      <c r="B2" s="232"/>
      <c r="C2" s="232"/>
      <c r="D2" s="232"/>
      <c r="E2" s="232"/>
      <c r="F2" s="232"/>
      <c r="G2" s="232"/>
      <c r="H2" s="232"/>
      <c r="I2" s="232"/>
      <c r="J2" s="232"/>
      <c r="K2" s="232"/>
      <c r="L2" s="232"/>
      <c r="M2" s="232"/>
      <c r="N2" s="232"/>
      <c r="O2" s="232"/>
      <c r="P2" s="232"/>
      <c r="Q2" s="232"/>
      <c r="R2" s="232"/>
      <c r="S2" s="232"/>
      <c r="T2" s="232"/>
      <c r="U2" s="232"/>
      <c r="V2" s="232"/>
      <c r="W2" s="232"/>
      <c r="X2" s="232"/>
      <c r="Y2" s="232"/>
      <c r="Z2" s="232"/>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99</v>
      </c>
      <c r="B4" s="29"/>
      <c r="C4" s="29"/>
      <c r="D4" s="29"/>
      <c r="E4" s="29"/>
      <c r="F4" s="29"/>
      <c r="G4" s="29"/>
      <c r="H4" s="15" t="s">
        <v>112</v>
      </c>
      <c r="I4" s="29"/>
      <c r="J4" s="29"/>
      <c r="K4" s="29"/>
      <c r="L4" s="29"/>
      <c r="M4" s="29"/>
      <c r="N4" s="29"/>
      <c r="O4" s="155" t="s">
        <v>164</v>
      </c>
      <c r="P4" s="156"/>
      <c r="Q4" s="156"/>
      <c r="R4" s="156"/>
      <c r="S4" s="156"/>
      <c r="T4" s="156"/>
      <c r="U4" s="156"/>
      <c r="V4" s="156"/>
      <c r="W4" s="156"/>
      <c r="X4" s="156"/>
      <c r="Y4" s="156"/>
      <c r="Z4" s="157"/>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33" t="s">
        <v>186</v>
      </c>
      <c r="C6" s="234"/>
      <c r="D6" s="234"/>
      <c r="E6" s="234"/>
      <c r="F6" s="234"/>
      <c r="G6" s="234"/>
      <c r="H6" s="234"/>
      <c r="I6" s="234"/>
      <c r="J6" s="234"/>
      <c r="K6" s="234"/>
      <c r="L6" s="234"/>
      <c r="M6" s="234"/>
      <c r="N6" s="234"/>
      <c r="O6" s="234"/>
      <c r="P6" s="234"/>
      <c r="Q6" s="234"/>
      <c r="R6" s="234"/>
      <c r="S6" s="234"/>
      <c r="T6" s="234"/>
      <c r="U6" s="234"/>
      <c r="V6" s="234"/>
      <c r="W6" s="234"/>
      <c r="X6" s="234"/>
      <c r="Y6" s="234"/>
      <c r="Z6" s="235"/>
    </row>
    <row r="7" spans="1:26" ht="18" customHeight="1">
      <c r="B7" s="236"/>
      <c r="C7" s="237"/>
      <c r="D7" s="237"/>
      <c r="E7" s="237"/>
      <c r="F7" s="237"/>
      <c r="G7" s="237"/>
      <c r="H7" s="237"/>
      <c r="I7" s="237"/>
      <c r="J7" s="237"/>
      <c r="K7" s="237"/>
      <c r="L7" s="237"/>
      <c r="M7" s="237"/>
      <c r="N7" s="237"/>
      <c r="O7" s="237"/>
      <c r="P7" s="237"/>
      <c r="Q7" s="237"/>
      <c r="R7" s="237"/>
      <c r="S7" s="237"/>
      <c r="T7" s="237"/>
      <c r="U7" s="237"/>
      <c r="V7" s="237"/>
      <c r="W7" s="237"/>
      <c r="X7" s="237"/>
      <c r="Y7" s="237"/>
      <c r="Z7" s="238"/>
    </row>
    <row r="8" spans="1:26" ht="18" customHeight="1">
      <c r="B8" s="236"/>
      <c r="C8" s="237"/>
      <c r="D8" s="237"/>
      <c r="E8" s="237"/>
      <c r="F8" s="237"/>
      <c r="G8" s="237"/>
      <c r="H8" s="237"/>
      <c r="I8" s="237"/>
      <c r="J8" s="237"/>
      <c r="K8" s="237"/>
      <c r="L8" s="237"/>
      <c r="M8" s="237"/>
      <c r="N8" s="237"/>
      <c r="O8" s="237"/>
      <c r="P8" s="237"/>
      <c r="Q8" s="237"/>
      <c r="R8" s="237"/>
      <c r="S8" s="237"/>
      <c r="T8" s="237"/>
      <c r="U8" s="237"/>
      <c r="V8" s="237"/>
      <c r="W8" s="237"/>
      <c r="X8" s="237"/>
      <c r="Y8" s="237"/>
      <c r="Z8" s="238"/>
    </row>
    <row r="9" spans="1:26" ht="18" customHeight="1">
      <c r="B9" s="236"/>
      <c r="C9" s="237"/>
      <c r="D9" s="237"/>
      <c r="E9" s="237"/>
      <c r="F9" s="237"/>
      <c r="G9" s="237"/>
      <c r="H9" s="237"/>
      <c r="I9" s="237"/>
      <c r="J9" s="237"/>
      <c r="K9" s="237"/>
      <c r="L9" s="237"/>
      <c r="M9" s="237"/>
      <c r="N9" s="237"/>
      <c r="O9" s="237"/>
      <c r="P9" s="237"/>
      <c r="Q9" s="237"/>
      <c r="R9" s="237"/>
      <c r="S9" s="237"/>
      <c r="T9" s="237"/>
      <c r="U9" s="237"/>
      <c r="V9" s="237"/>
      <c r="W9" s="237"/>
      <c r="X9" s="237"/>
      <c r="Y9" s="237"/>
      <c r="Z9" s="238"/>
    </row>
    <row r="10" spans="1:26" ht="18" customHeight="1">
      <c r="B10" s="236"/>
      <c r="C10" s="239"/>
      <c r="D10" s="239"/>
      <c r="E10" s="239"/>
      <c r="F10" s="239"/>
      <c r="G10" s="239"/>
      <c r="H10" s="239"/>
      <c r="I10" s="239"/>
      <c r="J10" s="239"/>
      <c r="K10" s="239"/>
      <c r="L10" s="239"/>
      <c r="M10" s="239"/>
      <c r="N10" s="239"/>
      <c r="O10" s="239"/>
      <c r="P10" s="239"/>
      <c r="Q10" s="239"/>
      <c r="R10" s="239"/>
      <c r="S10" s="239"/>
      <c r="T10" s="239"/>
      <c r="U10" s="239"/>
      <c r="V10" s="239"/>
      <c r="W10" s="239"/>
      <c r="X10" s="239"/>
      <c r="Y10" s="239"/>
      <c r="Z10" s="238"/>
    </row>
    <row r="11" spans="1:26" ht="18" customHeight="1">
      <c r="B11" s="240"/>
      <c r="C11" s="241"/>
      <c r="D11" s="241"/>
      <c r="E11" s="241"/>
      <c r="F11" s="241"/>
      <c r="G11" s="241"/>
      <c r="H11" s="241"/>
      <c r="I11" s="241"/>
      <c r="J11" s="241"/>
      <c r="K11" s="241"/>
      <c r="L11" s="241"/>
      <c r="M11" s="241"/>
      <c r="N11" s="241"/>
      <c r="O11" s="241"/>
      <c r="P11" s="241"/>
      <c r="Q11" s="241"/>
      <c r="R11" s="241"/>
      <c r="S11" s="241"/>
      <c r="T11" s="241"/>
      <c r="U11" s="241"/>
      <c r="V11" s="241"/>
      <c r="W11" s="241"/>
      <c r="X11" s="241"/>
      <c r="Y11" s="241"/>
      <c r="Z11" s="242"/>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187" t="s">
        <v>125</v>
      </c>
      <c r="B13" s="187"/>
      <c r="C13" s="187"/>
      <c r="D13" s="187"/>
      <c r="E13" s="187"/>
      <c r="F13" s="187"/>
      <c r="G13" s="187"/>
      <c r="H13" s="187"/>
      <c r="I13" s="187"/>
      <c r="J13" s="187"/>
      <c r="K13" s="187"/>
      <c r="L13" s="187"/>
      <c r="M13" s="187"/>
      <c r="N13" s="187"/>
      <c r="O13" s="187"/>
      <c r="P13" s="187"/>
      <c r="Q13" s="187"/>
      <c r="R13" s="187"/>
      <c r="S13" s="187"/>
      <c r="T13" s="187"/>
      <c r="U13" s="187"/>
      <c r="V13" s="187"/>
      <c r="W13" s="187"/>
      <c r="X13" s="187"/>
      <c r="Y13" s="187"/>
      <c r="Z13" s="187"/>
    </row>
    <row r="14" spans="1:26" ht="18" customHeight="1">
      <c r="A14" s="187"/>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row>
    <row r="15" spans="1:26" ht="18" customHeight="1">
      <c r="A15" s="14"/>
      <c r="B15" s="155" t="s">
        <v>100</v>
      </c>
      <c r="C15" s="156"/>
      <c r="D15" s="156"/>
      <c r="E15" s="156"/>
      <c r="F15" s="157"/>
      <c r="G15" s="30" t="s">
        <v>141</v>
      </c>
      <c r="H15" s="111" t="s">
        <v>140</v>
      </c>
      <c r="I15" s="156" t="s">
        <v>101</v>
      </c>
      <c r="J15" s="156"/>
      <c r="K15" s="156"/>
      <c r="L15" s="75" t="s">
        <v>104</v>
      </c>
      <c r="M15" s="75" t="s">
        <v>107</v>
      </c>
      <c r="N15" s="155" t="s">
        <v>100</v>
      </c>
      <c r="O15" s="156"/>
      <c r="P15" s="156"/>
      <c r="Q15" s="156"/>
      <c r="R15" s="156"/>
      <c r="S15" s="157"/>
      <c r="T15" s="30" t="s">
        <v>141</v>
      </c>
      <c r="U15" s="111" t="s">
        <v>140</v>
      </c>
      <c r="V15" s="156" t="s">
        <v>101</v>
      </c>
      <c r="W15" s="156"/>
      <c r="X15" s="156"/>
      <c r="Y15" s="75" t="s">
        <v>104</v>
      </c>
      <c r="Z15" s="75" t="s">
        <v>107</v>
      </c>
    </row>
    <row r="16" spans="1:26" ht="18" customHeight="1">
      <c r="A16" s="14"/>
      <c r="B16" s="191" t="s">
        <v>167</v>
      </c>
      <c r="C16" s="192"/>
      <c r="D16" s="192"/>
      <c r="E16" s="192"/>
      <c r="F16" s="193"/>
      <c r="G16" s="112">
        <v>2</v>
      </c>
      <c r="H16" s="112" t="s">
        <v>168</v>
      </c>
      <c r="I16" s="181" t="s">
        <v>169</v>
      </c>
      <c r="J16" s="182"/>
      <c r="K16" s="183"/>
      <c r="L16" s="112" t="s">
        <v>168</v>
      </c>
      <c r="M16" s="112" t="s">
        <v>168</v>
      </c>
      <c r="N16" s="222"/>
      <c r="O16" s="223"/>
      <c r="P16" s="223"/>
      <c r="Q16" s="223"/>
      <c r="R16" s="223"/>
      <c r="S16" s="224"/>
      <c r="T16" s="112"/>
      <c r="U16" s="112"/>
      <c r="V16" s="181"/>
      <c r="W16" s="182"/>
      <c r="X16" s="183"/>
      <c r="Y16" s="112"/>
      <c r="Z16" s="112"/>
    </row>
    <row r="17" spans="1:26" ht="18" customHeight="1">
      <c r="A17" s="14"/>
      <c r="B17" s="194"/>
      <c r="C17" s="195"/>
      <c r="D17" s="195"/>
      <c r="E17" s="195"/>
      <c r="F17" s="196"/>
      <c r="G17" s="113"/>
      <c r="H17" s="113"/>
      <c r="I17" s="178"/>
      <c r="J17" s="179"/>
      <c r="K17" s="180"/>
      <c r="L17" s="113"/>
      <c r="M17" s="113"/>
      <c r="N17" s="164"/>
      <c r="O17" s="165"/>
      <c r="P17" s="165"/>
      <c r="Q17" s="165"/>
      <c r="R17" s="165"/>
      <c r="S17" s="166"/>
      <c r="T17" s="113"/>
      <c r="U17" s="113"/>
      <c r="V17" s="178"/>
      <c r="W17" s="179"/>
      <c r="X17" s="180"/>
      <c r="Y17" s="113"/>
      <c r="Z17" s="113"/>
    </row>
    <row r="18" spans="1:26" ht="18" customHeight="1">
      <c r="A18" s="14"/>
      <c r="B18" s="194"/>
      <c r="C18" s="195"/>
      <c r="D18" s="195"/>
      <c r="E18" s="195"/>
      <c r="F18" s="196"/>
      <c r="G18" s="113"/>
      <c r="H18" s="113"/>
      <c r="I18" s="178"/>
      <c r="J18" s="179"/>
      <c r="K18" s="180"/>
      <c r="L18" s="113"/>
      <c r="M18" s="113"/>
      <c r="N18" s="164"/>
      <c r="O18" s="165"/>
      <c r="P18" s="165"/>
      <c r="Q18" s="165"/>
      <c r="R18" s="165"/>
      <c r="S18" s="166"/>
      <c r="T18" s="113"/>
      <c r="U18" s="113"/>
      <c r="V18" s="178"/>
      <c r="W18" s="179"/>
      <c r="X18" s="180"/>
      <c r="Y18" s="113"/>
      <c r="Z18" s="113"/>
    </row>
    <row r="19" spans="1:26" ht="18" customHeight="1">
      <c r="A19" s="14"/>
      <c r="B19" s="194"/>
      <c r="C19" s="195"/>
      <c r="D19" s="195"/>
      <c r="E19" s="195"/>
      <c r="F19" s="196"/>
      <c r="G19" s="113"/>
      <c r="H19" s="113"/>
      <c r="I19" s="178"/>
      <c r="J19" s="179"/>
      <c r="K19" s="180"/>
      <c r="L19" s="113"/>
      <c r="M19" s="113"/>
      <c r="N19" s="164"/>
      <c r="O19" s="165"/>
      <c r="P19" s="165"/>
      <c r="Q19" s="165"/>
      <c r="R19" s="165"/>
      <c r="S19" s="166"/>
      <c r="T19" s="113"/>
      <c r="U19" s="113"/>
      <c r="V19" s="178"/>
      <c r="W19" s="179"/>
      <c r="X19" s="180"/>
      <c r="Y19" s="113"/>
      <c r="Z19" s="113"/>
    </row>
    <row r="20" spans="1:26" ht="18" customHeight="1">
      <c r="A20" s="14"/>
      <c r="B20" s="194"/>
      <c r="C20" s="195"/>
      <c r="D20" s="195"/>
      <c r="E20" s="195"/>
      <c r="F20" s="196"/>
      <c r="G20" s="113"/>
      <c r="H20" s="113"/>
      <c r="I20" s="178"/>
      <c r="J20" s="179"/>
      <c r="K20" s="180"/>
      <c r="L20" s="113"/>
      <c r="M20" s="113"/>
      <c r="N20" s="164"/>
      <c r="O20" s="165"/>
      <c r="P20" s="165"/>
      <c r="Q20" s="165"/>
      <c r="R20" s="165"/>
      <c r="S20" s="166"/>
      <c r="T20" s="113"/>
      <c r="U20" s="113"/>
      <c r="V20" s="178"/>
      <c r="W20" s="179"/>
      <c r="X20" s="180"/>
      <c r="Y20" s="113"/>
      <c r="Z20" s="113"/>
    </row>
    <row r="21" spans="1:26" ht="18" customHeight="1">
      <c r="A21" s="29"/>
      <c r="B21" s="194"/>
      <c r="C21" s="195"/>
      <c r="D21" s="195"/>
      <c r="E21" s="195"/>
      <c r="F21" s="196"/>
      <c r="G21" s="113"/>
      <c r="H21" s="113"/>
      <c r="I21" s="178"/>
      <c r="J21" s="179"/>
      <c r="K21" s="180"/>
      <c r="L21" s="113"/>
      <c r="M21" s="113"/>
      <c r="N21" s="164"/>
      <c r="O21" s="165"/>
      <c r="P21" s="165"/>
      <c r="Q21" s="165"/>
      <c r="R21" s="165"/>
      <c r="S21" s="166"/>
      <c r="T21" s="113"/>
      <c r="U21" s="113"/>
      <c r="V21" s="178"/>
      <c r="W21" s="179"/>
      <c r="X21" s="180"/>
      <c r="Y21" s="113"/>
      <c r="Z21" s="113"/>
    </row>
    <row r="22" spans="1:26" ht="18" customHeight="1">
      <c r="A22" s="29"/>
      <c r="B22" s="243"/>
      <c r="C22" s="244"/>
      <c r="D22" s="244"/>
      <c r="E22" s="244"/>
      <c r="F22" s="245"/>
      <c r="G22" s="114"/>
      <c r="H22" s="114"/>
      <c r="I22" s="184"/>
      <c r="J22" s="185"/>
      <c r="K22" s="186"/>
      <c r="L22" s="120"/>
      <c r="M22" s="120"/>
      <c r="N22" s="188"/>
      <c r="O22" s="189"/>
      <c r="P22" s="189"/>
      <c r="Q22" s="189"/>
      <c r="R22" s="189"/>
      <c r="S22" s="190"/>
      <c r="T22" s="114"/>
      <c r="U22" s="114"/>
      <c r="V22" s="184"/>
      <c r="W22" s="185"/>
      <c r="X22" s="186"/>
      <c r="Y22" s="120"/>
      <c r="Z22" s="120"/>
    </row>
    <row r="23" spans="1:26" ht="7.5" customHeight="1">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c r="A24" s="187" t="s">
        <v>126</v>
      </c>
      <c r="B24" s="187"/>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row>
    <row r="25" spans="1:26" ht="18" customHeight="1">
      <c r="A25" s="187"/>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row>
    <row r="26" spans="1:26" ht="18" customHeight="1">
      <c r="A26" s="14"/>
      <c r="B26" s="155" t="s">
        <v>100</v>
      </c>
      <c r="C26" s="156"/>
      <c r="D26" s="156"/>
      <c r="E26" s="156"/>
      <c r="F26" s="157"/>
      <c r="G26" s="30" t="s">
        <v>141</v>
      </c>
      <c r="H26" s="111" t="s">
        <v>140</v>
      </c>
      <c r="I26" s="156" t="s">
        <v>101</v>
      </c>
      <c r="J26" s="156"/>
      <c r="K26" s="156"/>
      <c r="L26" s="75" t="s">
        <v>127</v>
      </c>
      <c r="M26" s="75" t="s">
        <v>128</v>
      </c>
      <c r="N26" s="155" t="s">
        <v>100</v>
      </c>
      <c r="O26" s="156"/>
      <c r="P26" s="156"/>
      <c r="Q26" s="156"/>
      <c r="R26" s="156"/>
      <c r="S26" s="157"/>
      <c r="T26" s="30" t="s">
        <v>141</v>
      </c>
      <c r="U26" s="111" t="s">
        <v>140</v>
      </c>
      <c r="V26" s="156" t="s">
        <v>101</v>
      </c>
      <c r="W26" s="156"/>
      <c r="X26" s="156"/>
      <c r="Y26" s="75" t="s">
        <v>127</v>
      </c>
      <c r="Z26" s="75" t="s">
        <v>128</v>
      </c>
    </row>
    <row r="27" spans="1:26" ht="18" customHeight="1">
      <c r="A27" s="14"/>
      <c r="B27" s="191" t="s">
        <v>167</v>
      </c>
      <c r="C27" s="192"/>
      <c r="D27" s="192"/>
      <c r="E27" s="192"/>
      <c r="F27" s="193"/>
      <c r="G27" s="112">
        <v>2</v>
      </c>
      <c r="H27" s="112" t="s">
        <v>168</v>
      </c>
      <c r="I27" s="181" t="s">
        <v>169</v>
      </c>
      <c r="J27" s="182"/>
      <c r="K27" s="183"/>
      <c r="L27" s="112" t="s">
        <v>168</v>
      </c>
      <c r="M27" s="112" t="s">
        <v>168</v>
      </c>
      <c r="N27" s="222"/>
      <c r="O27" s="223"/>
      <c r="P27" s="223"/>
      <c r="Q27" s="223"/>
      <c r="R27" s="223"/>
      <c r="S27" s="224"/>
      <c r="T27" s="112"/>
      <c r="U27" s="112"/>
      <c r="V27" s="181"/>
      <c r="W27" s="182"/>
      <c r="X27" s="183"/>
      <c r="Y27" s="112"/>
      <c r="Z27" s="112"/>
    </row>
    <row r="28" spans="1:26" ht="18" customHeight="1">
      <c r="A28" s="14"/>
      <c r="B28" s="194"/>
      <c r="C28" s="195"/>
      <c r="D28" s="195"/>
      <c r="E28" s="195"/>
      <c r="F28" s="196"/>
      <c r="G28" s="113"/>
      <c r="H28" s="113"/>
      <c r="I28" s="178"/>
      <c r="J28" s="179"/>
      <c r="K28" s="180"/>
      <c r="L28" s="113"/>
      <c r="M28" s="113"/>
      <c r="N28" s="164"/>
      <c r="O28" s="165"/>
      <c r="P28" s="165"/>
      <c r="Q28" s="165"/>
      <c r="R28" s="165"/>
      <c r="S28" s="166"/>
      <c r="T28" s="113"/>
      <c r="U28" s="113"/>
      <c r="V28" s="178"/>
      <c r="W28" s="179"/>
      <c r="X28" s="180"/>
      <c r="Y28" s="113"/>
      <c r="Z28" s="113"/>
    </row>
    <row r="29" spans="1:26" ht="18" customHeight="1">
      <c r="A29" s="14"/>
      <c r="B29" s="194"/>
      <c r="C29" s="195"/>
      <c r="D29" s="195"/>
      <c r="E29" s="195"/>
      <c r="F29" s="196"/>
      <c r="G29" s="113"/>
      <c r="H29" s="113"/>
      <c r="I29" s="178"/>
      <c r="J29" s="179"/>
      <c r="K29" s="180"/>
      <c r="L29" s="113"/>
      <c r="M29" s="113"/>
      <c r="N29" s="164"/>
      <c r="O29" s="165"/>
      <c r="P29" s="165"/>
      <c r="Q29" s="165"/>
      <c r="R29" s="165"/>
      <c r="S29" s="166"/>
      <c r="T29" s="113"/>
      <c r="U29" s="113"/>
      <c r="V29" s="178"/>
      <c r="W29" s="179"/>
      <c r="X29" s="180"/>
      <c r="Y29" s="113"/>
      <c r="Z29" s="113"/>
    </row>
    <row r="30" spans="1:26" ht="18" customHeight="1">
      <c r="A30" s="14"/>
      <c r="B30" s="194"/>
      <c r="C30" s="195"/>
      <c r="D30" s="195"/>
      <c r="E30" s="195"/>
      <c r="F30" s="196"/>
      <c r="G30" s="113"/>
      <c r="H30" s="113"/>
      <c r="I30" s="178"/>
      <c r="J30" s="179"/>
      <c r="K30" s="180"/>
      <c r="L30" s="113"/>
      <c r="M30" s="113"/>
      <c r="N30" s="164"/>
      <c r="O30" s="165"/>
      <c r="P30" s="165"/>
      <c r="Q30" s="165"/>
      <c r="R30" s="165"/>
      <c r="S30" s="166"/>
      <c r="T30" s="113"/>
      <c r="U30" s="113"/>
      <c r="V30" s="178"/>
      <c r="W30" s="179"/>
      <c r="X30" s="180"/>
      <c r="Y30" s="113"/>
      <c r="Z30" s="113"/>
    </row>
    <row r="31" spans="1:26" ht="18" customHeight="1">
      <c r="A31" s="14"/>
      <c r="B31" s="194"/>
      <c r="C31" s="195"/>
      <c r="D31" s="195"/>
      <c r="E31" s="195"/>
      <c r="F31" s="196"/>
      <c r="G31" s="113"/>
      <c r="H31" s="113"/>
      <c r="I31" s="178"/>
      <c r="J31" s="179"/>
      <c r="K31" s="180"/>
      <c r="L31" s="113"/>
      <c r="M31" s="113"/>
      <c r="N31" s="164"/>
      <c r="O31" s="165"/>
      <c r="P31" s="165"/>
      <c r="Q31" s="165"/>
      <c r="R31" s="165"/>
      <c r="S31" s="166"/>
      <c r="T31" s="113"/>
      <c r="U31" s="113"/>
      <c r="V31" s="178"/>
      <c r="W31" s="179"/>
      <c r="X31" s="180"/>
      <c r="Y31" s="113"/>
      <c r="Z31" s="113"/>
    </row>
    <row r="32" spans="1:26" ht="18" customHeight="1">
      <c r="A32" s="14"/>
      <c r="B32" s="194"/>
      <c r="C32" s="195"/>
      <c r="D32" s="195"/>
      <c r="E32" s="195"/>
      <c r="F32" s="196"/>
      <c r="G32" s="113"/>
      <c r="H32" s="113"/>
      <c r="I32" s="178"/>
      <c r="J32" s="179"/>
      <c r="K32" s="180"/>
      <c r="L32" s="113"/>
      <c r="M32" s="113"/>
      <c r="N32" s="164"/>
      <c r="O32" s="165"/>
      <c r="P32" s="165"/>
      <c r="Q32" s="165"/>
      <c r="R32" s="165"/>
      <c r="S32" s="166"/>
      <c r="T32" s="113"/>
      <c r="U32" s="113"/>
      <c r="V32" s="178"/>
      <c r="W32" s="179"/>
      <c r="X32" s="180"/>
      <c r="Y32" s="113"/>
      <c r="Z32" s="113"/>
    </row>
    <row r="33" spans="1:26" ht="18" customHeight="1">
      <c r="A33" s="14"/>
      <c r="B33" s="243"/>
      <c r="C33" s="244"/>
      <c r="D33" s="244"/>
      <c r="E33" s="244"/>
      <c r="F33" s="245"/>
      <c r="G33" s="114"/>
      <c r="H33" s="114"/>
      <c r="I33" s="184"/>
      <c r="J33" s="185"/>
      <c r="K33" s="186"/>
      <c r="L33" s="120"/>
      <c r="M33" s="120"/>
      <c r="N33" s="188"/>
      <c r="O33" s="189"/>
      <c r="P33" s="189"/>
      <c r="Q33" s="189"/>
      <c r="R33" s="189"/>
      <c r="S33" s="190"/>
      <c r="T33" s="114"/>
      <c r="U33" s="114"/>
      <c r="V33" s="184"/>
      <c r="W33" s="185"/>
      <c r="X33" s="186"/>
      <c r="Y33" s="120"/>
      <c r="Z33" s="120"/>
    </row>
    <row r="34" spans="1:26" ht="7.5" customHeight="1">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c r="A35" s="187" t="s">
        <v>129</v>
      </c>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row>
    <row r="36" spans="1:26" ht="18" customHeight="1">
      <c r="A36" s="187"/>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row>
    <row r="37" spans="1:26" ht="18" customHeight="1">
      <c r="A37" s="14"/>
      <c r="B37" s="155" t="s">
        <v>100</v>
      </c>
      <c r="C37" s="156"/>
      <c r="D37" s="156"/>
      <c r="E37" s="156"/>
      <c r="F37" s="157"/>
      <c r="G37" s="30" t="s">
        <v>141</v>
      </c>
      <c r="H37" s="111" t="s">
        <v>140</v>
      </c>
      <c r="I37" s="155" t="s">
        <v>101</v>
      </c>
      <c r="J37" s="156"/>
      <c r="K37" s="157"/>
      <c r="L37" s="75" t="s">
        <v>130</v>
      </c>
      <c r="M37" s="75" t="s">
        <v>131</v>
      </c>
      <c r="N37" s="155" t="s">
        <v>100</v>
      </c>
      <c r="O37" s="156"/>
      <c r="P37" s="156"/>
      <c r="Q37" s="156"/>
      <c r="R37" s="156"/>
      <c r="S37" s="157"/>
      <c r="T37" s="30" t="s">
        <v>141</v>
      </c>
      <c r="U37" s="111" t="s">
        <v>140</v>
      </c>
      <c r="V37" s="155" t="s">
        <v>101</v>
      </c>
      <c r="W37" s="156"/>
      <c r="X37" s="157"/>
      <c r="Y37" s="75" t="s">
        <v>130</v>
      </c>
      <c r="Z37" s="75" t="s">
        <v>131</v>
      </c>
    </row>
    <row r="38" spans="1:26" ht="18" customHeight="1">
      <c r="A38" s="29"/>
      <c r="B38" s="191" t="s">
        <v>167</v>
      </c>
      <c r="C38" s="192"/>
      <c r="D38" s="192"/>
      <c r="E38" s="192"/>
      <c r="F38" s="193"/>
      <c r="G38" s="112">
        <v>2</v>
      </c>
      <c r="H38" s="112" t="s">
        <v>168</v>
      </c>
      <c r="I38" s="181" t="s">
        <v>169</v>
      </c>
      <c r="J38" s="182"/>
      <c r="K38" s="183"/>
      <c r="L38" s="112" t="s">
        <v>168</v>
      </c>
      <c r="M38" s="112" t="s">
        <v>168</v>
      </c>
      <c r="N38" s="222"/>
      <c r="O38" s="223"/>
      <c r="P38" s="223"/>
      <c r="Q38" s="223"/>
      <c r="R38" s="223"/>
      <c r="S38" s="224"/>
      <c r="T38" s="112"/>
      <c r="U38" s="112"/>
      <c r="V38" s="181"/>
      <c r="W38" s="182"/>
      <c r="X38" s="183"/>
      <c r="Y38" s="112"/>
      <c r="Z38" s="112"/>
    </row>
    <row r="39" spans="1:26" ht="18" customHeight="1">
      <c r="A39" s="29"/>
      <c r="B39" s="194"/>
      <c r="C39" s="195"/>
      <c r="D39" s="195"/>
      <c r="E39" s="195"/>
      <c r="F39" s="196"/>
      <c r="G39" s="113"/>
      <c r="H39" s="113"/>
      <c r="I39" s="178"/>
      <c r="J39" s="179"/>
      <c r="K39" s="180"/>
      <c r="L39" s="113"/>
      <c r="M39" s="113"/>
      <c r="N39" s="164"/>
      <c r="O39" s="165"/>
      <c r="P39" s="165"/>
      <c r="Q39" s="165"/>
      <c r="R39" s="165"/>
      <c r="S39" s="166"/>
      <c r="T39" s="113"/>
      <c r="U39" s="113"/>
      <c r="V39" s="178"/>
      <c r="W39" s="179"/>
      <c r="X39" s="180"/>
      <c r="Y39" s="113"/>
      <c r="Z39" s="113"/>
    </row>
    <row r="40" spans="1:26" ht="18" customHeight="1">
      <c r="A40" s="29"/>
      <c r="B40" s="194"/>
      <c r="C40" s="195"/>
      <c r="D40" s="195"/>
      <c r="E40" s="195"/>
      <c r="F40" s="196"/>
      <c r="G40" s="113"/>
      <c r="H40" s="113"/>
      <c r="I40" s="178"/>
      <c r="J40" s="179"/>
      <c r="K40" s="180"/>
      <c r="L40" s="113"/>
      <c r="M40" s="113"/>
      <c r="N40" s="164"/>
      <c r="O40" s="165"/>
      <c r="P40" s="165"/>
      <c r="Q40" s="165"/>
      <c r="R40" s="165"/>
      <c r="S40" s="166"/>
      <c r="T40" s="113"/>
      <c r="U40" s="113"/>
      <c r="V40" s="178"/>
      <c r="W40" s="179"/>
      <c r="X40" s="180"/>
      <c r="Y40" s="113"/>
      <c r="Z40" s="113"/>
    </row>
    <row r="41" spans="1:26" ht="18" customHeight="1">
      <c r="A41" s="29"/>
      <c r="B41" s="194"/>
      <c r="C41" s="195"/>
      <c r="D41" s="195"/>
      <c r="E41" s="195"/>
      <c r="F41" s="196"/>
      <c r="G41" s="113"/>
      <c r="H41" s="113"/>
      <c r="I41" s="178"/>
      <c r="J41" s="179"/>
      <c r="K41" s="180"/>
      <c r="L41" s="113"/>
      <c r="M41" s="113"/>
      <c r="N41" s="164"/>
      <c r="O41" s="165"/>
      <c r="P41" s="165"/>
      <c r="Q41" s="165"/>
      <c r="R41" s="165"/>
      <c r="S41" s="166"/>
      <c r="T41" s="113"/>
      <c r="U41" s="113"/>
      <c r="V41" s="178"/>
      <c r="W41" s="179"/>
      <c r="X41" s="180"/>
      <c r="Y41" s="113"/>
      <c r="Z41" s="113"/>
    </row>
    <row r="42" spans="1:26" ht="18" customHeight="1">
      <c r="A42" s="29"/>
      <c r="B42" s="194"/>
      <c r="C42" s="195"/>
      <c r="D42" s="195"/>
      <c r="E42" s="195"/>
      <c r="F42" s="196"/>
      <c r="G42" s="113"/>
      <c r="H42" s="113"/>
      <c r="I42" s="178"/>
      <c r="J42" s="179"/>
      <c r="K42" s="180"/>
      <c r="L42" s="113"/>
      <c r="M42" s="113"/>
      <c r="N42" s="164"/>
      <c r="O42" s="165"/>
      <c r="P42" s="165"/>
      <c r="Q42" s="165"/>
      <c r="R42" s="165"/>
      <c r="S42" s="166"/>
      <c r="T42" s="113"/>
      <c r="U42" s="113"/>
      <c r="V42" s="178"/>
      <c r="W42" s="179"/>
      <c r="X42" s="180"/>
      <c r="Y42" s="113"/>
      <c r="Z42" s="113"/>
    </row>
    <row r="43" spans="1:26" ht="18" customHeight="1">
      <c r="A43" s="29"/>
      <c r="B43" s="194"/>
      <c r="C43" s="195"/>
      <c r="D43" s="195"/>
      <c r="E43" s="195"/>
      <c r="F43" s="196"/>
      <c r="G43" s="113"/>
      <c r="H43" s="113"/>
      <c r="I43" s="178"/>
      <c r="J43" s="179"/>
      <c r="K43" s="180"/>
      <c r="L43" s="113"/>
      <c r="M43" s="113"/>
      <c r="N43" s="164"/>
      <c r="O43" s="165"/>
      <c r="P43" s="165"/>
      <c r="Q43" s="165"/>
      <c r="R43" s="165"/>
      <c r="S43" s="166"/>
      <c r="T43" s="113"/>
      <c r="U43" s="113"/>
      <c r="V43" s="178"/>
      <c r="W43" s="179"/>
      <c r="X43" s="180"/>
      <c r="Y43" s="113"/>
      <c r="Z43" s="113"/>
    </row>
    <row r="44" spans="1:26" ht="18" customHeight="1">
      <c r="A44" s="29"/>
      <c r="B44" s="243"/>
      <c r="C44" s="244"/>
      <c r="D44" s="244"/>
      <c r="E44" s="244"/>
      <c r="F44" s="245"/>
      <c r="G44" s="114"/>
      <c r="H44" s="114"/>
      <c r="I44" s="184"/>
      <c r="J44" s="185"/>
      <c r="K44" s="186"/>
      <c r="L44" s="120"/>
      <c r="M44" s="120"/>
      <c r="N44" s="188"/>
      <c r="O44" s="189"/>
      <c r="P44" s="189"/>
      <c r="Q44" s="189"/>
      <c r="R44" s="189"/>
      <c r="S44" s="190"/>
      <c r="T44" s="114"/>
      <c r="U44" s="114"/>
      <c r="V44" s="184"/>
      <c r="W44" s="185"/>
      <c r="X44" s="186"/>
      <c r="Y44" s="120"/>
      <c r="Z44" s="120"/>
    </row>
    <row r="45" spans="1:26" ht="7.5" customHeight="1">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c r="A46" s="187" t="s">
        <v>132</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row>
    <row r="47" spans="1:26" ht="18" customHeight="1">
      <c r="A47" s="187"/>
      <c r="B47" s="18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row>
    <row r="48" spans="1:26" ht="18" customHeight="1">
      <c r="A48" s="14"/>
      <c r="B48" s="155" t="s">
        <v>100</v>
      </c>
      <c r="C48" s="156"/>
      <c r="D48" s="156"/>
      <c r="E48" s="156"/>
      <c r="F48" s="157"/>
      <c r="G48" s="30" t="s">
        <v>141</v>
      </c>
      <c r="H48" s="111" t="s">
        <v>140</v>
      </c>
      <c r="I48" s="155" t="s">
        <v>101</v>
      </c>
      <c r="J48" s="156"/>
      <c r="K48" s="157"/>
      <c r="L48" s="75" t="s">
        <v>106</v>
      </c>
      <c r="M48" s="75" t="s">
        <v>108</v>
      </c>
      <c r="N48" s="155" t="s">
        <v>100</v>
      </c>
      <c r="O48" s="156"/>
      <c r="P48" s="156"/>
      <c r="Q48" s="156"/>
      <c r="R48" s="156"/>
      <c r="S48" s="157"/>
      <c r="T48" s="30" t="s">
        <v>141</v>
      </c>
      <c r="U48" s="111" t="s">
        <v>140</v>
      </c>
      <c r="V48" s="155" t="s">
        <v>101</v>
      </c>
      <c r="W48" s="156"/>
      <c r="X48" s="157"/>
      <c r="Y48" s="75" t="s">
        <v>106</v>
      </c>
      <c r="Z48" s="75" t="s">
        <v>108</v>
      </c>
    </row>
    <row r="49" spans="1:26" ht="18" customHeight="1">
      <c r="A49" s="29"/>
      <c r="B49" s="191" t="s">
        <v>167</v>
      </c>
      <c r="C49" s="192"/>
      <c r="D49" s="192"/>
      <c r="E49" s="192"/>
      <c r="F49" s="193"/>
      <c r="G49" s="112">
        <v>2</v>
      </c>
      <c r="H49" s="112" t="s">
        <v>168</v>
      </c>
      <c r="I49" s="181" t="s">
        <v>169</v>
      </c>
      <c r="J49" s="182"/>
      <c r="K49" s="183"/>
      <c r="L49" s="112" t="s">
        <v>168</v>
      </c>
      <c r="M49" s="112" t="s">
        <v>168</v>
      </c>
      <c r="N49" s="222"/>
      <c r="O49" s="223"/>
      <c r="P49" s="223"/>
      <c r="Q49" s="223"/>
      <c r="R49" s="223"/>
      <c r="S49" s="224"/>
      <c r="T49" s="112"/>
      <c r="U49" s="112"/>
      <c r="V49" s="181"/>
      <c r="W49" s="182"/>
      <c r="X49" s="183"/>
      <c r="Y49" s="112"/>
      <c r="Z49" s="112"/>
    </row>
    <row r="50" spans="1:26" ht="18" customHeight="1">
      <c r="A50" s="29"/>
      <c r="B50" s="194"/>
      <c r="C50" s="195"/>
      <c r="D50" s="195"/>
      <c r="E50" s="195"/>
      <c r="F50" s="196"/>
      <c r="G50" s="113"/>
      <c r="H50" s="113"/>
      <c r="I50" s="178"/>
      <c r="J50" s="179"/>
      <c r="K50" s="180"/>
      <c r="L50" s="113"/>
      <c r="M50" s="113"/>
      <c r="N50" s="164"/>
      <c r="O50" s="165"/>
      <c r="P50" s="165"/>
      <c r="Q50" s="165"/>
      <c r="R50" s="165"/>
      <c r="S50" s="166"/>
      <c r="T50" s="113"/>
      <c r="U50" s="113"/>
      <c r="V50" s="178"/>
      <c r="W50" s="179"/>
      <c r="X50" s="180"/>
      <c r="Y50" s="113"/>
      <c r="Z50" s="113"/>
    </row>
    <row r="51" spans="1:26" ht="18" customHeight="1">
      <c r="A51" s="29"/>
      <c r="B51" s="194"/>
      <c r="C51" s="195"/>
      <c r="D51" s="195"/>
      <c r="E51" s="195"/>
      <c r="F51" s="196"/>
      <c r="G51" s="113"/>
      <c r="H51" s="113"/>
      <c r="I51" s="178"/>
      <c r="J51" s="179"/>
      <c r="K51" s="180"/>
      <c r="L51" s="113"/>
      <c r="M51" s="113"/>
      <c r="N51" s="164"/>
      <c r="O51" s="165"/>
      <c r="P51" s="165"/>
      <c r="Q51" s="165"/>
      <c r="R51" s="165"/>
      <c r="S51" s="166"/>
      <c r="T51" s="113"/>
      <c r="U51" s="113"/>
      <c r="V51" s="178"/>
      <c r="W51" s="179"/>
      <c r="X51" s="180"/>
      <c r="Y51" s="113"/>
      <c r="Z51" s="113"/>
    </row>
    <row r="52" spans="1:26" ht="18" customHeight="1">
      <c r="A52" s="29"/>
      <c r="B52" s="194"/>
      <c r="C52" s="195"/>
      <c r="D52" s="195"/>
      <c r="E52" s="195"/>
      <c r="F52" s="196"/>
      <c r="G52" s="113"/>
      <c r="H52" s="113"/>
      <c r="I52" s="178"/>
      <c r="J52" s="179"/>
      <c r="K52" s="180"/>
      <c r="L52" s="113"/>
      <c r="M52" s="113"/>
      <c r="N52" s="164"/>
      <c r="O52" s="165"/>
      <c r="P52" s="165"/>
      <c r="Q52" s="165"/>
      <c r="R52" s="165"/>
      <c r="S52" s="166"/>
      <c r="T52" s="113"/>
      <c r="U52" s="113"/>
      <c r="V52" s="178"/>
      <c r="W52" s="179"/>
      <c r="X52" s="180"/>
      <c r="Y52" s="113"/>
      <c r="Z52" s="113"/>
    </row>
    <row r="53" spans="1:26" ht="18" customHeight="1">
      <c r="A53" s="29"/>
      <c r="B53" s="194"/>
      <c r="C53" s="195"/>
      <c r="D53" s="195"/>
      <c r="E53" s="195"/>
      <c r="F53" s="196"/>
      <c r="G53" s="113"/>
      <c r="H53" s="113"/>
      <c r="I53" s="178"/>
      <c r="J53" s="179"/>
      <c r="K53" s="180"/>
      <c r="L53" s="113"/>
      <c r="M53" s="113"/>
      <c r="N53" s="164"/>
      <c r="O53" s="165"/>
      <c r="P53" s="165"/>
      <c r="Q53" s="165"/>
      <c r="R53" s="165"/>
      <c r="S53" s="166"/>
      <c r="T53" s="113"/>
      <c r="U53" s="113"/>
      <c r="V53" s="178"/>
      <c r="W53" s="179"/>
      <c r="X53" s="180"/>
      <c r="Y53" s="113"/>
      <c r="Z53" s="113"/>
    </row>
    <row r="54" spans="1:26" ht="18" customHeight="1">
      <c r="A54" s="29"/>
      <c r="B54" s="194"/>
      <c r="C54" s="195"/>
      <c r="D54" s="195"/>
      <c r="E54" s="195"/>
      <c r="F54" s="196"/>
      <c r="G54" s="113"/>
      <c r="H54" s="113"/>
      <c r="I54" s="178"/>
      <c r="J54" s="179"/>
      <c r="K54" s="180"/>
      <c r="L54" s="113"/>
      <c r="M54" s="113"/>
      <c r="N54" s="164"/>
      <c r="O54" s="165"/>
      <c r="P54" s="165"/>
      <c r="Q54" s="165"/>
      <c r="R54" s="165"/>
      <c r="S54" s="166"/>
      <c r="T54" s="113"/>
      <c r="U54" s="113"/>
      <c r="V54" s="178"/>
      <c r="W54" s="179"/>
      <c r="X54" s="180"/>
      <c r="Y54" s="113"/>
      <c r="Z54" s="113"/>
    </row>
    <row r="55" spans="1:26" ht="18" customHeight="1">
      <c r="A55" s="29"/>
      <c r="B55" s="243"/>
      <c r="C55" s="244"/>
      <c r="D55" s="244"/>
      <c r="E55" s="244"/>
      <c r="F55" s="245"/>
      <c r="G55" s="114"/>
      <c r="H55" s="114"/>
      <c r="I55" s="184"/>
      <c r="J55" s="185"/>
      <c r="K55" s="186"/>
      <c r="L55" s="120"/>
      <c r="M55" s="120"/>
      <c r="N55" s="188"/>
      <c r="O55" s="189"/>
      <c r="P55" s="189"/>
      <c r="Q55" s="189"/>
      <c r="R55" s="189"/>
      <c r="S55" s="190"/>
      <c r="T55" s="114"/>
      <c r="U55" s="114"/>
      <c r="V55" s="184"/>
      <c r="W55" s="185"/>
      <c r="X55" s="186"/>
      <c r="Y55" s="120"/>
      <c r="Z55" s="120"/>
    </row>
    <row r="56" spans="1:26" ht="7.5" customHeight="1">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c r="A57" s="187" t="s">
        <v>133</v>
      </c>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row>
    <row r="58" spans="1:26" ht="18" customHeight="1">
      <c r="A58" s="187"/>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row>
    <row r="59" spans="1:26" ht="18" customHeight="1">
      <c r="A59" s="14"/>
      <c r="B59" s="155" t="s">
        <v>100</v>
      </c>
      <c r="C59" s="156"/>
      <c r="D59" s="156"/>
      <c r="E59" s="157"/>
      <c r="F59" s="30" t="s">
        <v>141</v>
      </c>
      <c r="G59" s="111" t="s">
        <v>140</v>
      </c>
      <c r="H59" s="106" t="s">
        <v>101</v>
      </c>
      <c r="I59" s="107"/>
      <c r="J59" s="108"/>
      <c r="K59" s="75" t="s">
        <v>105</v>
      </c>
      <c r="L59" s="75" t="s">
        <v>134</v>
      </c>
      <c r="M59" s="75" t="s">
        <v>135</v>
      </c>
      <c r="N59" s="155" t="s">
        <v>100</v>
      </c>
      <c r="O59" s="156"/>
      <c r="P59" s="156"/>
      <c r="Q59" s="156"/>
      <c r="R59" s="157"/>
      <c r="S59" s="30" t="s">
        <v>141</v>
      </c>
      <c r="T59" s="111" t="s">
        <v>140</v>
      </c>
      <c r="U59" s="106" t="s">
        <v>101</v>
      </c>
      <c r="V59" s="107"/>
      <c r="W59" s="108"/>
      <c r="X59" s="75" t="s">
        <v>105</v>
      </c>
      <c r="Y59" s="75" t="s">
        <v>134</v>
      </c>
      <c r="Z59" s="75" t="s">
        <v>135</v>
      </c>
    </row>
    <row r="60" spans="1:26" ht="18" customHeight="1">
      <c r="A60" s="29"/>
      <c r="B60" s="222" t="s">
        <v>167</v>
      </c>
      <c r="C60" s="223"/>
      <c r="D60" s="223"/>
      <c r="E60" s="224"/>
      <c r="F60" s="112">
        <v>2</v>
      </c>
      <c r="G60" s="112" t="s">
        <v>168</v>
      </c>
      <c r="H60" s="181" t="s">
        <v>169</v>
      </c>
      <c r="I60" s="182"/>
      <c r="J60" s="183"/>
      <c r="K60" s="112" t="s">
        <v>168</v>
      </c>
      <c r="L60" s="112" t="s">
        <v>168</v>
      </c>
      <c r="M60" s="112" t="s">
        <v>168</v>
      </c>
      <c r="N60" s="222"/>
      <c r="O60" s="223"/>
      <c r="P60" s="223"/>
      <c r="Q60" s="223"/>
      <c r="R60" s="224"/>
      <c r="S60" s="112"/>
      <c r="T60" s="112"/>
      <c r="U60" s="181"/>
      <c r="V60" s="182"/>
      <c r="W60" s="183"/>
      <c r="X60" s="126"/>
      <c r="Y60" s="112"/>
      <c r="Z60" s="112"/>
    </row>
    <row r="61" spans="1:26" ht="18" customHeight="1">
      <c r="A61" s="29"/>
      <c r="B61" s="164" t="s">
        <v>187</v>
      </c>
      <c r="C61" s="165"/>
      <c r="D61" s="165"/>
      <c r="E61" s="166"/>
      <c r="F61" s="113">
        <v>2</v>
      </c>
      <c r="G61" s="113" t="s">
        <v>168</v>
      </c>
      <c r="H61" s="178" t="s">
        <v>171</v>
      </c>
      <c r="I61" s="179"/>
      <c r="J61" s="180"/>
      <c r="K61" s="124" t="s">
        <v>172</v>
      </c>
      <c r="L61" s="113" t="s">
        <v>168</v>
      </c>
      <c r="M61" s="113"/>
      <c r="N61" s="164"/>
      <c r="O61" s="165"/>
      <c r="P61" s="165"/>
      <c r="Q61" s="165"/>
      <c r="R61" s="166"/>
      <c r="S61" s="113"/>
      <c r="T61" s="113"/>
      <c r="U61" s="178"/>
      <c r="V61" s="179"/>
      <c r="W61" s="180"/>
      <c r="X61" s="124"/>
      <c r="Y61" s="113"/>
      <c r="Z61" s="113"/>
    </row>
    <row r="62" spans="1:26" ht="18" customHeight="1">
      <c r="A62" s="29"/>
      <c r="B62" s="164"/>
      <c r="C62" s="165"/>
      <c r="D62" s="165"/>
      <c r="E62" s="166"/>
      <c r="F62" s="113"/>
      <c r="G62" s="113"/>
      <c r="H62" s="178"/>
      <c r="I62" s="179"/>
      <c r="J62" s="180"/>
      <c r="K62" s="124"/>
      <c r="L62" s="113"/>
      <c r="M62" s="113"/>
      <c r="N62" s="164"/>
      <c r="O62" s="165"/>
      <c r="P62" s="165"/>
      <c r="Q62" s="165"/>
      <c r="R62" s="166"/>
      <c r="S62" s="113"/>
      <c r="T62" s="113"/>
      <c r="U62" s="178"/>
      <c r="V62" s="179"/>
      <c r="W62" s="180"/>
      <c r="X62" s="124"/>
      <c r="Y62" s="113"/>
      <c r="Z62" s="113"/>
    </row>
    <row r="63" spans="1:26" ht="18" customHeight="1">
      <c r="A63" s="29"/>
      <c r="B63" s="164"/>
      <c r="C63" s="165"/>
      <c r="D63" s="165"/>
      <c r="E63" s="166"/>
      <c r="F63" s="113"/>
      <c r="G63" s="113"/>
      <c r="H63" s="178"/>
      <c r="I63" s="179"/>
      <c r="J63" s="180"/>
      <c r="K63" s="124"/>
      <c r="L63" s="113"/>
      <c r="M63" s="113"/>
      <c r="N63" s="164"/>
      <c r="O63" s="165"/>
      <c r="P63" s="165"/>
      <c r="Q63" s="165"/>
      <c r="R63" s="166"/>
      <c r="S63" s="113"/>
      <c r="T63" s="113"/>
      <c r="U63" s="178"/>
      <c r="V63" s="179"/>
      <c r="W63" s="180"/>
      <c r="X63" s="124"/>
      <c r="Y63" s="113"/>
      <c r="Z63" s="113"/>
    </row>
    <row r="64" spans="1:26" ht="18" customHeight="1">
      <c r="A64" s="29"/>
      <c r="B64" s="164"/>
      <c r="C64" s="165"/>
      <c r="D64" s="165"/>
      <c r="E64" s="166"/>
      <c r="F64" s="113"/>
      <c r="G64" s="113"/>
      <c r="H64" s="178"/>
      <c r="I64" s="179"/>
      <c r="J64" s="180"/>
      <c r="K64" s="124"/>
      <c r="L64" s="113"/>
      <c r="M64" s="113"/>
      <c r="N64" s="164"/>
      <c r="O64" s="165"/>
      <c r="P64" s="165"/>
      <c r="Q64" s="165"/>
      <c r="R64" s="166"/>
      <c r="S64" s="113"/>
      <c r="T64" s="113"/>
      <c r="U64" s="178"/>
      <c r="V64" s="179"/>
      <c r="W64" s="180"/>
      <c r="X64" s="124"/>
      <c r="Y64" s="113"/>
      <c r="Z64" s="113"/>
    </row>
    <row r="65" spans="1:26" ht="18" customHeight="1">
      <c r="A65" s="29"/>
      <c r="B65" s="164"/>
      <c r="C65" s="165"/>
      <c r="D65" s="165"/>
      <c r="E65" s="166"/>
      <c r="F65" s="113"/>
      <c r="G65" s="113"/>
      <c r="H65" s="178"/>
      <c r="I65" s="179"/>
      <c r="J65" s="180"/>
      <c r="K65" s="124"/>
      <c r="L65" s="113"/>
      <c r="M65" s="113"/>
      <c r="N65" s="164"/>
      <c r="O65" s="165"/>
      <c r="P65" s="165"/>
      <c r="Q65" s="165"/>
      <c r="R65" s="166"/>
      <c r="S65" s="113"/>
      <c r="T65" s="113"/>
      <c r="U65" s="178"/>
      <c r="V65" s="179"/>
      <c r="W65" s="180"/>
      <c r="X65" s="124"/>
      <c r="Y65" s="113"/>
      <c r="Z65" s="113"/>
    </row>
    <row r="66" spans="1:26" ht="18" customHeight="1">
      <c r="A66" s="29"/>
      <c r="B66" s="188"/>
      <c r="C66" s="189"/>
      <c r="D66" s="189"/>
      <c r="E66" s="190"/>
      <c r="F66" s="114"/>
      <c r="G66" s="114"/>
      <c r="H66" s="184"/>
      <c r="I66" s="185"/>
      <c r="J66" s="186"/>
      <c r="K66" s="125"/>
      <c r="L66" s="120"/>
      <c r="M66" s="120"/>
      <c r="N66" s="188"/>
      <c r="O66" s="189"/>
      <c r="P66" s="189"/>
      <c r="Q66" s="189"/>
      <c r="R66" s="190"/>
      <c r="S66" s="114"/>
      <c r="T66" s="114"/>
      <c r="U66" s="184"/>
      <c r="V66" s="185"/>
      <c r="W66" s="186"/>
      <c r="X66" s="125"/>
      <c r="Y66" s="120"/>
      <c r="Z66" s="120"/>
    </row>
    <row r="67" spans="1:26" ht="7.5" customHeight="1">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55" t="s">
        <v>100</v>
      </c>
      <c r="C69" s="156"/>
      <c r="D69" s="156"/>
      <c r="E69" s="156"/>
      <c r="F69" s="157"/>
      <c r="G69" s="155" t="s">
        <v>146</v>
      </c>
      <c r="H69" s="156"/>
      <c r="I69" s="156"/>
      <c r="J69" s="156"/>
      <c r="K69" s="156"/>
      <c r="L69" s="156"/>
      <c r="M69" s="157"/>
      <c r="N69" s="225" t="s">
        <v>100</v>
      </c>
      <c r="O69" s="226"/>
      <c r="P69" s="226"/>
      <c r="Q69" s="226"/>
      <c r="R69" s="226"/>
      <c r="S69" s="227"/>
      <c r="T69" s="155" t="s">
        <v>146</v>
      </c>
      <c r="U69" s="156"/>
      <c r="V69" s="156"/>
      <c r="W69" s="156"/>
      <c r="X69" s="156"/>
      <c r="Y69" s="156"/>
      <c r="Z69" s="157"/>
    </row>
    <row r="70" spans="1:26" ht="18" customHeight="1">
      <c r="A70" s="29"/>
      <c r="B70" s="222" t="s">
        <v>167</v>
      </c>
      <c r="C70" s="223"/>
      <c r="D70" s="223"/>
      <c r="E70" s="223"/>
      <c r="F70" s="224"/>
      <c r="G70" s="228" t="s">
        <v>173</v>
      </c>
      <c r="H70" s="229"/>
      <c r="I70" s="229"/>
      <c r="J70" s="229"/>
      <c r="K70" s="229"/>
      <c r="L70" s="229"/>
      <c r="M70" s="230"/>
      <c r="N70" s="222"/>
      <c r="O70" s="223"/>
      <c r="P70" s="223"/>
      <c r="Q70" s="223"/>
      <c r="R70" s="223"/>
      <c r="S70" s="224"/>
      <c r="T70" s="228"/>
      <c r="U70" s="229"/>
      <c r="V70" s="229"/>
      <c r="W70" s="229"/>
      <c r="X70" s="229"/>
      <c r="Y70" s="229"/>
      <c r="Z70" s="230"/>
    </row>
    <row r="71" spans="1:26" ht="18" customHeight="1">
      <c r="A71" s="29"/>
      <c r="B71" s="164" t="s">
        <v>167</v>
      </c>
      <c r="C71" s="165"/>
      <c r="D71" s="165"/>
      <c r="E71" s="165"/>
      <c r="F71" s="166"/>
      <c r="G71" s="167" t="s">
        <v>174</v>
      </c>
      <c r="H71" s="168"/>
      <c r="I71" s="168"/>
      <c r="J71" s="168"/>
      <c r="K71" s="168"/>
      <c r="L71" s="168"/>
      <c r="M71" s="169"/>
      <c r="N71" s="164"/>
      <c r="O71" s="165"/>
      <c r="P71" s="165"/>
      <c r="Q71" s="165"/>
      <c r="R71" s="165"/>
      <c r="S71" s="166"/>
      <c r="T71" s="167"/>
      <c r="U71" s="168"/>
      <c r="V71" s="168"/>
      <c r="W71" s="168"/>
      <c r="X71" s="168"/>
      <c r="Y71" s="168"/>
      <c r="Z71" s="169"/>
    </row>
    <row r="72" spans="1:26" ht="18" customHeight="1">
      <c r="A72" s="29"/>
      <c r="B72" s="164"/>
      <c r="C72" s="165"/>
      <c r="D72" s="165"/>
      <c r="E72" s="165"/>
      <c r="F72" s="166"/>
      <c r="G72" s="167"/>
      <c r="H72" s="168"/>
      <c r="I72" s="168"/>
      <c r="J72" s="168"/>
      <c r="K72" s="168"/>
      <c r="L72" s="168"/>
      <c r="M72" s="169"/>
      <c r="N72" s="164"/>
      <c r="O72" s="165"/>
      <c r="P72" s="165"/>
      <c r="Q72" s="165"/>
      <c r="R72" s="165"/>
      <c r="S72" s="166"/>
      <c r="T72" s="167"/>
      <c r="U72" s="168"/>
      <c r="V72" s="168"/>
      <c r="W72" s="168"/>
      <c r="X72" s="168"/>
      <c r="Y72" s="168"/>
      <c r="Z72" s="169"/>
    </row>
    <row r="73" spans="1:26" ht="18" customHeight="1">
      <c r="A73" s="29"/>
      <c r="B73" s="164"/>
      <c r="C73" s="165"/>
      <c r="D73" s="165"/>
      <c r="E73" s="165"/>
      <c r="F73" s="166"/>
      <c r="G73" s="167"/>
      <c r="H73" s="168"/>
      <c r="I73" s="168"/>
      <c r="J73" s="168"/>
      <c r="K73" s="168"/>
      <c r="L73" s="168"/>
      <c r="M73" s="169"/>
      <c r="N73" s="164"/>
      <c r="O73" s="165"/>
      <c r="P73" s="165"/>
      <c r="Q73" s="165"/>
      <c r="R73" s="165"/>
      <c r="S73" s="166"/>
      <c r="T73" s="167"/>
      <c r="U73" s="168"/>
      <c r="V73" s="168"/>
      <c r="W73" s="168"/>
      <c r="X73" s="168"/>
      <c r="Y73" s="168"/>
      <c r="Z73" s="169"/>
    </row>
    <row r="74" spans="1:26" ht="18" customHeight="1">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c r="A76" s="29"/>
      <c r="B76" s="188"/>
      <c r="C76" s="189"/>
      <c r="D76" s="189"/>
      <c r="E76" s="189"/>
      <c r="F76" s="190"/>
      <c r="G76" s="207"/>
      <c r="H76" s="208"/>
      <c r="I76" s="208"/>
      <c r="J76" s="208"/>
      <c r="K76" s="208"/>
      <c r="L76" s="208"/>
      <c r="M76" s="209"/>
      <c r="N76" s="188"/>
      <c r="O76" s="189"/>
      <c r="P76" s="189"/>
      <c r="Q76" s="189"/>
      <c r="R76" s="189"/>
      <c r="S76" s="190"/>
      <c r="T76" s="207"/>
      <c r="U76" s="208"/>
      <c r="V76" s="208"/>
      <c r="W76" s="208"/>
      <c r="X76" s="208"/>
      <c r="Y76" s="208"/>
      <c r="Z76" s="209"/>
    </row>
    <row r="77" spans="1:26" ht="18" customHeight="1">
      <c r="A77" s="29"/>
      <c r="B77" s="121"/>
      <c r="C77" s="121"/>
      <c r="D77" s="121"/>
      <c r="E77" s="121"/>
      <c r="F77" s="121"/>
      <c r="G77" s="12"/>
      <c r="H77" s="12"/>
      <c r="I77" s="12"/>
      <c r="J77" s="12"/>
      <c r="K77" s="12"/>
      <c r="L77" s="12"/>
      <c r="M77" s="12"/>
      <c r="N77" s="121"/>
      <c r="O77" s="121"/>
      <c r="P77" s="121"/>
      <c r="Q77" s="121"/>
      <c r="R77" s="121"/>
      <c r="S77" s="121"/>
      <c r="T77" s="12"/>
      <c r="U77" s="12"/>
      <c r="V77" s="12"/>
      <c r="W77" s="12"/>
      <c r="X77" s="12"/>
      <c r="Y77" s="12"/>
      <c r="Z77" s="12"/>
    </row>
    <row r="78" spans="1:26" ht="18.75" customHeight="1">
      <c r="A78" s="13" t="s">
        <v>142</v>
      </c>
    </row>
    <row r="79" spans="1:26" ht="18.75" customHeight="1">
      <c r="B79" s="78" t="s">
        <v>102</v>
      </c>
      <c r="C79" s="79"/>
      <c r="D79" s="156" t="s">
        <v>103</v>
      </c>
      <c r="E79" s="156"/>
      <c r="F79" s="156"/>
      <c r="G79" s="156"/>
      <c r="H79" s="156"/>
      <c r="I79" s="156"/>
      <c r="J79" s="156"/>
      <c r="K79" s="156"/>
      <c r="L79" s="156"/>
      <c r="M79" s="156"/>
      <c r="N79" s="156"/>
      <c r="O79" s="156"/>
      <c r="P79" s="156"/>
      <c r="Q79" s="156"/>
      <c r="R79" s="156"/>
      <c r="S79" s="156"/>
      <c r="T79" s="156"/>
      <c r="U79" s="156"/>
      <c r="V79" s="156"/>
      <c r="W79" s="156"/>
      <c r="X79" s="156"/>
      <c r="Y79" s="156"/>
      <c r="Z79" s="157"/>
    </row>
    <row r="80" spans="1:26" ht="78" customHeight="1">
      <c r="B80" s="175" t="s">
        <v>109</v>
      </c>
      <c r="C80" s="85" t="s">
        <v>104</v>
      </c>
      <c r="D80" s="171" t="s">
        <v>177</v>
      </c>
      <c r="E80" s="171"/>
      <c r="F80" s="171"/>
      <c r="G80" s="171"/>
      <c r="H80" s="171"/>
      <c r="I80" s="171"/>
      <c r="J80" s="171"/>
      <c r="K80" s="171"/>
      <c r="L80" s="171"/>
      <c r="M80" s="171"/>
      <c r="N80" s="171"/>
      <c r="O80" s="171"/>
      <c r="P80" s="171"/>
      <c r="Q80" s="171"/>
      <c r="R80" s="171"/>
      <c r="S80" s="171"/>
      <c r="T80" s="171"/>
      <c r="U80" s="171"/>
      <c r="V80" s="171"/>
      <c r="W80" s="171"/>
      <c r="X80" s="171"/>
      <c r="Y80" s="171"/>
      <c r="Z80" s="172"/>
    </row>
    <row r="81" spans="1:26" ht="78" customHeight="1">
      <c r="B81" s="177"/>
      <c r="C81" s="109" t="s">
        <v>137</v>
      </c>
      <c r="D81" s="210" t="s">
        <v>178</v>
      </c>
      <c r="E81" s="210"/>
      <c r="F81" s="210"/>
      <c r="G81" s="210"/>
      <c r="H81" s="210"/>
      <c r="I81" s="210"/>
      <c r="J81" s="210"/>
      <c r="K81" s="210"/>
      <c r="L81" s="210"/>
      <c r="M81" s="210"/>
      <c r="N81" s="210"/>
      <c r="O81" s="210"/>
      <c r="P81" s="210"/>
      <c r="Q81" s="210"/>
      <c r="R81" s="210"/>
      <c r="S81" s="210"/>
      <c r="T81" s="210"/>
      <c r="U81" s="210"/>
      <c r="V81" s="210"/>
      <c r="W81" s="210"/>
      <c r="X81" s="210"/>
      <c r="Y81" s="210"/>
      <c r="Z81" s="211"/>
    </row>
    <row r="82" spans="1:26" ht="78" customHeight="1">
      <c r="B82" s="175" t="s">
        <v>110</v>
      </c>
      <c r="C82" s="80" t="s">
        <v>127</v>
      </c>
      <c r="D82" s="212" t="s">
        <v>175</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c r="B83" s="176"/>
      <c r="C83" s="110" t="s">
        <v>128</v>
      </c>
      <c r="D83" s="216" t="s">
        <v>176</v>
      </c>
      <c r="E83" s="216"/>
      <c r="F83" s="216"/>
      <c r="G83" s="216"/>
      <c r="H83" s="216"/>
      <c r="I83" s="216"/>
      <c r="J83" s="216"/>
      <c r="K83" s="216"/>
      <c r="L83" s="216"/>
      <c r="M83" s="216"/>
      <c r="N83" s="216"/>
      <c r="O83" s="216"/>
      <c r="P83" s="216"/>
      <c r="Q83" s="216"/>
      <c r="R83" s="216"/>
      <c r="S83" s="216"/>
      <c r="T83" s="216"/>
      <c r="U83" s="216"/>
      <c r="V83" s="216"/>
      <c r="W83" s="216"/>
      <c r="X83" s="216"/>
      <c r="Y83" s="216"/>
      <c r="Z83" s="217"/>
    </row>
    <row r="84" spans="1:26" ht="66" customHeight="1">
      <c r="B84" s="175" t="s">
        <v>111</v>
      </c>
      <c r="C84" s="80" t="s">
        <v>130</v>
      </c>
      <c r="D84" s="218" t="s">
        <v>179</v>
      </c>
      <c r="E84" s="212"/>
      <c r="F84" s="212"/>
      <c r="G84" s="212"/>
      <c r="H84" s="212"/>
      <c r="I84" s="212"/>
      <c r="J84" s="212"/>
      <c r="K84" s="212"/>
      <c r="L84" s="212"/>
      <c r="M84" s="212"/>
      <c r="N84" s="212"/>
      <c r="O84" s="212"/>
      <c r="P84" s="212"/>
      <c r="Q84" s="212"/>
      <c r="R84" s="212"/>
      <c r="S84" s="212"/>
      <c r="T84" s="212"/>
      <c r="U84" s="212"/>
      <c r="V84" s="212"/>
      <c r="W84" s="212"/>
      <c r="X84" s="212"/>
      <c r="Y84" s="212"/>
      <c r="Z84" s="213"/>
    </row>
    <row r="85" spans="1:26" ht="66" customHeight="1">
      <c r="B85" s="176"/>
      <c r="C85" s="82" t="s">
        <v>131</v>
      </c>
      <c r="D85" s="214" t="s">
        <v>180</v>
      </c>
      <c r="E85" s="214"/>
      <c r="F85" s="214"/>
      <c r="G85" s="214"/>
      <c r="H85" s="214"/>
      <c r="I85" s="214"/>
      <c r="J85" s="214"/>
      <c r="K85" s="214"/>
      <c r="L85" s="214"/>
      <c r="M85" s="214"/>
      <c r="N85" s="214"/>
      <c r="O85" s="214"/>
      <c r="P85" s="214"/>
      <c r="Q85" s="214"/>
      <c r="R85" s="214"/>
      <c r="S85" s="214"/>
      <c r="T85" s="214"/>
      <c r="U85" s="214"/>
      <c r="V85" s="214"/>
      <c r="W85" s="214"/>
      <c r="X85" s="214"/>
      <c r="Y85" s="214"/>
      <c r="Z85" s="215"/>
    </row>
    <row r="86" spans="1:26" ht="66" customHeight="1">
      <c r="B86" s="175" t="s">
        <v>138</v>
      </c>
      <c r="C86" s="85" t="s">
        <v>106</v>
      </c>
      <c r="D86" s="170" t="s">
        <v>181</v>
      </c>
      <c r="E86" s="171"/>
      <c r="F86" s="171"/>
      <c r="G86" s="171"/>
      <c r="H86" s="171"/>
      <c r="I86" s="171"/>
      <c r="J86" s="171"/>
      <c r="K86" s="171"/>
      <c r="L86" s="171"/>
      <c r="M86" s="171"/>
      <c r="N86" s="171"/>
      <c r="O86" s="171"/>
      <c r="P86" s="171"/>
      <c r="Q86" s="171"/>
      <c r="R86" s="171"/>
      <c r="S86" s="171"/>
      <c r="T86" s="171"/>
      <c r="U86" s="171"/>
      <c r="V86" s="171"/>
      <c r="W86" s="171"/>
      <c r="X86" s="171"/>
      <c r="Y86" s="171"/>
      <c r="Z86" s="172"/>
    </row>
    <row r="87" spans="1:26" ht="66" customHeight="1">
      <c r="B87" s="177"/>
      <c r="C87" s="81" t="s">
        <v>108</v>
      </c>
      <c r="D87" s="173" t="s">
        <v>182</v>
      </c>
      <c r="E87" s="173"/>
      <c r="F87" s="173"/>
      <c r="G87" s="173"/>
      <c r="H87" s="173"/>
      <c r="I87" s="173"/>
      <c r="J87" s="173"/>
      <c r="K87" s="173"/>
      <c r="L87" s="173"/>
      <c r="M87" s="173"/>
      <c r="N87" s="173"/>
      <c r="O87" s="173"/>
      <c r="P87" s="173"/>
      <c r="Q87" s="173"/>
      <c r="R87" s="173"/>
      <c r="S87" s="173"/>
      <c r="T87" s="173"/>
      <c r="U87" s="173"/>
      <c r="V87" s="173"/>
      <c r="W87" s="173"/>
      <c r="X87" s="173"/>
      <c r="Y87" s="173"/>
      <c r="Z87" s="174"/>
    </row>
    <row r="88" spans="1:26" ht="66" customHeight="1">
      <c r="B88" s="175" t="s">
        <v>139</v>
      </c>
      <c r="C88" s="80" t="s">
        <v>105</v>
      </c>
      <c r="D88" s="219" t="s">
        <v>188</v>
      </c>
      <c r="E88" s="220"/>
      <c r="F88" s="220"/>
      <c r="G88" s="220"/>
      <c r="H88" s="220"/>
      <c r="I88" s="220"/>
      <c r="J88" s="220"/>
      <c r="K88" s="220"/>
      <c r="L88" s="220"/>
      <c r="M88" s="220"/>
      <c r="N88" s="220"/>
      <c r="O88" s="220"/>
      <c r="P88" s="220"/>
      <c r="Q88" s="220"/>
      <c r="R88" s="220"/>
      <c r="S88" s="220"/>
      <c r="T88" s="220"/>
      <c r="U88" s="220"/>
      <c r="V88" s="220"/>
      <c r="W88" s="220"/>
      <c r="X88" s="220"/>
      <c r="Y88" s="220"/>
      <c r="Z88" s="221"/>
    </row>
    <row r="89" spans="1:26" ht="66" customHeight="1">
      <c r="B89" s="177"/>
      <c r="C89" s="81" t="s">
        <v>134</v>
      </c>
      <c r="D89" s="161" t="s">
        <v>189</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66" customHeight="1">
      <c r="B90" s="176"/>
      <c r="C90" s="82" t="s">
        <v>135</v>
      </c>
      <c r="D90" s="204" t="s">
        <v>184</v>
      </c>
      <c r="E90" s="204"/>
      <c r="F90" s="204"/>
      <c r="G90" s="204"/>
      <c r="H90" s="204"/>
      <c r="I90" s="204"/>
      <c r="J90" s="204"/>
      <c r="K90" s="204"/>
      <c r="L90" s="204"/>
      <c r="M90" s="204"/>
      <c r="N90" s="204"/>
      <c r="O90" s="204"/>
      <c r="P90" s="204"/>
      <c r="Q90" s="204"/>
      <c r="R90" s="204"/>
      <c r="S90" s="204"/>
      <c r="T90" s="204"/>
      <c r="U90" s="204"/>
      <c r="V90" s="204"/>
      <c r="W90" s="204"/>
      <c r="X90" s="204"/>
      <c r="Y90" s="204"/>
      <c r="Z90" s="205"/>
    </row>
    <row r="91" spans="1:26" ht="6" customHeight="1"/>
    <row r="92" spans="1:26" ht="18.75" customHeight="1">
      <c r="A92" s="13" t="s">
        <v>143</v>
      </c>
    </row>
    <row r="93" spans="1:26" ht="18.75" customHeight="1">
      <c r="B93" s="197" t="s">
        <v>217</v>
      </c>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9"/>
    </row>
    <row r="94" spans="1:26" ht="18.75" customHeight="1">
      <c r="B94" s="200"/>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2"/>
    </row>
    <row r="95" spans="1:26" ht="35.25" customHeight="1">
      <c r="B95" s="203"/>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5"/>
    </row>
    <row r="96" spans="1:26" ht="6" customHeight="1"/>
    <row r="97" spans="1:26" ht="15" customHeight="1">
      <c r="A97" s="13" t="s">
        <v>144</v>
      </c>
    </row>
    <row r="98" spans="1:26" ht="15" customHeight="1">
      <c r="B98" s="142" t="s">
        <v>215</v>
      </c>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206"/>
    </row>
  </sheetData>
  <mergeCells count="218">
    <mergeCell ref="B93:Z95"/>
    <mergeCell ref="B98:Z98"/>
    <mergeCell ref="B86:B87"/>
    <mergeCell ref="D86:Z86"/>
    <mergeCell ref="D87:Z87"/>
    <mergeCell ref="B88:B90"/>
    <mergeCell ref="D88:Z88"/>
    <mergeCell ref="D89:Z89"/>
    <mergeCell ref="D90:Z90"/>
    <mergeCell ref="G76:M76"/>
    <mergeCell ref="N76:S76"/>
    <mergeCell ref="T76:Z76"/>
    <mergeCell ref="D79:Z79"/>
    <mergeCell ref="B80:B81"/>
    <mergeCell ref="D80:Z80"/>
    <mergeCell ref="D81:Z81"/>
    <mergeCell ref="B82:B83"/>
    <mergeCell ref="D82:Z82"/>
    <mergeCell ref="D83:Z83"/>
    <mergeCell ref="B70:F70"/>
    <mergeCell ref="G70:M70"/>
    <mergeCell ref="N70:S70"/>
    <mergeCell ref="T70:Z70"/>
    <mergeCell ref="B84:B85"/>
    <mergeCell ref="D84:Z84"/>
    <mergeCell ref="D85:Z85"/>
    <mergeCell ref="B72:F72"/>
    <mergeCell ref="G72:M72"/>
    <mergeCell ref="N72:S72"/>
    <mergeCell ref="T72:Z72"/>
    <mergeCell ref="B73:F73"/>
    <mergeCell ref="G73:M73"/>
    <mergeCell ref="N73:S73"/>
    <mergeCell ref="T73:Z73"/>
    <mergeCell ref="B74:F74"/>
    <mergeCell ref="G74:M74"/>
    <mergeCell ref="N74:S74"/>
    <mergeCell ref="T74:Z74"/>
    <mergeCell ref="B75:F75"/>
    <mergeCell ref="G75:M75"/>
    <mergeCell ref="N75:S75"/>
    <mergeCell ref="T75:Z75"/>
    <mergeCell ref="B76:F76"/>
    <mergeCell ref="H65:J65"/>
    <mergeCell ref="N65:R65"/>
    <mergeCell ref="U65:W65"/>
    <mergeCell ref="B66:E66"/>
    <mergeCell ref="H66:J66"/>
    <mergeCell ref="N66:R66"/>
    <mergeCell ref="U66:W66"/>
    <mergeCell ref="B69:F69"/>
    <mergeCell ref="G69:M69"/>
    <mergeCell ref="N69:S69"/>
    <mergeCell ref="T69:Z69"/>
    <mergeCell ref="A57:Z58"/>
    <mergeCell ref="B59:E59"/>
    <mergeCell ref="N59:R59"/>
    <mergeCell ref="B60:E60"/>
    <mergeCell ref="H60:J60"/>
    <mergeCell ref="N60:R60"/>
    <mergeCell ref="U60:W60"/>
    <mergeCell ref="B71:F71"/>
    <mergeCell ref="G71:M71"/>
    <mergeCell ref="N71:S71"/>
    <mergeCell ref="T71:Z71"/>
    <mergeCell ref="B62:E62"/>
    <mergeCell ref="H62:J62"/>
    <mergeCell ref="N62:R62"/>
    <mergeCell ref="U62:W62"/>
    <mergeCell ref="B63:E63"/>
    <mergeCell ref="H63:J63"/>
    <mergeCell ref="N63:R63"/>
    <mergeCell ref="U63:W63"/>
    <mergeCell ref="B64:E64"/>
    <mergeCell ref="H64:J64"/>
    <mergeCell ref="N64:R64"/>
    <mergeCell ref="U64:W64"/>
    <mergeCell ref="B65:E65"/>
    <mergeCell ref="B61:E61"/>
    <mergeCell ref="H61:J61"/>
    <mergeCell ref="N61:R61"/>
    <mergeCell ref="U61:W61"/>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B44:F44"/>
    <mergeCell ref="I44:K44"/>
    <mergeCell ref="N44:S44"/>
    <mergeCell ref="V44:X44"/>
    <mergeCell ref="A46:Z47"/>
    <mergeCell ref="B48:F48"/>
    <mergeCell ref="I48:K48"/>
    <mergeCell ref="N48:S48"/>
    <mergeCell ref="V48:X48"/>
    <mergeCell ref="B49:F49"/>
    <mergeCell ref="I49:K49"/>
    <mergeCell ref="N49:S49"/>
    <mergeCell ref="V49:X49"/>
    <mergeCell ref="B50:F50"/>
    <mergeCell ref="I50:K50"/>
    <mergeCell ref="N50:S50"/>
    <mergeCell ref="V50:X50"/>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33:F33"/>
    <mergeCell ref="I33:K33"/>
    <mergeCell ref="N33:S33"/>
    <mergeCell ref="V33:X33"/>
    <mergeCell ref="A35:Z36"/>
    <mergeCell ref="B37:F37"/>
    <mergeCell ref="I37:K37"/>
    <mergeCell ref="N37:S37"/>
    <mergeCell ref="V37:X37"/>
    <mergeCell ref="B38:F38"/>
    <mergeCell ref="I38:K38"/>
    <mergeCell ref="N38:S38"/>
    <mergeCell ref="V38:X38"/>
    <mergeCell ref="B39:F39"/>
    <mergeCell ref="I39:K39"/>
    <mergeCell ref="N39:S39"/>
    <mergeCell ref="V39:X39"/>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22:F22"/>
    <mergeCell ref="I22:K22"/>
    <mergeCell ref="N22:S22"/>
    <mergeCell ref="V22:X22"/>
    <mergeCell ref="A24:Z25"/>
    <mergeCell ref="B26:F26"/>
    <mergeCell ref="I26:K26"/>
    <mergeCell ref="N26:S26"/>
    <mergeCell ref="V26:X26"/>
    <mergeCell ref="B27:F27"/>
    <mergeCell ref="I27:K27"/>
    <mergeCell ref="N27:S27"/>
    <mergeCell ref="V27:X27"/>
    <mergeCell ref="B28:F28"/>
    <mergeCell ref="I28:K28"/>
    <mergeCell ref="N28:S28"/>
    <mergeCell ref="V28:X28"/>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U70:Z71 U74:Z77 T70:T77 G70:G77 H70:M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Y16:Z22 H16:H22 Y27:Z33 H27:H33 H38:H44 Y38:Z44 H49:H55 Y49:Z55 Y60:Z66 L61:L66 T60:T66 U16:U22 L16:M22 U27:U33 L27:M33 U38:U44 L38:M44 U49:U55 L49:M55 M60:M66 K60:L60 G60:G66">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W49" sqref="W49"/>
    </sheetView>
  </sheetViews>
  <sheetFormatPr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252" t="s">
        <v>63</v>
      </c>
      <c r="G1" s="252"/>
      <c r="H1" s="252"/>
      <c r="I1" s="252"/>
      <c r="J1" s="252"/>
      <c r="K1" s="252"/>
      <c r="L1" s="252"/>
      <c r="M1" s="252"/>
      <c r="N1" s="252"/>
      <c r="O1" s="252"/>
      <c r="P1" s="252"/>
      <c r="Q1" s="252"/>
      <c r="R1" s="252"/>
    </row>
    <row r="2" spans="1:20" ht="18" customHeight="1">
      <c r="A2" s="253" t="s">
        <v>89</v>
      </c>
      <c r="B2" s="253"/>
      <c r="C2" s="253"/>
      <c r="D2" s="253"/>
      <c r="E2" s="253"/>
      <c r="F2" s="253"/>
      <c r="G2" s="253"/>
      <c r="H2" s="253"/>
      <c r="I2" s="253"/>
      <c r="J2" s="253"/>
      <c r="K2" s="253"/>
      <c r="L2" s="253"/>
      <c r="M2" s="253"/>
      <c r="N2" s="253"/>
      <c r="O2" s="253"/>
      <c r="P2" s="253"/>
      <c r="Q2" s="253"/>
      <c r="R2" s="253"/>
      <c r="S2" s="4"/>
    </row>
    <row r="3" spans="1:20" ht="7.5" customHeight="1">
      <c r="A3" s="38"/>
      <c r="B3" s="38"/>
      <c r="C3" s="38"/>
      <c r="D3" s="38"/>
      <c r="E3" s="38"/>
      <c r="F3" s="38"/>
      <c r="G3" s="38"/>
      <c r="H3" s="38"/>
      <c r="I3" s="38"/>
      <c r="J3" s="38"/>
      <c r="K3" s="38"/>
      <c r="L3" s="38"/>
      <c r="M3" s="38"/>
      <c r="N3" s="38"/>
      <c r="O3" s="38"/>
      <c r="P3" s="38"/>
      <c r="Q3" s="38"/>
      <c r="R3" s="38"/>
    </row>
    <row r="4" spans="1:20" ht="18" customHeight="1">
      <c r="A4" s="4" t="s">
        <v>147</v>
      </c>
      <c r="B4" s="4"/>
      <c r="C4" s="254" t="str">
        <f>'様式１　大学等概要'!E12</f>
        <v>令和３</v>
      </c>
      <c r="D4" s="255"/>
      <c r="E4" s="38" t="s">
        <v>113</v>
      </c>
      <c r="F4" s="38"/>
      <c r="G4" s="38"/>
      <c r="H4" s="38"/>
      <c r="I4" s="38"/>
      <c r="J4" s="86"/>
      <c r="K4" s="38"/>
      <c r="L4" s="38"/>
      <c r="M4" s="115"/>
      <c r="N4" s="115"/>
      <c r="O4" s="115"/>
      <c r="P4" s="115"/>
      <c r="Q4" s="115"/>
      <c r="R4" s="115"/>
    </row>
    <row r="5" spans="1:20" ht="6" customHeight="1">
      <c r="A5" s="38"/>
      <c r="B5" s="38"/>
      <c r="C5" s="38"/>
      <c r="D5" s="38"/>
      <c r="E5" s="38"/>
      <c r="F5" s="38"/>
      <c r="G5" s="38"/>
      <c r="H5" s="38"/>
      <c r="I5" s="38"/>
      <c r="J5" s="38"/>
      <c r="K5" s="38"/>
      <c r="L5" s="38"/>
      <c r="M5" s="38"/>
      <c r="N5" s="38"/>
      <c r="O5" s="38"/>
      <c r="P5" s="38"/>
      <c r="Q5" s="38"/>
      <c r="R5" s="38"/>
    </row>
    <row r="6" spans="1:20" ht="18" customHeight="1">
      <c r="A6" s="4" t="s">
        <v>145</v>
      </c>
      <c r="B6" s="38"/>
      <c r="C6" s="38"/>
      <c r="D6" s="38"/>
      <c r="E6" s="38"/>
      <c r="F6" s="38"/>
      <c r="G6" s="38"/>
      <c r="H6" s="38"/>
      <c r="I6" s="38"/>
      <c r="J6" s="38"/>
      <c r="K6" s="38"/>
      <c r="L6" s="38"/>
      <c r="M6" s="38"/>
      <c r="N6" s="38"/>
      <c r="O6" s="38"/>
      <c r="P6" s="38"/>
      <c r="Q6" s="38"/>
      <c r="R6" s="38"/>
    </row>
    <row r="7" spans="1:20" ht="6" customHeight="1">
      <c r="A7" s="4"/>
      <c r="B7" s="38"/>
      <c r="C7" s="38"/>
      <c r="D7" s="38"/>
      <c r="E7" s="38"/>
      <c r="F7" s="38"/>
      <c r="G7" s="38"/>
      <c r="H7" s="38"/>
      <c r="I7" s="38"/>
      <c r="J7" s="38"/>
      <c r="K7" s="38"/>
      <c r="L7" s="38"/>
      <c r="M7" s="38"/>
      <c r="N7" s="38"/>
      <c r="O7" s="38"/>
      <c r="P7" s="38"/>
      <c r="Q7" s="38"/>
      <c r="R7" s="38"/>
    </row>
    <row r="8" spans="1:20" ht="18" customHeight="1">
      <c r="B8" s="256" t="s">
        <v>79</v>
      </c>
      <c r="C8" s="258" t="s">
        <v>84</v>
      </c>
      <c r="D8" s="260" t="s">
        <v>68</v>
      </c>
      <c r="E8" s="262" t="s">
        <v>90</v>
      </c>
      <c r="F8" s="262"/>
      <c r="G8" s="262" t="s">
        <v>91</v>
      </c>
      <c r="H8" s="262"/>
      <c r="I8" s="262" t="s">
        <v>92</v>
      </c>
      <c r="J8" s="262"/>
      <c r="K8" s="246" t="s">
        <v>93</v>
      </c>
      <c r="L8" s="247"/>
      <c r="M8" s="246" t="s">
        <v>94</v>
      </c>
      <c r="N8" s="247"/>
      <c r="O8" s="246" t="s">
        <v>95</v>
      </c>
      <c r="P8" s="247"/>
      <c r="Q8" s="248" t="s">
        <v>62</v>
      </c>
      <c r="R8" s="250" t="s">
        <v>56</v>
      </c>
      <c r="T8" s="34"/>
    </row>
    <row r="9" spans="1:20" ht="18" customHeight="1">
      <c r="A9" s="4"/>
      <c r="B9" s="257"/>
      <c r="C9" s="259"/>
      <c r="D9" s="261"/>
      <c r="E9" s="43" t="s">
        <v>44</v>
      </c>
      <c r="F9" s="44" t="s">
        <v>43</v>
      </c>
      <c r="G9" s="45" t="s">
        <v>44</v>
      </c>
      <c r="H9" s="46" t="s">
        <v>43</v>
      </c>
      <c r="I9" s="43" t="s">
        <v>44</v>
      </c>
      <c r="J9" s="44" t="s">
        <v>43</v>
      </c>
      <c r="K9" s="45" t="s">
        <v>44</v>
      </c>
      <c r="L9" s="46" t="s">
        <v>43</v>
      </c>
      <c r="M9" s="43" t="s">
        <v>44</v>
      </c>
      <c r="N9" s="44" t="s">
        <v>43</v>
      </c>
      <c r="O9" s="45" t="s">
        <v>44</v>
      </c>
      <c r="P9" s="46" t="s">
        <v>43</v>
      </c>
      <c r="Q9" s="249"/>
      <c r="R9" s="251"/>
      <c r="T9" s="34"/>
    </row>
    <row r="10" spans="1:20" ht="18" customHeight="1">
      <c r="A10" s="47"/>
      <c r="B10" s="127" t="s">
        <v>192</v>
      </c>
      <c r="C10" s="76">
        <v>535</v>
      </c>
      <c r="D10" s="129">
        <v>2140</v>
      </c>
      <c r="E10" s="49">
        <v>30</v>
      </c>
      <c r="F10" s="50">
        <v>3</v>
      </c>
      <c r="G10" s="51"/>
      <c r="H10" s="52"/>
      <c r="I10" s="49"/>
      <c r="J10" s="50"/>
      <c r="K10" s="51"/>
      <c r="L10" s="52"/>
      <c r="M10" s="49"/>
      <c r="N10" s="50"/>
      <c r="O10" s="51"/>
      <c r="P10" s="52"/>
      <c r="Q10" s="53">
        <f>E10+G10+I10+K10+M10+O10</f>
        <v>30</v>
      </c>
      <c r="R10" s="54">
        <f>Q10/D10</f>
        <v>1.4018691588785047E-2</v>
      </c>
    </row>
    <row r="11" spans="1:20" ht="18" customHeight="1">
      <c r="A11" s="47"/>
      <c r="B11" s="128" t="s">
        <v>193</v>
      </c>
      <c r="C11" s="123">
        <v>540</v>
      </c>
      <c r="D11" s="122">
        <v>2190</v>
      </c>
      <c r="E11" s="57">
        <v>0</v>
      </c>
      <c r="F11" s="58">
        <v>0</v>
      </c>
      <c r="G11" s="59"/>
      <c r="H11" s="60"/>
      <c r="I11" s="57"/>
      <c r="J11" s="58"/>
      <c r="K11" s="59"/>
      <c r="L11" s="60"/>
      <c r="M11" s="57"/>
      <c r="N11" s="58"/>
      <c r="O11" s="59"/>
      <c r="P11" s="60"/>
      <c r="Q11" s="61">
        <f t="shared" ref="Q11:Q29" si="0">E11+G11+I11+K11+M11+O11</f>
        <v>0</v>
      </c>
      <c r="R11" s="62">
        <f t="shared" ref="R11:R29" si="1">Q11/D11</f>
        <v>0</v>
      </c>
    </row>
    <row r="12" spans="1:20" ht="18" customHeight="1">
      <c r="A12" s="47"/>
      <c r="B12" s="128" t="s">
        <v>194</v>
      </c>
      <c r="C12" s="123">
        <v>335</v>
      </c>
      <c r="D12" s="122">
        <v>1340</v>
      </c>
      <c r="E12" s="57">
        <v>81</v>
      </c>
      <c r="F12" s="58">
        <v>0</v>
      </c>
      <c r="G12" s="59"/>
      <c r="H12" s="60"/>
      <c r="I12" s="57"/>
      <c r="J12" s="58"/>
      <c r="K12" s="59"/>
      <c r="L12" s="60"/>
      <c r="M12" s="57"/>
      <c r="N12" s="58"/>
      <c r="O12" s="59"/>
      <c r="P12" s="60"/>
      <c r="Q12" s="61">
        <f t="shared" si="0"/>
        <v>81</v>
      </c>
      <c r="R12" s="62">
        <f t="shared" si="1"/>
        <v>6.044776119402985E-2</v>
      </c>
    </row>
    <row r="13" spans="1:20" ht="18" customHeight="1">
      <c r="A13" s="47"/>
      <c r="B13" s="128" t="s">
        <v>195</v>
      </c>
      <c r="C13" s="123">
        <v>400</v>
      </c>
      <c r="D13" s="122">
        <v>1600</v>
      </c>
      <c r="E13" s="57">
        <v>8</v>
      </c>
      <c r="F13" s="58">
        <v>0</v>
      </c>
      <c r="G13" s="59"/>
      <c r="H13" s="60"/>
      <c r="I13" s="57"/>
      <c r="J13" s="58"/>
      <c r="K13" s="59"/>
      <c r="L13" s="60"/>
      <c r="M13" s="57"/>
      <c r="N13" s="58"/>
      <c r="O13" s="59"/>
      <c r="P13" s="60"/>
      <c r="Q13" s="61">
        <f t="shared" si="0"/>
        <v>8</v>
      </c>
      <c r="R13" s="62">
        <f t="shared" si="1"/>
        <v>5.0000000000000001E-3</v>
      </c>
    </row>
    <row r="14" spans="1:20" ht="18" customHeight="1">
      <c r="A14" s="47"/>
      <c r="B14" s="128" t="s">
        <v>196</v>
      </c>
      <c r="C14" s="123">
        <v>390</v>
      </c>
      <c r="D14" s="122">
        <v>1560</v>
      </c>
      <c r="E14" s="57">
        <v>5</v>
      </c>
      <c r="F14" s="58">
        <v>0</v>
      </c>
      <c r="G14" s="59"/>
      <c r="H14" s="60"/>
      <c r="I14" s="57"/>
      <c r="J14" s="58"/>
      <c r="K14" s="59"/>
      <c r="L14" s="60"/>
      <c r="M14" s="57"/>
      <c r="N14" s="58"/>
      <c r="O14" s="59"/>
      <c r="P14" s="60"/>
      <c r="Q14" s="61">
        <f t="shared" si="0"/>
        <v>5</v>
      </c>
      <c r="R14" s="62">
        <f t="shared" si="1"/>
        <v>3.205128205128205E-3</v>
      </c>
    </row>
    <row r="15" spans="1:20" ht="18" customHeight="1">
      <c r="A15" s="47"/>
      <c r="B15" s="128" t="s">
        <v>197</v>
      </c>
      <c r="C15" s="123">
        <v>350</v>
      </c>
      <c r="D15" s="122">
        <v>1400</v>
      </c>
      <c r="E15" s="57">
        <v>0</v>
      </c>
      <c r="F15" s="58">
        <v>0</v>
      </c>
      <c r="G15" s="59"/>
      <c r="H15" s="60"/>
      <c r="I15" s="57"/>
      <c r="J15" s="58"/>
      <c r="K15" s="59"/>
      <c r="L15" s="60"/>
      <c r="M15" s="57"/>
      <c r="N15" s="58"/>
      <c r="O15" s="59"/>
      <c r="P15" s="60"/>
      <c r="Q15" s="61">
        <f t="shared" si="0"/>
        <v>0</v>
      </c>
      <c r="R15" s="62">
        <f t="shared" si="1"/>
        <v>0</v>
      </c>
    </row>
    <row r="16" spans="1:20" ht="18" customHeight="1">
      <c r="A16" s="47"/>
      <c r="B16" s="128" t="s">
        <v>198</v>
      </c>
      <c r="C16" s="123">
        <v>270</v>
      </c>
      <c r="D16" s="122">
        <v>1080</v>
      </c>
      <c r="E16" s="57">
        <v>15</v>
      </c>
      <c r="F16" s="58">
        <v>1</v>
      </c>
      <c r="G16" s="59"/>
      <c r="H16" s="60"/>
      <c r="I16" s="57"/>
      <c r="J16" s="58"/>
      <c r="K16" s="59"/>
      <c r="L16" s="60"/>
      <c r="M16" s="57"/>
      <c r="N16" s="58"/>
      <c r="O16" s="59"/>
      <c r="P16" s="60"/>
      <c r="Q16" s="61">
        <f t="shared" si="0"/>
        <v>15</v>
      </c>
      <c r="R16" s="62">
        <f t="shared" si="1"/>
        <v>1.3888888888888888E-2</v>
      </c>
    </row>
    <row r="17" spans="1:18" ht="18" customHeight="1">
      <c r="A17" s="47"/>
      <c r="B17" s="87"/>
      <c r="C17" s="63"/>
      <c r="D17" s="56"/>
      <c r="E17" s="57"/>
      <c r="F17" s="58"/>
      <c r="G17" s="59"/>
      <c r="H17" s="60"/>
      <c r="I17" s="57"/>
      <c r="J17" s="58"/>
      <c r="K17" s="59"/>
      <c r="L17" s="60"/>
      <c r="M17" s="57"/>
      <c r="N17" s="58"/>
      <c r="O17" s="59"/>
      <c r="P17" s="60"/>
      <c r="Q17" s="61">
        <f t="shared" si="0"/>
        <v>0</v>
      </c>
      <c r="R17" s="62" t="e">
        <f t="shared" si="1"/>
        <v>#DIV/0!</v>
      </c>
    </row>
    <row r="18" spans="1:18" ht="18" customHeight="1">
      <c r="A18" s="47"/>
      <c r="B18" s="87"/>
      <c r="C18" s="63"/>
      <c r="D18" s="56"/>
      <c r="E18" s="57"/>
      <c r="F18" s="58"/>
      <c r="G18" s="59"/>
      <c r="H18" s="60"/>
      <c r="I18" s="57"/>
      <c r="J18" s="58"/>
      <c r="K18" s="59"/>
      <c r="L18" s="60"/>
      <c r="M18" s="57"/>
      <c r="N18" s="58"/>
      <c r="O18" s="59"/>
      <c r="P18" s="60"/>
      <c r="Q18" s="61">
        <f>E18+G18+I18+K18+M18+O18</f>
        <v>0</v>
      </c>
      <c r="R18" s="62" t="e">
        <f t="shared" si="1"/>
        <v>#DIV/0!</v>
      </c>
    </row>
    <row r="19" spans="1:18" ht="18" customHeight="1">
      <c r="A19" s="47"/>
      <c r="B19" s="87"/>
      <c r="C19" s="63"/>
      <c r="D19" s="56"/>
      <c r="E19" s="57"/>
      <c r="F19" s="58"/>
      <c r="G19" s="59"/>
      <c r="H19" s="60"/>
      <c r="I19" s="57"/>
      <c r="J19" s="58"/>
      <c r="K19" s="59"/>
      <c r="L19" s="60"/>
      <c r="M19" s="57"/>
      <c r="N19" s="58"/>
      <c r="O19" s="59"/>
      <c r="P19" s="60"/>
      <c r="Q19" s="61">
        <f t="shared" si="0"/>
        <v>0</v>
      </c>
      <c r="R19" s="62" t="e">
        <f t="shared" si="1"/>
        <v>#DIV/0!</v>
      </c>
    </row>
    <row r="20" spans="1:18" ht="18" customHeight="1">
      <c r="A20" s="47"/>
      <c r="B20" s="87"/>
      <c r="C20" s="63"/>
      <c r="D20" s="56"/>
      <c r="E20" s="57"/>
      <c r="F20" s="58"/>
      <c r="G20" s="59"/>
      <c r="H20" s="60"/>
      <c r="I20" s="57"/>
      <c r="J20" s="58"/>
      <c r="K20" s="59"/>
      <c r="L20" s="60"/>
      <c r="M20" s="57"/>
      <c r="N20" s="58"/>
      <c r="O20" s="59"/>
      <c r="P20" s="60"/>
      <c r="Q20" s="61">
        <f t="shared" si="0"/>
        <v>0</v>
      </c>
      <c r="R20" s="62" t="e">
        <f t="shared" si="1"/>
        <v>#DIV/0!</v>
      </c>
    </row>
    <row r="21" spans="1:18" ht="18" customHeight="1">
      <c r="A21" s="47"/>
      <c r="B21" s="87"/>
      <c r="C21" s="63"/>
      <c r="D21" s="56"/>
      <c r="E21" s="57"/>
      <c r="F21" s="58"/>
      <c r="G21" s="59"/>
      <c r="H21" s="60"/>
      <c r="I21" s="57"/>
      <c r="J21" s="58"/>
      <c r="K21" s="59"/>
      <c r="L21" s="60"/>
      <c r="M21" s="57"/>
      <c r="N21" s="58"/>
      <c r="O21" s="59"/>
      <c r="P21" s="60"/>
      <c r="Q21" s="61">
        <f t="shared" si="0"/>
        <v>0</v>
      </c>
      <c r="R21" s="62" t="e">
        <f t="shared" si="1"/>
        <v>#DIV/0!</v>
      </c>
    </row>
    <row r="22" spans="1:18" ht="18" customHeight="1">
      <c r="A22" s="47"/>
      <c r="B22" s="87"/>
      <c r="C22" s="63"/>
      <c r="D22" s="56"/>
      <c r="E22" s="57"/>
      <c r="F22" s="58"/>
      <c r="G22" s="59"/>
      <c r="H22" s="60"/>
      <c r="I22" s="57"/>
      <c r="J22" s="58"/>
      <c r="K22" s="59"/>
      <c r="L22" s="60"/>
      <c r="M22" s="57"/>
      <c r="N22" s="58"/>
      <c r="O22" s="59"/>
      <c r="P22" s="60"/>
      <c r="Q22" s="61">
        <f t="shared" si="0"/>
        <v>0</v>
      </c>
      <c r="R22" s="62" t="e">
        <f t="shared" si="1"/>
        <v>#DIV/0!</v>
      </c>
    </row>
    <row r="23" spans="1:18" ht="18" customHeight="1">
      <c r="A23" s="47"/>
      <c r="B23" s="87"/>
      <c r="C23" s="63"/>
      <c r="D23" s="56"/>
      <c r="E23" s="57"/>
      <c r="F23" s="58"/>
      <c r="G23" s="59"/>
      <c r="H23" s="60"/>
      <c r="I23" s="57"/>
      <c r="J23" s="58"/>
      <c r="K23" s="59"/>
      <c r="L23" s="60"/>
      <c r="M23" s="57"/>
      <c r="N23" s="58"/>
      <c r="O23" s="59"/>
      <c r="P23" s="60"/>
      <c r="Q23" s="61">
        <f t="shared" si="0"/>
        <v>0</v>
      </c>
      <c r="R23" s="62" t="e">
        <f t="shared" si="1"/>
        <v>#DIV/0!</v>
      </c>
    </row>
    <row r="24" spans="1:18" ht="18" customHeight="1">
      <c r="A24" s="47"/>
      <c r="B24" s="87"/>
      <c r="C24" s="63"/>
      <c r="D24" s="56"/>
      <c r="E24" s="57"/>
      <c r="F24" s="58"/>
      <c r="G24" s="59"/>
      <c r="H24" s="60"/>
      <c r="I24" s="57"/>
      <c r="J24" s="58"/>
      <c r="K24" s="59"/>
      <c r="L24" s="60"/>
      <c r="M24" s="57"/>
      <c r="N24" s="58"/>
      <c r="O24" s="59"/>
      <c r="P24" s="60"/>
      <c r="Q24" s="61">
        <f t="shared" si="0"/>
        <v>0</v>
      </c>
      <c r="R24" s="62" t="e">
        <f t="shared" si="1"/>
        <v>#DIV/0!</v>
      </c>
    </row>
    <row r="25" spans="1:18" ht="18" customHeight="1">
      <c r="A25" s="47"/>
      <c r="B25" s="87"/>
      <c r="C25" s="63"/>
      <c r="D25" s="56"/>
      <c r="E25" s="57"/>
      <c r="F25" s="58"/>
      <c r="G25" s="59"/>
      <c r="H25" s="60"/>
      <c r="I25" s="57"/>
      <c r="J25" s="58"/>
      <c r="K25" s="59"/>
      <c r="L25" s="60"/>
      <c r="M25" s="57"/>
      <c r="N25" s="58"/>
      <c r="O25" s="59"/>
      <c r="P25" s="60"/>
      <c r="Q25" s="61">
        <f t="shared" si="0"/>
        <v>0</v>
      </c>
      <c r="R25" s="62" t="e">
        <f t="shared" si="1"/>
        <v>#DIV/0!</v>
      </c>
    </row>
    <row r="26" spans="1:18" ht="18" customHeight="1">
      <c r="A26" s="47"/>
      <c r="B26" s="87"/>
      <c r="C26" s="63"/>
      <c r="D26" s="56"/>
      <c r="E26" s="57"/>
      <c r="F26" s="58"/>
      <c r="G26" s="59"/>
      <c r="H26" s="60"/>
      <c r="I26" s="57"/>
      <c r="J26" s="58"/>
      <c r="K26" s="59"/>
      <c r="L26" s="60"/>
      <c r="M26" s="57"/>
      <c r="N26" s="58"/>
      <c r="O26" s="59"/>
      <c r="P26" s="60"/>
      <c r="Q26" s="61">
        <f t="shared" si="0"/>
        <v>0</v>
      </c>
      <c r="R26" s="62" t="e">
        <f t="shared" si="1"/>
        <v>#DIV/0!</v>
      </c>
    </row>
    <row r="27" spans="1:18" ht="18" customHeight="1">
      <c r="A27" s="47"/>
      <c r="B27" s="87"/>
      <c r="C27" s="55"/>
      <c r="D27" s="56"/>
      <c r="E27" s="57"/>
      <c r="F27" s="58"/>
      <c r="G27" s="59"/>
      <c r="H27" s="60"/>
      <c r="I27" s="57"/>
      <c r="J27" s="58"/>
      <c r="K27" s="59"/>
      <c r="L27" s="60"/>
      <c r="M27" s="57"/>
      <c r="N27" s="58"/>
      <c r="O27" s="59"/>
      <c r="P27" s="60"/>
      <c r="Q27" s="61">
        <f t="shared" si="0"/>
        <v>0</v>
      </c>
      <c r="R27" s="62" t="e">
        <f t="shared" si="1"/>
        <v>#DIV/0!</v>
      </c>
    </row>
    <row r="28" spans="1:18" ht="18" customHeight="1">
      <c r="A28" s="47"/>
      <c r="B28" s="87"/>
      <c r="C28" s="55"/>
      <c r="D28" s="56"/>
      <c r="E28" s="57"/>
      <c r="F28" s="58"/>
      <c r="G28" s="59"/>
      <c r="H28" s="60"/>
      <c r="I28" s="57"/>
      <c r="J28" s="58"/>
      <c r="K28" s="59"/>
      <c r="L28" s="60"/>
      <c r="M28" s="57"/>
      <c r="N28" s="58"/>
      <c r="O28" s="59"/>
      <c r="P28" s="60"/>
      <c r="Q28" s="61">
        <f t="shared" si="0"/>
        <v>0</v>
      </c>
      <c r="R28" s="62" t="e">
        <f t="shared" si="1"/>
        <v>#DIV/0!</v>
      </c>
    </row>
    <row r="29" spans="1:18" ht="18" customHeight="1" thickBot="1">
      <c r="A29" s="47"/>
      <c r="B29" s="88"/>
      <c r="C29" s="89"/>
      <c r="D29" s="48"/>
      <c r="E29" s="49"/>
      <c r="F29" s="50"/>
      <c r="G29" s="51"/>
      <c r="H29" s="52"/>
      <c r="I29" s="49"/>
      <c r="J29" s="50"/>
      <c r="K29" s="51"/>
      <c r="L29" s="52"/>
      <c r="M29" s="49"/>
      <c r="N29" s="50"/>
      <c r="O29" s="51"/>
      <c r="P29" s="52"/>
      <c r="Q29" s="64">
        <f t="shared" si="0"/>
        <v>0</v>
      </c>
      <c r="R29" s="54" t="e">
        <f t="shared" si="1"/>
        <v>#DIV/0!</v>
      </c>
    </row>
    <row r="30" spans="1:18" ht="18" customHeight="1" thickTop="1">
      <c r="B30" s="90" t="s">
        <v>57</v>
      </c>
      <c r="C30" s="91">
        <f t="shared" ref="C30:Q30" si="2">SUM(C10:C29)</f>
        <v>2820</v>
      </c>
      <c r="D30" s="65">
        <f t="shared" si="2"/>
        <v>11310</v>
      </c>
      <c r="E30" s="66">
        <f t="shared" si="2"/>
        <v>139</v>
      </c>
      <c r="F30" s="67">
        <f t="shared" si="2"/>
        <v>4</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139</v>
      </c>
      <c r="R30" s="71">
        <f>Q30/D30</f>
        <v>1.229000884173298E-2</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106" zoomScaleNormal="100" zoomScaleSheetLayoutView="100" workbookViewId="0">
      <selection activeCell="W49" sqref="W49"/>
    </sheetView>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c r="A1" s="2" t="s">
        <v>114</v>
      </c>
      <c r="J1" s="41" t="s">
        <v>115</v>
      </c>
    </row>
    <row r="2" spans="1:11" ht="18.75" customHeight="1">
      <c r="A2" s="253" t="s">
        <v>64</v>
      </c>
      <c r="B2" s="253"/>
      <c r="C2" s="253"/>
      <c r="D2" s="253"/>
      <c r="E2" s="253"/>
      <c r="F2" s="253"/>
      <c r="G2" s="253"/>
      <c r="H2" s="253"/>
      <c r="I2" s="253"/>
      <c r="J2" s="253"/>
    </row>
    <row r="3" spans="1:11" ht="7.5" customHeight="1">
      <c r="B3" s="38"/>
      <c r="C3" s="38"/>
      <c r="D3" s="38"/>
      <c r="E3" s="38"/>
      <c r="F3" s="38"/>
      <c r="G3" s="38"/>
      <c r="H3" s="38"/>
      <c r="I3" s="38"/>
      <c r="J3" s="38"/>
    </row>
    <row r="4" spans="1:11" ht="18.75" customHeight="1">
      <c r="A4" s="1" t="s">
        <v>6</v>
      </c>
      <c r="B4" s="4" t="s">
        <v>72</v>
      </c>
      <c r="C4" s="4"/>
      <c r="D4" s="4"/>
      <c r="E4" s="4"/>
      <c r="F4" s="4"/>
      <c r="G4" s="4"/>
      <c r="H4" s="4"/>
      <c r="I4" s="38"/>
      <c r="J4" s="38"/>
    </row>
    <row r="5" spans="1:11" ht="18.75" customHeight="1">
      <c r="A5" s="1"/>
      <c r="B5" s="142" t="s">
        <v>199</v>
      </c>
      <c r="C5" s="143"/>
      <c r="D5" s="143"/>
      <c r="E5" s="143"/>
      <c r="F5" s="143"/>
      <c r="G5" s="143"/>
      <c r="H5" s="143"/>
      <c r="I5" s="143"/>
      <c r="J5" s="206"/>
      <c r="K5" s="31" t="str">
        <f>IF(B5="","入力してください","")</f>
        <v/>
      </c>
    </row>
    <row r="6" spans="1:11" ht="7.5" customHeight="1">
      <c r="B6" s="38"/>
      <c r="C6" s="38"/>
      <c r="D6" s="38"/>
      <c r="E6" s="38"/>
      <c r="F6" s="38"/>
      <c r="G6" s="38"/>
      <c r="H6" s="38"/>
      <c r="I6" s="38"/>
      <c r="J6" s="38"/>
    </row>
    <row r="7" spans="1:11" s="4" customFormat="1" ht="18.75" customHeight="1">
      <c r="A7" s="1" t="s">
        <v>9</v>
      </c>
      <c r="B7" s="1" t="s">
        <v>39</v>
      </c>
      <c r="C7" s="1"/>
      <c r="D7" s="1"/>
      <c r="E7" s="1"/>
      <c r="F7" s="1"/>
      <c r="G7" s="1"/>
      <c r="H7" s="1"/>
      <c r="I7" s="1"/>
      <c r="J7" s="1"/>
      <c r="K7" s="35"/>
    </row>
    <row r="8" spans="1:11" s="4" customFormat="1" ht="18.75" customHeight="1">
      <c r="A8" s="92"/>
      <c r="B8" s="272" t="s">
        <v>200</v>
      </c>
      <c r="C8" s="273"/>
      <c r="D8" s="273"/>
      <c r="E8" s="273"/>
      <c r="F8" s="273"/>
      <c r="G8" s="273"/>
      <c r="H8" s="273"/>
      <c r="I8" s="274"/>
      <c r="J8" s="275"/>
      <c r="K8" s="31" t="str">
        <f>IF(B8="","入力してください","")</f>
        <v/>
      </c>
    </row>
    <row r="9" spans="1:11" s="4" customFormat="1" ht="18.75" customHeight="1">
      <c r="A9" s="92"/>
      <c r="B9" s="266"/>
      <c r="C9" s="267"/>
      <c r="D9" s="267"/>
      <c r="E9" s="267"/>
      <c r="F9" s="267"/>
      <c r="G9" s="267"/>
      <c r="H9" s="267"/>
      <c r="I9" s="267"/>
      <c r="J9" s="268"/>
      <c r="K9" s="31"/>
    </row>
    <row r="10" spans="1:11" s="4" customFormat="1" ht="18.75" customHeight="1">
      <c r="A10" s="92"/>
      <c r="B10" s="266"/>
      <c r="C10" s="267"/>
      <c r="D10" s="267"/>
      <c r="E10" s="267"/>
      <c r="F10" s="267"/>
      <c r="G10" s="267"/>
      <c r="H10" s="267"/>
      <c r="I10" s="267"/>
      <c r="J10" s="268"/>
      <c r="K10" s="31"/>
    </row>
    <row r="11" spans="1:11" s="4" customFormat="1" ht="18.75" customHeight="1">
      <c r="A11" s="92"/>
      <c r="B11" s="266"/>
      <c r="C11" s="267"/>
      <c r="D11" s="267"/>
      <c r="E11" s="267"/>
      <c r="F11" s="267"/>
      <c r="G11" s="267"/>
      <c r="H11" s="267"/>
      <c r="I11" s="267"/>
      <c r="J11" s="268"/>
      <c r="K11" s="31"/>
    </row>
    <row r="12" spans="1:11" s="4" customFormat="1" ht="18.75" customHeight="1">
      <c r="A12" s="92"/>
      <c r="B12" s="269"/>
      <c r="C12" s="270"/>
      <c r="D12" s="270"/>
      <c r="E12" s="270"/>
      <c r="F12" s="270"/>
      <c r="G12" s="270"/>
      <c r="H12" s="270"/>
      <c r="I12" s="270"/>
      <c r="J12" s="271"/>
      <c r="K12" s="31"/>
    </row>
    <row r="13" spans="1:11" s="4" customFormat="1" ht="7.5" customHeight="1">
      <c r="A13" s="92"/>
      <c r="B13" s="92"/>
      <c r="C13" s="92"/>
      <c r="D13" s="92"/>
      <c r="E13" s="92"/>
      <c r="F13" s="92"/>
      <c r="G13" s="92"/>
      <c r="H13" s="92"/>
      <c r="I13" s="92"/>
      <c r="J13" s="92"/>
      <c r="K13" s="31"/>
    </row>
    <row r="14" spans="1:11" s="4" customFormat="1" ht="18.75" customHeight="1">
      <c r="A14" s="93" t="s">
        <v>10</v>
      </c>
      <c r="B14" s="93" t="s">
        <v>15</v>
      </c>
      <c r="C14" s="93"/>
      <c r="D14" s="93"/>
      <c r="E14" s="93"/>
      <c r="F14" s="93"/>
      <c r="G14" s="93"/>
      <c r="H14" s="93"/>
      <c r="I14" s="93"/>
      <c r="J14" s="93"/>
      <c r="K14" s="31"/>
    </row>
    <row r="15" spans="1:11" s="4" customFormat="1" ht="18.75" customHeight="1">
      <c r="A15" s="92"/>
      <c r="B15" s="272" t="s">
        <v>201</v>
      </c>
      <c r="C15" s="273"/>
      <c r="D15" s="273"/>
      <c r="E15" s="273"/>
      <c r="F15" s="273"/>
      <c r="G15" s="273"/>
      <c r="H15" s="273"/>
      <c r="I15" s="274"/>
      <c r="J15" s="275"/>
      <c r="K15" s="31" t="str">
        <f>IF(B15="","入力してください","")</f>
        <v/>
      </c>
    </row>
    <row r="16" spans="1:11" s="4" customFormat="1" ht="18.75" customHeight="1">
      <c r="A16" s="92"/>
      <c r="B16" s="266"/>
      <c r="C16" s="267"/>
      <c r="D16" s="267"/>
      <c r="E16" s="267"/>
      <c r="F16" s="267"/>
      <c r="G16" s="267"/>
      <c r="H16" s="267"/>
      <c r="I16" s="267"/>
      <c r="J16" s="268"/>
      <c r="K16" s="31"/>
    </row>
    <row r="17" spans="1:11" s="4" customFormat="1" ht="18.75" customHeight="1">
      <c r="A17" s="92"/>
      <c r="B17" s="266"/>
      <c r="C17" s="267"/>
      <c r="D17" s="267"/>
      <c r="E17" s="267"/>
      <c r="F17" s="267"/>
      <c r="G17" s="267"/>
      <c r="H17" s="267"/>
      <c r="I17" s="267"/>
      <c r="J17" s="268"/>
      <c r="K17" s="31"/>
    </row>
    <row r="18" spans="1:11" s="4" customFormat="1" ht="18.75" customHeight="1">
      <c r="A18" s="92"/>
      <c r="B18" s="266"/>
      <c r="C18" s="267"/>
      <c r="D18" s="267"/>
      <c r="E18" s="267"/>
      <c r="F18" s="267"/>
      <c r="G18" s="267"/>
      <c r="H18" s="267"/>
      <c r="I18" s="267"/>
      <c r="J18" s="268"/>
      <c r="K18" s="31"/>
    </row>
    <row r="19" spans="1:11" s="4" customFormat="1" ht="18.75" customHeight="1">
      <c r="A19" s="92"/>
      <c r="B19" s="266"/>
      <c r="C19" s="267"/>
      <c r="D19" s="267"/>
      <c r="E19" s="267"/>
      <c r="F19" s="267"/>
      <c r="G19" s="267"/>
      <c r="H19" s="267"/>
      <c r="I19" s="267"/>
      <c r="J19" s="268"/>
      <c r="K19" s="31"/>
    </row>
    <row r="20" spans="1:11" s="4" customFormat="1" ht="18.75" customHeight="1">
      <c r="A20" s="92"/>
      <c r="B20" s="266"/>
      <c r="C20" s="267"/>
      <c r="D20" s="267"/>
      <c r="E20" s="267"/>
      <c r="F20" s="267"/>
      <c r="G20" s="267"/>
      <c r="H20" s="267"/>
      <c r="I20" s="267"/>
      <c r="J20" s="268"/>
      <c r="K20" s="31"/>
    </row>
    <row r="21" spans="1:11" s="4" customFormat="1" ht="18.75" customHeight="1">
      <c r="A21" s="92"/>
      <c r="B21" s="266"/>
      <c r="C21" s="267"/>
      <c r="D21" s="267"/>
      <c r="E21" s="267"/>
      <c r="F21" s="267"/>
      <c r="G21" s="267"/>
      <c r="H21" s="267"/>
      <c r="I21" s="267"/>
      <c r="J21" s="268"/>
      <c r="K21" s="31"/>
    </row>
    <row r="22" spans="1:11" s="4" customFormat="1" ht="18.75" customHeight="1">
      <c r="A22" s="92"/>
      <c r="B22" s="266"/>
      <c r="C22" s="267"/>
      <c r="D22" s="267"/>
      <c r="E22" s="267"/>
      <c r="F22" s="267"/>
      <c r="G22" s="267"/>
      <c r="H22" s="267"/>
      <c r="I22" s="267"/>
      <c r="J22" s="268"/>
      <c r="K22" s="31"/>
    </row>
    <row r="23" spans="1:11" s="4" customFormat="1" ht="18.75" customHeight="1">
      <c r="A23" s="92"/>
      <c r="B23" s="266"/>
      <c r="C23" s="267"/>
      <c r="D23" s="267"/>
      <c r="E23" s="267"/>
      <c r="F23" s="267"/>
      <c r="G23" s="267"/>
      <c r="H23" s="267"/>
      <c r="I23" s="267"/>
      <c r="J23" s="268"/>
      <c r="K23" s="31"/>
    </row>
    <row r="24" spans="1:11" s="4" customFormat="1" ht="18.75" customHeight="1">
      <c r="A24" s="92"/>
      <c r="B24" s="266"/>
      <c r="C24" s="267"/>
      <c r="D24" s="267"/>
      <c r="E24" s="267"/>
      <c r="F24" s="267"/>
      <c r="G24" s="267"/>
      <c r="H24" s="267"/>
      <c r="I24" s="267"/>
      <c r="J24" s="268"/>
      <c r="K24" s="31"/>
    </row>
    <row r="25" spans="1:11" s="4" customFormat="1" ht="18.75" customHeight="1">
      <c r="A25" s="92"/>
      <c r="B25" s="269"/>
      <c r="C25" s="270"/>
      <c r="D25" s="270"/>
      <c r="E25" s="270"/>
      <c r="F25" s="270"/>
      <c r="G25" s="270"/>
      <c r="H25" s="270"/>
      <c r="I25" s="270"/>
      <c r="J25" s="271"/>
      <c r="K25" s="31"/>
    </row>
    <row r="26" spans="1:11" ht="7.5" customHeight="1">
      <c r="A26" s="39"/>
      <c r="B26" s="39"/>
      <c r="C26" s="39"/>
      <c r="D26" s="39"/>
      <c r="E26" s="39"/>
      <c r="F26" s="39"/>
      <c r="G26" s="39"/>
      <c r="H26" s="39"/>
      <c r="I26" s="39"/>
      <c r="J26" s="39"/>
    </row>
    <row r="27" spans="1:11" s="4" customFormat="1" ht="18.75" customHeight="1">
      <c r="A27" s="1" t="s">
        <v>13</v>
      </c>
      <c r="B27" s="1" t="s">
        <v>26</v>
      </c>
      <c r="C27" s="1"/>
      <c r="D27" s="1"/>
      <c r="E27" s="1"/>
      <c r="F27" s="1"/>
      <c r="G27" s="1"/>
      <c r="H27" s="1"/>
      <c r="I27" s="1"/>
      <c r="J27" s="1"/>
      <c r="K27" s="31"/>
    </row>
    <row r="28" spans="1:11" s="29" customFormat="1" ht="18.75" customHeight="1">
      <c r="B28" s="94" t="s">
        <v>116</v>
      </c>
      <c r="C28" s="95">
        <f>'様式３　履修者等数の実績'!R30</f>
        <v>1.229000884173298E-2</v>
      </c>
      <c r="D28" s="96"/>
      <c r="E28" s="96" t="s">
        <v>117</v>
      </c>
      <c r="F28" s="95">
        <v>0.02</v>
      </c>
      <c r="G28" s="96"/>
      <c r="H28" s="96" t="s">
        <v>118</v>
      </c>
      <c r="I28" s="97">
        <v>0.05</v>
      </c>
      <c r="J28" s="98"/>
      <c r="K28" s="31"/>
    </row>
    <row r="29" spans="1:11" s="29" customFormat="1" ht="18.75" customHeight="1">
      <c r="B29" s="83" t="s">
        <v>119</v>
      </c>
      <c r="C29" s="99">
        <v>0.08</v>
      </c>
      <c r="D29" s="84"/>
      <c r="E29" s="84" t="s">
        <v>120</v>
      </c>
      <c r="F29" s="99">
        <v>0.1</v>
      </c>
      <c r="G29" s="84"/>
      <c r="H29" s="84" t="s">
        <v>121</v>
      </c>
      <c r="I29" s="100">
        <f>'様式３　履修者等数の実績'!D30</f>
        <v>11310</v>
      </c>
      <c r="J29" s="101"/>
      <c r="K29" s="35"/>
    </row>
    <row r="30" spans="1:11" s="4" customFormat="1" ht="18.75" customHeight="1">
      <c r="A30" s="1"/>
      <c r="B30" s="167" t="s">
        <v>122</v>
      </c>
      <c r="C30" s="168"/>
      <c r="D30" s="168"/>
      <c r="E30" s="168"/>
      <c r="F30" s="168"/>
      <c r="G30" s="168"/>
      <c r="H30" s="168"/>
      <c r="I30" s="168"/>
      <c r="J30" s="169"/>
      <c r="K30" s="35"/>
    </row>
    <row r="31" spans="1:11" s="4" customFormat="1" ht="18.75" customHeight="1">
      <c r="A31" s="1"/>
      <c r="B31" s="263" t="s">
        <v>202</v>
      </c>
      <c r="C31" s="264"/>
      <c r="D31" s="264"/>
      <c r="E31" s="264"/>
      <c r="F31" s="264"/>
      <c r="G31" s="264"/>
      <c r="H31" s="264"/>
      <c r="I31" s="264"/>
      <c r="J31" s="265"/>
      <c r="K31" s="35" t="str">
        <f>IF(B31="","入力してください","")</f>
        <v/>
      </c>
    </row>
    <row r="32" spans="1:11" s="4" customFormat="1" ht="18.75" customHeight="1">
      <c r="A32" s="1"/>
      <c r="B32" s="266"/>
      <c r="C32" s="267"/>
      <c r="D32" s="267"/>
      <c r="E32" s="267"/>
      <c r="F32" s="267"/>
      <c r="G32" s="267"/>
      <c r="H32" s="267"/>
      <c r="I32" s="267"/>
      <c r="J32" s="268"/>
      <c r="K32" s="35"/>
    </row>
    <row r="33" spans="1:11" s="4" customFormat="1" ht="18.75" customHeight="1">
      <c r="A33" s="1"/>
      <c r="B33" s="266"/>
      <c r="C33" s="267"/>
      <c r="D33" s="267"/>
      <c r="E33" s="267"/>
      <c r="F33" s="267"/>
      <c r="G33" s="267"/>
      <c r="H33" s="267"/>
      <c r="I33" s="267"/>
      <c r="J33" s="268"/>
      <c r="K33" s="35"/>
    </row>
    <row r="34" spans="1:11" s="4" customFormat="1" ht="18.75" customHeight="1">
      <c r="A34" s="1"/>
      <c r="B34" s="266"/>
      <c r="C34" s="267"/>
      <c r="D34" s="267"/>
      <c r="E34" s="267"/>
      <c r="F34" s="267"/>
      <c r="G34" s="267"/>
      <c r="H34" s="267"/>
      <c r="I34" s="267"/>
      <c r="J34" s="268"/>
      <c r="K34" s="35"/>
    </row>
    <row r="35" spans="1:11" s="4" customFormat="1" ht="18.75" customHeight="1">
      <c r="A35" s="1"/>
      <c r="B35" s="266"/>
      <c r="C35" s="267"/>
      <c r="D35" s="267"/>
      <c r="E35" s="267"/>
      <c r="F35" s="267"/>
      <c r="G35" s="267"/>
      <c r="H35" s="267"/>
      <c r="I35" s="267"/>
      <c r="J35" s="268"/>
      <c r="K35" s="35"/>
    </row>
    <row r="36" spans="1:11" s="4" customFormat="1" ht="18.75" customHeight="1">
      <c r="A36" s="1"/>
      <c r="B36" s="266"/>
      <c r="C36" s="267"/>
      <c r="D36" s="267"/>
      <c r="E36" s="267"/>
      <c r="F36" s="267"/>
      <c r="G36" s="267"/>
      <c r="H36" s="267"/>
      <c r="I36" s="267"/>
      <c r="J36" s="268"/>
      <c r="K36" s="35"/>
    </row>
    <row r="37" spans="1:11" s="4" customFormat="1" ht="18.75" customHeight="1">
      <c r="A37" s="1"/>
      <c r="B37" s="266"/>
      <c r="C37" s="267"/>
      <c r="D37" s="267"/>
      <c r="E37" s="267"/>
      <c r="F37" s="267"/>
      <c r="G37" s="267"/>
      <c r="H37" s="267"/>
      <c r="I37" s="267"/>
      <c r="J37" s="268"/>
      <c r="K37" s="35"/>
    </row>
    <row r="38" spans="1:11" s="4" customFormat="1" ht="18.75" customHeight="1">
      <c r="A38" s="1"/>
      <c r="B38" s="266"/>
      <c r="C38" s="267"/>
      <c r="D38" s="267"/>
      <c r="E38" s="267"/>
      <c r="F38" s="267"/>
      <c r="G38" s="267"/>
      <c r="H38" s="267"/>
      <c r="I38" s="267"/>
      <c r="J38" s="268"/>
      <c r="K38" s="35"/>
    </row>
    <row r="39" spans="1:11" s="4" customFormat="1" ht="18.75" customHeight="1">
      <c r="A39" s="1"/>
      <c r="B39" s="266"/>
      <c r="C39" s="267"/>
      <c r="D39" s="267"/>
      <c r="E39" s="267"/>
      <c r="F39" s="267"/>
      <c r="G39" s="267"/>
      <c r="H39" s="267"/>
      <c r="I39" s="267"/>
      <c r="J39" s="268"/>
      <c r="K39" s="35"/>
    </row>
    <row r="40" spans="1:11" s="4" customFormat="1" ht="18.75" customHeight="1">
      <c r="A40" s="1"/>
      <c r="B40" s="266"/>
      <c r="C40" s="267"/>
      <c r="D40" s="267"/>
      <c r="E40" s="267"/>
      <c r="F40" s="267"/>
      <c r="G40" s="267"/>
      <c r="H40" s="267"/>
      <c r="I40" s="267"/>
      <c r="J40" s="268"/>
      <c r="K40" s="35"/>
    </row>
    <row r="41" spans="1:11" s="4" customFormat="1" ht="18.75" customHeight="1">
      <c r="A41" s="1"/>
      <c r="B41" s="266"/>
      <c r="C41" s="267"/>
      <c r="D41" s="267"/>
      <c r="E41" s="267"/>
      <c r="F41" s="267"/>
      <c r="G41" s="267"/>
      <c r="H41" s="267"/>
      <c r="I41" s="267"/>
      <c r="J41" s="268"/>
      <c r="K41" s="35"/>
    </row>
    <row r="42" spans="1:11" s="4" customFormat="1" ht="18.75" customHeight="1">
      <c r="A42" s="1"/>
      <c r="B42" s="266"/>
      <c r="C42" s="267"/>
      <c r="D42" s="267"/>
      <c r="E42" s="267"/>
      <c r="F42" s="267"/>
      <c r="G42" s="267"/>
      <c r="H42" s="267"/>
      <c r="I42" s="267"/>
      <c r="J42" s="268"/>
      <c r="K42" s="35"/>
    </row>
    <row r="43" spans="1:11" ht="18.75" customHeight="1">
      <c r="A43" s="39"/>
      <c r="B43" s="266"/>
      <c r="C43" s="267"/>
      <c r="D43" s="267"/>
      <c r="E43" s="267"/>
      <c r="F43" s="267"/>
      <c r="G43" s="267"/>
      <c r="H43" s="267"/>
      <c r="I43" s="267"/>
      <c r="J43" s="268"/>
      <c r="K43" s="35"/>
    </row>
    <row r="44" spans="1:11" ht="18.75" customHeight="1">
      <c r="A44" s="39"/>
      <c r="B44" s="269"/>
      <c r="C44" s="270"/>
      <c r="D44" s="270"/>
      <c r="E44" s="270"/>
      <c r="F44" s="270"/>
      <c r="G44" s="270"/>
      <c r="H44" s="270"/>
      <c r="I44" s="270"/>
      <c r="J44" s="271"/>
    </row>
    <row r="45" spans="1:11" s="4" customFormat="1" ht="18.75" customHeight="1">
      <c r="A45" s="102" t="s">
        <v>11</v>
      </c>
      <c r="B45" s="1" t="s">
        <v>65</v>
      </c>
      <c r="C45" s="1"/>
      <c r="D45" s="1"/>
      <c r="E45" s="1"/>
      <c r="F45" s="1"/>
      <c r="G45" s="1"/>
      <c r="H45" s="1"/>
      <c r="I45" s="102"/>
      <c r="J45" s="102"/>
      <c r="K45" s="31"/>
    </row>
    <row r="46" spans="1:11" ht="18.75" customHeight="1">
      <c r="A46" s="39"/>
      <c r="B46" s="272" t="s">
        <v>203</v>
      </c>
      <c r="C46" s="273"/>
      <c r="D46" s="273"/>
      <c r="E46" s="273"/>
      <c r="F46" s="273"/>
      <c r="G46" s="273"/>
      <c r="H46" s="273"/>
      <c r="I46" s="273"/>
      <c r="J46" s="276"/>
      <c r="K46" s="31" t="str">
        <f>IF(B46="","入力してください","")</f>
        <v/>
      </c>
    </row>
    <row r="47" spans="1:11" ht="18.75" customHeight="1">
      <c r="A47" s="39"/>
      <c r="B47" s="277"/>
      <c r="C47" s="278"/>
      <c r="D47" s="278"/>
      <c r="E47" s="278"/>
      <c r="F47" s="278"/>
      <c r="G47" s="278"/>
      <c r="H47" s="278"/>
      <c r="I47" s="278"/>
      <c r="J47" s="279"/>
    </row>
    <row r="48" spans="1:11" ht="18.75" customHeight="1">
      <c r="A48" s="39"/>
      <c r="B48" s="277"/>
      <c r="C48" s="278"/>
      <c r="D48" s="278"/>
      <c r="E48" s="278"/>
      <c r="F48" s="278"/>
      <c r="G48" s="278"/>
      <c r="H48" s="278"/>
      <c r="I48" s="278"/>
      <c r="J48" s="279"/>
    </row>
    <row r="49" spans="1:10" ht="18.75" customHeight="1">
      <c r="A49" s="39"/>
      <c r="B49" s="277"/>
      <c r="C49" s="278"/>
      <c r="D49" s="278"/>
      <c r="E49" s="278"/>
      <c r="F49" s="278"/>
      <c r="G49" s="278"/>
      <c r="H49" s="278"/>
      <c r="I49" s="278"/>
      <c r="J49" s="279"/>
    </row>
    <row r="50" spans="1:10" ht="18.75" customHeight="1">
      <c r="A50" s="39"/>
      <c r="B50" s="277"/>
      <c r="C50" s="278"/>
      <c r="D50" s="278"/>
      <c r="E50" s="278"/>
      <c r="F50" s="278"/>
      <c r="G50" s="278"/>
      <c r="H50" s="278"/>
      <c r="I50" s="278"/>
      <c r="J50" s="279"/>
    </row>
    <row r="51" spans="1:10" ht="18.75" customHeight="1">
      <c r="A51" s="39"/>
      <c r="B51" s="277"/>
      <c r="C51" s="278"/>
      <c r="D51" s="278"/>
      <c r="E51" s="278"/>
      <c r="F51" s="278"/>
      <c r="G51" s="278"/>
      <c r="H51" s="278"/>
      <c r="I51" s="278"/>
      <c r="J51" s="279"/>
    </row>
    <row r="52" spans="1:10" ht="18.75" customHeight="1">
      <c r="A52" s="39"/>
      <c r="B52" s="277"/>
      <c r="C52" s="278"/>
      <c r="D52" s="278"/>
      <c r="E52" s="278"/>
      <c r="F52" s="278"/>
      <c r="G52" s="278"/>
      <c r="H52" s="278"/>
      <c r="I52" s="278"/>
      <c r="J52" s="279"/>
    </row>
    <row r="53" spans="1:10" ht="18.75" customHeight="1">
      <c r="A53" s="39"/>
      <c r="B53" s="277"/>
      <c r="C53" s="278"/>
      <c r="D53" s="278"/>
      <c r="E53" s="278"/>
      <c r="F53" s="278"/>
      <c r="G53" s="278"/>
      <c r="H53" s="278"/>
      <c r="I53" s="278"/>
      <c r="J53" s="279"/>
    </row>
    <row r="54" spans="1:10" ht="18.75" customHeight="1">
      <c r="A54" s="39"/>
      <c r="B54" s="277"/>
      <c r="C54" s="278"/>
      <c r="D54" s="278"/>
      <c r="E54" s="278"/>
      <c r="F54" s="278"/>
      <c r="G54" s="278"/>
      <c r="H54" s="278"/>
      <c r="I54" s="278"/>
      <c r="J54" s="279"/>
    </row>
    <row r="55" spans="1:10" ht="18.75" customHeight="1">
      <c r="A55" s="39"/>
      <c r="B55" s="277"/>
      <c r="C55" s="278"/>
      <c r="D55" s="278"/>
      <c r="E55" s="278"/>
      <c r="F55" s="278"/>
      <c r="G55" s="278"/>
      <c r="H55" s="278"/>
      <c r="I55" s="278"/>
      <c r="J55" s="279"/>
    </row>
    <row r="56" spans="1:10" ht="18.75" customHeight="1">
      <c r="A56" s="39"/>
      <c r="B56" s="277"/>
      <c r="C56" s="278"/>
      <c r="D56" s="278"/>
      <c r="E56" s="278"/>
      <c r="F56" s="278"/>
      <c r="G56" s="278"/>
      <c r="H56" s="278"/>
      <c r="I56" s="278"/>
      <c r="J56" s="279"/>
    </row>
    <row r="57" spans="1:10" ht="18.75" customHeight="1">
      <c r="A57" s="39"/>
      <c r="B57" s="277"/>
      <c r="C57" s="278"/>
      <c r="D57" s="278"/>
      <c r="E57" s="278"/>
      <c r="F57" s="278"/>
      <c r="G57" s="278"/>
      <c r="H57" s="278"/>
      <c r="I57" s="278"/>
      <c r="J57" s="279"/>
    </row>
    <row r="58" spans="1:10" ht="18.75" customHeight="1">
      <c r="A58" s="39"/>
      <c r="B58" s="277"/>
      <c r="C58" s="278"/>
      <c r="D58" s="278"/>
      <c r="E58" s="278"/>
      <c r="F58" s="278"/>
      <c r="G58" s="278"/>
      <c r="H58" s="278"/>
      <c r="I58" s="278"/>
      <c r="J58" s="279"/>
    </row>
    <row r="59" spans="1:10" ht="18.75" customHeight="1">
      <c r="A59" s="39"/>
      <c r="B59" s="277"/>
      <c r="C59" s="278"/>
      <c r="D59" s="278"/>
      <c r="E59" s="278"/>
      <c r="F59" s="278"/>
      <c r="G59" s="278"/>
      <c r="H59" s="278"/>
      <c r="I59" s="278"/>
      <c r="J59" s="279"/>
    </row>
    <row r="60" spans="1:10" ht="18.75" customHeight="1">
      <c r="A60" s="39"/>
      <c r="B60" s="277"/>
      <c r="C60" s="278"/>
      <c r="D60" s="278"/>
      <c r="E60" s="278"/>
      <c r="F60" s="278"/>
      <c r="G60" s="278"/>
      <c r="H60" s="278"/>
      <c r="I60" s="278"/>
      <c r="J60" s="279"/>
    </row>
    <row r="61" spans="1:10" ht="18.75" customHeight="1">
      <c r="A61" s="39"/>
      <c r="B61" s="277"/>
      <c r="C61" s="278"/>
      <c r="D61" s="278"/>
      <c r="E61" s="278"/>
      <c r="F61" s="278"/>
      <c r="G61" s="278"/>
      <c r="H61" s="278"/>
      <c r="I61" s="278"/>
      <c r="J61" s="279"/>
    </row>
    <row r="62" spans="1:10" ht="18.75" customHeight="1">
      <c r="A62" s="39"/>
      <c r="B62" s="277"/>
      <c r="C62" s="278"/>
      <c r="D62" s="278"/>
      <c r="E62" s="278"/>
      <c r="F62" s="278"/>
      <c r="G62" s="278"/>
      <c r="H62" s="278"/>
      <c r="I62" s="278"/>
      <c r="J62" s="279"/>
    </row>
    <row r="63" spans="1:10" ht="18.75" customHeight="1">
      <c r="A63" s="39"/>
      <c r="B63" s="277"/>
      <c r="C63" s="278"/>
      <c r="D63" s="278"/>
      <c r="E63" s="278"/>
      <c r="F63" s="278"/>
      <c r="G63" s="278"/>
      <c r="H63" s="278"/>
      <c r="I63" s="278"/>
      <c r="J63" s="279"/>
    </row>
    <row r="64" spans="1:10" ht="18.75" customHeight="1">
      <c r="A64" s="39"/>
      <c r="B64" s="277"/>
      <c r="C64" s="278"/>
      <c r="D64" s="278"/>
      <c r="E64" s="278"/>
      <c r="F64" s="278"/>
      <c r="G64" s="278"/>
      <c r="H64" s="278"/>
      <c r="I64" s="278"/>
      <c r="J64" s="279"/>
    </row>
    <row r="65" spans="1:11" ht="18.75" customHeight="1">
      <c r="A65" s="39"/>
      <c r="B65" s="277"/>
      <c r="C65" s="278"/>
      <c r="D65" s="278"/>
      <c r="E65" s="278"/>
      <c r="F65" s="278"/>
      <c r="G65" s="278"/>
      <c r="H65" s="278"/>
      <c r="I65" s="278"/>
      <c r="J65" s="279"/>
    </row>
    <row r="66" spans="1:11" ht="18.75" customHeight="1">
      <c r="A66" s="39"/>
      <c r="B66" s="280"/>
      <c r="C66" s="281"/>
      <c r="D66" s="281"/>
      <c r="E66" s="281"/>
      <c r="F66" s="281"/>
      <c r="G66" s="281"/>
      <c r="H66" s="281"/>
      <c r="I66" s="281"/>
      <c r="J66" s="282"/>
    </row>
    <row r="67" spans="1:11" ht="7.5" customHeight="1">
      <c r="A67" s="39"/>
      <c r="B67" s="39"/>
      <c r="C67" s="39"/>
      <c r="D67" s="39"/>
      <c r="E67" s="39"/>
      <c r="F67" s="39"/>
      <c r="G67" s="39"/>
      <c r="H67" s="39"/>
      <c r="I67" s="39"/>
      <c r="J67" s="39"/>
    </row>
    <row r="68" spans="1:11" s="4" customFormat="1" ht="18.75" customHeight="1">
      <c r="A68" s="1" t="s">
        <v>14</v>
      </c>
      <c r="B68" s="1" t="s">
        <v>71</v>
      </c>
      <c r="C68" s="1"/>
      <c r="D68" s="1"/>
      <c r="E68" s="1"/>
      <c r="F68" s="1"/>
      <c r="G68" s="1"/>
      <c r="H68" s="1"/>
      <c r="I68" s="1"/>
      <c r="J68" s="1"/>
      <c r="K68" s="31"/>
    </row>
    <row r="69" spans="1:11" s="4" customFormat="1" ht="18.75" customHeight="1">
      <c r="A69" s="1"/>
      <c r="B69" s="272" t="s">
        <v>214</v>
      </c>
      <c r="C69" s="283"/>
      <c r="D69" s="283"/>
      <c r="E69" s="283"/>
      <c r="F69" s="283"/>
      <c r="G69" s="283"/>
      <c r="H69" s="283"/>
      <c r="I69" s="284"/>
      <c r="J69" s="285"/>
      <c r="K69" s="35" t="str">
        <f>IF(B69="","入力してください","")</f>
        <v/>
      </c>
    </row>
    <row r="70" spans="1:11" s="4" customFormat="1" ht="18.75" customHeight="1">
      <c r="A70" s="1"/>
      <c r="B70" s="286"/>
      <c r="C70" s="287"/>
      <c r="D70" s="287"/>
      <c r="E70" s="287"/>
      <c r="F70" s="287"/>
      <c r="G70" s="287"/>
      <c r="H70" s="287"/>
      <c r="I70" s="287"/>
      <c r="J70" s="288"/>
      <c r="K70" s="35"/>
    </row>
    <row r="71" spans="1:11" s="4" customFormat="1" ht="18.75" customHeight="1">
      <c r="A71" s="1"/>
      <c r="B71" s="286"/>
      <c r="C71" s="287"/>
      <c r="D71" s="287"/>
      <c r="E71" s="287"/>
      <c r="F71" s="287"/>
      <c r="G71" s="287"/>
      <c r="H71" s="287"/>
      <c r="I71" s="287"/>
      <c r="J71" s="288"/>
      <c r="K71" s="35"/>
    </row>
    <row r="72" spans="1:11" s="4" customFormat="1" ht="18.75" customHeight="1">
      <c r="A72" s="1"/>
      <c r="B72" s="286"/>
      <c r="C72" s="287"/>
      <c r="D72" s="287"/>
      <c r="E72" s="287"/>
      <c r="F72" s="287"/>
      <c r="G72" s="287"/>
      <c r="H72" s="287"/>
      <c r="I72" s="287"/>
      <c r="J72" s="288"/>
      <c r="K72" s="35"/>
    </row>
    <row r="73" spans="1:11" s="4" customFormat="1" ht="18.75" customHeight="1">
      <c r="A73" s="1"/>
      <c r="B73" s="286"/>
      <c r="C73" s="287"/>
      <c r="D73" s="287"/>
      <c r="E73" s="287"/>
      <c r="F73" s="287"/>
      <c r="G73" s="287"/>
      <c r="H73" s="287"/>
      <c r="I73" s="287"/>
      <c r="J73" s="288"/>
      <c r="K73" s="35"/>
    </row>
    <row r="74" spans="1:11" s="4" customFormat="1" ht="18.75" customHeight="1">
      <c r="A74" s="1"/>
      <c r="B74" s="286"/>
      <c r="C74" s="287"/>
      <c r="D74" s="287"/>
      <c r="E74" s="287"/>
      <c r="F74" s="287"/>
      <c r="G74" s="287"/>
      <c r="H74" s="287"/>
      <c r="I74" s="287"/>
      <c r="J74" s="288"/>
      <c r="K74" s="35"/>
    </row>
    <row r="75" spans="1:11" s="4" customFormat="1" ht="18.75" customHeight="1">
      <c r="A75" s="1"/>
      <c r="B75" s="286"/>
      <c r="C75" s="287"/>
      <c r="D75" s="287"/>
      <c r="E75" s="287"/>
      <c r="F75" s="287"/>
      <c r="G75" s="287"/>
      <c r="H75" s="287"/>
      <c r="I75" s="287"/>
      <c r="J75" s="288"/>
      <c r="K75" s="35"/>
    </row>
    <row r="76" spans="1:11" s="4" customFormat="1" ht="18.75" customHeight="1">
      <c r="A76" s="1"/>
      <c r="B76" s="286"/>
      <c r="C76" s="287"/>
      <c r="D76" s="287"/>
      <c r="E76" s="287"/>
      <c r="F76" s="287"/>
      <c r="G76" s="287"/>
      <c r="H76" s="287"/>
      <c r="I76" s="287"/>
      <c r="J76" s="288"/>
      <c r="K76" s="35"/>
    </row>
    <row r="77" spans="1:11" s="4" customFormat="1" ht="18.75" customHeight="1">
      <c r="A77" s="1"/>
      <c r="B77" s="286"/>
      <c r="C77" s="287"/>
      <c r="D77" s="287"/>
      <c r="E77" s="287"/>
      <c r="F77" s="287"/>
      <c r="G77" s="287"/>
      <c r="H77" s="287"/>
      <c r="I77" s="287"/>
      <c r="J77" s="288"/>
      <c r="K77" s="35"/>
    </row>
    <row r="78" spans="1:11" s="4" customFormat="1" ht="18.75" customHeight="1">
      <c r="A78" s="1"/>
      <c r="B78" s="286"/>
      <c r="C78" s="287"/>
      <c r="D78" s="287"/>
      <c r="E78" s="287"/>
      <c r="F78" s="287"/>
      <c r="G78" s="287"/>
      <c r="H78" s="287"/>
      <c r="I78" s="287"/>
      <c r="J78" s="288"/>
      <c r="K78" s="35"/>
    </row>
    <row r="79" spans="1:11" s="4" customFormat="1" ht="18.75" customHeight="1">
      <c r="A79" s="1"/>
      <c r="B79" s="286"/>
      <c r="C79" s="287"/>
      <c r="D79" s="287"/>
      <c r="E79" s="287"/>
      <c r="F79" s="287"/>
      <c r="G79" s="287"/>
      <c r="H79" s="287"/>
      <c r="I79" s="287"/>
      <c r="J79" s="288"/>
      <c r="K79" s="35"/>
    </row>
    <row r="80" spans="1:11" s="4" customFormat="1" ht="18.75" customHeight="1">
      <c r="A80" s="1"/>
      <c r="B80" s="286"/>
      <c r="C80" s="287"/>
      <c r="D80" s="287"/>
      <c r="E80" s="287"/>
      <c r="F80" s="287"/>
      <c r="G80" s="287"/>
      <c r="H80" s="287"/>
      <c r="I80" s="287"/>
      <c r="J80" s="288"/>
      <c r="K80" s="35"/>
    </row>
    <row r="81" spans="1:11" s="4" customFormat="1" ht="18.75" customHeight="1">
      <c r="A81" s="1"/>
      <c r="B81" s="286"/>
      <c r="C81" s="287"/>
      <c r="D81" s="287"/>
      <c r="E81" s="287"/>
      <c r="F81" s="287"/>
      <c r="G81" s="287"/>
      <c r="H81" s="287"/>
      <c r="I81" s="287"/>
      <c r="J81" s="288"/>
      <c r="K81" s="35"/>
    </row>
    <row r="82" spans="1:11" s="4" customFormat="1" ht="18.75" customHeight="1">
      <c r="A82" s="1"/>
      <c r="B82" s="286"/>
      <c r="C82" s="287"/>
      <c r="D82" s="287"/>
      <c r="E82" s="287"/>
      <c r="F82" s="287"/>
      <c r="G82" s="287"/>
      <c r="H82" s="287"/>
      <c r="I82" s="287"/>
      <c r="J82" s="288"/>
      <c r="K82" s="35"/>
    </row>
    <row r="83" spans="1:11" s="4" customFormat="1" ht="18.75" customHeight="1">
      <c r="A83" s="1"/>
      <c r="B83" s="286"/>
      <c r="C83" s="287"/>
      <c r="D83" s="287"/>
      <c r="E83" s="287"/>
      <c r="F83" s="287"/>
      <c r="G83" s="287"/>
      <c r="H83" s="287"/>
      <c r="I83" s="287"/>
      <c r="J83" s="288"/>
      <c r="K83" s="35"/>
    </row>
    <row r="84" spans="1:11" s="4" customFormat="1" ht="18.75" customHeight="1">
      <c r="A84" s="1"/>
      <c r="B84" s="286"/>
      <c r="C84" s="287"/>
      <c r="D84" s="287"/>
      <c r="E84" s="287"/>
      <c r="F84" s="287"/>
      <c r="G84" s="287"/>
      <c r="H84" s="287"/>
      <c r="I84" s="287"/>
      <c r="J84" s="288"/>
      <c r="K84" s="35"/>
    </row>
    <row r="85" spans="1:11" ht="18.75" customHeight="1">
      <c r="A85" s="39"/>
      <c r="B85" s="286"/>
      <c r="C85" s="287"/>
      <c r="D85" s="287"/>
      <c r="E85" s="287"/>
      <c r="F85" s="287"/>
      <c r="G85" s="287"/>
      <c r="H85" s="287"/>
      <c r="I85" s="287"/>
      <c r="J85" s="288"/>
      <c r="K85" s="35"/>
    </row>
    <row r="86" spans="1:11" ht="18.75" customHeight="1">
      <c r="A86" s="39"/>
      <c r="B86" s="289"/>
      <c r="C86" s="290"/>
      <c r="D86" s="290"/>
      <c r="E86" s="290"/>
      <c r="F86" s="290"/>
      <c r="G86" s="290"/>
      <c r="H86" s="290"/>
      <c r="I86" s="290"/>
      <c r="J86" s="291"/>
      <c r="K86" s="35"/>
    </row>
    <row r="87" spans="1:11" ht="7.5" customHeight="1">
      <c r="A87" s="39"/>
      <c r="B87" s="39"/>
      <c r="C87" s="39"/>
      <c r="D87" s="39"/>
      <c r="E87" s="39"/>
      <c r="F87" s="39"/>
      <c r="G87" s="39"/>
      <c r="H87" s="39"/>
      <c r="I87" s="39"/>
      <c r="J87" s="39"/>
    </row>
    <row r="88" spans="1:11" s="4" customFormat="1" ht="18.75" customHeight="1">
      <c r="A88" s="1" t="s">
        <v>12</v>
      </c>
      <c r="B88" s="1" t="s">
        <v>27</v>
      </c>
      <c r="C88" s="1"/>
      <c r="D88" s="1"/>
      <c r="E88" s="1"/>
      <c r="F88" s="1"/>
      <c r="G88" s="1"/>
      <c r="H88" s="1"/>
      <c r="I88" s="1"/>
      <c r="J88" s="1"/>
      <c r="K88" s="31"/>
    </row>
    <row r="89" spans="1:11" s="4" customFormat="1" ht="18.75" customHeight="1">
      <c r="A89" s="1"/>
      <c r="B89" s="272" t="s">
        <v>204</v>
      </c>
      <c r="C89" s="273"/>
      <c r="D89" s="273"/>
      <c r="E89" s="273"/>
      <c r="F89" s="273"/>
      <c r="G89" s="273"/>
      <c r="H89" s="273"/>
      <c r="I89" s="274"/>
      <c r="J89" s="275"/>
      <c r="K89" s="31"/>
    </row>
    <row r="90" spans="1:11" s="4" customFormat="1" ht="18.75" customHeight="1">
      <c r="A90" s="1"/>
      <c r="B90" s="266"/>
      <c r="C90" s="267"/>
      <c r="D90" s="267"/>
      <c r="E90" s="267"/>
      <c r="F90" s="267"/>
      <c r="G90" s="267"/>
      <c r="H90" s="267"/>
      <c r="I90" s="267"/>
      <c r="J90" s="268"/>
      <c r="K90" s="35"/>
    </row>
    <row r="91" spans="1:11" s="4" customFormat="1" ht="18.75" customHeight="1">
      <c r="A91" s="1"/>
      <c r="B91" s="266"/>
      <c r="C91" s="267"/>
      <c r="D91" s="267"/>
      <c r="E91" s="267"/>
      <c r="F91" s="267"/>
      <c r="G91" s="267"/>
      <c r="H91" s="267"/>
      <c r="I91" s="267"/>
      <c r="J91" s="268"/>
      <c r="K91" s="35" t="str">
        <f>IF(B89="","入力してください","")</f>
        <v/>
      </c>
    </row>
    <row r="92" spans="1:11" s="4" customFormat="1" ht="18.75" customHeight="1">
      <c r="A92" s="1"/>
      <c r="B92" s="266"/>
      <c r="C92" s="267"/>
      <c r="D92" s="267"/>
      <c r="E92" s="267"/>
      <c r="F92" s="267"/>
      <c r="G92" s="267"/>
      <c r="H92" s="267"/>
      <c r="I92" s="267"/>
      <c r="J92" s="268"/>
      <c r="K92" s="35"/>
    </row>
    <row r="93" spans="1:11" s="4" customFormat="1" ht="18.75" customHeight="1">
      <c r="A93" s="1"/>
      <c r="B93" s="266"/>
      <c r="C93" s="267"/>
      <c r="D93" s="267"/>
      <c r="E93" s="267"/>
      <c r="F93" s="267"/>
      <c r="G93" s="267"/>
      <c r="H93" s="267"/>
      <c r="I93" s="267"/>
      <c r="J93" s="268"/>
      <c r="K93" s="35"/>
    </row>
    <row r="94" spans="1:11" s="4" customFormat="1" ht="18.75" customHeight="1">
      <c r="A94" s="1"/>
      <c r="B94" s="266"/>
      <c r="C94" s="267"/>
      <c r="D94" s="267"/>
      <c r="E94" s="267"/>
      <c r="F94" s="267"/>
      <c r="G94" s="267"/>
      <c r="H94" s="267"/>
      <c r="I94" s="267"/>
      <c r="J94" s="268"/>
      <c r="K94" s="35"/>
    </row>
    <row r="95" spans="1:11" s="4" customFormat="1" ht="18.75" customHeight="1">
      <c r="A95" s="1"/>
      <c r="B95" s="266"/>
      <c r="C95" s="267"/>
      <c r="D95" s="267"/>
      <c r="E95" s="267"/>
      <c r="F95" s="267"/>
      <c r="G95" s="267"/>
      <c r="H95" s="267"/>
      <c r="I95" s="267"/>
      <c r="J95" s="268"/>
      <c r="K95" s="35"/>
    </row>
    <row r="96" spans="1:11" s="4" customFormat="1" ht="18.75" customHeight="1">
      <c r="A96" s="1"/>
      <c r="B96" s="266"/>
      <c r="C96" s="267"/>
      <c r="D96" s="267"/>
      <c r="E96" s="267"/>
      <c r="F96" s="267"/>
      <c r="G96" s="267"/>
      <c r="H96" s="267"/>
      <c r="I96" s="267"/>
      <c r="J96" s="268"/>
      <c r="K96" s="35"/>
    </row>
    <row r="97" spans="1:11" s="4" customFormat="1" ht="18.75" customHeight="1">
      <c r="A97" s="1"/>
      <c r="B97" s="266"/>
      <c r="C97" s="267"/>
      <c r="D97" s="267"/>
      <c r="E97" s="267"/>
      <c r="F97" s="267"/>
      <c r="G97" s="267"/>
      <c r="H97" s="267"/>
      <c r="I97" s="267"/>
      <c r="J97" s="268"/>
      <c r="K97" s="35"/>
    </row>
    <row r="98" spans="1:11" s="4" customFormat="1" ht="18.75" customHeight="1">
      <c r="A98" s="1"/>
      <c r="B98" s="266"/>
      <c r="C98" s="267"/>
      <c r="D98" s="267"/>
      <c r="E98" s="267"/>
      <c r="F98" s="267"/>
      <c r="G98" s="267"/>
      <c r="H98" s="267"/>
      <c r="I98" s="267"/>
      <c r="J98" s="268"/>
      <c r="K98" s="35"/>
    </row>
    <row r="99" spans="1:11" s="4" customFormat="1" ht="18.75" customHeight="1">
      <c r="A99" s="1"/>
      <c r="B99" s="266"/>
      <c r="C99" s="267"/>
      <c r="D99" s="267"/>
      <c r="E99" s="267"/>
      <c r="F99" s="267"/>
      <c r="G99" s="267"/>
      <c r="H99" s="267"/>
      <c r="I99" s="267"/>
      <c r="J99" s="268"/>
      <c r="K99" s="35"/>
    </row>
    <row r="100" spans="1:11" s="4" customFormat="1" ht="18.75" customHeight="1">
      <c r="A100" s="1"/>
      <c r="B100" s="266"/>
      <c r="C100" s="267"/>
      <c r="D100" s="267"/>
      <c r="E100" s="267"/>
      <c r="F100" s="267"/>
      <c r="G100" s="267"/>
      <c r="H100" s="267"/>
      <c r="I100" s="267"/>
      <c r="J100" s="268"/>
      <c r="K100" s="35"/>
    </row>
    <row r="101" spans="1:11" s="4" customFormat="1" ht="18.75" customHeight="1">
      <c r="A101" s="1"/>
      <c r="B101" s="266"/>
      <c r="C101" s="267"/>
      <c r="D101" s="267"/>
      <c r="E101" s="267"/>
      <c r="F101" s="267"/>
      <c r="G101" s="267"/>
      <c r="H101" s="267"/>
      <c r="I101" s="267"/>
      <c r="J101" s="268"/>
      <c r="K101" s="35"/>
    </row>
    <row r="102" spans="1:11" s="4" customFormat="1" ht="18.75" customHeight="1">
      <c r="A102" s="1"/>
      <c r="B102" s="266"/>
      <c r="C102" s="267"/>
      <c r="D102" s="267"/>
      <c r="E102" s="267"/>
      <c r="F102" s="267"/>
      <c r="G102" s="267"/>
      <c r="H102" s="267"/>
      <c r="I102" s="267"/>
      <c r="J102" s="268"/>
      <c r="K102" s="35"/>
    </row>
    <row r="103" spans="1:11" s="4" customFormat="1" ht="18.75" customHeight="1">
      <c r="A103" s="1"/>
      <c r="B103" s="266"/>
      <c r="C103" s="267"/>
      <c r="D103" s="267"/>
      <c r="E103" s="267"/>
      <c r="F103" s="267"/>
      <c r="G103" s="267"/>
      <c r="H103" s="267"/>
      <c r="I103" s="267"/>
      <c r="J103" s="268"/>
      <c r="K103" s="35"/>
    </row>
    <row r="104" spans="1:11" s="4" customFormat="1" ht="18.75" customHeight="1">
      <c r="A104" s="1"/>
      <c r="B104" s="266"/>
      <c r="C104" s="267"/>
      <c r="D104" s="267"/>
      <c r="E104" s="267"/>
      <c r="F104" s="267"/>
      <c r="G104" s="267"/>
      <c r="H104" s="267"/>
      <c r="I104" s="267"/>
      <c r="J104" s="268"/>
      <c r="K104" s="35"/>
    </row>
    <row r="105" spans="1:11" s="4" customFormat="1" ht="18.75" customHeight="1">
      <c r="A105" s="1"/>
      <c r="B105" s="266"/>
      <c r="C105" s="267"/>
      <c r="D105" s="267"/>
      <c r="E105" s="267"/>
      <c r="F105" s="267"/>
      <c r="G105" s="267"/>
      <c r="H105" s="267"/>
      <c r="I105" s="267"/>
      <c r="J105" s="268"/>
      <c r="K105" s="35"/>
    </row>
    <row r="106" spans="1:11" s="4" customFormat="1" ht="18.75" customHeight="1">
      <c r="A106" s="1"/>
      <c r="B106" s="266"/>
      <c r="C106" s="267"/>
      <c r="D106" s="267"/>
      <c r="E106" s="267"/>
      <c r="F106" s="267"/>
      <c r="G106" s="267"/>
      <c r="H106" s="267"/>
      <c r="I106" s="267"/>
      <c r="J106" s="268"/>
      <c r="K106" s="35"/>
    </row>
    <row r="107" spans="1:11" ht="18.75" customHeight="1">
      <c r="A107" s="39"/>
      <c r="B107" s="266"/>
      <c r="C107" s="267"/>
      <c r="D107" s="267"/>
      <c r="E107" s="267"/>
      <c r="F107" s="267"/>
      <c r="G107" s="267"/>
      <c r="H107" s="267"/>
      <c r="I107" s="267"/>
      <c r="J107" s="268"/>
      <c r="K107" s="35"/>
    </row>
    <row r="108" spans="1:11" ht="18.75" customHeight="1">
      <c r="A108" s="39"/>
      <c r="B108" s="269"/>
      <c r="C108" s="270"/>
      <c r="D108" s="270"/>
      <c r="E108" s="270"/>
      <c r="F108" s="270"/>
      <c r="G108" s="270"/>
      <c r="H108" s="270"/>
      <c r="I108" s="270"/>
      <c r="J108" s="271"/>
      <c r="K108" s="35"/>
    </row>
    <row r="109" spans="1:11" ht="7.5" customHeight="1">
      <c r="A109" s="39"/>
      <c r="B109" s="39"/>
      <c r="C109" s="39"/>
      <c r="D109" s="39"/>
      <c r="E109" s="39"/>
      <c r="F109" s="39"/>
      <c r="G109" s="39"/>
      <c r="H109" s="39"/>
      <c r="I109" s="39"/>
      <c r="J109" s="39"/>
    </row>
    <row r="110" spans="1:11" s="4" customFormat="1" ht="18.75" customHeight="1">
      <c r="A110" s="1" t="s">
        <v>53</v>
      </c>
      <c r="B110" s="292" t="s">
        <v>82</v>
      </c>
      <c r="C110" s="292"/>
      <c r="D110" s="292"/>
      <c r="E110" s="292"/>
      <c r="F110" s="292"/>
      <c r="G110" s="292"/>
      <c r="H110" s="292"/>
      <c r="I110" s="292"/>
      <c r="J110" s="292"/>
      <c r="K110" s="31"/>
    </row>
    <row r="111" spans="1:11" ht="18.75" customHeight="1">
      <c r="A111" s="39"/>
      <c r="B111" s="272" t="s">
        <v>205</v>
      </c>
      <c r="C111" s="273"/>
      <c r="D111" s="273"/>
      <c r="E111" s="273"/>
      <c r="F111" s="273"/>
      <c r="G111" s="273"/>
      <c r="H111" s="273"/>
      <c r="I111" s="274"/>
      <c r="J111" s="275"/>
    </row>
    <row r="112" spans="1:11" ht="18.75" customHeight="1">
      <c r="A112" s="39"/>
      <c r="B112" s="266"/>
      <c r="C112" s="267"/>
      <c r="D112" s="267"/>
      <c r="E112" s="267"/>
      <c r="F112" s="267"/>
      <c r="G112" s="267"/>
      <c r="H112" s="267"/>
      <c r="I112" s="267"/>
      <c r="J112" s="268"/>
      <c r="K112" s="35"/>
    </row>
    <row r="113" spans="1:11" ht="18.75" customHeight="1">
      <c r="A113" s="39"/>
      <c r="B113" s="266"/>
      <c r="C113" s="267"/>
      <c r="D113" s="267"/>
      <c r="E113" s="267"/>
      <c r="F113" s="267"/>
      <c r="G113" s="267"/>
      <c r="H113" s="267"/>
      <c r="I113" s="267"/>
      <c r="J113" s="268"/>
      <c r="K113" s="31" t="str">
        <f>IF(B111="","入力してください","")</f>
        <v/>
      </c>
    </row>
    <row r="114" spans="1:11" ht="18.75" customHeight="1">
      <c r="A114" s="39"/>
      <c r="B114" s="266"/>
      <c r="C114" s="267"/>
      <c r="D114" s="267"/>
      <c r="E114" s="267"/>
      <c r="F114" s="267"/>
      <c r="G114" s="267"/>
      <c r="H114" s="267"/>
      <c r="I114" s="267"/>
      <c r="J114" s="268"/>
    </row>
    <row r="115" spans="1:11" ht="18.75" customHeight="1">
      <c r="A115" s="39"/>
      <c r="B115" s="266"/>
      <c r="C115" s="267"/>
      <c r="D115" s="267"/>
      <c r="E115" s="267"/>
      <c r="F115" s="267"/>
      <c r="G115" s="267"/>
      <c r="H115" s="267"/>
      <c r="I115" s="267"/>
      <c r="J115" s="268"/>
    </row>
    <row r="116" spans="1:11" ht="18.75" customHeight="1">
      <c r="A116" s="39"/>
      <c r="B116" s="266"/>
      <c r="C116" s="267"/>
      <c r="D116" s="267"/>
      <c r="E116" s="267"/>
      <c r="F116" s="267"/>
      <c r="G116" s="267"/>
      <c r="H116" s="267"/>
      <c r="I116" s="267"/>
      <c r="J116" s="268"/>
    </row>
    <row r="117" spans="1:11" ht="18.75" customHeight="1">
      <c r="A117" s="39"/>
      <c r="B117" s="266"/>
      <c r="C117" s="267"/>
      <c r="D117" s="267"/>
      <c r="E117" s="267"/>
      <c r="F117" s="267"/>
      <c r="G117" s="267"/>
      <c r="H117" s="267"/>
      <c r="I117" s="267"/>
      <c r="J117" s="268"/>
    </row>
    <row r="118" spans="1:11" ht="18.75" customHeight="1">
      <c r="A118" s="39"/>
      <c r="B118" s="266"/>
      <c r="C118" s="267"/>
      <c r="D118" s="267"/>
      <c r="E118" s="267"/>
      <c r="F118" s="267"/>
      <c r="G118" s="267"/>
      <c r="H118" s="267"/>
      <c r="I118" s="267"/>
      <c r="J118" s="268"/>
    </row>
    <row r="119" spans="1:11" ht="18.75" customHeight="1">
      <c r="A119" s="39"/>
      <c r="B119" s="266"/>
      <c r="C119" s="267"/>
      <c r="D119" s="267"/>
      <c r="E119" s="267"/>
      <c r="F119" s="267"/>
      <c r="G119" s="267"/>
      <c r="H119" s="267"/>
      <c r="I119" s="267"/>
      <c r="J119" s="268"/>
    </row>
    <row r="120" spans="1:11" ht="18.75" customHeight="1">
      <c r="A120" s="39"/>
      <c r="B120" s="266"/>
      <c r="C120" s="267"/>
      <c r="D120" s="267"/>
      <c r="E120" s="267"/>
      <c r="F120" s="267"/>
      <c r="G120" s="267"/>
      <c r="H120" s="267"/>
      <c r="I120" s="267"/>
      <c r="J120" s="268"/>
    </row>
    <row r="121" spans="1:11" ht="18.75" customHeight="1">
      <c r="A121" s="39"/>
      <c r="B121" s="266"/>
      <c r="C121" s="267"/>
      <c r="D121" s="267"/>
      <c r="E121" s="267"/>
      <c r="F121" s="267"/>
      <c r="G121" s="267"/>
      <c r="H121" s="267"/>
      <c r="I121" s="267"/>
      <c r="J121" s="268"/>
    </row>
    <row r="122" spans="1:11" ht="18.75" customHeight="1">
      <c r="A122" s="39"/>
      <c r="B122" s="266"/>
      <c r="C122" s="267"/>
      <c r="D122" s="267"/>
      <c r="E122" s="267"/>
      <c r="F122" s="267"/>
      <c r="G122" s="267"/>
      <c r="H122" s="267"/>
      <c r="I122" s="267"/>
      <c r="J122" s="268"/>
    </row>
    <row r="123" spans="1:11" ht="18.75" customHeight="1">
      <c r="A123" s="39"/>
      <c r="B123" s="266"/>
      <c r="C123" s="267"/>
      <c r="D123" s="267"/>
      <c r="E123" s="267"/>
      <c r="F123" s="267"/>
      <c r="G123" s="267"/>
      <c r="H123" s="267"/>
      <c r="I123" s="267"/>
      <c r="J123" s="268"/>
    </row>
    <row r="124" spans="1:11" ht="18.75" customHeight="1">
      <c r="A124" s="39"/>
      <c r="B124" s="266"/>
      <c r="C124" s="267"/>
      <c r="D124" s="267"/>
      <c r="E124" s="267"/>
      <c r="F124" s="267"/>
      <c r="G124" s="267"/>
      <c r="H124" s="267"/>
      <c r="I124" s="267"/>
      <c r="J124" s="268"/>
    </row>
    <row r="125" spans="1:11" ht="18.75" customHeight="1">
      <c r="A125" s="39"/>
      <c r="B125" s="266"/>
      <c r="C125" s="267"/>
      <c r="D125" s="267"/>
      <c r="E125" s="267"/>
      <c r="F125" s="267"/>
      <c r="G125" s="267"/>
      <c r="H125" s="267"/>
      <c r="I125" s="267"/>
      <c r="J125" s="268"/>
    </row>
    <row r="126" spans="1:11" ht="18.75" customHeight="1">
      <c r="A126" s="39"/>
      <c r="B126" s="266"/>
      <c r="C126" s="267"/>
      <c r="D126" s="267"/>
      <c r="E126" s="267"/>
      <c r="F126" s="267"/>
      <c r="G126" s="267"/>
      <c r="H126" s="267"/>
      <c r="I126" s="267"/>
      <c r="J126" s="268"/>
    </row>
    <row r="127" spans="1:11" ht="18.75" customHeight="1">
      <c r="A127" s="39"/>
      <c r="B127" s="266"/>
      <c r="C127" s="267"/>
      <c r="D127" s="267"/>
      <c r="E127" s="267"/>
      <c r="F127" s="267"/>
      <c r="G127" s="267"/>
      <c r="H127" s="267"/>
      <c r="I127" s="267"/>
      <c r="J127" s="268"/>
    </row>
    <row r="128" spans="1:11" ht="18.75" customHeight="1">
      <c r="A128" s="39"/>
      <c r="B128" s="266"/>
      <c r="C128" s="267"/>
      <c r="D128" s="267"/>
      <c r="E128" s="267"/>
      <c r="F128" s="267"/>
      <c r="G128" s="267"/>
      <c r="H128" s="267"/>
      <c r="I128" s="267"/>
      <c r="J128" s="268"/>
    </row>
    <row r="129" spans="1:10" ht="18.75" customHeight="1">
      <c r="A129" s="39"/>
      <c r="B129" s="269"/>
      <c r="C129" s="270"/>
      <c r="D129" s="270"/>
      <c r="E129" s="270"/>
      <c r="F129" s="270"/>
      <c r="G129" s="270"/>
      <c r="H129" s="270"/>
      <c r="I129" s="270"/>
      <c r="J129" s="271"/>
    </row>
    <row r="130" spans="1:10" ht="7.5" customHeight="1">
      <c r="A130" s="39"/>
      <c r="B130" s="103"/>
      <c r="C130" s="103"/>
      <c r="D130" s="103"/>
      <c r="E130" s="103"/>
      <c r="F130" s="103"/>
      <c r="G130" s="103"/>
      <c r="H130" s="103"/>
      <c r="I130" s="103"/>
      <c r="J130" s="103"/>
    </row>
    <row r="131" spans="1:10" ht="18.75" customHeight="1">
      <c r="A131" s="39"/>
      <c r="B131" s="39"/>
      <c r="C131" s="39"/>
      <c r="D131" s="39"/>
      <c r="E131" s="39"/>
      <c r="F131" s="39"/>
      <c r="G131" s="39"/>
      <c r="H131" s="39"/>
      <c r="I131" s="39"/>
      <c r="J131" s="39"/>
    </row>
    <row r="132" spans="1:10" ht="18.75" customHeight="1">
      <c r="A132" s="39"/>
      <c r="B132" s="39"/>
      <c r="C132" s="39"/>
      <c r="D132" s="39"/>
      <c r="E132" s="39"/>
      <c r="F132" s="39"/>
      <c r="G132" s="39"/>
      <c r="H132" s="39"/>
      <c r="I132" s="39"/>
      <c r="J132" s="39"/>
    </row>
    <row r="133" spans="1:10" ht="18.75" customHeight="1">
      <c r="A133" s="39"/>
      <c r="B133" s="39"/>
      <c r="C133" s="39"/>
      <c r="D133" s="39"/>
      <c r="E133" s="39"/>
      <c r="F133" s="39"/>
      <c r="G133" s="39"/>
      <c r="H133" s="39"/>
      <c r="I133" s="39"/>
      <c r="J133" s="39"/>
    </row>
    <row r="134" spans="1:10" ht="18.75" customHeight="1">
      <c r="A134" s="39"/>
      <c r="B134" s="39"/>
      <c r="C134" s="39"/>
      <c r="D134" s="39"/>
      <c r="E134" s="39"/>
      <c r="F134" s="39"/>
      <c r="G134" s="39"/>
      <c r="H134" s="39"/>
      <c r="I134" s="39"/>
      <c r="J134" s="39"/>
    </row>
    <row r="135" spans="1:10" ht="18.75" customHeight="1">
      <c r="A135" s="39"/>
      <c r="B135" s="39"/>
      <c r="C135" s="39"/>
      <c r="D135" s="39"/>
      <c r="E135" s="39"/>
      <c r="F135" s="39"/>
      <c r="G135" s="39"/>
      <c r="H135" s="39"/>
      <c r="I135" s="39"/>
      <c r="J135" s="39"/>
    </row>
    <row r="136" spans="1:10" ht="18.75" customHeight="1">
      <c r="A136" s="39"/>
      <c r="B136" s="39"/>
      <c r="C136" s="39"/>
      <c r="D136" s="39"/>
      <c r="E136" s="39"/>
      <c r="F136" s="39"/>
      <c r="G136" s="39"/>
      <c r="H136" s="39"/>
      <c r="I136" s="39"/>
      <c r="J136" s="39"/>
    </row>
    <row r="137" spans="1:10" ht="18.75" customHeight="1">
      <c r="A137" s="39"/>
      <c r="B137" s="39"/>
      <c r="C137" s="39"/>
      <c r="D137" s="39"/>
      <c r="E137" s="39"/>
      <c r="F137" s="39"/>
      <c r="G137" s="39"/>
      <c r="H137" s="39"/>
      <c r="I137" s="39"/>
      <c r="J137" s="39"/>
    </row>
    <row r="138" spans="1:10" ht="18.75" customHeight="1">
      <c r="A138" s="39"/>
      <c r="B138" s="39"/>
      <c r="C138" s="39"/>
      <c r="D138" s="39"/>
      <c r="E138" s="39"/>
      <c r="F138" s="39"/>
      <c r="G138" s="39"/>
      <c r="H138" s="39"/>
      <c r="I138" s="39"/>
      <c r="J138" s="39"/>
    </row>
    <row r="139" spans="1:10" ht="18.75" customHeight="1">
      <c r="A139" s="39"/>
      <c r="B139" s="39"/>
      <c r="C139" s="39"/>
      <c r="D139" s="39"/>
      <c r="E139" s="39"/>
      <c r="F139" s="39"/>
      <c r="G139" s="39"/>
      <c r="H139" s="39"/>
      <c r="I139" s="39"/>
      <c r="J139" s="39"/>
    </row>
    <row r="140" spans="1:10" ht="18.75" customHeight="1">
      <c r="A140" s="39"/>
      <c r="B140" s="39"/>
      <c r="C140" s="39"/>
      <c r="D140" s="39"/>
      <c r="E140" s="39"/>
      <c r="F140" s="39"/>
      <c r="G140" s="39"/>
      <c r="H140" s="39"/>
      <c r="I140" s="39"/>
      <c r="J140" s="39"/>
    </row>
    <row r="141" spans="1:10" ht="18.75" customHeight="1">
      <c r="A141" s="39"/>
      <c r="B141" s="39"/>
      <c r="C141" s="39"/>
      <c r="D141" s="39"/>
      <c r="E141" s="39"/>
      <c r="F141" s="39"/>
      <c r="G141" s="39"/>
      <c r="H141" s="39"/>
      <c r="I141" s="39"/>
      <c r="J141" s="39"/>
    </row>
    <row r="142" spans="1:10" ht="18.75" customHeight="1">
      <c r="A142" s="39"/>
      <c r="B142" s="39"/>
      <c r="C142" s="39"/>
      <c r="D142" s="39"/>
      <c r="E142" s="39"/>
      <c r="F142" s="39"/>
      <c r="G142" s="39"/>
      <c r="H142" s="39"/>
      <c r="I142" s="39"/>
      <c r="J142" s="39"/>
    </row>
    <row r="143" spans="1:10" ht="14.25">
      <c r="A143" s="39"/>
      <c r="B143" s="39"/>
      <c r="C143" s="39"/>
      <c r="D143" s="39"/>
      <c r="E143" s="39"/>
      <c r="F143" s="39"/>
      <c r="G143" s="39"/>
      <c r="H143" s="39"/>
      <c r="I143" s="39"/>
      <c r="J143" s="39"/>
    </row>
    <row r="144" spans="1:10" ht="7.5" customHeight="1">
      <c r="A144" s="104"/>
      <c r="B144" s="104"/>
      <c r="C144" s="104"/>
      <c r="D144" s="104"/>
      <c r="E144" s="104"/>
      <c r="F144" s="104"/>
      <c r="G144" s="104"/>
      <c r="H144" s="104"/>
      <c r="I144" s="104"/>
      <c r="J144" s="104"/>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6" zoomScaleNormal="100" zoomScaleSheetLayoutView="100" workbookViewId="0">
      <selection activeCell="W49" sqref="W49"/>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c r="A1" s="1" t="s">
        <v>123</v>
      </c>
      <c r="J1" s="41" t="s">
        <v>73</v>
      </c>
    </row>
    <row r="2" spans="1:11" ht="18.75" customHeight="1">
      <c r="A2" s="253" t="s">
        <v>42</v>
      </c>
      <c r="B2" s="253"/>
      <c r="C2" s="253"/>
      <c r="D2" s="253"/>
      <c r="E2" s="253"/>
      <c r="F2" s="253"/>
      <c r="G2" s="253"/>
      <c r="H2" s="253"/>
      <c r="I2" s="253"/>
      <c r="J2" s="253"/>
    </row>
    <row r="3" spans="1:11" ht="7.5" customHeight="1">
      <c r="A3" s="42"/>
      <c r="B3" s="42"/>
      <c r="C3" s="42"/>
      <c r="D3" s="42"/>
      <c r="E3" s="42"/>
      <c r="F3" s="42"/>
      <c r="G3" s="42"/>
      <c r="H3" s="42"/>
      <c r="I3" s="42"/>
      <c r="J3" s="42"/>
    </row>
    <row r="4" spans="1:11" ht="18.75" customHeight="1">
      <c r="A4" s="1" t="s">
        <v>6</v>
      </c>
      <c r="B4" s="4" t="s">
        <v>41</v>
      </c>
      <c r="C4" s="39"/>
      <c r="D4" s="39"/>
      <c r="E4" s="40"/>
      <c r="F4" s="40"/>
      <c r="G4" s="40"/>
      <c r="H4" s="40"/>
      <c r="I4" s="40"/>
      <c r="J4" s="40"/>
    </row>
    <row r="5" spans="1:11" ht="18.75" customHeight="1">
      <c r="B5" s="298" t="s">
        <v>38</v>
      </c>
      <c r="C5" s="299"/>
      <c r="D5" s="300"/>
      <c r="E5" s="299" t="s">
        <v>40</v>
      </c>
      <c r="F5" s="299"/>
      <c r="G5" s="299"/>
      <c r="H5" s="299"/>
      <c r="I5" s="299"/>
      <c r="J5" s="300"/>
    </row>
    <row r="6" spans="1:11" ht="18.75" customHeight="1">
      <c r="B6" s="3" t="s">
        <v>28</v>
      </c>
      <c r="C6" s="39"/>
      <c r="D6" s="7"/>
      <c r="I6" s="40"/>
      <c r="J6" s="5"/>
    </row>
    <row r="7" spans="1:11" ht="207" customHeight="1">
      <c r="B7" s="6"/>
      <c r="C7" s="301" t="s">
        <v>29</v>
      </c>
      <c r="D7" s="302"/>
      <c r="E7" s="295" t="s">
        <v>206</v>
      </c>
      <c r="F7" s="296"/>
      <c r="G7" s="296"/>
      <c r="H7" s="296"/>
      <c r="I7" s="296"/>
      <c r="J7" s="297"/>
      <c r="K7" s="31" t="str">
        <f>IF(E7="","入力してください","")</f>
        <v/>
      </c>
    </row>
    <row r="8" spans="1:11" ht="207" customHeight="1">
      <c r="B8" s="6"/>
      <c r="C8" s="293" t="s">
        <v>30</v>
      </c>
      <c r="D8" s="294"/>
      <c r="E8" s="295" t="s">
        <v>207</v>
      </c>
      <c r="F8" s="296"/>
      <c r="G8" s="296"/>
      <c r="H8" s="296"/>
      <c r="I8" s="296"/>
      <c r="J8" s="297"/>
      <c r="K8" s="31" t="str">
        <f>IF(E8="","入力してください","")</f>
        <v/>
      </c>
    </row>
    <row r="9" spans="1:11" ht="172.5" customHeight="1">
      <c r="B9" s="6"/>
      <c r="C9" s="301" t="s">
        <v>31</v>
      </c>
      <c r="D9" s="302"/>
      <c r="E9" s="295" t="s">
        <v>208</v>
      </c>
      <c r="F9" s="296"/>
      <c r="G9" s="296"/>
      <c r="H9" s="296"/>
      <c r="I9" s="296"/>
      <c r="J9" s="297"/>
      <c r="K9" s="31" t="str">
        <f>IF(E9="","入力してください","")</f>
        <v/>
      </c>
    </row>
    <row r="10" spans="1:11" ht="172.5" customHeight="1">
      <c r="B10" s="6"/>
      <c r="C10" s="301" t="s">
        <v>32</v>
      </c>
      <c r="D10" s="302"/>
      <c r="E10" s="295" t="s">
        <v>209</v>
      </c>
      <c r="F10" s="296"/>
      <c r="G10" s="296"/>
      <c r="H10" s="296"/>
      <c r="I10" s="296"/>
      <c r="J10" s="297"/>
      <c r="K10" s="31" t="str">
        <f>IF(E10="","入力してください","")</f>
        <v/>
      </c>
    </row>
    <row r="11" spans="1:11" ht="172.5" customHeight="1">
      <c r="B11" s="6"/>
      <c r="C11" s="301" t="s">
        <v>33</v>
      </c>
      <c r="D11" s="302"/>
      <c r="E11" s="295" t="s">
        <v>210</v>
      </c>
      <c r="F11" s="296"/>
      <c r="G11" s="296"/>
      <c r="H11" s="296"/>
      <c r="I11" s="296"/>
      <c r="J11" s="297"/>
      <c r="K11" s="31" t="str">
        <f>IF(E11="","入力してください","")</f>
        <v/>
      </c>
    </row>
    <row r="12" spans="1:11" ht="18.75" customHeight="1">
      <c r="B12" s="9" t="s">
        <v>34</v>
      </c>
      <c r="C12" s="28"/>
      <c r="D12" s="8"/>
      <c r="E12" s="32"/>
      <c r="F12" s="32"/>
      <c r="G12" s="32"/>
      <c r="H12" s="32"/>
      <c r="I12" s="32"/>
      <c r="J12" s="33"/>
    </row>
    <row r="13" spans="1:11" ht="244.15" customHeight="1">
      <c r="B13" s="6"/>
      <c r="C13" s="301" t="s">
        <v>35</v>
      </c>
      <c r="D13" s="302"/>
      <c r="E13" s="296" t="s">
        <v>211</v>
      </c>
      <c r="F13" s="296"/>
      <c r="G13" s="296"/>
      <c r="H13" s="296"/>
      <c r="I13" s="296"/>
      <c r="J13" s="297"/>
      <c r="K13" s="31" t="str">
        <f>IF(E13="","入力してください","")</f>
        <v/>
      </c>
    </row>
    <row r="14" spans="1:11" ht="255" customHeight="1">
      <c r="B14" s="6"/>
      <c r="C14" s="301" t="s">
        <v>36</v>
      </c>
      <c r="D14" s="302"/>
      <c r="E14" s="296" t="s">
        <v>212</v>
      </c>
      <c r="F14" s="296"/>
      <c r="G14" s="296"/>
      <c r="H14" s="296"/>
      <c r="I14" s="296"/>
      <c r="J14" s="297"/>
      <c r="K14" s="31" t="str">
        <f>IF(E14="","入力してください","")</f>
        <v/>
      </c>
    </row>
    <row r="15" spans="1:11" ht="243" customHeight="1">
      <c r="B15" s="309" t="s">
        <v>37</v>
      </c>
      <c r="C15" s="310"/>
      <c r="D15" s="302"/>
      <c r="E15" s="296" t="s">
        <v>213</v>
      </c>
      <c r="F15" s="296"/>
      <c r="G15" s="296"/>
      <c r="H15" s="296"/>
      <c r="I15" s="296"/>
      <c r="J15" s="297"/>
      <c r="K15" s="31" t="str">
        <f>IF(E15="","入力してください","")</f>
        <v/>
      </c>
    </row>
    <row r="16" spans="1:11" ht="243" customHeight="1">
      <c r="A16" s="31"/>
      <c r="B16" s="303" t="s">
        <v>66</v>
      </c>
      <c r="C16" s="304"/>
      <c r="D16" s="305"/>
      <c r="E16" s="281" t="s">
        <v>216</v>
      </c>
      <c r="F16" s="281"/>
      <c r="G16" s="281"/>
      <c r="H16" s="281"/>
      <c r="I16" s="281"/>
      <c r="J16" s="282"/>
      <c r="K16" s="31" t="str">
        <f>IF(E16="","入力してください","")</f>
        <v/>
      </c>
    </row>
    <row r="17" spans="1:11" ht="7.5" customHeight="1">
      <c r="B17" s="39"/>
      <c r="C17" s="39"/>
      <c r="D17" s="39"/>
      <c r="E17" s="40"/>
      <c r="F17" s="40"/>
      <c r="G17" s="40"/>
      <c r="H17" s="40"/>
      <c r="I17" s="40"/>
      <c r="J17" s="40"/>
    </row>
    <row r="18" spans="1:11" ht="18.75" customHeight="1">
      <c r="A18" s="1" t="s">
        <v>124</v>
      </c>
      <c r="B18" s="4"/>
      <c r="C18" s="39"/>
      <c r="D18" s="39"/>
      <c r="E18" s="40"/>
      <c r="F18" s="93"/>
      <c r="G18" s="306" t="s">
        <v>218</v>
      </c>
      <c r="H18" s="307"/>
      <c r="I18" s="307"/>
      <c r="J18" s="308"/>
      <c r="K18" s="31" t="str">
        <f>IF(G18="","入力してください","")</f>
        <v/>
      </c>
    </row>
    <row r="19" spans="1:11" ht="22.5" customHeight="1">
      <c r="B19" s="39"/>
      <c r="C19" s="39"/>
      <c r="D19" s="39"/>
      <c r="E19" s="40"/>
      <c r="F19" s="40"/>
      <c r="G19" s="40"/>
      <c r="H19" s="40"/>
      <c r="I19" s="40"/>
      <c r="J19" s="40"/>
    </row>
    <row r="20" spans="1:11" ht="22.5" customHeight="1">
      <c r="B20" s="39"/>
      <c r="C20" s="39"/>
      <c r="D20" s="39"/>
      <c r="E20" s="40"/>
      <c r="F20" s="40"/>
      <c r="G20" s="40"/>
      <c r="H20" s="40"/>
      <c r="I20" s="40"/>
      <c r="J20" s="40"/>
    </row>
    <row r="21" spans="1:11" ht="22.5" customHeight="1">
      <c r="B21" s="39"/>
      <c r="C21" s="39"/>
      <c r="D21" s="39"/>
      <c r="E21" s="40"/>
      <c r="F21" s="40"/>
      <c r="G21" s="40"/>
      <c r="H21" s="40"/>
      <c r="I21" s="40"/>
      <c r="J21" s="40"/>
    </row>
    <row r="22" spans="1:11" ht="22.5" customHeight="1">
      <c r="B22" s="39"/>
      <c r="C22" s="39"/>
      <c r="D22" s="39"/>
      <c r="E22" s="40"/>
      <c r="F22" s="40"/>
      <c r="G22" s="40"/>
      <c r="H22" s="40"/>
      <c r="I22" s="40"/>
      <c r="J22" s="40"/>
    </row>
    <row r="23" spans="1:11" ht="22.5" customHeight="1">
      <c r="B23" s="39"/>
      <c r="C23" s="39"/>
      <c r="D23" s="39"/>
      <c r="E23" s="40"/>
      <c r="F23" s="40"/>
      <c r="G23" s="40"/>
      <c r="H23" s="40"/>
      <c r="I23" s="40"/>
      <c r="J23" s="40"/>
    </row>
    <row r="24" spans="1:11" ht="22.5" customHeight="1">
      <c r="B24" s="105"/>
      <c r="C24" s="105"/>
      <c r="D24" s="105"/>
      <c r="E24" s="105"/>
      <c r="F24" s="105"/>
      <c r="G24" s="105"/>
      <c r="H24" s="105"/>
      <c r="I24" s="105"/>
      <c r="J24" s="105"/>
    </row>
    <row r="25" spans="1:11" ht="22.5" customHeight="1">
      <c r="B25" s="105"/>
      <c r="C25" s="105"/>
      <c r="D25" s="105"/>
      <c r="E25" s="105"/>
      <c r="F25" s="105"/>
      <c r="G25" s="105"/>
      <c r="H25" s="105"/>
      <c r="I25" s="105"/>
      <c r="J25" s="105"/>
    </row>
    <row r="26" spans="1:11" ht="22.5" customHeight="1">
      <c r="B26" s="105"/>
      <c r="C26" s="105"/>
      <c r="D26" s="105"/>
      <c r="E26" s="105"/>
      <c r="F26" s="105"/>
      <c r="G26" s="105"/>
      <c r="H26" s="105"/>
      <c r="I26" s="105"/>
      <c r="J26" s="105"/>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様式２　プログラムを構成する授業科目 (2)</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'様式２　プログラムを構成する授業科目 (2)'!Print_Area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saitom</cp:lastModifiedBy>
  <cp:lastPrinted>2022-07-07T05:53:13Z</cp:lastPrinted>
  <dcterms:created xsi:type="dcterms:W3CDTF">2011-06-14T05:32:50Z</dcterms:created>
  <dcterms:modified xsi:type="dcterms:W3CDTF">2022-07-07T05:55:01Z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