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24"/>
  <workbookPr defaultThemeVersion="124226"/>
  <xr:revisionPtr revIDLastSave="0" documentId="11_8C2EE7ECC63D5CC2F51AAC5B6056655D6753F853" xr6:coauthVersionLast="48" xr6:coauthVersionMax="48" xr10:uidLastSave="{00000000-0000-0000-0000-000000000000}"/>
  <bookViews>
    <workbookView xWindow="240" yWindow="375" windowWidth="11985" windowHeight="11595" tabRatio="885"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L7" i="42" l="1"/>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C30" i="40"/>
  <c r="Q29" i="40"/>
  <c r="R29" i="40" s="1"/>
  <c r="Q28" i="40"/>
  <c r="R28" i="40" s="1"/>
  <c r="Q27" i="40"/>
  <c r="R27" i="40" s="1"/>
  <c r="Q26" i="40"/>
  <c r="R26" i="40" s="1"/>
  <c r="Q25" i="40"/>
  <c r="R25" i="40" s="1"/>
  <c r="Q24" i="40"/>
  <c r="R24" i="40" s="1"/>
  <c r="Q23" i="40"/>
  <c r="R23" i="40" s="1"/>
  <c r="Q22" i="40"/>
  <c r="R22" i="40" s="1"/>
  <c r="Q21" i="40"/>
  <c r="R21" i="40" s="1"/>
  <c r="Q20" i="40"/>
  <c r="R20" i="40" s="1"/>
  <c r="Q19" i="40"/>
  <c r="R19" i="40" s="1"/>
  <c r="Q18" i="40"/>
  <c r="R18" i="40" s="1"/>
  <c r="Q17" i="40"/>
  <c r="R17" i="40" s="1"/>
  <c r="Q16" i="40"/>
  <c r="R16" i="40" s="1"/>
  <c r="Q15" i="40"/>
  <c r="R15" i="40" s="1"/>
  <c r="Q14" i="40"/>
  <c r="R14" i="40" s="1"/>
  <c r="Q13" i="40"/>
  <c r="R13" i="40" s="1"/>
  <c r="Q12" i="40"/>
  <c r="R12" i="40" s="1"/>
  <c r="Q11" i="40"/>
  <c r="R11" i="40" s="1"/>
  <c r="Q10" i="40"/>
  <c r="R10" i="40" s="1"/>
  <c r="Q30" i="40" l="1"/>
  <c r="R30" i="40"/>
  <c r="C28" i="41" s="1"/>
</calcChain>
</file>

<file path=xl/sharedStrings.xml><?xml version="1.0" encoding="utf-8"?>
<sst xmlns="http://schemas.openxmlformats.org/spreadsheetml/2006/main" count="327" uniqueCount="209">
  <si>
    <t>様式１</t>
    <rPh sb="0" eb="2">
      <t>ヨウシキ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</si>
  <si>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</si>
  <si>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①</t>
    <phoneticPr fontId="1"/>
  </si>
  <si>
    <t>学校名</t>
    <rPh sb="0" eb="2">
      <t>ガッコウ</t>
    </rPh>
    <rPh sb="2" eb="3">
      <t>メイ</t>
    </rPh>
    <phoneticPr fontId="1"/>
  </si>
  <si>
    <t>奈良女子大学</t>
    <rPh sb="0" eb="4">
      <t>ナラジョシ</t>
    </rPh>
    <rPh sb="4" eb="6">
      <t>ダイガク</t>
    </rPh>
    <phoneticPr fontId="1"/>
  </si>
  <si>
    <t>②</t>
    <phoneticPr fontId="1"/>
  </si>
  <si>
    <t>大学等の設置者</t>
  </si>
  <si>
    <t>国立大学法人　奈良国立大学機構</t>
    <phoneticPr fontId="1"/>
  </si>
  <si>
    <t>③</t>
  </si>
  <si>
    <t>設置形態</t>
    <phoneticPr fontId="1"/>
  </si>
  <si>
    <t>国立大学</t>
  </si>
  <si>
    <t>④</t>
    <phoneticPr fontId="1"/>
  </si>
  <si>
    <t>所在地</t>
    <phoneticPr fontId="1"/>
  </si>
  <si>
    <t>奈良県奈良市北魚屋東町</t>
    <rPh sb="0" eb="3">
      <t>ナラケン</t>
    </rPh>
    <rPh sb="3" eb="6">
      <t>ナラシ</t>
    </rPh>
    <rPh sb="6" eb="9">
      <t>キタサカナヤ</t>
    </rPh>
    <rPh sb="9" eb="11">
      <t>ヒガシマチ</t>
    </rPh>
    <phoneticPr fontId="1"/>
  </si>
  <si>
    <t>⑤</t>
    <phoneticPr fontId="1"/>
  </si>
  <si>
    <t>申請するプログラム名称</t>
    <rPh sb="0" eb="2">
      <t>シンセイ</t>
    </rPh>
    <rPh sb="9" eb="11">
      <t>メイショウ</t>
    </rPh>
    <phoneticPr fontId="1"/>
  </si>
  <si>
    <t>数理・データサイエンス・ＡＩ教育プログラム</t>
    <rPh sb="0" eb="2">
      <t>スウリ</t>
    </rPh>
    <rPh sb="14" eb="16">
      <t>キョウイク</t>
    </rPh>
    <phoneticPr fontId="1"/>
  </si>
  <si>
    <t>⑥</t>
    <phoneticPr fontId="1"/>
  </si>
  <si>
    <t>プログラムの開設年度</t>
    <rPh sb="6" eb="8">
      <t>カイセツ</t>
    </rPh>
    <rPh sb="8" eb="10">
      <t>ネンド</t>
    </rPh>
    <phoneticPr fontId="1"/>
  </si>
  <si>
    <t>令和３</t>
    <rPh sb="0" eb="2">
      <t>レイワ</t>
    </rPh>
    <phoneticPr fontId="1"/>
  </si>
  <si>
    <t>年度</t>
    <rPh sb="0" eb="2">
      <t>ネンド</t>
    </rPh>
    <phoneticPr fontId="1"/>
  </si>
  <si>
    <t>⑦応用基礎レベルの申請の有無</t>
    <phoneticPr fontId="1"/>
  </si>
  <si>
    <t>無</t>
  </si>
  <si>
    <t>⑧</t>
    <phoneticPr fontId="1"/>
  </si>
  <si>
    <t>教員数</t>
    <rPh sb="0" eb="2">
      <t>キョウイン</t>
    </rPh>
    <rPh sb="2" eb="3">
      <t>スウ</t>
    </rPh>
    <phoneticPr fontId="1"/>
  </si>
  <si>
    <t>（常勤）</t>
    <rPh sb="1" eb="3">
      <t>ジョウキン</t>
    </rPh>
    <phoneticPr fontId="1"/>
  </si>
  <si>
    <t>人</t>
    <rPh sb="0" eb="1">
      <t>ニン</t>
    </rPh>
    <phoneticPr fontId="1"/>
  </si>
  <si>
    <t>（非常勤）</t>
    <rPh sb="1" eb="4">
      <t>ヒジョウキン</t>
    </rPh>
    <phoneticPr fontId="1"/>
  </si>
  <si>
    <t>⑨</t>
    <phoneticPr fontId="1"/>
  </si>
  <si>
    <t>プログラムの授業を教えている教員数</t>
    <rPh sb="6" eb="8">
      <t>ジュギョウ</t>
    </rPh>
    <rPh sb="9" eb="10">
      <t>オシ</t>
    </rPh>
    <rPh sb="14" eb="16">
      <t>キョウイン</t>
    </rPh>
    <rPh sb="16" eb="17">
      <t>スウ</t>
    </rPh>
    <phoneticPr fontId="1"/>
  </si>
  <si>
    <t>⑩</t>
    <phoneticPr fontId="1"/>
  </si>
  <si>
    <t>全学部・学科の入学定員</t>
    <rPh sb="0" eb="1">
      <t>ゼン</t>
    </rPh>
    <rPh sb="4" eb="6">
      <t>ガッカ</t>
    </rPh>
    <rPh sb="7" eb="9">
      <t>ニュウガク</t>
    </rPh>
    <rPh sb="9" eb="11">
      <t>テイイン</t>
    </rPh>
    <phoneticPr fontId="1"/>
  </si>
  <si>
    <t>人</t>
  </si>
  <si>
    <t>⑪</t>
    <phoneticPr fontId="1"/>
  </si>
  <si>
    <t>全学部・学科の学生数（学年別）</t>
    <rPh sb="0" eb="1">
      <t>ゼン</t>
    </rPh>
    <rPh sb="4" eb="6">
      <t>ガッカ</t>
    </rPh>
    <rPh sb="7" eb="10">
      <t>ガクセイスウ</t>
    </rPh>
    <rPh sb="11" eb="13">
      <t>ガクネン</t>
    </rPh>
    <rPh sb="13" eb="14">
      <t>ベツ</t>
    </rPh>
    <phoneticPr fontId="1"/>
  </si>
  <si>
    <t>総数</t>
    <rPh sb="0" eb="2">
      <t>ソウスウ</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</si>
  <si>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</si>
  <si>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</si>
  <si>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</si>
  <si>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</si>
  <si>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５年次</t>
    <rPh sb="1" eb="2">
      <t>ネン</t>
    </rPh>
    <rPh sb="2" eb="3">
      <t>ツギ</t>
    </rPh>
    <phoneticPr fontId="1"/>
  </si>
  <si>
    <t>６年次</t>
    <rPh sb="1" eb="2">
      <t>ネン</t>
    </rPh>
    <rPh sb="2" eb="3">
      <t>ツギ</t>
    </rPh>
    <phoneticPr fontId="1"/>
  </si>
  <si>
    <t>⑫</t>
    <phoneticPr fontId="1"/>
  </si>
  <si>
    <t>プログラムの運営責任者</t>
    <phoneticPr fontId="1"/>
  </si>
  <si>
    <t>（責任者名）</t>
    <rPh sb="1" eb="4">
      <t>セキニンシャ</t>
    </rPh>
    <rPh sb="4" eb="5">
      <t>メイ</t>
    </rPh>
    <phoneticPr fontId="1"/>
  </si>
  <si>
    <t>今岡　春樹</t>
    <rPh sb="0" eb="2">
      <t>イマオカ</t>
    </rPh>
    <rPh sb="3" eb="4">
      <t>ハル</t>
    </rPh>
    <rPh sb="4" eb="5">
      <t>ジュ</t>
    </rPh>
    <phoneticPr fontId="1"/>
  </si>
  <si>
    <t>（役職名）</t>
    <rPh sb="1" eb="4">
      <t>ヤクショクメイ</t>
    </rPh>
    <phoneticPr fontId="1"/>
  </si>
  <si>
    <t>学長</t>
    <rPh sb="0" eb="2">
      <t>ガクチョウ</t>
    </rPh>
    <phoneticPr fontId="1"/>
  </si>
  <si>
    <t>⑬</t>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</si>
  <si>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</si>
  <si>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教育計画室　ＩＴ教育部門</t>
    <rPh sb="0" eb="2">
      <t>キョウイク</t>
    </rPh>
    <rPh sb="2" eb="5">
      <t>ケイカクシツ</t>
    </rPh>
    <rPh sb="8" eb="12">
      <t>キョウイクブモン</t>
    </rPh>
    <phoneticPr fontId="1"/>
  </si>
  <si>
    <t>駒谷　昇一</t>
    <rPh sb="0" eb="2">
      <t>コマヤ</t>
    </rPh>
    <rPh sb="3" eb="5">
      <t>ショウイチ</t>
    </rPh>
    <phoneticPr fontId="1"/>
  </si>
  <si>
    <t>教授</t>
    <rPh sb="0" eb="2">
      <t>キョウジュ</t>
    </rPh>
    <phoneticPr fontId="1"/>
  </si>
  <si>
    <t>⑭</t>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</si>
  <si>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</si>
  <si>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教育計画室</t>
    <rPh sb="0" eb="2">
      <t>キョウイク</t>
    </rPh>
    <rPh sb="2" eb="5">
      <t>ケイカクシツ</t>
    </rPh>
    <phoneticPr fontId="1"/>
  </si>
  <si>
    <t>西村 さとみ</t>
    <rPh sb="0" eb="2">
      <t>ニシムラ</t>
    </rPh>
    <phoneticPr fontId="1"/>
  </si>
  <si>
    <t>副学長</t>
    <rPh sb="0" eb="3">
      <t>フクガクチョウ</t>
    </rPh>
    <phoneticPr fontId="1"/>
  </si>
  <si>
    <t>⑮</t>
    <phoneticPr fontId="1"/>
  </si>
  <si>
    <t>申請する認定プログラム</t>
    <rPh sb="0" eb="2">
      <t>シンセイ</t>
    </rPh>
    <rPh sb="4" eb="6">
      <t>ニンテイ</t>
    </rPh>
    <phoneticPr fontId="1"/>
  </si>
  <si>
    <t>認定教育プログラムと認定教育プログラム+（プラス）</t>
  </si>
  <si>
    <t>連絡先</t>
  </si>
  <si>
    <t>所属部署名</t>
    <rPh sb="0" eb="2">
      <t>ショゾク</t>
    </rPh>
    <rPh sb="2" eb="4">
      <t>ブショ</t>
    </rPh>
    <rPh sb="4" eb="5">
      <t>メイ</t>
    </rPh>
    <phoneticPr fontId="1"/>
  </si>
  <si>
    <t>学務課</t>
    <rPh sb="0" eb="3">
      <t>ガクムカ</t>
    </rPh>
    <phoneticPr fontId="1"/>
  </si>
  <si>
    <t>担当者名</t>
    <rPh sb="0" eb="2">
      <t>タントウ</t>
    </rPh>
    <rPh sb="2" eb="3">
      <t>シャ</t>
    </rPh>
    <rPh sb="3" eb="4">
      <t>メイ</t>
    </rPh>
    <phoneticPr fontId="1"/>
  </si>
  <si>
    <t>宮前 真奈美</t>
    <rPh sb="0" eb="2">
      <t>ミヤマエ</t>
    </rPh>
    <rPh sb="3" eb="6">
      <t>マナミ</t>
    </rPh>
    <phoneticPr fontId="1"/>
  </si>
  <si>
    <t>E-mail</t>
  </si>
  <si>
    <t>gakumukakari@jimu.nara-wu.ac.jp</t>
    <phoneticPr fontId="1"/>
  </si>
  <si>
    <t>電話番号</t>
  </si>
  <si>
    <t>0742-20-3232</t>
    <phoneticPr fontId="1"/>
  </si>
  <si>
    <t>様式２</t>
    <phoneticPr fontId="1"/>
  </si>
  <si>
    <t>プログラムを構成する授業科目について</t>
    <phoneticPr fontId="1"/>
  </si>
  <si>
    <t>①具体的な修了要件</t>
    <phoneticPr fontId="1"/>
  </si>
  <si>
    <t>②教育プログラムの修了要件</t>
    <phoneticPr fontId="1"/>
  </si>
  <si>
    <t>学部・学科によって、修了要件は相違しない</t>
  </si>
  <si>
    <t>プログラムを構成する科目である「情報処理入門Ⅰ」の単位を取得し、さらに授業実施後に行う理解度確認テストにおいて60%以上の正答を得ること。</t>
    <rPh sb="6" eb="8">
      <t>コウセイ</t>
    </rPh>
    <rPh sb="10" eb="12">
      <t>カモク</t>
    </rPh>
    <rPh sb="16" eb="22">
      <t>ジョウホウショリニュウモン</t>
    </rPh>
    <rPh sb="25" eb="27">
      <t>タンイ</t>
    </rPh>
    <rPh sb="28" eb="30">
      <t>シュトク</t>
    </rPh>
    <rPh sb="35" eb="37">
      <t>ジュギョウ</t>
    </rPh>
    <rPh sb="37" eb="39">
      <t>ジッシ</t>
    </rPh>
    <rPh sb="39" eb="40">
      <t>ゴ</t>
    </rPh>
    <rPh sb="41" eb="42">
      <t>オコナ</t>
    </rPh>
    <rPh sb="43" eb="46">
      <t>リカイド</t>
    </rPh>
    <rPh sb="46" eb="48">
      <t>カクニン</t>
    </rPh>
    <rPh sb="58" eb="60">
      <t>イジョウ</t>
    </rPh>
    <rPh sb="61" eb="63">
      <t>セイトウ</t>
    </rPh>
    <rPh sb="64" eb="65">
      <t>エ</t>
    </rPh>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</si>
  <si>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</si>
  <si>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授業科目</t>
    <rPh sb="0" eb="2">
      <t>ジュギョウ</t>
    </rPh>
    <rPh sb="2" eb="4">
      <t>カモク</t>
    </rPh>
    <phoneticPr fontId="1"/>
  </si>
  <si>
    <t>単位数</t>
    <rPh sb="0" eb="3">
      <t>タンイスウ</t>
    </rPh>
    <phoneticPr fontId="1"/>
  </si>
  <si>
    <t>必修</t>
    <rPh sb="0" eb="2">
      <t>ヒッシュウ</t>
    </rPh>
    <phoneticPr fontId="1"/>
  </si>
  <si>
    <t>開講状況</t>
    <phoneticPr fontId="1"/>
  </si>
  <si>
    <t>1-1</t>
    <phoneticPr fontId="1"/>
  </si>
  <si>
    <t>1-6</t>
  </si>
  <si>
    <t>情報処理入門Ⅰ</t>
    <rPh sb="0" eb="2">
      <t>ジョウホウ</t>
    </rPh>
    <rPh sb="2" eb="4">
      <t>ショリ</t>
    </rPh>
    <rPh sb="4" eb="6">
      <t>ニュウモン</t>
    </rPh>
    <phoneticPr fontId="1"/>
  </si>
  <si>
    <t>○</t>
  </si>
  <si>
    <t>全学開講</t>
  </si>
  <si>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</si>
  <si>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</si>
  <si>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</si>
  <si>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</si>
  <si>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</si>
  <si>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</si>
  <si>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</si>
  <si>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3-1</t>
    <phoneticPr fontId="1"/>
  </si>
  <si>
    <t>3-2</t>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</si>
  <si>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</si>
  <si>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</si>
  <si>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</si>
  <si>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</si>
  <si>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</si>
  <si>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選択項目</t>
    <rPh sb="0" eb="2">
      <t>センタク</t>
    </rPh>
    <rPh sb="2" eb="4">
      <t>コウモク</t>
    </rPh>
    <phoneticPr fontId="1"/>
  </si>
  <si>
    <t>⑨プログラムを構成する授業の内容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</si>
  <si>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</si>
  <si>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</si>
  <si>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</si>
  <si>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社会で活用されている大量のデータ(ビッグデータ)処理、ＡＩを組み合わせることで、様々な新たな研究やビジネスが可能となり、計算機の進化など技術のブレークスルーにより大量のデータを瞬時に処理できるようになった。サイバー空間と物理空間を高度に融合、経済発展と社会的課題の解決、人間中心の社会(Society5.0)へと大きく変化していることを考察する。一方で、動画のフェイクニュースが作られるなど新たな問題も生じていることをとりあげる。（１２回目）</t>
    <rPh sb="0" eb="2">
      <t>シャカイ</t>
    </rPh>
    <rPh sb="3" eb="5">
      <t>カツヨウ</t>
    </rPh>
    <rPh sb="10" eb="12">
      <t>タイリョウ</t>
    </rPh>
    <rPh sb="24" eb="26">
      <t>ショリ</t>
    </rPh>
    <rPh sb="30" eb="31">
      <t>ク</t>
    </rPh>
    <rPh sb="32" eb="33">
      <t>ア</t>
    </rPh>
    <rPh sb="40" eb="42">
      <t>サマザマ</t>
    </rPh>
    <rPh sb="43" eb="44">
      <t>アラ</t>
    </rPh>
    <rPh sb="46" eb="48">
      <t>ケンキュウ</t>
    </rPh>
    <rPh sb="54" eb="56">
      <t>カノウ</t>
    </rPh>
    <rPh sb="107" eb="109">
      <t>クウカン</t>
    </rPh>
    <rPh sb="110" eb="112">
      <t>ブツリ</t>
    </rPh>
    <rPh sb="112" eb="114">
      <t>クウカン</t>
    </rPh>
    <rPh sb="115" eb="117">
      <t>コウド</t>
    </rPh>
    <rPh sb="118" eb="120">
      <t>ユウゴウ</t>
    </rPh>
    <rPh sb="121" eb="123">
      <t>ケイザイ</t>
    </rPh>
    <rPh sb="123" eb="125">
      <t>ハッテン</t>
    </rPh>
    <rPh sb="126" eb="129">
      <t>シャカイテキ</t>
    </rPh>
    <rPh sb="129" eb="131">
      <t>カダイ</t>
    </rPh>
    <rPh sb="132" eb="134">
      <t>カイケツ</t>
    </rPh>
    <rPh sb="135" eb="139">
      <t>ニンゲンチュウシン</t>
    </rPh>
    <rPh sb="140" eb="142">
      <t>シャカイ</t>
    </rPh>
    <rPh sb="156" eb="157">
      <t>オオ</t>
    </rPh>
    <rPh sb="159" eb="161">
      <t>ヘンカ</t>
    </rPh>
    <rPh sb="168" eb="170">
      <t>コウサツ</t>
    </rPh>
    <rPh sb="173" eb="175">
      <t>イッポウ</t>
    </rPh>
    <rPh sb="177" eb="179">
      <t>ドウガ</t>
    </rPh>
    <rPh sb="189" eb="190">
      <t>ツク</t>
    </rPh>
    <rPh sb="195" eb="196">
      <t>アラ</t>
    </rPh>
    <rPh sb="198" eb="200">
      <t>モンダイ</t>
    </rPh>
    <rPh sb="201" eb="202">
      <t>ショウ</t>
    </rPh>
    <phoneticPr fontId="1"/>
  </si>
  <si>
    <t>1-6</t>
    <phoneticPr fontId="1"/>
  </si>
  <si>
    <t>AIとビッグデータとの関連を学ぶ（特化型AIと汎用AIの違い、AIと機械学習と深層学習の用語の意味と発展の経緯)。機械学習の教師なし学習、教師あり学習、強化学習の違いを具体的な事例を通して学ぶ。AIを活用した事例として、星空の自動解析、ゲームの自動プレイ、迷路最短経路探索ロボットなどを取り上げ、AIの最新動向とその活用事例を学ぶ。（１３回目）</t>
    <rPh sb="11" eb="13">
      <t>カンレン</t>
    </rPh>
    <rPh sb="14" eb="15">
      <t>マナ</t>
    </rPh>
    <rPh sb="17" eb="20">
      <t>トッカガタ</t>
    </rPh>
    <rPh sb="23" eb="25">
      <t>ハンヨウ</t>
    </rPh>
    <rPh sb="28" eb="29">
      <t>チガ</t>
    </rPh>
    <rPh sb="34" eb="36">
      <t>キカイ</t>
    </rPh>
    <rPh sb="36" eb="38">
      <t>ガクシュウ</t>
    </rPh>
    <rPh sb="39" eb="41">
      <t>シンソウ</t>
    </rPh>
    <rPh sb="41" eb="43">
      <t>ガクシュウ</t>
    </rPh>
    <rPh sb="44" eb="46">
      <t>ヨウゴ</t>
    </rPh>
    <rPh sb="47" eb="49">
      <t>イミ</t>
    </rPh>
    <rPh sb="50" eb="52">
      <t>ハッテン</t>
    </rPh>
    <rPh sb="53" eb="55">
      <t>ケイイ</t>
    </rPh>
    <rPh sb="57" eb="61">
      <t>キカイガクシュウ</t>
    </rPh>
    <rPh sb="169" eb="171">
      <t>カイメ</t>
    </rPh>
    <phoneticPr fontId="1"/>
  </si>
  <si>
    <t>（２）「社会で活用されているデータ」や「データの活用領域」は非常に広範囲であって、日常生活や社会の課題を解決する有用なツールになり得るもの</t>
    <phoneticPr fontId="1"/>
  </si>
  <si>
    <t>データサイエンスとは何か。データの収集や分析、古い時代でもデータの有効活用が行われていたが、現在との違いについて解説。データには、調査データ、観測データ、実験データなどがあり、国勢調査のデータや気象データなど公開され自由に使えるものも多い。構造化データと非構造化データとの違い、１次データと２次データとメタデータ。オープンデータには具体的にどのようなものがあるか、そしてその活用事例を紹介。データサイエンティストの役割りについて。（１２回目）</t>
    <rPh sb="10" eb="11">
      <t>ナニ</t>
    </rPh>
    <rPh sb="17" eb="19">
      <t>シュウシュウ</t>
    </rPh>
    <rPh sb="20" eb="22">
      <t>ブンセキ</t>
    </rPh>
    <rPh sb="33" eb="35">
      <t>ユウコウ</t>
    </rPh>
    <rPh sb="35" eb="37">
      <t>カツヨウ</t>
    </rPh>
    <rPh sb="38" eb="39">
      <t>オコナ</t>
    </rPh>
    <rPh sb="46" eb="48">
      <t>ゲンザイ</t>
    </rPh>
    <rPh sb="50" eb="51">
      <t>チガ</t>
    </rPh>
    <rPh sb="56" eb="58">
      <t>カイセツ</t>
    </rPh>
    <rPh sb="65" eb="67">
      <t>チョウサ</t>
    </rPh>
    <rPh sb="71" eb="73">
      <t>カンソク</t>
    </rPh>
    <rPh sb="77" eb="79">
      <t>ジッケン</t>
    </rPh>
    <rPh sb="88" eb="90">
      <t>コクセイ</t>
    </rPh>
    <rPh sb="90" eb="92">
      <t>チョウサ</t>
    </rPh>
    <rPh sb="97" eb="99">
      <t>キショウ</t>
    </rPh>
    <rPh sb="104" eb="106">
      <t>コウカイ</t>
    </rPh>
    <rPh sb="108" eb="110">
      <t>ジユウ</t>
    </rPh>
    <rPh sb="111" eb="112">
      <t>ツカ</t>
    </rPh>
    <rPh sb="117" eb="118">
      <t>オオ</t>
    </rPh>
    <rPh sb="120" eb="123">
      <t>コウゾウカ</t>
    </rPh>
    <rPh sb="127" eb="128">
      <t>ヒ</t>
    </rPh>
    <rPh sb="128" eb="131">
      <t>コウゾウカ</t>
    </rPh>
    <rPh sb="136" eb="137">
      <t>チガ</t>
    </rPh>
    <rPh sb="146" eb="147">
      <t>ジ</t>
    </rPh>
    <rPh sb="166" eb="169">
      <t>グタイテキ</t>
    </rPh>
    <rPh sb="187" eb="189">
      <t>カツヨウ</t>
    </rPh>
    <rPh sb="189" eb="191">
      <t>ジレイ</t>
    </rPh>
    <rPh sb="192" eb="194">
      <t>ショウカイ</t>
    </rPh>
    <rPh sb="207" eb="209">
      <t>ヤクワリ</t>
    </rPh>
    <rPh sb="218" eb="220">
      <t>カイメ</t>
    </rPh>
    <phoneticPr fontId="1"/>
  </si>
  <si>
    <t>データやAIの活用により、自動運転、文書の自動生成などが行われている。具体的な事例として、研究分野では、手書き古文書の解読、ビジネスでは、チャットボットによる業務の効率化などを紹介。自動制御、IoTとロボット、スマート農業(アスパラの自動収穫など）の事例を紹介。データサイエンスとAIとの関係について学ぶ。（１２回目）</t>
    <rPh sb="7" eb="9">
      <t>カツヨウ</t>
    </rPh>
    <rPh sb="13" eb="15">
      <t>ジドウ</t>
    </rPh>
    <rPh sb="15" eb="17">
      <t>ウンテン</t>
    </rPh>
    <rPh sb="18" eb="20">
      <t>ブンショ</t>
    </rPh>
    <rPh sb="21" eb="23">
      <t>ジドウ</t>
    </rPh>
    <rPh sb="23" eb="25">
      <t>セイセイ</t>
    </rPh>
    <rPh sb="28" eb="29">
      <t>オコナ</t>
    </rPh>
    <rPh sb="35" eb="38">
      <t>グタイテキ</t>
    </rPh>
    <rPh sb="39" eb="41">
      <t>ジレイ</t>
    </rPh>
    <rPh sb="88" eb="90">
      <t>ショウカイ</t>
    </rPh>
    <rPh sb="109" eb="111">
      <t>ノウギョウ</t>
    </rPh>
    <rPh sb="117" eb="119">
      <t>ジドウ</t>
    </rPh>
    <rPh sb="119" eb="121">
      <t>シュウカク</t>
    </rPh>
    <rPh sb="125" eb="127">
      <t>ジレイ</t>
    </rPh>
    <rPh sb="128" eb="130">
      <t>ショウカイ</t>
    </rPh>
    <rPh sb="144" eb="146">
      <t>カンケイ</t>
    </rPh>
    <rPh sb="150" eb="151">
      <t>マナ</t>
    </rPh>
    <rPh sb="156" eb="158">
      <t>カイメ</t>
    </rPh>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</si>
  <si>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</si>
  <si>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データの１次分析(基礎統計量、データの可視化、データの確認など)、データの可視化（ヒストグラム、地図上の可視化、時系列）、非構造データの処理（言語処理、画像処理と認識技術）について学ぶ。（１３回目）</t>
    <rPh sb="5" eb="6">
      <t>ジ</t>
    </rPh>
    <rPh sb="6" eb="8">
      <t>ブンセキ</t>
    </rPh>
    <rPh sb="9" eb="11">
      <t>キソ</t>
    </rPh>
    <rPh sb="11" eb="14">
      <t>トウケイリョウ</t>
    </rPh>
    <rPh sb="19" eb="22">
      <t>カシカ</t>
    </rPh>
    <rPh sb="27" eb="29">
      <t>カクニン</t>
    </rPh>
    <rPh sb="37" eb="40">
      <t>カシカ</t>
    </rPh>
    <rPh sb="48" eb="51">
      <t>チズウエ</t>
    </rPh>
    <rPh sb="52" eb="55">
      <t>カシカ</t>
    </rPh>
    <rPh sb="56" eb="59">
      <t>ジケイレツ</t>
    </rPh>
    <rPh sb="61" eb="64">
      <t>ヒコウゾウ</t>
    </rPh>
    <rPh sb="68" eb="70">
      <t>ショリ</t>
    </rPh>
    <rPh sb="71" eb="73">
      <t>ゲンゴ</t>
    </rPh>
    <rPh sb="73" eb="75">
      <t>ショリ</t>
    </rPh>
    <rPh sb="76" eb="80">
      <t>ガゾウショリ</t>
    </rPh>
    <rPh sb="81" eb="83">
      <t>ニンシキ</t>
    </rPh>
    <rPh sb="83" eb="85">
      <t>ギジュツ</t>
    </rPh>
    <rPh sb="90" eb="91">
      <t>マナ</t>
    </rPh>
    <rPh sb="96" eb="98">
      <t>カイメ</t>
    </rPh>
    <phoneticPr fontId="1"/>
  </si>
  <si>
    <t>データ利活用のための技術（予測、グルーピング、シミュレーション、データ同化）について、具体的な事例（喫茶店の売り上げ分析、自動運転のシミュレーション、地球シミュレーションなど）を紹介しながら学ぶ。（１３回目）</t>
    <rPh sb="3" eb="6">
      <t>リカツヨウ</t>
    </rPh>
    <rPh sb="10" eb="12">
      <t>ギジュツ</t>
    </rPh>
    <rPh sb="13" eb="15">
      <t>ヨソク</t>
    </rPh>
    <rPh sb="35" eb="37">
      <t>ドウカ</t>
    </rPh>
    <rPh sb="43" eb="46">
      <t>グタイテキ</t>
    </rPh>
    <rPh sb="47" eb="49">
      <t>ジレイ</t>
    </rPh>
    <rPh sb="50" eb="53">
      <t>キッサテン</t>
    </rPh>
    <rPh sb="54" eb="55">
      <t>ウ</t>
    </rPh>
    <rPh sb="56" eb="57">
      <t>ア</t>
    </rPh>
    <rPh sb="58" eb="60">
      <t>ブンセキ</t>
    </rPh>
    <rPh sb="61" eb="63">
      <t>ジドウ</t>
    </rPh>
    <rPh sb="63" eb="65">
      <t>ウンテン</t>
    </rPh>
    <rPh sb="75" eb="77">
      <t>チキュウ</t>
    </rPh>
    <rPh sb="89" eb="91">
      <t>ショウカイ</t>
    </rPh>
    <rPh sb="95" eb="96">
      <t>マナ</t>
    </rPh>
    <rPh sb="101" eb="103">
      <t>カイメ</t>
    </rPh>
    <phoneticPr fontId="1"/>
  </si>
  <si>
    <t>（４）活用に当たっての様々な留意事項（ELSI、個人情報、データ倫理、ＡＩ社会原則等）を考慮し、情報セキュリティや情報漏洩等、データを守る上での留意事項への理解をする</t>
    <phoneticPr fontId="1"/>
  </si>
  <si>
    <t>データ・ＡＩを扱う上での留意事項（ELSI(科学・技術に関する倫理的・法的・社会的な合意）、研究倫理、法整備など）を学ぶ。データの倫理として、データの捏造、改ざん、剽窃、盗用をそれぞれについて具体的な事例(高温超伝導事件、品質検査データの改ざん)を通じて学ぶ。個人レベルでのデータの扱いの問題（個人情報の漏洩、プライバシーの侵害など）を学ぶ。（２回目、３回目、９回目、１５回目）</t>
    <rPh sb="7" eb="8">
      <t>アツカ</t>
    </rPh>
    <rPh sb="9" eb="10">
      <t>ウエ</t>
    </rPh>
    <rPh sb="12" eb="14">
      <t>リュウイ</t>
    </rPh>
    <rPh sb="14" eb="16">
      <t>ジコウ</t>
    </rPh>
    <rPh sb="22" eb="24">
      <t>カガク</t>
    </rPh>
    <rPh sb="25" eb="27">
      <t>ギジュツ</t>
    </rPh>
    <rPh sb="28" eb="29">
      <t>カン</t>
    </rPh>
    <rPh sb="31" eb="34">
      <t>リンリテキ</t>
    </rPh>
    <rPh sb="35" eb="37">
      <t>ホウテキ</t>
    </rPh>
    <rPh sb="38" eb="40">
      <t>シャカイ</t>
    </rPh>
    <rPh sb="40" eb="41">
      <t>テキ</t>
    </rPh>
    <rPh sb="42" eb="44">
      <t>ゴウイ</t>
    </rPh>
    <rPh sb="46" eb="48">
      <t>ケンキュウ</t>
    </rPh>
    <rPh sb="48" eb="50">
      <t>リンリ</t>
    </rPh>
    <rPh sb="51" eb="54">
      <t>ホウセイビ</t>
    </rPh>
    <rPh sb="58" eb="59">
      <t>マナ</t>
    </rPh>
    <rPh sb="65" eb="67">
      <t>リンリ</t>
    </rPh>
    <rPh sb="75" eb="77">
      <t>ネツゾウ</t>
    </rPh>
    <rPh sb="78" eb="79">
      <t>カイ</t>
    </rPh>
    <rPh sb="82" eb="84">
      <t>ヒョウセツ</t>
    </rPh>
    <rPh sb="85" eb="87">
      <t>トウヨウ</t>
    </rPh>
    <rPh sb="96" eb="99">
      <t>グタイテキ</t>
    </rPh>
    <rPh sb="100" eb="102">
      <t>ジレイ</t>
    </rPh>
    <rPh sb="103" eb="105">
      <t>コウオン</t>
    </rPh>
    <rPh sb="105" eb="106">
      <t>チョウ</t>
    </rPh>
    <rPh sb="106" eb="108">
      <t>デンドウ</t>
    </rPh>
    <rPh sb="108" eb="110">
      <t>ジケン</t>
    </rPh>
    <rPh sb="111" eb="113">
      <t>ヒンシツ</t>
    </rPh>
    <rPh sb="113" eb="115">
      <t>ケンサ</t>
    </rPh>
    <rPh sb="119" eb="120">
      <t>カイ</t>
    </rPh>
    <rPh sb="124" eb="125">
      <t>ツウ</t>
    </rPh>
    <rPh sb="127" eb="128">
      <t>マナ</t>
    </rPh>
    <rPh sb="130" eb="132">
      <t>コジン</t>
    </rPh>
    <rPh sb="141" eb="142">
      <t>アツカ</t>
    </rPh>
    <rPh sb="144" eb="146">
      <t>モンダイ</t>
    </rPh>
    <rPh sb="147" eb="149">
      <t>コジン</t>
    </rPh>
    <rPh sb="149" eb="151">
      <t>ジョウホウ</t>
    </rPh>
    <rPh sb="152" eb="154">
      <t>ロウエイ</t>
    </rPh>
    <rPh sb="162" eb="164">
      <t>シンガイ</t>
    </rPh>
    <rPh sb="168" eb="169">
      <t>マナ</t>
    </rPh>
    <rPh sb="173" eb="175">
      <t>カイメ</t>
    </rPh>
    <rPh sb="177" eb="179">
      <t>カイメ</t>
    </rPh>
    <phoneticPr fontId="1"/>
  </si>
  <si>
    <t>情報セキュリティの機密性、完全性、可用性について学ぶ。 セキュリティ事故について、個人情報等の漏洩、プライバシーの侵害など、実例を通して学ぶ。統計的差別、データバイアス、アルゴリズムバイアスなどデータの統計処理を行う際に注意すべきことや、忘れられる権利、説明に基づく同意、オプトイン、オプトアウト、GDPR、データサイエンスやAIの責任問題について、事例を紹介しながら、どうあるべきかを考える。（２回目、３回目、９回目、１５回目）</t>
    <rPh sb="0" eb="2">
      <t>ジョウホウ</t>
    </rPh>
    <rPh sb="9" eb="12">
      <t>キミツセイ</t>
    </rPh>
    <rPh sb="13" eb="16">
      <t>カンゼンセイ</t>
    </rPh>
    <rPh sb="17" eb="20">
      <t>カヨウセイ</t>
    </rPh>
    <rPh sb="24" eb="25">
      <t>マナ</t>
    </rPh>
    <rPh sb="34" eb="36">
      <t>ジコ</t>
    </rPh>
    <rPh sb="71" eb="73">
      <t>トウケイ</t>
    </rPh>
    <rPh sb="101" eb="103">
      <t>トウケイ</t>
    </rPh>
    <rPh sb="103" eb="105">
      <t>ショリ</t>
    </rPh>
    <rPh sb="106" eb="107">
      <t>オコナ</t>
    </rPh>
    <rPh sb="108" eb="109">
      <t>サイ</t>
    </rPh>
    <rPh sb="110" eb="112">
      <t>チュウイ</t>
    </rPh>
    <rPh sb="119" eb="120">
      <t>ワス</t>
    </rPh>
    <rPh sb="124" eb="126">
      <t>ケンリ</t>
    </rPh>
    <rPh sb="127" eb="129">
      <t>セツメイ</t>
    </rPh>
    <rPh sb="130" eb="131">
      <t>モト</t>
    </rPh>
    <rPh sb="133" eb="135">
      <t>ドウイ</t>
    </rPh>
    <rPh sb="166" eb="168">
      <t>セキニン</t>
    </rPh>
    <rPh sb="168" eb="170">
      <t>モンダイ</t>
    </rPh>
    <rPh sb="175" eb="177">
      <t>ジレイ</t>
    </rPh>
    <rPh sb="178" eb="180">
      <t>ショウカイ</t>
    </rPh>
    <rPh sb="193" eb="194">
      <t>カンガ</t>
    </rPh>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</si>
  <si>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</si>
  <si>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データの種類(量的変数と質的変数)、具体的なデータの例をもとに、度数分布、ヒストグラム、平均、中央値、最頻値など代表値の違いについて学ぶ。データのばらつき(分散、標準偏差、偏差値）について学ぶ。分割表、クロス集計表、誤差の扱い、散布図と相関係数、母集団と標本抽出の方法、統計情報の正しい理解（誇張表現に騙されない）を学ぶ。（１４回目）</t>
    <rPh sb="4" eb="6">
      <t>シュルイ</t>
    </rPh>
    <rPh sb="7" eb="9">
      <t>リョウテキ</t>
    </rPh>
    <rPh sb="9" eb="11">
      <t>ヘンスウ</t>
    </rPh>
    <rPh sb="12" eb="14">
      <t>シツテキ</t>
    </rPh>
    <rPh sb="14" eb="16">
      <t>ヘンスウ</t>
    </rPh>
    <rPh sb="18" eb="21">
      <t>グタイテキ</t>
    </rPh>
    <rPh sb="26" eb="27">
      <t>レイ</t>
    </rPh>
    <rPh sb="32" eb="34">
      <t>ドスウ</t>
    </rPh>
    <rPh sb="34" eb="36">
      <t>ブンプ</t>
    </rPh>
    <rPh sb="44" eb="46">
      <t>ヘイキン</t>
    </rPh>
    <rPh sb="47" eb="50">
      <t>チュウオウチ</t>
    </rPh>
    <rPh sb="51" eb="54">
      <t>サイヒンチ</t>
    </rPh>
    <rPh sb="56" eb="59">
      <t>ダイヒョウチ</t>
    </rPh>
    <rPh sb="60" eb="61">
      <t>チガ</t>
    </rPh>
    <rPh sb="66" eb="67">
      <t>マナ</t>
    </rPh>
    <rPh sb="78" eb="80">
      <t>ブンサン</t>
    </rPh>
    <rPh sb="81" eb="85">
      <t>ヒョウジュンヘンサ</t>
    </rPh>
    <rPh sb="86" eb="89">
      <t>ヘンサチ</t>
    </rPh>
    <rPh sb="94" eb="95">
      <t>マナ</t>
    </rPh>
    <rPh sb="104" eb="106">
      <t>シュウケイ</t>
    </rPh>
    <rPh sb="106" eb="107">
      <t>ヒョウ</t>
    </rPh>
    <rPh sb="108" eb="110">
      <t>ゴサ</t>
    </rPh>
    <rPh sb="111" eb="112">
      <t>アツカ</t>
    </rPh>
    <rPh sb="114" eb="117">
      <t>サンプズ</t>
    </rPh>
    <rPh sb="118" eb="122">
      <t>ソウカンケイスウ</t>
    </rPh>
    <rPh sb="123" eb="126">
      <t>ボシュウダン</t>
    </rPh>
    <rPh sb="127" eb="129">
      <t>ヒョウホン</t>
    </rPh>
    <rPh sb="129" eb="131">
      <t>チュウシュツ</t>
    </rPh>
    <rPh sb="132" eb="134">
      <t>ホウホウ</t>
    </rPh>
    <rPh sb="135" eb="137">
      <t>トウケイ</t>
    </rPh>
    <rPh sb="137" eb="139">
      <t>ジョウホウ</t>
    </rPh>
    <rPh sb="140" eb="141">
      <t>タダ</t>
    </rPh>
    <rPh sb="143" eb="145">
      <t>リカイ</t>
    </rPh>
    <rPh sb="146" eb="148">
      <t>コチョウ</t>
    </rPh>
    <rPh sb="148" eb="150">
      <t>ヒョウゲン</t>
    </rPh>
    <rPh sb="151" eb="152">
      <t>ダマ</t>
    </rPh>
    <rPh sb="158" eb="159">
      <t>マナ</t>
    </rPh>
    <rPh sb="164" eb="166">
      <t>カイメ</t>
    </rPh>
    <phoneticPr fontId="1"/>
  </si>
  <si>
    <t>データのグラフ化として、折れ線グラフ、散布図を事例を通して学ぶ。データの比較について、条件をそろえた比較、A/Bテストについて学ぶ。不適切なグラフ表現として、視覚的な加工を行った円グラフの具体的な事例を紹介しながら学ぶ。（１４回目）</t>
    <rPh sb="7" eb="8">
      <t>カ</t>
    </rPh>
    <rPh sb="12" eb="13">
      <t>オ</t>
    </rPh>
    <rPh sb="14" eb="15">
      <t>セン</t>
    </rPh>
    <rPh sb="19" eb="22">
      <t>サンプズ</t>
    </rPh>
    <rPh sb="23" eb="25">
      <t>ジレイ</t>
    </rPh>
    <rPh sb="26" eb="27">
      <t>トオ</t>
    </rPh>
    <rPh sb="29" eb="30">
      <t>マナ</t>
    </rPh>
    <rPh sb="36" eb="38">
      <t>ヒカク</t>
    </rPh>
    <rPh sb="43" eb="45">
      <t>ジョウケン</t>
    </rPh>
    <rPh sb="50" eb="52">
      <t>ヒカク</t>
    </rPh>
    <rPh sb="63" eb="64">
      <t>マナ</t>
    </rPh>
    <rPh sb="66" eb="69">
      <t>フテキセツ</t>
    </rPh>
    <rPh sb="73" eb="75">
      <t>ヒョウゲン</t>
    </rPh>
    <rPh sb="79" eb="82">
      <t>シカクテキ</t>
    </rPh>
    <rPh sb="83" eb="85">
      <t>カコウ</t>
    </rPh>
    <rPh sb="86" eb="87">
      <t>オコナ</t>
    </rPh>
    <rPh sb="89" eb="90">
      <t>エン</t>
    </rPh>
    <rPh sb="94" eb="97">
      <t>グタイテキ</t>
    </rPh>
    <rPh sb="98" eb="100">
      <t>ジレイ</t>
    </rPh>
    <rPh sb="101" eb="103">
      <t>ショウカイ</t>
    </rPh>
    <rPh sb="107" eb="108">
      <t>マナ</t>
    </rPh>
    <rPh sb="113" eb="115">
      <t>カイメ</t>
    </rPh>
    <phoneticPr fontId="1"/>
  </si>
  <si>
    <t>テータに対する操作として、和、平均の求め方、並び替え、ランキングについて学ぶ。
ｃｓｖ形式のデータを表計算ソフトで読み込む方法を学ぶ。（１４回目）</t>
    <rPh sb="4" eb="5">
      <t>タイ</t>
    </rPh>
    <rPh sb="7" eb="9">
      <t>ソウサ</t>
    </rPh>
    <rPh sb="13" eb="14">
      <t>ワ</t>
    </rPh>
    <rPh sb="15" eb="17">
      <t>ヘイキン</t>
    </rPh>
    <rPh sb="18" eb="19">
      <t>モト</t>
    </rPh>
    <rPh sb="20" eb="21">
      <t>カタ</t>
    </rPh>
    <rPh sb="22" eb="23">
      <t>ナラ</t>
    </rPh>
    <rPh sb="24" eb="25">
      <t>カ</t>
    </rPh>
    <rPh sb="36" eb="37">
      <t>マナブ</t>
    </rPh>
    <rPh sb="43" eb="45">
      <t>ケイシキ</t>
    </rPh>
    <rPh sb="50" eb="53">
      <t>ヒョウケイサン</t>
    </rPh>
    <rPh sb="57" eb="58">
      <t>ヨ</t>
    </rPh>
    <rPh sb="59" eb="60">
      <t>コ</t>
    </rPh>
    <rPh sb="61" eb="63">
      <t>ホウホウ</t>
    </rPh>
    <rPh sb="64" eb="65">
      <t>マナブ</t>
    </rPh>
    <rPh sb="70" eb="72">
      <t>カイメ</t>
    </rPh>
    <phoneticPr fontId="1"/>
  </si>
  <si>
    <t>⑩プログラムの学修成果（学生等が身に付けられる能力等）</t>
    <phoneticPr fontId="1"/>
  </si>
  <si>
    <t>・なぜ、数理・データサイエンス・AIを学ぶことが重要なのかを理解する
・ビッグデータやＡＩが社会でどのように活用され新たな価値を生んでいるのかを理解する
・AIの得意なところ、苦手なところを理解し、人間中心の適切な判断が出来ることを理解する
・社会にあるデータや課題の事例を通して、データやＡＩの活用でどのような解決が図れるかを予測できる</t>
    <rPh sb="24" eb="26">
      <t>ジュウヨウ</t>
    </rPh>
    <rPh sb="116" eb="118">
      <t>リカイ</t>
    </rPh>
    <rPh sb="134" eb="136">
      <t>ジレイ</t>
    </rPh>
    <rPh sb="137" eb="138">
      <t>トオ</t>
    </rPh>
    <rPh sb="148" eb="150">
      <t>カツヨウ</t>
    </rPh>
    <rPh sb="156" eb="158">
      <t>カイケツ</t>
    </rPh>
    <rPh sb="159" eb="160">
      <t>ハカ</t>
    </rPh>
    <rPh sb="164" eb="166">
      <t>ヨソク</t>
    </rPh>
    <phoneticPr fontId="1"/>
  </si>
  <si>
    <t>⑪プログラムの授業内容等を公表しているアドレス</t>
    <phoneticPr fontId="1"/>
  </si>
  <si>
    <t>http://www.nara-wu.ac.jp/nwu/education/aidatascience/aidatascience.html</t>
    <phoneticPr fontId="1"/>
  </si>
  <si>
    <t>様式３</t>
    <rPh sb="0" eb="2">
      <t>ヨウシキ</t>
    </rPh>
    <phoneticPr fontId="1"/>
  </si>
  <si>
    <t>プログラムの履修者数等の実績について</t>
    <phoneticPr fontId="1"/>
  </si>
  <si>
    <t>①プログラム開設年度</t>
    <rPh sb="6" eb="8">
      <t>カイセツ</t>
    </rPh>
    <rPh sb="8" eb="10">
      <t>ネンド</t>
    </rPh>
    <phoneticPr fontId="1"/>
  </si>
  <si>
    <t>②履修者・修了者の実績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</si>
  <si>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</si>
  <si>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入学
定員</t>
    <rPh sb="0" eb="2">
      <t>ニュウガク</t>
    </rPh>
    <rPh sb="3" eb="5">
      <t>テイイン</t>
    </rPh>
    <phoneticPr fontId="1"/>
  </si>
  <si>
    <t>収容
定員</t>
    <rPh sb="0" eb="2">
      <t>シュウヨウ</t>
    </rPh>
    <rPh sb="3" eb="5">
      <t>テイイン</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</si>
  <si>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</si>
  <si>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</si>
  <si>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</si>
  <si>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</si>
  <si>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</si>
  <si>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</si>
  <si>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</si>
  <si>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</si>
  <si>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2">
      <t>リシュウ</t>
    </rPh>
    <rPh sb="2" eb="3">
      <t>シャ</t>
    </rPh>
    <rPh sb="3" eb="4">
      <t>スウ</t>
    </rPh>
    <phoneticPr fontId="1"/>
  </si>
  <si>
    <t>修了者数</t>
    <rPh sb="0" eb="3">
      <t>シュウリョウシャ</t>
    </rPh>
    <rPh sb="3" eb="4">
      <t>スウ</t>
    </rPh>
    <phoneticPr fontId="1"/>
  </si>
  <si>
    <t>文学部</t>
    <rPh sb="0" eb="3">
      <t>ブンガクブ</t>
    </rPh>
    <phoneticPr fontId="1"/>
  </si>
  <si>
    <t>理学部</t>
    <rPh sb="0" eb="3">
      <t>リガクブ</t>
    </rPh>
    <phoneticPr fontId="1"/>
  </si>
  <si>
    <t>生活環境学部</t>
    <rPh sb="0" eb="2">
      <t>セイカツ</t>
    </rPh>
    <rPh sb="2" eb="4">
      <t>カンキョウ</t>
    </rPh>
    <rPh sb="4" eb="6">
      <t>ガクブ</t>
    </rPh>
    <phoneticPr fontId="1"/>
  </si>
  <si>
    <t>合　計</t>
    <phoneticPr fontId="1"/>
  </si>
  <si>
    <t>　　　　　　　　　　　　　　　　　　　　　　　　　　　　　　　　　　　　　　　　　　　　　　　　　　　　　　　　　　　　　　　　　　　　　　　　　　　　　　　　　　　　　　　　　　　　　　　　　　　　　　　　　　　　　　　　　　　　　　　　　　　　　　　　　　　　　　　　　　　　　　　　　　　　　　　　　　　　　　　　　　　　　　　　　　　　　　　　　　　　　　　　　　　　　　　　　　　　　　　　　　　　　　　　　　　　　　　　　　　　　　　　　　　　　　　　　　　　　　　　　　　　　　　　　　　　　　　　　　　　　　　　　　　　　　　　　　　　　　　　　　　　　　　　　　　　　　　　　　　　　　　　　　　　　　　　　　　　　　　　　　　　　　　　　　　　　　　　　　　　　　　　　　　　　　　　　　　　　　　　　　　　　　　　　　　　　　　　　　　　　　　　　　　　　　　　　　　　　　　　　　　　　　　　　　　　　　　　　　　　　　　　　　　　　　　　　　　　　　　　　　　　　　　　　　　　　　　　　　　　　　　　　　　　　　　　　　　　　　　　　　　　　　　　　　　　　　　　　　　　　　　　　　　　　　　　　　　　　　　　　　　　　　　　　　　　　　　　　　　　　　　　　　　　　　　　　　　　　　　　　　　　　　　　　　　　　　　　　　　　　　　　　　　　　　　　　　　　　　　　　　　　　　　　　　　　　　　　　　　　　　　　　　　　　　　　　　　　　　　　　　　　　　　　　　　　　　　　　　　　　　　　　　　　　　　　　　　　　　　　　　　　　　　　　　　　　　　　　　　　　　　　　　　　　　　　　　　　　　　　　　　　　　　　　　　　　　</t>
    <phoneticPr fontId="1"/>
  </si>
  <si>
    <t>様式４</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</si>
  <si>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</si>
  <si>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プログラムを改善・進化させるための体制を定める規則名称</t>
    <phoneticPr fontId="1"/>
  </si>
  <si>
    <t>奈良女子大学教育計画室設置要項、奈良女子大学数理・データサイエンス・AI教育プログラム実施要項</t>
    <rPh sb="6" eb="8">
      <t>キョウイク</t>
    </rPh>
    <rPh sb="8" eb="10">
      <t>ケイカク</t>
    </rPh>
    <rPh sb="10" eb="11">
      <t>シツ</t>
    </rPh>
    <rPh sb="11" eb="15">
      <t>セッチヨウコウ</t>
    </rPh>
    <rPh sb="16" eb="22">
      <t>ナラジョシダイガク</t>
    </rPh>
    <phoneticPr fontId="1"/>
  </si>
  <si>
    <t>体制の目的</t>
    <rPh sb="0" eb="2">
      <t>タイセイ</t>
    </rPh>
    <rPh sb="3" eb="5">
      <t>モクテキ</t>
    </rPh>
    <phoneticPr fontId="1"/>
  </si>
  <si>
    <t>教育計画室 IT教育部門は、全学の情報処理教育のカリキュラム等を主管しており、数理・データサイエンス・ＡＩの教育プログラムを継続的に実施するために、IT教育部門が本プログラムを主管し推進する。
全学の教育カリキュラムとの連携や、各学部の教務委員会との連携を重視し、本プログラムが継続的に実施、改善(PDCA)が行われるようにするため、本プログラムを全学共通科目として組み込み、既設の教育計画室のＩＴ教育部門が運営実施する体制とした。</t>
    <rPh sb="0" eb="2">
      <t>キョウイク</t>
    </rPh>
    <rPh sb="2" eb="5">
      <t>ケイカクシツ</t>
    </rPh>
    <rPh sb="8" eb="10">
      <t>キョウイク</t>
    </rPh>
    <rPh sb="10" eb="12">
      <t>ブモン</t>
    </rPh>
    <rPh sb="14" eb="16">
      <t>ゼンガク</t>
    </rPh>
    <rPh sb="17" eb="19">
      <t>ジョウホウ</t>
    </rPh>
    <rPh sb="19" eb="21">
      <t>ショリ</t>
    </rPh>
    <rPh sb="21" eb="23">
      <t>キョウイク</t>
    </rPh>
    <rPh sb="30" eb="31">
      <t>トウ</t>
    </rPh>
    <rPh sb="32" eb="34">
      <t>シュカン</t>
    </rPh>
    <rPh sb="39" eb="41">
      <t>スウリ</t>
    </rPh>
    <rPh sb="54" eb="56">
      <t>キョウイク</t>
    </rPh>
    <rPh sb="62" eb="65">
      <t>ケイゾクテキ</t>
    </rPh>
    <rPh sb="66" eb="68">
      <t>ジッシ</t>
    </rPh>
    <rPh sb="76" eb="78">
      <t>キョウイク</t>
    </rPh>
    <rPh sb="78" eb="80">
      <t>ブモン</t>
    </rPh>
    <rPh sb="81" eb="82">
      <t>ホン</t>
    </rPh>
    <rPh sb="88" eb="90">
      <t>シュカン</t>
    </rPh>
    <rPh sb="91" eb="93">
      <t>スイシン</t>
    </rPh>
    <rPh sb="97" eb="99">
      <t>ゼンガク</t>
    </rPh>
    <rPh sb="100" eb="102">
      <t>キョウイク</t>
    </rPh>
    <rPh sb="110" eb="112">
      <t>レンケイ</t>
    </rPh>
    <rPh sb="114" eb="115">
      <t>カク</t>
    </rPh>
    <rPh sb="115" eb="117">
      <t>ガクブ</t>
    </rPh>
    <rPh sb="118" eb="120">
      <t>キョウム</t>
    </rPh>
    <rPh sb="120" eb="123">
      <t>イインカイ</t>
    </rPh>
    <rPh sb="125" eb="127">
      <t>レンケイ</t>
    </rPh>
    <rPh sb="128" eb="130">
      <t>ジュウシ</t>
    </rPh>
    <rPh sb="132" eb="133">
      <t>ホン</t>
    </rPh>
    <rPh sb="139" eb="142">
      <t>ケイゾクテキ</t>
    </rPh>
    <rPh sb="143" eb="145">
      <t>ジッシ</t>
    </rPh>
    <rPh sb="146" eb="148">
      <t>カイゼン</t>
    </rPh>
    <rPh sb="155" eb="156">
      <t>オコナ</t>
    </rPh>
    <rPh sb="167" eb="168">
      <t>ホン</t>
    </rPh>
    <rPh sb="174" eb="176">
      <t>ゼンガク</t>
    </rPh>
    <rPh sb="176" eb="178">
      <t>キョウツウ</t>
    </rPh>
    <rPh sb="178" eb="180">
      <t>カモク</t>
    </rPh>
    <rPh sb="183" eb="184">
      <t>ク</t>
    </rPh>
    <rPh sb="185" eb="186">
      <t>コ</t>
    </rPh>
    <rPh sb="188" eb="190">
      <t>キセツ</t>
    </rPh>
    <rPh sb="191" eb="193">
      <t>キョウイク</t>
    </rPh>
    <rPh sb="193" eb="196">
      <t>ケイカクシツ</t>
    </rPh>
    <rPh sb="199" eb="201">
      <t>キョウイク</t>
    </rPh>
    <rPh sb="201" eb="203">
      <t>ブモン</t>
    </rPh>
    <rPh sb="204" eb="206">
      <t>ウンエイ</t>
    </rPh>
    <rPh sb="206" eb="208">
      <t>ジッシ</t>
    </rPh>
    <rPh sb="210" eb="212">
      <t>タイセイ</t>
    </rPh>
    <phoneticPr fontId="1"/>
  </si>
  <si>
    <t>③</t>
    <phoneticPr fontId="1"/>
  </si>
  <si>
    <t>具体的な構成員</t>
    <rPh sb="0" eb="3">
      <t>グタイテキ</t>
    </rPh>
    <rPh sb="4" eb="7">
      <t>コウセイイン</t>
    </rPh>
    <phoneticPr fontId="1"/>
  </si>
  <si>
    <t>（令和３年度）教育計画室IT教育部門
部門長
　工学系　　　　　　　　　教授　　駒谷 昇一
部門員
　人文科学系　　　　　　　教授　　磯部　敦
　自然科学系　　　　　　　教授　　村松 加奈子
　生活環境系　　　　　　　教授　　高村 仁知
　工学系　　　　　　　　　教授　　中田 大貴
　自然科学系　　　　　　　教授　　宮林 謙吉
　人文科学系　　　　　　　教授　　須賀 あゆみ
事務局
　学務課（教育計画室担当）課長補佐　宮前 真奈美
　同（全学教育担当）　　　学務係主任　佐藤　麻里子</t>
    <rPh sb="1" eb="3">
      <t>レイワ</t>
    </rPh>
    <rPh sb="4" eb="5">
      <t>ネン</t>
    </rPh>
    <rPh sb="5" eb="6">
      <t>ド</t>
    </rPh>
    <rPh sb="7" eb="12">
      <t>キョウイクケイカクシツ</t>
    </rPh>
    <rPh sb="14" eb="16">
      <t>キョウイク</t>
    </rPh>
    <rPh sb="16" eb="18">
      <t>ブモン</t>
    </rPh>
    <rPh sb="19" eb="22">
      <t>ブモンチョウ</t>
    </rPh>
    <rPh sb="36" eb="38">
      <t>キョウジュ</t>
    </rPh>
    <rPh sb="40" eb="42">
      <t>コマヤ</t>
    </rPh>
    <rPh sb="43" eb="45">
      <t>ショウイチ</t>
    </rPh>
    <rPh sb="46" eb="49">
      <t>ブモンイン</t>
    </rPh>
    <rPh sb="51" eb="56">
      <t>ジンブンカガクケイ</t>
    </rPh>
    <rPh sb="63" eb="65">
      <t>キョウジュ</t>
    </rPh>
    <rPh sb="67" eb="69">
      <t>イソベ</t>
    </rPh>
    <rPh sb="70" eb="71">
      <t>アツシ</t>
    </rPh>
    <rPh sb="73" eb="78">
      <t>シゼンカガッケイ</t>
    </rPh>
    <rPh sb="85" eb="87">
      <t>キョウジュ</t>
    </rPh>
    <rPh sb="97" eb="102">
      <t>セイカツカンキョウケイ</t>
    </rPh>
    <rPh sb="109" eb="111">
      <t>キョウジュ</t>
    </rPh>
    <rPh sb="120" eb="123">
      <t>コウガクケイ</t>
    </rPh>
    <rPh sb="132" eb="134">
      <t>キョウジュ</t>
    </rPh>
    <rPh sb="155" eb="157">
      <t>キョウジュ</t>
    </rPh>
    <rPh sb="159" eb="161">
      <t>ミヤバヤシ</t>
    </rPh>
    <rPh sb="162" eb="164">
      <t>ケンキチ</t>
    </rPh>
    <rPh sb="166" eb="168">
      <t>ジンブン</t>
    </rPh>
    <rPh sb="168" eb="171">
      <t>カガクケイ</t>
    </rPh>
    <rPh sb="178" eb="180">
      <t>キョウジュ</t>
    </rPh>
    <rPh sb="189" eb="192">
      <t>ジムキョク</t>
    </rPh>
    <rPh sb="194" eb="197">
      <t>ガクムカ</t>
    </rPh>
    <rPh sb="198" eb="200">
      <t>キョウイク</t>
    </rPh>
    <rPh sb="200" eb="203">
      <t>ケイカクシツ</t>
    </rPh>
    <rPh sb="203" eb="205">
      <t>タントウ</t>
    </rPh>
    <rPh sb="206" eb="208">
      <t>カチョウ</t>
    </rPh>
    <rPh sb="208" eb="210">
      <t>ホサ</t>
    </rPh>
    <rPh sb="211" eb="213">
      <t>ミヤマエ</t>
    </rPh>
    <rPh sb="214" eb="217">
      <t>マナミ</t>
    </rPh>
    <rPh sb="219" eb="220">
      <t>ドウ</t>
    </rPh>
    <rPh sb="221" eb="223">
      <t>ゼンガク</t>
    </rPh>
    <rPh sb="223" eb="225">
      <t>キョウイク</t>
    </rPh>
    <rPh sb="225" eb="227">
      <t>タントウ</t>
    </rPh>
    <rPh sb="231" eb="234">
      <t>ガクムカカリ</t>
    </rPh>
    <rPh sb="234" eb="236">
      <t>シュニン</t>
    </rPh>
    <rPh sb="237" eb="239">
      <t>サトウ</t>
    </rPh>
    <phoneticPr fontId="1"/>
  </si>
  <si>
    <t>履修者数・履修率の向上に向けた計画</t>
    <rPh sb="5" eb="7">
      <t>リシュウ</t>
    </rPh>
    <rPh sb="7" eb="8">
      <t>リツ</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</si>
  <si>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</si>
  <si>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</si>
  <si>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</si>
  <si>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</si>
  <si>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</si>
  <si>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</si>
  <si>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</si>
  <si>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xml:space="preserve">令和２年度
　・情報処理入門Ⅰの内容に、数理・データサイエンス・ＡＩの教育内容を盛り込む。
　・数理・データサイエンス・ＡＩの教材と、理解度確認テストを作成。
令和３年度
　・授業のガイダンスにおいて、数理・データサイエンス・ＡＩについて学ぶ意義を説明。
　・情報処理入門Ⅰにおいて、数理・データサイエンス・ＡＩの教育を開始。
　・プログラム修了者に対して修了証を発行
令和４年度
　・数理・データサイエンス・AIの教育を強化するために、常勤教員を新たに採用。
　・入学時配布資料にて、数理・データサイエンス・ＡＩの教育についてのパンフレット配布。
　・理解度確認テストの受験を増やすため、情報処理入門Ⅰの授業中に周知する。
　・高年次を対象とした数理・データサイエンス・ＡＩの授業科目を新たに増やし、プログラムの
  修了者を増やす。
　・高年次を対象とした授業科目を実施する(令和5年度まで実施)
令和５年度
　・情報処理入門Ⅰの授業を見直し、数理・データサイエンス・ＡＩの授業内容を改善する。
　・理解度確認テストを授業期間内にできるようにカリキュラムを見直す
</t>
    <rPh sb="0" eb="2">
      <t>レイワ</t>
    </rPh>
    <rPh sb="3" eb="5">
      <t>ネンド</t>
    </rPh>
    <rPh sb="8" eb="10">
      <t>ジョウホウ</t>
    </rPh>
    <rPh sb="10" eb="12">
      <t>ショリ</t>
    </rPh>
    <rPh sb="12" eb="14">
      <t>ニュウモン</t>
    </rPh>
    <rPh sb="16" eb="18">
      <t>ナイヨウ</t>
    </rPh>
    <rPh sb="20" eb="22">
      <t>スウリ</t>
    </rPh>
    <rPh sb="35" eb="37">
      <t>キョウイク</t>
    </rPh>
    <rPh sb="37" eb="39">
      <t>ナイヨウ</t>
    </rPh>
    <rPh sb="40" eb="41">
      <t>モ</t>
    </rPh>
    <rPh sb="42" eb="43">
      <t>コ</t>
    </rPh>
    <rPh sb="48" eb="50">
      <t>スウリ</t>
    </rPh>
    <rPh sb="63" eb="65">
      <t>キョウザイ</t>
    </rPh>
    <rPh sb="67" eb="70">
      <t>リカイド</t>
    </rPh>
    <rPh sb="70" eb="72">
      <t>カクニン</t>
    </rPh>
    <rPh sb="76" eb="78">
      <t>サクセイ</t>
    </rPh>
    <rPh sb="80" eb="82">
      <t>レイワ</t>
    </rPh>
    <rPh sb="83" eb="85">
      <t>ネンド</t>
    </rPh>
    <rPh sb="88" eb="90">
      <t>ジュギョウ</t>
    </rPh>
    <rPh sb="101" eb="103">
      <t>スウリ</t>
    </rPh>
    <rPh sb="119" eb="120">
      <t>マナ</t>
    </rPh>
    <rPh sb="121" eb="123">
      <t>イギ</t>
    </rPh>
    <rPh sb="124" eb="126">
      <t>セツメイ</t>
    </rPh>
    <rPh sb="130" eb="132">
      <t>ジョウホウ</t>
    </rPh>
    <rPh sb="132" eb="134">
      <t>ショリ</t>
    </rPh>
    <rPh sb="134" eb="136">
      <t>ニュウモン</t>
    </rPh>
    <rPh sb="157" eb="159">
      <t>キョウイク</t>
    </rPh>
    <rPh sb="160" eb="162">
      <t>カイシ</t>
    </rPh>
    <rPh sb="171" eb="174">
      <t>シュウリョウシャ</t>
    </rPh>
    <rPh sb="175" eb="176">
      <t>タイ</t>
    </rPh>
    <rPh sb="182" eb="184">
      <t>ハッコウ</t>
    </rPh>
    <rPh sb="185" eb="187">
      <t>レイワ</t>
    </rPh>
    <rPh sb="188" eb="190">
      <t>ネンド</t>
    </rPh>
    <rPh sb="233" eb="236">
      <t>ニュウガクジ</t>
    </rPh>
    <rPh sb="236" eb="238">
      <t>ハイフ</t>
    </rPh>
    <rPh sb="238" eb="240">
      <t>シリョウ</t>
    </rPh>
    <rPh sb="258" eb="260">
      <t>キョウイク</t>
    </rPh>
    <rPh sb="271" eb="273">
      <t>ハイフ</t>
    </rPh>
    <rPh sb="277" eb="280">
      <t>リカイド</t>
    </rPh>
    <rPh sb="280" eb="282">
      <t>カクニン</t>
    </rPh>
    <rPh sb="286" eb="288">
      <t>ジュケン</t>
    </rPh>
    <rPh sb="289" eb="290">
      <t>フ</t>
    </rPh>
    <rPh sb="295" eb="297">
      <t>ジョウホウ</t>
    </rPh>
    <rPh sb="297" eb="299">
      <t>ショリ</t>
    </rPh>
    <rPh sb="299" eb="301">
      <t>ニュウモン</t>
    </rPh>
    <rPh sb="303" eb="305">
      <t>ジュギョウ</t>
    </rPh>
    <rPh sb="305" eb="306">
      <t>ナカ</t>
    </rPh>
    <rPh sb="307" eb="309">
      <t>シュウチ</t>
    </rPh>
    <rPh sb="315" eb="318">
      <t>コウネンジ</t>
    </rPh>
    <rPh sb="319" eb="321">
      <t>タイショウ</t>
    </rPh>
    <rPh sb="324" eb="326">
      <t>スウリ</t>
    </rPh>
    <rPh sb="339" eb="341">
      <t>ジュギョウ</t>
    </rPh>
    <rPh sb="341" eb="343">
      <t>カモク</t>
    </rPh>
    <rPh sb="344" eb="345">
      <t>アラ</t>
    </rPh>
    <rPh sb="347" eb="348">
      <t>フ</t>
    </rPh>
    <rPh sb="360" eb="363">
      <t>シュウリョウシャ</t>
    </rPh>
    <rPh sb="364" eb="365">
      <t>フ</t>
    </rPh>
    <rPh sb="401" eb="403">
      <t>レイワ</t>
    </rPh>
    <rPh sb="404" eb="406">
      <t>ネンド</t>
    </rPh>
    <rPh sb="409" eb="411">
      <t>ジョウホウ</t>
    </rPh>
    <rPh sb="411" eb="413">
      <t>ショリ</t>
    </rPh>
    <rPh sb="413" eb="415">
      <t>ニュウモン</t>
    </rPh>
    <rPh sb="417" eb="419">
      <t>ジュギョウ</t>
    </rPh>
    <rPh sb="420" eb="422">
      <t>ミナオ</t>
    </rPh>
    <rPh sb="424" eb="426">
      <t>スウリ</t>
    </rPh>
    <rPh sb="439" eb="441">
      <t>ジュギョウ</t>
    </rPh>
    <rPh sb="441" eb="443">
      <t>ナイヨウ</t>
    </rPh>
    <rPh sb="444" eb="446">
      <t>カイゼン</t>
    </rPh>
    <rPh sb="452" eb="455">
      <t>リカイド</t>
    </rPh>
    <rPh sb="455" eb="457">
      <t>カクニン</t>
    </rPh>
    <rPh sb="461" eb="463">
      <t>ジュギョウ</t>
    </rPh>
    <rPh sb="463" eb="465">
      <t>キカン</t>
    </rPh>
    <rPh sb="465" eb="466">
      <t>ナイ</t>
    </rPh>
    <rPh sb="480" eb="482">
      <t>ミナオ</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</si>
  <si>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</si>
  <si>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 xml:space="preserve">　本プログラムで実施する科目「情報処理入門Ⅰ」は、全学教育科目であり、同じ授業を週に６クラス開講しており、どのクラスを履修することも可能、としているため、自由度が高く、全ての学部の学生が受講できるようにカリキュラムが構成されている。
　しかし、当該科目は主に１回生が履修を行うため、その授業科目だけでは、現在の３回生以上は、本プログラムを学び修了することができない。このため、令和4年度の後期に、数理・データサイエンス・AIに関する授業科目(1単位)を新たに開設し、複数回の実施を計画している。この授業を通じて、３回生以上および２回生までの学生で情報処理入門Ⅰを履修しなかった学生が、数理・データサイエンス・AIを学ぶことができるようにする。
　数理・データサイエンス・ＡＩの教育プログラムをさらに推進するための体制の強化を図るため、教育計画室においてＩＴ教育部門を強化し、常勤教員を新たに採用した。
</t>
    <rPh sb="1" eb="2">
      <t>ホン</t>
    </rPh>
    <rPh sb="8" eb="10">
      <t>ジッシ</t>
    </rPh>
    <rPh sb="12" eb="14">
      <t>カモク</t>
    </rPh>
    <rPh sb="15" eb="17">
      <t>ジョウホウ</t>
    </rPh>
    <rPh sb="17" eb="19">
      <t>ショリ</t>
    </rPh>
    <rPh sb="19" eb="21">
      <t>ニュウモン</t>
    </rPh>
    <rPh sb="25" eb="27">
      <t>ゼンガク</t>
    </rPh>
    <rPh sb="27" eb="29">
      <t>キョウイク</t>
    </rPh>
    <rPh sb="29" eb="31">
      <t>カモク</t>
    </rPh>
    <rPh sb="35" eb="36">
      <t>オナ</t>
    </rPh>
    <rPh sb="37" eb="39">
      <t>ジュギョウ</t>
    </rPh>
    <rPh sb="40" eb="41">
      <t>シュウ</t>
    </rPh>
    <rPh sb="46" eb="48">
      <t>カイコウ</t>
    </rPh>
    <rPh sb="59" eb="61">
      <t>リシュウ</t>
    </rPh>
    <rPh sb="66" eb="68">
      <t>カノウ</t>
    </rPh>
    <rPh sb="77" eb="80">
      <t>ジユウド</t>
    </rPh>
    <rPh sb="81" eb="82">
      <t>タカ</t>
    </rPh>
    <rPh sb="84" eb="85">
      <t>スベ</t>
    </rPh>
    <rPh sb="87" eb="89">
      <t>ガクブ</t>
    </rPh>
    <rPh sb="90" eb="92">
      <t>ガクセイ</t>
    </rPh>
    <rPh sb="93" eb="95">
      <t>ジュコウ</t>
    </rPh>
    <rPh sb="108" eb="110">
      <t>コウセイ</t>
    </rPh>
    <rPh sb="122" eb="124">
      <t>トウガイ</t>
    </rPh>
    <rPh sb="124" eb="126">
      <t>カモク</t>
    </rPh>
    <rPh sb="127" eb="128">
      <t>シュ</t>
    </rPh>
    <rPh sb="130" eb="132">
      <t>カイセイ</t>
    </rPh>
    <rPh sb="133" eb="135">
      <t>リシュウ</t>
    </rPh>
    <rPh sb="136" eb="137">
      <t>オコナ</t>
    </rPh>
    <rPh sb="143" eb="145">
      <t>ジュギョウ</t>
    </rPh>
    <rPh sb="145" eb="147">
      <t>カモク</t>
    </rPh>
    <rPh sb="152" eb="154">
      <t>ゲンザイ</t>
    </rPh>
    <rPh sb="156" eb="158">
      <t>カイセイ</t>
    </rPh>
    <rPh sb="158" eb="160">
      <t>イジョウ</t>
    </rPh>
    <rPh sb="162" eb="163">
      <t>ホン</t>
    </rPh>
    <rPh sb="171" eb="173">
      <t>シュウリョウ</t>
    </rPh>
    <rPh sb="188" eb="190">
      <t>レイワ</t>
    </rPh>
    <rPh sb="191" eb="193">
      <t>ネンド</t>
    </rPh>
    <rPh sb="194" eb="196">
      <t>コウキ</t>
    </rPh>
    <rPh sb="198" eb="200">
      <t>スウリ</t>
    </rPh>
    <rPh sb="213" eb="214">
      <t>カン</t>
    </rPh>
    <rPh sb="216" eb="218">
      <t>ジュギョウ</t>
    </rPh>
    <rPh sb="218" eb="220">
      <t>カモク</t>
    </rPh>
    <rPh sb="222" eb="224">
      <t>タンイ</t>
    </rPh>
    <rPh sb="226" eb="227">
      <t>アラ</t>
    </rPh>
    <rPh sb="229" eb="231">
      <t>カイセツ</t>
    </rPh>
    <rPh sb="233" eb="236">
      <t>フクスウカイ</t>
    </rPh>
    <rPh sb="237" eb="239">
      <t>ジッシ</t>
    </rPh>
    <rPh sb="240" eb="242">
      <t>ケイカク</t>
    </rPh>
    <rPh sb="249" eb="251">
      <t>ジュギョウ</t>
    </rPh>
    <rPh sb="252" eb="253">
      <t>ツウ</t>
    </rPh>
    <rPh sb="257" eb="259">
      <t>カイセイ</t>
    </rPh>
    <rPh sb="259" eb="261">
      <t>イジョウ</t>
    </rPh>
    <rPh sb="265" eb="267">
      <t>カイセイ</t>
    </rPh>
    <rPh sb="270" eb="272">
      <t>ガクセイ</t>
    </rPh>
    <rPh sb="273" eb="275">
      <t>ジョウホウ</t>
    </rPh>
    <rPh sb="275" eb="277">
      <t>ショリ</t>
    </rPh>
    <rPh sb="277" eb="279">
      <t>ニュウモン</t>
    </rPh>
    <rPh sb="281" eb="283">
      <t>リシュウ</t>
    </rPh>
    <rPh sb="288" eb="290">
      <t>ガクセイ</t>
    </rPh>
    <rPh sb="292" eb="294">
      <t>スウリ</t>
    </rPh>
    <rPh sb="323" eb="325">
      <t>スウリ</t>
    </rPh>
    <rPh sb="338" eb="340">
      <t>キョウイク</t>
    </rPh>
    <rPh sb="349" eb="351">
      <t>スイシン</t>
    </rPh>
    <rPh sb="356" eb="358">
      <t>タイセイ</t>
    </rPh>
    <rPh sb="359" eb="361">
      <t>キョウカ</t>
    </rPh>
    <rPh sb="362" eb="363">
      <t>ハカ</t>
    </rPh>
    <rPh sb="367" eb="369">
      <t>キョウイク</t>
    </rPh>
    <rPh sb="369" eb="372">
      <t>ケイカクシツ</t>
    </rPh>
    <rPh sb="378" eb="380">
      <t>キョウイク</t>
    </rPh>
    <rPh sb="380" eb="382">
      <t>ブモン</t>
    </rPh>
    <rPh sb="383" eb="385">
      <t>キョウカ</t>
    </rPh>
    <rPh sb="387" eb="389">
      <t>ジョウキン</t>
    </rPh>
    <rPh sb="389" eb="391">
      <t>キョウイン</t>
    </rPh>
    <rPh sb="392" eb="393">
      <t>アラ</t>
    </rPh>
    <rPh sb="395" eb="397">
      <t>サイヨウ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</si>
  <si>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</si>
  <si>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　今年度については、特にガイダンス資料として学生に配布する資料に、数理・データサイエンス・ＡＩの教育プログラムの紹介を行うパンフレットを追加した。
　プログラムの内容および履修に関する情報は、学生全員が学年始めのガイダンスにて情報を入手できるようにしており、全学教育ガイド（履修案内）に詳細に記して、周知している。
　実施に関しては、プログラム科目である「情報処理入門Ⅰ」を複数クラス設置し、全学部の学生が履修できるよう、時間割を分散して開講している。</t>
    <rPh sb="1" eb="4">
      <t>コンネンド</t>
    </rPh>
    <rPh sb="10" eb="11">
      <t>トク</t>
    </rPh>
    <rPh sb="17" eb="19">
      <t>シリョウ</t>
    </rPh>
    <rPh sb="22" eb="24">
      <t>ガクセイ</t>
    </rPh>
    <rPh sb="25" eb="27">
      <t>ハイフ</t>
    </rPh>
    <rPh sb="29" eb="31">
      <t>シリョウ</t>
    </rPh>
    <rPh sb="33" eb="35">
      <t>スウリ</t>
    </rPh>
    <rPh sb="48" eb="50">
      <t>キョウイク</t>
    </rPh>
    <rPh sb="56" eb="58">
      <t>ショウカイ</t>
    </rPh>
    <rPh sb="59" eb="60">
      <t>オコナ</t>
    </rPh>
    <rPh sb="68" eb="70">
      <t>ツイカ</t>
    </rPh>
    <rPh sb="81" eb="83">
      <t>ナイヨウ</t>
    </rPh>
    <rPh sb="86" eb="88">
      <t>リシュウ</t>
    </rPh>
    <rPh sb="89" eb="90">
      <t>カン</t>
    </rPh>
    <rPh sb="92" eb="94">
      <t>ジョウホウ</t>
    </rPh>
    <rPh sb="96" eb="98">
      <t>ガクセイ</t>
    </rPh>
    <rPh sb="98" eb="100">
      <t>ゼンイン</t>
    </rPh>
    <rPh sb="101" eb="103">
      <t>ガクネン</t>
    </rPh>
    <rPh sb="103" eb="104">
      <t>ハジ</t>
    </rPh>
    <rPh sb="113" eb="115">
      <t>ジョウホウ</t>
    </rPh>
    <rPh sb="116" eb="118">
      <t>ニュウシュ</t>
    </rPh>
    <rPh sb="129" eb="133">
      <t>ゼンガクキョウイク</t>
    </rPh>
    <rPh sb="137" eb="141">
      <t>リシュウアンナイ</t>
    </rPh>
    <rPh sb="143" eb="145">
      <t>ショウサイ</t>
    </rPh>
    <rPh sb="146" eb="147">
      <t>キ</t>
    </rPh>
    <rPh sb="150" eb="152">
      <t>シュウチ</t>
    </rPh>
    <rPh sb="159" eb="161">
      <t>ジッシ</t>
    </rPh>
    <rPh sb="162" eb="163">
      <t>カン</t>
    </rPh>
    <rPh sb="172" eb="174">
      <t>カモク</t>
    </rPh>
    <rPh sb="178" eb="182">
      <t>ジョウホウショリ</t>
    </rPh>
    <rPh sb="182" eb="184">
      <t>ニュウモン</t>
    </rPh>
    <rPh sb="187" eb="189">
      <t>フクスウ</t>
    </rPh>
    <rPh sb="192" eb="194">
      <t>セッチ</t>
    </rPh>
    <rPh sb="196" eb="199">
      <t>ゼンガクブ</t>
    </rPh>
    <rPh sb="200" eb="202">
      <t>ガクセイ</t>
    </rPh>
    <rPh sb="203" eb="205">
      <t>リシュウ</t>
    </rPh>
    <rPh sb="211" eb="214">
      <t>ジカンワリ</t>
    </rPh>
    <rPh sb="215" eb="217">
      <t>ブンサン</t>
    </rPh>
    <rPh sb="219" eb="221">
      <t>カイコウ</t>
    </rPh>
    <phoneticPr fontId="1"/>
  </si>
  <si>
    <t>⑦</t>
    <phoneticPr fontId="1"/>
  </si>
  <si>
    <t>できる限り多くの学生が履修・修得できるようなサポート体制</t>
    <rPh sb="26" eb="28">
      <t>タイセイ</t>
    </rPh>
    <phoneticPr fontId="1"/>
  </si>
  <si>
    <t>　既に、90%以上の学生が履修していた「情報処理入門Ⅰ」の授業を活用し、その授業に、本プログラムの内容を盛り込むようにした。このことで、学生に本プログラムを学ぶために、新たな授業を履修するなどの負担を強いることが無くなり、できる限り多くの学生が本プログラムで数理・データサイエンス・ＡＩを学ぶことができるようになった。
　令和３年度においては、授業終了後に時期をあらためて、希望者に「理解度確認テスト」を実施していたため、受験者が受講者数に比べて減少したことから、令和４年度からは、授業時間内に受験ができるように改めた。</t>
    <rPh sb="1" eb="2">
      <t>スデ</t>
    </rPh>
    <rPh sb="7" eb="9">
      <t>イジョウ</t>
    </rPh>
    <rPh sb="10" eb="12">
      <t>ガクセイ</t>
    </rPh>
    <rPh sb="13" eb="15">
      <t>リシュウ</t>
    </rPh>
    <rPh sb="20" eb="22">
      <t>ジョウホウ</t>
    </rPh>
    <rPh sb="22" eb="24">
      <t>ショリ</t>
    </rPh>
    <rPh sb="24" eb="26">
      <t>ニュウモン</t>
    </rPh>
    <rPh sb="29" eb="31">
      <t>ジュギョウ</t>
    </rPh>
    <rPh sb="32" eb="34">
      <t>カツヨウ</t>
    </rPh>
    <rPh sb="38" eb="40">
      <t>ジュギョウ</t>
    </rPh>
    <rPh sb="42" eb="43">
      <t>ホン</t>
    </rPh>
    <rPh sb="49" eb="51">
      <t>ナイヨウ</t>
    </rPh>
    <rPh sb="52" eb="53">
      <t>モ</t>
    </rPh>
    <rPh sb="54" eb="55">
      <t>コ</t>
    </rPh>
    <rPh sb="68" eb="70">
      <t>ガクセイ</t>
    </rPh>
    <rPh sb="71" eb="72">
      <t>ホン</t>
    </rPh>
    <rPh sb="78" eb="79">
      <t>マナ</t>
    </rPh>
    <rPh sb="84" eb="85">
      <t>アラ</t>
    </rPh>
    <rPh sb="87" eb="89">
      <t>ジュギョウ</t>
    </rPh>
    <rPh sb="90" eb="92">
      <t>リシュウ</t>
    </rPh>
    <rPh sb="97" eb="99">
      <t>フタン</t>
    </rPh>
    <rPh sb="100" eb="101">
      <t>シ</t>
    </rPh>
    <rPh sb="106" eb="107">
      <t>ナ</t>
    </rPh>
    <rPh sb="114" eb="115">
      <t>カギ</t>
    </rPh>
    <rPh sb="116" eb="117">
      <t>オオ</t>
    </rPh>
    <rPh sb="119" eb="121">
      <t>ガクセイ</t>
    </rPh>
    <rPh sb="122" eb="123">
      <t>ホン</t>
    </rPh>
    <rPh sb="129" eb="131">
      <t>スウリ</t>
    </rPh>
    <rPh sb="161" eb="163">
      <t>レイワ</t>
    </rPh>
    <rPh sb="164" eb="166">
      <t>ネンド</t>
    </rPh>
    <rPh sb="172" eb="177">
      <t>ジュギョウシュウリョウゴ</t>
    </rPh>
    <rPh sb="178" eb="180">
      <t>ジキ</t>
    </rPh>
    <rPh sb="187" eb="190">
      <t>キボウシャ</t>
    </rPh>
    <rPh sb="192" eb="195">
      <t>リカイド</t>
    </rPh>
    <rPh sb="195" eb="197">
      <t>カクニン</t>
    </rPh>
    <rPh sb="202" eb="204">
      <t>ジッシ</t>
    </rPh>
    <rPh sb="211" eb="214">
      <t>ジュケンシャ</t>
    </rPh>
    <rPh sb="232" eb="234">
      <t>レイワ</t>
    </rPh>
    <rPh sb="235" eb="237">
      <t>ネンド</t>
    </rPh>
    <rPh sb="241" eb="246">
      <t>ジュギョウジカンナイ</t>
    </rPh>
    <rPh sb="247" eb="249">
      <t>ジュケン</t>
    </rPh>
    <rPh sb="256" eb="257">
      <t>アラタ</t>
    </rPh>
    <phoneticPr fontId="1"/>
  </si>
  <si>
    <t>授業時間内外で学習指導、質問を受け付ける具体的な仕組み</t>
    <rPh sb="20" eb="23">
      <t>グタイテキ</t>
    </rPh>
    <phoneticPr fontId="1"/>
  </si>
  <si>
    <t>　授業時間内に学生から質問を受けやすいように、基本、授業は対面で実施している。また、LMSを補助的に活用し、授業内容に関する質問を随時受けている。</t>
    <rPh sb="1" eb="3">
      <t>ジュギョウ</t>
    </rPh>
    <rPh sb="3" eb="6">
      <t>ジカンナイ</t>
    </rPh>
    <rPh sb="7" eb="9">
      <t>ガクセイ</t>
    </rPh>
    <rPh sb="11" eb="13">
      <t>シツモン</t>
    </rPh>
    <rPh sb="14" eb="15">
      <t>ウ</t>
    </rPh>
    <rPh sb="23" eb="25">
      <t>キホン</t>
    </rPh>
    <rPh sb="26" eb="28">
      <t>ジュギョウ</t>
    </rPh>
    <rPh sb="29" eb="31">
      <t>タイメン</t>
    </rPh>
    <rPh sb="32" eb="34">
      <t>ジッシ</t>
    </rPh>
    <rPh sb="46" eb="49">
      <t>ホジョテキ</t>
    </rPh>
    <rPh sb="50" eb="52">
      <t>カツヨウ</t>
    </rPh>
    <rPh sb="54" eb="56">
      <t>ジュギョウ</t>
    </rPh>
    <rPh sb="56" eb="58">
      <t>ナイヨウ</t>
    </rPh>
    <rPh sb="59" eb="60">
      <t>カン</t>
    </rPh>
    <rPh sb="62" eb="64">
      <t>シツモン</t>
    </rPh>
    <rPh sb="65" eb="67">
      <t>ズイジ</t>
    </rPh>
    <rPh sb="67" eb="68">
      <t>ウ</t>
    </rPh>
    <phoneticPr fontId="1"/>
  </si>
  <si>
    <t>　　　　　　　　　　　　　　　　　　　　　　　　　　　　　　　　　　　　　　　　　　　　　　　　　　　　　　　　　　　　　　　　　　　　　　　　　</t>
    <phoneticPr fontId="1"/>
  </si>
  <si>
    <t>様式５</t>
    <rPh sb="0" eb="2">
      <t>ヨウシキ</t>
    </rPh>
    <phoneticPr fontId="1"/>
  </si>
  <si>
    <t>自己点検・評価について</t>
    <rPh sb="0" eb="2">
      <t>ジコ</t>
    </rPh>
    <rPh sb="2" eb="4">
      <t>テンケン</t>
    </rPh>
    <rPh sb="5" eb="7">
      <t>ヒョウカ</t>
    </rPh>
    <phoneticPr fontId="1"/>
  </si>
  <si>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</si>
  <si>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</si>
  <si>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</si>
  <si>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</si>
  <si>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</si>
  <si>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　本プログラムの対象は、令和３年度以降に在籍する学生としている。プログラム科目「情報処理入門Ⅰ」の履修割合は、全学部生を母数（令和３年５月１日現在2,145名）とすると、履修者数483名で22.5%であった。このうち、理解度確認テストの受験者数が281名、うち合格（60点以上）271名に本プログラムの「リテラシーレベル」の修了証を発行した。
　特に、令和３年度新入生（１年次）は、在籍者数501名中460名が受講しており、受講率は91.8%である。これは、当該科目がすべての学部において、選択必修の科目となっていることに由来する。本プログラム科目は２年次以降にも履修が可能であるため，４年間を通してプログラム修了を目指すことができ，文系・理系を問わず既に学生全体の４分の１近い数の者が「リテラシーレベル」の修了要件を満たす単位数を修得している。これらのことから，プログラムの履修状況・修得状況ともに良好であると判断できる。</t>
    <rPh sb="308" eb="310">
      <t>メザ</t>
    </rPh>
    <phoneticPr fontId="1"/>
  </si>
  <si>
    <t>学修成果</t>
    <rPh sb="0" eb="2">
      <t>ガクシュウ</t>
    </rPh>
    <rPh sb="2" eb="4">
      <t>セイカ</t>
    </rPh>
    <phoneticPr fontId="1"/>
  </si>
  <si>
    <t>　学修成果は、「理解度確認テスト」の実施により確認し、受験者の合格割合は、97%となっている。
・理解度確認テスト
　　「数理・データサイエンス・ＡＩ（リテラシーレベル）」の５つの審査項目から、各２問ずつ、計１０問で構成。
　また、授業評価として、例年実施している全学共通科目対象の授業評価アンケート結果から、プログラムの目的が学生に伝わり、意欲的に取り組む姿勢がみられることが分かった。
　</t>
    <rPh sb="91" eb="93">
      <t>シンサ</t>
    </rPh>
    <rPh sb="145" eb="147">
      <t>ヒョウカ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</si>
  <si>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</si>
  <si>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　授業評価アンケートの結果により、データサイエンスの重要性が認識され，初歩的な知識・技術は修得できていると評価できる。　※受講者数は受講登録者数で表記
　　　　　　　　　　　　　　　　　　　　　　　　　　　　　　　　　　　　　　　　　　　　　</t>
    <rPh sb="1" eb="5">
      <t>ジュギョウヒョウカ</t>
    </rPh>
    <rPh sb="11" eb="13">
      <t>ケッカ</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</si>
  <si>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</si>
  <si>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　従前よりIT教育の重要性を鑑み、全学教育科目として開講し、入学直後から履修できるよう前期に「情報処理入門Ⅰ」を実施していた。情報処理科目は、各学部とも選択必修科目として設定しているため、９０％の学生が受講することから、プログラム科目を通じてリテラシーレベルの教育を充実させたと認識され、引き続き履修を推奨する科目として開講する。
　プログラムの修了証は速やかに発行するため、修了証を入手した学生からの波及効果が期待でき、プログラムの趣旨を浸透させることにもつながっている。</t>
    <rPh sb="1" eb="3">
      <t>ジュウゼン</t>
    </rPh>
    <rPh sb="7" eb="9">
      <t>キョウイク</t>
    </rPh>
    <rPh sb="10" eb="13">
      <t>ジュウヨウセイ</t>
    </rPh>
    <rPh sb="14" eb="15">
      <t>カンガ</t>
    </rPh>
    <rPh sb="26" eb="28">
      <t>カイコウ</t>
    </rPh>
    <rPh sb="30" eb="34">
      <t>ニュウガクチョクゴ</t>
    </rPh>
    <rPh sb="36" eb="38">
      <t>リシュウ</t>
    </rPh>
    <rPh sb="56" eb="58">
      <t>ジッシ</t>
    </rPh>
    <rPh sb="63" eb="67">
      <t>ジョウホウショリ</t>
    </rPh>
    <rPh sb="67" eb="69">
      <t>カモク</t>
    </rPh>
    <rPh sb="98" eb="100">
      <t>ガクセイ</t>
    </rPh>
    <rPh sb="101" eb="103">
      <t>ジュコウ</t>
    </rPh>
    <rPh sb="115" eb="117">
      <t>カモク</t>
    </rPh>
    <rPh sb="118" eb="119">
      <t>ツウ</t>
    </rPh>
    <rPh sb="130" eb="132">
      <t>キョウイク</t>
    </rPh>
    <rPh sb="133" eb="135">
      <t>ジュウジツ</t>
    </rPh>
    <rPh sb="139" eb="141">
      <t>ニンシキ</t>
    </rPh>
    <rPh sb="144" eb="145">
      <t>ヒ</t>
    </rPh>
    <rPh sb="146" eb="147">
      <t>ツヅ</t>
    </rPh>
    <rPh sb="148" eb="150">
      <t>リシュウ</t>
    </rPh>
    <rPh sb="151" eb="153">
      <t>スイショウ</t>
    </rPh>
    <rPh sb="155" eb="157">
      <t>カモク</t>
    </rPh>
    <rPh sb="160" eb="162">
      <t>カイコウ</t>
    </rPh>
    <rPh sb="173" eb="176">
      <t>シュウリョウショウ</t>
    </rPh>
    <rPh sb="177" eb="178">
      <t>スミ</t>
    </rPh>
    <rPh sb="181" eb="183">
      <t>ハッコウ</t>
    </rPh>
    <rPh sb="188" eb="191">
      <t>シュウリョウショウ</t>
    </rPh>
    <rPh sb="192" eb="194">
      <t>ニュウシュ</t>
    </rPh>
    <rPh sb="196" eb="198">
      <t>ガクセイ</t>
    </rPh>
    <rPh sb="201" eb="203">
      <t>ハキュウ</t>
    </rPh>
    <rPh sb="203" eb="205">
      <t>コウカ</t>
    </rPh>
    <rPh sb="206" eb="208">
      <t>キタイ</t>
    </rPh>
    <rPh sb="217" eb="219">
      <t>シュシ</t>
    </rPh>
    <rPh sb="220" eb="222">
      <t>シントウ</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</si>
  <si>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</si>
  <si>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　令和４年度からは、プログラム科目の未履修者や令和２年度までに変更前の「情報処理入門Ⅰ」を履修している学生のために、「数理・データサイエンス・ＡＩ（リテラシーレベル）モデルカリキュラム」の内容を満たす１単位の科目を全学教育科目に増設する。これにより、履修者が増加し、履修率が向上することが見込まれる。</t>
    <rPh sb="15" eb="17">
      <t>カモク</t>
    </rPh>
    <rPh sb="18" eb="22">
      <t>ミリシュウシャ</t>
    </rPh>
    <rPh sb="129" eb="131">
      <t>ゾウカ</t>
    </rPh>
    <rPh sb="137" eb="139">
      <t>コウジョウ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</si>
  <si>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</si>
  <si>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</si>
  <si>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　本プログラムは令和3年度から実施しているため、プログラムの修了者はまだ卒業していない。
　学外からの視点として、本プログラムが他大学での数理・データサイエンス・ＡＩ教育プログラムの普及拡大において、本学の取り組みがその参考事例となり得るか、という点がある。本学での実施主管であるＩＴ教育部門の長である駒谷昇一は、情報処理学会一般情報教育委員会の委員を長年務め、一般情報教育のカリキュラム標準や、一般情報教育の教科書の執筆に携わってきた。その一般情報教育モデルは数理・データサイエンス・AI教育強化拠点コンソーシアムのモデルカリキュラム(リテラシーレベル)の参考情報として掲載されている。数理・データサイエンス・ＡＩの教育を大学において広く実施するためには、一般情報教育に組み込むという方法がある。情報処理学会一般情報教育委員会では数理・データサイエンス・ＡＩの教育内容を一般情報教育に盛り込んだ一般情報教育モデルの策定と、そのモデルに沿った教科書「一般情報教育」を発行している。
　令和4年3月の情報処理学会の全国大会において、大会イベント企画として「一般情報教育と数理・データサイエンス・AI」というテーマのシンポジウムを開催し、そのなかで駒谷昇一は本学における一般情報教育における数理・データサイエンス・ＡＩ教育の実施事例を紹介した。参加者から、数理・データサイエンス・ＡＩ教育プログラムの実施に関して大いに参考となったとコメントをいただいた。</t>
    <rPh sb="36" eb="38">
      <t>ソツギョウ</t>
    </rPh>
    <rPh sb="572" eb="573">
      <t>シャ</t>
    </rPh>
    <rPh sb="601" eb="602">
      <t>カン</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</si>
  <si>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</si>
  <si>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　本プログラムの実施主管であるＩＴ教育部門の長である駒谷昇一は、2013年まで、大手ＩＴ企業に在籍し、数理・データサイエンス・ＡＩをビジネスに活用する現場に居た経験を持つ。企業で求められる人材について詳しく、本学において本プログラムを導入実施する上での先導役を担っている。情報処理入門Ⅰの授業内容の設計にも携わり、情報システムやセキュリティなど産業界から求められる内容が盛り込まれた。
　数理・データサイエンス・ＡＩを情報処理入門Ⅰに組み込む検討に於いても、産業界が求める内容を重視した内容となるように検討が行われた。</t>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</si>
  <si>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</si>
  <si>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　数理・データサイエンス・ＡＩを学ぶ楽しさ、学ぶことの意義については、情報処理入門Ⅰの授業アンケートの、意欲と意義の２項目で評価を行っている。5段階評価で、ともに3.9であり、高い評価となった。
　本プログラムの授業内容では、活用事例などを多く取り上げたことで、本プログラムを学ぶことで、どのようなことができるようになるのか、イメージが掴み易くなり、学ぶことの意義に対して理解を深められたのではないか、と思われる。</t>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</si>
  <si>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</si>
  <si>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数理・データサイエンス・ＡＩのビジネスや社会での活用は日々進化をしており、新たな活用事例や新たな課題も見えてきている。そのため、本プログラムの実施において、授業内容の更新が適切に行われることが重要である。授業内容の改善を授業を担当する教員に任せるのではなく、組織的に改善が図られる仕組みを構築することが重要である。
　このため、本プログラムの授業については、ＩＴ教育部門で見直し、改善を継続的に行う。
　分かりやすい授業であったかどうかを、授業評価アンケートと理解度確認テストの２本立てで評価する。理解度が低かった箇所については、授業の担当教員を交えてＩＴ教育部門で検討し、授業内容の改善を図る。</t>
    <rPh sb="223" eb="225">
      <t>ヒョウカ</t>
    </rPh>
    <phoneticPr fontId="1"/>
  </si>
  <si>
    <t>②自己点検・評価体制における意見等を公表しているアドレス</t>
    <phoneticPr fontId="1"/>
  </si>
  <si>
    <t>様式６</t>
    <rPh sb="0" eb="2">
      <t>ヨウシキ</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</si>
  <si>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</si>
  <si>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授業内容</t>
    <rPh sb="0" eb="2">
      <t>ジュギョウ</t>
    </rPh>
    <rPh sb="2" eb="4">
      <t>ナイヨウ</t>
    </rPh>
    <phoneticPr fontId="1"/>
  </si>
  <si>
    <t xml:space="preserve">　本プログラムは、「リテラシーレベル」の教育プログラムとして、全学部生に対して開講している。
　学士課程における学生の数理・データサイエンス・ＡＩへの関心を高め，かつ，数理・データサイエンス・ＡＩを適切に理解し，それを活用する基礎的な能力を育成することを目的として、全学教育科目である「情報処理入門Ⅰ」をプログラム科目として開設している。当該科目は、全学の教養教育科目群の基礎科目群の情報処理科目の主要な科目であり、教職課程の必修科目にもなっているため、ほぼ全て(令和3年度は92%)の１回生が履修している。
　また、本プログラムの修了の条件には、情報処理入門Ⅰを履修し、単位を取得するだけでなく、さらに、データサイエンス・ＡＩに関する理解度確認テストを受ける必要があり、テストに合格した者に限り、教育プログラムの修了証を発行している。
　情報処理入門Ⅰでは、従来から情報倫理、情報セキュリティについて教えていたが、令和3年度からさらに、数理・データサイエンス・ＡＩに関する内容を新たに10時間分組み込み授業を実施している。具体的には、以下の内容(シラバスから抜粋)であり、モデルカリキュラムの1-1から3-2までの内容を全て網羅している。
　社会で活用されているデータ  		1-1、1-2、1-3
　AI利活用のための技術と現状  		1-4、1-5、1-6
　データリテラシー				  2-1、2-2、2-3
　データ・AI利活用における留意事項	  3-1、3-2
　情報セキュリティ				  3-1、3-2
　情報倫理とセキュリティその１、その２ 	 3-1、3-2
分かりやすさについて
　学生の履修登録の自由度を高めるため、同じ内容の授業を6クラスで実施している。基本対面授業で実施しているが、履修人数の多いクラスではオンラインを併用している。予習がし易いように、授業の資料は事前にLMSで公開され、授業後に授業に関する質問をLMSで受け、授業後の学生へのフォローアップも活発に実施している。授業では演習に十分な時間を割けないため、授業では毎回、レポート課題を出しており、インターネット上で体験できるAIや機械学習、オープンデータの活用など演習を行う課題を課し、体験を通じて理解を深められるようにしている。
　数理・データサイエンス・ＡＩのより分かりやすい教育を実現するため、その分野の教育を得意としている教員(准教授)を新たに採用(情報基盤センター所属)し、令和4年度後期から授業を担当する予定である。
本プログラムの修了者を増やすために
　令和3年度は本プログラムの初年度とということもあり、情報処理入門Ⅰの履修者のうち理解度確認テストの受験者は56%であった。令和4年度では、入学時に本プログラムの説明文書を配布し、学生に周知を繰り返し実施して、理解度確認テストの受験者を増やすようにしている。
高年次学生への配慮
　本プログラムの授業である情報処理入門Ⅰは全学の教養教育科目であり、主に1回生が履修している。昨年度の情報処理入門Ⅰから本プログラムの内容を盛り込んだため、高年次(3回生以上)の学生は本プログラムを修了していない。社会では、本プログラムの教育に対するニーズが髙いため、昨年度の情報処理入門Ⅰを受けていない学生(主に3回生以上)を対象に、令和4年度後期に、数理・データサイエンス・ＡＩの授業(1単位)を新設し、単位取得者には本プログラムの修了証を発行する予定である。
</t>
    <rPh sb="1" eb="2">
      <t>ホン</t>
    </rPh>
    <rPh sb="20" eb="22">
      <t>キョウイク</t>
    </rPh>
    <rPh sb="31" eb="32">
      <t>ゼン</t>
    </rPh>
    <rPh sb="32" eb="34">
      <t>ガクブ</t>
    </rPh>
    <rPh sb="34" eb="35">
      <t>セイ</t>
    </rPh>
    <rPh sb="36" eb="37">
      <t>タイ</t>
    </rPh>
    <rPh sb="39" eb="41">
      <t>カイコウ</t>
    </rPh>
    <rPh sb="168" eb="170">
      <t>トウガイ</t>
    </rPh>
    <rPh sb="170" eb="172">
      <t>カモク</t>
    </rPh>
    <rPh sb="174" eb="176">
      <t>ゼンガク</t>
    </rPh>
    <rPh sb="177" eb="179">
      <t>キョウヨウ</t>
    </rPh>
    <rPh sb="179" eb="181">
      <t>キョウイク</t>
    </rPh>
    <rPh sb="181" eb="184">
      <t>カモクグン</t>
    </rPh>
    <rPh sb="185" eb="190">
      <t>キソカモクグン</t>
    </rPh>
    <rPh sb="191" eb="195">
      <t>ジョウホウショリ</t>
    </rPh>
    <rPh sb="195" eb="197">
      <t>カモク</t>
    </rPh>
    <rPh sb="198" eb="200">
      <t>シュヨウ</t>
    </rPh>
    <rPh sb="201" eb="203">
      <t>カモク</t>
    </rPh>
    <rPh sb="207" eb="209">
      <t>キョウショク</t>
    </rPh>
    <rPh sb="209" eb="211">
      <t>カテイ</t>
    </rPh>
    <rPh sb="212" eb="214">
      <t>ヒッシュウ</t>
    </rPh>
    <rPh sb="214" eb="216">
      <t>カモク</t>
    </rPh>
    <rPh sb="228" eb="229">
      <t>スベ</t>
    </rPh>
    <rPh sb="231" eb="233">
      <t>レイワ</t>
    </rPh>
    <rPh sb="234" eb="236">
      <t>ネンド</t>
    </rPh>
    <rPh sb="243" eb="245">
      <t>カイセイ</t>
    </rPh>
    <rPh sb="246" eb="248">
      <t>リシュウ</t>
    </rPh>
    <rPh sb="258" eb="259">
      <t>ホン</t>
    </rPh>
    <rPh sb="265" eb="267">
      <t>シュウリョウ</t>
    </rPh>
    <rPh sb="268" eb="270">
      <t>ジョウケン</t>
    </rPh>
    <rPh sb="273" eb="275">
      <t>ジョウホウ</t>
    </rPh>
    <rPh sb="275" eb="277">
      <t>ショリ</t>
    </rPh>
    <rPh sb="277" eb="279">
      <t>ニュウモン</t>
    </rPh>
    <rPh sb="285" eb="287">
      <t>タンイ</t>
    </rPh>
    <rPh sb="288" eb="290">
      <t>シュトク</t>
    </rPh>
    <rPh sb="314" eb="315">
      <t>カン</t>
    </rPh>
    <rPh sb="317" eb="320">
      <t>リカイド</t>
    </rPh>
    <rPh sb="320" eb="322">
      <t>カクニン</t>
    </rPh>
    <rPh sb="326" eb="327">
      <t>ウ</t>
    </rPh>
    <rPh sb="329" eb="331">
      <t>ヒツヨウ</t>
    </rPh>
    <rPh sb="339" eb="341">
      <t>ゴウカク</t>
    </rPh>
    <rPh sb="348" eb="350">
      <t>キョウイク</t>
    </rPh>
    <rPh sb="371" eb="373">
      <t>ショリ</t>
    </rPh>
    <rPh sb="373" eb="375">
      <t>ニュウモン</t>
    </rPh>
    <rPh sb="383" eb="385">
      <t>ジョウホウ</t>
    </rPh>
    <rPh sb="385" eb="387">
      <t>リンリ</t>
    </rPh>
    <rPh sb="388" eb="390">
      <t>ジョウホウ</t>
    </rPh>
    <rPh sb="400" eb="401">
      <t>オシ</t>
    </rPh>
    <rPh sb="407" eb="409">
      <t>レイワ</t>
    </rPh>
    <rPh sb="410" eb="412">
      <t>ネンド</t>
    </rPh>
    <rPh sb="418" eb="420">
      <t>スウリ</t>
    </rPh>
    <rPh sb="433" eb="434">
      <t>カン</t>
    </rPh>
    <rPh sb="436" eb="438">
      <t>ナイヨウ</t>
    </rPh>
    <rPh sb="439" eb="440">
      <t>アラ</t>
    </rPh>
    <rPh sb="444" eb="446">
      <t>ジカン</t>
    </rPh>
    <rPh sb="446" eb="447">
      <t>ブン</t>
    </rPh>
    <rPh sb="447" eb="448">
      <t>ク</t>
    </rPh>
    <rPh sb="449" eb="450">
      <t>コ</t>
    </rPh>
    <rPh sb="451" eb="453">
      <t>ジュギョウ</t>
    </rPh>
    <rPh sb="454" eb="456">
      <t>ジッシ</t>
    </rPh>
    <rPh sb="461" eb="464">
      <t>グタイテキ</t>
    </rPh>
    <rPh sb="467" eb="469">
      <t>イカ</t>
    </rPh>
    <rPh sb="470" eb="472">
      <t>ナイヨウ</t>
    </rPh>
    <rPh sb="479" eb="481">
      <t>バッスイ</t>
    </rPh>
    <rPh sb="507" eb="509">
      <t>ナイヨウ</t>
    </rPh>
    <rPh sb="510" eb="511">
      <t>スベ</t>
    </rPh>
    <rPh sb="512" eb="514">
      <t>モウラ</t>
    </rPh>
    <rPh sb="691" eb="692">
      <t>ワ</t>
    </rPh>
    <rPh sb="706" eb="708">
      <t>リシュウ</t>
    </rPh>
    <rPh sb="708" eb="710">
      <t>トウロク</t>
    </rPh>
    <rPh sb="711" eb="714">
      <t>ジユウド</t>
    </rPh>
    <rPh sb="715" eb="716">
      <t>タカ</t>
    </rPh>
    <rPh sb="721" eb="722">
      <t>オナ</t>
    </rPh>
    <rPh sb="723" eb="725">
      <t>ナイヨウ</t>
    </rPh>
    <rPh sb="726" eb="728">
      <t>ジュギョウ</t>
    </rPh>
    <rPh sb="734" eb="736">
      <t>ジッシ</t>
    </rPh>
    <rPh sb="741" eb="743">
      <t>キホン</t>
    </rPh>
    <rPh sb="743" eb="745">
      <t>タイメン</t>
    </rPh>
    <rPh sb="745" eb="747">
      <t>ジュギョウ</t>
    </rPh>
    <rPh sb="748" eb="750">
      <t>ジッシ</t>
    </rPh>
    <rPh sb="755" eb="757">
      <t>リシュウ</t>
    </rPh>
    <rPh sb="757" eb="759">
      <t>ニンズウ</t>
    </rPh>
    <rPh sb="760" eb="761">
      <t>オオ</t>
    </rPh>
    <rPh sb="773" eb="775">
      <t>ヘイヨウ</t>
    </rPh>
    <rPh sb="780" eb="782">
      <t>ヨシュウ</t>
    </rPh>
    <rPh sb="790" eb="792">
      <t>ジュギョウ</t>
    </rPh>
    <rPh sb="793" eb="795">
      <t>シリョウ</t>
    </rPh>
    <rPh sb="796" eb="798">
      <t>ジゼン</t>
    </rPh>
    <rPh sb="803" eb="805">
      <t>コウカイ</t>
    </rPh>
    <rPh sb="808" eb="810">
      <t>ジュギョウ</t>
    </rPh>
    <rPh sb="810" eb="811">
      <t>ゴ</t>
    </rPh>
    <rPh sb="812" eb="814">
      <t>ジュギョウ</t>
    </rPh>
    <rPh sb="815" eb="816">
      <t>カン</t>
    </rPh>
    <rPh sb="818" eb="820">
      <t>シツモン</t>
    </rPh>
    <rPh sb="825" eb="826">
      <t>ウ</t>
    </rPh>
    <rPh sb="828" eb="830">
      <t>ジュギョウ</t>
    </rPh>
    <rPh sb="830" eb="831">
      <t>ゴ</t>
    </rPh>
    <rPh sb="832" eb="834">
      <t>ガクセイ</t>
    </rPh>
    <rPh sb="844" eb="846">
      <t>カッパツ</t>
    </rPh>
    <rPh sb="847" eb="849">
      <t>ジッシ</t>
    </rPh>
    <rPh sb="874" eb="876">
      <t>ジュギョウ</t>
    </rPh>
    <rPh sb="878" eb="880">
      <t>マイカイ</t>
    </rPh>
    <rPh sb="885" eb="887">
      <t>カダイ</t>
    </rPh>
    <rPh sb="888" eb="889">
      <t>ダ</t>
    </rPh>
    <rPh sb="901" eb="902">
      <t>ウエ</t>
    </rPh>
    <rPh sb="903" eb="905">
      <t>タイケン</t>
    </rPh>
    <rPh sb="911" eb="913">
      <t>キカイ</t>
    </rPh>
    <rPh sb="913" eb="915">
      <t>ガクシュウ</t>
    </rPh>
    <rPh sb="924" eb="926">
      <t>カツヨウ</t>
    </rPh>
    <rPh sb="928" eb="930">
      <t>エンシュウ</t>
    </rPh>
    <rPh sb="931" eb="932">
      <t>オコナ</t>
    </rPh>
    <rPh sb="933" eb="935">
      <t>カダイ</t>
    </rPh>
    <rPh sb="936" eb="937">
      <t>カ</t>
    </rPh>
    <rPh sb="939" eb="941">
      <t>タイケン</t>
    </rPh>
    <rPh sb="942" eb="943">
      <t>ツウ</t>
    </rPh>
    <rPh sb="945" eb="947">
      <t>リカイ</t>
    </rPh>
    <rPh sb="948" eb="949">
      <t>フカ</t>
    </rPh>
    <rPh sb="962" eb="964">
      <t>スウリ</t>
    </rPh>
    <rPh sb="980" eb="981">
      <t>ワ</t>
    </rPh>
    <rPh sb="986" eb="988">
      <t>キョウイク</t>
    </rPh>
    <rPh sb="989" eb="991">
      <t>ジツゲン</t>
    </rPh>
    <rPh sb="998" eb="1000">
      <t>ブンヤ</t>
    </rPh>
    <rPh sb="1001" eb="1003">
      <t>キョウイク</t>
    </rPh>
    <rPh sb="1004" eb="1006">
      <t>トクイ</t>
    </rPh>
    <rPh sb="1011" eb="1013">
      <t>キョウイン</t>
    </rPh>
    <rPh sb="1014" eb="1017">
      <t>ジュンキョウジュ</t>
    </rPh>
    <rPh sb="1019" eb="1020">
      <t>アラ</t>
    </rPh>
    <rPh sb="1022" eb="1024">
      <t>サイヨウ</t>
    </rPh>
    <rPh sb="1025" eb="1027">
      <t>ジョウホウ</t>
    </rPh>
    <rPh sb="1027" eb="1029">
      <t>キバン</t>
    </rPh>
    <rPh sb="1033" eb="1035">
      <t>ショゾク</t>
    </rPh>
    <rPh sb="1038" eb="1040">
      <t>レイワ</t>
    </rPh>
    <rPh sb="1041" eb="1043">
      <t>ネンド</t>
    </rPh>
    <rPh sb="1043" eb="1045">
      <t>コウキ</t>
    </rPh>
    <rPh sb="1047" eb="1049">
      <t>ジュギョウ</t>
    </rPh>
    <rPh sb="1050" eb="1052">
      <t>タントウ</t>
    </rPh>
    <rPh sb="1054" eb="1056">
      <t>ヨテイ</t>
    </rPh>
    <rPh sb="1062" eb="1063">
      <t>ホン</t>
    </rPh>
    <rPh sb="1069" eb="1072">
      <t>シュウリョウシャ</t>
    </rPh>
    <rPh sb="1073" eb="1074">
      <t>フ</t>
    </rPh>
    <rPh sb="1080" eb="1082">
      <t>レイワ</t>
    </rPh>
    <rPh sb="1084" eb="1086">
      <t>ネンド</t>
    </rPh>
    <rPh sb="1087" eb="1088">
      <t>ホン</t>
    </rPh>
    <rPh sb="1094" eb="1097">
      <t>ショネンド</t>
    </rPh>
    <rPh sb="1107" eb="1109">
      <t>ジョウホウ</t>
    </rPh>
    <rPh sb="1109" eb="1111">
      <t>ショリ</t>
    </rPh>
    <rPh sb="1111" eb="1113">
      <t>ニュウモン</t>
    </rPh>
    <rPh sb="1115" eb="1118">
      <t>リシュウシャ</t>
    </rPh>
    <rPh sb="1121" eb="1124">
      <t>リカイド</t>
    </rPh>
    <rPh sb="1124" eb="1126">
      <t>カクニン</t>
    </rPh>
    <rPh sb="1130" eb="1133">
      <t>ジュケンシャ</t>
    </rPh>
    <rPh sb="1142" eb="1144">
      <t>レイワ</t>
    </rPh>
    <rPh sb="1145" eb="1147">
      <t>ネンド</t>
    </rPh>
    <rPh sb="1150" eb="1153">
      <t>ニュウガクジ</t>
    </rPh>
    <rPh sb="1154" eb="1155">
      <t>ホン</t>
    </rPh>
    <rPh sb="1161" eb="1163">
      <t>セツメイ</t>
    </rPh>
    <rPh sb="1163" eb="1165">
      <t>ブンショ</t>
    </rPh>
    <rPh sb="1166" eb="1168">
      <t>ハイフ</t>
    </rPh>
    <rPh sb="1170" eb="1172">
      <t>ガクセイ</t>
    </rPh>
    <rPh sb="1173" eb="1175">
      <t>シュウチ</t>
    </rPh>
    <rPh sb="1176" eb="1177">
      <t>ク</t>
    </rPh>
    <rPh sb="1178" eb="1179">
      <t>カエ</t>
    </rPh>
    <rPh sb="1180" eb="1182">
      <t>ジッシ</t>
    </rPh>
    <rPh sb="1185" eb="1188">
      <t>リカイド</t>
    </rPh>
    <rPh sb="1188" eb="1190">
      <t>カクニン</t>
    </rPh>
    <rPh sb="1194" eb="1197">
      <t>ジュケンシャ</t>
    </rPh>
    <rPh sb="1198" eb="1199">
      <t>フ</t>
    </rPh>
    <rPh sb="1211" eb="1214">
      <t>コウネンジ</t>
    </rPh>
    <rPh sb="1214" eb="1216">
      <t>ガクセイ</t>
    </rPh>
    <rPh sb="1218" eb="1220">
      <t>ハイリョ</t>
    </rPh>
    <rPh sb="1221" eb="1222">
      <t>ホン</t>
    </rPh>
    <rPh sb="1229" eb="1231">
      <t>ジュギョウ</t>
    </rPh>
    <rPh sb="1234" eb="1236">
      <t>ジョウホウ</t>
    </rPh>
    <rPh sb="1236" eb="1238">
      <t>ショリ</t>
    </rPh>
    <rPh sb="1238" eb="1240">
      <t>ニュウモン</t>
    </rPh>
    <rPh sb="1242" eb="1244">
      <t>ゼンガク</t>
    </rPh>
    <rPh sb="1245" eb="1247">
      <t>キョウヨウ</t>
    </rPh>
    <rPh sb="1247" eb="1249">
      <t>キョウイク</t>
    </rPh>
    <rPh sb="1249" eb="1251">
      <t>カモク</t>
    </rPh>
    <rPh sb="1255" eb="1256">
      <t>シュ</t>
    </rPh>
    <rPh sb="1258" eb="1260">
      <t>カイセイ</t>
    </rPh>
    <rPh sb="1261" eb="1263">
      <t>リシュウ</t>
    </rPh>
    <rPh sb="1268" eb="1271">
      <t>サクネンド</t>
    </rPh>
    <rPh sb="1272" eb="1274">
      <t>ジョウホウ</t>
    </rPh>
    <rPh sb="1274" eb="1276">
      <t>ショリ</t>
    </rPh>
    <rPh sb="1276" eb="1278">
      <t>ニュウモン</t>
    </rPh>
    <rPh sb="1281" eb="1282">
      <t>ホン</t>
    </rPh>
    <rPh sb="1288" eb="1290">
      <t>ナイヨウ</t>
    </rPh>
    <rPh sb="1291" eb="1292">
      <t>モ</t>
    </rPh>
    <rPh sb="1293" eb="1294">
      <t>コ</t>
    </rPh>
    <rPh sb="1299" eb="1302">
      <t>コウネンジ</t>
    </rPh>
    <rPh sb="1304" eb="1306">
      <t>カイセイ</t>
    </rPh>
    <rPh sb="1306" eb="1308">
      <t>イジョウ</t>
    </rPh>
    <rPh sb="1310" eb="1312">
      <t>ガクセイ</t>
    </rPh>
    <rPh sb="1313" eb="1314">
      <t>ホン</t>
    </rPh>
    <rPh sb="1320" eb="1322">
      <t>シュウリョウ</t>
    </rPh>
    <rPh sb="1328" eb="1330">
      <t>シャカイ</t>
    </rPh>
    <rPh sb="1333" eb="1334">
      <t>ホン</t>
    </rPh>
    <rPh sb="1340" eb="1342">
      <t>キョウイク</t>
    </rPh>
    <rPh sb="1343" eb="1344">
      <t>タイ</t>
    </rPh>
    <rPh sb="1350" eb="1351">
      <t>タカ</t>
    </rPh>
    <rPh sb="1355" eb="1358">
      <t>サクネンド</t>
    </rPh>
    <rPh sb="1359" eb="1361">
      <t>ジョウホウ</t>
    </rPh>
    <rPh sb="1361" eb="1363">
      <t>ショリ</t>
    </rPh>
    <rPh sb="1363" eb="1365">
      <t>ニュウモン</t>
    </rPh>
    <rPh sb="1367" eb="1368">
      <t>ウ</t>
    </rPh>
    <rPh sb="1373" eb="1375">
      <t>ガクセイ</t>
    </rPh>
    <rPh sb="1376" eb="1377">
      <t>シュ</t>
    </rPh>
    <rPh sb="1379" eb="1381">
      <t>カイセイ</t>
    </rPh>
    <rPh sb="1381" eb="1383">
      <t>イジョウ</t>
    </rPh>
    <rPh sb="1385" eb="1387">
      <t>タイショウ</t>
    </rPh>
    <rPh sb="1389" eb="1391">
      <t>レイワ</t>
    </rPh>
    <rPh sb="1392" eb="1394">
      <t>ネンド</t>
    </rPh>
    <rPh sb="1394" eb="1396">
      <t>コウキ</t>
    </rPh>
    <rPh sb="1398" eb="1400">
      <t>スウリ</t>
    </rPh>
    <rPh sb="1413" eb="1415">
      <t>ジュギョウ</t>
    </rPh>
    <rPh sb="1417" eb="1419">
      <t>タンイ</t>
    </rPh>
    <rPh sb="1421" eb="1423">
      <t>シンセツ</t>
    </rPh>
    <rPh sb="1425" eb="1427">
      <t>タンイ</t>
    </rPh>
    <rPh sb="1427" eb="1430">
      <t>シュトクシャ</t>
    </rPh>
    <rPh sb="1432" eb="1433">
      <t>ホン</t>
    </rPh>
    <rPh sb="1439" eb="1441">
      <t>シュウリョウ</t>
    </rPh>
    <rPh sb="1441" eb="1442">
      <t>ショウ</t>
    </rPh>
    <rPh sb="1443" eb="1445">
      <t>ハッコウ</t>
    </rPh>
    <rPh sb="1447" eb="1449">
      <t>ヨテイ</t>
    </rPh>
    <phoneticPr fontId="1"/>
  </si>
  <si>
    <t>学生への学習支援</t>
    <rPh sb="0" eb="2">
      <t>ガクセイ</t>
    </rPh>
    <rPh sb="4" eb="6">
      <t>ガクシュウ</t>
    </rPh>
    <rPh sb="6" eb="8">
      <t>シエン</t>
    </rPh>
    <phoneticPr fontId="1"/>
  </si>
  <si>
    <t>本プログラムでは、以下の独自の学習支援を実施している。
・履修の自由度の確保
本プログラムの情報処理入門Ⅰは、全学で開講されている教養教育科目の情報処理科目であるが、同じ内容の授業を週に６クラス開講しており、どのクラスでも履修が可能となっている。このため、学生の履修計画を妨げないように設計されている。
・学習管理システム（LMS)の活用
本プログラムの授業である情報処理入門Ⅰの授業では、十分な演習時間をとることができないため、毎回の授業で演習レポート課題を出している。また、LMSを通じて、担当教員へのレポート課題等に関する質問を受付け、受講生に応じた、適切な指導を行っている。
授業で使う資料については、全回分をLMSで公開し、予習、復習がし易いように配慮している。
・本プログラムに関する理解度確認テストの実施
授業の単位を取得するだけでなく、数理・データサイエンス・AIの５つの審査項目に基づいて10問の理解度確認テストを用意(60点以上を合格)し、本プログラムの修了証を発行している。これにより学生の各項目に対する理解度を測ることができ、その結果を授業の改善に活用している。
・本プログラムの修了証の発行
本プログラムでは、プログラムの修了者に対して、修了証を発行している。この修了証を受け取ることが本プログラムの受講に対する学生のモチベーションを高めることになり、数理・データサイエンス・ＡＩ教育の重要性を学内外に示すことに貢献している。
・高年次学生への配慮
本プログラムに関する授業は、令和3年度から全学の教養教育科目で実施しており、令和2年度までに当該科目を履修した学生は、本プログラムを修了することはできない。このため、高年次(3回生以上)を主な対象とした数理・データサイエンス・ＡＩの授業を、令和4年度の後期に、新規に複数回追加開講し、単位を取得した者に、修了証を発行する予定である。</t>
    <rPh sb="0" eb="1">
      <t>ホン</t>
    </rPh>
    <rPh sb="9" eb="11">
      <t>イカ</t>
    </rPh>
    <rPh sb="12" eb="14">
      <t>ドクジ</t>
    </rPh>
    <rPh sb="15" eb="17">
      <t>ガクシュウ</t>
    </rPh>
    <rPh sb="17" eb="19">
      <t>シエン</t>
    </rPh>
    <rPh sb="20" eb="22">
      <t>ジッシ</t>
    </rPh>
    <rPh sb="30" eb="32">
      <t>リシュウ</t>
    </rPh>
    <rPh sb="33" eb="36">
      <t>ジユウド</t>
    </rPh>
    <rPh sb="37" eb="39">
      <t>カクホ</t>
    </rPh>
    <rPh sb="40" eb="41">
      <t>ホン</t>
    </rPh>
    <rPh sb="47" eb="49">
      <t>ジョウホウ</t>
    </rPh>
    <rPh sb="49" eb="51">
      <t>ショリ</t>
    </rPh>
    <rPh sb="51" eb="53">
      <t>ニュウモン</t>
    </rPh>
    <rPh sb="56" eb="58">
      <t>ゼンガク</t>
    </rPh>
    <rPh sb="59" eb="61">
      <t>カイコウ</t>
    </rPh>
    <rPh sb="66" eb="68">
      <t>キョウヨウ</t>
    </rPh>
    <rPh sb="68" eb="70">
      <t>キョウイク</t>
    </rPh>
    <rPh sb="70" eb="72">
      <t>カモク</t>
    </rPh>
    <rPh sb="73" eb="75">
      <t>ジョウホウ</t>
    </rPh>
    <rPh sb="75" eb="77">
      <t>ショリ</t>
    </rPh>
    <rPh sb="77" eb="79">
      <t>カモク</t>
    </rPh>
    <rPh sb="84" eb="85">
      <t>オナ</t>
    </rPh>
    <rPh sb="86" eb="88">
      <t>ナイヨウ</t>
    </rPh>
    <rPh sb="89" eb="91">
      <t>ジュギョウ</t>
    </rPh>
    <rPh sb="92" eb="93">
      <t>シュウ</t>
    </rPh>
    <rPh sb="98" eb="100">
      <t>カイコウ</t>
    </rPh>
    <rPh sb="112" eb="114">
      <t>リシュウ</t>
    </rPh>
    <rPh sb="115" eb="117">
      <t>カノウ</t>
    </rPh>
    <rPh sb="129" eb="131">
      <t>ガクセイ</t>
    </rPh>
    <rPh sb="132" eb="134">
      <t>リシュウ</t>
    </rPh>
    <rPh sb="134" eb="136">
      <t>ケイカク</t>
    </rPh>
    <rPh sb="137" eb="138">
      <t>サマタ</t>
    </rPh>
    <rPh sb="144" eb="146">
      <t>セッケイ</t>
    </rPh>
    <rPh sb="155" eb="157">
      <t>ガクシュウ</t>
    </rPh>
    <rPh sb="157" eb="159">
      <t>カンリ</t>
    </rPh>
    <rPh sb="169" eb="171">
      <t>カツヨウ</t>
    </rPh>
    <rPh sb="172" eb="173">
      <t>ホン</t>
    </rPh>
    <rPh sb="179" eb="181">
      <t>ジュギョウ</t>
    </rPh>
    <rPh sb="184" eb="186">
      <t>ジョウホウ</t>
    </rPh>
    <rPh sb="186" eb="188">
      <t>ショリ</t>
    </rPh>
    <rPh sb="188" eb="190">
      <t>ニュウモン</t>
    </rPh>
    <rPh sb="192" eb="194">
      <t>ジュギョウ</t>
    </rPh>
    <rPh sb="197" eb="199">
      <t>ジュウブン</t>
    </rPh>
    <rPh sb="200" eb="202">
      <t>エンシュウ</t>
    </rPh>
    <rPh sb="202" eb="204">
      <t>ジカン</t>
    </rPh>
    <rPh sb="217" eb="219">
      <t>マイカイ</t>
    </rPh>
    <rPh sb="220" eb="222">
      <t>ジュギョウ</t>
    </rPh>
    <rPh sb="223" eb="225">
      <t>エンシュウ</t>
    </rPh>
    <rPh sb="229" eb="231">
      <t>カダイ</t>
    </rPh>
    <rPh sb="232" eb="233">
      <t>ダ</t>
    </rPh>
    <rPh sb="245" eb="246">
      <t>ツウ</t>
    </rPh>
    <rPh sb="249" eb="251">
      <t>タントウ</t>
    </rPh>
    <rPh sb="251" eb="253">
      <t>キョウイン</t>
    </rPh>
    <rPh sb="259" eb="261">
      <t>カダイ</t>
    </rPh>
    <rPh sb="261" eb="262">
      <t>トウ</t>
    </rPh>
    <rPh sb="263" eb="264">
      <t>カン</t>
    </rPh>
    <rPh sb="266" eb="268">
      <t>シツモン</t>
    </rPh>
    <rPh sb="269" eb="271">
      <t>ウケツケ</t>
    </rPh>
    <rPh sb="273" eb="276">
      <t>ジュコウセイ</t>
    </rPh>
    <rPh sb="277" eb="278">
      <t>オウ</t>
    </rPh>
    <rPh sb="281" eb="283">
      <t>テキセツ</t>
    </rPh>
    <rPh sb="284" eb="286">
      <t>シドウ</t>
    </rPh>
    <rPh sb="287" eb="288">
      <t>オコナ</t>
    </rPh>
    <rPh sb="294" eb="296">
      <t>ジュギョウ</t>
    </rPh>
    <rPh sb="297" eb="298">
      <t>ツカ</t>
    </rPh>
    <rPh sb="299" eb="301">
      <t>シリョウ</t>
    </rPh>
    <rPh sb="307" eb="308">
      <t>ゼン</t>
    </rPh>
    <rPh sb="308" eb="309">
      <t>カイ</t>
    </rPh>
    <rPh sb="309" eb="310">
      <t>ブン</t>
    </rPh>
    <rPh sb="315" eb="317">
      <t>コウカイ</t>
    </rPh>
    <rPh sb="319" eb="321">
      <t>ヨシュウ</t>
    </rPh>
    <rPh sb="322" eb="324">
      <t>フクシュウ</t>
    </rPh>
    <rPh sb="326" eb="327">
      <t>ヤス</t>
    </rPh>
    <rPh sb="331" eb="333">
      <t>ハイリョ</t>
    </rPh>
    <rPh sb="341" eb="342">
      <t>ホン</t>
    </rPh>
    <rPh sb="348" eb="349">
      <t>カン</t>
    </rPh>
    <rPh sb="351" eb="354">
      <t>リカイド</t>
    </rPh>
    <rPh sb="354" eb="356">
      <t>カクニン</t>
    </rPh>
    <rPh sb="360" eb="362">
      <t>ジッシ</t>
    </rPh>
    <rPh sb="363" eb="365">
      <t>ジュギョウ</t>
    </rPh>
    <rPh sb="366" eb="368">
      <t>タンイ</t>
    </rPh>
    <rPh sb="369" eb="371">
      <t>シュトク</t>
    </rPh>
    <rPh sb="379" eb="381">
      <t>スウリ</t>
    </rPh>
    <rPh sb="397" eb="399">
      <t>シンサ</t>
    </rPh>
    <rPh sb="399" eb="401">
      <t>コウモク</t>
    </rPh>
    <rPh sb="402" eb="403">
      <t>モト</t>
    </rPh>
    <rPh sb="408" eb="409">
      <t>モン</t>
    </rPh>
    <rPh sb="410" eb="413">
      <t>リカイド</t>
    </rPh>
    <rPh sb="413" eb="415">
      <t>カクニン</t>
    </rPh>
    <rPh sb="419" eb="421">
      <t>ヨウイ</t>
    </rPh>
    <rPh sb="428" eb="430">
      <t>ゴウカク</t>
    </rPh>
    <rPh sb="433" eb="434">
      <t>ホン</t>
    </rPh>
    <rPh sb="440" eb="443">
      <t>シュウリョウショウ</t>
    </rPh>
    <rPh sb="444" eb="446">
      <t>ハッコウ</t>
    </rPh>
    <rPh sb="456" eb="458">
      <t>ガクセイ</t>
    </rPh>
    <rPh sb="459" eb="460">
      <t>カク</t>
    </rPh>
    <rPh sb="460" eb="462">
      <t>コウモク</t>
    </rPh>
    <rPh sb="463" eb="464">
      <t>タイ</t>
    </rPh>
    <rPh sb="466" eb="469">
      <t>リカイド</t>
    </rPh>
    <rPh sb="470" eb="471">
      <t>ハカ</t>
    </rPh>
    <rPh sb="480" eb="482">
      <t>ケッカ</t>
    </rPh>
    <rPh sb="483" eb="485">
      <t>ジュギョウ</t>
    </rPh>
    <rPh sb="486" eb="488">
      <t>カイゼン</t>
    </rPh>
    <rPh sb="489" eb="491">
      <t>カツヨウ</t>
    </rPh>
    <rPh sb="499" eb="500">
      <t>ホン</t>
    </rPh>
    <rPh sb="506" eb="509">
      <t>シュウリョウショウ</t>
    </rPh>
    <rPh sb="510" eb="512">
      <t>ハッコウ</t>
    </rPh>
    <rPh sb="513" eb="514">
      <t>ホン</t>
    </rPh>
    <rPh sb="528" eb="531">
      <t>シュウリョウシャ</t>
    </rPh>
    <rPh sb="532" eb="533">
      <t>タイ</t>
    </rPh>
    <rPh sb="536" eb="539">
      <t>シュウリョウショウ</t>
    </rPh>
    <rPh sb="540" eb="542">
      <t>ハッコウ</t>
    </rPh>
    <rPh sb="549" eb="552">
      <t>シュウリョウショウ</t>
    </rPh>
    <rPh sb="553" eb="554">
      <t>ウ</t>
    </rPh>
    <rPh sb="555" eb="556">
      <t>ト</t>
    </rPh>
    <rPh sb="560" eb="561">
      <t>ホン</t>
    </rPh>
    <rPh sb="567" eb="569">
      <t>ジュコウ</t>
    </rPh>
    <rPh sb="570" eb="571">
      <t>タイ</t>
    </rPh>
    <rPh sb="573" eb="575">
      <t>ガクセイ</t>
    </rPh>
    <rPh sb="584" eb="585">
      <t>タカ</t>
    </rPh>
    <rPh sb="593" eb="595">
      <t>スウリ</t>
    </rPh>
    <rPh sb="607" eb="609">
      <t>キョウイク</t>
    </rPh>
    <rPh sb="610" eb="613">
      <t>ジュウヨウセイ</t>
    </rPh>
    <rPh sb="614" eb="617">
      <t>ガクナイガイ</t>
    </rPh>
    <rPh sb="618" eb="619">
      <t>シメ</t>
    </rPh>
    <rPh sb="623" eb="625">
      <t>コウケン</t>
    </rPh>
    <rPh sb="633" eb="636">
      <t>コウネンジ</t>
    </rPh>
    <rPh sb="636" eb="638">
      <t>ガクセイ</t>
    </rPh>
    <rPh sb="640" eb="642">
      <t>ハイリョ</t>
    </rPh>
    <rPh sb="643" eb="644">
      <t>ホン</t>
    </rPh>
    <rPh sb="653" eb="655">
      <t>ジュギョウ</t>
    </rPh>
    <rPh sb="664" eb="666">
      <t>ゼンガク</t>
    </rPh>
    <rPh sb="667" eb="669">
      <t>キョウヨウ</t>
    </rPh>
    <rPh sb="669" eb="671">
      <t>キョウイク</t>
    </rPh>
    <rPh sb="671" eb="673">
      <t>カモク</t>
    </rPh>
    <rPh sb="674" eb="676">
      <t>ジッシ</t>
    </rPh>
    <rPh sb="681" eb="683">
      <t>レイワ</t>
    </rPh>
    <rPh sb="684" eb="686">
      <t>ネンド</t>
    </rPh>
    <rPh sb="689" eb="691">
      <t>トウガイ</t>
    </rPh>
    <rPh sb="691" eb="693">
      <t>カモク</t>
    </rPh>
    <rPh sb="694" eb="696">
      <t>リシュウ</t>
    </rPh>
    <rPh sb="698" eb="700">
      <t>ガクセイ</t>
    </rPh>
    <rPh sb="702" eb="703">
      <t>ホン</t>
    </rPh>
    <rPh sb="709" eb="711">
      <t>シュウリョウ</t>
    </rPh>
    <rPh sb="726" eb="729">
      <t>コウネンジ</t>
    </rPh>
    <rPh sb="731" eb="733">
      <t>カイセイ</t>
    </rPh>
    <rPh sb="733" eb="735">
      <t>イジョウ</t>
    </rPh>
    <rPh sb="737" eb="738">
      <t>オモ</t>
    </rPh>
    <rPh sb="739" eb="741">
      <t>タイショウ</t>
    </rPh>
    <rPh sb="744" eb="746">
      <t>スウリ</t>
    </rPh>
    <rPh sb="759" eb="761">
      <t>ジュギョウ</t>
    </rPh>
    <rPh sb="769" eb="771">
      <t>コウキ</t>
    </rPh>
    <rPh sb="773" eb="775">
      <t>シンキ</t>
    </rPh>
    <rPh sb="776" eb="779">
      <t>フクスウカイ</t>
    </rPh>
    <rPh sb="779" eb="781">
      <t>ツイカ</t>
    </rPh>
    <rPh sb="781" eb="783">
      <t>カイコウ</t>
    </rPh>
    <rPh sb="785" eb="787">
      <t>タンイ</t>
    </rPh>
    <rPh sb="788" eb="790">
      <t>シュトク</t>
    </rPh>
    <rPh sb="792" eb="793">
      <t>モノ</t>
    </rPh>
    <rPh sb="795" eb="798">
      <t>シュウリョウショウ</t>
    </rPh>
    <rPh sb="799" eb="801">
      <t>ハッコウ</t>
    </rPh>
    <rPh sb="803" eb="805">
      <t>ヨテイホンシュウリョウジョウケンジョウホウショリニュウモンタンイシュトクカンリカイドカクニンウヒツヨウゴウカクカギキョウイクジョウホウショリニュウモンジョウホウリンリジョウホウオシレイワネンドスウリカンナイヨウアラジカンブンクコジュギョウジッシグタイテキイカナイヨウバッスイナイヨウスベモウラワガクセイリシュウトウロクジユウドタカオナナイヨウジュギョウジッシキホンタイメンジュギョウジッシリシュウニンズウオオヘイヨウヨシュウジュギョウシリョウジゼンコウカイジュギョウゴジュギョウカンシツモンウジュギョウゴガクセイカッパツジッシジュギョウマイカイカダイダウエタイケンキカイガクシュウカツヨウエンシュウオコナカダイカタイケンツウリカイフカスウリワキョウイクジツゲンブンヤキョウイクトクイキョウインジュンキョウジュアラサイヨウジョウホウキバンショゾクレイワネンドコウキジュギョウタントウヨテイホンシュウリョウシャフレイワネンドホンショネンドジョウホウショリニュウモンリシュウシャリカイドカクニンジュケンシャレイワネンドニュウガクジホンセツメイブンショハイフガクセイシュウチクカエジッシリカイドカクニンジュケンシャフコウネンジガクセイハイリョホンジュギョウジョウホウショリニュウモンゼンガクキョウヨウキョウイクカモクシュカイセイリシュウサクネンドジョウホウショリニュウモンホンナイヨウモココウネンジカイセイイジョウガクセイホンシュウリョウシャカイホンキョウイクタイタカサクネンドジョウホウショリニュウモンウガクセイシュカイセイイジョウタイショウレイワネンドコウキスウリジュギョウタンイシンセツタンイシュトクシャホンシュウリョウショウハッコウヨテイ</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</si>
  <si>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</si>
  <si>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本プログラムでは、以下のような外部連携を実施している。
・他大学との連携について
奈良国立大学機構として法人統合した、奈良教育大学との連携を進めている。法人統合により新たに設置された連携教育開発センターの情報教育チームに、本プログラムを主管しているＩＴ教育部門長とＩＴ教育部門員１名が参加しており、数理・データサイエンス・ＡＩ教育プログラムの実施についても情報交換を行っている。現在、奈良教育大学では数理・データサイエンス・ＡＩ教育プログラムの認証取得の予定はないが、認証取得の場合には、先行している本学が支援できると考えている。</t>
    <rPh sb="0" eb="1">
      <t>ホン</t>
    </rPh>
    <rPh sb="9" eb="11">
      <t>イカ</t>
    </rPh>
    <rPh sb="15" eb="17">
      <t>ガイブ</t>
    </rPh>
    <rPh sb="17" eb="19">
      <t>レンケイ</t>
    </rPh>
    <rPh sb="20" eb="22">
      <t>ジッシ</t>
    </rPh>
    <rPh sb="30" eb="33">
      <t>タダイガク</t>
    </rPh>
    <rPh sb="35" eb="37">
      <t>レンケイ</t>
    </rPh>
    <rPh sb="42" eb="44">
      <t>ナラ</t>
    </rPh>
    <rPh sb="44" eb="46">
      <t>コクリツ</t>
    </rPh>
    <rPh sb="46" eb="48">
      <t>ダイガク</t>
    </rPh>
    <rPh sb="48" eb="50">
      <t>キコウ</t>
    </rPh>
    <rPh sb="53" eb="55">
      <t>ホウジン</t>
    </rPh>
    <rPh sb="55" eb="57">
      <t>トウゴウ</t>
    </rPh>
    <rPh sb="60" eb="64">
      <t>ナラキョウイク</t>
    </rPh>
    <rPh sb="64" eb="66">
      <t>ダイガク</t>
    </rPh>
    <rPh sb="68" eb="70">
      <t>レンケイ</t>
    </rPh>
    <rPh sb="71" eb="72">
      <t>スス</t>
    </rPh>
    <rPh sb="77" eb="79">
      <t>ホウジン</t>
    </rPh>
    <rPh sb="79" eb="81">
      <t>トウゴウ</t>
    </rPh>
    <rPh sb="84" eb="85">
      <t>アラ</t>
    </rPh>
    <rPh sb="87" eb="89">
      <t>セッチ</t>
    </rPh>
    <rPh sb="96" eb="98">
      <t>カイハツ</t>
    </rPh>
    <rPh sb="103" eb="105">
      <t>ジョウホウ</t>
    </rPh>
    <rPh sb="105" eb="107">
      <t>キョウイク</t>
    </rPh>
    <rPh sb="112" eb="113">
      <t>ホン</t>
    </rPh>
    <rPh sb="119" eb="121">
      <t>シュカン</t>
    </rPh>
    <rPh sb="127" eb="129">
      <t>キョウイク</t>
    </rPh>
    <rPh sb="129" eb="132">
      <t>ブモンチョウ</t>
    </rPh>
    <rPh sb="135" eb="137">
      <t>キョウイク</t>
    </rPh>
    <rPh sb="137" eb="140">
      <t>ブモンイン</t>
    </rPh>
    <rPh sb="141" eb="142">
      <t>メイ</t>
    </rPh>
    <rPh sb="143" eb="145">
      <t>サンカ</t>
    </rPh>
    <rPh sb="150" eb="152">
      <t>スウリ</t>
    </rPh>
    <rPh sb="164" eb="166">
      <t>キョウイク</t>
    </rPh>
    <rPh sb="172" eb="174">
      <t>ジッシ</t>
    </rPh>
    <rPh sb="179" eb="181">
      <t>ジョウホウ</t>
    </rPh>
    <rPh sb="181" eb="183">
      <t>コウカン</t>
    </rPh>
    <rPh sb="184" eb="185">
      <t>オコナ</t>
    </rPh>
    <rPh sb="190" eb="192">
      <t>ゲンザイ</t>
    </rPh>
    <rPh sb="193" eb="197">
      <t>ナラキョウイク</t>
    </rPh>
    <rPh sb="197" eb="199">
      <t>ダイガク</t>
    </rPh>
    <rPh sb="223" eb="225">
      <t>ニンショウ</t>
    </rPh>
    <rPh sb="225" eb="227">
      <t>シュトク</t>
    </rPh>
    <rPh sb="228" eb="230">
      <t>ヨテイ</t>
    </rPh>
    <rPh sb="235" eb="237">
      <t>ニンショウ</t>
    </rPh>
    <rPh sb="237" eb="239">
      <t>シュトク</t>
    </rPh>
    <rPh sb="240" eb="242">
      <t>バアイ</t>
    </rPh>
    <rPh sb="245" eb="247">
      <t>センコウ</t>
    </rPh>
    <rPh sb="251" eb="253">
      <t>ホンガク</t>
    </rPh>
    <rPh sb="254" eb="256">
      <t>シエン</t>
    </rPh>
    <rPh sb="260" eb="261">
      <t>カンガ</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</si>
</sst>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3"/>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3"/>
      <charset val="128"/>
      <scheme val="minor"/>
    </font>
    <font>
      <sz val="8"/>
      <name val="ＭＳ Ｐゴシック"/>
      <family val="3"/>
      <charset val="128"/>
      <scheme val="minor"/>
    </font>
    <font>
      <u/>
      <sz val="11"/>
      <name val="ＭＳ Ｐゴシック"/>
      <family val="3"/>
      <charset val="128"/>
      <scheme val="minor"/>
    </font>
    <font>
      <sz val="10"/>
      <name val="ＭＳ Ｐゴシック"/>
      <family val="3"/>
      <charset val="128"/>
      <scheme val="minor"/>
    </font>
    <font>
      <sz val="7"/>
      <name val="ＭＳ Ｐゴシック"/>
      <family val="3"/>
      <charset val="128"/>
      <scheme val="minor"/>
    </font>
    <font>
      <sz val="9"/>
      <name val="ＭＳ Ｐゴシック"/>
      <family val="2"/>
      <charset val="128"/>
      <scheme val="minor"/>
    </font>
    <font>
      <sz val="12"/>
      <name val="ＭＳ ゴシック"/>
      <family val="3"/>
      <charset val="128"/>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4" fillId="0" borderId="0" applyFont="0" applyFill="0" applyBorder="0" applyAlignment="0" applyProtection="0">
      <alignment vertical="center"/>
    </xf>
    <xf numFmtId="0" fontId="5" fillId="0" borderId="0" applyNumberFormat="0" applyFill="0" applyBorder="0" applyAlignment="0" applyProtection="0">
      <alignment vertical="center"/>
    </xf>
  </cellStyleXfs>
  <cellXfs count="285">
    <xf numFmtId="0" fontId="0" fillId="0" borderId="0" xfId="0">
      <alignment vertical="center"/>
    </xf>
    <xf numFmtId="0" fontId="2" fillId="0" borderId="0" xfId="0" applyFont="1">
      <alignment vertical="center"/>
    </xf>
    <xf numFmtId="0" fontId="3" fillId="0" borderId="0" xfId="0" applyFont="1">
      <alignment vertical="center"/>
    </xf>
    <xf numFmtId="176" fontId="6" fillId="0" borderId="0" xfId="0" applyNumberFormat="1" applyFont="1" applyBorder="1">
      <alignment vertical="center"/>
    </xf>
    <xf numFmtId="176" fontId="6" fillId="0" borderId="3" xfId="0" applyNumberFormat="1" applyFont="1" applyBorder="1" applyAlignment="1">
      <alignment vertical="center" shrinkToFit="1"/>
    </xf>
    <xf numFmtId="0" fontId="6" fillId="0" borderId="0" xfId="0" applyFont="1" applyBorder="1" applyAlignment="1">
      <alignment horizontal="center" vertical="center" shrinkToFit="1"/>
    </xf>
    <xf numFmtId="0" fontId="7" fillId="0" borderId="0" xfId="0" applyFont="1">
      <alignment vertical="center"/>
    </xf>
    <xf numFmtId="0" fontId="6" fillId="0" borderId="0" xfId="0" applyFont="1">
      <alignment vertical="center"/>
    </xf>
    <xf numFmtId="0" fontId="6" fillId="0" borderId="0" xfId="0" applyFont="1" applyAlignment="1">
      <alignment vertical="center"/>
    </xf>
    <xf numFmtId="0" fontId="6" fillId="0" borderId="0" xfId="0" applyFont="1" applyAlignment="1">
      <alignment horizontal="left" vertical="center"/>
    </xf>
    <xf numFmtId="0" fontId="6" fillId="0" borderId="0" xfId="0" applyFont="1" applyBorder="1" applyAlignment="1">
      <alignment vertical="center"/>
    </xf>
    <xf numFmtId="0" fontId="6" fillId="0" borderId="5" xfId="0" applyFont="1" applyBorder="1">
      <alignment vertical="center"/>
    </xf>
    <xf numFmtId="176" fontId="6" fillId="0" borderId="0" xfId="0" applyNumberFormat="1" applyFont="1" applyBorder="1" applyAlignment="1">
      <alignment vertical="center" wrapText="1"/>
    </xf>
    <xf numFmtId="0" fontId="6" fillId="0" borderId="0" xfId="0" applyFont="1" applyBorder="1">
      <alignment vertical="center"/>
    </xf>
    <xf numFmtId="176" fontId="6" fillId="0" borderId="5" xfId="0" applyNumberFormat="1" applyFont="1" applyBorder="1" applyAlignment="1">
      <alignment vertical="center"/>
    </xf>
    <xf numFmtId="176" fontId="6" fillId="0" borderId="0" xfId="0" applyNumberFormat="1" applyFont="1" applyAlignment="1">
      <alignment vertical="center" wrapText="1"/>
    </xf>
    <xf numFmtId="176" fontId="6" fillId="0" borderId="0" xfId="0" applyNumberFormat="1" applyFont="1" applyAlignment="1">
      <alignment horizontal="left" vertical="center" wrapText="1"/>
    </xf>
    <xf numFmtId="0" fontId="6" fillId="0" borderId="1" xfId="0" applyFont="1" applyBorder="1">
      <alignment vertical="center"/>
    </xf>
    <xf numFmtId="0" fontId="6" fillId="0" borderId="2" xfId="0" applyFont="1" applyBorder="1">
      <alignment vertical="center"/>
    </xf>
    <xf numFmtId="0" fontId="6" fillId="0" borderId="4" xfId="0" applyFont="1" applyBorder="1">
      <alignment vertical="center"/>
    </xf>
    <xf numFmtId="0" fontId="6" fillId="0" borderId="0" xfId="0" applyFont="1" applyAlignment="1">
      <alignment horizontal="center" vertical="center"/>
    </xf>
    <xf numFmtId="0" fontId="6" fillId="0" borderId="1" xfId="0" applyFont="1" applyBorder="1" applyAlignment="1">
      <alignment vertical="center" shrinkToFit="1"/>
    </xf>
    <xf numFmtId="0" fontId="6" fillId="0" borderId="0" xfId="0" applyFont="1" applyFill="1">
      <alignment vertical="center"/>
    </xf>
    <xf numFmtId="49" fontId="10" fillId="0" borderId="1" xfId="0" applyNumberFormat="1" applyFont="1" applyBorder="1" applyAlignment="1">
      <alignment horizontal="center" vertical="center"/>
    </xf>
    <xf numFmtId="0" fontId="6" fillId="0" borderId="0" xfId="0" applyFont="1" applyAlignment="1">
      <alignment vertical="center" shrinkToFit="1"/>
    </xf>
    <xf numFmtId="0" fontId="6" fillId="0" borderId="0" xfId="0" applyFont="1" applyAlignment="1">
      <alignment vertical="top" wrapText="1"/>
    </xf>
    <xf numFmtId="49" fontId="10" fillId="0" borderId="47" xfId="0" applyNumberFormat="1" applyFont="1" applyBorder="1" applyAlignment="1">
      <alignment horizontal="center" vertical="center"/>
    </xf>
    <xf numFmtId="49" fontId="10" fillId="0" borderId="33" xfId="0" applyNumberFormat="1" applyFont="1" applyBorder="1" applyAlignment="1">
      <alignment horizontal="center" vertical="center"/>
    </xf>
    <xf numFmtId="49" fontId="10" fillId="0" borderId="50" xfId="0" applyNumberFormat="1" applyFont="1" applyBorder="1" applyAlignment="1">
      <alignment horizontal="center" vertical="center"/>
    </xf>
    <xf numFmtId="0" fontId="6" fillId="0" borderId="44" xfId="0" applyFont="1" applyBorder="1" applyAlignment="1">
      <alignment horizontal="center" vertical="center" shrinkToFit="1"/>
    </xf>
    <xf numFmtId="0" fontId="6" fillId="0" borderId="45" xfId="0" applyFont="1" applyBorder="1" applyAlignment="1">
      <alignment horizontal="center" vertical="center" shrinkToFit="1"/>
    </xf>
    <xf numFmtId="49" fontId="10" fillId="0" borderId="51" xfId="0" applyNumberFormat="1" applyFont="1" applyBorder="1" applyAlignment="1">
      <alignment horizontal="center" vertical="center"/>
    </xf>
    <xf numFmtId="0" fontId="6" fillId="0" borderId="7" xfId="0" applyFont="1" applyBorder="1" applyAlignment="1">
      <alignment horizontal="center" vertical="center" wrapText="1" shrinkToFit="1"/>
    </xf>
    <xf numFmtId="9" fontId="6" fillId="0" borderId="8" xfId="0" applyNumberFormat="1" applyFont="1" applyBorder="1" applyAlignment="1">
      <alignment horizontal="center" vertical="center" wrapText="1" shrinkToFit="1"/>
    </xf>
    <xf numFmtId="0" fontId="6" fillId="0" borderId="8" xfId="0" applyFont="1" applyBorder="1" applyAlignment="1">
      <alignment horizontal="center" vertical="center" wrapText="1" shrinkToFit="1"/>
    </xf>
    <xf numFmtId="9" fontId="6" fillId="0" borderId="8" xfId="0" applyNumberFormat="1" applyFont="1" applyBorder="1" applyAlignment="1">
      <alignment horizontal="center" vertical="center" shrinkToFit="1"/>
    </xf>
    <xf numFmtId="0" fontId="6" fillId="0" borderId="9" xfId="0" applyFont="1" applyBorder="1" applyAlignment="1">
      <alignment horizontal="center" vertical="center" shrinkToFit="1"/>
    </xf>
    <xf numFmtId="9" fontId="6" fillId="0" borderId="45" xfId="0" applyNumberFormat="1" applyFont="1" applyBorder="1" applyAlignment="1">
      <alignment horizontal="center" vertical="center" shrinkToFit="1"/>
    </xf>
    <xf numFmtId="0" fontId="6" fillId="0" borderId="46" xfId="0" applyFont="1" applyBorder="1" applyAlignment="1">
      <alignment horizontal="center" vertical="center" shrinkToFit="1"/>
    </xf>
    <xf numFmtId="0" fontId="6" fillId="0" borderId="2" xfId="0" applyFont="1" applyBorder="1" applyAlignment="1">
      <alignment vertical="center"/>
    </xf>
    <xf numFmtId="0" fontId="6" fillId="0" borderId="3" xfId="0" applyFont="1" applyBorder="1" applyAlignment="1">
      <alignment vertical="center"/>
    </xf>
    <xf numFmtId="0" fontId="6" fillId="0" borderId="4" xfId="0" applyFont="1" applyBorder="1" applyAlignment="1">
      <alignment vertical="center"/>
    </xf>
    <xf numFmtId="49" fontId="10" fillId="0" borderId="52" xfId="0" applyNumberFormat="1" applyFont="1" applyBorder="1" applyAlignment="1">
      <alignment horizontal="center" vertical="center"/>
    </xf>
    <xf numFmtId="49" fontId="10" fillId="0" borderId="29" xfId="0" applyNumberFormat="1" applyFont="1" applyBorder="1" applyAlignment="1">
      <alignment horizontal="center" vertical="center"/>
    </xf>
    <xf numFmtId="0" fontId="12" fillId="0" borderId="4" xfId="0" applyFont="1" applyBorder="1" applyAlignment="1">
      <alignment horizontal="center" vertical="center" shrinkToFit="1"/>
    </xf>
    <xf numFmtId="0" fontId="6" fillId="0" borderId="14" xfId="0" applyFont="1" applyBorder="1" applyAlignment="1">
      <alignment horizontal="center" vertical="center" shrinkToFit="1"/>
    </xf>
    <xf numFmtId="0" fontId="6" fillId="0" borderId="23" xfId="0" applyFont="1" applyBorder="1" applyAlignment="1">
      <alignment horizontal="center" vertical="center" shrinkToFit="1"/>
    </xf>
    <xf numFmtId="0" fontId="6" fillId="0" borderId="13" xfId="0" applyFont="1" applyBorder="1" applyAlignment="1">
      <alignment horizontal="center" vertical="center" shrinkToFit="1"/>
    </xf>
    <xf numFmtId="0" fontId="6" fillId="0" borderId="1" xfId="0" applyFont="1" applyBorder="1" applyAlignment="1">
      <alignment horizontal="center" vertical="center" shrinkToFit="1"/>
    </xf>
    <xf numFmtId="0" fontId="6" fillId="0" borderId="43" xfId="0" applyFont="1" applyBorder="1" applyAlignment="1">
      <alignment horizontal="center" vertical="center" shrinkToFit="1"/>
    </xf>
    <xf numFmtId="0" fontId="6" fillId="0" borderId="0" xfId="0" applyFont="1" applyBorder="1" applyAlignment="1">
      <alignment horizontal="center" vertical="center"/>
    </xf>
    <xf numFmtId="0" fontId="6" fillId="0" borderId="0" xfId="0" applyFont="1" applyBorder="1" applyAlignment="1">
      <alignment vertical="center" shrinkToFit="1"/>
    </xf>
    <xf numFmtId="0" fontId="6" fillId="0" borderId="0" xfId="0" applyFont="1" applyAlignment="1">
      <alignment horizontal="right" vertical="center"/>
    </xf>
    <xf numFmtId="0" fontId="6" fillId="0" borderId="19" xfId="0" applyFont="1" applyBorder="1" applyAlignment="1">
      <alignment vertical="center" shrinkToFit="1"/>
    </xf>
    <xf numFmtId="0" fontId="6" fillId="0" borderId="20" xfId="0" applyFont="1" applyBorder="1" applyAlignment="1">
      <alignment vertical="center" shrinkToFit="1"/>
    </xf>
    <xf numFmtId="0" fontId="6" fillId="0" borderId="18" xfId="0" applyFont="1" applyBorder="1" applyAlignment="1">
      <alignment vertical="center" shrinkToFit="1"/>
    </xf>
    <xf numFmtId="0" fontId="6" fillId="0" borderId="18" xfId="0" applyFont="1" applyBorder="1" applyAlignment="1">
      <alignment horizontal="center" vertical="center"/>
    </xf>
    <xf numFmtId="0" fontId="6" fillId="0" borderId="42" xfId="0" applyFont="1" applyBorder="1" applyAlignment="1">
      <alignment horizontal="center" vertical="center"/>
    </xf>
    <xf numFmtId="0" fontId="7" fillId="0" borderId="0" xfId="0" applyFont="1" applyAlignment="1">
      <alignment horizontal="center" vertical="center"/>
    </xf>
    <xf numFmtId="0" fontId="6" fillId="0" borderId="38" xfId="0" applyFont="1" applyBorder="1" applyAlignment="1">
      <alignment horizontal="center" vertical="center"/>
    </xf>
    <xf numFmtId="0" fontId="6" fillId="0" borderId="0" xfId="0" applyFont="1" applyAlignment="1">
      <alignment vertical="center" wrapText="1"/>
    </xf>
    <xf numFmtId="0" fontId="9" fillId="0" borderId="0" xfId="0" applyFont="1" applyAlignment="1">
      <alignment horizontal="center" vertical="center"/>
    </xf>
    <xf numFmtId="0" fontId="3" fillId="0" borderId="0" xfId="0" applyFont="1" applyAlignment="1">
      <alignment horizontal="center" vertical="center"/>
    </xf>
    <xf numFmtId="0" fontId="6" fillId="0" borderId="10" xfId="0" applyFont="1" applyBorder="1" applyAlignment="1">
      <alignment vertical="center" shrinkToFit="1"/>
    </xf>
    <xf numFmtId="0" fontId="6" fillId="0" borderId="6" xfId="0" applyFont="1" applyBorder="1" applyAlignment="1">
      <alignment vertical="center" shrinkToFit="1"/>
    </xf>
    <xf numFmtId="0" fontId="11" fillId="0" borderId="0" xfId="0" applyFont="1">
      <alignment vertical="center"/>
    </xf>
    <xf numFmtId="0" fontId="15" fillId="0" borderId="11" xfId="0" applyFont="1" applyBorder="1" applyAlignment="1">
      <alignment horizontal="center" vertical="center"/>
    </xf>
    <xf numFmtId="0" fontId="15" fillId="0" borderId="29" xfId="0" applyFont="1" applyBorder="1" applyAlignment="1">
      <alignment horizontal="center" vertical="center" wrapText="1"/>
    </xf>
    <xf numFmtId="0" fontId="15" fillId="0" borderId="30" xfId="0" applyFont="1" applyBorder="1" applyAlignment="1">
      <alignment horizontal="center" vertical="center"/>
    </xf>
    <xf numFmtId="0" fontId="15" fillId="0" borderId="12" xfId="0" applyFont="1" applyBorder="1" applyAlignment="1">
      <alignment horizontal="center" vertical="center" wrapText="1"/>
    </xf>
    <xf numFmtId="0" fontId="6" fillId="0" borderId="14" xfId="0" applyFont="1" applyBorder="1" applyAlignment="1">
      <alignment horizontal="left" vertical="center" shrinkToFit="1"/>
    </xf>
    <xf numFmtId="0" fontId="6" fillId="0" borderId="5" xfId="0" applyFont="1" applyBorder="1" applyAlignment="1">
      <alignment vertical="center" shrinkToFit="1"/>
    </xf>
    <xf numFmtId="176" fontId="6" fillId="0" borderId="5" xfId="0" applyNumberFormat="1" applyFont="1" applyFill="1" applyBorder="1" applyAlignment="1">
      <alignment vertical="center" shrinkToFit="1"/>
    </xf>
    <xf numFmtId="176" fontId="6" fillId="0" borderId="31" xfId="0" applyNumberFormat="1" applyFont="1" applyFill="1" applyBorder="1" applyAlignment="1">
      <alignment vertical="center" shrinkToFit="1"/>
    </xf>
    <xf numFmtId="176" fontId="6" fillId="0" borderId="32" xfId="0" applyNumberFormat="1" applyFont="1" applyBorder="1" applyAlignment="1">
      <alignment vertical="center" shrinkToFit="1"/>
    </xf>
    <xf numFmtId="176" fontId="6" fillId="0" borderId="10" xfId="0" applyNumberFormat="1" applyFont="1" applyBorder="1" applyAlignment="1">
      <alignment vertical="center" shrinkToFit="1"/>
    </xf>
    <xf numFmtId="176" fontId="6" fillId="0" borderId="5" xfId="0" applyNumberFormat="1" applyFont="1" applyBorder="1" applyAlignment="1">
      <alignment vertical="center" shrinkToFit="1"/>
    </xf>
    <xf numFmtId="176" fontId="6" fillId="0" borderId="31" xfId="0" applyNumberFormat="1" applyFont="1" applyBorder="1" applyAlignment="1">
      <alignment vertical="center" shrinkToFit="1"/>
    </xf>
    <xf numFmtId="176" fontId="6" fillId="0" borderId="14" xfId="0" applyNumberFormat="1" applyFont="1" applyBorder="1" applyAlignment="1">
      <alignment vertical="center" shrinkToFit="1"/>
    </xf>
    <xf numFmtId="9" fontId="6" fillId="0" borderId="10" xfId="0" applyNumberFormat="1" applyFont="1" applyBorder="1" applyAlignment="1">
      <alignment vertical="center" shrinkToFit="1"/>
    </xf>
    <xf numFmtId="0" fontId="6" fillId="0" borderId="23" xfId="0" applyFont="1" applyBorder="1" applyAlignment="1">
      <alignment horizontal="left" vertical="center" shrinkToFit="1"/>
    </xf>
    <xf numFmtId="176" fontId="6" fillId="0" borderId="19" xfId="0" applyNumberFormat="1" applyFont="1" applyFill="1" applyBorder="1" applyAlignment="1">
      <alignment vertical="center" shrinkToFit="1"/>
    </xf>
    <xf numFmtId="176" fontId="6" fillId="0" borderId="33" xfId="0" applyNumberFormat="1" applyFont="1" applyFill="1" applyBorder="1" applyAlignment="1">
      <alignment vertical="center" shrinkToFit="1"/>
    </xf>
    <xf numFmtId="176" fontId="6" fillId="0" borderId="34" xfId="0" applyNumberFormat="1" applyFont="1" applyBorder="1" applyAlignment="1">
      <alignment vertical="center" shrinkToFit="1"/>
    </xf>
    <xf numFmtId="176" fontId="6" fillId="0" borderId="18" xfId="0" applyNumberFormat="1" applyFont="1" applyBorder="1" applyAlignment="1">
      <alignment vertical="center" shrinkToFit="1"/>
    </xf>
    <xf numFmtId="176" fontId="6" fillId="0" borderId="19" xfId="0" applyNumberFormat="1" applyFont="1" applyBorder="1" applyAlignment="1">
      <alignment vertical="center" shrinkToFit="1"/>
    </xf>
    <xf numFmtId="176" fontId="6" fillId="0" borderId="33" xfId="0" applyNumberFormat="1" applyFont="1" applyBorder="1" applyAlignment="1">
      <alignment vertical="center" shrinkToFit="1"/>
    </xf>
    <xf numFmtId="176" fontId="6" fillId="0" borderId="23" xfId="0" applyNumberFormat="1" applyFont="1" applyBorder="1" applyAlignment="1">
      <alignment vertical="center" shrinkToFit="1"/>
    </xf>
    <xf numFmtId="9" fontId="6" fillId="0" borderId="23" xfId="0" applyNumberFormat="1" applyFont="1" applyBorder="1" applyAlignment="1">
      <alignment vertical="center" shrinkToFit="1"/>
    </xf>
    <xf numFmtId="0" fontId="6" fillId="0" borderId="24" xfId="0" applyFont="1" applyBorder="1" applyAlignment="1">
      <alignment horizontal="left" vertical="center" shrinkToFit="1"/>
    </xf>
    <xf numFmtId="176" fontId="6" fillId="0" borderId="24" xfId="0" applyNumberFormat="1" applyFont="1" applyBorder="1" applyAlignment="1">
      <alignment vertical="center" shrinkToFit="1"/>
    </xf>
    <xf numFmtId="0" fontId="6" fillId="0" borderId="28" xfId="0" applyFont="1" applyBorder="1" applyAlignment="1">
      <alignment horizontal="center" vertical="center" shrinkToFit="1"/>
    </xf>
    <xf numFmtId="0" fontId="6" fillId="0" borderId="26" xfId="0" applyFont="1" applyBorder="1" applyAlignment="1">
      <alignment vertical="center" shrinkToFit="1"/>
    </xf>
    <xf numFmtId="0" fontId="6" fillId="0" borderId="25" xfId="0" applyFont="1" applyBorder="1" applyAlignment="1">
      <alignment vertical="center" shrinkToFit="1"/>
    </xf>
    <xf numFmtId="176" fontId="6" fillId="0" borderId="25" xfId="0" applyNumberFormat="1" applyFont="1" applyBorder="1" applyAlignment="1">
      <alignment vertical="center" shrinkToFit="1"/>
    </xf>
    <xf numFmtId="176" fontId="6" fillId="0" borderId="35" xfId="0" applyNumberFormat="1" applyFont="1" applyBorder="1" applyAlignment="1">
      <alignment vertical="center" shrinkToFit="1"/>
    </xf>
    <xf numFmtId="176" fontId="6" fillId="0" borderId="36" xfId="0" applyNumberFormat="1" applyFont="1" applyBorder="1" applyAlignment="1">
      <alignment vertical="center" shrinkToFit="1"/>
    </xf>
    <xf numFmtId="176" fontId="6" fillId="0" borderId="27" xfId="0" applyNumberFormat="1" applyFont="1" applyBorder="1" applyAlignment="1">
      <alignment vertical="center" shrinkToFit="1"/>
    </xf>
    <xf numFmtId="176" fontId="6" fillId="0" borderId="28" xfId="0" applyNumberFormat="1" applyFont="1" applyBorder="1" applyAlignment="1">
      <alignment vertical="center" shrinkToFit="1"/>
    </xf>
    <xf numFmtId="9" fontId="6" fillId="0" borderId="27" xfId="0" applyNumberFormat="1" applyFont="1" applyBorder="1" applyAlignment="1">
      <alignment vertical="center" shrinkToFit="1"/>
    </xf>
    <xf numFmtId="0" fontId="16" fillId="0" borderId="0" xfId="0" applyFont="1">
      <alignment vertical="center"/>
    </xf>
    <xf numFmtId="0" fontId="7" fillId="0" borderId="0" xfId="0" applyFont="1" applyAlignment="1">
      <alignment horizontal="right" vertical="center"/>
    </xf>
    <xf numFmtId="0" fontId="7" fillId="0" borderId="0" xfId="0" applyFont="1" applyAlignment="1">
      <alignment vertical="center"/>
    </xf>
    <xf numFmtId="0" fontId="16" fillId="0" borderId="0" xfId="0" applyFont="1" applyAlignment="1">
      <alignment vertical="top" wrapText="1"/>
    </xf>
    <xf numFmtId="176" fontId="6" fillId="0" borderId="45" xfId="0" applyNumberFormat="1" applyFont="1" applyBorder="1" applyAlignment="1">
      <alignment horizontal="center" vertical="center" shrinkToFit="1"/>
    </xf>
    <xf numFmtId="9" fontId="6" fillId="0" borderId="0" xfId="0" applyNumberFormat="1" applyFont="1" applyAlignment="1">
      <alignment horizontal="center" vertical="center"/>
    </xf>
    <xf numFmtId="0" fontId="7" fillId="0" borderId="0" xfId="0" applyFont="1" applyAlignment="1">
      <alignment vertical="center" wrapText="1"/>
    </xf>
    <xf numFmtId="0" fontId="16" fillId="0" borderId="0" xfId="0" applyFont="1" applyAlignment="1">
      <alignment vertical="top" shrinkToFit="1"/>
    </xf>
    <xf numFmtId="0" fontId="16" fillId="0" borderId="0" xfId="0" applyFont="1" applyAlignment="1">
      <alignment vertical="center" wrapText="1"/>
    </xf>
    <xf numFmtId="0" fontId="10" fillId="0" borderId="0" xfId="0" applyFont="1" applyAlignment="1">
      <alignment vertical="top" wrapText="1"/>
    </xf>
    <xf numFmtId="0" fontId="10" fillId="0" borderId="10" xfId="0" applyFont="1" applyBorder="1" applyAlignment="1">
      <alignment vertical="top" wrapText="1"/>
    </xf>
    <xf numFmtId="0" fontId="10" fillId="0" borderId="5" xfId="0" applyFont="1" applyBorder="1" applyAlignment="1">
      <alignment vertical="top" wrapText="1"/>
    </xf>
    <xf numFmtId="0" fontId="6" fillId="0" borderId="16" xfId="0" applyFont="1" applyBorder="1">
      <alignment vertical="center"/>
    </xf>
    <xf numFmtId="0" fontId="10" fillId="0" borderId="20" xfId="0" applyFont="1" applyBorder="1" applyAlignment="1">
      <alignment horizontal="left" vertical="top" wrapText="1"/>
    </xf>
    <xf numFmtId="0" fontId="10" fillId="0" borderId="18" xfId="0" applyFont="1" applyBorder="1" applyAlignment="1">
      <alignment vertical="top" wrapText="1"/>
    </xf>
    <xf numFmtId="0" fontId="10" fillId="0" borderId="20" xfId="0" applyFont="1" applyBorder="1" applyAlignment="1">
      <alignment vertical="top" shrinkToFit="1"/>
    </xf>
    <xf numFmtId="0" fontId="10" fillId="0" borderId="18" xfId="0" applyFont="1" applyBorder="1" applyAlignment="1">
      <alignment vertical="top" shrinkToFit="1"/>
    </xf>
    <xf numFmtId="49" fontId="13" fillId="0" borderId="2" xfId="2" applyNumberFormat="1" applyFont="1" applyBorder="1" applyAlignment="1">
      <alignment vertical="center" shrinkToFit="1"/>
    </xf>
    <xf numFmtId="49" fontId="6" fillId="0" borderId="3" xfId="0" applyNumberFormat="1" applyFont="1" applyBorder="1" applyAlignment="1">
      <alignment vertical="center" shrinkToFit="1"/>
    </xf>
    <xf numFmtId="49" fontId="6" fillId="0" borderId="4" xfId="0" applyNumberFormat="1" applyFont="1" applyBorder="1" applyAlignment="1">
      <alignment vertical="center" shrinkToFit="1"/>
    </xf>
    <xf numFmtId="49" fontId="6" fillId="0" borderId="2" xfId="1" applyNumberFormat="1" applyFont="1" applyBorder="1" applyAlignment="1">
      <alignment horizontal="center" vertical="center" shrinkToFit="1"/>
    </xf>
    <xf numFmtId="49" fontId="6" fillId="0" borderId="3" xfId="1" applyNumberFormat="1" applyFont="1" applyBorder="1" applyAlignment="1">
      <alignment horizontal="center" vertical="center" shrinkToFit="1"/>
    </xf>
    <xf numFmtId="49" fontId="6" fillId="0" borderId="4" xfId="1" applyNumberFormat="1" applyFont="1" applyBorder="1" applyAlignment="1">
      <alignment horizontal="center" vertical="center" shrinkToFit="1"/>
    </xf>
    <xf numFmtId="0" fontId="6" fillId="0" borderId="0" xfId="0" applyFont="1" applyBorder="1" applyAlignment="1">
      <alignment horizontal="center" vertical="center"/>
    </xf>
    <xf numFmtId="0" fontId="6" fillId="0" borderId="2"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4" xfId="0" applyFont="1" applyBorder="1" applyAlignment="1">
      <alignment horizontal="center" vertical="center" shrinkToFit="1"/>
    </xf>
    <xf numFmtId="176" fontId="6" fillId="0" borderId="2" xfId="0" applyNumberFormat="1" applyFont="1" applyBorder="1" applyAlignment="1">
      <alignment horizontal="center" vertical="center" shrinkToFit="1"/>
    </xf>
    <xf numFmtId="176" fontId="6" fillId="0" borderId="4" xfId="0" applyNumberFormat="1" applyFont="1" applyBorder="1" applyAlignment="1">
      <alignment horizontal="center" vertical="center" shrinkToFit="1"/>
    </xf>
    <xf numFmtId="0" fontId="6" fillId="0" borderId="2" xfId="0" applyFont="1" applyBorder="1" applyAlignment="1">
      <alignment vertical="center" shrinkToFit="1"/>
    </xf>
    <xf numFmtId="0" fontId="6" fillId="0" borderId="3" xfId="0" applyFont="1" applyBorder="1" applyAlignment="1">
      <alignment vertical="center" shrinkToFit="1"/>
    </xf>
    <xf numFmtId="0" fontId="6" fillId="0" borderId="0" xfId="0" applyFont="1" applyBorder="1" applyAlignment="1">
      <alignment horizontal="right" vertical="center" shrinkToFit="1"/>
    </xf>
    <xf numFmtId="0" fontId="6" fillId="0" borderId="5" xfId="0" applyFont="1" applyBorder="1" applyAlignment="1">
      <alignment horizontal="right" vertical="center" shrinkToFit="1"/>
    </xf>
    <xf numFmtId="0" fontId="6" fillId="0" borderId="10" xfId="0" applyFont="1" applyBorder="1" applyAlignment="1">
      <alignment horizontal="right" vertical="center" shrinkToFit="1"/>
    </xf>
    <xf numFmtId="0" fontId="6" fillId="0" borderId="0" xfId="0" applyFont="1" applyAlignment="1">
      <alignment horizontal="right" vertical="center"/>
    </xf>
    <xf numFmtId="0" fontId="6" fillId="0" borderId="0" xfId="0" applyFont="1" applyBorder="1" applyAlignment="1">
      <alignment horizontal="right" vertical="center"/>
    </xf>
    <xf numFmtId="0" fontId="6" fillId="0" borderId="10" xfId="0" applyFont="1" applyBorder="1" applyAlignment="1">
      <alignment horizontal="right" vertical="center"/>
    </xf>
    <xf numFmtId="176" fontId="6" fillId="0" borderId="3" xfId="0" applyNumberFormat="1" applyFont="1" applyBorder="1" applyAlignment="1">
      <alignment horizontal="center" vertical="center" shrinkToFit="1"/>
    </xf>
    <xf numFmtId="0" fontId="8" fillId="0" borderId="0" xfId="0" applyFont="1" applyAlignment="1">
      <alignment horizontal="center" vertical="center"/>
    </xf>
    <xf numFmtId="0" fontId="6" fillId="0" borderId="2" xfId="0" applyNumberFormat="1" applyFont="1" applyBorder="1" applyAlignment="1">
      <alignment horizontal="center" vertical="center"/>
    </xf>
    <xf numFmtId="0" fontId="6" fillId="0" borderId="4" xfId="0" applyNumberFormat="1"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76" fontId="6" fillId="0" borderId="2" xfId="0" applyNumberFormat="1" applyFont="1" applyBorder="1" applyAlignment="1">
      <alignment horizontal="center" vertical="center"/>
    </xf>
    <xf numFmtId="176" fontId="6" fillId="0" borderId="3" xfId="0" applyNumberFormat="1" applyFont="1" applyBorder="1" applyAlignment="1">
      <alignment horizontal="center" vertical="center"/>
    </xf>
    <xf numFmtId="176" fontId="6" fillId="0" borderId="4" xfId="0" applyNumberFormat="1" applyFont="1" applyBorder="1" applyAlignment="1">
      <alignment horizontal="center" vertical="center"/>
    </xf>
    <xf numFmtId="0" fontId="6" fillId="0" borderId="0" xfId="0" applyFont="1" applyBorder="1" applyAlignment="1">
      <alignment vertical="center" shrinkToFit="1"/>
    </xf>
    <xf numFmtId="0" fontId="6" fillId="0" borderId="37" xfId="0" applyFont="1" applyBorder="1" applyAlignment="1">
      <alignment vertical="center" shrinkToFit="1"/>
    </xf>
    <xf numFmtId="0" fontId="6" fillId="0" borderId="39" xfId="0" applyFont="1" applyBorder="1" applyAlignment="1">
      <alignment vertical="center" shrinkToFit="1"/>
    </xf>
    <xf numFmtId="0" fontId="6" fillId="0" borderId="38" xfId="0" applyFont="1" applyBorder="1" applyAlignment="1">
      <alignment vertical="center" shrinkToFit="1"/>
    </xf>
    <xf numFmtId="0" fontId="6" fillId="0" borderId="37" xfId="0" applyFont="1" applyBorder="1" applyAlignment="1">
      <alignment horizontal="center" vertical="center" shrinkToFit="1"/>
    </xf>
    <xf numFmtId="0" fontId="6" fillId="0" borderId="39" xfId="0" applyFont="1" applyBorder="1" applyAlignment="1">
      <alignment horizontal="center" vertical="center" shrinkToFit="1"/>
    </xf>
    <xf numFmtId="0" fontId="6" fillId="0" borderId="38" xfId="0" applyFont="1" applyBorder="1" applyAlignment="1">
      <alignment horizontal="center" vertical="center" shrinkToFit="1"/>
    </xf>
    <xf numFmtId="0" fontId="6" fillId="0" borderId="19" xfId="0" applyFont="1" applyBorder="1" applyAlignment="1">
      <alignment horizontal="left" vertical="center" wrapText="1" shrinkToFit="1"/>
    </xf>
    <xf numFmtId="0" fontId="6" fillId="0" borderId="20" xfId="0" applyFont="1" applyBorder="1" applyAlignment="1">
      <alignment horizontal="left" vertical="center" wrapText="1" shrinkToFit="1"/>
    </xf>
    <xf numFmtId="0" fontId="6" fillId="0" borderId="18" xfId="0" applyFont="1" applyBorder="1" applyAlignment="1">
      <alignment horizontal="left" vertical="center" wrapText="1" shrinkToFit="1"/>
    </xf>
    <xf numFmtId="0" fontId="6" fillId="0" borderId="19" xfId="0" applyFont="1" applyBorder="1" applyAlignment="1">
      <alignment vertical="center" shrinkToFit="1"/>
    </xf>
    <xf numFmtId="0" fontId="6" fillId="0" borderId="20" xfId="0" applyFont="1" applyBorder="1" applyAlignment="1">
      <alignment vertical="center" shrinkToFit="1"/>
    </xf>
    <xf numFmtId="0" fontId="6" fillId="0" borderId="18" xfId="0" applyFont="1" applyBorder="1" applyAlignment="1">
      <alignment vertical="center" shrinkToFit="1"/>
    </xf>
    <xf numFmtId="0" fontId="6" fillId="0" borderId="19" xfId="0" applyFont="1" applyBorder="1" applyAlignment="1">
      <alignment horizontal="center" vertical="center" shrinkToFit="1"/>
    </xf>
    <xf numFmtId="0" fontId="6" fillId="0" borderId="20" xfId="0" applyFont="1" applyBorder="1" applyAlignment="1">
      <alignment horizontal="center" vertical="center" shrinkToFit="1"/>
    </xf>
    <xf numFmtId="0" fontId="6" fillId="0" borderId="18" xfId="0" applyFont="1" applyBorder="1" applyAlignment="1">
      <alignment horizontal="center" vertical="center" shrinkToFit="1"/>
    </xf>
    <xf numFmtId="0" fontId="11" fillId="0" borderId="48" xfId="0" applyFont="1" applyBorder="1" applyAlignment="1">
      <alignment vertical="center" wrapText="1"/>
    </xf>
    <xf numFmtId="0" fontId="11" fillId="0" borderId="49" xfId="0" applyFont="1" applyBorder="1" applyAlignment="1">
      <alignment vertical="center" wrapText="1"/>
    </xf>
    <xf numFmtId="0" fontId="11" fillId="0" borderId="32" xfId="0" applyFont="1" applyBorder="1" applyAlignment="1">
      <alignment vertical="center" wrapText="1"/>
    </xf>
    <xf numFmtId="0" fontId="6" fillId="0" borderId="37" xfId="0" applyFont="1" applyBorder="1" applyAlignment="1">
      <alignment horizontal="left" vertical="center" wrapText="1" shrinkToFit="1"/>
    </xf>
    <xf numFmtId="0" fontId="6" fillId="0" borderId="39" xfId="0" applyFont="1" applyBorder="1" applyAlignment="1">
      <alignment horizontal="left" vertical="center" wrapText="1" shrinkToFit="1"/>
    </xf>
    <xf numFmtId="0" fontId="6" fillId="0" borderId="38" xfId="0" applyFont="1" applyBorder="1" applyAlignment="1">
      <alignment horizontal="left" vertical="center" wrapText="1" shrinkToFit="1"/>
    </xf>
    <xf numFmtId="0" fontId="6" fillId="0" borderId="40" xfId="0" applyFont="1" applyBorder="1" applyAlignment="1">
      <alignment horizontal="left" vertical="center" wrapText="1" shrinkToFit="1"/>
    </xf>
    <xf numFmtId="0" fontId="6" fillId="0" borderId="41" xfId="0" applyFont="1" applyBorder="1" applyAlignment="1">
      <alignment horizontal="left" vertical="center" wrapText="1" shrinkToFit="1"/>
    </xf>
    <xf numFmtId="0" fontId="6" fillId="0" borderId="42" xfId="0" applyFont="1" applyBorder="1" applyAlignment="1">
      <alignment horizontal="left" vertical="center" wrapText="1" shrinkToFit="1"/>
    </xf>
    <xf numFmtId="0" fontId="6" fillId="0" borderId="0" xfId="0" applyFont="1" applyBorder="1" applyAlignment="1">
      <alignment horizontal="left" vertical="center" wrapText="1" shrinkToFit="1"/>
    </xf>
    <xf numFmtId="0" fontId="6" fillId="0" borderId="10" xfId="0" applyFont="1" applyBorder="1" applyAlignment="1">
      <alignment horizontal="left" vertical="center" wrapText="1" shrinkToFit="1"/>
    </xf>
    <xf numFmtId="0" fontId="6" fillId="0" borderId="37" xfId="0" applyFont="1" applyBorder="1" applyAlignment="1">
      <alignment horizontal="center" vertical="center"/>
    </xf>
    <xf numFmtId="0" fontId="6" fillId="0" borderId="39" xfId="0" applyFont="1" applyBorder="1" applyAlignment="1">
      <alignment horizontal="center" vertical="center"/>
    </xf>
    <xf numFmtId="0" fontId="6" fillId="0" borderId="38" xfId="0" applyFont="1" applyBorder="1" applyAlignment="1">
      <alignment horizontal="center" vertical="center"/>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6" fillId="0" borderId="18" xfId="0" applyFont="1" applyBorder="1" applyAlignment="1">
      <alignment horizontal="center" vertical="center"/>
    </xf>
    <xf numFmtId="0" fontId="6" fillId="0" borderId="37" xfId="0" applyFont="1" applyBorder="1" applyAlignment="1">
      <alignment horizontal="left" vertical="center" shrinkToFit="1"/>
    </xf>
    <xf numFmtId="0" fontId="6" fillId="0" borderId="39" xfId="0" applyFont="1" applyBorder="1" applyAlignment="1">
      <alignment horizontal="left" vertical="center" shrinkToFit="1"/>
    </xf>
    <xf numFmtId="0" fontId="6" fillId="0" borderId="38" xfId="0" applyFont="1" applyBorder="1" applyAlignment="1">
      <alignment horizontal="left" vertical="center" shrinkToFit="1"/>
    </xf>
    <xf numFmtId="0" fontId="6" fillId="0" borderId="19" xfId="0" applyFont="1" applyBorder="1" applyAlignment="1">
      <alignment horizontal="left" vertical="center" shrinkToFit="1"/>
    </xf>
    <xf numFmtId="0" fontId="6" fillId="0" borderId="20" xfId="0" applyFont="1" applyBorder="1" applyAlignment="1">
      <alignment horizontal="left" vertical="center" shrinkToFit="1"/>
    </xf>
    <xf numFmtId="0" fontId="6" fillId="0" borderId="18" xfId="0" applyFont="1" applyBorder="1" applyAlignment="1">
      <alignment horizontal="left" vertical="center" shrinkToFit="1"/>
    </xf>
    <xf numFmtId="0" fontId="6" fillId="0" borderId="40" xfId="0" applyFont="1" applyBorder="1" applyAlignment="1">
      <alignment horizontal="center" vertical="center"/>
    </xf>
    <xf numFmtId="0" fontId="6" fillId="0" borderId="41" xfId="0" applyFont="1" applyBorder="1" applyAlignment="1">
      <alignment horizontal="center" vertical="center"/>
    </xf>
    <xf numFmtId="0" fontId="6" fillId="0" borderId="42" xfId="0" applyFont="1" applyBorder="1" applyAlignment="1">
      <alignment horizontal="center" vertical="center"/>
    </xf>
    <xf numFmtId="0" fontId="6" fillId="0" borderId="0" xfId="0" applyFont="1" applyAlignment="1">
      <alignment vertical="center" wrapText="1"/>
    </xf>
    <xf numFmtId="0" fontId="6" fillId="0" borderId="40" xfId="0" applyFont="1" applyBorder="1" applyAlignment="1">
      <alignment horizontal="left" vertical="center" shrinkToFit="1"/>
    </xf>
    <xf numFmtId="0" fontId="6" fillId="0" borderId="41" xfId="0" applyFont="1" applyBorder="1" applyAlignment="1">
      <alignment horizontal="left" vertical="center" shrinkToFit="1"/>
    </xf>
    <xf numFmtId="0" fontId="6" fillId="0" borderId="42" xfId="0" applyFont="1" applyBorder="1" applyAlignment="1">
      <alignment horizontal="left" vertical="center" shrinkToFit="1"/>
    </xf>
    <xf numFmtId="0" fontId="9" fillId="0" borderId="0" xfId="0" applyFont="1" applyAlignment="1">
      <alignment horizontal="center" vertical="center"/>
    </xf>
    <xf numFmtId="0" fontId="6" fillId="0" borderId="7" xfId="0" applyFont="1" applyBorder="1" applyAlignment="1">
      <alignment horizontal="left" vertical="top" shrinkToFit="1"/>
    </xf>
    <xf numFmtId="0" fontId="6" fillId="0" borderId="8" xfId="0" applyFont="1" applyBorder="1" applyAlignment="1">
      <alignment horizontal="left" vertical="top" shrinkToFit="1"/>
    </xf>
    <xf numFmtId="0" fontId="6" fillId="0" borderId="9" xfId="0" applyFont="1" applyBorder="1" applyAlignment="1">
      <alignment horizontal="left" vertical="top" shrinkToFit="1"/>
    </xf>
    <xf numFmtId="0" fontId="6" fillId="0" borderId="5" xfId="0" applyFont="1" applyBorder="1" applyAlignment="1">
      <alignment horizontal="left" vertical="top" shrinkToFit="1"/>
    </xf>
    <xf numFmtId="0" fontId="6" fillId="0" borderId="0" xfId="0" applyFont="1" applyBorder="1" applyAlignment="1">
      <alignment horizontal="left" vertical="top" shrinkToFit="1"/>
    </xf>
    <xf numFmtId="0" fontId="6" fillId="0" borderId="10" xfId="0" applyFont="1" applyBorder="1" applyAlignment="1">
      <alignment horizontal="left" vertical="top" shrinkToFit="1"/>
    </xf>
    <xf numFmtId="0" fontId="6" fillId="0" borderId="0" xfId="0" applyFont="1" applyAlignment="1">
      <alignment horizontal="left" vertical="top" shrinkToFit="1"/>
    </xf>
    <xf numFmtId="0" fontId="6" fillId="0" borderId="11" xfId="0" applyFont="1" applyBorder="1" applyAlignment="1">
      <alignment horizontal="left" vertical="top" shrinkToFit="1"/>
    </xf>
    <xf numFmtId="0" fontId="6" fillId="0" borderId="6" xfId="0" applyFont="1" applyBorder="1" applyAlignment="1">
      <alignment horizontal="left" vertical="top" shrinkToFit="1"/>
    </xf>
    <xf numFmtId="0" fontId="6" fillId="0" borderId="12" xfId="0" applyFont="1" applyBorder="1" applyAlignment="1">
      <alignment horizontal="left" vertical="top" shrinkToFit="1"/>
    </xf>
    <xf numFmtId="0" fontId="6" fillId="0" borderId="40" xfId="0" applyFont="1" applyBorder="1" applyAlignment="1">
      <alignment vertical="center" shrinkToFit="1"/>
    </xf>
    <xf numFmtId="0" fontId="6" fillId="0" borderId="41" xfId="0" applyFont="1" applyBorder="1" applyAlignment="1">
      <alignment vertical="center" shrinkToFit="1"/>
    </xf>
    <xf numFmtId="0" fontId="6" fillId="0" borderId="42" xfId="0" applyFont="1" applyBorder="1" applyAlignment="1">
      <alignment vertical="center" shrinkToFit="1"/>
    </xf>
    <xf numFmtId="0" fontId="6" fillId="0" borderId="40" xfId="0" applyFont="1" applyBorder="1" applyAlignment="1">
      <alignment horizontal="center" vertical="center" shrinkToFit="1"/>
    </xf>
    <xf numFmtId="0" fontId="6" fillId="0" borderId="41" xfId="0" applyFont="1" applyBorder="1" applyAlignment="1">
      <alignment horizontal="center" vertical="center" shrinkToFit="1"/>
    </xf>
    <xf numFmtId="0" fontId="6" fillId="0" borderId="42" xfId="0" applyFont="1" applyBorder="1" applyAlignment="1">
      <alignment horizontal="center" vertical="center" shrinkToFit="1"/>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6" fillId="0" borderId="7" xfId="0" applyFont="1" applyBorder="1" applyAlignment="1">
      <alignment vertical="center" wrapText="1" shrinkToFit="1"/>
    </xf>
    <xf numFmtId="0" fontId="6" fillId="0" borderId="8" xfId="0" applyFont="1" applyBorder="1" applyAlignment="1">
      <alignment vertical="center" shrinkToFit="1"/>
    </xf>
    <xf numFmtId="0" fontId="6" fillId="0" borderId="9" xfId="0" applyFont="1" applyBorder="1" applyAlignment="1">
      <alignment vertical="center" shrinkToFit="1"/>
    </xf>
    <xf numFmtId="0" fontId="6" fillId="0" borderId="5" xfId="0" applyFont="1" applyBorder="1" applyAlignment="1">
      <alignment vertical="center" shrinkToFit="1"/>
    </xf>
    <xf numFmtId="0" fontId="6" fillId="0" borderId="10" xfId="0" applyFont="1" applyBorder="1" applyAlignment="1">
      <alignment vertical="center" shrinkToFit="1"/>
    </xf>
    <xf numFmtId="0" fontId="6" fillId="0" borderId="11" xfId="0" applyFont="1" applyBorder="1" applyAlignment="1">
      <alignment vertical="center" shrinkToFit="1"/>
    </xf>
    <xf numFmtId="0" fontId="6" fillId="0" borderId="6" xfId="0" applyFont="1" applyBorder="1" applyAlignment="1">
      <alignment vertical="center" shrinkToFit="1"/>
    </xf>
    <xf numFmtId="0" fontId="6" fillId="0" borderId="12" xfId="0" applyFont="1" applyBorder="1" applyAlignment="1">
      <alignment vertical="center" shrinkToFit="1"/>
    </xf>
    <xf numFmtId="0" fontId="6" fillId="0" borderId="4" xfId="0" applyFont="1" applyBorder="1" applyAlignment="1">
      <alignment vertical="center" shrinkToFit="1"/>
    </xf>
    <xf numFmtId="0" fontId="7" fillId="0" borderId="0" xfId="0" applyFont="1" applyAlignment="1">
      <alignment horizontal="center" vertical="center"/>
    </xf>
    <xf numFmtId="0" fontId="7" fillId="0" borderId="0" xfId="0" applyFont="1" applyAlignment="1">
      <alignment horizontal="right" vertical="center"/>
    </xf>
    <xf numFmtId="0" fontId="6" fillId="0" borderId="2" xfId="0" applyNumberFormat="1" applyFont="1" applyBorder="1" applyAlignment="1">
      <alignment horizontal="center" vertical="center" shrinkToFit="1"/>
    </xf>
    <xf numFmtId="0" fontId="6" fillId="0" borderId="4" xfId="0" applyNumberFormat="1" applyFont="1" applyBorder="1" applyAlignment="1">
      <alignment horizontal="center" vertical="center" shrinkToFit="1"/>
    </xf>
    <xf numFmtId="0" fontId="6" fillId="0" borderId="15" xfId="0" applyFont="1" applyBorder="1" applyAlignment="1">
      <alignment horizontal="center" vertical="center"/>
    </xf>
    <xf numFmtId="0" fontId="6" fillId="0" borderId="13" xfId="0" applyFont="1" applyBorder="1" applyAlignment="1">
      <alignment horizontal="center" vertical="center"/>
    </xf>
    <xf numFmtId="0" fontId="14" fillId="0" borderId="8" xfId="0" applyFont="1" applyBorder="1" applyAlignment="1">
      <alignment horizontal="center" vertical="center" wrapText="1"/>
    </xf>
    <xf numFmtId="0" fontId="14" fillId="0" borderId="6" xfId="0" applyFont="1" applyBorder="1" applyAlignment="1">
      <alignment horizontal="center" vertical="center"/>
    </xf>
    <xf numFmtId="0" fontId="14" fillId="0" borderId="7" xfId="0" applyFont="1" applyBorder="1" applyAlignment="1">
      <alignment horizontal="center" vertical="center" wrapText="1"/>
    </xf>
    <xf numFmtId="0" fontId="14" fillId="0" borderId="11" xfId="0" applyFont="1" applyBorder="1" applyAlignment="1">
      <alignment horizontal="center" vertical="center"/>
    </xf>
    <xf numFmtId="0" fontId="6" fillId="0" borderId="14" xfId="0" applyFont="1" applyBorder="1" applyAlignment="1">
      <alignment horizontal="center" vertical="center"/>
    </xf>
    <xf numFmtId="0" fontId="15" fillId="0" borderId="15" xfId="0" applyFont="1" applyBorder="1" applyAlignment="1">
      <alignment horizontal="center" vertical="center" wrapText="1"/>
    </xf>
    <xf numFmtId="0" fontId="15" fillId="0" borderId="13" xfId="0" applyFont="1" applyBorder="1" applyAlignment="1">
      <alignment horizontal="center" vertical="center"/>
    </xf>
    <xf numFmtId="0" fontId="14" fillId="0" borderId="9" xfId="0" applyFont="1" applyBorder="1" applyAlignment="1">
      <alignment horizontal="center" vertical="center"/>
    </xf>
    <xf numFmtId="0" fontId="14" fillId="0" borderId="12" xfId="0" applyFont="1" applyBorder="1" applyAlignment="1">
      <alignment horizontal="center" vertical="center"/>
    </xf>
    <xf numFmtId="0" fontId="6" fillId="0" borderId="16" xfId="0" applyFont="1" applyBorder="1" applyAlignment="1">
      <alignment vertical="top" wrapText="1" shrinkToFit="1"/>
    </xf>
    <xf numFmtId="0" fontId="6" fillId="0" borderId="22" xfId="0" applyFont="1" applyBorder="1" applyAlignment="1">
      <alignment vertical="top" shrinkToFit="1"/>
    </xf>
    <xf numFmtId="0" fontId="6" fillId="0" borderId="21" xfId="0" applyFont="1" applyBorder="1" applyAlignment="1">
      <alignment vertical="top" shrinkToFit="1"/>
    </xf>
    <xf numFmtId="0" fontId="6" fillId="0" borderId="5" xfId="0" applyFont="1" applyBorder="1" applyAlignment="1">
      <alignment vertical="top" shrinkToFit="1"/>
    </xf>
    <xf numFmtId="0" fontId="6" fillId="0" borderId="0" xfId="0" applyFont="1" applyAlignment="1">
      <alignment vertical="top" shrinkToFit="1"/>
    </xf>
    <xf numFmtId="0" fontId="6" fillId="0" borderId="10" xfId="0" applyFont="1" applyBorder="1" applyAlignment="1">
      <alignment vertical="top" shrinkToFit="1"/>
    </xf>
    <xf numFmtId="0" fontId="6" fillId="0" borderId="11" xfId="0" applyFont="1" applyBorder="1" applyAlignment="1">
      <alignment vertical="top" shrinkToFit="1"/>
    </xf>
    <xf numFmtId="0" fontId="6" fillId="0" borderId="6" xfId="0" applyFont="1" applyBorder="1" applyAlignment="1">
      <alignment vertical="top" shrinkToFit="1"/>
    </xf>
    <xf numFmtId="0" fontId="6" fillId="0" borderId="12" xfId="0" applyFont="1" applyBorder="1" applyAlignment="1">
      <alignment vertical="top" shrinkToFit="1"/>
    </xf>
    <xf numFmtId="0" fontId="6" fillId="0" borderId="7" xfId="0" applyFont="1" applyBorder="1" applyAlignment="1">
      <alignment vertical="top" wrapText="1" shrinkToFit="1"/>
    </xf>
    <xf numFmtId="0" fontId="6" fillId="0" borderId="8" xfId="0" applyFont="1" applyBorder="1" applyAlignment="1">
      <alignment vertical="top" wrapText="1" shrinkToFit="1"/>
    </xf>
    <xf numFmtId="0" fontId="6" fillId="0" borderId="8" xfId="0" applyFont="1" applyBorder="1" applyAlignment="1">
      <alignment vertical="top" shrinkToFit="1"/>
    </xf>
    <xf numFmtId="0" fontId="6" fillId="0" borderId="9" xfId="0" applyFont="1" applyBorder="1" applyAlignment="1">
      <alignment vertical="top" shrinkToFit="1"/>
    </xf>
    <xf numFmtId="0" fontId="17" fillId="0" borderId="7" xfId="0" applyFont="1" applyBorder="1" applyAlignment="1">
      <alignment vertical="top" wrapText="1" shrinkToFit="1"/>
    </xf>
    <xf numFmtId="0" fontId="6" fillId="0" borderId="9" xfId="0" applyFont="1" applyBorder="1" applyAlignment="1">
      <alignment vertical="top" wrapText="1" shrinkToFit="1"/>
    </xf>
    <xf numFmtId="0" fontId="6" fillId="0" borderId="5" xfId="0" applyFont="1" applyBorder="1" applyAlignment="1">
      <alignment vertical="top" wrapText="1" shrinkToFit="1"/>
    </xf>
    <xf numFmtId="0" fontId="6" fillId="0" borderId="0" xfId="0" applyFont="1" applyAlignment="1">
      <alignment vertical="top" wrapText="1" shrinkToFit="1"/>
    </xf>
    <xf numFmtId="0" fontId="6" fillId="0" borderId="10" xfId="0" applyFont="1" applyBorder="1" applyAlignment="1">
      <alignment vertical="top" wrapText="1" shrinkToFit="1"/>
    </xf>
    <xf numFmtId="0" fontId="6" fillId="0" borderId="11" xfId="0" applyFont="1" applyBorder="1" applyAlignment="1">
      <alignment vertical="top" wrapText="1" shrinkToFit="1"/>
    </xf>
    <xf numFmtId="0" fontId="6" fillId="0" borderId="6" xfId="0" applyFont="1" applyBorder="1" applyAlignment="1">
      <alignment vertical="top" wrapText="1" shrinkToFit="1"/>
    </xf>
    <xf numFmtId="0" fontId="6" fillId="0" borderId="12" xfId="0" applyFont="1" applyBorder="1" applyAlignment="1">
      <alignment vertical="top" wrapText="1" shrinkToFit="1"/>
    </xf>
    <xf numFmtId="0" fontId="6" fillId="0" borderId="19" xfId="0" applyFont="1" applyBorder="1" applyAlignment="1">
      <alignment vertical="top" wrapText="1" shrinkToFit="1"/>
    </xf>
    <xf numFmtId="0" fontId="6" fillId="0" borderId="20" xfId="0" applyFont="1" applyBorder="1" applyAlignment="1">
      <alignment vertical="top" wrapText="1" shrinkToFit="1"/>
    </xf>
    <xf numFmtId="0" fontId="6" fillId="0" borderId="18" xfId="0" applyFont="1" applyBorder="1" applyAlignment="1">
      <alignment vertical="top" wrapText="1" shrinkToFit="1"/>
    </xf>
    <xf numFmtId="0" fontId="6" fillId="0" borderId="17" xfId="0" applyFont="1" applyBorder="1" applyAlignment="1">
      <alignment vertical="center" wrapText="1"/>
    </xf>
    <xf numFmtId="0" fontId="6" fillId="0" borderId="18" xfId="0" applyFont="1" applyBorder="1" applyAlignment="1">
      <alignment vertical="center" wrapText="1"/>
    </xf>
    <xf numFmtId="0" fontId="6" fillId="0" borderId="11" xfId="0" applyFont="1" applyBorder="1" applyAlignment="1">
      <alignment vertical="center" wrapText="1"/>
    </xf>
    <xf numFmtId="0" fontId="6" fillId="0" borderId="6" xfId="0" applyFont="1" applyBorder="1" applyAlignment="1">
      <alignment vertical="center" wrapText="1"/>
    </xf>
    <xf numFmtId="0" fontId="6" fillId="0" borderId="12" xfId="0" applyFont="1" applyBorder="1" applyAlignment="1">
      <alignment vertical="center" wrapText="1"/>
    </xf>
    <xf numFmtId="0" fontId="13" fillId="0" borderId="2" xfId="2" applyFont="1" applyBorder="1" applyAlignment="1">
      <alignment horizontal="center" vertical="center" shrinkToFit="1"/>
    </xf>
    <xf numFmtId="0" fontId="13" fillId="0" borderId="3" xfId="2" applyFont="1" applyBorder="1" applyAlignment="1">
      <alignment horizontal="center" vertical="center" shrinkToFit="1"/>
    </xf>
    <xf numFmtId="0" fontId="13" fillId="0" borderId="4" xfId="2" applyFont="1" applyBorder="1" applyAlignment="1">
      <alignment horizontal="center" vertical="center" shrinkToFit="1"/>
    </xf>
    <xf numFmtId="0" fontId="6" fillId="0" borderId="19" xfId="0" applyFont="1" applyBorder="1" applyAlignment="1">
      <alignment vertical="center" wrapText="1"/>
    </xf>
    <xf numFmtId="0" fontId="6" fillId="0" borderId="20" xfId="0" applyFont="1" applyBorder="1" applyAlignment="1">
      <alignment vertical="center" wrapText="1"/>
    </xf>
    <xf numFmtId="0" fontId="2" fillId="0" borderId="0" xfId="0" applyFont="1" applyAlignment="1">
      <alignment horizontal="right" vertical="center"/>
    </xf>
    <xf numFmtId="0" fontId="3" fillId="0" borderId="0" xfId="0" applyFont="1" applyAlignment="1">
      <alignment horizontal="center" vertical="center"/>
    </xf>
    <xf numFmtId="0" fontId="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7" fillId="0" borderId="6" xfId="0" applyFont="1" applyBorder="1" applyAlignment="1">
      <alignment vertical="center"/>
    </xf>
    <xf numFmtId="0" fontId="6" fillId="0" borderId="17" xfId="0" applyFont="1" applyBorder="1" applyAlignment="1">
      <alignment vertical="center"/>
    </xf>
    <xf numFmtId="0" fontId="11" fillId="0" borderId="18" xfId="0" applyFont="1" applyBorder="1" applyAlignment="1">
      <alignment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1171575</xdr:colOff>
      <xdr:row>73</xdr:row>
      <xdr:rowOff>133350</xdr:rowOff>
    </xdr:from>
    <xdr:to>
      <xdr:col>7</xdr:col>
      <xdr:colOff>352425</xdr:colOff>
      <xdr:row>78</xdr:row>
      <xdr:rowOff>85725</xdr:rowOff>
    </xdr:to>
    <xdr:pic>
      <xdr:nvPicPr>
        <xdr:cNvPr id="3" name="図 2">
          <a:extLst>
            <a:ext uri="{FF2B5EF4-FFF2-40B4-BE49-F238E27FC236}">
              <a16:creationId xmlns:a16="http://schemas.microsoft.com/office/drawing/2014/main" id="{141CADD2-AACD-8204-46F8-901A46AEE9F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81125" y="16802100"/>
          <a:ext cx="3409950" cy="1143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12838</xdr:colOff>
      <xdr:row>8</xdr:row>
      <xdr:rowOff>466726</xdr:rowOff>
    </xdr:from>
    <xdr:to>
      <xdr:col>6</xdr:col>
      <xdr:colOff>505901</xdr:colOff>
      <xdr:row>8</xdr:row>
      <xdr:rowOff>2143126</xdr:rowOff>
    </xdr:to>
    <xdr:pic>
      <xdr:nvPicPr>
        <xdr:cNvPr id="2" name="図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832113" y="7048501"/>
          <a:ext cx="2731438" cy="1676400"/>
        </a:xfrm>
        <a:prstGeom prst="rect">
          <a:avLst/>
        </a:prstGeom>
        <a:noFill/>
        <a:ln>
          <a:noFill/>
        </a:ln>
      </xdr:spPr>
    </xdr:pic>
    <xdr:clientData/>
  </xdr:twoCellAnchor>
  <xdr:twoCellAnchor editAs="oneCell">
    <xdr:from>
      <xdr:col>6</xdr:col>
      <xdr:colOff>74157</xdr:colOff>
      <xdr:row>8</xdr:row>
      <xdr:rowOff>390525</xdr:rowOff>
    </xdr:from>
    <xdr:to>
      <xdr:col>9</xdr:col>
      <xdr:colOff>29424</xdr:colOff>
      <xdr:row>8</xdr:row>
      <xdr:rowOff>2085373</xdr:rowOff>
    </xdr:to>
    <xdr:pic>
      <xdr:nvPicPr>
        <xdr:cNvPr id="3" name="図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4131807" y="6972300"/>
          <a:ext cx="4955892" cy="1694848"/>
        </a:xfrm>
        <a:prstGeom prst="rect">
          <a:avLst/>
        </a:prstGeom>
        <a:solidFill>
          <a:schemeClr val="bg1"/>
        </a:solid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gakumukakari@jimu.nara-wu.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election activeCell="I16" sqref="I16"/>
    </sheetView>
  </sheetViews>
  <sheetFormatPr defaultColWidth="9" defaultRowHeight="18.75" customHeight="1"/>
  <cols>
    <col min="1" max="1" width="3.375" style="7" customWidth="1"/>
    <col min="2" max="2" width="11.125" style="7" customWidth="1"/>
    <col min="3" max="8" width="6.625" style="7" customWidth="1"/>
    <col min="9" max="9" width="3.375" style="7" customWidth="1"/>
    <col min="10" max="10" width="10" style="7" customWidth="1"/>
    <col min="11" max="11" width="3.375" style="7" customWidth="1"/>
    <col min="12" max="12" width="7.75" style="7" customWidth="1"/>
    <col min="13" max="13" width="3.375" style="7" customWidth="1"/>
    <col min="14" max="14" width="4.5" style="7" customWidth="1"/>
    <col min="15" max="16384" width="9" style="7"/>
  </cols>
  <sheetData>
    <row r="1" spans="1:15" ht="24" customHeight="1">
      <c r="M1" s="134" t="s">
        <v>0</v>
      </c>
      <c r="N1" s="134"/>
    </row>
    <row r="2" spans="1:15" ht="24" customHeight="1">
      <c r="A2" s="138" t="s">
        <v>1</v>
      </c>
      <c r="B2" s="138"/>
      <c r="C2" s="138"/>
      <c r="D2" s="138"/>
      <c r="E2" s="138"/>
      <c r="F2" s="138"/>
      <c r="G2" s="138"/>
      <c r="H2" s="138"/>
      <c r="I2" s="138"/>
      <c r="J2" s="138"/>
      <c r="K2" s="138"/>
      <c r="L2" s="138"/>
      <c r="M2" s="138"/>
      <c r="N2" s="138"/>
    </row>
    <row r="3" spans="1:15" ht="24" customHeight="1"/>
    <row r="4" spans="1:15" ht="24" customHeight="1">
      <c r="A4" s="7" t="s">
        <v>2</v>
      </c>
      <c r="B4" s="8" t="s">
        <v>3</v>
      </c>
      <c r="C4" s="124" t="s">
        <v>4</v>
      </c>
      <c r="D4" s="125"/>
      <c r="E4" s="125"/>
      <c r="F4" s="125"/>
      <c r="G4" s="125"/>
      <c r="H4" s="125"/>
      <c r="I4" s="125"/>
      <c r="J4" s="125"/>
      <c r="K4" s="125"/>
      <c r="L4" s="125"/>
      <c r="M4" s="125"/>
      <c r="N4" s="126"/>
      <c r="O4" s="7" t="str">
        <f>IF(C4="","入力してください","")</f>
        <v/>
      </c>
    </row>
    <row r="5" spans="1:15" ht="7.5" customHeight="1">
      <c r="B5" s="8"/>
      <c r="C5" s="8"/>
      <c r="D5" s="8"/>
      <c r="E5" s="9"/>
      <c r="F5" s="51"/>
      <c r="G5" s="51"/>
      <c r="H5" s="51"/>
      <c r="I5" s="51"/>
      <c r="J5" s="51"/>
      <c r="K5" s="51"/>
      <c r="L5" s="51"/>
      <c r="M5" s="51"/>
      <c r="N5" s="51"/>
    </row>
    <row r="6" spans="1:15" ht="24" customHeight="1">
      <c r="A6" s="7" t="s">
        <v>5</v>
      </c>
      <c r="B6" s="8" t="s">
        <v>6</v>
      </c>
      <c r="C6" s="8"/>
      <c r="D6" s="124" t="s">
        <v>7</v>
      </c>
      <c r="E6" s="125"/>
      <c r="F6" s="125"/>
      <c r="G6" s="125"/>
      <c r="H6" s="126"/>
      <c r="I6" s="10" t="s">
        <v>8</v>
      </c>
      <c r="J6" s="51" t="s">
        <v>9</v>
      </c>
      <c r="K6" s="124" t="s">
        <v>10</v>
      </c>
      <c r="L6" s="125"/>
      <c r="M6" s="125"/>
      <c r="N6" s="126"/>
      <c r="O6" s="7" t="str">
        <f>IF(D6="","入力してください","")</f>
        <v/>
      </c>
    </row>
    <row r="7" spans="1:15" ht="7.5" customHeight="1">
      <c r="B7" s="8"/>
      <c r="C7" s="8"/>
      <c r="D7" s="8"/>
      <c r="E7" s="9"/>
      <c r="F7" s="51"/>
      <c r="G7" s="51"/>
      <c r="H7" s="51"/>
      <c r="I7" s="51"/>
      <c r="J7" s="51"/>
      <c r="K7" s="51"/>
      <c r="L7" s="51"/>
      <c r="M7" s="51"/>
      <c r="N7" s="51"/>
    </row>
    <row r="8" spans="1:15" ht="24" customHeight="1">
      <c r="A8" s="7" t="s">
        <v>11</v>
      </c>
      <c r="B8" s="8" t="s">
        <v>12</v>
      </c>
      <c r="C8" s="124" t="s">
        <v>13</v>
      </c>
      <c r="D8" s="125"/>
      <c r="E8" s="125"/>
      <c r="F8" s="125"/>
      <c r="G8" s="125"/>
      <c r="H8" s="125"/>
      <c r="I8" s="125"/>
      <c r="J8" s="125"/>
      <c r="K8" s="125"/>
      <c r="L8" s="125"/>
      <c r="M8" s="125"/>
      <c r="N8" s="126"/>
      <c r="O8" s="7" t="str">
        <f>IF(C8="","入力してください","")</f>
        <v/>
      </c>
    </row>
    <row r="9" spans="1:15" ht="7.5" customHeight="1">
      <c r="B9" s="8"/>
      <c r="C9" s="8"/>
      <c r="D9" s="8"/>
      <c r="E9" s="9"/>
      <c r="F9" s="51"/>
      <c r="G9" s="51"/>
      <c r="H9" s="51"/>
      <c r="I9" s="51"/>
      <c r="J9" s="51"/>
      <c r="K9" s="51"/>
      <c r="L9" s="51"/>
      <c r="M9" s="51"/>
      <c r="N9" s="51"/>
    </row>
    <row r="10" spans="1:15" ht="24" customHeight="1">
      <c r="A10" s="7" t="s">
        <v>14</v>
      </c>
      <c r="B10" s="8" t="s">
        <v>15</v>
      </c>
      <c r="C10" s="8"/>
      <c r="D10" s="8"/>
      <c r="E10" s="124" t="s">
        <v>16</v>
      </c>
      <c r="F10" s="125"/>
      <c r="G10" s="125"/>
      <c r="H10" s="125"/>
      <c r="I10" s="125"/>
      <c r="J10" s="125"/>
      <c r="K10" s="125"/>
      <c r="L10" s="125"/>
      <c r="M10" s="125"/>
      <c r="N10" s="126"/>
      <c r="O10" s="7" t="str">
        <f>IF(E10="","入力してください","")</f>
        <v/>
      </c>
    </row>
    <row r="11" spans="1:15" ht="7.5" customHeight="1">
      <c r="B11" s="9"/>
      <c r="C11" s="9"/>
      <c r="D11" s="9"/>
      <c r="E11" s="9"/>
      <c r="F11" s="51"/>
      <c r="G11" s="51"/>
      <c r="H11" s="51"/>
      <c r="I11" s="51"/>
      <c r="J11" s="51"/>
      <c r="K11" s="51"/>
      <c r="L11" s="51"/>
      <c r="M11" s="51"/>
      <c r="N11" s="51"/>
    </row>
    <row r="12" spans="1:15" ht="24" customHeight="1">
      <c r="A12" s="7" t="s">
        <v>17</v>
      </c>
      <c r="B12" s="9" t="s">
        <v>18</v>
      </c>
      <c r="C12" s="9"/>
      <c r="D12" s="9"/>
      <c r="E12" s="139" t="s">
        <v>19</v>
      </c>
      <c r="F12" s="140"/>
      <c r="G12" s="10" t="s">
        <v>20</v>
      </c>
      <c r="H12" s="7" t="s">
        <v>21</v>
      </c>
      <c r="N12" s="48" t="s">
        <v>22</v>
      </c>
      <c r="O12" s="7" t="str">
        <f>IF(E12="","入力してください","")</f>
        <v/>
      </c>
    </row>
    <row r="13" spans="1:15" ht="7.5" customHeight="1">
      <c r="B13" s="9"/>
      <c r="C13" s="9"/>
      <c r="D13" s="9"/>
      <c r="E13" s="9"/>
      <c r="F13" s="51"/>
      <c r="G13" s="51"/>
      <c r="H13" s="51"/>
      <c r="I13" s="51"/>
      <c r="J13" s="51"/>
      <c r="K13" s="51"/>
      <c r="L13" s="51"/>
      <c r="M13" s="51"/>
      <c r="N13" s="51"/>
    </row>
    <row r="14" spans="1:15" ht="24" customHeight="1">
      <c r="A14" s="7" t="s">
        <v>23</v>
      </c>
      <c r="B14" s="7" t="s">
        <v>24</v>
      </c>
      <c r="C14" s="135" t="s">
        <v>25</v>
      </c>
      <c r="D14" s="136"/>
      <c r="E14" s="127">
        <v>202</v>
      </c>
      <c r="F14" s="128"/>
      <c r="G14" s="11" t="s">
        <v>26</v>
      </c>
      <c r="I14" s="135" t="s">
        <v>27</v>
      </c>
      <c r="J14" s="136"/>
      <c r="K14" s="127">
        <v>241</v>
      </c>
      <c r="L14" s="137"/>
      <c r="M14" s="128"/>
      <c r="N14" s="12" t="s">
        <v>26</v>
      </c>
      <c r="O14" s="7" t="str">
        <f>IF(OR(E14="",K14=""),"入力してください","")</f>
        <v/>
      </c>
    </row>
    <row r="15" spans="1:15" ht="7.5" customHeight="1">
      <c r="F15" s="13"/>
      <c r="G15" s="13"/>
      <c r="H15" s="13"/>
      <c r="I15" s="13"/>
      <c r="J15" s="13"/>
      <c r="K15" s="13"/>
      <c r="L15" s="13"/>
      <c r="M15" s="12"/>
      <c r="N15" s="12"/>
    </row>
    <row r="16" spans="1:15" ht="24" customHeight="1">
      <c r="A16" s="7" t="s">
        <v>28</v>
      </c>
      <c r="B16" s="7" t="s">
        <v>29</v>
      </c>
      <c r="F16" s="13"/>
      <c r="G16" s="13"/>
      <c r="H16" s="13"/>
      <c r="I16" s="13"/>
      <c r="J16" s="13"/>
      <c r="K16" s="141">
        <v>4</v>
      </c>
      <c r="L16" s="142"/>
      <c r="M16" s="143"/>
      <c r="N16" s="12" t="s">
        <v>26</v>
      </c>
      <c r="O16" s="7" t="str">
        <f>IF(K16="","入力してください","")</f>
        <v/>
      </c>
    </row>
    <row r="17" spans="1:15" ht="7.5" customHeight="1">
      <c r="F17" s="13"/>
      <c r="G17" s="13"/>
      <c r="H17" s="13"/>
      <c r="I17" s="13"/>
      <c r="J17" s="13"/>
      <c r="K17" s="13"/>
      <c r="L17" s="13"/>
      <c r="M17" s="12"/>
      <c r="N17" s="12"/>
    </row>
    <row r="18" spans="1:15" ht="24" customHeight="1">
      <c r="A18" s="7" t="s">
        <v>30</v>
      </c>
      <c r="B18" s="7" t="s">
        <v>31</v>
      </c>
      <c r="E18" s="127">
        <v>475</v>
      </c>
      <c r="F18" s="128"/>
      <c r="G18" s="14" t="s">
        <v>32</v>
      </c>
      <c r="H18" s="13"/>
      <c r="K18" s="147"/>
      <c r="L18" s="147"/>
      <c r="M18" s="147"/>
      <c r="N18" s="147"/>
      <c r="O18" s="7" t="str">
        <f>IF(E18="","入力してください","")</f>
        <v/>
      </c>
    </row>
    <row r="19" spans="1:15" ht="7.5" customHeight="1">
      <c r="E19" s="3"/>
      <c r="F19" s="13"/>
      <c r="G19" s="13"/>
      <c r="L19" s="50"/>
      <c r="M19" s="50"/>
      <c r="N19" s="15"/>
    </row>
    <row r="20" spans="1:15" ht="24" customHeight="1">
      <c r="A20" s="7" t="s">
        <v>33</v>
      </c>
      <c r="B20" s="7" t="s">
        <v>34</v>
      </c>
      <c r="E20" s="3"/>
      <c r="F20" s="13"/>
      <c r="G20" s="13"/>
      <c r="H20" s="7" t="s">
        <v>35</v>
      </c>
      <c r="J20" s="144">
        <v>2145</v>
      </c>
      <c r="K20" s="145"/>
      <c r="L20" s="146"/>
      <c r="M20" s="50" t="s">
        <v>26</v>
      </c>
      <c r="N20" s="15"/>
      <c r="O20" s="7" t="str">
        <f>IF(J20="","入力してください","")</f>
        <v/>
      </c>
    </row>
    <row r="21" spans="1:15" ht="7.5" customHeight="1">
      <c r="E21" s="3"/>
      <c r="F21" s="13"/>
      <c r="G21" s="13"/>
      <c r="L21" s="50"/>
      <c r="M21" s="50"/>
      <c r="N21" s="15"/>
    </row>
    <row r="22" spans="1:15" ht="24" customHeight="1">
      <c r="B22" s="20" t="s">
        <v>36</v>
      </c>
      <c r="C22" s="127">
        <v>501</v>
      </c>
      <c r="D22" s="128"/>
      <c r="E22" s="3" t="s">
        <v>26</v>
      </c>
      <c r="F22" s="13"/>
      <c r="G22" s="123" t="s">
        <v>37</v>
      </c>
      <c r="H22" s="123"/>
      <c r="I22" s="127">
        <v>496</v>
      </c>
      <c r="J22" s="128"/>
      <c r="K22" s="10" t="s">
        <v>26</v>
      </c>
      <c r="M22" s="50"/>
      <c r="N22" s="15"/>
    </row>
    <row r="23" spans="1:15" ht="7.5" customHeight="1">
      <c r="B23" s="20"/>
      <c r="C23" s="4"/>
      <c r="D23" s="4"/>
      <c r="E23" s="3"/>
      <c r="F23" s="13"/>
      <c r="G23" s="50"/>
      <c r="H23" s="50"/>
      <c r="I23" s="4"/>
      <c r="J23" s="4"/>
      <c r="K23" s="10"/>
      <c r="M23" s="50"/>
      <c r="N23" s="15"/>
    </row>
    <row r="24" spans="1:15" ht="24" customHeight="1">
      <c r="B24" s="20" t="s">
        <v>38</v>
      </c>
      <c r="C24" s="127">
        <v>550</v>
      </c>
      <c r="D24" s="128"/>
      <c r="E24" s="3" t="s">
        <v>26</v>
      </c>
      <c r="F24" s="13"/>
      <c r="G24" s="123" t="s">
        <v>39</v>
      </c>
      <c r="H24" s="123"/>
      <c r="I24" s="127">
        <v>598</v>
      </c>
      <c r="J24" s="128"/>
      <c r="K24" s="10" t="s">
        <v>26</v>
      </c>
      <c r="M24" s="50"/>
      <c r="N24" s="15"/>
    </row>
    <row r="25" spans="1:15" ht="7.5" customHeight="1">
      <c r="B25" s="20"/>
      <c r="C25" s="4"/>
      <c r="D25" s="4"/>
      <c r="E25" s="3"/>
      <c r="F25" s="13"/>
      <c r="G25" s="50"/>
      <c r="H25" s="50"/>
      <c r="I25" s="4"/>
      <c r="J25" s="4"/>
      <c r="K25" s="10"/>
      <c r="M25" s="50"/>
      <c r="N25" s="15"/>
    </row>
    <row r="26" spans="1:15" ht="24" customHeight="1">
      <c r="B26" s="20" t="s">
        <v>40</v>
      </c>
      <c r="C26" s="127">
        <v>0</v>
      </c>
      <c r="D26" s="128"/>
      <c r="E26" s="3" t="s">
        <v>26</v>
      </c>
      <c r="F26" s="13"/>
      <c r="G26" s="123" t="s">
        <v>41</v>
      </c>
      <c r="H26" s="123"/>
      <c r="I26" s="127">
        <v>0</v>
      </c>
      <c r="J26" s="128"/>
      <c r="K26" s="10" t="s">
        <v>26</v>
      </c>
      <c r="M26" s="50"/>
      <c r="N26" s="15"/>
    </row>
    <row r="27" spans="1:15" ht="7.5" customHeight="1">
      <c r="F27" s="13"/>
      <c r="G27" s="13"/>
      <c r="M27" s="16"/>
      <c r="N27" s="16"/>
    </row>
    <row r="28" spans="1:15" ht="24" customHeight="1">
      <c r="A28" s="7" t="s">
        <v>42</v>
      </c>
      <c r="B28" s="8" t="s">
        <v>43</v>
      </c>
      <c r="C28" s="8"/>
      <c r="D28" s="8"/>
      <c r="E28" s="8"/>
      <c r="F28" s="10"/>
      <c r="G28" s="51"/>
      <c r="H28" s="51"/>
      <c r="I28" s="51"/>
      <c r="J28" s="64"/>
      <c r="K28" s="64"/>
      <c r="L28" s="64"/>
      <c r="M28" s="64"/>
      <c r="N28" s="64"/>
    </row>
    <row r="29" spans="1:15" ht="24" customHeight="1">
      <c r="B29" s="131" t="s">
        <v>44</v>
      </c>
      <c r="C29" s="131"/>
      <c r="D29" s="124" t="s">
        <v>45</v>
      </c>
      <c r="E29" s="125"/>
      <c r="F29" s="125"/>
      <c r="G29" s="132" t="s">
        <v>46</v>
      </c>
      <c r="H29" s="131"/>
      <c r="I29" s="133"/>
      <c r="J29" s="124" t="s">
        <v>47</v>
      </c>
      <c r="K29" s="125"/>
      <c r="L29" s="125"/>
      <c r="M29" s="125"/>
      <c r="N29" s="126"/>
      <c r="O29" s="7" t="str">
        <f>IF(OR(D29="",J29=""),"入力してください","")</f>
        <v/>
      </c>
    </row>
    <row r="30" spans="1:15" ht="7.5" customHeight="1">
      <c r="F30" s="13"/>
      <c r="G30" s="13"/>
      <c r="M30" s="16"/>
      <c r="N30" s="16"/>
    </row>
    <row r="31" spans="1:15" ht="24" customHeight="1">
      <c r="A31" s="7" t="s">
        <v>48</v>
      </c>
      <c r="B31" s="8" t="s">
        <v>49</v>
      </c>
      <c r="C31" s="8"/>
      <c r="D31" s="8"/>
      <c r="E31" s="8"/>
      <c r="F31" s="10"/>
      <c r="G31" s="64"/>
      <c r="H31" s="64"/>
      <c r="I31" s="64"/>
      <c r="J31" s="64"/>
      <c r="K31" s="64"/>
      <c r="L31" s="64"/>
      <c r="M31" s="64"/>
      <c r="N31" s="64"/>
    </row>
    <row r="32" spans="1:15" ht="24" customHeight="1">
      <c r="B32" s="124" t="s">
        <v>50</v>
      </c>
      <c r="C32" s="125"/>
      <c r="D32" s="125"/>
      <c r="E32" s="125"/>
      <c r="F32" s="125"/>
      <c r="G32" s="125"/>
      <c r="H32" s="125"/>
      <c r="I32" s="125"/>
      <c r="J32" s="125"/>
      <c r="K32" s="125"/>
      <c r="L32" s="125"/>
      <c r="M32" s="125"/>
      <c r="N32" s="126"/>
      <c r="O32" s="7" t="str">
        <f>IF(B32="","入力してください","")</f>
        <v/>
      </c>
    </row>
    <row r="33" spans="1:15" ht="7.5" customHeight="1">
      <c r="B33" s="5"/>
      <c r="C33" s="5"/>
      <c r="D33" s="5"/>
      <c r="E33" s="5"/>
      <c r="F33" s="5"/>
      <c r="G33" s="5"/>
      <c r="H33" s="5"/>
      <c r="I33" s="5"/>
      <c r="J33" s="5"/>
      <c r="K33" s="5"/>
      <c r="L33" s="5"/>
      <c r="M33" s="5"/>
      <c r="N33" s="5"/>
    </row>
    <row r="34" spans="1:15" ht="24" customHeight="1">
      <c r="B34" s="131" t="s">
        <v>44</v>
      </c>
      <c r="C34" s="131"/>
      <c r="D34" s="124" t="s">
        <v>51</v>
      </c>
      <c r="E34" s="125"/>
      <c r="F34" s="125"/>
      <c r="G34" s="132" t="s">
        <v>46</v>
      </c>
      <c r="H34" s="131"/>
      <c r="I34" s="133"/>
      <c r="J34" s="124" t="s">
        <v>52</v>
      </c>
      <c r="K34" s="125"/>
      <c r="L34" s="125"/>
      <c r="M34" s="125"/>
      <c r="N34" s="126"/>
      <c r="O34" s="7" t="str">
        <f>IF(OR(D34="",J34=""),"入力してください","")</f>
        <v/>
      </c>
    </row>
    <row r="35" spans="1:15" ht="7.5" customHeight="1">
      <c r="F35" s="51"/>
      <c r="G35" s="51"/>
      <c r="H35" s="51"/>
      <c r="I35" s="51"/>
      <c r="J35" s="51"/>
      <c r="K35" s="51"/>
      <c r="L35" s="51"/>
      <c r="M35" s="51"/>
      <c r="N35" s="51"/>
    </row>
    <row r="36" spans="1:15" ht="24" customHeight="1">
      <c r="A36" s="7" t="s">
        <v>53</v>
      </c>
      <c r="B36" s="7" t="s">
        <v>54</v>
      </c>
      <c r="M36" s="16"/>
      <c r="N36" s="16"/>
    </row>
    <row r="37" spans="1:15" ht="24" customHeight="1">
      <c r="B37" s="124" t="s">
        <v>55</v>
      </c>
      <c r="C37" s="125"/>
      <c r="D37" s="125"/>
      <c r="E37" s="125"/>
      <c r="F37" s="125"/>
      <c r="G37" s="125"/>
      <c r="H37" s="125"/>
      <c r="I37" s="125"/>
      <c r="J37" s="125"/>
      <c r="K37" s="125"/>
      <c r="L37" s="125"/>
      <c r="M37" s="125"/>
      <c r="N37" s="126"/>
      <c r="O37" s="7" t="str">
        <f>IF(B37="","入力してください","")</f>
        <v/>
      </c>
    </row>
    <row r="38" spans="1:15" ht="7.5" customHeight="1">
      <c r="F38" s="51"/>
      <c r="G38" s="51"/>
      <c r="H38" s="51"/>
      <c r="I38" s="51"/>
      <c r="J38" s="51"/>
      <c r="K38" s="51"/>
      <c r="L38" s="51"/>
      <c r="M38" s="51"/>
      <c r="N38" s="51"/>
    </row>
    <row r="39" spans="1:15" ht="24" customHeight="1">
      <c r="B39" s="131" t="s">
        <v>44</v>
      </c>
      <c r="C39" s="131"/>
      <c r="D39" s="124" t="s">
        <v>56</v>
      </c>
      <c r="E39" s="125"/>
      <c r="F39" s="125"/>
      <c r="G39" s="132" t="s">
        <v>46</v>
      </c>
      <c r="H39" s="131"/>
      <c r="I39" s="133"/>
      <c r="J39" s="124" t="s">
        <v>57</v>
      </c>
      <c r="K39" s="125"/>
      <c r="L39" s="125"/>
      <c r="M39" s="125"/>
      <c r="N39" s="126"/>
      <c r="O39" s="7" t="str">
        <f>IF(OR(D39="",J39=""),"入力してください","")</f>
        <v/>
      </c>
    </row>
    <row r="40" spans="1:15" ht="7.5" customHeight="1">
      <c r="F40" s="51"/>
      <c r="G40" s="51"/>
      <c r="H40" s="51"/>
      <c r="I40" s="51"/>
      <c r="J40" s="51"/>
      <c r="K40" s="51"/>
      <c r="L40" s="51"/>
      <c r="M40" s="51"/>
      <c r="N40" s="51"/>
    </row>
    <row r="41" spans="1:15" ht="24" customHeight="1">
      <c r="A41" s="7" t="s">
        <v>58</v>
      </c>
      <c r="B41" s="22" t="s">
        <v>59</v>
      </c>
      <c r="E41" s="63"/>
      <c r="F41" s="124" t="s">
        <v>60</v>
      </c>
      <c r="G41" s="125"/>
      <c r="H41" s="125"/>
      <c r="I41" s="125"/>
      <c r="J41" s="125"/>
      <c r="K41" s="125"/>
      <c r="L41" s="125"/>
      <c r="M41" s="125"/>
      <c r="N41" s="126"/>
      <c r="O41" s="7" t="str">
        <f>IF(F41="","入力してください","")</f>
        <v/>
      </c>
    </row>
    <row r="42" spans="1:15" ht="7.5" customHeight="1">
      <c r="F42" s="51"/>
      <c r="G42" s="51"/>
      <c r="H42" s="51"/>
      <c r="I42" s="51"/>
      <c r="J42" s="51"/>
      <c r="K42" s="51"/>
      <c r="L42" s="51"/>
      <c r="M42" s="51"/>
      <c r="N42" s="51"/>
    </row>
    <row r="43" spans="1:15" ht="24" customHeight="1">
      <c r="A43" s="7" t="s">
        <v>61</v>
      </c>
    </row>
    <row r="44" spans="1:15" ht="24" customHeight="1">
      <c r="B44" s="21" t="s">
        <v>62</v>
      </c>
      <c r="C44" s="129" t="s">
        <v>63</v>
      </c>
      <c r="D44" s="130"/>
      <c r="E44" s="130"/>
      <c r="F44" s="130"/>
      <c r="G44" s="130"/>
      <c r="H44" s="130"/>
      <c r="I44" s="18" t="s">
        <v>64</v>
      </c>
      <c r="J44" s="19"/>
      <c r="K44" s="124" t="s">
        <v>65</v>
      </c>
      <c r="L44" s="125"/>
      <c r="M44" s="125"/>
      <c r="N44" s="126"/>
      <c r="O44" s="7" t="str">
        <f>IF(OR(C44="",K44=""),"入力してください","")</f>
        <v/>
      </c>
    </row>
    <row r="45" spans="1:15" ht="24" customHeight="1">
      <c r="B45" s="17" t="s">
        <v>66</v>
      </c>
      <c r="C45" s="117" t="s">
        <v>67</v>
      </c>
      <c r="D45" s="118"/>
      <c r="E45" s="118"/>
      <c r="F45" s="118"/>
      <c r="G45" s="118"/>
      <c r="H45" s="119"/>
      <c r="I45" s="18" t="s">
        <v>68</v>
      </c>
      <c r="J45" s="19"/>
      <c r="K45" s="120" t="s">
        <v>69</v>
      </c>
      <c r="L45" s="121"/>
      <c r="M45" s="121"/>
      <c r="N45" s="122"/>
      <c r="O45" s="7" t="str">
        <f>IF(OR(C45="",K45=""),"入力してください","")</f>
        <v/>
      </c>
    </row>
  </sheetData>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hyperlinks>
    <hyperlink ref="C45" r:id="rId1" xr:uid="{00000000-0004-0000-0000-000000000000}"/>
  </hyperlinks>
  <printOptions horizontalCentered="1"/>
  <pageMargins left="0.78740157480314965" right="0.78740157480314965" top="0.78740157480314965" bottom="0.39370078740157483" header="0.31496062992125984" footer="0.31496062992125984"/>
  <pageSetup paperSize="9" scale="98"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
  <sheetViews>
    <sheetView showZeros="0" view="pageBreakPreview" zoomScaleNormal="100" zoomScaleSheetLayoutView="100" workbookViewId="0">
      <selection sqref="A1:XFD1048576"/>
    </sheetView>
  </sheetViews>
  <sheetFormatPr defaultColWidth="9" defaultRowHeight="18.75" customHeight="1"/>
  <cols>
    <col min="1" max="1" width="2.5" style="6" customWidth="1"/>
    <col min="2" max="2" width="27.75" style="6" customWidth="1"/>
    <col min="3" max="13" width="3.375" style="6" customWidth="1"/>
    <col min="14" max="14" width="8.875" style="6" customWidth="1"/>
    <col min="15" max="15" width="18.875" style="6" customWidth="1"/>
    <col min="16" max="19" width="3.375" style="6" customWidth="1"/>
    <col min="20" max="20" width="3.5" style="6" customWidth="1"/>
    <col min="21" max="26" width="3.375" style="6" customWidth="1"/>
    <col min="27" max="16384" width="9" style="6"/>
  </cols>
  <sheetData>
    <row r="1" spans="1:26" ht="15" customHeight="1">
      <c r="W1" s="222" t="s">
        <v>70</v>
      </c>
      <c r="X1" s="222"/>
      <c r="Y1" s="222"/>
      <c r="Z1" s="222"/>
    </row>
    <row r="2" spans="1:26" ht="18" customHeight="1">
      <c r="A2" s="193" t="s">
        <v>71</v>
      </c>
      <c r="B2" s="193"/>
      <c r="C2" s="193"/>
      <c r="D2" s="193"/>
      <c r="E2" s="193"/>
      <c r="F2" s="193"/>
      <c r="G2" s="193"/>
      <c r="H2" s="193"/>
      <c r="I2" s="193"/>
      <c r="J2" s="193"/>
      <c r="K2" s="193"/>
      <c r="L2" s="193"/>
      <c r="M2" s="193"/>
      <c r="N2" s="193"/>
      <c r="O2" s="193"/>
      <c r="P2" s="193"/>
      <c r="Q2" s="193"/>
      <c r="R2" s="193"/>
      <c r="S2" s="193"/>
      <c r="T2" s="193"/>
      <c r="U2" s="193"/>
      <c r="V2" s="193"/>
      <c r="W2" s="193"/>
      <c r="X2" s="193"/>
      <c r="Y2" s="193"/>
      <c r="Z2" s="193"/>
    </row>
    <row r="3" spans="1:26" ht="15" customHeight="1">
      <c r="B3" s="20"/>
      <c r="C3" s="20"/>
      <c r="D3" s="20"/>
      <c r="E3" s="20"/>
      <c r="F3" s="20"/>
      <c r="G3" s="20"/>
      <c r="H3" s="20"/>
      <c r="I3" s="20"/>
      <c r="J3" s="20"/>
      <c r="K3" s="20"/>
      <c r="L3" s="20"/>
      <c r="M3" s="20"/>
      <c r="N3" s="20"/>
      <c r="O3" s="20"/>
      <c r="P3" s="20"/>
      <c r="Q3" s="20"/>
      <c r="R3" s="20"/>
      <c r="S3" s="20"/>
      <c r="T3" s="20"/>
      <c r="U3" s="20"/>
      <c r="V3" s="20"/>
      <c r="W3" s="20"/>
      <c r="X3" s="20"/>
      <c r="Y3" s="20"/>
      <c r="Z3" s="20"/>
    </row>
    <row r="4" spans="1:26" ht="18" customHeight="1">
      <c r="A4" s="6" t="s">
        <v>72</v>
      </c>
      <c r="B4" s="20"/>
      <c r="C4" s="20"/>
      <c r="D4" s="20"/>
      <c r="E4" s="20"/>
      <c r="F4" s="20"/>
      <c r="G4" s="20"/>
      <c r="H4" s="8" t="s">
        <v>73</v>
      </c>
      <c r="I4" s="20"/>
      <c r="J4" s="20"/>
      <c r="K4" s="20"/>
      <c r="L4" s="20"/>
      <c r="M4" s="20"/>
      <c r="N4" s="20"/>
      <c r="O4" s="141" t="s">
        <v>74</v>
      </c>
      <c r="P4" s="142"/>
      <c r="Q4" s="142"/>
      <c r="R4" s="142"/>
      <c r="S4" s="142"/>
      <c r="T4" s="142"/>
      <c r="U4" s="142"/>
      <c r="V4" s="142"/>
      <c r="W4" s="142"/>
      <c r="X4" s="142"/>
      <c r="Y4" s="142"/>
      <c r="Z4" s="143"/>
    </row>
    <row r="5" spans="1:26" ht="6" customHeight="1">
      <c r="B5" s="20"/>
      <c r="C5" s="20"/>
      <c r="D5" s="20"/>
      <c r="E5" s="20"/>
      <c r="F5" s="20"/>
      <c r="G5" s="20"/>
      <c r="H5" s="20"/>
      <c r="I5" s="20"/>
      <c r="J5" s="20"/>
      <c r="K5" s="20"/>
      <c r="L5" s="20"/>
      <c r="M5" s="20"/>
      <c r="N5" s="20"/>
      <c r="O5" s="9"/>
      <c r="P5" s="20"/>
      <c r="Q5" s="20"/>
      <c r="R5" s="20"/>
      <c r="S5" s="20"/>
      <c r="T5" s="20"/>
      <c r="U5" s="20"/>
      <c r="V5" s="20"/>
      <c r="W5" s="20"/>
      <c r="X5" s="20"/>
      <c r="Y5" s="20"/>
      <c r="Z5" s="20"/>
    </row>
    <row r="6" spans="1:26" ht="18" customHeight="1">
      <c r="B6" s="194" t="s">
        <v>75</v>
      </c>
      <c r="C6" s="195"/>
      <c r="D6" s="195"/>
      <c r="E6" s="195"/>
      <c r="F6" s="195"/>
      <c r="G6" s="195"/>
      <c r="H6" s="195"/>
      <c r="I6" s="195"/>
      <c r="J6" s="195"/>
      <c r="K6" s="195"/>
      <c r="L6" s="195"/>
      <c r="M6" s="195"/>
      <c r="N6" s="195"/>
      <c r="O6" s="195"/>
      <c r="P6" s="195"/>
      <c r="Q6" s="195"/>
      <c r="R6" s="195"/>
      <c r="S6" s="195"/>
      <c r="T6" s="195"/>
      <c r="U6" s="195"/>
      <c r="V6" s="195"/>
      <c r="W6" s="195"/>
      <c r="X6" s="195"/>
      <c r="Y6" s="195"/>
      <c r="Z6" s="196"/>
    </row>
    <row r="7" spans="1:26" ht="18" customHeight="1">
      <c r="B7" s="197"/>
      <c r="C7" s="198"/>
      <c r="D7" s="198"/>
      <c r="E7" s="198"/>
      <c r="F7" s="198"/>
      <c r="G7" s="198"/>
      <c r="H7" s="198"/>
      <c r="I7" s="198"/>
      <c r="J7" s="198"/>
      <c r="K7" s="198"/>
      <c r="L7" s="198"/>
      <c r="M7" s="198"/>
      <c r="N7" s="198"/>
      <c r="O7" s="198"/>
      <c r="P7" s="198"/>
      <c r="Q7" s="198"/>
      <c r="R7" s="198"/>
      <c r="S7" s="198"/>
      <c r="T7" s="198"/>
      <c r="U7" s="198"/>
      <c r="V7" s="198"/>
      <c r="W7" s="198"/>
      <c r="X7" s="198"/>
      <c r="Y7" s="198"/>
      <c r="Z7" s="199"/>
    </row>
    <row r="8" spans="1:26" ht="18" customHeight="1">
      <c r="B8" s="197"/>
      <c r="C8" s="198"/>
      <c r="D8" s="198"/>
      <c r="E8" s="198"/>
      <c r="F8" s="198"/>
      <c r="G8" s="198"/>
      <c r="H8" s="198"/>
      <c r="I8" s="198"/>
      <c r="J8" s="198"/>
      <c r="K8" s="198"/>
      <c r="L8" s="198"/>
      <c r="M8" s="198"/>
      <c r="N8" s="198"/>
      <c r="O8" s="198"/>
      <c r="P8" s="198"/>
      <c r="Q8" s="198"/>
      <c r="R8" s="198"/>
      <c r="S8" s="198"/>
      <c r="T8" s="198"/>
      <c r="U8" s="198"/>
      <c r="V8" s="198"/>
      <c r="W8" s="198"/>
      <c r="X8" s="198"/>
      <c r="Y8" s="198"/>
      <c r="Z8" s="199"/>
    </row>
    <row r="9" spans="1:26" ht="18" customHeight="1">
      <c r="B9" s="197"/>
      <c r="C9" s="198"/>
      <c r="D9" s="198"/>
      <c r="E9" s="198"/>
      <c r="F9" s="198"/>
      <c r="G9" s="198"/>
      <c r="H9" s="198"/>
      <c r="I9" s="198"/>
      <c r="J9" s="198"/>
      <c r="K9" s="198"/>
      <c r="L9" s="198"/>
      <c r="M9" s="198"/>
      <c r="N9" s="198"/>
      <c r="O9" s="198"/>
      <c r="P9" s="198"/>
      <c r="Q9" s="198"/>
      <c r="R9" s="198"/>
      <c r="S9" s="198"/>
      <c r="T9" s="198"/>
      <c r="U9" s="198"/>
      <c r="V9" s="198"/>
      <c r="W9" s="198"/>
      <c r="X9" s="198"/>
      <c r="Y9" s="198"/>
      <c r="Z9" s="199"/>
    </row>
    <row r="10" spans="1:26" ht="18" customHeight="1">
      <c r="B10" s="197"/>
      <c r="C10" s="200"/>
      <c r="D10" s="200"/>
      <c r="E10" s="200"/>
      <c r="F10" s="200"/>
      <c r="G10" s="200"/>
      <c r="H10" s="200"/>
      <c r="I10" s="200"/>
      <c r="J10" s="200"/>
      <c r="K10" s="200"/>
      <c r="L10" s="200"/>
      <c r="M10" s="200"/>
      <c r="N10" s="200"/>
      <c r="O10" s="200"/>
      <c r="P10" s="200"/>
      <c r="Q10" s="200"/>
      <c r="R10" s="200"/>
      <c r="S10" s="200"/>
      <c r="T10" s="200"/>
      <c r="U10" s="200"/>
      <c r="V10" s="200"/>
      <c r="W10" s="200"/>
      <c r="X10" s="200"/>
      <c r="Y10" s="200"/>
      <c r="Z10" s="199"/>
    </row>
    <row r="11" spans="1:26" ht="18" customHeight="1">
      <c r="B11" s="201"/>
      <c r="C11" s="202"/>
      <c r="D11" s="202"/>
      <c r="E11" s="202"/>
      <c r="F11" s="202"/>
      <c r="G11" s="202"/>
      <c r="H11" s="202"/>
      <c r="I11" s="202"/>
      <c r="J11" s="202"/>
      <c r="K11" s="202"/>
      <c r="L11" s="202"/>
      <c r="M11" s="202"/>
      <c r="N11" s="202"/>
      <c r="O11" s="202"/>
      <c r="P11" s="202"/>
      <c r="Q11" s="202"/>
      <c r="R11" s="202"/>
      <c r="S11" s="202"/>
      <c r="T11" s="202"/>
      <c r="U11" s="202"/>
      <c r="V11" s="202"/>
      <c r="W11" s="202"/>
      <c r="X11" s="202"/>
      <c r="Y11" s="202"/>
      <c r="Z11" s="203"/>
    </row>
    <row r="12" spans="1:26" ht="7.5" customHeight="1">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18" customHeight="1">
      <c r="A13" s="189" t="s">
        <v>76</v>
      </c>
      <c r="B13" s="189"/>
      <c r="C13" s="189"/>
      <c r="D13" s="189"/>
      <c r="E13" s="189"/>
      <c r="F13" s="189"/>
      <c r="G13" s="189"/>
      <c r="H13" s="189"/>
      <c r="I13" s="189"/>
      <c r="J13" s="189"/>
      <c r="K13" s="189"/>
      <c r="L13" s="189"/>
      <c r="M13" s="189"/>
      <c r="N13" s="189"/>
      <c r="O13" s="189"/>
      <c r="P13" s="189"/>
      <c r="Q13" s="189"/>
      <c r="R13" s="189"/>
      <c r="S13" s="189"/>
      <c r="T13" s="189"/>
      <c r="U13" s="189"/>
      <c r="V13" s="189"/>
      <c r="W13" s="189"/>
      <c r="X13" s="189"/>
      <c r="Y13" s="189"/>
      <c r="Z13" s="189"/>
    </row>
    <row r="14" spans="1:26" ht="18" customHeight="1">
      <c r="A14" s="189"/>
      <c r="B14" s="189"/>
      <c r="C14" s="189"/>
      <c r="D14" s="189"/>
      <c r="E14" s="189"/>
      <c r="F14" s="189"/>
      <c r="G14" s="189"/>
      <c r="H14" s="189"/>
      <c r="I14" s="189"/>
      <c r="J14" s="189"/>
      <c r="K14" s="189"/>
      <c r="L14" s="189"/>
      <c r="M14" s="189"/>
      <c r="N14" s="189"/>
      <c r="O14" s="189"/>
      <c r="P14" s="189"/>
      <c r="Q14" s="189"/>
      <c r="R14" s="189"/>
      <c r="S14" s="189"/>
      <c r="T14" s="189"/>
      <c r="U14" s="189"/>
      <c r="V14" s="189"/>
      <c r="W14" s="189"/>
      <c r="X14" s="189"/>
      <c r="Y14" s="189"/>
      <c r="Z14" s="189"/>
    </row>
    <row r="15" spans="1:26" ht="18" customHeight="1">
      <c r="A15" s="7"/>
      <c r="B15" s="141" t="s">
        <v>77</v>
      </c>
      <c r="C15" s="142"/>
      <c r="D15" s="142"/>
      <c r="E15" s="142"/>
      <c r="F15" s="143"/>
      <c r="G15" s="21" t="s">
        <v>78</v>
      </c>
      <c r="H15" s="44" t="s">
        <v>79</v>
      </c>
      <c r="I15" s="142" t="s">
        <v>80</v>
      </c>
      <c r="J15" s="142"/>
      <c r="K15" s="142"/>
      <c r="L15" s="23" t="s">
        <v>81</v>
      </c>
      <c r="M15" s="23" t="s">
        <v>82</v>
      </c>
      <c r="N15" s="141" t="s">
        <v>77</v>
      </c>
      <c r="O15" s="142"/>
      <c r="P15" s="142"/>
      <c r="Q15" s="142"/>
      <c r="R15" s="142"/>
      <c r="S15" s="143"/>
      <c r="T15" s="21" t="s">
        <v>78</v>
      </c>
      <c r="U15" s="44" t="s">
        <v>79</v>
      </c>
      <c r="V15" s="142" t="s">
        <v>80</v>
      </c>
      <c r="W15" s="142"/>
      <c r="X15" s="142"/>
      <c r="Y15" s="23" t="s">
        <v>81</v>
      </c>
      <c r="Z15" s="23" t="s">
        <v>82</v>
      </c>
    </row>
    <row r="16" spans="1:26" ht="18" customHeight="1">
      <c r="A16" s="7"/>
      <c r="B16" s="180" t="s">
        <v>83</v>
      </c>
      <c r="C16" s="181"/>
      <c r="D16" s="181"/>
      <c r="E16" s="181"/>
      <c r="F16" s="182"/>
      <c r="G16" s="45">
        <v>2</v>
      </c>
      <c r="H16" s="45" t="s">
        <v>84</v>
      </c>
      <c r="I16" s="174" t="s">
        <v>85</v>
      </c>
      <c r="J16" s="175"/>
      <c r="K16" s="176"/>
      <c r="L16" s="45" t="s">
        <v>84</v>
      </c>
      <c r="M16" s="45" t="s">
        <v>84</v>
      </c>
      <c r="N16" s="148"/>
      <c r="O16" s="149"/>
      <c r="P16" s="149"/>
      <c r="Q16" s="149"/>
      <c r="R16" s="149"/>
      <c r="S16" s="150"/>
      <c r="T16" s="45"/>
      <c r="U16" s="45"/>
      <c r="V16" s="174"/>
      <c r="W16" s="175"/>
      <c r="X16" s="176"/>
      <c r="Y16" s="45"/>
      <c r="Z16" s="45"/>
    </row>
    <row r="17" spans="1:26" ht="18" customHeight="1">
      <c r="A17" s="7"/>
      <c r="B17" s="183"/>
      <c r="C17" s="184"/>
      <c r="D17" s="184"/>
      <c r="E17" s="184"/>
      <c r="F17" s="185"/>
      <c r="G17" s="46"/>
      <c r="H17" s="46"/>
      <c r="I17" s="177"/>
      <c r="J17" s="178"/>
      <c r="K17" s="179"/>
      <c r="L17" s="46"/>
      <c r="M17" s="46"/>
      <c r="N17" s="157"/>
      <c r="O17" s="158"/>
      <c r="P17" s="158"/>
      <c r="Q17" s="158"/>
      <c r="R17" s="158"/>
      <c r="S17" s="159"/>
      <c r="T17" s="46"/>
      <c r="U17" s="46"/>
      <c r="V17" s="177"/>
      <c r="W17" s="178"/>
      <c r="X17" s="179"/>
      <c r="Y17" s="46"/>
      <c r="Z17" s="46"/>
    </row>
    <row r="18" spans="1:26" ht="18" customHeight="1">
      <c r="A18" s="7"/>
      <c r="B18" s="183"/>
      <c r="C18" s="184"/>
      <c r="D18" s="184"/>
      <c r="E18" s="184"/>
      <c r="F18" s="185"/>
      <c r="G18" s="46"/>
      <c r="H18" s="46"/>
      <c r="I18" s="177"/>
      <c r="J18" s="178"/>
      <c r="K18" s="179"/>
      <c r="L18" s="46"/>
      <c r="M18" s="46"/>
      <c r="N18" s="157"/>
      <c r="O18" s="158"/>
      <c r="P18" s="158"/>
      <c r="Q18" s="158"/>
      <c r="R18" s="158"/>
      <c r="S18" s="159"/>
      <c r="T18" s="46"/>
      <c r="U18" s="46"/>
      <c r="V18" s="177"/>
      <c r="W18" s="178"/>
      <c r="X18" s="179"/>
      <c r="Y18" s="46"/>
      <c r="Z18" s="46"/>
    </row>
    <row r="19" spans="1:26" ht="18" customHeight="1">
      <c r="A19" s="7"/>
      <c r="B19" s="183"/>
      <c r="C19" s="184"/>
      <c r="D19" s="184"/>
      <c r="E19" s="184"/>
      <c r="F19" s="185"/>
      <c r="G19" s="46"/>
      <c r="H19" s="46"/>
      <c r="I19" s="177"/>
      <c r="J19" s="178"/>
      <c r="K19" s="179"/>
      <c r="L19" s="46"/>
      <c r="M19" s="46"/>
      <c r="N19" s="157"/>
      <c r="O19" s="158"/>
      <c r="P19" s="158"/>
      <c r="Q19" s="158"/>
      <c r="R19" s="158"/>
      <c r="S19" s="159"/>
      <c r="T19" s="46"/>
      <c r="U19" s="46"/>
      <c r="V19" s="177"/>
      <c r="W19" s="178"/>
      <c r="X19" s="179"/>
      <c r="Y19" s="46"/>
      <c r="Z19" s="46"/>
    </row>
    <row r="20" spans="1:26" ht="18" customHeight="1">
      <c r="A20" s="7"/>
      <c r="B20" s="183"/>
      <c r="C20" s="184"/>
      <c r="D20" s="184"/>
      <c r="E20" s="184"/>
      <c r="F20" s="185"/>
      <c r="G20" s="46"/>
      <c r="H20" s="46"/>
      <c r="I20" s="177"/>
      <c r="J20" s="178"/>
      <c r="K20" s="179"/>
      <c r="L20" s="46"/>
      <c r="M20" s="46"/>
      <c r="N20" s="157"/>
      <c r="O20" s="158"/>
      <c r="P20" s="158"/>
      <c r="Q20" s="158"/>
      <c r="R20" s="158"/>
      <c r="S20" s="159"/>
      <c r="T20" s="46"/>
      <c r="U20" s="46"/>
      <c r="V20" s="177"/>
      <c r="W20" s="178"/>
      <c r="X20" s="179"/>
      <c r="Y20" s="46"/>
      <c r="Z20" s="46"/>
    </row>
    <row r="21" spans="1:26" ht="18" customHeight="1">
      <c r="A21" s="20"/>
      <c r="B21" s="183"/>
      <c r="C21" s="184"/>
      <c r="D21" s="184"/>
      <c r="E21" s="184"/>
      <c r="F21" s="185"/>
      <c r="G21" s="46"/>
      <c r="H21" s="46"/>
      <c r="I21" s="177"/>
      <c r="J21" s="178"/>
      <c r="K21" s="179"/>
      <c r="L21" s="46"/>
      <c r="M21" s="46"/>
      <c r="N21" s="157"/>
      <c r="O21" s="158"/>
      <c r="P21" s="158"/>
      <c r="Q21" s="158"/>
      <c r="R21" s="158"/>
      <c r="S21" s="159"/>
      <c r="T21" s="46"/>
      <c r="U21" s="46"/>
      <c r="V21" s="177"/>
      <c r="W21" s="178"/>
      <c r="X21" s="179"/>
      <c r="Y21" s="46"/>
      <c r="Z21" s="46"/>
    </row>
    <row r="22" spans="1:26" ht="18" customHeight="1">
      <c r="A22" s="20"/>
      <c r="B22" s="190"/>
      <c r="C22" s="191"/>
      <c r="D22" s="191"/>
      <c r="E22" s="191"/>
      <c r="F22" s="192"/>
      <c r="G22" s="47"/>
      <c r="H22" s="47"/>
      <c r="I22" s="186"/>
      <c r="J22" s="187"/>
      <c r="K22" s="188"/>
      <c r="L22" s="49"/>
      <c r="M22" s="49"/>
      <c r="N22" s="204"/>
      <c r="O22" s="205"/>
      <c r="P22" s="205"/>
      <c r="Q22" s="205"/>
      <c r="R22" s="205"/>
      <c r="S22" s="206"/>
      <c r="T22" s="47"/>
      <c r="U22" s="47"/>
      <c r="V22" s="186"/>
      <c r="W22" s="187"/>
      <c r="X22" s="188"/>
      <c r="Y22" s="49"/>
      <c r="Z22" s="49"/>
    </row>
    <row r="23" spans="1:26" ht="7.5" customHeight="1">
      <c r="A23" s="20"/>
      <c r="B23" s="24"/>
      <c r="C23" s="24"/>
      <c r="D23" s="20"/>
      <c r="E23" s="20"/>
      <c r="F23" s="20"/>
      <c r="G23" s="20"/>
      <c r="H23" s="20"/>
      <c r="I23" s="20"/>
      <c r="J23" s="20"/>
      <c r="K23" s="20"/>
      <c r="L23" s="24"/>
      <c r="M23" s="24"/>
      <c r="N23" s="24"/>
      <c r="O23" s="24"/>
      <c r="P23" s="24"/>
      <c r="Q23" s="24"/>
      <c r="R23" s="24"/>
      <c r="S23" s="24"/>
      <c r="T23" s="24"/>
      <c r="U23" s="24"/>
      <c r="V23" s="24"/>
      <c r="W23" s="24"/>
      <c r="X23" s="24"/>
      <c r="Y23" s="24"/>
      <c r="Z23" s="20"/>
    </row>
    <row r="24" spans="1:26" ht="18" customHeight="1">
      <c r="A24" s="189" t="s">
        <v>86</v>
      </c>
      <c r="B24" s="189"/>
      <c r="C24" s="189"/>
      <c r="D24" s="189"/>
      <c r="E24" s="189"/>
      <c r="F24" s="189"/>
      <c r="G24" s="189"/>
      <c r="H24" s="189"/>
      <c r="I24" s="189"/>
      <c r="J24" s="189"/>
      <c r="K24" s="189"/>
      <c r="L24" s="189"/>
      <c r="M24" s="189"/>
      <c r="N24" s="189"/>
      <c r="O24" s="189"/>
      <c r="P24" s="189"/>
      <c r="Q24" s="189"/>
      <c r="R24" s="189"/>
      <c r="S24" s="189"/>
      <c r="T24" s="189"/>
      <c r="U24" s="189"/>
      <c r="V24" s="189"/>
      <c r="W24" s="189"/>
      <c r="X24" s="189"/>
      <c r="Y24" s="189"/>
      <c r="Z24" s="189"/>
    </row>
    <row r="25" spans="1:26" ht="18" customHeight="1">
      <c r="A25" s="189"/>
      <c r="B25" s="189"/>
      <c r="C25" s="189"/>
      <c r="D25" s="189"/>
      <c r="E25" s="189"/>
      <c r="F25" s="189"/>
      <c r="G25" s="189"/>
      <c r="H25" s="189"/>
      <c r="I25" s="189"/>
      <c r="J25" s="189"/>
      <c r="K25" s="189"/>
      <c r="L25" s="189"/>
      <c r="M25" s="189"/>
      <c r="N25" s="189"/>
      <c r="O25" s="189"/>
      <c r="P25" s="189"/>
      <c r="Q25" s="189"/>
      <c r="R25" s="189"/>
      <c r="S25" s="189"/>
      <c r="T25" s="189"/>
      <c r="U25" s="189"/>
      <c r="V25" s="189"/>
      <c r="W25" s="189"/>
      <c r="X25" s="189"/>
      <c r="Y25" s="189"/>
      <c r="Z25" s="189"/>
    </row>
    <row r="26" spans="1:26" ht="18" customHeight="1">
      <c r="A26" s="7"/>
      <c r="B26" s="141" t="s">
        <v>77</v>
      </c>
      <c r="C26" s="142"/>
      <c r="D26" s="142"/>
      <c r="E26" s="142"/>
      <c r="F26" s="143"/>
      <c r="G26" s="21" t="s">
        <v>78</v>
      </c>
      <c r="H26" s="44" t="s">
        <v>79</v>
      </c>
      <c r="I26" s="142" t="s">
        <v>80</v>
      </c>
      <c r="J26" s="142"/>
      <c r="K26" s="142"/>
      <c r="L26" s="23" t="s">
        <v>87</v>
      </c>
      <c r="M26" s="23" t="s">
        <v>88</v>
      </c>
      <c r="N26" s="141" t="s">
        <v>77</v>
      </c>
      <c r="O26" s="142"/>
      <c r="P26" s="142"/>
      <c r="Q26" s="142"/>
      <c r="R26" s="142"/>
      <c r="S26" s="143"/>
      <c r="T26" s="21" t="s">
        <v>78</v>
      </c>
      <c r="U26" s="44" t="s">
        <v>79</v>
      </c>
      <c r="V26" s="142" t="s">
        <v>80</v>
      </c>
      <c r="W26" s="142"/>
      <c r="X26" s="142"/>
      <c r="Y26" s="23" t="s">
        <v>87</v>
      </c>
      <c r="Z26" s="23" t="s">
        <v>88</v>
      </c>
    </row>
    <row r="27" spans="1:26" ht="18" customHeight="1">
      <c r="A27" s="7"/>
      <c r="B27" s="180" t="s">
        <v>83</v>
      </c>
      <c r="C27" s="181"/>
      <c r="D27" s="181"/>
      <c r="E27" s="181"/>
      <c r="F27" s="182"/>
      <c r="G27" s="45">
        <v>2</v>
      </c>
      <c r="H27" s="45" t="s">
        <v>84</v>
      </c>
      <c r="I27" s="174" t="s">
        <v>85</v>
      </c>
      <c r="J27" s="175"/>
      <c r="K27" s="176"/>
      <c r="L27" s="45" t="s">
        <v>84</v>
      </c>
      <c r="M27" s="45" t="s">
        <v>84</v>
      </c>
      <c r="N27" s="148"/>
      <c r="O27" s="149"/>
      <c r="P27" s="149"/>
      <c r="Q27" s="149"/>
      <c r="R27" s="149"/>
      <c r="S27" s="150"/>
      <c r="T27" s="45"/>
      <c r="U27" s="45"/>
      <c r="V27" s="174"/>
      <c r="W27" s="175"/>
      <c r="X27" s="176"/>
      <c r="Y27" s="45"/>
      <c r="Z27" s="45"/>
    </row>
    <row r="28" spans="1:26" ht="18" customHeight="1">
      <c r="A28" s="7"/>
      <c r="B28" s="183"/>
      <c r="C28" s="184"/>
      <c r="D28" s="184"/>
      <c r="E28" s="184"/>
      <c r="F28" s="185"/>
      <c r="G28" s="46"/>
      <c r="H28" s="46"/>
      <c r="I28" s="177"/>
      <c r="J28" s="178"/>
      <c r="K28" s="179"/>
      <c r="L28" s="46"/>
      <c r="M28" s="46"/>
      <c r="N28" s="157"/>
      <c r="O28" s="158"/>
      <c r="P28" s="158"/>
      <c r="Q28" s="158"/>
      <c r="R28" s="158"/>
      <c r="S28" s="159"/>
      <c r="T28" s="46"/>
      <c r="U28" s="46"/>
      <c r="V28" s="177"/>
      <c r="W28" s="178"/>
      <c r="X28" s="179"/>
      <c r="Y28" s="46"/>
      <c r="Z28" s="46"/>
    </row>
    <row r="29" spans="1:26" ht="18" customHeight="1">
      <c r="A29" s="7"/>
      <c r="B29" s="183"/>
      <c r="C29" s="184"/>
      <c r="D29" s="184"/>
      <c r="E29" s="184"/>
      <c r="F29" s="185"/>
      <c r="G29" s="46"/>
      <c r="H29" s="46"/>
      <c r="I29" s="177"/>
      <c r="J29" s="178"/>
      <c r="K29" s="179"/>
      <c r="L29" s="46"/>
      <c r="M29" s="46"/>
      <c r="N29" s="157"/>
      <c r="O29" s="158"/>
      <c r="P29" s="158"/>
      <c r="Q29" s="158"/>
      <c r="R29" s="158"/>
      <c r="S29" s="159"/>
      <c r="T29" s="46"/>
      <c r="U29" s="46"/>
      <c r="V29" s="177"/>
      <c r="W29" s="178"/>
      <c r="X29" s="179"/>
      <c r="Y29" s="46"/>
      <c r="Z29" s="46"/>
    </row>
    <row r="30" spans="1:26" ht="18" customHeight="1">
      <c r="A30" s="7"/>
      <c r="B30" s="183"/>
      <c r="C30" s="184"/>
      <c r="D30" s="184"/>
      <c r="E30" s="184"/>
      <c r="F30" s="185"/>
      <c r="G30" s="46"/>
      <c r="H30" s="46"/>
      <c r="I30" s="177"/>
      <c r="J30" s="178"/>
      <c r="K30" s="179"/>
      <c r="L30" s="46"/>
      <c r="M30" s="46"/>
      <c r="N30" s="157"/>
      <c r="O30" s="158"/>
      <c r="P30" s="158"/>
      <c r="Q30" s="158"/>
      <c r="R30" s="158"/>
      <c r="S30" s="159"/>
      <c r="T30" s="46"/>
      <c r="U30" s="46"/>
      <c r="V30" s="177"/>
      <c r="W30" s="178"/>
      <c r="X30" s="179"/>
      <c r="Y30" s="46"/>
      <c r="Z30" s="46"/>
    </row>
    <row r="31" spans="1:26" ht="18" customHeight="1">
      <c r="A31" s="7"/>
      <c r="B31" s="183"/>
      <c r="C31" s="184"/>
      <c r="D31" s="184"/>
      <c r="E31" s="184"/>
      <c r="F31" s="185"/>
      <c r="G31" s="46"/>
      <c r="H31" s="46"/>
      <c r="I31" s="177"/>
      <c r="J31" s="178"/>
      <c r="K31" s="179"/>
      <c r="L31" s="46"/>
      <c r="M31" s="46"/>
      <c r="N31" s="157"/>
      <c r="O31" s="158"/>
      <c r="P31" s="158"/>
      <c r="Q31" s="158"/>
      <c r="R31" s="158"/>
      <c r="S31" s="159"/>
      <c r="T31" s="46"/>
      <c r="U31" s="46"/>
      <c r="V31" s="177"/>
      <c r="W31" s="178"/>
      <c r="X31" s="179"/>
      <c r="Y31" s="46"/>
      <c r="Z31" s="46"/>
    </row>
    <row r="32" spans="1:26" ht="18" customHeight="1">
      <c r="A32" s="7"/>
      <c r="B32" s="183"/>
      <c r="C32" s="184"/>
      <c r="D32" s="184"/>
      <c r="E32" s="184"/>
      <c r="F32" s="185"/>
      <c r="G32" s="46"/>
      <c r="H32" s="46"/>
      <c r="I32" s="177"/>
      <c r="J32" s="178"/>
      <c r="K32" s="179"/>
      <c r="L32" s="46"/>
      <c r="M32" s="46"/>
      <c r="N32" s="157"/>
      <c r="O32" s="158"/>
      <c r="P32" s="158"/>
      <c r="Q32" s="158"/>
      <c r="R32" s="158"/>
      <c r="S32" s="159"/>
      <c r="T32" s="46"/>
      <c r="U32" s="46"/>
      <c r="V32" s="177"/>
      <c r="W32" s="178"/>
      <c r="X32" s="179"/>
      <c r="Y32" s="46"/>
      <c r="Z32" s="46"/>
    </row>
    <row r="33" spans="1:26" ht="18" customHeight="1">
      <c r="A33" s="7"/>
      <c r="B33" s="190"/>
      <c r="C33" s="191"/>
      <c r="D33" s="191"/>
      <c r="E33" s="191"/>
      <c r="F33" s="192"/>
      <c r="G33" s="47"/>
      <c r="H33" s="47"/>
      <c r="I33" s="186"/>
      <c r="J33" s="187"/>
      <c r="K33" s="188"/>
      <c r="L33" s="49"/>
      <c r="M33" s="49"/>
      <c r="N33" s="204"/>
      <c r="O33" s="205"/>
      <c r="P33" s="205"/>
      <c r="Q33" s="205"/>
      <c r="R33" s="205"/>
      <c r="S33" s="206"/>
      <c r="T33" s="47"/>
      <c r="U33" s="47"/>
      <c r="V33" s="186"/>
      <c r="W33" s="187"/>
      <c r="X33" s="188"/>
      <c r="Y33" s="49"/>
      <c r="Z33" s="49"/>
    </row>
    <row r="34" spans="1:26" ht="7.5" customHeight="1">
      <c r="A34" s="20"/>
      <c r="B34" s="24"/>
      <c r="C34" s="24"/>
      <c r="D34" s="20"/>
      <c r="E34" s="20"/>
      <c r="F34" s="20"/>
      <c r="G34" s="20"/>
      <c r="H34" s="20"/>
      <c r="I34" s="20"/>
      <c r="J34" s="20"/>
      <c r="K34" s="20"/>
      <c r="L34" s="24"/>
      <c r="M34" s="24"/>
      <c r="N34" s="24"/>
      <c r="O34" s="24"/>
      <c r="P34" s="24"/>
      <c r="Q34" s="24"/>
      <c r="R34" s="24"/>
      <c r="S34" s="24"/>
      <c r="T34" s="24"/>
      <c r="U34" s="24"/>
      <c r="V34" s="24"/>
      <c r="W34" s="24"/>
      <c r="X34" s="24"/>
      <c r="Y34" s="24"/>
      <c r="Z34" s="20"/>
    </row>
    <row r="35" spans="1:26" ht="18" customHeight="1">
      <c r="A35" s="189" t="s">
        <v>89</v>
      </c>
      <c r="B35" s="189"/>
      <c r="C35" s="189"/>
      <c r="D35" s="189"/>
      <c r="E35" s="189"/>
      <c r="F35" s="189"/>
      <c r="G35" s="189"/>
      <c r="H35" s="189"/>
      <c r="I35" s="189"/>
      <c r="J35" s="189"/>
      <c r="K35" s="189"/>
      <c r="L35" s="189"/>
      <c r="M35" s="189"/>
      <c r="N35" s="189"/>
      <c r="O35" s="189"/>
      <c r="P35" s="189"/>
      <c r="Q35" s="189"/>
      <c r="R35" s="189"/>
      <c r="S35" s="189"/>
      <c r="T35" s="189"/>
      <c r="U35" s="189"/>
      <c r="V35" s="189"/>
      <c r="W35" s="189"/>
      <c r="X35" s="189"/>
      <c r="Y35" s="189"/>
      <c r="Z35" s="189"/>
    </row>
    <row r="36" spans="1:26" ht="18" customHeight="1">
      <c r="A36" s="189"/>
      <c r="B36" s="189"/>
      <c r="C36" s="189"/>
      <c r="D36" s="189"/>
      <c r="E36" s="189"/>
      <c r="F36" s="189"/>
      <c r="G36" s="189"/>
      <c r="H36" s="189"/>
      <c r="I36" s="189"/>
      <c r="J36" s="189"/>
      <c r="K36" s="189"/>
      <c r="L36" s="189"/>
      <c r="M36" s="189"/>
      <c r="N36" s="189"/>
      <c r="O36" s="189"/>
      <c r="P36" s="189"/>
      <c r="Q36" s="189"/>
      <c r="R36" s="189"/>
      <c r="S36" s="189"/>
      <c r="T36" s="189"/>
      <c r="U36" s="189"/>
      <c r="V36" s="189"/>
      <c r="W36" s="189"/>
      <c r="X36" s="189"/>
      <c r="Y36" s="189"/>
      <c r="Z36" s="189"/>
    </row>
    <row r="37" spans="1:26" ht="18" customHeight="1">
      <c r="A37" s="7"/>
      <c r="B37" s="141" t="s">
        <v>77</v>
      </c>
      <c r="C37" s="142"/>
      <c r="D37" s="142"/>
      <c r="E37" s="142"/>
      <c r="F37" s="143"/>
      <c r="G37" s="21" t="s">
        <v>78</v>
      </c>
      <c r="H37" s="44" t="s">
        <v>79</v>
      </c>
      <c r="I37" s="141" t="s">
        <v>80</v>
      </c>
      <c r="J37" s="142"/>
      <c r="K37" s="143"/>
      <c r="L37" s="23" t="s">
        <v>90</v>
      </c>
      <c r="M37" s="23" t="s">
        <v>91</v>
      </c>
      <c r="N37" s="141" t="s">
        <v>77</v>
      </c>
      <c r="O37" s="142"/>
      <c r="P37" s="142"/>
      <c r="Q37" s="142"/>
      <c r="R37" s="142"/>
      <c r="S37" s="143"/>
      <c r="T37" s="21" t="s">
        <v>78</v>
      </c>
      <c r="U37" s="44" t="s">
        <v>79</v>
      </c>
      <c r="V37" s="141" t="s">
        <v>80</v>
      </c>
      <c r="W37" s="142"/>
      <c r="X37" s="143"/>
      <c r="Y37" s="23" t="s">
        <v>90</v>
      </c>
      <c r="Z37" s="23" t="s">
        <v>91</v>
      </c>
    </row>
    <row r="38" spans="1:26" ht="18" customHeight="1">
      <c r="A38" s="20"/>
      <c r="B38" s="180" t="s">
        <v>83</v>
      </c>
      <c r="C38" s="181"/>
      <c r="D38" s="181"/>
      <c r="E38" s="181"/>
      <c r="F38" s="182"/>
      <c r="G38" s="45">
        <v>2</v>
      </c>
      <c r="H38" s="45" t="s">
        <v>84</v>
      </c>
      <c r="I38" s="174" t="s">
        <v>85</v>
      </c>
      <c r="J38" s="175"/>
      <c r="K38" s="176"/>
      <c r="L38" s="45" t="s">
        <v>84</v>
      </c>
      <c r="M38" s="45" t="s">
        <v>84</v>
      </c>
      <c r="N38" s="148"/>
      <c r="O38" s="149"/>
      <c r="P38" s="149"/>
      <c r="Q38" s="149"/>
      <c r="R38" s="149"/>
      <c r="S38" s="150"/>
      <c r="T38" s="45"/>
      <c r="U38" s="45"/>
      <c r="V38" s="174"/>
      <c r="W38" s="175"/>
      <c r="X38" s="176"/>
      <c r="Y38" s="45"/>
      <c r="Z38" s="45"/>
    </row>
    <row r="39" spans="1:26" ht="18" customHeight="1">
      <c r="A39" s="20"/>
      <c r="B39" s="183"/>
      <c r="C39" s="184"/>
      <c r="D39" s="184"/>
      <c r="E39" s="184"/>
      <c r="F39" s="185"/>
      <c r="G39" s="46"/>
      <c r="H39" s="46"/>
      <c r="I39" s="177"/>
      <c r="J39" s="178"/>
      <c r="K39" s="179"/>
      <c r="L39" s="46"/>
      <c r="M39" s="46"/>
      <c r="N39" s="157"/>
      <c r="O39" s="158"/>
      <c r="P39" s="158"/>
      <c r="Q39" s="158"/>
      <c r="R39" s="158"/>
      <c r="S39" s="159"/>
      <c r="T39" s="46"/>
      <c r="U39" s="46"/>
      <c r="V39" s="177"/>
      <c r="W39" s="178"/>
      <c r="X39" s="179"/>
      <c r="Y39" s="46"/>
      <c r="Z39" s="46"/>
    </row>
    <row r="40" spans="1:26" ht="18" customHeight="1">
      <c r="A40" s="20"/>
      <c r="B40" s="183"/>
      <c r="C40" s="184"/>
      <c r="D40" s="184"/>
      <c r="E40" s="184"/>
      <c r="F40" s="185"/>
      <c r="G40" s="46"/>
      <c r="H40" s="46"/>
      <c r="I40" s="177"/>
      <c r="J40" s="178"/>
      <c r="K40" s="179"/>
      <c r="L40" s="46"/>
      <c r="M40" s="46"/>
      <c r="N40" s="157"/>
      <c r="O40" s="158"/>
      <c r="P40" s="158"/>
      <c r="Q40" s="158"/>
      <c r="R40" s="158"/>
      <c r="S40" s="159"/>
      <c r="T40" s="46"/>
      <c r="U40" s="46"/>
      <c r="V40" s="177"/>
      <c r="W40" s="178"/>
      <c r="X40" s="179"/>
      <c r="Y40" s="46"/>
      <c r="Z40" s="46"/>
    </row>
    <row r="41" spans="1:26" ht="18" customHeight="1">
      <c r="A41" s="20"/>
      <c r="B41" s="183"/>
      <c r="C41" s="184"/>
      <c r="D41" s="184"/>
      <c r="E41" s="184"/>
      <c r="F41" s="185"/>
      <c r="G41" s="46"/>
      <c r="H41" s="46"/>
      <c r="I41" s="177"/>
      <c r="J41" s="178"/>
      <c r="K41" s="179"/>
      <c r="L41" s="46"/>
      <c r="M41" s="46"/>
      <c r="N41" s="157"/>
      <c r="O41" s="158"/>
      <c r="P41" s="158"/>
      <c r="Q41" s="158"/>
      <c r="R41" s="158"/>
      <c r="S41" s="159"/>
      <c r="T41" s="46"/>
      <c r="U41" s="46"/>
      <c r="V41" s="177"/>
      <c r="W41" s="178"/>
      <c r="X41" s="179"/>
      <c r="Y41" s="46"/>
      <c r="Z41" s="46"/>
    </row>
    <row r="42" spans="1:26" ht="18" customHeight="1">
      <c r="A42" s="20"/>
      <c r="B42" s="183"/>
      <c r="C42" s="184"/>
      <c r="D42" s="184"/>
      <c r="E42" s="184"/>
      <c r="F42" s="185"/>
      <c r="G42" s="46"/>
      <c r="H42" s="46"/>
      <c r="I42" s="177"/>
      <c r="J42" s="178"/>
      <c r="K42" s="179"/>
      <c r="L42" s="46"/>
      <c r="M42" s="46"/>
      <c r="N42" s="157"/>
      <c r="O42" s="158"/>
      <c r="P42" s="158"/>
      <c r="Q42" s="158"/>
      <c r="R42" s="158"/>
      <c r="S42" s="159"/>
      <c r="T42" s="46"/>
      <c r="U42" s="46"/>
      <c r="V42" s="177"/>
      <c r="W42" s="178"/>
      <c r="X42" s="179"/>
      <c r="Y42" s="46"/>
      <c r="Z42" s="46"/>
    </row>
    <row r="43" spans="1:26" ht="18" customHeight="1">
      <c r="A43" s="20"/>
      <c r="B43" s="183"/>
      <c r="C43" s="184"/>
      <c r="D43" s="184"/>
      <c r="E43" s="184"/>
      <c r="F43" s="185"/>
      <c r="G43" s="46"/>
      <c r="H43" s="46"/>
      <c r="I43" s="177"/>
      <c r="J43" s="178"/>
      <c r="K43" s="179"/>
      <c r="L43" s="46"/>
      <c r="M43" s="46"/>
      <c r="N43" s="157"/>
      <c r="O43" s="158"/>
      <c r="P43" s="158"/>
      <c r="Q43" s="158"/>
      <c r="R43" s="158"/>
      <c r="S43" s="159"/>
      <c r="T43" s="46"/>
      <c r="U43" s="46"/>
      <c r="V43" s="177"/>
      <c r="W43" s="178"/>
      <c r="X43" s="179"/>
      <c r="Y43" s="46"/>
      <c r="Z43" s="46"/>
    </row>
    <row r="44" spans="1:26" ht="18" customHeight="1">
      <c r="A44" s="20"/>
      <c r="B44" s="190"/>
      <c r="C44" s="191"/>
      <c r="D44" s="191"/>
      <c r="E44" s="191"/>
      <c r="F44" s="192"/>
      <c r="G44" s="47"/>
      <c r="H44" s="47"/>
      <c r="I44" s="186"/>
      <c r="J44" s="187"/>
      <c r="K44" s="188"/>
      <c r="L44" s="49"/>
      <c r="M44" s="49"/>
      <c r="N44" s="204"/>
      <c r="O44" s="205"/>
      <c r="P44" s="205"/>
      <c r="Q44" s="205"/>
      <c r="R44" s="205"/>
      <c r="S44" s="206"/>
      <c r="T44" s="47"/>
      <c r="U44" s="47"/>
      <c r="V44" s="186"/>
      <c r="W44" s="187"/>
      <c r="X44" s="188"/>
      <c r="Y44" s="49"/>
      <c r="Z44" s="49"/>
    </row>
    <row r="45" spans="1:26" ht="7.5" customHeight="1">
      <c r="B45" s="25"/>
      <c r="C45" s="25"/>
      <c r="D45" s="25"/>
      <c r="E45" s="25"/>
      <c r="F45" s="25"/>
      <c r="G45" s="25"/>
      <c r="H45" s="25"/>
      <c r="I45" s="25"/>
      <c r="J45" s="25"/>
      <c r="K45" s="25"/>
      <c r="L45" s="25"/>
      <c r="M45" s="25"/>
      <c r="N45" s="25"/>
      <c r="O45" s="25"/>
      <c r="P45" s="25"/>
      <c r="Q45" s="25"/>
      <c r="R45" s="25"/>
      <c r="S45" s="25"/>
      <c r="T45" s="25"/>
      <c r="U45" s="25"/>
      <c r="V45" s="25"/>
      <c r="W45" s="25"/>
      <c r="X45" s="25"/>
      <c r="Y45" s="25"/>
    </row>
    <row r="46" spans="1:26" ht="18" customHeight="1">
      <c r="A46" s="189" t="s">
        <v>92</v>
      </c>
      <c r="B46" s="189"/>
      <c r="C46" s="189"/>
      <c r="D46" s="189"/>
      <c r="E46" s="189"/>
      <c r="F46" s="189"/>
      <c r="G46" s="189"/>
      <c r="H46" s="189"/>
      <c r="I46" s="189"/>
      <c r="J46" s="189"/>
      <c r="K46" s="189"/>
      <c r="L46" s="189"/>
      <c r="M46" s="189"/>
      <c r="N46" s="189"/>
      <c r="O46" s="189"/>
      <c r="P46" s="189"/>
      <c r="Q46" s="189"/>
      <c r="R46" s="189"/>
      <c r="S46" s="189"/>
      <c r="T46" s="189"/>
      <c r="U46" s="189"/>
      <c r="V46" s="189"/>
      <c r="W46" s="189"/>
      <c r="X46" s="189"/>
      <c r="Y46" s="189"/>
      <c r="Z46" s="189"/>
    </row>
    <row r="47" spans="1:26" ht="18" customHeight="1">
      <c r="A47" s="189"/>
      <c r="B47" s="189"/>
      <c r="C47" s="189"/>
      <c r="D47" s="189"/>
      <c r="E47" s="189"/>
      <c r="F47" s="189"/>
      <c r="G47" s="189"/>
      <c r="H47" s="189"/>
      <c r="I47" s="189"/>
      <c r="J47" s="189"/>
      <c r="K47" s="189"/>
      <c r="L47" s="189"/>
      <c r="M47" s="189"/>
      <c r="N47" s="189"/>
      <c r="O47" s="189"/>
      <c r="P47" s="189"/>
      <c r="Q47" s="189"/>
      <c r="R47" s="189"/>
      <c r="S47" s="189"/>
      <c r="T47" s="189"/>
      <c r="U47" s="189"/>
      <c r="V47" s="189"/>
      <c r="W47" s="189"/>
      <c r="X47" s="189"/>
      <c r="Y47" s="189"/>
      <c r="Z47" s="189"/>
    </row>
    <row r="48" spans="1:26" ht="18" customHeight="1">
      <c r="A48" s="7"/>
      <c r="B48" s="141" t="s">
        <v>77</v>
      </c>
      <c r="C48" s="142"/>
      <c r="D48" s="142"/>
      <c r="E48" s="142"/>
      <c r="F48" s="143"/>
      <c r="G48" s="21" t="s">
        <v>78</v>
      </c>
      <c r="H48" s="44" t="s">
        <v>79</v>
      </c>
      <c r="I48" s="141" t="s">
        <v>80</v>
      </c>
      <c r="J48" s="142"/>
      <c r="K48" s="143"/>
      <c r="L48" s="23" t="s">
        <v>93</v>
      </c>
      <c r="M48" s="23" t="s">
        <v>94</v>
      </c>
      <c r="N48" s="141" t="s">
        <v>77</v>
      </c>
      <c r="O48" s="142"/>
      <c r="P48" s="142"/>
      <c r="Q48" s="142"/>
      <c r="R48" s="142"/>
      <c r="S48" s="143"/>
      <c r="T48" s="21" t="s">
        <v>78</v>
      </c>
      <c r="U48" s="44" t="s">
        <v>79</v>
      </c>
      <c r="V48" s="141" t="s">
        <v>80</v>
      </c>
      <c r="W48" s="142"/>
      <c r="X48" s="143"/>
      <c r="Y48" s="23" t="s">
        <v>93</v>
      </c>
      <c r="Z48" s="23" t="s">
        <v>94</v>
      </c>
    </row>
    <row r="49" spans="1:26" ht="18" customHeight="1">
      <c r="A49" s="20"/>
      <c r="B49" s="180" t="s">
        <v>83</v>
      </c>
      <c r="C49" s="181"/>
      <c r="D49" s="181"/>
      <c r="E49" s="181"/>
      <c r="F49" s="182"/>
      <c r="G49" s="45">
        <v>2</v>
      </c>
      <c r="H49" s="45" t="s">
        <v>84</v>
      </c>
      <c r="I49" s="174" t="s">
        <v>85</v>
      </c>
      <c r="J49" s="175"/>
      <c r="K49" s="176"/>
      <c r="L49" s="45" t="s">
        <v>84</v>
      </c>
      <c r="M49" s="45" t="s">
        <v>84</v>
      </c>
      <c r="N49" s="148"/>
      <c r="O49" s="149"/>
      <c r="P49" s="149"/>
      <c r="Q49" s="149"/>
      <c r="R49" s="149"/>
      <c r="S49" s="150"/>
      <c r="T49" s="45"/>
      <c r="U49" s="45"/>
      <c r="V49" s="174"/>
      <c r="W49" s="175"/>
      <c r="X49" s="176"/>
      <c r="Y49" s="45"/>
      <c r="Z49" s="45"/>
    </row>
    <row r="50" spans="1:26" ht="18" customHeight="1">
      <c r="A50" s="20"/>
      <c r="B50" s="183"/>
      <c r="C50" s="184"/>
      <c r="D50" s="184"/>
      <c r="E50" s="184"/>
      <c r="F50" s="185"/>
      <c r="G50" s="46"/>
      <c r="H50" s="46"/>
      <c r="I50" s="177"/>
      <c r="J50" s="178"/>
      <c r="K50" s="179"/>
      <c r="L50" s="46"/>
      <c r="M50" s="46"/>
      <c r="N50" s="157"/>
      <c r="O50" s="158"/>
      <c r="P50" s="158"/>
      <c r="Q50" s="158"/>
      <c r="R50" s="158"/>
      <c r="S50" s="159"/>
      <c r="T50" s="46"/>
      <c r="U50" s="46"/>
      <c r="V50" s="177"/>
      <c r="W50" s="178"/>
      <c r="X50" s="179"/>
      <c r="Y50" s="46"/>
      <c r="Z50" s="46"/>
    </row>
    <row r="51" spans="1:26" ht="18" customHeight="1">
      <c r="A51" s="20"/>
      <c r="B51" s="183"/>
      <c r="C51" s="184"/>
      <c r="D51" s="184"/>
      <c r="E51" s="184"/>
      <c r="F51" s="185"/>
      <c r="G51" s="46"/>
      <c r="H51" s="46"/>
      <c r="I51" s="177"/>
      <c r="J51" s="178"/>
      <c r="K51" s="179"/>
      <c r="L51" s="46"/>
      <c r="M51" s="46"/>
      <c r="N51" s="157"/>
      <c r="O51" s="158"/>
      <c r="P51" s="158"/>
      <c r="Q51" s="158"/>
      <c r="R51" s="158"/>
      <c r="S51" s="159"/>
      <c r="T51" s="46"/>
      <c r="U51" s="46"/>
      <c r="V51" s="177"/>
      <c r="W51" s="178"/>
      <c r="X51" s="179"/>
      <c r="Y51" s="46"/>
      <c r="Z51" s="46"/>
    </row>
    <row r="52" spans="1:26" ht="18" customHeight="1">
      <c r="A52" s="20"/>
      <c r="B52" s="183"/>
      <c r="C52" s="184"/>
      <c r="D52" s="184"/>
      <c r="E52" s="184"/>
      <c r="F52" s="185"/>
      <c r="G52" s="46"/>
      <c r="H52" s="46"/>
      <c r="I52" s="177"/>
      <c r="J52" s="178"/>
      <c r="K52" s="179"/>
      <c r="L52" s="46"/>
      <c r="M52" s="46"/>
      <c r="N52" s="157"/>
      <c r="O52" s="158"/>
      <c r="P52" s="158"/>
      <c r="Q52" s="158"/>
      <c r="R52" s="158"/>
      <c r="S52" s="159"/>
      <c r="T52" s="46"/>
      <c r="U52" s="46"/>
      <c r="V52" s="177"/>
      <c r="W52" s="178"/>
      <c r="X52" s="179"/>
      <c r="Y52" s="46"/>
      <c r="Z52" s="46"/>
    </row>
    <row r="53" spans="1:26" ht="18" customHeight="1">
      <c r="A53" s="20"/>
      <c r="B53" s="183"/>
      <c r="C53" s="184"/>
      <c r="D53" s="184"/>
      <c r="E53" s="184"/>
      <c r="F53" s="185"/>
      <c r="G53" s="46"/>
      <c r="H53" s="46"/>
      <c r="I53" s="177"/>
      <c r="J53" s="178"/>
      <c r="K53" s="179"/>
      <c r="L53" s="46"/>
      <c r="M53" s="46"/>
      <c r="N53" s="157"/>
      <c r="O53" s="158"/>
      <c r="P53" s="158"/>
      <c r="Q53" s="158"/>
      <c r="R53" s="158"/>
      <c r="S53" s="159"/>
      <c r="T53" s="46"/>
      <c r="U53" s="46"/>
      <c r="V53" s="177"/>
      <c r="W53" s="178"/>
      <c r="X53" s="179"/>
      <c r="Y53" s="46"/>
      <c r="Z53" s="46"/>
    </row>
    <row r="54" spans="1:26" ht="18" customHeight="1">
      <c r="A54" s="20"/>
      <c r="B54" s="183"/>
      <c r="C54" s="184"/>
      <c r="D54" s="184"/>
      <c r="E54" s="184"/>
      <c r="F54" s="185"/>
      <c r="G54" s="46"/>
      <c r="H54" s="46"/>
      <c r="I54" s="177"/>
      <c r="J54" s="178"/>
      <c r="K54" s="179"/>
      <c r="L54" s="46"/>
      <c r="M54" s="46"/>
      <c r="N54" s="157"/>
      <c r="O54" s="158"/>
      <c r="P54" s="158"/>
      <c r="Q54" s="158"/>
      <c r="R54" s="158"/>
      <c r="S54" s="159"/>
      <c r="T54" s="46"/>
      <c r="U54" s="46"/>
      <c r="V54" s="177"/>
      <c r="W54" s="178"/>
      <c r="X54" s="179"/>
      <c r="Y54" s="46"/>
      <c r="Z54" s="46"/>
    </row>
    <row r="55" spans="1:26" ht="18" customHeight="1">
      <c r="A55" s="20"/>
      <c r="B55" s="190"/>
      <c r="C55" s="191"/>
      <c r="D55" s="191"/>
      <c r="E55" s="191"/>
      <c r="F55" s="192"/>
      <c r="G55" s="47"/>
      <c r="H55" s="47"/>
      <c r="I55" s="186"/>
      <c r="J55" s="187"/>
      <c r="K55" s="188"/>
      <c r="L55" s="49"/>
      <c r="M55" s="49"/>
      <c r="N55" s="204"/>
      <c r="O55" s="205"/>
      <c r="P55" s="205"/>
      <c r="Q55" s="205"/>
      <c r="R55" s="205"/>
      <c r="S55" s="206"/>
      <c r="T55" s="47"/>
      <c r="U55" s="47"/>
      <c r="V55" s="186"/>
      <c r="W55" s="187"/>
      <c r="X55" s="188"/>
      <c r="Y55" s="49"/>
      <c r="Z55" s="49"/>
    </row>
    <row r="56" spans="1:26" ht="7.5" customHeight="1">
      <c r="B56" s="25"/>
      <c r="C56" s="25"/>
      <c r="D56" s="25"/>
      <c r="E56" s="25"/>
      <c r="F56" s="25"/>
      <c r="G56" s="25"/>
      <c r="H56" s="25"/>
      <c r="I56" s="25"/>
      <c r="J56" s="25"/>
      <c r="K56" s="25"/>
      <c r="L56" s="25"/>
      <c r="M56" s="25"/>
      <c r="N56" s="25"/>
      <c r="O56" s="25"/>
      <c r="P56" s="25"/>
      <c r="Q56" s="25"/>
      <c r="R56" s="25"/>
      <c r="S56" s="25"/>
      <c r="T56" s="25"/>
      <c r="U56" s="25"/>
      <c r="V56" s="25"/>
      <c r="W56" s="25"/>
      <c r="X56" s="25"/>
      <c r="Y56" s="25"/>
    </row>
    <row r="57" spans="1:26" ht="18" customHeight="1">
      <c r="A57" s="189" t="s">
        <v>95</v>
      </c>
      <c r="B57" s="189"/>
      <c r="C57" s="189"/>
      <c r="D57" s="189"/>
      <c r="E57" s="189"/>
      <c r="F57" s="189"/>
      <c r="G57" s="189"/>
      <c r="H57" s="189"/>
      <c r="I57" s="189"/>
      <c r="J57" s="189"/>
      <c r="K57" s="189"/>
      <c r="L57" s="189"/>
      <c r="M57" s="189"/>
      <c r="N57" s="189"/>
      <c r="O57" s="189"/>
      <c r="P57" s="189"/>
      <c r="Q57" s="189"/>
      <c r="R57" s="189"/>
      <c r="S57" s="189"/>
      <c r="T57" s="189"/>
      <c r="U57" s="189"/>
      <c r="V57" s="189"/>
      <c r="W57" s="189"/>
      <c r="X57" s="189"/>
      <c r="Y57" s="189"/>
      <c r="Z57" s="189"/>
    </row>
    <row r="58" spans="1:26" ht="18" customHeight="1">
      <c r="A58" s="189"/>
      <c r="B58" s="189"/>
      <c r="C58" s="189"/>
      <c r="D58" s="189"/>
      <c r="E58" s="189"/>
      <c r="F58" s="189"/>
      <c r="G58" s="189"/>
      <c r="H58" s="189"/>
      <c r="I58" s="189"/>
      <c r="J58" s="189"/>
      <c r="K58" s="189"/>
      <c r="L58" s="189"/>
      <c r="M58" s="189"/>
      <c r="N58" s="189"/>
      <c r="O58" s="189"/>
      <c r="P58" s="189"/>
      <c r="Q58" s="189"/>
      <c r="R58" s="189"/>
      <c r="S58" s="189"/>
      <c r="T58" s="189"/>
      <c r="U58" s="189"/>
      <c r="V58" s="189"/>
      <c r="W58" s="189"/>
      <c r="X58" s="189"/>
      <c r="Y58" s="189"/>
      <c r="Z58" s="189"/>
    </row>
    <row r="59" spans="1:26" ht="18" customHeight="1">
      <c r="A59" s="7"/>
      <c r="B59" s="141" t="s">
        <v>77</v>
      </c>
      <c r="C59" s="142"/>
      <c r="D59" s="142"/>
      <c r="E59" s="143"/>
      <c r="F59" s="21" t="s">
        <v>78</v>
      </c>
      <c r="G59" s="44" t="s">
        <v>79</v>
      </c>
      <c r="H59" s="39" t="s">
        <v>80</v>
      </c>
      <c r="I59" s="40"/>
      <c r="J59" s="41"/>
      <c r="K59" s="23" t="s">
        <v>96</v>
      </c>
      <c r="L59" s="23" t="s">
        <v>97</v>
      </c>
      <c r="M59" s="23" t="s">
        <v>98</v>
      </c>
      <c r="N59" s="141" t="s">
        <v>77</v>
      </c>
      <c r="O59" s="142"/>
      <c r="P59" s="142"/>
      <c r="Q59" s="142"/>
      <c r="R59" s="143"/>
      <c r="S59" s="21" t="s">
        <v>78</v>
      </c>
      <c r="T59" s="44" t="s">
        <v>79</v>
      </c>
      <c r="U59" s="39" t="s">
        <v>80</v>
      </c>
      <c r="V59" s="40"/>
      <c r="W59" s="41"/>
      <c r="X59" s="23" t="s">
        <v>96</v>
      </c>
      <c r="Y59" s="23" t="s">
        <v>97</v>
      </c>
      <c r="Z59" s="23" t="s">
        <v>98</v>
      </c>
    </row>
    <row r="60" spans="1:26" ht="18" customHeight="1">
      <c r="A60" s="20"/>
      <c r="B60" s="148" t="s">
        <v>83</v>
      </c>
      <c r="C60" s="149"/>
      <c r="D60" s="149"/>
      <c r="E60" s="150"/>
      <c r="F60" s="45">
        <v>2</v>
      </c>
      <c r="G60" s="45" t="s">
        <v>84</v>
      </c>
      <c r="H60" s="174" t="s">
        <v>85</v>
      </c>
      <c r="I60" s="175"/>
      <c r="J60" s="176"/>
      <c r="K60" s="45" t="s">
        <v>84</v>
      </c>
      <c r="L60" s="45" t="s">
        <v>84</v>
      </c>
      <c r="M60" s="45" t="s">
        <v>84</v>
      </c>
      <c r="N60" s="148"/>
      <c r="O60" s="149"/>
      <c r="P60" s="149"/>
      <c r="Q60" s="149"/>
      <c r="R60" s="150"/>
      <c r="S60" s="45"/>
      <c r="T60" s="45"/>
      <c r="U60" s="174"/>
      <c r="V60" s="175"/>
      <c r="W60" s="176"/>
      <c r="X60" s="59"/>
      <c r="Y60" s="45"/>
      <c r="Z60" s="45"/>
    </row>
    <row r="61" spans="1:26" ht="18" customHeight="1">
      <c r="A61" s="20"/>
      <c r="B61" s="157"/>
      <c r="C61" s="158"/>
      <c r="D61" s="158"/>
      <c r="E61" s="159"/>
      <c r="F61" s="46"/>
      <c r="G61" s="46"/>
      <c r="H61" s="177"/>
      <c r="I61" s="178"/>
      <c r="J61" s="179"/>
      <c r="K61" s="56"/>
      <c r="L61" s="46"/>
      <c r="M61" s="46"/>
      <c r="N61" s="157"/>
      <c r="O61" s="158"/>
      <c r="P61" s="158"/>
      <c r="Q61" s="158"/>
      <c r="R61" s="159"/>
      <c r="S61" s="46"/>
      <c r="T61" s="46"/>
      <c r="U61" s="177"/>
      <c r="V61" s="178"/>
      <c r="W61" s="179"/>
      <c r="X61" s="56"/>
      <c r="Y61" s="46"/>
      <c r="Z61" s="46"/>
    </row>
    <row r="62" spans="1:26" ht="18" customHeight="1">
      <c r="A62" s="20"/>
      <c r="B62" s="157"/>
      <c r="C62" s="158"/>
      <c r="D62" s="158"/>
      <c r="E62" s="159"/>
      <c r="F62" s="46"/>
      <c r="G62" s="46"/>
      <c r="H62" s="177"/>
      <c r="I62" s="178"/>
      <c r="J62" s="179"/>
      <c r="K62" s="56"/>
      <c r="L62" s="46"/>
      <c r="M62" s="46"/>
      <c r="N62" s="157"/>
      <c r="O62" s="158"/>
      <c r="P62" s="158"/>
      <c r="Q62" s="158"/>
      <c r="R62" s="159"/>
      <c r="S62" s="46"/>
      <c r="T62" s="46"/>
      <c r="U62" s="177"/>
      <c r="V62" s="178"/>
      <c r="W62" s="179"/>
      <c r="X62" s="56"/>
      <c r="Y62" s="46"/>
      <c r="Z62" s="46"/>
    </row>
    <row r="63" spans="1:26" ht="18" customHeight="1">
      <c r="A63" s="20"/>
      <c r="B63" s="157"/>
      <c r="C63" s="158"/>
      <c r="D63" s="158"/>
      <c r="E63" s="159"/>
      <c r="F63" s="46"/>
      <c r="G63" s="46"/>
      <c r="H63" s="177"/>
      <c r="I63" s="178"/>
      <c r="J63" s="179"/>
      <c r="K63" s="56"/>
      <c r="L63" s="46"/>
      <c r="M63" s="46"/>
      <c r="N63" s="157"/>
      <c r="O63" s="158"/>
      <c r="P63" s="158"/>
      <c r="Q63" s="158"/>
      <c r="R63" s="159"/>
      <c r="S63" s="46"/>
      <c r="T63" s="46"/>
      <c r="U63" s="177"/>
      <c r="V63" s="178"/>
      <c r="W63" s="179"/>
      <c r="X63" s="56"/>
      <c r="Y63" s="46"/>
      <c r="Z63" s="46"/>
    </row>
    <row r="64" spans="1:26" ht="18" customHeight="1">
      <c r="A64" s="20"/>
      <c r="B64" s="157"/>
      <c r="C64" s="158"/>
      <c r="D64" s="158"/>
      <c r="E64" s="159"/>
      <c r="F64" s="46"/>
      <c r="G64" s="46"/>
      <c r="H64" s="177"/>
      <c r="I64" s="178"/>
      <c r="J64" s="179"/>
      <c r="K64" s="56"/>
      <c r="L64" s="46"/>
      <c r="M64" s="46"/>
      <c r="N64" s="157"/>
      <c r="O64" s="158"/>
      <c r="P64" s="158"/>
      <c r="Q64" s="158"/>
      <c r="R64" s="159"/>
      <c r="S64" s="46"/>
      <c r="T64" s="46"/>
      <c r="U64" s="177"/>
      <c r="V64" s="178"/>
      <c r="W64" s="179"/>
      <c r="X64" s="56"/>
      <c r="Y64" s="46"/>
      <c r="Z64" s="46"/>
    </row>
    <row r="65" spans="1:26" ht="18" customHeight="1">
      <c r="A65" s="20"/>
      <c r="B65" s="157"/>
      <c r="C65" s="158"/>
      <c r="D65" s="158"/>
      <c r="E65" s="159"/>
      <c r="F65" s="46"/>
      <c r="G65" s="46"/>
      <c r="H65" s="177"/>
      <c r="I65" s="178"/>
      <c r="J65" s="179"/>
      <c r="K65" s="56"/>
      <c r="L65" s="46"/>
      <c r="M65" s="46"/>
      <c r="N65" s="157"/>
      <c r="O65" s="158"/>
      <c r="P65" s="158"/>
      <c r="Q65" s="158"/>
      <c r="R65" s="159"/>
      <c r="S65" s="46"/>
      <c r="T65" s="46"/>
      <c r="U65" s="177"/>
      <c r="V65" s="178"/>
      <c r="W65" s="179"/>
      <c r="X65" s="56"/>
      <c r="Y65" s="46"/>
      <c r="Z65" s="46"/>
    </row>
    <row r="66" spans="1:26" ht="18" customHeight="1">
      <c r="A66" s="20"/>
      <c r="B66" s="204"/>
      <c r="C66" s="205"/>
      <c r="D66" s="205"/>
      <c r="E66" s="206"/>
      <c r="F66" s="47"/>
      <c r="G66" s="47"/>
      <c r="H66" s="186"/>
      <c r="I66" s="187"/>
      <c r="J66" s="188"/>
      <c r="K66" s="57"/>
      <c r="L66" s="49"/>
      <c r="M66" s="49"/>
      <c r="N66" s="204"/>
      <c r="O66" s="205"/>
      <c r="P66" s="205"/>
      <c r="Q66" s="205"/>
      <c r="R66" s="206"/>
      <c r="S66" s="47"/>
      <c r="T66" s="47"/>
      <c r="U66" s="186"/>
      <c r="V66" s="187"/>
      <c r="W66" s="188"/>
      <c r="X66" s="57"/>
      <c r="Y66" s="49"/>
      <c r="Z66" s="49"/>
    </row>
    <row r="67" spans="1:26" ht="7.5" customHeight="1">
      <c r="B67" s="25"/>
      <c r="C67" s="25"/>
      <c r="D67" s="25"/>
      <c r="E67" s="25"/>
      <c r="F67" s="25"/>
      <c r="G67" s="25"/>
      <c r="H67" s="25"/>
      <c r="I67" s="25"/>
      <c r="J67" s="25"/>
      <c r="K67" s="25"/>
      <c r="L67" s="25"/>
      <c r="M67" s="25"/>
      <c r="N67" s="25"/>
      <c r="O67" s="25"/>
      <c r="P67" s="25"/>
      <c r="Q67" s="25"/>
      <c r="R67" s="25"/>
      <c r="S67" s="25"/>
      <c r="T67" s="25"/>
      <c r="U67" s="25"/>
      <c r="V67" s="25"/>
      <c r="W67" s="25"/>
      <c r="X67" s="25"/>
      <c r="Y67" s="25"/>
    </row>
    <row r="68" spans="1:26" ht="18" customHeight="1">
      <c r="A68" s="7" t="s">
        <v>99</v>
      </c>
      <c r="B68" s="7"/>
      <c r="C68" s="7"/>
      <c r="D68" s="7"/>
      <c r="E68" s="7"/>
      <c r="F68" s="7"/>
      <c r="G68" s="7"/>
      <c r="H68" s="7"/>
      <c r="I68" s="7"/>
      <c r="J68" s="7"/>
      <c r="K68" s="7"/>
      <c r="L68" s="20"/>
      <c r="M68" s="20"/>
      <c r="N68" s="20"/>
      <c r="O68" s="20"/>
      <c r="P68" s="20"/>
      <c r="Q68" s="20"/>
      <c r="R68" s="20"/>
      <c r="S68" s="20"/>
      <c r="T68" s="20"/>
      <c r="U68" s="20"/>
      <c r="V68" s="20"/>
      <c r="W68" s="20"/>
      <c r="X68" s="20"/>
      <c r="Y68" s="20"/>
      <c r="Z68" s="20"/>
    </row>
    <row r="69" spans="1:26" ht="18" customHeight="1">
      <c r="A69" s="7"/>
      <c r="B69" s="141" t="s">
        <v>77</v>
      </c>
      <c r="C69" s="142"/>
      <c r="D69" s="142"/>
      <c r="E69" s="142"/>
      <c r="F69" s="143"/>
      <c r="G69" s="141" t="s">
        <v>100</v>
      </c>
      <c r="H69" s="142"/>
      <c r="I69" s="142"/>
      <c r="J69" s="142"/>
      <c r="K69" s="142"/>
      <c r="L69" s="142"/>
      <c r="M69" s="143"/>
      <c r="N69" s="210" t="s">
        <v>77</v>
      </c>
      <c r="O69" s="211"/>
      <c r="P69" s="211"/>
      <c r="Q69" s="211"/>
      <c r="R69" s="211"/>
      <c r="S69" s="212"/>
      <c r="T69" s="141" t="s">
        <v>100</v>
      </c>
      <c r="U69" s="142"/>
      <c r="V69" s="142"/>
      <c r="W69" s="142"/>
      <c r="X69" s="142"/>
      <c r="Y69" s="142"/>
      <c r="Z69" s="143"/>
    </row>
    <row r="70" spans="1:26" ht="18" customHeight="1">
      <c r="A70" s="20"/>
      <c r="B70" s="148"/>
      <c r="C70" s="149"/>
      <c r="D70" s="149"/>
      <c r="E70" s="149"/>
      <c r="F70" s="150"/>
      <c r="G70" s="151"/>
      <c r="H70" s="152"/>
      <c r="I70" s="152"/>
      <c r="J70" s="152"/>
      <c r="K70" s="152"/>
      <c r="L70" s="152"/>
      <c r="M70" s="153"/>
      <c r="N70" s="148"/>
      <c r="O70" s="149"/>
      <c r="P70" s="149"/>
      <c r="Q70" s="149"/>
      <c r="R70" s="149"/>
      <c r="S70" s="150"/>
      <c r="T70" s="151"/>
      <c r="U70" s="152"/>
      <c r="V70" s="152"/>
      <c r="W70" s="152"/>
      <c r="X70" s="152"/>
      <c r="Y70" s="152"/>
      <c r="Z70" s="153"/>
    </row>
    <row r="71" spans="1:26" ht="18" customHeight="1">
      <c r="A71" s="20"/>
      <c r="B71" s="157"/>
      <c r="C71" s="158"/>
      <c r="D71" s="158"/>
      <c r="E71" s="158"/>
      <c r="F71" s="159"/>
      <c r="G71" s="160"/>
      <c r="H71" s="161"/>
      <c r="I71" s="161"/>
      <c r="J71" s="161"/>
      <c r="K71" s="161"/>
      <c r="L71" s="161"/>
      <c r="M71" s="162"/>
      <c r="N71" s="157"/>
      <c r="O71" s="158"/>
      <c r="P71" s="158"/>
      <c r="Q71" s="158"/>
      <c r="R71" s="158"/>
      <c r="S71" s="159"/>
      <c r="T71" s="160"/>
      <c r="U71" s="161"/>
      <c r="V71" s="161"/>
      <c r="W71" s="161"/>
      <c r="X71" s="161"/>
      <c r="Y71" s="161"/>
      <c r="Z71" s="162"/>
    </row>
    <row r="72" spans="1:26" ht="18" customHeight="1">
      <c r="A72" s="20"/>
      <c r="B72" s="157"/>
      <c r="C72" s="158"/>
      <c r="D72" s="158"/>
      <c r="E72" s="158"/>
      <c r="F72" s="159"/>
      <c r="G72" s="160"/>
      <c r="H72" s="161"/>
      <c r="I72" s="161"/>
      <c r="J72" s="161"/>
      <c r="K72" s="161"/>
      <c r="L72" s="161"/>
      <c r="M72" s="162"/>
      <c r="N72" s="157"/>
      <c r="O72" s="158"/>
      <c r="P72" s="158"/>
      <c r="Q72" s="158"/>
      <c r="R72" s="158"/>
      <c r="S72" s="159"/>
      <c r="T72" s="160"/>
      <c r="U72" s="161"/>
      <c r="V72" s="161"/>
      <c r="W72" s="161"/>
      <c r="X72" s="161"/>
      <c r="Y72" s="161"/>
      <c r="Z72" s="162"/>
    </row>
    <row r="73" spans="1:26" ht="18" customHeight="1">
      <c r="A73" s="20"/>
      <c r="B73" s="157"/>
      <c r="C73" s="158"/>
      <c r="D73" s="158"/>
      <c r="E73" s="158"/>
      <c r="F73" s="159"/>
      <c r="G73" s="160"/>
      <c r="H73" s="161"/>
      <c r="I73" s="161"/>
      <c r="J73" s="161"/>
      <c r="K73" s="161"/>
      <c r="L73" s="161"/>
      <c r="M73" s="162"/>
      <c r="N73" s="157"/>
      <c r="O73" s="158"/>
      <c r="P73" s="158"/>
      <c r="Q73" s="158"/>
      <c r="R73" s="158"/>
      <c r="S73" s="159"/>
      <c r="T73" s="160"/>
      <c r="U73" s="161"/>
      <c r="V73" s="161"/>
      <c r="W73" s="161"/>
      <c r="X73" s="161"/>
      <c r="Y73" s="161"/>
      <c r="Z73" s="162"/>
    </row>
    <row r="74" spans="1:26" ht="18" customHeight="1">
      <c r="A74" s="20"/>
      <c r="B74" s="157"/>
      <c r="C74" s="158"/>
      <c r="D74" s="158"/>
      <c r="E74" s="158"/>
      <c r="F74" s="159"/>
      <c r="G74" s="160"/>
      <c r="H74" s="161"/>
      <c r="I74" s="161"/>
      <c r="J74" s="161"/>
      <c r="K74" s="161"/>
      <c r="L74" s="161"/>
      <c r="M74" s="162"/>
      <c r="N74" s="157"/>
      <c r="O74" s="158"/>
      <c r="P74" s="158"/>
      <c r="Q74" s="158"/>
      <c r="R74" s="158"/>
      <c r="S74" s="159"/>
      <c r="T74" s="160"/>
      <c r="U74" s="161"/>
      <c r="V74" s="161"/>
      <c r="W74" s="161"/>
      <c r="X74" s="161"/>
      <c r="Y74" s="161"/>
      <c r="Z74" s="162"/>
    </row>
    <row r="75" spans="1:26" ht="18" customHeight="1">
      <c r="A75" s="20"/>
      <c r="B75" s="157"/>
      <c r="C75" s="158"/>
      <c r="D75" s="158"/>
      <c r="E75" s="158"/>
      <c r="F75" s="159"/>
      <c r="G75" s="160"/>
      <c r="H75" s="161"/>
      <c r="I75" s="161"/>
      <c r="J75" s="161"/>
      <c r="K75" s="161"/>
      <c r="L75" s="161"/>
      <c r="M75" s="162"/>
      <c r="N75" s="157"/>
      <c r="O75" s="158"/>
      <c r="P75" s="158"/>
      <c r="Q75" s="158"/>
      <c r="R75" s="158"/>
      <c r="S75" s="159"/>
      <c r="T75" s="160"/>
      <c r="U75" s="161"/>
      <c r="V75" s="161"/>
      <c r="W75" s="161"/>
      <c r="X75" s="161"/>
      <c r="Y75" s="161"/>
      <c r="Z75" s="162"/>
    </row>
    <row r="76" spans="1:26" ht="18" customHeight="1">
      <c r="A76" s="20"/>
      <c r="B76" s="204"/>
      <c r="C76" s="205"/>
      <c r="D76" s="205"/>
      <c r="E76" s="205"/>
      <c r="F76" s="206"/>
      <c r="G76" s="207"/>
      <c r="H76" s="208"/>
      <c r="I76" s="208"/>
      <c r="J76" s="208"/>
      <c r="K76" s="208"/>
      <c r="L76" s="208"/>
      <c r="M76" s="209"/>
      <c r="N76" s="204"/>
      <c r="O76" s="205"/>
      <c r="P76" s="205"/>
      <c r="Q76" s="205"/>
      <c r="R76" s="205"/>
      <c r="S76" s="206"/>
      <c r="T76" s="207"/>
      <c r="U76" s="208"/>
      <c r="V76" s="208"/>
      <c r="W76" s="208"/>
      <c r="X76" s="208"/>
      <c r="Y76" s="208"/>
      <c r="Z76" s="209"/>
    </row>
    <row r="77" spans="1:26" ht="18" customHeight="1">
      <c r="A77" s="20"/>
      <c r="B77" s="51"/>
      <c r="C77" s="51"/>
      <c r="D77" s="51"/>
      <c r="E77" s="51"/>
      <c r="F77" s="51"/>
      <c r="G77" s="5"/>
      <c r="H77" s="5"/>
      <c r="I77" s="5"/>
      <c r="J77" s="5"/>
      <c r="K77" s="5"/>
      <c r="L77" s="5"/>
      <c r="M77" s="5"/>
      <c r="N77" s="51"/>
      <c r="O77" s="51"/>
      <c r="P77" s="51"/>
      <c r="Q77" s="51"/>
      <c r="R77" s="51"/>
      <c r="S77" s="51"/>
      <c r="T77" s="5"/>
      <c r="U77" s="5"/>
      <c r="V77" s="5"/>
      <c r="W77" s="5"/>
      <c r="X77" s="5"/>
      <c r="Y77" s="5"/>
      <c r="Z77" s="5"/>
    </row>
    <row r="78" spans="1:26" ht="18.75" customHeight="1">
      <c r="A78" s="6" t="s">
        <v>101</v>
      </c>
    </row>
    <row r="79" spans="1:26" ht="18.75" customHeight="1">
      <c r="B79" s="18" t="s">
        <v>102</v>
      </c>
      <c r="C79" s="19"/>
      <c r="D79" s="142" t="s">
        <v>103</v>
      </c>
      <c r="E79" s="142"/>
      <c r="F79" s="142"/>
      <c r="G79" s="142"/>
      <c r="H79" s="142"/>
      <c r="I79" s="142"/>
      <c r="J79" s="142"/>
      <c r="K79" s="142"/>
      <c r="L79" s="142"/>
      <c r="M79" s="142"/>
      <c r="N79" s="142"/>
      <c r="O79" s="142"/>
      <c r="P79" s="142"/>
      <c r="Q79" s="142"/>
      <c r="R79" s="142"/>
      <c r="S79" s="142"/>
      <c r="T79" s="142"/>
      <c r="U79" s="142"/>
      <c r="V79" s="142"/>
      <c r="W79" s="142"/>
      <c r="X79" s="142"/>
      <c r="Y79" s="142"/>
      <c r="Z79" s="143"/>
    </row>
    <row r="80" spans="1:26" ht="78" customHeight="1">
      <c r="B80" s="163" t="s">
        <v>104</v>
      </c>
      <c r="C80" s="31" t="s">
        <v>81</v>
      </c>
      <c r="D80" s="166" t="s">
        <v>105</v>
      </c>
      <c r="E80" s="167"/>
      <c r="F80" s="167"/>
      <c r="G80" s="167"/>
      <c r="H80" s="167"/>
      <c r="I80" s="167"/>
      <c r="J80" s="167"/>
      <c r="K80" s="167"/>
      <c r="L80" s="167"/>
      <c r="M80" s="167"/>
      <c r="N80" s="167"/>
      <c r="O80" s="167"/>
      <c r="P80" s="167"/>
      <c r="Q80" s="167"/>
      <c r="R80" s="167"/>
      <c r="S80" s="167"/>
      <c r="T80" s="167"/>
      <c r="U80" s="167"/>
      <c r="V80" s="167"/>
      <c r="W80" s="167"/>
      <c r="X80" s="167"/>
      <c r="Y80" s="167"/>
      <c r="Z80" s="168"/>
    </row>
    <row r="81" spans="1:26" ht="78" customHeight="1">
      <c r="B81" s="165"/>
      <c r="C81" s="42" t="s">
        <v>106</v>
      </c>
      <c r="D81" s="172" t="s">
        <v>107</v>
      </c>
      <c r="E81" s="172"/>
      <c r="F81" s="172"/>
      <c r="G81" s="172"/>
      <c r="H81" s="172"/>
      <c r="I81" s="172"/>
      <c r="J81" s="172"/>
      <c r="K81" s="172"/>
      <c r="L81" s="172"/>
      <c r="M81" s="172"/>
      <c r="N81" s="172"/>
      <c r="O81" s="172"/>
      <c r="P81" s="172"/>
      <c r="Q81" s="172"/>
      <c r="R81" s="172"/>
      <c r="S81" s="172"/>
      <c r="T81" s="172"/>
      <c r="U81" s="172"/>
      <c r="V81" s="172"/>
      <c r="W81" s="172"/>
      <c r="X81" s="172"/>
      <c r="Y81" s="172"/>
      <c r="Z81" s="173"/>
    </row>
    <row r="82" spans="1:26" ht="78" customHeight="1">
      <c r="B82" s="163" t="s">
        <v>108</v>
      </c>
      <c r="C82" s="26" t="s">
        <v>87</v>
      </c>
      <c r="D82" s="166" t="s">
        <v>109</v>
      </c>
      <c r="E82" s="167"/>
      <c r="F82" s="167"/>
      <c r="G82" s="167"/>
      <c r="H82" s="167"/>
      <c r="I82" s="167"/>
      <c r="J82" s="167"/>
      <c r="K82" s="167"/>
      <c r="L82" s="167"/>
      <c r="M82" s="167"/>
      <c r="N82" s="167"/>
      <c r="O82" s="167"/>
      <c r="P82" s="167"/>
      <c r="Q82" s="167"/>
      <c r="R82" s="167"/>
      <c r="S82" s="167"/>
      <c r="T82" s="167"/>
      <c r="U82" s="167"/>
      <c r="V82" s="167"/>
      <c r="W82" s="167"/>
      <c r="X82" s="167"/>
      <c r="Y82" s="167"/>
      <c r="Z82" s="168"/>
    </row>
    <row r="83" spans="1:26" ht="78" customHeight="1">
      <c r="B83" s="164"/>
      <c r="C83" s="43" t="s">
        <v>88</v>
      </c>
      <c r="D83" s="172" t="s">
        <v>110</v>
      </c>
      <c r="E83" s="172"/>
      <c r="F83" s="172"/>
      <c r="G83" s="172"/>
      <c r="H83" s="172"/>
      <c r="I83" s="172"/>
      <c r="J83" s="172"/>
      <c r="K83" s="172"/>
      <c r="L83" s="172"/>
      <c r="M83" s="172"/>
      <c r="N83" s="172"/>
      <c r="O83" s="172"/>
      <c r="P83" s="172"/>
      <c r="Q83" s="172"/>
      <c r="R83" s="172"/>
      <c r="S83" s="172"/>
      <c r="T83" s="172"/>
      <c r="U83" s="172"/>
      <c r="V83" s="172"/>
      <c r="W83" s="172"/>
      <c r="X83" s="172"/>
      <c r="Y83" s="172"/>
      <c r="Z83" s="173"/>
    </row>
    <row r="84" spans="1:26" ht="66" customHeight="1">
      <c r="B84" s="163" t="s">
        <v>111</v>
      </c>
      <c r="C84" s="26" t="s">
        <v>90</v>
      </c>
      <c r="D84" s="166" t="s">
        <v>112</v>
      </c>
      <c r="E84" s="167"/>
      <c r="F84" s="167"/>
      <c r="G84" s="167"/>
      <c r="H84" s="167"/>
      <c r="I84" s="167"/>
      <c r="J84" s="167"/>
      <c r="K84" s="167"/>
      <c r="L84" s="167"/>
      <c r="M84" s="167"/>
      <c r="N84" s="167"/>
      <c r="O84" s="167"/>
      <c r="P84" s="167"/>
      <c r="Q84" s="167"/>
      <c r="R84" s="167"/>
      <c r="S84" s="167"/>
      <c r="T84" s="167"/>
      <c r="U84" s="167"/>
      <c r="V84" s="167"/>
      <c r="W84" s="167"/>
      <c r="X84" s="167"/>
      <c r="Y84" s="167"/>
      <c r="Z84" s="168"/>
    </row>
    <row r="85" spans="1:26" ht="66" customHeight="1">
      <c r="B85" s="164"/>
      <c r="C85" s="28" t="s">
        <v>91</v>
      </c>
      <c r="D85" s="172" t="s">
        <v>113</v>
      </c>
      <c r="E85" s="172"/>
      <c r="F85" s="172"/>
      <c r="G85" s="172"/>
      <c r="H85" s="172"/>
      <c r="I85" s="172"/>
      <c r="J85" s="172"/>
      <c r="K85" s="172"/>
      <c r="L85" s="172"/>
      <c r="M85" s="172"/>
      <c r="N85" s="172"/>
      <c r="O85" s="172"/>
      <c r="P85" s="172"/>
      <c r="Q85" s="172"/>
      <c r="R85" s="172"/>
      <c r="S85" s="172"/>
      <c r="T85" s="172"/>
      <c r="U85" s="172"/>
      <c r="V85" s="172"/>
      <c r="W85" s="172"/>
      <c r="X85" s="172"/>
      <c r="Y85" s="172"/>
      <c r="Z85" s="173"/>
    </row>
    <row r="86" spans="1:26" ht="66" customHeight="1">
      <c r="B86" s="163" t="s">
        <v>114</v>
      </c>
      <c r="C86" s="31" t="s">
        <v>93</v>
      </c>
      <c r="D86" s="166" t="s">
        <v>115</v>
      </c>
      <c r="E86" s="167"/>
      <c r="F86" s="167"/>
      <c r="G86" s="167"/>
      <c r="H86" s="167"/>
      <c r="I86" s="167"/>
      <c r="J86" s="167"/>
      <c r="K86" s="167"/>
      <c r="L86" s="167"/>
      <c r="M86" s="167"/>
      <c r="N86" s="167"/>
      <c r="O86" s="167"/>
      <c r="P86" s="167"/>
      <c r="Q86" s="167"/>
      <c r="R86" s="167"/>
      <c r="S86" s="167"/>
      <c r="T86" s="167"/>
      <c r="U86" s="167"/>
      <c r="V86" s="167"/>
      <c r="W86" s="167"/>
      <c r="X86" s="167"/>
      <c r="Y86" s="167"/>
      <c r="Z86" s="168"/>
    </row>
    <row r="87" spans="1:26" ht="66" customHeight="1">
      <c r="B87" s="165"/>
      <c r="C87" s="27" t="s">
        <v>94</v>
      </c>
      <c r="D87" s="172" t="s">
        <v>116</v>
      </c>
      <c r="E87" s="172"/>
      <c r="F87" s="172"/>
      <c r="G87" s="172"/>
      <c r="H87" s="172"/>
      <c r="I87" s="172"/>
      <c r="J87" s="172"/>
      <c r="K87" s="172"/>
      <c r="L87" s="172"/>
      <c r="M87" s="172"/>
      <c r="N87" s="172"/>
      <c r="O87" s="172"/>
      <c r="P87" s="172"/>
      <c r="Q87" s="172"/>
      <c r="R87" s="172"/>
      <c r="S87" s="172"/>
      <c r="T87" s="172"/>
      <c r="U87" s="172"/>
      <c r="V87" s="172"/>
      <c r="W87" s="172"/>
      <c r="X87" s="172"/>
      <c r="Y87" s="172"/>
      <c r="Z87" s="173"/>
    </row>
    <row r="88" spans="1:26" ht="66" customHeight="1">
      <c r="B88" s="163" t="s">
        <v>117</v>
      </c>
      <c r="C88" s="26" t="s">
        <v>96</v>
      </c>
      <c r="D88" s="166" t="s">
        <v>118</v>
      </c>
      <c r="E88" s="167"/>
      <c r="F88" s="167"/>
      <c r="G88" s="167"/>
      <c r="H88" s="167"/>
      <c r="I88" s="167"/>
      <c r="J88" s="167"/>
      <c r="K88" s="167"/>
      <c r="L88" s="167"/>
      <c r="M88" s="167"/>
      <c r="N88" s="167"/>
      <c r="O88" s="167"/>
      <c r="P88" s="167"/>
      <c r="Q88" s="167"/>
      <c r="R88" s="167"/>
      <c r="S88" s="167"/>
      <c r="T88" s="167"/>
      <c r="U88" s="167"/>
      <c r="V88" s="167"/>
      <c r="W88" s="167"/>
      <c r="X88" s="167"/>
      <c r="Y88" s="167"/>
      <c r="Z88" s="168"/>
    </row>
    <row r="89" spans="1:26" ht="66" customHeight="1">
      <c r="B89" s="165"/>
      <c r="C89" s="27" t="s">
        <v>97</v>
      </c>
      <c r="D89" s="154" t="s">
        <v>119</v>
      </c>
      <c r="E89" s="155"/>
      <c r="F89" s="155"/>
      <c r="G89" s="155"/>
      <c r="H89" s="155"/>
      <c r="I89" s="155"/>
      <c r="J89" s="155"/>
      <c r="K89" s="155"/>
      <c r="L89" s="155"/>
      <c r="M89" s="155"/>
      <c r="N89" s="155"/>
      <c r="O89" s="155"/>
      <c r="P89" s="155"/>
      <c r="Q89" s="155"/>
      <c r="R89" s="155"/>
      <c r="S89" s="155"/>
      <c r="T89" s="155"/>
      <c r="U89" s="155"/>
      <c r="V89" s="155"/>
      <c r="W89" s="155"/>
      <c r="X89" s="155"/>
      <c r="Y89" s="155"/>
      <c r="Z89" s="156"/>
    </row>
    <row r="90" spans="1:26" ht="66" customHeight="1">
      <c r="B90" s="164"/>
      <c r="C90" s="28" t="s">
        <v>98</v>
      </c>
      <c r="D90" s="169" t="s">
        <v>120</v>
      </c>
      <c r="E90" s="170"/>
      <c r="F90" s="170"/>
      <c r="G90" s="170"/>
      <c r="H90" s="170"/>
      <c r="I90" s="170"/>
      <c r="J90" s="170"/>
      <c r="K90" s="170"/>
      <c r="L90" s="170"/>
      <c r="M90" s="170"/>
      <c r="N90" s="170"/>
      <c r="O90" s="170"/>
      <c r="P90" s="170"/>
      <c r="Q90" s="170"/>
      <c r="R90" s="170"/>
      <c r="S90" s="170"/>
      <c r="T90" s="170"/>
      <c r="U90" s="170"/>
      <c r="V90" s="170"/>
      <c r="W90" s="170"/>
      <c r="X90" s="170"/>
      <c r="Y90" s="170"/>
      <c r="Z90" s="171"/>
    </row>
    <row r="91" spans="1:26" ht="6" customHeight="1"/>
    <row r="92" spans="1:26" ht="18.75" customHeight="1">
      <c r="A92" s="6" t="s">
        <v>121</v>
      </c>
    </row>
    <row r="93" spans="1:26" ht="18.75" customHeight="1">
      <c r="B93" s="213" t="s">
        <v>122</v>
      </c>
      <c r="C93" s="214"/>
      <c r="D93" s="214"/>
      <c r="E93" s="214"/>
      <c r="F93" s="214"/>
      <c r="G93" s="214"/>
      <c r="H93" s="214"/>
      <c r="I93" s="214"/>
      <c r="J93" s="214"/>
      <c r="K93" s="214"/>
      <c r="L93" s="214"/>
      <c r="M93" s="214"/>
      <c r="N93" s="214"/>
      <c r="O93" s="214"/>
      <c r="P93" s="214"/>
      <c r="Q93" s="214"/>
      <c r="R93" s="214"/>
      <c r="S93" s="214"/>
      <c r="T93" s="214"/>
      <c r="U93" s="214"/>
      <c r="V93" s="214"/>
      <c r="W93" s="214"/>
      <c r="X93" s="214"/>
      <c r="Y93" s="214"/>
      <c r="Z93" s="215"/>
    </row>
    <row r="94" spans="1:26" ht="18.75" customHeight="1">
      <c r="B94" s="216"/>
      <c r="C94" s="147"/>
      <c r="D94" s="147"/>
      <c r="E94" s="147"/>
      <c r="F94" s="147"/>
      <c r="G94" s="147"/>
      <c r="H94" s="147"/>
      <c r="I94" s="147"/>
      <c r="J94" s="147"/>
      <c r="K94" s="147"/>
      <c r="L94" s="147"/>
      <c r="M94" s="147"/>
      <c r="N94" s="147"/>
      <c r="O94" s="147"/>
      <c r="P94" s="147"/>
      <c r="Q94" s="147"/>
      <c r="R94" s="147"/>
      <c r="S94" s="147"/>
      <c r="T94" s="147"/>
      <c r="U94" s="147"/>
      <c r="V94" s="147"/>
      <c r="W94" s="147"/>
      <c r="X94" s="147"/>
      <c r="Y94" s="147"/>
      <c r="Z94" s="217"/>
    </row>
    <row r="95" spans="1:26" ht="35.25" customHeight="1">
      <c r="B95" s="218"/>
      <c r="C95" s="219"/>
      <c r="D95" s="219"/>
      <c r="E95" s="219"/>
      <c r="F95" s="219"/>
      <c r="G95" s="219"/>
      <c r="H95" s="219"/>
      <c r="I95" s="219"/>
      <c r="J95" s="219"/>
      <c r="K95" s="219"/>
      <c r="L95" s="219"/>
      <c r="M95" s="219"/>
      <c r="N95" s="219"/>
      <c r="O95" s="219"/>
      <c r="P95" s="219"/>
      <c r="Q95" s="219"/>
      <c r="R95" s="219"/>
      <c r="S95" s="219"/>
      <c r="T95" s="219"/>
      <c r="U95" s="219"/>
      <c r="V95" s="219"/>
      <c r="W95" s="219"/>
      <c r="X95" s="219"/>
      <c r="Y95" s="219"/>
      <c r="Z95" s="220"/>
    </row>
    <row r="96" spans="1:26" ht="6" customHeight="1"/>
    <row r="97" spans="1:26" ht="15" customHeight="1">
      <c r="A97" s="6" t="s">
        <v>123</v>
      </c>
    </row>
    <row r="98" spans="1:26" ht="15" customHeight="1">
      <c r="B98" s="129" t="s">
        <v>124</v>
      </c>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221"/>
    </row>
  </sheetData>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L38:M44 Y38:Z44 L49:M55 Y49:Z55 Y60:Z66 K60:M60 H16:H22 U16:U22 L61:M66 U27:U33 H27:H33 U38:U44 G60:G66 U49:U55 H38:H44 T60:T66 H49:H55" xr:uid="{00000000-0002-0000-0100-000000000000}">
      <formula1>"○"</formula1>
    </dataValidation>
    <dataValidation type="list" allowBlank="1" showInputMessage="1" showErrorMessage="1" sqref="Z23 Z34 D34:K34 D23:K23 V16:V22 I16:I22 V27:V33 I27:I33 V38:V44 I38:I44 V49:V55 I49:I55 U60:U66 H60:H66" xr:uid="{00000000-0002-0000-0100-000001000000}">
      <formula1>"全学開講,一部開講"</formula1>
    </dataValidation>
    <dataValidation type="list" allowBlank="1" showInputMessage="1" showErrorMessage="1" sqref="O4" xr:uid="{00000000-0002-0000-01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printOptions horizontalCentered="1"/>
  <pageMargins left="0.78740157480314965" right="0.78740157480314965" top="0.59055118110236227" bottom="0.19685039370078741" header="0.31496062992125984" footer="0.19685039370078741"/>
  <pageSetup paperSize="9" scale="97" orientation="landscape" r:id="rId1"/>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30"/>
  <sheetViews>
    <sheetView view="pageBreakPreview" zoomScaleNormal="100" zoomScaleSheetLayoutView="100" workbookViewId="0">
      <selection sqref="A1:XFD1048576"/>
    </sheetView>
  </sheetViews>
  <sheetFormatPr defaultColWidth="9" defaultRowHeight="18.75" customHeight="1"/>
  <cols>
    <col min="1" max="1" width="2.75" style="6" customWidth="1"/>
    <col min="2" max="2" width="30" style="6" customWidth="1"/>
    <col min="3" max="17" width="6.125" style="6" customWidth="1"/>
    <col min="18" max="18" width="6.625" style="6" customWidth="1"/>
    <col min="19" max="16384" width="9" style="6"/>
  </cols>
  <sheetData>
    <row r="1" spans="1:20" ht="18" customHeight="1">
      <c r="F1" s="223" t="s">
        <v>125</v>
      </c>
      <c r="G1" s="223"/>
      <c r="H1" s="223"/>
      <c r="I1" s="223"/>
      <c r="J1" s="223"/>
      <c r="K1" s="223"/>
      <c r="L1" s="223"/>
      <c r="M1" s="223"/>
      <c r="N1" s="223"/>
      <c r="O1" s="223"/>
      <c r="P1" s="223"/>
      <c r="Q1" s="223"/>
      <c r="R1" s="223"/>
    </row>
    <row r="2" spans="1:20" ht="18" customHeight="1">
      <c r="A2" s="193" t="s">
        <v>126</v>
      </c>
      <c r="B2" s="193"/>
      <c r="C2" s="193"/>
      <c r="D2" s="193"/>
      <c r="E2" s="193"/>
      <c r="F2" s="193"/>
      <c r="G2" s="193"/>
      <c r="H2" s="193"/>
      <c r="I2" s="193"/>
      <c r="J2" s="193"/>
      <c r="K2" s="193"/>
      <c r="L2" s="193"/>
      <c r="M2" s="193"/>
      <c r="N2" s="193"/>
      <c r="O2" s="193"/>
      <c r="P2" s="193"/>
      <c r="Q2" s="193"/>
      <c r="R2" s="193"/>
      <c r="S2" s="7"/>
    </row>
    <row r="3" spans="1:20" ht="7.5" customHeight="1">
      <c r="A3" s="20"/>
      <c r="B3" s="20"/>
      <c r="C3" s="20"/>
      <c r="D3" s="20"/>
      <c r="E3" s="20"/>
      <c r="F3" s="20"/>
      <c r="G3" s="20"/>
      <c r="H3" s="20"/>
      <c r="I3" s="20"/>
      <c r="J3" s="20"/>
      <c r="K3" s="20"/>
      <c r="L3" s="20"/>
      <c r="M3" s="20"/>
      <c r="N3" s="20"/>
      <c r="O3" s="20"/>
      <c r="P3" s="20"/>
      <c r="Q3" s="20"/>
      <c r="R3" s="20"/>
    </row>
    <row r="4" spans="1:20" ht="18" customHeight="1">
      <c r="A4" s="7" t="s">
        <v>127</v>
      </c>
      <c r="B4" s="7"/>
      <c r="C4" s="224" t="str">
        <f>'様式１　大学等概要'!E12</f>
        <v>令和３</v>
      </c>
      <c r="D4" s="225"/>
      <c r="E4" s="20" t="s">
        <v>20</v>
      </c>
      <c r="F4" s="20"/>
      <c r="G4" s="20"/>
      <c r="H4" s="20"/>
      <c r="I4" s="20"/>
      <c r="J4" s="9"/>
      <c r="K4" s="20"/>
      <c r="L4" s="20"/>
      <c r="M4" s="51"/>
      <c r="N4" s="51"/>
      <c r="O4" s="51"/>
      <c r="P4" s="51"/>
      <c r="Q4" s="51"/>
      <c r="R4" s="51"/>
    </row>
    <row r="5" spans="1:20" ht="6" customHeight="1">
      <c r="A5" s="20"/>
      <c r="B5" s="20"/>
      <c r="C5" s="20"/>
      <c r="D5" s="20"/>
      <c r="E5" s="20"/>
      <c r="F5" s="20"/>
      <c r="G5" s="20"/>
      <c r="H5" s="20"/>
      <c r="I5" s="20"/>
      <c r="J5" s="20"/>
      <c r="K5" s="20"/>
      <c r="L5" s="20"/>
      <c r="M5" s="20"/>
      <c r="N5" s="20"/>
      <c r="O5" s="20"/>
      <c r="P5" s="20"/>
      <c r="Q5" s="20"/>
      <c r="R5" s="20"/>
    </row>
    <row r="6" spans="1:20" ht="18" customHeight="1">
      <c r="A6" s="7" t="s">
        <v>128</v>
      </c>
      <c r="B6" s="20"/>
      <c r="C6" s="20"/>
      <c r="D6" s="20"/>
      <c r="E6" s="20"/>
      <c r="F6" s="20"/>
      <c r="G6" s="20"/>
      <c r="H6" s="20"/>
      <c r="I6" s="20"/>
      <c r="J6" s="20"/>
      <c r="K6" s="20"/>
      <c r="L6" s="20"/>
      <c r="M6" s="20"/>
      <c r="N6" s="20"/>
      <c r="O6" s="20"/>
      <c r="P6" s="20"/>
      <c r="Q6" s="20"/>
      <c r="R6" s="20"/>
    </row>
    <row r="7" spans="1:20" ht="6" customHeight="1">
      <c r="A7" s="7"/>
      <c r="B7" s="20"/>
      <c r="C7" s="20"/>
      <c r="D7" s="20"/>
      <c r="E7" s="20"/>
      <c r="F7" s="20"/>
      <c r="G7" s="20"/>
      <c r="H7" s="20"/>
      <c r="I7" s="20"/>
      <c r="J7" s="20"/>
      <c r="K7" s="20"/>
      <c r="L7" s="20"/>
      <c r="M7" s="20"/>
      <c r="N7" s="20"/>
      <c r="O7" s="20"/>
      <c r="P7" s="20"/>
      <c r="Q7" s="20"/>
      <c r="R7" s="20"/>
    </row>
    <row r="8" spans="1:20" ht="18" customHeight="1">
      <c r="B8" s="226" t="s">
        <v>129</v>
      </c>
      <c r="C8" s="228" t="s">
        <v>130</v>
      </c>
      <c r="D8" s="230" t="s">
        <v>131</v>
      </c>
      <c r="E8" s="232" t="s">
        <v>132</v>
      </c>
      <c r="F8" s="232"/>
      <c r="G8" s="232" t="s">
        <v>133</v>
      </c>
      <c r="H8" s="232"/>
      <c r="I8" s="232" t="s">
        <v>134</v>
      </c>
      <c r="J8" s="232"/>
      <c r="K8" s="174" t="s">
        <v>135</v>
      </c>
      <c r="L8" s="176"/>
      <c r="M8" s="174" t="s">
        <v>136</v>
      </c>
      <c r="N8" s="176"/>
      <c r="O8" s="174" t="s">
        <v>137</v>
      </c>
      <c r="P8" s="176"/>
      <c r="Q8" s="233" t="s">
        <v>138</v>
      </c>
      <c r="R8" s="235" t="s">
        <v>139</v>
      </c>
      <c r="T8" s="65"/>
    </row>
    <row r="9" spans="1:20" ht="18" customHeight="1">
      <c r="A9" s="7"/>
      <c r="B9" s="227"/>
      <c r="C9" s="229"/>
      <c r="D9" s="231"/>
      <c r="E9" s="66" t="s">
        <v>140</v>
      </c>
      <c r="F9" s="67" t="s">
        <v>141</v>
      </c>
      <c r="G9" s="68" t="s">
        <v>140</v>
      </c>
      <c r="H9" s="69" t="s">
        <v>141</v>
      </c>
      <c r="I9" s="66" t="s">
        <v>140</v>
      </c>
      <c r="J9" s="67" t="s">
        <v>141</v>
      </c>
      <c r="K9" s="68" t="s">
        <v>140</v>
      </c>
      <c r="L9" s="69" t="s">
        <v>141</v>
      </c>
      <c r="M9" s="66" t="s">
        <v>140</v>
      </c>
      <c r="N9" s="67" t="s">
        <v>141</v>
      </c>
      <c r="O9" s="68" t="s">
        <v>140</v>
      </c>
      <c r="P9" s="69" t="s">
        <v>141</v>
      </c>
      <c r="Q9" s="234"/>
      <c r="R9" s="236"/>
      <c r="T9" s="65"/>
    </row>
    <row r="10" spans="1:20" ht="18" customHeight="1">
      <c r="A10" s="24"/>
      <c r="B10" s="70" t="s">
        <v>142</v>
      </c>
      <c r="C10" s="24">
        <v>150</v>
      </c>
      <c r="D10" s="71">
        <v>600</v>
      </c>
      <c r="E10" s="72">
        <v>177</v>
      </c>
      <c r="F10" s="73">
        <v>86</v>
      </c>
      <c r="G10" s="74"/>
      <c r="H10" s="75"/>
      <c r="I10" s="76"/>
      <c r="J10" s="77"/>
      <c r="K10" s="74"/>
      <c r="L10" s="75"/>
      <c r="M10" s="76"/>
      <c r="N10" s="77"/>
      <c r="O10" s="74"/>
      <c r="P10" s="75"/>
      <c r="Q10" s="78">
        <f>E10+G10+I10+K10+M10+O10</f>
        <v>177</v>
      </c>
      <c r="R10" s="79">
        <f>Q10/D10</f>
        <v>0.29499999999999998</v>
      </c>
    </row>
    <row r="11" spans="1:20" ht="18" customHeight="1">
      <c r="A11" s="24"/>
      <c r="B11" s="80" t="s">
        <v>143</v>
      </c>
      <c r="C11" s="54">
        <v>150</v>
      </c>
      <c r="D11" s="53">
        <v>600</v>
      </c>
      <c r="E11" s="81">
        <v>151</v>
      </c>
      <c r="F11" s="82">
        <v>101</v>
      </c>
      <c r="G11" s="83"/>
      <c r="H11" s="84"/>
      <c r="I11" s="85"/>
      <c r="J11" s="86"/>
      <c r="K11" s="83"/>
      <c r="L11" s="84"/>
      <c r="M11" s="85"/>
      <c r="N11" s="86"/>
      <c r="O11" s="83"/>
      <c r="P11" s="84"/>
      <c r="Q11" s="87">
        <f t="shared" ref="Q11:Q29" si="0">E11+G11+I11+K11+M11+O11</f>
        <v>151</v>
      </c>
      <c r="R11" s="88">
        <f t="shared" ref="R11:R29" si="1">Q11/D11</f>
        <v>0.25166666666666665</v>
      </c>
    </row>
    <row r="12" spans="1:20" ht="18" customHeight="1">
      <c r="A12" s="24"/>
      <c r="B12" s="80" t="s">
        <v>144</v>
      </c>
      <c r="C12" s="54">
        <v>175</v>
      </c>
      <c r="D12" s="53">
        <v>700</v>
      </c>
      <c r="E12" s="81">
        <v>155</v>
      </c>
      <c r="F12" s="82">
        <v>84</v>
      </c>
      <c r="G12" s="83"/>
      <c r="H12" s="84"/>
      <c r="I12" s="85"/>
      <c r="J12" s="86"/>
      <c r="K12" s="83"/>
      <c r="L12" s="84"/>
      <c r="M12" s="85"/>
      <c r="N12" s="86"/>
      <c r="O12" s="83"/>
      <c r="P12" s="84"/>
      <c r="Q12" s="87">
        <f t="shared" si="0"/>
        <v>155</v>
      </c>
      <c r="R12" s="88">
        <f t="shared" si="1"/>
        <v>0.22142857142857142</v>
      </c>
    </row>
    <row r="13" spans="1:20" ht="18" customHeight="1">
      <c r="A13" s="24"/>
      <c r="B13" s="80"/>
      <c r="C13" s="54"/>
      <c r="D13" s="53"/>
      <c r="E13" s="85"/>
      <c r="F13" s="86"/>
      <c r="G13" s="83"/>
      <c r="H13" s="84"/>
      <c r="I13" s="85"/>
      <c r="J13" s="86"/>
      <c r="K13" s="83"/>
      <c r="L13" s="84"/>
      <c r="M13" s="85"/>
      <c r="N13" s="86"/>
      <c r="O13" s="83"/>
      <c r="P13" s="84"/>
      <c r="Q13" s="87">
        <f t="shared" si="0"/>
        <v>0</v>
      </c>
      <c r="R13" s="88" t="e">
        <f t="shared" si="1"/>
        <v>#DIV/0!</v>
      </c>
    </row>
    <row r="14" spans="1:20" ht="18" customHeight="1">
      <c r="A14" s="24"/>
      <c r="B14" s="80"/>
      <c r="C14" s="54"/>
      <c r="D14" s="53"/>
      <c r="E14" s="85"/>
      <c r="F14" s="86"/>
      <c r="G14" s="83"/>
      <c r="H14" s="84"/>
      <c r="I14" s="85"/>
      <c r="J14" s="86"/>
      <c r="K14" s="83"/>
      <c r="L14" s="84"/>
      <c r="M14" s="85"/>
      <c r="N14" s="86"/>
      <c r="O14" s="83"/>
      <c r="P14" s="84"/>
      <c r="Q14" s="87">
        <f t="shared" si="0"/>
        <v>0</v>
      </c>
      <c r="R14" s="88" t="e">
        <f t="shared" si="1"/>
        <v>#DIV/0!</v>
      </c>
    </row>
    <row r="15" spans="1:20" ht="18" customHeight="1">
      <c r="A15" s="24"/>
      <c r="B15" s="80"/>
      <c r="C15" s="54"/>
      <c r="D15" s="53"/>
      <c r="E15" s="85"/>
      <c r="F15" s="86"/>
      <c r="G15" s="83"/>
      <c r="H15" s="84"/>
      <c r="I15" s="85"/>
      <c r="J15" s="86"/>
      <c r="K15" s="83"/>
      <c r="L15" s="84"/>
      <c r="M15" s="85"/>
      <c r="N15" s="86"/>
      <c r="O15" s="83"/>
      <c r="P15" s="84"/>
      <c r="Q15" s="87">
        <f t="shared" si="0"/>
        <v>0</v>
      </c>
      <c r="R15" s="88" t="e">
        <f t="shared" si="1"/>
        <v>#DIV/0!</v>
      </c>
    </row>
    <row r="16" spans="1:20" ht="18" customHeight="1">
      <c r="A16" s="24"/>
      <c r="B16" s="80"/>
      <c r="C16" s="54"/>
      <c r="D16" s="53"/>
      <c r="E16" s="85"/>
      <c r="F16" s="86"/>
      <c r="G16" s="83"/>
      <c r="H16" s="84"/>
      <c r="I16" s="85"/>
      <c r="J16" s="86"/>
      <c r="K16" s="83"/>
      <c r="L16" s="84"/>
      <c r="M16" s="85"/>
      <c r="N16" s="86"/>
      <c r="O16" s="83"/>
      <c r="P16" s="84"/>
      <c r="Q16" s="87">
        <f t="shared" si="0"/>
        <v>0</v>
      </c>
      <c r="R16" s="88" t="e">
        <f t="shared" si="1"/>
        <v>#DIV/0!</v>
      </c>
    </row>
    <row r="17" spans="1:18" ht="18" customHeight="1">
      <c r="A17" s="24"/>
      <c r="B17" s="80"/>
      <c r="C17" s="54"/>
      <c r="D17" s="53"/>
      <c r="E17" s="85"/>
      <c r="F17" s="86"/>
      <c r="G17" s="83"/>
      <c r="H17" s="84"/>
      <c r="I17" s="85"/>
      <c r="J17" s="86"/>
      <c r="K17" s="83"/>
      <c r="L17" s="84"/>
      <c r="M17" s="85"/>
      <c r="N17" s="86"/>
      <c r="O17" s="83"/>
      <c r="P17" s="84"/>
      <c r="Q17" s="87">
        <f t="shared" si="0"/>
        <v>0</v>
      </c>
      <c r="R17" s="88" t="e">
        <f t="shared" si="1"/>
        <v>#DIV/0!</v>
      </c>
    </row>
    <row r="18" spans="1:18" ht="18" customHeight="1">
      <c r="A18" s="24"/>
      <c r="B18" s="80"/>
      <c r="C18" s="54"/>
      <c r="D18" s="53"/>
      <c r="E18" s="85"/>
      <c r="F18" s="86"/>
      <c r="G18" s="83"/>
      <c r="H18" s="84"/>
      <c r="I18" s="85"/>
      <c r="J18" s="86"/>
      <c r="K18" s="83"/>
      <c r="L18" s="84"/>
      <c r="M18" s="85"/>
      <c r="N18" s="86"/>
      <c r="O18" s="83"/>
      <c r="P18" s="84"/>
      <c r="Q18" s="87">
        <f>E18+G18+I18+K18+M18+O18</f>
        <v>0</v>
      </c>
      <c r="R18" s="88" t="e">
        <f t="shared" si="1"/>
        <v>#DIV/0!</v>
      </c>
    </row>
    <row r="19" spans="1:18" ht="18" customHeight="1">
      <c r="A19" s="24"/>
      <c r="B19" s="80"/>
      <c r="C19" s="54"/>
      <c r="D19" s="53"/>
      <c r="E19" s="85"/>
      <c r="F19" s="86"/>
      <c r="G19" s="83"/>
      <c r="H19" s="84"/>
      <c r="I19" s="85"/>
      <c r="J19" s="86"/>
      <c r="K19" s="83"/>
      <c r="L19" s="84"/>
      <c r="M19" s="85"/>
      <c r="N19" s="86"/>
      <c r="O19" s="83"/>
      <c r="P19" s="84"/>
      <c r="Q19" s="87">
        <f t="shared" si="0"/>
        <v>0</v>
      </c>
      <c r="R19" s="88" t="e">
        <f t="shared" si="1"/>
        <v>#DIV/0!</v>
      </c>
    </row>
    <row r="20" spans="1:18" ht="18" customHeight="1">
      <c r="A20" s="24"/>
      <c r="B20" s="80"/>
      <c r="C20" s="54"/>
      <c r="D20" s="53"/>
      <c r="E20" s="85"/>
      <c r="F20" s="86"/>
      <c r="G20" s="83"/>
      <c r="H20" s="84"/>
      <c r="I20" s="85"/>
      <c r="J20" s="86"/>
      <c r="K20" s="83"/>
      <c r="L20" s="84"/>
      <c r="M20" s="85"/>
      <c r="N20" s="86"/>
      <c r="O20" s="83"/>
      <c r="P20" s="84"/>
      <c r="Q20" s="87">
        <f t="shared" si="0"/>
        <v>0</v>
      </c>
      <c r="R20" s="88" t="e">
        <f t="shared" si="1"/>
        <v>#DIV/0!</v>
      </c>
    </row>
    <row r="21" spans="1:18" ht="18" customHeight="1">
      <c r="A21" s="24"/>
      <c r="B21" s="80"/>
      <c r="C21" s="54"/>
      <c r="D21" s="53"/>
      <c r="E21" s="85"/>
      <c r="F21" s="86"/>
      <c r="G21" s="83"/>
      <c r="H21" s="84"/>
      <c r="I21" s="85"/>
      <c r="J21" s="86"/>
      <c r="K21" s="83"/>
      <c r="L21" s="84"/>
      <c r="M21" s="85"/>
      <c r="N21" s="86"/>
      <c r="O21" s="83"/>
      <c r="P21" s="84"/>
      <c r="Q21" s="87">
        <f t="shared" si="0"/>
        <v>0</v>
      </c>
      <c r="R21" s="88" t="e">
        <f t="shared" si="1"/>
        <v>#DIV/0!</v>
      </c>
    </row>
    <row r="22" spans="1:18" ht="18" customHeight="1">
      <c r="A22" s="24"/>
      <c r="B22" s="80"/>
      <c r="C22" s="54"/>
      <c r="D22" s="53"/>
      <c r="E22" s="85"/>
      <c r="F22" s="86"/>
      <c r="G22" s="83"/>
      <c r="H22" s="84"/>
      <c r="I22" s="85"/>
      <c r="J22" s="86"/>
      <c r="K22" s="83"/>
      <c r="L22" s="84"/>
      <c r="M22" s="85"/>
      <c r="N22" s="86"/>
      <c r="O22" s="83"/>
      <c r="P22" s="84"/>
      <c r="Q22" s="87">
        <f t="shared" si="0"/>
        <v>0</v>
      </c>
      <c r="R22" s="88" t="e">
        <f t="shared" si="1"/>
        <v>#DIV/0!</v>
      </c>
    </row>
    <row r="23" spans="1:18" ht="18" customHeight="1">
      <c r="A23" s="24"/>
      <c r="B23" s="80"/>
      <c r="C23" s="54"/>
      <c r="D23" s="53"/>
      <c r="E23" s="85"/>
      <c r="F23" s="86"/>
      <c r="G23" s="83"/>
      <c r="H23" s="84"/>
      <c r="I23" s="85"/>
      <c r="J23" s="86"/>
      <c r="K23" s="83"/>
      <c r="L23" s="84"/>
      <c r="M23" s="85"/>
      <c r="N23" s="86"/>
      <c r="O23" s="83"/>
      <c r="P23" s="84"/>
      <c r="Q23" s="87">
        <f t="shared" si="0"/>
        <v>0</v>
      </c>
      <c r="R23" s="88" t="e">
        <f t="shared" si="1"/>
        <v>#DIV/0!</v>
      </c>
    </row>
    <row r="24" spans="1:18" ht="18" customHeight="1">
      <c r="A24" s="24"/>
      <c r="B24" s="80"/>
      <c r="C24" s="54"/>
      <c r="D24" s="53"/>
      <c r="E24" s="85"/>
      <c r="F24" s="86"/>
      <c r="G24" s="83"/>
      <c r="H24" s="84"/>
      <c r="I24" s="85"/>
      <c r="J24" s="86"/>
      <c r="K24" s="83"/>
      <c r="L24" s="84"/>
      <c r="M24" s="85"/>
      <c r="N24" s="86"/>
      <c r="O24" s="83"/>
      <c r="P24" s="84"/>
      <c r="Q24" s="87">
        <f t="shared" si="0"/>
        <v>0</v>
      </c>
      <c r="R24" s="88" t="e">
        <f t="shared" si="1"/>
        <v>#DIV/0!</v>
      </c>
    </row>
    <row r="25" spans="1:18" ht="18" customHeight="1">
      <c r="A25" s="24"/>
      <c r="B25" s="80"/>
      <c r="C25" s="54"/>
      <c r="D25" s="53"/>
      <c r="E25" s="85"/>
      <c r="F25" s="86"/>
      <c r="G25" s="83"/>
      <c r="H25" s="84"/>
      <c r="I25" s="85"/>
      <c r="J25" s="86"/>
      <c r="K25" s="83"/>
      <c r="L25" s="84"/>
      <c r="M25" s="85"/>
      <c r="N25" s="86"/>
      <c r="O25" s="83"/>
      <c r="P25" s="84"/>
      <c r="Q25" s="87">
        <f t="shared" si="0"/>
        <v>0</v>
      </c>
      <c r="R25" s="88" t="e">
        <f t="shared" si="1"/>
        <v>#DIV/0!</v>
      </c>
    </row>
    <row r="26" spans="1:18" ht="18" customHeight="1">
      <c r="A26" s="24"/>
      <c r="B26" s="80"/>
      <c r="C26" s="54"/>
      <c r="D26" s="53"/>
      <c r="E26" s="85"/>
      <c r="F26" s="86"/>
      <c r="G26" s="83"/>
      <c r="H26" s="84"/>
      <c r="I26" s="85"/>
      <c r="J26" s="86"/>
      <c r="K26" s="83"/>
      <c r="L26" s="84"/>
      <c r="M26" s="85"/>
      <c r="N26" s="86"/>
      <c r="O26" s="83"/>
      <c r="P26" s="84"/>
      <c r="Q26" s="87">
        <f t="shared" si="0"/>
        <v>0</v>
      </c>
      <c r="R26" s="88" t="e">
        <f t="shared" si="1"/>
        <v>#DIV/0!</v>
      </c>
    </row>
    <row r="27" spans="1:18" ht="18" customHeight="1">
      <c r="A27" s="24"/>
      <c r="B27" s="80"/>
      <c r="C27" s="55"/>
      <c r="D27" s="53"/>
      <c r="E27" s="85"/>
      <c r="F27" s="86"/>
      <c r="G27" s="83"/>
      <c r="H27" s="84"/>
      <c r="I27" s="85"/>
      <c r="J27" s="86"/>
      <c r="K27" s="83"/>
      <c r="L27" s="84"/>
      <c r="M27" s="85"/>
      <c r="N27" s="86"/>
      <c r="O27" s="83"/>
      <c r="P27" s="84"/>
      <c r="Q27" s="87">
        <f t="shared" si="0"/>
        <v>0</v>
      </c>
      <c r="R27" s="88" t="e">
        <f t="shared" si="1"/>
        <v>#DIV/0!</v>
      </c>
    </row>
    <row r="28" spans="1:18" ht="18" customHeight="1">
      <c r="A28" s="24"/>
      <c r="B28" s="80"/>
      <c r="C28" s="55"/>
      <c r="D28" s="53"/>
      <c r="E28" s="85"/>
      <c r="F28" s="86"/>
      <c r="G28" s="83"/>
      <c r="H28" s="84"/>
      <c r="I28" s="85"/>
      <c r="J28" s="86"/>
      <c r="K28" s="83"/>
      <c r="L28" s="84"/>
      <c r="M28" s="85"/>
      <c r="N28" s="86"/>
      <c r="O28" s="83"/>
      <c r="P28" s="84"/>
      <c r="Q28" s="87">
        <f t="shared" si="0"/>
        <v>0</v>
      </c>
      <c r="R28" s="88" t="e">
        <f t="shared" si="1"/>
        <v>#DIV/0!</v>
      </c>
    </row>
    <row r="29" spans="1:18" ht="18" customHeight="1" thickBot="1">
      <c r="A29" s="24"/>
      <c r="B29" s="89"/>
      <c r="C29" s="63"/>
      <c r="D29" s="71"/>
      <c r="E29" s="76"/>
      <c r="F29" s="77"/>
      <c r="G29" s="74"/>
      <c r="H29" s="75"/>
      <c r="I29" s="76"/>
      <c r="J29" s="77"/>
      <c r="K29" s="74"/>
      <c r="L29" s="75"/>
      <c r="M29" s="76"/>
      <c r="N29" s="77"/>
      <c r="O29" s="74"/>
      <c r="P29" s="75"/>
      <c r="Q29" s="90">
        <f t="shared" si="0"/>
        <v>0</v>
      </c>
      <c r="R29" s="79" t="e">
        <f t="shared" si="1"/>
        <v>#DIV/0!</v>
      </c>
    </row>
    <row r="30" spans="1:18" ht="18" customHeight="1" thickTop="1">
      <c r="B30" s="91" t="s">
        <v>145</v>
      </c>
      <c r="C30" s="92">
        <f t="shared" ref="C30:Q30" si="2">SUM(C10:C29)</f>
        <v>475</v>
      </c>
      <c r="D30" s="93">
        <f t="shared" si="2"/>
        <v>1900</v>
      </c>
      <c r="E30" s="94">
        <f t="shared" si="2"/>
        <v>483</v>
      </c>
      <c r="F30" s="95">
        <f t="shared" si="2"/>
        <v>271</v>
      </c>
      <c r="G30" s="96">
        <f t="shared" si="2"/>
        <v>0</v>
      </c>
      <c r="H30" s="97">
        <f t="shared" si="2"/>
        <v>0</v>
      </c>
      <c r="I30" s="94">
        <f t="shared" si="2"/>
        <v>0</v>
      </c>
      <c r="J30" s="95">
        <f t="shared" si="2"/>
        <v>0</v>
      </c>
      <c r="K30" s="96">
        <f t="shared" si="2"/>
        <v>0</v>
      </c>
      <c r="L30" s="97">
        <f t="shared" si="2"/>
        <v>0</v>
      </c>
      <c r="M30" s="94">
        <f t="shared" si="2"/>
        <v>0</v>
      </c>
      <c r="N30" s="95">
        <f t="shared" si="2"/>
        <v>0</v>
      </c>
      <c r="O30" s="96">
        <f t="shared" si="2"/>
        <v>0</v>
      </c>
      <c r="P30" s="97">
        <f t="shared" si="2"/>
        <v>0</v>
      </c>
      <c r="Q30" s="98">
        <f t="shared" si="2"/>
        <v>483</v>
      </c>
      <c r="R30" s="99">
        <f>Q30/D30</f>
        <v>0.2542105263157895</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144"/>
  <sheetViews>
    <sheetView showZeros="0" view="pageBreakPreview" topLeftCell="A16" zoomScaleNormal="100" zoomScaleSheetLayoutView="100" workbookViewId="0">
      <selection activeCell="B31" sqref="B31:J44"/>
    </sheetView>
  </sheetViews>
  <sheetFormatPr defaultColWidth="11.375" defaultRowHeight="18.75" customHeight="1"/>
  <cols>
    <col min="1" max="1" width="2.75" style="100" customWidth="1"/>
    <col min="2" max="2" width="16.625" style="6" customWidth="1"/>
    <col min="3" max="3" width="8.875" style="6" customWidth="1"/>
    <col min="4" max="4" width="2.25" style="6" customWidth="1"/>
    <col min="5" max="5" width="16.625" style="6" customWidth="1"/>
    <col min="6" max="6" width="8.875" style="6" customWidth="1"/>
    <col min="7" max="7" width="2.25" style="6" customWidth="1"/>
    <col min="8" max="8" width="16.625" style="6" customWidth="1"/>
    <col min="9" max="9" width="8.875" style="6" customWidth="1"/>
    <col min="10" max="10" width="2.25" style="6" customWidth="1"/>
    <col min="11" max="16384" width="11.375" style="6"/>
  </cols>
  <sheetData>
    <row r="1" spans="1:11" ht="18.75" customHeight="1">
      <c r="A1" s="100" t="s">
        <v>146</v>
      </c>
      <c r="J1" s="101" t="s">
        <v>147</v>
      </c>
    </row>
    <row r="2" spans="1:11" ht="18.75" customHeight="1">
      <c r="A2" s="193" t="s">
        <v>148</v>
      </c>
      <c r="B2" s="193"/>
      <c r="C2" s="193"/>
      <c r="D2" s="193"/>
      <c r="E2" s="193"/>
      <c r="F2" s="193"/>
      <c r="G2" s="193"/>
      <c r="H2" s="193"/>
      <c r="I2" s="193"/>
      <c r="J2" s="193"/>
    </row>
    <row r="3" spans="1:11" ht="7.5" customHeight="1">
      <c r="B3" s="20"/>
      <c r="C3" s="20"/>
      <c r="D3" s="20"/>
      <c r="E3" s="20"/>
      <c r="F3" s="20"/>
      <c r="G3" s="20"/>
      <c r="H3" s="20"/>
      <c r="I3" s="20"/>
      <c r="J3" s="20"/>
    </row>
    <row r="4" spans="1:11" ht="18.75" customHeight="1">
      <c r="A4" s="6" t="s">
        <v>2</v>
      </c>
      <c r="B4" s="7" t="s">
        <v>149</v>
      </c>
      <c r="C4" s="7"/>
      <c r="D4" s="7"/>
      <c r="E4" s="7"/>
      <c r="F4" s="7"/>
      <c r="G4" s="7"/>
      <c r="H4" s="7"/>
      <c r="I4" s="20"/>
      <c r="J4" s="20"/>
    </row>
    <row r="5" spans="1:11" ht="18.75" customHeight="1">
      <c r="A5" s="6"/>
      <c r="B5" s="129" t="s">
        <v>150</v>
      </c>
      <c r="C5" s="130"/>
      <c r="D5" s="130"/>
      <c r="E5" s="130"/>
      <c r="F5" s="130"/>
      <c r="G5" s="130"/>
      <c r="H5" s="130"/>
      <c r="I5" s="130"/>
      <c r="J5" s="221"/>
      <c r="K5" s="6" t="str">
        <f>IF(B5="","入力してください","")</f>
        <v/>
      </c>
    </row>
    <row r="6" spans="1:11" ht="7.5" customHeight="1">
      <c r="B6" s="20"/>
      <c r="C6" s="20"/>
      <c r="D6" s="20"/>
      <c r="E6" s="20"/>
      <c r="F6" s="20"/>
      <c r="G6" s="20"/>
      <c r="H6" s="20"/>
      <c r="I6" s="20"/>
      <c r="J6" s="20"/>
    </row>
    <row r="7" spans="1:11" s="7" customFormat="1" ht="18.75" customHeight="1">
      <c r="A7" s="6" t="s">
        <v>5</v>
      </c>
      <c r="B7" s="6" t="s">
        <v>151</v>
      </c>
      <c r="C7" s="6"/>
      <c r="D7" s="6"/>
      <c r="E7" s="6"/>
      <c r="F7" s="6"/>
      <c r="G7" s="6"/>
      <c r="H7" s="6"/>
      <c r="I7" s="6"/>
      <c r="J7" s="6"/>
      <c r="K7" s="102"/>
    </row>
    <row r="8" spans="1:11" s="7" customFormat="1" ht="18.75" customHeight="1">
      <c r="A8" s="25"/>
      <c r="B8" s="246" t="s">
        <v>152</v>
      </c>
      <c r="C8" s="247"/>
      <c r="D8" s="247"/>
      <c r="E8" s="247"/>
      <c r="F8" s="247"/>
      <c r="G8" s="247"/>
      <c r="H8" s="247"/>
      <c r="I8" s="248"/>
      <c r="J8" s="249"/>
      <c r="K8" s="6" t="str">
        <f>IF(B8="","入力してください","")</f>
        <v/>
      </c>
    </row>
    <row r="9" spans="1:11" s="7" customFormat="1" ht="18.75" customHeight="1">
      <c r="A9" s="25"/>
      <c r="B9" s="240"/>
      <c r="C9" s="241"/>
      <c r="D9" s="241"/>
      <c r="E9" s="241"/>
      <c r="F9" s="241"/>
      <c r="G9" s="241"/>
      <c r="H9" s="241"/>
      <c r="I9" s="241"/>
      <c r="J9" s="242"/>
      <c r="K9" s="6"/>
    </row>
    <row r="10" spans="1:11" s="7" customFormat="1" ht="18.75" customHeight="1">
      <c r="A10" s="25"/>
      <c r="B10" s="240"/>
      <c r="C10" s="241"/>
      <c r="D10" s="241"/>
      <c r="E10" s="241"/>
      <c r="F10" s="241"/>
      <c r="G10" s="241"/>
      <c r="H10" s="241"/>
      <c r="I10" s="241"/>
      <c r="J10" s="242"/>
      <c r="K10" s="6"/>
    </row>
    <row r="11" spans="1:11" s="7" customFormat="1" ht="18.75" customHeight="1">
      <c r="A11" s="25"/>
      <c r="B11" s="240"/>
      <c r="C11" s="241"/>
      <c r="D11" s="241"/>
      <c r="E11" s="241"/>
      <c r="F11" s="241"/>
      <c r="G11" s="241"/>
      <c r="H11" s="241"/>
      <c r="I11" s="241"/>
      <c r="J11" s="242"/>
      <c r="K11" s="6"/>
    </row>
    <row r="12" spans="1:11" s="7" customFormat="1" ht="18.75" customHeight="1">
      <c r="A12" s="25"/>
      <c r="B12" s="243"/>
      <c r="C12" s="244"/>
      <c r="D12" s="244"/>
      <c r="E12" s="244"/>
      <c r="F12" s="244"/>
      <c r="G12" s="244"/>
      <c r="H12" s="244"/>
      <c r="I12" s="244"/>
      <c r="J12" s="245"/>
      <c r="K12" s="6"/>
    </row>
    <row r="13" spans="1:11" s="7" customFormat="1" ht="7.5" customHeight="1">
      <c r="A13" s="25"/>
      <c r="B13" s="25"/>
      <c r="C13" s="25"/>
      <c r="D13" s="25"/>
      <c r="E13" s="25"/>
      <c r="F13" s="25"/>
      <c r="G13" s="25"/>
      <c r="H13" s="25"/>
      <c r="I13" s="25"/>
      <c r="J13" s="25"/>
      <c r="K13" s="6"/>
    </row>
    <row r="14" spans="1:11" s="7" customFormat="1" ht="18.75" customHeight="1">
      <c r="A14" s="60" t="s">
        <v>153</v>
      </c>
      <c r="B14" s="60" t="s">
        <v>154</v>
      </c>
      <c r="C14" s="60"/>
      <c r="D14" s="60"/>
      <c r="E14" s="60"/>
      <c r="F14" s="60"/>
      <c r="G14" s="60"/>
      <c r="H14" s="60"/>
      <c r="I14" s="60"/>
      <c r="J14" s="60"/>
      <c r="K14" s="6"/>
    </row>
    <row r="15" spans="1:11" s="7" customFormat="1" ht="18.75" customHeight="1">
      <c r="A15" s="25"/>
      <c r="B15" s="250" t="s">
        <v>155</v>
      </c>
      <c r="C15" s="247"/>
      <c r="D15" s="247"/>
      <c r="E15" s="247"/>
      <c r="F15" s="247"/>
      <c r="G15" s="247"/>
      <c r="H15" s="247"/>
      <c r="I15" s="248"/>
      <c r="J15" s="249"/>
      <c r="K15" s="6" t="str">
        <f>IF(B15="","入力してください","")</f>
        <v/>
      </c>
    </row>
    <row r="16" spans="1:11" s="7" customFormat="1" ht="18.75" customHeight="1">
      <c r="A16" s="25"/>
      <c r="B16" s="240"/>
      <c r="C16" s="241"/>
      <c r="D16" s="241"/>
      <c r="E16" s="241"/>
      <c r="F16" s="241"/>
      <c r="G16" s="241"/>
      <c r="H16" s="241"/>
      <c r="I16" s="241"/>
      <c r="J16" s="242"/>
      <c r="K16" s="6"/>
    </row>
    <row r="17" spans="1:17" s="7" customFormat="1" ht="18.75" customHeight="1">
      <c r="A17" s="25"/>
      <c r="B17" s="240"/>
      <c r="C17" s="241"/>
      <c r="D17" s="241"/>
      <c r="E17" s="241"/>
      <c r="F17" s="241"/>
      <c r="G17" s="241"/>
      <c r="H17" s="241"/>
      <c r="I17" s="241"/>
      <c r="J17" s="242"/>
      <c r="K17" s="6"/>
    </row>
    <row r="18" spans="1:17" s="7" customFormat="1" ht="18.75" customHeight="1">
      <c r="A18" s="25"/>
      <c r="B18" s="240"/>
      <c r="C18" s="241"/>
      <c r="D18" s="241"/>
      <c r="E18" s="241"/>
      <c r="F18" s="241"/>
      <c r="G18" s="241"/>
      <c r="H18" s="241"/>
      <c r="I18" s="241"/>
      <c r="J18" s="242"/>
      <c r="K18" s="6"/>
    </row>
    <row r="19" spans="1:17" s="7" customFormat="1" ht="18.75" customHeight="1">
      <c r="A19" s="25"/>
      <c r="B19" s="240"/>
      <c r="C19" s="241"/>
      <c r="D19" s="241"/>
      <c r="E19" s="241"/>
      <c r="F19" s="241"/>
      <c r="G19" s="241"/>
      <c r="H19" s="241"/>
      <c r="I19" s="241"/>
      <c r="J19" s="242"/>
      <c r="K19" s="6"/>
    </row>
    <row r="20" spans="1:17" s="7" customFormat="1" ht="18.75" customHeight="1">
      <c r="A20" s="25"/>
      <c r="B20" s="240"/>
      <c r="C20" s="241"/>
      <c r="D20" s="241"/>
      <c r="E20" s="241"/>
      <c r="F20" s="241"/>
      <c r="G20" s="241"/>
      <c r="H20" s="241"/>
      <c r="I20" s="241"/>
      <c r="J20" s="242"/>
      <c r="K20" s="6"/>
    </row>
    <row r="21" spans="1:17" s="7" customFormat="1" ht="18.75" customHeight="1">
      <c r="A21" s="25"/>
      <c r="B21" s="240"/>
      <c r="C21" s="241"/>
      <c r="D21" s="241"/>
      <c r="E21" s="241"/>
      <c r="F21" s="241"/>
      <c r="G21" s="241"/>
      <c r="H21" s="241"/>
      <c r="I21" s="241"/>
      <c r="J21" s="242"/>
      <c r="K21" s="6"/>
    </row>
    <row r="22" spans="1:17" s="7" customFormat="1" ht="18.75" customHeight="1">
      <c r="A22" s="25"/>
      <c r="B22" s="240"/>
      <c r="C22" s="241"/>
      <c r="D22" s="241"/>
      <c r="E22" s="241"/>
      <c r="F22" s="241"/>
      <c r="G22" s="241"/>
      <c r="H22" s="241"/>
      <c r="I22" s="241"/>
      <c r="J22" s="242"/>
      <c r="K22" s="6"/>
    </row>
    <row r="23" spans="1:17" s="7" customFormat="1" ht="18.75" customHeight="1">
      <c r="A23" s="25"/>
      <c r="B23" s="240"/>
      <c r="C23" s="241"/>
      <c r="D23" s="241"/>
      <c r="E23" s="241"/>
      <c r="F23" s="241"/>
      <c r="G23" s="241"/>
      <c r="H23" s="241"/>
      <c r="I23" s="241"/>
      <c r="J23" s="242"/>
      <c r="K23" s="6"/>
    </row>
    <row r="24" spans="1:17" s="7" customFormat="1" ht="18.75" customHeight="1">
      <c r="A24" s="25"/>
      <c r="B24" s="240"/>
      <c r="C24" s="241"/>
      <c r="D24" s="241"/>
      <c r="E24" s="241"/>
      <c r="F24" s="241"/>
      <c r="G24" s="241"/>
      <c r="H24" s="241"/>
      <c r="I24" s="241"/>
      <c r="J24" s="242"/>
      <c r="K24" s="6"/>
    </row>
    <row r="25" spans="1:17" s="7" customFormat="1" ht="18.75" customHeight="1">
      <c r="A25" s="25"/>
      <c r="B25" s="243"/>
      <c r="C25" s="244"/>
      <c r="D25" s="244"/>
      <c r="E25" s="244"/>
      <c r="F25" s="244"/>
      <c r="G25" s="244"/>
      <c r="H25" s="244"/>
      <c r="I25" s="244"/>
      <c r="J25" s="245"/>
      <c r="K25" s="6"/>
    </row>
    <row r="26" spans="1:17" ht="7.5" customHeight="1">
      <c r="A26" s="103"/>
      <c r="B26" s="103"/>
      <c r="C26" s="103"/>
      <c r="D26" s="103"/>
      <c r="E26" s="103"/>
      <c r="F26" s="103"/>
      <c r="G26" s="103"/>
      <c r="H26" s="103"/>
      <c r="I26" s="103"/>
      <c r="J26" s="103"/>
    </row>
    <row r="27" spans="1:17" s="7" customFormat="1" ht="18.75" customHeight="1">
      <c r="A27" s="6" t="s">
        <v>11</v>
      </c>
      <c r="B27" s="6" t="s">
        <v>156</v>
      </c>
      <c r="C27" s="6"/>
      <c r="D27" s="6"/>
      <c r="E27" s="6"/>
      <c r="F27" s="6"/>
      <c r="G27" s="6"/>
      <c r="H27" s="6"/>
      <c r="I27" s="6"/>
      <c r="J27" s="6"/>
      <c r="K27" s="6"/>
    </row>
    <row r="28" spans="1:17" s="20" customFormat="1" ht="18.75" customHeight="1">
      <c r="B28" s="32" t="s">
        <v>157</v>
      </c>
      <c r="C28" s="33">
        <f>'様式３　履修者等数の実績'!R30</f>
        <v>0.2542105263157895</v>
      </c>
      <c r="D28" s="34"/>
      <c r="E28" s="34" t="s">
        <v>158</v>
      </c>
      <c r="F28" s="33">
        <v>0.45947368421052631</v>
      </c>
      <c r="G28" s="34"/>
      <c r="H28" s="34" t="s">
        <v>159</v>
      </c>
      <c r="I28" s="35">
        <v>0.64368421052631575</v>
      </c>
      <c r="J28" s="36"/>
      <c r="K28" s="6"/>
      <c r="L28" s="7"/>
      <c r="M28" s="7"/>
      <c r="N28" s="7"/>
      <c r="O28" s="7"/>
      <c r="P28" s="7"/>
      <c r="Q28" s="7"/>
    </row>
    <row r="29" spans="1:17" s="20" customFormat="1" ht="18.75" customHeight="1">
      <c r="B29" s="29" t="s">
        <v>160</v>
      </c>
      <c r="C29" s="37">
        <v>0.74894736842105258</v>
      </c>
      <c r="D29" s="30"/>
      <c r="E29" s="30" t="s">
        <v>161</v>
      </c>
      <c r="F29" s="37">
        <v>0.81578947368421051</v>
      </c>
      <c r="G29" s="30"/>
      <c r="H29" s="30" t="s">
        <v>162</v>
      </c>
      <c r="I29" s="104">
        <v>1900</v>
      </c>
      <c r="J29" s="38"/>
      <c r="K29" s="102"/>
      <c r="N29" s="58"/>
      <c r="O29" s="58"/>
      <c r="P29" s="58"/>
    </row>
    <row r="30" spans="1:17" s="7" customFormat="1" ht="18.75" customHeight="1">
      <c r="A30" s="6"/>
      <c r="B30" s="160" t="s">
        <v>163</v>
      </c>
      <c r="C30" s="161"/>
      <c r="D30" s="161"/>
      <c r="E30" s="161"/>
      <c r="F30" s="161"/>
      <c r="G30" s="161"/>
      <c r="H30" s="161"/>
      <c r="I30" s="161"/>
      <c r="J30" s="162"/>
      <c r="K30" s="102"/>
      <c r="L30" s="20"/>
      <c r="M30" s="20"/>
      <c r="N30" s="58"/>
      <c r="O30" s="58"/>
      <c r="P30" s="58"/>
    </row>
    <row r="31" spans="1:17" s="7" customFormat="1" ht="18.75" customHeight="1">
      <c r="A31" s="6"/>
      <c r="B31" s="237" t="s">
        <v>164</v>
      </c>
      <c r="C31" s="238"/>
      <c r="D31" s="238"/>
      <c r="E31" s="238"/>
      <c r="F31" s="238"/>
      <c r="G31" s="238"/>
      <c r="H31" s="238"/>
      <c r="I31" s="238"/>
      <c r="J31" s="239"/>
      <c r="K31" s="102" t="str">
        <f>IF(B31="","入力してください","")</f>
        <v/>
      </c>
      <c r="L31" s="20"/>
      <c r="M31" s="20"/>
      <c r="N31" s="20"/>
      <c r="O31" s="20"/>
      <c r="P31" s="20"/>
    </row>
    <row r="32" spans="1:17" s="7" customFormat="1" ht="18.75" customHeight="1">
      <c r="A32" s="6"/>
      <c r="B32" s="240"/>
      <c r="C32" s="241"/>
      <c r="D32" s="241"/>
      <c r="E32" s="241"/>
      <c r="F32" s="241"/>
      <c r="G32" s="241"/>
      <c r="H32" s="241"/>
      <c r="I32" s="241"/>
      <c r="J32" s="242"/>
      <c r="K32" s="102"/>
      <c r="L32" s="20"/>
      <c r="M32" s="20"/>
      <c r="N32" s="20"/>
      <c r="O32" s="20"/>
      <c r="P32" s="20"/>
      <c r="Q32" s="20"/>
    </row>
    <row r="33" spans="1:17" s="7" customFormat="1" ht="18.75" customHeight="1">
      <c r="A33" s="6"/>
      <c r="B33" s="240"/>
      <c r="C33" s="241"/>
      <c r="D33" s="241"/>
      <c r="E33" s="241"/>
      <c r="F33" s="241"/>
      <c r="G33" s="241"/>
      <c r="H33" s="241"/>
      <c r="I33" s="241"/>
      <c r="J33" s="242"/>
      <c r="K33" s="102"/>
      <c r="L33" s="20"/>
      <c r="M33" s="20"/>
      <c r="N33" s="20"/>
      <c r="O33" s="20"/>
      <c r="P33" s="20"/>
      <c r="Q33" s="20"/>
    </row>
    <row r="34" spans="1:17" s="7" customFormat="1" ht="18.75" customHeight="1">
      <c r="A34" s="6"/>
      <c r="B34" s="240"/>
      <c r="C34" s="241"/>
      <c r="D34" s="241"/>
      <c r="E34" s="241"/>
      <c r="F34" s="241"/>
      <c r="G34" s="241"/>
      <c r="H34" s="241"/>
      <c r="I34" s="241"/>
      <c r="J34" s="242"/>
      <c r="K34" s="102"/>
      <c r="L34" s="20"/>
      <c r="M34" s="20"/>
      <c r="N34" s="20"/>
      <c r="O34" s="20"/>
      <c r="P34" s="20"/>
      <c r="Q34" s="20"/>
    </row>
    <row r="35" spans="1:17" s="7" customFormat="1" ht="18.75" customHeight="1">
      <c r="A35" s="6"/>
      <c r="B35" s="240"/>
      <c r="C35" s="241"/>
      <c r="D35" s="241"/>
      <c r="E35" s="241"/>
      <c r="F35" s="241"/>
      <c r="G35" s="241"/>
      <c r="H35" s="241"/>
      <c r="I35" s="241"/>
      <c r="J35" s="242"/>
      <c r="K35" s="102"/>
      <c r="L35" s="20"/>
      <c r="Q35" s="20"/>
    </row>
    <row r="36" spans="1:17" s="7" customFormat="1" ht="18.75" customHeight="1">
      <c r="A36" s="6"/>
      <c r="B36" s="240"/>
      <c r="C36" s="241"/>
      <c r="D36" s="241"/>
      <c r="E36" s="241"/>
      <c r="F36" s="241"/>
      <c r="G36" s="241"/>
      <c r="H36" s="241"/>
      <c r="I36" s="241"/>
      <c r="J36" s="242"/>
      <c r="K36" s="102"/>
      <c r="L36" s="20"/>
      <c r="M36" s="20"/>
      <c r="N36" s="20"/>
      <c r="O36" s="20"/>
      <c r="P36" s="20"/>
      <c r="Q36" s="20"/>
    </row>
    <row r="37" spans="1:17" s="7" customFormat="1" ht="18.75" customHeight="1">
      <c r="A37" s="6"/>
      <c r="B37" s="240"/>
      <c r="C37" s="241"/>
      <c r="D37" s="241"/>
      <c r="E37" s="241"/>
      <c r="F37" s="241"/>
      <c r="G37" s="241"/>
      <c r="H37" s="241"/>
      <c r="I37" s="241"/>
      <c r="J37" s="242"/>
      <c r="K37" s="102"/>
      <c r="L37" s="20"/>
      <c r="M37" s="20"/>
      <c r="N37" s="20"/>
      <c r="O37" s="20"/>
      <c r="P37" s="20"/>
      <c r="Q37" s="20"/>
    </row>
    <row r="38" spans="1:17" s="7" customFormat="1" ht="18.75" customHeight="1">
      <c r="A38" s="6"/>
      <c r="B38" s="240"/>
      <c r="C38" s="241"/>
      <c r="D38" s="241"/>
      <c r="E38" s="241"/>
      <c r="F38" s="241"/>
      <c r="G38" s="241"/>
      <c r="H38" s="241"/>
      <c r="I38" s="241"/>
      <c r="J38" s="242"/>
      <c r="K38" s="102"/>
      <c r="L38" s="20"/>
      <c r="M38" s="105"/>
      <c r="N38" s="105"/>
      <c r="O38" s="105"/>
      <c r="P38" s="105"/>
      <c r="Q38" s="105"/>
    </row>
    <row r="39" spans="1:17" s="7" customFormat="1" ht="18.75" customHeight="1">
      <c r="A39" s="6"/>
      <c r="B39" s="240"/>
      <c r="C39" s="241"/>
      <c r="D39" s="241"/>
      <c r="E39" s="241"/>
      <c r="F39" s="241"/>
      <c r="G39" s="241"/>
      <c r="H39" s="241"/>
      <c r="I39" s="241"/>
      <c r="J39" s="242"/>
      <c r="K39" s="102"/>
    </row>
    <row r="40" spans="1:17" s="7" customFormat="1" ht="18.75" customHeight="1">
      <c r="A40" s="6"/>
      <c r="B40" s="240"/>
      <c r="C40" s="241"/>
      <c r="D40" s="241"/>
      <c r="E40" s="241"/>
      <c r="F40" s="241"/>
      <c r="G40" s="241"/>
      <c r="H40" s="241"/>
      <c r="I40" s="241"/>
      <c r="J40" s="242"/>
      <c r="K40" s="102"/>
    </row>
    <row r="41" spans="1:17" s="7" customFormat="1" ht="18.75" customHeight="1">
      <c r="A41" s="6"/>
      <c r="B41" s="240"/>
      <c r="C41" s="241"/>
      <c r="D41" s="241"/>
      <c r="E41" s="241"/>
      <c r="F41" s="241"/>
      <c r="G41" s="241"/>
      <c r="H41" s="241"/>
      <c r="I41" s="241"/>
      <c r="J41" s="242"/>
      <c r="K41" s="102"/>
    </row>
    <row r="42" spans="1:17" s="7" customFormat="1" ht="18.75" customHeight="1">
      <c r="A42" s="6"/>
      <c r="B42" s="240"/>
      <c r="C42" s="241"/>
      <c r="D42" s="241"/>
      <c r="E42" s="241"/>
      <c r="F42" s="241"/>
      <c r="G42" s="241"/>
      <c r="H42" s="241"/>
      <c r="I42" s="241"/>
      <c r="J42" s="242"/>
      <c r="K42" s="102"/>
    </row>
    <row r="43" spans="1:17" ht="18.75" customHeight="1">
      <c r="A43" s="103"/>
      <c r="B43" s="240"/>
      <c r="C43" s="241"/>
      <c r="D43" s="241"/>
      <c r="E43" s="241"/>
      <c r="F43" s="241"/>
      <c r="G43" s="241"/>
      <c r="H43" s="241"/>
      <c r="I43" s="241"/>
      <c r="J43" s="242"/>
      <c r="K43" s="102"/>
    </row>
    <row r="44" spans="1:17" ht="18.75" customHeight="1">
      <c r="A44" s="103"/>
      <c r="B44" s="243"/>
      <c r="C44" s="244"/>
      <c r="D44" s="244"/>
      <c r="E44" s="244"/>
      <c r="F44" s="244"/>
      <c r="G44" s="244"/>
      <c r="H44" s="244"/>
      <c r="I44" s="244"/>
      <c r="J44" s="245"/>
    </row>
    <row r="45" spans="1:17" s="7" customFormat="1" ht="18.75" customHeight="1">
      <c r="A45" s="106" t="s">
        <v>14</v>
      </c>
      <c r="B45" s="6" t="s">
        <v>165</v>
      </c>
      <c r="C45" s="6"/>
      <c r="D45" s="6"/>
      <c r="E45" s="6"/>
      <c r="F45" s="6"/>
      <c r="G45" s="6"/>
      <c r="H45" s="6"/>
      <c r="I45" s="106"/>
      <c r="J45" s="106"/>
      <c r="K45" s="6"/>
    </row>
    <row r="46" spans="1:17" ht="18.75" customHeight="1">
      <c r="A46" s="103"/>
      <c r="B46" s="246" t="s">
        <v>166</v>
      </c>
      <c r="C46" s="247"/>
      <c r="D46" s="247"/>
      <c r="E46" s="247"/>
      <c r="F46" s="247"/>
      <c r="G46" s="247"/>
      <c r="H46" s="247"/>
      <c r="I46" s="247"/>
      <c r="J46" s="251"/>
      <c r="K46" s="6" t="str">
        <f>IF(B46="","入力してください","")</f>
        <v/>
      </c>
    </row>
    <row r="47" spans="1:17" ht="18.75" customHeight="1">
      <c r="A47" s="103"/>
      <c r="B47" s="252"/>
      <c r="C47" s="253"/>
      <c r="D47" s="253"/>
      <c r="E47" s="253"/>
      <c r="F47" s="253"/>
      <c r="G47" s="253"/>
      <c r="H47" s="253"/>
      <c r="I47" s="253"/>
      <c r="J47" s="254"/>
    </row>
    <row r="48" spans="1:17" ht="18.75" customHeight="1">
      <c r="A48" s="103"/>
      <c r="B48" s="252"/>
      <c r="C48" s="253"/>
      <c r="D48" s="253"/>
      <c r="E48" s="253"/>
      <c r="F48" s="253"/>
      <c r="G48" s="253"/>
      <c r="H48" s="253"/>
      <c r="I48" s="253"/>
      <c r="J48" s="254"/>
    </row>
    <row r="49" spans="1:10" ht="18.75" customHeight="1">
      <c r="A49" s="103"/>
      <c r="B49" s="252"/>
      <c r="C49" s="253"/>
      <c r="D49" s="253"/>
      <c r="E49" s="253"/>
      <c r="F49" s="253"/>
      <c r="G49" s="253"/>
      <c r="H49" s="253"/>
      <c r="I49" s="253"/>
      <c r="J49" s="254"/>
    </row>
    <row r="50" spans="1:10" ht="18.75" customHeight="1">
      <c r="A50" s="103"/>
      <c r="B50" s="252"/>
      <c r="C50" s="253"/>
      <c r="D50" s="253"/>
      <c r="E50" s="253"/>
      <c r="F50" s="253"/>
      <c r="G50" s="253"/>
      <c r="H50" s="253"/>
      <c r="I50" s="253"/>
      <c r="J50" s="254"/>
    </row>
    <row r="51" spans="1:10" ht="18.75" customHeight="1">
      <c r="A51" s="103"/>
      <c r="B51" s="252"/>
      <c r="C51" s="253"/>
      <c r="D51" s="253"/>
      <c r="E51" s="253"/>
      <c r="F51" s="253"/>
      <c r="G51" s="253"/>
      <c r="H51" s="253"/>
      <c r="I51" s="253"/>
      <c r="J51" s="254"/>
    </row>
    <row r="52" spans="1:10" ht="18.75" customHeight="1">
      <c r="A52" s="103"/>
      <c r="B52" s="252"/>
      <c r="C52" s="253"/>
      <c r="D52" s="253"/>
      <c r="E52" s="253"/>
      <c r="F52" s="253"/>
      <c r="G52" s="253"/>
      <c r="H52" s="253"/>
      <c r="I52" s="253"/>
      <c r="J52" s="254"/>
    </row>
    <row r="53" spans="1:10" ht="18.75" customHeight="1">
      <c r="A53" s="103"/>
      <c r="B53" s="252"/>
      <c r="C53" s="253"/>
      <c r="D53" s="253"/>
      <c r="E53" s="253"/>
      <c r="F53" s="253"/>
      <c r="G53" s="253"/>
      <c r="H53" s="253"/>
      <c r="I53" s="253"/>
      <c r="J53" s="254"/>
    </row>
    <row r="54" spans="1:10" ht="18.75" customHeight="1">
      <c r="A54" s="103"/>
      <c r="B54" s="252"/>
      <c r="C54" s="253"/>
      <c r="D54" s="253"/>
      <c r="E54" s="253"/>
      <c r="F54" s="253"/>
      <c r="G54" s="253"/>
      <c r="H54" s="253"/>
      <c r="I54" s="253"/>
      <c r="J54" s="254"/>
    </row>
    <row r="55" spans="1:10" ht="18.75" customHeight="1">
      <c r="A55" s="103"/>
      <c r="B55" s="252"/>
      <c r="C55" s="253"/>
      <c r="D55" s="253"/>
      <c r="E55" s="253"/>
      <c r="F55" s="253"/>
      <c r="G55" s="253"/>
      <c r="H55" s="253"/>
      <c r="I55" s="253"/>
      <c r="J55" s="254"/>
    </row>
    <row r="56" spans="1:10" ht="18.75" customHeight="1">
      <c r="A56" s="103"/>
      <c r="B56" s="252"/>
      <c r="C56" s="253"/>
      <c r="D56" s="253"/>
      <c r="E56" s="253"/>
      <c r="F56" s="253"/>
      <c r="G56" s="253"/>
      <c r="H56" s="253"/>
      <c r="I56" s="253"/>
      <c r="J56" s="254"/>
    </row>
    <row r="57" spans="1:10" ht="18.75" customHeight="1">
      <c r="A57" s="103"/>
      <c r="B57" s="252"/>
      <c r="C57" s="253"/>
      <c r="D57" s="253"/>
      <c r="E57" s="253"/>
      <c r="F57" s="253"/>
      <c r="G57" s="253"/>
      <c r="H57" s="253"/>
      <c r="I57" s="253"/>
      <c r="J57" s="254"/>
    </row>
    <row r="58" spans="1:10" ht="18.75" customHeight="1">
      <c r="A58" s="103"/>
      <c r="B58" s="252"/>
      <c r="C58" s="253"/>
      <c r="D58" s="253"/>
      <c r="E58" s="253"/>
      <c r="F58" s="253"/>
      <c r="G58" s="253"/>
      <c r="H58" s="253"/>
      <c r="I58" s="253"/>
      <c r="J58" s="254"/>
    </row>
    <row r="59" spans="1:10" ht="18.75" customHeight="1">
      <c r="A59" s="103"/>
      <c r="B59" s="252"/>
      <c r="C59" s="253"/>
      <c r="D59" s="253"/>
      <c r="E59" s="253"/>
      <c r="F59" s="253"/>
      <c r="G59" s="253"/>
      <c r="H59" s="253"/>
      <c r="I59" s="253"/>
      <c r="J59" s="254"/>
    </row>
    <row r="60" spans="1:10" ht="18.75" customHeight="1">
      <c r="A60" s="103"/>
      <c r="B60" s="252"/>
      <c r="C60" s="253"/>
      <c r="D60" s="253"/>
      <c r="E60" s="253"/>
      <c r="F60" s="253"/>
      <c r="G60" s="253"/>
      <c r="H60" s="253"/>
      <c r="I60" s="253"/>
      <c r="J60" s="254"/>
    </row>
    <row r="61" spans="1:10" ht="18.75" customHeight="1">
      <c r="A61" s="103"/>
      <c r="B61" s="252"/>
      <c r="C61" s="253"/>
      <c r="D61" s="253"/>
      <c r="E61" s="253"/>
      <c r="F61" s="253"/>
      <c r="G61" s="253"/>
      <c r="H61" s="253"/>
      <c r="I61" s="253"/>
      <c r="J61" s="254"/>
    </row>
    <row r="62" spans="1:10" ht="18.75" customHeight="1">
      <c r="A62" s="103"/>
      <c r="B62" s="252"/>
      <c r="C62" s="253"/>
      <c r="D62" s="253"/>
      <c r="E62" s="253"/>
      <c r="F62" s="253"/>
      <c r="G62" s="253"/>
      <c r="H62" s="253"/>
      <c r="I62" s="253"/>
      <c r="J62" s="254"/>
    </row>
    <row r="63" spans="1:10" ht="18.75" customHeight="1">
      <c r="A63" s="103"/>
      <c r="B63" s="252"/>
      <c r="C63" s="253"/>
      <c r="D63" s="253"/>
      <c r="E63" s="253"/>
      <c r="F63" s="253"/>
      <c r="G63" s="253"/>
      <c r="H63" s="253"/>
      <c r="I63" s="253"/>
      <c r="J63" s="254"/>
    </row>
    <row r="64" spans="1:10" ht="18.75" customHeight="1">
      <c r="A64" s="103"/>
      <c r="B64" s="252"/>
      <c r="C64" s="253"/>
      <c r="D64" s="253"/>
      <c r="E64" s="253"/>
      <c r="F64" s="253"/>
      <c r="G64" s="253"/>
      <c r="H64" s="253"/>
      <c r="I64" s="253"/>
      <c r="J64" s="254"/>
    </row>
    <row r="65" spans="1:11" ht="18.75" customHeight="1">
      <c r="A65" s="103"/>
      <c r="B65" s="252"/>
      <c r="C65" s="253"/>
      <c r="D65" s="253"/>
      <c r="E65" s="253"/>
      <c r="F65" s="253"/>
      <c r="G65" s="253"/>
      <c r="H65" s="253"/>
      <c r="I65" s="253"/>
      <c r="J65" s="254"/>
    </row>
    <row r="66" spans="1:11" ht="18.75" customHeight="1">
      <c r="A66" s="103"/>
      <c r="B66" s="255"/>
      <c r="C66" s="256"/>
      <c r="D66" s="256"/>
      <c r="E66" s="256"/>
      <c r="F66" s="256"/>
      <c r="G66" s="256"/>
      <c r="H66" s="256"/>
      <c r="I66" s="256"/>
      <c r="J66" s="257"/>
    </row>
    <row r="67" spans="1:11" ht="7.5" customHeight="1">
      <c r="A67" s="103"/>
      <c r="B67" s="103"/>
      <c r="C67" s="103"/>
      <c r="D67" s="103"/>
      <c r="E67" s="103"/>
      <c r="F67" s="103"/>
      <c r="G67" s="103"/>
      <c r="H67" s="103"/>
      <c r="I67" s="103"/>
      <c r="J67" s="103"/>
    </row>
    <row r="68" spans="1:11" s="7" customFormat="1" ht="18.75" customHeight="1">
      <c r="A68" s="6" t="s">
        <v>17</v>
      </c>
      <c r="B68" s="6" t="s">
        <v>167</v>
      </c>
      <c r="C68" s="6"/>
      <c r="D68" s="6"/>
      <c r="E68" s="6"/>
      <c r="F68" s="6"/>
      <c r="G68" s="6"/>
      <c r="H68" s="6"/>
      <c r="I68" s="6"/>
      <c r="J68" s="6"/>
      <c r="K68" s="6"/>
    </row>
    <row r="69" spans="1:11" s="7" customFormat="1" ht="18.75" customHeight="1">
      <c r="A69" s="6"/>
      <c r="B69" s="246" t="s">
        <v>168</v>
      </c>
      <c r="C69" s="247"/>
      <c r="D69" s="247"/>
      <c r="E69" s="247"/>
      <c r="F69" s="247"/>
      <c r="G69" s="247"/>
      <c r="H69" s="247"/>
      <c r="I69" s="248"/>
      <c r="J69" s="249"/>
      <c r="K69" s="102" t="str">
        <f>IF(B69="","入力してください","")</f>
        <v/>
      </c>
    </row>
    <row r="70" spans="1:11" s="7" customFormat="1" ht="18.75" customHeight="1">
      <c r="A70" s="6"/>
      <c r="B70" s="240"/>
      <c r="C70" s="241"/>
      <c r="D70" s="241"/>
      <c r="E70" s="241"/>
      <c r="F70" s="241"/>
      <c r="G70" s="241"/>
      <c r="H70" s="241"/>
      <c r="I70" s="241"/>
      <c r="J70" s="242"/>
      <c r="K70" s="102"/>
    </row>
    <row r="71" spans="1:11" s="7" customFormat="1" ht="18.75" customHeight="1">
      <c r="A71" s="6"/>
      <c r="B71" s="240"/>
      <c r="C71" s="241"/>
      <c r="D71" s="241"/>
      <c r="E71" s="241"/>
      <c r="F71" s="241"/>
      <c r="G71" s="241"/>
      <c r="H71" s="241"/>
      <c r="I71" s="241"/>
      <c r="J71" s="242"/>
      <c r="K71" s="102"/>
    </row>
    <row r="72" spans="1:11" s="7" customFormat="1" ht="18.75" customHeight="1">
      <c r="A72" s="6"/>
      <c r="B72" s="240"/>
      <c r="C72" s="241"/>
      <c r="D72" s="241"/>
      <c r="E72" s="241"/>
      <c r="F72" s="241"/>
      <c r="G72" s="241"/>
      <c r="H72" s="241"/>
      <c r="I72" s="241"/>
      <c r="J72" s="242"/>
      <c r="K72" s="102"/>
    </row>
    <row r="73" spans="1:11" s="7" customFormat="1" ht="18.75" customHeight="1">
      <c r="A73" s="6"/>
      <c r="B73" s="240"/>
      <c r="C73" s="241"/>
      <c r="D73" s="241"/>
      <c r="E73" s="241"/>
      <c r="F73" s="241"/>
      <c r="G73" s="241"/>
      <c r="H73" s="241"/>
      <c r="I73" s="241"/>
      <c r="J73" s="242"/>
      <c r="K73" s="102"/>
    </row>
    <row r="74" spans="1:11" s="7" customFormat="1" ht="18.75" customHeight="1">
      <c r="A74" s="6"/>
      <c r="B74" s="240"/>
      <c r="C74" s="241"/>
      <c r="D74" s="241"/>
      <c r="E74" s="241"/>
      <c r="F74" s="241"/>
      <c r="G74" s="241"/>
      <c r="H74" s="241"/>
      <c r="I74" s="241"/>
      <c r="J74" s="242"/>
      <c r="K74" s="102"/>
    </row>
    <row r="75" spans="1:11" s="7" customFormat="1" ht="18.75" customHeight="1">
      <c r="A75" s="6"/>
      <c r="B75" s="240"/>
      <c r="C75" s="241"/>
      <c r="D75" s="241"/>
      <c r="E75" s="241"/>
      <c r="F75" s="241"/>
      <c r="G75" s="241"/>
      <c r="H75" s="241"/>
      <c r="I75" s="241"/>
      <c r="J75" s="242"/>
      <c r="K75" s="102"/>
    </row>
    <row r="76" spans="1:11" s="7" customFormat="1" ht="18.75" customHeight="1">
      <c r="A76" s="6"/>
      <c r="B76" s="240"/>
      <c r="C76" s="241"/>
      <c r="D76" s="241"/>
      <c r="E76" s="241"/>
      <c r="F76" s="241"/>
      <c r="G76" s="241"/>
      <c r="H76" s="241"/>
      <c r="I76" s="241"/>
      <c r="J76" s="242"/>
      <c r="K76" s="102"/>
    </row>
    <row r="77" spans="1:11" s="7" customFormat="1" ht="18.75" customHeight="1">
      <c r="A77" s="6"/>
      <c r="B77" s="240"/>
      <c r="C77" s="241"/>
      <c r="D77" s="241"/>
      <c r="E77" s="241"/>
      <c r="F77" s="241"/>
      <c r="G77" s="241"/>
      <c r="H77" s="241"/>
      <c r="I77" s="241"/>
      <c r="J77" s="242"/>
      <c r="K77" s="102"/>
    </row>
    <row r="78" spans="1:11" s="7" customFormat="1" ht="18.75" customHeight="1">
      <c r="A78" s="6"/>
      <c r="B78" s="240"/>
      <c r="C78" s="241"/>
      <c r="D78" s="241"/>
      <c r="E78" s="241"/>
      <c r="F78" s="241"/>
      <c r="G78" s="241"/>
      <c r="H78" s="241"/>
      <c r="I78" s="241"/>
      <c r="J78" s="242"/>
      <c r="K78" s="102"/>
    </row>
    <row r="79" spans="1:11" s="7" customFormat="1" ht="18.75" customHeight="1">
      <c r="A79" s="6"/>
      <c r="B79" s="240"/>
      <c r="C79" s="241"/>
      <c r="D79" s="241"/>
      <c r="E79" s="241"/>
      <c r="F79" s="241"/>
      <c r="G79" s="241"/>
      <c r="H79" s="241"/>
      <c r="I79" s="241"/>
      <c r="J79" s="242"/>
      <c r="K79" s="102"/>
    </row>
    <row r="80" spans="1:11" s="7" customFormat="1" ht="18.75" customHeight="1">
      <c r="A80" s="6"/>
      <c r="B80" s="240"/>
      <c r="C80" s="241"/>
      <c r="D80" s="241"/>
      <c r="E80" s="241"/>
      <c r="F80" s="241"/>
      <c r="G80" s="241"/>
      <c r="H80" s="241"/>
      <c r="I80" s="241"/>
      <c r="J80" s="242"/>
      <c r="K80" s="102"/>
    </row>
    <row r="81" spans="1:11" s="7" customFormat="1" ht="18.75" customHeight="1">
      <c r="A81" s="6"/>
      <c r="B81" s="240"/>
      <c r="C81" s="241"/>
      <c r="D81" s="241"/>
      <c r="E81" s="241"/>
      <c r="F81" s="241"/>
      <c r="G81" s="241"/>
      <c r="H81" s="241"/>
      <c r="I81" s="241"/>
      <c r="J81" s="242"/>
      <c r="K81" s="102"/>
    </row>
    <row r="82" spans="1:11" s="7" customFormat="1" ht="18.75" customHeight="1">
      <c r="A82" s="6"/>
      <c r="B82" s="240"/>
      <c r="C82" s="241"/>
      <c r="D82" s="241"/>
      <c r="E82" s="241"/>
      <c r="F82" s="241"/>
      <c r="G82" s="241"/>
      <c r="H82" s="241"/>
      <c r="I82" s="241"/>
      <c r="J82" s="242"/>
      <c r="K82" s="102"/>
    </row>
    <row r="83" spans="1:11" s="7" customFormat="1" ht="18.75" customHeight="1">
      <c r="A83" s="6"/>
      <c r="B83" s="240"/>
      <c r="C83" s="241"/>
      <c r="D83" s="241"/>
      <c r="E83" s="241"/>
      <c r="F83" s="241"/>
      <c r="G83" s="241"/>
      <c r="H83" s="241"/>
      <c r="I83" s="241"/>
      <c r="J83" s="242"/>
      <c r="K83" s="102"/>
    </row>
    <row r="84" spans="1:11" s="7" customFormat="1" ht="18.75" customHeight="1">
      <c r="A84" s="6"/>
      <c r="B84" s="240"/>
      <c r="C84" s="241"/>
      <c r="D84" s="241"/>
      <c r="E84" s="241"/>
      <c r="F84" s="241"/>
      <c r="G84" s="241"/>
      <c r="H84" s="241"/>
      <c r="I84" s="241"/>
      <c r="J84" s="242"/>
      <c r="K84" s="102"/>
    </row>
    <row r="85" spans="1:11" ht="18.75" customHeight="1">
      <c r="A85" s="103"/>
      <c r="B85" s="240"/>
      <c r="C85" s="241"/>
      <c r="D85" s="241"/>
      <c r="E85" s="241"/>
      <c r="F85" s="241"/>
      <c r="G85" s="241"/>
      <c r="H85" s="241"/>
      <c r="I85" s="241"/>
      <c r="J85" s="242"/>
      <c r="K85" s="102"/>
    </row>
    <row r="86" spans="1:11" ht="18.75" customHeight="1">
      <c r="A86" s="103"/>
      <c r="B86" s="243"/>
      <c r="C86" s="244"/>
      <c r="D86" s="244"/>
      <c r="E86" s="244"/>
      <c r="F86" s="244"/>
      <c r="G86" s="244"/>
      <c r="H86" s="244"/>
      <c r="I86" s="244"/>
      <c r="J86" s="245"/>
      <c r="K86" s="102"/>
    </row>
    <row r="87" spans="1:11" ht="7.5" customHeight="1">
      <c r="A87" s="103"/>
      <c r="B87" s="103"/>
      <c r="C87" s="103"/>
      <c r="D87" s="103"/>
      <c r="E87" s="103"/>
      <c r="F87" s="103"/>
      <c r="G87" s="103"/>
      <c r="H87" s="103"/>
      <c r="I87" s="103"/>
      <c r="J87" s="103"/>
    </row>
    <row r="88" spans="1:11" s="7" customFormat="1" ht="18.75" customHeight="1">
      <c r="A88" s="6" t="s">
        <v>169</v>
      </c>
      <c r="B88" s="6" t="s">
        <v>170</v>
      </c>
      <c r="C88" s="6"/>
      <c r="D88" s="6"/>
      <c r="E88" s="6"/>
      <c r="F88" s="6"/>
      <c r="G88" s="6"/>
      <c r="H88" s="6"/>
      <c r="I88" s="6"/>
      <c r="J88" s="6"/>
      <c r="K88" s="6"/>
    </row>
    <row r="89" spans="1:11" s="7" customFormat="1" ht="18.75" customHeight="1">
      <c r="A89" s="6"/>
      <c r="B89" s="246" t="s">
        <v>171</v>
      </c>
      <c r="C89" s="247"/>
      <c r="D89" s="247"/>
      <c r="E89" s="247"/>
      <c r="F89" s="247"/>
      <c r="G89" s="247"/>
      <c r="H89" s="247"/>
      <c r="I89" s="248"/>
      <c r="J89" s="249"/>
      <c r="K89" s="6"/>
    </row>
    <row r="90" spans="1:11" s="7" customFormat="1" ht="18.75" customHeight="1">
      <c r="A90" s="6"/>
      <c r="B90" s="240"/>
      <c r="C90" s="241"/>
      <c r="D90" s="241"/>
      <c r="E90" s="241"/>
      <c r="F90" s="241"/>
      <c r="G90" s="241"/>
      <c r="H90" s="241"/>
      <c r="I90" s="241"/>
      <c r="J90" s="242"/>
      <c r="K90" s="102"/>
    </row>
    <row r="91" spans="1:11" s="7" customFormat="1" ht="18.75" customHeight="1">
      <c r="A91" s="6"/>
      <c r="B91" s="240"/>
      <c r="C91" s="241"/>
      <c r="D91" s="241"/>
      <c r="E91" s="241"/>
      <c r="F91" s="241"/>
      <c r="G91" s="241"/>
      <c r="H91" s="241"/>
      <c r="I91" s="241"/>
      <c r="J91" s="242"/>
      <c r="K91" s="102" t="str">
        <f>IF(B89="","入力してください","")</f>
        <v/>
      </c>
    </row>
    <row r="92" spans="1:11" s="7" customFormat="1" ht="18.75" customHeight="1">
      <c r="A92" s="6"/>
      <c r="B92" s="240"/>
      <c r="C92" s="241"/>
      <c r="D92" s="241"/>
      <c r="E92" s="241"/>
      <c r="F92" s="241"/>
      <c r="G92" s="241"/>
      <c r="H92" s="241"/>
      <c r="I92" s="241"/>
      <c r="J92" s="242"/>
      <c r="K92" s="102"/>
    </row>
    <row r="93" spans="1:11" s="7" customFormat="1" ht="18.75" customHeight="1">
      <c r="A93" s="6"/>
      <c r="B93" s="240"/>
      <c r="C93" s="241"/>
      <c r="D93" s="241"/>
      <c r="E93" s="241"/>
      <c r="F93" s="241"/>
      <c r="G93" s="241"/>
      <c r="H93" s="241"/>
      <c r="I93" s="241"/>
      <c r="J93" s="242"/>
      <c r="K93" s="102"/>
    </row>
    <row r="94" spans="1:11" s="7" customFormat="1" ht="18.75" customHeight="1">
      <c r="A94" s="6"/>
      <c r="B94" s="240"/>
      <c r="C94" s="241"/>
      <c r="D94" s="241"/>
      <c r="E94" s="241"/>
      <c r="F94" s="241"/>
      <c r="G94" s="241"/>
      <c r="H94" s="241"/>
      <c r="I94" s="241"/>
      <c r="J94" s="242"/>
      <c r="K94" s="102"/>
    </row>
    <row r="95" spans="1:11" s="7" customFormat="1" ht="18.75" customHeight="1">
      <c r="A95" s="6"/>
      <c r="B95" s="240"/>
      <c r="C95" s="241"/>
      <c r="D95" s="241"/>
      <c r="E95" s="241"/>
      <c r="F95" s="241"/>
      <c r="G95" s="241"/>
      <c r="H95" s="241"/>
      <c r="I95" s="241"/>
      <c r="J95" s="242"/>
      <c r="K95" s="102"/>
    </row>
    <row r="96" spans="1:11" s="7" customFormat="1" ht="18.75" customHeight="1">
      <c r="A96" s="6"/>
      <c r="B96" s="240"/>
      <c r="C96" s="241"/>
      <c r="D96" s="241"/>
      <c r="E96" s="241"/>
      <c r="F96" s="241"/>
      <c r="G96" s="241"/>
      <c r="H96" s="241"/>
      <c r="I96" s="241"/>
      <c r="J96" s="242"/>
      <c r="K96" s="102"/>
    </row>
    <row r="97" spans="1:11" s="7" customFormat="1" ht="18.75" customHeight="1">
      <c r="A97" s="6"/>
      <c r="B97" s="240"/>
      <c r="C97" s="241"/>
      <c r="D97" s="241"/>
      <c r="E97" s="241"/>
      <c r="F97" s="241"/>
      <c r="G97" s="241"/>
      <c r="H97" s="241"/>
      <c r="I97" s="241"/>
      <c r="J97" s="242"/>
      <c r="K97" s="102"/>
    </row>
    <row r="98" spans="1:11" s="7" customFormat="1" ht="18.75" customHeight="1">
      <c r="A98" s="6"/>
      <c r="B98" s="240"/>
      <c r="C98" s="241"/>
      <c r="D98" s="241"/>
      <c r="E98" s="241"/>
      <c r="F98" s="241"/>
      <c r="G98" s="241"/>
      <c r="H98" s="241"/>
      <c r="I98" s="241"/>
      <c r="J98" s="242"/>
      <c r="K98" s="102"/>
    </row>
    <row r="99" spans="1:11" s="7" customFormat="1" ht="18.75" customHeight="1">
      <c r="A99" s="6"/>
      <c r="B99" s="240"/>
      <c r="C99" s="241"/>
      <c r="D99" s="241"/>
      <c r="E99" s="241"/>
      <c r="F99" s="241"/>
      <c r="G99" s="241"/>
      <c r="H99" s="241"/>
      <c r="I99" s="241"/>
      <c r="J99" s="242"/>
      <c r="K99" s="102"/>
    </row>
    <row r="100" spans="1:11" s="7" customFormat="1" ht="18.75" customHeight="1">
      <c r="A100" s="6"/>
      <c r="B100" s="240"/>
      <c r="C100" s="241"/>
      <c r="D100" s="241"/>
      <c r="E100" s="241"/>
      <c r="F100" s="241"/>
      <c r="G100" s="241"/>
      <c r="H100" s="241"/>
      <c r="I100" s="241"/>
      <c r="J100" s="242"/>
      <c r="K100" s="102"/>
    </row>
    <row r="101" spans="1:11" s="7" customFormat="1" ht="18.75" customHeight="1">
      <c r="A101" s="6"/>
      <c r="B101" s="240"/>
      <c r="C101" s="241"/>
      <c r="D101" s="241"/>
      <c r="E101" s="241"/>
      <c r="F101" s="241"/>
      <c r="G101" s="241"/>
      <c r="H101" s="241"/>
      <c r="I101" s="241"/>
      <c r="J101" s="242"/>
      <c r="K101" s="102"/>
    </row>
    <row r="102" spans="1:11" s="7" customFormat="1" ht="18.75" customHeight="1">
      <c r="A102" s="6"/>
      <c r="B102" s="240"/>
      <c r="C102" s="241"/>
      <c r="D102" s="241"/>
      <c r="E102" s="241"/>
      <c r="F102" s="241"/>
      <c r="G102" s="241"/>
      <c r="H102" s="241"/>
      <c r="I102" s="241"/>
      <c r="J102" s="242"/>
      <c r="K102" s="102"/>
    </row>
    <row r="103" spans="1:11" s="7" customFormat="1" ht="18.75" customHeight="1">
      <c r="A103" s="6"/>
      <c r="B103" s="240"/>
      <c r="C103" s="241"/>
      <c r="D103" s="241"/>
      <c r="E103" s="241"/>
      <c r="F103" s="241"/>
      <c r="G103" s="241"/>
      <c r="H103" s="241"/>
      <c r="I103" s="241"/>
      <c r="J103" s="242"/>
      <c r="K103" s="102"/>
    </row>
    <row r="104" spans="1:11" s="7" customFormat="1" ht="18.75" customHeight="1">
      <c r="A104" s="6"/>
      <c r="B104" s="240"/>
      <c r="C104" s="241"/>
      <c r="D104" s="241"/>
      <c r="E104" s="241"/>
      <c r="F104" s="241"/>
      <c r="G104" s="241"/>
      <c r="H104" s="241"/>
      <c r="I104" s="241"/>
      <c r="J104" s="242"/>
      <c r="K104" s="102"/>
    </row>
    <row r="105" spans="1:11" s="7" customFormat="1" ht="18.75" customHeight="1">
      <c r="A105" s="6"/>
      <c r="B105" s="240"/>
      <c r="C105" s="241"/>
      <c r="D105" s="241"/>
      <c r="E105" s="241"/>
      <c r="F105" s="241"/>
      <c r="G105" s="241"/>
      <c r="H105" s="241"/>
      <c r="I105" s="241"/>
      <c r="J105" s="242"/>
      <c r="K105" s="102"/>
    </row>
    <row r="106" spans="1:11" s="7" customFormat="1" ht="18.75" customHeight="1">
      <c r="A106" s="6"/>
      <c r="B106" s="240"/>
      <c r="C106" s="241"/>
      <c r="D106" s="241"/>
      <c r="E106" s="241"/>
      <c r="F106" s="241"/>
      <c r="G106" s="241"/>
      <c r="H106" s="241"/>
      <c r="I106" s="241"/>
      <c r="J106" s="242"/>
      <c r="K106" s="102"/>
    </row>
    <row r="107" spans="1:11" ht="18.75" customHeight="1">
      <c r="A107" s="103"/>
      <c r="B107" s="240"/>
      <c r="C107" s="241"/>
      <c r="D107" s="241"/>
      <c r="E107" s="241"/>
      <c r="F107" s="241"/>
      <c r="G107" s="241"/>
      <c r="H107" s="241"/>
      <c r="I107" s="241"/>
      <c r="J107" s="242"/>
      <c r="K107" s="102"/>
    </row>
    <row r="108" spans="1:11" ht="18.75" customHeight="1">
      <c r="A108" s="103"/>
      <c r="B108" s="243"/>
      <c r="C108" s="244"/>
      <c r="D108" s="244"/>
      <c r="E108" s="244"/>
      <c r="F108" s="244"/>
      <c r="G108" s="244"/>
      <c r="H108" s="244"/>
      <c r="I108" s="244"/>
      <c r="J108" s="245"/>
      <c r="K108" s="102"/>
    </row>
    <row r="109" spans="1:11" ht="24.75" customHeight="1">
      <c r="A109" s="103"/>
      <c r="B109" s="103"/>
      <c r="C109" s="103"/>
      <c r="D109" s="103"/>
      <c r="E109" s="103"/>
      <c r="F109" s="103"/>
      <c r="G109" s="103"/>
      <c r="H109" s="103"/>
      <c r="I109" s="103"/>
      <c r="J109" s="103"/>
    </row>
    <row r="110" spans="1:11" s="7" customFormat="1" ht="18.75" customHeight="1">
      <c r="A110" s="6" t="s">
        <v>23</v>
      </c>
      <c r="B110" s="282" t="s">
        <v>172</v>
      </c>
      <c r="C110" s="282"/>
      <c r="D110" s="282"/>
      <c r="E110" s="282"/>
      <c r="F110" s="282"/>
      <c r="G110" s="282"/>
      <c r="H110" s="282"/>
      <c r="I110" s="282"/>
      <c r="J110" s="282"/>
      <c r="K110" s="6"/>
    </row>
    <row r="111" spans="1:11" ht="18.75" customHeight="1">
      <c r="A111" s="103"/>
      <c r="B111" s="246" t="s">
        <v>173</v>
      </c>
      <c r="C111" s="247"/>
      <c r="D111" s="247"/>
      <c r="E111" s="247"/>
      <c r="F111" s="247"/>
      <c r="G111" s="247"/>
      <c r="H111" s="247"/>
      <c r="I111" s="248"/>
      <c r="J111" s="249"/>
    </row>
    <row r="112" spans="1:11" ht="18.75" customHeight="1">
      <c r="A112" s="103"/>
      <c r="B112" s="240"/>
      <c r="C112" s="241"/>
      <c r="D112" s="241"/>
      <c r="E112" s="241"/>
      <c r="F112" s="241"/>
      <c r="G112" s="241"/>
      <c r="H112" s="241"/>
      <c r="I112" s="241"/>
      <c r="J112" s="242"/>
      <c r="K112" s="102"/>
    </row>
    <row r="113" spans="1:11" ht="18.75" customHeight="1">
      <c r="A113" s="103"/>
      <c r="B113" s="240"/>
      <c r="C113" s="241"/>
      <c r="D113" s="241"/>
      <c r="E113" s="241"/>
      <c r="F113" s="241"/>
      <c r="G113" s="241"/>
      <c r="H113" s="241"/>
      <c r="I113" s="241"/>
      <c r="J113" s="242"/>
      <c r="K113" s="6" t="str">
        <f>IF(B111="","入力してください","")</f>
        <v/>
      </c>
    </row>
    <row r="114" spans="1:11" ht="18.75" customHeight="1">
      <c r="A114" s="103"/>
      <c r="B114" s="240"/>
      <c r="C114" s="241"/>
      <c r="D114" s="241"/>
      <c r="E114" s="241"/>
      <c r="F114" s="241"/>
      <c r="G114" s="241"/>
      <c r="H114" s="241"/>
      <c r="I114" s="241"/>
      <c r="J114" s="242"/>
    </row>
    <row r="115" spans="1:11" ht="18.75" customHeight="1">
      <c r="A115" s="103"/>
      <c r="B115" s="240"/>
      <c r="C115" s="241"/>
      <c r="D115" s="241"/>
      <c r="E115" s="241"/>
      <c r="F115" s="241"/>
      <c r="G115" s="241"/>
      <c r="H115" s="241"/>
      <c r="I115" s="241"/>
      <c r="J115" s="242"/>
    </row>
    <row r="116" spans="1:11" ht="18.75" customHeight="1">
      <c r="A116" s="103"/>
      <c r="B116" s="240"/>
      <c r="C116" s="241"/>
      <c r="D116" s="241"/>
      <c r="E116" s="241"/>
      <c r="F116" s="241"/>
      <c r="G116" s="241"/>
      <c r="H116" s="241"/>
      <c r="I116" s="241"/>
      <c r="J116" s="242"/>
    </row>
    <row r="117" spans="1:11" ht="18.75" customHeight="1">
      <c r="A117" s="103"/>
      <c r="B117" s="240"/>
      <c r="C117" s="241"/>
      <c r="D117" s="241"/>
      <c r="E117" s="241"/>
      <c r="F117" s="241"/>
      <c r="G117" s="241"/>
      <c r="H117" s="241"/>
      <c r="I117" s="241"/>
      <c r="J117" s="242"/>
    </row>
    <row r="118" spans="1:11" ht="18.75" customHeight="1">
      <c r="A118" s="103"/>
      <c r="B118" s="240"/>
      <c r="C118" s="241"/>
      <c r="D118" s="241"/>
      <c r="E118" s="241"/>
      <c r="F118" s="241"/>
      <c r="G118" s="241"/>
      <c r="H118" s="241"/>
      <c r="I118" s="241"/>
      <c r="J118" s="242"/>
    </row>
    <row r="119" spans="1:11" ht="18.75" customHeight="1">
      <c r="A119" s="103"/>
      <c r="B119" s="240"/>
      <c r="C119" s="241"/>
      <c r="D119" s="241"/>
      <c r="E119" s="241"/>
      <c r="F119" s="241"/>
      <c r="G119" s="241"/>
      <c r="H119" s="241"/>
      <c r="I119" s="241"/>
      <c r="J119" s="242"/>
    </row>
    <row r="120" spans="1:11" ht="18.75" customHeight="1">
      <c r="A120" s="103"/>
      <c r="B120" s="240"/>
      <c r="C120" s="241"/>
      <c r="D120" s="241"/>
      <c r="E120" s="241"/>
      <c r="F120" s="241"/>
      <c r="G120" s="241"/>
      <c r="H120" s="241"/>
      <c r="I120" s="241"/>
      <c r="J120" s="242"/>
    </row>
    <row r="121" spans="1:11" ht="18.75" customHeight="1">
      <c r="A121" s="103"/>
      <c r="B121" s="240"/>
      <c r="C121" s="241"/>
      <c r="D121" s="241"/>
      <c r="E121" s="241"/>
      <c r="F121" s="241"/>
      <c r="G121" s="241"/>
      <c r="H121" s="241"/>
      <c r="I121" s="241"/>
      <c r="J121" s="242"/>
    </row>
    <row r="122" spans="1:11" ht="18.75" customHeight="1">
      <c r="A122" s="103"/>
      <c r="B122" s="240"/>
      <c r="C122" s="241"/>
      <c r="D122" s="241"/>
      <c r="E122" s="241"/>
      <c r="F122" s="241"/>
      <c r="G122" s="241"/>
      <c r="H122" s="241"/>
      <c r="I122" s="241"/>
      <c r="J122" s="242"/>
    </row>
    <row r="123" spans="1:11" ht="18.75" customHeight="1">
      <c r="A123" s="103"/>
      <c r="B123" s="240"/>
      <c r="C123" s="241"/>
      <c r="D123" s="241"/>
      <c r="E123" s="241"/>
      <c r="F123" s="241"/>
      <c r="G123" s="241"/>
      <c r="H123" s="241"/>
      <c r="I123" s="241"/>
      <c r="J123" s="242"/>
    </row>
    <row r="124" spans="1:11" ht="18.75" customHeight="1">
      <c r="A124" s="103"/>
      <c r="B124" s="240"/>
      <c r="C124" s="241"/>
      <c r="D124" s="241"/>
      <c r="E124" s="241"/>
      <c r="F124" s="241"/>
      <c r="G124" s="241"/>
      <c r="H124" s="241"/>
      <c r="I124" s="241"/>
      <c r="J124" s="242"/>
    </row>
    <row r="125" spans="1:11" ht="18.75" customHeight="1">
      <c r="A125" s="103"/>
      <c r="B125" s="240"/>
      <c r="C125" s="241"/>
      <c r="D125" s="241"/>
      <c r="E125" s="241"/>
      <c r="F125" s="241"/>
      <c r="G125" s="241"/>
      <c r="H125" s="241"/>
      <c r="I125" s="241"/>
      <c r="J125" s="242"/>
    </row>
    <row r="126" spans="1:11" ht="18.75" customHeight="1">
      <c r="A126" s="103"/>
      <c r="B126" s="240"/>
      <c r="C126" s="241"/>
      <c r="D126" s="241"/>
      <c r="E126" s="241"/>
      <c r="F126" s="241"/>
      <c r="G126" s="241"/>
      <c r="H126" s="241"/>
      <c r="I126" s="241"/>
      <c r="J126" s="242"/>
    </row>
    <row r="127" spans="1:11" ht="18.75" customHeight="1">
      <c r="A127" s="103"/>
      <c r="B127" s="240"/>
      <c r="C127" s="241"/>
      <c r="D127" s="241"/>
      <c r="E127" s="241"/>
      <c r="F127" s="241"/>
      <c r="G127" s="241"/>
      <c r="H127" s="241"/>
      <c r="I127" s="241"/>
      <c r="J127" s="242"/>
    </row>
    <row r="128" spans="1:11" ht="18.75" customHeight="1">
      <c r="A128" s="103"/>
      <c r="B128" s="240"/>
      <c r="C128" s="241"/>
      <c r="D128" s="241"/>
      <c r="E128" s="241"/>
      <c r="F128" s="241"/>
      <c r="G128" s="241"/>
      <c r="H128" s="241"/>
      <c r="I128" s="241"/>
      <c r="J128" s="242"/>
    </row>
    <row r="129" spans="1:10" ht="18.75" customHeight="1">
      <c r="A129" s="103"/>
      <c r="B129" s="243"/>
      <c r="C129" s="244"/>
      <c r="D129" s="244"/>
      <c r="E129" s="244"/>
      <c r="F129" s="244"/>
      <c r="G129" s="244"/>
      <c r="H129" s="244"/>
      <c r="I129" s="244"/>
      <c r="J129" s="245"/>
    </row>
    <row r="130" spans="1:10" ht="7.5" customHeight="1">
      <c r="A130" s="103"/>
      <c r="B130" s="107"/>
      <c r="C130" s="107"/>
      <c r="D130" s="107"/>
      <c r="E130" s="107"/>
      <c r="F130" s="107"/>
      <c r="G130" s="107"/>
      <c r="H130" s="107"/>
      <c r="I130" s="107"/>
      <c r="J130" s="107"/>
    </row>
    <row r="131" spans="1:10" ht="18.75" customHeight="1">
      <c r="A131" s="103"/>
      <c r="B131" s="103"/>
      <c r="C131" s="103"/>
      <c r="D131" s="103"/>
      <c r="E131" s="103"/>
      <c r="F131" s="103"/>
      <c r="G131" s="103"/>
      <c r="H131" s="103"/>
      <c r="I131" s="103"/>
      <c r="J131" s="103"/>
    </row>
    <row r="132" spans="1:10" ht="18.75" customHeight="1">
      <c r="A132" s="103"/>
      <c r="B132" s="103"/>
      <c r="C132" s="103"/>
      <c r="D132" s="103"/>
      <c r="E132" s="103"/>
      <c r="F132" s="103"/>
      <c r="G132" s="103"/>
      <c r="H132" s="103"/>
      <c r="I132" s="103"/>
      <c r="J132" s="103"/>
    </row>
    <row r="133" spans="1:10" ht="18.75" customHeight="1">
      <c r="A133" s="103"/>
      <c r="B133" s="103"/>
      <c r="C133" s="103"/>
      <c r="D133" s="103"/>
      <c r="E133" s="103"/>
      <c r="F133" s="103"/>
      <c r="G133" s="103"/>
      <c r="H133" s="103"/>
      <c r="I133" s="103"/>
      <c r="J133" s="103"/>
    </row>
    <row r="134" spans="1:10" ht="18.75" customHeight="1">
      <c r="A134" s="103"/>
      <c r="B134" s="103"/>
      <c r="C134" s="103"/>
      <c r="D134" s="103"/>
      <c r="E134" s="103"/>
      <c r="F134" s="103"/>
      <c r="G134" s="103"/>
      <c r="H134" s="103"/>
      <c r="I134" s="103"/>
      <c r="J134" s="103"/>
    </row>
    <row r="135" spans="1:10" ht="18.75" customHeight="1">
      <c r="A135" s="103"/>
      <c r="B135" s="103"/>
      <c r="C135" s="103"/>
      <c r="D135" s="103"/>
      <c r="E135" s="103"/>
      <c r="F135" s="103"/>
      <c r="G135" s="103"/>
      <c r="H135" s="103"/>
      <c r="I135" s="103"/>
      <c r="J135" s="103"/>
    </row>
    <row r="136" spans="1:10" ht="18.75" customHeight="1">
      <c r="A136" s="103"/>
      <c r="B136" s="103"/>
      <c r="C136" s="103"/>
      <c r="D136" s="103"/>
      <c r="E136" s="103"/>
      <c r="F136" s="103"/>
      <c r="G136" s="103"/>
      <c r="H136" s="103"/>
      <c r="I136" s="103"/>
      <c r="J136" s="103"/>
    </row>
    <row r="137" spans="1:10" ht="18.75" customHeight="1">
      <c r="A137" s="103"/>
      <c r="B137" s="103"/>
      <c r="C137" s="103"/>
      <c r="D137" s="103"/>
      <c r="E137" s="103"/>
      <c r="F137" s="103"/>
      <c r="G137" s="103"/>
      <c r="H137" s="103"/>
      <c r="I137" s="103"/>
      <c r="J137" s="103"/>
    </row>
    <row r="138" spans="1:10" ht="18.75" customHeight="1">
      <c r="A138" s="103"/>
      <c r="B138" s="103"/>
      <c r="C138" s="103"/>
      <c r="D138" s="103"/>
      <c r="E138" s="103"/>
      <c r="F138" s="103"/>
      <c r="G138" s="103"/>
      <c r="H138" s="103"/>
      <c r="I138" s="103"/>
      <c r="J138" s="103"/>
    </row>
    <row r="139" spans="1:10" ht="18.75" customHeight="1">
      <c r="A139" s="103"/>
      <c r="B139" s="103"/>
      <c r="C139" s="103"/>
      <c r="D139" s="103"/>
      <c r="E139" s="103"/>
      <c r="F139" s="103"/>
      <c r="G139" s="103"/>
      <c r="H139" s="103"/>
      <c r="I139" s="103"/>
      <c r="J139" s="103"/>
    </row>
    <row r="140" spans="1:10" ht="18.75" customHeight="1">
      <c r="A140" s="103"/>
      <c r="B140" s="103"/>
      <c r="C140" s="103"/>
      <c r="D140" s="103"/>
      <c r="E140" s="103"/>
      <c r="F140" s="103"/>
      <c r="G140" s="103"/>
      <c r="H140" s="103"/>
      <c r="I140" s="103"/>
      <c r="J140" s="103"/>
    </row>
    <row r="141" spans="1:10" ht="18.75" customHeight="1">
      <c r="A141" s="103"/>
      <c r="B141" s="103"/>
      <c r="C141" s="103"/>
      <c r="D141" s="103"/>
      <c r="E141" s="103"/>
      <c r="F141" s="103"/>
      <c r="G141" s="103"/>
      <c r="H141" s="103"/>
      <c r="I141" s="103"/>
      <c r="J141" s="103"/>
    </row>
    <row r="142" spans="1:10" ht="18.75" customHeight="1">
      <c r="A142" s="103"/>
      <c r="B142" s="103"/>
      <c r="C142" s="103"/>
      <c r="D142" s="103"/>
      <c r="E142" s="103"/>
      <c r="F142" s="103"/>
      <c r="G142" s="103"/>
      <c r="H142" s="103"/>
      <c r="I142" s="103"/>
      <c r="J142" s="103"/>
    </row>
    <row r="143" spans="1:10" ht="14.25">
      <c r="A143" s="103"/>
      <c r="B143" s="103"/>
      <c r="C143" s="103"/>
      <c r="D143" s="103"/>
      <c r="E143" s="103"/>
      <c r="F143" s="103"/>
      <c r="G143" s="103"/>
      <c r="H143" s="103"/>
      <c r="I143" s="103"/>
      <c r="J143" s="103"/>
    </row>
    <row r="144" spans="1:10" ht="7.5" customHeight="1">
      <c r="A144" s="108"/>
      <c r="B144" s="108"/>
      <c r="C144" s="108"/>
      <c r="D144" s="108"/>
      <c r="E144" s="108"/>
      <c r="F144" s="108"/>
      <c r="G144" s="108"/>
      <c r="H144" s="108"/>
      <c r="I144" s="108"/>
      <c r="J144" s="108"/>
    </row>
  </sheetData>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scale="99" orientation="portrait" r:id="rId1"/>
  <rowBreaks count="2" manualBreakCount="2">
    <brk id="44" max="9" man="1"/>
    <brk id="87" max="9"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26"/>
  <sheetViews>
    <sheetView showZeros="0" view="pageBreakPreview" topLeftCell="A16" zoomScaleNormal="100" zoomScaleSheetLayoutView="100" workbookViewId="0">
      <selection activeCell="E8" sqref="E8:J8"/>
    </sheetView>
  </sheetViews>
  <sheetFormatPr defaultColWidth="11.375" defaultRowHeight="22.5" customHeight="1"/>
  <cols>
    <col min="1" max="3" width="2.75" style="6" customWidth="1"/>
    <col min="4" max="4" width="15.625" style="6" customWidth="1"/>
    <col min="5" max="5" width="21.625" style="6" customWidth="1"/>
    <col min="6" max="7" width="7.75" style="6" customWidth="1"/>
    <col min="8" max="8" width="33.375" style="6" customWidth="1"/>
    <col min="9" max="9" width="24.5" style="6" customWidth="1"/>
    <col min="10" max="10" width="4.25" style="6" customWidth="1"/>
    <col min="11" max="11" width="4.125" style="7" customWidth="1"/>
    <col min="12" max="16384" width="11.375" style="6"/>
  </cols>
  <sheetData>
    <row r="1" spans="1:12" ht="18.75" customHeight="1">
      <c r="A1" s="6" t="s">
        <v>174</v>
      </c>
      <c r="J1" s="52" t="s">
        <v>175</v>
      </c>
    </row>
    <row r="2" spans="1:12" ht="18.75" customHeight="1">
      <c r="A2" s="193" t="s">
        <v>176</v>
      </c>
      <c r="B2" s="193"/>
      <c r="C2" s="193"/>
      <c r="D2" s="193"/>
      <c r="E2" s="193"/>
      <c r="F2" s="193"/>
      <c r="G2" s="193"/>
      <c r="H2" s="193"/>
      <c r="I2" s="193"/>
      <c r="J2" s="193"/>
    </row>
    <row r="3" spans="1:12" ht="7.5" customHeight="1">
      <c r="A3" s="61"/>
      <c r="B3" s="61"/>
      <c r="C3" s="61"/>
      <c r="D3" s="61"/>
      <c r="E3" s="61"/>
      <c r="F3" s="61"/>
      <c r="G3" s="61"/>
      <c r="H3" s="61"/>
      <c r="I3" s="61"/>
      <c r="J3" s="61"/>
    </row>
    <row r="4" spans="1:12" ht="21.75" customHeight="1">
      <c r="A4" s="6" t="s">
        <v>2</v>
      </c>
      <c r="B4" s="7" t="s">
        <v>177</v>
      </c>
      <c r="C4" s="109"/>
      <c r="D4" s="109"/>
      <c r="E4" s="109"/>
      <c r="F4" s="109"/>
      <c r="G4" s="109"/>
      <c r="H4" s="109"/>
      <c r="I4" s="109"/>
      <c r="J4" s="109"/>
    </row>
    <row r="5" spans="1:12" ht="18.75" customHeight="1">
      <c r="B5" s="141" t="s">
        <v>178</v>
      </c>
      <c r="C5" s="142"/>
      <c r="D5" s="143"/>
      <c r="E5" s="142" t="s">
        <v>179</v>
      </c>
      <c r="F5" s="142"/>
      <c r="G5" s="142"/>
      <c r="H5" s="142"/>
      <c r="I5" s="142"/>
      <c r="J5" s="143"/>
    </row>
    <row r="6" spans="1:12" ht="18.75" customHeight="1">
      <c r="B6" s="11" t="s">
        <v>180</v>
      </c>
      <c r="C6" s="109"/>
      <c r="D6" s="110"/>
      <c r="I6" s="109"/>
      <c r="J6" s="110"/>
    </row>
    <row r="7" spans="1:12" ht="207" customHeight="1">
      <c r="B7" s="111"/>
      <c r="C7" s="261" t="s">
        <v>181</v>
      </c>
      <c r="D7" s="262"/>
      <c r="E7" s="258" t="s">
        <v>182</v>
      </c>
      <c r="F7" s="259"/>
      <c r="G7" s="259"/>
      <c r="H7" s="259"/>
      <c r="I7" s="259"/>
      <c r="J7" s="260"/>
      <c r="K7" s="7" t="str">
        <f>IF(E7="","入力してください","")</f>
        <v/>
      </c>
      <c r="L7" s="6">
        <f>LEN(E7)</f>
        <v>412</v>
      </c>
    </row>
    <row r="8" spans="1:12" ht="207" customHeight="1">
      <c r="B8" s="111"/>
      <c r="C8" s="283" t="s">
        <v>183</v>
      </c>
      <c r="D8" s="284"/>
      <c r="E8" s="258" t="s">
        <v>184</v>
      </c>
      <c r="F8" s="259"/>
      <c r="G8" s="259"/>
      <c r="H8" s="259"/>
      <c r="I8" s="259"/>
      <c r="J8" s="260"/>
      <c r="K8" s="7" t="str">
        <f>IF(E8="","入力してください","")</f>
        <v/>
      </c>
    </row>
    <row r="9" spans="1:12" ht="172.5" customHeight="1">
      <c r="B9" s="111"/>
      <c r="C9" s="261" t="s">
        <v>185</v>
      </c>
      <c r="D9" s="262"/>
      <c r="E9" s="258" t="s">
        <v>186</v>
      </c>
      <c r="F9" s="259"/>
      <c r="G9" s="259"/>
      <c r="H9" s="259"/>
      <c r="I9" s="259"/>
      <c r="J9" s="260"/>
      <c r="K9" s="7" t="str">
        <f>IF(E9="","入力してください","")</f>
        <v/>
      </c>
    </row>
    <row r="10" spans="1:12" ht="172.5" customHeight="1">
      <c r="B10" s="111"/>
      <c r="C10" s="261" t="s">
        <v>187</v>
      </c>
      <c r="D10" s="262"/>
      <c r="E10" s="258" t="s">
        <v>188</v>
      </c>
      <c r="F10" s="259"/>
      <c r="G10" s="259"/>
      <c r="H10" s="259"/>
      <c r="I10" s="259"/>
      <c r="J10" s="260"/>
      <c r="K10" s="7" t="str">
        <f>IF(E10="","入力してください","")</f>
        <v/>
      </c>
    </row>
    <row r="11" spans="1:12" ht="172.5" customHeight="1">
      <c r="B11" s="111"/>
      <c r="C11" s="261" t="s">
        <v>189</v>
      </c>
      <c r="D11" s="262"/>
      <c r="E11" s="258" t="s">
        <v>190</v>
      </c>
      <c r="F11" s="259"/>
      <c r="G11" s="259"/>
      <c r="H11" s="259"/>
      <c r="I11" s="259"/>
      <c r="J11" s="260"/>
      <c r="K11" s="7" t="str">
        <f>IF(E11="","入力してください","")</f>
        <v/>
      </c>
    </row>
    <row r="12" spans="1:12" ht="18.75" customHeight="1">
      <c r="B12" s="112" t="s">
        <v>191</v>
      </c>
      <c r="C12" s="113"/>
      <c r="D12" s="114"/>
      <c r="E12" s="115"/>
      <c r="F12" s="115"/>
      <c r="G12" s="115"/>
      <c r="H12" s="115"/>
      <c r="I12" s="115"/>
      <c r="J12" s="116"/>
    </row>
    <row r="13" spans="1:12" ht="243.75" customHeight="1">
      <c r="B13" s="111"/>
      <c r="C13" s="261" t="s">
        <v>192</v>
      </c>
      <c r="D13" s="262"/>
      <c r="E13" s="259" t="s">
        <v>193</v>
      </c>
      <c r="F13" s="259"/>
      <c r="G13" s="259"/>
      <c r="H13" s="259"/>
      <c r="I13" s="259"/>
      <c r="J13" s="260"/>
      <c r="K13" s="7" t="str">
        <f>IF(E13="","入力してください","")</f>
        <v/>
      </c>
    </row>
    <row r="14" spans="1:12" ht="255" customHeight="1">
      <c r="B14" s="111"/>
      <c r="C14" s="261" t="s">
        <v>194</v>
      </c>
      <c r="D14" s="262"/>
      <c r="E14" s="259" t="s">
        <v>195</v>
      </c>
      <c r="F14" s="259"/>
      <c r="G14" s="259"/>
      <c r="H14" s="259"/>
      <c r="I14" s="259"/>
      <c r="J14" s="260"/>
      <c r="K14" s="7" t="str">
        <f>IF(E14="","入力してください","")</f>
        <v/>
      </c>
    </row>
    <row r="15" spans="1:12" ht="243" customHeight="1">
      <c r="B15" s="269" t="s">
        <v>196</v>
      </c>
      <c r="C15" s="270"/>
      <c r="D15" s="262"/>
      <c r="E15" s="259" t="s">
        <v>197</v>
      </c>
      <c r="F15" s="259"/>
      <c r="G15" s="259"/>
      <c r="H15" s="259"/>
      <c r="I15" s="259"/>
      <c r="J15" s="260"/>
      <c r="K15" s="7" t="str">
        <f>IF(E15="","入力してください","")</f>
        <v/>
      </c>
    </row>
    <row r="16" spans="1:12" ht="243" customHeight="1">
      <c r="A16" s="7"/>
      <c r="B16" s="263" t="s">
        <v>198</v>
      </c>
      <c r="C16" s="264"/>
      <c r="D16" s="265"/>
      <c r="E16" s="256" t="s">
        <v>199</v>
      </c>
      <c r="F16" s="256"/>
      <c r="G16" s="256"/>
      <c r="H16" s="256"/>
      <c r="I16" s="256"/>
      <c r="J16" s="257"/>
      <c r="K16" s="7" t="str">
        <f>IF(E16="","入力してください","")</f>
        <v/>
      </c>
    </row>
    <row r="17" spans="1:11" ht="7.5" customHeight="1">
      <c r="B17" s="109"/>
      <c r="C17" s="109"/>
      <c r="D17" s="109"/>
      <c r="E17" s="109"/>
      <c r="F17" s="109"/>
      <c r="G17" s="109"/>
      <c r="H17" s="109"/>
      <c r="I17" s="109"/>
      <c r="J17" s="109"/>
    </row>
    <row r="18" spans="1:11" ht="18.75" customHeight="1">
      <c r="A18" s="6" t="s">
        <v>200</v>
      </c>
      <c r="B18" s="7"/>
      <c r="C18" s="109"/>
      <c r="D18" s="109"/>
      <c r="E18" s="109"/>
      <c r="F18" s="60"/>
      <c r="G18" s="266" t="s">
        <v>124</v>
      </c>
      <c r="H18" s="267"/>
      <c r="I18" s="267"/>
      <c r="J18" s="268"/>
      <c r="K18" s="7" t="str">
        <f>IF(G18="","入力してください","")</f>
        <v/>
      </c>
    </row>
    <row r="19" spans="1:11" ht="22.5" customHeight="1">
      <c r="B19" s="109"/>
      <c r="C19" s="109"/>
      <c r="D19" s="109"/>
      <c r="E19" s="109"/>
      <c r="F19" s="109"/>
      <c r="G19" s="109"/>
      <c r="H19" s="109"/>
      <c r="I19" s="109"/>
      <c r="J19" s="109"/>
    </row>
    <row r="20" spans="1:11" ht="22.5" customHeight="1">
      <c r="B20" s="109"/>
      <c r="C20" s="109"/>
      <c r="D20" s="109"/>
      <c r="E20" s="109"/>
      <c r="F20" s="109"/>
      <c r="G20" s="109"/>
      <c r="H20" s="109"/>
      <c r="I20" s="109"/>
      <c r="J20" s="109"/>
    </row>
    <row r="21" spans="1:11" ht="22.5" customHeight="1">
      <c r="B21" s="109"/>
      <c r="C21" s="109"/>
      <c r="D21" s="109"/>
      <c r="E21" s="109"/>
      <c r="F21" s="109"/>
      <c r="G21" s="109"/>
      <c r="H21" s="109"/>
      <c r="I21" s="109"/>
      <c r="J21" s="109"/>
    </row>
    <row r="22" spans="1:11" ht="22.5" customHeight="1">
      <c r="B22" s="109"/>
      <c r="C22" s="109"/>
      <c r="D22" s="109"/>
      <c r="E22" s="109"/>
      <c r="F22" s="109"/>
      <c r="G22" s="109"/>
      <c r="H22" s="109"/>
      <c r="I22" s="109"/>
      <c r="J22" s="109"/>
    </row>
    <row r="23" spans="1:11" ht="22.5" customHeight="1">
      <c r="B23" s="109"/>
      <c r="C23" s="109"/>
      <c r="D23" s="109"/>
      <c r="E23" s="109"/>
      <c r="F23" s="109"/>
      <c r="G23" s="109"/>
      <c r="H23" s="109"/>
      <c r="I23" s="109"/>
      <c r="J23" s="109"/>
    </row>
    <row r="24" spans="1:11" ht="22.5" customHeight="1">
      <c r="B24" s="25"/>
      <c r="C24" s="25"/>
      <c r="D24" s="25"/>
      <c r="E24" s="25"/>
      <c r="F24" s="25"/>
      <c r="G24" s="25"/>
      <c r="H24" s="25"/>
      <c r="I24" s="25"/>
      <c r="J24" s="25"/>
    </row>
    <row r="25" spans="1:11" ht="22.5" customHeight="1">
      <c r="B25" s="25"/>
      <c r="C25" s="25"/>
      <c r="D25" s="25"/>
      <c r="E25" s="25"/>
      <c r="F25" s="25"/>
      <c r="G25" s="25"/>
      <c r="H25" s="25"/>
      <c r="I25" s="25"/>
      <c r="J25" s="25"/>
    </row>
    <row r="26" spans="1:11" ht="22.5" customHeight="1">
      <c r="B26" s="25"/>
      <c r="C26" s="25"/>
      <c r="D26" s="25"/>
      <c r="E26" s="25"/>
      <c r="F26" s="25"/>
      <c r="G26" s="25"/>
      <c r="H26" s="25"/>
      <c r="I26" s="25"/>
      <c r="J26" s="25"/>
    </row>
  </sheetData>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printOptions horizontalCentered="1"/>
  <pageMargins left="0.25" right="0.25" top="0.75" bottom="0.75" header="0.3" footer="0.3"/>
  <pageSetup paperSize="9" scale="81" fitToHeight="0" orientation="portrait" r:id="rId1"/>
  <rowBreaks count="1" manualBreakCount="1">
    <brk id="15" max="9"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24"/>
  <sheetViews>
    <sheetView showZeros="0" view="pageBreakPreview" zoomScaleNormal="100" zoomScaleSheetLayoutView="100" workbookViewId="0">
      <selection activeCell="B5" sqref="B5:F42"/>
    </sheetView>
  </sheetViews>
  <sheetFormatPr defaultColWidth="11.375" defaultRowHeight="18.75" customHeight="1"/>
  <cols>
    <col min="1" max="1" width="3.375" style="1" customWidth="1"/>
    <col min="2" max="2" width="15.5" style="1" customWidth="1"/>
    <col min="3" max="3" width="37.75" style="1" customWidth="1"/>
    <col min="4" max="4" width="1.125" style="1" customWidth="1"/>
    <col min="5" max="5" width="21.125" style="1" customWidth="1"/>
    <col min="6" max="6" width="7.125" style="1" customWidth="1"/>
    <col min="7" max="7" width="2.25" style="1" customWidth="1"/>
    <col min="8" max="8" width="2.125" style="1" customWidth="1"/>
    <col min="9" max="16384" width="11.375" style="1"/>
  </cols>
  <sheetData>
    <row r="1" spans="1:6" ht="18.75" customHeight="1">
      <c r="E1" s="271" t="s">
        <v>201</v>
      </c>
      <c r="F1" s="271"/>
    </row>
    <row r="2" spans="1:6" ht="18.75" customHeight="1">
      <c r="A2" s="272" t="s">
        <v>202</v>
      </c>
      <c r="B2" s="272"/>
      <c r="C2" s="272"/>
      <c r="D2" s="272"/>
      <c r="E2" s="272"/>
      <c r="F2" s="272"/>
    </row>
    <row r="3" spans="1:6" ht="7.5" customHeight="1">
      <c r="A3" s="62"/>
      <c r="B3" s="62"/>
      <c r="C3" s="62"/>
      <c r="D3" s="62"/>
      <c r="E3" s="62"/>
      <c r="F3" s="62"/>
    </row>
    <row r="4" spans="1:6" ht="18.75" customHeight="1">
      <c r="A4" s="62" t="s">
        <v>2</v>
      </c>
      <c r="B4" s="2" t="s">
        <v>203</v>
      </c>
      <c r="C4" s="62"/>
      <c r="D4" s="62"/>
      <c r="E4" s="62"/>
      <c r="F4" s="62"/>
    </row>
    <row r="5" spans="1:6" ht="18.75" customHeight="1">
      <c r="A5" s="62"/>
      <c r="B5" s="273" t="s">
        <v>204</v>
      </c>
      <c r="C5" s="274"/>
      <c r="D5" s="274"/>
      <c r="E5" s="274"/>
      <c r="F5" s="275"/>
    </row>
    <row r="6" spans="1:6" ht="18.75" customHeight="1">
      <c r="A6" s="62"/>
      <c r="B6" s="276"/>
      <c r="C6" s="277"/>
      <c r="D6" s="277"/>
      <c r="E6" s="277"/>
      <c r="F6" s="278"/>
    </row>
    <row r="7" spans="1:6" ht="18.75" customHeight="1">
      <c r="A7" s="62"/>
      <c r="B7" s="276"/>
      <c r="C7" s="277"/>
      <c r="D7" s="277"/>
      <c r="E7" s="277"/>
      <c r="F7" s="278"/>
    </row>
    <row r="8" spans="1:6" ht="18.75" customHeight="1">
      <c r="A8" s="62"/>
      <c r="B8" s="276"/>
      <c r="C8" s="277"/>
      <c r="D8" s="277"/>
      <c r="E8" s="277"/>
      <c r="F8" s="278"/>
    </row>
    <row r="9" spans="1:6" ht="18.75" customHeight="1">
      <c r="A9" s="62"/>
      <c r="B9" s="276"/>
      <c r="C9" s="277"/>
      <c r="D9" s="277"/>
      <c r="E9" s="277"/>
      <c r="F9" s="278"/>
    </row>
    <row r="10" spans="1:6" ht="18.75" customHeight="1">
      <c r="A10" s="62"/>
      <c r="B10" s="276"/>
      <c r="C10" s="277"/>
      <c r="D10" s="277"/>
      <c r="E10" s="277"/>
      <c r="F10" s="278"/>
    </row>
    <row r="11" spans="1:6" ht="18.75" customHeight="1">
      <c r="A11" s="62"/>
      <c r="B11" s="276"/>
      <c r="C11" s="277"/>
      <c r="D11" s="277"/>
      <c r="E11" s="277"/>
      <c r="F11" s="278"/>
    </row>
    <row r="12" spans="1:6" ht="18.75" customHeight="1">
      <c r="A12" s="62"/>
      <c r="B12" s="276"/>
      <c r="C12" s="277"/>
      <c r="D12" s="277"/>
      <c r="E12" s="277"/>
      <c r="F12" s="278"/>
    </row>
    <row r="13" spans="1:6" ht="18.75" customHeight="1">
      <c r="A13" s="62"/>
      <c r="B13" s="276"/>
      <c r="C13" s="277"/>
      <c r="D13" s="277"/>
      <c r="E13" s="277"/>
      <c r="F13" s="278"/>
    </row>
    <row r="14" spans="1:6" ht="18.75" customHeight="1">
      <c r="A14" s="62"/>
      <c r="B14" s="276"/>
      <c r="C14" s="277"/>
      <c r="D14" s="277"/>
      <c r="E14" s="277"/>
      <c r="F14" s="278"/>
    </row>
    <row r="15" spans="1:6" ht="18.75" customHeight="1">
      <c r="A15" s="62"/>
      <c r="B15" s="276"/>
      <c r="C15" s="277"/>
      <c r="D15" s="277"/>
      <c r="E15" s="277"/>
      <c r="F15" s="278"/>
    </row>
    <row r="16" spans="1:6" ht="18.75" customHeight="1">
      <c r="A16" s="62"/>
      <c r="B16" s="276"/>
      <c r="C16" s="277"/>
      <c r="D16" s="277"/>
      <c r="E16" s="277"/>
      <c r="F16" s="278"/>
    </row>
    <row r="17" spans="1:6" ht="18.75" customHeight="1">
      <c r="A17" s="62"/>
      <c r="B17" s="276"/>
      <c r="C17" s="277"/>
      <c r="D17" s="277"/>
      <c r="E17" s="277"/>
      <c r="F17" s="278"/>
    </row>
    <row r="18" spans="1:6" ht="18.75" customHeight="1">
      <c r="A18" s="62"/>
      <c r="B18" s="276"/>
      <c r="C18" s="277"/>
      <c r="D18" s="277"/>
      <c r="E18" s="277"/>
      <c r="F18" s="278"/>
    </row>
    <row r="19" spans="1:6" ht="18.75" customHeight="1">
      <c r="A19" s="62"/>
      <c r="B19" s="276"/>
      <c r="C19" s="277"/>
      <c r="D19" s="277"/>
      <c r="E19" s="277"/>
      <c r="F19" s="278"/>
    </row>
    <row r="20" spans="1:6" ht="18.75" customHeight="1">
      <c r="A20" s="62"/>
      <c r="B20" s="276"/>
      <c r="C20" s="277"/>
      <c r="D20" s="277"/>
      <c r="E20" s="277"/>
      <c r="F20" s="278"/>
    </row>
    <row r="21" spans="1:6" ht="18.75" customHeight="1">
      <c r="A21" s="62"/>
      <c r="B21" s="276"/>
      <c r="C21" s="277"/>
      <c r="D21" s="277"/>
      <c r="E21" s="277"/>
      <c r="F21" s="278"/>
    </row>
    <row r="22" spans="1:6" ht="18.75" customHeight="1">
      <c r="A22" s="62"/>
      <c r="B22" s="276"/>
      <c r="C22" s="277"/>
      <c r="D22" s="277"/>
      <c r="E22" s="277"/>
      <c r="F22" s="278"/>
    </row>
    <row r="23" spans="1:6" ht="18.75" customHeight="1">
      <c r="A23" s="62"/>
      <c r="B23" s="276"/>
      <c r="C23" s="277"/>
      <c r="D23" s="277"/>
      <c r="E23" s="277"/>
      <c r="F23" s="278"/>
    </row>
    <row r="24" spans="1:6" ht="18.75" customHeight="1">
      <c r="A24" s="62"/>
      <c r="B24" s="276"/>
      <c r="C24" s="277"/>
      <c r="D24" s="277"/>
      <c r="E24" s="277"/>
      <c r="F24" s="278"/>
    </row>
    <row r="25" spans="1:6" ht="18.75" customHeight="1">
      <c r="A25" s="62"/>
      <c r="B25" s="276"/>
      <c r="C25" s="277"/>
      <c r="D25" s="277"/>
      <c r="E25" s="277"/>
      <c r="F25" s="278"/>
    </row>
    <row r="26" spans="1:6" ht="18.75" customHeight="1">
      <c r="A26" s="62"/>
      <c r="B26" s="276"/>
      <c r="C26" s="277"/>
      <c r="D26" s="277"/>
      <c r="E26" s="277"/>
      <c r="F26" s="278"/>
    </row>
    <row r="27" spans="1:6" ht="18.75" customHeight="1">
      <c r="A27" s="62"/>
      <c r="B27" s="276"/>
      <c r="C27" s="277"/>
      <c r="D27" s="277"/>
      <c r="E27" s="277"/>
      <c r="F27" s="278"/>
    </row>
    <row r="28" spans="1:6" ht="18.75" customHeight="1">
      <c r="A28" s="62"/>
      <c r="B28" s="276"/>
      <c r="C28" s="277"/>
      <c r="D28" s="277"/>
      <c r="E28" s="277"/>
      <c r="F28" s="278"/>
    </row>
    <row r="29" spans="1:6" ht="18.75" customHeight="1">
      <c r="A29" s="62"/>
      <c r="B29" s="276"/>
      <c r="C29" s="277"/>
      <c r="D29" s="277"/>
      <c r="E29" s="277"/>
      <c r="F29" s="278"/>
    </row>
    <row r="30" spans="1:6" ht="18.75" customHeight="1">
      <c r="A30" s="62"/>
      <c r="B30" s="276"/>
      <c r="C30" s="277"/>
      <c r="D30" s="277"/>
      <c r="E30" s="277"/>
      <c r="F30" s="278"/>
    </row>
    <row r="31" spans="1:6" ht="18.75" customHeight="1">
      <c r="A31" s="62"/>
      <c r="B31" s="276"/>
      <c r="C31" s="277"/>
      <c r="D31" s="277"/>
      <c r="E31" s="277"/>
      <c r="F31" s="278"/>
    </row>
    <row r="32" spans="1:6" ht="18.75" customHeight="1">
      <c r="A32" s="62"/>
      <c r="B32" s="276"/>
      <c r="C32" s="277"/>
      <c r="D32" s="277"/>
      <c r="E32" s="277"/>
      <c r="F32" s="278"/>
    </row>
    <row r="33" spans="1:6" ht="18.75" customHeight="1">
      <c r="A33" s="62"/>
      <c r="B33" s="276"/>
      <c r="C33" s="277"/>
      <c r="D33" s="277"/>
      <c r="E33" s="277"/>
      <c r="F33" s="278"/>
    </row>
    <row r="34" spans="1:6" ht="18.75" customHeight="1">
      <c r="A34" s="62"/>
      <c r="B34" s="276"/>
      <c r="C34" s="277"/>
      <c r="D34" s="277"/>
      <c r="E34" s="277"/>
      <c r="F34" s="278"/>
    </row>
    <row r="35" spans="1:6" ht="18.75" customHeight="1">
      <c r="A35" s="62"/>
      <c r="B35" s="276"/>
      <c r="C35" s="277"/>
      <c r="D35" s="277"/>
      <c r="E35" s="277"/>
      <c r="F35" s="278"/>
    </row>
    <row r="36" spans="1:6" ht="18.75" customHeight="1">
      <c r="A36" s="62"/>
      <c r="B36" s="276"/>
      <c r="C36" s="277"/>
      <c r="D36" s="277"/>
      <c r="E36" s="277"/>
      <c r="F36" s="278"/>
    </row>
    <row r="37" spans="1:6" ht="18.75" customHeight="1">
      <c r="A37" s="62"/>
      <c r="B37" s="276"/>
      <c r="C37" s="277"/>
      <c r="D37" s="277"/>
      <c r="E37" s="277"/>
      <c r="F37" s="278"/>
    </row>
    <row r="38" spans="1:6" ht="18.75" customHeight="1">
      <c r="A38" s="62"/>
      <c r="B38" s="276"/>
      <c r="C38" s="277"/>
      <c r="D38" s="277"/>
      <c r="E38" s="277"/>
      <c r="F38" s="278"/>
    </row>
    <row r="39" spans="1:6" ht="18.75" customHeight="1">
      <c r="A39" s="62"/>
      <c r="B39" s="276"/>
      <c r="C39" s="277"/>
      <c r="D39" s="277"/>
      <c r="E39" s="277"/>
      <c r="F39" s="278"/>
    </row>
    <row r="40" spans="1:6" ht="18.75" customHeight="1">
      <c r="A40" s="62"/>
      <c r="B40" s="276"/>
      <c r="C40" s="277"/>
      <c r="D40" s="277"/>
      <c r="E40" s="277"/>
      <c r="F40" s="278"/>
    </row>
    <row r="41" spans="1:6" ht="18.75" customHeight="1">
      <c r="A41" s="62"/>
      <c r="B41" s="276"/>
      <c r="C41" s="277"/>
      <c r="D41" s="277"/>
      <c r="E41" s="277"/>
      <c r="F41" s="278"/>
    </row>
    <row r="42" spans="1:6" ht="18.75" customHeight="1">
      <c r="A42" s="62"/>
      <c r="B42" s="279"/>
      <c r="C42" s="280"/>
      <c r="D42" s="280"/>
      <c r="E42" s="280"/>
      <c r="F42" s="281"/>
    </row>
    <row r="43" spans="1:6" ht="18.75" customHeight="1">
      <c r="A43" s="62" t="s">
        <v>5</v>
      </c>
      <c r="B43" s="2" t="s">
        <v>205</v>
      </c>
      <c r="C43" s="62"/>
      <c r="D43" s="62"/>
      <c r="E43" s="62"/>
      <c r="F43" s="62"/>
    </row>
    <row r="44" spans="1:6" ht="18.75" customHeight="1">
      <c r="A44" s="62"/>
      <c r="B44" s="273" t="s">
        <v>206</v>
      </c>
      <c r="C44" s="274"/>
      <c r="D44" s="274"/>
      <c r="E44" s="274"/>
      <c r="F44" s="275"/>
    </row>
    <row r="45" spans="1:6" ht="18.75" customHeight="1">
      <c r="A45" s="62"/>
      <c r="B45" s="276"/>
      <c r="C45" s="277"/>
      <c r="D45" s="277"/>
      <c r="E45" s="277"/>
      <c r="F45" s="278"/>
    </row>
    <row r="46" spans="1:6" ht="18.75" customHeight="1">
      <c r="A46" s="62"/>
      <c r="B46" s="276"/>
      <c r="C46" s="277"/>
      <c r="D46" s="277"/>
      <c r="E46" s="277"/>
      <c r="F46" s="278"/>
    </row>
    <row r="47" spans="1:6" ht="18.75" customHeight="1">
      <c r="A47" s="62"/>
      <c r="B47" s="276"/>
      <c r="C47" s="277"/>
      <c r="D47" s="277"/>
      <c r="E47" s="277"/>
      <c r="F47" s="278"/>
    </row>
    <row r="48" spans="1:6" ht="18.75" customHeight="1">
      <c r="A48" s="62"/>
      <c r="B48" s="276"/>
      <c r="C48" s="277"/>
      <c r="D48" s="277"/>
      <c r="E48" s="277"/>
      <c r="F48" s="278"/>
    </row>
    <row r="49" spans="1:6" ht="18.75" customHeight="1">
      <c r="A49" s="62"/>
      <c r="B49" s="276"/>
      <c r="C49" s="277"/>
      <c r="D49" s="277"/>
      <c r="E49" s="277"/>
      <c r="F49" s="278"/>
    </row>
    <row r="50" spans="1:6" ht="18.75" customHeight="1">
      <c r="A50" s="62"/>
      <c r="B50" s="276"/>
      <c r="C50" s="277"/>
      <c r="D50" s="277"/>
      <c r="E50" s="277"/>
      <c r="F50" s="278"/>
    </row>
    <row r="51" spans="1:6" ht="18.75" customHeight="1">
      <c r="A51" s="62"/>
      <c r="B51" s="276"/>
      <c r="C51" s="277"/>
      <c r="D51" s="277"/>
      <c r="E51" s="277"/>
      <c r="F51" s="278"/>
    </row>
    <row r="52" spans="1:6" ht="18.75" customHeight="1">
      <c r="A52" s="62"/>
      <c r="B52" s="276"/>
      <c r="C52" s="277"/>
      <c r="D52" s="277"/>
      <c r="E52" s="277"/>
      <c r="F52" s="278"/>
    </row>
    <row r="53" spans="1:6" ht="18.75" customHeight="1">
      <c r="A53" s="62"/>
      <c r="B53" s="276"/>
      <c r="C53" s="277"/>
      <c r="D53" s="277"/>
      <c r="E53" s="277"/>
      <c r="F53" s="278"/>
    </row>
    <row r="54" spans="1:6" ht="18.75" customHeight="1">
      <c r="A54" s="62"/>
      <c r="B54" s="276"/>
      <c r="C54" s="277"/>
      <c r="D54" s="277"/>
      <c r="E54" s="277"/>
      <c r="F54" s="278"/>
    </row>
    <row r="55" spans="1:6" ht="18.75" customHeight="1">
      <c r="A55" s="62"/>
      <c r="B55" s="276"/>
      <c r="C55" s="277"/>
      <c r="D55" s="277"/>
      <c r="E55" s="277"/>
      <c r="F55" s="278"/>
    </row>
    <row r="56" spans="1:6" ht="18.75" customHeight="1">
      <c r="A56" s="62"/>
      <c r="B56" s="276"/>
      <c r="C56" s="277"/>
      <c r="D56" s="277"/>
      <c r="E56" s="277"/>
      <c r="F56" s="278"/>
    </row>
    <row r="57" spans="1:6" ht="18.75" customHeight="1">
      <c r="A57" s="62"/>
      <c r="B57" s="276"/>
      <c r="C57" s="277"/>
      <c r="D57" s="277"/>
      <c r="E57" s="277"/>
      <c r="F57" s="278"/>
    </row>
    <row r="58" spans="1:6" ht="18.75" customHeight="1">
      <c r="A58" s="62"/>
      <c r="B58" s="276"/>
      <c r="C58" s="277"/>
      <c r="D58" s="277"/>
      <c r="E58" s="277"/>
      <c r="F58" s="278"/>
    </row>
    <row r="59" spans="1:6" ht="18.75" customHeight="1">
      <c r="A59" s="62"/>
      <c r="B59" s="276"/>
      <c r="C59" s="277"/>
      <c r="D59" s="277"/>
      <c r="E59" s="277"/>
      <c r="F59" s="278"/>
    </row>
    <row r="60" spans="1:6" ht="18.75" customHeight="1">
      <c r="A60" s="62"/>
      <c r="B60" s="276"/>
      <c r="C60" s="277"/>
      <c r="D60" s="277"/>
      <c r="E60" s="277"/>
      <c r="F60" s="278"/>
    </row>
    <row r="61" spans="1:6" ht="18.75" customHeight="1">
      <c r="A61" s="62"/>
      <c r="B61" s="276"/>
      <c r="C61" s="277"/>
      <c r="D61" s="277"/>
      <c r="E61" s="277"/>
      <c r="F61" s="278"/>
    </row>
    <row r="62" spans="1:6" ht="18.75" customHeight="1">
      <c r="A62" s="62"/>
      <c r="B62" s="276"/>
      <c r="C62" s="277"/>
      <c r="D62" s="277"/>
      <c r="E62" s="277"/>
      <c r="F62" s="278"/>
    </row>
    <row r="63" spans="1:6" ht="18.75" customHeight="1">
      <c r="A63" s="62"/>
      <c r="B63" s="276"/>
      <c r="C63" s="277"/>
      <c r="D63" s="277"/>
      <c r="E63" s="277"/>
      <c r="F63" s="278"/>
    </row>
    <row r="64" spans="1:6" ht="18.75" customHeight="1">
      <c r="A64" s="62"/>
      <c r="B64" s="276"/>
      <c r="C64" s="277"/>
      <c r="D64" s="277"/>
      <c r="E64" s="277"/>
      <c r="F64" s="278"/>
    </row>
    <row r="65" spans="1:6" ht="18.75" customHeight="1">
      <c r="A65" s="62"/>
      <c r="B65" s="276"/>
      <c r="C65" s="277"/>
      <c r="D65" s="277"/>
      <c r="E65" s="277"/>
      <c r="F65" s="278"/>
    </row>
    <row r="66" spans="1:6" ht="18.75" customHeight="1">
      <c r="A66" s="62"/>
      <c r="B66" s="276"/>
      <c r="C66" s="277"/>
      <c r="D66" s="277"/>
      <c r="E66" s="277"/>
      <c r="F66" s="278"/>
    </row>
    <row r="67" spans="1:6" ht="18.75" customHeight="1">
      <c r="A67" s="62"/>
      <c r="B67" s="276"/>
      <c r="C67" s="277"/>
      <c r="D67" s="277"/>
      <c r="E67" s="277"/>
      <c r="F67" s="278"/>
    </row>
    <row r="68" spans="1:6" ht="18.75" customHeight="1">
      <c r="A68" s="62"/>
      <c r="B68" s="276"/>
      <c r="C68" s="277"/>
      <c r="D68" s="277"/>
      <c r="E68" s="277"/>
      <c r="F68" s="278"/>
    </row>
    <row r="69" spans="1:6" ht="18.75" customHeight="1">
      <c r="A69" s="62"/>
      <c r="B69" s="276"/>
      <c r="C69" s="277"/>
      <c r="D69" s="277"/>
      <c r="E69" s="277"/>
      <c r="F69" s="278"/>
    </row>
    <row r="70" spans="1:6" ht="18.75" customHeight="1">
      <c r="A70" s="62"/>
      <c r="B70" s="276"/>
      <c r="C70" s="277"/>
      <c r="D70" s="277"/>
      <c r="E70" s="277"/>
      <c r="F70" s="278"/>
    </row>
    <row r="71" spans="1:6" ht="18.75" customHeight="1">
      <c r="A71" s="62"/>
      <c r="B71" s="276"/>
      <c r="C71" s="277"/>
      <c r="D71" s="277"/>
      <c r="E71" s="277"/>
      <c r="F71" s="278"/>
    </row>
    <row r="72" spans="1:6" ht="18.75" customHeight="1">
      <c r="A72" s="62"/>
      <c r="B72" s="276"/>
      <c r="C72" s="277"/>
      <c r="D72" s="277"/>
      <c r="E72" s="277"/>
      <c r="F72" s="278"/>
    </row>
    <row r="73" spans="1:6" ht="18.75" customHeight="1">
      <c r="A73" s="62"/>
      <c r="B73" s="276"/>
      <c r="C73" s="277"/>
      <c r="D73" s="277"/>
      <c r="E73" s="277"/>
      <c r="F73" s="278"/>
    </row>
    <row r="74" spans="1:6" ht="18.75" customHeight="1">
      <c r="A74" s="62"/>
      <c r="B74" s="276"/>
      <c r="C74" s="277"/>
      <c r="D74" s="277"/>
      <c r="E74" s="277"/>
      <c r="F74" s="278"/>
    </row>
    <row r="75" spans="1:6" ht="18.75" customHeight="1">
      <c r="A75" s="62"/>
      <c r="B75" s="276"/>
      <c r="C75" s="277"/>
      <c r="D75" s="277"/>
      <c r="E75" s="277"/>
      <c r="F75" s="278"/>
    </row>
    <row r="76" spans="1:6" ht="18.75" customHeight="1">
      <c r="A76" s="62"/>
      <c r="B76" s="276"/>
      <c r="C76" s="277"/>
      <c r="D76" s="277"/>
      <c r="E76" s="277"/>
      <c r="F76" s="278"/>
    </row>
    <row r="77" spans="1:6" ht="18.75" customHeight="1">
      <c r="A77" s="62"/>
      <c r="B77" s="276"/>
      <c r="C77" s="277"/>
      <c r="D77" s="277"/>
      <c r="E77" s="277"/>
      <c r="F77" s="278"/>
    </row>
    <row r="78" spans="1:6" ht="18.75" customHeight="1">
      <c r="A78" s="62"/>
      <c r="B78" s="276"/>
      <c r="C78" s="277"/>
      <c r="D78" s="277"/>
      <c r="E78" s="277"/>
      <c r="F78" s="278"/>
    </row>
    <row r="79" spans="1:6" ht="18.75" customHeight="1">
      <c r="A79" s="62"/>
      <c r="B79" s="276"/>
      <c r="C79" s="277"/>
      <c r="D79" s="277"/>
      <c r="E79" s="277"/>
      <c r="F79" s="278"/>
    </row>
    <row r="80" spans="1:6" ht="18.75" customHeight="1">
      <c r="A80" s="62"/>
      <c r="B80" s="276"/>
      <c r="C80" s="277"/>
      <c r="D80" s="277"/>
      <c r="E80" s="277"/>
      <c r="F80" s="278"/>
    </row>
    <row r="81" spans="1:6" ht="18.75" customHeight="1">
      <c r="A81" s="62"/>
      <c r="B81" s="276"/>
      <c r="C81" s="277"/>
      <c r="D81" s="277"/>
      <c r="E81" s="277"/>
      <c r="F81" s="278"/>
    </row>
    <row r="82" spans="1:6" ht="18.75" customHeight="1">
      <c r="A82" s="62"/>
      <c r="B82" s="276"/>
      <c r="C82" s="277"/>
      <c r="D82" s="277"/>
      <c r="E82" s="277"/>
      <c r="F82" s="278"/>
    </row>
    <row r="83" spans="1:6" ht="18.75" customHeight="1">
      <c r="A83" s="62"/>
      <c r="B83" s="279"/>
      <c r="C83" s="280"/>
      <c r="D83" s="280"/>
      <c r="E83" s="280"/>
      <c r="F83" s="281"/>
    </row>
    <row r="84" spans="1:6" ht="18.75" customHeight="1">
      <c r="A84" s="2" t="s">
        <v>153</v>
      </c>
      <c r="B84" s="2" t="s">
        <v>207</v>
      </c>
      <c r="C84" s="2"/>
      <c r="D84" s="2"/>
      <c r="E84" s="2"/>
      <c r="F84" s="2"/>
    </row>
    <row r="85" spans="1:6" ht="18.75" customHeight="1">
      <c r="A85" s="62"/>
      <c r="B85" s="273" t="s">
        <v>208</v>
      </c>
      <c r="C85" s="274"/>
      <c r="D85" s="274"/>
      <c r="E85" s="274"/>
      <c r="F85" s="275"/>
    </row>
    <row r="86" spans="1:6" ht="18.75" customHeight="1">
      <c r="A86" s="62"/>
      <c r="B86" s="276"/>
      <c r="C86" s="277"/>
      <c r="D86" s="277"/>
      <c r="E86" s="277"/>
      <c r="F86" s="278"/>
    </row>
    <row r="87" spans="1:6" ht="18.75" customHeight="1">
      <c r="A87" s="62"/>
      <c r="B87" s="276"/>
      <c r="C87" s="277"/>
      <c r="D87" s="277"/>
      <c r="E87" s="277"/>
      <c r="F87" s="278"/>
    </row>
    <row r="88" spans="1:6" ht="18.75" customHeight="1">
      <c r="A88" s="62"/>
      <c r="B88" s="276"/>
      <c r="C88" s="277"/>
      <c r="D88" s="277"/>
      <c r="E88" s="277"/>
      <c r="F88" s="278"/>
    </row>
    <row r="89" spans="1:6" ht="18.75" customHeight="1">
      <c r="A89" s="62"/>
      <c r="B89" s="276"/>
      <c r="C89" s="277"/>
      <c r="D89" s="277"/>
      <c r="E89" s="277"/>
      <c r="F89" s="278"/>
    </row>
    <row r="90" spans="1:6" ht="18.75" customHeight="1">
      <c r="A90" s="62"/>
      <c r="B90" s="276"/>
      <c r="C90" s="277"/>
      <c r="D90" s="277"/>
      <c r="E90" s="277"/>
      <c r="F90" s="278"/>
    </row>
    <row r="91" spans="1:6" ht="18.75" customHeight="1">
      <c r="A91" s="62"/>
      <c r="B91" s="276"/>
      <c r="C91" s="277"/>
      <c r="D91" s="277"/>
      <c r="E91" s="277"/>
      <c r="F91" s="278"/>
    </row>
    <row r="92" spans="1:6" ht="18.75" customHeight="1">
      <c r="A92" s="62"/>
      <c r="B92" s="276"/>
      <c r="C92" s="277"/>
      <c r="D92" s="277"/>
      <c r="E92" s="277"/>
      <c r="F92" s="278"/>
    </row>
    <row r="93" spans="1:6" ht="18.75" customHeight="1">
      <c r="A93" s="62"/>
      <c r="B93" s="276"/>
      <c r="C93" s="277"/>
      <c r="D93" s="277"/>
      <c r="E93" s="277"/>
      <c r="F93" s="278"/>
    </row>
    <row r="94" spans="1:6" ht="18.75" customHeight="1">
      <c r="A94" s="62"/>
      <c r="B94" s="276"/>
      <c r="C94" s="277"/>
      <c r="D94" s="277"/>
      <c r="E94" s="277"/>
      <c r="F94" s="278"/>
    </row>
    <row r="95" spans="1:6" ht="18.75" customHeight="1">
      <c r="A95" s="62"/>
      <c r="B95" s="276"/>
      <c r="C95" s="277"/>
      <c r="D95" s="277"/>
      <c r="E95" s="277"/>
      <c r="F95" s="278"/>
    </row>
    <row r="96" spans="1:6" ht="18.75" customHeight="1">
      <c r="A96" s="62"/>
      <c r="B96" s="276"/>
      <c r="C96" s="277"/>
      <c r="D96" s="277"/>
      <c r="E96" s="277"/>
      <c r="F96" s="278"/>
    </row>
    <row r="97" spans="1:6" ht="18.75" customHeight="1">
      <c r="A97" s="62"/>
      <c r="B97" s="276"/>
      <c r="C97" s="277"/>
      <c r="D97" s="277"/>
      <c r="E97" s="277"/>
      <c r="F97" s="278"/>
    </row>
    <row r="98" spans="1:6" ht="18.75" customHeight="1">
      <c r="A98" s="62"/>
      <c r="B98" s="276"/>
      <c r="C98" s="277"/>
      <c r="D98" s="277"/>
      <c r="E98" s="277"/>
      <c r="F98" s="278"/>
    </row>
    <row r="99" spans="1:6" ht="18.75" customHeight="1">
      <c r="A99" s="62"/>
      <c r="B99" s="276"/>
      <c r="C99" s="277"/>
      <c r="D99" s="277"/>
      <c r="E99" s="277"/>
      <c r="F99" s="278"/>
    </row>
    <row r="100" spans="1:6" ht="18.75" customHeight="1">
      <c r="A100" s="62"/>
      <c r="B100" s="276"/>
      <c r="C100" s="277"/>
      <c r="D100" s="277"/>
      <c r="E100" s="277"/>
      <c r="F100" s="278"/>
    </row>
    <row r="101" spans="1:6" ht="18.75" customHeight="1">
      <c r="A101" s="62"/>
      <c r="B101" s="276"/>
      <c r="C101" s="277"/>
      <c r="D101" s="277"/>
      <c r="E101" s="277"/>
      <c r="F101" s="278"/>
    </row>
    <row r="102" spans="1:6" ht="18.75" customHeight="1">
      <c r="A102" s="62"/>
      <c r="B102" s="276"/>
      <c r="C102" s="277"/>
      <c r="D102" s="277"/>
      <c r="E102" s="277"/>
      <c r="F102" s="278"/>
    </row>
    <row r="103" spans="1:6" ht="18.75" customHeight="1">
      <c r="A103" s="62"/>
      <c r="B103" s="276"/>
      <c r="C103" s="277"/>
      <c r="D103" s="277"/>
      <c r="E103" s="277"/>
      <c r="F103" s="278"/>
    </row>
    <row r="104" spans="1:6" ht="18.75" customHeight="1">
      <c r="A104" s="62"/>
      <c r="B104" s="276"/>
      <c r="C104" s="277"/>
      <c r="D104" s="277"/>
      <c r="E104" s="277"/>
      <c r="F104" s="278"/>
    </row>
    <row r="105" spans="1:6" ht="18.75" customHeight="1">
      <c r="A105" s="62"/>
      <c r="B105" s="276"/>
      <c r="C105" s="277"/>
      <c r="D105" s="277"/>
      <c r="E105" s="277"/>
      <c r="F105" s="278"/>
    </row>
    <row r="106" spans="1:6" ht="18.75" customHeight="1">
      <c r="A106" s="62"/>
      <c r="B106" s="276"/>
      <c r="C106" s="277"/>
      <c r="D106" s="277"/>
      <c r="E106" s="277"/>
      <c r="F106" s="278"/>
    </row>
    <row r="107" spans="1:6" ht="18.75" customHeight="1">
      <c r="A107" s="62"/>
      <c r="B107" s="276"/>
      <c r="C107" s="277"/>
      <c r="D107" s="277"/>
      <c r="E107" s="277"/>
      <c r="F107" s="278"/>
    </row>
    <row r="108" spans="1:6" ht="18.75" customHeight="1">
      <c r="A108" s="62"/>
      <c r="B108" s="276"/>
      <c r="C108" s="277"/>
      <c r="D108" s="277"/>
      <c r="E108" s="277"/>
      <c r="F108" s="278"/>
    </row>
    <row r="109" spans="1:6" ht="18.75" customHeight="1">
      <c r="A109" s="62"/>
      <c r="B109" s="276"/>
      <c r="C109" s="277"/>
      <c r="D109" s="277"/>
      <c r="E109" s="277"/>
      <c r="F109" s="278"/>
    </row>
    <row r="110" spans="1:6" ht="18.75" customHeight="1">
      <c r="A110" s="62"/>
      <c r="B110" s="276"/>
      <c r="C110" s="277"/>
      <c r="D110" s="277"/>
      <c r="E110" s="277"/>
      <c r="F110" s="278"/>
    </row>
    <row r="111" spans="1:6" ht="18.75" customHeight="1">
      <c r="A111" s="62"/>
      <c r="B111" s="276"/>
      <c r="C111" s="277"/>
      <c r="D111" s="277"/>
      <c r="E111" s="277"/>
      <c r="F111" s="278"/>
    </row>
    <row r="112" spans="1:6" ht="18.75" customHeight="1">
      <c r="A112" s="62"/>
      <c r="B112" s="276"/>
      <c r="C112" s="277"/>
      <c r="D112" s="277"/>
      <c r="E112" s="277"/>
      <c r="F112" s="278"/>
    </row>
    <row r="113" spans="1:6" ht="18.75" customHeight="1">
      <c r="A113" s="62"/>
      <c r="B113" s="276"/>
      <c r="C113" s="277"/>
      <c r="D113" s="277"/>
      <c r="E113" s="277"/>
      <c r="F113" s="278"/>
    </row>
    <row r="114" spans="1:6" ht="18.75" customHeight="1">
      <c r="A114" s="62"/>
      <c r="B114" s="276"/>
      <c r="C114" s="277"/>
      <c r="D114" s="277"/>
      <c r="E114" s="277"/>
      <c r="F114" s="278"/>
    </row>
    <row r="115" spans="1:6" ht="18.75" customHeight="1">
      <c r="A115" s="62"/>
      <c r="B115" s="276"/>
      <c r="C115" s="277"/>
      <c r="D115" s="277"/>
      <c r="E115" s="277"/>
      <c r="F115" s="278"/>
    </row>
    <row r="116" spans="1:6" ht="18.75" customHeight="1">
      <c r="A116" s="62"/>
      <c r="B116" s="276"/>
      <c r="C116" s="277"/>
      <c r="D116" s="277"/>
      <c r="E116" s="277"/>
      <c r="F116" s="278"/>
    </row>
    <row r="117" spans="1:6" ht="18.75" customHeight="1">
      <c r="A117" s="62"/>
      <c r="B117" s="276"/>
      <c r="C117" s="277"/>
      <c r="D117" s="277"/>
      <c r="E117" s="277"/>
      <c r="F117" s="278"/>
    </row>
    <row r="118" spans="1:6" ht="18.75" customHeight="1">
      <c r="A118" s="62"/>
      <c r="B118" s="276"/>
      <c r="C118" s="277"/>
      <c r="D118" s="277"/>
      <c r="E118" s="277"/>
      <c r="F118" s="278"/>
    </row>
    <row r="119" spans="1:6" ht="18.75" customHeight="1">
      <c r="A119" s="62"/>
      <c r="B119" s="276"/>
      <c r="C119" s="277"/>
      <c r="D119" s="277"/>
      <c r="E119" s="277"/>
      <c r="F119" s="278"/>
    </row>
    <row r="120" spans="1:6" ht="18.75" customHeight="1">
      <c r="A120" s="62"/>
      <c r="B120" s="276"/>
      <c r="C120" s="277"/>
      <c r="D120" s="277"/>
      <c r="E120" s="277"/>
      <c r="F120" s="278"/>
    </row>
    <row r="121" spans="1:6" ht="18.75" customHeight="1">
      <c r="A121" s="62"/>
      <c r="B121" s="276"/>
      <c r="C121" s="277"/>
      <c r="D121" s="277"/>
      <c r="E121" s="277"/>
      <c r="F121" s="278"/>
    </row>
    <row r="122" spans="1:6" ht="18.75" customHeight="1">
      <c r="A122" s="62"/>
      <c r="B122" s="276"/>
      <c r="C122" s="277"/>
      <c r="D122" s="277"/>
      <c r="E122" s="277"/>
      <c r="F122" s="278"/>
    </row>
    <row r="123" spans="1:6" ht="18.75" customHeight="1">
      <c r="A123" s="62"/>
      <c r="B123" s="276"/>
      <c r="C123" s="277"/>
      <c r="D123" s="277"/>
      <c r="E123" s="277"/>
      <c r="F123" s="278"/>
    </row>
    <row r="124" spans="1:6" ht="18.75" customHeight="1">
      <c r="A124" s="62"/>
      <c r="B124" s="279"/>
      <c r="C124" s="280"/>
      <c r="D124" s="280"/>
      <c r="E124" s="280"/>
      <c r="F124" s="281"/>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scale="99" orientation="portrait" r:id="rId1"/>
  <rowBreaks count="2" manualBreakCount="2">
    <brk id="42" max="9" man="1"/>
    <brk id="83" max="5" man="1"/>
  </rowBreak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木谷慎一</cp:lastModifiedBy>
  <cp:revision/>
  <dcterms:created xsi:type="dcterms:W3CDTF">2011-06-14T05:32:50Z</dcterms:created>
  <dcterms:modified xsi:type="dcterms:W3CDTF">2022-05-27T10:09:10Z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