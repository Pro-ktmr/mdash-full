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C:\Users\81902\OneDrive\ドキュメント\_★東京経営短期大学_\□△★★DX人材研究所★★★\★文科省「数理・データサイエンス・ＡＩ教育プログラム認定制度」における説明会の開催について\申請セットフォルダー：再提出含む\0601申請修正\"/>
    </mc:Choice>
  </mc:AlternateContent>
  <xr:revisionPtr revIDLastSave="0" documentId="13_ncr:1_{B3EFA12D-EA9A-4FAE-9783-2CB96D954C7B}" xr6:coauthVersionLast="47" xr6:coauthVersionMax="47" xr10:uidLastSave="{00000000-0000-0000-0000-000000000000}"/>
  <bookViews>
    <workbookView xWindow="768" yWindow="156" windowWidth="17280" windowHeight="11388" tabRatio="885" activeTab="1" xr2:uid="{00000000-000D-0000-FFFF-FFFF00000000}"/>
  </bookViews>
  <sheets>
    <sheet name="様式１　大学等概要" sheetId="8" r:id="rId1"/>
    <sheet name="様式２－１　プログラムを構成する授業科目" sheetId="39" r:id="rId2"/>
    <sheet name="様式２－２　プログラムを構成する授業科目" sheetId="44" r:id="rId3"/>
    <sheet name="様式３　履修者等数の実績" sheetId="40" r:id="rId4"/>
    <sheet name="様式４　教育の質・履修者数を向上させるための体制・計画" sheetId="41" r:id="rId5"/>
    <sheet name="様式５　自己点検・評価" sheetId="42" r:id="rId6"/>
    <sheet name="様式６　特色ある取組 （申請種類により「様式６」記入なし）" sheetId="43" r:id="rId7"/>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大学等概要'!$A$1:$N$46</definedName>
    <definedName name="_xlnm.Print_Area" localSheetId="1">'様式２－１　プログラムを構成する授業科目'!$A$1:$Z$97</definedName>
    <definedName name="_xlnm.Print_Area" localSheetId="2">'様式２－２　プログラムを構成する授業科目'!$A$1:$Z$99</definedName>
    <definedName name="_xlnm.Print_Area" localSheetId="3">'様式３　履修者等数の実績'!$A$1:$R$30</definedName>
    <definedName name="_xlnm.Print_Area" localSheetId="4">'様式４　教育の質・履修者数を向上させるための体制・計画'!$A$1:$J$129</definedName>
    <definedName name="_xlnm.Print_Area" localSheetId="5">'様式５　自己点検・評価'!$A$1:$J$18</definedName>
    <definedName name="_xlnm.Print_Area" localSheetId="6">'様式６　特色ある取組 （申請種類により「様式６」記入なし）'!$A$1:$F$124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11" i="40" l="1"/>
  <c r="R19" i="40"/>
  <c r="Q16" i="40"/>
  <c r="R16" i="40" s="1"/>
  <c r="Q17" i="40"/>
  <c r="R17" i="40" s="1"/>
  <c r="Q18" i="40"/>
  <c r="R18" i="40" s="1"/>
  <c r="Q19" i="40"/>
  <c r="K18" i="42" l="1"/>
  <c r="K113" i="41"/>
  <c r="K91" i="41"/>
  <c r="K69" i="41"/>
  <c r="K46" i="41"/>
  <c r="K31" i="41"/>
  <c r="K15" i="41"/>
  <c r="K8" i="41"/>
  <c r="K5" i="41"/>
  <c r="C4" i="40"/>
  <c r="O12" i="8"/>
  <c r="O10" i="8"/>
  <c r="K16" i="42" l="1"/>
  <c r="K15" i="42"/>
  <c r="K14" i="42"/>
  <c r="K13" i="42"/>
  <c r="K11" i="42"/>
  <c r="K10" i="42"/>
  <c r="K9" i="42"/>
  <c r="K8" i="42"/>
  <c r="K7" i="42"/>
  <c r="P30" i="40" l="1"/>
  <c r="O30" i="40"/>
  <c r="N30" i="40"/>
  <c r="M30" i="40"/>
  <c r="L30" i="40"/>
  <c r="K30" i="40"/>
  <c r="J30" i="40"/>
  <c r="I30" i="40"/>
  <c r="H30" i="40"/>
  <c r="G30" i="40"/>
  <c r="F30" i="40"/>
  <c r="E30" i="40"/>
  <c r="D30" i="40"/>
  <c r="C30" i="40"/>
  <c r="Q29" i="40"/>
  <c r="R29" i="40" s="1"/>
  <c r="Q28" i="40"/>
  <c r="R28" i="40" s="1"/>
  <c r="Q27" i="40"/>
  <c r="R27" i="40" s="1"/>
  <c r="Q26" i="40"/>
  <c r="R26" i="40" s="1"/>
  <c r="Q25" i="40"/>
  <c r="R25" i="40" s="1"/>
  <c r="Q24" i="40"/>
  <c r="R24" i="40" s="1"/>
  <c r="Q23" i="40"/>
  <c r="R23" i="40" s="1"/>
  <c r="Q22" i="40"/>
  <c r="R22" i="40" s="1"/>
  <c r="Q21" i="40"/>
  <c r="R21" i="40" s="1"/>
  <c r="Q20" i="40"/>
  <c r="R20" i="40" s="1"/>
  <c r="Q15" i="40"/>
  <c r="R15" i="40" s="1"/>
  <c r="Q14" i="40"/>
  <c r="R14" i="40" s="1"/>
  <c r="Q13" i="40"/>
  <c r="R13" i="40" s="1"/>
  <c r="Q12" i="40"/>
  <c r="R12" i="40" s="1"/>
  <c r="Q11" i="40"/>
  <c r="Q10" i="40"/>
  <c r="Q30" i="40" l="1"/>
  <c r="R30" i="40" s="1"/>
  <c r="C28" i="41" s="1"/>
  <c r="R10" i="40"/>
  <c r="O4" i="8"/>
  <c r="O45" i="8"/>
  <c r="O44" i="8"/>
  <c r="O41" i="8"/>
  <c r="O37" i="8"/>
  <c r="O39" i="8"/>
  <c r="O34" i="8"/>
  <c r="O29" i="8"/>
  <c r="O32" i="8"/>
  <c r="O20" i="8"/>
  <c r="O18" i="8"/>
  <c r="O16" i="8"/>
  <c r="O14" i="8"/>
  <c r="O8" i="8"/>
  <c r="O6" i="8"/>
</calcChain>
</file>

<file path=xl/sharedStrings.xml><?xml version="1.0" encoding="utf-8"?>
<sst xmlns="http://schemas.openxmlformats.org/spreadsheetml/2006/main" count="536" uniqueCount="232">
  <si>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</si>
  <si>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</si>
  <si>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</si>
  <si>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</si>
  <si>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</si>
  <si>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</si>
  <si>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</si>
  <si>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</si>
  <si>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</si>
  <si>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</si>
  <si>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</si>
  <si>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</si>
  <si>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</si>
  <si>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</si>
  <si>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</si>
  <si>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</si>
  <si>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</si>
  <si>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</si>
  <si>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</si>
  <si>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</si>
  <si>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</si>
  <si>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</si>
  <si>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</si>
  <si>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</si>
  <si>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</si>
  <si>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</si>
  <si>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</si>
  <si>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</si>
  <si>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</si>
  <si>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</si>
  <si>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</si>
  <si>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</si>
  <si>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</si>
  <si>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</si>
  <si>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</si>
  <si>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</si>
  <si>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</si>
  <si>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</si>
  <si>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</si>
  <si>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</si>
  <si>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</si>
  <si>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</si>
  <si>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</si>
  <si>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</si>
  <si>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</si>
  <si>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</si>
  <si>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</si>
  <si>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</si>
  <si>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</si>
  <si>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</si>
  <si>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</si>
  <si>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</si>
  <si>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</si>
  <si>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</si>
  <si>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</si>
  <si>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</si>
  <si>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</si>
  <si>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</si>
  <si>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</si>
  <si>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</si>
  <si>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</si>
  <si>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</si>
  <si>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</si>
  <si>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</si>
  <si>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</si>
  <si>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</si>
  <si>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</si>
  <si>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</si>
  <si>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</si>
  <si>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</si>
  <si>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</si>
  <si>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</si>
  <si>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</si>
  <si>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</si>
  <si>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</si>
  <si>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</si>
  <si>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</si>
  <si>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</si>
  <si>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</si>
  <si>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</si>
  <si>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</si>
  <si>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</si>
  <si>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</si>
  <si>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</si>
  <si>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</si>
  <si>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</si>
  <si>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</si>
  <si>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</si>
  <si>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</si>
  <si>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</si>
  <si>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</si>
  <si>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</si>
  <si>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</si>
  <si>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</si>
  <si>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</si>
  <si>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</si>
  <si>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</si>
  <si>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</si>
  <si>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</si>
  <si>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</si>
  <si>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</si>
  <si>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</si>
  <si>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</si>
  <si>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</si>
  <si>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</si>
  <si>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</si>
  <si>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</si>
  <si>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</si>
  <si>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</si>
  <si>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</si>
  <si>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</si>
  <si>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</si>
  <si>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</si>
  <si>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選択</t>
    <rPh sb="0" eb="2">
      <t>センタク</t>
    </rPh>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</si>
  <si>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</si>
  <si>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</si>
  <si>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</si>
  <si>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</si>
  <si>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</si>
  <si>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</si>
  <si>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</si>
  <si>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</si>
  <si>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</si>
  <si>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</si>
  <si>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</si>
  <si>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</si>
  <si>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</si>
  <si>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</si>
  <si>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</si>
  <si>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</si>
  <si>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</si>
  <si>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</si>
  <si>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</si>
  <si>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</si>
  <si>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</si>
  <si>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</si>
  <si>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</si>
  <si>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</si>
  <si>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</si>
  <si>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</si>
  <si>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</si>
  <si>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</si>
  <si>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</si>
  <si>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</si>
  <si>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</si>
  <si>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</si>
  <si>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</si>
  <si>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</si>
  <si>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</si>
  <si>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</si>
  <si>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</si>
  <si>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</si>
  <si>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認定教育プログラム</t>
    <rPh sb="0" eb="4">
      <t>ニンテイキョウイク</t>
    </rPh>
    <phoneticPr fontId="1"/>
  </si>
  <si>
    <t>4-1統計および数理基礎</t>
  </si>
  <si>
    <t>○</t>
  </si>
  <si>
    <t>①プログラム開設年度</t>
    <rPh sb="6" eb="8">
      <t>カイセツ</t>
    </rPh>
    <rPh sb="8" eb="10">
      <t>ネンド</t>
    </rPh>
    <phoneticPr fontId="1"/>
  </si>
  <si>
    <t>東京経営短期大学</t>
    <rPh sb="0" eb="2">
      <t>トウキョウ</t>
    </rPh>
    <rPh sb="2" eb="4">
      <t>ケイエイ</t>
    </rPh>
    <rPh sb="4" eb="6">
      <t>タンキ</t>
    </rPh>
    <rPh sb="6" eb="8">
      <t>ダイガク</t>
    </rPh>
    <phoneticPr fontId="1"/>
  </si>
  <si>
    <t>学校法人　創志学園</t>
    <rPh sb="0" eb="4">
      <t>ガッコウホウジン</t>
    </rPh>
    <rPh sb="5" eb="9">
      <t>ソウシガクエン</t>
    </rPh>
    <phoneticPr fontId="1"/>
  </si>
  <si>
    <t>短期大学</t>
  </si>
  <si>
    <t>千葉県市川市二俣625-1</t>
    <rPh sb="0" eb="3">
      <t>チバケン</t>
    </rPh>
    <rPh sb="3" eb="8">
      <t>イチカワシフタマタ</t>
    </rPh>
    <phoneticPr fontId="1"/>
  </si>
  <si>
    <t>無</t>
  </si>
  <si>
    <t>増田　哲也</t>
    <rPh sb="0" eb="2">
      <t>マスダ</t>
    </rPh>
    <rPh sb="3" eb="5">
      <t>テツヤ</t>
    </rPh>
    <phoneticPr fontId="1"/>
  </si>
  <si>
    <t>学長</t>
    <rPh sb="0" eb="2">
      <t>ガクチョウ</t>
    </rPh>
    <phoneticPr fontId="1"/>
  </si>
  <si>
    <t>東京経営短期大学DXヒューマン・ソサイエティ研究所</t>
    <rPh sb="0" eb="6">
      <t>トウキョウケイエイタンキ</t>
    </rPh>
    <rPh sb="6" eb="8">
      <t>ダイガク</t>
    </rPh>
    <rPh sb="22" eb="25">
      <t>ケンキュウジョ</t>
    </rPh>
    <phoneticPr fontId="1"/>
  </si>
  <si>
    <t>前野　一夫</t>
    <rPh sb="0" eb="2">
      <t>マエノ</t>
    </rPh>
    <rPh sb="3" eb="5">
      <t>カズオ</t>
    </rPh>
    <phoneticPr fontId="1"/>
  </si>
  <si>
    <t>特別教授・研究所長</t>
    <rPh sb="0" eb="4">
      <t>トクベツキョウジュ</t>
    </rPh>
    <rPh sb="5" eb="9">
      <t>ケンキュウショチョウ</t>
    </rPh>
    <phoneticPr fontId="1"/>
  </si>
  <si>
    <t>東京経営短期大学自己点検評価委員会</t>
    <rPh sb="0" eb="8">
      <t>トウキョウケイエイタンキダイガク</t>
    </rPh>
    <rPh sb="8" eb="17">
      <t>ジコテンケンヒョウカイインカイ</t>
    </rPh>
    <phoneticPr fontId="1"/>
  </si>
  <si>
    <t>事務局長</t>
    <rPh sb="0" eb="4">
      <t>ジムキョクチョウ</t>
    </rPh>
    <phoneticPr fontId="1"/>
  </si>
  <si>
    <t>渡辺　広二</t>
    <rPh sb="0" eb="2">
      <t>ワタナベ</t>
    </rPh>
    <rPh sb="3" eb="5">
      <t>ヒロジ</t>
    </rPh>
    <phoneticPr fontId="1"/>
  </si>
  <si>
    <t>047-328-6161</t>
    <phoneticPr fontId="1"/>
  </si>
  <si>
    <t>文系短大におけるDX社会へのリテラシー教育プログラム</t>
    <rPh sb="0" eb="2">
      <t>ブンケイ</t>
    </rPh>
    <rPh sb="2" eb="4">
      <t>タンダイ</t>
    </rPh>
    <rPh sb="10" eb="12">
      <t>シャカイ</t>
    </rPh>
    <rPh sb="19" eb="21">
      <t>キョウイク</t>
    </rPh>
    <phoneticPr fontId="1"/>
  </si>
  <si>
    <t>東京経営短大DXヒューマン・ソサエティ研究所の設置および設置規定の制定</t>
    <rPh sb="0" eb="6">
      <t>トウキョウケイエイタンダイ</t>
    </rPh>
    <rPh sb="19" eb="22">
      <t>ケンキュウジョ</t>
    </rPh>
    <rPh sb="23" eb="25">
      <t>セッチ</t>
    </rPh>
    <rPh sb="28" eb="30">
      <t>セッチ</t>
    </rPh>
    <rPh sb="30" eb="32">
      <t>キテイ</t>
    </rPh>
    <rPh sb="33" eb="35">
      <t>セイテイ</t>
    </rPh>
    <phoneticPr fontId="1"/>
  </si>
  <si>
    <t xml:space="preserve">  自己点検・評価委員会等の意見を踏まえ、新入生ガイダンス、オリエンテーション、1・２年の基礎・専門ゼミナール等により、主に複数コース大学科である経営総合学科で、ICTの基礎や現代社会経済との関連を教育し、学生アンケート等で教育に反映している。 こども教育学科を含めた全学のICT関連では、本プログラムの必修科目と関連専門選択科目以外に、まだ共通の履修体制が十分ではなく、今後、全学的な体制確立が必要である。なお、大学科の経営総合学科ではMOS資格を取得推奨し、全学的にもMOS資格取得を目指す１UP塾などの学内教育が評価も高いが、まだ履修体制に偏りがあり、全学的な実質科目単位への移行を目指す。      </t>
    <rPh sb="12" eb="13">
      <t>ナド</t>
    </rPh>
    <rPh sb="14" eb="16">
      <t>イケン</t>
    </rPh>
    <rPh sb="17" eb="18">
      <t>フ</t>
    </rPh>
    <rPh sb="21" eb="24">
      <t>シンニュウセイ</t>
    </rPh>
    <rPh sb="45" eb="47">
      <t>キソ</t>
    </rPh>
    <rPh sb="48" eb="50">
      <t>センモン</t>
    </rPh>
    <rPh sb="55" eb="56">
      <t>ナド</t>
    </rPh>
    <rPh sb="60" eb="61">
      <t>オモ</t>
    </rPh>
    <rPh sb="62" eb="64">
      <t>フクスウ</t>
    </rPh>
    <rPh sb="67" eb="70">
      <t>ダイガッカ</t>
    </rPh>
    <rPh sb="85" eb="87">
      <t>キソ</t>
    </rPh>
    <rPh sb="88" eb="92">
      <t>ゲンダイシャカイ</t>
    </rPh>
    <rPh sb="92" eb="94">
      <t>ケイザイ</t>
    </rPh>
    <rPh sb="96" eb="98">
      <t>カンレン</t>
    </rPh>
    <rPh sb="99" eb="101">
      <t>キョウイク</t>
    </rPh>
    <rPh sb="103" eb="105">
      <t>ガクセイ</t>
    </rPh>
    <rPh sb="110" eb="111">
      <t>ナド</t>
    </rPh>
    <rPh sb="112" eb="114">
      <t>キョウイク</t>
    </rPh>
    <rPh sb="115" eb="117">
      <t>ハンエイ</t>
    </rPh>
    <rPh sb="131" eb="132">
      <t>フク</t>
    </rPh>
    <rPh sb="134" eb="136">
      <t>ゼンガク</t>
    </rPh>
    <rPh sb="140" eb="142">
      <t>カンレン</t>
    </rPh>
    <rPh sb="145" eb="146">
      <t>ホン</t>
    </rPh>
    <rPh sb="152" eb="154">
      <t>ヒッシュウ</t>
    </rPh>
    <rPh sb="154" eb="156">
      <t>カモク</t>
    </rPh>
    <rPh sb="163" eb="165">
      <t>カモク</t>
    </rPh>
    <rPh sb="165" eb="167">
      <t>イガイ</t>
    </rPh>
    <rPh sb="171" eb="173">
      <t>キョウツウ</t>
    </rPh>
    <rPh sb="174" eb="178">
      <t>リシュウタイセイ</t>
    </rPh>
    <rPh sb="179" eb="181">
      <t>ジュウブン</t>
    </rPh>
    <rPh sb="186" eb="188">
      <t>コンゴ</t>
    </rPh>
    <rPh sb="189" eb="192">
      <t>ゼンガクテキ</t>
    </rPh>
    <rPh sb="193" eb="195">
      <t>タイセイ</t>
    </rPh>
    <rPh sb="195" eb="197">
      <t>カクリツ</t>
    </rPh>
    <rPh sb="198" eb="200">
      <t>ヒツヨウ</t>
    </rPh>
    <rPh sb="207" eb="210">
      <t>ダイガッカ</t>
    </rPh>
    <rPh sb="211" eb="217">
      <t>ケイエイソウゴウガッカ</t>
    </rPh>
    <rPh sb="222" eb="224">
      <t>シカク</t>
    </rPh>
    <rPh sb="225" eb="229">
      <t>シュトクスイショウ</t>
    </rPh>
    <rPh sb="231" eb="234">
      <t>ゼンガクテキ</t>
    </rPh>
    <rPh sb="239" eb="241">
      <t>シカク</t>
    </rPh>
    <rPh sb="241" eb="243">
      <t>シュトク</t>
    </rPh>
    <rPh sb="244" eb="246">
      <t>メザ</t>
    </rPh>
    <rPh sb="250" eb="251">
      <t>ジュク</t>
    </rPh>
    <rPh sb="256" eb="258">
      <t>キョウイク</t>
    </rPh>
    <rPh sb="259" eb="261">
      <t>ヒョウカ</t>
    </rPh>
    <rPh sb="262" eb="263">
      <t>タカ</t>
    </rPh>
    <rPh sb="268" eb="270">
      <t>リシュウ</t>
    </rPh>
    <rPh sb="270" eb="272">
      <t>タイセイ</t>
    </rPh>
    <rPh sb="273" eb="274">
      <t>カタヨ</t>
    </rPh>
    <rPh sb="291" eb="293">
      <t>イコウ</t>
    </rPh>
    <rPh sb="294" eb="296">
      <t>メザ</t>
    </rPh>
    <phoneticPr fontId="1"/>
  </si>
  <si>
    <t>　本学には３演習室に計121台のPCが設置され、各学生にICT教育やゼミナール等の授業ができ、学内のシンクライアントシステムによるWeb登録申請やWebアンケート実施、e‐ラーニング利用が可能であるが、大学科である経営総合学科では、試行的にGoogle系アプリを利用した授業と素早い学生アンケート等で、学生の授業の理解度把握を実施し学修成果を挙げている。さらに現在、DXヒューマン・ソサエティ研究所を中心として、上記の結果を踏まえ、DX関連教育の全学的学修調査の充実のため上記Google系のLMSアプリ敷衍と全学LMSシステムの有機的利用を目指している。これらの活動は今後、全学生のより高い学修成果に反映できる。</t>
    <rPh sb="1" eb="3">
      <t>ホンガク</t>
    </rPh>
    <rPh sb="10" eb="11">
      <t>ケイ</t>
    </rPh>
    <rPh sb="14" eb="15">
      <t>ダイ</t>
    </rPh>
    <rPh sb="19" eb="21">
      <t>セッチ</t>
    </rPh>
    <rPh sb="24" eb="27">
      <t>カクガクセイ</t>
    </rPh>
    <rPh sb="39" eb="40">
      <t>ナド</t>
    </rPh>
    <rPh sb="41" eb="43">
      <t>ジュギョウ</t>
    </rPh>
    <rPh sb="68" eb="72">
      <t>トウロクシンセイ</t>
    </rPh>
    <rPh sb="81" eb="83">
      <t>ジッシ</t>
    </rPh>
    <rPh sb="91" eb="93">
      <t>リヨウ</t>
    </rPh>
    <rPh sb="94" eb="96">
      <t>カノウ</t>
    </rPh>
    <rPh sb="101" eb="104">
      <t>ダイガッカ</t>
    </rPh>
    <rPh sb="107" eb="113">
      <t>ケイエイソウゴウガッカ</t>
    </rPh>
    <rPh sb="116" eb="119">
      <t>シコウテキ</t>
    </rPh>
    <rPh sb="126" eb="127">
      <t>ケイ</t>
    </rPh>
    <rPh sb="131" eb="133">
      <t>リヨウ</t>
    </rPh>
    <rPh sb="135" eb="137">
      <t>ジュギョウ</t>
    </rPh>
    <rPh sb="138" eb="140">
      <t>スバヤ</t>
    </rPh>
    <rPh sb="141" eb="143">
      <t>ガクセイ</t>
    </rPh>
    <rPh sb="148" eb="149">
      <t>ナド</t>
    </rPh>
    <rPh sb="151" eb="153">
      <t>ガクセイ</t>
    </rPh>
    <rPh sb="157" eb="160">
      <t>リカイド</t>
    </rPh>
    <rPh sb="160" eb="162">
      <t>ハアク</t>
    </rPh>
    <rPh sb="163" eb="165">
      <t>ジッシ</t>
    </rPh>
    <rPh sb="166" eb="170">
      <t>ガクシュウセイカ</t>
    </rPh>
    <rPh sb="171" eb="172">
      <t>ア</t>
    </rPh>
    <rPh sb="180" eb="182">
      <t>ゲンザイ</t>
    </rPh>
    <rPh sb="196" eb="199">
      <t>ケンキュウジョ</t>
    </rPh>
    <rPh sb="200" eb="202">
      <t>チュウシン</t>
    </rPh>
    <rPh sb="206" eb="208">
      <t>ジョウキ</t>
    </rPh>
    <rPh sb="209" eb="211">
      <t>ケッカ</t>
    </rPh>
    <rPh sb="212" eb="213">
      <t>フ</t>
    </rPh>
    <rPh sb="218" eb="222">
      <t>カンレンキョウイク</t>
    </rPh>
    <rPh sb="223" eb="226">
      <t>ゼンガクテキ</t>
    </rPh>
    <rPh sb="226" eb="228">
      <t>ガクシュウ</t>
    </rPh>
    <rPh sb="228" eb="230">
      <t>チョウサ</t>
    </rPh>
    <rPh sb="231" eb="233">
      <t>ジュウジツ</t>
    </rPh>
    <rPh sb="236" eb="238">
      <t>ジョウキ</t>
    </rPh>
    <rPh sb="244" eb="245">
      <t>ケイ</t>
    </rPh>
    <rPh sb="252" eb="254">
      <t>フエン</t>
    </rPh>
    <rPh sb="255" eb="257">
      <t>ゼンガク</t>
    </rPh>
    <rPh sb="265" eb="268">
      <t>ユウキテキ</t>
    </rPh>
    <rPh sb="268" eb="270">
      <t>リヨウ</t>
    </rPh>
    <rPh sb="271" eb="273">
      <t>メザ</t>
    </rPh>
    <rPh sb="282" eb="284">
      <t>カツドウ</t>
    </rPh>
    <rPh sb="285" eb="287">
      <t>コンゴ</t>
    </rPh>
    <rPh sb="288" eb="290">
      <t>ゼンガク</t>
    </rPh>
    <rPh sb="294" eb="295">
      <t>タカ</t>
    </rPh>
    <rPh sb="296" eb="300">
      <t>ガクシュウセイカ</t>
    </rPh>
    <phoneticPr fontId="1"/>
  </si>
  <si>
    <t>　本学では卒業生の進路先や活躍状況の把握を従来より実施し、また、企業などの評価も教育に反映させているが、本教育プログラムに関してはまだ体系的な学外評価を纏めてはいない。しかし、企業等学外からの要請も高く、本学DXヒューマン・ソサエティ研究所を設置し、教育充実をはかり本プログラム申請に至っている。今後は設置研究所を中心に、民間企業、公務員団体に対して企業調査を実施し、本プログラム修了卒業生の採用状況や企業評価を把握する仕組みを設けて、全学的な協力体制のもとで産学連携、企業等の評価、プログラム修了者の進路や活躍状況を体系的に評価・集計し、全学的な教育体制充実を実現して行く。</t>
    <rPh sb="1" eb="3">
      <t>ホンガク</t>
    </rPh>
    <rPh sb="5" eb="8">
      <t>ソツギョウセイ</t>
    </rPh>
    <rPh sb="9" eb="12">
      <t>シンロサキ</t>
    </rPh>
    <rPh sb="21" eb="23">
      <t>ジュウライ</t>
    </rPh>
    <rPh sb="25" eb="27">
      <t>ジッシ</t>
    </rPh>
    <rPh sb="32" eb="34">
      <t>キギョウ</t>
    </rPh>
    <rPh sb="37" eb="39">
      <t>ヒョウカ</t>
    </rPh>
    <rPh sb="40" eb="42">
      <t>キョウイク</t>
    </rPh>
    <rPh sb="43" eb="45">
      <t>ハンエイ</t>
    </rPh>
    <rPh sb="52" eb="55">
      <t>ホンキョウイク</t>
    </rPh>
    <rPh sb="61" eb="62">
      <t>カン</t>
    </rPh>
    <rPh sb="67" eb="70">
      <t>タイケイテキ</t>
    </rPh>
    <rPh sb="71" eb="75">
      <t>ガクガイヒョウカ</t>
    </rPh>
    <rPh sb="76" eb="77">
      <t>マト</t>
    </rPh>
    <rPh sb="88" eb="91">
      <t>キギョウナド</t>
    </rPh>
    <rPh sb="91" eb="93">
      <t>ガクガイ</t>
    </rPh>
    <rPh sb="96" eb="98">
      <t>ヨウセイ</t>
    </rPh>
    <rPh sb="99" eb="100">
      <t>タカ</t>
    </rPh>
    <rPh sb="102" eb="104">
      <t>ホンガク</t>
    </rPh>
    <rPh sb="117" eb="120">
      <t>ケンキュウジョ</t>
    </rPh>
    <rPh sb="121" eb="123">
      <t>セッチ</t>
    </rPh>
    <rPh sb="125" eb="127">
      <t>キョウイク</t>
    </rPh>
    <rPh sb="127" eb="129">
      <t>ジュウジツ</t>
    </rPh>
    <rPh sb="139" eb="141">
      <t>シンセイ</t>
    </rPh>
    <rPh sb="142" eb="143">
      <t>イタ</t>
    </rPh>
    <rPh sb="148" eb="150">
      <t>コンゴ</t>
    </rPh>
    <rPh sb="151" eb="153">
      <t>セッチ</t>
    </rPh>
    <rPh sb="153" eb="156">
      <t>ケンキュウジョ</t>
    </rPh>
    <rPh sb="157" eb="159">
      <t>チュウシン</t>
    </rPh>
    <rPh sb="184" eb="185">
      <t>ホン</t>
    </rPh>
    <rPh sb="218" eb="220">
      <t>ゼンガク</t>
    </rPh>
    <rPh sb="220" eb="221">
      <t>テキ</t>
    </rPh>
    <rPh sb="222" eb="226">
      <t>キョウリョクタイセイ</t>
    </rPh>
    <rPh sb="230" eb="234">
      <t>サンガクレンケイ</t>
    </rPh>
    <rPh sb="235" eb="238">
      <t>キギョウナド</t>
    </rPh>
    <rPh sb="239" eb="241">
      <t>ヒョウカ</t>
    </rPh>
    <rPh sb="247" eb="250">
      <t>シュウリョウシャ</t>
    </rPh>
    <rPh sb="251" eb="253">
      <t>シンロ</t>
    </rPh>
    <rPh sb="254" eb="258">
      <t>カツヤクジョウキョウ</t>
    </rPh>
    <rPh sb="259" eb="261">
      <t>タイケイ</t>
    </rPh>
    <rPh sb="261" eb="262">
      <t>テキ</t>
    </rPh>
    <rPh sb="263" eb="265">
      <t>ヒョウカ</t>
    </rPh>
    <rPh sb="266" eb="268">
      <t>シュウケイ</t>
    </rPh>
    <rPh sb="270" eb="273">
      <t>ゼンガクテキ</t>
    </rPh>
    <rPh sb="274" eb="276">
      <t>キョウイク</t>
    </rPh>
    <rPh sb="276" eb="278">
      <t>タイセイ</t>
    </rPh>
    <rPh sb="278" eb="280">
      <t>ジュウジツ</t>
    </rPh>
    <rPh sb="281" eb="283">
      <t>ジツゲン</t>
    </rPh>
    <rPh sb="285" eb="286">
      <t>ユ</t>
    </rPh>
    <phoneticPr fontId="1"/>
  </si>
  <si>
    <t>　産業界からの視点については、これまで外部視点を反映させて文系短大である本学にDXヒューマン・ソサエティ研究所を設置し、複数コース大学科の経営総合学科から本教育プログラム関連学科目の充実を進め全学に敷衍している。これまでの外部意見から、文系短大の学生に対しては、数理やデータサイエンス開発を直接前面に出すことよりも、学生各自の将来の専門分野にICT・データやDXがどう関わっているかを可視化する教育手法が重要と判断している。文系短大学生への敷居を低くし、かつ理数・データ科学の本質に迫り得る教育カリキュラムの構築、興味を引く入門の概念と、最新の社会情勢と関連進路への可視化などを重視する。</t>
    <rPh sb="1" eb="4">
      <t>サンギョウカイ</t>
    </rPh>
    <rPh sb="7" eb="9">
      <t>シテン</t>
    </rPh>
    <rPh sb="19" eb="21">
      <t>ガイブ</t>
    </rPh>
    <rPh sb="21" eb="23">
      <t>シテン</t>
    </rPh>
    <rPh sb="24" eb="26">
      <t>ハンエイ</t>
    </rPh>
    <rPh sb="29" eb="33">
      <t>ブンケイタンダイ</t>
    </rPh>
    <rPh sb="36" eb="38">
      <t>ホンガク</t>
    </rPh>
    <rPh sb="52" eb="55">
      <t>ケンキュウジョ</t>
    </rPh>
    <rPh sb="56" eb="58">
      <t>セッチ</t>
    </rPh>
    <rPh sb="60" eb="62">
      <t>フクスウ</t>
    </rPh>
    <rPh sb="65" eb="68">
      <t>ダイガッカ</t>
    </rPh>
    <rPh sb="69" eb="71">
      <t>ケイエイ</t>
    </rPh>
    <rPh sb="71" eb="75">
      <t>ソウゴウガッカ</t>
    </rPh>
    <rPh sb="77" eb="78">
      <t>ホン</t>
    </rPh>
    <rPh sb="78" eb="80">
      <t>キョウイク</t>
    </rPh>
    <rPh sb="85" eb="90">
      <t>カンレンガッカモク</t>
    </rPh>
    <rPh sb="91" eb="93">
      <t>ジュウジツ</t>
    </rPh>
    <rPh sb="94" eb="95">
      <t>スス</t>
    </rPh>
    <rPh sb="96" eb="98">
      <t>ゼンガク</t>
    </rPh>
    <rPh sb="99" eb="101">
      <t>フエン</t>
    </rPh>
    <rPh sb="111" eb="113">
      <t>ガイブ</t>
    </rPh>
    <rPh sb="113" eb="115">
      <t>イケン</t>
    </rPh>
    <rPh sb="118" eb="120">
      <t>ブンケイ</t>
    </rPh>
    <rPh sb="120" eb="122">
      <t>タンダイ</t>
    </rPh>
    <rPh sb="123" eb="125">
      <t>ガクセイ</t>
    </rPh>
    <rPh sb="126" eb="127">
      <t>タイ</t>
    </rPh>
    <rPh sb="131" eb="133">
      <t>スウリ</t>
    </rPh>
    <rPh sb="142" eb="144">
      <t>カイハツ</t>
    </rPh>
    <rPh sb="145" eb="149">
      <t>チョクセツゼンメン</t>
    </rPh>
    <rPh sb="150" eb="151">
      <t>ダ</t>
    </rPh>
    <rPh sb="160" eb="162">
      <t>カクジ</t>
    </rPh>
    <rPh sb="163" eb="165">
      <t>ショウライ</t>
    </rPh>
    <rPh sb="166" eb="170">
      <t>センモンブンヤ</t>
    </rPh>
    <rPh sb="184" eb="185">
      <t>カカ</t>
    </rPh>
    <rPh sb="192" eb="195">
      <t>カシカ</t>
    </rPh>
    <rPh sb="197" eb="201">
      <t>キョウイクシュホウ</t>
    </rPh>
    <rPh sb="202" eb="204">
      <t>ジュウヨウ</t>
    </rPh>
    <rPh sb="205" eb="207">
      <t>ハンダン</t>
    </rPh>
    <rPh sb="212" eb="218">
      <t>ブンケイタンダイガクセイ</t>
    </rPh>
    <rPh sb="220" eb="222">
      <t>シキイ</t>
    </rPh>
    <rPh sb="223" eb="224">
      <t>ヒク</t>
    </rPh>
    <rPh sb="229" eb="231">
      <t>リスウ</t>
    </rPh>
    <rPh sb="235" eb="237">
      <t>カガク</t>
    </rPh>
    <rPh sb="241" eb="242">
      <t>セマ</t>
    </rPh>
    <rPh sb="243" eb="244">
      <t>エ</t>
    </rPh>
    <rPh sb="245" eb="247">
      <t>キョウイク</t>
    </rPh>
    <rPh sb="254" eb="256">
      <t>コウチク</t>
    </rPh>
    <rPh sb="257" eb="259">
      <t>キョウミ</t>
    </rPh>
    <rPh sb="260" eb="261">
      <t>ヒ</t>
    </rPh>
    <rPh sb="262" eb="264">
      <t>ニュウモン</t>
    </rPh>
    <rPh sb="265" eb="267">
      <t>ガイネン</t>
    </rPh>
    <rPh sb="277" eb="279">
      <t>カンレン</t>
    </rPh>
    <rPh sb="279" eb="281">
      <t>シンロ</t>
    </rPh>
    <rPh sb="283" eb="286">
      <t>カシカ</t>
    </rPh>
    <rPh sb="289" eb="291">
      <t>ジュウシ</t>
    </rPh>
    <phoneticPr fontId="1"/>
  </si>
  <si>
    <t>　現代社会では数理・データ科学・AIが人々の前面に出ることは少ないが、GAFAに代表される現代企業では活動の基本全てに大きな影響を及ぼしている。一方で全ての若い世代にスマホやWeb・ Youtubeが浸透している。本教育プログラムはこれらの現象のギャップを教育的に埋めるものとして極めて重要であり、本学でも、学生の向かう将来の社会とICT/DXとが密接に結びつくことが分かりやすく可視化できることを重点にプログラムを構築する。例えば簿記とExcelやVBA・スクリプト言語などの関連、起業や観光ホテル産業とICT・AIとの関連など、各学生の将来と社会の実例を繋ぎ、学ぶ楽しさと意義を実感できるような座学・演習の構築を図る。</t>
    <rPh sb="1" eb="5">
      <t>ゲンダイシャカイ</t>
    </rPh>
    <rPh sb="7" eb="9">
      <t>スウリ</t>
    </rPh>
    <rPh sb="13" eb="15">
      <t>カガク</t>
    </rPh>
    <rPh sb="19" eb="21">
      <t>ヒトビト</t>
    </rPh>
    <rPh sb="23" eb="24">
      <t>メン</t>
    </rPh>
    <rPh sb="25" eb="26">
      <t>デ</t>
    </rPh>
    <rPh sb="30" eb="31">
      <t>スク</t>
    </rPh>
    <rPh sb="40" eb="42">
      <t>ダイヒョウ</t>
    </rPh>
    <rPh sb="45" eb="47">
      <t>ゲンダイ</t>
    </rPh>
    <rPh sb="56" eb="57">
      <t>スベ</t>
    </rPh>
    <rPh sb="59" eb="60">
      <t>オオ</t>
    </rPh>
    <rPh sb="72" eb="74">
      <t>イッポウ</t>
    </rPh>
    <rPh sb="100" eb="102">
      <t>シントウ</t>
    </rPh>
    <rPh sb="107" eb="110">
      <t>ホンキョウイク</t>
    </rPh>
    <rPh sb="120" eb="122">
      <t>ゲンショウ</t>
    </rPh>
    <rPh sb="128" eb="131">
      <t>キョウイクテキ</t>
    </rPh>
    <rPh sb="132" eb="133">
      <t>ウ</t>
    </rPh>
    <rPh sb="140" eb="141">
      <t>キワ</t>
    </rPh>
    <rPh sb="143" eb="145">
      <t>ジュウヨウ</t>
    </rPh>
    <rPh sb="149" eb="151">
      <t>ホンガク</t>
    </rPh>
    <rPh sb="154" eb="156">
      <t>ガクセイ</t>
    </rPh>
    <rPh sb="157" eb="158">
      <t>ム</t>
    </rPh>
    <rPh sb="160" eb="162">
      <t>ショウライ</t>
    </rPh>
    <rPh sb="163" eb="165">
      <t>シャカイ</t>
    </rPh>
    <rPh sb="174" eb="176">
      <t>ミッセツ</t>
    </rPh>
    <rPh sb="177" eb="178">
      <t>ムス</t>
    </rPh>
    <rPh sb="184" eb="185">
      <t>ワ</t>
    </rPh>
    <rPh sb="190" eb="193">
      <t>カシカ</t>
    </rPh>
    <rPh sb="199" eb="201">
      <t>ジュウテン</t>
    </rPh>
    <rPh sb="208" eb="210">
      <t>コウチク</t>
    </rPh>
    <rPh sb="213" eb="214">
      <t>タト</t>
    </rPh>
    <rPh sb="216" eb="218">
      <t>ボキ</t>
    </rPh>
    <rPh sb="234" eb="236">
      <t>ゲンゴ</t>
    </rPh>
    <rPh sb="239" eb="241">
      <t>カンレン</t>
    </rPh>
    <rPh sb="242" eb="244">
      <t>キギョウ</t>
    </rPh>
    <rPh sb="245" eb="247">
      <t>カンコウ</t>
    </rPh>
    <rPh sb="261" eb="263">
      <t>カンレン</t>
    </rPh>
    <rPh sb="266" eb="269">
      <t>カクガクセイ</t>
    </rPh>
    <rPh sb="270" eb="272">
      <t>ショウライ</t>
    </rPh>
    <rPh sb="273" eb="275">
      <t>シャカイ</t>
    </rPh>
    <rPh sb="276" eb="278">
      <t>ジツレイ</t>
    </rPh>
    <rPh sb="279" eb="280">
      <t>ツナ</t>
    </rPh>
    <rPh sb="282" eb="283">
      <t>マナ</t>
    </rPh>
    <rPh sb="284" eb="285">
      <t>タノ</t>
    </rPh>
    <rPh sb="288" eb="290">
      <t>イギ</t>
    </rPh>
    <rPh sb="291" eb="293">
      <t>ジッカン</t>
    </rPh>
    <rPh sb="299" eb="301">
      <t>ザガク</t>
    </rPh>
    <rPh sb="302" eb="304">
      <t>エンシュウ</t>
    </rPh>
    <rPh sb="305" eb="307">
      <t>コウチク</t>
    </rPh>
    <rPh sb="308" eb="309">
      <t>ハカ</t>
    </rPh>
    <phoneticPr fontId="1"/>
  </si>
  <si>
    <t xml:space="preserve">　本学DXヒューマン・ソサエティ研究所は全学的な協力のもとで、４コース大学科の経営総合学科で整備されてきた数理・データサイエンス・AI・ICT関連の教育コンテンツと、こども教育学科カリキュラムとの無理のない融合、および本申請プログラムの最適化に向け、全学的な教育、座学・演習内容の見直し、および全学学生の受講が可能となるシステムの構築支援を令和３年度より段階的に開始している。具体的には令和４年度よりさらに、両学科開講科目名称の統一性確立、両学科必修・選択科目の最適配置、全学共通に相当する本申請プログラム関連の演習科目設置やオンデマンド教材開発などを進め、希望する学生全員が受講可能となる体制を整備して行く。さらに、先端的なICTを活用する教育プログラムや教材の開発、国内外の他機関との連携、地域・産学連携も含め、DX社会に関するシンポジウム等を通して、学生の進路とDX社会の密接な関係性と興味を啓発する。
</t>
    <rPh sb="1" eb="3">
      <t>ホンガク</t>
    </rPh>
    <rPh sb="16" eb="19">
      <t>ケンキュウジョ</t>
    </rPh>
    <rPh sb="20" eb="22">
      <t>ゼンガク</t>
    </rPh>
    <rPh sb="22" eb="23">
      <t>テキ</t>
    </rPh>
    <rPh sb="24" eb="26">
      <t>キョウリョク</t>
    </rPh>
    <rPh sb="35" eb="38">
      <t>ダイガッカ</t>
    </rPh>
    <rPh sb="39" eb="45">
      <t>ケイエイソウゴウガッカ</t>
    </rPh>
    <rPh sb="46" eb="48">
      <t>セイビ</t>
    </rPh>
    <rPh sb="53" eb="55">
      <t>スウリ</t>
    </rPh>
    <rPh sb="71" eb="73">
      <t>カンレン</t>
    </rPh>
    <rPh sb="74" eb="76">
      <t>キョウイク</t>
    </rPh>
    <rPh sb="86" eb="90">
      <t>キョウイクガッカ</t>
    </rPh>
    <rPh sb="98" eb="100">
      <t>ムリ</t>
    </rPh>
    <rPh sb="103" eb="105">
      <t>ユウゴウ</t>
    </rPh>
    <rPh sb="109" eb="112">
      <t>ホンシンセイ</t>
    </rPh>
    <rPh sb="118" eb="121">
      <t>サイテキカ</t>
    </rPh>
    <rPh sb="122" eb="123">
      <t>ム</t>
    </rPh>
    <rPh sb="125" eb="128">
      <t>ゼンガクテキ</t>
    </rPh>
    <rPh sb="129" eb="131">
      <t>キョウイク</t>
    </rPh>
    <rPh sb="132" eb="134">
      <t>ザガク</t>
    </rPh>
    <rPh sb="135" eb="137">
      <t>エンシュウ</t>
    </rPh>
    <rPh sb="137" eb="139">
      <t>ナイヨウ</t>
    </rPh>
    <rPh sb="140" eb="142">
      <t>ミナオ</t>
    </rPh>
    <rPh sb="147" eb="149">
      <t>ゼンガク</t>
    </rPh>
    <rPh sb="149" eb="151">
      <t>ガクセイ</t>
    </rPh>
    <rPh sb="152" eb="154">
      <t>ジュコウ</t>
    </rPh>
    <rPh sb="155" eb="157">
      <t>カノウ</t>
    </rPh>
    <rPh sb="165" eb="167">
      <t>コウチク</t>
    </rPh>
    <rPh sb="177" eb="180">
      <t>ダンカイテキ</t>
    </rPh>
    <rPh sb="181" eb="183">
      <t>カイシ</t>
    </rPh>
    <rPh sb="188" eb="191">
      <t>グタイテキ</t>
    </rPh>
    <rPh sb="193" eb="195">
      <t>レイワ</t>
    </rPh>
    <rPh sb="196" eb="198">
      <t>ネンド</t>
    </rPh>
    <rPh sb="204" eb="207">
      <t>リョウガッカ</t>
    </rPh>
    <rPh sb="207" eb="213">
      <t>カイコウカモクメイショウ</t>
    </rPh>
    <rPh sb="214" eb="216">
      <t>トウイツ</t>
    </rPh>
    <rPh sb="216" eb="217">
      <t>セイ</t>
    </rPh>
    <rPh sb="217" eb="219">
      <t>カクリツ</t>
    </rPh>
    <rPh sb="220" eb="223">
      <t>リョウガッカ</t>
    </rPh>
    <rPh sb="228" eb="230">
      <t>カモク</t>
    </rPh>
    <rPh sb="231" eb="235">
      <t>サイテキハイチ</t>
    </rPh>
    <rPh sb="236" eb="240">
      <t>ゼンガクキョウツウ</t>
    </rPh>
    <rPh sb="241" eb="243">
      <t>ソウトウ</t>
    </rPh>
    <rPh sb="245" eb="248">
      <t>ホンシンセイ</t>
    </rPh>
    <rPh sb="253" eb="255">
      <t>カンレン</t>
    </rPh>
    <rPh sb="256" eb="258">
      <t>エンシュウ</t>
    </rPh>
    <rPh sb="258" eb="260">
      <t>カモク</t>
    </rPh>
    <rPh sb="260" eb="262">
      <t>セッチ</t>
    </rPh>
    <rPh sb="269" eb="273">
      <t>キョウザイカイハツ</t>
    </rPh>
    <rPh sb="276" eb="277">
      <t>スス</t>
    </rPh>
    <rPh sb="279" eb="281">
      <t>キボウ</t>
    </rPh>
    <rPh sb="283" eb="285">
      <t>ガクセイ</t>
    </rPh>
    <rPh sb="285" eb="287">
      <t>ゼンイン</t>
    </rPh>
    <rPh sb="288" eb="292">
      <t>ジュコウカノウ</t>
    </rPh>
    <rPh sb="295" eb="297">
      <t>タイセイ</t>
    </rPh>
    <rPh sb="298" eb="300">
      <t>セイビ</t>
    </rPh>
    <rPh sb="302" eb="303">
      <t>ユ</t>
    </rPh>
    <rPh sb="309" eb="312">
      <t>センタンテキ</t>
    </rPh>
    <rPh sb="317" eb="319">
      <t>カツヨウ</t>
    </rPh>
    <rPh sb="321" eb="323">
      <t>キョウイク</t>
    </rPh>
    <rPh sb="329" eb="331">
      <t>キョウザイ</t>
    </rPh>
    <rPh sb="335" eb="338">
      <t>コクナイガイ</t>
    </rPh>
    <rPh sb="339" eb="340">
      <t>タ</t>
    </rPh>
    <rPh sb="344" eb="346">
      <t>レンケイ</t>
    </rPh>
    <rPh sb="347" eb="349">
      <t>チイキ</t>
    </rPh>
    <rPh sb="350" eb="354">
      <t>サンガクレンケイ</t>
    </rPh>
    <rPh sb="355" eb="356">
      <t>フク</t>
    </rPh>
    <rPh sb="360" eb="362">
      <t>シャカイ</t>
    </rPh>
    <rPh sb="363" eb="364">
      <t>カン</t>
    </rPh>
    <rPh sb="372" eb="373">
      <t>ナド</t>
    </rPh>
    <rPh sb="374" eb="375">
      <t>トオ</t>
    </rPh>
    <rPh sb="378" eb="380">
      <t>ガクセイ</t>
    </rPh>
    <rPh sb="381" eb="383">
      <t>シンロ</t>
    </rPh>
    <rPh sb="386" eb="388">
      <t>シャカイ</t>
    </rPh>
    <rPh sb="389" eb="391">
      <t>ミッセツ</t>
    </rPh>
    <rPh sb="392" eb="395">
      <t>カンケイセイ</t>
    </rPh>
    <rPh sb="396" eb="398">
      <t>キョウミ</t>
    </rPh>
    <rPh sb="399" eb="401">
      <t>ケイハツ</t>
    </rPh>
    <phoneticPr fontId="1"/>
  </si>
  <si>
    <r>
      <rPr>
        <sz val="12"/>
        <color rgb="FFFF0000"/>
        <rFont val="ＭＳ Ｐゴシック"/>
        <family val="3"/>
        <charset val="128"/>
        <scheme val="minor"/>
      </rPr>
      <t>　</t>
    </r>
    <r>
      <rPr>
        <sz val="12"/>
        <rFont val="ＭＳ Ｐゴシック"/>
        <family val="3"/>
        <charset val="128"/>
        <scheme val="minor"/>
      </rPr>
      <t xml:space="preserve">東京経営短期大学では入学予定者に対する入学前教育を実施しているが、本申請プログラムに関連するICT、プログラム入門等の入学前教育を一層充実させている。また入学後のガイダンス、オリエンテーションや両学科授業開始時などにおいて新入生に広く周知させる体制を構築した。さらに本学DXヒューマン・ソサエティ研究所の役割と設立趣旨などをHPトップ画面にリンクさせ、多くの学生に発信している。今年度からは段階的に入学後のガイダンスやSNSなどを利用した周知、また本学HPのトップ画面に本申請プログラム専用ページへのリンクを掲載し、周知方法の最適化に取り組む。さらに次年度以降本申請プログラムに関連する内容として、履修学生の感想や関連進路などを順次発信し、最新のVX・DXとやAI・データサイエンスの進展と社会への実装状況を発信して、文系短大の学生が現代社会と教育プログラムとの関連情報を受け取り、身近に感じられるような環境を整備する。　　　　　　　　　　
</t>
    </r>
    <rPh sb="1" eb="9">
      <t>トウキョウケイエイタンキダイガク</t>
    </rPh>
    <rPh sb="11" eb="16">
      <t>ニュウガクヨテイシャ</t>
    </rPh>
    <rPh sb="17" eb="18">
      <t>タイ</t>
    </rPh>
    <rPh sb="20" eb="25">
      <t>ニュウガクマエキョウイク</t>
    </rPh>
    <rPh sb="26" eb="28">
      <t>ジッシ</t>
    </rPh>
    <rPh sb="34" eb="37">
      <t>ホンシンセイ</t>
    </rPh>
    <rPh sb="43" eb="45">
      <t>カンレン</t>
    </rPh>
    <rPh sb="56" eb="58">
      <t>ニュウモン</t>
    </rPh>
    <rPh sb="58" eb="59">
      <t>ナド</t>
    </rPh>
    <rPh sb="60" eb="65">
      <t>ニュウガクマエキョウイク</t>
    </rPh>
    <rPh sb="66" eb="68">
      <t>イッソウ</t>
    </rPh>
    <rPh sb="68" eb="70">
      <t>ジュウジツ</t>
    </rPh>
    <rPh sb="78" eb="81">
      <t>ニュウガクゴ</t>
    </rPh>
    <rPh sb="98" eb="101">
      <t>リョウガッカ</t>
    </rPh>
    <rPh sb="101" eb="106">
      <t>ジュギョウカイシジ</t>
    </rPh>
    <rPh sb="112" eb="115">
      <t>シンニュウセイ</t>
    </rPh>
    <rPh sb="116" eb="117">
      <t>ヒロ</t>
    </rPh>
    <rPh sb="118" eb="120">
      <t>シュウチ</t>
    </rPh>
    <rPh sb="123" eb="125">
      <t>タイセイ</t>
    </rPh>
    <rPh sb="126" eb="128">
      <t>コウチク</t>
    </rPh>
    <rPh sb="134" eb="136">
      <t>ホンガク</t>
    </rPh>
    <rPh sb="149" eb="152">
      <t>ケンキュウジョ</t>
    </rPh>
    <rPh sb="153" eb="155">
      <t>ヤクワリ</t>
    </rPh>
    <rPh sb="156" eb="160">
      <t>セツリツシュシ</t>
    </rPh>
    <rPh sb="168" eb="170">
      <t>ガメン</t>
    </rPh>
    <rPh sb="177" eb="178">
      <t>オオ</t>
    </rPh>
    <rPh sb="180" eb="182">
      <t>ガクセイ</t>
    </rPh>
    <rPh sb="183" eb="185">
      <t>ハッシン</t>
    </rPh>
    <rPh sb="190" eb="193">
      <t>コンネンド</t>
    </rPh>
    <rPh sb="196" eb="199">
      <t>ダンカイテキ</t>
    </rPh>
    <rPh sb="200" eb="203">
      <t>ニュウガクゴ</t>
    </rPh>
    <rPh sb="216" eb="218">
      <t>リヨウ</t>
    </rPh>
    <rPh sb="220" eb="222">
      <t>シュウチ</t>
    </rPh>
    <rPh sb="225" eb="227">
      <t>ホンガク</t>
    </rPh>
    <rPh sb="276" eb="281">
      <t>ジネンドイコウ</t>
    </rPh>
    <rPh sb="290" eb="292">
      <t>カンレン</t>
    </rPh>
    <rPh sb="294" eb="296">
      <t>ナイヨウ</t>
    </rPh>
    <rPh sb="300" eb="304">
      <t>リシュウガクセイ</t>
    </rPh>
    <rPh sb="305" eb="307">
      <t>カンソウ</t>
    </rPh>
    <rPh sb="308" eb="312">
      <t>カンレンシンロ</t>
    </rPh>
    <rPh sb="315" eb="317">
      <t>ジュンジ</t>
    </rPh>
    <rPh sb="317" eb="319">
      <t>ハッシン</t>
    </rPh>
    <rPh sb="321" eb="323">
      <t>サイシン</t>
    </rPh>
    <rPh sb="355" eb="357">
      <t>ハッシン</t>
    </rPh>
    <rPh sb="360" eb="364">
      <t>ブンケイタンダイ</t>
    </rPh>
    <rPh sb="365" eb="367">
      <t>ガクセイ</t>
    </rPh>
    <rPh sb="368" eb="372">
      <t>ゲンダイシャカイ</t>
    </rPh>
    <rPh sb="373" eb="375">
      <t>キョウイク</t>
    </rPh>
    <rPh sb="382" eb="386">
      <t>カンレンジョウホウ</t>
    </rPh>
    <rPh sb="387" eb="388">
      <t>ウ</t>
    </rPh>
    <rPh sb="389" eb="390">
      <t>ト</t>
    </rPh>
    <rPh sb="392" eb="394">
      <t>ミジカ</t>
    </rPh>
    <rPh sb="395" eb="396">
      <t>カン</t>
    </rPh>
    <rPh sb="403" eb="405">
      <t>カンキョウ</t>
    </rPh>
    <rPh sb="406" eb="408">
      <t>セイビ</t>
    </rPh>
    <phoneticPr fontId="1"/>
  </si>
  <si>
    <t>　本教育プログラムの履修に関しては、ハイブリッド型授業の実施に際してLMSシステムを利用して全学生にGoogleシステムによるメールアドレスを付与し、Google classroom等のアプリケーションを利活用した授業体系を構築している。　このアプリ利用システムを充分に活用し、学生の出欠、資料の作成配布、授業の実施とその感想、授業時間内外の質問の受付、さらに各授業における学生アンケート集計等をシステム化している。現在、経営総合大学科及びこども教育学科の学生に関して本プログラム実施の各授業に対する演習やレポート・アンケート等を集め、本教育システムの内容向上に反映させている。なお現在は、まだ画像系のデータが充分集まっていないが、今後はDXヒューマン・ソサエティ研究所を核として授業・演習の実施画像等のアーカイビングと、学生のQ＆A集やインタビュー画像なども充実させて行く。　　</t>
    <rPh sb="1" eb="4">
      <t>ホンキョウイク</t>
    </rPh>
    <rPh sb="10" eb="12">
      <t>リシュウ</t>
    </rPh>
    <rPh sb="13" eb="14">
      <t>カン</t>
    </rPh>
    <rPh sb="24" eb="25">
      <t>ガタ</t>
    </rPh>
    <rPh sb="42" eb="44">
      <t>リヨウ</t>
    </rPh>
    <rPh sb="91" eb="92">
      <t>ナド</t>
    </rPh>
    <rPh sb="102" eb="105">
      <t>リカツヨウ</t>
    </rPh>
    <rPh sb="107" eb="111">
      <t>ジュギョウタイケイ</t>
    </rPh>
    <rPh sb="112" eb="114">
      <t>コウチク</t>
    </rPh>
    <rPh sb="125" eb="127">
      <t>リヨウ</t>
    </rPh>
    <rPh sb="132" eb="134">
      <t>ジュウブン</t>
    </rPh>
    <rPh sb="135" eb="137">
      <t>カツヨウ</t>
    </rPh>
    <rPh sb="139" eb="141">
      <t>ガクセイ</t>
    </rPh>
    <rPh sb="142" eb="144">
      <t>シュッケツ</t>
    </rPh>
    <rPh sb="145" eb="147">
      <t>シリョウ</t>
    </rPh>
    <rPh sb="148" eb="152">
      <t>サクセイハイフ</t>
    </rPh>
    <rPh sb="153" eb="155">
      <t>ジュギョウ</t>
    </rPh>
    <rPh sb="156" eb="158">
      <t>ジッシ</t>
    </rPh>
    <rPh sb="161" eb="163">
      <t>カンソウ</t>
    </rPh>
    <rPh sb="164" eb="170">
      <t>ジュギョウジカンナイガイ</t>
    </rPh>
    <rPh sb="171" eb="173">
      <t>シツモン</t>
    </rPh>
    <rPh sb="174" eb="176">
      <t>ウケツケ</t>
    </rPh>
    <rPh sb="180" eb="183">
      <t>カクジュギョウ</t>
    </rPh>
    <rPh sb="187" eb="189">
      <t>ガクセイ</t>
    </rPh>
    <rPh sb="194" eb="197">
      <t>シュウケイナド</t>
    </rPh>
    <rPh sb="202" eb="203">
      <t>カ</t>
    </rPh>
    <rPh sb="208" eb="210">
      <t>ゲンザイ</t>
    </rPh>
    <rPh sb="211" eb="215">
      <t>ケイエイソウゴウ</t>
    </rPh>
    <rPh sb="215" eb="218">
      <t>ダイガッカ</t>
    </rPh>
    <rPh sb="218" eb="219">
      <t>オヨ</t>
    </rPh>
    <rPh sb="223" eb="227">
      <t>キョウイクガッカ</t>
    </rPh>
    <rPh sb="228" eb="230">
      <t>ガクセイ</t>
    </rPh>
    <rPh sb="231" eb="232">
      <t>カン</t>
    </rPh>
    <rPh sb="234" eb="235">
      <t>ホン</t>
    </rPh>
    <rPh sb="240" eb="242">
      <t>ジッシ</t>
    </rPh>
    <rPh sb="243" eb="246">
      <t>カクジュギョウ</t>
    </rPh>
    <rPh sb="247" eb="248">
      <t>タイ</t>
    </rPh>
    <rPh sb="250" eb="252">
      <t>エンシュウ</t>
    </rPh>
    <rPh sb="263" eb="264">
      <t>ナド</t>
    </rPh>
    <rPh sb="265" eb="266">
      <t>アツ</t>
    </rPh>
    <rPh sb="268" eb="269">
      <t>ホン</t>
    </rPh>
    <rPh sb="269" eb="271">
      <t>キョウイク</t>
    </rPh>
    <rPh sb="276" eb="280">
      <t>ナイヨウコウジョウ</t>
    </rPh>
    <rPh sb="281" eb="283">
      <t>ハンエイ</t>
    </rPh>
    <rPh sb="291" eb="293">
      <t>ゲンザイ</t>
    </rPh>
    <rPh sb="297" eb="300">
      <t>ガゾウケイ</t>
    </rPh>
    <rPh sb="305" eb="307">
      <t>ジュウブン</t>
    </rPh>
    <rPh sb="307" eb="308">
      <t>アツ</t>
    </rPh>
    <rPh sb="316" eb="318">
      <t>コンゴ</t>
    </rPh>
    <rPh sb="332" eb="335">
      <t>ケンキュウジョ</t>
    </rPh>
    <rPh sb="336" eb="337">
      <t>カク</t>
    </rPh>
    <rPh sb="340" eb="342">
      <t>ジュギョウ</t>
    </rPh>
    <rPh sb="350" eb="351">
      <t>ナド</t>
    </rPh>
    <rPh sb="361" eb="363">
      <t>ガクセイ</t>
    </rPh>
    <rPh sb="375" eb="377">
      <t>ガゾウ</t>
    </rPh>
    <rPh sb="380" eb="382">
      <t>ジュウジツ</t>
    </rPh>
    <rPh sb="385" eb="386">
      <t>ユ</t>
    </rPh>
    <phoneticPr fontId="1"/>
  </si>
  <si>
    <t>経営総合学科</t>
    <rPh sb="0" eb="6">
      <t>ケイエイソウゴウガッカ</t>
    </rPh>
    <phoneticPr fontId="1"/>
  </si>
  <si>
    <t>こども教育学科</t>
    <rPh sb="3" eb="7">
      <t>キョウイクガッカ</t>
    </rPh>
    <phoneticPr fontId="1"/>
  </si>
  <si>
    <t>委員長・学長</t>
    <rPh sb="0" eb="3">
      <t>イインチョウ</t>
    </rPh>
    <rPh sb="4" eb="6">
      <t>ガクチョウ</t>
    </rPh>
    <phoneticPr fontId="1"/>
  </si>
  <si>
    <t>学部・学科によって、修了要件は相違する</t>
    <phoneticPr fontId="1"/>
  </si>
  <si>
    <t>　本申請プログラムに関し、複数コース大学科である経営総合学科ではコンピュータリテラシI/II、こども教育学科ではコンピュータI/IIが基礎・共通科目の必修科目であり、基本的に全員が履修する。さらに本プログラムの専門選択科目の情報コミュニケーション（経営総合学科）、教育方法論（こども教育学科）の履修者数と履修率が現在のデータとなるが、同時に本申請プログラムの主旨に沿って全学的な構成科目の改善と実質化を段階的に進めており、本学DXヒューマン・ソサエティ研究所を核に、全学的な協力のもと、科目名変更、新設、演習科目などの実質化、経営総合大学科の既設数理・ICT関連科目の全学的履修可能への科目変更などカリキュラムとシラバスの段階的充実を図っている。従って、選択科目の新設や全学履修変更などにより一時的な年度履修率の低下も予想されるが、完成年度には履修者数・履修率の目標値を達成する予定である。同時にGoogleアプリ利用LMSの一部を活用して、学生から授業時間内外での学習指導、質問を受け付ける仕組みや教育上の工夫を行い、学生指導・支援等の学修サポートを段階的に進める。</t>
    <rPh sb="1" eb="4">
      <t>ホンシンセイ</t>
    </rPh>
    <rPh sb="10" eb="11">
      <t>カン</t>
    </rPh>
    <rPh sb="13" eb="15">
      <t>フクスウ</t>
    </rPh>
    <rPh sb="18" eb="21">
      <t>ダイガッカ</t>
    </rPh>
    <rPh sb="24" eb="26">
      <t>ケイエイ</t>
    </rPh>
    <rPh sb="26" eb="30">
      <t>ソウゴウガッカ</t>
    </rPh>
    <rPh sb="50" eb="54">
      <t>キョウイクガッカ</t>
    </rPh>
    <rPh sb="75" eb="79">
      <t>ヒッシュウカモク</t>
    </rPh>
    <rPh sb="83" eb="86">
      <t>キホンテキ</t>
    </rPh>
    <rPh sb="87" eb="89">
      <t>ゼンイン</t>
    </rPh>
    <rPh sb="90" eb="92">
      <t>リシュウ</t>
    </rPh>
    <rPh sb="98" eb="99">
      <t>ホン</t>
    </rPh>
    <rPh sb="105" eb="109">
      <t>センモンセンタク</t>
    </rPh>
    <rPh sb="109" eb="111">
      <t>カモク</t>
    </rPh>
    <rPh sb="112" eb="114">
      <t>ジョウホウ</t>
    </rPh>
    <rPh sb="124" eb="130">
      <t>ケイエイソウゴウガッカ</t>
    </rPh>
    <rPh sb="132" eb="137">
      <t>キョウイクホウホウロン</t>
    </rPh>
    <rPh sb="141" eb="145">
      <t>キョウイクガッカ</t>
    </rPh>
    <rPh sb="147" eb="151">
      <t>リシュウシャスウ</t>
    </rPh>
    <rPh sb="152" eb="155">
      <t>リシュウリツ</t>
    </rPh>
    <rPh sb="156" eb="158">
      <t>ゲンザイ</t>
    </rPh>
    <rPh sb="170" eb="173">
      <t>ホンシンセイ</t>
    </rPh>
    <rPh sb="179" eb="181">
      <t>シュシ</t>
    </rPh>
    <rPh sb="182" eb="183">
      <t>ソ</t>
    </rPh>
    <rPh sb="185" eb="188">
      <t>ゼンガクテキ</t>
    </rPh>
    <rPh sb="189" eb="193">
      <t>コウセイカモク</t>
    </rPh>
    <rPh sb="194" eb="196">
      <t>カイゼン</t>
    </rPh>
    <rPh sb="197" eb="200">
      <t>ジッシツカ</t>
    </rPh>
    <rPh sb="201" eb="204">
      <t>ダンカイテキ</t>
    </rPh>
    <rPh sb="205" eb="206">
      <t>スス</t>
    </rPh>
    <rPh sb="211" eb="213">
      <t>ホンガク</t>
    </rPh>
    <rPh sb="226" eb="229">
      <t>ケンキュウジョ</t>
    </rPh>
    <rPh sb="230" eb="231">
      <t>カク</t>
    </rPh>
    <rPh sb="233" eb="236">
      <t>ゼンガクテキ</t>
    </rPh>
    <rPh sb="237" eb="239">
      <t>キョウリョク</t>
    </rPh>
    <rPh sb="243" eb="248">
      <t>カモクメイヘンコウ</t>
    </rPh>
    <rPh sb="249" eb="251">
      <t>シンセツ</t>
    </rPh>
    <rPh sb="252" eb="256">
      <t>エンシュウカモク</t>
    </rPh>
    <rPh sb="259" eb="262">
      <t>ジッシツカ</t>
    </rPh>
    <rPh sb="263" eb="267">
      <t>ケイエイソウゴウ</t>
    </rPh>
    <rPh sb="267" eb="268">
      <t>ダイ</t>
    </rPh>
    <rPh sb="268" eb="270">
      <t>ガッカ</t>
    </rPh>
    <rPh sb="284" eb="287">
      <t>ゼンガクテキ</t>
    </rPh>
    <rPh sb="289" eb="291">
      <t>カノウ</t>
    </rPh>
    <rPh sb="293" eb="295">
      <t>カモク</t>
    </rPh>
    <rPh sb="295" eb="297">
      <t>ヘンコウ</t>
    </rPh>
    <rPh sb="311" eb="314">
      <t>ダンカイテキ</t>
    </rPh>
    <rPh sb="314" eb="316">
      <t>ジュウジツ</t>
    </rPh>
    <rPh sb="317" eb="318">
      <t>ハカ</t>
    </rPh>
    <rPh sb="323" eb="324">
      <t>シタガ</t>
    </rPh>
    <rPh sb="327" eb="331">
      <t>センタクカモク</t>
    </rPh>
    <rPh sb="332" eb="334">
      <t>シンセツ</t>
    </rPh>
    <rPh sb="335" eb="339">
      <t>ゼンガクリシュウ</t>
    </rPh>
    <rPh sb="339" eb="341">
      <t>ヘンコウ</t>
    </rPh>
    <rPh sb="346" eb="348">
      <t>イチジ</t>
    </rPh>
    <rPh sb="348" eb="349">
      <t>テキ</t>
    </rPh>
    <rPh sb="350" eb="352">
      <t>ネンド</t>
    </rPh>
    <rPh sb="356" eb="358">
      <t>テイカ</t>
    </rPh>
    <rPh sb="359" eb="361">
      <t>ヨソウ</t>
    </rPh>
    <rPh sb="366" eb="370">
      <t>カンセイネンド</t>
    </rPh>
    <rPh sb="381" eb="384">
      <t>モクヒョウチ</t>
    </rPh>
    <rPh sb="385" eb="387">
      <t>タッセイ</t>
    </rPh>
    <rPh sb="389" eb="391">
      <t>ヨテイ</t>
    </rPh>
    <rPh sb="395" eb="397">
      <t>ドウジ</t>
    </rPh>
    <rPh sb="413" eb="415">
      <t>イチブ</t>
    </rPh>
    <rPh sb="416" eb="418">
      <t>カツヨウ</t>
    </rPh>
    <rPh sb="421" eb="423">
      <t>ガクセイ</t>
    </rPh>
    <rPh sb="457" eb="458">
      <t>オコナ</t>
    </rPh>
    <rPh sb="476" eb="479">
      <t>ダンカイテキ</t>
    </rPh>
    <rPh sb="480" eb="481">
      <t>スス</t>
    </rPh>
    <phoneticPr fontId="1"/>
  </si>
  <si>
    <t>　本教育プログラムを構成するコンピュータリテラシI/II（コンピュータI/II）は全学必修科目であり、全学的な科目名称統一を進める。また本短大の大学科・経営総合学科では数理・データサイエンス・AI教育に関し、現在まで科目新設等の整備・充実が進んでいるが、こども教育学科のタイトなカリキュラムにまだ必要十分な授業設定の検討を要している。なお、本学にはMOS資格取得を目指す１UP塾などの学内塾教育の取り組みがあるが、歴史的に正規開講科目ではなかったので、本プログラムの計画に従い、今後もカリキュラム・シラバスの改善を続け、ICT・DX関連の１UP塾等の正規演習科目への組み入れなど、本プログラムの一層の充実を図る。      　　　　　</t>
    <rPh sb="1" eb="4">
      <t>ホンキョウイク</t>
    </rPh>
    <rPh sb="10" eb="12">
      <t>コウセイ</t>
    </rPh>
    <rPh sb="41" eb="43">
      <t>ゼンガク</t>
    </rPh>
    <rPh sb="43" eb="47">
      <t>ヒッシュウカモク</t>
    </rPh>
    <rPh sb="51" eb="54">
      <t>ゼンガクテキ</t>
    </rPh>
    <rPh sb="57" eb="59">
      <t>メイショウ</t>
    </rPh>
    <rPh sb="62" eb="63">
      <t>スス</t>
    </rPh>
    <rPh sb="68" eb="69">
      <t>ホン</t>
    </rPh>
    <rPh sb="69" eb="71">
      <t>タンダイ</t>
    </rPh>
    <rPh sb="72" eb="75">
      <t>ダイガッカ</t>
    </rPh>
    <rPh sb="104" eb="106">
      <t>ゲンザイ</t>
    </rPh>
    <rPh sb="112" eb="113">
      <t>ナド</t>
    </rPh>
    <rPh sb="117" eb="119">
      <t>ジュウジツ</t>
    </rPh>
    <rPh sb="148" eb="152">
      <t>ヒツヨウジュウブン</t>
    </rPh>
    <rPh sb="153" eb="157">
      <t>ジュギョウセッテイ</t>
    </rPh>
    <rPh sb="158" eb="160">
      <t>ケントウ</t>
    </rPh>
    <rPh sb="161" eb="162">
      <t>ヨウ</t>
    </rPh>
    <rPh sb="170" eb="172">
      <t>ホンガク</t>
    </rPh>
    <rPh sb="207" eb="210">
      <t>レキシテキ</t>
    </rPh>
    <rPh sb="226" eb="227">
      <t>ホン</t>
    </rPh>
    <rPh sb="233" eb="235">
      <t>ケイカク</t>
    </rPh>
    <rPh sb="236" eb="237">
      <t>シタガ</t>
    </rPh>
    <rPh sb="239" eb="241">
      <t>コンゴ</t>
    </rPh>
    <rPh sb="257" eb="258">
      <t>ツヅ</t>
    </rPh>
    <rPh sb="266" eb="268">
      <t>カンレン</t>
    </rPh>
    <rPh sb="272" eb="273">
      <t>ジュク</t>
    </rPh>
    <rPh sb="273" eb="274">
      <t>ナド</t>
    </rPh>
    <rPh sb="277" eb="279">
      <t>エンシュウ</t>
    </rPh>
    <phoneticPr fontId="1"/>
  </si>
  <si>
    <t>https://www.tokyo-keitan.ac.jp/about/dxhusrel/</t>
    <phoneticPr fontId="1"/>
  </si>
  <si>
    <t>コンピュータリテラシI</t>
    <phoneticPr fontId="1"/>
  </si>
  <si>
    <t>コンピュータリテラシII</t>
    <phoneticPr fontId="1"/>
  </si>
  <si>
    <t>情報コミュニケーション</t>
    <rPh sb="0" eb="2">
      <t>ジョウホウ</t>
    </rPh>
    <phoneticPr fontId="1"/>
  </si>
  <si>
    <t>一部開講</t>
  </si>
  <si>
    <t>コンピュータリテラシＩＩ</t>
    <phoneticPr fontId="1"/>
  </si>
  <si>
    <t>令和３</t>
    <rPh sb="0" eb="2">
      <t>レイワ</t>
    </rPh>
    <phoneticPr fontId="1"/>
  </si>
  <si>
    <t>　本学DXヒューマン・ソサエティ研究所は、今日の進展がめざましい情報通信技術の分野およびデジタル技術科学分野において、その成果を高度に活用し、様々な産業やビジネス分野で効果的に利活用できる人材の育成を目指す。本研究所は、国内外の教育・研究機関・企業等と連携協力しながら先端の教育体制に関する研究を推進するとともに、その研究成果を実教育に還元し、データを活用し現代社会の課題を発見、解決できる人材を育成することを目的に学内共同施設として設置した。本研究所は、本学学長の下に、数理・データサイエンス・AI教育の全学的な普及を視野に置き、学内の異なる分野の学科・コースに横串を通すカリキュラムの研究開発を行うとともに、各学科と連携して関連科目の整備・新設を行い、文系短大として将来のDX社会に活躍できる人材教育を実現して行く。</t>
    <rPh sb="1" eb="3">
      <t>ホンガク</t>
    </rPh>
    <rPh sb="16" eb="19">
      <t>ケンキュウジョ</t>
    </rPh>
    <rPh sb="21" eb="23">
      <t>コンニチ</t>
    </rPh>
    <rPh sb="24" eb="26">
      <t>シンテン</t>
    </rPh>
    <rPh sb="32" eb="38">
      <t>ジョウホウツウシンギジュツ</t>
    </rPh>
    <rPh sb="39" eb="41">
      <t>ブンヤ</t>
    </rPh>
    <rPh sb="48" eb="50">
      <t>ギジュツ</t>
    </rPh>
    <rPh sb="50" eb="54">
      <t>カガクブンヤ</t>
    </rPh>
    <rPh sb="61" eb="63">
      <t>セイカ</t>
    </rPh>
    <rPh sb="64" eb="66">
      <t>コウド</t>
    </rPh>
    <rPh sb="67" eb="69">
      <t>カツヨウ</t>
    </rPh>
    <rPh sb="71" eb="73">
      <t>サマザマ</t>
    </rPh>
    <rPh sb="74" eb="76">
      <t>サンギョウ</t>
    </rPh>
    <rPh sb="81" eb="83">
      <t>ブンヤ</t>
    </rPh>
    <rPh sb="84" eb="87">
      <t>コウカテキ</t>
    </rPh>
    <rPh sb="88" eb="91">
      <t>リカツヨウ</t>
    </rPh>
    <rPh sb="100" eb="102">
      <t>メザ</t>
    </rPh>
    <rPh sb="104" eb="108">
      <t>ホンケンキュウジョ</t>
    </rPh>
    <rPh sb="110" eb="113">
      <t>コクナイガイ</t>
    </rPh>
    <rPh sb="114" eb="116">
      <t>キョウイク</t>
    </rPh>
    <rPh sb="117" eb="121">
      <t>ケンキュウキカン</t>
    </rPh>
    <rPh sb="122" eb="124">
      <t>キギョウ</t>
    </rPh>
    <rPh sb="124" eb="125">
      <t>ナド</t>
    </rPh>
    <rPh sb="126" eb="130">
      <t>レンケイキョウリョク</t>
    </rPh>
    <rPh sb="134" eb="136">
      <t>センタン</t>
    </rPh>
    <rPh sb="137" eb="141">
      <t>キョウイクタイセイ</t>
    </rPh>
    <rPh sb="142" eb="143">
      <t>カン</t>
    </rPh>
    <rPh sb="145" eb="147">
      <t>ケンキュウ</t>
    </rPh>
    <rPh sb="148" eb="150">
      <t>スイシン</t>
    </rPh>
    <rPh sb="159" eb="163">
      <t>ケンキュウセイカ</t>
    </rPh>
    <rPh sb="164" eb="167">
      <t>ジツキョウイク</t>
    </rPh>
    <rPh sb="168" eb="170">
      <t>カンゲン</t>
    </rPh>
    <rPh sb="179" eb="181">
      <t>ゲンダイ</t>
    </rPh>
    <rPh sb="217" eb="219">
      <t>セッチ</t>
    </rPh>
    <rPh sb="222" eb="226">
      <t>ホンケンキュウジョ</t>
    </rPh>
    <rPh sb="228" eb="232">
      <t>ホンガクガクチョウ</t>
    </rPh>
    <rPh sb="233" eb="234">
      <t>モト</t>
    </rPh>
    <rPh sb="260" eb="262">
      <t>シヤ</t>
    </rPh>
    <rPh sb="263" eb="264">
      <t>オ</t>
    </rPh>
    <rPh sb="266" eb="268">
      <t>ガクナイ</t>
    </rPh>
    <rPh sb="269" eb="270">
      <t>コト</t>
    </rPh>
    <rPh sb="272" eb="274">
      <t>ブンヤ</t>
    </rPh>
    <rPh sb="275" eb="277">
      <t>ガッカ</t>
    </rPh>
    <rPh sb="296" eb="298">
      <t>カイハツ</t>
    </rPh>
    <rPh sb="299" eb="300">
      <t>オコナ</t>
    </rPh>
    <rPh sb="306" eb="309">
      <t>カクガッカ</t>
    </rPh>
    <rPh sb="310" eb="312">
      <t>レンケイ</t>
    </rPh>
    <rPh sb="322" eb="324">
      <t>シンセツ</t>
    </rPh>
    <rPh sb="328" eb="332">
      <t>ブンケイタンダイ</t>
    </rPh>
    <rPh sb="335" eb="337">
      <t>ショウライ</t>
    </rPh>
    <rPh sb="340" eb="342">
      <t>シャカイ</t>
    </rPh>
    <rPh sb="343" eb="345">
      <t>カツヤク</t>
    </rPh>
    <rPh sb="348" eb="350">
      <t>ジンザイ</t>
    </rPh>
    <rPh sb="350" eb="352">
      <t>キョウイク</t>
    </rPh>
    <phoneticPr fontId="1"/>
  </si>
  <si>
    <t>　４コース大学科である経営総合学科の学生は基礎科目共通必修である「コンピュータリテラシI」、「コンピュータリテラシII」の各１単位を修得すること。また専門選択科目である「情報コミュニケーション」の２単位を取得すること。　　　　　　　　
（補足；本学の「こども教育学科」における基礎科目共通必修の「コンピュータI」、「コンピュータII」（各１単位）が上記必修２科目に相当する。この両学科の科目名は2019年度入学者までは同一であったので、現在統一名に見直し中。また専門選択科目の「教育方法論」が上記の選択科目２単位に対応しており、全体として本申請プログラムの全学開講に相当する。なお、本申請には該当しないが、現在、４コース大学科の経営総合学科には申請プログラムに関連したICT概論、プログラミング基礎I/II、Webコンテンツ、デジタル・デザイン、アプリ開発、統計学などが開講されており、現在、全学開講へ向けシラバスを段階的に整備して今後の修正申請などで対応する予定である）</t>
    <rPh sb="5" eb="8">
      <t>ダイガッカ</t>
    </rPh>
    <rPh sb="11" eb="17">
      <t>ケイエイソウゴウガッカ</t>
    </rPh>
    <rPh sb="18" eb="20">
      <t>ガクセイ</t>
    </rPh>
    <rPh sb="21" eb="23">
      <t>キソ</t>
    </rPh>
    <rPh sb="23" eb="25">
      <t>カモク</t>
    </rPh>
    <rPh sb="25" eb="27">
      <t>キョウツウ</t>
    </rPh>
    <rPh sb="27" eb="29">
      <t>ヒッシュウ</t>
    </rPh>
    <rPh sb="61" eb="62">
      <t>カク</t>
    </rPh>
    <rPh sb="63" eb="65">
      <t>タンイ</t>
    </rPh>
    <rPh sb="66" eb="68">
      <t>シュウトク</t>
    </rPh>
    <rPh sb="75" eb="77">
      <t>センモン</t>
    </rPh>
    <rPh sb="77" eb="81">
      <t>センタクカモク</t>
    </rPh>
    <rPh sb="85" eb="87">
      <t>ジョウホウ</t>
    </rPh>
    <rPh sb="99" eb="101">
      <t>タンイ</t>
    </rPh>
    <rPh sb="102" eb="104">
      <t>シュトク</t>
    </rPh>
    <rPh sb="119" eb="121">
      <t>ホソク</t>
    </rPh>
    <rPh sb="122" eb="124">
      <t>ホンガク</t>
    </rPh>
    <rPh sb="129" eb="133">
      <t>キョウイクガッカ</t>
    </rPh>
    <rPh sb="138" eb="142">
      <t>キソカモク</t>
    </rPh>
    <rPh sb="142" eb="146">
      <t>キョウツウヒッシュウ</t>
    </rPh>
    <rPh sb="168" eb="169">
      <t>カク</t>
    </rPh>
    <rPh sb="170" eb="172">
      <t>タンイ</t>
    </rPh>
    <rPh sb="174" eb="176">
      <t>ジョウキ</t>
    </rPh>
    <rPh sb="176" eb="178">
      <t>ヒッシュウ</t>
    </rPh>
    <rPh sb="179" eb="181">
      <t>カモク</t>
    </rPh>
    <rPh sb="182" eb="184">
      <t>ソウトウ</t>
    </rPh>
    <rPh sb="189" eb="192">
      <t>リョウガッカ</t>
    </rPh>
    <rPh sb="193" eb="196">
      <t>カモクメイ</t>
    </rPh>
    <rPh sb="201" eb="203">
      <t>ネンド</t>
    </rPh>
    <rPh sb="203" eb="206">
      <t>ニュウガクシャ</t>
    </rPh>
    <rPh sb="209" eb="211">
      <t>ドウイツ</t>
    </rPh>
    <rPh sb="218" eb="220">
      <t>ゲンザイ</t>
    </rPh>
    <rPh sb="220" eb="223">
      <t>トウイツメイ</t>
    </rPh>
    <rPh sb="224" eb="226">
      <t>ミナオ</t>
    </rPh>
    <rPh sb="227" eb="228">
      <t>チュウ</t>
    </rPh>
    <rPh sb="231" eb="237">
      <t>センモンセンタクカモク</t>
    </rPh>
    <rPh sb="239" eb="241">
      <t>キョウイク</t>
    </rPh>
    <rPh sb="241" eb="244">
      <t>ホウホウロン</t>
    </rPh>
    <rPh sb="246" eb="248">
      <t>ジョウキ</t>
    </rPh>
    <rPh sb="249" eb="251">
      <t>センタク</t>
    </rPh>
    <rPh sb="251" eb="253">
      <t>カモク</t>
    </rPh>
    <rPh sb="254" eb="256">
      <t>タンイ</t>
    </rPh>
    <rPh sb="257" eb="259">
      <t>タイオウ</t>
    </rPh>
    <rPh sb="264" eb="266">
      <t>ゼンタイ</t>
    </rPh>
    <rPh sb="269" eb="272">
      <t>ホンシンセイ</t>
    </rPh>
    <rPh sb="278" eb="282">
      <t>ゼンガクカイコウ</t>
    </rPh>
    <rPh sb="283" eb="285">
      <t>ソウトウ</t>
    </rPh>
    <rPh sb="291" eb="294">
      <t>ホンシンセイ</t>
    </rPh>
    <rPh sb="296" eb="298">
      <t>ガイトウ</t>
    </rPh>
    <rPh sb="303" eb="305">
      <t>ゲンザイ</t>
    </rPh>
    <rPh sb="310" eb="313">
      <t>ダイガッカ</t>
    </rPh>
    <rPh sb="314" eb="320">
      <t>ケイエイソウゴウガッカ</t>
    </rPh>
    <rPh sb="330" eb="332">
      <t>カンレン</t>
    </rPh>
    <rPh sb="337" eb="339">
      <t>ガイロン</t>
    </rPh>
    <rPh sb="347" eb="349">
      <t>キソ</t>
    </rPh>
    <rPh sb="376" eb="378">
      <t>カイハツ</t>
    </rPh>
    <rPh sb="379" eb="382">
      <t>トウケイガク</t>
    </rPh>
    <rPh sb="385" eb="387">
      <t>カイコウ</t>
    </rPh>
    <rPh sb="393" eb="395">
      <t>ゲンザイ</t>
    </rPh>
    <rPh sb="396" eb="400">
      <t>ゼンガクカイコウ</t>
    </rPh>
    <rPh sb="401" eb="402">
      <t>ム</t>
    </rPh>
    <rPh sb="408" eb="410">
      <t>ダンカイ</t>
    </rPh>
    <rPh sb="410" eb="411">
      <t>テキ</t>
    </rPh>
    <rPh sb="412" eb="414">
      <t>セイビ</t>
    </rPh>
    <rPh sb="416" eb="418">
      <t>コンゴ</t>
    </rPh>
    <rPh sb="419" eb="421">
      <t>シュウセイ</t>
    </rPh>
    <rPh sb="421" eb="423">
      <t>シンセイ</t>
    </rPh>
    <phoneticPr fontId="1"/>
  </si>
  <si>
    <t>　こども教育学科の学生は基礎科目共通必修である「コンピュータI」、「コンピュータII」の各１単位を修得すること。また専門選択科目である「教育方法論」の２単位を取得すること。　　　　　　　　
（補足；本学の「経営総合学科」における基礎科目共通必修の「コンピュータリテラシI」、「コンピュータリテラシII」（各１単位）が上記必修２科目に相当する。この両学科の科目名は2019年度入学者までは同一であったので、現在統一名に見直し中。また専門選択科目の「情報コミュニケーション」が上記の選択科目２単位に対応しており、全体として本申請プログラムの全学開講に相当する。なお、本申請には該当しないが、現在、本学多コース大学科の経営総合学科に申請プログラムに関連したICT概論、Webコンテンツ、デジタル・デザイン、アプリ開発などが開講されており、現在、全学開講へ向け両学科のカリキュラム・シラバスを段階的に整備して今後の修正申請などで対応する予定である）</t>
    <rPh sb="9" eb="11">
      <t>ガクセイ</t>
    </rPh>
    <rPh sb="12" eb="14">
      <t>キソ</t>
    </rPh>
    <rPh sb="14" eb="16">
      <t>カモク</t>
    </rPh>
    <rPh sb="16" eb="18">
      <t>キョウツウ</t>
    </rPh>
    <rPh sb="18" eb="20">
      <t>ヒッシュウ</t>
    </rPh>
    <rPh sb="44" eb="45">
      <t>カク</t>
    </rPh>
    <rPh sb="46" eb="48">
      <t>タンイ</t>
    </rPh>
    <rPh sb="49" eb="51">
      <t>シュウトク</t>
    </rPh>
    <rPh sb="58" eb="60">
      <t>センモン</t>
    </rPh>
    <rPh sb="60" eb="64">
      <t>センタクカモク</t>
    </rPh>
    <rPh sb="68" eb="70">
      <t>キョウイク</t>
    </rPh>
    <rPh sb="70" eb="73">
      <t>ホウホウロン</t>
    </rPh>
    <rPh sb="76" eb="78">
      <t>タンイ</t>
    </rPh>
    <rPh sb="79" eb="81">
      <t>シュトク</t>
    </rPh>
    <rPh sb="96" eb="98">
      <t>ホソク</t>
    </rPh>
    <rPh sb="99" eb="101">
      <t>ホンガク</t>
    </rPh>
    <rPh sb="103" eb="107">
      <t>ケイエイソウゴウ</t>
    </rPh>
    <rPh sb="114" eb="118">
      <t>キソカモク</t>
    </rPh>
    <rPh sb="118" eb="122">
      <t>キョウツウヒッシュウ</t>
    </rPh>
    <rPh sb="152" eb="153">
      <t>カク</t>
    </rPh>
    <rPh sb="154" eb="156">
      <t>タンイ</t>
    </rPh>
    <rPh sb="158" eb="160">
      <t>ジョウキ</t>
    </rPh>
    <rPh sb="160" eb="162">
      <t>ヒッシュウ</t>
    </rPh>
    <rPh sb="163" eb="165">
      <t>カモク</t>
    </rPh>
    <rPh sb="166" eb="168">
      <t>ソウトウ</t>
    </rPh>
    <rPh sb="173" eb="176">
      <t>リョウガッカ</t>
    </rPh>
    <rPh sb="177" eb="180">
      <t>カモクメイ</t>
    </rPh>
    <rPh sb="185" eb="187">
      <t>ネンド</t>
    </rPh>
    <rPh sb="187" eb="190">
      <t>ニュウガクシャ</t>
    </rPh>
    <rPh sb="193" eb="195">
      <t>ドウイツ</t>
    </rPh>
    <rPh sb="202" eb="204">
      <t>ゲンザイ</t>
    </rPh>
    <rPh sb="204" eb="207">
      <t>トウイツメイ</t>
    </rPh>
    <rPh sb="208" eb="210">
      <t>ミナオ</t>
    </rPh>
    <rPh sb="211" eb="212">
      <t>チュウ</t>
    </rPh>
    <rPh sb="215" eb="221">
      <t>センモンセンタクカモク</t>
    </rPh>
    <rPh sb="223" eb="225">
      <t>ジョウホウ</t>
    </rPh>
    <rPh sb="236" eb="238">
      <t>ジョウキ</t>
    </rPh>
    <rPh sb="239" eb="241">
      <t>センタク</t>
    </rPh>
    <rPh sb="241" eb="243">
      <t>カモク</t>
    </rPh>
    <rPh sb="244" eb="246">
      <t>タンイ</t>
    </rPh>
    <rPh sb="247" eb="249">
      <t>タイオウ</t>
    </rPh>
    <rPh sb="254" eb="256">
      <t>ゼンタイ</t>
    </rPh>
    <rPh sb="259" eb="262">
      <t>ホンシンセイ</t>
    </rPh>
    <rPh sb="268" eb="272">
      <t>ゼンガクカイコウ</t>
    </rPh>
    <rPh sb="273" eb="275">
      <t>ソウトウ</t>
    </rPh>
    <rPh sb="281" eb="284">
      <t>ホンシンセイ</t>
    </rPh>
    <rPh sb="286" eb="288">
      <t>ガイトウ</t>
    </rPh>
    <rPh sb="293" eb="295">
      <t>ゲンザイ</t>
    </rPh>
    <rPh sb="296" eb="298">
      <t>ホンガク</t>
    </rPh>
    <rPh sb="298" eb="299">
      <t>タ</t>
    </rPh>
    <rPh sb="302" eb="305">
      <t>ダイガッカ</t>
    </rPh>
    <rPh sb="306" eb="312">
      <t>ケイエイソウゴウガッカ</t>
    </rPh>
    <rPh sb="321" eb="323">
      <t>カンレン</t>
    </rPh>
    <rPh sb="328" eb="330">
      <t>ガイロン</t>
    </rPh>
    <rPh sb="353" eb="355">
      <t>カイハツ</t>
    </rPh>
    <rPh sb="358" eb="360">
      <t>カイコウ</t>
    </rPh>
    <rPh sb="366" eb="368">
      <t>ゲンザイ</t>
    </rPh>
    <rPh sb="369" eb="373">
      <t>ゼンガクカイコウ</t>
    </rPh>
    <rPh sb="374" eb="375">
      <t>ム</t>
    </rPh>
    <rPh sb="376" eb="379">
      <t>リョウガッカ</t>
    </rPh>
    <rPh sb="392" eb="394">
      <t>ダンカイ</t>
    </rPh>
    <rPh sb="394" eb="395">
      <t>テキ</t>
    </rPh>
    <rPh sb="396" eb="398">
      <t>セイビ</t>
    </rPh>
    <rPh sb="400" eb="402">
      <t>コンゴ</t>
    </rPh>
    <rPh sb="403" eb="405">
      <t>シュウセイ</t>
    </rPh>
    <rPh sb="405" eb="407">
      <t>シンセイ</t>
    </rPh>
    <phoneticPr fontId="1"/>
  </si>
  <si>
    <t>コンピュータI</t>
    <phoneticPr fontId="1"/>
  </si>
  <si>
    <t>コンピュータII</t>
    <phoneticPr fontId="1"/>
  </si>
  <si>
    <t>教育方法論</t>
    <rPh sb="0" eb="5">
      <t>キョウイクホウホウロン</t>
    </rPh>
    <phoneticPr fontId="1"/>
  </si>
  <si>
    <t>コンピュータＩＩ</t>
    <phoneticPr fontId="1"/>
  </si>
  <si>
    <t>watanabe.k@tokyo-keitan.ac.jp</t>
    <phoneticPr fontId="1"/>
  </si>
  <si>
    <t xml:space="preserve">東京経営短大DXヒューマン・ソサエティ研究所
所　長　 特別教授　　前野一夫
副所長　経営総合学科教授　　衣川功一
主席研究員・研究員・客員研究員（学外から募集予定）
</t>
    <rPh sb="39" eb="40">
      <t>フク</t>
    </rPh>
    <rPh sb="58" eb="60">
      <t>シュセキ</t>
    </rPh>
    <rPh sb="60" eb="63">
      <t>ケンキュウイン</t>
    </rPh>
    <rPh sb="64" eb="67">
      <t>ケンキュウイン</t>
    </rPh>
    <rPh sb="68" eb="73">
      <t>キャクインケンキュウイン</t>
    </rPh>
    <rPh sb="78" eb="80">
      <t>ボシュウ</t>
    </rPh>
    <rPh sb="80" eb="82">
      <t>ヨテイ</t>
    </rPh>
    <phoneticPr fontId="1"/>
  </si>
  <si>
    <t>・ソフトウェア使用における基本知識、ITの危険性、「コンピュータリテラシI」（１回目）
・ソフトウェアの基礎知識、種類、配布と更新、アプリケーション、「情報コミュニケーション」（７回目）
・外部データの取り込み、「コンピュータリテラシII」（10回目）</t>
    <rPh sb="76" eb="78">
      <t>ジョウホウ</t>
    </rPh>
    <rPh sb="95" eb="97">
      <t>ガイブ</t>
    </rPh>
    <rPh sb="101" eb="102">
      <t>ト</t>
    </rPh>
    <rPh sb="103" eb="104">
      <t>コ</t>
    </rPh>
    <phoneticPr fontId="1"/>
  </si>
  <si>
    <t>IT・AI社会で求められる情報リテラシの基礎と、ＩＣＴに関する正しい知識・データ管理の方法を身につけ、コンピュータ等のICT機器を適正に活用して、情報を的確に生成・分析・伝達するための基本的なスキルを習得する。　　</t>
    <rPh sb="46" eb="47">
      <t>ミ</t>
    </rPh>
    <rPh sb="65" eb="67">
      <t>テキセイ</t>
    </rPh>
    <rPh sb="76" eb="78">
      <t>テキカク</t>
    </rPh>
    <phoneticPr fontId="1"/>
  </si>
  <si>
    <t xml:space="preserve">・情報リテラシーの基本について解説、「コンピュータリテラシI」（1回目）
・既存データの利用、「コンピュータリテラシI」（７回目）
</t>
    <rPh sb="38" eb="40">
      <t>キゾン</t>
    </rPh>
    <rPh sb="44" eb="46">
      <t>リヨウ</t>
    </rPh>
    <phoneticPr fontId="1"/>
  </si>
  <si>
    <t>・ＩＣＴの進化、普及、活用による社会経済、「情報コミュニケーション」（１回目）
・革新への時代背景と様相、「情報コミュニケーション」（２回目）
・実践的な具体例と応用、「コンピュータリテラシII」（14回目）</t>
    <rPh sb="22" eb="24">
      <t>ジョウホウ</t>
    </rPh>
    <rPh sb="36" eb="38">
      <t>カイメ</t>
    </rPh>
    <rPh sb="81" eb="83">
      <t>オウヨウ</t>
    </rPh>
    <phoneticPr fontId="1"/>
  </si>
  <si>
    <t>・既存データの利用、「コンピュータリテラシI」（７回目）
・ソフトウェア使用における基本知識、「コンピュータリテラシI」（１回目）
・実践的な具体例と応用、「コンピュータリテラシII」（14、15回目）</t>
    <phoneticPr fontId="1"/>
  </si>
  <si>
    <t xml:space="preserve">・革新への時代背景と様相、「情報コミュニケーション」（２回目）
・実践的な具体例と応用、「コンピュータリテラシII」（14回目）
・既存データの利用、「コンピュータリテラシI」（７回目）
</t>
    <phoneticPr fontId="1"/>
  </si>
  <si>
    <t>・ソフトウェアの基礎知識、アプリケーション、「情報コミュニケーション」（7回目）　
・業務アプリケーション、クラウドコンピューティング、「情報コミュニケーション」（11回目）　　
・統計処理と関数の利用、「コンピュータリテラシII」（11回目）</t>
    <rPh sb="91" eb="95">
      <t>トウケイショリ</t>
    </rPh>
    <rPh sb="96" eb="98">
      <t>カンスウ</t>
    </rPh>
    <rPh sb="99" eb="101">
      <t>リヨウ</t>
    </rPh>
    <phoneticPr fontId="1"/>
  </si>
  <si>
    <t>　両学科の全科目に対し学生による授業評価アンケートを前期・後期の中間で実施し、授業への満足度（含理解度）等を調査している。その他に学生に対しては、予定者の入学前教育、入学後のガイダンス、オリエンテーション、1年・2年の基礎・専門ゼミナールで、ICTの入門基礎教育や現代社会との関連を教育しアンケートを取得している。学生アンケートに関しては、回転の速いGoogleアプリによる経営総合学科内LMSの中でも有効に試行しており、学生の理解度に関し高い評価が得られているが、本教育プログラムに関しては、これを敷衍して全学LMSシステムとの有機的結合を図り、学生理解度の向上、PBL、反転授業等、今後の授業展開を進める。</t>
    <rPh sb="47" eb="48">
      <t>フク</t>
    </rPh>
    <rPh sb="107" eb="108">
      <t>ネン</t>
    </rPh>
    <rPh sb="157" eb="159">
      <t>ガクセイ</t>
    </rPh>
    <rPh sb="165" eb="166">
      <t>カン</t>
    </rPh>
    <rPh sb="170" eb="172">
      <t>カイテン</t>
    </rPh>
    <rPh sb="173" eb="174">
      <t>ハヤ</t>
    </rPh>
    <rPh sb="187" eb="193">
      <t>ケイエイソウゴウガッカ</t>
    </rPh>
    <rPh sb="193" eb="194">
      <t>ナイ</t>
    </rPh>
    <rPh sb="198" eb="199">
      <t>ナカ</t>
    </rPh>
    <rPh sb="201" eb="203">
      <t>ユウコウ</t>
    </rPh>
    <rPh sb="204" eb="206">
      <t>シコウ</t>
    </rPh>
    <rPh sb="211" eb="213">
      <t>ガクセイ</t>
    </rPh>
    <rPh sb="214" eb="217">
      <t>リカイド</t>
    </rPh>
    <rPh sb="218" eb="219">
      <t>カン</t>
    </rPh>
    <rPh sb="220" eb="221">
      <t>タカ</t>
    </rPh>
    <rPh sb="222" eb="224">
      <t>ヒョウカ</t>
    </rPh>
    <rPh sb="225" eb="226">
      <t>エ</t>
    </rPh>
    <rPh sb="233" eb="236">
      <t>ホンキョウイク</t>
    </rPh>
    <rPh sb="242" eb="243">
      <t>カン</t>
    </rPh>
    <rPh sb="250" eb="252">
      <t>フエン</t>
    </rPh>
    <rPh sb="254" eb="256">
      <t>ゼンガク</t>
    </rPh>
    <rPh sb="265" eb="270">
      <t>ユウキテキケツゴウ</t>
    </rPh>
    <rPh sb="271" eb="272">
      <t>ハカ</t>
    </rPh>
    <rPh sb="274" eb="279">
      <t>ガクセイリカイド</t>
    </rPh>
    <rPh sb="280" eb="282">
      <t>コウジョウ</t>
    </rPh>
    <rPh sb="287" eb="291">
      <t>ハンテンジュギョウ</t>
    </rPh>
    <rPh sb="291" eb="292">
      <t>ナド</t>
    </rPh>
    <rPh sb="293" eb="295">
      <t>コンゴ</t>
    </rPh>
    <rPh sb="298" eb="300">
      <t>テンカイ</t>
    </rPh>
    <rPh sb="301" eb="302">
      <t>スス</t>
    </rPh>
    <phoneticPr fontId="1"/>
  </si>
  <si>
    <t>　COVID-19の影響でハイブリッド型授業であったが、学生による授業評価や学修時間等に関するアンケートも実施して学生の履修状況や理解度も把握でき、各学生へのアドバイスやサポート、他学生や後輩への推奨も可能となった。今はまだ後輩推奨度の定量的評価には至らないが、今後、本プログラムの改善も含めた推奨度の全学データを集めることが可能である。本学は４コースの経営総合学科と、こども教育学科を有し、教育内容や学生志向が広範囲に渡るので、本申請プログラムを簡明に後輩学生へ推奨できるよう、入学時からのデータ社会との各学生の関わりを明示し学修意欲を向上させ、目標の可視化や各自の将来との関連性を構築する。</t>
    <rPh sb="10" eb="12">
      <t>エイキョウ</t>
    </rPh>
    <rPh sb="19" eb="20">
      <t>ガタ</t>
    </rPh>
    <rPh sb="20" eb="22">
      <t>ジュギョウ</t>
    </rPh>
    <rPh sb="28" eb="30">
      <t>ガクセイ</t>
    </rPh>
    <rPh sb="33" eb="37">
      <t>ジュギョウヒョウカ</t>
    </rPh>
    <rPh sb="53" eb="55">
      <t>ジッシ</t>
    </rPh>
    <rPh sb="57" eb="59">
      <t>ガクセイ</t>
    </rPh>
    <rPh sb="65" eb="68">
      <t>リカイド</t>
    </rPh>
    <rPh sb="69" eb="71">
      <t>ハアク</t>
    </rPh>
    <rPh sb="101" eb="103">
      <t>カノウ</t>
    </rPh>
    <rPh sb="108" eb="109">
      <t>イマ</t>
    </rPh>
    <rPh sb="112" eb="114">
      <t>コウハイ</t>
    </rPh>
    <rPh sb="116" eb="118">
      <t>スイショウ</t>
    </rPh>
    <rPh sb="118" eb="119">
      <t>ド</t>
    </rPh>
    <rPh sb="120" eb="121">
      <t>テキ</t>
    </rPh>
    <rPh sb="121" eb="123">
      <t>テイリョウ</t>
    </rPh>
    <rPh sb="123" eb="125">
      <t>ヒョウカ</t>
    </rPh>
    <rPh sb="151" eb="153">
      <t>ゼンガク</t>
    </rPh>
    <rPh sb="171" eb="173">
      <t>ホンガク</t>
    </rPh>
    <rPh sb="190" eb="194">
      <t>キョウイクガッカ</t>
    </rPh>
    <rPh sb="195" eb="196">
      <t>ユウ</t>
    </rPh>
    <rPh sb="205" eb="207">
      <t>シコウ</t>
    </rPh>
    <rPh sb="208" eb="211">
      <t>コウハンイ</t>
    </rPh>
    <rPh sb="212" eb="213">
      <t>ワタ</t>
    </rPh>
    <rPh sb="217" eb="220">
      <t>ホンシンセイ</t>
    </rPh>
    <rPh sb="226" eb="228">
      <t>カンメイ</t>
    </rPh>
    <rPh sb="232" eb="236">
      <t>ジュウブンスイショウ</t>
    </rPh>
    <rPh sb="242" eb="245">
      <t>ニュウガクジ</t>
    </rPh>
    <rPh sb="251" eb="253">
      <t>シャカイ</t>
    </rPh>
    <rPh sb="255" eb="258">
      <t>カクガクセイ</t>
    </rPh>
    <rPh sb="259" eb="260">
      <t>カカ</t>
    </rPh>
    <rPh sb="266" eb="268">
      <t>ガクシュウ</t>
    </rPh>
    <rPh sb="268" eb="270">
      <t>イヨク</t>
    </rPh>
    <rPh sb="271" eb="273">
      <t>コウジョウ</t>
    </rPh>
    <rPh sb="274" eb="276">
      <t>モクヒョウ</t>
    </rPh>
    <rPh sb="279" eb="282">
      <t>カシカ</t>
    </rPh>
    <rPh sb="283" eb="285">
      <t>カクジ</t>
    </rPh>
    <rPh sb="286" eb="288">
      <t>ショウライ</t>
    </rPh>
    <rPh sb="292" eb="294">
      <t>ジュウブン</t>
    </rPh>
    <phoneticPr fontId="1"/>
  </si>
  <si>
    <t>　文系短大の本学では、従来は数理・データサイエンス・AI教育の充分な展開は難しかった。しかし、今後の国内外の産業やビジネスの進展を考慮すると、DXの社会浸透に対し、ICTを利活用できる若く有意な人材育成の必要性は極めて大きい。従って、DXヒューマン・ソサエティ研究所が核となり、4コース大学科の経営総合学科と、こども教育学科の幅広い分野に教育的横串を通せるよう、両学科と協働して、ICT系企業や外部意見も参考に、必要な教育水準と内容を維持し向上をはかる。特に大学科で試行されたGoogle系アプリ利用の学生アンケート等応答の早いLMSを全学敷衍し、より「分かりやすく」、学生が主体的に参加できる授業を確立する。</t>
    <rPh sb="1" eb="3">
      <t>ブンケイ</t>
    </rPh>
    <rPh sb="3" eb="5">
      <t>タンダイ</t>
    </rPh>
    <rPh sb="6" eb="8">
      <t>ホンガク</t>
    </rPh>
    <rPh sb="11" eb="13">
      <t>ジュウライ</t>
    </rPh>
    <rPh sb="14" eb="16">
      <t>スウリ</t>
    </rPh>
    <rPh sb="28" eb="30">
      <t>キョウイク</t>
    </rPh>
    <rPh sb="31" eb="33">
      <t>ジュウブン</t>
    </rPh>
    <rPh sb="34" eb="36">
      <t>テンカイ</t>
    </rPh>
    <rPh sb="37" eb="38">
      <t>ムズカ</t>
    </rPh>
    <rPh sb="47" eb="49">
      <t>コンゴ</t>
    </rPh>
    <rPh sb="50" eb="53">
      <t>コクナイガイ</t>
    </rPh>
    <rPh sb="54" eb="56">
      <t>サンギョウ</t>
    </rPh>
    <rPh sb="62" eb="64">
      <t>シンテン</t>
    </rPh>
    <rPh sb="65" eb="67">
      <t>コウリョ</t>
    </rPh>
    <rPh sb="74" eb="78">
      <t>シャカイシントウ</t>
    </rPh>
    <rPh sb="79" eb="80">
      <t>タイ</t>
    </rPh>
    <rPh sb="86" eb="89">
      <t>リカツヨウ</t>
    </rPh>
    <rPh sb="92" eb="93">
      <t>ワカ</t>
    </rPh>
    <rPh sb="94" eb="96">
      <t>ユウイ</t>
    </rPh>
    <rPh sb="97" eb="99">
      <t>ジンザイ</t>
    </rPh>
    <rPh sb="99" eb="101">
      <t>イクセイ</t>
    </rPh>
    <rPh sb="102" eb="104">
      <t>ヒツヨウ</t>
    </rPh>
    <rPh sb="104" eb="105">
      <t>セイ</t>
    </rPh>
    <rPh sb="106" eb="107">
      <t>キワ</t>
    </rPh>
    <rPh sb="109" eb="110">
      <t>オオ</t>
    </rPh>
    <rPh sb="113" eb="114">
      <t>シタガ</t>
    </rPh>
    <rPh sb="130" eb="133">
      <t>ケンキュウジョ</t>
    </rPh>
    <rPh sb="134" eb="135">
      <t>カク</t>
    </rPh>
    <rPh sb="143" eb="146">
      <t>ダイガッカ</t>
    </rPh>
    <rPh sb="147" eb="153">
      <t>ケイエイソウゴウガッカ</t>
    </rPh>
    <rPh sb="158" eb="162">
      <t>キョウイクガッカ</t>
    </rPh>
    <rPh sb="163" eb="165">
      <t>ハバヒロ</t>
    </rPh>
    <rPh sb="166" eb="168">
      <t>ブンヤ</t>
    </rPh>
    <rPh sb="169" eb="172">
      <t>キョウイクテキ</t>
    </rPh>
    <rPh sb="172" eb="174">
      <t>ヨコグシ</t>
    </rPh>
    <rPh sb="175" eb="176">
      <t>トオ</t>
    </rPh>
    <rPh sb="181" eb="184">
      <t>リョウガッカ</t>
    </rPh>
    <rPh sb="185" eb="187">
      <t>キョウドウ</t>
    </rPh>
    <rPh sb="193" eb="196">
      <t>ケイキギョウ</t>
    </rPh>
    <rPh sb="197" eb="199">
      <t>ガイブ</t>
    </rPh>
    <rPh sb="199" eb="201">
      <t>イケン</t>
    </rPh>
    <rPh sb="202" eb="204">
      <t>サンコウ</t>
    </rPh>
    <rPh sb="206" eb="208">
      <t>ヒツヨウ</t>
    </rPh>
    <rPh sb="209" eb="211">
      <t>キョウイク</t>
    </rPh>
    <rPh sb="211" eb="213">
      <t>スイジュン</t>
    </rPh>
    <rPh sb="214" eb="216">
      <t>ナイヨウ</t>
    </rPh>
    <rPh sb="217" eb="219">
      <t>イジ</t>
    </rPh>
    <rPh sb="227" eb="228">
      <t>トク</t>
    </rPh>
    <rPh sb="233" eb="235">
      <t>シコウ</t>
    </rPh>
    <rPh sb="244" eb="245">
      <t>ケイ</t>
    </rPh>
    <rPh sb="248" eb="250">
      <t>リヨウ</t>
    </rPh>
    <rPh sb="251" eb="253">
      <t>ガクセイ</t>
    </rPh>
    <rPh sb="258" eb="259">
      <t>ナド</t>
    </rPh>
    <rPh sb="259" eb="261">
      <t>オウトウ</t>
    </rPh>
    <rPh sb="262" eb="263">
      <t>ハヤ</t>
    </rPh>
    <rPh sb="277" eb="278">
      <t>ワ</t>
    </rPh>
    <rPh sb="285" eb="287">
      <t>ガクセイ</t>
    </rPh>
    <rPh sb="288" eb="291">
      <t>シュタイテキ</t>
    </rPh>
    <rPh sb="292" eb="294">
      <t>サンカ</t>
    </rPh>
    <rPh sb="297" eb="299">
      <t>ジュギョウ</t>
    </rPh>
    <rPh sb="300" eb="302">
      <t>カクリツ</t>
    </rPh>
    <phoneticPr fontId="1"/>
  </si>
  <si>
    <t>　本学の文系教育成果の蓄積に基づき、DXヒューマン・ソサエティ研究所は、経営総合・こども教育の両学科や大学執行部、教育研究情報センターと密に連携し、大学科のLMSやオンデマンド・アーカイブ教育試行等、できる限り多くの学生が履修・習得できるようなサポート体制確立を試みている。特に、経営総合学科（4コース）、こども教育学科両学科の専門性とカリキュラムの特徴を踏まえ、文系短大学生への数理・データサイエンス・AIの先端的利活用に関して、分かりやすく、取り組みやすい座学・演習の研究開発を行っているが、今後もさらに現代DX社会の要請に答え、最適の教育・学生サポート体制を構築してゆく。２年間という時間的制約のもと、本教育プログラムの横串を全学に通し、できる限り多くの学生が食わず嫌いに陥ることなく、各自の専門に対する興味と直結するDX社会への対応スキルを身につけることを目指し、教育研究開発を続けている。</t>
    <rPh sb="1" eb="3">
      <t>ǁ_x0001_óǄ</t>
    </rPh>
    <rPh sb="4" eb="6">
      <t>ブンケイ</t>
    </rPh>
    <rPh sb="6" eb="10">
      <t>キョウイクセイカ</t>
    </rPh>
    <rPh sb="11" eb="13">
      <t>Ǌ_x0002_Āǖ</t>
    </rPh>
    <rPh sb="14" eb="15">
      <t>_x0002_Ą</t>
    </rPh>
    <rPh sb="36" eb="40">
      <t>_x0001_ĉǦ_x0005_ĔǬ_x0002_Ę</t>
    </rPh>
    <rPh sb="44" eb="46">
      <t>Ǯ_x0004_ğǼ_x0004_</t>
    </rPh>
    <rPh sb="57" eb="63">
      <t>ħȀ_x0003_ĭȄ_x0003_ĳȏ_x0002_ĸȒ_x0001_Ĺȗ_x0004_</t>
    </rPh>
    <rPh sb="68" eb="69">
      <t>Łȡ</t>
    </rPh>
    <rPh sb="70" eb="72">
      <t>_x0002_ńȤ_x0002_</t>
    </rPh>
    <rPh sb="74" eb="77">
      <t>ダイガッカ</t>
    </rPh>
    <rPh sb="94" eb="96">
      <t>キョウイク</t>
    </rPh>
    <rPh sb="96" eb="98">
      <t>シコウ</t>
    </rPh>
    <rPh sb="98" eb="99">
      <t>ナド</t>
    </rPh>
    <rPh sb="103" eb="104">
      <t>şɄ</t>
    </rPh>
    <rPh sb="105" eb="106">
      <t>_x0002_ţ</t>
    </rPh>
    <rPh sb="108" eb="110">
      <t>Ɋ_x0002_ŧɍ</t>
    </rPh>
    <rPh sb="111" eb="113">
      <t>_x0002_ūɓ_x0003_</t>
    </rPh>
    <rPh sb="114" eb="116">
      <t>Űə_x0005_Źɳ</t>
    </rPh>
    <rPh sb="126" eb="128">
      <t>_x0001_Żɴ_x0001_</t>
    </rPh>
    <rPh sb="128" eb="130">
      <t>Žɶ_x0002_Ɓ</t>
    </rPh>
    <rPh sb="131" eb="132">
      <t>ココロ</t>
    </rPh>
    <rPh sb="137" eb="138">
      <t>トク</t>
    </rPh>
    <rPh sb="140" eb="142">
      <t>ʅ_x0001_ƍʌ</t>
    </rPh>
    <rPh sb="142" eb="146">
      <t>_x0002_Ɛʏ_x0003_Ɩʓ_x0001_</t>
    </rPh>
    <rPh sb="156" eb="160">
      <t>Ƙʖ_x0002_Ɯʙ_x0002_ơʟ</t>
    </rPh>
    <rPh sb="160" eb="163">
      <t>_x0002_ƥʱ_x0002_Ƨʴ</t>
    </rPh>
    <rPh sb="164" eb="167">
      <t>_x0004_Ʊʹ_x0004_ƹʾ</t>
    </rPh>
    <rPh sb="175" eb="177">
      <t>_x0001_Ƽ˄_x0004_ǃ</t>
    </rPh>
    <rPh sb="178" eb="179">
      <t>ˉ</t>
    </rPh>
    <rPh sb="182" eb="188">
      <t>ブンケイタンダイガクセイ</t>
    </rPh>
    <rPh sb="190" eb="192">
      <t>スウリ</t>
    </rPh>
    <rPh sb="205" eb="208">
      <t>センタンテキ</t>
    </rPh>
    <rPh sb="208" eb="211">
      <t>リカツヨウ</t>
    </rPh>
    <rPh sb="212" eb="213">
      <t>カン</t>
    </rPh>
    <rPh sb="216" eb="217">
      <t>ワ</t>
    </rPh>
    <rPh sb="223" eb="224">
      <t>ト</t>
    </rPh>
    <rPh sb="225" eb="226">
      <t>ク</t>
    </rPh>
    <rPh sb="230" eb="232">
      <t>ザガク</t>
    </rPh>
    <rPh sb="233" eb="235">
      <t>エンシュウ</t>
    </rPh>
    <rPh sb="236" eb="238">
      <t>ケンキュウ</t>
    </rPh>
    <rPh sb="238" eb="240">
      <t>カイハツ</t>
    </rPh>
    <rPh sb="241" eb="242">
      <t>オコナ</t>
    </rPh>
    <rPh sb="248" eb="250">
      <t>コンゴ</t>
    </rPh>
    <rPh sb="261" eb="263">
      <t>_x001A__x0000__x001A_文</t>
    </rPh>
    <rPh sb="264" eb="265">
      <t>系短</t>
    </rPh>
    <rPh sb="267" eb="269">
      <t>大におけ</t>
    </rPh>
    <rPh sb="270" eb="272">
      <t>るDX社会</t>
    </rPh>
    <rPh sb="273" eb="275">
      <t>へのリテ</t>
    </rPh>
    <rPh sb="279" eb="281">
      <t>ラシー教</t>
    </rPh>
    <rPh sb="282" eb="284">
      <t>コウチク</t>
    </rPh>
    <rPh sb="295" eb="300">
      <t>DX社会へのリテラ</t>
    </rPh>
    <rPh sb="304" eb="305">
      <t>ホン</t>
    </rPh>
    <rPh sb="305" eb="307">
      <t>キョウイク</t>
    </rPh>
    <rPh sb="313" eb="314">
      <t>シー</t>
    </rPh>
    <rPh sb="314" eb="315">
      <t>教育</t>
    </rPh>
    <rPh sb="316" eb="318">
      <t>プログラ</t>
    </rPh>
    <rPh sb="319" eb="320">
      <t>ム_x0001_</t>
    </rPh>
    <rPh sb="325" eb="326">
      <t>カギ</t>
    </rPh>
    <rPh sb="327" eb="328">
      <t>オオ</t>
    </rPh>
    <rPh sb="330" eb="332">
      <t>D_x0005_5_x0004_</t>
    </rPh>
    <rPh sb="333" eb="334">
      <t>_x0011_</t>
    </rPh>
    <rPh sb="336" eb="337">
      <t>_x0011_ブ</t>
    </rPh>
    <rPh sb="339" eb="340">
      <t>ンケイ</t>
    </rPh>
    <rPh sb="346" eb="348">
      <t>タンダ</t>
    </rPh>
    <rPh sb="352" eb="353">
      <t>ョウ</t>
    </rPh>
    <rPh sb="355" eb="357">
      <t>イク_x0000__x0000_</t>
    </rPh>
    <rPh sb="358" eb="360">
      <t>_x0002__x0004__x0002__x0002__x0008_</t>
    </rPh>
    <rPh sb="364" eb="366">
      <t xml:space="preserve">
_x0002__x000C__x0013_</t>
    </rPh>
    <rPh sb="382" eb="384">
      <t>メザ</t>
    </rPh>
    <rPh sb="386" eb="390">
      <t>_x0000__x0000__x0000__x0002__x0000__x0002_4？_x0001__x0000_</t>
    </rPh>
    <rPh sb="390" eb="392">
      <t>カイハツ</t>
    </rPh>
    <rPh sb="393" eb="394">
      <t>ツヅ</t>
    </rPh>
    <phoneticPr fontId="1"/>
  </si>
  <si>
    <t>・業務アプリケーション、クラウドコンピューティング、「情報コミュニケーション」（11回目）　
・統計処理と関数の利用、「コンピュータリテラシII」（11回目）
・データ集計と関数の利用、 「コンピュータリテラシII」（7－10回目）</t>
    <rPh sb="84" eb="86">
      <t>シュウケイ</t>
    </rPh>
    <rPh sb="87" eb="89">
      <t>カンスウ</t>
    </rPh>
    <rPh sb="90" eb="92">
      <t>リヨウ</t>
    </rPh>
    <phoneticPr fontId="1"/>
  </si>
  <si>
    <t xml:space="preserve">・自動処理の重要性と実践の具体例、 「コンピュータリテラシII」（13，14回目）
・業務アプリケーション・POSと生産管理システム、「情報コミュニケーション」（9，10回目）
</t>
    <rPh sb="1" eb="5">
      <t>ジドウショリ</t>
    </rPh>
    <rPh sb="6" eb="9">
      <t>ジュウヨウセイ</t>
    </rPh>
    <rPh sb="10" eb="12">
      <t>ジッセン</t>
    </rPh>
    <rPh sb="13" eb="16">
      <t>グタイレイ</t>
    </rPh>
    <rPh sb="43" eb="45">
      <t>ギョウム</t>
    </rPh>
    <rPh sb="58" eb="62">
      <t>セイサンカンリ</t>
    </rPh>
    <phoneticPr fontId="1"/>
  </si>
  <si>
    <t>・情報リテラシの基本とITの危険性、「情報コミュニケーション」（１回目）
・データの取り込みや写真データの利用、「コンピュータリテラシI」（７回目）</t>
    <phoneticPr fontId="1"/>
  </si>
  <si>
    <t>・データの取り込みや写真データの利用、「コンピュータリテラシI」（７回目）
・アニメーションや各種エフェクトデータの扱い、「コンピュータリテラシI」（７回目）
・ソフトウェアの基礎知識、アプリケーション、「情報コミュニケーション」（７，８回目）</t>
    <rPh sb="58" eb="59">
      <t>アツカ</t>
    </rPh>
    <rPh sb="88" eb="92">
      <t>キソチシキ</t>
    </rPh>
    <phoneticPr fontId="1"/>
  </si>
  <si>
    <t>・ＩＣＴの進化、普及、活用による社会経済、「情報コミュニケーション」（１回目）
・ＩＣＴを使いこなす人材、ＤＸ人材の活躍、「情報コミュニケーション」（１5回目）
・データ集計と関数の利用、「コンピュータリテラシII」（5－9回目）</t>
    <rPh sb="85" eb="87">
      <t>シュウケイ</t>
    </rPh>
    <rPh sb="88" eb="90">
      <t>カンスウ</t>
    </rPh>
    <rPh sb="91" eb="93">
      <t>リヨウ</t>
    </rPh>
    <phoneticPr fontId="1"/>
  </si>
  <si>
    <t>・スマホ・インターネットへの依存とマナー、「コンピュータI」（2、3、7、8　回目）
・コンピュータウィルスとアプリ、「コンピュータII」（3－5回目）
・幼児教育におけるICT、「教育方法論」（13回目）</t>
    <rPh sb="14" eb="16">
      <t>イゾン</t>
    </rPh>
    <rPh sb="39" eb="41">
      <t>カイメ</t>
    </rPh>
    <phoneticPr fontId="1"/>
  </si>
  <si>
    <t>・情報整理と伝達情報の信憑性、「コンピュータI」（７－9回目）
・視覚的な情報伝達、「コンピュータI」（4－6回目）
・幼児教育におけるICT、「教育方法論」（13回目）</t>
    <rPh sb="1" eb="5">
      <t>ジョウホウセイリ</t>
    </rPh>
    <rPh sb="6" eb="8">
      <t>デンタツ</t>
    </rPh>
    <rPh sb="8" eb="10">
      <t>ジョウホウ</t>
    </rPh>
    <rPh sb="11" eb="14">
      <t>シンピョウセイ</t>
    </rPh>
    <rPh sb="33" eb="36">
      <t>シカクテキ</t>
    </rPh>
    <rPh sb="37" eb="41">
      <t>ジョウホウデンタツ</t>
    </rPh>
    <phoneticPr fontId="1"/>
  </si>
  <si>
    <t>・情報整理と伝達情報の信憑性、「コンピュータI」（7－9回目）
・データの抽出・情報検索と引用、「コンピュータII」（6回目）
・幼児教育におけるICT、「教育方法論」（13回目）　</t>
    <phoneticPr fontId="1"/>
  </si>
  <si>
    <t>・データの抽出・情報検索と引用、「コンピュータII」（6回目）　
・幼児教育におけるICT、「教育方法論」（13回目）　　
・幼児教育のICT利用、「コンピュータII」（8回目）</t>
    <rPh sb="34" eb="38">
      <t>ヨウジキョウイク</t>
    </rPh>
    <rPh sb="47" eb="52">
      <t>キョウイクホウホウロン</t>
    </rPh>
    <rPh sb="65" eb="67">
      <t>キョウイク</t>
    </rPh>
    <phoneticPr fontId="1"/>
  </si>
  <si>
    <t>・幼児教育におけるICT、「教育方法論」（13回目）
・視覚的な情報伝達、「コンピュータI」（4－6回目）
・関数の利用とグラフ作成、 「コンピュータII」（2－5回目）</t>
    <rPh sb="28" eb="31">
      <t>シカクテキ</t>
    </rPh>
    <rPh sb="32" eb="36">
      <t>ジョウホウデンタツ</t>
    </rPh>
    <rPh sb="55" eb="57">
      <t>カンスウ</t>
    </rPh>
    <rPh sb="58" eb="60">
      <t>リヨウ</t>
    </rPh>
    <rPh sb="64" eb="66">
      <t>サクセイ</t>
    </rPh>
    <phoneticPr fontId="1"/>
  </si>
  <si>
    <t xml:space="preserve">・データの抽出・情報検索と引用、「コンピュータII」（6回目）　
・幼児教育のICT利用、「コンピュータII」（8回目）
・幼児教育におけるICT、環境構成と方法、「教育方法論」（12、13回目）
</t>
    <rPh sb="42" eb="44">
      <t>リヨウ</t>
    </rPh>
    <rPh sb="74" eb="78">
      <t>カンキョウコウセイ</t>
    </rPh>
    <rPh sb="79" eb="81">
      <t>ホウホウ</t>
    </rPh>
    <phoneticPr fontId="1"/>
  </si>
  <si>
    <t>・インターネット、スマホのアプリケーション「コンピュータI」（2，5回目）
・携帯電話・スマホ、電子メールのマナー、「コンピュータII」（2－5回目）
・幼児のICT利用、「コンピュータII」（8回目）</t>
    <rPh sb="39" eb="43">
      <t>ケイタイデンワ</t>
    </rPh>
    <rPh sb="48" eb="50">
      <t>デンシ</t>
    </rPh>
    <phoneticPr fontId="1"/>
  </si>
  <si>
    <t>・スマホアプリ、コンピュータウィルス、不正アクセスとパスワード、「コンピュータII」（3－5回目）
・データの抽出、情報検索・引用と著作権、「コンピュータII」（6，7回目）</t>
    <rPh sb="19" eb="21">
      <t>フセイ</t>
    </rPh>
    <rPh sb="55" eb="57">
      <t>チュウシュツ</t>
    </rPh>
    <rPh sb="58" eb="62">
      <t>ジョウホウケンサク</t>
    </rPh>
    <rPh sb="63" eb="65">
      <t>インヨウ</t>
    </rPh>
    <rPh sb="66" eb="69">
      <t>チョサクケン</t>
    </rPh>
    <phoneticPr fontId="1"/>
  </si>
  <si>
    <t>・情報の信憑性と伝達、「コンピュータI」（9回目）
・画像・データによるスライド作成と発表、「コンピュータII」（12－15回目）</t>
    <rPh sb="1" eb="3">
      <t>ジョウホウ</t>
    </rPh>
    <rPh sb="4" eb="7">
      <t>シンピョウセイ</t>
    </rPh>
    <rPh sb="8" eb="10">
      <t>デンタツ</t>
    </rPh>
    <rPh sb="27" eb="29">
      <t>ガゾウ</t>
    </rPh>
    <rPh sb="40" eb="42">
      <t>サクセイ</t>
    </rPh>
    <rPh sb="43" eb="45">
      <t>ハッピョウ</t>
    </rPh>
    <phoneticPr fontId="1"/>
  </si>
  <si>
    <t>様式２－１</t>
    <phoneticPr fontId="1"/>
  </si>
  <si>
    <t>様式２－２</t>
    <phoneticPr fontId="1"/>
  </si>
  <si>
    <t>・幼児教育におけるICT、「教育方法論」（13回目）
・データ集計と関数の利用、「コンピュータII」（2、3回目）</t>
    <rPh sb="31" eb="33">
      <t>シュウケイ</t>
    </rPh>
    <rPh sb="34" eb="36">
      <t>カンスウ</t>
    </rPh>
    <rPh sb="37" eb="39">
      <t>リヨウ</t>
    </rPh>
    <phoneticPr fontId="1"/>
  </si>
  <si>
    <t>・視覚的な情報伝達、「コンピュータI」（4－6回目）
・情報整理と伝達、「コンピュータI」（7、8回目）</t>
    <rPh sb="1" eb="4">
      <t>シカクテキ</t>
    </rPh>
    <rPh sb="5" eb="9">
      <t>ジョウホウデンタツ</t>
    </rPh>
    <rPh sb="28" eb="32">
      <t>ジョウホウセイリ</t>
    </rPh>
    <rPh sb="33" eb="35">
      <t>デンタツ</t>
    </rPh>
    <phoneticPr fontId="1"/>
  </si>
  <si>
    <t xml:space="preserve">
　　　　　　　本学の申請種類に基づき、本　「様式６」　の記入はありません。</t>
    <rPh sb="11" eb="13">
      <t>ホンガク</t>
    </rPh>
    <rPh sb="19" eb="20">
      <t>モト</t>
    </rPh>
    <rPh sb="23" eb="24">
      <t>ホン</t>
    </rPh>
    <rPh sb="26" eb="28">
      <t>ヨウシキ</t>
    </rPh>
    <rPh sb="32" eb="34">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</si>
</sst>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rgb="FFFF0000"/>
      <name val="ＭＳ Ｐゴシック"/>
      <family val="3"/>
      <charset val="128"/>
      <scheme val="minor"/>
    </font>
    <font>
      <b/>
      <sz val="9"/>
      <name val="ＭＳ Ｐゴシック"/>
      <family val="3"/>
      <charset val="128"/>
      <scheme val="minor"/>
    </font>
    <font>
      <b/>
      <sz val="12"/>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316">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pplyBorder="1">
      <alignment vertical="center"/>
    </xf>
    <xf numFmtId="176" fontId="6" fillId="0" borderId="3" xfId="0" applyNumberFormat="1" applyFont="1" applyBorder="1" applyAlignment="1">
      <alignment vertical="center" shrinkToFit="1"/>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5"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5"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3" fillId="0" borderId="0" xfId="0" applyFont="1" applyAlignment="1">
      <alignment horizontal="center" vertical="center"/>
    </xf>
    <xf numFmtId="0" fontId="6" fillId="0" borderId="0" xfId="0" applyFont="1" applyFill="1">
      <alignment vertical="center"/>
    </xf>
    <xf numFmtId="0" fontId="6" fillId="0" borderId="10" xfId="0" applyFont="1" applyBorder="1" applyAlignment="1">
      <alignment vertical="center" shrinkToFit="1"/>
    </xf>
    <xf numFmtId="49" fontId="10" fillId="0" borderId="1" xfId="0" applyNumberFormat="1" applyFont="1" applyBorder="1" applyAlignment="1">
      <alignment horizontal="center" vertical="center"/>
    </xf>
    <xf numFmtId="0" fontId="6" fillId="0" borderId="14" xfId="0" applyFont="1" applyBorder="1" applyAlignment="1">
      <alignment vertical="center" shrinkToFit="1"/>
    </xf>
    <xf numFmtId="0" fontId="6" fillId="0" borderId="23" xfId="0" applyFont="1" applyBorder="1" applyAlignment="1">
      <alignment vertical="center" shrinkToFit="1"/>
    </xf>
    <xf numFmtId="0" fontId="6" fillId="0" borderId="43" xfId="0" applyFont="1" applyBorder="1" applyAlignment="1">
      <alignment vertical="center" shrinkToFit="1"/>
    </xf>
    <xf numFmtId="0" fontId="6" fillId="0" borderId="0" xfId="0" applyFont="1" applyAlignment="1">
      <alignment vertical="center" shrinkToFit="1"/>
    </xf>
    <xf numFmtId="0" fontId="6" fillId="0" borderId="0" xfId="0" applyFont="1" applyAlignment="1">
      <alignment vertical="top" wrapText="1"/>
    </xf>
    <xf numFmtId="0" fontId="7" fillId="0" borderId="2" xfId="0" applyFont="1" applyBorder="1">
      <alignment vertical="center"/>
    </xf>
    <xf numFmtId="0" fontId="7" fillId="0" borderId="4" xfId="0" applyFont="1" applyBorder="1">
      <alignment vertical="center"/>
    </xf>
    <xf numFmtId="49" fontId="10" fillId="0" borderId="47" xfId="0" applyNumberFormat="1" applyFont="1" applyBorder="1" applyAlignment="1">
      <alignment horizontal="center" vertical="center"/>
    </xf>
    <xf numFmtId="49" fontId="10" fillId="0" borderId="33" xfId="0" applyNumberFormat="1" applyFont="1" applyBorder="1" applyAlignment="1">
      <alignment horizontal="center" vertical="center"/>
    </xf>
    <xf numFmtId="49" fontId="10" fillId="0" borderId="50" xfId="0" applyNumberFormat="1" applyFont="1" applyBorder="1" applyAlignment="1">
      <alignment horizontal="center" vertical="center"/>
    </xf>
    <xf numFmtId="49" fontId="10" fillId="0" borderId="51" xfId="0" applyNumberFormat="1"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38" xfId="0" applyFont="1" applyBorder="1" applyAlignment="1">
      <alignment vertical="center"/>
    </xf>
    <xf numFmtId="0" fontId="6" fillId="0" borderId="18" xfId="0" applyFont="1" applyBorder="1" applyAlignment="1">
      <alignment vertical="center"/>
    </xf>
    <xf numFmtId="0" fontId="6" fillId="0" borderId="42" xfId="0" applyFont="1" applyBorder="1" applyAlignment="1">
      <alignment vertical="center"/>
    </xf>
    <xf numFmtId="49" fontId="10" fillId="0" borderId="52" xfId="0" applyNumberFormat="1" applyFont="1" applyBorder="1" applyAlignment="1">
      <alignment horizontal="center" vertical="center"/>
    </xf>
    <xf numFmtId="49" fontId="10" fillId="0" borderId="29" xfId="0" applyNumberFormat="1" applyFont="1" applyBorder="1" applyAlignment="1">
      <alignment horizontal="center" vertical="center"/>
    </xf>
    <xf numFmtId="0" fontId="13"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0" xfId="0" applyFont="1" applyBorder="1" applyAlignment="1">
      <alignment horizontal="center" vertical="center"/>
    </xf>
    <xf numFmtId="0" fontId="6" fillId="0" borderId="0"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12" fillId="0" borderId="0" xfId="0" applyFont="1">
      <alignment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6" fillId="0" borderId="5" xfId="0" applyFont="1" applyBorder="1" applyAlignment="1">
      <alignment vertical="center" shrinkToFit="1"/>
    </xf>
    <xf numFmtId="176" fontId="6" fillId="0" borderId="5" xfId="0" applyNumberFormat="1" applyFont="1" applyBorder="1" applyAlignment="1">
      <alignment vertical="center" shrinkToFit="1"/>
    </xf>
    <xf numFmtId="176" fontId="6" fillId="0" borderId="31" xfId="0" applyNumberFormat="1" applyFont="1" applyBorder="1" applyAlignment="1">
      <alignment vertical="center" shrinkToFit="1"/>
    </xf>
    <xf numFmtId="176" fontId="6" fillId="0" borderId="32" xfId="0" applyNumberFormat="1" applyFont="1" applyBorder="1" applyAlignment="1">
      <alignment vertical="center" shrinkToFit="1"/>
    </xf>
    <xf numFmtId="176" fontId="6" fillId="0" borderId="10" xfId="0" applyNumberFormat="1" applyFont="1" applyBorder="1" applyAlignment="1">
      <alignment vertical="center" shrinkToFit="1"/>
    </xf>
    <xf numFmtId="176" fontId="6" fillId="0" borderId="14" xfId="0" applyNumberFormat="1" applyFont="1" applyBorder="1" applyAlignment="1">
      <alignment vertical="center" shrinkToFit="1"/>
    </xf>
    <xf numFmtId="9" fontId="6" fillId="0" borderId="10" xfId="0" applyNumberFormat="1" applyFont="1" applyBorder="1" applyAlignment="1">
      <alignment vertical="center" shrinkToFit="1"/>
    </xf>
    <xf numFmtId="0" fontId="6" fillId="0" borderId="23" xfId="0" applyFont="1" applyBorder="1" applyAlignment="1">
      <alignment horizontal="left" vertical="center" shrinkToFit="1"/>
    </xf>
    <xf numFmtId="176" fontId="6" fillId="0" borderId="19"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34" xfId="0" applyNumberFormat="1" applyFont="1" applyBorder="1" applyAlignment="1">
      <alignment vertical="center" shrinkToFit="1"/>
    </xf>
    <xf numFmtId="176" fontId="6" fillId="0" borderId="18" xfId="0" applyNumberFormat="1" applyFont="1" applyBorder="1" applyAlignment="1">
      <alignment vertical="center" shrinkToFit="1"/>
    </xf>
    <xf numFmtId="176" fontId="6" fillId="0" borderId="23" xfId="0" applyNumberFormat="1" applyFont="1" applyBorder="1" applyAlignment="1">
      <alignment vertical="center" shrinkToFit="1"/>
    </xf>
    <xf numFmtId="9" fontId="6" fillId="0" borderId="23" xfId="0" applyNumberFormat="1" applyFont="1" applyBorder="1" applyAlignment="1">
      <alignment vertical="center" shrinkToFit="1"/>
    </xf>
    <xf numFmtId="0" fontId="6" fillId="0" borderId="24" xfId="0" applyFont="1" applyBorder="1" applyAlignment="1">
      <alignment horizontal="left" vertical="center" shrinkToFit="1"/>
    </xf>
    <xf numFmtId="176" fontId="6" fillId="0" borderId="24" xfId="0" applyNumberFormat="1" applyFont="1" applyBorder="1" applyAlignment="1">
      <alignment vertical="center" shrinkToFit="1"/>
    </xf>
    <xf numFmtId="0" fontId="6" fillId="0" borderId="28" xfId="0" applyFont="1" applyBorder="1" applyAlignment="1">
      <alignment horizontal="center" vertical="center" shrinkToFit="1"/>
    </xf>
    <xf numFmtId="0" fontId="6" fillId="0" borderId="26" xfId="0" applyFont="1" applyBorder="1" applyAlignment="1">
      <alignment vertical="center" shrinkToFit="1"/>
    </xf>
    <xf numFmtId="0" fontId="6" fillId="0" borderId="25" xfId="0" applyFont="1" applyBorder="1" applyAlignment="1">
      <alignment vertical="center" shrinkToFit="1"/>
    </xf>
    <xf numFmtId="176" fontId="6" fillId="0" borderId="25" xfId="0" applyNumberFormat="1" applyFont="1" applyBorder="1" applyAlignment="1">
      <alignment vertical="center" shrinkToFit="1"/>
    </xf>
    <xf numFmtId="176" fontId="6" fillId="0" borderId="35" xfId="0" applyNumberFormat="1" applyFont="1" applyBorder="1" applyAlignment="1">
      <alignment vertical="center" shrinkToFit="1"/>
    </xf>
    <xf numFmtId="176" fontId="6" fillId="0" borderId="36" xfId="0" applyNumberFormat="1" applyFont="1" applyBorder="1" applyAlignment="1">
      <alignment vertical="center" shrinkToFit="1"/>
    </xf>
    <xf numFmtId="176" fontId="6" fillId="0" borderId="27" xfId="0" applyNumberFormat="1" applyFont="1" applyBorder="1" applyAlignment="1">
      <alignment vertical="center" shrinkToFit="1"/>
    </xf>
    <xf numFmtId="176" fontId="6" fillId="0" borderId="28" xfId="0" applyNumberFormat="1" applyFont="1" applyBorder="1" applyAlignment="1">
      <alignment vertical="center" shrinkToFit="1"/>
    </xf>
    <xf numFmtId="9" fontId="6" fillId="0" borderId="27" xfId="0" applyNumberFormat="1" applyFont="1" applyBorder="1" applyAlignment="1">
      <alignment vertical="center" shrinkToFit="1"/>
    </xf>
    <xf numFmtId="0" fontId="6" fillId="0" borderId="0" xfId="0" applyFont="1">
      <alignment vertical="center"/>
    </xf>
    <xf numFmtId="0" fontId="6" fillId="0" borderId="0" xfId="0" applyFont="1" applyAlignment="1">
      <alignment vertical="center"/>
    </xf>
    <xf numFmtId="0" fontId="6" fillId="0" borderId="5" xfId="0" applyFont="1" applyBorder="1">
      <alignment vertical="center"/>
    </xf>
    <xf numFmtId="0" fontId="6" fillId="0" borderId="0" xfId="0" applyFont="1" applyAlignment="1">
      <alignment horizontal="center" vertical="center"/>
    </xf>
    <xf numFmtId="0" fontId="6" fillId="0" borderId="0" xfId="0" applyFont="1" applyAlignment="1">
      <alignment vertical="top" wrapText="1"/>
    </xf>
    <xf numFmtId="0" fontId="6" fillId="0" borderId="8" xfId="0" applyFont="1" applyBorder="1" applyAlignment="1">
      <alignment horizontal="center" vertical="center" wrapText="1" shrinkToFit="1"/>
    </xf>
    <xf numFmtId="0" fontId="6" fillId="0" borderId="9" xfId="0" applyFont="1" applyBorder="1" applyAlignment="1">
      <alignment horizontal="center" vertical="center" shrinkToFit="1"/>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0"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9" fillId="0" borderId="0" xfId="0" applyFont="1" applyAlignment="1">
      <alignment horizontal="center" vertical="center"/>
    </xf>
    <xf numFmtId="0" fontId="6" fillId="0" borderId="0" xfId="0" applyFont="1" applyAlignment="1">
      <alignment horizontal="right" vertical="center"/>
    </xf>
    <xf numFmtId="0" fontId="6" fillId="0" borderId="14" xfId="0" applyFont="1" applyBorder="1" applyAlignment="1">
      <alignment horizontal="left" vertical="center" shrinkToFit="1"/>
    </xf>
    <xf numFmtId="0" fontId="6" fillId="0" borderId="5" xfId="0" applyFont="1" applyBorder="1" applyAlignment="1">
      <alignment vertical="center" shrinkToFit="1"/>
    </xf>
    <xf numFmtId="0" fontId="6" fillId="0" borderId="23" xfId="0" applyFont="1" applyBorder="1" applyAlignment="1">
      <alignment horizontal="left" vertical="center" shrinkToFit="1"/>
    </xf>
    <xf numFmtId="0" fontId="10" fillId="0" borderId="0" xfId="0" applyFont="1">
      <alignment vertical="center"/>
    </xf>
    <xf numFmtId="9" fontId="6" fillId="0" borderId="8" xfId="0" applyNumberFormat="1"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10" fillId="0" borderId="0" xfId="0" applyFont="1" applyAlignment="1">
      <alignment vertical="top" wrapText="1"/>
    </xf>
    <xf numFmtId="0" fontId="10" fillId="0" borderId="10" xfId="0" applyFont="1" applyBorder="1" applyAlignment="1">
      <alignment vertical="top" wrapText="1"/>
    </xf>
    <xf numFmtId="0" fontId="10" fillId="0" borderId="5" xfId="0" applyFont="1" applyBorder="1" applyAlignment="1">
      <alignment vertical="top" wrapText="1"/>
    </xf>
    <xf numFmtId="0" fontId="6" fillId="0" borderId="16" xfId="0" applyFont="1" applyBorder="1">
      <alignment vertical="center"/>
    </xf>
    <xf numFmtId="0" fontId="10" fillId="0" borderId="20" xfId="0" applyFont="1" applyBorder="1" applyAlignment="1">
      <alignment vertical="top" wrapText="1"/>
    </xf>
    <xf numFmtId="0" fontId="10" fillId="0" borderId="18" xfId="0" applyFont="1" applyBorder="1" applyAlignment="1">
      <alignment vertical="top" wrapText="1"/>
    </xf>
    <xf numFmtId="0" fontId="10" fillId="0" borderId="20" xfId="0" applyFont="1" applyBorder="1" applyAlignment="1">
      <alignment vertical="top" shrinkToFit="1"/>
    </xf>
    <xf numFmtId="0" fontId="10" fillId="0" borderId="18" xfId="0" applyFont="1" applyBorder="1" applyAlignment="1">
      <alignment vertical="top" shrinkToFit="1"/>
    </xf>
    <xf numFmtId="0" fontId="6" fillId="0" borderId="0" xfId="0" applyFont="1" applyAlignment="1">
      <alignment vertical="center" wrapText="1"/>
    </xf>
    <xf numFmtId="0" fontId="10" fillId="0" borderId="0" xfId="0" applyFont="1" applyAlignment="1">
      <alignment vertical="top" shrinkToFit="1"/>
    </xf>
    <xf numFmtId="0" fontId="10" fillId="0" borderId="0" xfId="0" applyFont="1" applyAlignment="1">
      <alignment vertical="center" wrapText="1"/>
    </xf>
    <xf numFmtId="0" fontId="6" fillId="0" borderId="7" xfId="0" applyFont="1" applyBorder="1" applyAlignment="1">
      <alignment horizontal="center" vertical="center" wrapText="1" shrinkToFit="1"/>
    </xf>
    <xf numFmtId="0" fontId="17" fillId="0" borderId="0" xfId="0" applyFont="1" applyAlignment="1">
      <alignment vertical="top" wrapText="1"/>
    </xf>
    <xf numFmtId="0" fontId="18" fillId="0" borderId="0" xfId="0" applyFont="1" applyAlignment="1">
      <alignment vertical="center" wrapTex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0" xfId="0" applyFont="1" applyBorder="1" applyAlignment="1">
      <alignment vertical="center"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Border="1" applyAlignment="1">
      <alignment horizontal="center" vertical="center"/>
    </xf>
    <xf numFmtId="0" fontId="6" fillId="0" borderId="0" xfId="0" applyFont="1" applyBorder="1" applyAlignment="1">
      <alignment horizontal="righ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0" xfId="0" applyFont="1" applyBorder="1" applyAlignment="1">
      <alignment vertical="center" shrinkToFit="1"/>
    </xf>
    <xf numFmtId="0" fontId="6" fillId="0" borderId="4" xfId="0" applyFont="1" applyBorder="1" applyAlignment="1">
      <alignment horizontal="center"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8" fillId="0" borderId="0" xfId="0" applyFont="1" applyAlignment="1">
      <alignment horizontal="center" vertical="center"/>
    </xf>
    <xf numFmtId="0" fontId="6" fillId="0" borderId="2" xfId="0" applyNumberFormat="1" applyFont="1" applyBorder="1" applyAlignment="1">
      <alignment horizontal="center" vertical="center"/>
    </xf>
    <xf numFmtId="0" fontId="6" fillId="0" borderId="4" xfId="0" applyNumberFormat="1" applyFont="1" applyBorder="1" applyAlignment="1">
      <alignment horizontal="center" vertical="center"/>
    </xf>
    <xf numFmtId="49" fontId="12"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7" fillId="0" borderId="0" xfId="0" applyFont="1" applyAlignment="1">
      <alignment horizontal="center" vertical="center"/>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0" xfId="0" applyFont="1" applyAlignment="1">
      <alignment vertical="center" wrapText="1"/>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9" fillId="0" borderId="0" xfId="0" applyFont="1" applyAlignment="1">
      <alignment horizontal="center" vertical="center"/>
    </xf>
    <xf numFmtId="0" fontId="12" fillId="0" borderId="7"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5" xfId="0" applyFont="1" applyBorder="1" applyAlignment="1">
      <alignment horizontal="left" vertical="top" wrapText="1" shrinkToFit="1"/>
    </xf>
    <xf numFmtId="0" fontId="6" fillId="0" borderId="0" xfId="0" applyFont="1" applyBorder="1" applyAlignment="1">
      <alignment horizontal="left" vertical="top" wrapText="1" shrinkToFit="1"/>
    </xf>
    <xf numFmtId="0" fontId="6" fillId="0" borderId="10" xfId="0" applyFont="1" applyBorder="1" applyAlignment="1">
      <alignment horizontal="left" vertical="top" wrapText="1" shrinkToFit="1"/>
    </xf>
    <xf numFmtId="0" fontId="6" fillId="0" borderId="0" xfId="0" applyFont="1" applyAlignment="1">
      <alignment horizontal="left" vertical="top" wrapText="1" shrinkToFit="1"/>
    </xf>
    <xf numFmtId="0" fontId="6" fillId="0" borderId="11" xfId="0" applyFont="1" applyBorder="1" applyAlignment="1">
      <alignment horizontal="left" vertical="top" wrapText="1" shrinkToFit="1"/>
    </xf>
    <xf numFmtId="0" fontId="6" fillId="0" borderId="6" xfId="0" applyFont="1" applyBorder="1" applyAlignment="1">
      <alignment horizontal="left" vertical="top" wrapText="1" shrinkToFit="1"/>
    </xf>
    <xf numFmtId="0" fontId="6" fillId="0" borderId="12" xfId="0" applyFont="1" applyBorder="1" applyAlignment="1">
      <alignment horizontal="left" vertical="top" wrapText="1" shrinkToFit="1"/>
    </xf>
    <xf numFmtId="0" fontId="6" fillId="0" borderId="7" xfId="0" applyFont="1" applyBorder="1" applyAlignment="1">
      <alignment vertical="center" wrapText="1" shrinkToFit="1"/>
    </xf>
    <xf numFmtId="0" fontId="6" fillId="0" borderId="8" xfId="0" applyFont="1" applyBorder="1" applyAlignment="1">
      <alignment vertical="center" wrapText="1" shrinkToFit="1"/>
    </xf>
    <xf numFmtId="0" fontId="6" fillId="0" borderId="9" xfId="0" applyFont="1" applyBorder="1" applyAlignment="1">
      <alignment vertical="center" wrapText="1" shrinkToFit="1"/>
    </xf>
    <xf numFmtId="0" fontId="6" fillId="0" borderId="5" xfId="0" applyFont="1" applyBorder="1" applyAlignment="1">
      <alignment vertical="center" wrapText="1" shrinkToFit="1"/>
    </xf>
    <xf numFmtId="0" fontId="6" fillId="0" borderId="0" xfId="0" applyFont="1" applyBorder="1" applyAlignment="1">
      <alignment vertical="center" wrapText="1" shrinkToFit="1"/>
    </xf>
    <xf numFmtId="0" fontId="6" fillId="0" borderId="10" xfId="0" applyFont="1" applyBorder="1" applyAlignment="1">
      <alignment vertical="center" wrapText="1" shrinkToFit="1"/>
    </xf>
    <xf numFmtId="0" fontId="6" fillId="0" borderId="11" xfId="0" applyFont="1" applyBorder="1" applyAlignment="1">
      <alignment vertical="center" wrapText="1" shrinkToFit="1"/>
    </xf>
    <xf numFmtId="0" fontId="6" fillId="0" borderId="6" xfId="0" applyFont="1" applyBorder="1" applyAlignment="1">
      <alignment vertical="center" wrapText="1" shrinkToFit="1"/>
    </xf>
    <xf numFmtId="0" fontId="6" fillId="0" borderId="12" xfId="0" applyFont="1" applyBorder="1" applyAlignment="1">
      <alignment vertical="center" wrapText="1" shrinkToFit="1"/>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6" fillId="0" borderId="22"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39" xfId="0" applyFont="1" applyBorder="1" applyAlignment="1">
      <alignment horizontal="left" vertical="center" wrapText="1" shrinkToFit="1"/>
    </xf>
    <xf numFmtId="0" fontId="6" fillId="0" borderId="6"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41" xfId="0" applyFont="1" applyBorder="1" applyAlignment="1">
      <alignment horizontal="left" vertical="center" wrapText="1"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19" xfId="0" applyFont="1" applyBorder="1" applyAlignment="1">
      <alignment vertical="center" wrapText="1" shrinkToFit="1"/>
    </xf>
    <xf numFmtId="0" fontId="12" fillId="0" borderId="48" xfId="0" applyFont="1" applyBorder="1" applyAlignment="1">
      <alignment vertical="center" wrapText="1"/>
    </xf>
    <xf numFmtId="0" fontId="12" fillId="0" borderId="49" xfId="0" applyFont="1" applyBorder="1" applyAlignment="1">
      <alignment vertical="center" wrapText="1"/>
    </xf>
    <xf numFmtId="0" fontId="11" fillId="0" borderId="48" xfId="0" applyFont="1" applyBorder="1" applyAlignment="1">
      <alignment vertical="center" wrapText="1"/>
    </xf>
    <xf numFmtId="0" fontId="11" fillId="0" borderId="32" xfId="0" applyFont="1" applyBorder="1" applyAlignment="1">
      <alignment vertical="center" wrapText="1"/>
    </xf>
    <xf numFmtId="0" fontId="6" fillId="0" borderId="39" xfId="0" applyFont="1" applyBorder="1" applyAlignment="1">
      <alignment vertical="center" wrapText="1"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12" fillId="0" borderId="32" xfId="0" applyFont="1" applyBorder="1" applyAlignment="1">
      <alignment vertical="center" wrapTex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20" xfId="0" applyFont="1" applyBorder="1" applyAlignment="1">
      <alignment horizontal="left" vertical="center" wrapText="1"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Border="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6" fillId="0" borderId="0" xfId="0" applyFont="1" applyAlignment="1">
      <alignment vertical="center" wrapText="1" shrinkToFit="1"/>
    </xf>
    <xf numFmtId="0" fontId="6" fillId="0" borderId="2" xfId="0" applyNumberFormat="1" applyFont="1" applyBorder="1" applyAlignment="1">
      <alignment horizontal="center" vertical="center" shrinkToFit="1"/>
    </xf>
    <xf numFmtId="0" fontId="6" fillId="0" borderId="4" xfId="0" applyNumberFormat="1" applyFont="1" applyBorder="1" applyAlignment="1">
      <alignment horizontal="center" vertical="center" shrinkToFit="1"/>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6" fillId="0" borderId="14"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6" xfId="0" applyFont="1" applyBorder="1">
      <alignment vertical="center"/>
    </xf>
    <xf numFmtId="0" fontId="6" fillId="0" borderId="16" xfId="0" applyFont="1" applyBorder="1" applyAlignment="1">
      <alignment vertical="top" wrapText="1" shrinkToFit="1"/>
    </xf>
    <xf numFmtId="0" fontId="6" fillId="0" borderId="22" xfId="0" applyFont="1" applyBorder="1" applyAlignment="1">
      <alignment vertical="top" wrapText="1" shrinkToFit="1"/>
    </xf>
    <xf numFmtId="0" fontId="6" fillId="0" borderId="21" xfId="0" applyFont="1" applyBorder="1" applyAlignment="1">
      <alignment vertical="top" wrapText="1" shrinkToFit="1"/>
    </xf>
    <xf numFmtId="0" fontId="6" fillId="0" borderId="4" xfId="0" applyFont="1" applyBorder="1" applyAlignment="1">
      <alignment vertical="center" shrinkToFit="1"/>
    </xf>
    <xf numFmtId="0" fontId="6" fillId="0" borderId="0" xfId="0" applyFont="1" applyBorder="1" applyAlignment="1">
      <alignment vertical="top" shrinkToFi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6" fillId="0" borderId="19" xfId="0" applyFont="1" applyBorder="1" applyAlignment="1">
      <alignment vertical="top" wrapText="1" shrinkToFit="1"/>
    </xf>
    <xf numFmtId="0" fontId="6" fillId="0" borderId="17" xfId="0" applyFont="1" applyBorder="1">
      <alignment vertical="center"/>
    </xf>
    <xf numFmtId="0" fontId="12" fillId="0" borderId="18" xfId="0" applyFont="1" applyBorder="1">
      <alignment vertical="center"/>
    </xf>
    <xf numFmtId="0" fontId="2" fillId="0" borderId="0" xfId="0" applyFont="1" applyAlignment="1">
      <alignment horizontal="right" vertical="center"/>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110" zoomScaleNormal="100" zoomScaleSheetLayoutView="110" workbookViewId="0">
      <selection activeCell="B1" sqref="B1"/>
    </sheetView>
  </sheetViews>
  <sheetFormatPr defaultColWidth="9" defaultRowHeight="18.75" customHeight="1" x14ac:dyDescent="0.2"/>
  <cols>
    <col min="1" max="1" width="3.33203125" style="7" customWidth="1"/>
    <col min="2" max="2" width="11.109375" style="7" customWidth="1"/>
    <col min="3" max="8" width="6.6640625" style="7" customWidth="1"/>
    <col min="9" max="9" width="3.33203125" style="7" customWidth="1"/>
    <col min="10" max="10" width="10" style="7" customWidth="1"/>
    <col min="11" max="11" width="3.33203125" style="7" customWidth="1"/>
    <col min="12" max="12" width="7.77734375" style="7" customWidth="1"/>
    <col min="13" max="13" width="3.33203125" style="7" customWidth="1"/>
    <col min="14" max="14" width="4.44140625" style="7" customWidth="1"/>
    <col min="15" max="16384" width="9" style="7"/>
  </cols>
  <sheetData>
    <row r="1" spans="1:15" ht="24" customHeight="1" x14ac:dyDescent="0.2">
      <c r="M1" s="138" t="s">
        <v>26</v>
      </c>
      <c r="N1" s="138"/>
    </row>
    <row r="2" spans="1:15" ht="24" customHeight="1" x14ac:dyDescent="0.2">
      <c r="A2" s="142" t="s">
        <v>87</v>
      </c>
      <c r="B2" s="142"/>
      <c r="C2" s="142"/>
      <c r="D2" s="142"/>
      <c r="E2" s="142"/>
      <c r="F2" s="142"/>
      <c r="G2" s="142"/>
      <c r="H2" s="142"/>
      <c r="I2" s="142"/>
      <c r="J2" s="142"/>
      <c r="K2" s="142"/>
      <c r="L2" s="142"/>
      <c r="M2" s="142"/>
      <c r="N2" s="142"/>
    </row>
    <row r="3" spans="1:15" ht="24" customHeight="1" x14ac:dyDescent="0.2"/>
    <row r="4" spans="1:15" ht="24" customHeight="1" x14ac:dyDescent="0.2">
      <c r="A4" s="7" t="s">
        <v>6</v>
      </c>
      <c r="B4" s="8" t="s">
        <v>17</v>
      </c>
      <c r="C4" s="130" t="s">
        <v>156</v>
      </c>
      <c r="D4" s="131"/>
      <c r="E4" s="131"/>
      <c r="F4" s="131"/>
      <c r="G4" s="131"/>
      <c r="H4" s="131"/>
      <c r="I4" s="131"/>
      <c r="J4" s="131"/>
      <c r="K4" s="131"/>
      <c r="L4" s="131"/>
      <c r="M4" s="131"/>
      <c r="N4" s="137"/>
      <c r="O4" s="7" t="str">
        <f>IF(C4="","入力してください","")</f>
        <v/>
      </c>
    </row>
    <row r="5" spans="1:15" ht="7.5" customHeight="1" x14ac:dyDescent="0.2">
      <c r="B5" s="8"/>
      <c r="C5" s="8"/>
      <c r="D5" s="8"/>
      <c r="E5" s="9"/>
      <c r="F5" s="51"/>
      <c r="G5" s="51"/>
      <c r="H5" s="51"/>
      <c r="I5" s="51"/>
      <c r="J5" s="51"/>
      <c r="K5" s="51"/>
      <c r="L5" s="51"/>
      <c r="M5" s="51"/>
      <c r="N5" s="51"/>
    </row>
    <row r="6" spans="1:15" ht="24" customHeight="1" x14ac:dyDescent="0.2">
      <c r="A6" s="7" t="s">
        <v>50</v>
      </c>
      <c r="B6" s="8" t="s">
        <v>51</v>
      </c>
      <c r="C6" s="8"/>
      <c r="D6" s="130" t="s">
        <v>157</v>
      </c>
      <c r="E6" s="131"/>
      <c r="F6" s="131"/>
      <c r="G6" s="131"/>
      <c r="H6" s="137"/>
      <c r="I6" s="10" t="s">
        <v>90</v>
      </c>
      <c r="J6" s="51" t="s">
        <v>91</v>
      </c>
      <c r="K6" s="130" t="s">
        <v>158</v>
      </c>
      <c r="L6" s="131"/>
      <c r="M6" s="131"/>
      <c r="N6" s="137"/>
      <c r="O6" s="7" t="str">
        <f>IF(D6="","入力してください","")</f>
        <v/>
      </c>
    </row>
    <row r="7" spans="1:15" ht="7.5" customHeight="1" x14ac:dyDescent="0.2">
      <c r="B7" s="8"/>
      <c r="C7" s="8"/>
      <c r="D7" s="8"/>
      <c r="E7" s="9"/>
      <c r="F7" s="51"/>
      <c r="G7" s="51"/>
      <c r="H7" s="51"/>
      <c r="I7" s="51"/>
      <c r="J7" s="51"/>
      <c r="K7" s="51"/>
      <c r="L7" s="51"/>
      <c r="M7" s="51"/>
      <c r="N7" s="51"/>
    </row>
    <row r="8" spans="1:15" ht="24" customHeight="1" x14ac:dyDescent="0.2">
      <c r="A8" s="7" t="s">
        <v>14</v>
      </c>
      <c r="B8" s="8" t="s">
        <v>47</v>
      </c>
      <c r="C8" s="130" t="s">
        <v>159</v>
      </c>
      <c r="D8" s="131"/>
      <c r="E8" s="131"/>
      <c r="F8" s="131"/>
      <c r="G8" s="131"/>
      <c r="H8" s="131"/>
      <c r="I8" s="131"/>
      <c r="J8" s="131"/>
      <c r="K8" s="131"/>
      <c r="L8" s="131"/>
      <c r="M8" s="131"/>
      <c r="N8" s="137"/>
      <c r="O8" s="7" t="str">
        <f>IF(C8="","入力してください","")</f>
        <v/>
      </c>
    </row>
    <row r="9" spans="1:15" ht="7.5" customHeight="1" x14ac:dyDescent="0.2">
      <c r="B9" s="8"/>
      <c r="C9" s="8"/>
      <c r="D9" s="8"/>
      <c r="E9" s="9"/>
      <c r="F9" s="51"/>
      <c r="G9" s="51"/>
      <c r="H9" s="51"/>
      <c r="I9" s="51"/>
      <c r="J9" s="51"/>
      <c r="K9" s="51"/>
      <c r="L9" s="51"/>
      <c r="M9" s="51"/>
      <c r="N9" s="51"/>
    </row>
    <row r="10" spans="1:15" ht="24" customHeight="1" x14ac:dyDescent="0.2">
      <c r="A10" s="7" t="s">
        <v>12</v>
      </c>
      <c r="B10" s="8" t="s">
        <v>89</v>
      </c>
      <c r="C10" s="8"/>
      <c r="D10" s="8"/>
      <c r="E10" s="130" t="s">
        <v>170</v>
      </c>
      <c r="F10" s="131"/>
      <c r="G10" s="131"/>
      <c r="H10" s="131"/>
      <c r="I10" s="131"/>
      <c r="J10" s="131"/>
      <c r="K10" s="131"/>
      <c r="L10" s="131"/>
      <c r="M10" s="131"/>
      <c r="N10" s="137"/>
      <c r="O10" s="7" t="str">
        <f>IF(E10="","入力してください","")</f>
        <v/>
      </c>
    </row>
    <row r="11" spans="1:15" ht="7.5" customHeight="1" x14ac:dyDescent="0.2">
      <c r="B11" s="9"/>
      <c r="C11" s="9"/>
      <c r="D11" s="9"/>
      <c r="E11" s="9"/>
      <c r="F11" s="51"/>
      <c r="G11" s="51"/>
      <c r="H11" s="51"/>
      <c r="I11" s="51"/>
      <c r="J11" s="51"/>
      <c r="K11" s="51"/>
      <c r="L11" s="51"/>
      <c r="M11" s="51"/>
      <c r="N11" s="51"/>
    </row>
    <row r="12" spans="1:15" ht="24" customHeight="1" x14ac:dyDescent="0.2">
      <c r="A12" s="7" t="s">
        <v>60</v>
      </c>
      <c r="B12" s="9" t="s">
        <v>61</v>
      </c>
      <c r="C12" s="9"/>
      <c r="D12" s="9"/>
      <c r="E12" s="143" t="s">
        <v>192</v>
      </c>
      <c r="F12" s="144"/>
      <c r="G12" s="10" t="s">
        <v>100</v>
      </c>
      <c r="H12" s="7" t="s">
        <v>101</v>
      </c>
      <c r="N12" s="22" t="s">
        <v>160</v>
      </c>
      <c r="O12" s="7" t="str">
        <f>IF(E12="","入力してください","")</f>
        <v/>
      </c>
    </row>
    <row r="13" spans="1:15" ht="7.5" customHeight="1" x14ac:dyDescent="0.2">
      <c r="B13" s="9"/>
      <c r="C13" s="9"/>
      <c r="D13" s="9"/>
      <c r="E13" s="9"/>
      <c r="F13" s="51"/>
      <c r="G13" s="51"/>
      <c r="H13" s="51"/>
      <c r="I13" s="51"/>
      <c r="J13" s="51"/>
      <c r="K13" s="51"/>
      <c r="L13" s="51"/>
      <c r="M13" s="51"/>
      <c r="N13" s="51"/>
    </row>
    <row r="14" spans="1:15" ht="24" customHeight="1" x14ac:dyDescent="0.2">
      <c r="A14" s="7" t="s">
        <v>55</v>
      </c>
      <c r="B14" s="7" t="s">
        <v>0</v>
      </c>
      <c r="C14" s="139" t="s">
        <v>5</v>
      </c>
      <c r="D14" s="140"/>
      <c r="E14" s="134">
        <v>23</v>
      </c>
      <c r="F14" s="135"/>
      <c r="G14" s="11" t="s">
        <v>8</v>
      </c>
      <c r="I14" s="139" t="s">
        <v>9</v>
      </c>
      <c r="J14" s="140"/>
      <c r="K14" s="134">
        <v>25</v>
      </c>
      <c r="L14" s="141"/>
      <c r="M14" s="135"/>
      <c r="N14" s="12" t="s">
        <v>8</v>
      </c>
      <c r="O14" s="7" t="str">
        <f>IF(OR(E14="",K14=""),"入力してください","")</f>
        <v/>
      </c>
    </row>
    <row r="15" spans="1:15" ht="7.5" customHeight="1" x14ac:dyDescent="0.2">
      <c r="F15" s="13"/>
      <c r="G15" s="13"/>
      <c r="H15" s="13"/>
      <c r="I15" s="13"/>
      <c r="J15" s="13"/>
      <c r="K15" s="13"/>
      <c r="L15" s="13"/>
      <c r="M15" s="12"/>
      <c r="N15" s="12"/>
    </row>
    <row r="16" spans="1:15" ht="24" customHeight="1" x14ac:dyDescent="0.2">
      <c r="A16" s="7" t="s">
        <v>62</v>
      </c>
      <c r="B16" s="7" t="s">
        <v>72</v>
      </c>
      <c r="F16" s="13"/>
      <c r="G16" s="13"/>
      <c r="H16" s="13"/>
      <c r="I16" s="13"/>
      <c r="J16" s="13"/>
      <c r="K16" s="125">
        <v>4</v>
      </c>
      <c r="L16" s="126"/>
      <c r="M16" s="127"/>
      <c r="N16" s="12" t="s">
        <v>53</v>
      </c>
      <c r="O16" s="7" t="str">
        <f>IF(K16="","入力してください","")</f>
        <v/>
      </c>
    </row>
    <row r="17" spans="1:15" ht="7.5" customHeight="1" x14ac:dyDescent="0.2">
      <c r="F17" s="13"/>
      <c r="G17" s="13"/>
      <c r="H17" s="13"/>
      <c r="I17" s="13"/>
      <c r="J17" s="13"/>
      <c r="K17" s="13"/>
      <c r="L17" s="13"/>
      <c r="M17" s="12"/>
      <c r="N17" s="12"/>
    </row>
    <row r="18" spans="1:15" ht="24" customHeight="1" x14ac:dyDescent="0.2">
      <c r="A18" s="7" t="s">
        <v>25</v>
      </c>
      <c r="B18" s="7" t="s">
        <v>81</v>
      </c>
      <c r="E18" s="134">
        <v>230</v>
      </c>
      <c r="F18" s="135"/>
      <c r="G18" s="14" t="s">
        <v>22</v>
      </c>
      <c r="H18" s="13"/>
      <c r="K18" s="136"/>
      <c r="L18" s="136"/>
      <c r="M18" s="136"/>
      <c r="N18" s="136"/>
      <c r="O18" s="7" t="str">
        <f>IF(E18="","入力してください","")</f>
        <v/>
      </c>
    </row>
    <row r="19" spans="1:15" ht="7.5" customHeight="1" x14ac:dyDescent="0.2">
      <c r="E19" s="3"/>
      <c r="F19" s="13"/>
      <c r="G19" s="13"/>
      <c r="L19" s="50"/>
      <c r="M19" s="50"/>
      <c r="N19" s="15"/>
    </row>
    <row r="20" spans="1:15" ht="24" customHeight="1" x14ac:dyDescent="0.2">
      <c r="A20" s="7" t="s">
        <v>80</v>
      </c>
      <c r="B20" s="7" t="s">
        <v>82</v>
      </c>
      <c r="E20" s="3"/>
      <c r="F20" s="13"/>
      <c r="G20" s="13"/>
      <c r="H20" s="7" t="s">
        <v>54</v>
      </c>
      <c r="J20" s="125">
        <v>377</v>
      </c>
      <c r="K20" s="126"/>
      <c r="L20" s="127"/>
      <c r="M20" s="50" t="s">
        <v>53</v>
      </c>
      <c r="N20" s="15"/>
      <c r="O20" s="7" t="str">
        <f>IF(J20="","入力してください","")</f>
        <v/>
      </c>
    </row>
    <row r="21" spans="1:15" ht="7.5" customHeight="1" x14ac:dyDescent="0.2">
      <c r="E21" s="3"/>
      <c r="F21" s="13"/>
      <c r="G21" s="13"/>
      <c r="L21" s="50"/>
      <c r="M21" s="50"/>
      <c r="N21" s="15"/>
    </row>
    <row r="22" spans="1:15" ht="24" customHeight="1" x14ac:dyDescent="0.2">
      <c r="B22" s="21" t="s">
        <v>18</v>
      </c>
      <c r="C22" s="134">
        <v>197</v>
      </c>
      <c r="D22" s="135"/>
      <c r="E22" s="3" t="s">
        <v>23</v>
      </c>
      <c r="F22" s="13"/>
      <c r="G22" s="128" t="s">
        <v>19</v>
      </c>
      <c r="H22" s="128"/>
      <c r="I22" s="134">
        <v>180</v>
      </c>
      <c r="J22" s="135"/>
      <c r="K22" s="10" t="s">
        <v>23</v>
      </c>
      <c r="M22" s="50"/>
      <c r="N22" s="15"/>
    </row>
    <row r="23" spans="1:15" ht="7.5" customHeight="1" x14ac:dyDescent="0.2">
      <c r="B23" s="21"/>
      <c r="C23" s="4"/>
      <c r="D23" s="4"/>
      <c r="E23" s="3"/>
      <c r="F23" s="13"/>
      <c r="G23" s="50"/>
      <c r="H23" s="50"/>
      <c r="I23" s="4"/>
      <c r="J23" s="4"/>
      <c r="K23" s="10"/>
      <c r="M23" s="50"/>
      <c r="N23" s="15"/>
    </row>
    <row r="24" spans="1:15" ht="24" customHeight="1" x14ac:dyDescent="0.2">
      <c r="B24" s="21" t="s">
        <v>20</v>
      </c>
      <c r="C24" s="134"/>
      <c r="D24" s="135"/>
      <c r="E24" s="3" t="s">
        <v>23</v>
      </c>
      <c r="F24" s="13"/>
      <c r="G24" s="128" t="s">
        <v>21</v>
      </c>
      <c r="H24" s="128"/>
      <c r="I24" s="134"/>
      <c r="J24" s="135"/>
      <c r="K24" s="10" t="s">
        <v>23</v>
      </c>
      <c r="M24" s="50"/>
      <c r="N24" s="15"/>
    </row>
    <row r="25" spans="1:15" ht="7.5" customHeight="1" x14ac:dyDescent="0.2">
      <c r="B25" s="21"/>
      <c r="C25" s="4"/>
      <c r="D25" s="4"/>
      <c r="E25" s="3"/>
      <c r="F25" s="13"/>
      <c r="G25" s="50"/>
      <c r="H25" s="50"/>
      <c r="I25" s="4"/>
      <c r="J25" s="4"/>
      <c r="K25" s="10"/>
      <c r="M25" s="50"/>
      <c r="N25" s="15"/>
    </row>
    <row r="26" spans="1:15" ht="24" customHeight="1" x14ac:dyDescent="0.2">
      <c r="B26" s="21" t="s">
        <v>48</v>
      </c>
      <c r="C26" s="134"/>
      <c r="D26" s="135"/>
      <c r="E26" s="3" t="s">
        <v>8</v>
      </c>
      <c r="F26" s="13"/>
      <c r="G26" s="128" t="s">
        <v>49</v>
      </c>
      <c r="H26" s="128"/>
      <c r="I26" s="134"/>
      <c r="J26" s="135"/>
      <c r="K26" s="10" t="s">
        <v>8</v>
      </c>
      <c r="M26" s="50"/>
      <c r="N26" s="15"/>
    </row>
    <row r="27" spans="1:15" ht="7.5" customHeight="1" x14ac:dyDescent="0.2">
      <c r="F27" s="13"/>
      <c r="G27" s="13"/>
      <c r="M27" s="16"/>
      <c r="N27" s="16"/>
    </row>
    <row r="28" spans="1:15" ht="24" customHeight="1" x14ac:dyDescent="0.2">
      <c r="A28" s="7" t="s">
        <v>52</v>
      </c>
      <c r="B28" s="8" t="s">
        <v>79</v>
      </c>
      <c r="C28" s="8"/>
      <c r="D28" s="8"/>
      <c r="E28" s="8"/>
      <c r="F28" s="10"/>
      <c r="G28" s="51"/>
      <c r="H28" s="51"/>
      <c r="I28" s="51"/>
      <c r="J28" s="17"/>
      <c r="K28" s="17"/>
      <c r="L28" s="17"/>
      <c r="M28" s="17"/>
      <c r="N28" s="17"/>
    </row>
    <row r="29" spans="1:15" ht="24" customHeight="1" x14ac:dyDescent="0.2">
      <c r="B29" s="129" t="s">
        <v>78</v>
      </c>
      <c r="C29" s="129"/>
      <c r="D29" s="130" t="s">
        <v>161</v>
      </c>
      <c r="E29" s="131"/>
      <c r="F29" s="131"/>
      <c r="G29" s="132" t="s">
        <v>24</v>
      </c>
      <c r="H29" s="129"/>
      <c r="I29" s="133"/>
      <c r="J29" s="130" t="s">
        <v>162</v>
      </c>
      <c r="K29" s="131"/>
      <c r="L29" s="131"/>
      <c r="M29" s="131"/>
      <c r="N29" s="137"/>
      <c r="O29" s="7" t="str">
        <f>IF(OR(D29="",J29=""),"入力してください","")</f>
        <v/>
      </c>
    </row>
    <row r="30" spans="1:15" ht="7.5" customHeight="1" x14ac:dyDescent="0.2">
      <c r="F30" s="13"/>
      <c r="G30" s="13"/>
      <c r="M30" s="16"/>
      <c r="N30" s="16"/>
    </row>
    <row r="31" spans="1:15" ht="24" customHeight="1" x14ac:dyDescent="0.2">
      <c r="A31" s="7" t="s">
        <v>56</v>
      </c>
      <c r="B31" s="8" t="s">
        <v>84</v>
      </c>
      <c r="C31" s="8"/>
      <c r="D31" s="8"/>
      <c r="E31" s="8"/>
      <c r="F31" s="10"/>
      <c r="G31" s="17"/>
      <c r="H31" s="17"/>
      <c r="I31" s="17"/>
      <c r="J31" s="17"/>
      <c r="K31" s="17"/>
      <c r="L31" s="17"/>
      <c r="M31" s="17"/>
      <c r="N31" s="17"/>
    </row>
    <row r="32" spans="1:15" ht="24" customHeight="1" x14ac:dyDescent="0.2">
      <c r="B32" s="130" t="s">
        <v>163</v>
      </c>
      <c r="C32" s="131"/>
      <c r="D32" s="131"/>
      <c r="E32" s="131"/>
      <c r="F32" s="131"/>
      <c r="G32" s="131"/>
      <c r="H32" s="131"/>
      <c r="I32" s="131"/>
      <c r="J32" s="131"/>
      <c r="K32" s="131"/>
      <c r="L32" s="131"/>
      <c r="M32" s="131"/>
      <c r="N32" s="137"/>
      <c r="O32" s="7" t="str">
        <f>IF(B32="","入力してください","")</f>
        <v/>
      </c>
    </row>
    <row r="33" spans="1:15" ht="7.5" customHeight="1" x14ac:dyDescent="0.2">
      <c r="B33" s="5"/>
      <c r="C33" s="5"/>
      <c r="D33" s="5"/>
      <c r="E33" s="5"/>
      <c r="F33" s="5"/>
      <c r="G33" s="5"/>
      <c r="H33" s="5"/>
      <c r="I33" s="5"/>
      <c r="J33" s="5"/>
      <c r="K33" s="5"/>
      <c r="L33" s="5"/>
      <c r="M33" s="5"/>
      <c r="N33" s="5"/>
    </row>
    <row r="34" spans="1:15" ht="24" customHeight="1" x14ac:dyDescent="0.2">
      <c r="B34" s="129" t="s">
        <v>78</v>
      </c>
      <c r="C34" s="129"/>
      <c r="D34" s="130" t="s">
        <v>164</v>
      </c>
      <c r="E34" s="131"/>
      <c r="F34" s="131"/>
      <c r="G34" s="132" t="s">
        <v>57</v>
      </c>
      <c r="H34" s="129"/>
      <c r="I34" s="133"/>
      <c r="J34" s="130" t="s">
        <v>165</v>
      </c>
      <c r="K34" s="131"/>
      <c r="L34" s="131"/>
      <c r="M34" s="131"/>
      <c r="N34" s="137"/>
      <c r="O34" s="7" t="str">
        <f>IF(OR(D34="",J34=""),"入力してください","")</f>
        <v/>
      </c>
    </row>
    <row r="35" spans="1:15" ht="7.5" customHeight="1" x14ac:dyDescent="0.2">
      <c r="F35" s="51"/>
      <c r="G35" s="51"/>
      <c r="H35" s="51"/>
      <c r="I35" s="51"/>
      <c r="J35" s="51"/>
      <c r="K35" s="51"/>
      <c r="L35" s="51"/>
      <c r="M35" s="51"/>
      <c r="N35" s="51"/>
    </row>
    <row r="36" spans="1:15" ht="24" customHeight="1" x14ac:dyDescent="0.2">
      <c r="A36" s="7" t="s">
        <v>63</v>
      </c>
      <c r="B36" s="7" t="s">
        <v>85</v>
      </c>
      <c r="M36" s="16"/>
      <c r="N36" s="16"/>
    </row>
    <row r="37" spans="1:15" ht="24" customHeight="1" x14ac:dyDescent="0.2">
      <c r="B37" s="130" t="s">
        <v>166</v>
      </c>
      <c r="C37" s="131"/>
      <c r="D37" s="131"/>
      <c r="E37" s="131"/>
      <c r="F37" s="131"/>
      <c r="G37" s="131"/>
      <c r="H37" s="131"/>
      <c r="I37" s="131"/>
      <c r="J37" s="131"/>
      <c r="K37" s="131"/>
      <c r="L37" s="131"/>
      <c r="M37" s="131"/>
      <c r="N37" s="137"/>
      <c r="O37" s="7" t="str">
        <f>IF(B37="","入力してください","")</f>
        <v/>
      </c>
    </row>
    <row r="38" spans="1:15" ht="7.5" customHeight="1" x14ac:dyDescent="0.2">
      <c r="F38" s="51"/>
      <c r="G38" s="51"/>
      <c r="H38" s="51"/>
      <c r="I38" s="51"/>
      <c r="J38" s="51"/>
      <c r="K38" s="51"/>
      <c r="L38" s="51"/>
      <c r="M38" s="51"/>
      <c r="N38" s="51"/>
    </row>
    <row r="39" spans="1:15" ht="24" customHeight="1" x14ac:dyDescent="0.2">
      <c r="B39" s="129" t="s">
        <v>78</v>
      </c>
      <c r="C39" s="129"/>
      <c r="D39" s="130" t="s">
        <v>161</v>
      </c>
      <c r="E39" s="131"/>
      <c r="F39" s="131"/>
      <c r="G39" s="132" t="s">
        <v>57</v>
      </c>
      <c r="H39" s="129"/>
      <c r="I39" s="133"/>
      <c r="J39" s="130" t="s">
        <v>182</v>
      </c>
      <c r="K39" s="131"/>
      <c r="L39" s="131"/>
      <c r="M39" s="131"/>
      <c r="N39" s="137"/>
      <c r="O39" s="7" t="str">
        <f>IF(OR(D39="",J39=""),"入力してください","")</f>
        <v/>
      </c>
    </row>
    <row r="40" spans="1:15" ht="7.5" customHeight="1" x14ac:dyDescent="0.2">
      <c r="F40" s="51"/>
      <c r="G40" s="51"/>
      <c r="H40" s="51"/>
      <c r="I40" s="51"/>
      <c r="J40" s="51"/>
      <c r="K40" s="51"/>
      <c r="L40" s="51"/>
      <c r="M40" s="51"/>
      <c r="N40" s="51"/>
    </row>
    <row r="41" spans="1:15" ht="24" customHeight="1" x14ac:dyDescent="0.2">
      <c r="A41" s="7" t="s">
        <v>92</v>
      </c>
      <c r="B41" s="24" t="s">
        <v>71</v>
      </c>
      <c r="E41" s="25"/>
      <c r="F41" s="130" t="s">
        <v>152</v>
      </c>
      <c r="G41" s="131"/>
      <c r="H41" s="131"/>
      <c r="I41" s="131"/>
      <c r="J41" s="131"/>
      <c r="K41" s="131"/>
      <c r="L41" s="131"/>
      <c r="M41" s="131"/>
      <c r="N41" s="137"/>
      <c r="O41" s="7" t="str">
        <f>IF(F41="","入力してください","")</f>
        <v/>
      </c>
    </row>
    <row r="42" spans="1:15" ht="7.5" customHeight="1" x14ac:dyDescent="0.2">
      <c r="F42" s="51"/>
      <c r="G42" s="51"/>
      <c r="H42" s="51"/>
      <c r="I42" s="51"/>
      <c r="J42" s="51"/>
      <c r="K42" s="51"/>
      <c r="L42" s="51"/>
      <c r="M42" s="51"/>
      <c r="N42" s="51"/>
    </row>
    <row r="43" spans="1:15" ht="24" customHeight="1" x14ac:dyDescent="0.2">
      <c r="A43" s="7" t="s">
        <v>102</v>
      </c>
    </row>
    <row r="44" spans="1:15" ht="24" customHeight="1" x14ac:dyDescent="0.2">
      <c r="B44" s="22" t="s">
        <v>1</v>
      </c>
      <c r="C44" s="151" t="s">
        <v>167</v>
      </c>
      <c r="D44" s="152"/>
      <c r="E44" s="152"/>
      <c r="F44" s="152"/>
      <c r="G44" s="152"/>
      <c r="H44" s="152"/>
      <c r="I44" s="19" t="s">
        <v>2</v>
      </c>
      <c r="J44" s="20"/>
      <c r="K44" s="130" t="s">
        <v>168</v>
      </c>
      <c r="L44" s="131"/>
      <c r="M44" s="131"/>
      <c r="N44" s="137"/>
      <c r="O44" s="7" t="str">
        <f>IF(OR(C44="",K44=""),"入力してください","")</f>
        <v/>
      </c>
    </row>
    <row r="45" spans="1:15" ht="24" customHeight="1" x14ac:dyDescent="0.2">
      <c r="B45" s="18" t="s">
        <v>4</v>
      </c>
      <c r="C45" s="145" t="s">
        <v>200</v>
      </c>
      <c r="D45" s="146"/>
      <c r="E45" s="146"/>
      <c r="F45" s="146"/>
      <c r="G45" s="146"/>
      <c r="H45" s="147"/>
      <c r="I45" s="19" t="s">
        <v>3</v>
      </c>
      <c r="J45" s="20"/>
      <c r="K45" s="148" t="s">
        <v>169</v>
      </c>
      <c r="L45" s="149"/>
      <c r="M45" s="149"/>
      <c r="N45" s="150"/>
      <c r="O45" s="7"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
  <sheetViews>
    <sheetView showZeros="0" tabSelected="1" view="pageBreakPreview" zoomScaleNormal="100" zoomScaleSheetLayoutView="100" workbookViewId="0">
      <selection activeCell="B102" sqref="B102"/>
    </sheetView>
  </sheetViews>
  <sheetFormatPr defaultColWidth="9" defaultRowHeight="18.75" customHeight="1" x14ac:dyDescent="0.2"/>
  <cols>
    <col min="1" max="1" width="2.44140625" style="6" customWidth="1"/>
    <col min="2" max="2" width="27.77734375" style="6" customWidth="1"/>
    <col min="3" max="13" width="3.33203125" style="6" customWidth="1"/>
    <col min="14" max="14" width="8.88671875" style="6" customWidth="1"/>
    <col min="15" max="15" width="18.88671875" style="6" customWidth="1"/>
    <col min="16" max="19" width="3.33203125" style="6" customWidth="1"/>
    <col min="20" max="20" width="3.44140625" style="6" customWidth="1"/>
    <col min="21" max="26" width="3.33203125" style="6" customWidth="1"/>
    <col min="27" max="16384" width="9" style="6"/>
  </cols>
  <sheetData>
    <row r="1" spans="1:26" ht="15" customHeight="1" x14ac:dyDescent="0.2">
      <c r="W1" s="174" t="s">
        <v>227</v>
      </c>
      <c r="X1" s="174"/>
      <c r="Y1" s="174"/>
      <c r="Z1" s="174"/>
    </row>
    <row r="2" spans="1:26" ht="18" customHeight="1" x14ac:dyDescent="0.2">
      <c r="A2" s="182" t="s">
        <v>69</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spans="1:26" ht="15" customHeight="1" x14ac:dyDescent="0.2">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2">
      <c r="A4" s="6" t="s">
        <v>103</v>
      </c>
      <c r="B4" s="21"/>
      <c r="C4" s="21"/>
      <c r="D4" s="21"/>
      <c r="E4" s="21"/>
      <c r="F4" s="21"/>
      <c r="G4" s="21"/>
      <c r="H4" s="8" t="s">
        <v>117</v>
      </c>
      <c r="I4" s="21"/>
      <c r="J4" s="21"/>
      <c r="K4" s="21"/>
      <c r="L4" s="21"/>
      <c r="M4" s="21"/>
      <c r="N4" s="21"/>
      <c r="O4" s="125" t="s">
        <v>183</v>
      </c>
      <c r="P4" s="126"/>
      <c r="Q4" s="126"/>
      <c r="R4" s="126"/>
      <c r="S4" s="126"/>
      <c r="T4" s="126"/>
      <c r="U4" s="126"/>
      <c r="V4" s="126"/>
      <c r="W4" s="126"/>
      <c r="X4" s="126"/>
      <c r="Y4" s="126"/>
      <c r="Z4" s="127"/>
    </row>
    <row r="5" spans="1:26" ht="6" customHeight="1" x14ac:dyDescent="0.2">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2">
      <c r="B6" s="183" t="s">
        <v>194</v>
      </c>
      <c r="C6" s="184"/>
      <c r="D6" s="184"/>
      <c r="E6" s="184"/>
      <c r="F6" s="184"/>
      <c r="G6" s="184"/>
      <c r="H6" s="184"/>
      <c r="I6" s="184"/>
      <c r="J6" s="184"/>
      <c r="K6" s="184"/>
      <c r="L6" s="184"/>
      <c r="M6" s="184"/>
      <c r="N6" s="184"/>
      <c r="O6" s="184"/>
      <c r="P6" s="184"/>
      <c r="Q6" s="184"/>
      <c r="R6" s="184"/>
      <c r="S6" s="184"/>
      <c r="T6" s="184"/>
      <c r="U6" s="184"/>
      <c r="V6" s="184"/>
      <c r="W6" s="184"/>
      <c r="X6" s="184"/>
      <c r="Y6" s="184"/>
      <c r="Z6" s="185"/>
    </row>
    <row r="7" spans="1:26" ht="18" customHeight="1" x14ac:dyDescent="0.2">
      <c r="B7" s="186"/>
      <c r="C7" s="187"/>
      <c r="D7" s="187"/>
      <c r="E7" s="187"/>
      <c r="F7" s="187"/>
      <c r="G7" s="187"/>
      <c r="H7" s="187"/>
      <c r="I7" s="187"/>
      <c r="J7" s="187"/>
      <c r="K7" s="187"/>
      <c r="L7" s="187"/>
      <c r="M7" s="187"/>
      <c r="N7" s="187"/>
      <c r="O7" s="187"/>
      <c r="P7" s="187"/>
      <c r="Q7" s="187"/>
      <c r="R7" s="187"/>
      <c r="S7" s="187"/>
      <c r="T7" s="187"/>
      <c r="U7" s="187"/>
      <c r="V7" s="187"/>
      <c r="W7" s="187"/>
      <c r="X7" s="187"/>
      <c r="Y7" s="187"/>
      <c r="Z7" s="188"/>
    </row>
    <row r="8" spans="1:26" ht="18" customHeight="1" x14ac:dyDescent="0.2">
      <c r="B8" s="186"/>
      <c r="C8" s="187"/>
      <c r="D8" s="187"/>
      <c r="E8" s="187"/>
      <c r="F8" s="187"/>
      <c r="G8" s="187"/>
      <c r="H8" s="187"/>
      <c r="I8" s="187"/>
      <c r="J8" s="187"/>
      <c r="K8" s="187"/>
      <c r="L8" s="187"/>
      <c r="M8" s="187"/>
      <c r="N8" s="187"/>
      <c r="O8" s="187"/>
      <c r="P8" s="187"/>
      <c r="Q8" s="187"/>
      <c r="R8" s="187"/>
      <c r="S8" s="187"/>
      <c r="T8" s="187"/>
      <c r="U8" s="187"/>
      <c r="V8" s="187"/>
      <c r="W8" s="187"/>
      <c r="X8" s="187"/>
      <c r="Y8" s="187"/>
      <c r="Z8" s="188"/>
    </row>
    <row r="9" spans="1:26" ht="18" customHeight="1" x14ac:dyDescent="0.2">
      <c r="B9" s="186"/>
      <c r="C9" s="187"/>
      <c r="D9" s="187"/>
      <c r="E9" s="187"/>
      <c r="F9" s="187"/>
      <c r="G9" s="187"/>
      <c r="H9" s="187"/>
      <c r="I9" s="187"/>
      <c r="J9" s="187"/>
      <c r="K9" s="187"/>
      <c r="L9" s="187"/>
      <c r="M9" s="187"/>
      <c r="N9" s="187"/>
      <c r="O9" s="187"/>
      <c r="P9" s="187"/>
      <c r="Q9" s="187"/>
      <c r="R9" s="187"/>
      <c r="S9" s="187"/>
      <c r="T9" s="187"/>
      <c r="U9" s="187"/>
      <c r="V9" s="187"/>
      <c r="W9" s="187"/>
      <c r="X9" s="187"/>
      <c r="Y9" s="187"/>
      <c r="Z9" s="188"/>
    </row>
    <row r="10" spans="1:26" ht="18" customHeight="1" x14ac:dyDescent="0.2">
      <c r="B10" s="186"/>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8"/>
    </row>
    <row r="11" spans="1:26" ht="18" customHeight="1" x14ac:dyDescent="0.2">
      <c r="B11" s="190"/>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2"/>
    </row>
    <row r="12" spans="1:26" ht="7.5" customHeight="1" x14ac:dyDescent="0.2">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2">
      <c r="A13" s="178" t="s">
        <v>131</v>
      </c>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spans="1:26" ht="18" customHeight="1" x14ac:dyDescent="0.2">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spans="1:26" ht="18" customHeight="1" x14ac:dyDescent="0.2">
      <c r="A15" s="7"/>
      <c r="B15" s="125" t="s">
        <v>104</v>
      </c>
      <c r="C15" s="126"/>
      <c r="D15" s="126"/>
      <c r="E15" s="126"/>
      <c r="F15" s="127"/>
      <c r="G15" s="22" t="s">
        <v>147</v>
      </c>
      <c r="H15" s="46" t="s">
        <v>146</v>
      </c>
      <c r="I15" s="126" t="s">
        <v>105</v>
      </c>
      <c r="J15" s="126"/>
      <c r="K15" s="126"/>
      <c r="L15" s="26" t="s">
        <v>108</v>
      </c>
      <c r="M15" s="26" t="s">
        <v>111</v>
      </c>
      <c r="N15" s="125" t="s">
        <v>104</v>
      </c>
      <c r="O15" s="126"/>
      <c r="P15" s="126"/>
      <c r="Q15" s="126"/>
      <c r="R15" s="126"/>
      <c r="S15" s="127"/>
      <c r="T15" s="22" t="s">
        <v>147</v>
      </c>
      <c r="U15" s="46" t="s">
        <v>146</v>
      </c>
      <c r="V15" s="126" t="s">
        <v>105</v>
      </c>
      <c r="W15" s="126"/>
      <c r="X15" s="126"/>
      <c r="Y15" s="26" t="s">
        <v>108</v>
      </c>
      <c r="Z15" s="26" t="s">
        <v>111</v>
      </c>
    </row>
    <row r="16" spans="1:26" ht="18" customHeight="1" x14ac:dyDescent="0.2">
      <c r="A16" s="7"/>
      <c r="B16" s="175" t="s">
        <v>187</v>
      </c>
      <c r="C16" s="176"/>
      <c r="D16" s="176"/>
      <c r="E16" s="176"/>
      <c r="F16" s="177"/>
      <c r="G16" s="47">
        <v>1</v>
      </c>
      <c r="H16" s="47" t="s">
        <v>154</v>
      </c>
      <c r="I16" s="179" t="s">
        <v>190</v>
      </c>
      <c r="J16" s="180"/>
      <c r="K16" s="181"/>
      <c r="L16" s="27"/>
      <c r="M16" s="27" t="s">
        <v>154</v>
      </c>
      <c r="N16" s="156"/>
      <c r="O16" s="157"/>
      <c r="P16" s="157"/>
      <c r="Q16" s="157"/>
      <c r="R16" s="157"/>
      <c r="S16" s="158"/>
      <c r="T16" s="47"/>
      <c r="U16" s="47"/>
      <c r="V16" s="179"/>
      <c r="W16" s="180"/>
      <c r="X16" s="181"/>
      <c r="Y16" s="27"/>
      <c r="Z16" s="27"/>
    </row>
    <row r="17" spans="1:26" ht="18" customHeight="1" x14ac:dyDescent="0.2">
      <c r="A17" s="7"/>
      <c r="B17" s="165" t="s">
        <v>188</v>
      </c>
      <c r="C17" s="166"/>
      <c r="D17" s="166"/>
      <c r="E17" s="166"/>
      <c r="F17" s="167"/>
      <c r="G17" s="48">
        <v>1</v>
      </c>
      <c r="H17" s="48" t="s">
        <v>154</v>
      </c>
      <c r="I17" s="171" t="s">
        <v>190</v>
      </c>
      <c r="J17" s="172"/>
      <c r="K17" s="173"/>
      <c r="L17" s="28" t="s">
        <v>154</v>
      </c>
      <c r="M17" s="28" t="s">
        <v>154</v>
      </c>
      <c r="N17" s="159"/>
      <c r="O17" s="160"/>
      <c r="P17" s="160"/>
      <c r="Q17" s="160"/>
      <c r="R17" s="160"/>
      <c r="S17" s="161"/>
      <c r="T17" s="48"/>
      <c r="U17" s="48"/>
      <c r="V17" s="171"/>
      <c r="W17" s="172"/>
      <c r="X17" s="173"/>
      <c r="Y17" s="28"/>
      <c r="Z17" s="28"/>
    </row>
    <row r="18" spans="1:26" ht="18" customHeight="1" x14ac:dyDescent="0.2">
      <c r="A18" s="7"/>
      <c r="B18" s="165" t="s">
        <v>189</v>
      </c>
      <c r="C18" s="166"/>
      <c r="D18" s="166"/>
      <c r="E18" s="166"/>
      <c r="F18" s="167"/>
      <c r="G18" s="48">
        <v>2</v>
      </c>
      <c r="H18" s="48"/>
      <c r="I18" s="171" t="s">
        <v>190</v>
      </c>
      <c r="J18" s="172"/>
      <c r="K18" s="173"/>
      <c r="L18" s="28" t="s">
        <v>154</v>
      </c>
      <c r="M18" s="28"/>
      <c r="N18" s="159"/>
      <c r="O18" s="160"/>
      <c r="P18" s="160"/>
      <c r="Q18" s="160"/>
      <c r="R18" s="160"/>
      <c r="S18" s="161"/>
      <c r="T18" s="48"/>
      <c r="U18" s="48"/>
      <c r="V18" s="171"/>
      <c r="W18" s="172"/>
      <c r="X18" s="173"/>
      <c r="Y18" s="28"/>
      <c r="Z18" s="28"/>
    </row>
    <row r="19" spans="1:26" ht="18" customHeight="1" x14ac:dyDescent="0.2">
      <c r="A19" s="85"/>
      <c r="B19" s="165"/>
      <c r="C19" s="166"/>
      <c r="D19" s="166"/>
      <c r="E19" s="166"/>
      <c r="F19" s="167"/>
      <c r="G19" s="48"/>
      <c r="H19" s="48"/>
      <c r="I19" s="171"/>
      <c r="J19" s="172"/>
      <c r="K19" s="173"/>
      <c r="L19" s="28"/>
      <c r="M19" s="28"/>
      <c r="N19" s="159"/>
      <c r="O19" s="160"/>
      <c r="P19" s="160"/>
      <c r="Q19" s="160"/>
      <c r="R19" s="160"/>
      <c r="S19" s="161"/>
      <c r="T19" s="48"/>
      <c r="U19" s="48"/>
      <c r="V19" s="171"/>
      <c r="W19" s="172"/>
      <c r="X19" s="173"/>
      <c r="Y19" s="28"/>
      <c r="Z19" s="28"/>
    </row>
    <row r="20" spans="1:26" ht="18" customHeight="1" x14ac:dyDescent="0.2">
      <c r="A20" s="85"/>
      <c r="B20" s="165"/>
      <c r="C20" s="166"/>
      <c r="D20" s="166"/>
      <c r="E20" s="166"/>
      <c r="F20" s="167"/>
      <c r="G20" s="48"/>
      <c r="H20" s="48"/>
      <c r="I20" s="171"/>
      <c r="J20" s="172"/>
      <c r="K20" s="173"/>
      <c r="L20" s="28"/>
      <c r="M20" s="28"/>
      <c r="N20" s="159"/>
      <c r="O20" s="160"/>
      <c r="P20" s="160"/>
      <c r="Q20" s="160"/>
      <c r="R20" s="160"/>
      <c r="S20" s="161"/>
      <c r="T20" s="48"/>
      <c r="U20" s="48"/>
      <c r="V20" s="171"/>
      <c r="W20" s="172"/>
      <c r="X20" s="173"/>
      <c r="Y20" s="28"/>
      <c r="Z20" s="28"/>
    </row>
    <row r="21" spans="1:26" ht="18" customHeight="1" x14ac:dyDescent="0.2">
      <c r="A21" s="7"/>
      <c r="B21" s="165"/>
      <c r="C21" s="166"/>
      <c r="D21" s="166"/>
      <c r="E21" s="166"/>
      <c r="F21" s="167"/>
      <c r="G21" s="48"/>
      <c r="H21" s="48"/>
      <c r="I21" s="171"/>
      <c r="J21" s="172"/>
      <c r="K21" s="173"/>
      <c r="L21" s="28"/>
      <c r="M21" s="28"/>
      <c r="N21" s="159"/>
      <c r="O21" s="160"/>
      <c r="P21" s="160"/>
      <c r="Q21" s="160"/>
      <c r="R21" s="160"/>
      <c r="S21" s="161"/>
      <c r="T21" s="48"/>
      <c r="U21" s="48"/>
      <c r="V21" s="171"/>
      <c r="W21" s="172"/>
      <c r="X21" s="173"/>
      <c r="Y21" s="28"/>
      <c r="Z21" s="28"/>
    </row>
    <row r="22" spans="1:26" ht="18" customHeight="1" x14ac:dyDescent="0.2">
      <c r="A22" s="21"/>
      <c r="B22" s="168"/>
      <c r="C22" s="169"/>
      <c r="D22" s="169"/>
      <c r="E22" s="169"/>
      <c r="F22" s="170"/>
      <c r="G22" s="49"/>
      <c r="H22" s="49"/>
      <c r="I22" s="153"/>
      <c r="J22" s="154"/>
      <c r="K22" s="155"/>
      <c r="L22" s="29"/>
      <c r="M22" s="29"/>
      <c r="N22" s="162"/>
      <c r="O22" s="163"/>
      <c r="P22" s="163"/>
      <c r="Q22" s="163"/>
      <c r="R22" s="163"/>
      <c r="S22" s="164"/>
      <c r="T22" s="49"/>
      <c r="U22" s="49"/>
      <c r="V22" s="153"/>
      <c r="W22" s="154"/>
      <c r="X22" s="155"/>
      <c r="Y22" s="29"/>
      <c r="Z22" s="29"/>
    </row>
    <row r="23" spans="1:26" ht="7.5" customHeight="1" x14ac:dyDescent="0.2">
      <c r="A23" s="21"/>
      <c r="B23" s="30"/>
      <c r="C23" s="30"/>
      <c r="D23" s="21"/>
      <c r="E23" s="21"/>
      <c r="F23" s="21"/>
      <c r="G23" s="21"/>
      <c r="H23" s="21"/>
      <c r="I23" s="21"/>
      <c r="J23" s="21"/>
      <c r="K23" s="21"/>
      <c r="L23" s="30"/>
      <c r="M23" s="30"/>
      <c r="N23" s="30"/>
      <c r="O23" s="30"/>
      <c r="P23" s="30"/>
      <c r="Q23" s="30"/>
      <c r="R23" s="30"/>
      <c r="S23" s="30"/>
      <c r="T23" s="30"/>
      <c r="U23" s="30"/>
      <c r="V23" s="30"/>
      <c r="W23" s="30"/>
      <c r="X23" s="30"/>
      <c r="Y23" s="30"/>
      <c r="Z23" s="21"/>
    </row>
    <row r="24" spans="1:26" ht="18" customHeight="1" x14ac:dyDescent="0.2">
      <c r="A24" s="178" t="s">
        <v>132</v>
      </c>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spans="1:26" ht="18" customHeight="1" x14ac:dyDescent="0.2">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spans="1:26" ht="18" customHeight="1" x14ac:dyDescent="0.2">
      <c r="A26" s="7"/>
      <c r="B26" s="125" t="s">
        <v>104</v>
      </c>
      <c r="C26" s="126"/>
      <c r="D26" s="126"/>
      <c r="E26" s="126"/>
      <c r="F26" s="127"/>
      <c r="G26" s="22" t="s">
        <v>147</v>
      </c>
      <c r="H26" s="46" t="s">
        <v>146</v>
      </c>
      <c r="I26" s="126" t="s">
        <v>105</v>
      </c>
      <c r="J26" s="126"/>
      <c r="K26" s="126"/>
      <c r="L26" s="26" t="s">
        <v>133</v>
      </c>
      <c r="M26" s="26" t="s">
        <v>134</v>
      </c>
      <c r="N26" s="125" t="s">
        <v>104</v>
      </c>
      <c r="O26" s="126"/>
      <c r="P26" s="126"/>
      <c r="Q26" s="126"/>
      <c r="R26" s="126"/>
      <c r="S26" s="127"/>
      <c r="T26" s="22" t="s">
        <v>147</v>
      </c>
      <c r="U26" s="46" t="s">
        <v>146</v>
      </c>
      <c r="V26" s="126" t="s">
        <v>105</v>
      </c>
      <c r="W26" s="126"/>
      <c r="X26" s="126"/>
      <c r="Y26" s="26" t="s">
        <v>133</v>
      </c>
      <c r="Z26" s="26" t="s">
        <v>134</v>
      </c>
    </row>
    <row r="27" spans="1:26" ht="18" customHeight="1" x14ac:dyDescent="0.2">
      <c r="A27" s="7"/>
      <c r="B27" s="175" t="s">
        <v>187</v>
      </c>
      <c r="C27" s="176"/>
      <c r="D27" s="176"/>
      <c r="E27" s="176"/>
      <c r="F27" s="177"/>
      <c r="G27" s="47">
        <v>1</v>
      </c>
      <c r="H27" s="47" t="s">
        <v>154</v>
      </c>
      <c r="I27" s="179" t="s">
        <v>190</v>
      </c>
      <c r="J27" s="180"/>
      <c r="K27" s="181"/>
      <c r="L27" s="27" t="s">
        <v>154</v>
      </c>
      <c r="M27" s="27"/>
      <c r="N27" s="156"/>
      <c r="O27" s="157"/>
      <c r="P27" s="157"/>
      <c r="Q27" s="157"/>
      <c r="R27" s="157"/>
      <c r="S27" s="158"/>
      <c r="T27" s="47"/>
      <c r="U27" s="47"/>
      <c r="V27" s="179"/>
      <c r="W27" s="180"/>
      <c r="X27" s="181"/>
      <c r="Y27" s="27"/>
      <c r="Z27" s="27"/>
    </row>
    <row r="28" spans="1:26" ht="18" customHeight="1" x14ac:dyDescent="0.2">
      <c r="A28" s="7"/>
      <c r="B28" s="165" t="s">
        <v>188</v>
      </c>
      <c r="C28" s="166"/>
      <c r="D28" s="166"/>
      <c r="E28" s="166"/>
      <c r="F28" s="167"/>
      <c r="G28" s="48">
        <v>1</v>
      </c>
      <c r="H28" s="48" t="s">
        <v>154</v>
      </c>
      <c r="I28" s="171" t="s">
        <v>190</v>
      </c>
      <c r="J28" s="172"/>
      <c r="K28" s="173"/>
      <c r="L28" s="28" t="s">
        <v>154</v>
      </c>
      <c r="M28" s="28" t="s">
        <v>154</v>
      </c>
      <c r="N28" s="159"/>
      <c r="O28" s="160"/>
      <c r="P28" s="160"/>
      <c r="Q28" s="160"/>
      <c r="R28" s="160"/>
      <c r="S28" s="161"/>
      <c r="T28" s="48"/>
      <c r="U28" s="48"/>
      <c r="V28" s="171"/>
      <c r="W28" s="172"/>
      <c r="X28" s="173"/>
      <c r="Y28" s="28"/>
      <c r="Z28" s="28"/>
    </row>
    <row r="29" spans="1:26" ht="18" customHeight="1" x14ac:dyDescent="0.2">
      <c r="A29" s="7"/>
      <c r="B29" s="165" t="s">
        <v>189</v>
      </c>
      <c r="C29" s="166"/>
      <c r="D29" s="166"/>
      <c r="E29" s="166"/>
      <c r="F29" s="167"/>
      <c r="G29" s="48">
        <v>2</v>
      </c>
      <c r="H29" s="48"/>
      <c r="I29" s="171" t="s">
        <v>190</v>
      </c>
      <c r="J29" s="172"/>
      <c r="K29" s="173"/>
      <c r="L29" s="28"/>
      <c r="M29" s="28" t="s">
        <v>154</v>
      </c>
      <c r="N29" s="159"/>
      <c r="O29" s="160"/>
      <c r="P29" s="160"/>
      <c r="Q29" s="160"/>
      <c r="R29" s="160"/>
      <c r="S29" s="161"/>
      <c r="T29" s="48"/>
      <c r="U29" s="48"/>
      <c r="V29" s="171"/>
      <c r="W29" s="172"/>
      <c r="X29" s="173"/>
      <c r="Y29" s="28"/>
      <c r="Z29" s="28"/>
    </row>
    <row r="30" spans="1:26" ht="18" customHeight="1" x14ac:dyDescent="0.2">
      <c r="A30" s="85"/>
      <c r="B30" s="165"/>
      <c r="C30" s="166"/>
      <c r="D30" s="166"/>
      <c r="E30" s="166"/>
      <c r="F30" s="167"/>
      <c r="G30" s="48"/>
      <c r="H30" s="48"/>
      <c r="I30" s="171"/>
      <c r="J30" s="172"/>
      <c r="K30" s="173"/>
      <c r="L30" s="28"/>
      <c r="M30" s="28"/>
      <c r="N30" s="159"/>
      <c r="O30" s="160"/>
      <c r="P30" s="160"/>
      <c r="Q30" s="160"/>
      <c r="R30" s="160"/>
      <c r="S30" s="161"/>
      <c r="T30" s="48"/>
      <c r="U30" s="48"/>
      <c r="V30" s="171"/>
      <c r="W30" s="172"/>
      <c r="X30" s="173"/>
      <c r="Y30" s="28"/>
      <c r="Z30" s="28"/>
    </row>
    <row r="31" spans="1:26" ht="18" customHeight="1" x14ac:dyDescent="0.2">
      <c r="A31" s="85"/>
      <c r="B31" s="165"/>
      <c r="C31" s="166"/>
      <c r="D31" s="166"/>
      <c r="E31" s="166"/>
      <c r="F31" s="167"/>
      <c r="G31" s="48"/>
      <c r="H31" s="48"/>
      <c r="I31" s="171"/>
      <c r="J31" s="172"/>
      <c r="K31" s="173"/>
      <c r="L31" s="28"/>
      <c r="M31" s="28"/>
      <c r="N31" s="159"/>
      <c r="O31" s="160"/>
      <c r="P31" s="160"/>
      <c r="Q31" s="160"/>
      <c r="R31" s="160"/>
      <c r="S31" s="161"/>
      <c r="T31" s="48"/>
      <c r="U31" s="48"/>
      <c r="V31" s="171"/>
      <c r="W31" s="172"/>
      <c r="X31" s="173"/>
      <c r="Y31" s="28"/>
      <c r="Z31" s="28"/>
    </row>
    <row r="32" spans="1:26" ht="18" customHeight="1" x14ac:dyDescent="0.2">
      <c r="A32" s="7"/>
      <c r="B32" s="165"/>
      <c r="C32" s="166"/>
      <c r="D32" s="166"/>
      <c r="E32" s="166"/>
      <c r="F32" s="167"/>
      <c r="G32" s="48"/>
      <c r="H32" s="48"/>
      <c r="I32" s="171"/>
      <c r="J32" s="172"/>
      <c r="K32" s="173"/>
      <c r="L32" s="28"/>
      <c r="M32" s="28"/>
      <c r="N32" s="159"/>
      <c r="O32" s="160"/>
      <c r="P32" s="160"/>
      <c r="Q32" s="160"/>
      <c r="R32" s="160"/>
      <c r="S32" s="161"/>
      <c r="T32" s="48"/>
      <c r="U32" s="48"/>
      <c r="V32" s="171"/>
      <c r="W32" s="172"/>
      <c r="X32" s="173"/>
      <c r="Y32" s="28"/>
      <c r="Z32" s="28"/>
    </row>
    <row r="33" spans="1:26" ht="18" customHeight="1" x14ac:dyDescent="0.2">
      <c r="A33" s="7"/>
      <c r="B33" s="168"/>
      <c r="C33" s="169"/>
      <c r="D33" s="169"/>
      <c r="E33" s="169"/>
      <c r="F33" s="170"/>
      <c r="G33" s="49"/>
      <c r="H33" s="49"/>
      <c r="I33" s="153"/>
      <c r="J33" s="154"/>
      <c r="K33" s="155"/>
      <c r="L33" s="29"/>
      <c r="M33" s="29"/>
      <c r="N33" s="162"/>
      <c r="O33" s="163"/>
      <c r="P33" s="163"/>
      <c r="Q33" s="163"/>
      <c r="R33" s="163"/>
      <c r="S33" s="164"/>
      <c r="T33" s="49"/>
      <c r="U33" s="49"/>
      <c r="V33" s="153"/>
      <c r="W33" s="154"/>
      <c r="X33" s="155"/>
      <c r="Y33" s="29"/>
      <c r="Z33" s="29"/>
    </row>
    <row r="34" spans="1:26" ht="7.5" customHeight="1" x14ac:dyDescent="0.2">
      <c r="A34" s="21"/>
      <c r="B34" s="30"/>
      <c r="C34" s="30"/>
      <c r="D34" s="21"/>
      <c r="E34" s="21"/>
      <c r="F34" s="21"/>
      <c r="G34" s="21"/>
      <c r="H34" s="21"/>
      <c r="I34" s="21"/>
      <c r="J34" s="21"/>
      <c r="K34" s="21"/>
      <c r="L34" s="30"/>
      <c r="M34" s="30"/>
      <c r="N34" s="30"/>
      <c r="O34" s="30"/>
      <c r="P34" s="30"/>
      <c r="Q34" s="30"/>
      <c r="R34" s="30"/>
      <c r="S34" s="30"/>
      <c r="T34" s="30"/>
      <c r="U34" s="30"/>
      <c r="V34" s="30"/>
      <c r="W34" s="30"/>
      <c r="X34" s="30"/>
      <c r="Y34" s="30"/>
      <c r="Z34" s="21"/>
    </row>
    <row r="35" spans="1:26" ht="18" customHeight="1" x14ac:dyDescent="0.2">
      <c r="A35" s="178" t="s">
        <v>135</v>
      </c>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spans="1:26" ht="18" customHeight="1" x14ac:dyDescent="0.2">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spans="1:26" ht="18" customHeight="1" x14ac:dyDescent="0.2">
      <c r="A37" s="7"/>
      <c r="B37" s="125" t="s">
        <v>104</v>
      </c>
      <c r="C37" s="126"/>
      <c r="D37" s="126"/>
      <c r="E37" s="126"/>
      <c r="F37" s="127"/>
      <c r="G37" s="22" t="s">
        <v>147</v>
      </c>
      <c r="H37" s="46" t="s">
        <v>146</v>
      </c>
      <c r="I37" s="125" t="s">
        <v>105</v>
      </c>
      <c r="J37" s="126"/>
      <c r="K37" s="127"/>
      <c r="L37" s="26" t="s">
        <v>136</v>
      </c>
      <c r="M37" s="26" t="s">
        <v>137</v>
      </c>
      <c r="N37" s="125" t="s">
        <v>104</v>
      </c>
      <c r="O37" s="126"/>
      <c r="P37" s="126"/>
      <c r="Q37" s="126"/>
      <c r="R37" s="126"/>
      <c r="S37" s="127"/>
      <c r="T37" s="22" t="s">
        <v>147</v>
      </c>
      <c r="U37" s="46" t="s">
        <v>146</v>
      </c>
      <c r="V37" s="125" t="s">
        <v>105</v>
      </c>
      <c r="W37" s="126"/>
      <c r="X37" s="127"/>
      <c r="Y37" s="26" t="s">
        <v>136</v>
      </c>
      <c r="Z37" s="26" t="s">
        <v>137</v>
      </c>
    </row>
    <row r="38" spans="1:26" ht="18" customHeight="1" x14ac:dyDescent="0.2">
      <c r="A38" s="21"/>
      <c r="B38" s="175" t="s">
        <v>188</v>
      </c>
      <c r="C38" s="176"/>
      <c r="D38" s="176"/>
      <c r="E38" s="176"/>
      <c r="F38" s="177"/>
      <c r="G38" s="47">
        <v>1</v>
      </c>
      <c r="H38" s="47" t="s">
        <v>154</v>
      </c>
      <c r="I38" s="179" t="s">
        <v>190</v>
      </c>
      <c r="J38" s="180"/>
      <c r="K38" s="181"/>
      <c r="L38" s="27" t="s">
        <v>154</v>
      </c>
      <c r="M38" s="27" t="s">
        <v>154</v>
      </c>
      <c r="N38" s="156"/>
      <c r="O38" s="157"/>
      <c r="P38" s="157"/>
      <c r="Q38" s="157"/>
      <c r="R38" s="157"/>
      <c r="S38" s="158"/>
      <c r="T38" s="47"/>
      <c r="U38" s="47"/>
      <c r="V38" s="179"/>
      <c r="W38" s="180"/>
      <c r="X38" s="181"/>
      <c r="Y38" s="27"/>
      <c r="Z38" s="27"/>
    </row>
    <row r="39" spans="1:26" ht="18" customHeight="1" x14ac:dyDescent="0.2">
      <c r="A39" s="21"/>
      <c r="B39" s="165" t="s">
        <v>189</v>
      </c>
      <c r="C39" s="166"/>
      <c r="D39" s="166"/>
      <c r="E39" s="166"/>
      <c r="F39" s="167"/>
      <c r="G39" s="48">
        <v>2</v>
      </c>
      <c r="H39" s="48" t="s">
        <v>154</v>
      </c>
      <c r="I39" s="171" t="s">
        <v>190</v>
      </c>
      <c r="J39" s="172"/>
      <c r="K39" s="173"/>
      <c r="L39" s="28" t="s">
        <v>154</v>
      </c>
      <c r="M39" s="28" t="s">
        <v>154</v>
      </c>
      <c r="N39" s="159"/>
      <c r="O39" s="160"/>
      <c r="P39" s="160"/>
      <c r="Q39" s="160"/>
      <c r="R39" s="160"/>
      <c r="S39" s="161"/>
      <c r="T39" s="48"/>
      <c r="U39" s="48"/>
      <c r="V39" s="171"/>
      <c r="W39" s="172"/>
      <c r="X39" s="173"/>
      <c r="Y39" s="28"/>
      <c r="Z39" s="28"/>
    </row>
    <row r="40" spans="1:26" ht="18.600000000000001" customHeight="1" x14ac:dyDescent="0.2">
      <c r="A40" s="88"/>
      <c r="B40" s="165"/>
      <c r="C40" s="166"/>
      <c r="D40" s="166"/>
      <c r="E40" s="166"/>
      <c r="F40" s="167"/>
      <c r="G40" s="48"/>
      <c r="H40" s="48"/>
      <c r="I40" s="171"/>
      <c r="J40" s="172"/>
      <c r="K40" s="173"/>
      <c r="L40" s="28"/>
      <c r="M40" s="28"/>
      <c r="N40" s="159"/>
      <c r="O40" s="160"/>
      <c r="P40" s="160"/>
      <c r="Q40" s="160"/>
      <c r="R40" s="160"/>
      <c r="S40" s="161"/>
      <c r="T40" s="48"/>
      <c r="U40" s="48"/>
      <c r="V40" s="171"/>
      <c r="W40" s="172"/>
      <c r="X40" s="173"/>
      <c r="Y40" s="28"/>
      <c r="Z40" s="28"/>
    </row>
    <row r="41" spans="1:26" ht="18.600000000000001" customHeight="1" x14ac:dyDescent="0.2">
      <c r="A41" s="88"/>
      <c r="B41" s="165"/>
      <c r="C41" s="166"/>
      <c r="D41" s="166"/>
      <c r="E41" s="166"/>
      <c r="F41" s="167"/>
      <c r="G41" s="48"/>
      <c r="H41" s="48"/>
      <c r="I41" s="171"/>
      <c r="J41" s="172"/>
      <c r="K41" s="173"/>
      <c r="L41" s="28"/>
      <c r="M41" s="28"/>
      <c r="N41" s="159"/>
      <c r="O41" s="160"/>
      <c r="P41" s="160"/>
      <c r="Q41" s="160"/>
      <c r="R41" s="160"/>
      <c r="S41" s="161"/>
      <c r="T41" s="48"/>
      <c r="U41" s="48"/>
      <c r="V41" s="171"/>
      <c r="W41" s="172"/>
      <c r="X41" s="173"/>
      <c r="Y41" s="28"/>
      <c r="Z41" s="28"/>
    </row>
    <row r="42" spans="1:26" ht="18.600000000000001" customHeight="1" x14ac:dyDescent="0.2">
      <c r="A42" s="88"/>
      <c r="B42" s="165"/>
      <c r="C42" s="166"/>
      <c r="D42" s="166"/>
      <c r="E42" s="166"/>
      <c r="F42" s="167"/>
      <c r="G42" s="48"/>
      <c r="H42" s="48"/>
      <c r="I42" s="171"/>
      <c r="J42" s="172"/>
      <c r="K42" s="173"/>
      <c r="L42" s="28"/>
      <c r="M42" s="28"/>
      <c r="N42" s="159"/>
      <c r="O42" s="160"/>
      <c r="P42" s="160"/>
      <c r="Q42" s="160"/>
      <c r="R42" s="160"/>
      <c r="S42" s="161"/>
      <c r="T42" s="48"/>
      <c r="U42" s="48"/>
      <c r="V42" s="171"/>
      <c r="W42" s="172"/>
      <c r="X42" s="173"/>
      <c r="Y42" s="28"/>
      <c r="Z42" s="28"/>
    </row>
    <row r="43" spans="1:26" ht="18.600000000000001" customHeight="1" x14ac:dyDescent="0.2">
      <c r="A43" s="21"/>
      <c r="B43" s="165"/>
      <c r="C43" s="166"/>
      <c r="D43" s="166"/>
      <c r="E43" s="166"/>
      <c r="F43" s="167"/>
      <c r="G43" s="48"/>
      <c r="H43" s="48"/>
      <c r="I43" s="171"/>
      <c r="J43" s="172"/>
      <c r="K43" s="173"/>
      <c r="L43" s="28"/>
      <c r="M43" s="28"/>
      <c r="N43" s="159"/>
      <c r="O43" s="160"/>
      <c r="P43" s="160"/>
      <c r="Q43" s="160"/>
      <c r="R43" s="160"/>
      <c r="S43" s="161"/>
      <c r="T43" s="48"/>
      <c r="U43" s="48"/>
      <c r="V43" s="171"/>
      <c r="W43" s="172"/>
      <c r="X43" s="173"/>
      <c r="Y43" s="28"/>
      <c r="Z43" s="28"/>
    </row>
    <row r="44" spans="1:26" ht="18.600000000000001" customHeight="1" x14ac:dyDescent="0.2">
      <c r="A44" s="21"/>
      <c r="B44" s="168"/>
      <c r="C44" s="169"/>
      <c r="D44" s="169"/>
      <c r="E44" s="169"/>
      <c r="F44" s="170"/>
      <c r="G44" s="49"/>
      <c r="H44" s="49"/>
      <c r="I44" s="153"/>
      <c r="J44" s="154"/>
      <c r="K44" s="155"/>
      <c r="L44" s="29"/>
      <c r="M44" s="29"/>
      <c r="N44" s="162"/>
      <c r="O44" s="163"/>
      <c r="P44" s="163"/>
      <c r="Q44" s="163"/>
      <c r="R44" s="163"/>
      <c r="S44" s="164"/>
      <c r="T44" s="49"/>
      <c r="U44" s="49"/>
      <c r="V44" s="153"/>
      <c r="W44" s="154"/>
      <c r="X44" s="155"/>
      <c r="Y44" s="29"/>
      <c r="Z44" s="29"/>
    </row>
    <row r="45" spans="1:26" ht="13.8" customHeight="1" x14ac:dyDescent="0.2">
      <c r="B45" s="31"/>
      <c r="C45" s="31"/>
      <c r="D45" s="31"/>
      <c r="E45" s="31"/>
      <c r="F45" s="31"/>
      <c r="G45" s="31"/>
      <c r="H45" s="31"/>
      <c r="I45" s="31"/>
      <c r="J45" s="31"/>
      <c r="K45" s="31"/>
      <c r="L45" s="31"/>
      <c r="M45" s="31"/>
      <c r="N45" s="31"/>
      <c r="O45" s="31"/>
      <c r="P45" s="31"/>
      <c r="Q45" s="31"/>
      <c r="R45" s="31"/>
      <c r="S45" s="31"/>
      <c r="T45" s="31"/>
      <c r="U45" s="31"/>
      <c r="V45" s="31"/>
      <c r="W45" s="31"/>
      <c r="X45" s="31"/>
      <c r="Y45" s="31"/>
    </row>
    <row r="46" spans="1:26" ht="24" customHeight="1" x14ac:dyDescent="0.2">
      <c r="A46" s="178" t="s">
        <v>138</v>
      </c>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spans="1:26" ht="18" customHeight="1" x14ac:dyDescent="0.2">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spans="1:26" ht="18" customHeight="1" x14ac:dyDescent="0.2">
      <c r="A48" s="7"/>
      <c r="B48" s="125" t="s">
        <v>104</v>
      </c>
      <c r="C48" s="126"/>
      <c r="D48" s="126"/>
      <c r="E48" s="126"/>
      <c r="F48" s="127"/>
      <c r="G48" s="22" t="s">
        <v>147</v>
      </c>
      <c r="H48" s="46" t="s">
        <v>146</v>
      </c>
      <c r="I48" s="125" t="s">
        <v>105</v>
      </c>
      <c r="J48" s="126"/>
      <c r="K48" s="127"/>
      <c r="L48" s="26" t="s">
        <v>110</v>
      </c>
      <c r="M48" s="26" t="s">
        <v>112</v>
      </c>
      <c r="N48" s="125" t="s">
        <v>104</v>
      </c>
      <c r="O48" s="126"/>
      <c r="P48" s="126"/>
      <c r="Q48" s="126"/>
      <c r="R48" s="126"/>
      <c r="S48" s="127"/>
      <c r="T48" s="22" t="s">
        <v>147</v>
      </c>
      <c r="U48" s="46" t="s">
        <v>146</v>
      </c>
      <c r="V48" s="125" t="s">
        <v>105</v>
      </c>
      <c r="W48" s="126"/>
      <c r="X48" s="127"/>
      <c r="Y48" s="26" t="s">
        <v>110</v>
      </c>
      <c r="Z48" s="26" t="s">
        <v>112</v>
      </c>
    </row>
    <row r="49" spans="1:26" ht="18" customHeight="1" x14ac:dyDescent="0.2">
      <c r="A49" s="21"/>
      <c r="B49" s="175" t="s">
        <v>187</v>
      </c>
      <c r="C49" s="176"/>
      <c r="D49" s="176"/>
      <c r="E49" s="176"/>
      <c r="F49" s="177"/>
      <c r="G49" s="47">
        <v>1</v>
      </c>
      <c r="H49" s="47" t="s">
        <v>154</v>
      </c>
      <c r="I49" s="179" t="s">
        <v>190</v>
      </c>
      <c r="J49" s="180"/>
      <c r="K49" s="181"/>
      <c r="L49" s="27" t="s">
        <v>154</v>
      </c>
      <c r="M49" s="27" t="s">
        <v>154</v>
      </c>
      <c r="N49" s="156"/>
      <c r="O49" s="157"/>
      <c r="P49" s="157"/>
      <c r="Q49" s="157"/>
      <c r="R49" s="157"/>
      <c r="S49" s="158"/>
      <c r="T49" s="47"/>
      <c r="U49" s="47"/>
      <c r="V49" s="179"/>
      <c r="W49" s="180"/>
      <c r="X49" s="181"/>
      <c r="Y49" s="27"/>
      <c r="Z49" s="27"/>
    </row>
    <row r="50" spans="1:26" ht="18" customHeight="1" x14ac:dyDescent="0.2">
      <c r="A50" s="21"/>
      <c r="B50" s="165" t="s">
        <v>191</v>
      </c>
      <c r="C50" s="166"/>
      <c r="D50" s="166"/>
      <c r="E50" s="166"/>
      <c r="F50" s="167"/>
      <c r="G50" s="48">
        <v>1</v>
      </c>
      <c r="H50" s="48" t="s">
        <v>154</v>
      </c>
      <c r="I50" s="171" t="s">
        <v>190</v>
      </c>
      <c r="J50" s="172"/>
      <c r="K50" s="173"/>
      <c r="L50" s="28"/>
      <c r="M50" s="28" t="s">
        <v>154</v>
      </c>
      <c r="N50" s="159"/>
      <c r="O50" s="160"/>
      <c r="P50" s="160"/>
      <c r="Q50" s="160"/>
      <c r="R50" s="160"/>
      <c r="S50" s="161"/>
      <c r="T50" s="48"/>
      <c r="U50" s="48"/>
      <c r="V50" s="171"/>
      <c r="W50" s="172"/>
      <c r="X50" s="173"/>
      <c r="Y50" s="28"/>
      <c r="Z50" s="28"/>
    </row>
    <row r="51" spans="1:26" ht="18" customHeight="1" x14ac:dyDescent="0.2">
      <c r="A51" s="21"/>
      <c r="B51" s="165" t="s">
        <v>189</v>
      </c>
      <c r="C51" s="166"/>
      <c r="D51" s="166"/>
      <c r="E51" s="166"/>
      <c r="F51" s="167"/>
      <c r="G51" s="48">
        <v>2</v>
      </c>
      <c r="H51" s="48"/>
      <c r="I51" s="171" t="s">
        <v>190</v>
      </c>
      <c r="J51" s="172"/>
      <c r="K51" s="173"/>
      <c r="L51" s="28"/>
      <c r="M51" s="28" t="s">
        <v>154</v>
      </c>
      <c r="N51" s="159"/>
      <c r="O51" s="160"/>
      <c r="P51" s="160"/>
      <c r="Q51" s="160"/>
      <c r="R51" s="160"/>
      <c r="S51" s="161"/>
      <c r="T51" s="48"/>
      <c r="U51" s="48"/>
      <c r="V51" s="171"/>
      <c r="W51" s="172"/>
      <c r="X51" s="173"/>
      <c r="Y51" s="28"/>
      <c r="Z51" s="28"/>
    </row>
    <row r="52" spans="1:26" ht="18" customHeight="1" x14ac:dyDescent="0.2">
      <c r="A52" s="88"/>
      <c r="B52" s="165"/>
      <c r="C52" s="166"/>
      <c r="D52" s="166"/>
      <c r="E52" s="166"/>
      <c r="F52" s="167"/>
      <c r="G52" s="48"/>
      <c r="H52" s="48"/>
      <c r="I52" s="171"/>
      <c r="J52" s="172"/>
      <c r="K52" s="173"/>
      <c r="L52" s="28"/>
      <c r="M52" s="28"/>
      <c r="N52" s="159"/>
      <c r="O52" s="160"/>
      <c r="P52" s="160"/>
      <c r="Q52" s="160"/>
      <c r="R52" s="160"/>
      <c r="S52" s="161"/>
      <c r="T52" s="48"/>
      <c r="U52" s="48"/>
      <c r="V52" s="171"/>
      <c r="W52" s="172"/>
      <c r="X52" s="173"/>
      <c r="Y52" s="28"/>
      <c r="Z52" s="28"/>
    </row>
    <row r="53" spans="1:26" ht="18" customHeight="1" x14ac:dyDescent="0.2">
      <c r="A53" s="88"/>
      <c r="B53" s="165"/>
      <c r="C53" s="166"/>
      <c r="D53" s="166"/>
      <c r="E53" s="166"/>
      <c r="F53" s="167"/>
      <c r="G53" s="48"/>
      <c r="H53" s="48"/>
      <c r="I53" s="171"/>
      <c r="J53" s="172"/>
      <c r="K53" s="173"/>
      <c r="L53" s="28"/>
      <c r="M53" s="28"/>
      <c r="N53" s="159"/>
      <c r="O53" s="160"/>
      <c r="P53" s="160"/>
      <c r="Q53" s="160"/>
      <c r="R53" s="160"/>
      <c r="S53" s="161"/>
      <c r="T53" s="48"/>
      <c r="U53" s="48"/>
      <c r="V53" s="171"/>
      <c r="W53" s="172"/>
      <c r="X53" s="173"/>
      <c r="Y53" s="28"/>
      <c r="Z53" s="28"/>
    </row>
    <row r="54" spans="1:26" ht="18" customHeight="1" x14ac:dyDescent="0.2">
      <c r="A54" s="21"/>
      <c r="B54" s="165"/>
      <c r="C54" s="166"/>
      <c r="D54" s="166"/>
      <c r="E54" s="166"/>
      <c r="F54" s="167"/>
      <c r="G54" s="48"/>
      <c r="H54" s="48"/>
      <c r="I54" s="171"/>
      <c r="J54" s="172"/>
      <c r="K54" s="173"/>
      <c r="L54" s="28"/>
      <c r="M54" s="28"/>
      <c r="N54" s="159"/>
      <c r="O54" s="160"/>
      <c r="P54" s="160"/>
      <c r="Q54" s="160"/>
      <c r="R54" s="160"/>
      <c r="S54" s="161"/>
      <c r="T54" s="48"/>
      <c r="U54" s="48"/>
      <c r="V54" s="171"/>
      <c r="W54" s="172"/>
      <c r="X54" s="173"/>
      <c r="Y54" s="28"/>
      <c r="Z54" s="28"/>
    </row>
    <row r="55" spans="1:26" ht="18" customHeight="1" x14ac:dyDescent="0.2">
      <c r="A55" s="21"/>
      <c r="B55" s="168"/>
      <c r="C55" s="169"/>
      <c r="D55" s="169"/>
      <c r="E55" s="169"/>
      <c r="F55" s="170"/>
      <c r="G55" s="49"/>
      <c r="H55" s="49"/>
      <c r="I55" s="153"/>
      <c r="J55" s="154"/>
      <c r="K55" s="155"/>
      <c r="L55" s="29"/>
      <c r="M55" s="29"/>
      <c r="N55" s="162"/>
      <c r="O55" s="163"/>
      <c r="P55" s="163"/>
      <c r="Q55" s="163"/>
      <c r="R55" s="163"/>
      <c r="S55" s="164"/>
      <c r="T55" s="49"/>
      <c r="U55" s="49"/>
      <c r="V55" s="153"/>
      <c r="W55" s="154"/>
      <c r="X55" s="155"/>
      <c r="Y55" s="29"/>
      <c r="Z55" s="29"/>
    </row>
    <row r="56" spans="1:26" ht="7.5" customHeight="1" x14ac:dyDescent="0.2">
      <c r="B56" s="31"/>
      <c r="C56" s="31"/>
      <c r="D56" s="31"/>
      <c r="E56" s="31"/>
      <c r="F56" s="31"/>
      <c r="G56" s="31"/>
      <c r="H56" s="31"/>
      <c r="I56" s="31"/>
      <c r="J56" s="31"/>
      <c r="K56" s="31"/>
      <c r="L56" s="31"/>
      <c r="M56" s="31"/>
      <c r="N56" s="31"/>
      <c r="O56" s="31"/>
      <c r="P56" s="31"/>
      <c r="Q56" s="31"/>
      <c r="R56" s="31"/>
      <c r="S56" s="31"/>
      <c r="T56" s="31"/>
      <c r="U56" s="31"/>
      <c r="V56" s="31"/>
      <c r="W56" s="31"/>
      <c r="X56" s="31"/>
      <c r="Y56" s="31"/>
    </row>
    <row r="57" spans="1:26" ht="18" customHeight="1" x14ac:dyDescent="0.2">
      <c r="A57" s="178" t="s">
        <v>139</v>
      </c>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spans="1:26" ht="18" customHeight="1" x14ac:dyDescent="0.2">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spans="1:26" ht="18" customHeight="1" x14ac:dyDescent="0.2">
      <c r="A59" s="7"/>
      <c r="B59" s="125" t="s">
        <v>104</v>
      </c>
      <c r="C59" s="126"/>
      <c r="D59" s="126"/>
      <c r="E59" s="127"/>
      <c r="F59" s="22" t="s">
        <v>147</v>
      </c>
      <c r="G59" s="46" t="s">
        <v>146</v>
      </c>
      <c r="H59" s="38" t="s">
        <v>105</v>
      </c>
      <c r="I59" s="39"/>
      <c r="J59" s="40"/>
      <c r="K59" s="26" t="s">
        <v>109</v>
      </c>
      <c r="L59" s="26" t="s">
        <v>140</v>
      </c>
      <c r="M59" s="26" t="s">
        <v>141</v>
      </c>
      <c r="N59" s="125" t="s">
        <v>104</v>
      </c>
      <c r="O59" s="126"/>
      <c r="P59" s="126"/>
      <c r="Q59" s="126"/>
      <c r="R59" s="127"/>
      <c r="S59" s="22" t="s">
        <v>147</v>
      </c>
      <c r="T59" s="46" t="s">
        <v>146</v>
      </c>
      <c r="U59" s="38" t="s">
        <v>105</v>
      </c>
      <c r="V59" s="39"/>
      <c r="W59" s="40"/>
      <c r="X59" s="26" t="s">
        <v>109</v>
      </c>
      <c r="Y59" s="26" t="s">
        <v>140</v>
      </c>
      <c r="Z59" s="26" t="s">
        <v>141</v>
      </c>
    </row>
    <row r="60" spans="1:26" ht="18" customHeight="1" x14ac:dyDescent="0.2">
      <c r="A60" s="21"/>
      <c r="B60" s="156" t="s">
        <v>187</v>
      </c>
      <c r="C60" s="157"/>
      <c r="D60" s="157"/>
      <c r="E60" s="158"/>
      <c r="F60" s="47">
        <v>1</v>
      </c>
      <c r="G60" s="47" t="s">
        <v>154</v>
      </c>
      <c r="H60" s="179" t="s">
        <v>190</v>
      </c>
      <c r="I60" s="180"/>
      <c r="J60" s="181"/>
      <c r="K60" s="41"/>
      <c r="L60" s="27" t="s">
        <v>154</v>
      </c>
      <c r="M60" s="27" t="s">
        <v>154</v>
      </c>
      <c r="N60" s="156"/>
      <c r="O60" s="157"/>
      <c r="P60" s="157"/>
      <c r="Q60" s="157"/>
      <c r="R60" s="158"/>
      <c r="S60" s="47"/>
      <c r="T60" s="47"/>
      <c r="U60" s="179"/>
      <c r="V60" s="180"/>
      <c r="W60" s="181"/>
      <c r="X60" s="41"/>
      <c r="Y60" s="27"/>
      <c r="Z60" s="27"/>
    </row>
    <row r="61" spans="1:26" ht="18" customHeight="1" x14ac:dyDescent="0.2">
      <c r="A61" s="21"/>
      <c r="B61" s="159" t="s">
        <v>188</v>
      </c>
      <c r="C61" s="160"/>
      <c r="D61" s="160"/>
      <c r="E61" s="161"/>
      <c r="F61" s="48">
        <v>1</v>
      </c>
      <c r="G61" s="48" t="s">
        <v>154</v>
      </c>
      <c r="H61" s="171" t="s">
        <v>190</v>
      </c>
      <c r="I61" s="172"/>
      <c r="J61" s="173"/>
      <c r="K61" s="42" t="s">
        <v>154</v>
      </c>
      <c r="L61" s="28"/>
      <c r="M61" s="28"/>
      <c r="N61" s="159"/>
      <c r="O61" s="160"/>
      <c r="P61" s="160"/>
      <c r="Q61" s="160"/>
      <c r="R61" s="161"/>
      <c r="S61" s="48"/>
      <c r="T61" s="48"/>
      <c r="U61" s="171"/>
      <c r="V61" s="172"/>
      <c r="W61" s="173"/>
      <c r="X61" s="42"/>
      <c r="Y61" s="28"/>
      <c r="Z61" s="28"/>
    </row>
    <row r="62" spans="1:26" ht="18" customHeight="1" x14ac:dyDescent="0.2">
      <c r="A62" s="21"/>
      <c r="B62" s="159" t="s">
        <v>189</v>
      </c>
      <c r="C62" s="160"/>
      <c r="D62" s="160"/>
      <c r="E62" s="161"/>
      <c r="F62" s="48">
        <v>2</v>
      </c>
      <c r="G62" s="48"/>
      <c r="H62" s="171" t="s">
        <v>190</v>
      </c>
      <c r="I62" s="172"/>
      <c r="J62" s="173"/>
      <c r="K62" s="42" t="s">
        <v>154</v>
      </c>
      <c r="L62" s="28" t="s">
        <v>154</v>
      </c>
      <c r="M62" s="28" t="s">
        <v>154</v>
      </c>
      <c r="N62" s="159"/>
      <c r="O62" s="160"/>
      <c r="P62" s="160"/>
      <c r="Q62" s="160"/>
      <c r="R62" s="161"/>
      <c r="S62" s="48"/>
      <c r="T62" s="48"/>
      <c r="U62" s="171"/>
      <c r="V62" s="172"/>
      <c r="W62" s="173"/>
      <c r="X62" s="42"/>
      <c r="Y62" s="28"/>
      <c r="Z62" s="28"/>
    </row>
    <row r="63" spans="1:26" ht="18" customHeight="1" x14ac:dyDescent="0.2">
      <c r="A63" s="21"/>
      <c r="B63" s="159"/>
      <c r="C63" s="160"/>
      <c r="D63" s="160"/>
      <c r="E63" s="161"/>
      <c r="F63" s="48"/>
      <c r="G63" s="48"/>
      <c r="H63" s="171"/>
      <c r="I63" s="172"/>
      <c r="J63" s="173"/>
      <c r="K63" s="42"/>
      <c r="L63" s="28"/>
      <c r="M63" s="28"/>
      <c r="N63" s="159"/>
      <c r="O63" s="160"/>
      <c r="P63" s="160"/>
      <c r="Q63" s="160"/>
      <c r="R63" s="161"/>
      <c r="S63" s="48"/>
      <c r="T63" s="48"/>
      <c r="U63" s="171"/>
      <c r="V63" s="172"/>
      <c r="W63" s="173"/>
      <c r="X63" s="42"/>
      <c r="Y63" s="28"/>
      <c r="Z63" s="28"/>
    </row>
    <row r="64" spans="1:26" ht="18" customHeight="1" x14ac:dyDescent="0.2">
      <c r="A64" s="21"/>
      <c r="B64" s="162"/>
      <c r="C64" s="163"/>
      <c r="D64" s="163"/>
      <c r="E64" s="164"/>
      <c r="F64" s="49"/>
      <c r="G64" s="49"/>
      <c r="H64" s="153"/>
      <c r="I64" s="154"/>
      <c r="J64" s="155"/>
      <c r="K64" s="43"/>
      <c r="L64" s="29"/>
      <c r="M64" s="29"/>
      <c r="N64" s="162"/>
      <c r="O64" s="163"/>
      <c r="P64" s="163"/>
      <c r="Q64" s="163"/>
      <c r="R64" s="164"/>
      <c r="S64" s="49"/>
      <c r="T64" s="49"/>
      <c r="U64" s="153"/>
      <c r="V64" s="154"/>
      <c r="W64" s="155"/>
      <c r="X64" s="43"/>
      <c r="Y64" s="29"/>
      <c r="Z64" s="29"/>
    </row>
    <row r="65" spans="1:26" ht="7.5" customHeight="1" x14ac:dyDescent="0.2">
      <c r="B65" s="31"/>
      <c r="C65" s="31"/>
      <c r="D65" s="31"/>
      <c r="E65" s="31"/>
      <c r="F65" s="31"/>
      <c r="G65" s="31"/>
      <c r="H65" s="31"/>
      <c r="I65" s="31"/>
      <c r="J65" s="31"/>
      <c r="K65" s="31"/>
      <c r="L65" s="31"/>
      <c r="M65" s="31"/>
      <c r="N65" s="31"/>
      <c r="O65" s="31"/>
      <c r="P65" s="31"/>
      <c r="Q65" s="31"/>
      <c r="R65" s="31"/>
      <c r="S65" s="31"/>
      <c r="T65" s="31"/>
      <c r="U65" s="31"/>
      <c r="V65" s="31"/>
      <c r="W65" s="31"/>
      <c r="X65" s="31"/>
      <c r="Y65" s="31"/>
    </row>
    <row r="66" spans="1:26" ht="18" customHeight="1" x14ac:dyDescent="0.2">
      <c r="A66" s="7" t="s">
        <v>142</v>
      </c>
      <c r="B66" s="7"/>
      <c r="C66" s="7"/>
      <c r="D66" s="7"/>
      <c r="E66" s="7"/>
      <c r="F66" s="7"/>
      <c r="G66" s="7"/>
      <c r="H66" s="7"/>
      <c r="I66" s="7"/>
      <c r="J66" s="7"/>
      <c r="K66" s="7"/>
      <c r="L66" s="21"/>
      <c r="M66" s="21"/>
      <c r="N66" s="21"/>
      <c r="O66" s="21"/>
      <c r="P66" s="21"/>
      <c r="Q66" s="21"/>
      <c r="R66" s="21"/>
      <c r="S66" s="21"/>
      <c r="T66" s="21"/>
      <c r="U66" s="21"/>
      <c r="V66" s="21"/>
      <c r="W66" s="21"/>
      <c r="X66" s="21"/>
      <c r="Y66" s="21"/>
      <c r="Z66" s="21"/>
    </row>
    <row r="67" spans="1:26" ht="18" customHeight="1" x14ac:dyDescent="0.2">
      <c r="A67" s="7"/>
      <c r="B67" s="125" t="s">
        <v>104</v>
      </c>
      <c r="C67" s="126"/>
      <c r="D67" s="126"/>
      <c r="E67" s="126"/>
      <c r="F67" s="127"/>
      <c r="G67" s="125" t="s">
        <v>113</v>
      </c>
      <c r="H67" s="126"/>
      <c r="I67" s="126"/>
      <c r="J67" s="126"/>
      <c r="K67" s="126"/>
      <c r="L67" s="126"/>
      <c r="M67" s="127"/>
      <c r="N67" s="237" t="s">
        <v>104</v>
      </c>
      <c r="O67" s="238"/>
      <c r="P67" s="238"/>
      <c r="Q67" s="238"/>
      <c r="R67" s="238"/>
      <c r="S67" s="239"/>
      <c r="T67" s="125" t="s">
        <v>113</v>
      </c>
      <c r="U67" s="126"/>
      <c r="V67" s="126"/>
      <c r="W67" s="126"/>
      <c r="X67" s="126"/>
      <c r="Y67" s="126"/>
      <c r="Z67" s="127"/>
    </row>
    <row r="68" spans="1:26" ht="18" customHeight="1" x14ac:dyDescent="0.2">
      <c r="A68" s="21"/>
      <c r="B68" s="156" t="s">
        <v>188</v>
      </c>
      <c r="C68" s="157"/>
      <c r="D68" s="157"/>
      <c r="E68" s="157"/>
      <c r="F68" s="158"/>
      <c r="G68" s="219" t="s">
        <v>153</v>
      </c>
      <c r="H68" s="220"/>
      <c r="I68" s="220"/>
      <c r="J68" s="220"/>
      <c r="K68" s="220"/>
      <c r="L68" s="220"/>
      <c r="M68" s="221"/>
      <c r="N68" s="156"/>
      <c r="O68" s="157"/>
      <c r="P68" s="157"/>
      <c r="Q68" s="157"/>
      <c r="R68" s="157"/>
      <c r="S68" s="158"/>
      <c r="T68" s="219"/>
      <c r="U68" s="220"/>
      <c r="V68" s="220"/>
      <c r="W68" s="220"/>
      <c r="X68" s="220"/>
      <c r="Y68" s="220"/>
      <c r="Z68" s="221"/>
    </row>
    <row r="69" spans="1:26" ht="18" customHeight="1" x14ac:dyDescent="0.2">
      <c r="A69" s="88"/>
      <c r="B69" s="159"/>
      <c r="C69" s="160"/>
      <c r="D69" s="160"/>
      <c r="E69" s="160"/>
      <c r="F69" s="161"/>
      <c r="G69" s="208"/>
      <c r="H69" s="209"/>
      <c r="I69" s="209"/>
      <c r="J69" s="209"/>
      <c r="K69" s="209"/>
      <c r="L69" s="209"/>
      <c r="M69" s="210"/>
      <c r="N69" s="159"/>
      <c r="O69" s="160"/>
      <c r="P69" s="160"/>
      <c r="Q69" s="160"/>
      <c r="R69" s="160"/>
      <c r="S69" s="161"/>
      <c r="T69" s="208"/>
      <c r="U69" s="209"/>
      <c r="V69" s="209"/>
      <c r="W69" s="209"/>
      <c r="X69" s="209"/>
      <c r="Y69" s="209"/>
      <c r="Z69" s="210"/>
    </row>
    <row r="70" spans="1:26" ht="18" customHeight="1" x14ac:dyDescent="0.2">
      <c r="A70" s="88"/>
      <c r="B70" s="159"/>
      <c r="C70" s="160"/>
      <c r="D70" s="160"/>
      <c r="E70" s="160"/>
      <c r="F70" s="161"/>
      <c r="G70" s="208"/>
      <c r="H70" s="209"/>
      <c r="I70" s="209"/>
      <c r="J70" s="209"/>
      <c r="K70" s="209"/>
      <c r="L70" s="209"/>
      <c r="M70" s="210"/>
      <c r="N70" s="159"/>
      <c r="O70" s="160"/>
      <c r="P70" s="160"/>
      <c r="Q70" s="160"/>
      <c r="R70" s="160"/>
      <c r="S70" s="161"/>
      <c r="T70" s="208"/>
      <c r="U70" s="209"/>
      <c r="V70" s="209"/>
      <c r="W70" s="209"/>
      <c r="X70" s="209"/>
      <c r="Y70" s="209"/>
      <c r="Z70" s="210"/>
    </row>
    <row r="71" spans="1:26" ht="18" customHeight="1" x14ac:dyDescent="0.2">
      <c r="A71" s="88"/>
      <c r="B71" s="159"/>
      <c r="C71" s="160"/>
      <c r="D71" s="160"/>
      <c r="E71" s="160"/>
      <c r="F71" s="161"/>
      <c r="G71" s="208"/>
      <c r="H71" s="209"/>
      <c r="I71" s="209"/>
      <c r="J71" s="209"/>
      <c r="K71" s="209"/>
      <c r="L71" s="209"/>
      <c r="M71" s="210"/>
      <c r="N71" s="159"/>
      <c r="O71" s="160"/>
      <c r="P71" s="160"/>
      <c r="Q71" s="160"/>
      <c r="R71" s="160"/>
      <c r="S71" s="161"/>
      <c r="T71" s="208"/>
      <c r="U71" s="209"/>
      <c r="V71" s="209"/>
      <c r="W71" s="209"/>
      <c r="X71" s="209"/>
      <c r="Y71" s="209"/>
      <c r="Z71" s="210"/>
    </row>
    <row r="72" spans="1:26" ht="18" customHeight="1" x14ac:dyDescent="0.2">
      <c r="A72" s="88"/>
      <c r="B72" s="159"/>
      <c r="C72" s="160"/>
      <c r="D72" s="160"/>
      <c r="E72" s="160"/>
      <c r="F72" s="161"/>
      <c r="G72" s="208"/>
      <c r="H72" s="209"/>
      <c r="I72" s="209"/>
      <c r="J72" s="209"/>
      <c r="K72" s="209"/>
      <c r="L72" s="209"/>
      <c r="M72" s="210"/>
      <c r="N72" s="159"/>
      <c r="O72" s="160"/>
      <c r="P72" s="160"/>
      <c r="Q72" s="160"/>
      <c r="R72" s="160"/>
      <c r="S72" s="161"/>
      <c r="T72" s="208"/>
      <c r="U72" s="209"/>
      <c r="V72" s="209"/>
      <c r="W72" s="209"/>
      <c r="X72" s="209"/>
      <c r="Y72" s="209"/>
      <c r="Z72" s="210"/>
    </row>
    <row r="73" spans="1:26" ht="18" customHeight="1" x14ac:dyDescent="0.2">
      <c r="A73" s="88"/>
      <c r="B73" s="159"/>
      <c r="C73" s="160"/>
      <c r="D73" s="160"/>
      <c r="E73" s="160"/>
      <c r="F73" s="161"/>
      <c r="G73" s="208"/>
      <c r="H73" s="209"/>
      <c r="I73" s="209"/>
      <c r="J73" s="209"/>
      <c r="K73" s="209"/>
      <c r="L73" s="209"/>
      <c r="M73" s="210"/>
      <c r="N73" s="159"/>
      <c r="O73" s="160"/>
      <c r="P73" s="160"/>
      <c r="Q73" s="160"/>
      <c r="R73" s="160"/>
      <c r="S73" s="161"/>
      <c r="T73" s="208"/>
      <c r="U73" s="209"/>
      <c r="V73" s="209"/>
      <c r="W73" s="209"/>
      <c r="X73" s="209"/>
      <c r="Y73" s="209"/>
      <c r="Z73" s="210"/>
    </row>
    <row r="74" spans="1:26" ht="18" customHeight="1" x14ac:dyDescent="0.2">
      <c r="A74" s="21"/>
      <c r="B74" s="162"/>
      <c r="C74" s="163"/>
      <c r="D74" s="163"/>
      <c r="E74" s="163"/>
      <c r="F74" s="164"/>
      <c r="G74" s="205"/>
      <c r="H74" s="206"/>
      <c r="I74" s="206"/>
      <c r="J74" s="206"/>
      <c r="K74" s="206"/>
      <c r="L74" s="206"/>
      <c r="M74" s="207"/>
      <c r="N74" s="162"/>
      <c r="O74" s="163"/>
      <c r="P74" s="163"/>
      <c r="Q74" s="163"/>
      <c r="R74" s="163"/>
      <c r="S74" s="164"/>
      <c r="T74" s="205"/>
      <c r="U74" s="206"/>
      <c r="V74" s="206"/>
      <c r="W74" s="206"/>
      <c r="X74" s="206"/>
      <c r="Y74" s="206"/>
      <c r="Z74" s="207"/>
    </row>
    <row r="75" spans="1:26" ht="12.6" customHeight="1" x14ac:dyDescent="0.2">
      <c r="A75" s="21"/>
      <c r="B75" s="51"/>
      <c r="C75" s="51"/>
      <c r="D75" s="51"/>
      <c r="E75" s="51"/>
      <c r="F75" s="51"/>
      <c r="G75" s="5"/>
      <c r="H75" s="5"/>
      <c r="I75" s="5"/>
      <c r="J75" s="5"/>
      <c r="K75" s="5"/>
      <c r="L75" s="5"/>
      <c r="M75" s="5"/>
      <c r="N75" s="51"/>
      <c r="O75" s="51"/>
      <c r="P75" s="51"/>
      <c r="Q75" s="51"/>
      <c r="R75" s="51"/>
      <c r="S75" s="51"/>
      <c r="T75" s="5"/>
      <c r="U75" s="5"/>
      <c r="V75" s="5"/>
      <c r="W75" s="5"/>
      <c r="X75" s="5"/>
      <c r="Y75" s="5"/>
      <c r="Z75" s="5"/>
    </row>
    <row r="76" spans="1:26" ht="18.75" customHeight="1" x14ac:dyDescent="0.2">
      <c r="A76" s="6" t="s">
        <v>148</v>
      </c>
    </row>
    <row r="77" spans="1:26" ht="18.75" customHeight="1" x14ac:dyDescent="0.2">
      <c r="B77" s="32" t="s">
        <v>106</v>
      </c>
      <c r="C77" s="33"/>
      <c r="D77" s="235" t="s">
        <v>107</v>
      </c>
      <c r="E77" s="235"/>
      <c r="F77" s="235"/>
      <c r="G77" s="235"/>
      <c r="H77" s="235"/>
      <c r="I77" s="235"/>
      <c r="J77" s="235"/>
      <c r="K77" s="235"/>
      <c r="L77" s="235"/>
      <c r="M77" s="235"/>
      <c r="N77" s="235"/>
      <c r="O77" s="235"/>
      <c r="P77" s="235"/>
      <c r="Q77" s="235"/>
      <c r="R77" s="235"/>
      <c r="S77" s="235"/>
      <c r="T77" s="235"/>
      <c r="U77" s="235"/>
      <c r="V77" s="235"/>
      <c r="W77" s="235"/>
      <c r="X77" s="235"/>
      <c r="Y77" s="235"/>
      <c r="Z77" s="236"/>
    </row>
    <row r="78" spans="1:26" ht="81.599999999999994" customHeight="1" x14ac:dyDescent="0.2">
      <c r="B78" s="225" t="s">
        <v>114</v>
      </c>
      <c r="C78" s="37" t="s">
        <v>108</v>
      </c>
      <c r="D78" s="231" t="s">
        <v>205</v>
      </c>
      <c r="E78" s="232"/>
      <c r="F78" s="232"/>
      <c r="G78" s="232"/>
      <c r="H78" s="232"/>
      <c r="I78" s="232"/>
      <c r="J78" s="232"/>
      <c r="K78" s="232"/>
      <c r="L78" s="232"/>
      <c r="M78" s="232"/>
      <c r="N78" s="232"/>
      <c r="O78" s="232"/>
      <c r="P78" s="232"/>
      <c r="Q78" s="232"/>
      <c r="R78" s="232"/>
      <c r="S78" s="232"/>
      <c r="T78" s="232"/>
      <c r="U78" s="232"/>
      <c r="V78" s="232"/>
      <c r="W78" s="232"/>
      <c r="X78" s="232"/>
      <c r="Y78" s="232"/>
      <c r="Z78" s="233"/>
    </row>
    <row r="79" spans="1:26" ht="81.599999999999994" customHeight="1" x14ac:dyDescent="0.2">
      <c r="B79" s="226"/>
      <c r="C79" s="44" t="s">
        <v>143</v>
      </c>
      <c r="D79" s="211" t="s">
        <v>206</v>
      </c>
      <c r="E79" s="212"/>
      <c r="F79" s="212"/>
      <c r="G79" s="212"/>
      <c r="H79" s="212"/>
      <c r="I79" s="212"/>
      <c r="J79" s="212"/>
      <c r="K79" s="212"/>
      <c r="L79" s="212"/>
      <c r="M79" s="212"/>
      <c r="N79" s="212"/>
      <c r="O79" s="212"/>
      <c r="P79" s="212"/>
      <c r="Q79" s="212"/>
      <c r="R79" s="212"/>
      <c r="S79" s="212"/>
      <c r="T79" s="212"/>
      <c r="U79" s="212"/>
      <c r="V79" s="212"/>
      <c r="W79" s="212"/>
      <c r="X79" s="212"/>
      <c r="Y79" s="212"/>
      <c r="Z79" s="213"/>
    </row>
    <row r="80" spans="1:26" ht="81.599999999999994" customHeight="1" x14ac:dyDescent="0.2">
      <c r="B80" s="223" t="s">
        <v>115</v>
      </c>
      <c r="C80" s="34" t="s">
        <v>133</v>
      </c>
      <c r="D80" s="214" t="s">
        <v>207</v>
      </c>
      <c r="E80" s="176"/>
      <c r="F80" s="176"/>
      <c r="G80" s="176"/>
      <c r="H80" s="176"/>
      <c r="I80" s="176"/>
      <c r="J80" s="176"/>
      <c r="K80" s="176"/>
      <c r="L80" s="176"/>
      <c r="M80" s="176"/>
      <c r="N80" s="176"/>
      <c r="O80" s="176"/>
      <c r="P80" s="176"/>
      <c r="Q80" s="176"/>
      <c r="R80" s="176"/>
      <c r="S80" s="176"/>
      <c r="T80" s="176"/>
      <c r="U80" s="176"/>
      <c r="V80" s="176"/>
      <c r="W80" s="176"/>
      <c r="X80" s="176"/>
      <c r="Y80" s="176"/>
      <c r="Z80" s="177"/>
    </row>
    <row r="81" spans="1:26" ht="81.599999999999994" customHeight="1" x14ac:dyDescent="0.2">
      <c r="B81" s="224"/>
      <c r="C81" s="45" t="s">
        <v>134</v>
      </c>
      <c r="D81" s="218" t="s">
        <v>208</v>
      </c>
      <c r="E81" s="169"/>
      <c r="F81" s="169"/>
      <c r="G81" s="169"/>
      <c r="H81" s="169"/>
      <c r="I81" s="169"/>
      <c r="J81" s="169"/>
      <c r="K81" s="169"/>
      <c r="L81" s="169"/>
      <c r="M81" s="169"/>
      <c r="N81" s="169"/>
      <c r="O81" s="169"/>
      <c r="P81" s="169"/>
      <c r="Q81" s="169"/>
      <c r="R81" s="169"/>
      <c r="S81" s="169"/>
      <c r="T81" s="169"/>
      <c r="U81" s="169"/>
      <c r="V81" s="169"/>
      <c r="W81" s="169"/>
      <c r="X81" s="169"/>
      <c r="Y81" s="169"/>
      <c r="Z81" s="170"/>
    </row>
    <row r="82" spans="1:26" ht="66" customHeight="1" x14ac:dyDescent="0.2">
      <c r="B82" s="223" t="s">
        <v>116</v>
      </c>
      <c r="C82" s="34" t="s">
        <v>136</v>
      </c>
      <c r="D82" s="214" t="s">
        <v>213</v>
      </c>
      <c r="E82" s="176"/>
      <c r="F82" s="176"/>
      <c r="G82" s="176"/>
      <c r="H82" s="176"/>
      <c r="I82" s="176"/>
      <c r="J82" s="176"/>
      <c r="K82" s="176"/>
      <c r="L82" s="176"/>
      <c r="M82" s="176"/>
      <c r="N82" s="176"/>
      <c r="O82" s="176"/>
      <c r="P82" s="176"/>
      <c r="Q82" s="176"/>
      <c r="R82" s="176"/>
      <c r="S82" s="176"/>
      <c r="T82" s="176"/>
      <c r="U82" s="176"/>
      <c r="V82" s="176"/>
      <c r="W82" s="176"/>
      <c r="X82" s="176"/>
      <c r="Y82" s="176"/>
      <c r="Z82" s="177"/>
    </row>
    <row r="83" spans="1:26" ht="66" customHeight="1" x14ac:dyDescent="0.2">
      <c r="B83" s="224"/>
      <c r="C83" s="36" t="s">
        <v>137</v>
      </c>
      <c r="D83" s="215" t="s">
        <v>214</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x14ac:dyDescent="0.2">
      <c r="B84" s="225" t="s">
        <v>144</v>
      </c>
      <c r="C84" s="37" t="s">
        <v>110</v>
      </c>
      <c r="D84" s="231" t="s">
        <v>204</v>
      </c>
      <c r="E84" s="232"/>
      <c r="F84" s="232"/>
      <c r="G84" s="232"/>
      <c r="H84" s="232"/>
      <c r="I84" s="232"/>
      <c r="J84" s="232"/>
      <c r="K84" s="232"/>
      <c r="L84" s="232"/>
      <c r="M84" s="232"/>
      <c r="N84" s="232"/>
      <c r="O84" s="232"/>
      <c r="P84" s="232"/>
      <c r="Q84" s="232"/>
      <c r="R84" s="232"/>
      <c r="S84" s="232"/>
      <c r="T84" s="232"/>
      <c r="U84" s="232"/>
      <c r="V84" s="232"/>
      <c r="W84" s="232"/>
      <c r="X84" s="232"/>
      <c r="Y84" s="232"/>
      <c r="Z84" s="233"/>
    </row>
    <row r="85" spans="1:26" ht="66" customHeight="1" x14ac:dyDescent="0.2">
      <c r="B85" s="230"/>
      <c r="C85" s="35" t="s">
        <v>112</v>
      </c>
      <c r="D85" s="234" t="s">
        <v>202</v>
      </c>
      <c r="E85" s="166"/>
      <c r="F85" s="166"/>
      <c r="G85" s="166"/>
      <c r="H85" s="166"/>
      <c r="I85" s="166"/>
      <c r="J85" s="166"/>
      <c r="K85" s="166"/>
      <c r="L85" s="166"/>
      <c r="M85" s="166"/>
      <c r="N85" s="166"/>
      <c r="O85" s="166"/>
      <c r="P85" s="166"/>
      <c r="Q85" s="166"/>
      <c r="R85" s="166"/>
      <c r="S85" s="166"/>
      <c r="T85" s="166"/>
      <c r="U85" s="166"/>
      <c r="V85" s="166"/>
      <c r="W85" s="166"/>
      <c r="X85" s="166"/>
      <c r="Y85" s="166"/>
      <c r="Z85" s="167"/>
    </row>
    <row r="86" spans="1:26" ht="66" customHeight="1" x14ac:dyDescent="0.2">
      <c r="B86" s="225" t="s">
        <v>145</v>
      </c>
      <c r="C86" s="34" t="s">
        <v>109</v>
      </c>
      <c r="D86" s="227" t="s">
        <v>217</v>
      </c>
      <c r="E86" s="157"/>
      <c r="F86" s="157"/>
      <c r="G86" s="157"/>
      <c r="H86" s="157"/>
      <c r="I86" s="157"/>
      <c r="J86" s="157"/>
      <c r="K86" s="157"/>
      <c r="L86" s="157"/>
      <c r="M86" s="157"/>
      <c r="N86" s="157"/>
      <c r="O86" s="157"/>
      <c r="P86" s="157"/>
      <c r="Q86" s="157"/>
      <c r="R86" s="157"/>
      <c r="S86" s="157"/>
      <c r="T86" s="157"/>
      <c r="U86" s="157"/>
      <c r="V86" s="157"/>
      <c r="W86" s="157"/>
      <c r="X86" s="157"/>
      <c r="Y86" s="157"/>
      <c r="Z86" s="158"/>
    </row>
    <row r="87" spans="1:26" ht="66" customHeight="1" x14ac:dyDescent="0.2">
      <c r="B87" s="226"/>
      <c r="C87" s="35" t="s">
        <v>140</v>
      </c>
      <c r="D87" s="222" t="s">
        <v>215</v>
      </c>
      <c r="E87" s="160"/>
      <c r="F87" s="160"/>
      <c r="G87" s="160"/>
      <c r="H87" s="160"/>
      <c r="I87" s="160"/>
      <c r="J87" s="160"/>
      <c r="K87" s="160"/>
      <c r="L87" s="160"/>
      <c r="M87" s="160"/>
      <c r="N87" s="160"/>
      <c r="O87" s="160"/>
      <c r="P87" s="160"/>
      <c r="Q87" s="160"/>
      <c r="R87" s="160"/>
      <c r="S87" s="160"/>
      <c r="T87" s="160"/>
      <c r="U87" s="160"/>
      <c r="V87" s="160"/>
      <c r="W87" s="160"/>
      <c r="X87" s="160"/>
      <c r="Y87" s="160"/>
      <c r="Z87" s="161"/>
    </row>
    <row r="88" spans="1:26" ht="66" customHeight="1" x14ac:dyDescent="0.2">
      <c r="B88" s="224"/>
      <c r="C88" s="36" t="s">
        <v>141</v>
      </c>
      <c r="D88" s="200" t="s">
        <v>216</v>
      </c>
      <c r="E88" s="228"/>
      <c r="F88" s="228"/>
      <c r="G88" s="228"/>
      <c r="H88" s="228"/>
      <c r="I88" s="228"/>
      <c r="J88" s="228"/>
      <c r="K88" s="228"/>
      <c r="L88" s="228"/>
      <c r="M88" s="228"/>
      <c r="N88" s="228"/>
      <c r="O88" s="228"/>
      <c r="P88" s="228"/>
      <c r="Q88" s="228"/>
      <c r="R88" s="228"/>
      <c r="S88" s="228"/>
      <c r="T88" s="228"/>
      <c r="U88" s="228"/>
      <c r="V88" s="228"/>
      <c r="W88" s="228"/>
      <c r="X88" s="228"/>
      <c r="Y88" s="228"/>
      <c r="Z88" s="229"/>
    </row>
    <row r="89" spans="1:26" ht="6" customHeight="1" x14ac:dyDescent="0.2"/>
    <row r="90" spans="1:26" ht="18.75" customHeight="1" x14ac:dyDescent="0.2">
      <c r="A90" s="6" t="s">
        <v>149</v>
      </c>
    </row>
    <row r="91" spans="1:26" ht="18.75" customHeight="1" x14ac:dyDescent="0.2">
      <c r="B91" s="193" t="s">
        <v>203</v>
      </c>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5"/>
    </row>
    <row r="92" spans="1:26" ht="18.75" customHeight="1" x14ac:dyDescent="0.2">
      <c r="B92" s="196"/>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8"/>
    </row>
    <row r="93" spans="1:26" ht="18.75" customHeight="1" x14ac:dyDescent="0.2">
      <c r="B93" s="199"/>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1"/>
    </row>
    <row r="94" spans="1:26" ht="6" customHeight="1" x14ac:dyDescent="0.2"/>
    <row r="95" spans="1:26" ht="15" customHeight="1" x14ac:dyDescent="0.2">
      <c r="A95" s="6" t="s">
        <v>150</v>
      </c>
    </row>
    <row r="96" spans="1:26" ht="15" customHeight="1" x14ac:dyDescent="0.2">
      <c r="B96" s="202" t="s">
        <v>186</v>
      </c>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4"/>
    </row>
    <row r="97" ht="7.2" customHeight="1" x14ac:dyDescent="0.2"/>
  </sheetData>
  <mergeCells count="210">
    <mergeCell ref="V30:X30"/>
    <mergeCell ref="B31:F31"/>
    <mergeCell ref="I31:K31"/>
    <mergeCell ref="N31:S31"/>
    <mergeCell ref="V31:X31"/>
    <mergeCell ref="V42:X42"/>
    <mergeCell ref="B52:F52"/>
    <mergeCell ref="I52:K52"/>
    <mergeCell ref="N52:S52"/>
    <mergeCell ref="V52:X52"/>
    <mergeCell ref="B72:F72"/>
    <mergeCell ref="G72:M72"/>
    <mergeCell ref="N72:S72"/>
    <mergeCell ref="T72:Z72"/>
    <mergeCell ref="B69:F69"/>
    <mergeCell ref="G69:M69"/>
    <mergeCell ref="N69:S69"/>
    <mergeCell ref="T69:Z69"/>
    <mergeCell ref="B70:F70"/>
    <mergeCell ref="G70:M70"/>
    <mergeCell ref="N70:S70"/>
    <mergeCell ref="T70:Z70"/>
    <mergeCell ref="B71:F71"/>
    <mergeCell ref="G71:M71"/>
    <mergeCell ref="N71:S71"/>
    <mergeCell ref="T71:Z71"/>
    <mergeCell ref="N68:S68"/>
    <mergeCell ref="T68:Z68"/>
    <mergeCell ref="T67:Z67"/>
    <mergeCell ref="B68:F68"/>
    <mergeCell ref="G68:M68"/>
    <mergeCell ref="D87:Z87"/>
    <mergeCell ref="B80:B81"/>
    <mergeCell ref="B82:B83"/>
    <mergeCell ref="B78:B79"/>
    <mergeCell ref="B86:B88"/>
    <mergeCell ref="D86:Z86"/>
    <mergeCell ref="D88:Z88"/>
    <mergeCell ref="B84:B85"/>
    <mergeCell ref="D84:Z84"/>
    <mergeCell ref="D85:Z85"/>
    <mergeCell ref="D77:Z77"/>
    <mergeCell ref="D78:Z78"/>
    <mergeCell ref="N74:S74"/>
    <mergeCell ref="B67:F67"/>
    <mergeCell ref="G67:M67"/>
    <mergeCell ref="N67:S67"/>
    <mergeCell ref="V26:X26"/>
    <mergeCell ref="V27:X27"/>
    <mergeCell ref="V28:X28"/>
    <mergeCell ref="I26:K26"/>
    <mergeCell ref="I27:K27"/>
    <mergeCell ref="I28:K28"/>
    <mergeCell ref="B26:F26"/>
    <mergeCell ref="B27:F27"/>
    <mergeCell ref="B28:F28"/>
    <mergeCell ref="N26:S26"/>
    <mergeCell ref="N27:S27"/>
    <mergeCell ref="N28:S28"/>
    <mergeCell ref="U64:W64"/>
    <mergeCell ref="I29:K29"/>
    <mergeCell ref="I32:K32"/>
    <mergeCell ref="V29:X29"/>
    <mergeCell ref="V32:X32"/>
    <mergeCell ref="I43:K43"/>
    <mergeCell ref="V43:X43"/>
    <mergeCell ref="A35:Z36"/>
    <mergeCell ref="I33:K33"/>
    <mergeCell ref="H62:J62"/>
    <mergeCell ref="H63:J63"/>
    <mergeCell ref="U62:W62"/>
    <mergeCell ref="U63:W63"/>
    <mergeCell ref="V48:X48"/>
    <mergeCell ref="I49:K49"/>
    <mergeCell ref="B40:F40"/>
    <mergeCell ref="I40:K40"/>
    <mergeCell ref="N40:S40"/>
    <mergeCell ref="V40:X40"/>
    <mergeCell ref="B41:F41"/>
    <mergeCell ref="I41:K41"/>
    <mergeCell ref="N41:S41"/>
    <mergeCell ref="V41:X41"/>
    <mergeCell ref="B42:F42"/>
    <mergeCell ref="V54:X54"/>
    <mergeCell ref="V55:X55"/>
    <mergeCell ref="A57:Z58"/>
    <mergeCell ref="I55:K55"/>
    <mergeCell ref="B51:F51"/>
    <mergeCell ref="B54:F54"/>
    <mergeCell ref="B55:F55"/>
    <mergeCell ref="U60:W60"/>
    <mergeCell ref="U61:W61"/>
    <mergeCell ref="B53:F53"/>
    <mergeCell ref="I53:K53"/>
    <mergeCell ref="N53:S53"/>
    <mergeCell ref="V53:X53"/>
    <mergeCell ref="I51:K51"/>
    <mergeCell ref="V51:X51"/>
    <mergeCell ref="H60:J60"/>
    <mergeCell ref="H61:J61"/>
    <mergeCell ref="B59:E59"/>
    <mergeCell ref="N59:R59"/>
    <mergeCell ref="I21:K21"/>
    <mergeCell ref="V18:X18"/>
    <mergeCell ref="V21:X21"/>
    <mergeCell ref="B19:F19"/>
    <mergeCell ref="I19:K19"/>
    <mergeCell ref="N19:S19"/>
    <mergeCell ref="V19:X19"/>
    <mergeCell ref="B20:F20"/>
    <mergeCell ref="I20:K20"/>
    <mergeCell ref="N20:S20"/>
    <mergeCell ref="V20:X20"/>
    <mergeCell ref="V44:X44"/>
    <mergeCell ref="I50:K50"/>
    <mergeCell ref="V50:X50"/>
    <mergeCell ref="B48:F48"/>
    <mergeCell ref="B49:F49"/>
    <mergeCell ref="B50:F50"/>
    <mergeCell ref="V33:X33"/>
    <mergeCell ref="V37:X37"/>
    <mergeCell ref="I38:K38"/>
    <mergeCell ref="V38:X38"/>
    <mergeCell ref="I39:K39"/>
    <mergeCell ref="V39:X39"/>
    <mergeCell ref="I37:K37"/>
    <mergeCell ref="B37:F37"/>
    <mergeCell ref="B38:F38"/>
    <mergeCell ref="B39:F39"/>
    <mergeCell ref="B43:F43"/>
    <mergeCell ref="A46:Z47"/>
    <mergeCell ref="I48:K48"/>
    <mergeCell ref="V49:X49"/>
    <mergeCell ref="B44:F44"/>
    <mergeCell ref="N37:S37"/>
    <mergeCell ref="N38:S38"/>
    <mergeCell ref="A24:Z25"/>
    <mergeCell ref="A2:Z2"/>
    <mergeCell ref="B6:Z11"/>
    <mergeCell ref="B91:Z93"/>
    <mergeCell ref="B96:Z96"/>
    <mergeCell ref="T74:Z74"/>
    <mergeCell ref="B73:F73"/>
    <mergeCell ref="G73:M73"/>
    <mergeCell ref="N73:S73"/>
    <mergeCell ref="T73:Z73"/>
    <mergeCell ref="B60:E60"/>
    <mergeCell ref="B61:E61"/>
    <mergeCell ref="B62:E62"/>
    <mergeCell ref="B63:E63"/>
    <mergeCell ref="B64:E64"/>
    <mergeCell ref="D79:Z79"/>
    <mergeCell ref="D80:Z80"/>
    <mergeCell ref="D83:Z83"/>
    <mergeCell ref="D81:Z81"/>
    <mergeCell ref="D82:Z82"/>
    <mergeCell ref="B74:F74"/>
    <mergeCell ref="G74:M74"/>
    <mergeCell ref="N60:R60"/>
    <mergeCell ref="N61:R61"/>
    <mergeCell ref="W1:Z1"/>
    <mergeCell ref="B15:F15"/>
    <mergeCell ref="B16:F16"/>
    <mergeCell ref="B17:F17"/>
    <mergeCell ref="B18:F18"/>
    <mergeCell ref="B21:F21"/>
    <mergeCell ref="B22:F22"/>
    <mergeCell ref="N15:S15"/>
    <mergeCell ref="N16:S16"/>
    <mergeCell ref="N17:S17"/>
    <mergeCell ref="N18:S18"/>
    <mergeCell ref="N21:S21"/>
    <mergeCell ref="N22:S22"/>
    <mergeCell ref="I17:K17"/>
    <mergeCell ref="I22:K22"/>
    <mergeCell ref="A13:Z14"/>
    <mergeCell ref="I15:K15"/>
    <mergeCell ref="I16:K16"/>
    <mergeCell ref="V15:X15"/>
    <mergeCell ref="V16:X16"/>
    <mergeCell ref="O4:Z4"/>
    <mergeCell ref="V17:X17"/>
    <mergeCell ref="V22:X22"/>
    <mergeCell ref="I18:K18"/>
    <mergeCell ref="B29:F29"/>
    <mergeCell ref="B32:F32"/>
    <mergeCell ref="B33:F33"/>
    <mergeCell ref="I54:K54"/>
    <mergeCell ref="I42:K42"/>
    <mergeCell ref="N42:S42"/>
    <mergeCell ref="B30:F30"/>
    <mergeCell ref="I30:K30"/>
    <mergeCell ref="N30:S30"/>
    <mergeCell ref="N29:S29"/>
    <mergeCell ref="N32:S32"/>
    <mergeCell ref="N33:S33"/>
    <mergeCell ref="I44:K44"/>
    <mergeCell ref="H64:J64"/>
    <mergeCell ref="N48:S48"/>
    <mergeCell ref="N49:S49"/>
    <mergeCell ref="N50:S50"/>
    <mergeCell ref="N51:S51"/>
    <mergeCell ref="N54:S54"/>
    <mergeCell ref="N55:S55"/>
    <mergeCell ref="N39:S39"/>
    <mergeCell ref="N43:S43"/>
    <mergeCell ref="N44:S44"/>
    <mergeCell ref="N62:R62"/>
    <mergeCell ref="N63:R63"/>
    <mergeCell ref="N64:R64"/>
  </mergeCells>
  <phoneticPr fontId="1"/>
  <dataValidations count="4">
    <dataValidation type="list" allowBlank="1" showInputMessage="1" showErrorMessage="1" sqref="K60:K62 U16:U22 H16:H22 L16:M22 Y16:Z22 H27:H33 U27:U33 L27:M33 Y27:Z33 U38:U44 H38:H44 L38:M44 Y38:Z44 L60:M64 T60:T64 G60:G64 Y60:Z64 H49:H55 L49:M55 Y49:Z55 U49:U55" xr:uid="{00000000-0002-0000-0100-000000000000}">
      <formula1>"○"</formula1>
    </dataValidation>
    <dataValidation type="list" allowBlank="1" showInputMessage="1" showErrorMessage="1" sqref="Z23 Z34 D34:K34 D23:K23 I16:I22 V16:V22 I27:I33 V27:V33 V38:V44 I38:I44 H60:H64 U60:U64 V49:V55 I49:I55"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T68:Z75 G68:M75"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31496062992125984"/>
  <pageSetup paperSize="9" scale="98" orientation="landscape" r:id="rId1"/>
  <rowBreaks count="3" manualBreakCount="3">
    <brk id="34" max="25" man="1"/>
    <brk id="65" max="25" man="1"/>
    <brk id="81"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DEB5-442C-4191-8C73-DBC66ACE7E6A}">
  <dimension ref="A1:Z99"/>
  <sheetViews>
    <sheetView showZeros="0" view="pageBreakPreview" zoomScaleNormal="100" zoomScaleSheetLayoutView="100" workbookViewId="0">
      <selection activeCell="AB7" sqref="AB7"/>
    </sheetView>
  </sheetViews>
  <sheetFormatPr defaultColWidth="9" defaultRowHeight="18.75" customHeight="1" x14ac:dyDescent="0.2"/>
  <cols>
    <col min="1" max="1" width="2.44140625" style="6" customWidth="1"/>
    <col min="2" max="2" width="27.77734375" style="6" customWidth="1"/>
    <col min="3" max="13" width="3.33203125" style="6" customWidth="1"/>
    <col min="14" max="14" width="8.88671875" style="6" customWidth="1"/>
    <col min="15" max="15" width="18.88671875" style="6" customWidth="1"/>
    <col min="16" max="19" width="3.33203125" style="6" customWidth="1"/>
    <col min="20" max="20" width="3.44140625" style="6" customWidth="1"/>
    <col min="21" max="26" width="3.33203125" style="6" customWidth="1"/>
    <col min="27" max="16384" width="9" style="6"/>
  </cols>
  <sheetData>
    <row r="1" spans="1:26" ht="18.75" customHeight="1" x14ac:dyDescent="0.2">
      <c r="W1" s="174" t="s">
        <v>228</v>
      </c>
      <c r="X1" s="174"/>
      <c r="Y1" s="174"/>
      <c r="Z1" s="174"/>
    </row>
    <row r="2" spans="1:26" ht="18.75" customHeight="1" x14ac:dyDescent="0.2">
      <c r="A2" s="182" t="s">
        <v>69</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spans="1:26" ht="18.75" customHeight="1" x14ac:dyDescent="0.2">
      <c r="B3" s="88"/>
      <c r="C3" s="88"/>
      <c r="D3" s="88"/>
      <c r="E3" s="88"/>
      <c r="F3" s="88"/>
      <c r="G3" s="88"/>
      <c r="H3" s="88"/>
      <c r="I3" s="88"/>
      <c r="J3" s="88"/>
      <c r="K3" s="88"/>
      <c r="L3" s="88"/>
      <c r="M3" s="88"/>
      <c r="N3" s="88"/>
      <c r="O3" s="88"/>
      <c r="P3" s="88"/>
      <c r="Q3" s="88"/>
      <c r="R3" s="88"/>
      <c r="S3" s="88"/>
      <c r="T3" s="88"/>
      <c r="U3" s="88"/>
      <c r="V3" s="88"/>
      <c r="W3" s="88"/>
      <c r="X3" s="88"/>
      <c r="Y3" s="88"/>
      <c r="Z3" s="88"/>
    </row>
    <row r="4" spans="1:26" ht="18.75" customHeight="1" x14ac:dyDescent="0.2">
      <c r="A4" s="6" t="s">
        <v>103</v>
      </c>
      <c r="B4" s="88"/>
      <c r="C4" s="88"/>
      <c r="D4" s="88"/>
      <c r="E4" s="88"/>
      <c r="F4" s="88"/>
      <c r="G4" s="88"/>
      <c r="H4" s="86" t="s">
        <v>117</v>
      </c>
      <c r="I4" s="88"/>
      <c r="J4" s="88"/>
      <c r="K4" s="88"/>
      <c r="L4" s="88"/>
      <c r="M4" s="88"/>
      <c r="N4" s="88"/>
      <c r="O4" s="125" t="s">
        <v>183</v>
      </c>
      <c r="P4" s="126"/>
      <c r="Q4" s="126"/>
      <c r="R4" s="126"/>
      <c r="S4" s="126"/>
      <c r="T4" s="126"/>
      <c r="U4" s="126"/>
      <c r="V4" s="126"/>
      <c r="W4" s="126"/>
      <c r="X4" s="126"/>
      <c r="Y4" s="126"/>
      <c r="Z4" s="127"/>
    </row>
    <row r="5" spans="1:26" ht="13.2" customHeight="1" x14ac:dyDescent="0.2">
      <c r="B5" s="88"/>
      <c r="C5" s="88"/>
      <c r="D5" s="88"/>
      <c r="E5" s="88"/>
      <c r="F5" s="88"/>
      <c r="G5" s="88"/>
      <c r="H5" s="88"/>
      <c r="I5" s="88"/>
      <c r="J5" s="88"/>
      <c r="K5" s="88"/>
      <c r="L5" s="88"/>
      <c r="M5" s="88"/>
      <c r="N5" s="88"/>
      <c r="O5" s="9"/>
      <c r="P5" s="88"/>
      <c r="Q5" s="88"/>
      <c r="R5" s="88"/>
      <c r="S5" s="88"/>
      <c r="T5" s="88"/>
      <c r="U5" s="88"/>
      <c r="V5" s="88"/>
      <c r="W5" s="88"/>
      <c r="X5" s="88"/>
      <c r="Y5" s="88"/>
      <c r="Z5" s="88"/>
    </row>
    <row r="6" spans="1:26" ht="18.75" customHeight="1" x14ac:dyDescent="0.2">
      <c r="B6" s="183" t="s">
        <v>195</v>
      </c>
      <c r="C6" s="240"/>
      <c r="D6" s="240"/>
      <c r="E6" s="240"/>
      <c r="F6" s="240"/>
      <c r="G6" s="240"/>
      <c r="H6" s="240"/>
      <c r="I6" s="240"/>
      <c r="J6" s="240"/>
      <c r="K6" s="240"/>
      <c r="L6" s="240"/>
      <c r="M6" s="240"/>
      <c r="N6" s="240"/>
      <c r="O6" s="240"/>
      <c r="P6" s="240"/>
      <c r="Q6" s="240"/>
      <c r="R6" s="240"/>
      <c r="S6" s="240"/>
      <c r="T6" s="240"/>
      <c r="U6" s="240"/>
      <c r="V6" s="240"/>
      <c r="W6" s="240"/>
      <c r="X6" s="240"/>
      <c r="Y6" s="240"/>
      <c r="Z6" s="241"/>
    </row>
    <row r="7" spans="1:26" ht="18.75" customHeight="1" x14ac:dyDescent="0.2">
      <c r="B7" s="242"/>
      <c r="C7" s="243"/>
      <c r="D7" s="243"/>
      <c r="E7" s="243"/>
      <c r="F7" s="243"/>
      <c r="G7" s="243"/>
      <c r="H7" s="243"/>
      <c r="I7" s="243"/>
      <c r="J7" s="243"/>
      <c r="K7" s="243"/>
      <c r="L7" s="243"/>
      <c r="M7" s="243"/>
      <c r="N7" s="243"/>
      <c r="O7" s="243"/>
      <c r="P7" s="243"/>
      <c r="Q7" s="243"/>
      <c r="R7" s="243"/>
      <c r="S7" s="243"/>
      <c r="T7" s="243"/>
      <c r="U7" s="243"/>
      <c r="V7" s="243"/>
      <c r="W7" s="243"/>
      <c r="X7" s="243"/>
      <c r="Y7" s="243"/>
      <c r="Z7" s="244"/>
    </row>
    <row r="8" spans="1:26" ht="18.75" customHeight="1" x14ac:dyDescent="0.2">
      <c r="B8" s="242"/>
      <c r="C8" s="243"/>
      <c r="D8" s="243"/>
      <c r="E8" s="243"/>
      <c r="F8" s="243"/>
      <c r="G8" s="243"/>
      <c r="H8" s="243"/>
      <c r="I8" s="243"/>
      <c r="J8" s="243"/>
      <c r="K8" s="243"/>
      <c r="L8" s="243"/>
      <c r="M8" s="243"/>
      <c r="N8" s="243"/>
      <c r="O8" s="243"/>
      <c r="P8" s="243"/>
      <c r="Q8" s="243"/>
      <c r="R8" s="243"/>
      <c r="S8" s="243"/>
      <c r="T8" s="243"/>
      <c r="U8" s="243"/>
      <c r="V8" s="243"/>
      <c r="W8" s="243"/>
      <c r="X8" s="243"/>
      <c r="Y8" s="243"/>
      <c r="Z8" s="244"/>
    </row>
    <row r="9" spans="1:26" ht="18.75" customHeight="1" x14ac:dyDescent="0.2">
      <c r="B9" s="242"/>
      <c r="C9" s="243"/>
      <c r="D9" s="243"/>
      <c r="E9" s="243"/>
      <c r="F9" s="243"/>
      <c r="G9" s="243"/>
      <c r="H9" s="243"/>
      <c r="I9" s="243"/>
      <c r="J9" s="243"/>
      <c r="K9" s="243"/>
      <c r="L9" s="243"/>
      <c r="M9" s="243"/>
      <c r="N9" s="243"/>
      <c r="O9" s="243"/>
      <c r="P9" s="243"/>
      <c r="Q9" s="243"/>
      <c r="R9" s="243"/>
      <c r="S9" s="243"/>
      <c r="T9" s="243"/>
      <c r="U9" s="243"/>
      <c r="V9" s="243"/>
      <c r="W9" s="243"/>
      <c r="X9" s="243"/>
      <c r="Y9" s="243"/>
      <c r="Z9" s="244"/>
    </row>
    <row r="10" spans="1:26" ht="18.75" customHeight="1" x14ac:dyDescent="0.2">
      <c r="B10" s="242"/>
      <c r="C10" s="243"/>
      <c r="D10" s="243"/>
      <c r="E10" s="243"/>
      <c r="F10" s="243"/>
      <c r="G10" s="243"/>
      <c r="H10" s="243"/>
      <c r="I10" s="243"/>
      <c r="J10" s="243"/>
      <c r="K10" s="243"/>
      <c r="L10" s="243"/>
      <c r="M10" s="243"/>
      <c r="N10" s="243"/>
      <c r="O10" s="243"/>
      <c r="P10" s="243"/>
      <c r="Q10" s="243"/>
      <c r="R10" s="243"/>
      <c r="S10" s="243"/>
      <c r="T10" s="243"/>
      <c r="U10" s="243"/>
      <c r="V10" s="243"/>
      <c r="W10" s="243"/>
      <c r="X10" s="243"/>
      <c r="Y10" s="243"/>
      <c r="Z10" s="244"/>
    </row>
    <row r="11" spans="1:26" ht="13.8" customHeight="1" x14ac:dyDescent="0.2">
      <c r="B11" s="245"/>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7"/>
    </row>
    <row r="12" spans="1:26" ht="9.6" customHeight="1" x14ac:dyDescent="0.2">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8.75" customHeight="1" x14ac:dyDescent="0.2">
      <c r="A13" s="178" t="s">
        <v>131</v>
      </c>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spans="1:26" ht="18.75" customHeight="1" x14ac:dyDescent="0.2">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spans="1:26" ht="18.75" customHeight="1" x14ac:dyDescent="0.2">
      <c r="A15" s="85"/>
      <c r="B15" s="125" t="s">
        <v>104</v>
      </c>
      <c r="C15" s="126"/>
      <c r="D15" s="126"/>
      <c r="E15" s="126"/>
      <c r="F15" s="127"/>
      <c r="G15" s="22" t="s">
        <v>147</v>
      </c>
      <c r="H15" s="46" t="s">
        <v>146</v>
      </c>
      <c r="I15" s="125" t="s">
        <v>105</v>
      </c>
      <c r="J15" s="126"/>
      <c r="K15" s="127"/>
      <c r="L15" s="26" t="s">
        <v>108</v>
      </c>
      <c r="M15" s="26" t="s">
        <v>111</v>
      </c>
      <c r="N15" s="125" t="s">
        <v>104</v>
      </c>
      <c r="O15" s="126"/>
      <c r="P15" s="126"/>
      <c r="Q15" s="126"/>
      <c r="R15" s="126"/>
      <c r="S15" s="127"/>
      <c r="T15" s="22" t="s">
        <v>147</v>
      </c>
      <c r="U15" s="46" t="s">
        <v>146</v>
      </c>
      <c r="V15" s="125" t="s">
        <v>105</v>
      </c>
      <c r="W15" s="126"/>
      <c r="X15" s="127"/>
      <c r="Y15" s="26" t="s">
        <v>108</v>
      </c>
      <c r="Z15" s="26" t="s">
        <v>111</v>
      </c>
    </row>
    <row r="16" spans="1:26" ht="18.75" customHeight="1" x14ac:dyDescent="0.2">
      <c r="A16" s="85"/>
      <c r="B16" s="175" t="s">
        <v>196</v>
      </c>
      <c r="C16" s="176"/>
      <c r="D16" s="176"/>
      <c r="E16" s="176"/>
      <c r="F16" s="177"/>
      <c r="G16" s="47">
        <v>1</v>
      </c>
      <c r="H16" s="47" t="s">
        <v>154</v>
      </c>
      <c r="I16" s="179" t="s">
        <v>190</v>
      </c>
      <c r="J16" s="180"/>
      <c r="K16" s="181"/>
      <c r="L16" s="27" t="s">
        <v>154</v>
      </c>
      <c r="M16" s="27" t="s">
        <v>154</v>
      </c>
      <c r="N16" s="156"/>
      <c r="O16" s="157"/>
      <c r="P16" s="157"/>
      <c r="Q16" s="157"/>
      <c r="R16" s="157"/>
      <c r="S16" s="158"/>
      <c r="T16" s="47"/>
      <c r="U16" s="47"/>
      <c r="V16" s="179"/>
      <c r="W16" s="180"/>
      <c r="X16" s="181"/>
      <c r="Y16" s="27"/>
      <c r="Z16" s="27"/>
    </row>
    <row r="17" spans="1:26" ht="18.75" customHeight="1" x14ac:dyDescent="0.2">
      <c r="A17" s="85"/>
      <c r="B17" s="165" t="s">
        <v>197</v>
      </c>
      <c r="C17" s="166"/>
      <c r="D17" s="166"/>
      <c r="E17" s="166"/>
      <c r="F17" s="167"/>
      <c r="G17" s="48">
        <v>1</v>
      </c>
      <c r="H17" s="48" t="s">
        <v>154</v>
      </c>
      <c r="I17" s="171" t="s">
        <v>190</v>
      </c>
      <c r="J17" s="172"/>
      <c r="K17" s="173"/>
      <c r="L17" s="28" t="s">
        <v>154</v>
      </c>
      <c r="M17" s="28"/>
      <c r="N17" s="159"/>
      <c r="O17" s="160"/>
      <c r="P17" s="160"/>
      <c r="Q17" s="160"/>
      <c r="R17" s="160"/>
      <c r="S17" s="161"/>
      <c r="T17" s="48"/>
      <c r="U17" s="48"/>
      <c r="V17" s="171"/>
      <c r="W17" s="172"/>
      <c r="X17" s="173"/>
      <c r="Y17" s="28"/>
      <c r="Z17" s="28"/>
    </row>
    <row r="18" spans="1:26" ht="18.75" customHeight="1" x14ac:dyDescent="0.2">
      <c r="A18" s="85"/>
      <c r="B18" s="165" t="s">
        <v>198</v>
      </c>
      <c r="C18" s="166"/>
      <c r="D18" s="166"/>
      <c r="E18" s="166"/>
      <c r="F18" s="167"/>
      <c r="G18" s="48">
        <v>2</v>
      </c>
      <c r="H18" s="48"/>
      <c r="I18" s="171" t="s">
        <v>190</v>
      </c>
      <c r="J18" s="172"/>
      <c r="K18" s="173"/>
      <c r="L18" s="28" t="s">
        <v>154</v>
      </c>
      <c r="M18" s="28" t="s">
        <v>154</v>
      </c>
      <c r="N18" s="159"/>
      <c r="O18" s="160"/>
      <c r="P18" s="160"/>
      <c r="Q18" s="160"/>
      <c r="R18" s="160"/>
      <c r="S18" s="161"/>
      <c r="T18" s="48"/>
      <c r="U18" s="48"/>
      <c r="V18" s="171"/>
      <c r="W18" s="172"/>
      <c r="X18" s="173"/>
      <c r="Y18" s="28"/>
      <c r="Z18" s="28"/>
    </row>
    <row r="19" spans="1:26" ht="18.75" customHeight="1" x14ac:dyDescent="0.2">
      <c r="A19" s="85"/>
      <c r="B19" s="165"/>
      <c r="C19" s="166"/>
      <c r="D19" s="166"/>
      <c r="E19" s="166"/>
      <c r="F19" s="167"/>
      <c r="G19" s="48"/>
      <c r="H19" s="48"/>
      <c r="I19" s="171"/>
      <c r="J19" s="172"/>
      <c r="K19" s="173"/>
      <c r="L19" s="28"/>
      <c r="M19" s="28"/>
      <c r="N19" s="159"/>
      <c r="O19" s="160"/>
      <c r="P19" s="160"/>
      <c r="Q19" s="160"/>
      <c r="R19" s="160"/>
      <c r="S19" s="161"/>
      <c r="T19" s="48"/>
      <c r="U19" s="48"/>
      <c r="V19" s="171"/>
      <c r="W19" s="172"/>
      <c r="X19" s="173"/>
      <c r="Y19" s="28"/>
      <c r="Z19" s="28"/>
    </row>
    <row r="20" spans="1:26" ht="18.75" customHeight="1" x14ac:dyDescent="0.2">
      <c r="A20" s="85"/>
      <c r="B20" s="165"/>
      <c r="C20" s="166"/>
      <c r="D20" s="166"/>
      <c r="E20" s="166"/>
      <c r="F20" s="167"/>
      <c r="G20" s="48"/>
      <c r="H20" s="48"/>
      <c r="I20" s="171"/>
      <c r="J20" s="172"/>
      <c r="K20" s="173"/>
      <c r="L20" s="28"/>
      <c r="M20" s="28"/>
      <c r="N20" s="159"/>
      <c r="O20" s="160"/>
      <c r="P20" s="160"/>
      <c r="Q20" s="160"/>
      <c r="R20" s="160"/>
      <c r="S20" s="161"/>
      <c r="T20" s="48"/>
      <c r="U20" s="48"/>
      <c r="V20" s="171"/>
      <c r="W20" s="172"/>
      <c r="X20" s="173"/>
      <c r="Y20" s="28"/>
      <c r="Z20" s="28"/>
    </row>
    <row r="21" spans="1:26" ht="18.75" customHeight="1" x14ac:dyDescent="0.2">
      <c r="A21" s="85"/>
      <c r="B21" s="165"/>
      <c r="C21" s="166"/>
      <c r="D21" s="166"/>
      <c r="E21" s="166"/>
      <c r="F21" s="167"/>
      <c r="G21" s="48"/>
      <c r="H21" s="48"/>
      <c r="I21" s="171"/>
      <c r="J21" s="172"/>
      <c r="K21" s="173"/>
      <c r="L21" s="28"/>
      <c r="M21" s="28"/>
      <c r="N21" s="159"/>
      <c r="O21" s="160"/>
      <c r="P21" s="160"/>
      <c r="Q21" s="160"/>
      <c r="R21" s="160"/>
      <c r="S21" s="161"/>
      <c r="T21" s="48"/>
      <c r="U21" s="48"/>
      <c r="V21" s="171"/>
      <c r="W21" s="172"/>
      <c r="X21" s="173"/>
      <c r="Y21" s="28"/>
      <c r="Z21" s="28"/>
    </row>
    <row r="22" spans="1:26" ht="18.75" customHeight="1" x14ac:dyDescent="0.2">
      <c r="A22" s="88"/>
      <c r="B22" s="168"/>
      <c r="C22" s="169"/>
      <c r="D22" s="169"/>
      <c r="E22" s="169"/>
      <c r="F22" s="170"/>
      <c r="G22" s="49"/>
      <c r="H22" s="49"/>
      <c r="I22" s="153"/>
      <c r="J22" s="154"/>
      <c r="K22" s="155"/>
      <c r="L22" s="29"/>
      <c r="M22" s="29"/>
      <c r="N22" s="162"/>
      <c r="O22" s="163"/>
      <c r="P22" s="163"/>
      <c r="Q22" s="163"/>
      <c r="R22" s="163"/>
      <c r="S22" s="164"/>
      <c r="T22" s="49"/>
      <c r="U22" s="49"/>
      <c r="V22" s="153"/>
      <c r="W22" s="154"/>
      <c r="X22" s="155"/>
      <c r="Y22" s="29"/>
      <c r="Z22" s="29"/>
    </row>
    <row r="23" spans="1:26" ht="9.6" customHeight="1" x14ac:dyDescent="0.2">
      <c r="A23" s="88"/>
      <c r="B23" s="30"/>
      <c r="C23" s="30"/>
      <c r="D23" s="88"/>
      <c r="E23" s="88"/>
      <c r="F23" s="88"/>
      <c r="G23" s="88"/>
      <c r="H23" s="88"/>
      <c r="I23" s="88"/>
      <c r="J23" s="88"/>
      <c r="K23" s="88"/>
      <c r="L23" s="30"/>
      <c r="M23" s="30"/>
      <c r="N23" s="30"/>
      <c r="O23" s="30"/>
      <c r="P23" s="30"/>
      <c r="Q23" s="30"/>
      <c r="R23" s="30"/>
      <c r="S23" s="30"/>
      <c r="T23" s="30"/>
      <c r="U23" s="30"/>
      <c r="V23" s="30"/>
      <c r="W23" s="30"/>
      <c r="X23" s="30"/>
      <c r="Y23" s="30"/>
      <c r="Z23" s="88"/>
    </row>
    <row r="24" spans="1:26" ht="18.75" customHeight="1" x14ac:dyDescent="0.2">
      <c r="A24" s="178" t="s">
        <v>132</v>
      </c>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spans="1:26" ht="18.75" customHeight="1" x14ac:dyDescent="0.2">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spans="1:26" ht="18.75" customHeight="1" x14ac:dyDescent="0.2">
      <c r="A26" s="85"/>
      <c r="B26" s="125" t="s">
        <v>104</v>
      </c>
      <c r="C26" s="126"/>
      <c r="D26" s="126"/>
      <c r="E26" s="126"/>
      <c r="F26" s="127"/>
      <c r="G26" s="22" t="s">
        <v>147</v>
      </c>
      <c r="H26" s="46" t="s">
        <v>146</v>
      </c>
      <c r="I26" s="125" t="s">
        <v>105</v>
      </c>
      <c r="J26" s="126"/>
      <c r="K26" s="127"/>
      <c r="L26" s="26" t="s">
        <v>133</v>
      </c>
      <c r="M26" s="26" t="s">
        <v>134</v>
      </c>
      <c r="N26" s="125" t="s">
        <v>104</v>
      </c>
      <c r="O26" s="126"/>
      <c r="P26" s="126"/>
      <c r="Q26" s="126"/>
      <c r="R26" s="126"/>
      <c r="S26" s="127"/>
      <c r="T26" s="22" t="s">
        <v>147</v>
      </c>
      <c r="U26" s="46" t="s">
        <v>146</v>
      </c>
      <c r="V26" s="125" t="s">
        <v>105</v>
      </c>
      <c r="W26" s="126"/>
      <c r="X26" s="127"/>
      <c r="Y26" s="26" t="s">
        <v>133</v>
      </c>
      <c r="Z26" s="26" t="s">
        <v>134</v>
      </c>
    </row>
    <row r="27" spans="1:26" ht="18.75" customHeight="1" x14ac:dyDescent="0.2">
      <c r="A27" s="85"/>
      <c r="B27" s="175" t="s">
        <v>196</v>
      </c>
      <c r="C27" s="176"/>
      <c r="D27" s="176"/>
      <c r="E27" s="176"/>
      <c r="F27" s="177"/>
      <c r="G27" s="47">
        <v>1</v>
      </c>
      <c r="H27" s="47" t="s">
        <v>154</v>
      </c>
      <c r="I27" s="179" t="s">
        <v>190</v>
      </c>
      <c r="J27" s="180"/>
      <c r="K27" s="181"/>
      <c r="L27" s="27" t="s">
        <v>154</v>
      </c>
      <c r="M27" s="27" t="s">
        <v>154</v>
      </c>
      <c r="N27" s="156"/>
      <c r="O27" s="157"/>
      <c r="P27" s="157"/>
      <c r="Q27" s="157"/>
      <c r="R27" s="157"/>
      <c r="S27" s="158"/>
      <c r="T27" s="47"/>
      <c r="U27" s="47"/>
      <c r="V27" s="179"/>
      <c r="W27" s="180"/>
      <c r="X27" s="181"/>
      <c r="Y27" s="27"/>
      <c r="Z27" s="27"/>
    </row>
    <row r="28" spans="1:26" ht="18.75" customHeight="1" x14ac:dyDescent="0.2">
      <c r="A28" s="85"/>
      <c r="B28" s="165" t="s">
        <v>197</v>
      </c>
      <c r="C28" s="166"/>
      <c r="D28" s="166"/>
      <c r="E28" s="166"/>
      <c r="F28" s="167"/>
      <c r="G28" s="48">
        <v>1</v>
      </c>
      <c r="H28" s="48" t="s">
        <v>154</v>
      </c>
      <c r="I28" s="171" t="s">
        <v>190</v>
      </c>
      <c r="J28" s="172"/>
      <c r="K28" s="173"/>
      <c r="L28" s="28" t="s">
        <v>154</v>
      </c>
      <c r="M28" s="28" t="s">
        <v>154</v>
      </c>
      <c r="N28" s="159"/>
      <c r="O28" s="160"/>
      <c r="P28" s="160"/>
      <c r="Q28" s="160"/>
      <c r="R28" s="160"/>
      <c r="S28" s="161"/>
      <c r="T28" s="48"/>
      <c r="U28" s="48"/>
      <c r="V28" s="171"/>
      <c r="W28" s="172"/>
      <c r="X28" s="173"/>
      <c r="Y28" s="28"/>
      <c r="Z28" s="28"/>
    </row>
    <row r="29" spans="1:26" ht="18.75" customHeight="1" x14ac:dyDescent="0.2">
      <c r="A29" s="85"/>
      <c r="B29" s="165" t="s">
        <v>198</v>
      </c>
      <c r="C29" s="166"/>
      <c r="D29" s="166"/>
      <c r="E29" s="166"/>
      <c r="F29" s="167"/>
      <c r="G29" s="48">
        <v>2</v>
      </c>
      <c r="H29" s="48"/>
      <c r="I29" s="171" t="s">
        <v>190</v>
      </c>
      <c r="J29" s="172"/>
      <c r="K29" s="173"/>
      <c r="L29" s="28" t="s">
        <v>154</v>
      </c>
      <c r="M29" s="28" t="s">
        <v>154</v>
      </c>
      <c r="N29" s="159"/>
      <c r="O29" s="160"/>
      <c r="P29" s="160"/>
      <c r="Q29" s="160"/>
      <c r="R29" s="160"/>
      <c r="S29" s="161"/>
      <c r="T29" s="48"/>
      <c r="U29" s="48"/>
      <c r="V29" s="171"/>
      <c r="W29" s="172"/>
      <c r="X29" s="173"/>
      <c r="Y29" s="28"/>
      <c r="Z29" s="28"/>
    </row>
    <row r="30" spans="1:26" ht="15" customHeight="1" x14ac:dyDescent="0.2">
      <c r="A30" s="85"/>
      <c r="B30" s="165"/>
      <c r="C30" s="166"/>
      <c r="D30" s="166"/>
      <c r="E30" s="166"/>
      <c r="F30" s="167"/>
      <c r="G30" s="48"/>
      <c r="H30" s="48"/>
      <c r="I30" s="171"/>
      <c r="J30" s="172"/>
      <c r="K30" s="173"/>
      <c r="L30" s="28"/>
      <c r="M30" s="28"/>
      <c r="N30" s="159"/>
      <c r="O30" s="160"/>
      <c r="P30" s="160"/>
      <c r="Q30" s="160"/>
      <c r="R30" s="160"/>
      <c r="S30" s="161"/>
      <c r="T30" s="48"/>
      <c r="U30" s="48"/>
      <c r="V30" s="171"/>
      <c r="W30" s="172"/>
      <c r="X30" s="173"/>
      <c r="Y30" s="28"/>
      <c r="Z30" s="28"/>
    </row>
    <row r="31" spans="1:26" ht="15" customHeight="1" x14ac:dyDescent="0.2">
      <c r="A31" s="85"/>
      <c r="B31" s="165"/>
      <c r="C31" s="166"/>
      <c r="D31" s="166"/>
      <c r="E31" s="166"/>
      <c r="F31" s="167"/>
      <c r="G31" s="48"/>
      <c r="H31" s="48"/>
      <c r="I31" s="171"/>
      <c r="J31" s="172"/>
      <c r="K31" s="173"/>
      <c r="L31" s="28"/>
      <c r="M31" s="28"/>
      <c r="N31" s="159"/>
      <c r="O31" s="160"/>
      <c r="P31" s="160"/>
      <c r="Q31" s="160"/>
      <c r="R31" s="160"/>
      <c r="S31" s="161"/>
      <c r="T31" s="48"/>
      <c r="U31" s="48"/>
      <c r="V31" s="171"/>
      <c r="W31" s="172"/>
      <c r="X31" s="173"/>
      <c r="Y31" s="28"/>
      <c r="Z31" s="28"/>
    </row>
    <row r="32" spans="1:26" ht="15" customHeight="1" x14ac:dyDescent="0.2">
      <c r="A32" s="85"/>
      <c r="B32" s="165"/>
      <c r="C32" s="166"/>
      <c r="D32" s="166"/>
      <c r="E32" s="166"/>
      <c r="F32" s="167"/>
      <c r="G32" s="48"/>
      <c r="H32" s="48"/>
      <c r="I32" s="171"/>
      <c r="J32" s="172"/>
      <c r="K32" s="173"/>
      <c r="L32" s="28"/>
      <c r="M32" s="28"/>
      <c r="N32" s="159"/>
      <c r="O32" s="160"/>
      <c r="P32" s="160"/>
      <c r="Q32" s="160"/>
      <c r="R32" s="160"/>
      <c r="S32" s="161"/>
      <c r="T32" s="48"/>
      <c r="U32" s="48"/>
      <c r="V32" s="171"/>
      <c r="W32" s="172"/>
      <c r="X32" s="173"/>
      <c r="Y32" s="28"/>
      <c r="Z32" s="28"/>
    </row>
    <row r="33" spans="1:26" ht="15" customHeight="1" x14ac:dyDescent="0.2">
      <c r="A33" s="85"/>
      <c r="B33" s="168"/>
      <c r="C33" s="169"/>
      <c r="D33" s="169"/>
      <c r="E33" s="169"/>
      <c r="F33" s="170"/>
      <c r="G33" s="49"/>
      <c r="H33" s="49"/>
      <c r="I33" s="153"/>
      <c r="J33" s="154"/>
      <c r="K33" s="155"/>
      <c r="L33" s="29"/>
      <c r="M33" s="29"/>
      <c r="N33" s="162"/>
      <c r="O33" s="163"/>
      <c r="P33" s="163"/>
      <c r="Q33" s="163"/>
      <c r="R33" s="163"/>
      <c r="S33" s="164"/>
      <c r="T33" s="49"/>
      <c r="U33" s="49"/>
      <c r="V33" s="153"/>
      <c r="W33" s="154"/>
      <c r="X33" s="155"/>
      <c r="Y33" s="29"/>
      <c r="Z33" s="29"/>
    </row>
    <row r="34" spans="1:26" ht="10.8" customHeight="1" x14ac:dyDescent="0.2">
      <c r="A34" s="88"/>
      <c r="B34" s="30"/>
      <c r="C34" s="30"/>
      <c r="D34" s="88"/>
      <c r="E34" s="88"/>
      <c r="F34" s="88"/>
      <c r="G34" s="88"/>
      <c r="H34" s="88"/>
      <c r="I34" s="88"/>
      <c r="J34" s="88"/>
      <c r="K34" s="88"/>
      <c r="L34" s="30"/>
      <c r="M34" s="30"/>
      <c r="N34" s="30"/>
      <c r="O34" s="30"/>
      <c r="P34" s="30"/>
      <c r="Q34" s="30"/>
      <c r="R34" s="30"/>
      <c r="S34" s="30"/>
      <c r="T34" s="30"/>
      <c r="U34" s="30"/>
      <c r="V34" s="30"/>
      <c r="W34" s="30"/>
      <c r="X34" s="30"/>
      <c r="Y34" s="30"/>
      <c r="Z34" s="88"/>
    </row>
    <row r="35" spans="1:26" ht="18.75" customHeight="1" x14ac:dyDescent="0.2">
      <c r="A35" s="178" t="s">
        <v>135</v>
      </c>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spans="1:26" ht="18.75" customHeight="1" x14ac:dyDescent="0.2">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spans="1:26" ht="18.75" customHeight="1" x14ac:dyDescent="0.2">
      <c r="A37" s="85"/>
      <c r="B37" s="125" t="s">
        <v>104</v>
      </c>
      <c r="C37" s="126"/>
      <c r="D37" s="126"/>
      <c r="E37" s="126"/>
      <c r="F37" s="127"/>
      <c r="G37" s="22" t="s">
        <v>147</v>
      </c>
      <c r="H37" s="46" t="s">
        <v>146</v>
      </c>
      <c r="I37" s="125" t="s">
        <v>105</v>
      </c>
      <c r="J37" s="126"/>
      <c r="K37" s="127"/>
      <c r="L37" s="26" t="s">
        <v>136</v>
      </c>
      <c r="M37" s="26" t="s">
        <v>137</v>
      </c>
      <c r="N37" s="125" t="s">
        <v>104</v>
      </c>
      <c r="O37" s="126"/>
      <c r="P37" s="126"/>
      <c r="Q37" s="126"/>
      <c r="R37" s="126"/>
      <c r="S37" s="127"/>
      <c r="T37" s="22" t="s">
        <v>147</v>
      </c>
      <c r="U37" s="46" t="s">
        <v>146</v>
      </c>
      <c r="V37" s="125" t="s">
        <v>105</v>
      </c>
      <c r="W37" s="126"/>
      <c r="X37" s="127"/>
      <c r="Y37" s="26" t="s">
        <v>136</v>
      </c>
      <c r="Z37" s="26" t="s">
        <v>137</v>
      </c>
    </row>
    <row r="38" spans="1:26" ht="18.75" customHeight="1" x14ac:dyDescent="0.2">
      <c r="A38" s="88"/>
      <c r="B38" s="175" t="s">
        <v>196</v>
      </c>
      <c r="C38" s="176"/>
      <c r="D38" s="176"/>
      <c r="E38" s="176"/>
      <c r="F38" s="177"/>
      <c r="G38" s="47">
        <v>1</v>
      </c>
      <c r="H38" s="47" t="s">
        <v>154</v>
      </c>
      <c r="I38" s="179" t="s">
        <v>190</v>
      </c>
      <c r="J38" s="180"/>
      <c r="K38" s="181"/>
      <c r="L38" s="27" t="s">
        <v>154</v>
      </c>
      <c r="M38" s="27" t="s">
        <v>154</v>
      </c>
      <c r="N38" s="156"/>
      <c r="O38" s="157"/>
      <c r="P38" s="157"/>
      <c r="Q38" s="157"/>
      <c r="R38" s="157"/>
      <c r="S38" s="158"/>
      <c r="T38" s="47"/>
      <c r="U38" s="47"/>
      <c r="V38" s="179"/>
      <c r="W38" s="180"/>
      <c r="X38" s="181"/>
      <c r="Y38" s="27"/>
      <c r="Z38" s="27"/>
    </row>
    <row r="39" spans="1:26" ht="18.75" customHeight="1" x14ac:dyDescent="0.2">
      <c r="A39" s="88"/>
      <c r="B39" s="165" t="s">
        <v>197</v>
      </c>
      <c r="C39" s="166"/>
      <c r="D39" s="166"/>
      <c r="E39" s="166"/>
      <c r="F39" s="167"/>
      <c r="G39" s="48">
        <v>1</v>
      </c>
      <c r="H39" s="48" t="s">
        <v>154</v>
      </c>
      <c r="I39" s="171" t="s">
        <v>190</v>
      </c>
      <c r="J39" s="172"/>
      <c r="K39" s="173"/>
      <c r="L39" s="28" t="s">
        <v>154</v>
      </c>
      <c r="M39" s="28" t="s">
        <v>154</v>
      </c>
      <c r="N39" s="159"/>
      <c r="O39" s="160"/>
      <c r="P39" s="160"/>
      <c r="Q39" s="160"/>
      <c r="R39" s="160"/>
      <c r="S39" s="161"/>
      <c r="T39" s="48"/>
      <c r="U39" s="48"/>
      <c r="V39" s="171"/>
      <c r="W39" s="172"/>
      <c r="X39" s="173"/>
      <c r="Y39" s="28"/>
      <c r="Z39" s="28"/>
    </row>
    <row r="40" spans="1:26" ht="18.75" customHeight="1" x14ac:dyDescent="0.2">
      <c r="A40" s="88"/>
      <c r="B40" s="165" t="s">
        <v>198</v>
      </c>
      <c r="C40" s="166"/>
      <c r="D40" s="166"/>
      <c r="E40" s="166"/>
      <c r="F40" s="167"/>
      <c r="G40" s="48">
        <v>2</v>
      </c>
      <c r="H40" s="48"/>
      <c r="I40" s="171" t="s">
        <v>190</v>
      </c>
      <c r="J40" s="172"/>
      <c r="K40" s="173"/>
      <c r="L40" s="28" t="s">
        <v>154</v>
      </c>
      <c r="M40" s="28" t="s">
        <v>154</v>
      </c>
      <c r="N40" s="159"/>
      <c r="O40" s="160"/>
      <c r="P40" s="160"/>
      <c r="Q40" s="160"/>
      <c r="R40" s="160"/>
      <c r="S40" s="161"/>
      <c r="T40" s="48"/>
      <c r="U40" s="48"/>
      <c r="V40" s="171"/>
      <c r="W40" s="172"/>
      <c r="X40" s="173"/>
      <c r="Y40" s="28"/>
      <c r="Z40" s="28"/>
    </row>
    <row r="41" spans="1:26" ht="18.75" customHeight="1" x14ac:dyDescent="0.2">
      <c r="A41" s="88"/>
      <c r="B41" s="165"/>
      <c r="C41" s="166"/>
      <c r="D41" s="166"/>
      <c r="E41" s="166"/>
      <c r="F41" s="167"/>
      <c r="G41" s="48"/>
      <c r="H41" s="48"/>
      <c r="I41" s="171"/>
      <c r="J41" s="172"/>
      <c r="K41" s="173"/>
      <c r="L41" s="28"/>
      <c r="M41" s="28"/>
      <c r="N41" s="159"/>
      <c r="O41" s="160"/>
      <c r="P41" s="160"/>
      <c r="Q41" s="160"/>
      <c r="R41" s="160"/>
      <c r="S41" s="161"/>
      <c r="T41" s="48"/>
      <c r="U41" s="48"/>
      <c r="V41" s="171"/>
      <c r="W41" s="172"/>
      <c r="X41" s="173"/>
      <c r="Y41" s="28"/>
      <c r="Z41" s="28"/>
    </row>
    <row r="42" spans="1:26" ht="18.75" customHeight="1" x14ac:dyDescent="0.2">
      <c r="A42" s="88"/>
      <c r="B42" s="165"/>
      <c r="C42" s="166"/>
      <c r="D42" s="166"/>
      <c r="E42" s="166"/>
      <c r="F42" s="167"/>
      <c r="G42" s="48"/>
      <c r="H42" s="48"/>
      <c r="I42" s="171"/>
      <c r="J42" s="172"/>
      <c r="K42" s="173"/>
      <c r="L42" s="28"/>
      <c r="M42" s="28"/>
      <c r="N42" s="159"/>
      <c r="O42" s="160"/>
      <c r="P42" s="160"/>
      <c r="Q42" s="160"/>
      <c r="R42" s="160"/>
      <c r="S42" s="161"/>
      <c r="T42" s="48"/>
      <c r="U42" s="48"/>
      <c r="V42" s="171"/>
      <c r="W42" s="172"/>
      <c r="X42" s="173"/>
      <c r="Y42" s="28"/>
      <c r="Z42" s="28"/>
    </row>
    <row r="43" spans="1:26" ht="18.75" customHeight="1" x14ac:dyDescent="0.2">
      <c r="A43" s="88"/>
      <c r="B43" s="165"/>
      <c r="C43" s="166"/>
      <c r="D43" s="166"/>
      <c r="E43" s="166"/>
      <c r="F43" s="167"/>
      <c r="G43" s="48"/>
      <c r="H43" s="48"/>
      <c r="I43" s="171"/>
      <c r="J43" s="172"/>
      <c r="K43" s="173"/>
      <c r="L43" s="28"/>
      <c r="M43" s="28"/>
      <c r="N43" s="159"/>
      <c r="O43" s="160"/>
      <c r="P43" s="160"/>
      <c r="Q43" s="160"/>
      <c r="R43" s="160"/>
      <c r="S43" s="161"/>
      <c r="T43" s="48"/>
      <c r="U43" s="48"/>
      <c r="V43" s="171"/>
      <c r="W43" s="172"/>
      <c r="X43" s="173"/>
      <c r="Y43" s="28"/>
      <c r="Z43" s="28"/>
    </row>
    <row r="44" spans="1:26" ht="18.75" customHeight="1" x14ac:dyDescent="0.2">
      <c r="A44" s="88"/>
      <c r="B44" s="168"/>
      <c r="C44" s="169"/>
      <c r="D44" s="169"/>
      <c r="E44" s="169"/>
      <c r="F44" s="170"/>
      <c r="G44" s="49"/>
      <c r="H44" s="49"/>
      <c r="I44" s="153"/>
      <c r="J44" s="154"/>
      <c r="K44" s="155"/>
      <c r="L44" s="29"/>
      <c r="M44" s="29"/>
      <c r="N44" s="162"/>
      <c r="O44" s="163"/>
      <c r="P44" s="163"/>
      <c r="Q44" s="163"/>
      <c r="R44" s="163"/>
      <c r="S44" s="164"/>
      <c r="T44" s="49"/>
      <c r="U44" s="49"/>
      <c r="V44" s="153"/>
      <c r="W44" s="154"/>
      <c r="X44" s="155"/>
      <c r="Y44" s="29"/>
      <c r="Z44" s="29"/>
    </row>
    <row r="45" spans="1:26" ht="9.6" customHeight="1" x14ac:dyDescent="0.2">
      <c r="B45" s="89"/>
      <c r="C45" s="89"/>
      <c r="D45" s="89"/>
      <c r="E45" s="89"/>
      <c r="F45" s="89"/>
      <c r="G45" s="89"/>
      <c r="H45" s="89"/>
      <c r="I45" s="89"/>
      <c r="J45" s="89"/>
      <c r="K45" s="89"/>
      <c r="L45" s="89"/>
      <c r="M45" s="89"/>
      <c r="N45" s="89"/>
      <c r="O45" s="89"/>
      <c r="P45" s="89"/>
      <c r="Q45" s="89"/>
      <c r="R45" s="89"/>
      <c r="S45" s="89"/>
      <c r="T45" s="89"/>
      <c r="U45" s="89"/>
      <c r="V45" s="89"/>
      <c r="W45" s="89"/>
      <c r="X45" s="89"/>
      <c r="Y45" s="89"/>
    </row>
    <row r="46" spans="1:26" ht="18.75" customHeight="1" x14ac:dyDescent="0.2">
      <c r="A46" s="178" t="s">
        <v>138</v>
      </c>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spans="1:26" ht="18.75" customHeight="1" x14ac:dyDescent="0.2">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spans="1:26" ht="18.75" customHeight="1" x14ac:dyDescent="0.2">
      <c r="A48" s="85"/>
      <c r="B48" s="125" t="s">
        <v>104</v>
      </c>
      <c r="C48" s="126"/>
      <c r="D48" s="126"/>
      <c r="E48" s="126"/>
      <c r="F48" s="127"/>
      <c r="G48" s="22" t="s">
        <v>147</v>
      </c>
      <c r="H48" s="46" t="s">
        <v>146</v>
      </c>
      <c r="I48" s="125" t="s">
        <v>105</v>
      </c>
      <c r="J48" s="126"/>
      <c r="K48" s="127"/>
      <c r="L48" s="26" t="s">
        <v>110</v>
      </c>
      <c r="M48" s="26" t="s">
        <v>112</v>
      </c>
      <c r="N48" s="125" t="s">
        <v>104</v>
      </c>
      <c r="O48" s="126"/>
      <c r="P48" s="126"/>
      <c r="Q48" s="126"/>
      <c r="R48" s="126"/>
      <c r="S48" s="127"/>
      <c r="T48" s="22" t="s">
        <v>147</v>
      </c>
      <c r="U48" s="46" t="s">
        <v>146</v>
      </c>
      <c r="V48" s="125" t="s">
        <v>105</v>
      </c>
      <c r="W48" s="126"/>
      <c r="X48" s="127"/>
      <c r="Y48" s="26" t="s">
        <v>110</v>
      </c>
      <c r="Z48" s="26" t="s">
        <v>112</v>
      </c>
    </row>
    <row r="49" spans="1:26" ht="18.75" customHeight="1" x14ac:dyDescent="0.2">
      <c r="A49" s="88"/>
      <c r="B49" s="175" t="s">
        <v>196</v>
      </c>
      <c r="C49" s="176"/>
      <c r="D49" s="176"/>
      <c r="E49" s="176"/>
      <c r="F49" s="177"/>
      <c r="G49" s="47">
        <v>1</v>
      </c>
      <c r="H49" s="47" t="s">
        <v>154</v>
      </c>
      <c r="I49" s="179" t="s">
        <v>190</v>
      </c>
      <c r="J49" s="180"/>
      <c r="K49" s="181"/>
      <c r="L49" s="27" t="s">
        <v>154</v>
      </c>
      <c r="M49" s="27" t="s">
        <v>154</v>
      </c>
      <c r="N49" s="156"/>
      <c r="O49" s="157"/>
      <c r="P49" s="157"/>
      <c r="Q49" s="157"/>
      <c r="R49" s="157"/>
      <c r="S49" s="158"/>
      <c r="T49" s="47"/>
      <c r="U49" s="47"/>
      <c r="V49" s="179"/>
      <c r="W49" s="180"/>
      <c r="X49" s="181"/>
      <c r="Y49" s="27"/>
      <c r="Z49" s="27"/>
    </row>
    <row r="50" spans="1:26" ht="18.75" customHeight="1" x14ac:dyDescent="0.2">
      <c r="A50" s="88"/>
      <c r="B50" s="165" t="s">
        <v>199</v>
      </c>
      <c r="C50" s="166"/>
      <c r="D50" s="166"/>
      <c r="E50" s="166"/>
      <c r="F50" s="167"/>
      <c r="G50" s="48">
        <v>1</v>
      </c>
      <c r="H50" s="48" t="s">
        <v>154</v>
      </c>
      <c r="I50" s="171" t="s">
        <v>190</v>
      </c>
      <c r="J50" s="172"/>
      <c r="K50" s="173"/>
      <c r="L50" s="28" t="s">
        <v>154</v>
      </c>
      <c r="M50" s="28" t="s">
        <v>154</v>
      </c>
      <c r="N50" s="159"/>
      <c r="O50" s="160"/>
      <c r="P50" s="160"/>
      <c r="Q50" s="160"/>
      <c r="R50" s="160"/>
      <c r="S50" s="161"/>
      <c r="T50" s="48"/>
      <c r="U50" s="48"/>
      <c r="V50" s="171"/>
      <c r="W50" s="172"/>
      <c r="X50" s="173"/>
      <c r="Y50" s="28"/>
      <c r="Z50" s="28"/>
    </row>
    <row r="51" spans="1:26" ht="17.399999999999999" customHeight="1" x14ac:dyDescent="0.2">
      <c r="A51" s="88"/>
      <c r="B51" s="165"/>
      <c r="C51" s="166"/>
      <c r="D51" s="166"/>
      <c r="E51" s="166"/>
      <c r="F51" s="167"/>
      <c r="G51" s="48"/>
      <c r="H51" s="48"/>
      <c r="I51" s="171"/>
      <c r="J51" s="172"/>
      <c r="K51" s="173"/>
      <c r="L51" s="28"/>
      <c r="M51" s="28"/>
      <c r="N51" s="159"/>
      <c r="O51" s="160"/>
      <c r="P51" s="160"/>
      <c r="Q51" s="160"/>
      <c r="R51" s="160"/>
      <c r="S51" s="161"/>
      <c r="T51" s="48"/>
      <c r="U51" s="48"/>
      <c r="V51" s="171"/>
      <c r="W51" s="172"/>
      <c r="X51" s="173"/>
      <c r="Y51" s="28"/>
      <c r="Z51" s="28"/>
    </row>
    <row r="52" spans="1:26" ht="17.399999999999999" customHeight="1" x14ac:dyDescent="0.2">
      <c r="A52" s="88"/>
      <c r="B52" s="165"/>
      <c r="C52" s="166"/>
      <c r="D52" s="166"/>
      <c r="E52" s="166"/>
      <c r="F52" s="167"/>
      <c r="G52" s="48"/>
      <c r="H52" s="48"/>
      <c r="I52" s="171"/>
      <c r="J52" s="172"/>
      <c r="K52" s="173"/>
      <c r="L52" s="28"/>
      <c r="M52" s="28"/>
      <c r="N52" s="159"/>
      <c r="O52" s="160"/>
      <c r="P52" s="160"/>
      <c r="Q52" s="160"/>
      <c r="R52" s="160"/>
      <c r="S52" s="161"/>
      <c r="T52" s="48"/>
      <c r="U52" s="48"/>
      <c r="V52" s="171"/>
      <c r="W52" s="172"/>
      <c r="X52" s="173"/>
      <c r="Y52" s="28"/>
      <c r="Z52" s="28"/>
    </row>
    <row r="53" spans="1:26" ht="17.399999999999999" customHeight="1" x14ac:dyDescent="0.2">
      <c r="A53" s="88"/>
      <c r="B53" s="165"/>
      <c r="C53" s="166"/>
      <c r="D53" s="166"/>
      <c r="E53" s="166"/>
      <c r="F53" s="167"/>
      <c r="G53" s="48"/>
      <c r="H53" s="48"/>
      <c r="I53" s="171"/>
      <c r="J53" s="172"/>
      <c r="K53" s="173"/>
      <c r="L53" s="28"/>
      <c r="M53" s="28"/>
      <c r="N53" s="159"/>
      <c r="O53" s="160"/>
      <c r="P53" s="160"/>
      <c r="Q53" s="160"/>
      <c r="R53" s="160"/>
      <c r="S53" s="161"/>
      <c r="T53" s="48"/>
      <c r="U53" s="48"/>
      <c r="V53" s="171"/>
      <c r="W53" s="172"/>
      <c r="X53" s="173"/>
      <c r="Y53" s="28"/>
      <c r="Z53" s="28"/>
    </row>
    <row r="54" spans="1:26" ht="17.399999999999999" customHeight="1" x14ac:dyDescent="0.2">
      <c r="A54" s="88"/>
      <c r="B54" s="165"/>
      <c r="C54" s="166"/>
      <c r="D54" s="166"/>
      <c r="E54" s="166"/>
      <c r="F54" s="167"/>
      <c r="G54" s="48"/>
      <c r="H54" s="48"/>
      <c r="I54" s="171"/>
      <c r="J54" s="172"/>
      <c r="K54" s="173"/>
      <c r="L54" s="28"/>
      <c r="M54" s="28"/>
      <c r="N54" s="159"/>
      <c r="O54" s="160"/>
      <c r="P54" s="160"/>
      <c r="Q54" s="160"/>
      <c r="R54" s="160"/>
      <c r="S54" s="161"/>
      <c r="T54" s="48"/>
      <c r="U54" s="48"/>
      <c r="V54" s="171"/>
      <c r="W54" s="172"/>
      <c r="X54" s="173"/>
      <c r="Y54" s="28"/>
      <c r="Z54" s="28"/>
    </row>
    <row r="55" spans="1:26" ht="17.399999999999999" customHeight="1" x14ac:dyDescent="0.2">
      <c r="A55" s="88"/>
      <c r="B55" s="168"/>
      <c r="C55" s="169"/>
      <c r="D55" s="169"/>
      <c r="E55" s="169"/>
      <c r="F55" s="170"/>
      <c r="G55" s="49"/>
      <c r="H55" s="49"/>
      <c r="I55" s="153"/>
      <c r="J55" s="154"/>
      <c r="K55" s="155"/>
      <c r="L55" s="29"/>
      <c r="M55" s="29"/>
      <c r="N55" s="162"/>
      <c r="O55" s="163"/>
      <c r="P55" s="163"/>
      <c r="Q55" s="163"/>
      <c r="R55" s="163"/>
      <c r="S55" s="164"/>
      <c r="T55" s="49"/>
      <c r="U55" s="49"/>
      <c r="V55" s="153"/>
      <c r="W55" s="154"/>
      <c r="X55" s="155"/>
      <c r="Y55" s="29"/>
      <c r="Z55" s="29"/>
    </row>
    <row r="56" spans="1:26" ht="11.4" customHeight="1" x14ac:dyDescent="0.2">
      <c r="B56" s="89"/>
      <c r="C56" s="89"/>
      <c r="D56" s="89"/>
      <c r="E56" s="89"/>
      <c r="F56" s="89"/>
      <c r="G56" s="89"/>
      <c r="H56" s="89"/>
      <c r="I56" s="89"/>
      <c r="J56" s="89"/>
      <c r="K56" s="89"/>
      <c r="L56" s="89"/>
      <c r="M56" s="89"/>
      <c r="N56" s="89"/>
      <c r="O56" s="89"/>
      <c r="P56" s="89"/>
      <c r="Q56" s="89"/>
      <c r="R56" s="89"/>
      <c r="S56" s="89"/>
      <c r="T56" s="89"/>
      <c r="U56" s="89"/>
      <c r="V56" s="89"/>
      <c r="W56" s="89"/>
      <c r="X56" s="89"/>
      <c r="Y56" s="89"/>
    </row>
    <row r="57" spans="1:26" ht="18.75" customHeight="1" x14ac:dyDescent="0.2">
      <c r="A57" s="178" t="s">
        <v>139</v>
      </c>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spans="1:26" ht="18.75" customHeight="1" x14ac:dyDescent="0.2">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spans="1:26" ht="18.75" customHeight="1" x14ac:dyDescent="0.2">
      <c r="A59" s="85"/>
      <c r="B59" s="125" t="s">
        <v>104</v>
      </c>
      <c r="C59" s="126"/>
      <c r="D59" s="126"/>
      <c r="E59" s="127"/>
      <c r="F59" s="22" t="s">
        <v>147</v>
      </c>
      <c r="G59" s="46" t="s">
        <v>146</v>
      </c>
      <c r="H59" s="38" t="s">
        <v>105</v>
      </c>
      <c r="I59" s="39"/>
      <c r="J59" s="40"/>
      <c r="K59" s="26" t="s">
        <v>109</v>
      </c>
      <c r="L59" s="26" t="s">
        <v>140</v>
      </c>
      <c r="M59" s="26" t="s">
        <v>141</v>
      </c>
      <c r="N59" s="125" t="s">
        <v>104</v>
      </c>
      <c r="O59" s="126"/>
      <c r="P59" s="126"/>
      <c r="Q59" s="126"/>
      <c r="R59" s="127"/>
      <c r="S59" s="22" t="s">
        <v>147</v>
      </c>
      <c r="T59" s="46" t="s">
        <v>146</v>
      </c>
      <c r="U59" s="38" t="s">
        <v>105</v>
      </c>
      <c r="V59" s="39"/>
      <c r="W59" s="40"/>
      <c r="X59" s="26" t="s">
        <v>109</v>
      </c>
      <c r="Y59" s="26" t="s">
        <v>140</v>
      </c>
      <c r="Z59" s="26" t="s">
        <v>141</v>
      </c>
    </row>
    <row r="60" spans="1:26" ht="18.75" customHeight="1" x14ac:dyDescent="0.2">
      <c r="A60" s="88"/>
      <c r="B60" s="156" t="s">
        <v>196</v>
      </c>
      <c r="C60" s="157"/>
      <c r="D60" s="157"/>
      <c r="E60" s="158"/>
      <c r="F60" s="47">
        <v>1</v>
      </c>
      <c r="G60" s="47" t="s">
        <v>154</v>
      </c>
      <c r="H60" s="179" t="s">
        <v>190</v>
      </c>
      <c r="I60" s="180"/>
      <c r="J60" s="181"/>
      <c r="K60" s="41"/>
      <c r="L60" s="27" t="s">
        <v>154</v>
      </c>
      <c r="M60" s="27" t="s">
        <v>154</v>
      </c>
      <c r="N60" s="156"/>
      <c r="O60" s="157"/>
      <c r="P60" s="157"/>
      <c r="Q60" s="157"/>
      <c r="R60" s="158"/>
      <c r="S60" s="47"/>
      <c r="T60" s="47"/>
      <c r="U60" s="179"/>
      <c r="V60" s="180"/>
      <c r="W60" s="181"/>
      <c r="X60" s="41"/>
      <c r="Y60" s="27"/>
      <c r="Z60" s="27"/>
    </row>
    <row r="61" spans="1:26" ht="18.75" customHeight="1" x14ac:dyDescent="0.2">
      <c r="A61" s="88"/>
      <c r="B61" s="159" t="s">
        <v>197</v>
      </c>
      <c r="C61" s="160"/>
      <c r="D61" s="160"/>
      <c r="E61" s="161"/>
      <c r="F61" s="48">
        <v>1</v>
      </c>
      <c r="G61" s="48" t="s">
        <v>154</v>
      </c>
      <c r="H61" s="171" t="s">
        <v>190</v>
      </c>
      <c r="I61" s="172"/>
      <c r="J61" s="173"/>
      <c r="K61" s="42" t="s">
        <v>154</v>
      </c>
      <c r="L61" s="28" t="s">
        <v>154</v>
      </c>
      <c r="M61" s="28"/>
      <c r="N61" s="159"/>
      <c r="O61" s="160"/>
      <c r="P61" s="160"/>
      <c r="Q61" s="160"/>
      <c r="R61" s="161"/>
      <c r="S61" s="48"/>
      <c r="T61" s="48"/>
      <c r="U61" s="171"/>
      <c r="V61" s="172"/>
      <c r="W61" s="173"/>
      <c r="X61" s="42"/>
      <c r="Y61" s="28"/>
      <c r="Z61" s="28"/>
    </row>
    <row r="62" spans="1:26" ht="18.75" customHeight="1" x14ac:dyDescent="0.2">
      <c r="A62" s="88"/>
      <c r="B62" s="159" t="s">
        <v>198</v>
      </c>
      <c r="C62" s="160"/>
      <c r="D62" s="160"/>
      <c r="E62" s="161"/>
      <c r="F62" s="48">
        <v>2</v>
      </c>
      <c r="G62" s="48"/>
      <c r="H62" s="171" t="s">
        <v>190</v>
      </c>
      <c r="I62" s="172"/>
      <c r="J62" s="173"/>
      <c r="K62" s="42" t="s">
        <v>154</v>
      </c>
      <c r="L62" s="28"/>
      <c r="M62" s="28"/>
      <c r="N62" s="159"/>
      <c r="O62" s="160"/>
      <c r="P62" s="160"/>
      <c r="Q62" s="160"/>
      <c r="R62" s="161"/>
      <c r="S62" s="48"/>
      <c r="T62" s="48"/>
      <c r="U62" s="171"/>
      <c r="V62" s="172"/>
      <c r="W62" s="173"/>
      <c r="X62" s="42"/>
      <c r="Y62" s="28"/>
      <c r="Z62" s="28"/>
    </row>
    <row r="63" spans="1:26" ht="17.399999999999999" customHeight="1" x14ac:dyDescent="0.2">
      <c r="A63" s="88"/>
      <c r="B63" s="159"/>
      <c r="C63" s="160"/>
      <c r="D63" s="160"/>
      <c r="E63" s="161"/>
      <c r="F63" s="48"/>
      <c r="G63" s="48"/>
      <c r="H63" s="171"/>
      <c r="I63" s="172"/>
      <c r="J63" s="173"/>
      <c r="K63" s="42"/>
      <c r="L63" s="28"/>
      <c r="M63" s="28"/>
      <c r="N63" s="159"/>
      <c r="O63" s="160"/>
      <c r="P63" s="160"/>
      <c r="Q63" s="160"/>
      <c r="R63" s="161"/>
      <c r="S63" s="48"/>
      <c r="T63" s="48"/>
      <c r="U63" s="171"/>
      <c r="V63" s="172"/>
      <c r="W63" s="173"/>
      <c r="X63" s="42"/>
      <c r="Y63" s="28"/>
      <c r="Z63" s="28"/>
    </row>
    <row r="64" spans="1:26" ht="17.399999999999999" customHeight="1" x14ac:dyDescent="0.2">
      <c r="A64" s="88"/>
      <c r="B64" s="159"/>
      <c r="C64" s="160"/>
      <c r="D64" s="160"/>
      <c r="E64" s="161"/>
      <c r="F64" s="48"/>
      <c r="G64" s="48"/>
      <c r="H64" s="171"/>
      <c r="I64" s="172"/>
      <c r="J64" s="173"/>
      <c r="K64" s="42"/>
      <c r="L64" s="28"/>
      <c r="M64" s="28"/>
      <c r="N64" s="159"/>
      <c r="O64" s="160"/>
      <c r="P64" s="160"/>
      <c r="Q64" s="160"/>
      <c r="R64" s="161"/>
      <c r="S64" s="48"/>
      <c r="T64" s="48"/>
      <c r="U64" s="171"/>
      <c r="V64" s="172"/>
      <c r="W64" s="173"/>
      <c r="X64" s="42"/>
      <c r="Y64" s="28"/>
      <c r="Z64" s="28"/>
    </row>
    <row r="65" spans="1:26" ht="17.399999999999999" customHeight="1" x14ac:dyDescent="0.2">
      <c r="A65" s="88"/>
      <c r="B65" s="159"/>
      <c r="C65" s="160"/>
      <c r="D65" s="160"/>
      <c r="E65" s="161"/>
      <c r="F65" s="48"/>
      <c r="G65" s="48"/>
      <c r="H65" s="171"/>
      <c r="I65" s="172"/>
      <c r="J65" s="173"/>
      <c r="K65" s="42"/>
      <c r="L65" s="28"/>
      <c r="M65" s="28"/>
      <c r="N65" s="159"/>
      <c r="O65" s="160"/>
      <c r="P65" s="160"/>
      <c r="Q65" s="160"/>
      <c r="R65" s="161"/>
      <c r="S65" s="48"/>
      <c r="T65" s="48"/>
      <c r="U65" s="171"/>
      <c r="V65" s="172"/>
      <c r="W65" s="173"/>
      <c r="X65" s="42"/>
      <c r="Y65" s="28"/>
      <c r="Z65" s="28"/>
    </row>
    <row r="66" spans="1:26" ht="17.399999999999999" customHeight="1" x14ac:dyDescent="0.2">
      <c r="A66" s="88"/>
      <c r="B66" s="162"/>
      <c r="C66" s="163"/>
      <c r="D66" s="163"/>
      <c r="E66" s="164"/>
      <c r="F66" s="49"/>
      <c r="G66" s="49"/>
      <c r="H66" s="153"/>
      <c r="I66" s="154"/>
      <c r="J66" s="155"/>
      <c r="K66" s="43"/>
      <c r="L66" s="29"/>
      <c r="M66" s="29"/>
      <c r="N66" s="162"/>
      <c r="O66" s="163"/>
      <c r="P66" s="163"/>
      <c r="Q66" s="163"/>
      <c r="R66" s="164"/>
      <c r="S66" s="49"/>
      <c r="T66" s="49"/>
      <c r="U66" s="153"/>
      <c r="V66" s="154"/>
      <c r="W66" s="155"/>
      <c r="X66" s="43"/>
      <c r="Y66" s="29"/>
      <c r="Z66" s="29"/>
    </row>
    <row r="67" spans="1:26" ht="10.199999999999999" customHeight="1" x14ac:dyDescent="0.2">
      <c r="B67" s="89"/>
      <c r="C67" s="89"/>
      <c r="D67" s="89"/>
      <c r="E67" s="89"/>
      <c r="F67" s="89"/>
      <c r="G67" s="89"/>
      <c r="H67" s="89"/>
      <c r="I67" s="89"/>
      <c r="J67" s="89"/>
      <c r="K67" s="89"/>
      <c r="L67" s="89"/>
      <c r="M67" s="89"/>
      <c r="N67" s="89"/>
      <c r="O67" s="89"/>
      <c r="P67" s="89"/>
      <c r="Q67" s="89"/>
      <c r="R67" s="89"/>
      <c r="S67" s="89"/>
      <c r="T67" s="89"/>
      <c r="U67" s="89"/>
      <c r="V67" s="89"/>
      <c r="W67" s="89"/>
      <c r="X67" s="89"/>
      <c r="Y67" s="89"/>
    </row>
    <row r="68" spans="1:26" ht="18.75" customHeight="1" x14ac:dyDescent="0.2">
      <c r="A68" s="85" t="s">
        <v>142</v>
      </c>
      <c r="B68" s="85"/>
      <c r="C68" s="85"/>
      <c r="D68" s="85"/>
      <c r="E68" s="85"/>
      <c r="F68" s="85"/>
      <c r="G68" s="85"/>
      <c r="H68" s="85"/>
      <c r="I68" s="85"/>
      <c r="J68" s="85"/>
      <c r="K68" s="85"/>
      <c r="L68" s="88"/>
      <c r="M68" s="88"/>
      <c r="N68" s="88"/>
      <c r="O68" s="88"/>
      <c r="P68" s="88"/>
      <c r="Q68" s="88"/>
      <c r="R68" s="88"/>
      <c r="S68" s="88"/>
      <c r="T68" s="88"/>
      <c r="U68" s="88"/>
      <c r="V68" s="88"/>
      <c r="W68" s="88"/>
      <c r="X68" s="88"/>
      <c r="Y68" s="88"/>
      <c r="Z68" s="88"/>
    </row>
    <row r="69" spans="1:26" ht="18.75" customHeight="1" x14ac:dyDescent="0.2">
      <c r="A69" s="85"/>
      <c r="B69" s="125" t="s">
        <v>104</v>
      </c>
      <c r="C69" s="126"/>
      <c r="D69" s="126"/>
      <c r="E69" s="126"/>
      <c r="F69" s="127"/>
      <c r="G69" s="125" t="s">
        <v>113</v>
      </c>
      <c r="H69" s="126"/>
      <c r="I69" s="126"/>
      <c r="J69" s="126"/>
      <c r="K69" s="126"/>
      <c r="L69" s="126"/>
      <c r="M69" s="127"/>
      <c r="N69" s="125" t="s">
        <v>104</v>
      </c>
      <c r="O69" s="126"/>
      <c r="P69" s="126"/>
      <c r="Q69" s="126"/>
      <c r="R69" s="126"/>
      <c r="S69" s="127"/>
      <c r="T69" s="125" t="s">
        <v>113</v>
      </c>
      <c r="U69" s="126"/>
      <c r="V69" s="126"/>
      <c r="W69" s="126"/>
      <c r="X69" s="126"/>
      <c r="Y69" s="126"/>
      <c r="Z69" s="127"/>
    </row>
    <row r="70" spans="1:26" ht="18.75" customHeight="1" x14ac:dyDescent="0.2">
      <c r="A70" s="88"/>
      <c r="B70" s="159"/>
      <c r="C70" s="160"/>
      <c r="D70" s="160"/>
      <c r="E70" s="160"/>
      <c r="F70" s="161"/>
      <c r="G70" s="208"/>
      <c r="H70" s="209"/>
      <c r="I70" s="209"/>
      <c r="J70" s="209"/>
      <c r="K70" s="209"/>
      <c r="L70" s="209"/>
      <c r="M70" s="210"/>
      <c r="N70" s="159"/>
      <c r="O70" s="160"/>
      <c r="P70" s="160"/>
      <c r="Q70" s="160"/>
      <c r="R70" s="160"/>
      <c r="S70" s="161"/>
      <c r="T70" s="208"/>
      <c r="U70" s="209"/>
      <c r="V70" s="209"/>
      <c r="W70" s="209"/>
      <c r="X70" s="209"/>
      <c r="Y70" s="209"/>
      <c r="Z70" s="210"/>
    </row>
    <row r="71" spans="1:26" ht="18.75" customHeight="1" x14ac:dyDescent="0.2">
      <c r="A71" s="88"/>
      <c r="B71" s="159"/>
      <c r="C71" s="160"/>
      <c r="D71" s="160"/>
      <c r="E71" s="160"/>
      <c r="F71" s="161"/>
      <c r="G71" s="208"/>
      <c r="H71" s="209"/>
      <c r="I71" s="209"/>
      <c r="J71" s="209"/>
      <c r="K71" s="209"/>
      <c r="L71" s="209"/>
      <c r="M71" s="210"/>
      <c r="N71" s="159"/>
      <c r="O71" s="160"/>
      <c r="P71" s="160"/>
      <c r="Q71" s="160"/>
      <c r="R71" s="160"/>
      <c r="S71" s="161"/>
      <c r="T71" s="208"/>
      <c r="U71" s="209"/>
      <c r="V71" s="209"/>
      <c r="W71" s="209"/>
      <c r="X71" s="209"/>
      <c r="Y71" s="209"/>
      <c r="Z71" s="210"/>
    </row>
    <row r="72" spans="1:26" ht="18.75" customHeight="1" x14ac:dyDescent="0.2">
      <c r="A72" s="88"/>
      <c r="B72" s="159"/>
      <c r="C72" s="160"/>
      <c r="D72" s="160"/>
      <c r="E72" s="160"/>
      <c r="F72" s="161"/>
      <c r="G72" s="208"/>
      <c r="H72" s="209"/>
      <c r="I72" s="209"/>
      <c r="J72" s="209"/>
      <c r="K72" s="209"/>
      <c r="L72" s="209"/>
      <c r="M72" s="210"/>
      <c r="N72" s="159"/>
      <c r="O72" s="160"/>
      <c r="P72" s="160"/>
      <c r="Q72" s="160"/>
      <c r="R72" s="160"/>
      <c r="S72" s="161"/>
      <c r="T72" s="208"/>
      <c r="U72" s="209"/>
      <c r="V72" s="209"/>
      <c r="W72" s="209"/>
      <c r="X72" s="209"/>
      <c r="Y72" s="209"/>
      <c r="Z72" s="210"/>
    </row>
    <row r="73" spans="1:26" ht="18.75" customHeight="1" x14ac:dyDescent="0.2">
      <c r="A73" s="88"/>
      <c r="B73" s="159"/>
      <c r="C73" s="160"/>
      <c r="D73" s="160"/>
      <c r="E73" s="160"/>
      <c r="F73" s="161"/>
      <c r="G73" s="208"/>
      <c r="H73" s="209"/>
      <c r="I73" s="209"/>
      <c r="J73" s="209"/>
      <c r="K73" s="209"/>
      <c r="L73" s="209"/>
      <c r="M73" s="210"/>
      <c r="N73" s="159"/>
      <c r="O73" s="160"/>
      <c r="P73" s="160"/>
      <c r="Q73" s="160"/>
      <c r="R73" s="160"/>
      <c r="S73" s="161"/>
      <c r="T73" s="208"/>
      <c r="U73" s="209"/>
      <c r="V73" s="209"/>
      <c r="W73" s="209"/>
      <c r="X73" s="209"/>
      <c r="Y73" s="209"/>
      <c r="Z73" s="210"/>
    </row>
    <row r="74" spans="1:26" ht="18.75" customHeight="1" x14ac:dyDescent="0.2">
      <c r="A74" s="88"/>
      <c r="B74" s="159"/>
      <c r="C74" s="160"/>
      <c r="D74" s="160"/>
      <c r="E74" s="160"/>
      <c r="F74" s="161"/>
      <c r="G74" s="208"/>
      <c r="H74" s="209"/>
      <c r="I74" s="209"/>
      <c r="J74" s="209"/>
      <c r="K74" s="209"/>
      <c r="L74" s="209"/>
      <c r="M74" s="210"/>
      <c r="N74" s="159"/>
      <c r="O74" s="160"/>
      <c r="P74" s="160"/>
      <c r="Q74" s="160"/>
      <c r="R74" s="160"/>
      <c r="S74" s="161"/>
      <c r="T74" s="208"/>
      <c r="U74" s="209"/>
      <c r="V74" s="209"/>
      <c r="W74" s="209"/>
      <c r="X74" s="209"/>
      <c r="Y74" s="209"/>
      <c r="Z74" s="210"/>
    </row>
    <row r="75" spans="1:26" ht="18.75" customHeight="1" x14ac:dyDescent="0.2">
      <c r="A75" s="88"/>
      <c r="B75" s="159"/>
      <c r="C75" s="160"/>
      <c r="D75" s="160"/>
      <c r="E75" s="160"/>
      <c r="F75" s="161"/>
      <c r="G75" s="208"/>
      <c r="H75" s="209"/>
      <c r="I75" s="209"/>
      <c r="J75" s="209"/>
      <c r="K75" s="209"/>
      <c r="L75" s="209"/>
      <c r="M75" s="210"/>
      <c r="N75" s="159"/>
      <c r="O75" s="160"/>
      <c r="P75" s="160"/>
      <c r="Q75" s="160"/>
      <c r="R75" s="160"/>
      <c r="S75" s="161"/>
      <c r="T75" s="208"/>
      <c r="U75" s="209"/>
      <c r="V75" s="209"/>
      <c r="W75" s="209"/>
      <c r="X75" s="209"/>
      <c r="Y75" s="209"/>
      <c r="Z75" s="210"/>
    </row>
    <row r="76" spans="1:26" ht="18.75" customHeight="1" x14ac:dyDescent="0.2">
      <c r="A76" s="88"/>
      <c r="B76" s="162"/>
      <c r="C76" s="163"/>
      <c r="D76" s="163"/>
      <c r="E76" s="163"/>
      <c r="F76" s="164"/>
      <c r="G76" s="205"/>
      <c r="H76" s="206"/>
      <c r="I76" s="206"/>
      <c r="J76" s="206"/>
      <c r="K76" s="206"/>
      <c r="L76" s="206"/>
      <c r="M76" s="207"/>
      <c r="N76" s="162"/>
      <c r="O76" s="163"/>
      <c r="P76" s="163"/>
      <c r="Q76" s="163"/>
      <c r="R76" s="163"/>
      <c r="S76" s="164"/>
      <c r="T76" s="205"/>
      <c r="U76" s="206"/>
      <c r="V76" s="206"/>
      <c r="W76" s="206"/>
      <c r="X76" s="206"/>
      <c r="Y76" s="206"/>
      <c r="Z76" s="207"/>
    </row>
    <row r="77" spans="1:26" ht="18.75" customHeight="1" x14ac:dyDescent="0.2">
      <c r="A77" s="88"/>
      <c r="B77" s="124"/>
      <c r="C77" s="124"/>
      <c r="D77" s="124"/>
      <c r="E77" s="124"/>
      <c r="F77" s="124"/>
      <c r="G77" s="5"/>
      <c r="H77" s="5"/>
      <c r="I77" s="5"/>
      <c r="J77" s="5"/>
      <c r="K77" s="5"/>
      <c r="L77" s="5"/>
      <c r="M77" s="5"/>
      <c r="N77" s="124"/>
      <c r="O77" s="124"/>
      <c r="P77" s="124"/>
      <c r="Q77" s="124"/>
      <c r="R77" s="124"/>
      <c r="S77" s="124"/>
      <c r="T77" s="5"/>
      <c r="U77" s="5"/>
      <c r="V77" s="5"/>
      <c r="W77" s="5"/>
      <c r="X77" s="5"/>
      <c r="Y77" s="5"/>
      <c r="Z77" s="5"/>
    </row>
    <row r="78" spans="1:26" ht="18.75" customHeight="1" x14ac:dyDescent="0.2">
      <c r="A78" s="6" t="s">
        <v>148</v>
      </c>
    </row>
    <row r="79" spans="1:26" ht="18.75" customHeight="1" x14ac:dyDescent="0.2">
      <c r="B79" s="32" t="s">
        <v>106</v>
      </c>
      <c r="C79" s="33"/>
      <c r="D79" s="235" t="s">
        <v>107</v>
      </c>
      <c r="E79" s="235"/>
      <c r="F79" s="235"/>
      <c r="G79" s="235"/>
      <c r="H79" s="235"/>
      <c r="I79" s="235"/>
      <c r="J79" s="235"/>
      <c r="K79" s="235"/>
      <c r="L79" s="235"/>
      <c r="M79" s="235"/>
      <c r="N79" s="235"/>
      <c r="O79" s="235"/>
      <c r="P79" s="235"/>
      <c r="Q79" s="235"/>
      <c r="R79" s="235"/>
      <c r="S79" s="235"/>
      <c r="T79" s="235"/>
      <c r="U79" s="235"/>
      <c r="V79" s="235"/>
      <c r="W79" s="235"/>
      <c r="X79" s="235"/>
      <c r="Y79" s="235"/>
      <c r="Z79" s="236"/>
    </row>
    <row r="80" spans="1:26" ht="79.8" customHeight="1" x14ac:dyDescent="0.2">
      <c r="B80" s="225" t="s">
        <v>114</v>
      </c>
      <c r="C80" s="37" t="s">
        <v>108</v>
      </c>
      <c r="D80" s="231" t="s">
        <v>218</v>
      </c>
      <c r="E80" s="232"/>
      <c r="F80" s="232"/>
      <c r="G80" s="232"/>
      <c r="H80" s="232"/>
      <c r="I80" s="232"/>
      <c r="J80" s="232"/>
      <c r="K80" s="232"/>
      <c r="L80" s="232"/>
      <c r="M80" s="232"/>
      <c r="N80" s="232"/>
      <c r="O80" s="232"/>
      <c r="P80" s="232"/>
      <c r="Q80" s="232"/>
      <c r="R80" s="232"/>
      <c r="S80" s="232"/>
      <c r="T80" s="232"/>
      <c r="U80" s="232"/>
      <c r="V80" s="232"/>
      <c r="W80" s="232"/>
      <c r="X80" s="232"/>
      <c r="Y80" s="232"/>
      <c r="Z80" s="233"/>
    </row>
    <row r="81" spans="1:26" ht="79.8" customHeight="1" x14ac:dyDescent="0.2">
      <c r="B81" s="226"/>
      <c r="C81" s="44" t="s">
        <v>143</v>
      </c>
      <c r="D81" s="211" t="s">
        <v>219</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9.8" customHeight="1" x14ac:dyDescent="0.2">
      <c r="B82" s="223" t="s">
        <v>115</v>
      </c>
      <c r="C82" s="34" t="s">
        <v>133</v>
      </c>
      <c r="D82" s="214" t="s">
        <v>220</v>
      </c>
      <c r="E82" s="176"/>
      <c r="F82" s="176"/>
      <c r="G82" s="176"/>
      <c r="H82" s="176"/>
      <c r="I82" s="176"/>
      <c r="J82" s="176"/>
      <c r="K82" s="176"/>
      <c r="L82" s="176"/>
      <c r="M82" s="176"/>
      <c r="N82" s="176"/>
      <c r="O82" s="176"/>
      <c r="P82" s="176"/>
      <c r="Q82" s="176"/>
      <c r="R82" s="176"/>
      <c r="S82" s="176"/>
      <c r="T82" s="176"/>
      <c r="U82" s="176"/>
      <c r="V82" s="176"/>
      <c r="W82" s="176"/>
      <c r="X82" s="176"/>
      <c r="Y82" s="176"/>
      <c r="Z82" s="177"/>
    </row>
    <row r="83" spans="1:26" ht="79.8" customHeight="1" x14ac:dyDescent="0.2">
      <c r="B83" s="224"/>
      <c r="C83" s="45" t="s">
        <v>134</v>
      </c>
      <c r="D83" s="218" t="s">
        <v>221</v>
      </c>
      <c r="E83" s="169"/>
      <c r="F83" s="169"/>
      <c r="G83" s="169"/>
      <c r="H83" s="169"/>
      <c r="I83" s="169"/>
      <c r="J83" s="169"/>
      <c r="K83" s="169"/>
      <c r="L83" s="169"/>
      <c r="M83" s="169"/>
      <c r="N83" s="169"/>
      <c r="O83" s="169"/>
      <c r="P83" s="169"/>
      <c r="Q83" s="169"/>
      <c r="R83" s="169"/>
      <c r="S83" s="169"/>
      <c r="T83" s="169"/>
      <c r="U83" s="169"/>
      <c r="V83" s="169"/>
      <c r="W83" s="169"/>
      <c r="X83" s="169"/>
      <c r="Y83" s="169"/>
      <c r="Z83" s="170"/>
    </row>
    <row r="84" spans="1:26" ht="61.8" customHeight="1" x14ac:dyDescent="0.2">
      <c r="B84" s="223" t="s">
        <v>116</v>
      </c>
      <c r="C84" s="34" t="s">
        <v>136</v>
      </c>
      <c r="D84" s="214" t="s">
        <v>222</v>
      </c>
      <c r="E84" s="176"/>
      <c r="F84" s="176"/>
      <c r="G84" s="176"/>
      <c r="H84" s="176"/>
      <c r="I84" s="176"/>
      <c r="J84" s="176"/>
      <c r="K84" s="176"/>
      <c r="L84" s="176"/>
      <c r="M84" s="176"/>
      <c r="N84" s="176"/>
      <c r="O84" s="176"/>
      <c r="P84" s="176"/>
      <c r="Q84" s="176"/>
      <c r="R84" s="176"/>
      <c r="S84" s="176"/>
      <c r="T84" s="176"/>
      <c r="U84" s="176"/>
      <c r="V84" s="176"/>
      <c r="W84" s="176"/>
      <c r="X84" s="176"/>
      <c r="Y84" s="176"/>
      <c r="Z84" s="177"/>
    </row>
    <row r="85" spans="1:26" ht="61.8" customHeight="1" x14ac:dyDescent="0.2">
      <c r="B85" s="224"/>
      <c r="C85" s="36" t="s">
        <v>137</v>
      </c>
      <c r="D85" s="215" t="s">
        <v>223</v>
      </c>
      <c r="E85" s="216"/>
      <c r="F85" s="216"/>
      <c r="G85" s="216"/>
      <c r="H85" s="216"/>
      <c r="I85" s="216"/>
      <c r="J85" s="216"/>
      <c r="K85" s="216"/>
      <c r="L85" s="216"/>
      <c r="M85" s="216"/>
      <c r="N85" s="216"/>
      <c r="O85" s="216"/>
      <c r="P85" s="216"/>
      <c r="Q85" s="216"/>
      <c r="R85" s="216"/>
      <c r="S85" s="216"/>
      <c r="T85" s="216"/>
      <c r="U85" s="216"/>
      <c r="V85" s="216"/>
      <c r="W85" s="216"/>
      <c r="X85" s="216"/>
      <c r="Y85" s="216"/>
      <c r="Z85" s="217"/>
    </row>
    <row r="86" spans="1:26" ht="61.8" customHeight="1" x14ac:dyDescent="0.2">
      <c r="B86" s="225" t="s">
        <v>144</v>
      </c>
      <c r="C86" s="37" t="s">
        <v>110</v>
      </c>
      <c r="D86" s="231" t="s">
        <v>224</v>
      </c>
      <c r="E86" s="232"/>
      <c r="F86" s="232"/>
      <c r="G86" s="232"/>
      <c r="H86" s="232"/>
      <c r="I86" s="232"/>
      <c r="J86" s="232"/>
      <c r="K86" s="232"/>
      <c r="L86" s="232"/>
      <c r="M86" s="232"/>
      <c r="N86" s="232"/>
      <c r="O86" s="232"/>
      <c r="P86" s="232"/>
      <c r="Q86" s="232"/>
      <c r="R86" s="232"/>
      <c r="S86" s="232"/>
      <c r="T86" s="232"/>
      <c r="U86" s="232"/>
      <c r="V86" s="232"/>
      <c r="W86" s="232"/>
      <c r="X86" s="232"/>
      <c r="Y86" s="232"/>
      <c r="Z86" s="233"/>
    </row>
    <row r="87" spans="1:26" ht="61.8" customHeight="1" x14ac:dyDescent="0.2">
      <c r="B87" s="230"/>
      <c r="C87" s="35" t="s">
        <v>112</v>
      </c>
      <c r="D87" s="234" t="s">
        <v>225</v>
      </c>
      <c r="E87" s="166"/>
      <c r="F87" s="166"/>
      <c r="G87" s="166"/>
      <c r="H87" s="166"/>
      <c r="I87" s="166"/>
      <c r="J87" s="166"/>
      <c r="K87" s="166"/>
      <c r="L87" s="166"/>
      <c r="M87" s="166"/>
      <c r="N87" s="166"/>
      <c r="O87" s="166"/>
      <c r="P87" s="166"/>
      <c r="Q87" s="166"/>
      <c r="R87" s="166"/>
      <c r="S87" s="166"/>
      <c r="T87" s="166"/>
      <c r="U87" s="166"/>
      <c r="V87" s="166"/>
      <c r="W87" s="166"/>
      <c r="X87" s="166"/>
      <c r="Y87" s="166"/>
      <c r="Z87" s="167"/>
    </row>
    <row r="88" spans="1:26" ht="61.8" customHeight="1" x14ac:dyDescent="0.2">
      <c r="B88" s="225" t="s">
        <v>145</v>
      </c>
      <c r="C88" s="34" t="s">
        <v>109</v>
      </c>
      <c r="D88" s="227" t="s">
        <v>229</v>
      </c>
      <c r="E88" s="157"/>
      <c r="F88" s="157"/>
      <c r="G88" s="157"/>
      <c r="H88" s="157"/>
      <c r="I88" s="157"/>
      <c r="J88" s="157"/>
      <c r="K88" s="157"/>
      <c r="L88" s="157"/>
      <c r="M88" s="157"/>
      <c r="N88" s="157"/>
      <c r="O88" s="157"/>
      <c r="P88" s="157"/>
      <c r="Q88" s="157"/>
      <c r="R88" s="157"/>
      <c r="S88" s="157"/>
      <c r="T88" s="157"/>
      <c r="U88" s="157"/>
      <c r="V88" s="157"/>
      <c r="W88" s="157"/>
      <c r="X88" s="157"/>
      <c r="Y88" s="157"/>
      <c r="Z88" s="158"/>
    </row>
    <row r="89" spans="1:26" ht="61.8" customHeight="1" x14ac:dyDescent="0.2">
      <c r="B89" s="226"/>
      <c r="C89" s="35" t="s">
        <v>140</v>
      </c>
      <c r="D89" s="222" t="s">
        <v>226</v>
      </c>
      <c r="E89" s="160"/>
      <c r="F89" s="160"/>
      <c r="G89" s="160"/>
      <c r="H89" s="160"/>
      <c r="I89" s="160"/>
      <c r="J89" s="160"/>
      <c r="K89" s="160"/>
      <c r="L89" s="160"/>
      <c r="M89" s="160"/>
      <c r="N89" s="160"/>
      <c r="O89" s="160"/>
      <c r="P89" s="160"/>
      <c r="Q89" s="160"/>
      <c r="R89" s="160"/>
      <c r="S89" s="160"/>
      <c r="T89" s="160"/>
      <c r="U89" s="160"/>
      <c r="V89" s="160"/>
      <c r="W89" s="160"/>
      <c r="X89" s="160"/>
      <c r="Y89" s="160"/>
      <c r="Z89" s="161"/>
    </row>
    <row r="90" spans="1:26" ht="61.8" customHeight="1" x14ac:dyDescent="0.2">
      <c r="B90" s="224"/>
      <c r="C90" s="36" t="s">
        <v>141</v>
      </c>
      <c r="D90" s="200" t="s">
        <v>230</v>
      </c>
      <c r="E90" s="228"/>
      <c r="F90" s="228"/>
      <c r="G90" s="228"/>
      <c r="H90" s="228"/>
      <c r="I90" s="228"/>
      <c r="J90" s="228"/>
      <c r="K90" s="228"/>
      <c r="L90" s="228"/>
      <c r="M90" s="228"/>
      <c r="N90" s="228"/>
      <c r="O90" s="228"/>
      <c r="P90" s="228"/>
      <c r="Q90" s="228"/>
      <c r="R90" s="228"/>
      <c r="S90" s="228"/>
      <c r="T90" s="228"/>
      <c r="U90" s="228"/>
      <c r="V90" s="228"/>
      <c r="W90" s="228"/>
      <c r="X90" s="228"/>
      <c r="Y90" s="228"/>
      <c r="Z90" s="229"/>
    </row>
    <row r="91" spans="1:26" ht="11.4" customHeight="1" x14ac:dyDescent="0.2"/>
    <row r="92" spans="1:26" ht="18.75" customHeight="1" x14ac:dyDescent="0.2">
      <c r="A92" s="6" t="s">
        <v>149</v>
      </c>
    </row>
    <row r="93" spans="1:26" ht="18.75" customHeight="1" x14ac:dyDescent="0.2">
      <c r="B93" s="193" t="s">
        <v>203</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75" customHeight="1" x14ac:dyDescent="0.2">
      <c r="B94" s="196"/>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198"/>
    </row>
    <row r="95" spans="1:26" ht="18.75" customHeight="1" x14ac:dyDescent="0.2">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12.6" customHeight="1" x14ac:dyDescent="0.2"/>
    <row r="97" spans="1:26" ht="18.75" customHeight="1" x14ac:dyDescent="0.2">
      <c r="A97" s="6" t="s">
        <v>150</v>
      </c>
    </row>
    <row r="98" spans="1:26" ht="18.75" customHeight="1" x14ac:dyDescent="0.2">
      <c r="B98" s="202" t="s">
        <v>186</v>
      </c>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4"/>
    </row>
    <row r="99" spans="1:26" ht="10.199999999999999" customHeight="1" x14ac:dyDescent="0.2"/>
  </sheetData>
  <mergeCells count="218">
    <mergeCell ref="B88:B90"/>
    <mergeCell ref="D88:Z88"/>
    <mergeCell ref="D89:Z89"/>
    <mergeCell ref="D90:Z90"/>
    <mergeCell ref="B93:Z95"/>
    <mergeCell ref="B98:Z98"/>
    <mergeCell ref="B84:B85"/>
    <mergeCell ref="D84:Z84"/>
    <mergeCell ref="D85:Z85"/>
    <mergeCell ref="B86:B87"/>
    <mergeCell ref="D86:Z86"/>
    <mergeCell ref="D87:Z87"/>
    <mergeCell ref="D79:Z79"/>
    <mergeCell ref="B80:B81"/>
    <mergeCell ref="D80:Z80"/>
    <mergeCell ref="D81:Z81"/>
    <mergeCell ref="B82:B83"/>
    <mergeCell ref="D82:Z82"/>
    <mergeCell ref="D83:Z83"/>
    <mergeCell ref="B75:F75"/>
    <mergeCell ref="G75:M75"/>
    <mergeCell ref="N75:S75"/>
    <mergeCell ref="T75:Z75"/>
    <mergeCell ref="B76:F76"/>
    <mergeCell ref="G76:M76"/>
    <mergeCell ref="N76:S76"/>
    <mergeCell ref="T76:Z76"/>
    <mergeCell ref="B73:F73"/>
    <mergeCell ref="G73:M73"/>
    <mergeCell ref="N73:S73"/>
    <mergeCell ref="T73:Z73"/>
    <mergeCell ref="B74:F74"/>
    <mergeCell ref="G74:M74"/>
    <mergeCell ref="N74:S74"/>
    <mergeCell ref="T74:Z74"/>
    <mergeCell ref="B71:F71"/>
    <mergeCell ref="G71:M71"/>
    <mergeCell ref="N71:S71"/>
    <mergeCell ref="T71:Z71"/>
    <mergeCell ref="B72:F72"/>
    <mergeCell ref="G72:M72"/>
    <mergeCell ref="N72:S72"/>
    <mergeCell ref="T72:Z72"/>
    <mergeCell ref="B69:F69"/>
    <mergeCell ref="G69:M69"/>
    <mergeCell ref="N69:S69"/>
    <mergeCell ref="T69:Z69"/>
    <mergeCell ref="B70:F70"/>
    <mergeCell ref="G70:M70"/>
    <mergeCell ref="N70:S70"/>
    <mergeCell ref="T70:Z70"/>
    <mergeCell ref="B65:E65"/>
    <mergeCell ref="H65:J65"/>
    <mergeCell ref="N65:R65"/>
    <mergeCell ref="U65:W65"/>
    <mergeCell ref="B66:E66"/>
    <mergeCell ref="H66:J66"/>
    <mergeCell ref="N66:R66"/>
    <mergeCell ref="U66:W66"/>
    <mergeCell ref="B63:E63"/>
    <mergeCell ref="H63:J63"/>
    <mergeCell ref="N63:R63"/>
    <mergeCell ref="U63:W63"/>
    <mergeCell ref="B64:E64"/>
    <mergeCell ref="H64:J64"/>
    <mergeCell ref="N64:R64"/>
    <mergeCell ref="U64:W64"/>
    <mergeCell ref="B61:E61"/>
    <mergeCell ref="H61:J61"/>
    <mergeCell ref="N61:R61"/>
    <mergeCell ref="U61:W61"/>
    <mergeCell ref="B62:E62"/>
    <mergeCell ref="H62:J62"/>
    <mergeCell ref="N62:R62"/>
    <mergeCell ref="U62:W62"/>
    <mergeCell ref="A57:Z58"/>
    <mergeCell ref="B59:E59"/>
    <mergeCell ref="N59:R59"/>
    <mergeCell ref="B60:E60"/>
    <mergeCell ref="H60:J60"/>
    <mergeCell ref="N60:R60"/>
    <mergeCell ref="U60:W60"/>
    <mergeCell ref="B54:F54"/>
    <mergeCell ref="I54:K54"/>
    <mergeCell ref="N54:S54"/>
    <mergeCell ref="V54:X54"/>
    <mergeCell ref="B55:F55"/>
    <mergeCell ref="I55:K55"/>
    <mergeCell ref="N55:S55"/>
    <mergeCell ref="V55:X55"/>
    <mergeCell ref="B52:F52"/>
    <mergeCell ref="I52:K52"/>
    <mergeCell ref="N52:S52"/>
    <mergeCell ref="V52:X52"/>
    <mergeCell ref="B53:F53"/>
    <mergeCell ref="I53:K53"/>
    <mergeCell ref="N53:S53"/>
    <mergeCell ref="V53:X53"/>
    <mergeCell ref="B50:F50"/>
    <mergeCell ref="I50:K50"/>
    <mergeCell ref="N50:S50"/>
    <mergeCell ref="V50:X50"/>
    <mergeCell ref="B51:F51"/>
    <mergeCell ref="I51:K51"/>
    <mergeCell ref="N51:S51"/>
    <mergeCell ref="V51:X51"/>
    <mergeCell ref="A46:Z47"/>
    <mergeCell ref="B48:F48"/>
    <mergeCell ref="I48:K48"/>
    <mergeCell ref="N48:S48"/>
    <mergeCell ref="V48:X48"/>
    <mergeCell ref="B49:F49"/>
    <mergeCell ref="I49:K49"/>
    <mergeCell ref="N49:S49"/>
    <mergeCell ref="V49:X49"/>
    <mergeCell ref="B43:F43"/>
    <mergeCell ref="I43:K43"/>
    <mergeCell ref="N43:S43"/>
    <mergeCell ref="V43:X43"/>
    <mergeCell ref="B44:F44"/>
    <mergeCell ref="I44:K44"/>
    <mergeCell ref="N44:S44"/>
    <mergeCell ref="V44:X44"/>
    <mergeCell ref="B41:F41"/>
    <mergeCell ref="I41:K41"/>
    <mergeCell ref="N41:S41"/>
    <mergeCell ref="V41:X41"/>
    <mergeCell ref="B42:F42"/>
    <mergeCell ref="I42:K42"/>
    <mergeCell ref="N42:S42"/>
    <mergeCell ref="V42:X42"/>
    <mergeCell ref="B39:F39"/>
    <mergeCell ref="I39:K39"/>
    <mergeCell ref="N39:S39"/>
    <mergeCell ref="V39:X39"/>
    <mergeCell ref="B40:F40"/>
    <mergeCell ref="I40:K40"/>
    <mergeCell ref="N40:S40"/>
    <mergeCell ref="V40:X40"/>
    <mergeCell ref="A35:Z36"/>
    <mergeCell ref="B37:F37"/>
    <mergeCell ref="I37:K37"/>
    <mergeCell ref="N37:S37"/>
    <mergeCell ref="V37:X37"/>
    <mergeCell ref="B38:F38"/>
    <mergeCell ref="I38:K38"/>
    <mergeCell ref="N38:S38"/>
    <mergeCell ref="V38:X38"/>
    <mergeCell ref="B32:F32"/>
    <mergeCell ref="I32:K32"/>
    <mergeCell ref="N32:S32"/>
    <mergeCell ref="V32:X32"/>
    <mergeCell ref="B33:F33"/>
    <mergeCell ref="I33:K33"/>
    <mergeCell ref="N33:S33"/>
    <mergeCell ref="V33:X33"/>
    <mergeCell ref="B30:F30"/>
    <mergeCell ref="I30:K30"/>
    <mergeCell ref="N30:S30"/>
    <mergeCell ref="V30:X30"/>
    <mergeCell ref="B31:F31"/>
    <mergeCell ref="I31:K31"/>
    <mergeCell ref="N31:S31"/>
    <mergeCell ref="V31:X31"/>
    <mergeCell ref="B28:F28"/>
    <mergeCell ref="I28:K28"/>
    <mergeCell ref="N28:S28"/>
    <mergeCell ref="V28:X28"/>
    <mergeCell ref="B29:F29"/>
    <mergeCell ref="I29:K29"/>
    <mergeCell ref="N29:S29"/>
    <mergeCell ref="V29:X29"/>
    <mergeCell ref="A24:Z25"/>
    <mergeCell ref="B26:F26"/>
    <mergeCell ref="I26:K26"/>
    <mergeCell ref="N26:S26"/>
    <mergeCell ref="V26:X26"/>
    <mergeCell ref="B27:F27"/>
    <mergeCell ref="I27:K27"/>
    <mergeCell ref="N27:S27"/>
    <mergeCell ref="V27:X27"/>
    <mergeCell ref="B21:F21"/>
    <mergeCell ref="I21:K21"/>
    <mergeCell ref="N21:S21"/>
    <mergeCell ref="V21:X21"/>
    <mergeCell ref="B22:F22"/>
    <mergeCell ref="I22:K22"/>
    <mergeCell ref="N22:S22"/>
    <mergeCell ref="V22:X22"/>
    <mergeCell ref="B19:F19"/>
    <mergeCell ref="I19:K19"/>
    <mergeCell ref="N19:S19"/>
    <mergeCell ref="V19:X19"/>
    <mergeCell ref="B20:F20"/>
    <mergeCell ref="I20:K20"/>
    <mergeCell ref="N20:S20"/>
    <mergeCell ref="V20:X20"/>
    <mergeCell ref="B17:F17"/>
    <mergeCell ref="I17:K17"/>
    <mergeCell ref="N17:S17"/>
    <mergeCell ref="V17:X17"/>
    <mergeCell ref="B18:F18"/>
    <mergeCell ref="I18:K18"/>
    <mergeCell ref="N18:S18"/>
    <mergeCell ref="V18:X18"/>
    <mergeCell ref="A13:Z14"/>
    <mergeCell ref="B15:F15"/>
    <mergeCell ref="I15:K15"/>
    <mergeCell ref="N15:S15"/>
    <mergeCell ref="V15:X15"/>
    <mergeCell ref="B16:F16"/>
    <mergeCell ref="I16:K16"/>
    <mergeCell ref="N16:S16"/>
    <mergeCell ref="V16:X16"/>
    <mergeCell ref="W1:Z1"/>
    <mergeCell ref="A2:Z2"/>
    <mergeCell ref="O4:Z4"/>
    <mergeCell ref="B6:Z11"/>
  </mergeCells>
  <phoneticPr fontId="1"/>
  <dataValidations count="4">
    <dataValidation type="list" allowBlank="1" showInputMessage="1" showErrorMessage="1" sqref="T74:Z77 G74:M77" xr:uid="{52D06794-5E10-4FE1-A28B-7EE69060142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7E157391-E02E-4C85-9BFF-80539FF367AC}">
      <formula1>"学部・学科によって、修了要件は相違する,学部・学科によって、修了要件は相違しない"</formula1>
    </dataValidation>
    <dataValidation type="list" allowBlank="1" showInputMessage="1" showErrorMessage="1" sqref="Z23 Z34 D34:K34 D23:K23 I16:I22 V16:V22 I27:I33 V27:V33 V38:V44 I38:I44 I49:I55 V49:V55 H60:H66 U60:U66" xr:uid="{F8B9EB69-C285-4D40-BC36-1E1FC2A96E60}">
      <formula1>"全学開講,一部開講"</formula1>
    </dataValidation>
    <dataValidation type="list" allowBlank="1" showInputMessage="1" showErrorMessage="1" sqref="K60:K64 U16:U22 H16:H22 L16:M22 Y16:Z22 H27:H33 U27:U33 L27:M33 Y27:Z33 U38:U44 H38:H44 L38:M44 Y38:Z44 U49:U55 Y49:Z55 L49:M55 H49:H55 L60:M66 T60:T66 G60:G66 Y60:Z66" xr:uid="{5365CD85-4629-4AC0-8034-AE48B29EA920}">
      <formula1>"○"</formula1>
    </dataValidation>
  </dataValidations>
  <printOptions horizontalCentered="1"/>
  <pageMargins left="0.78740157480314965" right="0.78740157480314965" top="0.59055118110236227" bottom="0.19685039370078741" header="0.31496062992125984" footer="0.31496062992125984"/>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H19" sqref="H19"/>
    </sheetView>
  </sheetViews>
  <sheetFormatPr defaultColWidth="9" defaultRowHeight="18.75" customHeight="1" x14ac:dyDescent="0.2"/>
  <cols>
    <col min="1" max="1" width="2.77734375" style="7" customWidth="1"/>
    <col min="2" max="2" width="30" style="7" customWidth="1"/>
    <col min="3" max="17" width="6.109375" style="7" customWidth="1"/>
    <col min="18" max="18" width="6.6640625" style="7" customWidth="1"/>
    <col min="19" max="16384" width="9" style="7"/>
  </cols>
  <sheetData>
    <row r="1" spans="1:20" ht="18" customHeight="1" x14ac:dyDescent="0.2">
      <c r="F1" s="138" t="s">
        <v>65</v>
      </c>
      <c r="G1" s="138"/>
      <c r="H1" s="138"/>
      <c r="I1" s="138"/>
      <c r="J1" s="138"/>
      <c r="K1" s="138"/>
      <c r="L1" s="138"/>
      <c r="M1" s="138"/>
      <c r="N1" s="138"/>
      <c r="O1" s="138"/>
      <c r="P1" s="138"/>
      <c r="Q1" s="138"/>
      <c r="R1" s="138"/>
    </row>
    <row r="2" spans="1:20" ht="18" customHeight="1" x14ac:dyDescent="0.2">
      <c r="A2" s="182" t="s">
        <v>93</v>
      </c>
      <c r="B2" s="182"/>
      <c r="C2" s="182"/>
      <c r="D2" s="182"/>
      <c r="E2" s="182"/>
      <c r="F2" s="182"/>
      <c r="G2" s="182"/>
      <c r="H2" s="182"/>
      <c r="I2" s="182"/>
      <c r="J2" s="182"/>
      <c r="K2" s="182"/>
      <c r="L2" s="182"/>
      <c r="M2" s="182"/>
      <c r="N2" s="182"/>
      <c r="O2" s="182"/>
      <c r="P2" s="182"/>
      <c r="Q2" s="182"/>
      <c r="R2" s="182"/>
    </row>
    <row r="3" spans="1:20" ht="7.5" customHeight="1" x14ac:dyDescent="0.2">
      <c r="A3" s="21"/>
      <c r="B3" s="21"/>
      <c r="C3" s="21"/>
      <c r="D3" s="21"/>
      <c r="E3" s="21"/>
      <c r="F3" s="21"/>
      <c r="G3" s="21"/>
      <c r="H3" s="21"/>
      <c r="I3" s="21"/>
      <c r="J3" s="21"/>
      <c r="K3" s="21"/>
      <c r="L3" s="21"/>
      <c r="M3" s="21"/>
      <c r="N3" s="21"/>
      <c r="O3" s="21"/>
      <c r="P3" s="21"/>
      <c r="Q3" s="21"/>
      <c r="R3" s="21"/>
    </row>
    <row r="4" spans="1:20" ht="18" customHeight="1" x14ac:dyDescent="0.2">
      <c r="A4" s="7" t="s">
        <v>155</v>
      </c>
      <c r="C4" s="249" t="str">
        <f>'様式１　大学等概要'!E12</f>
        <v>令和３</v>
      </c>
      <c r="D4" s="250"/>
      <c r="E4" s="21" t="s">
        <v>118</v>
      </c>
      <c r="F4" s="21"/>
      <c r="G4" s="21"/>
      <c r="H4" s="21"/>
      <c r="I4" s="21"/>
      <c r="J4" s="9"/>
      <c r="K4" s="21"/>
      <c r="L4" s="21"/>
      <c r="M4" s="51"/>
      <c r="N4" s="51"/>
      <c r="O4" s="51"/>
      <c r="P4" s="51"/>
      <c r="Q4" s="51"/>
      <c r="R4" s="51"/>
    </row>
    <row r="5" spans="1:20" ht="6" customHeight="1" x14ac:dyDescent="0.2">
      <c r="A5" s="21"/>
      <c r="B5" s="21"/>
      <c r="C5" s="21"/>
      <c r="D5" s="21"/>
      <c r="E5" s="21"/>
      <c r="F5" s="21"/>
      <c r="G5" s="21"/>
      <c r="H5" s="21"/>
      <c r="I5" s="21"/>
      <c r="J5" s="21"/>
      <c r="K5" s="21"/>
      <c r="L5" s="21"/>
      <c r="M5" s="21"/>
      <c r="N5" s="21"/>
      <c r="O5" s="21"/>
      <c r="P5" s="21"/>
      <c r="Q5" s="21"/>
      <c r="R5" s="21"/>
    </row>
    <row r="6" spans="1:20" ht="18" customHeight="1" x14ac:dyDescent="0.2">
      <c r="A6" s="7" t="s">
        <v>151</v>
      </c>
      <c r="B6" s="21"/>
      <c r="C6" s="21"/>
      <c r="D6" s="21"/>
      <c r="E6" s="21"/>
      <c r="F6" s="21"/>
      <c r="G6" s="21"/>
      <c r="H6" s="21"/>
      <c r="I6" s="21"/>
      <c r="J6" s="21"/>
      <c r="K6" s="21"/>
      <c r="L6" s="21"/>
      <c r="M6" s="21"/>
      <c r="N6" s="21"/>
      <c r="O6" s="21"/>
      <c r="P6" s="21"/>
      <c r="Q6" s="21"/>
      <c r="R6" s="21"/>
    </row>
    <row r="7" spans="1:20" ht="6" customHeight="1" x14ac:dyDescent="0.2">
      <c r="B7" s="21"/>
      <c r="C7" s="21"/>
      <c r="D7" s="21"/>
      <c r="E7" s="21"/>
      <c r="F7" s="21"/>
      <c r="G7" s="21"/>
      <c r="H7" s="21"/>
      <c r="I7" s="21"/>
      <c r="J7" s="21"/>
      <c r="K7" s="21"/>
      <c r="L7" s="21"/>
      <c r="M7" s="21"/>
      <c r="N7" s="21"/>
      <c r="O7" s="21"/>
      <c r="P7" s="21"/>
      <c r="Q7" s="21"/>
      <c r="R7" s="21"/>
    </row>
    <row r="8" spans="1:20" ht="18" customHeight="1" x14ac:dyDescent="0.2">
      <c r="B8" s="251" t="s">
        <v>83</v>
      </c>
      <c r="C8" s="253" t="s">
        <v>88</v>
      </c>
      <c r="D8" s="255" t="s">
        <v>70</v>
      </c>
      <c r="E8" s="257" t="s">
        <v>94</v>
      </c>
      <c r="F8" s="257"/>
      <c r="G8" s="257" t="s">
        <v>95</v>
      </c>
      <c r="H8" s="257"/>
      <c r="I8" s="257" t="s">
        <v>96</v>
      </c>
      <c r="J8" s="257"/>
      <c r="K8" s="179" t="s">
        <v>97</v>
      </c>
      <c r="L8" s="181"/>
      <c r="M8" s="179" t="s">
        <v>98</v>
      </c>
      <c r="N8" s="181"/>
      <c r="O8" s="179" t="s">
        <v>99</v>
      </c>
      <c r="P8" s="181"/>
      <c r="Q8" s="258" t="s">
        <v>64</v>
      </c>
      <c r="R8" s="260" t="s">
        <v>58</v>
      </c>
      <c r="T8" s="55"/>
    </row>
    <row r="9" spans="1:20" ht="18" customHeight="1" x14ac:dyDescent="0.2">
      <c r="B9" s="252"/>
      <c r="C9" s="254"/>
      <c r="D9" s="256"/>
      <c r="E9" s="56" t="s">
        <v>46</v>
      </c>
      <c r="F9" s="57" t="s">
        <v>45</v>
      </c>
      <c r="G9" s="58" t="s">
        <v>46</v>
      </c>
      <c r="H9" s="59" t="s">
        <v>45</v>
      </c>
      <c r="I9" s="56" t="s">
        <v>46</v>
      </c>
      <c r="J9" s="57" t="s">
        <v>45</v>
      </c>
      <c r="K9" s="58" t="s">
        <v>46</v>
      </c>
      <c r="L9" s="59" t="s">
        <v>45</v>
      </c>
      <c r="M9" s="56" t="s">
        <v>46</v>
      </c>
      <c r="N9" s="57" t="s">
        <v>45</v>
      </c>
      <c r="O9" s="58" t="s">
        <v>46</v>
      </c>
      <c r="P9" s="59" t="s">
        <v>45</v>
      </c>
      <c r="Q9" s="259"/>
      <c r="R9" s="261"/>
      <c r="T9" s="55"/>
    </row>
    <row r="10" spans="1:20" ht="18" customHeight="1" x14ac:dyDescent="0.2">
      <c r="A10" s="30"/>
      <c r="B10" s="100" t="s">
        <v>180</v>
      </c>
      <c r="C10" s="95">
        <v>170</v>
      </c>
      <c r="D10" s="101">
        <v>300</v>
      </c>
      <c r="E10" s="61">
        <v>29</v>
      </c>
      <c r="F10" s="62">
        <v>20</v>
      </c>
      <c r="G10" s="63">
        <v>0</v>
      </c>
      <c r="H10" s="64">
        <v>0</v>
      </c>
      <c r="I10" s="61">
        <v>0</v>
      </c>
      <c r="J10" s="62">
        <v>0</v>
      </c>
      <c r="K10" s="63">
        <v>0</v>
      </c>
      <c r="L10" s="64">
        <v>0</v>
      </c>
      <c r="M10" s="61">
        <v>0</v>
      </c>
      <c r="N10" s="62">
        <v>0</v>
      </c>
      <c r="O10" s="63">
        <v>0</v>
      </c>
      <c r="P10" s="64">
        <v>0</v>
      </c>
      <c r="Q10" s="65">
        <f>E10+G10+I10+K10+M10+O10</f>
        <v>29</v>
      </c>
      <c r="R10" s="66">
        <f>Q10/D10</f>
        <v>9.6666666666666665E-2</v>
      </c>
    </row>
    <row r="11" spans="1:20" ht="18" customHeight="1" x14ac:dyDescent="0.2">
      <c r="A11" s="30"/>
      <c r="B11" s="102" t="s">
        <v>181</v>
      </c>
      <c r="C11" s="97">
        <v>60</v>
      </c>
      <c r="D11" s="96">
        <v>120</v>
      </c>
      <c r="E11" s="68">
        <v>45</v>
      </c>
      <c r="F11" s="69">
        <v>42</v>
      </c>
      <c r="G11" s="70">
        <v>0</v>
      </c>
      <c r="H11" s="71">
        <v>0</v>
      </c>
      <c r="I11" s="68">
        <v>0</v>
      </c>
      <c r="J11" s="69">
        <v>0</v>
      </c>
      <c r="K11" s="70">
        <v>0</v>
      </c>
      <c r="L11" s="71">
        <v>0</v>
      </c>
      <c r="M11" s="68">
        <v>0</v>
      </c>
      <c r="N11" s="69">
        <v>0</v>
      </c>
      <c r="O11" s="70">
        <v>0</v>
      </c>
      <c r="P11" s="71">
        <v>0</v>
      </c>
      <c r="Q11" s="72">
        <f t="shared" ref="Q11:Q29" si="0">E11+G11+I11+K11+M11+O11</f>
        <v>45</v>
      </c>
      <c r="R11" s="73">
        <f>Q11/D11</f>
        <v>0.375</v>
      </c>
    </row>
    <row r="12" spans="1:20" ht="18" customHeight="1" x14ac:dyDescent="0.2">
      <c r="A12" s="30"/>
      <c r="B12" s="67"/>
      <c r="C12" s="53"/>
      <c r="D12" s="52"/>
      <c r="E12" s="68"/>
      <c r="F12" s="69"/>
      <c r="G12" s="70"/>
      <c r="H12" s="71"/>
      <c r="I12" s="68"/>
      <c r="J12" s="69"/>
      <c r="K12" s="70"/>
      <c r="L12" s="71"/>
      <c r="M12" s="68"/>
      <c r="N12" s="69"/>
      <c r="O12" s="70"/>
      <c r="P12" s="71"/>
      <c r="Q12" s="72">
        <f t="shared" si="0"/>
        <v>0</v>
      </c>
      <c r="R12" s="73" t="e">
        <f t="shared" ref="R12:R29" si="1">Q12/D12</f>
        <v>#DIV/0!</v>
      </c>
    </row>
    <row r="13" spans="1:20" ht="18" customHeight="1" x14ac:dyDescent="0.2">
      <c r="A13" s="30"/>
      <c r="B13" s="67"/>
      <c r="C13" s="53"/>
      <c r="D13" s="52"/>
      <c r="E13" s="68"/>
      <c r="F13" s="69"/>
      <c r="G13" s="70"/>
      <c r="H13" s="71"/>
      <c r="I13" s="68"/>
      <c r="J13" s="69"/>
      <c r="K13" s="70"/>
      <c r="L13" s="71"/>
      <c r="M13" s="68"/>
      <c r="N13" s="69"/>
      <c r="O13" s="70"/>
      <c r="P13" s="71"/>
      <c r="Q13" s="72">
        <f t="shared" si="0"/>
        <v>0</v>
      </c>
      <c r="R13" s="73" t="e">
        <f t="shared" si="1"/>
        <v>#DIV/0!</v>
      </c>
    </row>
    <row r="14" spans="1:20" ht="18" customHeight="1" x14ac:dyDescent="0.2">
      <c r="A14" s="30"/>
      <c r="B14" s="67"/>
      <c r="C14" s="53"/>
      <c r="D14" s="52"/>
      <c r="E14" s="68"/>
      <c r="F14" s="69"/>
      <c r="G14" s="70"/>
      <c r="H14" s="71"/>
      <c r="I14" s="68"/>
      <c r="J14" s="69"/>
      <c r="K14" s="70"/>
      <c r="L14" s="71"/>
      <c r="M14" s="68"/>
      <c r="N14" s="69"/>
      <c r="O14" s="70"/>
      <c r="P14" s="71"/>
      <c r="Q14" s="72">
        <f>E14+G14+I14+K14+M14+O14</f>
        <v>0</v>
      </c>
      <c r="R14" s="73" t="e">
        <f t="shared" si="1"/>
        <v>#DIV/0!</v>
      </c>
    </row>
    <row r="15" spans="1:20" ht="18" customHeight="1" x14ac:dyDescent="0.2">
      <c r="A15" s="30"/>
      <c r="B15" s="67"/>
      <c r="C15" s="53"/>
      <c r="D15" s="52"/>
      <c r="E15" s="68"/>
      <c r="F15" s="69"/>
      <c r="G15" s="70"/>
      <c r="H15" s="71"/>
      <c r="I15" s="68"/>
      <c r="J15" s="69"/>
      <c r="K15" s="70"/>
      <c r="L15" s="71"/>
      <c r="M15" s="68"/>
      <c r="N15" s="69"/>
      <c r="O15" s="70"/>
      <c r="P15" s="71"/>
      <c r="Q15" s="72">
        <f t="shared" si="0"/>
        <v>0</v>
      </c>
      <c r="R15" s="73" t="e">
        <f t="shared" si="1"/>
        <v>#DIV/0!</v>
      </c>
    </row>
    <row r="16" spans="1:20" s="85" customFormat="1" ht="18" customHeight="1" x14ac:dyDescent="0.2">
      <c r="A16" s="30"/>
      <c r="B16" s="102"/>
      <c r="C16" s="123"/>
      <c r="D16" s="122"/>
      <c r="E16" s="68"/>
      <c r="F16" s="69"/>
      <c r="G16" s="70"/>
      <c r="H16" s="71"/>
      <c r="I16" s="68"/>
      <c r="J16" s="69"/>
      <c r="K16" s="70"/>
      <c r="L16" s="71"/>
      <c r="M16" s="68"/>
      <c r="N16" s="69"/>
      <c r="O16" s="70"/>
      <c r="P16" s="71"/>
      <c r="Q16" s="72">
        <f t="shared" ref="Q16:Q19" si="2">E16+G16+I16+K16+M16+O16</f>
        <v>0</v>
      </c>
      <c r="R16" s="73" t="e">
        <f t="shared" ref="R16:R18" si="3">Q16/D16</f>
        <v>#DIV/0!</v>
      </c>
    </row>
    <row r="17" spans="1:18" s="85" customFormat="1" ht="18" customHeight="1" x14ac:dyDescent="0.2">
      <c r="A17" s="30"/>
      <c r="B17" s="102"/>
      <c r="C17" s="123"/>
      <c r="D17" s="122"/>
      <c r="E17" s="68"/>
      <c r="F17" s="69"/>
      <c r="G17" s="70"/>
      <c r="H17" s="71"/>
      <c r="I17" s="68"/>
      <c r="J17" s="69"/>
      <c r="K17" s="70"/>
      <c r="L17" s="71"/>
      <c r="M17" s="68"/>
      <c r="N17" s="69"/>
      <c r="O17" s="70"/>
      <c r="P17" s="71"/>
      <c r="Q17" s="72">
        <f t="shared" si="2"/>
        <v>0</v>
      </c>
      <c r="R17" s="73" t="e">
        <f t="shared" si="3"/>
        <v>#DIV/0!</v>
      </c>
    </row>
    <row r="18" spans="1:18" s="85" customFormat="1" ht="18" customHeight="1" x14ac:dyDescent="0.2">
      <c r="A18" s="30"/>
      <c r="B18" s="102"/>
      <c r="C18" s="123"/>
      <c r="D18" s="122"/>
      <c r="E18" s="68"/>
      <c r="F18" s="69"/>
      <c r="G18" s="70"/>
      <c r="H18" s="71"/>
      <c r="I18" s="68"/>
      <c r="J18" s="69"/>
      <c r="K18" s="70"/>
      <c r="L18" s="71"/>
      <c r="M18" s="68"/>
      <c r="N18" s="69"/>
      <c r="O18" s="70"/>
      <c r="P18" s="71"/>
      <c r="Q18" s="72">
        <f t="shared" si="2"/>
        <v>0</v>
      </c>
      <c r="R18" s="73" t="e">
        <f t="shared" si="3"/>
        <v>#DIV/0!</v>
      </c>
    </row>
    <row r="19" spans="1:18" s="85" customFormat="1" ht="18" customHeight="1" x14ac:dyDescent="0.2">
      <c r="A19" s="30"/>
      <c r="B19" s="102"/>
      <c r="C19" s="123"/>
      <c r="D19" s="122"/>
      <c r="E19" s="68"/>
      <c r="F19" s="69"/>
      <c r="G19" s="70"/>
      <c r="H19" s="71"/>
      <c r="I19" s="68"/>
      <c r="J19" s="69"/>
      <c r="K19" s="70"/>
      <c r="L19" s="71"/>
      <c r="M19" s="68"/>
      <c r="N19" s="69"/>
      <c r="O19" s="70"/>
      <c r="P19" s="71"/>
      <c r="Q19" s="72">
        <f t="shared" si="2"/>
        <v>0</v>
      </c>
      <c r="R19" s="73" t="e">
        <f>Q19/D19</f>
        <v>#DIV/0!</v>
      </c>
    </row>
    <row r="20" spans="1:18" ht="18" customHeight="1" x14ac:dyDescent="0.2">
      <c r="A20" s="30"/>
      <c r="B20" s="67"/>
      <c r="C20" s="53"/>
      <c r="D20" s="52"/>
      <c r="E20" s="68"/>
      <c r="F20" s="69"/>
      <c r="G20" s="70"/>
      <c r="H20" s="71"/>
      <c r="I20" s="68"/>
      <c r="J20" s="69"/>
      <c r="K20" s="70"/>
      <c r="L20" s="71"/>
      <c r="M20" s="68"/>
      <c r="N20" s="69"/>
      <c r="O20" s="70"/>
      <c r="P20" s="71"/>
      <c r="Q20" s="72">
        <f t="shared" si="0"/>
        <v>0</v>
      </c>
      <c r="R20" s="73" t="e">
        <f t="shared" si="1"/>
        <v>#DIV/0!</v>
      </c>
    </row>
    <row r="21" spans="1:18" ht="18" customHeight="1" x14ac:dyDescent="0.2">
      <c r="A21" s="30"/>
      <c r="B21" s="67"/>
      <c r="C21" s="53"/>
      <c r="D21" s="52"/>
      <c r="E21" s="68"/>
      <c r="F21" s="69"/>
      <c r="G21" s="70"/>
      <c r="H21" s="71"/>
      <c r="I21" s="68"/>
      <c r="J21" s="69"/>
      <c r="K21" s="70"/>
      <c r="L21" s="71"/>
      <c r="M21" s="68"/>
      <c r="N21" s="69"/>
      <c r="O21" s="70"/>
      <c r="P21" s="71"/>
      <c r="Q21" s="72">
        <f t="shared" si="0"/>
        <v>0</v>
      </c>
      <c r="R21" s="73" t="e">
        <f t="shared" si="1"/>
        <v>#DIV/0!</v>
      </c>
    </row>
    <row r="22" spans="1:18" ht="18" customHeight="1" x14ac:dyDescent="0.2">
      <c r="A22" s="30"/>
      <c r="B22" s="67"/>
      <c r="C22" s="53"/>
      <c r="D22" s="52"/>
      <c r="E22" s="68"/>
      <c r="F22" s="69"/>
      <c r="G22" s="70"/>
      <c r="H22" s="71"/>
      <c r="I22" s="68"/>
      <c r="J22" s="69"/>
      <c r="K22" s="70"/>
      <c r="L22" s="71"/>
      <c r="M22" s="68"/>
      <c r="N22" s="69"/>
      <c r="O22" s="70"/>
      <c r="P22" s="71"/>
      <c r="Q22" s="72">
        <f t="shared" si="0"/>
        <v>0</v>
      </c>
      <c r="R22" s="73" t="e">
        <f t="shared" si="1"/>
        <v>#DIV/0!</v>
      </c>
    </row>
    <row r="23" spans="1:18" ht="18" customHeight="1" x14ac:dyDescent="0.2">
      <c r="A23" s="30"/>
      <c r="B23" s="67"/>
      <c r="C23" s="53"/>
      <c r="D23" s="52"/>
      <c r="E23" s="68"/>
      <c r="F23" s="69"/>
      <c r="G23" s="70"/>
      <c r="H23" s="71"/>
      <c r="I23" s="68"/>
      <c r="J23" s="69"/>
      <c r="K23" s="70"/>
      <c r="L23" s="71"/>
      <c r="M23" s="68"/>
      <c r="N23" s="69"/>
      <c r="O23" s="70"/>
      <c r="P23" s="71"/>
      <c r="Q23" s="72">
        <f t="shared" si="0"/>
        <v>0</v>
      </c>
      <c r="R23" s="73" t="e">
        <f t="shared" si="1"/>
        <v>#DIV/0!</v>
      </c>
    </row>
    <row r="24" spans="1:18" ht="18" customHeight="1" x14ac:dyDescent="0.2">
      <c r="A24" s="30"/>
      <c r="B24" s="67"/>
      <c r="C24" s="53"/>
      <c r="D24" s="52"/>
      <c r="E24" s="68"/>
      <c r="F24" s="69"/>
      <c r="G24" s="70"/>
      <c r="H24" s="71"/>
      <c r="I24" s="68"/>
      <c r="J24" s="69"/>
      <c r="K24" s="70"/>
      <c r="L24" s="71"/>
      <c r="M24" s="68"/>
      <c r="N24" s="69"/>
      <c r="O24" s="70"/>
      <c r="P24" s="71"/>
      <c r="Q24" s="72">
        <f t="shared" si="0"/>
        <v>0</v>
      </c>
      <c r="R24" s="73" t="e">
        <f t="shared" si="1"/>
        <v>#DIV/0!</v>
      </c>
    </row>
    <row r="25" spans="1:18" ht="18" customHeight="1" x14ac:dyDescent="0.2">
      <c r="A25" s="30"/>
      <c r="B25" s="67"/>
      <c r="C25" s="53"/>
      <c r="D25" s="52"/>
      <c r="E25" s="68"/>
      <c r="F25" s="69"/>
      <c r="G25" s="70"/>
      <c r="H25" s="71"/>
      <c r="I25" s="68"/>
      <c r="J25" s="69"/>
      <c r="K25" s="70"/>
      <c r="L25" s="71"/>
      <c r="M25" s="68"/>
      <c r="N25" s="69"/>
      <c r="O25" s="70"/>
      <c r="P25" s="71"/>
      <c r="Q25" s="72">
        <f t="shared" si="0"/>
        <v>0</v>
      </c>
      <c r="R25" s="73" t="e">
        <f t="shared" si="1"/>
        <v>#DIV/0!</v>
      </c>
    </row>
    <row r="26" spans="1:18" ht="18" customHeight="1" x14ac:dyDescent="0.2">
      <c r="A26" s="30"/>
      <c r="B26" s="67"/>
      <c r="C26" s="53"/>
      <c r="D26" s="52"/>
      <c r="E26" s="68"/>
      <c r="F26" s="69"/>
      <c r="G26" s="70"/>
      <c r="H26" s="71"/>
      <c r="I26" s="68"/>
      <c r="J26" s="69"/>
      <c r="K26" s="70"/>
      <c r="L26" s="71"/>
      <c r="M26" s="68"/>
      <c r="N26" s="69"/>
      <c r="O26" s="70"/>
      <c r="P26" s="71"/>
      <c r="Q26" s="72">
        <f t="shared" si="0"/>
        <v>0</v>
      </c>
      <c r="R26" s="73" t="e">
        <f t="shared" si="1"/>
        <v>#DIV/0!</v>
      </c>
    </row>
    <row r="27" spans="1:18" ht="18" customHeight="1" x14ac:dyDescent="0.2">
      <c r="A27" s="30"/>
      <c r="B27" s="67"/>
      <c r="C27" s="54"/>
      <c r="D27" s="52"/>
      <c r="E27" s="68"/>
      <c r="F27" s="69"/>
      <c r="G27" s="70"/>
      <c r="H27" s="71"/>
      <c r="I27" s="68"/>
      <c r="J27" s="69"/>
      <c r="K27" s="70"/>
      <c r="L27" s="71"/>
      <c r="M27" s="68"/>
      <c r="N27" s="69"/>
      <c r="O27" s="70"/>
      <c r="P27" s="71"/>
      <c r="Q27" s="72">
        <f t="shared" si="0"/>
        <v>0</v>
      </c>
      <c r="R27" s="73" t="e">
        <f t="shared" si="1"/>
        <v>#DIV/0!</v>
      </c>
    </row>
    <row r="28" spans="1:18" ht="18" customHeight="1" x14ac:dyDescent="0.2">
      <c r="A28" s="30"/>
      <c r="B28" s="67"/>
      <c r="C28" s="54"/>
      <c r="D28" s="52"/>
      <c r="E28" s="68"/>
      <c r="F28" s="69"/>
      <c r="G28" s="70"/>
      <c r="H28" s="71"/>
      <c r="I28" s="68"/>
      <c r="J28" s="69"/>
      <c r="K28" s="70"/>
      <c r="L28" s="71"/>
      <c r="M28" s="68"/>
      <c r="N28" s="69"/>
      <c r="O28" s="70"/>
      <c r="P28" s="71"/>
      <c r="Q28" s="72">
        <f t="shared" si="0"/>
        <v>0</v>
      </c>
      <c r="R28" s="73" t="e">
        <f t="shared" si="1"/>
        <v>#DIV/0!</v>
      </c>
    </row>
    <row r="29" spans="1:18" ht="18" customHeight="1" thickBot="1" x14ac:dyDescent="0.25">
      <c r="A29" s="30"/>
      <c r="B29" s="74"/>
      <c r="C29" s="25"/>
      <c r="D29" s="60"/>
      <c r="E29" s="61"/>
      <c r="F29" s="62"/>
      <c r="G29" s="63"/>
      <c r="H29" s="64"/>
      <c r="I29" s="61"/>
      <c r="J29" s="62"/>
      <c r="K29" s="63"/>
      <c r="L29" s="64"/>
      <c r="M29" s="61"/>
      <c r="N29" s="62"/>
      <c r="O29" s="63"/>
      <c r="P29" s="64"/>
      <c r="Q29" s="75">
        <f t="shared" si="0"/>
        <v>0</v>
      </c>
      <c r="R29" s="66" t="e">
        <f t="shared" si="1"/>
        <v>#DIV/0!</v>
      </c>
    </row>
    <row r="30" spans="1:18" ht="18" customHeight="1" thickTop="1" x14ac:dyDescent="0.2">
      <c r="B30" s="76" t="s">
        <v>59</v>
      </c>
      <c r="C30" s="77">
        <f t="shared" ref="C30:Q30" si="4">SUM(C10:C29)</f>
        <v>230</v>
      </c>
      <c r="D30" s="78">
        <f t="shared" si="4"/>
        <v>420</v>
      </c>
      <c r="E30" s="79">
        <f t="shared" si="4"/>
        <v>74</v>
      </c>
      <c r="F30" s="80">
        <f t="shared" si="4"/>
        <v>62</v>
      </c>
      <c r="G30" s="81">
        <f t="shared" si="4"/>
        <v>0</v>
      </c>
      <c r="H30" s="82">
        <f t="shared" si="4"/>
        <v>0</v>
      </c>
      <c r="I30" s="79">
        <f t="shared" si="4"/>
        <v>0</v>
      </c>
      <c r="J30" s="80">
        <f t="shared" si="4"/>
        <v>0</v>
      </c>
      <c r="K30" s="81">
        <f t="shared" si="4"/>
        <v>0</v>
      </c>
      <c r="L30" s="82">
        <f t="shared" si="4"/>
        <v>0</v>
      </c>
      <c r="M30" s="79">
        <f t="shared" si="4"/>
        <v>0</v>
      </c>
      <c r="N30" s="80">
        <f t="shared" si="4"/>
        <v>0</v>
      </c>
      <c r="O30" s="81">
        <f t="shared" si="4"/>
        <v>0</v>
      </c>
      <c r="P30" s="82">
        <f t="shared" si="4"/>
        <v>0</v>
      </c>
      <c r="Q30" s="83">
        <f t="shared" si="4"/>
        <v>74</v>
      </c>
      <c r="R30" s="84">
        <f>Q30/D30</f>
        <v>0.1761904761904762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zoomScale="110" zoomScaleNormal="100" zoomScaleSheetLayoutView="110" workbookViewId="0">
      <selection activeCell="B8" sqref="B8:J12"/>
    </sheetView>
  </sheetViews>
  <sheetFormatPr defaultColWidth="11.33203125" defaultRowHeight="18.75" customHeight="1" x14ac:dyDescent="0.2"/>
  <cols>
    <col min="1" max="1" width="2.77734375" style="103" customWidth="1"/>
    <col min="2" max="2" width="16.6640625" style="85" customWidth="1"/>
    <col min="3" max="3" width="8.88671875" style="85" customWidth="1"/>
    <col min="4" max="4" width="2.21875" style="85" customWidth="1"/>
    <col min="5" max="5" width="16.6640625" style="85" customWidth="1"/>
    <col min="6" max="6" width="8.88671875" style="85" customWidth="1"/>
    <col min="7" max="7" width="2.21875" style="85" customWidth="1"/>
    <col min="8" max="8" width="16.6640625" style="85" customWidth="1"/>
    <col min="9" max="9" width="8.88671875" style="85" customWidth="1"/>
    <col min="10" max="10" width="2.21875" style="85" customWidth="1"/>
    <col min="11" max="11" width="2.6640625" style="85" customWidth="1"/>
    <col min="12" max="16384" width="11.33203125" style="85"/>
  </cols>
  <sheetData>
    <row r="1" spans="1:11" ht="18.75" customHeight="1" x14ac:dyDescent="0.2">
      <c r="A1" s="103" t="s">
        <v>119</v>
      </c>
      <c r="J1" s="99" t="s">
        <v>120</v>
      </c>
    </row>
    <row r="2" spans="1:11" ht="18.75" customHeight="1" x14ac:dyDescent="0.2">
      <c r="A2" s="182" t="s">
        <v>66</v>
      </c>
      <c r="B2" s="182"/>
      <c r="C2" s="182"/>
      <c r="D2" s="182"/>
      <c r="E2" s="182"/>
      <c r="F2" s="182"/>
      <c r="G2" s="182"/>
      <c r="H2" s="182"/>
      <c r="I2" s="182"/>
      <c r="J2" s="182"/>
    </row>
    <row r="3" spans="1:11" ht="7.5" customHeight="1" x14ac:dyDescent="0.2">
      <c r="B3" s="88"/>
      <c r="C3" s="88"/>
      <c r="D3" s="88"/>
      <c r="E3" s="88"/>
      <c r="F3" s="88"/>
      <c r="G3" s="88"/>
      <c r="H3" s="88"/>
      <c r="I3" s="88"/>
      <c r="J3" s="88"/>
    </row>
    <row r="4" spans="1:11" ht="18.75" customHeight="1" x14ac:dyDescent="0.2">
      <c r="A4" s="85" t="s">
        <v>6</v>
      </c>
      <c r="B4" s="85" t="s">
        <v>76</v>
      </c>
      <c r="I4" s="88"/>
      <c r="J4" s="88"/>
    </row>
    <row r="5" spans="1:11" ht="18.75" customHeight="1" x14ac:dyDescent="0.2">
      <c r="A5" s="85"/>
      <c r="B5" s="151" t="s">
        <v>171</v>
      </c>
      <c r="C5" s="152"/>
      <c r="D5" s="152"/>
      <c r="E5" s="152"/>
      <c r="F5" s="152"/>
      <c r="G5" s="152"/>
      <c r="H5" s="152"/>
      <c r="I5" s="152"/>
      <c r="J5" s="283"/>
      <c r="K5" s="85" t="str">
        <f>IF(B5="","入力してください","")</f>
        <v/>
      </c>
    </row>
    <row r="6" spans="1:11" ht="7.5" customHeight="1" x14ac:dyDescent="0.2">
      <c r="B6" s="88"/>
      <c r="C6" s="88"/>
      <c r="D6" s="88"/>
      <c r="E6" s="88"/>
      <c r="F6" s="88"/>
      <c r="G6" s="88"/>
      <c r="H6" s="88"/>
      <c r="I6" s="88"/>
      <c r="J6" s="88"/>
    </row>
    <row r="7" spans="1:11" ht="18.75" customHeight="1" x14ac:dyDescent="0.2">
      <c r="A7" s="85" t="s">
        <v>10</v>
      </c>
      <c r="B7" s="85" t="s">
        <v>41</v>
      </c>
      <c r="K7" s="86"/>
    </row>
    <row r="8" spans="1:11" ht="19.8" customHeight="1" x14ac:dyDescent="0.2">
      <c r="A8" s="89"/>
      <c r="B8" s="262" t="s">
        <v>193</v>
      </c>
      <c r="C8" s="263"/>
      <c r="D8" s="263"/>
      <c r="E8" s="263"/>
      <c r="F8" s="263"/>
      <c r="G8" s="263"/>
      <c r="H8" s="263"/>
      <c r="I8" s="271"/>
      <c r="J8" s="272"/>
      <c r="K8" s="85" t="str">
        <f>IF(B8="","入力してください","")</f>
        <v/>
      </c>
    </row>
    <row r="9" spans="1:11" ht="19.8" customHeight="1" x14ac:dyDescent="0.2">
      <c r="A9" s="89"/>
      <c r="B9" s="273"/>
      <c r="C9" s="274"/>
      <c r="D9" s="274"/>
      <c r="E9" s="274"/>
      <c r="F9" s="274"/>
      <c r="G9" s="274"/>
      <c r="H9" s="274"/>
      <c r="I9" s="274"/>
      <c r="J9" s="275"/>
    </row>
    <row r="10" spans="1:11" ht="19.8" customHeight="1" x14ac:dyDescent="0.2">
      <c r="A10" s="89"/>
      <c r="B10" s="273"/>
      <c r="C10" s="274"/>
      <c r="D10" s="274"/>
      <c r="E10" s="274"/>
      <c r="F10" s="274"/>
      <c r="G10" s="274"/>
      <c r="H10" s="274"/>
      <c r="I10" s="274"/>
      <c r="J10" s="275"/>
    </row>
    <row r="11" spans="1:11" ht="19.8" customHeight="1" x14ac:dyDescent="0.2">
      <c r="A11" s="89"/>
      <c r="B11" s="273"/>
      <c r="C11" s="274"/>
      <c r="D11" s="274"/>
      <c r="E11" s="274"/>
      <c r="F11" s="274"/>
      <c r="G11" s="274"/>
      <c r="H11" s="274"/>
      <c r="I11" s="274"/>
      <c r="J11" s="275"/>
    </row>
    <row r="12" spans="1:11" ht="78.599999999999994" customHeight="1" x14ac:dyDescent="0.2">
      <c r="A12" s="89"/>
      <c r="B12" s="276"/>
      <c r="C12" s="277"/>
      <c r="D12" s="277"/>
      <c r="E12" s="277"/>
      <c r="F12" s="277"/>
      <c r="G12" s="277"/>
      <c r="H12" s="277"/>
      <c r="I12" s="277"/>
      <c r="J12" s="278"/>
    </row>
    <row r="13" spans="1:11" ht="12.6" customHeight="1" x14ac:dyDescent="0.2">
      <c r="A13" s="89"/>
      <c r="B13" s="89"/>
      <c r="C13" s="89"/>
      <c r="D13" s="89"/>
      <c r="E13" s="89"/>
      <c r="F13" s="89"/>
      <c r="G13" s="89"/>
      <c r="H13" s="89"/>
      <c r="I13" s="89"/>
      <c r="J13" s="89"/>
    </row>
    <row r="14" spans="1:11" ht="18.75" customHeight="1" x14ac:dyDescent="0.2">
      <c r="A14" s="116" t="s">
        <v>11</v>
      </c>
      <c r="B14" s="116" t="s">
        <v>16</v>
      </c>
      <c r="C14" s="116"/>
      <c r="D14" s="116"/>
      <c r="E14" s="116"/>
      <c r="F14" s="116"/>
      <c r="G14" s="116"/>
      <c r="H14" s="116"/>
      <c r="I14" s="116"/>
      <c r="J14" s="116"/>
    </row>
    <row r="15" spans="1:11" ht="18.75" customHeight="1" x14ac:dyDescent="0.2">
      <c r="A15" s="89"/>
      <c r="B15" s="262" t="s">
        <v>201</v>
      </c>
      <c r="C15" s="263"/>
      <c r="D15" s="263"/>
      <c r="E15" s="263"/>
      <c r="F15" s="263"/>
      <c r="G15" s="263"/>
      <c r="H15" s="263"/>
      <c r="I15" s="271"/>
      <c r="J15" s="272"/>
      <c r="K15" s="85" t="str">
        <f>IF(B15="","入力してください","")</f>
        <v/>
      </c>
    </row>
    <row r="16" spans="1:11" ht="18.600000000000001" customHeight="1" x14ac:dyDescent="0.2">
      <c r="A16" s="89"/>
      <c r="B16" s="273"/>
      <c r="C16" s="284"/>
      <c r="D16" s="284"/>
      <c r="E16" s="284"/>
      <c r="F16" s="284"/>
      <c r="G16" s="284"/>
      <c r="H16" s="284"/>
      <c r="I16" s="284"/>
      <c r="J16" s="275"/>
    </row>
    <row r="17" spans="1:11" ht="28.2" customHeight="1" x14ac:dyDescent="0.2">
      <c r="A17" s="89"/>
      <c r="B17" s="273"/>
      <c r="C17" s="284"/>
      <c r="D17" s="284"/>
      <c r="E17" s="284"/>
      <c r="F17" s="284"/>
      <c r="G17" s="284"/>
      <c r="H17" s="284"/>
      <c r="I17" s="284"/>
      <c r="J17" s="275"/>
    </row>
    <row r="18" spans="1:11" ht="9" customHeight="1" x14ac:dyDescent="0.2">
      <c r="A18" s="89"/>
      <c r="B18" s="273"/>
      <c r="C18" s="284"/>
      <c r="D18" s="284"/>
      <c r="E18" s="284"/>
      <c r="F18" s="284"/>
      <c r="G18" s="284"/>
      <c r="H18" s="284"/>
      <c r="I18" s="284"/>
      <c r="J18" s="275"/>
    </row>
    <row r="19" spans="1:11" ht="9" customHeight="1" x14ac:dyDescent="0.2">
      <c r="A19" s="89"/>
      <c r="B19" s="273"/>
      <c r="C19" s="284"/>
      <c r="D19" s="284"/>
      <c r="E19" s="284"/>
      <c r="F19" s="284"/>
      <c r="G19" s="284"/>
      <c r="H19" s="284"/>
      <c r="I19" s="284"/>
      <c r="J19" s="275"/>
    </row>
    <row r="20" spans="1:11" ht="9" customHeight="1" x14ac:dyDescent="0.2">
      <c r="A20" s="89"/>
      <c r="B20" s="273"/>
      <c r="C20" s="284"/>
      <c r="D20" s="284"/>
      <c r="E20" s="284"/>
      <c r="F20" s="284"/>
      <c r="G20" s="284"/>
      <c r="H20" s="284"/>
      <c r="I20" s="284"/>
      <c r="J20" s="275"/>
    </row>
    <row r="21" spans="1:11" ht="9" customHeight="1" x14ac:dyDescent="0.2">
      <c r="A21" s="89"/>
      <c r="B21" s="273"/>
      <c r="C21" s="284"/>
      <c r="D21" s="284"/>
      <c r="E21" s="284"/>
      <c r="F21" s="284"/>
      <c r="G21" s="284"/>
      <c r="H21" s="284"/>
      <c r="I21" s="284"/>
      <c r="J21" s="275"/>
    </row>
    <row r="22" spans="1:11" ht="9" customHeight="1" x14ac:dyDescent="0.2">
      <c r="A22" s="89"/>
      <c r="B22" s="273"/>
      <c r="C22" s="284"/>
      <c r="D22" s="284"/>
      <c r="E22" s="284"/>
      <c r="F22" s="284"/>
      <c r="G22" s="284"/>
      <c r="H22" s="284"/>
      <c r="I22" s="284"/>
      <c r="J22" s="275"/>
    </row>
    <row r="23" spans="1:11" ht="9" customHeight="1" x14ac:dyDescent="0.2">
      <c r="A23" s="89"/>
      <c r="B23" s="273"/>
      <c r="C23" s="284"/>
      <c r="D23" s="284"/>
      <c r="E23" s="284"/>
      <c r="F23" s="284"/>
      <c r="G23" s="284"/>
      <c r="H23" s="284"/>
      <c r="I23" s="284"/>
      <c r="J23" s="275"/>
    </row>
    <row r="24" spans="1:11" ht="9" customHeight="1" x14ac:dyDescent="0.2">
      <c r="A24" s="89"/>
      <c r="B24" s="273"/>
      <c r="C24" s="284"/>
      <c r="D24" s="284"/>
      <c r="E24" s="284"/>
      <c r="F24" s="284"/>
      <c r="G24" s="284"/>
      <c r="H24" s="284"/>
      <c r="I24" s="284"/>
      <c r="J24" s="275"/>
    </row>
    <row r="25" spans="1:11" ht="7.2" customHeight="1" x14ac:dyDescent="0.2">
      <c r="A25" s="89"/>
      <c r="B25" s="276"/>
      <c r="C25" s="277"/>
      <c r="D25" s="277"/>
      <c r="E25" s="277"/>
      <c r="F25" s="277"/>
      <c r="G25" s="277"/>
      <c r="H25" s="277"/>
      <c r="I25" s="277"/>
      <c r="J25" s="278"/>
    </row>
    <row r="26" spans="1:11" ht="10.199999999999999" customHeight="1" x14ac:dyDescent="0.2">
      <c r="A26" s="108"/>
      <c r="B26" s="108"/>
      <c r="C26" s="108"/>
      <c r="D26" s="108"/>
      <c r="E26" s="108"/>
      <c r="F26" s="108"/>
      <c r="G26" s="108"/>
      <c r="H26" s="108"/>
      <c r="I26" s="108"/>
      <c r="J26" s="108"/>
    </row>
    <row r="27" spans="1:11" ht="18.75" customHeight="1" x14ac:dyDescent="0.2">
      <c r="A27" s="85" t="s">
        <v>14</v>
      </c>
      <c r="B27" s="85" t="s">
        <v>27</v>
      </c>
    </row>
    <row r="28" spans="1:11" s="88" customFormat="1" ht="18.75" customHeight="1" x14ac:dyDescent="0.2">
      <c r="B28" s="119" t="s">
        <v>121</v>
      </c>
      <c r="C28" s="104">
        <f>'様式３　履修者等数の実績'!R30</f>
        <v>0.1761904761904762</v>
      </c>
      <c r="D28" s="90"/>
      <c r="E28" s="90" t="s">
        <v>122</v>
      </c>
      <c r="F28" s="104">
        <v>0.2</v>
      </c>
      <c r="G28" s="90"/>
      <c r="H28" s="90" t="s">
        <v>123</v>
      </c>
      <c r="I28" s="105">
        <v>0.3</v>
      </c>
      <c r="J28" s="91"/>
      <c r="K28" s="85"/>
    </row>
    <row r="29" spans="1:11" s="88" customFormat="1" ht="18.75" customHeight="1" x14ac:dyDescent="0.2">
      <c r="B29" s="92" t="s">
        <v>124</v>
      </c>
      <c r="C29" s="106">
        <v>0.4</v>
      </c>
      <c r="D29" s="93"/>
      <c r="E29" s="93" t="s">
        <v>125</v>
      </c>
      <c r="F29" s="106">
        <v>0.5</v>
      </c>
      <c r="G29" s="93"/>
      <c r="H29" s="93" t="s">
        <v>126</v>
      </c>
      <c r="I29" s="107">
        <v>420</v>
      </c>
      <c r="J29" s="94"/>
      <c r="K29" s="86"/>
    </row>
    <row r="30" spans="1:11" ht="18.75" customHeight="1" x14ac:dyDescent="0.2">
      <c r="A30" s="85"/>
      <c r="B30" s="208" t="s">
        <v>127</v>
      </c>
      <c r="C30" s="209"/>
      <c r="D30" s="209"/>
      <c r="E30" s="209"/>
      <c r="F30" s="209"/>
      <c r="G30" s="209"/>
      <c r="H30" s="209"/>
      <c r="I30" s="209"/>
      <c r="J30" s="210"/>
      <c r="K30" s="86"/>
    </row>
    <row r="31" spans="1:11" ht="18.75" customHeight="1" x14ac:dyDescent="0.2">
      <c r="A31" s="85"/>
      <c r="B31" s="280" t="s">
        <v>184</v>
      </c>
      <c r="C31" s="281"/>
      <c r="D31" s="281"/>
      <c r="E31" s="281"/>
      <c r="F31" s="281"/>
      <c r="G31" s="281"/>
      <c r="H31" s="281"/>
      <c r="I31" s="281"/>
      <c r="J31" s="282"/>
      <c r="K31" s="86" t="str">
        <f>IF(B31="","入力してください","")</f>
        <v/>
      </c>
    </row>
    <row r="32" spans="1:11" ht="18.75" customHeight="1" x14ac:dyDescent="0.2">
      <c r="A32" s="85"/>
      <c r="B32" s="265"/>
      <c r="C32" s="266"/>
      <c r="D32" s="266"/>
      <c r="E32" s="266"/>
      <c r="F32" s="266"/>
      <c r="G32" s="266"/>
      <c r="H32" s="266"/>
      <c r="I32" s="266"/>
      <c r="J32" s="267"/>
      <c r="K32" s="86"/>
    </row>
    <row r="33" spans="1:11" ht="18.75" customHeight="1" x14ac:dyDescent="0.2">
      <c r="A33" s="85"/>
      <c r="B33" s="265"/>
      <c r="C33" s="266"/>
      <c r="D33" s="266"/>
      <c r="E33" s="266"/>
      <c r="F33" s="266"/>
      <c r="G33" s="266"/>
      <c r="H33" s="266"/>
      <c r="I33" s="266"/>
      <c r="J33" s="267"/>
      <c r="K33" s="86"/>
    </row>
    <row r="34" spans="1:11" ht="18.75" customHeight="1" x14ac:dyDescent="0.2">
      <c r="A34" s="85"/>
      <c r="B34" s="265"/>
      <c r="C34" s="266"/>
      <c r="D34" s="266"/>
      <c r="E34" s="266"/>
      <c r="F34" s="266"/>
      <c r="G34" s="266"/>
      <c r="H34" s="266"/>
      <c r="I34" s="266"/>
      <c r="J34" s="267"/>
      <c r="K34" s="86"/>
    </row>
    <row r="35" spans="1:11" ht="18.75" customHeight="1" x14ac:dyDescent="0.2">
      <c r="A35" s="85"/>
      <c r="B35" s="265"/>
      <c r="C35" s="266"/>
      <c r="D35" s="266"/>
      <c r="E35" s="266"/>
      <c r="F35" s="266"/>
      <c r="G35" s="266"/>
      <c r="H35" s="266"/>
      <c r="I35" s="266"/>
      <c r="J35" s="267"/>
      <c r="K35" s="86"/>
    </row>
    <row r="36" spans="1:11" ht="18.75" customHeight="1" x14ac:dyDescent="0.2">
      <c r="A36" s="85"/>
      <c r="B36" s="265"/>
      <c r="C36" s="266"/>
      <c r="D36" s="266"/>
      <c r="E36" s="266"/>
      <c r="F36" s="266"/>
      <c r="G36" s="266"/>
      <c r="H36" s="266"/>
      <c r="I36" s="266"/>
      <c r="J36" s="267"/>
      <c r="K36" s="86"/>
    </row>
    <row r="37" spans="1:11" ht="18.75" customHeight="1" x14ac:dyDescent="0.2">
      <c r="A37" s="85"/>
      <c r="B37" s="265"/>
      <c r="C37" s="266"/>
      <c r="D37" s="266"/>
      <c r="E37" s="266"/>
      <c r="F37" s="266"/>
      <c r="G37" s="266"/>
      <c r="H37" s="266"/>
      <c r="I37" s="266"/>
      <c r="J37" s="267"/>
      <c r="K37" s="86"/>
    </row>
    <row r="38" spans="1:11" ht="18.75" customHeight="1" x14ac:dyDescent="0.2">
      <c r="A38" s="85"/>
      <c r="B38" s="265"/>
      <c r="C38" s="266"/>
      <c r="D38" s="266"/>
      <c r="E38" s="266"/>
      <c r="F38" s="266"/>
      <c r="G38" s="266"/>
      <c r="H38" s="266"/>
      <c r="I38" s="266"/>
      <c r="J38" s="267"/>
      <c r="K38" s="86"/>
    </row>
    <row r="39" spans="1:11" ht="18.75" customHeight="1" x14ac:dyDescent="0.2">
      <c r="A39" s="85"/>
      <c r="B39" s="265"/>
      <c r="C39" s="266"/>
      <c r="D39" s="266"/>
      <c r="E39" s="266"/>
      <c r="F39" s="266"/>
      <c r="G39" s="266"/>
      <c r="H39" s="266"/>
      <c r="I39" s="266"/>
      <c r="J39" s="267"/>
      <c r="K39" s="86"/>
    </row>
    <row r="40" spans="1:11" ht="18.600000000000001" customHeight="1" x14ac:dyDescent="0.2">
      <c r="A40" s="85"/>
      <c r="B40" s="265"/>
      <c r="C40" s="266"/>
      <c r="D40" s="266"/>
      <c r="E40" s="266"/>
      <c r="F40" s="266"/>
      <c r="G40" s="266"/>
      <c r="H40" s="266"/>
      <c r="I40" s="266"/>
      <c r="J40" s="267"/>
      <c r="K40" s="86"/>
    </row>
    <row r="41" spans="1:11" ht="20.399999999999999" customHeight="1" x14ac:dyDescent="0.2">
      <c r="A41" s="85"/>
      <c r="B41" s="265"/>
      <c r="C41" s="266"/>
      <c r="D41" s="266"/>
      <c r="E41" s="266"/>
      <c r="F41" s="266"/>
      <c r="G41" s="266"/>
      <c r="H41" s="266"/>
      <c r="I41" s="266"/>
      <c r="J41" s="267"/>
      <c r="K41" s="86"/>
    </row>
    <row r="42" spans="1:11" ht="18.600000000000001" customHeight="1" x14ac:dyDescent="0.2">
      <c r="A42" s="85"/>
      <c r="B42" s="265"/>
      <c r="C42" s="266"/>
      <c r="D42" s="266"/>
      <c r="E42" s="266"/>
      <c r="F42" s="266"/>
      <c r="G42" s="266"/>
      <c r="H42" s="266"/>
      <c r="I42" s="266"/>
      <c r="J42" s="267"/>
      <c r="K42" s="86"/>
    </row>
    <row r="43" spans="1:11" ht="18.600000000000001" customHeight="1" x14ac:dyDescent="0.2">
      <c r="A43" s="108"/>
      <c r="B43" s="265"/>
      <c r="C43" s="266"/>
      <c r="D43" s="266"/>
      <c r="E43" s="266"/>
      <c r="F43" s="266"/>
      <c r="G43" s="266"/>
      <c r="H43" s="266"/>
      <c r="I43" s="266"/>
      <c r="J43" s="267"/>
      <c r="K43" s="86"/>
    </row>
    <row r="44" spans="1:11" ht="21" customHeight="1" x14ac:dyDescent="0.2">
      <c r="A44" s="108"/>
      <c r="B44" s="268"/>
      <c r="C44" s="269"/>
      <c r="D44" s="269"/>
      <c r="E44" s="269"/>
      <c r="F44" s="269"/>
      <c r="G44" s="269"/>
      <c r="H44" s="269"/>
      <c r="I44" s="269"/>
      <c r="J44" s="270"/>
    </row>
    <row r="45" spans="1:11" ht="21.6" customHeight="1" x14ac:dyDescent="0.2">
      <c r="A45" s="116" t="s">
        <v>12</v>
      </c>
      <c r="B45" s="85" t="s">
        <v>67</v>
      </c>
      <c r="I45" s="116"/>
      <c r="J45" s="116"/>
    </row>
    <row r="46" spans="1:11" ht="18.75" customHeight="1" x14ac:dyDescent="0.2">
      <c r="A46" s="108"/>
      <c r="B46" s="262" t="s">
        <v>177</v>
      </c>
      <c r="C46" s="263"/>
      <c r="D46" s="263"/>
      <c r="E46" s="263"/>
      <c r="F46" s="263"/>
      <c r="G46" s="263"/>
      <c r="H46" s="263"/>
      <c r="I46" s="263"/>
      <c r="J46" s="264"/>
      <c r="K46" s="85" t="str">
        <f>IF(B46="","入力してください","")</f>
        <v/>
      </c>
    </row>
    <row r="47" spans="1:11" ht="18.75" customHeight="1" x14ac:dyDescent="0.2">
      <c r="A47" s="108"/>
      <c r="B47" s="265"/>
      <c r="C47" s="266"/>
      <c r="D47" s="266"/>
      <c r="E47" s="266"/>
      <c r="F47" s="266"/>
      <c r="G47" s="266"/>
      <c r="H47" s="266"/>
      <c r="I47" s="266"/>
      <c r="J47" s="267"/>
    </row>
    <row r="48" spans="1:11" ht="18.75" customHeight="1" x14ac:dyDescent="0.2">
      <c r="A48" s="108"/>
      <c r="B48" s="265"/>
      <c r="C48" s="266"/>
      <c r="D48" s="266"/>
      <c r="E48" s="266"/>
      <c r="F48" s="266"/>
      <c r="G48" s="266"/>
      <c r="H48" s="266"/>
      <c r="I48" s="266"/>
      <c r="J48" s="267"/>
    </row>
    <row r="49" spans="1:10" ht="18.75" customHeight="1" x14ac:dyDescent="0.2">
      <c r="A49" s="108"/>
      <c r="B49" s="265"/>
      <c r="C49" s="266"/>
      <c r="D49" s="266"/>
      <c r="E49" s="266"/>
      <c r="F49" s="266"/>
      <c r="G49" s="266"/>
      <c r="H49" s="266"/>
      <c r="I49" s="266"/>
      <c r="J49" s="267"/>
    </row>
    <row r="50" spans="1:10" ht="18.75" customHeight="1" x14ac:dyDescent="0.2">
      <c r="A50" s="108"/>
      <c r="B50" s="265"/>
      <c r="C50" s="266"/>
      <c r="D50" s="266"/>
      <c r="E50" s="266"/>
      <c r="F50" s="266"/>
      <c r="G50" s="266"/>
      <c r="H50" s="266"/>
      <c r="I50" s="266"/>
      <c r="J50" s="267"/>
    </row>
    <row r="51" spans="1:10" ht="18.75" customHeight="1" x14ac:dyDescent="0.2">
      <c r="A51" s="108"/>
      <c r="B51" s="265"/>
      <c r="C51" s="266"/>
      <c r="D51" s="266"/>
      <c r="E51" s="266"/>
      <c r="F51" s="266"/>
      <c r="G51" s="266"/>
      <c r="H51" s="266"/>
      <c r="I51" s="266"/>
      <c r="J51" s="267"/>
    </row>
    <row r="52" spans="1:10" ht="18.75" customHeight="1" x14ac:dyDescent="0.2">
      <c r="A52" s="108"/>
      <c r="B52" s="265"/>
      <c r="C52" s="266"/>
      <c r="D52" s="266"/>
      <c r="E52" s="266"/>
      <c r="F52" s="266"/>
      <c r="G52" s="266"/>
      <c r="H52" s="266"/>
      <c r="I52" s="266"/>
      <c r="J52" s="267"/>
    </row>
    <row r="53" spans="1:10" ht="18.75" customHeight="1" x14ac:dyDescent="0.2">
      <c r="A53" s="108"/>
      <c r="B53" s="265"/>
      <c r="C53" s="266"/>
      <c r="D53" s="266"/>
      <c r="E53" s="266"/>
      <c r="F53" s="266"/>
      <c r="G53" s="266"/>
      <c r="H53" s="266"/>
      <c r="I53" s="266"/>
      <c r="J53" s="267"/>
    </row>
    <row r="54" spans="1:10" ht="18.600000000000001" customHeight="1" x14ac:dyDescent="0.2">
      <c r="A54" s="108"/>
      <c r="B54" s="265"/>
      <c r="C54" s="266"/>
      <c r="D54" s="266"/>
      <c r="E54" s="266"/>
      <c r="F54" s="266"/>
      <c r="G54" s="266"/>
      <c r="H54" s="266"/>
      <c r="I54" s="266"/>
      <c r="J54" s="267"/>
    </row>
    <row r="55" spans="1:10" ht="21" customHeight="1" x14ac:dyDescent="0.2">
      <c r="A55" s="108"/>
      <c r="B55" s="265"/>
      <c r="C55" s="266"/>
      <c r="D55" s="266"/>
      <c r="E55" s="266"/>
      <c r="F55" s="266"/>
      <c r="G55" s="266"/>
      <c r="H55" s="266"/>
      <c r="I55" s="266"/>
      <c r="J55" s="267"/>
    </row>
    <row r="56" spans="1:10" ht="18.600000000000001" customHeight="1" x14ac:dyDescent="0.2">
      <c r="A56" s="108"/>
      <c r="B56" s="265"/>
      <c r="C56" s="266"/>
      <c r="D56" s="266"/>
      <c r="E56" s="266"/>
      <c r="F56" s="266"/>
      <c r="G56" s="266"/>
      <c r="H56" s="266"/>
      <c r="I56" s="266"/>
      <c r="J56" s="267"/>
    </row>
    <row r="57" spans="1:10" ht="18.600000000000001" customHeight="1" x14ac:dyDescent="0.2">
      <c r="A57" s="108"/>
      <c r="B57" s="265"/>
      <c r="C57" s="266"/>
      <c r="D57" s="266"/>
      <c r="E57" s="266"/>
      <c r="F57" s="266"/>
      <c r="G57" s="266"/>
      <c r="H57" s="266"/>
      <c r="I57" s="266"/>
      <c r="J57" s="267"/>
    </row>
    <row r="58" spans="1:10" ht="18.600000000000001" customHeight="1" x14ac:dyDescent="0.2">
      <c r="A58" s="108"/>
      <c r="B58" s="265"/>
      <c r="C58" s="266"/>
      <c r="D58" s="266"/>
      <c r="E58" s="266"/>
      <c r="F58" s="266"/>
      <c r="G58" s="266"/>
      <c r="H58" s="266"/>
      <c r="I58" s="266"/>
      <c r="J58" s="267"/>
    </row>
    <row r="59" spans="1:10" ht="18.600000000000001" customHeight="1" x14ac:dyDescent="0.2">
      <c r="A59" s="108"/>
      <c r="B59" s="265"/>
      <c r="C59" s="266"/>
      <c r="D59" s="266"/>
      <c r="E59" s="266"/>
      <c r="F59" s="266"/>
      <c r="G59" s="266"/>
      <c r="H59" s="266"/>
      <c r="I59" s="266"/>
      <c r="J59" s="267"/>
    </row>
    <row r="60" spans="1:10" ht="18.600000000000001" customHeight="1" x14ac:dyDescent="0.2">
      <c r="A60" s="108"/>
      <c r="B60" s="265"/>
      <c r="C60" s="266"/>
      <c r="D60" s="266"/>
      <c r="E60" s="266"/>
      <c r="F60" s="266"/>
      <c r="G60" s="266"/>
      <c r="H60" s="266"/>
      <c r="I60" s="266"/>
      <c r="J60" s="267"/>
    </row>
    <row r="61" spans="1:10" ht="18.600000000000001" customHeight="1" x14ac:dyDescent="0.2">
      <c r="A61" s="108"/>
      <c r="B61" s="265"/>
      <c r="C61" s="266"/>
      <c r="D61" s="266"/>
      <c r="E61" s="266"/>
      <c r="F61" s="266"/>
      <c r="G61" s="266"/>
      <c r="H61" s="266"/>
      <c r="I61" s="266"/>
      <c r="J61" s="267"/>
    </row>
    <row r="62" spans="1:10" ht="18.600000000000001" customHeight="1" x14ac:dyDescent="0.2">
      <c r="A62" s="108"/>
      <c r="B62" s="265"/>
      <c r="C62" s="266"/>
      <c r="D62" s="266"/>
      <c r="E62" s="266"/>
      <c r="F62" s="266"/>
      <c r="G62" s="266"/>
      <c r="H62" s="266"/>
      <c r="I62" s="266"/>
      <c r="J62" s="267"/>
    </row>
    <row r="63" spans="1:10" ht="18.600000000000001" customHeight="1" x14ac:dyDescent="0.2">
      <c r="A63" s="108"/>
      <c r="B63" s="265"/>
      <c r="C63" s="266"/>
      <c r="D63" s="266"/>
      <c r="E63" s="266"/>
      <c r="F63" s="266"/>
      <c r="G63" s="266"/>
      <c r="H63" s="266"/>
      <c r="I63" s="266"/>
      <c r="J63" s="267"/>
    </row>
    <row r="64" spans="1:10" ht="18.600000000000001" customHeight="1" x14ac:dyDescent="0.2">
      <c r="A64" s="108"/>
      <c r="B64" s="265"/>
      <c r="C64" s="266"/>
      <c r="D64" s="266"/>
      <c r="E64" s="266"/>
      <c r="F64" s="266"/>
      <c r="G64" s="266"/>
      <c r="H64" s="266"/>
      <c r="I64" s="266"/>
      <c r="J64" s="267"/>
    </row>
    <row r="65" spans="1:11" ht="18.600000000000001" customHeight="1" x14ac:dyDescent="0.2">
      <c r="A65" s="108"/>
      <c r="B65" s="265"/>
      <c r="C65" s="266"/>
      <c r="D65" s="266"/>
      <c r="E65" s="266"/>
      <c r="F65" s="266"/>
      <c r="G65" s="266"/>
      <c r="H65" s="266"/>
      <c r="I65" s="266"/>
      <c r="J65" s="267"/>
    </row>
    <row r="66" spans="1:11" ht="26.4" customHeight="1" x14ac:dyDescent="0.2">
      <c r="A66" s="108"/>
      <c r="B66" s="268"/>
      <c r="C66" s="269"/>
      <c r="D66" s="269"/>
      <c r="E66" s="269"/>
      <c r="F66" s="269"/>
      <c r="G66" s="269"/>
      <c r="H66" s="269"/>
      <c r="I66" s="269"/>
      <c r="J66" s="270"/>
    </row>
    <row r="67" spans="1:11" ht="7.5" customHeight="1" x14ac:dyDescent="0.2">
      <c r="A67" s="108"/>
      <c r="B67" s="108"/>
      <c r="C67" s="108"/>
      <c r="D67" s="108"/>
      <c r="E67" s="108"/>
      <c r="F67" s="108"/>
      <c r="G67" s="108"/>
      <c r="H67" s="108"/>
      <c r="I67" s="108"/>
      <c r="J67" s="108"/>
    </row>
    <row r="68" spans="1:11" ht="18.75" customHeight="1" x14ac:dyDescent="0.2">
      <c r="A68" s="85" t="s">
        <v>15</v>
      </c>
      <c r="B68" s="85" t="s">
        <v>75</v>
      </c>
    </row>
    <row r="69" spans="1:11" ht="18.75" customHeight="1" x14ac:dyDescent="0.2">
      <c r="A69" s="85"/>
      <c r="B69" s="262" t="s">
        <v>178</v>
      </c>
      <c r="C69" s="263"/>
      <c r="D69" s="263"/>
      <c r="E69" s="263"/>
      <c r="F69" s="263"/>
      <c r="G69" s="263"/>
      <c r="H69" s="263"/>
      <c r="I69" s="271"/>
      <c r="J69" s="272"/>
      <c r="K69" s="86" t="str">
        <f>IF(B69="","入力してください","")</f>
        <v/>
      </c>
    </row>
    <row r="70" spans="1:11" ht="18.75" customHeight="1" x14ac:dyDescent="0.2">
      <c r="A70" s="85"/>
      <c r="B70" s="273"/>
      <c r="C70" s="274"/>
      <c r="D70" s="274"/>
      <c r="E70" s="274"/>
      <c r="F70" s="274"/>
      <c r="G70" s="274"/>
      <c r="H70" s="274"/>
      <c r="I70" s="274"/>
      <c r="J70" s="275"/>
      <c r="K70" s="86"/>
    </row>
    <row r="71" spans="1:11" ht="18.75" customHeight="1" x14ac:dyDescent="0.2">
      <c r="A71" s="85"/>
      <c r="B71" s="273"/>
      <c r="C71" s="274"/>
      <c r="D71" s="274"/>
      <c r="E71" s="274"/>
      <c r="F71" s="274"/>
      <c r="G71" s="274"/>
      <c r="H71" s="274"/>
      <c r="I71" s="274"/>
      <c r="J71" s="275"/>
      <c r="K71" s="86"/>
    </row>
    <row r="72" spans="1:11" ht="18.75" customHeight="1" x14ac:dyDescent="0.2">
      <c r="A72" s="85"/>
      <c r="B72" s="273"/>
      <c r="C72" s="274"/>
      <c r="D72" s="274"/>
      <c r="E72" s="274"/>
      <c r="F72" s="274"/>
      <c r="G72" s="274"/>
      <c r="H72" s="274"/>
      <c r="I72" s="274"/>
      <c r="J72" s="275"/>
      <c r="K72" s="86"/>
    </row>
    <row r="73" spans="1:11" ht="18.75" customHeight="1" x14ac:dyDescent="0.2">
      <c r="A73" s="85"/>
      <c r="B73" s="273"/>
      <c r="C73" s="274"/>
      <c r="D73" s="274"/>
      <c r="E73" s="274"/>
      <c r="F73" s="274"/>
      <c r="G73" s="274"/>
      <c r="H73" s="274"/>
      <c r="I73" s="274"/>
      <c r="J73" s="275"/>
      <c r="K73" s="86"/>
    </row>
    <row r="74" spans="1:11" ht="18.75" customHeight="1" x14ac:dyDescent="0.2">
      <c r="A74" s="85"/>
      <c r="B74" s="273"/>
      <c r="C74" s="274"/>
      <c r="D74" s="274"/>
      <c r="E74" s="274"/>
      <c r="F74" s="274"/>
      <c r="G74" s="274"/>
      <c r="H74" s="274"/>
      <c r="I74" s="274"/>
      <c r="J74" s="275"/>
      <c r="K74" s="86"/>
    </row>
    <row r="75" spans="1:11" ht="18.75" customHeight="1" x14ac:dyDescent="0.2">
      <c r="A75" s="85"/>
      <c r="B75" s="273"/>
      <c r="C75" s="274"/>
      <c r="D75" s="274"/>
      <c r="E75" s="274"/>
      <c r="F75" s="274"/>
      <c r="G75" s="274"/>
      <c r="H75" s="274"/>
      <c r="I75" s="274"/>
      <c r="J75" s="275"/>
      <c r="K75" s="86"/>
    </row>
    <row r="76" spans="1:11" ht="18.75" customHeight="1" x14ac:dyDescent="0.2">
      <c r="A76" s="85"/>
      <c r="B76" s="273"/>
      <c r="C76" s="274"/>
      <c r="D76" s="274"/>
      <c r="E76" s="274"/>
      <c r="F76" s="274"/>
      <c r="G76" s="274"/>
      <c r="H76" s="274"/>
      <c r="I76" s="274"/>
      <c r="J76" s="275"/>
      <c r="K76" s="86"/>
    </row>
    <row r="77" spans="1:11" ht="18.75" customHeight="1" x14ac:dyDescent="0.2">
      <c r="A77" s="85"/>
      <c r="B77" s="273"/>
      <c r="C77" s="274"/>
      <c r="D77" s="274"/>
      <c r="E77" s="274"/>
      <c r="F77" s="274"/>
      <c r="G77" s="274"/>
      <c r="H77" s="274"/>
      <c r="I77" s="274"/>
      <c r="J77" s="275"/>
      <c r="K77" s="86"/>
    </row>
    <row r="78" spans="1:11" ht="17.399999999999999" customHeight="1" x14ac:dyDescent="0.2">
      <c r="A78" s="85"/>
      <c r="B78" s="273"/>
      <c r="C78" s="274"/>
      <c r="D78" s="274"/>
      <c r="E78" s="274"/>
      <c r="F78" s="274"/>
      <c r="G78" s="274"/>
      <c r="H78" s="274"/>
      <c r="I78" s="274"/>
      <c r="J78" s="275"/>
      <c r="K78" s="86"/>
    </row>
    <row r="79" spans="1:11" ht="17.399999999999999" customHeight="1" x14ac:dyDescent="0.2">
      <c r="A79" s="85"/>
      <c r="B79" s="273"/>
      <c r="C79" s="274"/>
      <c r="D79" s="274"/>
      <c r="E79" s="274"/>
      <c r="F79" s="274"/>
      <c r="G79" s="274"/>
      <c r="H79" s="274"/>
      <c r="I79" s="274"/>
      <c r="J79" s="275"/>
      <c r="K79" s="86"/>
    </row>
    <row r="80" spans="1:11" ht="17.399999999999999" customHeight="1" x14ac:dyDescent="0.2">
      <c r="A80" s="85"/>
      <c r="B80" s="273"/>
      <c r="C80" s="274"/>
      <c r="D80" s="274"/>
      <c r="E80" s="274"/>
      <c r="F80" s="274"/>
      <c r="G80" s="274"/>
      <c r="H80" s="274"/>
      <c r="I80" s="274"/>
      <c r="J80" s="275"/>
      <c r="K80" s="86"/>
    </row>
    <row r="81" spans="1:11" ht="17.399999999999999" customHeight="1" x14ac:dyDescent="0.2">
      <c r="A81" s="85"/>
      <c r="B81" s="273"/>
      <c r="C81" s="274"/>
      <c r="D81" s="274"/>
      <c r="E81" s="274"/>
      <c r="F81" s="274"/>
      <c r="G81" s="274"/>
      <c r="H81" s="274"/>
      <c r="I81" s="274"/>
      <c r="J81" s="275"/>
      <c r="K81" s="86"/>
    </row>
    <row r="82" spans="1:11" ht="17.399999999999999" customHeight="1" x14ac:dyDescent="0.2">
      <c r="A82" s="85"/>
      <c r="B82" s="273"/>
      <c r="C82" s="274"/>
      <c r="D82" s="274"/>
      <c r="E82" s="274"/>
      <c r="F82" s="274"/>
      <c r="G82" s="274"/>
      <c r="H82" s="274"/>
      <c r="I82" s="274"/>
      <c r="J82" s="275"/>
      <c r="K82" s="86"/>
    </row>
    <row r="83" spans="1:11" ht="17.399999999999999" customHeight="1" x14ac:dyDescent="0.2">
      <c r="A83" s="85"/>
      <c r="B83" s="273"/>
      <c r="C83" s="274"/>
      <c r="D83" s="274"/>
      <c r="E83" s="274"/>
      <c r="F83" s="274"/>
      <c r="G83" s="274"/>
      <c r="H83" s="274"/>
      <c r="I83" s="274"/>
      <c r="J83" s="275"/>
      <c r="K83" s="86"/>
    </row>
    <row r="84" spans="1:11" ht="17.399999999999999" customHeight="1" x14ac:dyDescent="0.2">
      <c r="A84" s="85"/>
      <c r="B84" s="273"/>
      <c r="C84" s="274"/>
      <c r="D84" s="274"/>
      <c r="E84" s="274"/>
      <c r="F84" s="274"/>
      <c r="G84" s="274"/>
      <c r="H84" s="274"/>
      <c r="I84" s="274"/>
      <c r="J84" s="275"/>
      <c r="K84" s="86"/>
    </row>
    <row r="85" spans="1:11" ht="17.399999999999999" customHeight="1" x14ac:dyDescent="0.2">
      <c r="A85" s="108"/>
      <c r="B85" s="273"/>
      <c r="C85" s="274"/>
      <c r="D85" s="274"/>
      <c r="E85" s="274"/>
      <c r="F85" s="274"/>
      <c r="G85" s="274"/>
      <c r="H85" s="274"/>
      <c r="I85" s="274"/>
      <c r="J85" s="275"/>
      <c r="K85" s="86"/>
    </row>
    <row r="86" spans="1:11" ht="17.399999999999999" customHeight="1" x14ac:dyDescent="0.2">
      <c r="A86" s="108"/>
      <c r="B86" s="276"/>
      <c r="C86" s="277"/>
      <c r="D86" s="277"/>
      <c r="E86" s="277"/>
      <c r="F86" s="277"/>
      <c r="G86" s="277"/>
      <c r="H86" s="277"/>
      <c r="I86" s="277"/>
      <c r="J86" s="278"/>
      <c r="K86" s="86"/>
    </row>
    <row r="87" spans="1:11" ht="7.2" customHeight="1" x14ac:dyDescent="0.2">
      <c r="A87" s="108"/>
      <c r="B87" s="108"/>
      <c r="C87" s="108"/>
      <c r="D87" s="108"/>
      <c r="E87" s="108"/>
      <c r="F87" s="108"/>
      <c r="G87" s="108"/>
      <c r="H87" s="108"/>
      <c r="I87" s="108"/>
      <c r="J87" s="108"/>
    </row>
    <row r="88" spans="1:11" ht="18.75" customHeight="1" x14ac:dyDescent="0.2">
      <c r="A88" s="85" t="s">
        <v>13</v>
      </c>
      <c r="B88" s="85" t="s">
        <v>29</v>
      </c>
    </row>
    <row r="89" spans="1:11" ht="18.75" customHeight="1" x14ac:dyDescent="0.2">
      <c r="A89" s="85"/>
      <c r="B89" s="262" t="s">
        <v>212</v>
      </c>
      <c r="C89" s="263"/>
      <c r="D89" s="263"/>
      <c r="E89" s="263"/>
      <c r="F89" s="263"/>
      <c r="G89" s="263"/>
      <c r="H89" s="263"/>
      <c r="I89" s="271"/>
      <c r="J89" s="272"/>
    </row>
    <row r="90" spans="1:11" ht="18.75" customHeight="1" x14ac:dyDescent="0.2">
      <c r="A90" s="85"/>
      <c r="B90" s="273"/>
      <c r="C90" s="274"/>
      <c r="D90" s="274"/>
      <c r="E90" s="274"/>
      <c r="F90" s="274"/>
      <c r="G90" s="274"/>
      <c r="H90" s="274"/>
      <c r="I90" s="274"/>
      <c r="J90" s="275"/>
      <c r="K90" s="86"/>
    </row>
    <row r="91" spans="1:11" ht="18.75" customHeight="1" x14ac:dyDescent="0.2">
      <c r="A91" s="85"/>
      <c r="B91" s="273"/>
      <c r="C91" s="274"/>
      <c r="D91" s="274"/>
      <c r="E91" s="274"/>
      <c r="F91" s="274"/>
      <c r="G91" s="274"/>
      <c r="H91" s="274"/>
      <c r="I91" s="274"/>
      <c r="J91" s="275"/>
      <c r="K91" s="86" t="str">
        <f>IF(B89="","入力してください","")</f>
        <v/>
      </c>
    </row>
    <row r="92" spans="1:11" ht="18.75" customHeight="1" x14ac:dyDescent="0.2">
      <c r="A92" s="85"/>
      <c r="B92" s="273"/>
      <c r="C92" s="274"/>
      <c r="D92" s="274"/>
      <c r="E92" s="274"/>
      <c r="F92" s="274"/>
      <c r="G92" s="274"/>
      <c r="H92" s="274"/>
      <c r="I92" s="274"/>
      <c r="J92" s="275"/>
      <c r="K92" s="86"/>
    </row>
    <row r="93" spans="1:11" ht="18.75" customHeight="1" x14ac:dyDescent="0.2">
      <c r="A93" s="85"/>
      <c r="B93" s="273"/>
      <c r="C93" s="274"/>
      <c r="D93" s="274"/>
      <c r="E93" s="274"/>
      <c r="F93" s="274"/>
      <c r="G93" s="274"/>
      <c r="H93" s="274"/>
      <c r="I93" s="274"/>
      <c r="J93" s="275"/>
      <c r="K93" s="86"/>
    </row>
    <row r="94" spans="1:11" ht="18.75" customHeight="1" x14ac:dyDescent="0.2">
      <c r="A94" s="85"/>
      <c r="B94" s="273"/>
      <c r="C94" s="274"/>
      <c r="D94" s="274"/>
      <c r="E94" s="274"/>
      <c r="F94" s="274"/>
      <c r="G94" s="274"/>
      <c r="H94" s="274"/>
      <c r="I94" s="274"/>
      <c r="J94" s="275"/>
      <c r="K94" s="86"/>
    </row>
    <row r="95" spans="1:11" ht="18.75" customHeight="1" x14ac:dyDescent="0.2">
      <c r="A95" s="85"/>
      <c r="B95" s="273"/>
      <c r="C95" s="274"/>
      <c r="D95" s="274"/>
      <c r="E95" s="274"/>
      <c r="F95" s="274"/>
      <c r="G95" s="274"/>
      <c r="H95" s="274"/>
      <c r="I95" s="274"/>
      <c r="J95" s="275"/>
      <c r="K95" s="86"/>
    </row>
    <row r="96" spans="1:11" ht="18.75" customHeight="1" x14ac:dyDescent="0.2">
      <c r="A96" s="85"/>
      <c r="B96" s="273"/>
      <c r="C96" s="274"/>
      <c r="D96" s="274"/>
      <c r="E96" s="274"/>
      <c r="F96" s="274"/>
      <c r="G96" s="274"/>
      <c r="H96" s="274"/>
      <c r="I96" s="274"/>
      <c r="J96" s="275"/>
      <c r="K96" s="86"/>
    </row>
    <row r="97" spans="1:11" ht="13.8" customHeight="1" x14ac:dyDescent="0.2">
      <c r="A97" s="85"/>
      <c r="B97" s="273"/>
      <c r="C97" s="274"/>
      <c r="D97" s="274"/>
      <c r="E97" s="274"/>
      <c r="F97" s="274"/>
      <c r="G97" s="274"/>
      <c r="H97" s="274"/>
      <c r="I97" s="274"/>
      <c r="J97" s="275"/>
      <c r="K97" s="86"/>
    </row>
    <row r="98" spans="1:11" ht="18.600000000000001" customHeight="1" x14ac:dyDescent="0.2">
      <c r="A98" s="85"/>
      <c r="B98" s="273"/>
      <c r="C98" s="274"/>
      <c r="D98" s="274"/>
      <c r="E98" s="274"/>
      <c r="F98" s="274"/>
      <c r="G98" s="274"/>
      <c r="H98" s="274"/>
      <c r="I98" s="274"/>
      <c r="J98" s="275"/>
      <c r="K98" s="86"/>
    </row>
    <row r="99" spans="1:11" ht="18.600000000000001" customHeight="1" x14ac:dyDescent="0.2">
      <c r="A99" s="85"/>
      <c r="B99" s="273"/>
      <c r="C99" s="274"/>
      <c r="D99" s="274"/>
      <c r="E99" s="274"/>
      <c r="F99" s="274"/>
      <c r="G99" s="274"/>
      <c r="H99" s="274"/>
      <c r="I99" s="274"/>
      <c r="J99" s="275"/>
      <c r="K99" s="86"/>
    </row>
    <row r="100" spans="1:11" ht="18.600000000000001" customHeight="1" x14ac:dyDescent="0.2">
      <c r="A100" s="85"/>
      <c r="B100" s="273"/>
      <c r="C100" s="274"/>
      <c r="D100" s="274"/>
      <c r="E100" s="274"/>
      <c r="F100" s="274"/>
      <c r="G100" s="274"/>
      <c r="H100" s="274"/>
      <c r="I100" s="274"/>
      <c r="J100" s="275"/>
      <c r="K100" s="86"/>
    </row>
    <row r="101" spans="1:11" ht="18.600000000000001" customHeight="1" x14ac:dyDescent="0.2">
      <c r="A101" s="85"/>
      <c r="B101" s="273"/>
      <c r="C101" s="274"/>
      <c r="D101" s="274"/>
      <c r="E101" s="274"/>
      <c r="F101" s="274"/>
      <c r="G101" s="274"/>
      <c r="H101" s="274"/>
      <c r="I101" s="274"/>
      <c r="J101" s="275"/>
      <c r="K101" s="86"/>
    </row>
    <row r="102" spans="1:11" ht="18.600000000000001" customHeight="1" x14ac:dyDescent="0.2">
      <c r="A102" s="85"/>
      <c r="B102" s="273"/>
      <c r="C102" s="274"/>
      <c r="D102" s="274"/>
      <c r="E102" s="274"/>
      <c r="F102" s="274"/>
      <c r="G102" s="274"/>
      <c r="H102" s="274"/>
      <c r="I102" s="274"/>
      <c r="J102" s="275"/>
      <c r="K102" s="86"/>
    </row>
    <row r="103" spans="1:11" ht="18.600000000000001" customHeight="1" x14ac:dyDescent="0.2">
      <c r="A103" s="85"/>
      <c r="B103" s="273"/>
      <c r="C103" s="274"/>
      <c r="D103" s="274"/>
      <c r="E103" s="274"/>
      <c r="F103" s="274"/>
      <c r="G103" s="274"/>
      <c r="H103" s="274"/>
      <c r="I103" s="274"/>
      <c r="J103" s="275"/>
      <c r="K103" s="86"/>
    </row>
    <row r="104" spans="1:11" ht="18.600000000000001" customHeight="1" x14ac:dyDescent="0.2">
      <c r="A104" s="85"/>
      <c r="B104" s="273"/>
      <c r="C104" s="274"/>
      <c r="D104" s="274"/>
      <c r="E104" s="274"/>
      <c r="F104" s="274"/>
      <c r="G104" s="274"/>
      <c r="H104" s="274"/>
      <c r="I104" s="274"/>
      <c r="J104" s="275"/>
      <c r="K104" s="86"/>
    </row>
    <row r="105" spans="1:11" ht="18.600000000000001" customHeight="1" x14ac:dyDescent="0.2">
      <c r="A105" s="85"/>
      <c r="B105" s="273"/>
      <c r="C105" s="274"/>
      <c r="D105" s="274"/>
      <c r="E105" s="274"/>
      <c r="F105" s="274"/>
      <c r="G105" s="274"/>
      <c r="H105" s="274"/>
      <c r="I105" s="274"/>
      <c r="J105" s="275"/>
      <c r="K105" s="86"/>
    </row>
    <row r="106" spans="1:11" ht="18.600000000000001" customHeight="1" x14ac:dyDescent="0.2">
      <c r="A106" s="85"/>
      <c r="B106" s="273"/>
      <c r="C106" s="274"/>
      <c r="D106" s="274"/>
      <c r="E106" s="274"/>
      <c r="F106" s="274"/>
      <c r="G106" s="274"/>
      <c r="H106" s="274"/>
      <c r="I106" s="274"/>
      <c r="J106" s="275"/>
      <c r="K106" s="86"/>
    </row>
    <row r="107" spans="1:11" ht="18.600000000000001" customHeight="1" x14ac:dyDescent="0.2">
      <c r="A107" s="108"/>
      <c r="B107" s="273"/>
      <c r="C107" s="274"/>
      <c r="D107" s="274"/>
      <c r="E107" s="274"/>
      <c r="F107" s="274"/>
      <c r="G107" s="274"/>
      <c r="H107" s="274"/>
      <c r="I107" s="274"/>
      <c r="J107" s="275"/>
      <c r="K107" s="86"/>
    </row>
    <row r="108" spans="1:11" ht="18.600000000000001" customHeight="1" x14ac:dyDescent="0.2">
      <c r="A108" s="108"/>
      <c r="B108" s="276"/>
      <c r="C108" s="277"/>
      <c r="D108" s="277"/>
      <c r="E108" s="277"/>
      <c r="F108" s="277"/>
      <c r="G108" s="277"/>
      <c r="H108" s="277"/>
      <c r="I108" s="277"/>
      <c r="J108" s="278"/>
      <c r="K108" s="86"/>
    </row>
    <row r="109" spans="1:11" ht="8.4" customHeight="1" x14ac:dyDescent="0.2">
      <c r="A109" s="108"/>
      <c r="B109" s="108"/>
      <c r="C109" s="108"/>
      <c r="D109" s="108"/>
      <c r="E109" s="108"/>
      <c r="F109" s="108"/>
      <c r="G109" s="108"/>
      <c r="H109" s="108"/>
      <c r="I109" s="108"/>
      <c r="J109" s="108"/>
    </row>
    <row r="110" spans="1:11" ht="18.75" customHeight="1" x14ac:dyDescent="0.2">
      <c r="A110" s="85" t="s">
        <v>55</v>
      </c>
      <c r="B110" s="279" t="s">
        <v>86</v>
      </c>
      <c r="C110" s="279"/>
      <c r="D110" s="279"/>
      <c r="E110" s="279"/>
      <c r="F110" s="279"/>
      <c r="G110" s="279"/>
      <c r="H110" s="279"/>
      <c r="I110" s="279"/>
      <c r="J110" s="279"/>
    </row>
    <row r="111" spans="1:11" ht="18.75" customHeight="1" x14ac:dyDescent="0.2">
      <c r="A111" s="108"/>
      <c r="B111" s="262" t="s">
        <v>179</v>
      </c>
      <c r="C111" s="263"/>
      <c r="D111" s="263"/>
      <c r="E111" s="263"/>
      <c r="F111" s="263"/>
      <c r="G111" s="263"/>
      <c r="H111" s="263"/>
      <c r="I111" s="271"/>
      <c r="J111" s="272"/>
    </row>
    <row r="112" spans="1:11" ht="18.75" customHeight="1" x14ac:dyDescent="0.2">
      <c r="A112" s="108"/>
      <c r="B112" s="273"/>
      <c r="C112" s="274"/>
      <c r="D112" s="274"/>
      <c r="E112" s="274"/>
      <c r="F112" s="274"/>
      <c r="G112" s="274"/>
      <c r="H112" s="274"/>
      <c r="I112" s="274"/>
      <c r="J112" s="275"/>
      <c r="K112" s="86"/>
    </row>
    <row r="113" spans="1:11" ht="18.75" customHeight="1" x14ac:dyDescent="0.2">
      <c r="A113" s="108"/>
      <c r="B113" s="273"/>
      <c r="C113" s="274"/>
      <c r="D113" s="274"/>
      <c r="E113" s="274"/>
      <c r="F113" s="274"/>
      <c r="G113" s="274"/>
      <c r="H113" s="274"/>
      <c r="I113" s="274"/>
      <c r="J113" s="275"/>
      <c r="K113" s="85" t="str">
        <f>IF(B111="","入力してください","")</f>
        <v/>
      </c>
    </row>
    <row r="114" spans="1:11" ht="18.75" customHeight="1" x14ac:dyDescent="0.2">
      <c r="A114" s="108"/>
      <c r="B114" s="273"/>
      <c r="C114" s="274"/>
      <c r="D114" s="274"/>
      <c r="E114" s="274"/>
      <c r="F114" s="274"/>
      <c r="G114" s="274"/>
      <c r="H114" s="274"/>
      <c r="I114" s="274"/>
      <c r="J114" s="275"/>
    </row>
    <row r="115" spans="1:11" ht="18.75" customHeight="1" x14ac:dyDescent="0.2">
      <c r="A115" s="108"/>
      <c r="B115" s="273"/>
      <c r="C115" s="274"/>
      <c r="D115" s="274"/>
      <c r="E115" s="274"/>
      <c r="F115" s="274"/>
      <c r="G115" s="274"/>
      <c r="H115" s="274"/>
      <c r="I115" s="274"/>
      <c r="J115" s="275"/>
    </row>
    <row r="116" spans="1:11" ht="18.75" customHeight="1" x14ac:dyDescent="0.2">
      <c r="A116" s="108"/>
      <c r="B116" s="273"/>
      <c r="C116" s="274"/>
      <c r="D116" s="274"/>
      <c r="E116" s="274"/>
      <c r="F116" s="274"/>
      <c r="G116" s="274"/>
      <c r="H116" s="274"/>
      <c r="I116" s="274"/>
      <c r="J116" s="275"/>
    </row>
    <row r="117" spans="1:11" ht="18.75" customHeight="1" x14ac:dyDescent="0.2">
      <c r="A117" s="108"/>
      <c r="B117" s="273"/>
      <c r="C117" s="274"/>
      <c r="D117" s="274"/>
      <c r="E117" s="274"/>
      <c r="F117" s="274"/>
      <c r="G117" s="274"/>
      <c r="H117" s="274"/>
      <c r="I117" s="274"/>
      <c r="J117" s="275"/>
    </row>
    <row r="118" spans="1:11" ht="18.75" customHeight="1" x14ac:dyDescent="0.2">
      <c r="A118" s="108"/>
      <c r="B118" s="273"/>
      <c r="C118" s="274"/>
      <c r="D118" s="274"/>
      <c r="E118" s="274"/>
      <c r="F118" s="274"/>
      <c r="G118" s="274"/>
      <c r="H118" s="274"/>
      <c r="I118" s="274"/>
      <c r="J118" s="275"/>
    </row>
    <row r="119" spans="1:11" ht="10.8" customHeight="1" x14ac:dyDescent="0.2">
      <c r="A119" s="108"/>
      <c r="B119" s="273"/>
      <c r="C119" s="274"/>
      <c r="D119" s="274"/>
      <c r="E119" s="274"/>
      <c r="F119" s="274"/>
      <c r="G119" s="274"/>
      <c r="H119" s="274"/>
      <c r="I119" s="274"/>
      <c r="J119" s="275"/>
    </row>
    <row r="120" spans="1:11" ht="18.600000000000001" customHeight="1" x14ac:dyDescent="0.2">
      <c r="A120" s="108"/>
      <c r="B120" s="273"/>
      <c r="C120" s="274"/>
      <c r="D120" s="274"/>
      <c r="E120" s="274"/>
      <c r="F120" s="274"/>
      <c r="G120" s="274"/>
      <c r="H120" s="274"/>
      <c r="I120" s="274"/>
      <c r="J120" s="275"/>
    </row>
    <row r="121" spans="1:11" ht="18.600000000000001" customHeight="1" x14ac:dyDescent="0.2">
      <c r="A121" s="108"/>
      <c r="B121" s="273"/>
      <c r="C121" s="274"/>
      <c r="D121" s="274"/>
      <c r="E121" s="274"/>
      <c r="F121" s="274"/>
      <c r="G121" s="274"/>
      <c r="H121" s="274"/>
      <c r="I121" s="274"/>
      <c r="J121" s="275"/>
    </row>
    <row r="122" spans="1:11" ht="18.600000000000001" customHeight="1" x14ac:dyDescent="0.2">
      <c r="A122" s="108"/>
      <c r="B122" s="273"/>
      <c r="C122" s="274"/>
      <c r="D122" s="274"/>
      <c r="E122" s="274"/>
      <c r="F122" s="274"/>
      <c r="G122" s="274"/>
      <c r="H122" s="274"/>
      <c r="I122" s="274"/>
      <c r="J122" s="275"/>
    </row>
    <row r="123" spans="1:11" ht="18.600000000000001" customHeight="1" x14ac:dyDescent="0.2">
      <c r="A123" s="108"/>
      <c r="B123" s="273"/>
      <c r="C123" s="274"/>
      <c r="D123" s="274"/>
      <c r="E123" s="274"/>
      <c r="F123" s="274"/>
      <c r="G123" s="274"/>
      <c r="H123" s="274"/>
      <c r="I123" s="274"/>
      <c r="J123" s="275"/>
    </row>
    <row r="124" spans="1:11" ht="18.600000000000001" customHeight="1" x14ac:dyDescent="0.2">
      <c r="A124" s="108"/>
      <c r="B124" s="273"/>
      <c r="C124" s="274"/>
      <c r="D124" s="274"/>
      <c r="E124" s="274"/>
      <c r="F124" s="274"/>
      <c r="G124" s="274"/>
      <c r="H124" s="274"/>
      <c r="I124" s="274"/>
      <c r="J124" s="275"/>
    </row>
    <row r="125" spans="1:11" ht="18.600000000000001" customHeight="1" x14ac:dyDescent="0.2">
      <c r="A125" s="108"/>
      <c r="B125" s="273"/>
      <c r="C125" s="274"/>
      <c r="D125" s="274"/>
      <c r="E125" s="274"/>
      <c r="F125" s="274"/>
      <c r="G125" s="274"/>
      <c r="H125" s="274"/>
      <c r="I125" s="274"/>
      <c r="J125" s="275"/>
    </row>
    <row r="126" spans="1:11" ht="18.600000000000001" customHeight="1" x14ac:dyDescent="0.2">
      <c r="A126" s="108"/>
      <c r="B126" s="273"/>
      <c r="C126" s="274"/>
      <c r="D126" s="274"/>
      <c r="E126" s="274"/>
      <c r="F126" s="274"/>
      <c r="G126" s="274"/>
      <c r="H126" s="274"/>
      <c r="I126" s="274"/>
      <c r="J126" s="275"/>
    </row>
    <row r="127" spans="1:11" ht="18.600000000000001" customHeight="1" x14ac:dyDescent="0.2">
      <c r="A127" s="108"/>
      <c r="B127" s="273"/>
      <c r="C127" s="274"/>
      <c r="D127" s="274"/>
      <c r="E127" s="274"/>
      <c r="F127" s="274"/>
      <c r="G127" s="274"/>
      <c r="H127" s="274"/>
      <c r="I127" s="274"/>
      <c r="J127" s="275"/>
    </row>
    <row r="128" spans="1:11" ht="18.600000000000001" customHeight="1" x14ac:dyDescent="0.2">
      <c r="A128" s="108"/>
      <c r="B128" s="273"/>
      <c r="C128" s="274"/>
      <c r="D128" s="274"/>
      <c r="E128" s="274"/>
      <c r="F128" s="274"/>
      <c r="G128" s="274"/>
      <c r="H128" s="274"/>
      <c r="I128" s="274"/>
      <c r="J128" s="275"/>
    </row>
    <row r="129" spans="1:10" ht="18.600000000000001" customHeight="1" x14ac:dyDescent="0.2">
      <c r="A129" s="108"/>
      <c r="B129" s="276"/>
      <c r="C129" s="277"/>
      <c r="D129" s="277"/>
      <c r="E129" s="277"/>
      <c r="F129" s="277"/>
      <c r="G129" s="277"/>
      <c r="H129" s="277"/>
      <c r="I129" s="277"/>
      <c r="J129" s="278"/>
    </row>
    <row r="130" spans="1:10" ht="13.2" customHeight="1" x14ac:dyDescent="0.2">
      <c r="A130" s="108"/>
      <c r="B130" s="117"/>
      <c r="C130" s="117"/>
      <c r="D130" s="117"/>
      <c r="E130" s="117"/>
      <c r="F130" s="117"/>
      <c r="G130" s="117"/>
      <c r="H130" s="117"/>
      <c r="I130" s="117"/>
      <c r="J130" s="117"/>
    </row>
    <row r="131" spans="1:10" ht="18.75" customHeight="1" x14ac:dyDescent="0.2">
      <c r="A131" s="108"/>
      <c r="B131" s="108"/>
      <c r="C131" s="108"/>
      <c r="D131" s="108"/>
      <c r="E131" s="108"/>
      <c r="F131" s="108"/>
      <c r="G131" s="108"/>
      <c r="H131" s="108"/>
      <c r="I131" s="108"/>
      <c r="J131" s="108"/>
    </row>
    <row r="132" spans="1:10" ht="18.75" customHeight="1" x14ac:dyDescent="0.2">
      <c r="A132" s="108"/>
      <c r="B132" s="108"/>
      <c r="C132" s="108"/>
      <c r="D132" s="108"/>
      <c r="E132" s="108"/>
      <c r="F132" s="108"/>
      <c r="G132" s="108"/>
      <c r="H132" s="108"/>
      <c r="I132" s="108"/>
      <c r="J132" s="108"/>
    </row>
    <row r="133" spans="1:10" ht="18.75" customHeight="1" x14ac:dyDescent="0.2">
      <c r="A133" s="108"/>
      <c r="B133" s="108"/>
      <c r="C133" s="108"/>
      <c r="D133" s="108"/>
      <c r="E133" s="108"/>
      <c r="F133" s="108"/>
      <c r="G133" s="108"/>
      <c r="H133" s="108"/>
      <c r="I133" s="108"/>
      <c r="J133" s="108"/>
    </row>
    <row r="134" spans="1:10" ht="18.75" customHeight="1" x14ac:dyDescent="0.2">
      <c r="A134" s="108"/>
      <c r="B134" s="108"/>
      <c r="C134" s="108"/>
      <c r="D134" s="108"/>
      <c r="E134" s="108"/>
      <c r="F134" s="108"/>
      <c r="G134" s="108"/>
      <c r="H134" s="108"/>
      <c r="I134" s="108"/>
      <c r="J134" s="108"/>
    </row>
    <row r="135" spans="1:10" ht="18.75" customHeight="1" x14ac:dyDescent="0.2">
      <c r="A135" s="108"/>
      <c r="B135" s="108"/>
      <c r="C135" s="108"/>
      <c r="D135" s="108"/>
      <c r="E135" s="108"/>
      <c r="F135" s="108"/>
      <c r="G135" s="108"/>
      <c r="H135" s="108"/>
      <c r="I135" s="108"/>
      <c r="J135" s="108"/>
    </row>
    <row r="136" spans="1:10" ht="18.75" customHeight="1" x14ac:dyDescent="0.2">
      <c r="A136" s="108"/>
      <c r="B136" s="108"/>
      <c r="C136" s="108"/>
      <c r="D136" s="108"/>
      <c r="E136" s="108"/>
      <c r="F136" s="108"/>
      <c r="G136" s="108"/>
      <c r="H136" s="108"/>
      <c r="I136" s="108"/>
      <c r="J136" s="108"/>
    </row>
    <row r="137" spans="1:10" ht="18.75" customHeight="1" x14ac:dyDescent="0.2">
      <c r="A137" s="108"/>
      <c r="B137" s="108"/>
      <c r="C137" s="108"/>
      <c r="D137" s="108"/>
      <c r="E137" s="108"/>
      <c r="F137" s="108"/>
      <c r="G137" s="108"/>
      <c r="H137" s="108"/>
      <c r="I137" s="108"/>
      <c r="J137" s="108"/>
    </row>
    <row r="138" spans="1:10" ht="18.75" customHeight="1" x14ac:dyDescent="0.2">
      <c r="A138" s="108"/>
      <c r="B138" s="108"/>
      <c r="C138" s="108"/>
      <c r="D138" s="108"/>
      <c r="E138" s="108"/>
      <c r="F138" s="108"/>
      <c r="G138" s="108"/>
      <c r="H138" s="108"/>
      <c r="I138" s="108"/>
      <c r="J138" s="108"/>
    </row>
    <row r="139" spans="1:10" ht="18.75" customHeight="1" x14ac:dyDescent="0.2">
      <c r="A139" s="108"/>
      <c r="B139" s="108"/>
      <c r="C139" s="108"/>
      <c r="D139" s="108"/>
      <c r="E139" s="108"/>
      <c r="F139" s="108"/>
      <c r="G139" s="108"/>
      <c r="H139" s="108"/>
      <c r="I139" s="108"/>
      <c r="J139" s="108"/>
    </row>
    <row r="140" spans="1:10" ht="18.75" customHeight="1" x14ac:dyDescent="0.2">
      <c r="A140" s="108"/>
      <c r="B140" s="108"/>
      <c r="C140" s="108"/>
      <c r="D140" s="108"/>
      <c r="E140" s="108"/>
      <c r="F140" s="108"/>
      <c r="G140" s="108"/>
      <c r="H140" s="108"/>
      <c r="I140" s="108"/>
      <c r="J140" s="108"/>
    </row>
    <row r="141" spans="1:10" ht="18.75" customHeight="1" x14ac:dyDescent="0.2">
      <c r="A141" s="108"/>
      <c r="B141" s="108"/>
      <c r="C141" s="108"/>
      <c r="D141" s="108"/>
      <c r="E141" s="108"/>
      <c r="F141" s="108"/>
      <c r="G141" s="108"/>
      <c r="H141" s="108"/>
      <c r="I141" s="108"/>
      <c r="J141" s="108"/>
    </row>
    <row r="142" spans="1:10" ht="18.75" customHeight="1" x14ac:dyDescent="0.2">
      <c r="A142" s="108"/>
      <c r="B142" s="108"/>
      <c r="C142" s="108"/>
      <c r="D142" s="108"/>
      <c r="E142" s="108"/>
      <c r="F142" s="108"/>
      <c r="G142" s="108"/>
      <c r="H142" s="108"/>
      <c r="I142" s="108"/>
      <c r="J142" s="108"/>
    </row>
    <row r="143" spans="1:10" ht="14.4" x14ac:dyDescent="0.2">
      <c r="A143" s="108"/>
      <c r="B143" s="108"/>
      <c r="C143" s="108"/>
      <c r="D143" s="108"/>
      <c r="E143" s="108"/>
      <c r="F143" s="108"/>
      <c r="G143" s="108"/>
      <c r="H143" s="108"/>
      <c r="I143" s="108"/>
      <c r="J143" s="108"/>
    </row>
    <row r="144" spans="1:10" ht="7.5" customHeight="1" x14ac:dyDescent="0.2">
      <c r="A144" s="118"/>
      <c r="B144" s="118"/>
      <c r="C144" s="118"/>
      <c r="D144" s="118"/>
      <c r="E144" s="118"/>
      <c r="F144" s="118"/>
      <c r="G144" s="118"/>
      <c r="H144" s="118"/>
      <c r="I144" s="118"/>
      <c r="J144" s="118"/>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3" manualBreakCount="3">
    <brk id="44" max="9" man="1"/>
    <brk id="87" max="9" man="1"/>
    <brk id="129"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L7" sqref="L7"/>
    </sheetView>
  </sheetViews>
  <sheetFormatPr defaultColWidth="11.33203125" defaultRowHeight="22.5" customHeight="1" x14ac:dyDescent="0.2"/>
  <cols>
    <col min="1" max="3" width="2.77734375" style="85" customWidth="1"/>
    <col min="4" max="4" width="22.21875" style="85" customWidth="1"/>
    <col min="5" max="5" width="21.6640625" style="85" customWidth="1"/>
    <col min="6" max="7" width="7.77734375" style="85" customWidth="1"/>
    <col min="8" max="8" width="33.33203125" style="85" customWidth="1"/>
    <col min="9" max="9" width="24.44140625" style="85" customWidth="1"/>
    <col min="10" max="10" width="5.44140625" style="85" customWidth="1"/>
    <col min="11" max="11" width="4.109375" style="85" customWidth="1"/>
    <col min="12" max="16384" width="11.33203125" style="85"/>
  </cols>
  <sheetData>
    <row r="1" spans="1:11" ht="18.75" customHeight="1" x14ac:dyDescent="0.2">
      <c r="A1" s="85" t="s">
        <v>128</v>
      </c>
      <c r="J1" s="99" t="s">
        <v>77</v>
      </c>
    </row>
    <row r="2" spans="1:11" ht="18.75" customHeight="1" x14ac:dyDescent="0.2">
      <c r="A2" s="182" t="s">
        <v>44</v>
      </c>
      <c r="B2" s="182"/>
      <c r="C2" s="182"/>
      <c r="D2" s="182"/>
      <c r="E2" s="182"/>
      <c r="F2" s="182"/>
      <c r="G2" s="182"/>
      <c r="H2" s="182"/>
      <c r="I2" s="182"/>
      <c r="J2" s="182"/>
    </row>
    <row r="3" spans="1:11" ht="7.5" customHeight="1" x14ac:dyDescent="0.2">
      <c r="A3" s="98"/>
      <c r="B3" s="98"/>
      <c r="C3" s="98"/>
      <c r="D3" s="98"/>
      <c r="E3" s="98"/>
      <c r="F3" s="98"/>
      <c r="G3" s="98"/>
      <c r="H3" s="98"/>
      <c r="I3" s="98"/>
      <c r="J3" s="98"/>
    </row>
    <row r="4" spans="1:11" ht="18.75" customHeight="1" x14ac:dyDescent="0.2">
      <c r="A4" s="85" t="s">
        <v>6</v>
      </c>
      <c r="B4" s="85" t="s">
        <v>43</v>
      </c>
      <c r="C4" s="108"/>
      <c r="D4" s="108"/>
      <c r="E4" s="108"/>
      <c r="F4" s="108"/>
      <c r="G4" s="108"/>
      <c r="H4" s="108"/>
      <c r="I4" s="108"/>
      <c r="J4" s="108"/>
    </row>
    <row r="5" spans="1:11" ht="18.75" customHeight="1" x14ac:dyDescent="0.2">
      <c r="B5" s="125" t="s">
        <v>40</v>
      </c>
      <c r="C5" s="126"/>
      <c r="D5" s="127"/>
      <c r="E5" s="126" t="s">
        <v>42</v>
      </c>
      <c r="F5" s="126"/>
      <c r="G5" s="126"/>
      <c r="H5" s="126"/>
      <c r="I5" s="126"/>
      <c r="J5" s="127"/>
    </row>
    <row r="6" spans="1:11" ht="18.75" customHeight="1" x14ac:dyDescent="0.2">
      <c r="B6" s="87" t="s">
        <v>30</v>
      </c>
      <c r="C6" s="108"/>
      <c r="D6" s="109"/>
      <c r="I6" s="108"/>
      <c r="J6" s="109"/>
    </row>
    <row r="7" spans="1:11" ht="207" customHeight="1" x14ac:dyDescent="0.2">
      <c r="B7" s="110"/>
      <c r="C7" s="288" t="s">
        <v>31</v>
      </c>
      <c r="D7" s="289"/>
      <c r="E7" s="294" t="s">
        <v>172</v>
      </c>
      <c r="F7" s="290"/>
      <c r="G7" s="290"/>
      <c r="H7" s="290"/>
      <c r="I7" s="290"/>
      <c r="J7" s="291"/>
      <c r="K7" s="85" t="str">
        <f>IF(E7="","入力してください","")</f>
        <v/>
      </c>
    </row>
    <row r="8" spans="1:11" ht="207" customHeight="1" x14ac:dyDescent="0.2">
      <c r="B8" s="110"/>
      <c r="C8" s="295" t="s">
        <v>32</v>
      </c>
      <c r="D8" s="296"/>
      <c r="E8" s="294" t="s">
        <v>173</v>
      </c>
      <c r="F8" s="290"/>
      <c r="G8" s="290"/>
      <c r="H8" s="290"/>
      <c r="I8" s="290"/>
      <c r="J8" s="291"/>
      <c r="K8" s="85" t="str">
        <f t="shared" ref="K8:K16" si="0">IF(E8="","入力してください","")</f>
        <v/>
      </c>
    </row>
    <row r="9" spans="1:11" ht="172.05" customHeight="1" x14ac:dyDescent="0.2">
      <c r="B9" s="110"/>
      <c r="C9" s="288" t="s">
        <v>33</v>
      </c>
      <c r="D9" s="289"/>
      <c r="E9" s="294" t="s">
        <v>209</v>
      </c>
      <c r="F9" s="290"/>
      <c r="G9" s="290"/>
      <c r="H9" s="290"/>
      <c r="I9" s="290"/>
      <c r="J9" s="291"/>
      <c r="K9" s="85" t="str">
        <f t="shared" si="0"/>
        <v/>
      </c>
    </row>
    <row r="10" spans="1:11" ht="172.05" customHeight="1" x14ac:dyDescent="0.2">
      <c r="B10" s="110"/>
      <c r="C10" s="288" t="s">
        <v>34</v>
      </c>
      <c r="D10" s="289"/>
      <c r="E10" s="294" t="s">
        <v>210</v>
      </c>
      <c r="F10" s="290"/>
      <c r="G10" s="290"/>
      <c r="H10" s="290"/>
      <c r="I10" s="290"/>
      <c r="J10" s="291"/>
      <c r="K10" s="85" t="str">
        <f t="shared" si="0"/>
        <v/>
      </c>
    </row>
    <row r="11" spans="1:11" ht="172.05" customHeight="1" x14ac:dyDescent="0.2">
      <c r="B11" s="110"/>
      <c r="C11" s="288" t="s">
        <v>35</v>
      </c>
      <c r="D11" s="289"/>
      <c r="E11" s="294" t="s">
        <v>185</v>
      </c>
      <c r="F11" s="290"/>
      <c r="G11" s="290"/>
      <c r="H11" s="290"/>
      <c r="I11" s="290"/>
      <c r="J11" s="291"/>
      <c r="K11" s="85" t="str">
        <f t="shared" si="0"/>
        <v/>
      </c>
    </row>
    <row r="12" spans="1:11" ht="18.75" customHeight="1" x14ac:dyDescent="0.2">
      <c r="B12" s="111" t="s">
        <v>36</v>
      </c>
      <c r="C12" s="112"/>
      <c r="D12" s="113"/>
      <c r="E12" s="114"/>
      <c r="F12" s="114"/>
      <c r="G12" s="114"/>
      <c r="H12" s="114"/>
      <c r="I12" s="114"/>
      <c r="J12" s="115"/>
    </row>
    <row r="13" spans="1:11" ht="244.05" customHeight="1" x14ac:dyDescent="0.2">
      <c r="B13" s="110"/>
      <c r="C13" s="288" t="s">
        <v>37</v>
      </c>
      <c r="D13" s="289"/>
      <c r="E13" s="290" t="s">
        <v>174</v>
      </c>
      <c r="F13" s="290"/>
      <c r="G13" s="290"/>
      <c r="H13" s="290"/>
      <c r="I13" s="290"/>
      <c r="J13" s="291"/>
      <c r="K13" s="85" t="str">
        <f t="shared" si="0"/>
        <v/>
      </c>
    </row>
    <row r="14" spans="1:11" ht="255" customHeight="1" x14ac:dyDescent="0.2">
      <c r="B14" s="110"/>
      <c r="C14" s="288" t="s">
        <v>38</v>
      </c>
      <c r="D14" s="289"/>
      <c r="E14" s="290" t="s">
        <v>175</v>
      </c>
      <c r="F14" s="290"/>
      <c r="G14" s="290"/>
      <c r="H14" s="290"/>
      <c r="I14" s="290"/>
      <c r="J14" s="291"/>
      <c r="K14" s="85" t="str">
        <f t="shared" si="0"/>
        <v/>
      </c>
    </row>
    <row r="15" spans="1:11" ht="243" customHeight="1" x14ac:dyDescent="0.2">
      <c r="B15" s="292" t="s">
        <v>39</v>
      </c>
      <c r="C15" s="293"/>
      <c r="D15" s="289"/>
      <c r="E15" s="290" t="s">
        <v>176</v>
      </c>
      <c r="F15" s="290"/>
      <c r="G15" s="290"/>
      <c r="H15" s="290"/>
      <c r="I15" s="290"/>
      <c r="J15" s="291"/>
      <c r="K15" s="85" t="str">
        <f t="shared" si="0"/>
        <v/>
      </c>
    </row>
    <row r="16" spans="1:11" ht="243" customHeight="1" x14ac:dyDescent="0.2">
      <c r="B16" s="285" t="s">
        <v>68</v>
      </c>
      <c r="C16" s="286"/>
      <c r="D16" s="287"/>
      <c r="E16" s="269" t="s">
        <v>211</v>
      </c>
      <c r="F16" s="269"/>
      <c r="G16" s="269"/>
      <c r="H16" s="269"/>
      <c r="I16" s="269"/>
      <c r="J16" s="270"/>
      <c r="K16" s="85" t="str">
        <f t="shared" si="0"/>
        <v/>
      </c>
    </row>
    <row r="17" spans="1:11" ht="7.5" customHeight="1" x14ac:dyDescent="0.2">
      <c r="B17" s="108"/>
      <c r="C17" s="108"/>
      <c r="D17" s="108"/>
      <c r="E17" s="108"/>
      <c r="F17" s="108"/>
      <c r="G17" s="108"/>
      <c r="H17" s="108"/>
      <c r="I17" s="108"/>
      <c r="J17" s="108"/>
    </row>
    <row r="18" spans="1:11" ht="18.75" customHeight="1" x14ac:dyDescent="0.2">
      <c r="A18" s="85" t="s">
        <v>129</v>
      </c>
      <c r="C18" s="108"/>
      <c r="D18" s="108"/>
      <c r="E18" s="120"/>
      <c r="F18" s="121"/>
      <c r="G18" s="202" t="s">
        <v>186</v>
      </c>
      <c r="H18" s="203"/>
      <c r="I18" s="203"/>
      <c r="J18" s="204"/>
      <c r="K18" s="85" t="str">
        <f>IF(G18="","公表は必須事項です","")</f>
        <v/>
      </c>
    </row>
    <row r="19" spans="1:11" ht="22.5" customHeight="1" x14ac:dyDescent="0.2">
      <c r="B19" s="108"/>
      <c r="C19" s="108"/>
      <c r="D19" s="108"/>
      <c r="E19" s="108"/>
      <c r="F19" s="108"/>
      <c r="G19" s="108"/>
      <c r="H19" s="108"/>
      <c r="I19" s="108"/>
      <c r="J19" s="108"/>
    </row>
    <row r="20" spans="1:11" ht="22.5" customHeight="1" x14ac:dyDescent="0.2">
      <c r="B20" s="108"/>
      <c r="C20" s="108"/>
      <c r="D20" s="108"/>
      <c r="E20" s="108"/>
      <c r="F20" s="108"/>
      <c r="G20" s="108"/>
      <c r="H20" s="108"/>
      <c r="I20" s="108"/>
      <c r="J20" s="108"/>
    </row>
    <row r="21" spans="1:11" ht="22.5" customHeight="1" x14ac:dyDescent="0.2">
      <c r="B21" s="108"/>
      <c r="C21" s="108"/>
      <c r="D21" s="108"/>
      <c r="E21" s="108"/>
      <c r="F21" s="108"/>
      <c r="G21" s="108"/>
      <c r="H21" s="108"/>
      <c r="I21" s="108"/>
      <c r="J21" s="108"/>
    </row>
    <row r="22" spans="1:11" ht="22.5" customHeight="1" x14ac:dyDescent="0.2">
      <c r="B22" s="108"/>
      <c r="C22" s="108"/>
      <c r="D22" s="108"/>
      <c r="E22" s="108"/>
      <c r="F22" s="108"/>
      <c r="G22" s="108"/>
      <c r="H22" s="108"/>
      <c r="I22" s="108"/>
      <c r="J22" s="108"/>
    </row>
    <row r="23" spans="1:11" ht="22.5" customHeight="1" x14ac:dyDescent="0.2">
      <c r="B23" s="108"/>
      <c r="C23" s="108"/>
      <c r="D23" s="108"/>
      <c r="E23" s="108"/>
      <c r="F23" s="108"/>
      <c r="G23" s="108"/>
      <c r="H23" s="108"/>
      <c r="I23" s="108"/>
      <c r="J23" s="108"/>
    </row>
    <row r="24" spans="1:11" ht="22.5" customHeight="1" x14ac:dyDescent="0.2">
      <c r="B24" s="89"/>
      <c r="C24" s="89"/>
      <c r="D24" s="89"/>
      <c r="E24" s="89"/>
      <c r="F24" s="89"/>
      <c r="G24" s="89"/>
      <c r="H24" s="89"/>
      <c r="I24" s="89"/>
      <c r="J24" s="89"/>
    </row>
    <row r="25" spans="1:11" ht="22.5" customHeight="1" x14ac:dyDescent="0.2">
      <c r="B25" s="89"/>
      <c r="C25" s="89"/>
      <c r="D25" s="89"/>
      <c r="E25" s="89"/>
      <c r="F25" s="89"/>
      <c r="G25" s="89"/>
      <c r="H25" s="89"/>
      <c r="I25" s="89"/>
      <c r="J25" s="89"/>
    </row>
    <row r="26" spans="1:11" ht="22.5" customHeight="1" x14ac:dyDescent="0.2">
      <c r="B26" s="89"/>
      <c r="C26" s="89"/>
      <c r="D26" s="89"/>
      <c r="E26" s="89"/>
      <c r="F26" s="89"/>
      <c r="G26" s="89"/>
      <c r="H26" s="89"/>
      <c r="I26" s="89"/>
      <c r="J26" s="89"/>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rowBreaks count="3" manualBreakCount="3">
    <brk id="8" max="16383" man="1"/>
    <brk id="11" max="16383" man="1"/>
    <brk id="14"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zoomScaleNormal="100" zoomScaleSheetLayoutView="100" workbookViewId="0">
      <selection activeCell="I13" sqref="I13"/>
    </sheetView>
  </sheetViews>
  <sheetFormatPr defaultColWidth="11.33203125" defaultRowHeight="18.75" customHeight="1" x14ac:dyDescent="0.2"/>
  <cols>
    <col min="1" max="1" width="3.33203125" style="1" customWidth="1"/>
    <col min="2" max="2" width="15.44140625" style="1" customWidth="1"/>
    <col min="3" max="3" width="37.77734375" style="1" customWidth="1"/>
    <col min="4" max="4" width="1.109375" style="1" customWidth="1"/>
    <col min="5" max="5" width="21.109375" style="1" customWidth="1"/>
    <col min="6" max="6" width="7.77734375" style="1" customWidth="1"/>
    <col min="7" max="7" width="2.21875" style="1" customWidth="1"/>
    <col min="8" max="8" width="2.109375" style="1" customWidth="1"/>
    <col min="9" max="16384" width="11.33203125" style="1"/>
  </cols>
  <sheetData>
    <row r="1" spans="1:6" ht="18.75" customHeight="1" x14ac:dyDescent="0.2">
      <c r="E1" s="297" t="s">
        <v>7</v>
      </c>
      <c r="F1" s="297"/>
    </row>
    <row r="2" spans="1:6" ht="18.75" customHeight="1" x14ac:dyDescent="0.2">
      <c r="A2" s="298" t="s">
        <v>130</v>
      </c>
      <c r="B2" s="298"/>
      <c r="C2" s="298"/>
      <c r="D2" s="298"/>
      <c r="E2" s="298"/>
      <c r="F2" s="298"/>
    </row>
    <row r="3" spans="1:6" ht="7.5" customHeight="1" x14ac:dyDescent="0.2">
      <c r="A3" s="23"/>
      <c r="B3" s="23"/>
      <c r="C3" s="23"/>
      <c r="D3" s="23"/>
      <c r="E3" s="23"/>
      <c r="F3" s="23"/>
    </row>
    <row r="4" spans="1:6" ht="18.75" customHeight="1" x14ac:dyDescent="0.2">
      <c r="A4" s="23" t="s">
        <v>6</v>
      </c>
      <c r="B4" s="2" t="s">
        <v>28</v>
      </c>
      <c r="C4" s="23"/>
      <c r="D4" s="23"/>
      <c r="E4" s="23"/>
      <c r="F4" s="23"/>
    </row>
    <row r="5" spans="1:6" ht="18.75" customHeight="1" x14ac:dyDescent="0.2">
      <c r="A5" s="23"/>
      <c r="B5" s="299" t="s">
        <v>231</v>
      </c>
      <c r="C5" s="300"/>
      <c r="D5" s="300"/>
      <c r="E5" s="300"/>
      <c r="F5" s="301"/>
    </row>
    <row r="6" spans="1:6" ht="18.75" customHeight="1" x14ac:dyDescent="0.2">
      <c r="A6" s="23"/>
      <c r="B6" s="302"/>
      <c r="C6" s="303"/>
      <c r="D6" s="303"/>
      <c r="E6" s="303"/>
      <c r="F6" s="304"/>
    </row>
    <row r="7" spans="1:6" ht="18.75" customHeight="1" x14ac:dyDescent="0.2">
      <c r="A7" s="23"/>
      <c r="B7" s="302"/>
      <c r="C7" s="303"/>
      <c r="D7" s="303"/>
      <c r="E7" s="303"/>
      <c r="F7" s="304"/>
    </row>
    <row r="8" spans="1:6" ht="18.75" customHeight="1" x14ac:dyDescent="0.2">
      <c r="A8" s="23"/>
      <c r="B8" s="302"/>
      <c r="C8" s="303"/>
      <c r="D8" s="303"/>
      <c r="E8" s="303"/>
      <c r="F8" s="304"/>
    </row>
    <row r="9" spans="1:6" ht="18.75" customHeight="1" x14ac:dyDescent="0.2">
      <c r="A9" s="23"/>
      <c r="B9" s="302"/>
      <c r="C9" s="303"/>
      <c r="D9" s="303"/>
      <c r="E9" s="303"/>
      <c r="F9" s="304"/>
    </row>
    <row r="10" spans="1:6" ht="18.75" customHeight="1" x14ac:dyDescent="0.2">
      <c r="A10" s="23"/>
      <c r="B10" s="302"/>
      <c r="C10" s="303"/>
      <c r="D10" s="303"/>
      <c r="E10" s="303"/>
      <c r="F10" s="304"/>
    </row>
    <row r="11" spans="1:6" ht="18.75" customHeight="1" x14ac:dyDescent="0.2">
      <c r="A11" s="23"/>
      <c r="B11" s="302"/>
      <c r="C11" s="303"/>
      <c r="D11" s="303"/>
      <c r="E11" s="303"/>
      <c r="F11" s="304"/>
    </row>
    <row r="12" spans="1:6" ht="18.75" customHeight="1" x14ac:dyDescent="0.2">
      <c r="A12" s="23"/>
      <c r="B12" s="302"/>
      <c r="C12" s="303"/>
      <c r="D12" s="303"/>
      <c r="E12" s="303"/>
      <c r="F12" s="304"/>
    </row>
    <row r="13" spans="1:6" ht="18.75" customHeight="1" x14ac:dyDescent="0.2">
      <c r="A13" s="23"/>
      <c r="B13" s="302"/>
      <c r="C13" s="303"/>
      <c r="D13" s="303"/>
      <c r="E13" s="303"/>
      <c r="F13" s="304"/>
    </row>
    <row r="14" spans="1:6" ht="18.75" customHeight="1" x14ac:dyDescent="0.2">
      <c r="A14" s="23"/>
      <c r="B14" s="302"/>
      <c r="C14" s="303"/>
      <c r="D14" s="303"/>
      <c r="E14" s="303"/>
      <c r="F14" s="304"/>
    </row>
    <row r="15" spans="1:6" ht="18.75" customHeight="1" x14ac:dyDescent="0.2">
      <c r="A15" s="23"/>
      <c r="B15" s="302"/>
      <c r="C15" s="303"/>
      <c r="D15" s="303"/>
      <c r="E15" s="303"/>
      <c r="F15" s="304"/>
    </row>
    <row r="16" spans="1:6" ht="18.75" customHeight="1" x14ac:dyDescent="0.2">
      <c r="A16" s="23"/>
      <c r="B16" s="302"/>
      <c r="C16" s="303"/>
      <c r="D16" s="303"/>
      <c r="E16" s="303"/>
      <c r="F16" s="304"/>
    </row>
    <row r="17" spans="1:6" ht="18.75" customHeight="1" x14ac:dyDescent="0.2">
      <c r="A17" s="23"/>
      <c r="B17" s="302"/>
      <c r="C17" s="303"/>
      <c r="D17" s="303"/>
      <c r="E17" s="303"/>
      <c r="F17" s="304"/>
    </row>
    <row r="18" spans="1:6" ht="18.75" customHeight="1" x14ac:dyDescent="0.2">
      <c r="A18" s="23"/>
      <c r="B18" s="302"/>
      <c r="C18" s="303"/>
      <c r="D18" s="303"/>
      <c r="E18" s="303"/>
      <c r="F18" s="304"/>
    </row>
    <row r="19" spans="1:6" ht="18.75" customHeight="1" x14ac:dyDescent="0.2">
      <c r="A19" s="23"/>
      <c r="B19" s="302"/>
      <c r="C19" s="303"/>
      <c r="D19" s="303"/>
      <c r="E19" s="303"/>
      <c r="F19" s="304"/>
    </row>
    <row r="20" spans="1:6" ht="18.75" customHeight="1" x14ac:dyDescent="0.2">
      <c r="A20" s="23"/>
      <c r="B20" s="302"/>
      <c r="C20" s="303"/>
      <c r="D20" s="303"/>
      <c r="E20" s="303"/>
      <c r="F20" s="304"/>
    </row>
    <row r="21" spans="1:6" ht="18.75" customHeight="1" x14ac:dyDescent="0.2">
      <c r="A21" s="23"/>
      <c r="B21" s="302"/>
      <c r="C21" s="303"/>
      <c r="D21" s="303"/>
      <c r="E21" s="303"/>
      <c r="F21" s="304"/>
    </row>
    <row r="22" spans="1:6" ht="18.75" customHeight="1" x14ac:dyDescent="0.2">
      <c r="A22" s="23"/>
      <c r="B22" s="302"/>
      <c r="C22" s="303"/>
      <c r="D22" s="303"/>
      <c r="E22" s="303"/>
      <c r="F22" s="304"/>
    </row>
    <row r="23" spans="1:6" ht="18.75" customHeight="1" x14ac:dyDescent="0.2">
      <c r="A23" s="23"/>
      <c r="B23" s="302"/>
      <c r="C23" s="303"/>
      <c r="D23" s="303"/>
      <c r="E23" s="303"/>
      <c r="F23" s="304"/>
    </row>
    <row r="24" spans="1:6" ht="18.75" customHeight="1" x14ac:dyDescent="0.2">
      <c r="A24" s="23"/>
      <c r="B24" s="302"/>
      <c r="C24" s="303"/>
      <c r="D24" s="303"/>
      <c r="E24" s="303"/>
      <c r="F24" s="304"/>
    </row>
    <row r="25" spans="1:6" ht="18.75" customHeight="1" x14ac:dyDescent="0.2">
      <c r="A25" s="23"/>
      <c r="B25" s="302"/>
      <c r="C25" s="303"/>
      <c r="D25" s="303"/>
      <c r="E25" s="303"/>
      <c r="F25" s="304"/>
    </row>
    <row r="26" spans="1:6" ht="18.75" customHeight="1" x14ac:dyDescent="0.2">
      <c r="A26" s="23"/>
      <c r="B26" s="302"/>
      <c r="C26" s="303"/>
      <c r="D26" s="303"/>
      <c r="E26" s="303"/>
      <c r="F26" s="304"/>
    </row>
    <row r="27" spans="1:6" ht="18.75" customHeight="1" x14ac:dyDescent="0.2">
      <c r="A27" s="23"/>
      <c r="B27" s="302"/>
      <c r="C27" s="303"/>
      <c r="D27" s="303"/>
      <c r="E27" s="303"/>
      <c r="F27" s="304"/>
    </row>
    <row r="28" spans="1:6" ht="18.75" customHeight="1" x14ac:dyDescent="0.2">
      <c r="A28" s="23"/>
      <c r="B28" s="302"/>
      <c r="C28" s="303"/>
      <c r="D28" s="303"/>
      <c r="E28" s="303"/>
      <c r="F28" s="304"/>
    </row>
    <row r="29" spans="1:6" ht="18.75" customHeight="1" x14ac:dyDescent="0.2">
      <c r="A29" s="23"/>
      <c r="B29" s="302"/>
      <c r="C29" s="303"/>
      <c r="D29" s="303"/>
      <c r="E29" s="303"/>
      <c r="F29" s="304"/>
    </row>
    <row r="30" spans="1:6" ht="18.75" customHeight="1" x14ac:dyDescent="0.2">
      <c r="A30" s="23"/>
      <c r="B30" s="302"/>
      <c r="C30" s="303"/>
      <c r="D30" s="303"/>
      <c r="E30" s="303"/>
      <c r="F30" s="304"/>
    </row>
    <row r="31" spans="1:6" ht="18.75" customHeight="1" x14ac:dyDescent="0.2">
      <c r="A31" s="23"/>
      <c r="B31" s="302"/>
      <c r="C31" s="303"/>
      <c r="D31" s="303"/>
      <c r="E31" s="303"/>
      <c r="F31" s="304"/>
    </row>
    <row r="32" spans="1:6" ht="18.75" customHeight="1" x14ac:dyDescent="0.2">
      <c r="A32" s="23"/>
      <c r="B32" s="302"/>
      <c r="C32" s="303"/>
      <c r="D32" s="303"/>
      <c r="E32" s="303"/>
      <c r="F32" s="304"/>
    </row>
    <row r="33" spans="1:6" ht="18.75" customHeight="1" x14ac:dyDescent="0.2">
      <c r="A33" s="23"/>
      <c r="B33" s="302"/>
      <c r="C33" s="303"/>
      <c r="D33" s="303"/>
      <c r="E33" s="303"/>
      <c r="F33" s="304"/>
    </row>
    <row r="34" spans="1:6" ht="18.75" customHeight="1" x14ac:dyDescent="0.2">
      <c r="A34" s="23"/>
      <c r="B34" s="302"/>
      <c r="C34" s="303"/>
      <c r="D34" s="303"/>
      <c r="E34" s="303"/>
      <c r="F34" s="304"/>
    </row>
    <row r="35" spans="1:6" ht="18.75" customHeight="1" x14ac:dyDescent="0.2">
      <c r="A35" s="23"/>
      <c r="B35" s="302"/>
      <c r="C35" s="303"/>
      <c r="D35" s="303"/>
      <c r="E35" s="303"/>
      <c r="F35" s="304"/>
    </row>
    <row r="36" spans="1:6" ht="18.75" customHeight="1" x14ac:dyDescent="0.2">
      <c r="A36" s="23"/>
      <c r="B36" s="302"/>
      <c r="C36" s="303"/>
      <c r="D36" s="303"/>
      <c r="E36" s="303"/>
      <c r="F36" s="304"/>
    </row>
    <row r="37" spans="1:6" ht="18.75" customHeight="1" x14ac:dyDescent="0.2">
      <c r="A37" s="23"/>
      <c r="B37" s="302"/>
      <c r="C37" s="303"/>
      <c r="D37" s="303"/>
      <c r="E37" s="303"/>
      <c r="F37" s="304"/>
    </row>
    <row r="38" spans="1:6" ht="18.75" customHeight="1" x14ac:dyDescent="0.2">
      <c r="A38" s="23"/>
      <c r="B38" s="302"/>
      <c r="C38" s="303"/>
      <c r="D38" s="303"/>
      <c r="E38" s="303"/>
      <c r="F38" s="304"/>
    </row>
    <row r="39" spans="1:6" ht="18.75" customHeight="1" x14ac:dyDescent="0.2">
      <c r="A39" s="23"/>
      <c r="B39" s="302"/>
      <c r="C39" s="303"/>
      <c r="D39" s="303"/>
      <c r="E39" s="303"/>
      <c r="F39" s="304"/>
    </row>
    <row r="40" spans="1:6" ht="18.75" customHeight="1" x14ac:dyDescent="0.2">
      <c r="A40" s="23"/>
      <c r="B40" s="302"/>
      <c r="C40" s="303"/>
      <c r="D40" s="303"/>
      <c r="E40" s="303"/>
      <c r="F40" s="304"/>
    </row>
    <row r="41" spans="1:6" ht="18.75" customHeight="1" x14ac:dyDescent="0.2">
      <c r="A41" s="23"/>
      <c r="B41" s="302"/>
      <c r="C41" s="303"/>
      <c r="D41" s="303"/>
      <c r="E41" s="303"/>
      <c r="F41" s="304"/>
    </row>
    <row r="42" spans="1:6" ht="18.75" customHeight="1" x14ac:dyDescent="0.2">
      <c r="A42" s="23"/>
      <c r="B42" s="305"/>
      <c r="C42" s="306"/>
      <c r="D42" s="306"/>
      <c r="E42" s="306"/>
      <c r="F42" s="307"/>
    </row>
    <row r="43" spans="1:6" ht="18.75" customHeight="1" x14ac:dyDescent="0.2">
      <c r="A43" s="23" t="s">
        <v>10</v>
      </c>
      <c r="B43" s="2" t="s">
        <v>73</v>
      </c>
      <c r="C43" s="23"/>
      <c r="D43" s="23"/>
      <c r="E43" s="23"/>
      <c r="F43" s="23"/>
    </row>
    <row r="44" spans="1:6" ht="18.75" customHeight="1" x14ac:dyDescent="0.2">
      <c r="A44" s="23"/>
      <c r="B44" s="299"/>
      <c r="C44" s="308"/>
      <c r="D44" s="308"/>
      <c r="E44" s="308"/>
      <c r="F44" s="309"/>
    </row>
    <row r="45" spans="1:6" ht="18.75" customHeight="1" x14ac:dyDescent="0.2">
      <c r="A45" s="23"/>
      <c r="B45" s="310"/>
      <c r="C45" s="311"/>
      <c r="D45" s="311"/>
      <c r="E45" s="311"/>
      <c r="F45" s="312"/>
    </row>
    <row r="46" spans="1:6" ht="18.75" customHeight="1" x14ac:dyDescent="0.2">
      <c r="A46" s="23"/>
      <c r="B46" s="310"/>
      <c r="C46" s="311"/>
      <c r="D46" s="311"/>
      <c r="E46" s="311"/>
      <c r="F46" s="312"/>
    </row>
    <row r="47" spans="1:6" ht="18.75" customHeight="1" x14ac:dyDescent="0.2">
      <c r="A47" s="23"/>
      <c r="B47" s="310"/>
      <c r="C47" s="311"/>
      <c r="D47" s="311"/>
      <c r="E47" s="311"/>
      <c r="F47" s="312"/>
    </row>
    <row r="48" spans="1:6" ht="18.75" customHeight="1" x14ac:dyDescent="0.2">
      <c r="A48" s="23"/>
      <c r="B48" s="310"/>
      <c r="C48" s="311"/>
      <c r="D48" s="311"/>
      <c r="E48" s="311"/>
      <c r="F48" s="312"/>
    </row>
    <row r="49" spans="1:6" ht="18.75" customHeight="1" x14ac:dyDescent="0.2">
      <c r="A49" s="23"/>
      <c r="B49" s="310"/>
      <c r="C49" s="311"/>
      <c r="D49" s="311"/>
      <c r="E49" s="311"/>
      <c r="F49" s="312"/>
    </row>
    <row r="50" spans="1:6" ht="18.75" customHeight="1" x14ac:dyDescent="0.2">
      <c r="A50" s="23"/>
      <c r="B50" s="310"/>
      <c r="C50" s="311"/>
      <c r="D50" s="311"/>
      <c r="E50" s="311"/>
      <c r="F50" s="312"/>
    </row>
    <row r="51" spans="1:6" ht="18.75" customHeight="1" x14ac:dyDescent="0.2">
      <c r="A51" s="23"/>
      <c r="B51" s="310"/>
      <c r="C51" s="311"/>
      <c r="D51" s="311"/>
      <c r="E51" s="311"/>
      <c r="F51" s="312"/>
    </row>
    <row r="52" spans="1:6" ht="18.75" customHeight="1" x14ac:dyDescent="0.2">
      <c r="A52" s="23"/>
      <c r="B52" s="310"/>
      <c r="C52" s="311"/>
      <c r="D52" s="311"/>
      <c r="E52" s="311"/>
      <c r="F52" s="312"/>
    </row>
    <row r="53" spans="1:6" ht="18.75" customHeight="1" x14ac:dyDescent="0.2">
      <c r="A53" s="23"/>
      <c r="B53" s="310"/>
      <c r="C53" s="311"/>
      <c r="D53" s="311"/>
      <c r="E53" s="311"/>
      <c r="F53" s="312"/>
    </row>
    <row r="54" spans="1:6" ht="18.75" customHeight="1" x14ac:dyDescent="0.2">
      <c r="A54" s="23"/>
      <c r="B54" s="310"/>
      <c r="C54" s="311"/>
      <c r="D54" s="311"/>
      <c r="E54" s="311"/>
      <c r="F54" s="312"/>
    </row>
    <row r="55" spans="1:6" ht="18.75" customHeight="1" x14ac:dyDescent="0.2">
      <c r="A55" s="23"/>
      <c r="B55" s="310"/>
      <c r="C55" s="311"/>
      <c r="D55" s="311"/>
      <c r="E55" s="311"/>
      <c r="F55" s="312"/>
    </row>
    <row r="56" spans="1:6" ht="18.75" customHeight="1" x14ac:dyDescent="0.2">
      <c r="A56" s="23"/>
      <c r="B56" s="310"/>
      <c r="C56" s="311"/>
      <c r="D56" s="311"/>
      <c r="E56" s="311"/>
      <c r="F56" s="312"/>
    </row>
    <row r="57" spans="1:6" ht="18.75" customHeight="1" x14ac:dyDescent="0.2">
      <c r="A57" s="23"/>
      <c r="B57" s="310"/>
      <c r="C57" s="311"/>
      <c r="D57" s="311"/>
      <c r="E57" s="311"/>
      <c r="F57" s="312"/>
    </row>
    <row r="58" spans="1:6" ht="18.75" customHeight="1" x14ac:dyDescent="0.2">
      <c r="A58" s="23"/>
      <c r="B58" s="310"/>
      <c r="C58" s="311"/>
      <c r="D58" s="311"/>
      <c r="E58" s="311"/>
      <c r="F58" s="312"/>
    </row>
    <row r="59" spans="1:6" ht="18.75" customHeight="1" x14ac:dyDescent="0.2">
      <c r="A59" s="23"/>
      <c r="B59" s="310"/>
      <c r="C59" s="311"/>
      <c r="D59" s="311"/>
      <c r="E59" s="311"/>
      <c r="F59" s="312"/>
    </row>
    <row r="60" spans="1:6" ht="18.75" customHeight="1" x14ac:dyDescent="0.2">
      <c r="A60" s="23"/>
      <c r="B60" s="310"/>
      <c r="C60" s="311"/>
      <c r="D60" s="311"/>
      <c r="E60" s="311"/>
      <c r="F60" s="312"/>
    </row>
    <row r="61" spans="1:6" ht="18.75" customHeight="1" x14ac:dyDescent="0.2">
      <c r="A61" s="23"/>
      <c r="B61" s="310"/>
      <c r="C61" s="311"/>
      <c r="D61" s="311"/>
      <c r="E61" s="311"/>
      <c r="F61" s="312"/>
    </row>
    <row r="62" spans="1:6" ht="18.75" customHeight="1" x14ac:dyDescent="0.2">
      <c r="A62" s="23"/>
      <c r="B62" s="310"/>
      <c r="C62" s="311"/>
      <c r="D62" s="311"/>
      <c r="E62" s="311"/>
      <c r="F62" s="312"/>
    </row>
    <row r="63" spans="1:6" ht="18.75" customHeight="1" x14ac:dyDescent="0.2">
      <c r="A63" s="23"/>
      <c r="B63" s="310"/>
      <c r="C63" s="311"/>
      <c r="D63" s="311"/>
      <c r="E63" s="311"/>
      <c r="F63" s="312"/>
    </row>
    <row r="64" spans="1:6" ht="18.75" customHeight="1" x14ac:dyDescent="0.2">
      <c r="A64" s="23"/>
      <c r="B64" s="310"/>
      <c r="C64" s="311"/>
      <c r="D64" s="311"/>
      <c r="E64" s="311"/>
      <c r="F64" s="312"/>
    </row>
    <row r="65" spans="1:6" ht="18.75" customHeight="1" x14ac:dyDescent="0.2">
      <c r="A65" s="23"/>
      <c r="B65" s="310"/>
      <c r="C65" s="311"/>
      <c r="D65" s="311"/>
      <c r="E65" s="311"/>
      <c r="F65" s="312"/>
    </row>
    <row r="66" spans="1:6" ht="18.75" customHeight="1" x14ac:dyDescent="0.2">
      <c r="A66" s="23"/>
      <c r="B66" s="310"/>
      <c r="C66" s="311"/>
      <c r="D66" s="311"/>
      <c r="E66" s="311"/>
      <c r="F66" s="312"/>
    </row>
    <row r="67" spans="1:6" ht="18.75" customHeight="1" x14ac:dyDescent="0.2">
      <c r="A67" s="23"/>
      <c r="B67" s="310"/>
      <c r="C67" s="311"/>
      <c r="D67" s="311"/>
      <c r="E67" s="311"/>
      <c r="F67" s="312"/>
    </row>
    <row r="68" spans="1:6" ht="18.75" customHeight="1" x14ac:dyDescent="0.2">
      <c r="A68" s="23"/>
      <c r="B68" s="310"/>
      <c r="C68" s="311"/>
      <c r="D68" s="311"/>
      <c r="E68" s="311"/>
      <c r="F68" s="312"/>
    </row>
    <row r="69" spans="1:6" ht="18.75" customHeight="1" x14ac:dyDescent="0.2">
      <c r="A69" s="23"/>
      <c r="B69" s="310"/>
      <c r="C69" s="311"/>
      <c r="D69" s="311"/>
      <c r="E69" s="311"/>
      <c r="F69" s="312"/>
    </row>
    <row r="70" spans="1:6" ht="18.75" customHeight="1" x14ac:dyDescent="0.2">
      <c r="A70" s="23"/>
      <c r="B70" s="310"/>
      <c r="C70" s="311"/>
      <c r="D70" s="311"/>
      <c r="E70" s="311"/>
      <c r="F70" s="312"/>
    </row>
    <row r="71" spans="1:6" ht="18.75" customHeight="1" x14ac:dyDescent="0.2">
      <c r="A71" s="23"/>
      <c r="B71" s="310"/>
      <c r="C71" s="311"/>
      <c r="D71" s="311"/>
      <c r="E71" s="311"/>
      <c r="F71" s="312"/>
    </row>
    <row r="72" spans="1:6" ht="18.75" customHeight="1" x14ac:dyDescent="0.2">
      <c r="A72" s="23"/>
      <c r="B72" s="310"/>
      <c r="C72" s="311"/>
      <c r="D72" s="311"/>
      <c r="E72" s="311"/>
      <c r="F72" s="312"/>
    </row>
    <row r="73" spans="1:6" ht="18.75" customHeight="1" x14ac:dyDescent="0.2">
      <c r="A73" s="23"/>
      <c r="B73" s="310"/>
      <c r="C73" s="311"/>
      <c r="D73" s="311"/>
      <c r="E73" s="311"/>
      <c r="F73" s="312"/>
    </row>
    <row r="74" spans="1:6" ht="18.75" customHeight="1" x14ac:dyDescent="0.2">
      <c r="A74" s="23"/>
      <c r="B74" s="310"/>
      <c r="C74" s="311"/>
      <c r="D74" s="311"/>
      <c r="E74" s="311"/>
      <c r="F74" s="312"/>
    </row>
    <row r="75" spans="1:6" ht="18.75" customHeight="1" x14ac:dyDescent="0.2">
      <c r="A75" s="23"/>
      <c r="B75" s="310"/>
      <c r="C75" s="311"/>
      <c r="D75" s="311"/>
      <c r="E75" s="311"/>
      <c r="F75" s="312"/>
    </row>
    <row r="76" spans="1:6" ht="18.75" customHeight="1" x14ac:dyDescent="0.2">
      <c r="A76" s="23"/>
      <c r="B76" s="310"/>
      <c r="C76" s="311"/>
      <c r="D76" s="311"/>
      <c r="E76" s="311"/>
      <c r="F76" s="312"/>
    </row>
    <row r="77" spans="1:6" ht="18.75" customHeight="1" x14ac:dyDescent="0.2">
      <c r="A77" s="23"/>
      <c r="B77" s="310"/>
      <c r="C77" s="311"/>
      <c r="D77" s="311"/>
      <c r="E77" s="311"/>
      <c r="F77" s="312"/>
    </row>
    <row r="78" spans="1:6" ht="18.75" customHeight="1" x14ac:dyDescent="0.2">
      <c r="A78" s="23"/>
      <c r="B78" s="310"/>
      <c r="C78" s="311"/>
      <c r="D78" s="311"/>
      <c r="E78" s="311"/>
      <c r="F78" s="312"/>
    </row>
    <row r="79" spans="1:6" ht="18.75" customHeight="1" x14ac:dyDescent="0.2">
      <c r="A79" s="23"/>
      <c r="B79" s="310"/>
      <c r="C79" s="311"/>
      <c r="D79" s="311"/>
      <c r="E79" s="311"/>
      <c r="F79" s="312"/>
    </row>
    <row r="80" spans="1:6" ht="18.75" customHeight="1" x14ac:dyDescent="0.2">
      <c r="A80" s="23"/>
      <c r="B80" s="310"/>
      <c r="C80" s="311"/>
      <c r="D80" s="311"/>
      <c r="E80" s="311"/>
      <c r="F80" s="312"/>
    </row>
    <row r="81" spans="1:6" ht="18.75" customHeight="1" x14ac:dyDescent="0.2">
      <c r="A81" s="23"/>
      <c r="B81" s="310"/>
      <c r="C81" s="311"/>
      <c r="D81" s="311"/>
      <c r="E81" s="311"/>
      <c r="F81" s="312"/>
    </row>
    <row r="82" spans="1:6" ht="18.75" customHeight="1" x14ac:dyDescent="0.2">
      <c r="A82" s="23"/>
      <c r="B82" s="310"/>
      <c r="C82" s="311"/>
      <c r="D82" s="311"/>
      <c r="E82" s="311"/>
      <c r="F82" s="312"/>
    </row>
    <row r="83" spans="1:6" ht="18.75" customHeight="1" x14ac:dyDescent="0.2">
      <c r="A83" s="23"/>
      <c r="B83" s="313"/>
      <c r="C83" s="314"/>
      <c r="D83" s="314"/>
      <c r="E83" s="314"/>
      <c r="F83" s="315"/>
    </row>
    <row r="84" spans="1:6" ht="18.75" customHeight="1" x14ac:dyDescent="0.2">
      <c r="A84" s="2" t="s">
        <v>11</v>
      </c>
      <c r="B84" s="2" t="s">
        <v>74</v>
      </c>
      <c r="C84" s="2"/>
      <c r="D84" s="2"/>
      <c r="E84" s="2"/>
      <c r="F84" s="2"/>
    </row>
    <row r="85" spans="1:6" ht="18.75" customHeight="1" x14ac:dyDescent="0.2">
      <c r="A85" s="23"/>
      <c r="B85" s="299"/>
      <c r="C85" s="308"/>
      <c r="D85" s="308"/>
      <c r="E85" s="308"/>
      <c r="F85" s="309"/>
    </row>
    <row r="86" spans="1:6" ht="18.75" customHeight="1" x14ac:dyDescent="0.2">
      <c r="A86" s="23"/>
      <c r="B86" s="310"/>
      <c r="C86" s="311"/>
      <c r="D86" s="311"/>
      <c r="E86" s="311"/>
      <c r="F86" s="312"/>
    </row>
    <row r="87" spans="1:6" ht="18.75" customHeight="1" x14ac:dyDescent="0.2">
      <c r="A87" s="23"/>
      <c r="B87" s="310"/>
      <c r="C87" s="311"/>
      <c r="D87" s="311"/>
      <c r="E87" s="311"/>
      <c r="F87" s="312"/>
    </row>
    <row r="88" spans="1:6" ht="18.75" customHeight="1" x14ac:dyDescent="0.2">
      <c r="A88" s="23"/>
      <c r="B88" s="310"/>
      <c r="C88" s="311"/>
      <c r="D88" s="311"/>
      <c r="E88" s="311"/>
      <c r="F88" s="312"/>
    </row>
    <row r="89" spans="1:6" ht="18.75" customHeight="1" x14ac:dyDescent="0.2">
      <c r="A89" s="23"/>
      <c r="B89" s="310"/>
      <c r="C89" s="311"/>
      <c r="D89" s="311"/>
      <c r="E89" s="311"/>
      <c r="F89" s="312"/>
    </row>
    <row r="90" spans="1:6" ht="18.75" customHeight="1" x14ac:dyDescent="0.2">
      <c r="A90" s="23"/>
      <c r="B90" s="310"/>
      <c r="C90" s="311"/>
      <c r="D90" s="311"/>
      <c r="E90" s="311"/>
      <c r="F90" s="312"/>
    </row>
    <row r="91" spans="1:6" ht="18.75" customHeight="1" x14ac:dyDescent="0.2">
      <c r="A91" s="23"/>
      <c r="B91" s="310"/>
      <c r="C91" s="311"/>
      <c r="D91" s="311"/>
      <c r="E91" s="311"/>
      <c r="F91" s="312"/>
    </row>
    <row r="92" spans="1:6" ht="18.75" customHeight="1" x14ac:dyDescent="0.2">
      <c r="A92" s="23"/>
      <c r="B92" s="310"/>
      <c r="C92" s="311"/>
      <c r="D92" s="311"/>
      <c r="E92" s="311"/>
      <c r="F92" s="312"/>
    </row>
    <row r="93" spans="1:6" ht="18.75" customHeight="1" x14ac:dyDescent="0.2">
      <c r="A93" s="23"/>
      <c r="B93" s="310"/>
      <c r="C93" s="311"/>
      <c r="D93" s="311"/>
      <c r="E93" s="311"/>
      <c r="F93" s="312"/>
    </row>
    <row r="94" spans="1:6" ht="18.75" customHeight="1" x14ac:dyDescent="0.2">
      <c r="A94" s="23"/>
      <c r="B94" s="310"/>
      <c r="C94" s="311"/>
      <c r="D94" s="311"/>
      <c r="E94" s="311"/>
      <c r="F94" s="312"/>
    </row>
    <row r="95" spans="1:6" ht="18.75" customHeight="1" x14ac:dyDescent="0.2">
      <c r="A95" s="23"/>
      <c r="B95" s="310"/>
      <c r="C95" s="311"/>
      <c r="D95" s="311"/>
      <c r="E95" s="311"/>
      <c r="F95" s="312"/>
    </row>
    <row r="96" spans="1:6" ht="18.75" customHeight="1" x14ac:dyDescent="0.2">
      <c r="A96" s="23"/>
      <c r="B96" s="310"/>
      <c r="C96" s="311"/>
      <c r="D96" s="311"/>
      <c r="E96" s="311"/>
      <c r="F96" s="312"/>
    </row>
    <row r="97" spans="1:6" ht="18.75" customHeight="1" x14ac:dyDescent="0.2">
      <c r="A97" s="23"/>
      <c r="B97" s="310"/>
      <c r="C97" s="311"/>
      <c r="D97" s="311"/>
      <c r="E97" s="311"/>
      <c r="F97" s="312"/>
    </row>
    <row r="98" spans="1:6" ht="18.75" customHeight="1" x14ac:dyDescent="0.2">
      <c r="A98" s="23"/>
      <c r="B98" s="310"/>
      <c r="C98" s="311"/>
      <c r="D98" s="311"/>
      <c r="E98" s="311"/>
      <c r="F98" s="312"/>
    </row>
    <row r="99" spans="1:6" ht="18.75" customHeight="1" x14ac:dyDescent="0.2">
      <c r="A99" s="23"/>
      <c r="B99" s="310"/>
      <c r="C99" s="311"/>
      <c r="D99" s="311"/>
      <c r="E99" s="311"/>
      <c r="F99" s="312"/>
    </row>
    <row r="100" spans="1:6" ht="18.75" customHeight="1" x14ac:dyDescent="0.2">
      <c r="A100" s="23"/>
      <c r="B100" s="310"/>
      <c r="C100" s="311"/>
      <c r="D100" s="311"/>
      <c r="E100" s="311"/>
      <c r="F100" s="312"/>
    </row>
    <row r="101" spans="1:6" ht="18.75" customHeight="1" x14ac:dyDescent="0.2">
      <c r="A101" s="23"/>
      <c r="B101" s="310"/>
      <c r="C101" s="311"/>
      <c r="D101" s="311"/>
      <c r="E101" s="311"/>
      <c r="F101" s="312"/>
    </row>
    <row r="102" spans="1:6" ht="18.75" customHeight="1" x14ac:dyDescent="0.2">
      <c r="A102" s="23"/>
      <c r="B102" s="310"/>
      <c r="C102" s="311"/>
      <c r="D102" s="311"/>
      <c r="E102" s="311"/>
      <c r="F102" s="312"/>
    </row>
    <row r="103" spans="1:6" ht="18.75" customHeight="1" x14ac:dyDescent="0.2">
      <c r="A103" s="23"/>
      <c r="B103" s="310"/>
      <c r="C103" s="311"/>
      <c r="D103" s="311"/>
      <c r="E103" s="311"/>
      <c r="F103" s="312"/>
    </row>
    <row r="104" spans="1:6" ht="18.75" customHeight="1" x14ac:dyDescent="0.2">
      <c r="A104" s="23"/>
      <c r="B104" s="310"/>
      <c r="C104" s="311"/>
      <c r="D104" s="311"/>
      <c r="E104" s="311"/>
      <c r="F104" s="312"/>
    </row>
    <row r="105" spans="1:6" ht="18.75" customHeight="1" x14ac:dyDescent="0.2">
      <c r="A105" s="23"/>
      <c r="B105" s="310"/>
      <c r="C105" s="311"/>
      <c r="D105" s="311"/>
      <c r="E105" s="311"/>
      <c r="F105" s="312"/>
    </row>
    <row r="106" spans="1:6" ht="18.75" customHeight="1" x14ac:dyDescent="0.2">
      <c r="A106" s="23"/>
      <c r="B106" s="310"/>
      <c r="C106" s="311"/>
      <c r="D106" s="311"/>
      <c r="E106" s="311"/>
      <c r="F106" s="312"/>
    </row>
    <row r="107" spans="1:6" ht="18.75" customHeight="1" x14ac:dyDescent="0.2">
      <c r="A107" s="23"/>
      <c r="B107" s="310"/>
      <c r="C107" s="311"/>
      <c r="D107" s="311"/>
      <c r="E107" s="311"/>
      <c r="F107" s="312"/>
    </row>
    <row r="108" spans="1:6" ht="18.75" customHeight="1" x14ac:dyDescent="0.2">
      <c r="A108" s="23"/>
      <c r="B108" s="310"/>
      <c r="C108" s="311"/>
      <c r="D108" s="311"/>
      <c r="E108" s="311"/>
      <c r="F108" s="312"/>
    </row>
    <row r="109" spans="1:6" ht="18.75" customHeight="1" x14ac:dyDescent="0.2">
      <c r="A109" s="23"/>
      <c r="B109" s="310"/>
      <c r="C109" s="311"/>
      <c r="D109" s="311"/>
      <c r="E109" s="311"/>
      <c r="F109" s="312"/>
    </row>
    <row r="110" spans="1:6" ht="18.75" customHeight="1" x14ac:dyDescent="0.2">
      <c r="A110" s="23"/>
      <c r="B110" s="310"/>
      <c r="C110" s="311"/>
      <c r="D110" s="311"/>
      <c r="E110" s="311"/>
      <c r="F110" s="312"/>
    </row>
    <row r="111" spans="1:6" ht="18.75" customHeight="1" x14ac:dyDescent="0.2">
      <c r="A111" s="23"/>
      <c r="B111" s="310"/>
      <c r="C111" s="311"/>
      <c r="D111" s="311"/>
      <c r="E111" s="311"/>
      <c r="F111" s="312"/>
    </row>
    <row r="112" spans="1:6" ht="18.75" customHeight="1" x14ac:dyDescent="0.2">
      <c r="A112" s="23"/>
      <c r="B112" s="310"/>
      <c r="C112" s="311"/>
      <c r="D112" s="311"/>
      <c r="E112" s="311"/>
      <c r="F112" s="312"/>
    </row>
    <row r="113" spans="1:6" ht="18.75" customHeight="1" x14ac:dyDescent="0.2">
      <c r="A113" s="23"/>
      <c r="B113" s="310"/>
      <c r="C113" s="311"/>
      <c r="D113" s="311"/>
      <c r="E113" s="311"/>
      <c r="F113" s="312"/>
    </row>
    <row r="114" spans="1:6" ht="18.75" customHeight="1" x14ac:dyDescent="0.2">
      <c r="A114" s="23"/>
      <c r="B114" s="310"/>
      <c r="C114" s="311"/>
      <c r="D114" s="311"/>
      <c r="E114" s="311"/>
      <c r="F114" s="312"/>
    </row>
    <row r="115" spans="1:6" ht="18.75" customHeight="1" x14ac:dyDescent="0.2">
      <c r="A115" s="23"/>
      <c r="B115" s="310"/>
      <c r="C115" s="311"/>
      <c r="D115" s="311"/>
      <c r="E115" s="311"/>
      <c r="F115" s="312"/>
    </row>
    <row r="116" spans="1:6" ht="18.75" customHeight="1" x14ac:dyDescent="0.2">
      <c r="A116" s="23"/>
      <c r="B116" s="310"/>
      <c r="C116" s="311"/>
      <c r="D116" s="311"/>
      <c r="E116" s="311"/>
      <c r="F116" s="312"/>
    </row>
    <row r="117" spans="1:6" ht="18.75" customHeight="1" x14ac:dyDescent="0.2">
      <c r="A117" s="23"/>
      <c r="B117" s="310"/>
      <c r="C117" s="311"/>
      <c r="D117" s="311"/>
      <c r="E117" s="311"/>
      <c r="F117" s="312"/>
    </row>
    <row r="118" spans="1:6" ht="18.75" customHeight="1" x14ac:dyDescent="0.2">
      <c r="A118" s="23"/>
      <c r="B118" s="310"/>
      <c r="C118" s="311"/>
      <c r="D118" s="311"/>
      <c r="E118" s="311"/>
      <c r="F118" s="312"/>
    </row>
    <row r="119" spans="1:6" ht="18.75" customHeight="1" x14ac:dyDescent="0.2">
      <c r="A119" s="23"/>
      <c r="B119" s="310"/>
      <c r="C119" s="311"/>
      <c r="D119" s="311"/>
      <c r="E119" s="311"/>
      <c r="F119" s="312"/>
    </row>
    <row r="120" spans="1:6" ht="18.75" customHeight="1" x14ac:dyDescent="0.2">
      <c r="A120" s="23"/>
      <c r="B120" s="310"/>
      <c r="C120" s="311"/>
      <c r="D120" s="311"/>
      <c r="E120" s="311"/>
      <c r="F120" s="312"/>
    </row>
    <row r="121" spans="1:6" ht="18.75" customHeight="1" x14ac:dyDescent="0.2">
      <c r="A121" s="23"/>
      <c r="B121" s="310"/>
      <c r="C121" s="311"/>
      <c r="D121" s="311"/>
      <c r="E121" s="311"/>
      <c r="F121" s="312"/>
    </row>
    <row r="122" spans="1:6" ht="18.75" customHeight="1" x14ac:dyDescent="0.2">
      <c r="A122" s="23"/>
      <c r="B122" s="310"/>
      <c r="C122" s="311"/>
      <c r="D122" s="311"/>
      <c r="E122" s="311"/>
      <c r="F122" s="312"/>
    </row>
    <row r="123" spans="1:6" ht="18.75" customHeight="1" x14ac:dyDescent="0.2">
      <c r="A123" s="23"/>
      <c r="B123" s="310"/>
      <c r="C123" s="311"/>
      <c r="D123" s="311"/>
      <c r="E123" s="311"/>
      <c r="F123" s="312"/>
    </row>
    <row r="124" spans="1:6" ht="18.75" customHeight="1" x14ac:dyDescent="0.2">
      <c r="A124" s="23"/>
      <c r="B124" s="313"/>
      <c r="C124" s="314"/>
      <c r="D124" s="314"/>
      <c r="E124" s="314"/>
      <c r="F124" s="315"/>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様式２－１　プログラムを構成する授業科目</vt:lpstr>
      <vt:lpstr>様式２－２　プログラムを構成する授業科目</vt:lpstr>
      <vt:lpstr>様式３　履修者等数の実績</vt:lpstr>
      <vt:lpstr>様式４　教育の質・履修者数を向上させるための体制・計画</vt:lpstr>
      <vt:lpstr>様式５　自己点検・評価</vt:lpstr>
      <vt:lpstr>様式６　特色ある取組 （申請種類により「様式６」記入なし）</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 （申請種類により「様式６」記入なし）'!Print_Area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衣川功一</cp:lastModifiedBy>
  <cp:lastPrinted>2022-05-19T01:54:01Z</cp:lastPrinted>
  <dcterms:created xsi:type="dcterms:W3CDTF">2011-06-14T05:32:50Z</dcterms:created>
  <dcterms:modified xsi:type="dcterms:W3CDTF">2022-06-01T02:12:28Z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