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5"/>
  <workbookPr defaultThemeVersion="124226"/>
  <mc:AlternateContent xmlns:mc="http://schemas.openxmlformats.org/markup-compatibility/2006">
    <mc:Choice Requires="x15">
      <x15ac:absPath xmlns:x15ac="http://schemas.microsoft.com/office/spreadsheetml/2010/11/ac" url="C:\Users\ksato\Desktop\R4年度内容\データサイエンス認定校申請\申請書\申請書提出版\"/>
    </mc:Choice>
  </mc:AlternateContent>
  <xr:revisionPtr revIDLastSave="0" documentId="13_ncr:1_{CE32D7EB-9DFD-4E3C-B3F6-D727552FA119}" xr6:coauthVersionLast="36" xr6:coauthVersionMax="47" xr10:uidLastSave="{00000000-0000-0000-0000-000000000000}"/>
  <bookViews>
    <workbookView xWindow="615" yWindow="1200" windowWidth="23445" windowHeight="1512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3" i="40"/>
  <c r="R13" i="40" s="1"/>
  <c r="Q12" i="40"/>
  <c r="R12" i="40" s="1"/>
  <c r="Q11" i="40"/>
  <c r="R11" i="40" s="1"/>
  <c r="Q10" i="40"/>
  <c r="Q30" i="40" l="1"/>
  <c r="R30" i="40" s="1"/>
  <c r="C28" i="41" s="1"/>
  <c r="R10" i="40"/>
</calcChain>
</file>

<file path=xl/sharedStrings.xml><?xml version="1.0" encoding="utf-8"?>
<sst xmlns="http://schemas.openxmlformats.org/spreadsheetml/2006/main" count="647" uniqueCount="224">
  <si>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</si>
  <si>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</si>
  <si>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</si>
  <si>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</si>
  <si>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</si>
  <si>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</si>
  <si>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</si>
  <si>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</si>
  <si>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</si>
  <si>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</si>
  <si>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</si>
  <si>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</si>
  <si>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</si>
  <si>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</si>
  <si>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</si>
  <si>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</si>
  <si>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</si>
  <si>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</si>
  <si>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</si>
  <si>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</si>
  <si>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</si>
  <si>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</si>
  <si>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</si>
  <si>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</si>
  <si>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</si>
  <si>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</si>
  <si>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</si>
  <si>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</si>
  <si>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</si>
  <si>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</si>
  <si>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</si>
  <si>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</si>
  <si>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</si>
  <si>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</si>
  <si>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</si>
  <si>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</si>
  <si>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</si>
  <si>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</si>
  <si>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</si>
  <si>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</si>
  <si>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</si>
  <si>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</si>
  <si>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</si>
  <si>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</si>
  <si>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</si>
  <si>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</si>
  <si>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</si>
  <si>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</si>
  <si>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</si>
  <si>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</si>
  <si>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</si>
  <si>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</si>
  <si>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</si>
  <si>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</si>
  <si>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</si>
  <si>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</si>
  <si>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</si>
  <si>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</si>
  <si>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</si>
  <si>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</si>
  <si>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</si>
  <si>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</si>
  <si>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</si>
  <si>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</si>
  <si>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</si>
  <si>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</si>
  <si>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</si>
  <si>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</si>
  <si>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</si>
  <si>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</si>
  <si>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</si>
  <si>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</si>
  <si>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</si>
  <si>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</si>
  <si>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</si>
  <si>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</si>
  <si>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</si>
  <si>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</si>
  <si>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</si>
  <si>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</si>
  <si>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</si>
  <si>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</si>
  <si>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</si>
  <si>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</si>
  <si>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</si>
  <si>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</si>
  <si>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</si>
  <si>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</si>
  <si>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</si>
  <si>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</si>
  <si>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</si>
  <si>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</si>
  <si>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</si>
  <si>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</si>
  <si>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</si>
  <si>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</si>
  <si>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</si>
  <si>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</si>
  <si>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</si>
  <si>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</si>
  <si>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</si>
  <si>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</si>
  <si>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</si>
  <si>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</si>
  <si>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</si>
  <si>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</si>
  <si>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</si>
  <si>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</si>
  <si>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</si>
  <si>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</si>
  <si>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</si>
  <si>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</si>
  <si>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</si>
  <si>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</si>
  <si>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</si>
  <si>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</si>
  <si>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</si>
  <si>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</si>
  <si>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</si>
  <si>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</si>
  <si>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</si>
  <si>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</si>
  <si>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</si>
  <si>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</si>
  <si>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</si>
  <si>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</si>
  <si>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</si>
  <si>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</si>
  <si>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</si>
  <si>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</si>
  <si>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</si>
  <si>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</si>
  <si>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</si>
  <si>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</si>
  <si>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</si>
  <si>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</si>
  <si>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</si>
  <si>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</si>
  <si>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</si>
  <si>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</si>
  <si>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</si>
  <si>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</si>
  <si>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</si>
  <si>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</si>
  <si>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</si>
  <si>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</si>
  <si>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</si>
  <si>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</si>
  <si>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</si>
  <si>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山梨大学</t>
    <rPh sb="0" eb="4">
      <t>ヤマナシダイガク</t>
    </rPh>
    <phoneticPr fontId="1"/>
  </si>
  <si>
    <t>国立大学法人山梨大学</t>
    <rPh sb="0" eb="10">
      <t>コクリツダイガクホウジンヤマナシダイガク</t>
    </rPh>
    <phoneticPr fontId="1"/>
  </si>
  <si>
    <t>国立大学</t>
  </si>
  <si>
    <t>山梨県甲府市武田４丁目４番３７号</t>
    <rPh sb="0" eb="3">
      <t>ヤマナシケン</t>
    </rPh>
    <rPh sb="3" eb="6">
      <t>コウフシ</t>
    </rPh>
    <rPh sb="6" eb="8">
      <t>タケダ</t>
    </rPh>
    <rPh sb="9" eb="11">
      <t>チョウメ</t>
    </rPh>
    <rPh sb="12" eb="13">
      <t>バン</t>
    </rPh>
    <rPh sb="15" eb="16">
      <t>ゴウ</t>
    </rPh>
    <phoneticPr fontId="1"/>
  </si>
  <si>
    <t>数理・データサイエンス・ＡＩ基礎教育プログラム</t>
    <rPh sb="0" eb="2">
      <t>スウリ</t>
    </rPh>
    <rPh sb="14" eb="18">
      <t>キソキョウイク</t>
    </rPh>
    <phoneticPr fontId="1"/>
  </si>
  <si>
    <t>無</t>
  </si>
  <si>
    <t>中村和彦</t>
    <rPh sb="0" eb="4">
      <t>ナカムラカズヒコ</t>
    </rPh>
    <phoneticPr fontId="1"/>
  </si>
  <si>
    <t>理事（教学担当）・副学長</t>
    <rPh sb="0" eb="2">
      <t>リジ</t>
    </rPh>
    <rPh sb="3" eb="7">
      <t>キョウガクタントウ</t>
    </rPh>
    <rPh sb="9" eb="12">
      <t>フクガクチョウ</t>
    </rPh>
    <phoneticPr fontId="1"/>
  </si>
  <si>
    <t>塙　雅典</t>
    <rPh sb="0" eb="1">
      <t>ハナワ</t>
    </rPh>
    <rPh sb="2" eb="4">
      <t>マサノリ</t>
    </rPh>
    <phoneticPr fontId="1"/>
  </si>
  <si>
    <t>大学教育センター長・学長補佐</t>
    <rPh sb="0" eb="4">
      <t>ダイガクキョウイク</t>
    </rPh>
    <rPh sb="8" eb="9">
      <t>チョウ</t>
    </rPh>
    <rPh sb="10" eb="12">
      <t>ガクチョウ</t>
    </rPh>
    <rPh sb="12" eb="14">
      <t>ホサ</t>
    </rPh>
    <phoneticPr fontId="1"/>
  </si>
  <si>
    <t>鈴木一克</t>
    <rPh sb="0" eb="4">
      <t>スズキイチカツ</t>
    </rPh>
    <phoneticPr fontId="1"/>
  </si>
  <si>
    <t>情報・数理教育科目部門長</t>
    <rPh sb="0" eb="2">
      <t>ジョウホウ</t>
    </rPh>
    <rPh sb="3" eb="5">
      <t>スウリ</t>
    </rPh>
    <rPh sb="5" eb="7">
      <t>キョウイク</t>
    </rPh>
    <rPh sb="7" eb="9">
      <t>カモク</t>
    </rPh>
    <rPh sb="9" eb="12">
      <t>ブモンチョウ</t>
    </rPh>
    <phoneticPr fontId="1"/>
  </si>
  <si>
    <t>認定教育プログラム</t>
  </si>
  <si>
    <t>教学支援部教務企画課</t>
    <rPh sb="0" eb="5">
      <t>キョウガクシエンブ</t>
    </rPh>
    <rPh sb="5" eb="10">
      <t>キョウムキカクカ</t>
    </rPh>
    <phoneticPr fontId="1"/>
  </si>
  <si>
    <t>std-admin@yamanashi.ac.jp</t>
    <phoneticPr fontId="1"/>
  </si>
  <si>
    <t>佐藤康樹</t>
    <rPh sb="0" eb="4">
      <t>サトウヤスシジュ</t>
    </rPh>
    <phoneticPr fontId="1"/>
  </si>
  <si>
    <t>055-220-8041</t>
    <phoneticPr fontId="1"/>
  </si>
  <si>
    <t>学部・学科によって、修了要件は相違しない</t>
  </si>
  <si>
    <t>プログラムを構成する全学共通教育科目「情報・数理教育科目（下記1～13）」のうち、所属の学部・学科またはコース向けに開講されている必修授業1科目2単位を取得すること。
1. データサイエンス入門(CDS001A・B・C)（教育学部）、2. データサイエンス入門(CDS002A・B)（医学部医学科）、3. データサイエンス入門(CDS003)（医学部看護学科）、4. 情報処理及び実習(CDS004)（工学部機械工学科）、5. 確率・統計学(CDS005)（工学部メカトロニクス工学科）、6. データサイエンス入門(CDS006)（工学部電気電子工学科）、7. 確率統計及び演習I(CDS007)（工学部コンピュータ理工学科）、8. データサイエンス入門(CDS008)（工学部土木環境工学科）、9. データサイエンス入門(CDS009)（工学部応用化学科）、10. 確率・統計学(CDS010)（工学部先端材料理工学科）、11. データサイエンス入門(CDS011)（生命環境学部生命工学科・環境科学科）、12. データサイエンス入門(CDS012)（生命環境学部地域社会システム学科）、13. データサイエンス入門(CDS013)（生命環境学部地域食物科学科）</t>
    <rPh sb="44" eb="46">
      <t>ガクブ</t>
    </rPh>
    <rPh sb="55" eb="56">
      <t>ム</t>
    </rPh>
    <rPh sb="204" eb="209">
      <t>キカイコウガクカ</t>
    </rPh>
    <rPh sb="239" eb="242">
      <t>コウガクカ</t>
    </rPh>
    <rPh sb="269" eb="276">
      <t>デンキデンシコウガクカ</t>
    </rPh>
    <rPh sb="339" eb="341">
      <t>ドボク</t>
    </rPh>
    <rPh sb="341" eb="346">
      <t>カンキョウコウガクカ</t>
    </rPh>
    <rPh sb="373" eb="378">
      <t>オウヨウカガクカ</t>
    </rPh>
    <rPh sb="402" eb="404">
      <t>センタン</t>
    </rPh>
    <rPh sb="404" eb="406">
      <t>ザイリョウ</t>
    </rPh>
    <rPh sb="406" eb="410">
      <t>リコウガッカ</t>
    </rPh>
    <rPh sb="441" eb="443">
      <t>セイメイ</t>
    </rPh>
    <rPh sb="443" eb="446">
      <t>コウガッカ</t>
    </rPh>
    <phoneticPr fontId="1"/>
  </si>
  <si>
    <t>データサイエンス入門(CDS001A・B・C）</t>
    <phoneticPr fontId="1"/>
  </si>
  <si>
    <t>○</t>
  </si>
  <si>
    <t>一部開講</t>
  </si>
  <si>
    <t>データサイエンス入門(CDS008)</t>
    <phoneticPr fontId="1"/>
  </si>
  <si>
    <t>データサイエンス入門(CDS002A・B)</t>
    <phoneticPr fontId="1"/>
  </si>
  <si>
    <t>データサイエンス入門(CDS009)</t>
    <phoneticPr fontId="1"/>
  </si>
  <si>
    <t>データサイエンス入門(CDS003)</t>
    <phoneticPr fontId="1"/>
  </si>
  <si>
    <t>確率・統計学(CDS010)</t>
    <phoneticPr fontId="1"/>
  </si>
  <si>
    <t>情報処理及び実習(CDS004)</t>
    <phoneticPr fontId="1"/>
  </si>
  <si>
    <t>データサイエンス入門(CDS011)</t>
    <phoneticPr fontId="1"/>
  </si>
  <si>
    <t>確率・統計学(CDS005)</t>
    <phoneticPr fontId="1"/>
  </si>
  <si>
    <t>データサイエンス入門(CDS012)</t>
    <phoneticPr fontId="1"/>
  </si>
  <si>
    <t>データサイエンス入門(CDS006)</t>
    <phoneticPr fontId="1"/>
  </si>
  <si>
    <t>データサイエンス入門(CDS013)</t>
    <phoneticPr fontId="1"/>
  </si>
  <si>
    <t>確率統計及び演習I(CDS007)</t>
    <phoneticPr fontId="1"/>
  </si>
  <si>
    <t>4-1統計および数理基礎</t>
  </si>
  <si>
    <t>4‐3データ構造とプログラミング基礎</t>
  </si>
  <si>
    <t>4‐5テキスト解析</t>
  </si>
  <si>
    <t>・「CDS001A・B・C　データサイエンス入門」　データサイエンスとは何か、なぜデータサイエンスを学ぶのか（第1回）、AIと機械学習（第15回）
・「CDS002A・B　データサイエンス入門」　データサイエンスとは何か、なぜデータサイエンスを学ぶのか（第1回）、AIと機械学習（第13回）
・「CDS003　データサイエンス入門」　データサイエンスとは何か、なぜデータサイエンスを学ぶのか（第1回）、AIと機械学習（第15回）
・「CDS004　情報処理及び実習」　データ処理の演習その１（第8回）
・「CDS005　確率・統計学」　なぜデータサイエンスを学ぶのか，ビックデータ（第1回）、ビックデータと確率（第３回）
・「CDS006　データサイエンス入門」　なぜデータサイエンスを学ぶのか（第1回）、機械学習（AI）入門 その１（第13回）
・「CDS007　確率統計及び演習I」　なぜデータサイエンスを学ぶのか　(第1回)
・「CDS008　データサイエンス入門」　データサイエンス概論（第1回），AI概論（第15回）
・「CDS009　データサイエンス入門」　データサイエンス概論（第１回）, ビグデータ（第13回）
・「CDS010　確率・統計学」　データサイエンスと生活・社会変化の関わりを学ぶ。（第１回）
・「CDS011　データサイエンス入門」　データサイエンス概論（第1回,第2回）情報の可視化・共有とデータサイエンス(第13回,第14回）
・「CDS012　データサイエンス入門」　データサイエンス概論（第1回）、BDやAIに関する情報収集（第4回から第6回）
・「CDS013　データサイエンス入門」　データサイエンス概論（第1回）、BDやAIに関する情報収集（第4回から第6回）</t>
    <phoneticPr fontId="1"/>
  </si>
  <si>
    <t>・「CDS001A・B・C　データサイエンス入門」　データサイエンスとは何か、なぜデータサイエンスを学ぶのか（第1回）、AIと機械学習（第15回）
・「CDS002A・B　データサイエンス入門」　データサイエンスとは何か、なぜデータサイエンスを学ぶのか（第1回）、AIと機械学習（第13回）
・「CDS003　データサイエンス入門」　データサイエンスとは何か、なぜデータサイエンスを学ぶのか（第1回）、AIと機械学習（第15回）
・「CDS004　情報処理及び実習」　データ処理の演習その１（第8回）
・「CDS005　確率・統計学」　なぜデータサイエンスを学ぶのか，ビックデータ（第1回）、機械学習（AI）入門（第2回）
・「CDS006　データサイエンス入門」　なぜデータサイエンスを学ぶのか（第1回）、機械学習（AI）入門 その１（第13回）
・「CDS007　確率統計及び演習I」　なぜデータサイエンスを学ぶのか　(第1回)
・「CDS008　データサイエンス入門」　データサイエンス概論（第1回），AI概論（第15回）
・「CDS009　データサイエンス入門」　データサイエンス概論（第１回）, ビグデータ（第13回）
・「CDS010　確率・統計学」　データサイエンスと生活・社会変化の関わりを最新動向をもとに学ぶ。（第２回）
・「CDS011　データサイエンス入門」　データサイエンス概論（第1回,第2回）情報の可視化・共有とデータサイエンス(第13回,第14回）
・「CDS012　データサイエンス入門」　データサイエンス概論（第1回）、BDやAIに関する情報収集（第4回から第6回）
・「CDS013　データサイエンス入門」　データサイエンス概論（第1回）、BDやAIに関する情報収集（第4回から第6回）</t>
    <phoneticPr fontId="1"/>
  </si>
  <si>
    <t>・「CDS001A・B・C　データサイエンス入門」　オープンデータの取得と整理（第2回）
・「CDS002A・B　データサイエンス入門」　オープンデータの取得と整理（第2回）
・「CDS003　データサイエンス入門」　オープンデータの取得と整理（第2回）
・「CDS004　情報処理及び実習」　データ処理の演習（第8~13回）
・「CDS005　確率・統計学」　確率変数・確率分布・データ処理（第３～７回）
・「CDS006　データサイエンス入門」　なぜデータサイエンスを学ぶのか（第1回）、データの整理（第3回）
・「CDS007　確率統計及び演習I」　なぜデータサイエンスを学ぶのか　(第1回)、データの整理 (第2回)
・「CDS008　データサイエンス入門」　データの取得と整理（第2回）
・「CDS009　データサイエンス入門」　オープンデータの取得と整理（第4、9、11、12、13回）
・「CDS010　確率・統計学」　社会で活用されているデータを学ぶ。（第８回）
・「CDS011　データサイエンス入門」　データサイエンス概論（第1回）データサイエンス概論（第2回）データの選定・収集・整理～データ分析の基礎（第５～９回）情報の可視化・共有とデータサイエンス１,2 (第13回,14回）
・「CDS012　データサイエンス入門」　アンケートデータの要約（第2回）、BDやAIに関する情報収集（第4回から第6回）
・「CDS013　データサイエンス入門」　アンケートデータの要約（第2回）、BDやAIに関する情報収集（第4回から第6回）</t>
    <phoneticPr fontId="1"/>
  </si>
  <si>
    <t>・「CDS001A・B・C　データサイエンス入門」　オープンデータの取得と整理（第2回）
・「CDS002A・B　データサイエンス入門」　オープンデータの取得と整理（第2回）
・「CDS003　データサイエンス入門」　オープンデータの取得と整理（第2回）
・「CDS004　情報処理及び実習」　データ処理の演習（第8~13回）
・「CDS005　確率・統計学」　なぜデータサイエンスを学ぶのか（第1回）
・「CDS006　データサイエンス入門」　なぜデータサイエンスを学ぶのか（第1回）、機械学習（AI）入門 その１（第13回）、機械学習（AI）入門 その２（第14回）
・「CDS007　確率統計及び演習I」　なぜデータサイエンスを学ぶのか　(第1回)
・「CDS008　データサイエンス入門」　データの取得と整理（第2回）
・「CDS009　データサイエンス入門」　オープンデータの取得と整理（第4、9、11、12、13回）
・「CDS010　確率・統計学」　データの活用領域を学ぶ。（第９回）
・「CDS011　データサイエンス入門」　データ分析の基礎（第7-9回）基本的統計手法による分析・表現活用（第10-12回）情報の可視化・共有とデータサイエンス(第13回,第14回）
・「CDS012　データサイエンス入門」　アンケートデータの要約（第2回）、BDやAIに関する情報収集（第4回から第6回）
・「CDS013　データサイエンス入門」　アンケートデータの要約（第2回）、BDやAIに関する情報収集（第4回から第6回）</t>
    <phoneticPr fontId="1"/>
  </si>
  <si>
    <t>・「CDS001A・B・C　データサイエンス入門」　データサイエンスとは何か、なぜデータサイエンスを学ぶのか、データサイエンスの活用事例（第1回）
・「CDS002A・B　データサイエンス入門」　データサイエンスとは何か、なぜデータサイエンスを学ぶのか、データサイエンスの活用事例（第1回）
・「CDS003　データサイエンス入門」　データサイエンスとは何か、なぜデータサイエンスを学ぶのか、データサイエンスの活用事例（第1回）
・「CDS004　情報処理及び実習」　データ処理の演習（第8~13回）
・「CDS005　確率・統計学」　機械学習・AI入門（第２回）
・「CDS006　データサイエンス入門」　なぜデータサイエンスを学ぶのか（第1回）、機械学習（AI）入門 その１（第13回）、機械学習（AI）入門 その２（第14回）、機械学習（AI）入門 その３（第15回）
・「CDS007　確率統計及び演習I」　なぜデータサイエンスを学ぶのか　(第1回)、機械学習入門(第15回)
・「CDS008　データサイエンス入門」　データサイエンス概論（第1回）
・「CDS009　データサイエンス入門」　コンピュータの数値表現（第５回）, データの型＆配列演算（第６回）, 応用線形代数（第７回）, 応用数値解析：微分・積分・求根アルゴリズム（第１０回）
・「CDS010　確率・統計学」　データ利活用の技術について学ぶ。（第１２回）
・「CDS011　データサイエンス入門」　データ分析の基礎（第7-9回）基本的統計手法による分析・表現活用（第10-12回）情報の可視化・共有とデータサイエンス(第13回,第14回）
・「CDS012　データサイエンス入門」　BDやAIに関する情報収集（第4回から第6回）
・「CDS013　データサイエンス入門」　BDやAIに関する情報収集（第4回から第6回）</t>
    <phoneticPr fontId="1"/>
  </si>
  <si>
    <t>・「CDS001A・B・C　データサイエンス入門」　データサイエンスとは何か、なぜデータサイエンスを学ぶのか、データサイエンスの活用事例（第1回）
・「CDS002A・B　データサイエンス入門」　データサイエンスとは何か、なぜデータサイエンスを学ぶのか、データサイエンスの活用事例（第1回）
・「CDS003　データサイエンス入門」　データサイエンスとは何か、なぜデータサイエンスを学ぶのか、データサイエンスの活用事例（第1回）
・「CDS004　情報処理及び実習」　データ処理の演習（第8~13回）
・「CDS005　確率・統計学」　機械学習・AI入門（第２回）
・「CDS006　データサイエンス入門」　なぜデータサイエンスを学ぶのか（第1回）、機械学習（AI）入門 その１（第13回）、機械学習（AI）入門 その２（第14回）、機械学習（AI）入門 その３（第15回）
・「CDS007　確率統計及び演習I」　なぜデータサイエンスを学ぶのか　(第1回)、機械学習入門(第15回)
・「CDS008　データサイエンス入門」　データサイエンス概論（第1回）
・「CDS009　データサイエンス入門」　表形式データの処理(Excel 及びJuliaによる演習)(第4回、第９回)
・「CDS010　確率・統計学」　データ利活用の現場について学ぶ。（第１３回）
・「CDS011　データサイエンス入門」　データ分析の基礎（第7-9回）基本的統計手法による分析・表現活用（第10-12回）情報の可視化・共有とデータサイエンス(第13回,第14回）
・「CDS012　データサイエンス入門」　BDやAIに関する情報収集（第4回から第6回）
・「CDS013　データサイエンス入門」　BDやAIに関する情報収集（第4回から第6回）</t>
    <phoneticPr fontId="1"/>
  </si>
  <si>
    <t>・「CDS001A・B・C　データサイエンス入門」　データの取り扱いに関する注意、個人情報の流出や不正取引に関する問題、個人データ取り扱い上の注意点・倫理、各国における個人データ保護のための法整備（第1回）
・「CDS002A・B　データサイエンス入門」　データの取り扱いに関する注意、個人情報の流出や不正取引に関する問題、個人データ取り扱い上の注意点・倫理、各国における個人データ保護のための法整備（第1回）
・「CDS003　データサイエンス入門」　データの取り扱いに関する注意、個人情報の流出や不正取引に関する問題、個人データ取り扱い上の注意点・倫理、各国における個人データ保護のための法整備（第1回）
・「CDS004　情報処理及び実習」　情報セキュリティー（第1回）
・「CDS005　確率・統計学」　なぜデータサイエンスを学ぶのか（第1回）
・「CDS006　データサイエンス入門」　なぜデータサイエンスを学ぶのか（第1回）、データの整理（第3回）、テキストマイニングの基礎（第12回）
・「CDS007　確率統計及び演習I」　なぜデータサイエンスを学ぶのか　(第1回)、データの整理(第2回)、機械学習入門(第15回)
・「CDS008　データサイエンス入門」　データサイエンス概論（第1回），データの取得と整理（第2回）
・「CDS009　データサイエンス入門」　データサイエンス概論, 情報倫理（第一回）
・「CDS010　確率・統計学」　データを扱う・守る上での留意事項について学ぶ。（第１５回）
・「CDS011　データサイエンス入門」　情報リテラシー(第3回）情報倫理（第4回）データの選定・収集・整理(第5-6回）情報の可視化・共有とデータサイエンス(第13回,第14回）
・「CDS012　データサイエンス入門」　データサイエンス概論（第1回）、情報モラル教育・情報セキュリティと著作権問題（情報倫理）（第13回から第14回）
・「CDS013　データサイエンス入門」　データサイエンス概論（第1回）、情報モラル教育・情報セキュリティと著作権問題（情報倫理）（第13回から第14回）</t>
    <phoneticPr fontId="1"/>
  </si>
  <si>
    <t>・「CDS001A・B・C　データサイエンス入門」　データの取り扱いに関する注意、個人情報の流出や不正取引に関する問題、個人データ取り扱い上の注意点・倫理、各国における個人データ保護のための法整備（第1回）
・「CDS002　データサイエンス入門」　データの取り扱いに関する注意、個人情報の流出や不正取引に関する問題、個人データ取り扱い上の注意点・倫理、各国における個人データ保護のための法整備（第1回）
・「CDS003　データサイエンス入門」　データの取り扱いに関する注意、個人情報の流出や不正取引に関する問題、個人データ取り扱い上の注意点・倫理、各国における個人データ保護のための法整備（第1回）
・「CDS004　情報処理及び実習」　情報セキュリティー（第1回）
・「CDS005　確率・統計学」　なぜデータサイエンスを学ぶのか（第1回）
・「CDS006　データサイエンス入門」　なぜデータサイエンスを学ぶのか（第1回）、データの整理（第3回）
・「CDS007　確率統計及び演習I」　なぜデータサイエンスを学ぶのか　(第1回)、データの整理(第2回)
・「CDS008　データサイエンス入門」　データサイエンス概論（第1回），データの取得と整理（第2回）
・「CDS009　データサイエンス入門」　データサイエンス概論, 情報倫理（第一回）
・「CDS010　確率・統計学」　データを扱う・守る上での留意事項について学ぶ。（第１５回）
・「CDS011　データサイエンス入門」　情報リテラシー(第3回）情報倫理（第4回）データの選定・収集・整理(第5-6回）情報の可視化・共有とデータサイエンス(第13回,第14回）
・「CDS012　データサイエンス入門」　データサイエンス概論（第1回）、情報モラル教育・情報セキュリティと著作権問題（情報倫理）（第13回から第14回）
・「CDS013　データサイエンス入門」　データサイエンス概論（第1回）、情報モラル教育・情報セキュリティと著作権問題（情報倫理）（第13回から第14回）</t>
    <phoneticPr fontId="1"/>
  </si>
  <si>
    <t>・「CDS001A・B・C　データサイエンス入門」　統計グラフ、データの代表値、箱ひげ図、相関、回帰直線と決定係数、回帰分析（Excelによる演習）（第5～11回）
・「CDS002A・B　データサイエンス入門」　統計グラフ、データの代表値、箱ひげ図、相関、回帰直線と決定係数、回帰分析（Pythonによる演習）（第5～10回）
・「CDS003　データサイエンス入門」　統計グラフ、データの代表値、箱ひげ図、相関、回帰直線と決定係数、回帰分析（Excelによる演習）（第5～11回）
・「CDS004　情報処理及び実習」　基本統計量，検定統計量，無相関検定，回帰重分析，近似，外挿，判別分析（Excelによる演習）（第8~13回）
・「CDS005　確率・統計学」　統計グラフ（第３回）データ処理（第７回）回帰分析（第１４回）
・「CDS006　データサイエンス入門」　データの整理（第3回）、2つのデータの関係（第4回）、推測統計入門（第10回）、仮説検定（第11回）
・「CDS007　確率統計及び演習I」　データの整理(第2回)、相関（第3回、第4回)
・「CDS008　データサイエンス入門」　データの統計処理と可視化（第6回～第10回）
・「CDS009　データサイエンス入門」　量・質的データ，多次元・時系列データ，統計代表値，平均値，中央値，最頻値，分散，不偏分散、標準偏差，ヒストグラム，相関係数 (Julia　による演習) (第11~13回)
・「CDS010　確率・統計学」　母集団と標本について学ぶ。（第９回）、２標本データの検定、相関を学ぶ。（第１３回）、回帰分析等機械学習の基礎を学ぶ。（第１５回）
・「CDS011　データサイエンス入門」　データ分析の基礎（第7-9回）基本的統計手法による分析・表現活用（第10-12回）
・「CDS012　データサイエンス入門」　データ処理・グラフ作成・相関分析（表計算ソフトの演習）（第7回から第10回）
・「CDS013　データサイエンス入門」　データ処理・グラフ作成・相関分析（表計算ソフトの演習）（第7回から第10回）</t>
    <phoneticPr fontId="1"/>
  </si>
  <si>
    <t>・「CDS001A・B・C　データサイエンス入門」　統計グラフ、データの代表値、箱ひげ図、相関、回帰直線と決定係数、回帰分析（Excelによる演習）（第5～11回）
・「CDS002A・B　データサイエンス入門」　統計グラフ、データの代表値、箱ひげ図、相関、回帰直線と決定係数、回帰分析（Pythonによる演習）（第5～10回）
・「CDS003　データサイエンス入門」　統計グラフ、データの代表値、箱ひげ図、相関、回帰直線と決定係数、回帰分析（Excelによる演習）（第5～11回）
・「CDS004　情報処理及び実習」　基本統計量，検定統計量，無相関検定，回帰重分析，近似，外挿，判別分析（Excelによる演習）（第8~13回）
・「CDS005　確率・統計学」　確率変数・確率分布（第３～６回）
・「CDS006　データサイエンス入門」　データの整理（第3回）、2つのデータの関係（第4回）、推測統計入門（第10回）、仮説検定（第11回）
・「CDS007　確率統計及び演習I」　データの整理(第2回)、相関（第3回、第4回)
・「CDS008　データサイエンス入門」　データの統計処理と可視化（第6回～第10回）
・「CDS009　データサイエンス入門」　乱数列，確率とモンテカルロ法, 正規分布，確率分布関数, 回帰分析，最小二乗法 (Juliaによる演習)(第11~13回)
・「CDS010　確率・統計学」　確率変数、確率分布、累積確率分布をまなぶ。(第４回)、母集団と標本について学ぶ。（第９回）、２標本データの検定、相関を学ぶ。（第１３回）、回帰分析等機械学習の基礎を学ぶ。（第１５回）
・「CDS011　データサイエンス入門」　データ分析の基礎（第7-9回）基本的統計手法による分析・表現活用（第10-12回）
・「CDS012　データサイエンス入門」　データ処理・グラフ作成・相関分析（表計算ソフトの演習）（第7回から第10回）
・「CDS013　データサイエンス入門」　データ処理・グラフ作成・相関分析（表計算ソフトの演習）（第7回から第10回）</t>
    <phoneticPr fontId="1"/>
  </si>
  <si>
    <t>・「CDS001A・B・C　データサイエンス入門」　統計グラフ、データの代表値、箱ひげ図、相関、回帰直線と決定係数、回帰分析（Excelによる演習）（第5～11回）
・「CDS002A・B　データサイエンス入門」　統計グラフ、データの代表値、箱ひげ図、相関、回帰直線と決定係数、回帰分析（Pythonによる演習）（第5～10回）
・「CDS003　データサイエンス入門」　統計グラフ、データの代表値、箱ひげ図、相関、回帰直線と決定係数、回帰分析（Excelによる演習）（第5～11回）
・「CDS004　情報処理及び実習」　基本統計量，検定統計量，無相関検定，回帰重分析，近似，外挿，判別分析（Excelによる演習）（第8~13回）
・「CDS005　確率・統計学」　統計学推定（第９～１０回）・統計学検定（第１１～１３回）
・「CDS006　データサイエンス入門」　データの整理（第3回）、2つのデータの関係（第4回）、推測統計入門（第10回）、仮説検定（第11回）
・「CDS007　確率統計及び演習I」　データの整理(第2回)、相関（第3回、第4回)
・「CDS008　データサイエンス入門」　データの統計処理と可視化（第6回～第10回）
・「CDS009　データサイエンス入門」　データサイエンス入門
・「CDS010　確率・統計学」　確率変数、確率分布、累積確率分布をまなぶ。(第４回)、母集団と標本について学ぶ。（第９回）、２標本データの検定、相関を学ぶ。（第１３回）、回帰分析等機械学習の基礎を学ぶ。（第１５回）
・「CDS011　データサイエンス入門」　データ分析の基礎（第7-9回）基本的統計手法による分析・表現活用（第10-12回）
・「CDS012　データサイエンス入門」　データ処理・グラフ作成・相関分析（表計算ソフトの演習）（第7回から第10回）
・「CDS013　データサイエンス入門」　データ処理・グラフ作成・相関分析（表計算ソフトの演習）（第7回から第10回）</t>
    <phoneticPr fontId="1"/>
  </si>
  <si>
    <t>数理・データサイエンスについての初歩的事項を学び、データ分析の知識およびデータ処理技能を育成する。</t>
    <phoneticPr fontId="1"/>
  </si>
  <si>
    <t>https://www.che.yamanashi.ac.jp/mdsaiprogram/</t>
    <phoneticPr fontId="1"/>
  </si>
  <si>
    <t>教育学部</t>
    <rPh sb="0" eb="4">
      <t>キョウイクガクブ</t>
    </rPh>
    <phoneticPr fontId="1"/>
  </si>
  <si>
    <t>工学部</t>
    <rPh sb="0" eb="3">
      <t>コウガクブ</t>
    </rPh>
    <phoneticPr fontId="1"/>
  </si>
  <si>
    <t>生命環境学部</t>
    <rPh sb="0" eb="6">
      <t>セイメイカンキョウガクブ</t>
    </rPh>
    <phoneticPr fontId="1"/>
  </si>
  <si>
    <t>医学部</t>
    <rPh sb="0" eb="3">
      <t>イガクブ</t>
    </rPh>
    <phoneticPr fontId="1"/>
  </si>
  <si>
    <t>全学組織である大学教育センターは、山梨大学の教育方法の改善や教育の質保証のための取り組みの推進を主任務としている。当センター内には、4つの部門が設置されており、教育状況の調査から、教育方法の企画立案、教育支援ICTシステムの企画立案、学内教員FD 研修までを、本学教育国際化推進機構内の他のセンターと連携して取り組んでいる。
数理・データサイエンス・AI教育には、当センターの教育ICT 部門とFD部門を中心として全学的に取り組んでいる。教育ICT部門には、数理・データサイエンス・AI教育を担当する専任特任准教授を配置しており、授業設計、教材開発、及び授業を行っている。FD部門には、他大学との連携強化のために、数理・データサイエンス・AI教育連携コーディネータを担当する専任特任教員を配置し、教育・教材の学外への普及や学外連携機関との合同セミナー、合同FD、教材研究会等の企画・運営を行っている。</t>
    <rPh sb="280" eb="281">
      <t>オコナ</t>
    </rPh>
    <phoneticPr fontId="1"/>
  </si>
  <si>
    <t>教育国際化推進機構大学教育センター
センター長　塙　雅典（工学部　教授）
副センター長　森澤　正之（工学部　教授）
センター専任教員　教授　日永　龍彦
センター専任教員　特任准教授　鈴木　一克
センター専任教員　特任助教　佐藤　友香</t>
    <phoneticPr fontId="1"/>
  </si>
  <si>
    <r>
      <t>本教育プログラムを構成している授業科目は令和2年度以降の全学部・学科入学者に対して必修科目としているため、履修者数・履修率は年度が進むにしたがって増加し、令和7年度末に収容定員の100％に達する計画としている。
令和3年度以降の履修者数・履修率の目標は以下の通りである。
令和3年度末実績　1600名 （45%)
令和4年度末予定　2475名 (70%)
令和5年度末予定　3300名 (93%)　※１
令和6年度末予定　3425名 (97%)　※２
令和7年度末予定　3550名 (100%)　※３
※１　令和2年度入学者が4年生になる年であり、</t>
    </r>
    <r>
      <rPr>
        <sz val="12"/>
        <rFont val="ＭＳ Ｐゴシック"/>
        <family val="3"/>
        <charset val="128"/>
      </rPr>
      <t>6</t>
    </r>
    <r>
      <rPr>
        <sz val="12"/>
        <rFont val="ＭＳ Ｐゴシック"/>
        <family val="3"/>
        <charset val="128"/>
        <scheme val="minor"/>
      </rPr>
      <t xml:space="preserve">年課程の医学部医学科(125名／年）×2学年（5年時、6年時）以外の4年課程の全卒業生がプログラムを修了する年である
※２、※３　年次進行により6年課程の医学部医学科卒業生がプログラムを修了するため
</t>
    </r>
    <rPh sb="77" eb="79">
      <t>レイワ</t>
    </rPh>
    <rPh sb="80" eb="82">
      <t>ネンド</t>
    </rPh>
    <rPh sb="82" eb="83">
      <t>マツ</t>
    </rPh>
    <rPh sb="84" eb="88">
      <t>シュウヨウテイイン</t>
    </rPh>
    <rPh sb="94" eb="95">
      <t>タッ</t>
    </rPh>
    <rPh sb="97" eb="99">
      <t>ケイカク</t>
    </rPh>
    <rPh sb="107" eb="109">
      <t>レイワ</t>
    </rPh>
    <rPh sb="110" eb="112">
      <t>ネンド</t>
    </rPh>
    <rPh sb="112" eb="114">
      <t>イコウ</t>
    </rPh>
    <rPh sb="115" eb="119">
      <t>リシュウシャスウ</t>
    </rPh>
    <rPh sb="120" eb="123">
      <t>リシュウリツ</t>
    </rPh>
    <rPh sb="124" eb="126">
      <t>モクヒョウ</t>
    </rPh>
    <rPh sb="127" eb="129">
      <t>イカ</t>
    </rPh>
    <rPh sb="130" eb="131">
      <t>トオ</t>
    </rPh>
    <rPh sb="137" eb="139">
      <t>レイワ</t>
    </rPh>
    <rPh sb="140" eb="142">
      <t>ネンド</t>
    </rPh>
    <rPh sb="142" eb="143">
      <t>マツ</t>
    </rPh>
    <rPh sb="143" eb="145">
      <t>ジッセキ</t>
    </rPh>
    <rPh sb="150" eb="151">
      <t>メイ</t>
    </rPh>
    <rPh sb="158" eb="160">
      <t>レイワ</t>
    </rPh>
    <rPh sb="161" eb="163">
      <t>ネンド</t>
    </rPh>
    <rPh sb="163" eb="164">
      <t>マツ</t>
    </rPh>
    <rPh sb="164" eb="166">
      <t>ヨテイ</t>
    </rPh>
    <rPh sb="171" eb="172">
      <t>メイ</t>
    </rPh>
    <rPh sb="179" eb="181">
      <t>レイワ</t>
    </rPh>
    <rPh sb="182" eb="184">
      <t>ネンド</t>
    </rPh>
    <rPh sb="192" eb="193">
      <t>メイ</t>
    </rPh>
    <rPh sb="203" eb="205">
      <t>レイワ</t>
    </rPh>
    <rPh sb="206" eb="208">
      <t>ネンド</t>
    </rPh>
    <rPh sb="216" eb="217">
      <t>メイ</t>
    </rPh>
    <rPh sb="227" eb="229">
      <t>レイワ</t>
    </rPh>
    <rPh sb="230" eb="232">
      <t>ネンド</t>
    </rPh>
    <rPh sb="240" eb="241">
      <t>メイ</t>
    </rPh>
    <rPh sb="277" eb="278">
      <t>ネン</t>
    </rPh>
    <rPh sb="278" eb="280">
      <t>カテイ</t>
    </rPh>
    <rPh sb="291" eb="292">
      <t>メイ</t>
    </rPh>
    <rPh sb="293" eb="294">
      <t>ネン</t>
    </rPh>
    <rPh sb="297" eb="299">
      <t>ガクネン</t>
    </rPh>
    <rPh sb="301" eb="302">
      <t>ネン</t>
    </rPh>
    <rPh sb="302" eb="303">
      <t>ジ</t>
    </rPh>
    <rPh sb="305" eb="306">
      <t>ネン</t>
    </rPh>
    <rPh sb="306" eb="307">
      <t>ジ</t>
    </rPh>
    <rPh sb="308" eb="310">
      <t>イガイ</t>
    </rPh>
    <rPh sb="312" eb="313">
      <t>ネン</t>
    </rPh>
    <rPh sb="313" eb="315">
      <t>カテイ</t>
    </rPh>
    <rPh sb="316" eb="320">
      <t>ゼンソツギョウセイ</t>
    </rPh>
    <rPh sb="331" eb="332">
      <t>トシ</t>
    </rPh>
    <rPh sb="342" eb="344">
      <t>ネンジ</t>
    </rPh>
    <rPh sb="344" eb="346">
      <t>シンコウ</t>
    </rPh>
    <rPh sb="351" eb="353">
      <t>カテイ</t>
    </rPh>
    <rPh sb="360" eb="363">
      <t>ソツギョウセイ</t>
    </rPh>
    <rPh sb="370" eb="372">
      <t>シュウリョウ</t>
    </rPh>
    <phoneticPr fontId="1"/>
  </si>
  <si>
    <t>本教育プログラムは令和2年度以降に入学した全学部・学科の学生にとって必修の科目であるため、それらに該当する全学生が必ず受講する計画となっており、体制・取り組みはこの実現のために適切に構成されている。</t>
    <rPh sb="0" eb="1">
      <t>ホン</t>
    </rPh>
    <rPh sb="1" eb="3">
      <t>キョウイク</t>
    </rPh>
    <rPh sb="9" eb="11">
      <t>レイワ</t>
    </rPh>
    <rPh sb="12" eb="16">
      <t>ネンドイコウ</t>
    </rPh>
    <rPh sb="17" eb="19">
      <t>ニュウガク</t>
    </rPh>
    <rPh sb="21" eb="24">
      <t>ゼンガクブ</t>
    </rPh>
    <rPh sb="25" eb="27">
      <t>ガッカ</t>
    </rPh>
    <rPh sb="28" eb="30">
      <t>ガクセイ</t>
    </rPh>
    <rPh sb="34" eb="36">
      <t>ヒッシュウ</t>
    </rPh>
    <rPh sb="37" eb="39">
      <t>カモク</t>
    </rPh>
    <rPh sb="49" eb="51">
      <t>ガイトウ</t>
    </rPh>
    <rPh sb="53" eb="56">
      <t>ゼンガクセイ</t>
    </rPh>
    <rPh sb="57" eb="58">
      <t>カナラ</t>
    </rPh>
    <rPh sb="59" eb="61">
      <t>ジュコウ</t>
    </rPh>
    <rPh sb="63" eb="65">
      <t>ケイカク</t>
    </rPh>
    <rPh sb="72" eb="74">
      <t>タイセイ</t>
    </rPh>
    <rPh sb="75" eb="76">
      <t>ト</t>
    </rPh>
    <rPh sb="77" eb="78">
      <t>ク</t>
    </rPh>
    <rPh sb="82" eb="84">
      <t>ジツゲン</t>
    </rPh>
    <rPh sb="88" eb="90">
      <t>テキセツ</t>
    </rPh>
    <rPh sb="91" eb="93">
      <t>コウセイ</t>
    </rPh>
    <phoneticPr fontId="1"/>
  </si>
  <si>
    <t>全学共通教育科目の必修科目として開講されるため、入学時の全学共通教育科目ガイダンスで周知されるとともに、履修申告時に必ず履修登録が求められる。</t>
    <rPh sb="11" eb="13">
      <t>カモク</t>
    </rPh>
    <rPh sb="16" eb="18">
      <t>カイコウ</t>
    </rPh>
    <rPh sb="30" eb="32">
      <t>キョウツウ</t>
    </rPh>
    <rPh sb="32" eb="34">
      <t>キョウイク</t>
    </rPh>
    <rPh sb="34" eb="36">
      <t>カモク</t>
    </rPh>
    <rPh sb="42" eb="44">
      <t>シュウチ</t>
    </rPh>
    <rPh sb="52" eb="54">
      <t>リシュウ</t>
    </rPh>
    <rPh sb="54" eb="56">
      <t>シンコク</t>
    </rPh>
    <rPh sb="56" eb="57">
      <t>ジ</t>
    </rPh>
    <rPh sb="58" eb="59">
      <t>カナラ</t>
    </rPh>
    <rPh sb="60" eb="62">
      <t>リシュウ</t>
    </rPh>
    <rPh sb="65" eb="66">
      <t>モト</t>
    </rPh>
    <phoneticPr fontId="1"/>
  </si>
  <si>
    <t>授業担当教員が授業時間内に講義、パソコン演習、理解度確認テスト、課題に対する添削・フィードバックなどの学習指導および質問の受け付けを行う。一部の科目のパソコン演習では学生アシスタントが教員を補助している。また、一部の科目では授業時間外にもオンデマンド形式での教材提供、学習管理システム上での質問の受け付け、対面での学習相談・質問窓口開設を行っている。</t>
    <rPh sb="0" eb="6">
      <t>ジュギョウタントウキョウイン</t>
    </rPh>
    <rPh sb="7" eb="12">
      <t>ジュギョウジカンナイ</t>
    </rPh>
    <rPh sb="13" eb="15">
      <t>コウギ</t>
    </rPh>
    <rPh sb="20" eb="22">
      <t>エンシュウ</t>
    </rPh>
    <rPh sb="23" eb="28">
      <t>リカイドカクニン</t>
    </rPh>
    <rPh sb="32" eb="34">
      <t>カダイ</t>
    </rPh>
    <rPh sb="35" eb="36">
      <t>タイ</t>
    </rPh>
    <rPh sb="38" eb="40">
      <t>テンサク</t>
    </rPh>
    <rPh sb="51" eb="55">
      <t>ガクシュウシドウ</t>
    </rPh>
    <rPh sb="58" eb="60">
      <t>シツモン</t>
    </rPh>
    <rPh sb="61" eb="62">
      <t>ウ</t>
    </rPh>
    <rPh sb="63" eb="64">
      <t>ツ</t>
    </rPh>
    <rPh sb="66" eb="67">
      <t>オコナ</t>
    </rPh>
    <rPh sb="69" eb="71">
      <t>イチブ</t>
    </rPh>
    <rPh sb="72" eb="74">
      <t>カモク</t>
    </rPh>
    <rPh sb="79" eb="81">
      <t>エンシュウ</t>
    </rPh>
    <rPh sb="83" eb="85">
      <t>ガクセイ</t>
    </rPh>
    <rPh sb="92" eb="94">
      <t>キョウイン</t>
    </rPh>
    <rPh sb="95" eb="97">
      <t>ホジョ</t>
    </rPh>
    <rPh sb="125" eb="127">
      <t>ケイシキ</t>
    </rPh>
    <rPh sb="134" eb="138">
      <t>ガクシュウカンリ</t>
    </rPh>
    <rPh sb="142" eb="143">
      <t>ジョウ</t>
    </rPh>
    <rPh sb="145" eb="147">
      <t>シツモン</t>
    </rPh>
    <rPh sb="148" eb="149">
      <t>ウ</t>
    </rPh>
    <rPh sb="150" eb="151">
      <t>ツ</t>
    </rPh>
    <rPh sb="153" eb="155">
      <t>タイメン</t>
    </rPh>
    <rPh sb="166" eb="168">
      <t>カイセツ</t>
    </rPh>
    <rPh sb="169" eb="170">
      <t>オコナ</t>
    </rPh>
    <phoneticPr fontId="1"/>
  </si>
  <si>
    <t>前項で挙げた単位修得者における成績分布にみるように、良好な成績を収めている学生が多い。学生は高校の現行の課程では履修していない行列などの数理的な項目を文理を問わず新たに学ぶ機会を得、その理解度を問題演習などにより客観的に評価された上で単位を修得している。e-statなどの実社会から得られたデータの可視化や要約などを行う基本的な演習も含まれており、ExcelまたはMATLABやPythonなどの各種プログラミング言語のデータ分析への基本的な応用スキルも修得している。</t>
    <rPh sb="0" eb="2">
      <t>ゼンコウ</t>
    </rPh>
    <rPh sb="3" eb="4">
      <t>ア</t>
    </rPh>
    <rPh sb="37" eb="39">
      <t>ガクセイ</t>
    </rPh>
    <rPh sb="40" eb="41">
      <t>オオ</t>
    </rPh>
    <rPh sb="43" eb="45">
      <t>ガクセイ</t>
    </rPh>
    <rPh sb="46" eb="48">
      <t>コウコウ</t>
    </rPh>
    <rPh sb="56" eb="58">
      <t>リシュウ</t>
    </rPh>
    <rPh sb="63" eb="65">
      <t>ギョウレツ</t>
    </rPh>
    <rPh sb="68" eb="71">
      <t>スウリテキ</t>
    </rPh>
    <rPh sb="72" eb="74">
      <t>コウモク</t>
    </rPh>
    <rPh sb="75" eb="77">
      <t>ブンリ</t>
    </rPh>
    <rPh sb="78" eb="79">
      <t>ト</t>
    </rPh>
    <rPh sb="81" eb="82">
      <t>アラ</t>
    </rPh>
    <rPh sb="84" eb="85">
      <t>マナ</t>
    </rPh>
    <rPh sb="86" eb="88">
      <t>キカイ</t>
    </rPh>
    <rPh sb="89" eb="90">
      <t>エ</t>
    </rPh>
    <rPh sb="93" eb="96">
      <t>リカイド</t>
    </rPh>
    <rPh sb="97" eb="99">
      <t>モンダイ</t>
    </rPh>
    <rPh sb="99" eb="101">
      <t>エンシュウ</t>
    </rPh>
    <rPh sb="106" eb="109">
      <t>キャッカンテキ</t>
    </rPh>
    <rPh sb="110" eb="112">
      <t>ヒョウカ</t>
    </rPh>
    <rPh sb="115" eb="116">
      <t>ウエ</t>
    </rPh>
    <rPh sb="117" eb="119">
      <t>タンイ</t>
    </rPh>
    <rPh sb="136" eb="139">
      <t>ジツシャカイ</t>
    </rPh>
    <rPh sb="141" eb="142">
      <t>エ</t>
    </rPh>
    <rPh sb="149" eb="152">
      <t>カシカ</t>
    </rPh>
    <rPh sb="153" eb="155">
      <t>ヨウヤク</t>
    </rPh>
    <rPh sb="158" eb="159">
      <t>オコナ</t>
    </rPh>
    <rPh sb="164" eb="166">
      <t>エンシュウ</t>
    </rPh>
    <rPh sb="167" eb="168">
      <t>フク</t>
    </rPh>
    <rPh sb="198" eb="200">
      <t>カクシュ</t>
    </rPh>
    <rPh sb="207" eb="209">
      <t>ゲンゴ</t>
    </rPh>
    <rPh sb="213" eb="215">
      <t>ブンセキ</t>
    </rPh>
    <rPh sb="217" eb="220">
      <t>キホンテキ</t>
    </rPh>
    <rPh sb="221" eb="223">
      <t>オウヨウ</t>
    </rPh>
    <phoneticPr fontId="1"/>
  </si>
  <si>
    <t xml:space="preserve">授業評価アンケートでは、「エクセルを使ったさまざまなデータ処理の方法やグラフの作り方を学ぶことができた。統計について学ぶこともでき身になった」「演習中心の授業課題が多かったため身についた」など、PCソフトの演習によりスキルを身に付けることができたとの回答が見られた。数理・統計的な内容に関しても、「式の導出方法の説明が分かりやすかった」「演習問題が多かったので、問題の解き方をしっかりと理解することができた」などの記述から、学生は教員の説明や教材により内容理解に努め、達成できたことが窺える。
</t>
    <rPh sb="99" eb="101">
      <t>エンシュウ</t>
    </rPh>
    <rPh sb="108" eb="109">
      <t>ミ</t>
    </rPh>
    <rPh sb="110" eb="111">
      <t>ツ</t>
    </rPh>
    <rPh sb="121" eb="123">
      <t>カイトウ</t>
    </rPh>
    <rPh sb="124" eb="125">
      <t>ミ</t>
    </rPh>
    <rPh sb="129" eb="131">
      <t>スウリ</t>
    </rPh>
    <rPh sb="132" eb="135">
      <t>トウケイテキ</t>
    </rPh>
    <rPh sb="136" eb="138">
      <t>ナイヨウ</t>
    </rPh>
    <rPh sb="139" eb="140">
      <t>カン</t>
    </rPh>
    <rPh sb="203" eb="205">
      <t>キジュツ</t>
    </rPh>
    <rPh sb="208" eb="210">
      <t>ガクセイ</t>
    </rPh>
    <rPh sb="211" eb="213">
      <t>キョウイン</t>
    </rPh>
    <rPh sb="214" eb="216">
      <t>セツメイ</t>
    </rPh>
    <rPh sb="217" eb="219">
      <t>キョウザイ</t>
    </rPh>
    <rPh sb="222" eb="224">
      <t>ナイヨウ</t>
    </rPh>
    <rPh sb="224" eb="226">
      <t>リカイ</t>
    </rPh>
    <rPh sb="227" eb="228">
      <t>ツト</t>
    </rPh>
    <phoneticPr fontId="1"/>
  </si>
  <si>
    <t>本学の授業アンケートの項目には他の学生への推奨に関して尋ねる設問はないが、必修科目であることから学生間の推奨の有無にかかわらず必ず履修される。一方授業評価アンケートの自由記述回答欄には「Excelなどの使い方を詳しく学べ、データサイエンスを理解しやすく説明してくれた」などのコメントが見られ、学生は実社会でもよく利用される表計算ソフトやデータサイエンスの知識・スキルをわかりやすく身に付けられる授業を歓迎していることがわかる。</t>
    <rPh sb="27" eb="28">
      <t>タズ</t>
    </rPh>
    <rPh sb="37" eb="41">
      <t>ヒッシュウカモク</t>
    </rPh>
    <rPh sb="48" eb="50">
      <t>ガクセイ</t>
    </rPh>
    <rPh sb="50" eb="51">
      <t>アイダ</t>
    </rPh>
    <rPh sb="52" eb="54">
      <t>スイショウ</t>
    </rPh>
    <rPh sb="55" eb="57">
      <t>ウム</t>
    </rPh>
    <rPh sb="63" eb="64">
      <t>カナラ</t>
    </rPh>
    <rPh sb="73" eb="75">
      <t>ジュギョウ</t>
    </rPh>
    <rPh sb="75" eb="77">
      <t>ヒョウカ</t>
    </rPh>
    <rPh sb="83" eb="87">
      <t>ジユウキジュツ</t>
    </rPh>
    <rPh sb="142" eb="143">
      <t>ミ</t>
    </rPh>
    <rPh sb="146" eb="148">
      <t>ガクセイ</t>
    </rPh>
    <rPh sb="149" eb="152">
      <t>ジツシャカイ</t>
    </rPh>
    <rPh sb="156" eb="158">
      <t>リヨウ</t>
    </rPh>
    <rPh sb="161" eb="164">
      <t>ヒョウケイサン</t>
    </rPh>
    <rPh sb="177" eb="179">
      <t>チシキ</t>
    </rPh>
    <rPh sb="190" eb="191">
      <t>ミ</t>
    </rPh>
    <rPh sb="192" eb="193">
      <t>ツ</t>
    </rPh>
    <rPh sb="197" eb="199">
      <t>ジュギョウ</t>
    </rPh>
    <rPh sb="200" eb="202">
      <t>カンゲイ</t>
    </rPh>
    <phoneticPr fontId="1"/>
  </si>
  <si>
    <t>全学共通教育科目における必修科目として位置付けて新設したことより、学年ごとの履修対象学生に対する履修登録者の比率は令和2年度の開始から100%である。収容定員に対する履修登録者の比率は年次進行に伴って令和7年には100％となる予定である。比率にすれば僅かだが不合格者(R2年度1.3%)や未受験者(R2年度0.8%)の低減を目指し、数理系に苦手意識の強い学生でも学習意欲を維持して取り組みやすい教材の開発・改良を継続して進めている。</t>
    <rPh sb="12" eb="16">
      <t>ヒッシュウカモク</t>
    </rPh>
    <rPh sb="19" eb="22">
      <t>イチヅ</t>
    </rPh>
    <rPh sb="24" eb="26">
      <t>シンセツ</t>
    </rPh>
    <rPh sb="33" eb="35">
      <t>ガクネン</t>
    </rPh>
    <rPh sb="38" eb="40">
      <t>リシュウ</t>
    </rPh>
    <rPh sb="40" eb="42">
      <t>タイショウ</t>
    </rPh>
    <rPh sb="42" eb="44">
      <t>ガクセイ</t>
    </rPh>
    <rPh sb="45" eb="46">
      <t>タイ</t>
    </rPh>
    <rPh sb="50" eb="52">
      <t>トウロク</t>
    </rPh>
    <rPh sb="57" eb="59">
      <t>レイワ</t>
    </rPh>
    <rPh sb="60" eb="62">
      <t>ネンド</t>
    </rPh>
    <rPh sb="75" eb="79">
      <t>シュウヨウテイイン</t>
    </rPh>
    <rPh sb="80" eb="81">
      <t>タイ</t>
    </rPh>
    <rPh sb="83" eb="87">
      <t>リシュウトウロク</t>
    </rPh>
    <rPh sb="87" eb="88">
      <t>シャ</t>
    </rPh>
    <rPh sb="89" eb="91">
      <t>ヒリツ</t>
    </rPh>
    <rPh sb="92" eb="94">
      <t>ネンジ</t>
    </rPh>
    <rPh sb="94" eb="96">
      <t>シンコウ</t>
    </rPh>
    <rPh sb="97" eb="98">
      <t>トモナ</t>
    </rPh>
    <rPh sb="100" eb="102">
      <t>レイワ</t>
    </rPh>
    <rPh sb="103" eb="104">
      <t>ネン</t>
    </rPh>
    <rPh sb="113" eb="115">
      <t>ヨテイ</t>
    </rPh>
    <rPh sb="119" eb="121">
      <t>ヒリツ</t>
    </rPh>
    <rPh sb="125" eb="126">
      <t>ワズ</t>
    </rPh>
    <rPh sb="136" eb="138">
      <t>ネンド</t>
    </rPh>
    <rPh sb="151" eb="153">
      <t>ネンド</t>
    </rPh>
    <rPh sb="159" eb="161">
      <t>テイゲン</t>
    </rPh>
    <rPh sb="162" eb="164">
      <t>メザ</t>
    </rPh>
    <rPh sb="166" eb="169">
      <t>スウリケイ</t>
    </rPh>
    <rPh sb="170" eb="174">
      <t>ニガテイシキ</t>
    </rPh>
    <rPh sb="175" eb="176">
      <t>ツヨ</t>
    </rPh>
    <rPh sb="177" eb="179">
      <t>ガクセイ</t>
    </rPh>
    <rPh sb="181" eb="185">
      <t>ガクシュウイヨク</t>
    </rPh>
    <rPh sb="186" eb="188">
      <t>イジ</t>
    </rPh>
    <rPh sb="190" eb="191">
      <t>ト</t>
    </rPh>
    <rPh sb="192" eb="193">
      <t>ク</t>
    </rPh>
    <rPh sb="197" eb="199">
      <t>キョウザイ</t>
    </rPh>
    <rPh sb="200" eb="202">
      <t>カイハツ</t>
    </rPh>
    <rPh sb="203" eb="205">
      <t>カイリョウ</t>
    </rPh>
    <rPh sb="206" eb="208">
      <t>ケイゾク</t>
    </rPh>
    <rPh sb="210" eb="211">
      <t>スス</t>
    </rPh>
    <phoneticPr fontId="1"/>
  </si>
  <si>
    <t>令和2年度以降入学者を対象としており、対象学生は全て在学中であり申請時点ではまだ修了者（卒業生）はいない。
一方、令和3年8月に本学大学教育センターと地域人材養成センターが共同開講を企画した社会人向け初級データサイエンス講座では告知後速やかに講座定員が充足したことから、山梨県内においてもデータサイエンスに関する産業界の期待が高いことが窺われる。この講座は学生に教授している内容も含んでおり、参加者からも好評であった。本学のプログラム修了者が卒業した暁には、在学時に得た知識を活用できる地域の企業環境づくりも併せて進めている。</t>
    <rPh sb="0" eb="2">
      <t>レイワ</t>
    </rPh>
    <rPh sb="3" eb="5">
      <t>ネンド</t>
    </rPh>
    <rPh sb="5" eb="7">
      <t>イコウ</t>
    </rPh>
    <rPh sb="7" eb="10">
      <t>ニュウガクシャ</t>
    </rPh>
    <rPh sb="11" eb="13">
      <t>タイショウ</t>
    </rPh>
    <rPh sb="19" eb="21">
      <t>タイショウ</t>
    </rPh>
    <rPh sb="21" eb="23">
      <t>ガクセイ</t>
    </rPh>
    <rPh sb="24" eb="25">
      <t>スベ</t>
    </rPh>
    <rPh sb="26" eb="29">
      <t>ザイガクチュウ</t>
    </rPh>
    <rPh sb="32" eb="34">
      <t>シンセイ</t>
    </rPh>
    <rPh sb="34" eb="36">
      <t>ジテン</t>
    </rPh>
    <rPh sb="40" eb="42">
      <t>シュウリョウ</t>
    </rPh>
    <rPh sb="42" eb="43">
      <t>シャ</t>
    </rPh>
    <rPh sb="44" eb="47">
      <t>ソツギョウセイ</t>
    </rPh>
    <rPh sb="54" eb="56">
      <t>イッポウ</t>
    </rPh>
    <rPh sb="64" eb="66">
      <t>ホンガク</t>
    </rPh>
    <rPh sb="66" eb="70">
      <t>ダイガクキョウイク</t>
    </rPh>
    <rPh sb="75" eb="77">
      <t>チイキ</t>
    </rPh>
    <rPh sb="77" eb="79">
      <t>ジンザイ</t>
    </rPh>
    <rPh sb="79" eb="81">
      <t>ヨウセイ</t>
    </rPh>
    <rPh sb="86" eb="88">
      <t>キョウドウ</t>
    </rPh>
    <rPh sb="88" eb="90">
      <t>カイコウ</t>
    </rPh>
    <rPh sb="91" eb="93">
      <t>キカク</t>
    </rPh>
    <rPh sb="95" eb="98">
      <t>シャカイジン</t>
    </rPh>
    <rPh sb="98" eb="99">
      <t>ム</t>
    </rPh>
    <rPh sb="100" eb="102">
      <t>ショキュウ</t>
    </rPh>
    <rPh sb="110" eb="112">
      <t>コウザ</t>
    </rPh>
    <rPh sb="114" eb="116">
      <t>コクチ</t>
    </rPh>
    <rPh sb="116" eb="117">
      <t>ゴ</t>
    </rPh>
    <rPh sb="117" eb="118">
      <t>スミ</t>
    </rPh>
    <rPh sb="121" eb="123">
      <t>コウザ</t>
    </rPh>
    <rPh sb="123" eb="125">
      <t>テイイン</t>
    </rPh>
    <rPh sb="126" eb="128">
      <t>ジュウソク</t>
    </rPh>
    <rPh sb="135" eb="138">
      <t>ヤマナシケン</t>
    </rPh>
    <rPh sb="138" eb="139">
      <t>ナイ</t>
    </rPh>
    <rPh sb="153" eb="154">
      <t>カン</t>
    </rPh>
    <rPh sb="156" eb="159">
      <t>サンギョウカイ</t>
    </rPh>
    <rPh sb="160" eb="162">
      <t>キタイ</t>
    </rPh>
    <rPh sb="163" eb="164">
      <t>タカ</t>
    </rPh>
    <rPh sb="168" eb="169">
      <t>ウカガ</t>
    </rPh>
    <rPh sb="175" eb="177">
      <t>コウザ</t>
    </rPh>
    <rPh sb="178" eb="180">
      <t>ガクセイ</t>
    </rPh>
    <rPh sb="181" eb="183">
      <t>キョウジュ</t>
    </rPh>
    <rPh sb="187" eb="189">
      <t>ナイヨウ</t>
    </rPh>
    <rPh sb="190" eb="191">
      <t>フク</t>
    </rPh>
    <rPh sb="196" eb="199">
      <t>サンカシャ</t>
    </rPh>
    <rPh sb="202" eb="204">
      <t>コウヒョウ</t>
    </rPh>
    <rPh sb="209" eb="211">
      <t>ホンガク</t>
    </rPh>
    <rPh sb="217" eb="220">
      <t>シュウリョウシャ</t>
    </rPh>
    <rPh sb="221" eb="223">
      <t>ソツギョウ</t>
    </rPh>
    <rPh sb="225" eb="226">
      <t>アカツキ</t>
    </rPh>
    <rPh sb="229" eb="232">
      <t>ザイガクジ</t>
    </rPh>
    <rPh sb="233" eb="234">
      <t>エ</t>
    </rPh>
    <rPh sb="235" eb="237">
      <t>チシキ</t>
    </rPh>
    <rPh sb="238" eb="240">
      <t>カツヨウ</t>
    </rPh>
    <rPh sb="243" eb="245">
      <t>チイキ</t>
    </rPh>
    <rPh sb="246" eb="248">
      <t>キギョウ</t>
    </rPh>
    <rPh sb="248" eb="250">
      <t>カンキョウ</t>
    </rPh>
    <rPh sb="254" eb="255">
      <t>アワ</t>
    </rPh>
    <rPh sb="257" eb="258">
      <t>スス</t>
    </rPh>
    <phoneticPr fontId="1"/>
  </si>
  <si>
    <t>授業においても学生が理解しやすい充実した資料・教材作成、またコンテンツの改良を継続している。巷で目にする数値の意味や信憑性について自ら考えて評価できるための基本的な数理・統計の知識を身に付け、PCソフトを使ってデータ分析や可視化などを行えるようになるために、「知る喜び」「ソフトを使いこなす楽しさ」を喚起する教材や教員のサポートを提供している。一部のクラスではMicrosoft Excelを用いたデータ処理・データ分析手順を学習者が実習形式で独習できるよう、それらの手順を実際に行っているPCデスクトップ画面の映像を収録した実習動画を作成し提供している。これらの教材は必要に応じてどのクラスでも用いることができる体制を整えている。</t>
    <rPh sb="0" eb="2">
      <t>ジュギョウ</t>
    </rPh>
    <rPh sb="7" eb="9">
      <t>ガクセイ</t>
    </rPh>
    <rPh sb="10" eb="12">
      <t>リカイ</t>
    </rPh>
    <rPh sb="16" eb="18">
      <t>ジュウジツ</t>
    </rPh>
    <rPh sb="20" eb="22">
      <t>シリョウ</t>
    </rPh>
    <rPh sb="23" eb="25">
      <t>キョウザイ</t>
    </rPh>
    <rPh sb="25" eb="27">
      <t>サクセイ</t>
    </rPh>
    <rPh sb="36" eb="38">
      <t>カイリョウ</t>
    </rPh>
    <rPh sb="39" eb="41">
      <t>ケイゾク</t>
    </rPh>
    <rPh sb="46" eb="47">
      <t>チマタ</t>
    </rPh>
    <rPh sb="48" eb="49">
      <t>メ</t>
    </rPh>
    <rPh sb="52" eb="54">
      <t>スウチ</t>
    </rPh>
    <rPh sb="55" eb="57">
      <t>イミ</t>
    </rPh>
    <rPh sb="58" eb="61">
      <t>シンピョウセイ</t>
    </rPh>
    <rPh sb="65" eb="66">
      <t>ミズカ</t>
    </rPh>
    <rPh sb="67" eb="68">
      <t>カンガ</t>
    </rPh>
    <rPh sb="70" eb="72">
      <t>ヒョウカ</t>
    </rPh>
    <rPh sb="78" eb="81">
      <t>キホンテキ</t>
    </rPh>
    <rPh sb="82" eb="84">
      <t>スウリ</t>
    </rPh>
    <rPh sb="85" eb="87">
      <t>トウケイ</t>
    </rPh>
    <rPh sb="88" eb="90">
      <t>チシキ</t>
    </rPh>
    <rPh sb="91" eb="92">
      <t>ミ</t>
    </rPh>
    <rPh sb="93" eb="94">
      <t>ツ</t>
    </rPh>
    <rPh sb="102" eb="103">
      <t>ツカ</t>
    </rPh>
    <rPh sb="172" eb="174">
      <t>イチブ</t>
    </rPh>
    <rPh sb="196" eb="197">
      <t>モチ</t>
    </rPh>
    <rPh sb="202" eb="204">
      <t>ショリ</t>
    </rPh>
    <rPh sb="208" eb="210">
      <t>ブンセキ</t>
    </rPh>
    <rPh sb="210" eb="212">
      <t>テジュン</t>
    </rPh>
    <rPh sb="213" eb="216">
      <t>ガクシュウシャ</t>
    </rPh>
    <rPh sb="222" eb="224">
      <t>ドクシュウ</t>
    </rPh>
    <rPh sb="234" eb="236">
      <t>テジュン</t>
    </rPh>
    <rPh sb="237" eb="239">
      <t>ジッサイ</t>
    </rPh>
    <rPh sb="240" eb="241">
      <t>オコナ</t>
    </rPh>
    <rPh sb="253" eb="255">
      <t>ガメン</t>
    </rPh>
    <rPh sb="256" eb="258">
      <t>エイゾウ</t>
    </rPh>
    <rPh sb="259" eb="261">
      <t>シュウロク</t>
    </rPh>
    <rPh sb="263" eb="267">
      <t>ジッシュウドウガ</t>
    </rPh>
    <rPh sb="268" eb="270">
      <t>サクセイ</t>
    </rPh>
    <rPh sb="271" eb="273">
      <t>テイキョウ</t>
    </rPh>
    <rPh sb="282" eb="284">
      <t>キョウザイ</t>
    </rPh>
    <rPh sb="285" eb="287">
      <t>ヒツヨウ</t>
    </rPh>
    <rPh sb="288" eb="289">
      <t>オウ</t>
    </rPh>
    <rPh sb="298" eb="299">
      <t>モチ</t>
    </rPh>
    <rPh sb="307" eb="309">
      <t>タイセイ</t>
    </rPh>
    <rPh sb="310" eb="311">
      <t>トトノ</t>
    </rPh>
    <phoneticPr fontId="1"/>
  </si>
  <si>
    <t>数理・AI・データサイエンス分野の必要性を伝えるための全学対象のFD研修会を、山梨県立大学とも合同で開催（2021年1月20日）し、教員もデータサイエンスの視点をもつよう促した。また、本学の教育優秀賞表彰制度では、例年反転授業や効果的なオンライン授業の実践者を表彰し、この受賞者の実践内容を全学教育FD研修会で全教員に共有している。他にも、授業改善に興味を持つ学生グループ（教育改善プロジェクトEIP）を支援し、学生目線での「わかりやすい」「よい」授業の要因抽出を行う事業なども実施し、内容・水準を維持・向上しつつ、よりわかりやすい授業とすることを目指して取り組んでいる。</t>
    <rPh sb="0" eb="2">
      <t>スウリ</t>
    </rPh>
    <rPh sb="14" eb="16">
      <t>ブンヤ</t>
    </rPh>
    <rPh sb="17" eb="20">
      <t>ヒツヨウセイ</t>
    </rPh>
    <rPh sb="21" eb="22">
      <t>ツタ</t>
    </rPh>
    <rPh sb="34" eb="37">
      <t>ケンシュウカイ</t>
    </rPh>
    <rPh sb="39" eb="45">
      <t>ヤマナシケンリツダイガク</t>
    </rPh>
    <rPh sb="47" eb="49">
      <t>ゴウドウ</t>
    </rPh>
    <rPh sb="50" eb="52">
      <t>カイサイ</t>
    </rPh>
    <rPh sb="57" eb="58">
      <t>ネン</t>
    </rPh>
    <rPh sb="59" eb="60">
      <t>ガツ</t>
    </rPh>
    <rPh sb="62" eb="63">
      <t>ニチ</t>
    </rPh>
    <rPh sb="66" eb="68">
      <t>キョウイン</t>
    </rPh>
    <rPh sb="78" eb="80">
      <t>シテン</t>
    </rPh>
    <rPh sb="85" eb="86">
      <t>ウナガ</t>
    </rPh>
    <rPh sb="92" eb="94">
      <t>ホンガク</t>
    </rPh>
    <rPh sb="95" eb="97">
      <t>キョウイク</t>
    </rPh>
    <rPh sb="97" eb="100">
      <t>ユウシュウショウ</t>
    </rPh>
    <rPh sb="100" eb="102">
      <t>ヒョウショウ</t>
    </rPh>
    <rPh sb="102" eb="104">
      <t>セイド</t>
    </rPh>
    <rPh sb="107" eb="109">
      <t>レイネン</t>
    </rPh>
    <rPh sb="114" eb="117">
      <t>コウカテキ</t>
    </rPh>
    <rPh sb="136" eb="139">
      <t>ジュショウシャ</t>
    </rPh>
    <rPh sb="147" eb="149">
      <t>キョウイク</t>
    </rPh>
    <rPh sb="151" eb="154">
      <t>ケンシュウカイ</t>
    </rPh>
    <rPh sb="155" eb="158">
      <t>ゼンキョウイン</t>
    </rPh>
    <rPh sb="159" eb="161">
      <t>キョウユウ</t>
    </rPh>
    <rPh sb="166" eb="167">
      <t>ホカ</t>
    </rPh>
    <rPh sb="187" eb="189">
      <t>キョウイク</t>
    </rPh>
    <rPh sb="189" eb="191">
      <t>カイゼン</t>
    </rPh>
    <rPh sb="243" eb="245">
      <t>ナイヨウ</t>
    </rPh>
    <rPh sb="246" eb="248">
      <t>スイジュン</t>
    </rPh>
    <rPh sb="249" eb="251">
      <t>イジ</t>
    </rPh>
    <rPh sb="252" eb="254">
      <t>コウジョウ</t>
    </rPh>
    <rPh sb="266" eb="268">
      <t>ジュギョウ</t>
    </rPh>
    <rPh sb="274" eb="276">
      <t>メザ</t>
    </rPh>
    <phoneticPr fontId="1"/>
  </si>
  <si>
    <t>https://www.che.yamanashi.ac.jp/mdsaiprogram/</t>
    <phoneticPr fontId="1"/>
  </si>
  <si>
    <t>教育国際化推進機構 大学教育センター</t>
    <rPh sb="0" eb="9">
      <t>キョウイクコクサイカスイシンキコウ</t>
    </rPh>
    <rPh sb="10" eb="14">
      <t>ダイガクキョウイク</t>
    </rPh>
    <phoneticPr fontId="1"/>
  </si>
  <si>
    <t>全学共通教育委員会　・　教育国際化推進機構 教養教育センター情報・数理教育科目部門</t>
    <rPh sb="0" eb="2">
      <t>ゼンガク</t>
    </rPh>
    <rPh sb="2" eb="4">
      <t>キョウツウ</t>
    </rPh>
    <rPh sb="4" eb="6">
      <t>キョウイク</t>
    </rPh>
    <rPh sb="6" eb="9">
      <t>イインカイ</t>
    </rPh>
    <rPh sb="22" eb="26">
      <t>キョウヨウキョウイク</t>
    </rPh>
    <rPh sb="30" eb="32">
      <t>ジョウホウ</t>
    </rPh>
    <rPh sb="33" eb="35">
      <t>スウリ</t>
    </rPh>
    <rPh sb="35" eb="37">
      <t>キョウイク</t>
    </rPh>
    <rPh sb="37" eb="39">
      <t>カモク</t>
    </rPh>
    <rPh sb="39" eb="41">
      <t>ブモン</t>
    </rPh>
    <phoneticPr fontId="1"/>
  </si>
  <si>
    <t>全学共通教育科目の必修科目として開講されるため、入学時の全学共通教育科目ガイダンスで周知されるとともに、履修申告時に必ず履修登録が求められる。科目は各学科／コース単位の少人数科目として開講され、必要に応じてTAが配置されるなど、多くの学生が修得できるサポート体制を備えている。実際に令和2年度実績における総履修者数743人に対する単位修得者数は727人であり、97.8％の高い修得率が得られている。</t>
    <rPh sb="11" eb="13">
      <t>カモク</t>
    </rPh>
    <rPh sb="16" eb="18">
      <t>カイコウ</t>
    </rPh>
    <rPh sb="30" eb="32">
      <t>キョウツウ</t>
    </rPh>
    <rPh sb="32" eb="34">
      <t>キョウイク</t>
    </rPh>
    <rPh sb="34" eb="36">
      <t>カモク</t>
    </rPh>
    <rPh sb="42" eb="44">
      <t>シュウチ</t>
    </rPh>
    <rPh sb="52" eb="54">
      <t>リシュウ</t>
    </rPh>
    <rPh sb="54" eb="56">
      <t>シンコク</t>
    </rPh>
    <rPh sb="56" eb="57">
      <t>ジ</t>
    </rPh>
    <rPh sb="58" eb="59">
      <t>カナラ</t>
    </rPh>
    <rPh sb="60" eb="62">
      <t>リシュウ</t>
    </rPh>
    <rPh sb="65" eb="66">
      <t>モト</t>
    </rPh>
    <rPh sb="71" eb="73">
      <t>カモク</t>
    </rPh>
    <rPh sb="74" eb="75">
      <t>カク</t>
    </rPh>
    <rPh sb="75" eb="77">
      <t>ガッカ</t>
    </rPh>
    <rPh sb="81" eb="83">
      <t>タンイ</t>
    </rPh>
    <rPh sb="84" eb="87">
      <t>ショウニンズウ</t>
    </rPh>
    <rPh sb="87" eb="89">
      <t>カモク</t>
    </rPh>
    <rPh sb="92" eb="94">
      <t>カイコウ</t>
    </rPh>
    <rPh sb="97" eb="99">
      <t>ヒツヨウ</t>
    </rPh>
    <rPh sb="100" eb="101">
      <t>オウ</t>
    </rPh>
    <rPh sb="106" eb="108">
      <t>ハイチ</t>
    </rPh>
    <rPh sb="114" eb="115">
      <t>オオ</t>
    </rPh>
    <rPh sb="117" eb="119">
      <t>ガクセイ</t>
    </rPh>
    <rPh sb="120" eb="122">
      <t>シュウトク</t>
    </rPh>
    <rPh sb="129" eb="131">
      <t>タイセイ</t>
    </rPh>
    <rPh sb="132" eb="133">
      <t>ソナ</t>
    </rPh>
    <rPh sb="138" eb="140">
      <t>ジッサイ</t>
    </rPh>
    <rPh sb="141" eb="143">
      <t>レイワ</t>
    </rPh>
    <rPh sb="144" eb="146">
      <t>ネンド</t>
    </rPh>
    <rPh sb="146" eb="148">
      <t>ジッセキ</t>
    </rPh>
    <rPh sb="152" eb="156">
      <t>ソウリシュウシャ</t>
    </rPh>
    <rPh sb="156" eb="157">
      <t>スウ</t>
    </rPh>
    <rPh sb="160" eb="161">
      <t>ニン</t>
    </rPh>
    <rPh sb="162" eb="163">
      <t>タイ</t>
    </rPh>
    <rPh sb="165" eb="167">
      <t>タンイ</t>
    </rPh>
    <rPh sb="167" eb="169">
      <t>シュウトク</t>
    </rPh>
    <rPh sb="186" eb="187">
      <t>タカ</t>
    </rPh>
    <rPh sb="192" eb="193">
      <t>エ</t>
    </rPh>
    <phoneticPr fontId="1"/>
  </si>
  <si>
    <t>山梨大学 大学教育センター細則</t>
    <rPh sb="0" eb="4">
      <t>ヤマナシダイガク</t>
    </rPh>
    <phoneticPr fontId="1"/>
  </si>
  <si>
    <t>本学では令和2年度入学生より、全学共通教育科目として情報・数理部門を新設した。学部学科により1年次もしくは2年次において、2単位の履修を必修扱いとしている。令和2年度に1年次で履修した学生は743人であり、そのうち単位を修得した者は727人（97.8%）であった。不合格者(1.3%)や未受験者(0.8%)が僅かな割合存在するが、多くは翌年の再履修により単位を修得した。
令和3年度は2年次学生を含め857名が履修し、そのうち819名（95.3%）が単位を修得した。
単位修得者におけるGPに基づく成績分布は、Ｓ(R2年度:28.3%,R3年度:29.8%)、Ｓ-(R2年度:24.2%,R3年度:21.8%)、Ａ+(R2年度:12.2%,R3年度:9.0%)、Ａ(R2年度:14.4%,R3年度:9.9%)、Ａ-(R2年度:5.8%,R3年度:6.2%)、Ｂ+(R2年度:3.1%,R3年度:3.5%)、Ｂ(R2年度:3.2%,R3年度:5.4%)、Ｂ-(R2年度:1.7%,R3年度:2.6%)、Ｃ+(R2年度:1.9%,R3年度:1.6%)、Ｃ(R2年度:3.0%,R3年度:5.7%)であり、いずれの年度も多くの学生が良好な成績を収めている。
授業評価アンケートでは「ソフトウェアの使い方についてや著作権、情報リテラシー、AIなどの学習が実践的に行えた」「データサイエンスについて、非常にわかり易く学ぶことができた」などの好意的な意見がみられた。</t>
    <rPh sb="0" eb="2">
      <t>ホンガク</t>
    </rPh>
    <rPh sb="4" eb="6">
      <t>レイワ</t>
    </rPh>
    <rPh sb="7" eb="9">
      <t>ネンド</t>
    </rPh>
    <rPh sb="9" eb="12">
      <t>ニュウガクセイ</t>
    </rPh>
    <rPh sb="26" eb="28">
      <t>ジョウホウ</t>
    </rPh>
    <rPh sb="29" eb="33">
      <t>スウリブモン</t>
    </rPh>
    <rPh sb="34" eb="36">
      <t>シンセツ</t>
    </rPh>
    <rPh sb="39" eb="41">
      <t>ガクブ</t>
    </rPh>
    <rPh sb="41" eb="43">
      <t>ガッカ</t>
    </rPh>
    <rPh sb="47" eb="49">
      <t>ネンジ</t>
    </rPh>
    <rPh sb="54" eb="56">
      <t>ネンジ</t>
    </rPh>
    <rPh sb="62" eb="64">
      <t>タンイ</t>
    </rPh>
    <rPh sb="65" eb="67">
      <t>リシュウ</t>
    </rPh>
    <rPh sb="68" eb="71">
      <t>ヒッシュウアツカ</t>
    </rPh>
    <rPh sb="78" eb="80">
      <t>レイワ</t>
    </rPh>
    <rPh sb="81" eb="83">
      <t>ネンド</t>
    </rPh>
    <rPh sb="85" eb="87">
      <t>ネンジ</t>
    </rPh>
    <rPh sb="88" eb="90">
      <t>リシュウ</t>
    </rPh>
    <rPh sb="92" eb="94">
      <t>ガクセイ</t>
    </rPh>
    <rPh sb="107" eb="109">
      <t>タンイ</t>
    </rPh>
    <rPh sb="110" eb="112">
      <t>シュウトク</t>
    </rPh>
    <rPh sb="114" eb="115">
      <t>モノ</t>
    </rPh>
    <rPh sb="119" eb="120">
      <t>ニン</t>
    </rPh>
    <rPh sb="157" eb="159">
      <t>ワリアイ</t>
    </rPh>
    <rPh sb="159" eb="161">
      <t>ソンザイ</t>
    </rPh>
    <rPh sb="165" eb="166">
      <t>オオ</t>
    </rPh>
    <rPh sb="180" eb="182">
      <t>シュウトク</t>
    </rPh>
    <rPh sb="216" eb="217">
      <t>メイ</t>
    </rPh>
    <rPh sb="228" eb="230">
      <t>シュウトク</t>
    </rPh>
    <rPh sb="236" eb="238">
      <t>シュウトク</t>
    </rPh>
    <rPh sb="246" eb="247">
      <t>モト</t>
    </rPh>
    <rPh sb="320" eb="324">
      <t>フゴウカクシャ</t>
    </rPh>
    <rPh sb="331" eb="335">
      <t>ミジュケンシャ</t>
    </rPh>
    <rPh sb="342" eb="344">
      <t>ワリアイ</t>
    </rPh>
    <rPh sb="345" eb="346">
      <t>ワズ</t>
    </rPh>
    <rPh sb="351" eb="353">
      <t>ヨクネン</t>
    </rPh>
    <rPh sb="354" eb="357">
      <t>サイリシュウ</t>
    </rPh>
    <rPh sb="360" eb="362">
      <t>タンイ</t>
    </rPh>
    <rPh sb="363" eb="365">
      <t>シュウトク</t>
    </rPh>
    <rPh sb="367" eb="368">
      <t>モノ</t>
    </rPh>
    <rPh sb="373" eb="375">
      <t>レイワ</t>
    </rPh>
    <rPh sb="376" eb="378">
      <t>ネンド</t>
    </rPh>
    <rPh sb="380" eb="382">
      <t>ネンジ</t>
    </rPh>
    <rPh sb="382" eb="384">
      <t>ガクセイ</t>
    </rPh>
    <rPh sb="385" eb="386">
      <t>フク</t>
    </rPh>
    <rPh sb="390" eb="391">
      <t>メイ</t>
    </rPh>
    <rPh sb="392" eb="394">
      <t>リシュウ</t>
    </rPh>
    <rPh sb="406" eb="408">
      <t>タンイ</t>
    </rPh>
    <rPh sb="409" eb="411">
      <t>シュウトク</t>
    </rPh>
    <rPh sb="424" eb="428">
      <t>セイセキブンプ</t>
    </rPh>
    <rPh sb="434" eb="436">
      <t>ネンド</t>
    </rPh>
    <rPh sb="445" eb="447">
      <t>ネンドコウイテキイケン</t>
    </rPh>
    <rPh sb="601" eb="602">
      <t>ヤス</t>
    </rPh>
    <phoneticPr fontId="1"/>
  </si>
  <si>
    <t>毎年開催している本学のステークホルダーミーティングの委員には産業界からも委員を招いており、データサイエンス・AI教育プログラムについても、その内容及び手法に対する意見を産業界の視点から聴取する機会を設けている。これにより産業界の意見を教育プログラムに取り込み反映させる仕組み（教育内部質保証システム）が既に学内に構築されている。
大学eラーニング協議会 (UeLA)を通じて協議会加盟大学に本学の教育プログラムにおける授業内容及び教育用教材を公開しており、フィードバックをもらい、改善に繋げている。 同協議会のコンテンツ・共有部会を通じて意見交換を行ったり、各大学における数理・データサイエンス・AI教育への取組状況や関連する授業科目の内容に関する情報を提供してもらい、教育プログラム改善の参考にしている。実際に授業内容や教育用教材を閲覧した大学からは、授業設計や教材設計の参考になったという意見をもらっている。
また、本学が数理・データサイエンス教育強化拠点コンソーシアム関東・首都圏ブロック協力校として山梨県内の大学と共同で開催している授業設計研究会において授業設計に関する情報を収集し、改善につなげている。各大学における数理・データサイエンス・AI教育に関連する授業科目の実施状況や授業内容に関する情報共有を行い、教育プログラム改善の参考にしている。県内の大学にも本学の教育プログラムにおける授業内容及び教育用教材を公開しており、実際に授業内容や教育用教材を閲覧した大学からは、授業設計や教材設計の参考になったという意見をもらっている。</t>
    <rPh sb="354" eb="356">
      <t>ジッサイ</t>
    </rPh>
    <rPh sb="357" eb="361">
      <t>ジュギョウナイヨウ</t>
    </rPh>
    <rPh sb="362" eb="367">
      <t>キョウイクヨウキョウザイ</t>
    </rPh>
    <rPh sb="368" eb="370">
      <t>エツラン</t>
    </rPh>
    <rPh sb="372" eb="374">
      <t>ダイガク</t>
    </rPh>
    <rPh sb="378" eb="382">
      <t>ジュギョウセッケイ</t>
    </rPh>
    <rPh sb="383" eb="387">
      <t>キョウザイセッケイ</t>
    </rPh>
    <rPh sb="388" eb="390">
      <t>サンコウ</t>
    </rPh>
    <rPh sb="397" eb="399">
      <t>イケン</t>
    </rPh>
    <rPh sb="508" eb="511">
      <t>カクダイガク</t>
    </rPh>
    <rPh sb="515" eb="517">
      <t>スウリ</t>
    </rPh>
    <rPh sb="541" eb="545">
      <t>ジッシジョウキョウ</t>
    </rPh>
    <rPh sb="551" eb="552">
      <t>カン</t>
    </rPh>
    <rPh sb="554" eb="558">
      <t>ジョウホウキョウユウ</t>
    </rPh>
    <rPh sb="559" eb="560">
      <t>オコナ</t>
    </rPh>
    <rPh sb="572" eb="574">
      <t>サンコウ</t>
    </rPh>
    <rPh sb="580" eb="582">
      <t>ケンナイ</t>
    </rPh>
    <rPh sb="583" eb="585">
      <t>ダイガク</t>
    </rPh>
    <phoneticPr fontId="1"/>
  </si>
  <si>
    <t>令和２</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</si>
</sst>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42" xfId="0" applyFont="1" applyBorder="1" applyAlignment="1">
      <alignment horizontal="center" vertical="center"/>
    </xf>
    <xf numFmtId="0" fontId="8" fillId="0" borderId="23" xfId="0" applyFont="1" applyFill="1" applyBorder="1" applyAlignment="1">
      <alignment horizontal="center" vertical="center" shrinkToFit="1"/>
    </xf>
    <xf numFmtId="176" fontId="3" fillId="0" borderId="5"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Fill="1" applyBorder="1" applyAlignment="1">
      <alignment vertical="top" wrapText="1" shrinkToFit="1"/>
    </xf>
    <xf numFmtId="0" fontId="8" fillId="0" borderId="20" xfId="0" applyFont="1" applyFill="1" applyBorder="1" applyAlignment="1">
      <alignment vertical="top" shrinkToFit="1"/>
    </xf>
    <xf numFmtId="0" fontId="8" fillId="0" borderId="18" xfId="0" applyFont="1" applyFill="1" applyBorder="1" applyAlignment="1">
      <alignment vertical="top"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9" xfId="0" applyFont="1" applyFill="1" applyBorder="1" applyAlignment="1">
      <alignment horizontal="center" vertical="center" shrinkToFit="1"/>
    </xf>
    <xf numFmtId="0" fontId="8" fillId="0" borderId="20" xfId="0" applyFont="1" applyFill="1" applyBorder="1" applyAlignment="1">
      <alignment horizontal="center" vertical="center" shrinkToFit="1"/>
    </xf>
    <xf numFmtId="0" fontId="8" fillId="0" borderId="18" xfId="0" applyFont="1" applyFill="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39" xfId="0" applyFont="1" applyFill="1" applyBorder="1" applyAlignment="1">
      <alignment vertical="top" wrapText="1" shrinkToFit="1"/>
    </xf>
    <xf numFmtId="0" fontId="8" fillId="0" borderId="39" xfId="0" applyFont="1" applyFill="1" applyBorder="1" applyAlignment="1">
      <alignment vertical="top" shrinkToFit="1"/>
    </xf>
    <xf numFmtId="0" fontId="8" fillId="0" borderId="38" xfId="0" applyFont="1" applyFill="1" applyBorder="1" applyAlignment="1">
      <alignment vertical="top" shrinkToFit="1"/>
    </xf>
    <xf numFmtId="0" fontId="8" fillId="0" borderId="6" xfId="0" applyFont="1" applyFill="1" applyBorder="1" applyAlignment="1">
      <alignment vertical="top" wrapText="1"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21" fillId="0" borderId="32" xfId="0" applyFont="1" applyBorder="1" applyAlignment="1">
      <alignment vertical="center" wrapText="1"/>
    </xf>
    <xf numFmtId="0" fontId="8" fillId="0" borderId="8" xfId="0" applyFont="1" applyFill="1" applyBorder="1" applyAlignment="1">
      <alignment horizontal="left" vertical="top" wrapText="1" shrinkToFit="1"/>
    </xf>
    <xf numFmtId="0" fontId="8" fillId="0" borderId="8" xfId="0" applyFont="1" applyFill="1" applyBorder="1" applyAlignment="1">
      <alignment horizontal="left" vertical="top" shrinkToFit="1"/>
    </xf>
    <xf numFmtId="0" fontId="8" fillId="0" borderId="9" xfId="0" applyFont="1" applyFill="1" applyBorder="1" applyAlignment="1">
      <alignment horizontal="left" vertical="top" shrinkToFit="1"/>
    </xf>
    <xf numFmtId="0" fontId="8" fillId="0" borderId="20" xfId="0" applyFont="1" applyFill="1" applyBorder="1" applyAlignment="1">
      <alignment horizontal="left" vertical="top" wrapText="1" shrinkToFit="1"/>
    </xf>
    <xf numFmtId="0" fontId="8" fillId="0" borderId="20" xfId="0" applyFont="1" applyFill="1" applyBorder="1" applyAlignment="1">
      <alignment horizontal="left" vertical="top" shrinkToFit="1"/>
    </xf>
    <xf numFmtId="0" fontId="8" fillId="0" borderId="18" xfId="0" applyFont="1" applyFill="1" applyBorder="1" applyAlignment="1">
      <alignment horizontal="left" vertical="top"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22" xfId="0" applyFont="1" applyFill="1" applyBorder="1" applyAlignment="1">
      <alignment horizontal="left" vertical="top" wrapText="1" shrinkToFit="1"/>
    </xf>
    <xf numFmtId="0" fontId="8" fillId="0" borderId="22" xfId="0" applyFont="1" applyFill="1" applyBorder="1" applyAlignment="1">
      <alignment horizontal="left" vertical="top" shrinkToFit="1"/>
    </xf>
    <xf numFmtId="0" fontId="8" fillId="0" borderId="21" xfId="0" applyFont="1" applyFill="1" applyBorder="1" applyAlignment="1">
      <alignment horizontal="left" vertical="top" shrinkToFit="1"/>
    </xf>
    <xf numFmtId="0" fontId="8" fillId="0" borderId="39" xfId="0" applyFont="1" applyFill="1" applyBorder="1" applyAlignment="1">
      <alignment horizontal="left" vertical="top" wrapText="1" shrinkToFit="1"/>
    </xf>
    <xf numFmtId="0" fontId="8" fillId="0" borderId="39" xfId="0" applyFont="1" applyFill="1" applyBorder="1" applyAlignment="1">
      <alignment horizontal="left" vertical="top" shrinkToFit="1"/>
    </xf>
    <xf numFmtId="0" fontId="8" fillId="0" borderId="38" xfId="0" applyFont="1" applyFill="1" applyBorder="1" applyAlignment="1">
      <alignment horizontal="left" vertical="top" shrinkToFit="1"/>
    </xf>
    <xf numFmtId="0" fontId="8" fillId="0" borderId="6" xfId="0" applyFont="1" applyFill="1" applyBorder="1" applyAlignment="1">
      <alignment horizontal="left" vertical="top" wrapText="1" shrinkToFit="1"/>
    </xf>
    <xf numFmtId="0" fontId="8" fillId="0" borderId="6" xfId="0" applyFont="1" applyFill="1" applyBorder="1" applyAlignment="1">
      <alignment horizontal="left" vertical="top" shrinkToFit="1"/>
    </xf>
    <xf numFmtId="0" fontId="8" fillId="0" borderId="12" xfId="0" applyFont="1" applyFill="1" applyBorder="1" applyAlignment="1">
      <alignment horizontal="left" vertical="top" shrinkToFit="1"/>
    </xf>
    <xf numFmtId="0" fontId="8" fillId="0" borderId="41" xfId="0" applyFont="1" applyFill="1" applyBorder="1" applyAlignment="1">
      <alignment horizontal="left" vertical="top" wrapText="1" shrinkToFit="1"/>
    </xf>
    <xf numFmtId="0" fontId="8" fillId="0" borderId="41" xfId="0" applyFont="1" applyFill="1" applyBorder="1" applyAlignment="1">
      <alignment horizontal="left" vertical="top" shrinkToFit="1"/>
    </xf>
    <xf numFmtId="0" fontId="8" fillId="0" borderId="42" xfId="0" applyFont="1" applyFill="1" applyBorder="1" applyAlignment="1">
      <alignment horizontal="left" vertical="top"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vertical="center"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9" fillId="0" borderId="0" xfId="0" applyFont="1" applyAlignment="1">
      <alignment horizontal="center" vertical="center"/>
    </xf>
    <xf numFmtId="0" fontId="8" fillId="0" borderId="19" xfId="0" applyFont="1" applyFill="1" applyBorder="1" applyAlignment="1">
      <alignment vertical="center"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Fill="1" applyBorder="1" applyAlignment="1">
      <alignment vertical="top" wrapText="1" shrinkToFit="1"/>
    </xf>
    <xf numFmtId="0" fontId="8" fillId="0" borderId="22" xfId="0" applyFont="1" applyFill="1" applyBorder="1" applyAlignment="1">
      <alignment vertical="top" shrinkToFit="1"/>
    </xf>
    <xf numFmtId="0" fontId="8" fillId="0" borderId="21"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7" xfId="0" applyFont="1" applyFill="1" applyBorder="1" applyAlignment="1">
      <alignment vertical="top" wrapText="1" shrinkToFit="1"/>
    </xf>
    <xf numFmtId="0" fontId="8" fillId="0" borderId="8" xfId="0" applyFont="1" applyFill="1" applyBorder="1" applyAlignment="1">
      <alignment vertical="top" wrapText="1" shrinkToFit="1"/>
    </xf>
    <xf numFmtId="0" fontId="8" fillId="0" borderId="9" xfId="0" applyFont="1" applyFill="1" applyBorder="1" applyAlignment="1">
      <alignment vertical="top" wrapText="1" shrinkToFit="1"/>
    </xf>
    <xf numFmtId="0" fontId="8" fillId="0" borderId="5" xfId="0" applyFont="1" applyFill="1" applyBorder="1" applyAlignment="1">
      <alignment vertical="top" wrapText="1" shrinkToFit="1"/>
    </xf>
    <xf numFmtId="0" fontId="8" fillId="0" borderId="0" xfId="0" applyFont="1" applyFill="1" applyAlignment="1">
      <alignment vertical="top" wrapText="1" shrinkToFit="1"/>
    </xf>
    <xf numFmtId="0" fontId="8" fillId="0" borderId="10" xfId="0" applyFont="1" applyFill="1" applyBorder="1" applyAlignment="1">
      <alignment vertical="top" wrapText="1" shrinkToFit="1"/>
    </xf>
    <xf numFmtId="0" fontId="8" fillId="0" borderId="11" xfId="0" applyFont="1" applyFill="1" applyBorder="1" applyAlignment="1">
      <alignment vertical="top" wrapText="1" shrinkToFit="1"/>
    </xf>
    <xf numFmtId="0" fontId="8" fillId="0" borderId="12"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Fill="1" applyBorder="1" applyAlignment="1">
      <alignment horizontal="center" vertical="center" shrinkToFit="1"/>
    </xf>
    <xf numFmtId="0" fontId="11" fillId="0" borderId="3" xfId="2" applyFont="1" applyFill="1" applyBorder="1" applyAlignment="1">
      <alignment horizontal="center" vertical="center" shrinkToFit="1"/>
    </xf>
    <xf numFmtId="0" fontId="11" fillId="0" borderId="4" xfId="2" applyFont="1" applyFill="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td-admin@yamanash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he.yamanashi.ac.jp/mdsaiprogra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he.yamanashi.ac.jp/mdsai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S14" sqref="S1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0" t="s">
        <v>25</v>
      </c>
      <c r="N1" s="140"/>
    </row>
    <row r="2" spans="1:15" ht="24" customHeight="1" x14ac:dyDescent="0.15">
      <c r="A2" s="144" t="s">
        <v>83</v>
      </c>
      <c r="B2" s="144"/>
      <c r="C2" s="144"/>
      <c r="D2" s="144"/>
      <c r="E2" s="144"/>
      <c r="F2" s="144"/>
      <c r="G2" s="144"/>
      <c r="H2" s="144"/>
      <c r="I2" s="144"/>
      <c r="J2" s="144"/>
      <c r="K2" s="144"/>
      <c r="L2" s="144"/>
      <c r="M2" s="144"/>
      <c r="N2" s="144"/>
    </row>
    <row r="3" spans="1:15" ht="24" customHeight="1" x14ac:dyDescent="0.15"/>
    <row r="4" spans="1:15" ht="24" customHeight="1" x14ac:dyDescent="0.15">
      <c r="A4" s="14" t="s">
        <v>6</v>
      </c>
      <c r="B4" s="15" t="s">
        <v>16</v>
      </c>
      <c r="C4" s="130" t="s">
        <v>149</v>
      </c>
      <c r="D4" s="131"/>
      <c r="E4" s="131"/>
      <c r="F4" s="131"/>
      <c r="G4" s="131"/>
      <c r="H4" s="131"/>
      <c r="I4" s="131"/>
      <c r="J4" s="131"/>
      <c r="K4" s="131"/>
      <c r="L4" s="131"/>
      <c r="M4" s="131"/>
      <c r="N4" s="132"/>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0" t="s">
        <v>150</v>
      </c>
      <c r="E6" s="131"/>
      <c r="F6" s="131"/>
      <c r="G6" s="131"/>
      <c r="H6" s="132"/>
      <c r="I6" s="17" t="s">
        <v>86</v>
      </c>
      <c r="J6" s="37" t="s">
        <v>87</v>
      </c>
      <c r="K6" s="130" t="s">
        <v>151</v>
      </c>
      <c r="L6" s="131"/>
      <c r="M6" s="131"/>
      <c r="N6" s="132"/>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0" t="s">
        <v>152</v>
      </c>
      <c r="D8" s="131"/>
      <c r="E8" s="131"/>
      <c r="F8" s="131"/>
      <c r="G8" s="131"/>
      <c r="H8" s="131"/>
      <c r="I8" s="131"/>
      <c r="J8" s="131"/>
      <c r="K8" s="131"/>
      <c r="L8" s="131"/>
      <c r="M8" s="131"/>
      <c r="N8" s="132"/>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0" t="s">
        <v>153</v>
      </c>
      <c r="F10" s="131"/>
      <c r="G10" s="131"/>
      <c r="H10" s="131"/>
      <c r="I10" s="131"/>
      <c r="J10" s="131"/>
      <c r="K10" s="131"/>
      <c r="L10" s="131"/>
      <c r="M10" s="131"/>
      <c r="N10" s="132"/>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5" t="s">
        <v>223</v>
      </c>
      <c r="F12" s="146"/>
      <c r="G12" s="17" t="s">
        <v>96</v>
      </c>
      <c r="H12" s="14" t="s">
        <v>97</v>
      </c>
      <c r="N12" s="117" t="s">
        <v>154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1" t="s">
        <v>5</v>
      </c>
      <c r="D14" s="142"/>
      <c r="E14" s="133">
        <v>777</v>
      </c>
      <c r="F14" s="134"/>
      <c r="G14" s="18" t="s">
        <v>7</v>
      </c>
      <c r="I14" s="141" t="s">
        <v>8</v>
      </c>
      <c r="J14" s="142"/>
      <c r="K14" s="133">
        <v>634</v>
      </c>
      <c r="L14" s="143"/>
      <c r="M14" s="134"/>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7">
        <v>11</v>
      </c>
      <c r="L16" s="148"/>
      <c r="M16" s="149"/>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3">
        <v>825</v>
      </c>
      <c r="F18" s="134"/>
      <c r="G18" s="21" t="s">
        <v>21</v>
      </c>
      <c r="H18" s="20"/>
      <c r="K18" s="153"/>
      <c r="L18" s="153"/>
      <c r="M18" s="153"/>
      <c r="N18" s="153"/>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50">
        <v>3752</v>
      </c>
      <c r="K20" s="151"/>
      <c r="L20" s="152"/>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3">
        <v>857</v>
      </c>
      <c r="D22" s="134"/>
      <c r="E22" s="10" t="s">
        <v>22</v>
      </c>
      <c r="F22" s="20"/>
      <c r="G22" s="129" t="s">
        <v>18</v>
      </c>
      <c r="H22" s="129"/>
      <c r="I22" s="133">
        <v>842</v>
      </c>
      <c r="J22" s="134"/>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3">
        <v>879</v>
      </c>
      <c r="D24" s="134"/>
      <c r="E24" s="10" t="s">
        <v>22</v>
      </c>
      <c r="F24" s="20"/>
      <c r="G24" s="129" t="s">
        <v>20</v>
      </c>
      <c r="H24" s="129"/>
      <c r="I24" s="133">
        <v>925</v>
      </c>
      <c r="J24" s="134"/>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3">
        <v>130</v>
      </c>
      <c r="D26" s="134"/>
      <c r="E26" s="10" t="s">
        <v>7</v>
      </c>
      <c r="F26" s="20"/>
      <c r="G26" s="129" t="s">
        <v>47</v>
      </c>
      <c r="H26" s="129"/>
      <c r="I26" s="133">
        <v>119</v>
      </c>
      <c r="J26" s="134"/>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7" t="s">
        <v>74</v>
      </c>
      <c r="C29" s="137"/>
      <c r="D29" s="130" t="s">
        <v>155</v>
      </c>
      <c r="E29" s="131"/>
      <c r="F29" s="131"/>
      <c r="G29" s="138" t="s">
        <v>23</v>
      </c>
      <c r="H29" s="137"/>
      <c r="I29" s="139"/>
      <c r="J29" s="130" t="s">
        <v>156</v>
      </c>
      <c r="K29" s="131"/>
      <c r="L29" s="131"/>
      <c r="M29" s="131"/>
      <c r="N29" s="132"/>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0" t="s">
        <v>217</v>
      </c>
      <c r="C32" s="131"/>
      <c r="D32" s="131"/>
      <c r="E32" s="131"/>
      <c r="F32" s="131"/>
      <c r="G32" s="131"/>
      <c r="H32" s="131"/>
      <c r="I32" s="131"/>
      <c r="J32" s="131"/>
      <c r="K32" s="131"/>
      <c r="L32" s="131"/>
      <c r="M32" s="131"/>
      <c r="N32" s="132"/>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7" t="s">
        <v>74</v>
      </c>
      <c r="C34" s="137"/>
      <c r="D34" s="130" t="s">
        <v>157</v>
      </c>
      <c r="E34" s="131"/>
      <c r="F34" s="131"/>
      <c r="G34" s="138" t="s">
        <v>55</v>
      </c>
      <c r="H34" s="137"/>
      <c r="I34" s="139"/>
      <c r="J34" s="130" t="s">
        <v>158</v>
      </c>
      <c r="K34" s="131"/>
      <c r="L34" s="131"/>
      <c r="M34" s="131"/>
      <c r="N34" s="132"/>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0" t="s">
        <v>218</v>
      </c>
      <c r="C37" s="131"/>
      <c r="D37" s="131"/>
      <c r="E37" s="131"/>
      <c r="F37" s="131"/>
      <c r="G37" s="131"/>
      <c r="H37" s="131"/>
      <c r="I37" s="131"/>
      <c r="J37" s="131"/>
      <c r="K37" s="131"/>
      <c r="L37" s="131"/>
      <c r="M37" s="131"/>
      <c r="N37" s="132"/>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7" t="s">
        <v>74</v>
      </c>
      <c r="C39" s="137"/>
      <c r="D39" s="130" t="s">
        <v>159</v>
      </c>
      <c r="E39" s="131"/>
      <c r="F39" s="131"/>
      <c r="G39" s="138" t="s">
        <v>55</v>
      </c>
      <c r="H39" s="137"/>
      <c r="I39" s="139"/>
      <c r="J39" s="130" t="s">
        <v>160</v>
      </c>
      <c r="K39" s="131"/>
      <c r="L39" s="131"/>
      <c r="M39" s="131"/>
      <c r="N39" s="132"/>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0" t="s">
        <v>161</v>
      </c>
      <c r="G41" s="131"/>
      <c r="H41" s="131"/>
      <c r="I41" s="131"/>
      <c r="J41" s="131"/>
      <c r="K41" s="131"/>
      <c r="L41" s="131"/>
      <c r="M41" s="131"/>
      <c r="N41" s="132"/>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35" t="s">
        <v>162</v>
      </c>
      <c r="D44" s="136"/>
      <c r="E44" s="136"/>
      <c r="F44" s="136"/>
      <c r="G44" s="136"/>
      <c r="H44" s="136"/>
      <c r="I44" s="26" t="s">
        <v>2</v>
      </c>
      <c r="J44" s="27"/>
      <c r="K44" s="130" t="s">
        <v>164</v>
      </c>
      <c r="L44" s="131"/>
      <c r="M44" s="131"/>
      <c r="N44" s="132"/>
      <c r="O44" s="31" t="str">
        <f>IF(OR(C44="",K44=""),"入力してください","")</f>
        <v/>
      </c>
    </row>
    <row r="45" spans="1:15" ht="24" customHeight="1" x14ac:dyDescent="0.15">
      <c r="B45" s="25" t="s">
        <v>4</v>
      </c>
      <c r="C45" s="123" t="s">
        <v>163</v>
      </c>
      <c r="D45" s="124"/>
      <c r="E45" s="124"/>
      <c r="F45" s="124"/>
      <c r="G45" s="124"/>
      <c r="H45" s="125"/>
      <c r="I45" s="26" t="s">
        <v>3</v>
      </c>
      <c r="J45" s="27"/>
      <c r="K45" s="126" t="s">
        <v>165</v>
      </c>
      <c r="L45" s="127"/>
      <c r="M45" s="127"/>
      <c r="N45" s="128"/>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D2287A10-B887-47FE-8C20-2CD6F1AE7707}">
      <formula1>"認定教育プログラム,認定教育プログラム+（プラス）,認定教育プログラムと認定教育プログラム+（プラス）"</formula1>
    </dataValidation>
  </dataValidations>
  <hyperlinks>
    <hyperlink ref="C45" r:id="rId1" xr:uid="{6634C4A0-4798-4322-B3DB-4132EA18A428}"/>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88" zoomScaleNormal="100" zoomScaleSheetLayoutView="100" workbookViewId="0">
      <selection activeCell="C90" sqref="A90:XFD9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56" t="s">
        <v>113</v>
      </c>
      <c r="X1" s="256"/>
      <c r="Y1" s="256"/>
      <c r="Z1" s="256"/>
    </row>
    <row r="2" spans="1:26" ht="18" customHeight="1" x14ac:dyDescent="0.15">
      <c r="A2" s="213" t="s">
        <v>67</v>
      </c>
      <c r="B2" s="213"/>
      <c r="C2" s="213"/>
      <c r="D2" s="213"/>
      <c r="E2" s="213"/>
      <c r="F2" s="213"/>
      <c r="G2" s="213"/>
      <c r="H2" s="213"/>
      <c r="I2" s="213"/>
      <c r="J2" s="213"/>
      <c r="K2" s="213"/>
      <c r="L2" s="213"/>
      <c r="M2" s="213"/>
      <c r="N2" s="213"/>
      <c r="O2" s="213"/>
      <c r="P2" s="213"/>
      <c r="Q2" s="213"/>
      <c r="R2" s="213"/>
      <c r="S2" s="213"/>
      <c r="T2" s="213"/>
      <c r="U2" s="213"/>
      <c r="V2" s="213"/>
      <c r="W2" s="213"/>
      <c r="X2" s="213"/>
      <c r="Y2" s="213"/>
      <c r="Z2" s="213"/>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47" t="s">
        <v>166</v>
      </c>
      <c r="P4" s="148"/>
      <c r="Q4" s="148"/>
      <c r="R4" s="148"/>
      <c r="S4" s="148"/>
      <c r="T4" s="148"/>
      <c r="U4" s="148"/>
      <c r="V4" s="148"/>
      <c r="W4" s="148"/>
      <c r="X4" s="148"/>
      <c r="Y4" s="148"/>
      <c r="Z4" s="14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4" t="s">
        <v>167</v>
      </c>
      <c r="C6" s="215"/>
      <c r="D6" s="215"/>
      <c r="E6" s="215"/>
      <c r="F6" s="215"/>
      <c r="G6" s="215"/>
      <c r="H6" s="215"/>
      <c r="I6" s="215"/>
      <c r="J6" s="215"/>
      <c r="K6" s="215"/>
      <c r="L6" s="215"/>
      <c r="M6" s="215"/>
      <c r="N6" s="215"/>
      <c r="O6" s="215"/>
      <c r="P6" s="215"/>
      <c r="Q6" s="215"/>
      <c r="R6" s="215"/>
      <c r="S6" s="215"/>
      <c r="T6" s="215"/>
      <c r="U6" s="215"/>
      <c r="V6" s="215"/>
      <c r="W6" s="215"/>
      <c r="X6" s="215"/>
      <c r="Y6" s="215"/>
      <c r="Z6" s="216"/>
    </row>
    <row r="7" spans="1:26" ht="18" customHeight="1" x14ac:dyDescent="0.15">
      <c r="B7" s="217"/>
      <c r="C7" s="218"/>
      <c r="D7" s="218"/>
      <c r="E7" s="218"/>
      <c r="F7" s="218"/>
      <c r="G7" s="218"/>
      <c r="H7" s="218"/>
      <c r="I7" s="218"/>
      <c r="J7" s="218"/>
      <c r="K7" s="218"/>
      <c r="L7" s="218"/>
      <c r="M7" s="218"/>
      <c r="N7" s="218"/>
      <c r="O7" s="218"/>
      <c r="P7" s="218"/>
      <c r="Q7" s="218"/>
      <c r="R7" s="218"/>
      <c r="S7" s="218"/>
      <c r="T7" s="218"/>
      <c r="U7" s="218"/>
      <c r="V7" s="218"/>
      <c r="W7" s="218"/>
      <c r="X7" s="218"/>
      <c r="Y7" s="218"/>
      <c r="Z7" s="219"/>
    </row>
    <row r="8" spans="1:26" ht="18" customHeight="1" x14ac:dyDescent="0.15">
      <c r="B8" s="217"/>
      <c r="C8" s="218"/>
      <c r="D8" s="218"/>
      <c r="E8" s="218"/>
      <c r="F8" s="218"/>
      <c r="G8" s="218"/>
      <c r="H8" s="218"/>
      <c r="I8" s="218"/>
      <c r="J8" s="218"/>
      <c r="K8" s="218"/>
      <c r="L8" s="218"/>
      <c r="M8" s="218"/>
      <c r="N8" s="218"/>
      <c r="O8" s="218"/>
      <c r="P8" s="218"/>
      <c r="Q8" s="218"/>
      <c r="R8" s="218"/>
      <c r="S8" s="218"/>
      <c r="T8" s="218"/>
      <c r="U8" s="218"/>
      <c r="V8" s="218"/>
      <c r="W8" s="218"/>
      <c r="X8" s="218"/>
      <c r="Y8" s="218"/>
      <c r="Z8" s="219"/>
    </row>
    <row r="9" spans="1:26" ht="18" customHeight="1" x14ac:dyDescent="0.15">
      <c r="B9" s="217"/>
      <c r="C9" s="218"/>
      <c r="D9" s="218"/>
      <c r="E9" s="218"/>
      <c r="F9" s="218"/>
      <c r="G9" s="218"/>
      <c r="H9" s="218"/>
      <c r="I9" s="218"/>
      <c r="J9" s="218"/>
      <c r="K9" s="218"/>
      <c r="L9" s="218"/>
      <c r="M9" s="218"/>
      <c r="N9" s="218"/>
      <c r="O9" s="218"/>
      <c r="P9" s="218"/>
      <c r="Q9" s="218"/>
      <c r="R9" s="218"/>
      <c r="S9" s="218"/>
      <c r="T9" s="218"/>
      <c r="U9" s="218"/>
      <c r="V9" s="218"/>
      <c r="W9" s="218"/>
      <c r="X9" s="218"/>
      <c r="Y9" s="218"/>
      <c r="Z9" s="219"/>
    </row>
    <row r="10" spans="1:26" ht="18" customHeight="1" x14ac:dyDescent="0.15">
      <c r="B10" s="217"/>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9"/>
    </row>
    <row r="11" spans="1:26" ht="30.6" customHeight="1" x14ac:dyDescent="0.15">
      <c r="B11" s="220"/>
      <c r="C11" s="221"/>
      <c r="D11" s="221"/>
      <c r="E11" s="221"/>
      <c r="F11" s="221"/>
      <c r="G11" s="221"/>
      <c r="H11" s="221"/>
      <c r="I11" s="221"/>
      <c r="J11" s="221"/>
      <c r="K11" s="221"/>
      <c r="L11" s="221"/>
      <c r="M11" s="221"/>
      <c r="N11" s="221"/>
      <c r="O11" s="221"/>
      <c r="P11" s="221"/>
      <c r="Q11" s="221"/>
      <c r="R11" s="221"/>
      <c r="S11" s="221"/>
      <c r="T11" s="221"/>
      <c r="U11" s="221"/>
      <c r="V11" s="221"/>
      <c r="W11" s="221"/>
      <c r="X11" s="221"/>
      <c r="Y11" s="221"/>
      <c r="Z11" s="22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9" t="s">
        <v>126</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x14ac:dyDescent="0.15">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x14ac:dyDescent="0.15">
      <c r="A15" s="14"/>
      <c r="B15" s="147" t="s">
        <v>100</v>
      </c>
      <c r="C15" s="148"/>
      <c r="D15" s="148"/>
      <c r="E15" s="148"/>
      <c r="F15" s="149"/>
      <c r="G15" s="30" t="s">
        <v>142</v>
      </c>
      <c r="H15" s="112" t="s">
        <v>141</v>
      </c>
      <c r="I15" s="148" t="s">
        <v>101</v>
      </c>
      <c r="J15" s="148"/>
      <c r="K15" s="148"/>
      <c r="L15" s="75" t="s">
        <v>104</v>
      </c>
      <c r="M15" s="75" t="s">
        <v>107</v>
      </c>
      <c r="N15" s="147" t="s">
        <v>100</v>
      </c>
      <c r="O15" s="148"/>
      <c r="P15" s="148"/>
      <c r="Q15" s="148"/>
      <c r="R15" s="148"/>
      <c r="S15" s="149"/>
      <c r="T15" s="30" t="s">
        <v>142</v>
      </c>
      <c r="U15" s="112" t="s">
        <v>141</v>
      </c>
      <c r="V15" s="148" t="s">
        <v>101</v>
      </c>
      <c r="W15" s="148"/>
      <c r="X15" s="148"/>
      <c r="Y15" s="75" t="s">
        <v>104</v>
      </c>
      <c r="Z15" s="75" t="s">
        <v>107</v>
      </c>
    </row>
    <row r="16" spans="1:26" ht="18" customHeight="1" x14ac:dyDescent="0.15">
      <c r="A16" s="14"/>
      <c r="B16" s="197" t="s">
        <v>168</v>
      </c>
      <c r="C16" s="198"/>
      <c r="D16" s="198"/>
      <c r="E16" s="198"/>
      <c r="F16" s="199"/>
      <c r="G16" s="113">
        <v>2</v>
      </c>
      <c r="H16" s="113" t="s">
        <v>169</v>
      </c>
      <c r="I16" s="191" t="s">
        <v>170</v>
      </c>
      <c r="J16" s="192"/>
      <c r="K16" s="193"/>
      <c r="L16" s="113" t="s">
        <v>169</v>
      </c>
      <c r="M16" s="113" t="s">
        <v>169</v>
      </c>
      <c r="N16" s="154" t="s">
        <v>171</v>
      </c>
      <c r="O16" s="155"/>
      <c r="P16" s="155"/>
      <c r="Q16" s="155"/>
      <c r="R16" s="155"/>
      <c r="S16" s="156"/>
      <c r="T16" s="113">
        <v>2</v>
      </c>
      <c r="U16" s="113" t="s">
        <v>169</v>
      </c>
      <c r="V16" s="191" t="s">
        <v>170</v>
      </c>
      <c r="W16" s="192"/>
      <c r="X16" s="193"/>
      <c r="Y16" s="113" t="s">
        <v>169</v>
      </c>
      <c r="Z16" s="113" t="s">
        <v>169</v>
      </c>
    </row>
    <row r="17" spans="1:26" ht="18" customHeight="1" x14ac:dyDescent="0.15">
      <c r="A17" s="14"/>
      <c r="B17" s="200" t="s">
        <v>172</v>
      </c>
      <c r="C17" s="201"/>
      <c r="D17" s="201"/>
      <c r="E17" s="201"/>
      <c r="F17" s="202"/>
      <c r="G17" s="114">
        <v>2</v>
      </c>
      <c r="H17" s="114" t="s">
        <v>169</v>
      </c>
      <c r="I17" s="194" t="s">
        <v>170</v>
      </c>
      <c r="J17" s="195"/>
      <c r="K17" s="196"/>
      <c r="L17" s="114" t="s">
        <v>169</v>
      </c>
      <c r="M17" s="114" t="s">
        <v>169</v>
      </c>
      <c r="N17" s="163" t="s">
        <v>173</v>
      </c>
      <c r="O17" s="164"/>
      <c r="P17" s="164"/>
      <c r="Q17" s="164"/>
      <c r="R17" s="164"/>
      <c r="S17" s="165"/>
      <c r="T17" s="114">
        <v>2</v>
      </c>
      <c r="U17" s="114" t="s">
        <v>169</v>
      </c>
      <c r="V17" s="194" t="s">
        <v>170</v>
      </c>
      <c r="W17" s="195"/>
      <c r="X17" s="196"/>
      <c r="Y17" s="114" t="s">
        <v>169</v>
      </c>
      <c r="Z17" s="114" t="s">
        <v>169</v>
      </c>
    </row>
    <row r="18" spans="1:26" ht="18" customHeight="1" x14ac:dyDescent="0.15">
      <c r="A18" s="14"/>
      <c r="B18" s="200" t="s">
        <v>174</v>
      </c>
      <c r="C18" s="201"/>
      <c r="D18" s="201"/>
      <c r="E18" s="201"/>
      <c r="F18" s="202"/>
      <c r="G18" s="114">
        <v>2</v>
      </c>
      <c r="H18" s="114" t="s">
        <v>169</v>
      </c>
      <c r="I18" s="194" t="s">
        <v>170</v>
      </c>
      <c r="J18" s="195"/>
      <c r="K18" s="196"/>
      <c r="L18" s="114" t="s">
        <v>169</v>
      </c>
      <c r="M18" s="114" t="s">
        <v>169</v>
      </c>
      <c r="N18" s="163" t="s">
        <v>175</v>
      </c>
      <c r="O18" s="164"/>
      <c r="P18" s="164"/>
      <c r="Q18" s="164"/>
      <c r="R18" s="164"/>
      <c r="S18" s="165"/>
      <c r="T18" s="114">
        <v>2</v>
      </c>
      <c r="U18" s="114" t="s">
        <v>169</v>
      </c>
      <c r="V18" s="194" t="s">
        <v>170</v>
      </c>
      <c r="W18" s="195"/>
      <c r="X18" s="196"/>
      <c r="Y18" s="114" t="s">
        <v>169</v>
      </c>
      <c r="Z18" s="114" t="s">
        <v>169</v>
      </c>
    </row>
    <row r="19" spans="1:26" ht="18" customHeight="1" x14ac:dyDescent="0.15">
      <c r="A19" s="14"/>
      <c r="B19" s="200" t="s">
        <v>176</v>
      </c>
      <c r="C19" s="201"/>
      <c r="D19" s="201"/>
      <c r="E19" s="201"/>
      <c r="F19" s="202"/>
      <c r="G19" s="114">
        <v>2</v>
      </c>
      <c r="H19" s="114" t="s">
        <v>169</v>
      </c>
      <c r="I19" s="194" t="s">
        <v>170</v>
      </c>
      <c r="J19" s="195"/>
      <c r="K19" s="196"/>
      <c r="L19" s="120" t="s">
        <v>169</v>
      </c>
      <c r="M19" s="120" t="s">
        <v>169</v>
      </c>
      <c r="N19" s="257" t="s">
        <v>177</v>
      </c>
      <c r="O19" s="258"/>
      <c r="P19" s="258"/>
      <c r="Q19" s="258"/>
      <c r="R19" s="258"/>
      <c r="S19" s="259"/>
      <c r="T19" s="120">
        <v>2</v>
      </c>
      <c r="U19" s="120" t="s">
        <v>169</v>
      </c>
      <c r="V19" s="203" t="s">
        <v>170</v>
      </c>
      <c r="W19" s="204"/>
      <c r="X19" s="205"/>
      <c r="Y19" s="120" t="s">
        <v>169</v>
      </c>
      <c r="Z19" s="120" t="s">
        <v>169</v>
      </c>
    </row>
    <row r="20" spans="1:26" ht="18" customHeight="1" x14ac:dyDescent="0.15">
      <c r="A20" s="14"/>
      <c r="B20" s="200" t="s">
        <v>178</v>
      </c>
      <c r="C20" s="201"/>
      <c r="D20" s="201"/>
      <c r="E20" s="201"/>
      <c r="F20" s="202"/>
      <c r="G20" s="114">
        <v>2</v>
      </c>
      <c r="H20" s="114" t="s">
        <v>169</v>
      </c>
      <c r="I20" s="194" t="s">
        <v>170</v>
      </c>
      <c r="J20" s="195"/>
      <c r="K20" s="196"/>
      <c r="L20" s="120" t="s">
        <v>169</v>
      </c>
      <c r="M20" s="120" t="s">
        <v>169</v>
      </c>
      <c r="N20" s="257" t="s">
        <v>179</v>
      </c>
      <c r="O20" s="258"/>
      <c r="P20" s="258"/>
      <c r="Q20" s="258"/>
      <c r="R20" s="258"/>
      <c r="S20" s="259"/>
      <c r="T20" s="120">
        <v>2</v>
      </c>
      <c r="U20" s="120" t="s">
        <v>169</v>
      </c>
      <c r="V20" s="203" t="s">
        <v>170</v>
      </c>
      <c r="W20" s="204"/>
      <c r="X20" s="205"/>
      <c r="Y20" s="120" t="s">
        <v>169</v>
      </c>
      <c r="Z20" s="120" t="s">
        <v>169</v>
      </c>
    </row>
    <row r="21" spans="1:26" ht="18" customHeight="1" x14ac:dyDescent="0.15">
      <c r="A21" s="29"/>
      <c r="B21" s="200" t="s">
        <v>180</v>
      </c>
      <c r="C21" s="201"/>
      <c r="D21" s="201"/>
      <c r="E21" s="201"/>
      <c r="F21" s="202"/>
      <c r="G21" s="114">
        <v>2</v>
      </c>
      <c r="H21" s="114" t="s">
        <v>169</v>
      </c>
      <c r="I21" s="194" t="s">
        <v>170</v>
      </c>
      <c r="J21" s="195"/>
      <c r="K21" s="196"/>
      <c r="L21" s="114" t="s">
        <v>169</v>
      </c>
      <c r="M21" s="114" t="s">
        <v>169</v>
      </c>
      <c r="N21" s="163" t="s">
        <v>181</v>
      </c>
      <c r="O21" s="164"/>
      <c r="P21" s="164"/>
      <c r="Q21" s="164"/>
      <c r="R21" s="164"/>
      <c r="S21" s="165"/>
      <c r="T21" s="114">
        <v>2</v>
      </c>
      <c r="U21" s="114" t="s">
        <v>169</v>
      </c>
      <c r="V21" s="194" t="s">
        <v>170</v>
      </c>
      <c r="W21" s="195"/>
      <c r="X21" s="196"/>
      <c r="Y21" s="114" t="s">
        <v>169</v>
      </c>
      <c r="Z21" s="114" t="s">
        <v>169</v>
      </c>
    </row>
    <row r="22" spans="1:26" ht="18" customHeight="1" x14ac:dyDescent="0.15">
      <c r="A22" s="29"/>
      <c r="B22" s="210" t="s">
        <v>182</v>
      </c>
      <c r="C22" s="211"/>
      <c r="D22" s="211"/>
      <c r="E22" s="211"/>
      <c r="F22" s="212"/>
      <c r="G22" s="115">
        <v>2</v>
      </c>
      <c r="H22" s="115" t="s">
        <v>169</v>
      </c>
      <c r="I22" s="206" t="s">
        <v>170</v>
      </c>
      <c r="J22" s="207"/>
      <c r="K22" s="208"/>
      <c r="L22" s="118" t="s">
        <v>169</v>
      </c>
      <c r="M22" s="118" t="s">
        <v>169</v>
      </c>
      <c r="N22" s="235"/>
      <c r="O22" s="236"/>
      <c r="P22" s="236"/>
      <c r="Q22" s="236"/>
      <c r="R22" s="236"/>
      <c r="S22" s="237"/>
      <c r="T22" s="115"/>
      <c r="U22" s="115"/>
      <c r="V22" s="206"/>
      <c r="W22" s="207"/>
      <c r="X22" s="208"/>
      <c r="Y22" s="118"/>
      <c r="Z22" s="118"/>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9" t="s">
        <v>127</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x14ac:dyDescent="0.1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x14ac:dyDescent="0.15">
      <c r="A26" s="14"/>
      <c r="B26" s="147" t="s">
        <v>100</v>
      </c>
      <c r="C26" s="148"/>
      <c r="D26" s="148"/>
      <c r="E26" s="148"/>
      <c r="F26" s="149"/>
      <c r="G26" s="30" t="s">
        <v>142</v>
      </c>
      <c r="H26" s="112" t="s">
        <v>141</v>
      </c>
      <c r="I26" s="148" t="s">
        <v>101</v>
      </c>
      <c r="J26" s="148"/>
      <c r="K26" s="148"/>
      <c r="L26" s="75" t="s">
        <v>128</v>
      </c>
      <c r="M26" s="75" t="s">
        <v>129</v>
      </c>
      <c r="N26" s="147" t="s">
        <v>100</v>
      </c>
      <c r="O26" s="148"/>
      <c r="P26" s="148"/>
      <c r="Q26" s="148"/>
      <c r="R26" s="148"/>
      <c r="S26" s="149"/>
      <c r="T26" s="30" t="s">
        <v>142</v>
      </c>
      <c r="U26" s="112" t="s">
        <v>141</v>
      </c>
      <c r="V26" s="148" t="s">
        <v>101</v>
      </c>
      <c r="W26" s="148"/>
      <c r="X26" s="148"/>
      <c r="Y26" s="75" t="s">
        <v>128</v>
      </c>
      <c r="Z26" s="75" t="s">
        <v>129</v>
      </c>
    </row>
    <row r="27" spans="1:26" ht="18" customHeight="1" x14ac:dyDescent="0.15">
      <c r="A27" s="14"/>
      <c r="B27" s="197" t="s">
        <v>168</v>
      </c>
      <c r="C27" s="198"/>
      <c r="D27" s="198"/>
      <c r="E27" s="198"/>
      <c r="F27" s="199"/>
      <c r="G27" s="113">
        <v>2</v>
      </c>
      <c r="H27" s="113" t="s">
        <v>169</v>
      </c>
      <c r="I27" s="191" t="s">
        <v>170</v>
      </c>
      <c r="J27" s="192"/>
      <c r="K27" s="193"/>
      <c r="L27" s="113" t="s">
        <v>169</v>
      </c>
      <c r="M27" s="113" t="s">
        <v>169</v>
      </c>
      <c r="N27" s="154" t="s">
        <v>171</v>
      </c>
      <c r="O27" s="155"/>
      <c r="P27" s="155"/>
      <c r="Q27" s="155"/>
      <c r="R27" s="155"/>
      <c r="S27" s="156"/>
      <c r="T27" s="113">
        <v>2</v>
      </c>
      <c r="U27" s="113" t="s">
        <v>169</v>
      </c>
      <c r="V27" s="191" t="s">
        <v>170</v>
      </c>
      <c r="W27" s="192"/>
      <c r="X27" s="193"/>
      <c r="Y27" s="113" t="s">
        <v>169</v>
      </c>
      <c r="Z27" s="113" t="s">
        <v>169</v>
      </c>
    </row>
    <row r="28" spans="1:26" ht="18" customHeight="1" x14ac:dyDescent="0.15">
      <c r="A28" s="14"/>
      <c r="B28" s="200" t="s">
        <v>172</v>
      </c>
      <c r="C28" s="201"/>
      <c r="D28" s="201"/>
      <c r="E28" s="201"/>
      <c r="F28" s="202"/>
      <c r="G28" s="114">
        <v>2</v>
      </c>
      <c r="H28" s="114" t="s">
        <v>169</v>
      </c>
      <c r="I28" s="194" t="s">
        <v>170</v>
      </c>
      <c r="J28" s="195"/>
      <c r="K28" s="196"/>
      <c r="L28" s="114" t="s">
        <v>169</v>
      </c>
      <c r="M28" s="114" t="s">
        <v>169</v>
      </c>
      <c r="N28" s="163" t="s">
        <v>173</v>
      </c>
      <c r="O28" s="164"/>
      <c r="P28" s="164"/>
      <c r="Q28" s="164"/>
      <c r="R28" s="164"/>
      <c r="S28" s="165"/>
      <c r="T28" s="114">
        <v>2</v>
      </c>
      <c r="U28" s="114" t="s">
        <v>169</v>
      </c>
      <c r="V28" s="194" t="s">
        <v>170</v>
      </c>
      <c r="W28" s="195"/>
      <c r="X28" s="196"/>
      <c r="Y28" s="114" t="s">
        <v>169</v>
      </c>
      <c r="Z28" s="114" t="s">
        <v>169</v>
      </c>
    </row>
    <row r="29" spans="1:26" ht="18" customHeight="1" x14ac:dyDescent="0.15">
      <c r="A29" s="14"/>
      <c r="B29" s="200" t="s">
        <v>174</v>
      </c>
      <c r="C29" s="201"/>
      <c r="D29" s="201"/>
      <c r="E29" s="201"/>
      <c r="F29" s="202"/>
      <c r="G29" s="114">
        <v>2</v>
      </c>
      <c r="H29" s="114" t="s">
        <v>169</v>
      </c>
      <c r="I29" s="194" t="s">
        <v>170</v>
      </c>
      <c r="J29" s="195"/>
      <c r="K29" s="196"/>
      <c r="L29" s="114" t="s">
        <v>169</v>
      </c>
      <c r="M29" s="114" t="s">
        <v>169</v>
      </c>
      <c r="N29" s="163" t="s">
        <v>175</v>
      </c>
      <c r="O29" s="164"/>
      <c r="P29" s="164"/>
      <c r="Q29" s="164"/>
      <c r="R29" s="164"/>
      <c r="S29" s="165"/>
      <c r="T29" s="114">
        <v>2</v>
      </c>
      <c r="U29" s="114" t="s">
        <v>169</v>
      </c>
      <c r="V29" s="194" t="s">
        <v>170</v>
      </c>
      <c r="W29" s="195"/>
      <c r="X29" s="196"/>
      <c r="Y29" s="114" t="s">
        <v>169</v>
      </c>
      <c r="Z29" s="114" t="s">
        <v>169</v>
      </c>
    </row>
    <row r="30" spans="1:26" ht="18" customHeight="1" x14ac:dyDescent="0.15">
      <c r="A30" s="14"/>
      <c r="B30" s="200" t="s">
        <v>176</v>
      </c>
      <c r="C30" s="201"/>
      <c r="D30" s="201"/>
      <c r="E30" s="201"/>
      <c r="F30" s="202"/>
      <c r="G30" s="114">
        <v>2</v>
      </c>
      <c r="H30" s="114" t="s">
        <v>169</v>
      </c>
      <c r="I30" s="194" t="s">
        <v>170</v>
      </c>
      <c r="J30" s="195"/>
      <c r="K30" s="196"/>
      <c r="L30" s="120" t="s">
        <v>169</v>
      </c>
      <c r="M30" s="120" t="s">
        <v>169</v>
      </c>
      <c r="N30" s="257" t="s">
        <v>177</v>
      </c>
      <c r="O30" s="258"/>
      <c r="P30" s="258"/>
      <c r="Q30" s="258"/>
      <c r="R30" s="258"/>
      <c r="S30" s="259"/>
      <c r="T30" s="120">
        <v>2</v>
      </c>
      <c r="U30" s="120" t="s">
        <v>169</v>
      </c>
      <c r="V30" s="203" t="s">
        <v>170</v>
      </c>
      <c r="W30" s="204"/>
      <c r="X30" s="205"/>
      <c r="Y30" s="120" t="s">
        <v>169</v>
      </c>
      <c r="Z30" s="120" t="s">
        <v>169</v>
      </c>
    </row>
    <row r="31" spans="1:26" ht="18" customHeight="1" x14ac:dyDescent="0.15">
      <c r="A31" s="14"/>
      <c r="B31" s="200" t="s">
        <v>178</v>
      </c>
      <c r="C31" s="201"/>
      <c r="D31" s="201"/>
      <c r="E31" s="201"/>
      <c r="F31" s="202"/>
      <c r="G31" s="114">
        <v>2</v>
      </c>
      <c r="H31" s="114" t="s">
        <v>169</v>
      </c>
      <c r="I31" s="194" t="s">
        <v>170</v>
      </c>
      <c r="J31" s="195"/>
      <c r="K31" s="196"/>
      <c r="L31" s="120" t="s">
        <v>169</v>
      </c>
      <c r="M31" s="120" t="s">
        <v>169</v>
      </c>
      <c r="N31" s="257" t="s">
        <v>179</v>
      </c>
      <c r="O31" s="258"/>
      <c r="P31" s="258"/>
      <c r="Q31" s="258"/>
      <c r="R31" s="258"/>
      <c r="S31" s="259"/>
      <c r="T31" s="120">
        <v>2</v>
      </c>
      <c r="U31" s="120" t="s">
        <v>169</v>
      </c>
      <c r="V31" s="203" t="s">
        <v>170</v>
      </c>
      <c r="W31" s="204"/>
      <c r="X31" s="205"/>
      <c r="Y31" s="120" t="s">
        <v>169</v>
      </c>
      <c r="Z31" s="120" t="s">
        <v>169</v>
      </c>
    </row>
    <row r="32" spans="1:26" ht="18" customHeight="1" x14ac:dyDescent="0.15">
      <c r="A32" s="14"/>
      <c r="B32" s="200" t="s">
        <v>180</v>
      </c>
      <c r="C32" s="201"/>
      <c r="D32" s="201"/>
      <c r="E32" s="201"/>
      <c r="F32" s="202"/>
      <c r="G32" s="114">
        <v>2</v>
      </c>
      <c r="H32" s="114" t="s">
        <v>169</v>
      </c>
      <c r="I32" s="194" t="s">
        <v>170</v>
      </c>
      <c r="J32" s="195"/>
      <c r="K32" s="196"/>
      <c r="L32" s="114" t="s">
        <v>169</v>
      </c>
      <c r="M32" s="114" t="s">
        <v>169</v>
      </c>
      <c r="N32" s="163" t="s">
        <v>181</v>
      </c>
      <c r="O32" s="164"/>
      <c r="P32" s="164"/>
      <c r="Q32" s="164"/>
      <c r="R32" s="164"/>
      <c r="S32" s="165"/>
      <c r="T32" s="114">
        <v>2</v>
      </c>
      <c r="U32" s="114" t="s">
        <v>169</v>
      </c>
      <c r="V32" s="194" t="s">
        <v>170</v>
      </c>
      <c r="W32" s="195"/>
      <c r="X32" s="196"/>
      <c r="Y32" s="114" t="s">
        <v>169</v>
      </c>
      <c r="Z32" s="114" t="s">
        <v>169</v>
      </c>
    </row>
    <row r="33" spans="1:26" ht="18" customHeight="1" x14ac:dyDescent="0.15">
      <c r="A33" s="14"/>
      <c r="B33" s="210" t="s">
        <v>182</v>
      </c>
      <c r="C33" s="211"/>
      <c r="D33" s="211"/>
      <c r="E33" s="211"/>
      <c r="F33" s="212"/>
      <c r="G33" s="115">
        <v>2</v>
      </c>
      <c r="H33" s="115" t="s">
        <v>169</v>
      </c>
      <c r="I33" s="206" t="s">
        <v>170</v>
      </c>
      <c r="J33" s="207"/>
      <c r="K33" s="208"/>
      <c r="L33" s="118" t="s">
        <v>169</v>
      </c>
      <c r="M33" s="118" t="s">
        <v>169</v>
      </c>
      <c r="N33" s="235"/>
      <c r="O33" s="236"/>
      <c r="P33" s="236"/>
      <c r="Q33" s="236"/>
      <c r="R33" s="236"/>
      <c r="S33" s="237"/>
      <c r="T33" s="115"/>
      <c r="U33" s="115"/>
      <c r="V33" s="206"/>
      <c r="W33" s="207"/>
      <c r="X33" s="208"/>
      <c r="Y33" s="118"/>
      <c r="Z33" s="118"/>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9" t="s">
        <v>130</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x14ac:dyDescent="0.15">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x14ac:dyDescent="0.15">
      <c r="A37" s="14"/>
      <c r="B37" s="147" t="s">
        <v>100</v>
      </c>
      <c r="C37" s="148"/>
      <c r="D37" s="148"/>
      <c r="E37" s="148"/>
      <c r="F37" s="149"/>
      <c r="G37" s="30" t="s">
        <v>142</v>
      </c>
      <c r="H37" s="112" t="s">
        <v>141</v>
      </c>
      <c r="I37" s="147" t="s">
        <v>101</v>
      </c>
      <c r="J37" s="148"/>
      <c r="K37" s="149"/>
      <c r="L37" s="75" t="s">
        <v>131</v>
      </c>
      <c r="M37" s="75" t="s">
        <v>132</v>
      </c>
      <c r="N37" s="147" t="s">
        <v>100</v>
      </c>
      <c r="O37" s="148"/>
      <c r="P37" s="148"/>
      <c r="Q37" s="148"/>
      <c r="R37" s="148"/>
      <c r="S37" s="149"/>
      <c r="T37" s="30" t="s">
        <v>142</v>
      </c>
      <c r="U37" s="112" t="s">
        <v>141</v>
      </c>
      <c r="V37" s="147" t="s">
        <v>101</v>
      </c>
      <c r="W37" s="148"/>
      <c r="X37" s="149"/>
      <c r="Y37" s="75" t="s">
        <v>131</v>
      </c>
      <c r="Z37" s="75" t="s">
        <v>132</v>
      </c>
    </row>
    <row r="38" spans="1:26" ht="18" customHeight="1" x14ac:dyDescent="0.15">
      <c r="A38" s="29"/>
      <c r="B38" s="197" t="s">
        <v>168</v>
      </c>
      <c r="C38" s="198"/>
      <c r="D38" s="198"/>
      <c r="E38" s="198"/>
      <c r="F38" s="199"/>
      <c r="G38" s="113">
        <v>2</v>
      </c>
      <c r="H38" s="113" t="s">
        <v>169</v>
      </c>
      <c r="I38" s="191" t="s">
        <v>170</v>
      </c>
      <c r="J38" s="192"/>
      <c r="K38" s="193"/>
      <c r="L38" s="113" t="s">
        <v>169</v>
      </c>
      <c r="M38" s="113" t="s">
        <v>169</v>
      </c>
      <c r="N38" s="154" t="s">
        <v>171</v>
      </c>
      <c r="O38" s="155"/>
      <c r="P38" s="155"/>
      <c r="Q38" s="155"/>
      <c r="R38" s="155"/>
      <c r="S38" s="156"/>
      <c r="T38" s="113">
        <v>2</v>
      </c>
      <c r="U38" s="113" t="s">
        <v>169</v>
      </c>
      <c r="V38" s="191" t="s">
        <v>170</v>
      </c>
      <c r="W38" s="192"/>
      <c r="X38" s="193"/>
      <c r="Y38" s="113" t="s">
        <v>169</v>
      </c>
      <c r="Z38" s="113" t="s">
        <v>169</v>
      </c>
    </row>
    <row r="39" spans="1:26" ht="18" customHeight="1" x14ac:dyDescent="0.15">
      <c r="A39" s="29"/>
      <c r="B39" s="200" t="s">
        <v>172</v>
      </c>
      <c r="C39" s="201"/>
      <c r="D39" s="201"/>
      <c r="E39" s="201"/>
      <c r="F39" s="202"/>
      <c r="G39" s="114">
        <v>2</v>
      </c>
      <c r="H39" s="114" t="s">
        <v>169</v>
      </c>
      <c r="I39" s="194" t="s">
        <v>170</v>
      </c>
      <c r="J39" s="195"/>
      <c r="K39" s="196"/>
      <c r="L39" s="114" t="s">
        <v>169</v>
      </c>
      <c r="M39" s="114" t="s">
        <v>169</v>
      </c>
      <c r="N39" s="163" t="s">
        <v>173</v>
      </c>
      <c r="O39" s="164"/>
      <c r="P39" s="164"/>
      <c r="Q39" s="164"/>
      <c r="R39" s="164"/>
      <c r="S39" s="165"/>
      <c r="T39" s="114">
        <v>2</v>
      </c>
      <c r="U39" s="114" t="s">
        <v>169</v>
      </c>
      <c r="V39" s="194" t="s">
        <v>170</v>
      </c>
      <c r="W39" s="195"/>
      <c r="X39" s="196"/>
      <c r="Y39" s="114" t="s">
        <v>169</v>
      </c>
      <c r="Z39" s="114" t="s">
        <v>169</v>
      </c>
    </row>
    <row r="40" spans="1:26" ht="18" customHeight="1" x14ac:dyDescent="0.15">
      <c r="A40" s="29"/>
      <c r="B40" s="200" t="s">
        <v>174</v>
      </c>
      <c r="C40" s="201"/>
      <c r="D40" s="201"/>
      <c r="E40" s="201"/>
      <c r="F40" s="202"/>
      <c r="G40" s="114">
        <v>2</v>
      </c>
      <c r="H40" s="114" t="s">
        <v>169</v>
      </c>
      <c r="I40" s="194" t="s">
        <v>170</v>
      </c>
      <c r="J40" s="195"/>
      <c r="K40" s="196"/>
      <c r="L40" s="114" t="s">
        <v>169</v>
      </c>
      <c r="M40" s="114" t="s">
        <v>169</v>
      </c>
      <c r="N40" s="163" t="s">
        <v>175</v>
      </c>
      <c r="O40" s="164"/>
      <c r="P40" s="164"/>
      <c r="Q40" s="164"/>
      <c r="R40" s="164"/>
      <c r="S40" s="165"/>
      <c r="T40" s="114">
        <v>2</v>
      </c>
      <c r="U40" s="114" t="s">
        <v>169</v>
      </c>
      <c r="V40" s="194" t="s">
        <v>170</v>
      </c>
      <c r="W40" s="195"/>
      <c r="X40" s="196"/>
      <c r="Y40" s="114" t="s">
        <v>169</v>
      </c>
      <c r="Z40" s="114" t="s">
        <v>169</v>
      </c>
    </row>
    <row r="41" spans="1:26" ht="18" customHeight="1" x14ac:dyDescent="0.15">
      <c r="A41" s="29"/>
      <c r="B41" s="200" t="s">
        <v>176</v>
      </c>
      <c r="C41" s="201"/>
      <c r="D41" s="201"/>
      <c r="E41" s="201"/>
      <c r="F41" s="202"/>
      <c r="G41" s="114">
        <v>2</v>
      </c>
      <c r="H41" s="114" t="s">
        <v>169</v>
      </c>
      <c r="I41" s="194" t="s">
        <v>170</v>
      </c>
      <c r="J41" s="195"/>
      <c r="K41" s="196"/>
      <c r="L41" s="120" t="s">
        <v>169</v>
      </c>
      <c r="M41" s="120" t="s">
        <v>169</v>
      </c>
      <c r="N41" s="257" t="s">
        <v>177</v>
      </c>
      <c r="O41" s="258"/>
      <c r="P41" s="258"/>
      <c r="Q41" s="258"/>
      <c r="R41" s="258"/>
      <c r="S41" s="259"/>
      <c r="T41" s="120">
        <v>2</v>
      </c>
      <c r="U41" s="120" t="s">
        <v>169</v>
      </c>
      <c r="V41" s="203" t="s">
        <v>170</v>
      </c>
      <c r="W41" s="204"/>
      <c r="X41" s="205"/>
      <c r="Y41" s="120" t="s">
        <v>169</v>
      </c>
      <c r="Z41" s="120" t="s">
        <v>169</v>
      </c>
    </row>
    <row r="42" spans="1:26" ht="18" customHeight="1" x14ac:dyDescent="0.15">
      <c r="A42" s="29"/>
      <c r="B42" s="200" t="s">
        <v>178</v>
      </c>
      <c r="C42" s="201"/>
      <c r="D42" s="201"/>
      <c r="E42" s="201"/>
      <c r="F42" s="202"/>
      <c r="G42" s="114">
        <v>2</v>
      </c>
      <c r="H42" s="114" t="s">
        <v>169</v>
      </c>
      <c r="I42" s="194" t="s">
        <v>170</v>
      </c>
      <c r="J42" s="195"/>
      <c r="K42" s="196"/>
      <c r="L42" s="120" t="s">
        <v>169</v>
      </c>
      <c r="M42" s="120" t="s">
        <v>169</v>
      </c>
      <c r="N42" s="257" t="s">
        <v>179</v>
      </c>
      <c r="O42" s="258"/>
      <c r="P42" s="258"/>
      <c r="Q42" s="258"/>
      <c r="R42" s="258"/>
      <c r="S42" s="259"/>
      <c r="T42" s="120">
        <v>2</v>
      </c>
      <c r="U42" s="120" t="s">
        <v>169</v>
      </c>
      <c r="V42" s="203" t="s">
        <v>170</v>
      </c>
      <c r="W42" s="204"/>
      <c r="X42" s="205"/>
      <c r="Y42" s="120" t="s">
        <v>169</v>
      </c>
      <c r="Z42" s="120" t="s">
        <v>169</v>
      </c>
    </row>
    <row r="43" spans="1:26" ht="18" customHeight="1" x14ac:dyDescent="0.15">
      <c r="A43" s="29"/>
      <c r="B43" s="200" t="s">
        <v>180</v>
      </c>
      <c r="C43" s="201"/>
      <c r="D43" s="201"/>
      <c r="E43" s="201"/>
      <c r="F43" s="202"/>
      <c r="G43" s="114">
        <v>2</v>
      </c>
      <c r="H43" s="114" t="s">
        <v>169</v>
      </c>
      <c r="I43" s="194" t="s">
        <v>170</v>
      </c>
      <c r="J43" s="195"/>
      <c r="K43" s="196"/>
      <c r="L43" s="114" t="s">
        <v>169</v>
      </c>
      <c r="M43" s="114" t="s">
        <v>169</v>
      </c>
      <c r="N43" s="163" t="s">
        <v>181</v>
      </c>
      <c r="O43" s="164"/>
      <c r="P43" s="164"/>
      <c r="Q43" s="164"/>
      <c r="R43" s="164"/>
      <c r="S43" s="165"/>
      <c r="T43" s="114">
        <v>2</v>
      </c>
      <c r="U43" s="114" t="s">
        <v>169</v>
      </c>
      <c r="V43" s="194" t="s">
        <v>170</v>
      </c>
      <c r="W43" s="195"/>
      <c r="X43" s="196"/>
      <c r="Y43" s="114" t="s">
        <v>169</v>
      </c>
      <c r="Z43" s="114" t="s">
        <v>169</v>
      </c>
    </row>
    <row r="44" spans="1:26" ht="18" customHeight="1" x14ac:dyDescent="0.15">
      <c r="A44" s="29"/>
      <c r="B44" s="210" t="s">
        <v>182</v>
      </c>
      <c r="C44" s="211"/>
      <c r="D44" s="211"/>
      <c r="E44" s="211"/>
      <c r="F44" s="212"/>
      <c r="G44" s="115">
        <v>2</v>
      </c>
      <c r="H44" s="115" t="s">
        <v>169</v>
      </c>
      <c r="I44" s="206" t="s">
        <v>170</v>
      </c>
      <c r="J44" s="207"/>
      <c r="K44" s="208"/>
      <c r="L44" s="118" t="s">
        <v>169</v>
      </c>
      <c r="M44" s="118" t="s">
        <v>169</v>
      </c>
      <c r="N44" s="235"/>
      <c r="O44" s="236"/>
      <c r="P44" s="236"/>
      <c r="Q44" s="236"/>
      <c r="R44" s="236"/>
      <c r="S44" s="237"/>
      <c r="T44" s="115"/>
      <c r="U44" s="115"/>
      <c r="V44" s="206"/>
      <c r="W44" s="207"/>
      <c r="X44" s="208"/>
      <c r="Y44" s="118"/>
      <c r="Z44" s="118"/>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9" t="s">
        <v>133</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x14ac:dyDescent="0.15">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x14ac:dyDescent="0.15">
      <c r="A48" s="14"/>
      <c r="B48" s="147" t="s">
        <v>100</v>
      </c>
      <c r="C48" s="148"/>
      <c r="D48" s="148"/>
      <c r="E48" s="148"/>
      <c r="F48" s="149"/>
      <c r="G48" s="30" t="s">
        <v>142</v>
      </c>
      <c r="H48" s="112" t="s">
        <v>141</v>
      </c>
      <c r="I48" s="147" t="s">
        <v>101</v>
      </c>
      <c r="J48" s="148"/>
      <c r="K48" s="149"/>
      <c r="L48" s="75" t="s">
        <v>106</v>
      </c>
      <c r="M48" s="75" t="s">
        <v>108</v>
      </c>
      <c r="N48" s="147" t="s">
        <v>100</v>
      </c>
      <c r="O48" s="148"/>
      <c r="P48" s="148"/>
      <c r="Q48" s="148"/>
      <c r="R48" s="148"/>
      <c r="S48" s="149"/>
      <c r="T48" s="30" t="s">
        <v>142</v>
      </c>
      <c r="U48" s="112" t="s">
        <v>141</v>
      </c>
      <c r="V48" s="147" t="s">
        <v>101</v>
      </c>
      <c r="W48" s="148"/>
      <c r="X48" s="149"/>
      <c r="Y48" s="75" t="s">
        <v>106</v>
      </c>
      <c r="Z48" s="75" t="s">
        <v>108</v>
      </c>
    </row>
    <row r="49" spans="1:26" ht="18" customHeight="1" x14ac:dyDescent="0.15">
      <c r="A49" s="29"/>
      <c r="B49" s="197" t="s">
        <v>168</v>
      </c>
      <c r="C49" s="198"/>
      <c r="D49" s="198"/>
      <c r="E49" s="198"/>
      <c r="F49" s="199"/>
      <c r="G49" s="113">
        <v>2</v>
      </c>
      <c r="H49" s="113" t="s">
        <v>169</v>
      </c>
      <c r="I49" s="191" t="s">
        <v>170</v>
      </c>
      <c r="J49" s="192"/>
      <c r="K49" s="193"/>
      <c r="L49" s="113" t="s">
        <v>169</v>
      </c>
      <c r="M49" s="113" t="s">
        <v>169</v>
      </c>
      <c r="N49" s="154" t="s">
        <v>171</v>
      </c>
      <c r="O49" s="155"/>
      <c r="P49" s="155"/>
      <c r="Q49" s="155"/>
      <c r="R49" s="155"/>
      <c r="S49" s="156"/>
      <c r="T49" s="113">
        <v>2</v>
      </c>
      <c r="U49" s="113" t="s">
        <v>169</v>
      </c>
      <c r="V49" s="191" t="s">
        <v>170</v>
      </c>
      <c r="W49" s="192"/>
      <c r="X49" s="193"/>
      <c r="Y49" s="113" t="s">
        <v>169</v>
      </c>
      <c r="Z49" s="113" t="s">
        <v>169</v>
      </c>
    </row>
    <row r="50" spans="1:26" ht="18" customHeight="1" x14ac:dyDescent="0.15">
      <c r="A50" s="29"/>
      <c r="B50" s="200" t="s">
        <v>172</v>
      </c>
      <c r="C50" s="201"/>
      <c r="D50" s="201"/>
      <c r="E50" s="201"/>
      <c r="F50" s="202"/>
      <c r="G50" s="114">
        <v>2</v>
      </c>
      <c r="H50" s="114" t="s">
        <v>169</v>
      </c>
      <c r="I50" s="194" t="s">
        <v>170</v>
      </c>
      <c r="J50" s="195"/>
      <c r="K50" s="196"/>
      <c r="L50" s="114" t="s">
        <v>169</v>
      </c>
      <c r="M50" s="114" t="s">
        <v>169</v>
      </c>
      <c r="N50" s="163" t="s">
        <v>173</v>
      </c>
      <c r="O50" s="164"/>
      <c r="P50" s="164"/>
      <c r="Q50" s="164"/>
      <c r="R50" s="164"/>
      <c r="S50" s="165"/>
      <c r="T50" s="114">
        <v>2</v>
      </c>
      <c r="U50" s="114" t="s">
        <v>169</v>
      </c>
      <c r="V50" s="194" t="s">
        <v>170</v>
      </c>
      <c r="W50" s="195"/>
      <c r="X50" s="196"/>
      <c r="Y50" s="114" t="s">
        <v>169</v>
      </c>
      <c r="Z50" s="114" t="s">
        <v>169</v>
      </c>
    </row>
    <row r="51" spans="1:26" ht="18" customHeight="1" x14ac:dyDescent="0.15">
      <c r="A51" s="29"/>
      <c r="B51" s="200" t="s">
        <v>174</v>
      </c>
      <c r="C51" s="201"/>
      <c r="D51" s="201"/>
      <c r="E51" s="201"/>
      <c r="F51" s="202"/>
      <c r="G51" s="114">
        <v>2</v>
      </c>
      <c r="H51" s="114" t="s">
        <v>169</v>
      </c>
      <c r="I51" s="194" t="s">
        <v>170</v>
      </c>
      <c r="J51" s="195"/>
      <c r="K51" s="196"/>
      <c r="L51" s="114" t="s">
        <v>169</v>
      </c>
      <c r="M51" s="114" t="s">
        <v>169</v>
      </c>
      <c r="N51" s="163" t="s">
        <v>175</v>
      </c>
      <c r="O51" s="164"/>
      <c r="P51" s="164"/>
      <c r="Q51" s="164"/>
      <c r="R51" s="164"/>
      <c r="S51" s="165"/>
      <c r="T51" s="114">
        <v>2</v>
      </c>
      <c r="U51" s="114" t="s">
        <v>169</v>
      </c>
      <c r="V51" s="194" t="s">
        <v>170</v>
      </c>
      <c r="W51" s="195"/>
      <c r="X51" s="196"/>
      <c r="Y51" s="114" t="s">
        <v>169</v>
      </c>
      <c r="Z51" s="114" t="s">
        <v>169</v>
      </c>
    </row>
    <row r="52" spans="1:26" ht="18" customHeight="1" x14ac:dyDescent="0.15">
      <c r="A52" s="29"/>
      <c r="B52" s="200" t="s">
        <v>176</v>
      </c>
      <c r="C52" s="201"/>
      <c r="D52" s="201"/>
      <c r="E52" s="201"/>
      <c r="F52" s="202"/>
      <c r="G52" s="114">
        <v>2</v>
      </c>
      <c r="H52" s="114" t="s">
        <v>169</v>
      </c>
      <c r="I52" s="194" t="s">
        <v>170</v>
      </c>
      <c r="J52" s="195"/>
      <c r="K52" s="196"/>
      <c r="L52" s="120" t="s">
        <v>169</v>
      </c>
      <c r="M52" s="120" t="s">
        <v>169</v>
      </c>
      <c r="N52" s="257" t="s">
        <v>177</v>
      </c>
      <c r="O52" s="258"/>
      <c r="P52" s="258"/>
      <c r="Q52" s="258"/>
      <c r="R52" s="258"/>
      <c r="S52" s="259"/>
      <c r="T52" s="120">
        <v>2</v>
      </c>
      <c r="U52" s="120" t="s">
        <v>169</v>
      </c>
      <c r="V52" s="203" t="s">
        <v>170</v>
      </c>
      <c r="W52" s="204"/>
      <c r="X52" s="205"/>
      <c r="Y52" s="120" t="s">
        <v>169</v>
      </c>
      <c r="Z52" s="120" t="s">
        <v>169</v>
      </c>
    </row>
    <row r="53" spans="1:26" ht="18" customHeight="1" x14ac:dyDescent="0.15">
      <c r="A53" s="29"/>
      <c r="B53" s="200" t="s">
        <v>178</v>
      </c>
      <c r="C53" s="201"/>
      <c r="D53" s="201"/>
      <c r="E53" s="201"/>
      <c r="F53" s="202"/>
      <c r="G53" s="114">
        <v>2</v>
      </c>
      <c r="H53" s="114" t="s">
        <v>169</v>
      </c>
      <c r="I53" s="194" t="s">
        <v>170</v>
      </c>
      <c r="J53" s="195"/>
      <c r="K53" s="196"/>
      <c r="L53" s="120" t="s">
        <v>169</v>
      </c>
      <c r="M53" s="120" t="s">
        <v>169</v>
      </c>
      <c r="N53" s="257" t="s">
        <v>179</v>
      </c>
      <c r="O53" s="258"/>
      <c r="P53" s="258"/>
      <c r="Q53" s="258"/>
      <c r="R53" s="258"/>
      <c r="S53" s="259"/>
      <c r="T53" s="120">
        <v>2</v>
      </c>
      <c r="U53" s="120" t="s">
        <v>169</v>
      </c>
      <c r="V53" s="203" t="s">
        <v>170</v>
      </c>
      <c r="W53" s="204"/>
      <c r="X53" s="205"/>
      <c r="Y53" s="120" t="s">
        <v>169</v>
      </c>
      <c r="Z53" s="120" t="s">
        <v>169</v>
      </c>
    </row>
    <row r="54" spans="1:26" ht="18" customHeight="1" x14ac:dyDescent="0.15">
      <c r="A54" s="29"/>
      <c r="B54" s="200" t="s">
        <v>180</v>
      </c>
      <c r="C54" s="201"/>
      <c r="D54" s="201"/>
      <c r="E54" s="201"/>
      <c r="F54" s="202"/>
      <c r="G54" s="114">
        <v>2</v>
      </c>
      <c r="H54" s="114" t="s">
        <v>169</v>
      </c>
      <c r="I54" s="194" t="s">
        <v>170</v>
      </c>
      <c r="J54" s="195"/>
      <c r="K54" s="196"/>
      <c r="L54" s="114" t="s">
        <v>169</v>
      </c>
      <c r="M54" s="114" t="s">
        <v>169</v>
      </c>
      <c r="N54" s="163" t="s">
        <v>181</v>
      </c>
      <c r="O54" s="164"/>
      <c r="P54" s="164"/>
      <c r="Q54" s="164"/>
      <c r="R54" s="164"/>
      <c r="S54" s="165"/>
      <c r="T54" s="114">
        <v>2</v>
      </c>
      <c r="U54" s="114" t="s">
        <v>169</v>
      </c>
      <c r="V54" s="194" t="s">
        <v>170</v>
      </c>
      <c r="W54" s="195"/>
      <c r="X54" s="196"/>
      <c r="Y54" s="114" t="s">
        <v>169</v>
      </c>
      <c r="Z54" s="114" t="s">
        <v>169</v>
      </c>
    </row>
    <row r="55" spans="1:26" ht="18" customHeight="1" x14ac:dyDescent="0.15">
      <c r="A55" s="29"/>
      <c r="B55" s="210" t="s">
        <v>182</v>
      </c>
      <c r="C55" s="211"/>
      <c r="D55" s="211"/>
      <c r="E55" s="211"/>
      <c r="F55" s="212"/>
      <c r="G55" s="115">
        <v>2</v>
      </c>
      <c r="H55" s="115" t="s">
        <v>169</v>
      </c>
      <c r="I55" s="206" t="s">
        <v>170</v>
      </c>
      <c r="J55" s="207"/>
      <c r="K55" s="208"/>
      <c r="L55" s="118" t="s">
        <v>169</v>
      </c>
      <c r="M55" s="118" t="s">
        <v>169</v>
      </c>
      <c r="N55" s="235"/>
      <c r="O55" s="236"/>
      <c r="P55" s="236"/>
      <c r="Q55" s="236"/>
      <c r="R55" s="236"/>
      <c r="S55" s="237"/>
      <c r="T55" s="115"/>
      <c r="U55" s="115"/>
      <c r="V55" s="206"/>
      <c r="W55" s="207"/>
      <c r="X55" s="208"/>
      <c r="Y55" s="118"/>
      <c r="Z55" s="118"/>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9" t="s">
        <v>134</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x14ac:dyDescent="0.15">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x14ac:dyDescent="0.15">
      <c r="A59" s="14"/>
      <c r="B59" s="147" t="s">
        <v>100</v>
      </c>
      <c r="C59" s="148"/>
      <c r="D59" s="148"/>
      <c r="E59" s="149"/>
      <c r="F59" s="30" t="s">
        <v>142</v>
      </c>
      <c r="G59" s="112" t="s">
        <v>141</v>
      </c>
      <c r="H59" s="107" t="s">
        <v>101</v>
      </c>
      <c r="I59" s="108"/>
      <c r="J59" s="109"/>
      <c r="K59" s="75" t="s">
        <v>105</v>
      </c>
      <c r="L59" s="75" t="s">
        <v>135</v>
      </c>
      <c r="M59" s="75" t="s">
        <v>136</v>
      </c>
      <c r="N59" s="147" t="s">
        <v>100</v>
      </c>
      <c r="O59" s="148"/>
      <c r="P59" s="148"/>
      <c r="Q59" s="148"/>
      <c r="R59" s="149"/>
      <c r="S59" s="30" t="s">
        <v>142</v>
      </c>
      <c r="T59" s="112" t="s">
        <v>141</v>
      </c>
      <c r="U59" s="107" t="s">
        <v>101</v>
      </c>
      <c r="V59" s="108"/>
      <c r="W59" s="109"/>
      <c r="X59" s="75" t="s">
        <v>105</v>
      </c>
      <c r="Y59" s="75" t="s">
        <v>135</v>
      </c>
      <c r="Z59" s="75" t="s">
        <v>136</v>
      </c>
    </row>
    <row r="60" spans="1:26" ht="18" customHeight="1" x14ac:dyDescent="0.15">
      <c r="A60" s="29"/>
      <c r="B60" s="154" t="s">
        <v>168</v>
      </c>
      <c r="C60" s="155"/>
      <c r="D60" s="155"/>
      <c r="E60" s="156"/>
      <c r="F60" s="113">
        <v>2</v>
      </c>
      <c r="G60" s="113" t="s">
        <v>169</v>
      </c>
      <c r="H60" s="191" t="s">
        <v>170</v>
      </c>
      <c r="I60" s="192"/>
      <c r="J60" s="193"/>
      <c r="K60" s="113" t="s">
        <v>169</v>
      </c>
      <c r="L60" s="113" t="s">
        <v>169</v>
      </c>
      <c r="M60" s="113" t="s">
        <v>169</v>
      </c>
      <c r="N60" s="154" t="s">
        <v>171</v>
      </c>
      <c r="O60" s="155"/>
      <c r="P60" s="155"/>
      <c r="Q60" s="155"/>
      <c r="R60" s="156"/>
      <c r="S60" s="113">
        <v>2</v>
      </c>
      <c r="T60" s="113" t="s">
        <v>169</v>
      </c>
      <c r="U60" s="191" t="s">
        <v>170</v>
      </c>
      <c r="V60" s="192"/>
      <c r="W60" s="193"/>
      <c r="X60" s="113" t="s">
        <v>169</v>
      </c>
      <c r="Y60" s="113" t="s">
        <v>169</v>
      </c>
      <c r="Z60" s="113" t="s">
        <v>169</v>
      </c>
    </row>
    <row r="61" spans="1:26" ht="18" customHeight="1" x14ac:dyDescent="0.15">
      <c r="A61" s="29"/>
      <c r="B61" s="163" t="s">
        <v>172</v>
      </c>
      <c r="C61" s="164"/>
      <c r="D61" s="164"/>
      <c r="E61" s="165"/>
      <c r="F61" s="114">
        <v>2</v>
      </c>
      <c r="G61" s="114" t="s">
        <v>169</v>
      </c>
      <c r="H61" s="194" t="s">
        <v>170</v>
      </c>
      <c r="I61" s="195"/>
      <c r="J61" s="196"/>
      <c r="K61" s="114" t="s">
        <v>169</v>
      </c>
      <c r="L61" s="114" t="s">
        <v>169</v>
      </c>
      <c r="M61" s="114" t="s">
        <v>169</v>
      </c>
      <c r="N61" s="163" t="s">
        <v>173</v>
      </c>
      <c r="O61" s="164"/>
      <c r="P61" s="164"/>
      <c r="Q61" s="164"/>
      <c r="R61" s="165"/>
      <c r="S61" s="114">
        <v>2</v>
      </c>
      <c r="T61" s="114" t="s">
        <v>169</v>
      </c>
      <c r="U61" s="194" t="s">
        <v>170</v>
      </c>
      <c r="V61" s="195"/>
      <c r="W61" s="196"/>
      <c r="X61" s="114" t="s">
        <v>169</v>
      </c>
      <c r="Y61" s="114" t="s">
        <v>169</v>
      </c>
      <c r="Z61" s="114" t="s">
        <v>169</v>
      </c>
    </row>
    <row r="62" spans="1:26" ht="18" customHeight="1" x14ac:dyDescent="0.15">
      <c r="A62" s="29"/>
      <c r="B62" s="163" t="s">
        <v>174</v>
      </c>
      <c r="C62" s="164"/>
      <c r="D62" s="164"/>
      <c r="E62" s="165"/>
      <c r="F62" s="114">
        <v>2</v>
      </c>
      <c r="G62" s="114" t="s">
        <v>169</v>
      </c>
      <c r="H62" s="194" t="s">
        <v>170</v>
      </c>
      <c r="I62" s="195"/>
      <c r="J62" s="196"/>
      <c r="K62" s="114" t="s">
        <v>169</v>
      </c>
      <c r="L62" s="114" t="s">
        <v>169</v>
      </c>
      <c r="M62" s="114" t="s">
        <v>169</v>
      </c>
      <c r="N62" s="163" t="s">
        <v>175</v>
      </c>
      <c r="O62" s="164"/>
      <c r="P62" s="164"/>
      <c r="Q62" s="164"/>
      <c r="R62" s="165"/>
      <c r="S62" s="114">
        <v>2</v>
      </c>
      <c r="T62" s="114" t="s">
        <v>169</v>
      </c>
      <c r="U62" s="194" t="s">
        <v>170</v>
      </c>
      <c r="V62" s="195"/>
      <c r="W62" s="196"/>
      <c r="X62" s="114" t="s">
        <v>169</v>
      </c>
      <c r="Y62" s="114" t="s">
        <v>169</v>
      </c>
      <c r="Z62" s="114" t="s">
        <v>169</v>
      </c>
    </row>
    <row r="63" spans="1:26" ht="18" customHeight="1" x14ac:dyDescent="0.15">
      <c r="A63" s="29"/>
      <c r="B63" s="163" t="s">
        <v>176</v>
      </c>
      <c r="C63" s="164"/>
      <c r="D63" s="164"/>
      <c r="E63" s="165"/>
      <c r="F63" s="114">
        <v>2</v>
      </c>
      <c r="G63" s="114" t="s">
        <v>169</v>
      </c>
      <c r="H63" s="194" t="s">
        <v>170</v>
      </c>
      <c r="I63" s="195"/>
      <c r="J63" s="196"/>
      <c r="K63" s="120" t="s">
        <v>169</v>
      </c>
      <c r="L63" s="120" t="s">
        <v>169</v>
      </c>
      <c r="M63" s="120" t="s">
        <v>169</v>
      </c>
      <c r="N63" s="257" t="s">
        <v>177</v>
      </c>
      <c r="O63" s="258"/>
      <c r="P63" s="258"/>
      <c r="Q63" s="258"/>
      <c r="R63" s="259"/>
      <c r="S63" s="120">
        <v>2</v>
      </c>
      <c r="T63" s="120" t="s">
        <v>169</v>
      </c>
      <c r="U63" s="203" t="s">
        <v>170</v>
      </c>
      <c r="V63" s="204"/>
      <c r="W63" s="205"/>
      <c r="X63" s="120" t="s">
        <v>169</v>
      </c>
      <c r="Y63" s="120" t="s">
        <v>169</v>
      </c>
      <c r="Z63" s="120" t="s">
        <v>169</v>
      </c>
    </row>
    <row r="64" spans="1:26" ht="18" customHeight="1" x14ac:dyDescent="0.15">
      <c r="A64" s="29"/>
      <c r="B64" s="163" t="s">
        <v>178</v>
      </c>
      <c r="C64" s="164"/>
      <c r="D64" s="164"/>
      <c r="E64" s="165"/>
      <c r="F64" s="114">
        <v>2</v>
      </c>
      <c r="G64" s="114" t="s">
        <v>169</v>
      </c>
      <c r="H64" s="194" t="s">
        <v>170</v>
      </c>
      <c r="I64" s="195"/>
      <c r="J64" s="196"/>
      <c r="K64" s="120" t="s">
        <v>169</v>
      </c>
      <c r="L64" s="120" t="s">
        <v>169</v>
      </c>
      <c r="M64" s="120" t="s">
        <v>169</v>
      </c>
      <c r="N64" s="257" t="s">
        <v>179</v>
      </c>
      <c r="O64" s="258"/>
      <c r="P64" s="258"/>
      <c r="Q64" s="258"/>
      <c r="R64" s="259"/>
      <c r="S64" s="120">
        <v>2</v>
      </c>
      <c r="T64" s="120" t="s">
        <v>169</v>
      </c>
      <c r="U64" s="203" t="s">
        <v>170</v>
      </c>
      <c r="V64" s="204"/>
      <c r="W64" s="205"/>
      <c r="X64" s="120" t="s">
        <v>169</v>
      </c>
      <c r="Y64" s="120" t="s">
        <v>169</v>
      </c>
      <c r="Z64" s="120" t="s">
        <v>169</v>
      </c>
    </row>
    <row r="65" spans="1:26" ht="18" customHeight="1" x14ac:dyDescent="0.15">
      <c r="A65" s="29"/>
      <c r="B65" s="163" t="s">
        <v>180</v>
      </c>
      <c r="C65" s="164"/>
      <c r="D65" s="164"/>
      <c r="E65" s="165"/>
      <c r="F65" s="114">
        <v>2</v>
      </c>
      <c r="G65" s="114" t="s">
        <v>169</v>
      </c>
      <c r="H65" s="194" t="s">
        <v>170</v>
      </c>
      <c r="I65" s="195"/>
      <c r="J65" s="196"/>
      <c r="K65" s="114" t="s">
        <v>169</v>
      </c>
      <c r="L65" s="114" t="s">
        <v>169</v>
      </c>
      <c r="M65" s="114" t="s">
        <v>169</v>
      </c>
      <c r="N65" s="163" t="s">
        <v>181</v>
      </c>
      <c r="O65" s="164"/>
      <c r="P65" s="164"/>
      <c r="Q65" s="164"/>
      <c r="R65" s="165"/>
      <c r="S65" s="114">
        <v>2</v>
      </c>
      <c r="T65" s="114" t="s">
        <v>169</v>
      </c>
      <c r="U65" s="194" t="s">
        <v>170</v>
      </c>
      <c r="V65" s="195"/>
      <c r="W65" s="196"/>
      <c r="X65" s="114" t="s">
        <v>169</v>
      </c>
      <c r="Y65" s="114" t="s">
        <v>169</v>
      </c>
      <c r="Z65" s="114" t="s">
        <v>169</v>
      </c>
    </row>
    <row r="66" spans="1:26" ht="18" customHeight="1" x14ac:dyDescent="0.15">
      <c r="A66" s="29"/>
      <c r="B66" s="235" t="s">
        <v>182</v>
      </c>
      <c r="C66" s="236"/>
      <c r="D66" s="236"/>
      <c r="E66" s="237"/>
      <c r="F66" s="115">
        <v>2</v>
      </c>
      <c r="G66" s="115" t="s">
        <v>169</v>
      </c>
      <c r="H66" s="206" t="s">
        <v>170</v>
      </c>
      <c r="I66" s="207"/>
      <c r="J66" s="208"/>
      <c r="K66" s="118" t="s">
        <v>169</v>
      </c>
      <c r="L66" s="118" t="s">
        <v>169</v>
      </c>
      <c r="M66" s="118" t="s">
        <v>169</v>
      </c>
      <c r="N66" s="235"/>
      <c r="O66" s="236"/>
      <c r="P66" s="236"/>
      <c r="Q66" s="236"/>
      <c r="R66" s="237"/>
      <c r="S66" s="115"/>
      <c r="T66" s="115"/>
      <c r="U66" s="206"/>
      <c r="V66" s="207"/>
      <c r="W66" s="208"/>
      <c r="X66" s="119"/>
      <c r="Y66" s="118"/>
      <c r="Z66" s="118"/>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7" t="s">
        <v>100</v>
      </c>
      <c r="C69" s="148"/>
      <c r="D69" s="148"/>
      <c r="E69" s="148"/>
      <c r="F69" s="149"/>
      <c r="G69" s="147" t="s">
        <v>147</v>
      </c>
      <c r="H69" s="148"/>
      <c r="I69" s="148"/>
      <c r="J69" s="148"/>
      <c r="K69" s="148"/>
      <c r="L69" s="148"/>
      <c r="M69" s="149"/>
      <c r="N69" s="241" t="s">
        <v>100</v>
      </c>
      <c r="O69" s="242"/>
      <c r="P69" s="242"/>
      <c r="Q69" s="242"/>
      <c r="R69" s="242"/>
      <c r="S69" s="243"/>
      <c r="T69" s="147" t="s">
        <v>147</v>
      </c>
      <c r="U69" s="148"/>
      <c r="V69" s="148"/>
      <c r="W69" s="148"/>
      <c r="X69" s="148"/>
      <c r="Y69" s="148"/>
      <c r="Z69" s="149"/>
    </row>
    <row r="70" spans="1:26" ht="18" customHeight="1" x14ac:dyDescent="0.15">
      <c r="A70" s="29"/>
      <c r="B70" s="154" t="s">
        <v>168</v>
      </c>
      <c r="C70" s="155"/>
      <c r="D70" s="155"/>
      <c r="E70" s="155"/>
      <c r="F70" s="156"/>
      <c r="G70" s="157" t="s">
        <v>183</v>
      </c>
      <c r="H70" s="158"/>
      <c r="I70" s="158"/>
      <c r="J70" s="158"/>
      <c r="K70" s="158"/>
      <c r="L70" s="158"/>
      <c r="M70" s="159"/>
      <c r="N70" s="154" t="s">
        <v>173</v>
      </c>
      <c r="O70" s="155"/>
      <c r="P70" s="155"/>
      <c r="Q70" s="155"/>
      <c r="R70" s="155"/>
      <c r="S70" s="156"/>
      <c r="T70" s="157" t="s">
        <v>184</v>
      </c>
      <c r="U70" s="158"/>
      <c r="V70" s="158"/>
      <c r="W70" s="158"/>
      <c r="X70" s="158"/>
      <c r="Y70" s="158"/>
      <c r="Z70" s="159"/>
    </row>
    <row r="71" spans="1:26" ht="18" customHeight="1" x14ac:dyDescent="0.15">
      <c r="A71" s="29"/>
      <c r="B71" s="163" t="s">
        <v>172</v>
      </c>
      <c r="C71" s="164"/>
      <c r="D71" s="164"/>
      <c r="E71" s="164"/>
      <c r="F71" s="165"/>
      <c r="G71" s="166" t="s">
        <v>183</v>
      </c>
      <c r="H71" s="167"/>
      <c r="I71" s="167"/>
      <c r="J71" s="167"/>
      <c r="K71" s="167"/>
      <c r="L71" s="167"/>
      <c r="M71" s="168"/>
      <c r="N71" s="163" t="s">
        <v>175</v>
      </c>
      <c r="O71" s="164"/>
      <c r="P71" s="164"/>
      <c r="Q71" s="164"/>
      <c r="R71" s="164"/>
      <c r="S71" s="165"/>
      <c r="T71" s="166" t="s">
        <v>183</v>
      </c>
      <c r="U71" s="167"/>
      <c r="V71" s="167"/>
      <c r="W71" s="167"/>
      <c r="X71" s="167"/>
      <c r="Y71" s="167"/>
      <c r="Z71" s="168"/>
    </row>
    <row r="72" spans="1:26" ht="18" customHeight="1" x14ac:dyDescent="0.15">
      <c r="A72" s="29"/>
      <c r="B72" s="163" t="s">
        <v>174</v>
      </c>
      <c r="C72" s="164"/>
      <c r="D72" s="164"/>
      <c r="E72" s="164"/>
      <c r="F72" s="165"/>
      <c r="G72" s="166" t="s">
        <v>183</v>
      </c>
      <c r="H72" s="167"/>
      <c r="I72" s="167"/>
      <c r="J72" s="167"/>
      <c r="K72" s="167"/>
      <c r="L72" s="167"/>
      <c r="M72" s="168"/>
      <c r="N72" s="163"/>
      <c r="O72" s="164"/>
      <c r="P72" s="164"/>
      <c r="Q72" s="164"/>
      <c r="R72" s="164"/>
      <c r="S72" s="165"/>
      <c r="T72" s="166"/>
      <c r="U72" s="167"/>
      <c r="V72" s="167"/>
      <c r="W72" s="167"/>
      <c r="X72" s="167"/>
      <c r="Y72" s="167"/>
      <c r="Z72" s="168"/>
    </row>
    <row r="73" spans="1:26" ht="18" customHeight="1" x14ac:dyDescent="0.15">
      <c r="A73" s="29"/>
      <c r="B73" s="163" t="s">
        <v>178</v>
      </c>
      <c r="C73" s="164"/>
      <c r="D73" s="164"/>
      <c r="E73" s="164"/>
      <c r="F73" s="165"/>
      <c r="G73" s="169" t="s">
        <v>183</v>
      </c>
      <c r="H73" s="170"/>
      <c r="I73" s="170"/>
      <c r="J73" s="170"/>
      <c r="K73" s="170"/>
      <c r="L73" s="170"/>
      <c r="M73" s="171"/>
      <c r="N73" s="163"/>
      <c r="O73" s="164"/>
      <c r="P73" s="164"/>
      <c r="Q73" s="164"/>
      <c r="R73" s="164"/>
      <c r="S73" s="165"/>
      <c r="T73" s="166"/>
      <c r="U73" s="167"/>
      <c r="V73" s="167"/>
      <c r="W73" s="167"/>
      <c r="X73" s="167"/>
      <c r="Y73" s="167"/>
      <c r="Z73" s="168"/>
    </row>
    <row r="74" spans="1:26" ht="18" customHeight="1" x14ac:dyDescent="0.15">
      <c r="A74" s="29"/>
      <c r="B74" s="163" t="s">
        <v>180</v>
      </c>
      <c r="C74" s="164"/>
      <c r="D74" s="164"/>
      <c r="E74" s="164"/>
      <c r="F74" s="165"/>
      <c r="G74" s="166" t="s">
        <v>183</v>
      </c>
      <c r="H74" s="167"/>
      <c r="I74" s="167"/>
      <c r="J74" s="167"/>
      <c r="K74" s="167"/>
      <c r="L74" s="167"/>
      <c r="M74" s="168"/>
      <c r="N74" s="163"/>
      <c r="O74" s="164"/>
      <c r="P74" s="164"/>
      <c r="Q74" s="164"/>
      <c r="R74" s="164"/>
      <c r="S74" s="165"/>
      <c r="T74" s="166"/>
      <c r="U74" s="167"/>
      <c r="V74" s="167"/>
      <c r="W74" s="167"/>
      <c r="X74" s="167"/>
      <c r="Y74" s="167"/>
      <c r="Z74" s="168"/>
    </row>
    <row r="75" spans="1:26" ht="18" customHeight="1" x14ac:dyDescent="0.15">
      <c r="A75" s="29"/>
      <c r="B75" s="163" t="s">
        <v>182</v>
      </c>
      <c r="C75" s="164"/>
      <c r="D75" s="164"/>
      <c r="E75" s="164"/>
      <c r="F75" s="165"/>
      <c r="G75" s="166" t="s">
        <v>185</v>
      </c>
      <c r="H75" s="167"/>
      <c r="I75" s="167"/>
      <c r="J75" s="167"/>
      <c r="K75" s="167"/>
      <c r="L75" s="167"/>
      <c r="M75" s="168"/>
      <c r="N75" s="163"/>
      <c r="O75" s="164"/>
      <c r="P75" s="164"/>
      <c r="Q75" s="164"/>
      <c r="R75" s="164"/>
      <c r="S75" s="165"/>
      <c r="T75" s="166"/>
      <c r="U75" s="167"/>
      <c r="V75" s="167"/>
      <c r="W75" s="167"/>
      <c r="X75" s="167"/>
      <c r="Y75" s="167"/>
      <c r="Z75" s="168"/>
    </row>
    <row r="76" spans="1:26" ht="18" customHeight="1" x14ac:dyDescent="0.15">
      <c r="A76" s="29"/>
      <c r="B76" s="235" t="s">
        <v>171</v>
      </c>
      <c r="C76" s="236"/>
      <c r="D76" s="236"/>
      <c r="E76" s="236"/>
      <c r="F76" s="237"/>
      <c r="G76" s="238" t="s">
        <v>183</v>
      </c>
      <c r="H76" s="239"/>
      <c r="I76" s="239"/>
      <c r="J76" s="239"/>
      <c r="K76" s="239"/>
      <c r="L76" s="239"/>
      <c r="M76" s="240"/>
      <c r="N76" s="235"/>
      <c r="O76" s="236"/>
      <c r="P76" s="236"/>
      <c r="Q76" s="236"/>
      <c r="R76" s="236"/>
      <c r="S76" s="237"/>
      <c r="T76" s="238"/>
      <c r="U76" s="239"/>
      <c r="V76" s="239"/>
      <c r="W76" s="239"/>
      <c r="X76" s="239"/>
      <c r="Y76" s="239"/>
      <c r="Z76" s="240"/>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143</v>
      </c>
    </row>
    <row r="79" spans="1:26" ht="18.75" customHeight="1" x14ac:dyDescent="0.15">
      <c r="B79" s="78" t="s">
        <v>102</v>
      </c>
      <c r="C79" s="79"/>
      <c r="D79" s="189" t="s">
        <v>103</v>
      </c>
      <c r="E79" s="189"/>
      <c r="F79" s="189"/>
      <c r="G79" s="189"/>
      <c r="H79" s="189"/>
      <c r="I79" s="189"/>
      <c r="J79" s="189"/>
      <c r="K79" s="189"/>
      <c r="L79" s="189"/>
      <c r="M79" s="189"/>
      <c r="N79" s="189"/>
      <c r="O79" s="189"/>
      <c r="P79" s="189"/>
      <c r="Q79" s="189"/>
      <c r="R79" s="189"/>
      <c r="S79" s="189"/>
      <c r="T79" s="189"/>
      <c r="U79" s="189"/>
      <c r="V79" s="189"/>
      <c r="W79" s="189"/>
      <c r="X79" s="189"/>
      <c r="Y79" s="189"/>
      <c r="Z79" s="190"/>
    </row>
    <row r="80" spans="1:26" ht="315" customHeight="1" x14ac:dyDescent="0.15">
      <c r="B80" s="174" t="s">
        <v>109</v>
      </c>
      <c r="C80" s="85" t="s">
        <v>104</v>
      </c>
      <c r="D80" s="183" t="s">
        <v>186</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315" customHeight="1" x14ac:dyDescent="0.15">
      <c r="B81" s="175"/>
      <c r="C81" s="110" t="s">
        <v>138</v>
      </c>
      <c r="D81" s="223" t="s">
        <v>187</v>
      </c>
      <c r="E81" s="224"/>
      <c r="F81" s="224"/>
      <c r="G81" s="224"/>
      <c r="H81" s="224"/>
      <c r="I81" s="224"/>
      <c r="J81" s="224"/>
      <c r="K81" s="224"/>
      <c r="L81" s="224"/>
      <c r="M81" s="224"/>
      <c r="N81" s="224"/>
      <c r="O81" s="224"/>
      <c r="P81" s="224"/>
      <c r="Q81" s="224"/>
      <c r="R81" s="224"/>
      <c r="S81" s="224"/>
      <c r="T81" s="224"/>
      <c r="U81" s="224"/>
      <c r="V81" s="224"/>
      <c r="W81" s="224"/>
      <c r="X81" s="224"/>
      <c r="Y81" s="224"/>
      <c r="Z81" s="225"/>
    </row>
    <row r="82" spans="1:26" ht="255" customHeight="1" x14ac:dyDescent="0.15">
      <c r="B82" s="172" t="s">
        <v>110</v>
      </c>
      <c r="C82" s="80" t="s">
        <v>128</v>
      </c>
      <c r="D82" s="226" t="s">
        <v>188</v>
      </c>
      <c r="E82" s="227"/>
      <c r="F82" s="227"/>
      <c r="G82" s="227"/>
      <c r="H82" s="227"/>
      <c r="I82" s="227"/>
      <c r="J82" s="227"/>
      <c r="K82" s="227"/>
      <c r="L82" s="227"/>
      <c r="M82" s="227"/>
      <c r="N82" s="227"/>
      <c r="O82" s="227"/>
      <c r="P82" s="227"/>
      <c r="Q82" s="227"/>
      <c r="R82" s="227"/>
      <c r="S82" s="227"/>
      <c r="T82" s="227"/>
      <c r="U82" s="227"/>
      <c r="V82" s="227"/>
      <c r="W82" s="227"/>
      <c r="X82" s="227"/>
      <c r="Y82" s="227"/>
      <c r="Z82" s="228"/>
    </row>
    <row r="83" spans="1:26" ht="264.95" customHeight="1" x14ac:dyDescent="0.15">
      <c r="B83" s="173"/>
      <c r="C83" s="111" t="s">
        <v>129</v>
      </c>
      <c r="D83" s="232" t="s">
        <v>189</v>
      </c>
      <c r="E83" s="233"/>
      <c r="F83" s="233"/>
      <c r="G83" s="233"/>
      <c r="H83" s="233"/>
      <c r="I83" s="233"/>
      <c r="J83" s="233"/>
      <c r="K83" s="233"/>
      <c r="L83" s="233"/>
      <c r="M83" s="233"/>
      <c r="N83" s="233"/>
      <c r="O83" s="233"/>
      <c r="P83" s="233"/>
      <c r="Q83" s="233"/>
      <c r="R83" s="233"/>
      <c r="S83" s="233"/>
      <c r="T83" s="233"/>
      <c r="U83" s="233"/>
      <c r="V83" s="233"/>
      <c r="W83" s="233"/>
      <c r="X83" s="233"/>
      <c r="Y83" s="233"/>
      <c r="Z83" s="234"/>
    </row>
    <row r="84" spans="1:26" ht="285" customHeight="1" x14ac:dyDescent="0.15">
      <c r="B84" s="172" t="s">
        <v>111</v>
      </c>
      <c r="C84" s="80" t="s">
        <v>131</v>
      </c>
      <c r="D84" s="226" t="s">
        <v>190</v>
      </c>
      <c r="E84" s="227"/>
      <c r="F84" s="227"/>
      <c r="G84" s="227"/>
      <c r="H84" s="227"/>
      <c r="I84" s="227"/>
      <c r="J84" s="227"/>
      <c r="K84" s="227"/>
      <c r="L84" s="227"/>
      <c r="M84" s="227"/>
      <c r="N84" s="227"/>
      <c r="O84" s="227"/>
      <c r="P84" s="227"/>
      <c r="Q84" s="227"/>
      <c r="R84" s="227"/>
      <c r="S84" s="227"/>
      <c r="T84" s="227"/>
      <c r="U84" s="227"/>
      <c r="V84" s="227"/>
      <c r="W84" s="227"/>
      <c r="X84" s="227"/>
      <c r="Y84" s="227"/>
      <c r="Z84" s="228"/>
    </row>
    <row r="85" spans="1:26" ht="275.10000000000002" customHeight="1" x14ac:dyDescent="0.15">
      <c r="B85" s="173"/>
      <c r="C85" s="82" t="s">
        <v>132</v>
      </c>
      <c r="D85" s="229" t="s">
        <v>191</v>
      </c>
      <c r="E85" s="230"/>
      <c r="F85" s="230"/>
      <c r="G85" s="230"/>
      <c r="H85" s="230"/>
      <c r="I85" s="230"/>
      <c r="J85" s="230"/>
      <c r="K85" s="230"/>
      <c r="L85" s="230"/>
      <c r="M85" s="230"/>
      <c r="N85" s="230"/>
      <c r="O85" s="230"/>
      <c r="P85" s="230"/>
      <c r="Q85" s="230"/>
      <c r="R85" s="230"/>
      <c r="S85" s="230"/>
      <c r="T85" s="230"/>
      <c r="U85" s="230"/>
      <c r="V85" s="230"/>
      <c r="W85" s="230"/>
      <c r="X85" s="230"/>
      <c r="Y85" s="230"/>
      <c r="Z85" s="231"/>
    </row>
    <row r="86" spans="1:26" ht="330" customHeight="1" x14ac:dyDescent="0.15">
      <c r="B86" s="174" t="s">
        <v>139</v>
      </c>
      <c r="C86" s="85" t="s">
        <v>106</v>
      </c>
      <c r="D86" s="183" t="s">
        <v>192</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300" customHeight="1" x14ac:dyDescent="0.15">
      <c r="B87" s="182"/>
      <c r="C87" s="81" t="s">
        <v>108</v>
      </c>
      <c r="D87" s="186" t="s">
        <v>193</v>
      </c>
      <c r="E87" s="187"/>
      <c r="F87" s="187"/>
      <c r="G87" s="187"/>
      <c r="H87" s="187"/>
      <c r="I87" s="187"/>
      <c r="J87" s="187"/>
      <c r="K87" s="187"/>
      <c r="L87" s="187"/>
      <c r="M87" s="187"/>
      <c r="N87" s="187"/>
      <c r="O87" s="187"/>
      <c r="P87" s="187"/>
      <c r="Q87" s="187"/>
      <c r="R87" s="187"/>
      <c r="S87" s="187"/>
      <c r="T87" s="187"/>
      <c r="U87" s="187"/>
      <c r="V87" s="187"/>
      <c r="W87" s="187"/>
      <c r="X87" s="187"/>
      <c r="Y87" s="187"/>
      <c r="Z87" s="188"/>
    </row>
    <row r="88" spans="1:26" ht="345" customHeight="1" x14ac:dyDescent="0.15">
      <c r="B88" s="174" t="s">
        <v>140</v>
      </c>
      <c r="C88" s="80" t="s">
        <v>105</v>
      </c>
      <c r="D88" s="176" t="s">
        <v>194</v>
      </c>
      <c r="E88" s="177"/>
      <c r="F88" s="177"/>
      <c r="G88" s="177"/>
      <c r="H88" s="177"/>
      <c r="I88" s="177"/>
      <c r="J88" s="177"/>
      <c r="K88" s="177"/>
      <c r="L88" s="177"/>
      <c r="M88" s="177"/>
      <c r="N88" s="177"/>
      <c r="O88" s="177"/>
      <c r="P88" s="177"/>
      <c r="Q88" s="177"/>
      <c r="R88" s="177"/>
      <c r="S88" s="177"/>
      <c r="T88" s="177"/>
      <c r="U88" s="177"/>
      <c r="V88" s="177"/>
      <c r="W88" s="177"/>
      <c r="X88" s="177"/>
      <c r="Y88" s="177"/>
      <c r="Z88" s="178"/>
    </row>
    <row r="89" spans="1:26" ht="360" customHeight="1" x14ac:dyDescent="0.15">
      <c r="B89" s="175"/>
      <c r="C89" s="81" t="s">
        <v>135</v>
      </c>
      <c r="D89" s="160" t="s">
        <v>195</v>
      </c>
      <c r="E89" s="161"/>
      <c r="F89" s="161"/>
      <c r="G89" s="161"/>
      <c r="H89" s="161"/>
      <c r="I89" s="161"/>
      <c r="J89" s="161"/>
      <c r="K89" s="161"/>
      <c r="L89" s="161"/>
      <c r="M89" s="161"/>
      <c r="N89" s="161"/>
      <c r="O89" s="161"/>
      <c r="P89" s="161"/>
      <c r="Q89" s="161"/>
      <c r="R89" s="161"/>
      <c r="S89" s="161"/>
      <c r="T89" s="161"/>
      <c r="U89" s="161"/>
      <c r="V89" s="161"/>
      <c r="W89" s="161"/>
      <c r="X89" s="161"/>
      <c r="Y89" s="161"/>
      <c r="Z89" s="162"/>
    </row>
    <row r="90" spans="1:26" ht="345" customHeight="1" x14ac:dyDescent="0.15">
      <c r="B90" s="173"/>
      <c r="C90" s="82" t="s">
        <v>136</v>
      </c>
      <c r="D90" s="179" t="s">
        <v>196</v>
      </c>
      <c r="E90" s="180"/>
      <c r="F90" s="180"/>
      <c r="G90" s="180"/>
      <c r="H90" s="180"/>
      <c r="I90" s="180"/>
      <c r="J90" s="180"/>
      <c r="K90" s="180"/>
      <c r="L90" s="180"/>
      <c r="M90" s="180"/>
      <c r="N90" s="180"/>
      <c r="O90" s="180"/>
      <c r="P90" s="180"/>
      <c r="Q90" s="180"/>
      <c r="R90" s="180"/>
      <c r="S90" s="180"/>
      <c r="T90" s="180"/>
      <c r="U90" s="180"/>
      <c r="V90" s="180"/>
      <c r="W90" s="180"/>
      <c r="X90" s="180"/>
      <c r="Y90" s="180"/>
      <c r="Z90" s="181"/>
    </row>
    <row r="91" spans="1:26" ht="6" customHeight="1" x14ac:dyDescent="0.15"/>
    <row r="92" spans="1:26" ht="18.75" customHeight="1" x14ac:dyDescent="0.15">
      <c r="A92" s="13" t="s">
        <v>144</v>
      </c>
    </row>
    <row r="93" spans="1:26" ht="18.75" customHeight="1" x14ac:dyDescent="0.15">
      <c r="B93" s="244" t="s">
        <v>197</v>
      </c>
      <c r="C93" s="245"/>
      <c r="D93" s="245"/>
      <c r="E93" s="245"/>
      <c r="F93" s="245"/>
      <c r="G93" s="245"/>
      <c r="H93" s="245"/>
      <c r="I93" s="245"/>
      <c r="J93" s="245"/>
      <c r="K93" s="245"/>
      <c r="L93" s="245"/>
      <c r="M93" s="245"/>
      <c r="N93" s="245"/>
      <c r="O93" s="245"/>
      <c r="P93" s="245"/>
      <c r="Q93" s="245"/>
      <c r="R93" s="245"/>
      <c r="S93" s="245"/>
      <c r="T93" s="245"/>
      <c r="U93" s="245"/>
      <c r="V93" s="245"/>
      <c r="W93" s="245"/>
      <c r="X93" s="245"/>
      <c r="Y93" s="245"/>
      <c r="Z93" s="246"/>
    </row>
    <row r="94" spans="1:26" ht="18.75" customHeight="1" x14ac:dyDescent="0.15">
      <c r="B94" s="247"/>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9"/>
    </row>
    <row r="95" spans="1:26" ht="18.75" customHeight="1" x14ac:dyDescent="0.15">
      <c r="B95" s="250"/>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2"/>
    </row>
    <row r="96" spans="1:26" ht="6" customHeight="1" x14ac:dyDescent="0.15"/>
    <row r="97" spans="1:26" ht="15" customHeight="1" x14ac:dyDescent="0.15">
      <c r="A97" s="13" t="s">
        <v>145</v>
      </c>
    </row>
    <row r="98" spans="1:26" ht="15" customHeight="1" x14ac:dyDescent="0.15">
      <c r="B98" s="253" t="s">
        <v>216</v>
      </c>
      <c r="C98" s="254"/>
      <c r="D98" s="254"/>
      <c r="E98" s="254"/>
      <c r="F98" s="254"/>
      <c r="G98" s="254"/>
      <c r="H98" s="254"/>
      <c r="I98" s="254"/>
      <c r="J98" s="254"/>
      <c r="K98" s="254"/>
      <c r="L98" s="254"/>
      <c r="M98" s="254"/>
      <c r="N98" s="254"/>
      <c r="O98" s="254"/>
      <c r="P98" s="254"/>
      <c r="Q98" s="254"/>
      <c r="R98" s="254"/>
      <c r="S98" s="254"/>
      <c r="T98" s="254"/>
      <c r="U98" s="254"/>
      <c r="V98" s="254"/>
      <c r="W98" s="254"/>
      <c r="X98" s="254"/>
      <c r="Y98" s="254"/>
      <c r="Z98" s="255"/>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L38:M44 Y38:Z44 Y16:Z22 L16:M22 Y27:Z33 L27:M33 H38:H44 U38:U44 L49:M55 H49:H55 U49:U55 Y49:Z55 H16:H22 U16:U22 H27:H33 U27:U33 X60:X65 Y60:Z66 G60:G66 T60:T66 K60:M66" xr:uid="{4C0986EB-3601-4249-85F7-B678A400A117}">
      <formula1>"○"</formula1>
    </dataValidation>
    <dataValidation type="list" allowBlank="1" showInputMessage="1" showErrorMessage="1" sqref="Z23 Z34 D34:K34 D23:K23 V49:V55 I49:I55 V16:V22 I16:I22 V27:V33 I27:I33 V38:V44 I38:I44 U60:U66 H60:H66" xr:uid="{CC907DDE-86DC-4E68-BFF5-E920A71A96A6}">
      <formula1>"全学開講,一部開講"</formula1>
    </dataValidation>
    <dataValidation type="list" allowBlank="1" showInputMessage="1" showErrorMessage="1" sqref="O4" xr:uid="{FC5AB2A5-9F7F-444A-8AA2-C25D3BDF9484}">
      <formula1>"学部・学科によって、修了要件は相違する,学部・学科によって、修了要件は相違しない"</formula1>
    </dataValidation>
    <dataValidation type="list" allowBlank="1" showInputMessage="1" showErrorMessage="1" sqref="G70:G77 U74:Z77 T70:T77 H74:M77 H70:M71 U70:Z7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EF676C1C-6010-46F6-BC60-835346961822}"/>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U26" sqref="U26"/>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0" t="s">
        <v>63</v>
      </c>
      <c r="G1" s="260"/>
      <c r="H1" s="260"/>
      <c r="I1" s="260"/>
      <c r="J1" s="260"/>
      <c r="K1" s="260"/>
      <c r="L1" s="260"/>
      <c r="M1" s="260"/>
      <c r="N1" s="260"/>
      <c r="O1" s="260"/>
      <c r="P1" s="260"/>
      <c r="Q1" s="260"/>
      <c r="R1" s="260"/>
    </row>
    <row r="2" spans="1:20" ht="18" customHeight="1" x14ac:dyDescent="0.15">
      <c r="A2" s="261" t="s">
        <v>89</v>
      </c>
      <c r="B2" s="261"/>
      <c r="C2" s="261"/>
      <c r="D2" s="261"/>
      <c r="E2" s="261"/>
      <c r="F2" s="261"/>
      <c r="G2" s="261"/>
      <c r="H2" s="261"/>
      <c r="I2" s="261"/>
      <c r="J2" s="261"/>
      <c r="K2" s="261"/>
      <c r="L2" s="261"/>
      <c r="M2" s="261"/>
      <c r="N2" s="261"/>
      <c r="O2" s="261"/>
      <c r="P2" s="261"/>
      <c r="Q2" s="261"/>
      <c r="R2" s="261"/>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148</v>
      </c>
      <c r="B4" s="4"/>
      <c r="C4" s="262" t="str">
        <f>'様式１　大学等概要'!E12</f>
        <v>令和２</v>
      </c>
      <c r="D4" s="263"/>
      <c r="E4" s="38" t="s">
        <v>114</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146</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64" t="s">
        <v>79</v>
      </c>
      <c r="C8" s="266" t="s">
        <v>84</v>
      </c>
      <c r="D8" s="268" t="s">
        <v>68</v>
      </c>
      <c r="E8" s="270" t="s">
        <v>90</v>
      </c>
      <c r="F8" s="270"/>
      <c r="G8" s="270" t="s">
        <v>91</v>
      </c>
      <c r="H8" s="270"/>
      <c r="I8" s="270" t="s">
        <v>92</v>
      </c>
      <c r="J8" s="270"/>
      <c r="K8" s="271" t="s">
        <v>93</v>
      </c>
      <c r="L8" s="272"/>
      <c r="M8" s="271" t="s">
        <v>94</v>
      </c>
      <c r="N8" s="272"/>
      <c r="O8" s="271" t="s">
        <v>95</v>
      </c>
      <c r="P8" s="272"/>
      <c r="Q8" s="273" t="s">
        <v>62</v>
      </c>
      <c r="R8" s="275" t="s">
        <v>56</v>
      </c>
      <c r="T8" s="34"/>
    </row>
    <row r="9" spans="1:20" ht="18" customHeight="1" x14ac:dyDescent="0.15">
      <c r="A9" s="4"/>
      <c r="B9" s="265"/>
      <c r="C9" s="267"/>
      <c r="D9" s="269"/>
      <c r="E9" s="43" t="s">
        <v>44</v>
      </c>
      <c r="F9" s="44" t="s">
        <v>43</v>
      </c>
      <c r="G9" s="45" t="s">
        <v>44</v>
      </c>
      <c r="H9" s="46" t="s">
        <v>43</v>
      </c>
      <c r="I9" s="43" t="s">
        <v>44</v>
      </c>
      <c r="J9" s="44" t="s">
        <v>43</v>
      </c>
      <c r="K9" s="45" t="s">
        <v>44</v>
      </c>
      <c r="L9" s="46" t="s">
        <v>43</v>
      </c>
      <c r="M9" s="43" t="s">
        <v>44</v>
      </c>
      <c r="N9" s="44" t="s">
        <v>43</v>
      </c>
      <c r="O9" s="45" t="s">
        <v>44</v>
      </c>
      <c r="P9" s="46" t="s">
        <v>43</v>
      </c>
      <c r="Q9" s="274"/>
      <c r="R9" s="276"/>
      <c r="T9" s="34"/>
    </row>
    <row r="10" spans="1:20" ht="18" customHeight="1" x14ac:dyDescent="0.15">
      <c r="A10" s="47"/>
      <c r="B10" s="87" t="s">
        <v>199</v>
      </c>
      <c r="C10" s="47">
        <v>125</v>
      </c>
      <c r="D10" s="48">
        <v>500</v>
      </c>
      <c r="E10" s="49">
        <v>135</v>
      </c>
      <c r="F10" s="50">
        <v>0</v>
      </c>
      <c r="G10" s="121">
        <v>132</v>
      </c>
      <c r="H10" s="50">
        <v>0</v>
      </c>
      <c r="I10" s="49">
        <v>0</v>
      </c>
      <c r="J10" s="50">
        <v>0</v>
      </c>
      <c r="K10" s="51">
        <v>0</v>
      </c>
      <c r="L10" s="52">
        <v>0</v>
      </c>
      <c r="M10" s="49">
        <v>0</v>
      </c>
      <c r="N10" s="50">
        <v>0</v>
      </c>
      <c r="O10" s="51">
        <v>0</v>
      </c>
      <c r="P10" s="52">
        <v>0</v>
      </c>
      <c r="Q10" s="53">
        <f>E10+G10+I10+K10+M10+O10</f>
        <v>267</v>
      </c>
      <c r="R10" s="54">
        <f>Q10/D10</f>
        <v>0.53400000000000003</v>
      </c>
    </row>
    <row r="11" spans="1:20" ht="18" customHeight="1" x14ac:dyDescent="0.15">
      <c r="A11" s="47"/>
      <c r="B11" s="88" t="s">
        <v>200</v>
      </c>
      <c r="C11" s="63">
        <v>365</v>
      </c>
      <c r="D11" s="56">
        <v>1460</v>
      </c>
      <c r="E11" s="57">
        <v>376</v>
      </c>
      <c r="F11" s="58">
        <v>0</v>
      </c>
      <c r="G11" s="122">
        <v>276</v>
      </c>
      <c r="H11" s="58">
        <v>0</v>
      </c>
      <c r="I11" s="57">
        <v>0</v>
      </c>
      <c r="J11" s="58">
        <v>0</v>
      </c>
      <c r="K11" s="59">
        <v>0</v>
      </c>
      <c r="L11" s="60">
        <v>0</v>
      </c>
      <c r="M11" s="57">
        <v>0</v>
      </c>
      <c r="N11" s="58">
        <v>0</v>
      </c>
      <c r="O11" s="59">
        <v>0</v>
      </c>
      <c r="P11" s="60">
        <v>0</v>
      </c>
      <c r="Q11" s="61">
        <f t="shared" ref="Q11:Q29" si="0">E11+G11+I11+K11+M11+O11</f>
        <v>652</v>
      </c>
      <c r="R11" s="62">
        <f t="shared" ref="R11:R29" si="1">Q11/D11</f>
        <v>0.44657534246575342</v>
      </c>
    </row>
    <row r="12" spans="1:20" ht="18" customHeight="1" x14ac:dyDescent="0.15">
      <c r="A12" s="47"/>
      <c r="B12" s="88" t="s">
        <v>201</v>
      </c>
      <c r="C12" s="63">
        <v>150</v>
      </c>
      <c r="D12" s="56">
        <v>600</v>
      </c>
      <c r="E12" s="57">
        <v>160</v>
      </c>
      <c r="F12" s="58">
        <v>0</v>
      </c>
      <c r="G12" s="122">
        <v>151</v>
      </c>
      <c r="H12" s="58">
        <v>0</v>
      </c>
      <c r="I12" s="57">
        <v>0</v>
      </c>
      <c r="J12" s="58">
        <v>0</v>
      </c>
      <c r="K12" s="59">
        <v>0</v>
      </c>
      <c r="L12" s="60">
        <v>0</v>
      </c>
      <c r="M12" s="57">
        <v>0</v>
      </c>
      <c r="N12" s="58">
        <v>0</v>
      </c>
      <c r="O12" s="59">
        <v>0</v>
      </c>
      <c r="P12" s="60">
        <v>0</v>
      </c>
      <c r="Q12" s="61">
        <f t="shared" si="0"/>
        <v>311</v>
      </c>
      <c r="R12" s="62">
        <f t="shared" si="1"/>
        <v>0.51833333333333331</v>
      </c>
    </row>
    <row r="13" spans="1:20" ht="18" customHeight="1" x14ac:dyDescent="0.15">
      <c r="A13" s="47"/>
      <c r="B13" s="88" t="s">
        <v>202</v>
      </c>
      <c r="C13" s="63">
        <v>185</v>
      </c>
      <c r="D13" s="56">
        <v>990</v>
      </c>
      <c r="E13" s="57">
        <v>186</v>
      </c>
      <c r="F13" s="58">
        <v>0</v>
      </c>
      <c r="G13" s="122">
        <v>184</v>
      </c>
      <c r="H13" s="58">
        <v>0</v>
      </c>
      <c r="I13" s="57">
        <v>0</v>
      </c>
      <c r="J13" s="58">
        <v>0</v>
      </c>
      <c r="K13" s="59">
        <v>0</v>
      </c>
      <c r="L13" s="60">
        <v>0</v>
      </c>
      <c r="M13" s="57">
        <v>0</v>
      </c>
      <c r="N13" s="58">
        <v>0</v>
      </c>
      <c r="O13" s="59">
        <v>0</v>
      </c>
      <c r="P13" s="60">
        <v>0</v>
      </c>
      <c r="Q13" s="61">
        <f t="shared" si="0"/>
        <v>370</v>
      </c>
      <c r="R13" s="62">
        <f t="shared" si="1"/>
        <v>0.37373737373737376</v>
      </c>
    </row>
    <row r="14" spans="1:20" ht="18" customHeight="1" x14ac:dyDescent="0.15">
      <c r="A14" s="47"/>
      <c r="B14" s="88"/>
      <c r="C14" s="63"/>
      <c r="D14" s="56"/>
      <c r="E14" s="57"/>
      <c r="F14" s="58"/>
      <c r="G14" s="59"/>
      <c r="H14" s="60"/>
      <c r="I14" s="57"/>
      <c r="J14" s="58"/>
      <c r="K14" s="59"/>
      <c r="L14" s="60"/>
      <c r="M14" s="57"/>
      <c r="N14" s="58"/>
      <c r="O14" s="59"/>
      <c r="P14" s="60"/>
      <c r="Q14" s="61"/>
      <c r="R14" s="62"/>
    </row>
    <row r="15" spans="1:20" ht="18" customHeight="1" x14ac:dyDescent="0.15">
      <c r="A15" s="47"/>
      <c r="B15" s="88"/>
      <c r="C15" s="63"/>
      <c r="D15" s="56"/>
      <c r="E15" s="57"/>
      <c r="F15" s="58"/>
      <c r="G15" s="59"/>
      <c r="H15" s="60"/>
      <c r="I15" s="57"/>
      <c r="J15" s="58"/>
      <c r="K15" s="59"/>
      <c r="L15" s="60"/>
      <c r="M15" s="57"/>
      <c r="N15" s="58"/>
      <c r="O15" s="59"/>
      <c r="P15" s="60"/>
      <c r="Q15" s="61"/>
      <c r="R15" s="62"/>
    </row>
    <row r="16" spans="1:20" ht="18" customHeight="1" x14ac:dyDescent="0.15">
      <c r="A16" s="47"/>
      <c r="B16" s="88"/>
      <c r="C16" s="63"/>
      <c r="D16" s="56"/>
      <c r="E16" s="57"/>
      <c r="F16" s="58"/>
      <c r="G16" s="59"/>
      <c r="H16" s="60"/>
      <c r="I16" s="57"/>
      <c r="J16" s="58"/>
      <c r="K16" s="59"/>
      <c r="L16" s="60"/>
      <c r="M16" s="57"/>
      <c r="N16" s="58"/>
      <c r="O16" s="59"/>
      <c r="P16" s="60"/>
      <c r="Q16" s="61"/>
      <c r="R16" s="62"/>
    </row>
    <row r="17" spans="1:18" ht="18" customHeight="1" x14ac:dyDescent="0.15">
      <c r="A17" s="47"/>
      <c r="B17" s="88"/>
      <c r="C17" s="63"/>
      <c r="D17" s="56"/>
      <c r="E17" s="57"/>
      <c r="F17" s="58"/>
      <c r="G17" s="59"/>
      <c r="H17" s="60"/>
      <c r="I17" s="57"/>
      <c r="J17" s="58"/>
      <c r="K17" s="59"/>
      <c r="L17" s="60"/>
      <c r="M17" s="57"/>
      <c r="N17" s="58"/>
      <c r="O17" s="59"/>
      <c r="P17" s="60"/>
      <c r="Q17" s="61"/>
      <c r="R17" s="62"/>
    </row>
    <row r="18" spans="1:18" ht="18" customHeight="1" x14ac:dyDescent="0.15">
      <c r="A18" s="47"/>
      <c r="B18" s="88"/>
      <c r="C18" s="63"/>
      <c r="D18" s="56"/>
      <c r="E18" s="57"/>
      <c r="F18" s="58"/>
      <c r="G18" s="59"/>
      <c r="H18" s="60"/>
      <c r="I18" s="57"/>
      <c r="J18" s="58"/>
      <c r="K18" s="59"/>
      <c r="L18" s="60"/>
      <c r="M18" s="57"/>
      <c r="N18" s="58"/>
      <c r="O18" s="59"/>
      <c r="P18" s="60"/>
      <c r="Q18" s="61"/>
      <c r="R18" s="62"/>
    </row>
    <row r="19" spans="1:18" ht="18" customHeight="1" x14ac:dyDescent="0.15">
      <c r="A19" s="47"/>
      <c r="B19" s="88"/>
      <c r="C19" s="63"/>
      <c r="D19" s="56"/>
      <c r="E19" s="57"/>
      <c r="F19" s="58"/>
      <c r="G19" s="59"/>
      <c r="H19" s="60"/>
      <c r="I19" s="57"/>
      <c r="J19" s="58"/>
      <c r="K19" s="59"/>
      <c r="L19" s="60"/>
      <c r="M19" s="57"/>
      <c r="N19" s="58"/>
      <c r="O19" s="59"/>
      <c r="P19" s="60"/>
      <c r="Q19" s="61"/>
      <c r="R19" s="62"/>
    </row>
    <row r="20" spans="1:18" ht="18" customHeight="1" x14ac:dyDescent="0.15">
      <c r="A20" s="47"/>
      <c r="B20" s="88"/>
      <c r="C20" s="63"/>
      <c r="D20" s="56"/>
      <c r="E20" s="57"/>
      <c r="F20" s="58"/>
      <c r="G20" s="59"/>
      <c r="H20" s="60"/>
      <c r="I20" s="57"/>
      <c r="J20" s="58"/>
      <c r="K20" s="59"/>
      <c r="L20" s="60"/>
      <c r="M20" s="57"/>
      <c r="N20" s="58"/>
      <c r="O20" s="59"/>
      <c r="P20" s="60"/>
      <c r="Q20" s="61"/>
      <c r="R20" s="62"/>
    </row>
    <row r="21" spans="1:18" ht="18" customHeight="1" x14ac:dyDescent="0.15">
      <c r="A21" s="47"/>
      <c r="B21" s="88"/>
      <c r="C21" s="63"/>
      <c r="D21" s="56"/>
      <c r="E21" s="57"/>
      <c r="F21" s="58"/>
      <c r="G21" s="59"/>
      <c r="H21" s="60"/>
      <c r="I21" s="57"/>
      <c r="J21" s="58"/>
      <c r="K21" s="59"/>
      <c r="L21" s="60"/>
      <c r="M21" s="57"/>
      <c r="N21" s="58"/>
      <c r="O21" s="59"/>
      <c r="P21" s="60"/>
      <c r="Q21" s="61"/>
      <c r="R21" s="62"/>
    </row>
    <row r="22" spans="1:18" ht="18" customHeight="1" x14ac:dyDescent="0.15">
      <c r="A22" s="47"/>
      <c r="B22" s="88"/>
      <c r="C22" s="63"/>
      <c r="D22" s="56"/>
      <c r="E22" s="57"/>
      <c r="F22" s="58"/>
      <c r="G22" s="59"/>
      <c r="H22" s="60"/>
      <c r="I22" s="57"/>
      <c r="J22" s="58"/>
      <c r="K22" s="59"/>
      <c r="L22" s="60"/>
      <c r="M22" s="57"/>
      <c r="N22" s="58"/>
      <c r="O22" s="59"/>
      <c r="P22" s="60"/>
      <c r="Q22" s="61"/>
      <c r="R22" s="62"/>
    </row>
    <row r="23" spans="1:18" ht="18" customHeight="1" x14ac:dyDescent="0.15">
      <c r="A23" s="47"/>
      <c r="B23" s="88"/>
      <c r="C23" s="63"/>
      <c r="D23" s="56"/>
      <c r="E23" s="57"/>
      <c r="F23" s="58"/>
      <c r="G23" s="59"/>
      <c r="H23" s="60"/>
      <c r="I23" s="57"/>
      <c r="J23" s="58"/>
      <c r="K23" s="59"/>
      <c r="L23" s="60"/>
      <c r="M23" s="57"/>
      <c r="N23" s="58"/>
      <c r="O23" s="59"/>
      <c r="P23" s="60"/>
      <c r="Q23" s="61"/>
      <c r="R23" s="62"/>
    </row>
    <row r="24" spans="1:18" ht="18" customHeight="1" x14ac:dyDescent="0.15">
      <c r="A24" s="47"/>
      <c r="B24" s="88"/>
      <c r="C24" s="63"/>
      <c r="D24" s="56"/>
      <c r="E24" s="57"/>
      <c r="F24" s="58"/>
      <c r="G24" s="59"/>
      <c r="H24" s="60"/>
      <c r="I24" s="57"/>
      <c r="J24" s="58"/>
      <c r="K24" s="59"/>
      <c r="L24" s="60"/>
      <c r="M24" s="57"/>
      <c r="N24" s="58"/>
      <c r="O24" s="59"/>
      <c r="P24" s="60"/>
      <c r="Q24" s="61"/>
      <c r="R24" s="62"/>
    </row>
    <row r="25" spans="1:18" ht="18" customHeight="1" x14ac:dyDescent="0.15">
      <c r="A25" s="47"/>
      <c r="B25" s="88"/>
      <c r="C25" s="63"/>
      <c r="D25" s="56"/>
      <c r="E25" s="57"/>
      <c r="F25" s="58"/>
      <c r="G25" s="59"/>
      <c r="H25" s="60"/>
      <c r="I25" s="57"/>
      <c r="J25" s="58"/>
      <c r="K25" s="59"/>
      <c r="L25" s="60"/>
      <c r="M25" s="57"/>
      <c r="N25" s="58"/>
      <c r="O25" s="59"/>
      <c r="P25" s="60"/>
      <c r="Q25" s="61"/>
      <c r="R25" s="62"/>
    </row>
    <row r="26" spans="1:18" ht="18" customHeight="1" x14ac:dyDescent="0.15">
      <c r="A26" s="47"/>
      <c r="B26" s="88"/>
      <c r="C26" s="63"/>
      <c r="D26" s="56"/>
      <c r="E26" s="57"/>
      <c r="F26" s="58"/>
      <c r="G26" s="59"/>
      <c r="H26" s="60"/>
      <c r="I26" s="57"/>
      <c r="J26" s="58"/>
      <c r="K26" s="59"/>
      <c r="L26" s="60"/>
      <c r="M26" s="57"/>
      <c r="N26" s="58"/>
      <c r="O26" s="59"/>
      <c r="P26" s="60"/>
      <c r="Q26" s="61"/>
      <c r="R26" s="62"/>
    </row>
    <row r="27" spans="1:18" ht="18" customHeight="1" x14ac:dyDescent="0.15">
      <c r="A27" s="47"/>
      <c r="B27" s="88"/>
      <c r="C27" s="55"/>
      <c r="D27" s="56"/>
      <c r="E27" s="57"/>
      <c r="F27" s="58"/>
      <c r="G27" s="59"/>
      <c r="H27" s="60"/>
      <c r="I27" s="57"/>
      <c r="J27" s="58"/>
      <c r="K27" s="59"/>
      <c r="L27" s="60"/>
      <c r="M27" s="57"/>
      <c r="N27" s="58"/>
      <c r="O27" s="59"/>
      <c r="P27" s="60"/>
      <c r="Q27" s="61"/>
      <c r="R27" s="62"/>
    </row>
    <row r="28" spans="1:18" ht="18" customHeight="1" x14ac:dyDescent="0.15">
      <c r="A28" s="47"/>
      <c r="B28" s="88"/>
      <c r="C28" s="55"/>
      <c r="D28" s="56"/>
      <c r="E28" s="57"/>
      <c r="F28" s="58"/>
      <c r="G28" s="59"/>
      <c r="H28" s="60"/>
      <c r="I28" s="57"/>
      <c r="J28" s="58"/>
      <c r="K28" s="59"/>
      <c r="L28" s="60"/>
      <c r="M28" s="57"/>
      <c r="N28" s="58"/>
      <c r="O28" s="59"/>
      <c r="P28" s="60"/>
      <c r="Q28" s="61"/>
      <c r="R28" s="62"/>
    </row>
    <row r="29" spans="1:18" ht="18" customHeight="1" thickBot="1" x14ac:dyDescent="0.2">
      <c r="A29" s="47"/>
      <c r="B29" s="89"/>
      <c r="C29" s="90"/>
      <c r="D29" s="48"/>
      <c r="E29" s="49"/>
      <c r="F29" s="50"/>
      <c r="G29" s="51"/>
      <c r="H29" s="52"/>
      <c r="I29" s="49"/>
      <c r="J29" s="50"/>
      <c r="K29" s="51"/>
      <c r="L29" s="52"/>
      <c r="M29" s="49"/>
      <c r="N29" s="50"/>
      <c r="O29" s="51"/>
      <c r="P29" s="52"/>
      <c r="Q29" s="64"/>
      <c r="R29" s="54"/>
    </row>
    <row r="30" spans="1:18" ht="18" customHeight="1" thickTop="1" x14ac:dyDescent="0.15">
      <c r="B30" s="91" t="s">
        <v>57</v>
      </c>
      <c r="C30" s="92">
        <f t="shared" ref="C30:Q30" si="2">SUM(C10:C29)</f>
        <v>825</v>
      </c>
      <c r="D30" s="65">
        <f t="shared" si="2"/>
        <v>3550</v>
      </c>
      <c r="E30" s="66">
        <f t="shared" si="2"/>
        <v>857</v>
      </c>
      <c r="F30" s="67">
        <f t="shared" si="2"/>
        <v>0</v>
      </c>
      <c r="G30" s="68">
        <f t="shared" si="2"/>
        <v>743</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1600</v>
      </c>
      <c r="R30" s="71">
        <f>Q30/D30</f>
        <v>0.45070422535211269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6" sqref="B6"/>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115</v>
      </c>
      <c r="J1" s="41" t="s">
        <v>116</v>
      </c>
    </row>
    <row r="2" spans="1:11" ht="18.75" customHeight="1" x14ac:dyDescent="0.15">
      <c r="A2" s="261" t="s">
        <v>64</v>
      </c>
      <c r="B2" s="261"/>
      <c r="C2" s="261"/>
      <c r="D2" s="261"/>
      <c r="E2" s="261"/>
      <c r="F2" s="261"/>
      <c r="G2" s="261"/>
      <c r="H2" s="261"/>
      <c r="I2" s="261"/>
      <c r="J2" s="261"/>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35" t="s">
        <v>220</v>
      </c>
      <c r="C5" s="136"/>
      <c r="D5" s="136"/>
      <c r="E5" s="136"/>
      <c r="F5" s="136"/>
      <c r="G5" s="136"/>
      <c r="H5" s="136"/>
      <c r="I5" s="136"/>
      <c r="J5" s="284"/>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85" t="s">
        <v>203</v>
      </c>
      <c r="C8" s="286"/>
      <c r="D8" s="286"/>
      <c r="E8" s="286"/>
      <c r="F8" s="286"/>
      <c r="G8" s="286"/>
      <c r="H8" s="286"/>
      <c r="I8" s="287"/>
      <c r="J8" s="288"/>
      <c r="K8" s="31" t="str">
        <f>IF(B8="","入力してください","")</f>
        <v/>
      </c>
    </row>
    <row r="9" spans="1:11" s="4" customFormat="1" ht="18.75" customHeight="1" x14ac:dyDescent="0.15">
      <c r="A9" s="93"/>
      <c r="B9" s="289"/>
      <c r="C9" s="290"/>
      <c r="D9" s="290"/>
      <c r="E9" s="290"/>
      <c r="F9" s="290"/>
      <c r="G9" s="290"/>
      <c r="H9" s="290"/>
      <c r="I9" s="290"/>
      <c r="J9" s="291"/>
      <c r="K9" s="31"/>
    </row>
    <row r="10" spans="1:11" s="4" customFormat="1" ht="18.75" customHeight="1" x14ac:dyDescent="0.15">
      <c r="A10" s="93"/>
      <c r="B10" s="289"/>
      <c r="C10" s="290"/>
      <c r="D10" s="290"/>
      <c r="E10" s="290"/>
      <c r="F10" s="290"/>
      <c r="G10" s="290"/>
      <c r="H10" s="290"/>
      <c r="I10" s="290"/>
      <c r="J10" s="291"/>
      <c r="K10" s="31"/>
    </row>
    <row r="11" spans="1:11" s="4" customFormat="1" ht="18.75" customHeight="1" x14ac:dyDescent="0.15">
      <c r="A11" s="93"/>
      <c r="B11" s="289"/>
      <c r="C11" s="290"/>
      <c r="D11" s="290"/>
      <c r="E11" s="290"/>
      <c r="F11" s="290"/>
      <c r="G11" s="290"/>
      <c r="H11" s="290"/>
      <c r="I11" s="290"/>
      <c r="J11" s="291"/>
      <c r="K11" s="31"/>
    </row>
    <row r="12" spans="1:11" s="4" customFormat="1" ht="77.45" customHeight="1" x14ac:dyDescent="0.15">
      <c r="A12" s="93"/>
      <c r="B12" s="292"/>
      <c r="C12" s="293"/>
      <c r="D12" s="293"/>
      <c r="E12" s="293"/>
      <c r="F12" s="293"/>
      <c r="G12" s="293"/>
      <c r="H12" s="293"/>
      <c r="I12" s="293"/>
      <c r="J12" s="294"/>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85" t="s">
        <v>204</v>
      </c>
      <c r="C15" s="286"/>
      <c r="D15" s="286"/>
      <c r="E15" s="286"/>
      <c r="F15" s="286"/>
      <c r="G15" s="286"/>
      <c r="H15" s="286"/>
      <c r="I15" s="287"/>
      <c r="J15" s="288"/>
      <c r="K15" s="31" t="str">
        <f>IF(B15="","入力してください","")</f>
        <v/>
      </c>
    </row>
    <row r="16" spans="1:11" s="4" customFormat="1" ht="18.75" customHeight="1" x14ac:dyDescent="0.15">
      <c r="A16" s="93"/>
      <c r="B16" s="289"/>
      <c r="C16" s="290"/>
      <c r="D16" s="290"/>
      <c r="E16" s="290"/>
      <c r="F16" s="290"/>
      <c r="G16" s="290"/>
      <c r="H16" s="290"/>
      <c r="I16" s="290"/>
      <c r="J16" s="291"/>
      <c r="K16" s="31"/>
    </row>
    <row r="17" spans="1:11" s="4" customFormat="1" ht="18.75" customHeight="1" x14ac:dyDescent="0.15">
      <c r="A17" s="93"/>
      <c r="B17" s="289"/>
      <c r="C17" s="290"/>
      <c r="D17" s="290"/>
      <c r="E17" s="290"/>
      <c r="F17" s="290"/>
      <c r="G17" s="290"/>
      <c r="H17" s="290"/>
      <c r="I17" s="290"/>
      <c r="J17" s="291"/>
      <c r="K17" s="31"/>
    </row>
    <row r="18" spans="1:11" s="4" customFormat="1" ht="18.75" customHeight="1" x14ac:dyDescent="0.15">
      <c r="A18" s="93"/>
      <c r="B18" s="289"/>
      <c r="C18" s="290"/>
      <c r="D18" s="290"/>
      <c r="E18" s="290"/>
      <c r="F18" s="290"/>
      <c r="G18" s="290"/>
      <c r="H18" s="290"/>
      <c r="I18" s="290"/>
      <c r="J18" s="291"/>
      <c r="K18" s="31"/>
    </row>
    <row r="19" spans="1:11" s="4" customFormat="1" ht="18.75" customHeight="1" x14ac:dyDescent="0.15">
      <c r="A19" s="93"/>
      <c r="B19" s="289"/>
      <c r="C19" s="290"/>
      <c r="D19" s="290"/>
      <c r="E19" s="290"/>
      <c r="F19" s="290"/>
      <c r="G19" s="290"/>
      <c r="H19" s="290"/>
      <c r="I19" s="290"/>
      <c r="J19" s="291"/>
      <c r="K19" s="31"/>
    </row>
    <row r="20" spans="1:11" s="4" customFormat="1" ht="18.75" customHeight="1" x14ac:dyDescent="0.15">
      <c r="A20" s="93"/>
      <c r="B20" s="289"/>
      <c r="C20" s="290"/>
      <c r="D20" s="290"/>
      <c r="E20" s="290"/>
      <c r="F20" s="290"/>
      <c r="G20" s="290"/>
      <c r="H20" s="290"/>
      <c r="I20" s="290"/>
      <c r="J20" s="291"/>
      <c r="K20" s="31"/>
    </row>
    <row r="21" spans="1:11" s="4" customFormat="1" ht="18.75" customHeight="1" x14ac:dyDescent="0.15">
      <c r="A21" s="93"/>
      <c r="B21" s="289"/>
      <c r="C21" s="290"/>
      <c r="D21" s="290"/>
      <c r="E21" s="290"/>
      <c r="F21" s="290"/>
      <c r="G21" s="290"/>
      <c r="H21" s="290"/>
      <c r="I21" s="290"/>
      <c r="J21" s="291"/>
      <c r="K21" s="31"/>
    </row>
    <row r="22" spans="1:11" s="4" customFormat="1" ht="18.75" customHeight="1" x14ac:dyDescent="0.15">
      <c r="A22" s="93"/>
      <c r="B22" s="289"/>
      <c r="C22" s="290"/>
      <c r="D22" s="290"/>
      <c r="E22" s="290"/>
      <c r="F22" s="290"/>
      <c r="G22" s="290"/>
      <c r="H22" s="290"/>
      <c r="I22" s="290"/>
      <c r="J22" s="291"/>
      <c r="K22" s="31"/>
    </row>
    <row r="23" spans="1:11" s="4" customFormat="1" ht="18.75" customHeight="1" x14ac:dyDescent="0.15">
      <c r="A23" s="93"/>
      <c r="B23" s="289"/>
      <c r="C23" s="290"/>
      <c r="D23" s="290"/>
      <c r="E23" s="290"/>
      <c r="F23" s="290"/>
      <c r="G23" s="290"/>
      <c r="H23" s="290"/>
      <c r="I23" s="290"/>
      <c r="J23" s="291"/>
      <c r="K23" s="31"/>
    </row>
    <row r="24" spans="1:11" s="4" customFormat="1" ht="18.75" customHeight="1" x14ac:dyDescent="0.15">
      <c r="A24" s="93"/>
      <c r="B24" s="289"/>
      <c r="C24" s="290"/>
      <c r="D24" s="290"/>
      <c r="E24" s="290"/>
      <c r="F24" s="290"/>
      <c r="G24" s="290"/>
      <c r="H24" s="290"/>
      <c r="I24" s="290"/>
      <c r="J24" s="291"/>
      <c r="K24" s="31"/>
    </row>
    <row r="25" spans="1:11" s="4" customFormat="1" ht="18.75" customHeight="1" x14ac:dyDescent="0.15">
      <c r="A25" s="93"/>
      <c r="B25" s="292"/>
      <c r="C25" s="293"/>
      <c r="D25" s="293"/>
      <c r="E25" s="293"/>
      <c r="F25" s="293"/>
      <c r="G25" s="293"/>
      <c r="H25" s="293"/>
      <c r="I25" s="293"/>
      <c r="J25" s="294"/>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117</v>
      </c>
      <c r="C28" s="96">
        <f>'様式３　履修者等数の実績'!R30</f>
        <v>0.45070422535211269</v>
      </c>
      <c r="D28" s="97"/>
      <c r="E28" s="97" t="s">
        <v>118</v>
      </c>
      <c r="F28" s="96">
        <v>0.7</v>
      </c>
      <c r="G28" s="97"/>
      <c r="H28" s="97" t="s">
        <v>119</v>
      </c>
      <c r="I28" s="98">
        <v>0.93</v>
      </c>
      <c r="J28" s="99"/>
      <c r="K28" s="31"/>
    </row>
    <row r="29" spans="1:11" s="29" customFormat="1" ht="18.75" customHeight="1" x14ac:dyDescent="0.15">
      <c r="B29" s="83" t="s">
        <v>120</v>
      </c>
      <c r="C29" s="100">
        <v>0.97</v>
      </c>
      <c r="D29" s="84"/>
      <c r="E29" s="84" t="s">
        <v>121</v>
      </c>
      <c r="F29" s="100">
        <v>1</v>
      </c>
      <c r="G29" s="84"/>
      <c r="H29" s="84" t="s">
        <v>122</v>
      </c>
      <c r="I29" s="101">
        <f>'様式３　履修者等数の実績'!D30</f>
        <v>3550</v>
      </c>
      <c r="J29" s="102"/>
      <c r="K29" s="35"/>
    </row>
    <row r="30" spans="1:11" s="4" customFormat="1" ht="18.75" customHeight="1" x14ac:dyDescent="0.15">
      <c r="A30" s="1"/>
      <c r="B30" s="166" t="s">
        <v>123</v>
      </c>
      <c r="C30" s="167"/>
      <c r="D30" s="167"/>
      <c r="E30" s="167"/>
      <c r="F30" s="167"/>
      <c r="G30" s="167"/>
      <c r="H30" s="167"/>
      <c r="I30" s="167"/>
      <c r="J30" s="168"/>
      <c r="K30" s="35"/>
    </row>
    <row r="31" spans="1:11" s="4" customFormat="1" ht="18.75" customHeight="1" x14ac:dyDescent="0.15">
      <c r="A31" s="1"/>
      <c r="B31" s="277" t="s">
        <v>205</v>
      </c>
      <c r="C31" s="278"/>
      <c r="D31" s="278"/>
      <c r="E31" s="278"/>
      <c r="F31" s="278"/>
      <c r="G31" s="278"/>
      <c r="H31" s="278"/>
      <c r="I31" s="278"/>
      <c r="J31" s="279"/>
      <c r="K31" s="35" t="str">
        <f>IF(B31="","入力してください","")</f>
        <v/>
      </c>
    </row>
    <row r="32" spans="1:11" s="4" customFormat="1" ht="18.75" customHeight="1" x14ac:dyDescent="0.15">
      <c r="A32" s="1"/>
      <c r="B32" s="280"/>
      <c r="C32" s="281"/>
      <c r="D32" s="281"/>
      <c r="E32" s="281"/>
      <c r="F32" s="281"/>
      <c r="G32" s="281"/>
      <c r="H32" s="281"/>
      <c r="I32" s="281"/>
      <c r="J32" s="282"/>
      <c r="K32" s="35"/>
    </row>
    <row r="33" spans="1:11" s="4" customFormat="1" ht="18.75" customHeight="1" x14ac:dyDescent="0.15">
      <c r="A33" s="1"/>
      <c r="B33" s="280"/>
      <c r="C33" s="281"/>
      <c r="D33" s="281"/>
      <c r="E33" s="281"/>
      <c r="F33" s="281"/>
      <c r="G33" s="281"/>
      <c r="H33" s="281"/>
      <c r="I33" s="281"/>
      <c r="J33" s="282"/>
      <c r="K33" s="35"/>
    </row>
    <row r="34" spans="1:11" s="4" customFormat="1" ht="18.75" customHeight="1" x14ac:dyDescent="0.15">
      <c r="A34" s="1"/>
      <c r="B34" s="280"/>
      <c r="C34" s="281"/>
      <c r="D34" s="281"/>
      <c r="E34" s="281"/>
      <c r="F34" s="281"/>
      <c r="G34" s="281"/>
      <c r="H34" s="281"/>
      <c r="I34" s="281"/>
      <c r="J34" s="282"/>
      <c r="K34" s="35"/>
    </row>
    <row r="35" spans="1:11" s="4" customFormat="1" ht="18.75" customHeight="1" x14ac:dyDescent="0.15">
      <c r="A35" s="1"/>
      <c r="B35" s="280"/>
      <c r="C35" s="281"/>
      <c r="D35" s="281"/>
      <c r="E35" s="281"/>
      <c r="F35" s="281"/>
      <c r="G35" s="281"/>
      <c r="H35" s="281"/>
      <c r="I35" s="281"/>
      <c r="J35" s="282"/>
      <c r="K35" s="35"/>
    </row>
    <row r="36" spans="1:11" s="4" customFormat="1" ht="18.75" customHeight="1" x14ac:dyDescent="0.15">
      <c r="A36" s="1"/>
      <c r="B36" s="280"/>
      <c r="C36" s="281"/>
      <c r="D36" s="281"/>
      <c r="E36" s="281"/>
      <c r="F36" s="281"/>
      <c r="G36" s="281"/>
      <c r="H36" s="281"/>
      <c r="I36" s="281"/>
      <c r="J36" s="282"/>
      <c r="K36" s="35"/>
    </row>
    <row r="37" spans="1:11" s="4" customFormat="1" ht="18.75" customHeight="1" x14ac:dyDescent="0.15">
      <c r="A37" s="1"/>
      <c r="B37" s="280"/>
      <c r="C37" s="281"/>
      <c r="D37" s="281"/>
      <c r="E37" s="281"/>
      <c r="F37" s="281"/>
      <c r="G37" s="281"/>
      <c r="H37" s="281"/>
      <c r="I37" s="281"/>
      <c r="J37" s="282"/>
      <c r="K37" s="35"/>
    </row>
    <row r="38" spans="1:11" s="4" customFormat="1" ht="18.75" customHeight="1" x14ac:dyDescent="0.15">
      <c r="A38" s="1"/>
      <c r="B38" s="280"/>
      <c r="C38" s="281"/>
      <c r="D38" s="281"/>
      <c r="E38" s="281"/>
      <c r="F38" s="281"/>
      <c r="G38" s="281"/>
      <c r="H38" s="281"/>
      <c r="I38" s="281"/>
      <c r="J38" s="282"/>
      <c r="K38" s="35"/>
    </row>
    <row r="39" spans="1:11" s="4" customFormat="1" ht="18.75" customHeight="1" x14ac:dyDescent="0.15">
      <c r="A39" s="1"/>
      <c r="B39" s="280"/>
      <c r="C39" s="281"/>
      <c r="D39" s="281"/>
      <c r="E39" s="281"/>
      <c r="F39" s="281"/>
      <c r="G39" s="281"/>
      <c r="H39" s="281"/>
      <c r="I39" s="281"/>
      <c r="J39" s="282"/>
      <c r="K39" s="35"/>
    </row>
    <row r="40" spans="1:11" s="4" customFormat="1" ht="18.75" customHeight="1" x14ac:dyDescent="0.15">
      <c r="A40" s="1"/>
      <c r="B40" s="280"/>
      <c r="C40" s="281"/>
      <c r="D40" s="281"/>
      <c r="E40" s="281"/>
      <c r="F40" s="281"/>
      <c r="G40" s="281"/>
      <c r="H40" s="281"/>
      <c r="I40" s="281"/>
      <c r="J40" s="282"/>
      <c r="K40" s="35"/>
    </row>
    <row r="41" spans="1:11" s="4" customFormat="1" ht="18.75" customHeight="1" x14ac:dyDescent="0.15">
      <c r="A41" s="1"/>
      <c r="B41" s="280"/>
      <c r="C41" s="281"/>
      <c r="D41" s="281"/>
      <c r="E41" s="281"/>
      <c r="F41" s="281"/>
      <c r="G41" s="281"/>
      <c r="H41" s="281"/>
      <c r="I41" s="281"/>
      <c r="J41" s="282"/>
      <c r="K41" s="35"/>
    </row>
    <row r="42" spans="1:11" s="4" customFormat="1" ht="18.75" customHeight="1" x14ac:dyDescent="0.15">
      <c r="A42" s="1"/>
      <c r="B42" s="280"/>
      <c r="C42" s="281"/>
      <c r="D42" s="281"/>
      <c r="E42" s="281"/>
      <c r="F42" s="281"/>
      <c r="G42" s="281"/>
      <c r="H42" s="281"/>
      <c r="I42" s="281"/>
      <c r="J42" s="282"/>
      <c r="K42" s="35"/>
    </row>
    <row r="43" spans="1:11" ht="18.75" customHeight="1" x14ac:dyDescent="0.15">
      <c r="A43" s="39"/>
      <c r="B43" s="280"/>
      <c r="C43" s="281"/>
      <c r="D43" s="281"/>
      <c r="E43" s="281"/>
      <c r="F43" s="281"/>
      <c r="G43" s="281"/>
      <c r="H43" s="281"/>
      <c r="I43" s="281"/>
      <c r="J43" s="282"/>
      <c r="K43" s="35"/>
    </row>
    <row r="44" spans="1:11" ht="18.75" customHeight="1" x14ac:dyDescent="0.15">
      <c r="A44" s="39"/>
      <c r="B44" s="283"/>
      <c r="C44" s="180"/>
      <c r="D44" s="180"/>
      <c r="E44" s="180"/>
      <c r="F44" s="180"/>
      <c r="G44" s="180"/>
      <c r="H44" s="180"/>
      <c r="I44" s="180"/>
      <c r="J44" s="181"/>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95" t="s">
        <v>206</v>
      </c>
      <c r="C46" s="296"/>
      <c r="D46" s="296"/>
      <c r="E46" s="296"/>
      <c r="F46" s="296"/>
      <c r="G46" s="296"/>
      <c r="H46" s="296"/>
      <c r="I46" s="296"/>
      <c r="J46" s="297"/>
      <c r="K46" s="31" t="str">
        <f>IF(B46="","入力してください","")</f>
        <v/>
      </c>
    </row>
    <row r="47" spans="1:11" ht="18.75" customHeight="1" x14ac:dyDescent="0.15">
      <c r="A47" s="39"/>
      <c r="B47" s="298"/>
      <c r="C47" s="299"/>
      <c r="D47" s="299"/>
      <c r="E47" s="299"/>
      <c r="F47" s="299"/>
      <c r="G47" s="299"/>
      <c r="H47" s="299"/>
      <c r="I47" s="299"/>
      <c r="J47" s="300"/>
    </row>
    <row r="48" spans="1:11" ht="18.75" customHeight="1" x14ac:dyDescent="0.15">
      <c r="A48" s="39"/>
      <c r="B48" s="298"/>
      <c r="C48" s="299"/>
      <c r="D48" s="299"/>
      <c r="E48" s="299"/>
      <c r="F48" s="299"/>
      <c r="G48" s="299"/>
      <c r="H48" s="299"/>
      <c r="I48" s="299"/>
      <c r="J48" s="300"/>
    </row>
    <row r="49" spans="1:10" ht="18.75" customHeight="1" x14ac:dyDescent="0.15">
      <c r="A49" s="39"/>
      <c r="B49" s="298"/>
      <c r="C49" s="299"/>
      <c r="D49" s="299"/>
      <c r="E49" s="299"/>
      <c r="F49" s="299"/>
      <c r="G49" s="299"/>
      <c r="H49" s="299"/>
      <c r="I49" s="299"/>
      <c r="J49" s="300"/>
    </row>
    <row r="50" spans="1:10" ht="18.75" customHeight="1" x14ac:dyDescent="0.15">
      <c r="A50" s="39"/>
      <c r="B50" s="298"/>
      <c r="C50" s="299"/>
      <c r="D50" s="299"/>
      <c r="E50" s="299"/>
      <c r="F50" s="299"/>
      <c r="G50" s="299"/>
      <c r="H50" s="299"/>
      <c r="I50" s="299"/>
      <c r="J50" s="300"/>
    </row>
    <row r="51" spans="1:10" ht="18.75" customHeight="1" x14ac:dyDescent="0.15">
      <c r="A51" s="39"/>
      <c r="B51" s="298"/>
      <c r="C51" s="299"/>
      <c r="D51" s="299"/>
      <c r="E51" s="299"/>
      <c r="F51" s="299"/>
      <c r="G51" s="299"/>
      <c r="H51" s="299"/>
      <c r="I51" s="299"/>
      <c r="J51" s="300"/>
    </row>
    <row r="52" spans="1:10" ht="18.75" customHeight="1" x14ac:dyDescent="0.15">
      <c r="A52" s="39"/>
      <c r="B52" s="298"/>
      <c r="C52" s="299"/>
      <c r="D52" s="299"/>
      <c r="E52" s="299"/>
      <c r="F52" s="299"/>
      <c r="G52" s="299"/>
      <c r="H52" s="299"/>
      <c r="I52" s="299"/>
      <c r="J52" s="300"/>
    </row>
    <row r="53" spans="1:10" ht="18.75" customHeight="1" x14ac:dyDescent="0.15">
      <c r="A53" s="39"/>
      <c r="B53" s="298"/>
      <c r="C53" s="299"/>
      <c r="D53" s="299"/>
      <c r="E53" s="299"/>
      <c r="F53" s="299"/>
      <c r="G53" s="299"/>
      <c r="H53" s="299"/>
      <c r="I53" s="299"/>
      <c r="J53" s="300"/>
    </row>
    <row r="54" spans="1:10" ht="18.75" customHeight="1" x14ac:dyDescent="0.15">
      <c r="A54" s="39"/>
      <c r="B54" s="298"/>
      <c r="C54" s="299"/>
      <c r="D54" s="299"/>
      <c r="E54" s="299"/>
      <c r="F54" s="299"/>
      <c r="G54" s="299"/>
      <c r="H54" s="299"/>
      <c r="I54" s="299"/>
      <c r="J54" s="300"/>
    </row>
    <row r="55" spans="1:10" ht="18.75" customHeight="1" x14ac:dyDescent="0.15">
      <c r="A55" s="39"/>
      <c r="B55" s="298"/>
      <c r="C55" s="299"/>
      <c r="D55" s="299"/>
      <c r="E55" s="299"/>
      <c r="F55" s="299"/>
      <c r="G55" s="299"/>
      <c r="H55" s="299"/>
      <c r="I55" s="299"/>
      <c r="J55" s="300"/>
    </row>
    <row r="56" spans="1:10" ht="18.75" customHeight="1" x14ac:dyDescent="0.15">
      <c r="A56" s="39"/>
      <c r="B56" s="298"/>
      <c r="C56" s="299"/>
      <c r="D56" s="299"/>
      <c r="E56" s="299"/>
      <c r="F56" s="299"/>
      <c r="G56" s="299"/>
      <c r="H56" s="299"/>
      <c r="I56" s="299"/>
      <c r="J56" s="300"/>
    </row>
    <row r="57" spans="1:10" ht="18.75" customHeight="1" x14ac:dyDescent="0.15">
      <c r="A57" s="39"/>
      <c r="B57" s="298"/>
      <c r="C57" s="299"/>
      <c r="D57" s="299"/>
      <c r="E57" s="299"/>
      <c r="F57" s="299"/>
      <c r="G57" s="299"/>
      <c r="H57" s="299"/>
      <c r="I57" s="299"/>
      <c r="J57" s="300"/>
    </row>
    <row r="58" spans="1:10" ht="18.75" customHeight="1" x14ac:dyDescent="0.15">
      <c r="A58" s="39"/>
      <c r="B58" s="298"/>
      <c r="C58" s="299"/>
      <c r="D58" s="299"/>
      <c r="E58" s="299"/>
      <c r="F58" s="299"/>
      <c r="G58" s="299"/>
      <c r="H58" s="299"/>
      <c r="I58" s="299"/>
      <c r="J58" s="300"/>
    </row>
    <row r="59" spans="1:10" ht="18.75" customHeight="1" x14ac:dyDescent="0.15">
      <c r="A59" s="39"/>
      <c r="B59" s="298"/>
      <c r="C59" s="299"/>
      <c r="D59" s="299"/>
      <c r="E59" s="299"/>
      <c r="F59" s="299"/>
      <c r="G59" s="299"/>
      <c r="H59" s="299"/>
      <c r="I59" s="299"/>
      <c r="J59" s="300"/>
    </row>
    <row r="60" spans="1:10" ht="18.75" customHeight="1" x14ac:dyDescent="0.15">
      <c r="A60" s="39"/>
      <c r="B60" s="298"/>
      <c r="C60" s="299"/>
      <c r="D60" s="299"/>
      <c r="E60" s="299"/>
      <c r="F60" s="299"/>
      <c r="G60" s="299"/>
      <c r="H60" s="299"/>
      <c r="I60" s="299"/>
      <c r="J60" s="300"/>
    </row>
    <row r="61" spans="1:10" ht="18.75" customHeight="1" x14ac:dyDescent="0.15">
      <c r="A61" s="39"/>
      <c r="B61" s="298"/>
      <c r="C61" s="299"/>
      <c r="D61" s="299"/>
      <c r="E61" s="299"/>
      <c r="F61" s="299"/>
      <c r="G61" s="299"/>
      <c r="H61" s="299"/>
      <c r="I61" s="299"/>
      <c r="J61" s="300"/>
    </row>
    <row r="62" spans="1:10" ht="18.75" customHeight="1" x14ac:dyDescent="0.15">
      <c r="A62" s="39"/>
      <c r="B62" s="298"/>
      <c r="C62" s="299"/>
      <c r="D62" s="299"/>
      <c r="E62" s="299"/>
      <c r="F62" s="299"/>
      <c r="G62" s="299"/>
      <c r="H62" s="299"/>
      <c r="I62" s="299"/>
      <c r="J62" s="300"/>
    </row>
    <row r="63" spans="1:10" ht="18.75" customHeight="1" x14ac:dyDescent="0.15">
      <c r="A63" s="39"/>
      <c r="B63" s="298"/>
      <c r="C63" s="299"/>
      <c r="D63" s="299"/>
      <c r="E63" s="299"/>
      <c r="F63" s="299"/>
      <c r="G63" s="299"/>
      <c r="H63" s="299"/>
      <c r="I63" s="299"/>
      <c r="J63" s="300"/>
    </row>
    <row r="64" spans="1:10" ht="18.75" customHeight="1" x14ac:dyDescent="0.15">
      <c r="A64" s="39"/>
      <c r="B64" s="298"/>
      <c r="C64" s="299"/>
      <c r="D64" s="299"/>
      <c r="E64" s="299"/>
      <c r="F64" s="299"/>
      <c r="G64" s="299"/>
      <c r="H64" s="299"/>
      <c r="I64" s="299"/>
      <c r="J64" s="300"/>
    </row>
    <row r="65" spans="1:11" ht="18.75" customHeight="1" x14ac:dyDescent="0.15">
      <c r="A65" s="39"/>
      <c r="B65" s="298"/>
      <c r="C65" s="299"/>
      <c r="D65" s="299"/>
      <c r="E65" s="299"/>
      <c r="F65" s="299"/>
      <c r="G65" s="299"/>
      <c r="H65" s="299"/>
      <c r="I65" s="299"/>
      <c r="J65" s="300"/>
    </row>
    <row r="66" spans="1:11" ht="18.75" customHeight="1" x14ac:dyDescent="0.15">
      <c r="A66" s="39"/>
      <c r="B66" s="301"/>
      <c r="C66" s="179"/>
      <c r="D66" s="179"/>
      <c r="E66" s="179"/>
      <c r="F66" s="179"/>
      <c r="G66" s="179"/>
      <c r="H66" s="179"/>
      <c r="I66" s="179"/>
      <c r="J66" s="302"/>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95" t="s">
        <v>207</v>
      </c>
      <c r="C69" s="296"/>
      <c r="D69" s="296"/>
      <c r="E69" s="296"/>
      <c r="F69" s="296"/>
      <c r="G69" s="296"/>
      <c r="H69" s="296"/>
      <c r="I69" s="303"/>
      <c r="J69" s="304"/>
      <c r="K69" s="35" t="str">
        <f>IF(B69="","入力してください","")</f>
        <v/>
      </c>
    </row>
    <row r="70" spans="1:11" s="4" customFormat="1" ht="18.75" customHeight="1" x14ac:dyDescent="0.15">
      <c r="A70" s="1"/>
      <c r="B70" s="280"/>
      <c r="C70" s="281"/>
      <c r="D70" s="281"/>
      <c r="E70" s="281"/>
      <c r="F70" s="281"/>
      <c r="G70" s="281"/>
      <c r="H70" s="281"/>
      <c r="I70" s="281"/>
      <c r="J70" s="282"/>
      <c r="K70" s="35"/>
    </row>
    <row r="71" spans="1:11" s="4" customFormat="1" ht="18.75" customHeight="1" x14ac:dyDescent="0.15">
      <c r="A71" s="1"/>
      <c r="B71" s="280"/>
      <c r="C71" s="281"/>
      <c r="D71" s="281"/>
      <c r="E71" s="281"/>
      <c r="F71" s="281"/>
      <c r="G71" s="281"/>
      <c r="H71" s="281"/>
      <c r="I71" s="281"/>
      <c r="J71" s="282"/>
      <c r="K71" s="35"/>
    </row>
    <row r="72" spans="1:11" s="4" customFormat="1" ht="18.75" customHeight="1" x14ac:dyDescent="0.15">
      <c r="A72" s="1"/>
      <c r="B72" s="280"/>
      <c r="C72" s="281"/>
      <c r="D72" s="281"/>
      <c r="E72" s="281"/>
      <c r="F72" s="281"/>
      <c r="G72" s="281"/>
      <c r="H72" s="281"/>
      <c r="I72" s="281"/>
      <c r="J72" s="282"/>
      <c r="K72" s="35"/>
    </row>
    <row r="73" spans="1:11" s="4" customFormat="1" ht="18.75" customHeight="1" x14ac:dyDescent="0.15">
      <c r="A73" s="1"/>
      <c r="B73" s="280"/>
      <c r="C73" s="281"/>
      <c r="D73" s="281"/>
      <c r="E73" s="281"/>
      <c r="F73" s="281"/>
      <c r="G73" s="281"/>
      <c r="H73" s="281"/>
      <c r="I73" s="281"/>
      <c r="J73" s="282"/>
      <c r="K73" s="35"/>
    </row>
    <row r="74" spans="1:11" s="4" customFormat="1" ht="18.75" customHeight="1" x14ac:dyDescent="0.15">
      <c r="A74" s="1"/>
      <c r="B74" s="280"/>
      <c r="C74" s="281"/>
      <c r="D74" s="281"/>
      <c r="E74" s="281"/>
      <c r="F74" s="281"/>
      <c r="G74" s="281"/>
      <c r="H74" s="281"/>
      <c r="I74" s="281"/>
      <c r="J74" s="282"/>
      <c r="K74" s="35"/>
    </row>
    <row r="75" spans="1:11" s="4" customFormat="1" ht="18.75" customHeight="1" x14ac:dyDescent="0.15">
      <c r="A75" s="1"/>
      <c r="B75" s="280"/>
      <c r="C75" s="281"/>
      <c r="D75" s="281"/>
      <c r="E75" s="281"/>
      <c r="F75" s="281"/>
      <c r="G75" s="281"/>
      <c r="H75" s="281"/>
      <c r="I75" s="281"/>
      <c r="J75" s="282"/>
      <c r="K75" s="35"/>
    </row>
    <row r="76" spans="1:11" s="4" customFormat="1" ht="18.75" customHeight="1" x14ac:dyDescent="0.15">
      <c r="A76" s="1"/>
      <c r="B76" s="280"/>
      <c r="C76" s="281"/>
      <c r="D76" s="281"/>
      <c r="E76" s="281"/>
      <c r="F76" s="281"/>
      <c r="G76" s="281"/>
      <c r="H76" s="281"/>
      <c r="I76" s="281"/>
      <c r="J76" s="282"/>
      <c r="K76" s="35"/>
    </row>
    <row r="77" spans="1:11" s="4" customFormat="1" ht="18.75" customHeight="1" x14ac:dyDescent="0.15">
      <c r="A77" s="1"/>
      <c r="B77" s="280"/>
      <c r="C77" s="281"/>
      <c r="D77" s="281"/>
      <c r="E77" s="281"/>
      <c r="F77" s="281"/>
      <c r="G77" s="281"/>
      <c r="H77" s="281"/>
      <c r="I77" s="281"/>
      <c r="J77" s="282"/>
      <c r="K77" s="35"/>
    </row>
    <row r="78" spans="1:11" s="4" customFormat="1" ht="18.75" customHeight="1" x14ac:dyDescent="0.15">
      <c r="A78" s="1"/>
      <c r="B78" s="280"/>
      <c r="C78" s="281"/>
      <c r="D78" s="281"/>
      <c r="E78" s="281"/>
      <c r="F78" s="281"/>
      <c r="G78" s="281"/>
      <c r="H78" s="281"/>
      <c r="I78" s="281"/>
      <c r="J78" s="282"/>
      <c r="K78" s="35"/>
    </row>
    <row r="79" spans="1:11" s="4" customFormat="1" ht="18.75" customHeight="1" x14ac:dyDescent="0.15">
      <c r="A79" s="1"/>
      <c r="B79" s="280"/>
      <c r="C79" s="281"/>
      <c r="D79" s="281"/>
      <c r="E79" s="281"/>
      <c r="F79" s="281"/>
      <c r="G79" s="281"/>
      <c r="H79" s="281"/>
      <c r="I79" s="281"/>
      <c r="J79" s="282"/>
      <c r="K79" s="35"/>
    </row>
    <row r="80" spans="1:11" s="4" customFormat="1" ht="18.75" customHeight="1" x14ac:dyDescent="0.15">
      <c r="A80" s="1"/>
      <c r="B80" s="280"/>
      <c r="C80" s="281"/>
      <c r="D80" s="281"/>
      <c r="E80" s="281"/>
      <c r="F80" s="281"/>
      <c r="G80" s="281"/>
      <c r="H80" s="281"/>
      <c r="I80" s="281"/>
      <c r="J80" s="282"/>
      <c r="K80" s="35"/>
    </row>
    <row r="81" spans="1:11" s="4" customFormat="1" ht="18.75" customHeight="1" x14ac:dyDescent="0.15">
      <c r="A81" s="1"/>
      <c r="B81" s="280"/>
      <c r="C81" s="281"/>
      <c r="D81" s="281"/>
      <c r="E81" s="281"/>
      <c r="F81" s="281"/>
      <c r="G81" s="281"/>
      <c r="H81" s="281"/>
      <c r="I81" s="281"/>
      <c r="J81" s="282"/>
      <c r="K81" s="35"/>
    </row>
    <row r="82" spans="1:11" s="4" customFormat="1" ht="18.75" customHeight="1" x14ac:dyDescent="0.15">
      <c r="A82" s="1"/>
      <c r="B82" s="280"/>
      <c r="C82" s="281"/>
      <c r="D82" s="281"/>
      <c r="E82" s="281"/>
      <c r="F82" s="281"/>
      <c r="G82" s="281"/>
      <c r="H82" s="281"/>
      <c r="I82" s="281"/>
      <c r="J82" s="282"/>
      <c r="K82" s="35"/>
    </row>
    <row r="83" spans="1:11" s="4" customFormat="1" ht="18.75" customHeight="1" x14ac:dyDescent="0.15">
      <c r="A83" s="1"/>
      <c r="B83" s="280"/>
      <c r="C83" s="281"/>
      <c r="D83" s="281"/>
      <c r="E83" s="281"/>
      <c r="F83" s="281"/>
      <c r="G83" s="281"/>
      <c r="H83" s="281"/>
      <c r="I83" s="281"/>
      <c r="J83" s="282"/>
      <c r="K83" s="35"/>
    </row>
    <row r="84" spans="1:11" s="4" customFormat="1" ht="18.75" customHeight="1" x14ac:dyDescent="0.15">
      <c r="A84" s="1"/>
      <c r="B84" s="280"/>
      <c r="C84" s="281"/>
      <c r="D84" s="281"/>
      <c r="E84" s="281"/>
      <c r="F84" s="281"/>
      <c r="G84" s="281"/>
      <c r="H84" s="281"/>
      <c r="I84" s="281"/>
      <c r="J84" s="282"/>
      <c r="K84" s="35"/>
    </row>
    <row r="85" spans="1:11" ht="18.75" customHeight="1" x14ac:dyDescent="0.15">
      <c r="A85" s="39"/>
      <c r="B85" s="280"/>
      <c r="C85" s="281"/>
      <c r="D85" s="281"/>
      <c r="E85" s="281"/>
      <c r="F85" s="281"/>
      <c r="G85" s="281"/>
      <c r="H85" s="281"/>
      <c r="I85" s="281"/>
      <c r="J85" s="282"/>
      <c r="K85" s="35"/>
    </row>
    <row r="86" spans="1:11" ht="18.75" customHeight="1" x14ac:dyDescent="0.15">
      <c r="A86" s="39"/>
      <c r="B86" s="283"/>
      <c r="C86" s="180"/>
      <c r="D86" s="180"/>
      <c r="E86" s="180"/>
      <c r="F86" s="180"/>
      <c r="G86" s="180"/>
      <c r="H86" s="180"/>
      <c r="I86" s="180"/>
      <c r="J86" s="181"/>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95" t="s">
        <v>219</v>
      </c>
      <c r="C89" s="296"/>
      <c r="D89" s="296"/>
      <c r="E89" s="296"/>
      <c r="F89" s="296"/>
      <c r="G89" s="296"/>
      <c r="H89" s="296"/>
      <c r="I89" s="303"/>
      <c r="J89" s="304"/>
      <c r="K89" s="31"/>
    </row>
    <row r="90" spans="1:11" s="4" customFormat="1" ht="18.75" customHeight="1" x14ac:dyDescent="0.15">
      <c r="A90" s="1"/>
      <c r="B90" s="280"/>
      <c r="C90" s="281"/>
      <c r="D90" s="281"/>
      <c r="E90" s="281"/>
      <c r="F90" s="281"/>
      <c r="G90" s="281"/>
      <c r="H90" s="281"/>
      <c r="I90" s="281"/>
      <c r="J90" s="282"/>
      <c r="K90" s="35"/>
    </row>
    <row r="91" spans="1:11" s="4" customFormat="1" ht="18.75" customHeight="1" x14ac:dyDescent="0.15">
      <c r="A91" s="1"/>
      <c r="B91" s="280"/>
      <c r="C91" s="281"/>
      <c r="D91" s="281"/>
      <c r="E91" s="281"/>
      <c r="F91" s="281"/>
      <c r="G91" s="281"/>
      <c r="H91" s="281"/>
      <c r="I91" s="281"/>
      <c r="J91" s="282"/>
      <c r="K91" s="35" t="str">
        <f>IF(B89="","入力してください","")</f>
        <v/>
      </c>
    </row>
    <row r="92" spans="1:11" s="4" customFormat="1" ht="18.75" customHeight="1" x14ac:dyDescent="0.15">
      <c r="A92" s="1"/>
      <c r="B92" s="280"/>
      <c r="C92" s="281"/>
      <c r="D92" s="281"/>
      <c r="E92" s="281"/>
      <c r="F92" s="281"/>
      <c r="G92" s="281"/>
      <c r="H92" s="281"/>
      <c r="I92" s="281"/>
      <c r="J92" s="282"/>
      <c r="K92" s="35"/>
    </row>
    <row r="93" spans="1:11" s="4" customFormat="1" ht="18.75" customHeight="1" x14ac:dyDescent="0.15">
      <c r="A93" s="1"/>
      <c r="B93" s="280"/>
      <c r="C93" s="281"/>
      <c r="D93" s="281"/>
      <c r="E93" s="281"/>
      <c r="F93" s="281"/>
      <c r="G93" s="281"/>
      <c r="H93" s="281"/>
      <c r="I93" s="281"/>
      <c r="J93" s="282"/>
      <c r="K93" s="35"/>
    </row>
    <row r="94" spans="1:11" s="4" customFormat="1" ht="18.75" customHeight="1" x14ac:dyDescent="0.15">
      <c r="A94" s="1"/>
      <c r="B94" s="280"/>
      <c r="C94" s="281"/>
      <c r="D94" s="281"/>
      <c r="E94" s="281"/>
      <c r="F94" s="281"/>
      <c r="G94" s="281"/>
      <c r="H94" s="281"/>
      <c r="I94" s="281"/>
      <c r="J94" s="282"/>
      <c r="K94" s="35"/>
    </row>
    <row r="95" spans="1:11" s="4" customFormat="1" ht="18.75" customHeight="1" x14ac:dyDescent="0.15">
      <c r="A95" s="1"/>
      <c r="B95" s="280"/>
      <c r="C95" s="281"/>
      <c r="D95" s="281"/>
      <c r="E95" s="281"/>
      <c r="F95" s="281"/>
      <c r="G95" s="281"/>
      <c r="H95" s="281"/>
      <c r="I95" s="281"/>
      <c r="J95" s="282"/>
      <c r="K95" s="35"/>
    </row>
    <row r="96" spans="1:11" s="4" customFormat="1" ht="18.75" customHeight="1" x14ac:dyDescent="0.15">
      <c r="A96" s="1"/>
      <c r="B96" s="280"/>
      <c r="C96" s="281"/>
      <c r="D96" s="281"/>
      <c r="E96" s="281"/>
      <c r="F96" s="281"/>
      <c r="G96" s="281"/>
      <c r="H96" s="281"/>
      <c r="I96" s="281"/>
      <c r="J96" s="282"/>
      <c r="K96" s="35"/>
    </row>
    <row r="97" spans="1:11" s="4" customFormat="1" ht="18.75" customHeight="1" x14ac:dyDescent="0.15">
      <c r="A97" s="1"/>
      <c r="B97" s="280"/>
      <c r="C97" s="281"/>
      <c r="D97" s="281"/>
      <c r="E97" s="281"/>
      <c r="F97" s="281"/>
      <c r="G97" s="281"/>
      <c r="H97" s="281"/>
      <c r="I97" s="281"/>
      <c r="J97" s="282"/>
      <c r="K97" s="35"/>
    </row>
    <row r="98" spans="1:11" s="4" customFormat="1" ht="18.75" customHeight="1" x14ac:dyDescent="0.15">
      <c r="A98" s="1"/>
      <c r="B98" s="280"/>
      <c r="C98" s="281"/>
      <c r="D98" s="281"/>
      <c r="E98" s="281"/>
      <c r="F98" s="281"/>
      <c r="G98" s="281"/>
      <c r="H98" s="281"/>
      <c r="I98" s="281"/>
      <c r="J98" s="282"/>
      <c r="K98" s="35"/>
    </row>
    <row r="99" spans="1:11" s="4" customFormat="1" ht="18.75" customHeight="1" x14ac:dyDescent="0.15">
      <c r="A99" s="1"/>
      <c r="B99" s="280"/>
      <c r="C99" s="281"/>
      <c r="D99" s="281"/>
      <c r="E99" s="281"/>
      <c r="F99" s="281"/>
      <c r="G99" s="281"/>
      <c r="H99" s="281"/>
      <c r="I99" s="281"/>
      <c r="J99" s="282"/>
      <c r="K99" s="35"/>
    </row>
    <row r="100" spans="1:11" s="4" customFormat="1" ht="18.75" customHeight="1" x14ac:dyDescent="0.15">
      <c r="A100" s="1"/>
      <c r="B100" s="280"/>
      <c r="C100" s="281"/>
      <c r="D100" s="281"/>
      <c r="E100" s="281"/>
      <c r="F100" s="281"/>
      <c r="G100" s="281"/>
      <c r="H100" s="281"/>
      <c r="I100" s="281"/>
      <c r="J100" s="282"/>
      <c r="K100" s="35"/>
    </row>
    <row r="101" spans="1:11" s="4" customFormat="1" ht="18.75" customHeight="1" x14ac:dyDescent="0.15">
      <c r="A101" s="1"/>
      <c r="B101" s="280"/>
      <c r="C101" s="281"/>
      <c r="D101" s="281"/>
      <c r="E101" s="281"/>
      <c r="F101" s="281"/>
      <c r="G101" s="281"/>
      <c r="H101" s="281"/>
      <c r="I101" s="281"/>
      <c r="J101" s="282"/>
      <c r="K101" s="35"/>
    </row>
    <row r="102" spans="1:11" s="4" customFormat="1" ht="18.75" customHeight="1" x14ac:dyDescent="0.15">
      <c r="A102" s="1"/>
      <c r="B102" s="280"/>
      <c r="C102" s="281"/>
      <c r="D102" s="281"/>
      <c r="E102" s="281"/>
      <c r="F102" s="281"/>
      <c r="G102" s="281"/>
      <c r="H102" s="281"/>
      <c r="I102" s="281"/>
      <c r="J102" s="282"/>
      <c r="K102" s="35"/>
    </row>
    <row r="103" spans="1:11" s="4" customFormat="1" ht="18.75" customHeight="1" x14ac:dyDescent="0.15">
      <c r="A103" s="1"/>
      <c r="B103" s="280"/>
      <c r="C103" s="281"/>
      <c r="D103" s="281"/>
      <c r="E103" s="281"/>
      <c r="F103" s="281"/>
      <c r="G103" s="281"/>
      <c r="H103" s="281"/>
      <c r="I103" s="281"/>
      <c r="J103" s="282"/>
      <c r="K103" s="35"/>
    </row>
    <row r="104" spans="1:11" s="4" customFormat="1" ht="18.75" customHeight="1" x14ac:dyDescent="0.15">
      <c r="A104" s="1"/>
      <c r="B104" s="280"/>
      <c r="C104" s="281"/>
      <c r="D104" s="281"/>
      <c r="E104" s="281"/>
      <c r="F104" s="281"/>
      <c r="G104" s="281"/>
      <c r="H104" s="281"/>
      <c r="I104" s="281"/>
      <c r="J104" s="282"/>
      <c r="K104" s="35"/>
    </row>
    <row r="105" spans="1:11" s="4" customFormat="1" ht="18.75" customHeight="1" x14ac:dyDescent="0.15">
      <c r="A105" s="1"/>
      <c r="B105" s="280"/>
      <c r="C105" s="281"/>
      <c r="D105" s="281"/>
      <c r="E105" s="281"/>
      <c r="F105" s="281"/>
      <c r="G105" s="281"/>
      <c r="H105" s="281"/>
      <c r="I105" s="281"/>
      <c r="J105" s="282"/>
      <c r="K105" s="35"/>
    </row>
    <row r="106" spans="1:11" s="4" customFormat="1" ht="18.75" customHeight="1" x14ac:dyDescent="0.15">
      <c r="A106" s="1"/>
      <c r="B106" s="280"/>
      <c r="C106" s="281"/>
      <c r="D106" s="281"/>
      <c r="E106" s="281"/>
      <c r="F106" s="281"/>
      <c r="G106" s="281"/>
      <c r="H106" s="281"/>
      <c r="I106" s="281"/>
      <c r="J106" s="282"/>
      <c r="K106" s="35"/>
    </row>
    <row r="107" spans="1:11" ht="18.75" customHeight="1" x14ac:dyDescent="0.15">
      <c r="A107" s="39"/>
      <c r="B107" s="280"/>
      <c r="C107" s="281"/>
      <c r="D107" s="281"/>
      <c r="E107" s="281"/>
      <c r="F107" s="281"/>
      <c r="G107" s="281"/>
      <c r="H107" s="281"/>
      <c r="I107" s="281"/>
      <c r="J107" s="282"/>
      <c r="K107" s="35"/>
    </row>
    <row r="108" spans="1:11" ht="18.75" customHeight="1" x14ac:dyDescent="0.15">
      <c r="A108" s="39"/>
      <c r="B108" s="283"/>
      <c r="C108" s="180"/>
      <c r="D108" s="180"/>
      <c r="E108" s="180"/>
      <c r="F108" s="180"/>
      <c r="G108" s="180"/>
      <c r="H108" s="180"/>
      <c r="I108" s="180"/>
      <c r="J108" s="181"/>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305" t="s">
        <v>82</v>
      </c>
      <c r="C110" s="305"/>
      <c r="D110" s="305"/>
      <c r="E110" s="305"/>
      <c r="F110" s="305"/>
      <c r="G110" s="305"/>
      <c r="H110" s="305"/>
      <c r="I110" s="305"/>
      <c r="J110" s="305"/>
      <c r="K110" s="31"/>
    </row>
    <row r="111" spans="1:11" ht="18.75" customHeight="1" x14ac:dyDescent="0.15">
      <c r="A111" s="39"/>
      <c r="B111" s="295" t="s">
        <v>208</v>
      </c>
      <c r="C111" s="296"/>
      <c r="D111" s="296"/>
      <c r="E111" s="296"/>
      <c r="F111" s="296"/>
      <c r="G111" s="296"/>
      <c r="H111" s="296"/>
      <c r="I111" s="303"/>
      <c r="J111" s="304"/>
    </row>
    <row r="112" spans="1:11" ht="18.75" customHeight="1" x14ac:dyDescent="0.15">
      <c r="A112" s="39"/>
      <c r="B112" s="280"/>
      <c r="C112" s="281"/>
      <c r="D112" s="281"/>
      <c r="E112" s="281"/>
      <c r="F112" s="281"/>
      <c r="G112" s="281"/>
      <c r="H112" s="281"/>
      <c r="I112" s="281"/>
      <c r="J112" s="282"/>
      <c r="K112" s="35"/>
    </row>
    <row r="113" spans="1:11" ht="18.75" customHeight="1" x14ac:dyDescent="0.15">
      <c r="A113" s="39"/>
      <c r="B113" s="280"/>
      <c r="C113" s="281"/>
      <c r="D113" s="281"/>
      <c r="E113" s="281"/>
      <c r="F113" s="281"/>
      <c r="G113" s="281"/>
      <c r="H113" s="281"/>
      <c r="I113" s="281"/>
      <c r="J113" s="282"/>
      <c r="K113" s="31" t="str">
        <f>IF(B111="","入力してください","")</f>
        <v/>
      </c>
    </row>
    <row r="114" spans="1:11" ht="18.75" customHeight="1" x14ac:dyDescent="0.15">
      <c r="A114" s="39"/>
      <c r="B114" s="280"/>
      <c r="C114" s="281"/>
      <c r="D114" s="281"/>
      <c r="E114" s="281"/>
      <c r="F114" s="281"/>
      <c r="G114" s="281"/>
      <c r="H114" s="281"/>
      <c r="I114" s="281"/>
      <c r="J114" s="282"/>
    </row>
    <row r="115" spans="1:11" ht="18.75" customHeight="1" x14ac:dyDescent="0.15">
      <c r="A115" s="39"/>
      <c r="B115" s="280"/>
      <c r="C115" s="281"/>
      <c r="D115" s="281"/>
      <c r="E115" s="281"/>
      <c r="F115" s="281"/>
      <c r="G115" s="281"/>
      <c r="H115" s="281"/>
      <c r="I115" s="281"/>
      <c r="J115" s="282"/>
    </row>
    <row r="116" spans="1:11" ht="18.75" customHeight="1" x14ac:dyDescent="0.15">
      <c r="A116" s="39"/>
      <c r="B116" s="280"/>
      <c r="C116" s="281"/>
      <c r="D116" s="281"/>
      <c r="E116" s="281"/>
      <c r="F116" s="281"/>
      <c r="G116" s="281"/>
      <c r="H116" s="281"/>
      <c r="I116" s="281"/>
      <c r="J116" s="282"/>
    </row>
    <row r="117" spans="1:11" ht="18.75" customHeight="1" x14ac:dyDescent="0.15">
      <c r="A117" s="39"/>
      <c r="B117" s="280"/>
      <c r="C117" s="281"/>
      <c r="D117" s="281"/>
      <c r="E117" s="281"/>
      <c r="F117" s="281"/>
      <c r="G117" s="281"/>
      <c r="H117" s="281"/>
      <c r="I117" s="281"/>
      <c r="J117" s="282"/>
    </row>
    <row r="118" spans="1:11" ht="18.75" customHeight="1" x14ac:dyDescent="0.15">
      <c r="A118" s="39"/>
      <c r="B118" s="280"/>
      <c r="C118" s="281"/>
      <c r="D118" s="281"/>
      <c r="E118" s="281"/>
      <c r="F118" s="281"/>
      <c r="G118" s="281"/>
      <c r="H118" s="281"/>
      <c r="I118" s="281"/>
      <c r="J118" s="282"/>
    </row>
    <row r="119" spans="1:11" ht="18.75" customHeight="1" x14ac:dyDescent="0.15">
      <c r="A119" s="39"/>
      <c r="B119" s="280"/>
      <c r="C119" s="281"/>
      <c r="D119" s="281"/>
      <c r="E119" s="281"/>
      <c r="F119" s="281"/>
      <c r="G119" s="281"/>
      <c r="H119" s="281"/>
      <c r="I119" s="281"/>
      <c r="J119" s="282"/>
    </row>
    <row r="120" spans="1:11" ht="18.75" customHeight="1" x14ac:dyDescent="0.15">
      <c r="A120" s="39"/>
      <c r="B120" s="280"/>
      <c r="C120" s="281"/>
      <c r="D120" s="281"/>
      <c r="E120" s="281"/>
      <c r="F120" s="281"/>
      <c r="G120" s="281"/>
      <c r="H120" s="281"/>
      <c r="I120" s="281"/>
      <c r="J120" s="282"/>
    </row>
    <row r="121" spans="1:11" ht="18.75" customHeight="1" x14ac:dyDescent="0.15">
      <c r="A121" s="39"/>
      <c r="B121" s="280"/>
      <c r="C121" s="281"/>
      <c r="D121" s="281"/>
      <c r="E121" s="281"/>
      <c r="F121" s="281"/>
      <c r="G121" s="281"/>
      <c r="H121" s="281"/>
      <c r="I121" s="281"/>
      <c r="J121" s="282"/>
    </row>
    <row r="122" spans="1:11" ht="18.75" customHeight="1" x14ac:dyDescent="0.15">
      <c r="A122" s="39"/>
      <c r="B122" s="280"/>
      <c r="C122" s="281"/>
      <c r="D122" s="281"/>
      <c r="E122" s="281"/>
      <c r="F122" s="281"/>
      <c r="G122" s="281"/>
      <c r="H122" s="281"/>
      <c r="I122" s="281"/>
      <c r="J122" s="282"/>
    </row>
    <row r="123" spans="1:11" ht="18.75" customHeight="1" x14ac:dyDescent="0.15">
      <c r="A123" s="39"/>
      <c r="B123" s="280"/>
      <c r="C123" s="281"/>
      <c r="D123" s="281"/>
      <c r="E123" s="281"/>
      <c r="F123" s="281"/>
      <c r="G123" s="281"/>
      <c r="H123" s="281"/>
      <c r="I123" s="281"/>
      <c r="J123" s="282"/>
    </row>
    <row r="124" spans="1:11" ht="18.75" customHeight="1" x14ac:dyDescent="0.15">
      <c r="A124" s="39"/>
      <c r="B124" s="280"/>
      <c r="C124" s="281"/>
      <c r="D124" s="281"/>
      <c r="E124" s="281"/>
      <c r="F124" s="281"/>
      <c r="G124" s="281"/>
      <c r="H124" s="281"/>
      <c r="I124" s="281"/>
      <c r="J124" s="282"/>
    </row>
    <row r="125" spans="1:11" ht="18.75" customHeight="1" x14ac:dyDescent="0.15">
      <c r="A125" s="39"/>
      <c r="B125" s="280"/>
      <c r="C125" s="281"/>
      <c r="D125" s="281"/>
      <c r="E125" s="281"/>
      <c r="F125" s="281"/>
      <c r="G125" s="281"/>
      <c r="H125" s="281"/>
      <c r="I125" s="281"/>
      <c r="J125" s="282"/>
    </row>
    <row r="126" spans="1:11" ht="18.75" customHeight="1" x14ac:dyDescent="0.15">
      <c r="A126" s="39"/>
      <c r="B126" s="280"/>
      <c r="C126" s="281"/>
      <c r="D126" s="281"/>
      <c r="E126" s="281"/>
      <c r="F126" s="281"/>
      <c r="G126" s="281"/>
      <c r="H126" s="281"/>
      <c r="I126" s="281"/>
      <c r="J126" s="282"/>
    </row>
    <row r="127" spans="1:11" ht="18.75" customHeight="1" x14ac:dyDescent="0.15">
      <c r="A127" s="39"/>
      <c r="B127" s="280"/>
      <c r="C127" s="281"/>
      <c r="D127" s="281"/>
      <c r="E127" s="281"/>
      <c r="F127" s="281"/>
      <c r="G127" s="281"/>
      <c r="H127" s="281"/>
      <c r="I127" s="281"/>
      <c r="J127" s="282"/>
    </row>
    <row r="128" spans="1:11" ht="18.75" customHeight="1" x14ac:dyDescent="0.15">
      <c r="A128" s="39"/>
      <c r="B128" s="280"/>
      <c r="C128" s="281"/>
      <c r="D128" s="281"/>
      <c r="E128" s="281"/>
      <c r="F128" s="281"/>
      <c r="G128" s="281"/>
      <c r="H128" s="281"/>
      <c r="I128" s="281"/>
      <c r="J128" s="282"/>
    </row>
    <row r="129" spans="1:10" ht="18.75" customHeight="1" x14ac:dyDescent="0.15">
      <c r="A129" s="39"/>
      <c r="B129" s="283"/>
      <c r="C129" s="180"/>
      <c r="D129" s="180"/>
      <c r="E129" s="180"/>
      <c r="F129" s="180"/>
      <c r="G129" s="180"/>
      <c r="H129" s="180"/>
      <c r="I129" s="180"/>
      <c r="J129" s="181"/>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4" zoomScaleNormal="100" zoomScaleSheetLayoutView="100" workbookViewId="0">
      <selection activeCell="N8" sqref="N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124</v>
      </c>
      <c r="J1" s="41" t="s">
        <v>73</v>
      </c>
    </row>
    <row r="2" spans="1:11" ht="18.75" customHeight="1" x14ac:dyDescent="0.15">
      <c r="A2" s="261" t="s">
        <v>42</v>
      </c>
      <c r="B2" s="261"/>
      <c r="C2" s="261"/>
      <c r="D2" s="261"/>
      <c r="E2" s="261"/>
      <c r="F2" s="261"/>
      <c r="G2" s="261"/>
      <c r="H2" s="261"/>
      <c r="I2" s="261"/>
      <c r="J2" s="261"/>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11" t="s">
        <v>38</v>
      </c>
      <c r="C5" s="312"/>
      <c r="D5" s="313"/>
      <c r="E5" s="314" t="s">
        <v>40</v>
      </c>
      <c r="F5" s="314"/>
      <c r="G5" s="314"/>
      <c r="H5" s="314"/>
      <c r="I5" s="314"/>
      <c r="J5" s="315"/>
    </row>
    <row r="6" spans="1:11" ht="18.75" customHeight="1" x14ac:dyDescent="0.15">
      <c r="B6" s="3" t="s">
        <v>28</v>
      </c>
      <c r="C6" s="39"/>
      <c r="D6" s="7"/>
      <c r="I6" s="40"/>
      <c r="J6" s="5"/>
    </row>
    <row r="7" spans="1:11" ht="207" customHeight="1" x14ac:dyDescent="0.15">
      <c r="B7" s="6"/>
      <c r="C7" s="316" t="s">
        <v>29</v>
      </c>
      <c r="D7" s="317"/>
      <c r="E7" s="308" t="s">
        <v>221</v>
      </c>
      <c r="F7" s="309"/>
      <c r="G7" s="309"/>
      <c r="H7" s="309"/>
      <c r="I7" s="309"/>
      <c r="J7" s="310"/>
      <c r="K7" s="31" t="str">
        <f>IF(E7="","入力してください","")</f>
        <v/>
      </c>
    </row>
    <row r="8" spans="1:11" ht="207" customHeight="1" x14ac:dyDescent="0.15">
      <c r="B8" s="6"/>
      <c r="C8" s="306" t="s">
        <v>30</v>
      </c>
      <c r="D8" s="307"/>
      <c r="E8" s="308" t="s">
        <v>209</v>
      </c>
      <c r="F8" s="309"/>
      <c r="G8" s="309"/>
      <c r="H8" s="309"/>
      <c r="I8" s="309"/>
      <c r="J8" s="310"/>
      <c r="K8" s="31" t="str">
        <f>IF(E8="","入力してください","")</f>
        <v/>
      </c>
    </row>
    <row r="9" spans="1:11" ht="172.5" customHeight="1" x14ac:dyDescent="0.15">
      <c r="B9" s="6"/>
      <c r="C9" s="316" t="s">
        <v>31</v>
      </c>
      <c r="D9" s="317"/>
      <c r="E9" s="308" t="s">
        <v>210</v>
      </c>
      <c r="F9" s="309"/>
      <c r="G9" s="309"/>
      <c r="H9" s="309"/>
      <c r="I9" s="309"/>
      <c r="J9" s="310"/>
      <c r="K9" s="31" t="str">
        <f>IF(E9="","入力してください","")</f>
        <v/>
      </c>
    </row>
    <row r="10" spans="1:11" ht="172.5" customHeight="1" x14ac:dyDescent="0.15">
      <c r="B10" s="6"/>
      <c r="C10" s="316" t="s">
        <v>32</v>
      </c>
      <c r="D10" s="317"/>
      <c r="E10" s="308" t="s">
        <v>211</v>
      </c>
      <c r="F10" s="309"/>
      <c r="G10" s="309"/>
      <c r="H10" s="309"/>
      <c r="I10" s="309"/>
      <c r="J10" s="310"/>
      <c r="K10" s="31" t="str">
        <f t="shared" ref="K10:K14" si="0">IF(E10="","入力してください","")</f>
        <v/>
      </c>
    </row>
    <row r="11" spans="1:11" ht="172.5" customHeight="1" x14ac:dyDescent="0.15">
      <c r="B11" s="6"/>
      <c r="C11" s="316" t="s">
        <v>33</v>
      </c>
      <c r="D11" s="317"/>
      <c r="E11" s="308" t="s">
        <v>212</v>
      </c>
      <c r="F11" s="309"/>
      <c r="G11" s="309"/>
      <c r="H11" s="309"/>
      <c r="I11" s="309"/>
      <c r="J11" s="310"/>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16" t="s">
        <v>35</v>
      </c>
      <c r="D13" s="317"/>
      <c r="E13" s="309" t="s">
        <v>213</v>
      </c>
      <c r="F13" s="309"/>
      <c r="G13" s="309"/>
      <c r="H13" s="309"/>
      <c r="I13" s="309"/>
      <c r="J13" s="310"/>
      <c r="K13" s="31" t="str">
        <f t="shared" si="0"/>
        <v/>
      </c>
    </row>
    <row r="14" spans="1:11" ht="255" customHeight="1" x14ac:dyDescent="0.15">
      <c r="B14" s="6"/>
      <c r="C14" s="316" t="s">
        <v>36</v>
      </c>
      <c r="D14" s="317"/>
      <c r="E14" s="309" t="s">
        <v>222</v>
      </c>
      <c r="F14" s="309"/>
      <c r="G14" s="309"/>
      <c r="H14" s="309"/>
      <c r="I14" s="309"/>
      <c r="J14" s="310"/>
      <c r="K14" s="31" t="str">
        <f t="shared" si="0"/>
        <v/>
      </c>
    </row>
    <row r="15" spans="1:11" ht="243" customHeight="1" x14ac:dyDescent="0.15">
      <c r="B15" s="326" t="s">
        <v>37</v>
      </c>
      <c r="C15" s="327"/>
      <c r="D15" s="317"/>
      <c r="E15" s="309" t="s">
        <v>214</v>
      </c>
      <c r="F15" s="309"/>
      <c r="G15" s="309"/>
      <c r="H15" s="309"/>
      <c r="I15" s="309"/>
      <c r="J15" s="310"/>
      <c r="K15" s="31" t="str">
        <f>IF(E15="","入力してください","")</f>
        <v/>
      </c>
    </row>
    <row r="16" spans="1:11" ht="243" customHeight="1" x14ac:dyDescent="0.15">
      <c r="A16" s="31"/>
      <c r="B16" s="318" t="s">
        <v>66</v>
      </c>
      <c r="C16" s="319"/>
      <c r="D16" s="320"/>
      <c r="E16" s="321" t="s">
        <v>215</v>
      </c>
      <c r="F16" s="321"/>
      <c r="G16" s="321"/>
      <c r="H16" s="321"/>
      <c r="I16" s="321"/>
      <c r="J16" s="322"/>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125</v>
      </c>
      <c r="B18" s="4"/>
      <c r="C18" s="39"/>
      <c r="D18" s="39"/>
      <c r="E18" s="40"/>
      <c r="F18" s="94"/>
      <c r="G18" s="323" t="s">
        <v>198</v>
      </c>
      <c r="H18" s="324"/>
      <c r="I18" s="324"/>
      <c r="J18" s="325"/>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6C564235-B4D5-4FE0-9888-596FCE14FD9F}"/>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佐藤　康樹</cp:lastModifiedBy>
  <cp:lastPrinted>2022-05-17T08:03:34Z</cp:lastPrinted>
  <dcterms:created xsi:type="dcterms:W3CDTF">2011-06-14T05:32:50Z</dcterms:created>
  <dcterms:modified xsi:type="dcterms:W3CDTF">2022-05-17T08:04:28Z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